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ummit86\Desktop\상품\신한라이프\주니어 등 주1특22 - 0320－완료\검증파일\"/>
    </mc:Choice>
  </mc:AlternateContent>
  <xr:revisionPtr revIDLastSave="0" documentId="13_ncr:1_{10ABC2B9-A7E2-473D-827A-786E92200BBB}" xr6:coauthVersionLast="47" xr6:coauthVersionMax="47" xr10:uidLastSave="{00000000-0000-0000-0000-000000000000}"/>
  <bookViews>
    <workbookView xWindow="-28920" yWindow="-1290" windowWidth="29040" windowHeight="15720" activeTab="1" xr2:uid="{3F918383-329F-4995-9872-078945DD8A0C}"/>
  </bookViews>
  <sheets>
    <sheet name="MANUAL" sheetId="15" r:id="rId1"/>
    <sheet name="INPUT" sheetId="23" r:id="rId2"/>
    <sheet name="MAIN" sheetId="7" r:id="rId3"/>
    <sheet name="유해지" sheetId="19" r:id="rId4"/>
    <sheet name="유해지 (기준P)" sheetId="21" r:id="rId5"/>
    <sheet name="무해지" sheetId="8" r:id="rId6"/>
    <sheet name="무해지 (기준P)" sheetId="22" r:id="rId7"/>
    <sheet name="정기보험" sheetId="6" r:id="rId8"/>
    <sheet name="위험률" sheetId="5" r:id="rId9"/>
    <sheet name="위험률명" sheetId="25" r:id="rId10"/>
    <sheet name="해지율" sheetId="2" r:id="rId11"/>
    <sheet name="상품과 위험률 매칭" sheetId="24" r:id="rId12"/>
    <sheet name="이름관리" sheetId="13" r:id="rId13"/>
    <sheet name="TEST" sheetId="17" r:id="rId14"/>
  </sheets>
  <externalReferences>
    <externalReference r:id="rId15"/>
    <externalReference r:id="rId16"/>
  </externalReferences>
  <definedNames>
    <definedName name="_xlnm._FilterDatabase" localSheetId="2" hidden="1">MAIN!$B$5:$E$21</definedName>
    <definedName name="ALP_GP" localSheetId="1">[1]MAIN!$I$7</definedName>
    <definedName name="ALP_GP" localSheetId="13">TEST!$I$7</definedName>
    <definedName name="ALP_GP">MAIN!$I$9</definedName>
    <definedName name="ALP_GPB" localSheetId="1">[1]유해지!$C$20</definedName>
    <definedName name="ALP_GPB" localSheetId="6">'무해지 (기준P)'!$C$20</definedName>
    <definedName name="ALP_GPB" localSheetId="3">유해지!$C$20</definedName>
    <definedName name="ALP_GPB" localSheetId="4">'유해지 (기준P)'!$C$20</definedName>
    <definedName name="ALP_GPB">무해지!$C$20</definedName>
    <definedName name="ALP_PP" localSheetId="1">[1]MAIN!$I$9</definedName>
    <definedName name="ALP_PP" localSheetId="13">TEST!$I$9</definedName>
    <definedName name="ALP_PP">MAIN!$I$11</definedName>
    <definedName name="ALP_PPB" localSheetId="6">'무해지 (기준P)'!$C$21</definedName>
    <definedName name="ALP_PPB" localSheetId="3">유해지!$C$21</definedName>
    <definedName name="ALP_PPB" localSheetId="4">'유해지 (기준P)'!$C$21</definedName>
    <definedName name="ALP_PPB">무해지!$C$21</definedName>
    <definedName name="ALP_S" localSheetId="1">[1]MAIN!$I$8</definedName>
    <definedName name="ALP_S">MAIN!$I$10</definedName>
    <definedName name="ALP_SB" localSheetId="6">'무해지 (기준P)'!$C$22</definedName>
    <definedName name="ALP_SB" localSheetId="3">유해지!$C$22</definedName>
    <definedName name="ALP_SB" localSheetId="4">'유해지 (기준P)'!$C$22</definedName>
    <definedName name="ALP_SB">무해지!$C$22</definedName>
    <definedName name="BETA_GP">MAIN!$I$12</definedName>
    <definedName name="BETA_GPB" localSheetId="6">'무해지 (기준P)'!$C$24</definedName>
    <definedName name="BETA_GPB" localSheetId="3">유해지!$C$24</definedName>
    <definedName name="BETA_GPB" localSheetId="4">'유해지 (기준P)'!$C$24</definedName>
    <definedName name="BETA_GPB">무해지!$C$24</definedName>
    <definedName name="BETA_S" localSheetId="13">TEST!$I$11</definedName>
    <definedName name="BETA_S">MAIN!$I$13</definedName>
    <definedName name="BETA_SB" localSheetId="6">'무해지 (기준P)'!$C$25</definedName>
    <definedName name="BETA_SB" localSheetId="3">유해지!$C$25</definedName>
    <definedName name="BETA_SB" localSheetId="4">'유해지 (기준P)'!$C$25</definedName>
    <definedName name="BETA_SB">무해지!$C$25</definedName>
    <definedName name="BETAD_S" localSheetId="13">TEST!$I$12</definedName>
    <definedName name="BETAD_S">MAIN!$I$14</definedName>
    <definedName name="BETAD_SB" localSheetId="6">'무해지 (기준P)'!$C$26</definedName>
    <definedName name="BETAD_SB" localSheetId="3">유해지!$C$26</definedName>
    <definedName name="BETAD_SB" localSheetId="4">'유해지 (기준P)'!$C$26</definedName>
    <definedName name="BETAD_SB">무해지!$C$26</definedName>
    <definedName name="BT50J" localSheetId="1">[1]MAIN!$E$35</definedName>
    <definedName name="BT50J">MAIN!$E$37</definedName>
    <definedName name="BTa" localSheetId="1">[1]MAIN!$F$35</definedName>
    <definedName name="BTa">MAIN!$F$37</definedName>
    <definedName name="BTb" localSheetId="1">[1]MAIN!$G$35</definedName>
    <definedName name="BTb">MAIN!$G$37</definedName>
    <definedName name="BTc" localSheetId="1">[1]MAIN!$H$35</definedName>
    <definedName name="BTc">MAIN!$H$37</definedName>
    <definedName name="BTd" localSheetId="1">[1]MAIN!$I$35</definedName>
    <definedName name="BTd">MAIN!$I$37</definedName>
    <definedName name="BTe" localSheetId="1">[1]MAIN!$J$35</definedName>
    <definedName name="BTe">MAIN!$J$37</definedName>
    <definedName name="BTf" localSheetId="1">[2]MAIN!$I$49</definedName>
    <definedName name="BTf">MAIN!$K$37</definedName>
    <definedName name="BTg" localSheetId="1">[1]MAIN!$L$35</definedName>
    <definedName name="BTg">MAIN!$L$37</definedName>
    <definedName name="BTh" localSheetId="1">[1]MAIN!$M$35</definedName>
    <definedName name="BTh">MAIN!$M$37</definedName>
    <definedName name="BTi" localSheetId="1">[1]MAIN!$N$35</definedName>
    <definedName name="BTi">MAIN!$N$37</definedName>
    <definedName name="BTj" localSheetId="1">[1]MAIN!$O$35</definedName>
    <definedName name="BTj">MAIN!$O$37</definedName>
    <definedName name="BTk" localSheetId="1">[1]MAIN!$P$35</definedName>
    <definedName name="BTk">MAIN!$P$37</definedName>
    <definedName name="BTl" localSheetId="1">[1]MAIN!$Q$35</definedName>
    <definedName name="BTl">MAIN!$Q$37</definedName>
    <definedName name="BTSM">MAIN!$D$37</definedName>
    <definedName name="cost_location">MAIN!$C$21</definedName>
    <definedName name="firstOX">MAIN!$E$5</definedName>
    <definedName name="GAM" localSheetId="1">[2]MAIN!$I$13</definedName>
    <definedName name="GAM" localSheetId="13">TEST!$I$13</definedName>
    <definedName name="GAM">MAIN!$I$15</definedName>
    <definedName name="GAMB" localSheetId="6">'무해지 (기준P)'!$C$27</definedName>
    <definedName name="GAMB" localSheetId="3">유해지!$C$27</definedName>
    <definedName name="GAMB" localSheetId="4">'유해지 (기준P)'!$C$27</definedName>
    <definedName name="GAMB">무해지!$C$27</definedName>
    <definedName name="gen">위험률!$D$7</definedName>
    <definedName name="GPB" localSheetId="1">[1]유해지!$H$28</definedName>
    <definedName name="GPB" localSheetId="6">'무해지 (기준P)'!$H$29</definedName>
    <definedName name="GPB" localSheetId="3">유해지!$H$29</definedName>
    <definedName name="GPB" localSheetId="4">'유해지 (기준P)'!$H$29</definedName>
    <definedName name="GPB">무해지!$H$29</definedName>
    <definedName name="i" localSheetId="1">[1]MAIN!$C$14</definedName>
    <definedName name="i" localSheetId="13">TEST!$C$13</definedName>
    <definedName name="i">MAIN!$C$16</definedName>
    <definedName name="iB" localSheetId="5">무해지!$C$14</definedName>
    <definedName name="iB" localSheetId="6">'무해지 (기준P)'!$C$14</definedName>
    <definedName name="iB" localSheetId="3">유해지!$C$14</definedName>
    <definedName name="iB" localSheetId="4">'유해지 (기준P)'!$C$14</definedName>
    <definedName name="iD">정기보험!$C$13</definedName>
    <definedName name="JR" localSheetId="13">TEST!$C$6</definedName>
    <definedName name="JR">MAIN!$C$8</definedName>
    <definedName name="JRB" localSheetId="5">무해지!$C$6</definedName>
    <definedName name="JRB" localSheetId="6">'무해지 (기준P)'!$C$6</definedName>
    <definedName name="JRB" localSheetId="3">유해지!$C$6</definedName>
    <definedName name="JRB" localSheetId="4">'유해지 (기준P)'!$C$6</definedName>
    <definedName name="JRD">정기보험!$C$6</definedName>
    <definedName name="m" localSheetId="1">[1]MAIN!$C$12</definedName>
    <definedName name="m" localSheetId="13">TEST!$C$11</definedName>
    <definedName name="m">MAIN!$C$14</definedName>
    <definedName name="mB" localSheetId="2">무해지!$C$12</definedName>
    <definedName name="mB" localSheetId="5">무해지!$C$12</definedName>
    <definedName name="mB" localSheetId="6">'무해지 (기준P)'!$C$12</definedName>
    <definedName name="mB" localSheetId="3">유해지!$C$12</definedName>
    <definedName name="mB" localSheetId="4">'유해지 (기준P)'!$C$12</definedName>
    <definedName name="MC50J" localSheetId="13">TEST!$E$31</definedName>
    <definedName name="MC50J">MAIN!$E$38</definedName>
    <definedName name="MCa">MAIN!$F$38</definedName>
    <definedName name="MCb">MAIN!$G$38</definedName>
    <definedName name="MCc">MAIN!$H$38</definedName>
    <definedName name="MCd">MAIN!$I$38</definedName>
    <definedName name="MCe">MAIN!$J$38</definedName>
    <definedName name="MCf">MAIN!$K$38</definedName>
    <definedName name="MCg">MAIN!$L$38</definedName>
    <definedName name="MCh">MAIN!$M$38</definedName>
    <definedName name="MCi">MAIN!$N$38</definedName>
    <definedName name="MCj">MAIN!$O$38</definedName>
    <definedName name="MCk">MAIN!$P$38</definedName>
    <definedName name="MCl">MAIN!$Q$38</definedName>
    <definedName name="mD" localSheetId="1">[1]정기보험!$C$11</definedName>
    <definedName name="mD">정기보험!$C$11</definedName>
    <definedName name="mm" localSheetId="1">[1]MAIN!$C$13</definedName>
    <definedName name="mm" localSheetId="13">TEST!$C$12</definedName>
    <definedName name="mm">MAIN!$C$15</definedName>
    <definedName name="mmB" localSheetId="5">무해지!$C$13</definedName>
    <definedName name="mmB" localSheetId="6">'무해지 (기준P)'!$C$13</definedName>
    <definedName name="mmB" localSheetId="3">유해지!$C$13</definedName>
    <definedName name="mmB" localSheetId="4">'유해지 (기준P)'!$C$13</definedName>
    <definedName name="mmD" localSheetId="1">[1]정기보험!$C$12</definedName>
    <definedName name="mmD">정기보험!$C$12</definedName>
    <definedName name="n" localSheetId="13">TEST!$C$10</definedName>
    <definedName name="n">MAIN!$C$13</definedName>
    <definedName name="nB" localSheetId="5">무해지!$C$11</definedName>
    <definedName name="nB" localSheetId="6">'무해지 (기준P)'!$C$11</definedName>
    <definedName name="nB" localSheetId="3">유해지!$C$11</definedName>
    <definedName name="nB" localSheetId="4">'유해지 (기준P)'!$C$11</definedName>
    <definedName name="nD" localSheetId="1">[1]정기보험!$C$10</definedName>
    <definedName name="nD">정기보험!$C$10</definedName>
    <definedName name="NGPB" localSheetId="6">'무해지 (기준P)'!$K$29</definedName>
    <definedName name="NGPB" localSheetId="3">유해지!$K$29</definedName>
    <definedName name="NGPB" localSheetId="4">'유해지 (기준P)'!$K$29</definedName>
    <definedName name="NGPB">무해지!$K$29</definedName>
    <definedName name="NPBB" localSheetId="6">'무해지 (기준P)'!$K$25</definedName>
    <definedName name="NPBB" localSheetId="3">유해지!$K$25</definedName>
    <definedName name="NPBB" localSheetId="4">'유해지 (기준P)'!$K$25</definedName>
    <definedName name="NPBB">무해지!$K$25</definedName>
    <definedName name="NPPB" localSheetId="6">'무해지 (기준P)'!$K$24</definedName>
    <definedName name="NPPB" localSheetId="3">유해지!$K$24</definedName>
    <definedName name="NPPB" localSheetId="4">'유해지 (기준P)'!$K$24</definedName>
    <definedName name="NPPB">무해지!$K$24</definedName>
    <definedName name="NPPB_STD" localSheetId="6">'무해지 (기준P)'!$K$24</definedName>
    <definedName name="NPPB_STD" localSheetId="3">유해지!$L$24</definedName>
    <definedName name="NPPB_STD" localSheetId="4">'유해지 (기준P)'!$L$24</definedName>
    <definedName name="NPPB_STD">무해지!$L$24</definedName>
    <definedName name="NPPD">정기보험!$J$23</definedName>
    <definedName name="NPPD_STD">정기보험!$K$23</definedName>
    <definedName name="NT50J" localSheetId="1">[1]MAIN!$E$34</definedName>
    <definedName name="NT50J">MAIN!$E$36</definedName>
    <definedName name="NTa" localSheetId="1">[2]MAIN!$H$44</definedName>
    <definedName name="NTa">MAIN!$F$36</definedName>
    <definedName name="NTb" localSheetId="1">[2]MAIN!$H$45</definedName>
    <definedName name="NTb">MAIN!$G$36</definedName>
    <definedName name="NTc" localSheetId="1">[1]MAIN!$H$34</definedName>
    <definedName name="NTc">MAIN!$H$36</definedName>
    <definedName name="NTd" localSheetId="1">[1]MAIN!$I$34</definedName>
    <definedName name="NTd">MAIN!$I$36</definedName>
    <definedName name="NTe" localSheetId="1">[1]MAIN!$J$34</definedName>
    <definedName name="NTe">MAIN!$J$36</definedName>
    <definedName name="NTf" localSheetId="1">[1]MAIN!$K$34</definedName>
    <definedName name="NTf">MAIN!$K$36</definedName>
    <definedName name="NTg" localSheetId="1">[1]MAIN!$L$34</definedName>
    <definedName name="NTg">MAIN!$L$36</definedName>
    <definedName name="NTh" localSheetId="1">[1]MAIN!$M$34</definedName>
    <definedName name="NTh">MAIN!$M$36</definedName>
    <definedName name="NTi" localSheetId="1">[1]MAIN!$N$34</definedName>
    <definedName name="NTi">MAIN!$N$36</definedName>
    <definedName name="NTj" localSheetId="1">[1]MAIN!$O$34</definedName>
    <definedName name="NTj">MAIN!$O$36</definedName>
    <definedName name="NTk" localSheetId="1">[1]MAIN!$P$34</definedName>
    <definedName name="NTk">MAIN!$P$36</definedName>
    <definedName name="NTl" localSheetId="1">[1]MAIN!$Q$34</definedName>
    <definedName name="NTl">MAIN!$Q$36</definedName>
    <definedName name="NTSM" localSheetId="1">[1]MAIN!$D$34</definedName>
    <definedName name="NTSM">MAIN!$D$36</definedName>
    <definedName name="QQ50J" localSheetId="1">[1]MAIN!$E$31</definedName>
    <definedName name="QQ50J">MAIN!$E$33</definedName>
    <definedName name="QQa" localSheetId="1">[1]MAIN!$F$31</definedName>
    <definedName name="QQa">MAIN!$F$33</definedName>
    <definedName name="QQb" localSheetId="1">[1]MAIN!$G$31</definedName>
    <definedName name="QQb">MAIN!$G$33</definedName>
    <definedName name="QQc" localSheetId="1">[1]MAIN!$H$31</definedName>
    <definedName name="QQc">MAIN!$H$33</definedName>
    <definedName name="QQd" localSheetId="1">[1]MAIN!$I$31</definedName>
    <definedName name="QQd">MAIN!$I$33</definedName>
    <definedName name="QQe" localSheetId="1">[1]MAIN!$J$31</definedName>
    <definedName name="QQe">MAIN!$J$33</definedName>
    <definedName name="QQf" localSheetId="1">[1]MAIN!$K$31</definedName>
    <definedName name="QQf">MAIN!$K$33</definedName>
    <definedName name="QQg" localSheetId="1">[1]MAIN!$L$31</definedName>
    <definedName name="QQg">MAIN!$L$33</definedName>
    <definedName name="QQh" localSheetId="1">[1]MAIN!$M$31</definedName>
    <definedName name="QQh">MAIN!$M$33</definedName>
    <definedName name="QQi" localSheetId="1">[1]MAIN!$N$31</definedName>
    <definedName name="QQi">MAIN!$N$33</definedName>
    <definedName name="QQj" localSheetId="1">[1]MAIN!$O$31</definedName>
    <definedName name="QQj">MAIN!$O$33</definedName>
    <definedName name="QQk" localSheetId="1">[1]MAIN!$P$31</definedName>
    <definedName name="QQk">MAIN!$P$33</definedName>
    <definedName name="QQl" localSheetId="1">[1]MAIN!$Q$31</definedName>
    <definedName name="QQl">MAIN!$Q$33</definedName>
    <definedName name="QQSM" localSheetId="1">[1]MAIN!$D$31</definedName>
    <definedName name="QQSM">MAIN!$D$33</definedName>
    <definedName name="qx_table" localSheetId="1">[2]위험률!$B$6:$AP$119</definedName>
    <definedName name="qx_table">위험률!$B$7:$EF$119</definedName>
    <definedName name="qx_title">위험률!$C$6:$EF$6</definedName>
    <definedName name="round" localSheetId="1">[2]MAIN!$C$16</definedName>
    <definedName name="round" localSheetId="13">TEST!$C$16</definedName>
    <definedName name="round">MAIN!$C$19</definedName>
    <definedName name="roundB" localSheetId="2">무해지!$C$17</definedName>
    <definedName name="roundB" localSheetId="5">무해지!$C$17</definedName>
    <definedName name="roundB" localSheetId="6">'무해지 (기준P)'!$C$17</definedName>
    <definedName name="roundB" localSheetId="3">유해지!$C$17</definedName>
    <definedName name="roundB" localSheetId="4">'유해지 (기준P)'!$C$17</definedName>
    <definedName name="S" localSheetId="1">[1]MAIN!$C$16</definedName>
    <definedName name="S" localSheetId="13">TEST!$C$15</definedName>
    <definedName name="S">MAIN!$C$18</definedName>
    <definedName name="SB" localSheetId="5">무해지!$C$16</definedName>
    <definedName name="SB" localSheetId="6">'무해지 (기준P)'!$C$16</definedName>
    <definedName name="SB" localSheetId="3">유해지!$C$16</definedName>
    <definedName name="SB" localSheetId="4">'유해지 (기준P)'!$C$16</definedName>
    <definedName name="SD">정기보험!$C$15</definedName>
    <definedName name="sex" localSheetId="1">[1]MAIN!$C$8</definedName>
    <definedName name="sex" localSheetId="13">TEST!$C$8</definedName>
    <definedName name="sex">MAIN!$C$10</definedName>
    <definedName name="sexB" localSheetId="5">무해지!$C$8</definedName>
    <definedName name="sexB" localSheetId="6">'무해지 (기준P)'!$C$8</definedName>
    <definedName name="sexB" localSheetId="3">유해지!$C$8</definedName>
    <definedName name="sexB" localSheetId="4">'유해지 (기준P)'!$C$8</definedName>
    <definedName name="sexD" localSheetId="1">[1]정기보험!$C$8</definedName>
    <definedName name="sexD">정기보험!$C$8</definedName>
    <definedName name="SS50J" localSheetId="1">[1]MAIN!$E$32</definedName>
    <definedName name="SS50J">MAIN!$E$34</definedName>
    <definedName name="SSa" localSheetId="1">[1]MAIN!$F$32</definedName>
    <definedName name="SSa">MAIN!$F$34</definedName>
    <definedName name="SSb" localSheetId="1">[1]MAIN!$G$32</definedName>
    <definedName name="SSb">MAIN!$G$34</definedName>
    <definedName name="SSc" localSheetId="1">[1]MAIN!$H$32</definedName>
    <definedName name="SSc">MAIN!$H$34</definedName>
    <definedName name="SSd" localSheetId="1">[1]MAIN!$I$32</definedName>
    <definedName name="SSd">MAIN!$I$34</definedName>
    <definedName name="SSe" localSheetId="1">[1]MAIN!$J$32</definedName>
    <definedName name="SSe">MAIN!$J$34</definedName>
    <definedName name="SSf" localSheetId="1">[1]MAIN!$K$32</definedName>
    <definedName name="SSf">MAIN!$K$34</definedName>
    <definedName name="SSg" localSheetId="1">[1]MAIN!$L$32</definedName>
    <definedName name="SSg">MAIN!$L$34</definedName>
    <definedName name="SSh" localSheetId="1">[1]MAIN!$M$32</definedName>
    <definedName name="SSh">MAIN!$M$34</definedName>
    <definedName name="SSi" localSheetId="1">[1]MAIN!$N$32</definedName>
    <definedName name="SSi">MAIN!$N$34</definedName>
    <definedName name="SSj" localSheetId="1">[1]MAIN!$O$32</definedName>
    <definedName name="SSj">MAIN!$O$34</definedName>
    <definedName name="SSk" localSheetId="1">[1]MAIN!$P$32</definedName>
    <definedName name="SSk">MAIN!$P$34</definedName>
    <definedName name="SSl" localSheetId="1">[1]MAIN!$Q$32</definedName>
    <definedName name="SSl">MAIN!$Q$34</definedName>
    <definedName name="SSSM" localSheetId="1">[1]MAIN!$D$32</definedName>
    <definedName name="SSSM">MAIN!$D$34</definedName>
    <definedName name="type111">MAIN!$C$6</definedName>
    <definedName name="v" localSheetId="13">TEST!$C$14</definedName>
    <definedName name="v">MAIN!$C$17</definedName>
    <definedName name="vD">정기보험!$C$14</definedName>
    <definedName name="x" localSheetId="1">[1]MAIN!$C$9</definedName>
    <definedName name="x" localSheetId="13">TEST!$C$9</definedName>
    <definedName name="x">MAIN!$C$11</definedName>
    <definedName name="xB" localSheetId="5">무해지!$C$9</definedName>
    <definedName name="xB" localSheetId="6">'무해지 (기준P)'!$C$9</definedName>
    <definedName name="xB" localSheetId="3">유해지!$C$9</definedName>
    <definedName name="xB" localSheetId="4">'유해지 (기준P)'!$C$9</definedName>
    <definedName name="xD" localSheetId="1">[1]정기보험!$C$9</definedName>
    <definedName name="xD">정기보험!$C$9</definedName>
    <definedName name="YH" localSheetId="1">[1]MAIN!$C$7</definedName>
    <definedName name="YH" localSheetId="13">TEST!$C$7</definedName>
    <definedName name="YH">MAIN!$C$9</definedName>
    <definedName name="YHB" localSheetId="5">무해지!$C$7</definedName>
    <definedName name="YHB" localSheetId="6">'무해지 (기준P)'!$C$7</definedName>
    <definedName name="YHB" localSheetId="3">유해지!$C$7</definedName>
    <definedName name="YHB" localSheetId="4">'유해지 (기준P)'!$C$7</definedName>
    <definedName name="YHD">정기보험!$C$7</definedName>
    <definedName name="YT50J" localSheetId="1">[1]MAIN!$E$33</definedName>
    <definedName name="YT50J">MAIN!$E$35</definedName>
    <definedName name="YTa" localSheetId="1">[1]MAIN!$F$33</definedName>
    <definedName name="YTa">MAIN!$F$35</definedName>
    <definedName name="YTb" localSheetId="1">[1]MAIN!$G$33</definedName>
    <definedName name="YTb">MAIN!$G$35</definedName>
    <definedName name="YTc" localSheetId="1">[1]MAIN!$H$33</definedName>
    <definedName name="YTc">MAIN!$H$35</definedName>
    <definedName name="YTd" localSheetId="1">[1]MAIN!$I$33</definedName>
    <definedName name="YTd">MAIN!$I$35</definedName>
    <definedName name="YTe" localSheetId="1">[1]MAIN!$J$33</definedName>
    <definedName name="YTe">MAIN!$J$35</definedName>
    <definedName name="YTf" localSheetId="1">[1]MAIN!$K$33</definedName>
    <definedName name="YTf">MAIN!$K$35</definedName>
    <definedName name="YTg" localSheetId="1">[1]MAIN!$L$33</definedName>
    <definedName name="YTg">MAIN!$L$35</definedName>
    <definedName name="YTh" localSheetId="1">[1]MAIN!$M$33</definedName>
    <definedName name="YTh">MAIN!$M$35</definedName>
    <definedName name="YTi" localSheetId="1">[1]MAIN!$N$33</definedName>
    <definedName name="YTi">MAIN!$N$35</definedName>
    <definedName name="YTj" localSheetId="1">[1]MAIN!$O$33</definedName>
    <definedName name="YTj">MAIN!$O$35</definedName>
    <definedName name="YTk" localSheetId="1">[1]MAIN!$P$33</definedName>
    <definedName name="YTk">MAIN!$P$35</definedName>
    <definedName name="YTl" localSheetId="1">[1]MAIN!$Q$33</definedName>
    <definedName name="YTl">MAIN!$Q$35</definedName>
    <definedName name="YTSM" localSheetId="1">[1]MAIN!$D$33</definedName>
    <definedName name="YTSM">MAIN!$D$35</definedName>
    <definedName name="기수표B" localSheetId="5">무해지!$S$11:$DA$124</definedName>
    <definedName name="기수표B" localSheetId="6">'무해지 (기준P)'!$S$11:$DA$124</definedName>
    <definedName name="기수표B" localSheetId="3">유해지!$S$11:$CS$124</definedName>
    <definedName name="기수표B" localSheetId="4">'유해지 (기준P)'!$S$11:$CU$124</definedName>
    <definedName name="기수표D" localSheetId="1">[1]정기보험!$S$6:$AD$119</definedName>
    <definedName name="기수표D">정기보험!$S$6:$AD$119</definedName>
    <definedName name="해지율">해지율!#REF!</definedName>
    <definedName name="해지율_납기전">해지율!$B$4:$C$117</definedName>
    <definedName name="해지율_납기후">해지율!$E$4:$F$117</definedName>
    <definedName name="해지율TABLE" localSheetId="1">[1]해지율!$G$3:$AE$35</definedName>
    <definedName name="해지율TABLE">해지율!#REF!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34" i="23" l="1"/>
  <c r="AF134" i="23"/>
  <c r="M134" i="23"/>
  <c r="M132" i="23"/>
  <c r="DN119" i="5"/>
  <c r="DM119" i="5"/>
  <c r="DN118" i="5"/>
  <c r="DM118" i="5"/>
  <c r="DN117" i="5"/>
  <c r="DM117" i="5"/>
  <c r="DN116" i="5"/>
  <c r="DM116" i="5"/>
  <c r="DN115" i="5"/>
  <c r="DM115" i="5"/>
  <c r="DN114" i="5"/>
  <c r="DM114" i="5"/>
  <c r="DN113" i="5"/>
  <c r="DM113" i="5"/>
  <c r="DN112" i="5"/>
  <c r="DM112" i="5"/>
  <c r="DN111" i="5"/>
  <c r="DM111" i="5"/>
  <c r="DN110" i="5"/>
  <c r="DM110" i="5"/>
  <c r="DN109" i="5"/>
  <c r="DM109" i="5"/>
  <c r="DN108" i="5"/>
  <c r="DM108" i="5"/>
  <c r="DN107" i="5"/>
  <c r="DM107" i="5"/>
  <c r="DN106" i="5"/>
  <c r="DM106" i="5"/>
  <c r="DN105" i="5"/>
  <c r="DM105" i="5"/>
  <c r="DN104" i="5"/>
  <c r="DM104" i="5"/>
  <c r="DN103" i="5"/>
  <c r="DM103" i="5"/>
  <c r="DN102" i="5"/>
  <c r="DM102" i="5"/>
  <c r="DN101" i="5"/>
  <c r="DM101" i="5"/>
  <c r="DN100" i="5"/>
  <c r="DM100" i="5"/>
  <c r="DN99" i="5"/>
  <c r="DM99" i="5"/>
  <c r="DN98" i="5"/>
  <c r="DM98" i="5"/>
  <c r="DN97" i="5"/>
  <c r="DM97" i="5"/>
  <c r="DN96" i="5"/>
  <c r="DM96" i="5"/>
  <c r="DN95" i="5"/>
  <c r="DM95" i="5"/>
  <c r="DN94" i="5"/>
  <c r="DM94" i="5"/>
  <c r="DN93" i="5"/>
  <c r="DM93" i="5"/>
  <c r="DN92" i="5"/>
  <c r="DM92" i="5"/>
  <c r="DN91" i="5"/>
  <c r="DM91" i="5"/>
  <c r="DN90" i="5"/>
  <c r="DM90" i="5"/>
  <c r="DN89" i="5"/>
  <c r="DM89" i="5"/>
  <c r="DN88" i="5"/>
  <c r="DM88" i="5"/>
  <c r="DN87" i="5"/>
  <c r="DM87" i="5"/>
  <c r="DN86" i="5"/>
  <c r="DM86" i="5"/>
  <c r="DN85" i="5"/>
  <c r="DM85" i="5"/>
  <c r="DN84" i="5"/>
  <c r="DM84" i="5"/>
  <c r="DN83" i="5"/>
  <c r="DM83" i="5"/>
  <c r="DN82" i="5"/>
  <c r="DM82" i="5"/>
  <c r="DN81" i="5"/>
  <c r="DM81" i="5"/>
  <c r="DN80" i="5"/>
  <c r="DM80" i="5"/>
  <c r="DN79" i="5"/>
  <c r="DM79" i="5"/>
  <c r="DN78" i="5"/>
  <c r="DM78" i="5"/>
  <c r="DN77" i="5"/>
  <c r="DM77" i="5"/>
  <c r="DN76" i="5"/>
  <c r="DM76" i="5"/>
  <c r="DN75" i="5"/>
  <c r="DM75" i="5"/>
  <c r="DN74" i="5"/>
  <c r="DM74" i="5"/>
  <c r="DN73" i="5"/>
  <c r="DM73" i="5"/>
  <c r="DN72" i="5"/>
  <c r="DM72" i="5"/>
  <c r="DN71" i="5"/>
  <c r="DM71" i="5"/>
  <c r="DN70" i="5"/>
  <c r="DM70" i="5"/>
  <c r="DN69" i="5"/>
  <c r="DM69" i="5"/>
  <c r="DN68" i="5"/>
  <c r="DM68" i="5"/>
  <c r="DN67" i="5"/>
  <c r="DM67" i="5"/>
  <c r="DN66" i="5"/>
  <c r="DM66" i="5"/>
  <c r="DN65" i="5"/>
  <c r="DM65" i="5"/>
  <c r="DN64" i="5"/>
  <c r="DM64" i="5"/>
  <c r="DN63" i="5"/>
  <c r="DM63" i="5"/>
  <c r="DN62" i="5"/>
  <c r="DM62" i="5"/>
  <c r="DN61" i="5"/>
  <c r="DM61" i="5"/>
  <c r="DN60" i="5"/>
  <c r="DM60" i="5"/>
  <c r="DN59" i="5"/>
  <c r="DM59" i="5"/>
  <c r="DN58" i="5"/>
  <c r="DM58" i="5"/>
  <c r="DN57" i="5"/>
  <c r="DM57" i="5"/>
  <c r="DN56" i="5"/>
  <c r="DM56" i="5"/>
  <c r="DN55" i="5"/>
  <c r="DM55" i="5"/>
  <c r="DN54" i="5"/>
  <c r="DM54" i="5"/>
  <c r="DN53" i="5"/>
  <c r="DM53" i="5"/>
  <c r="DN52" i="5"/>
  <c r="DM52" i="5"/>
  <c r="DN51" i="5"/>
  <c r="DM51" i="5"/>
  <c r="DN50" i="5"/>
  <c r="DM50" i="5"/>
  <c r="DN49" i="5"/>
  <c r="DM49" i="5"/>
  <c r="DN48" i="5"/>
  <c r="DM48" i="5"/>
  <c r="DN47" i="5"/>
  <c r="DM47" i="5"/>
  <c r="DN46" i="5"/>
  <c r="DM46" i="5"/>
  <c r="DN45" i="5"/>
  <c r="DM45" i="5"/>
  <c r="DN44" i="5"/>
  <c r="DM44" i="5"/>
  <c r="DN43" i="5"/>
  <c r="DM43" i="5"/>
  <c r="DN42" i="5"/>
  <c r="DM42" i="5"/>
  <c r="DN41" i="5"/>
  <c r="DM41" i="5"/>
  <c r="DN40" i="5"/>
  <c r="DM40" i="5"/>
  <c r="DN39" i="5"/>
  <c r="DM39" i="5"/>
  <c r="DN38" i="5"/>
  <c r="DM38" i="5"/>
  <c r="DN37" i="5"/>
  <c r="DM37" i="5"/>
  <c r="DN36" i="5"/>
  <c r="DM36" i="5"/>
  <c r="DN35" i="5"/>
  <c r="DM35" i="5"/>
  <c r="DN34" i="5"/>
  <c r="DM34" i="5"/>
  <c r="DN33" i="5"/>
  <c r="DM33" i="5"/>
  <c r="DN32" i="5"/>
  <c r="DM32" i="5"/>
  <c r="DN31" i="5"/>
  <c r="DM31" i="5"/>
  <c r="DN30" i="5"/>
  <c r="DM30" i="5"/>
  <c r="DN29" i="5"/>
  <c r="DM29" i="5"/>
  <c r="DN28" i="5"/>
  <c r="DM28" i="5"/>
  <c r="DN27" i="5"/>
  <c r="DM27" i="5"/>
  <c r="DN26" i="5"/>
  <c r="DM26" i="5"/>
  <c r="DN25" i="5"/>
  <c r="DM25" i="5"/>
  <c r="DN24" i="5"/>
  <c r="DM24" i="5"/>
  <c r="DN23" i="5"/>
  <c r="DM23" i="5"/>
  <c r="DN22" i="5"/>
  <c r="DM22" i="5"/>
  <c r="DN21" i="5"/>
  <c r="DM21" i="5"/>
  <c r="DN20" i="5"/>
  <c r="DM20" i="5"/>
  <c r="DN19" i="5"/>
  <c r="DM19" i="5"/>
  <c r="DN18" i="5"/>
  <c r="DM18" i="5"/>
  <c r="DN17" i="5"/>
  <c r="DM17" i="5"/>
  <c r="DN16" i="5"/>
  <c r="DM16" i="5"/>
  <c r="DN15" i="5"/>
  <c r="DM15" i="5"/>
  <c r="DN14" i="5"/>
  <c r="DM14" i="5"/>
  <c r="DN13" i="5"/>
  <c r="DM13" i="5"/>
  <c r="DN12" i="5"/>
  <c r="DM12" i="5"/>
  <c r="DN11" i="5"/>
  <c r="DM11" i="5"/>
  <c r="DN10" i="5"/>
  <c r="DM10" i="5"/>
  <c r="DN9" i="5"/>
  <c r="DM9" i="5"/>
  <c r="DN8" i="5"/>
  <c r="DM8" i="5"/>
  <c r="DN7" i="5"/>
  <c r="DM7" i="5"/>
  <c r="DG117" i="5"/>
  <c r="DG113" i="5"/>
  <c r="DG109" i="5"/>
  <c r="DG105" i="5"/>
  <c r="DG101" i="5"/>
  <c r="DG97" i="5"/>
  <c r="DG93" i="5"/>
  <c r="DG89" i="5"/>
  <c r="DG85" i="5"/>
  <c r="DG81" i="5"/>
  <c r="DG77" i="5"/>
  <c r="DG73" i="5"/>
  <c r="DG69" i="5"/>
  <c r="DG65" i="5"/>
  <c r="DG61" i="5"/>
  <c r="DG57" i="5"/>
  <c r="DG53" i="5"/>
  <c r="DG49" i="5"/>
  <c r="DG45" i="5"/>
  <c r="DG41" i="5"/>
  <c r="DG37" i="5"/>
  <c r="DG33" i="5"/>
  <c r="DG29" i="5"/>
  <c r="DG25" i="5"/>
  <c r="DG21" i="5"/>
  <c r="DG17" i="5"/>
  <c r="DG13" i="5"/>
  <c r="DG9" i="5"/>
  <c r="CZ119" i="5"/>
  <c r="CY119" i="5"/>
  <c r="CZ118" i="5"/>
  <c r="CY118" i="5"/>
  <c r="CZ117" i="5"/>
  <c r="CY117" i="5"/>
  <c r="CZ116" i="5"/>
  <c r="CY116" i="5"/>
  <c r="CZ115" i="5"/>
  <c r="CY115" i="5"/>
  <c r="CZ114" i="5"/>
  <c r="CY114" i="5"/>
  <c r="CZ113" i="5"/>
  <c r="CY113" i="5"/>
  <c r="CZ112" i="5"/>
  <c r="CY112" i="5"/>
  <c r="CZ111" i="5"/>
  <c r="CY111" i="5"/>
  <c r="CZ110" i="5"/>
  <c r="CY110" i="5"/>
  <c r="CZ109" i="5"/>
  <c r="CY109" i="5"/>
  <c r="CZ108" i="5"/>
  <c r="CY108" i="5"/>
  <c r="CZ107" i="5"/>
  <c r="CY107" i="5"/>
  <c r="CZ106" i="5"/>
  <c r="CY106" i="5"/>
  <c r="CZ105" i="5"/>
  <c r="CY105" i="5"/>
  <c r="CZ104" i="5"/>
  <c r="CY104" i="5"/>
  <c r="CZ103" i="5"/>
  <c r="CY103" i="5"/>
  <c r="CZ102" i="5"/>
  <c r="CY102" i="5"/>
  <c r="CZ101" i="5"/>
  <c r="CY101" i="5"/>
  <c r="CZ100" i="5"/>
  <c r="CY100" i="5"/>
  <c r="CZ99" i="5"/>
  <c r="CY99" i="5"/>
  <c r="DC99" i="5" s="1"/>
  <c r="CZ98" i="5"/>
  <c r="CY98" i="5"/>
  <c r="CZ97" i="5"/>
  <c r="CY97" i="5"/>
  <c r="CZ96" i="5"/>
  <c r="CY96" i="5"/>
  <c r="CZ95" i="5"/>
  <c r="CY95" i="5"/>
  <c r="CZ94" i="5"/>
  <c r="CY94" i="5"/>
  <c r="CZ93" i="5"/>
  <c r="CY93" i="5"/>
  <c r="CZ92" i="5"/>
  <c r="CY92" i="5"/>
  <c r="CZ91" i="5"/>
  <c r="CY91" i="5"/>
  <c r="CZ90" i="5"/>
  <c r="CY90" i="5"/>
  <c r="CZ89" i="5"/>
  <c r="CY89" i="5"/>
  <c r="CZ88" i="5"/>
  <c r="CY88" i="5"/>
  <c r="CZ87" i="5"/>
  <c r="CY87" i="5"/>
  <c r="CZ86" i="5"/>
  <c r="CY86" i="5"/>
  <c r="CZ85" i="5"/>
  <c r="CY85" i="5"/>
  <c r="CZ84" i="5"/>
  <c r="CY84" i="5"/>
  <c r="CZ83" i="5"/>
  <c r="CY83" i="5"/>
  <c r="CZ82" i="5"/>
  <c r="CY82" i="5"/>
  <c r="CZ81" i="5"/>
  <c r="CY81" i="5"/>
  <c r="CZ80" i="5"/>
  <c r="CY80" i="5"/>
  <c r="CZ79" i="5"/>
  <c r="CY79" i="5"/>
  <c r="CZ78" i="5"/>
  <c r="CY78" i="5"/>
  <c r="CZ77" i="5"/>
  <c r="CY77" i="5"/>
  <c r="CZ76" i="5"/>
  <c r="CY76" i="5"/>
  <c r="CZ75" i="5"/>
  <c r="CY75" i="5"/>
  <c r="CZ74" i="5"/>
  <c r="CY74" i="5"/>
  <c r="CZ73" i="5"/>
  <c r="CY73" i="5"/>
  <c r="CZ72" i="5"/>
  <c r="CY72" i="5"/>
  <c r="CZ71" i="5"/>
  <c r="CY71" i="5"/>
  <c r="CZ70" i="5"/>
  <c r="CY70" i="5"/>
  <c r="CZ69" i="5"/>
  <c r="CY69" i="5"/>
  <c r="CZ68" i="5"/>
  <c r="CY68" i="5"/>
  <c r="CZ67" i="5"/>
  <c r="CY67" i="5"/>
  <c r="CZ66" i="5"/>
  <c r="CY66" i="5"/>
  <c r="CZ65" i="5"/>
  <c r="CY65" i="5"/>
  <c r="CZ64" i="5"/>
  <c r="CY64" i="5"/>
  <c r="CZ63" i="5"/>
  <c r="CY63" i="5"/>
  <c r="CZ62" i="5"/>
  <c r="CY62" i="5"/>
  <c r="CZ61" i="5"/>
  <c r="CY61" i="5"/>
  <c r="CZ60" i="5"/>
  <c r="CY60" i="5"/>
  <c r="CZ59" i="5"/>
  <c r="CY59" i="5"/>
  <c r="CZ58" i="5"/>
  <c r="CY58" i="5"/>
  <c r="CZ57" i="5"/>
  <c r="CY57" i="5"/>
  <c r="CZ56" i="5"/>
  <c r="CY56" i="5"/>
  <c r="CZ55" i="5"/>
  <c r="CY55" i="5"/>
  <c r="CZ54" i="5"/>
  <c r="CY54" i="5"/>
  <c r="CZ53" i="5"/>
  <c r="CY53" i="5"/>
  <c r="CZ52" i="5"/>
  <c r="CY52" i="5"/>
  <c r="CZ51" i="5"/>
  <c r="CY51" i="5"/>
  <c r="CZ50" i="5"/>
  <c r="CY50" i="5"/>
  <c r="CZ49" i="5"/>
  <c r="CY49" i="5"/>
  <c r="CZ48" i="5"/>
  <c r="CY48" i="5"/>
  <c r="CZ47" i="5"/>
  <c r="CY47" i="5"/>
  <c r="CZ46" i="5"/>
  <c r="CY46" i="5"/>
  <c r="CZ45" i="5"/>
  <c r="CY45" i="5"/>
  <c r="CZ44" i="5"/>
  <c r="CY44" i="5"/>
  <c r="CZ43" i="5"/>
  <c r="CY43" i="5"/>
  <c r="CZ42" i="5"/>
  <c r="CY42" i="5"/>
  <c r="CZ41" i="5"/>
  <c r="CY41" i="5"/>
  <c r="CZ40" i="5"/>
  <c r="CY40" i="5"/>
  <c r="CZ39" i="5"/>
  <c r="CY39" i="5"/>
  <c r="CZ38" i="5"/>
  <c r="CY38" i="5"/>
  <c r="CZ37" i="5"/>
  <c r="CY37" i="5"/>
  <c r="CZ36" i="5"/>
  <c r="CY36" i="5"/>
  <c r="CZ35" i="5"/>
  <c r="CY35" i="5"/>
  <c r="CZ34" i="5"/>
  <c r="CY34" i="5"/>
  <c r="CZ33" i="5"/>
  <c r="CY33" i="5"/>
  <c r="CZ32" i="5"/>
  <c r="CY32" i="5"/>
  <c r="CZ31" i="5"/>
  <c r="CY31" i="5"/>
  <c r="CZ30" i="5"/>
  <c r="CY30" i="5"/>
  <c r="CZ29" i="5"/>
  <c r="CY29" i="5"/>
  <c r="CZ28" i="5"/>
  <c r="CY28" i="5"/>
  <c r="CZ27" i="5"/>
  <c r="CY27" i="5"/>
  <c r="CZ26" i="5"/>
  <c r="CY26" i="5"/>
  <c r="CZ25" i="5"/>
  <c r="CY25" i="5"/>
  <c r="CZ24" i="5"/>
  <c r="CY24" i="5"/>
  <c r="CZ23" i="5"/>
  <c r="CY23" i="5"/>
  <c r="CZ22" i="5"/>
  <c r="CY22" i="5"/>
  <c r="CZ21" i="5"/>
  <c r="CY21" i="5"/>
  <c r="CZ20" i="5"/>
  <c r="CY20" i="5"/>
  <c r="CZ19" i="5"/>
  <c r="CY19" i="5"/>
  <c r="CZ18" i="5"/>
  <c r="CY18" i="5"/>
  <c r="CZ17" i="5"/>
  <c r="CY17" i="5"/>
  <c r="CZ16" i="5"/>
  <c r="CY16" i="5"/>
  <c r="CZ15" i="5"/>
  <c r="CY15" i="5"/>
  <c r="CZ14" i="5"/>
  <c r="CY14" i="5"/>
  <c r="CZ13" i="5"/>
  <c r="CY13" i="5"/>
  <c r="CZ12" i="5"/>
  <c r="CY12" i="5"/>
  <c r="CZ11" i="5"/>
  <c r="CY11" i="5"/>
  <c r="CZ10" i="5"/>
  <c r="CY10" i="5"/>
  <c r="CZ9" i="5"/>
  <c r="CY9" i="5"/>
  <c r="CZ8" i="5"/>
  <c r="CY8" i="5"/>
  <c r="CZ7" i="5"/>
  <c r="CY7" i="5"/>
  <c r="DC113" i="5"/>
  <c r="DD94" i="5"/>
  <c r="DC81" i="5"/>
  <c r="DC67" i="5"/>
  <c r="DC51" i="5"/>
  <c r="DC49" i="5"/>
  <c r="DD37" i="5"/>
  <c r="DC31" i="5"/>
  <c r="DD21" i="5"/>
  <c r="DC19" i="5"/>
  <c r="CV119" i="5"/>
  <c r="DH119" i="5" s="1"/>
  <c r="CU119" i="5"/>
  <c r="CV118" i="5"/>
  <c r="DD118" i="5" s="1"/>
  <c r="CU118" i="5"/>
  <c r="DC118" i="5" s="1"/>
  <c r="CV117" i="5"/>
  <c r="DH117" i="5" s="1"/>
  <c r="CU117" i="5"/>
  <c r="CV116" i="5"/>
  <c r="DH116" i="5" s="1"/>
  <c r="CU116" i="5"/>
  <c r="DG116" i="5" s="1"/>
  <c r="CV115" i="5"/>
  <c r="DD115" i="5" s="1"/>
  <c r="CU115" i="5"/>
  <c r="CV114" i="5"/>
  <c r="DD114" i="5" s="1"/>
  <c r="CU114" i="5"/>
  <c r="DC114" i="5" s="1"/>
  <c r="CV113" i="5"/>
  <c r="DD113" i="5" s="1"/>
  <c r="CU113" i="5"/>
  <c r="CV112" i="5"/>
  <c r="DH112" i="5" s="1"/>
  <c r="CU112" i="5"/>
  <c r="DG112" i="5" s="1"/>
  <c r="CV111" i="5"/>
  <c r="DD111" i="5" s="1"/>
  <c r="CU111" i="5"/>
  <c r="CV110" i="5"/>
  <c r="DD110" i="5" s="1"/>
  <c r="CU110" i="5"/>
  <c r="DC110" i="5" s="1"/>
  <c r="CV109" i="5"/>
  <c r="DD109" i="5" s="1"/>
  <c r="CU109" i="5"/>
  <c r="CV108" i="5"/>
  <c r="DH108" i="5" s="1"/>
  <c r="CU108" i="5"/>
  <c r="DG108" i="5" s="1"/>
  <c r="CV107" i="5"/>
  <c r="DD107" i="5" s="1"/>
  <c r="CU107" i="5"/>
  <c r="CV106" i="5"/>
  <c r="DD106" i="5" s="1"/>
  <c r="CU106" i="5"/>
  <c r="DC106" i="5" s="1"/>
  <c r="CV105" i="5"/>
  <c r="DD105" i="5" s="1"/>
  <c r="CU105" i="5"/>
  <c r="CV104" i="5"/>
  <c r="DH104" i="5" s="1"/>
  <c r="CU104" i="5"/>
  <c r="DG104" i="5" s="1"/>
  <c r="CV103" i="5"/>
  <c r="DD103" i="5" s="1"/>
  <c r="CU103" i="5"/>
  <c r="CV102" i="5"/>
  <c r="DD102" i="5" s="1"/>
  <c r="CU102" i="5"/>
  <c r="DC102" i="5" s="1"/>
  <c r="CV101" i="5"/>
  <c r="DD101" i="5" s="1"/>
  <c r="CU101" i="5"/>
  <c r="CV100" i="5"/>
  <c r="DH100" i="5" s="1"/>
  <c r="CU100" i="5"/>
  <c r="DG100" i="5" s="1"/>
  <c r="CV99" i="5"/>
  <c r="DD99" i="5" s="1"/>
  <c r="CU99" i="5"/>
  <c r="DG99" i="5" s="1"/>
  <c r="CV98" i="5"/>
  <c r="DD98" i="5" s="1"/>
  <c r="CU98" i="5"/>
  <c r="DC98" i="5" s="1"/>
  <c r="CV97" i="5"/>
  <c r="DD97" i="5" s="1"/>
  <c r="CU97" i="5"/>
  <c r="CV96" i="5"/>
  <c r="DH96" i="5" s="1"/>
  <c r="CU96" i="5"/>
  <c r="DG96" i="5" s="1"/>
  <c r="CV95" i="5"/>
  <c r="DD95" i="5" s="1"/>
  <c r="CU95" i="5"/>
  <c r="CV94" i="5"/>
  <c r="DH94" i="5" s="1"/>
  <c r="CU94" i="5"/>
  <c r="DC94" i="5" s="1"/>
  <c r="CV93" i="5"/>
  <c r="DD93" i="5" s="1"/>
  <c r="CU93" i="5"/>
  <c r="CV92" i="5"/>
  <c r="DH92" i="5" s="1"/>
  <c r="CU92" i="5"/>
  <c r="DG92" i="5" s="1"/>
  <c r="CV91" i="5"/>
  <c r="DD91" i="5" s="1"/>
  <c r="CU91" i="5"/>
  <c r="CV90" i="5"/>
  <c r="DD90" i="5" s="1"/>
  <c r="CU90" i="5"/>
  <c r="DC90" i="5" s="1"/>
  <c r="CV89" i="5"/>
  <c r="DD89" i="5" s="1"/>
  <c r="CU89" i="5"/>
  <c r="CV88" i="5"/>
  <c r="DH88" i="5" s="1"/>
  <c r="CU88" i="5"/>
  <c r="DG88" i="5" s="1"/>
  <c r="CV87" i="5"/>
  <c r="DD87" i="5" s="1"/>
  <c r="CU87" i="5"/>
  <c r="CV86" i="5"/>
  <c r="DD86" i="5" s="1"/>
  <c r="CU86" i="5"/>
  <c r="DC86" i="5" s="1"/>
  <c r="CV85" i="5"/>
  <c r="DD85" i="5" s="1"/>
  <c r="CU85" i="5"/>
  <c r="CV84" i="5"/>
  <c r="DH84" i="5" s="1"/>
  <c r="CU84" i="5"/>
  <c r="DG84" i="5" s="1"/>
  <c r="CV83" i="5"/>
  <c r="DD83" i="5" s="1"/>
  <c r="CU83" i="5"/>
  <c r="CV82" i="5"/>
  <c r="DD82" i="5" s="1"/>
  <c r="CU82" i="5"/>
  <c r="DC82" i="5" s="1"/>
  <c r="CV81" i="5"/>
  <c r="DD81" i="5" s="1"/>
  <c r="CU81" i="5"/>
  <c r="CV80" i="5"/>
  <c r="DH80" i="5" s="1"/>
  <c r="CU80" i="5"/>
  <c r="DG80" i="5" s="1"/>
  <c r="CV79" i="5"/>
  <c r="DD79" i="5" s="1"/>
  <c r="CU79" i="5"/>
  <c r="CV78" i="5"/>
  <c r="DD78" i="5" s="1"/>
  <c r="CU78" i="5"/>
  <c r="DC78" i="5" s="1"/>
  <c r="CV77" i="5"/>
  <c r="DD77" i="5" s="1"/>
  <c r="CU77" i="5"/>
  <c r="CV76" i="5"/>
  <c r="DH76" i="5" s="1"/>
  <c r="CU76" i="5"/>
  <c r="DG76" i="5" s="1"/>
  <c r="CV75" i="5"/>
  <c r="DD75" i="5" s="1"/>
  <c r="CU75" i="5"/>
  <c r="CV74" i="5"/>
  <c r="DD74" i="5" s="1"/>
  <c r="CU74" i="5"/>
  <c r="DC74" i="5" s="1"/>
  <c r="CV73" i="5"/>
  <c r="DD73" i="5" s="1"/>
  <c r="CU73" i="5"/>
  <c r="CV72" i="5"/>
  <c r="DH72" i="5" s="1"/>
  <c r="CU72" i="5"/>
  <c r="DG72" i="5" s="1"/>
  <c r="CV71" i="5"/>
  <c r="DD71" i="5" s="1"/>
  <c r="CU71" i="5"/>
  <c r="CV70" i="5"/>
  <c r="DD70" i="5" s="1"/>
  <c r="CU70" i="5"/>
  <c r="DC70" i="5" s="1"/>
  <c r="CV69" i="5"/>
  <c r="DD69" i="5" s="1"/>
  <c r="CU69" i="5"/>
  <c r="CV68" i="5"/>
  <c r="DD68" i="5" s="1"/>
  <c r="CU68" i="5"/>
  <c r="DG68" i="5" s="1"/>
  <c r="CV67" i="5"/>
  <c r="DD67" i="5" s="1"/>
  <c r="CU67" i="5"/>
  <c r="DG67" i="5" s="1"/>
  <c r="CV66" i="5"/>
  <c r="DD66" i="5" s="1"/>
  <c r="CU66" i="5"/>
  <c r="DC66" i="5" s="1"/>
  <c r="CV65" i="5"/>
  <c r="DD65" i="5" s="1"/>
  <c r="CU65" i="5"/>
  <c r="CV64" i="5"/>
  <c r="DD64" i="5" s="1"/>
  <c r="CU64" i="5"/>
  <c r="DG64" i="5" s="1"/>
  <c r="CV63" i="5"/>
  <c r="DD63" i="5" s="1"/>
  <c r="CU63" i="5"/>
  <c r="DG63" i="5" s="1"/>
  <c r="CV62" i="5"/>
  <c r="DH62" i="5" s="1"/>
  <c r="CU62" i="5"/>
  <c r="DC62" i="5" s="1"/>
  <c r="CV61" i="5"/>
  <c r="DD61" i="5" s="1"/>
  <c r="CU61" i="5"/>
  <c r="CV60" i="5"/>
  <c r="DD60" i="5" s="1"/>
  <c r="CU60" i="5"/>
  <c r="DG60" i="5" s="1"/>
  <c r="CV59" i="5"/>
  <c r="DD59" i="5" s="1"/>
  <c r="CU59" i="5"/>
  <c r="CV58" i="5"/>
  <c r="DD58" i="5" s="1"/>
  <c r="CU58" i="5"/>
  <c r="DG58" i="5" s="1"/>
  <c r="CV57" i="5"/>
  <c r="DD57" i="5" s="1"/>
  <c r="CU57" i="5"/>
  <c r="CV56" i="5"/>
  <c r="DD56" i="5" s="1"/>
  <c r="CU56" i="5"/>
  <c r="DG56" i="5" s="1"/>
  <c r="CV55" i="5"/>
  <c r="DD55" i="5" s="1"/>
  <c r="CU55" i="5"/>
  <c r="CV54" i="5"/>
  <c r="DD54" i="5" s="1"/>
  <c r="CU54" i="5"/>
  <c r="DC54" i="5" s="1"/>
  <c r="CV53" i="5"/>
  <c r="DD53" i="5" s="1"/>
  <c r="CU53" i="5"/>
  <c r="CV52" i="5"/>
  <c r="DD52" i="5" s="1"/>
  <c r="CU52" i="5"/>
  <c r="DG52" i="5" s="1"/>
  <c r="CV51" i="5"/>
  <c r="DD51" i="5" s="1"/>
  <c r="CU51" i="5"/>
  <c r="DG51" i="5" s="1"/>
  <c r="CV50" i="5"/>
  <c r="DD50" i="5" s="1"/>
  <c r="CU50" i="5"/>
  <c r="DC50" i="5" s="1"/>
  <c r="CV49" i="5"/>
  <c r="DH49" i="5" s="1"/>
  <c r="CU49" i="5"/>
  <c r="CV48" i="5"/>
  <c r="DD48" i="5" s="1"/>
  <c r="CU48" i="5"/>
  <c r="DG48" i="5" s="1"/>
  <c r="CV47" i="5"/>
  <c r="DD47" i="5" s="1"/>
  <c r="CU47" i="5"/>
  <c r="CV46" i="5"/>
  <c r="DD46" i="5" s="1"/>
  <c r="CU46" i="5"/>
  <c r="DC46" i="5" s="1"/>
  <c r="CV45" i="5"/>
  <c r="DD45" i="5" s="1"/>
  <c r="CU45" i="5"/>
  <c r="DC45" i="5" s="1"/>
  <c r="CV44" i="5"/>
  <c r="DD44" i="5" s="1"/>
  <c r="CU44" i="5"/>
  <c r="DG44" i="5" s="1"/>
  <c r="CV43" i="5"/>
  <c r="DD43" i="5" s="1"/>
  <c r="CU43" i="5"/>
  <c r="CV42" i="5"/>
  <c r="DD42" i="5" s="1"/>
  <c r="CU42" i="5"/>
  <c r="DG42" i="5" s="1"/>
  <c r="CV41" i="5"/>
  <c r="DD41" i="5" s="1"/>
  <c r="CU41" i="5"/>
  <c r="DC41" i="5" s="1"/>
  <c r="CV40" i="5"/>
  <c r="DD40" i="5" s="1"/>
  <c r="CU40" i="5"/>
  <c r="DG40" i="5" s="1"/>
  <c r="CV39" i="5"/>
  <c r="DD39" i="5" s="1"/>
  <c r="CU39" i="5"/>
  <c r="CV38" i="5"/>
  <c r="DD38" i="5" s="1"/>
  <c r="CU38" i="5"/>
  <c r="DC38" i="5" s="1"/>
  <c r="CV37" i="5"/>
  <c r="DH37" i="5" s="1"/>
  <c r="CU37" i="5"/>
  <c r="DC37" i="5" s="1"/>
  <c r="CV36" i="5"/>
  <c r="DD36" i="5" s="1"/>
  <c r="CU36" i="5"/>
  <c r="DG36" i="5" s="1"/>
  <c r="CV35" i="5"/>
  <c r="DD35" i="5" s="1"/>
  <c r="CU35" i="5"/>
  <c r="DG35" i="5" s="1"/>
  <c r="CV34" i="5"/>
  <c r="DD34" i="5" s="1"/>
  <c r="CU34" i="5"/>
  <c r="DC34" i="5" s="1"/>
  <c r="CV33" i="5"/>
  <c r="DD33" i="5" s="1"/>
  <c r="CU33" i="5"/>
  <c r="DC33" i="5" s="1"/>
  <c r="CV32" i="5"/>
  <c r="DD32" i="5" s="1"/>
  <c r="CU32" i="5"/>
  <c r="DG32" i="5" s="1"/>
  <c r="CV31" i="5"/>
  <c r="DD31" i="5" s="1"/>
  <c r="CU31" i="5"/>
  <c r="DG31" i="5" s="1"/>
  <c r="CV30" i="5"/>
  <c r="DH30" i="5" s="1"/>
  <c r="CU30" i="5"/>
  <c r="DC30" i="5" s="1"/>
  <c r="CV29" i="5"/>
  <c r="DD29" i="5" s="1"/>
  <c r="CU29" i="5"/>
  <c r="DC29" i="5" s="1"/>
  <c r="CV28" i="5"/>
  <c r="DD28" i="5" s="1"/>
  <c r="CU28" i="5"/>
  <c r="DG28" i="5" s="1"/>
  <c r="CV27" i="5"/>
  <c r="DD27" i="5" s="1"/>
  <c r="CU27" i="5"/>
  <c r="CV26" i="5"/>
  <c r="DD26" i="5" s="1"/>
  <c r="CU26" i="5"/>
  <c r="DG26" i="5" s="1"/>
  <c r="CV25" i="5"/>
  <c r="DD25" i="5" s="1"/>
  <c r="CU25" i="5"/>
  <c r="DC25" i="5" s="1"/>
  <c r="CV24" i="5"/>
  <c r="DD24" i="5" s="1"/>
  <c r="CU24" i="5"/>
  <c r="DG24" i="5" s="1"/>
  <c r="CV23" i="5"/>
  <c r="DD23" i="5" s="1"/>
  <c r="CU23" i="5"/>
  <c r="CV22" i="5"/>
  <c r="DD22" i="5" s="1"/>
  <c r="CU22" i="5"/>
  <c r="DG22" i="5" s="1"/>
  <c r="CV21" i="5"/>
  <c r="DH21" i="5" s="1"/>
  <c r="CU21" i="5"/>
  <c r="DC21" i="5" s="1"/>
  <c r="CV20" i="5"/>
  <c r="DD20" i="5" s="1"/>
  <c r="CU20" i="5"/>
  <c r="DG20" i="5" s="1"/>
  <c r="CV19" i="5"/>
  <c r="DD19" i="5" s="1"/>
  <c r="CU19" i="5"/>
  <c r="DG19" i="5" s="1"/>
  <c r="CV18" i="5"/>
  <c r="DD18" i="5" s="1"/>
  <c r="CU18" i="5"/>
  <c r="DC18" i="5" s="1"/>
  <c r="CV17" i="5"/>
  <c r="DD17" i="5" s="1"/>
  <c r="CU17" i="5"/>
  <c r="DC17" i="5" s="1"/>
  <c r="CV16" i="5"/>
  <c r="DD16" i="5" s="1"/>
  <c r="CU16" i="5"/>
  <c r="DG16" i="5" s="1"/>
  <c r="CV15" i="5"/>
  <c r="DD15" i="5" s="1"/>
  <c r="CU15" i="5"/>
  <c r="CV14" i="5"/>
  <c r="DD14" i="5" s="1"/>
  <c r="CU14" i="5"/>
  <c r="DC14" i="5" s="1"/>
  <c r="CV13" i="5"/>
  <c r="DD13" i="5" s="1"/>
  <c r="CU13" i="5"/>
  <c r="DC13" i="5" s="1"/>
  <c r="CV12" i="5"/>
  <c r="DD12" i="5" s="1"/>
  <c r="CU12" i="5"/>
  <c r="DG12" i="5" s="1"/>
  <c r="CV11" i="5"/>
  <c r="DD11" i="5" s="1"/>
  <c r="CU11" i="5"/>
  <c r="CV10" i="5"/>
  <c r="DD10" i="5" s="1"/>
  <c r="CU10" i="5"/>
  <c r="DC10" i="5" s="1"/>
  <c r="CV9" i="5"/>
  <c r="DD9" i="5" s="1"/>
  <c r="CU9" i="5"/>
  <c r="DC9" i="5" s="1"/>
  <c r="CV8" i="5"/>
  <c r="DD8" i="5" s="1"/>
  <c r="CU8" i="5"/>
  <c r="DG8" i="5" s="1"/>
  <c r="CV7" i="5"/>
  <c r="DD7" i="5" s="1"/>
  <c r="CU7" i="5"/>
  <c r="U51" i="23"/>
  <c r="U47" i="23"/>
  <c r="U45" i="23"/>
  <c r="U41" i="23"/>
  <c r="U39" i="23"/>
  <c r="U35" i="23"/>
  <c r="DC58" i="5" l="1"/>
  <c r="DH7" i="5"/>
  <c r="DH15" i="5"/>
  <c r="DH23" i="5"/>
  <c r="DH31" i="5"/>
  <c r="DH39" i="5"/>
  <c r="DH47" i="5"/>
  <c r="DH55" i="5"/>
  <c r="DH63" i="5"/>
  <c r="DH71" i="5"/>
  <c r="DH79" i="5"/>
  <c r="DH87" i="5"/>
  <c r="DH95" i="5"/>
  <c r="DH103" i="5"/>
  <c r="DH111" i="5"/>
  <c r="DD62" i="5"/>
  <c r="DH11" i="5"/>
  <c r="DH19" i="5"/>
  <c r="DH27" i="5"/>
  <c r="DH35" i="5"/>
  <c r="DH43" i="5"/>
  <c r="DH51" i="5"/>
  <c r="DH59" i="5"/>
  <c r="DH67" i="5"/>
  <c r="DH75" i="5"/>
  <c r="DH83" i="5"/>
  <c r="DH91" i="5"/>
  <c r="DH99" i="5"/>
  <c r="DH107" i="5"/>
  <c r="DH115" i="5"/>
  <c r="DC7" i="5"/>
  <c r="DC11" i="5"/>
  <c r="DC15" i="5"/>
  <c r="DC23" i="5"/>
  <c r="DC27" i="5"/>
  <c r="DC39" i="5"/>
  <c r="DC43" i="5"/>
  <c r="DC47" i="5"/>
  <c r="DC55" i="5"/>
  <c r="DC59" i="5"/>
  <c r="DC71" i="5"/>
  <c r="DC75" i="5"/>
  <c r="DC79" i="5"/>
  <c r="DC83" i="5"/>
  <c r="DC87" i="5"/>
  <c r="DC91" i="5"/>
  <c r="DC95" i="5"/>
  <c r="DC103" i="5"/>
  <c r="DC107" i="5"/>
  <c r="DC111" i="5"/>
  <c r="DC115" i="5"/>
  <c r="DC119" i="5"/>
  <c r="DC22" i="5"/>
  <c r="DC42" i="5"/>
  <c r="DC63" i="5"/>
  <c r="DH8" i="5"/>
  <c r="DH12" i="5"/>
  <c r="DH16" i="5"/>
  <c r="DH20" i="5"/>
  <c r="DH24" i="5"/>
  <c r="DH28" i="5"/>
  <c r="DH32" i="5"/>
  <c r="DH36" i="5"/>
  <c r="DH40" i="5"/>
  <c r="DH44" i="5"/>
  <c r="DH48" i="5"/>
  <c r="DH52" i="5"/>
  <c r="DH56" i="5"/>
  <c r="DH60" i="5"/>
  <c r="DH64" i="5"/>
  <c r="DH68" i="5"/>
  <c r="DC26" i="5"/>
  <c r="DD30" i="5"/>
  <c r="DD49" i="5"/>
  <c r="DD117" i="5"/>
  <c r="DH9" i="5"/>
  <c r="DH13" i="5"/>
  <c r="DH17" i="5"/>
  <c r="DH25" i="5"/>
  <c r="DH29" i="5"/>
  <c r="DH33" i="5"/>
  <c r="DH41" i="5"/>
  <c r="DH45" i="5"/>
  <c r="DH53" i="5"/>
  <c r="DH57" i="5"/>
  <c r="DH61" i="5"/>
  <c r="DH65" i="5"/>
  <c r="DH69" i="5"/>
  <c r="DH73" i="5"/>
  <c r="DH77" i="5"/>
  <c r="DH81" i="5"/>
  <c r="DH85" i="5"/>
  <c r="DH89" i="5"/>
  <c r="DH93" i="5"/>
  <c r="DH97" i="5"/>
  <c r="DH101" i="5"/>
  <c r="DH105" i="5"/>
  <c r="DH109" i="5"/>
  <c r="DH113" i="5"/>
  <c r="DD76" i="5"/>
  <c r="DD84" i="5"/>
  <c r="DD92" i="5"/>
  <c r="DD100" i="5"/>
  <c r="DD108" i="5"/>
  <c r="DD116" i="5"/>
  <c r="DG10" i="5"/>
  <c r="DG18" i="5"/>
  <c r="DG34" i="5"/>
  <c r="DG50" i="5"/>
  <c r="DG66" i="5"/>
  <c r="DG74" i="5"/>
  <c r="DG82" i="5"/>
  <c r="DG90" i="5"/>
  <c r="DG102" i="5"/>
  <c r="DG114" i="5"/>
  <c r="DC53" i="5"/>
  <c r="DC57" i="5"/>
  <c r="DC61" i="5"/>
  <c r="DC65" i="5"/>
  <c r="DC69" i="5"/>
  <c r="DC73" i="5"/>
  <c r="DC77" i="5"/>
  <c r="DC85" i="5"/>
  <c r="DC89" i="5"/>
  <c r="DC93" i="5"/>
  <c r="DC97" i="5"/>
  <c r="DC101" i="5"/>
  <c r="DC105" i="5"/>
  <c r="DC109" i="5"/>
  <c r="DC117" i="5"/>
  <c r="DC35" i="5"/>
  <c r="DH10" i="5"/>
  <c r="DH14" i="5"/>
  <c r="DH18" i="5"/>
  <c r="DH22" i="5"/>
  <c r="DH26" i="5"/>
  <c r="DH34" i="5"/>
  <c r="DH38" i="5"/>
  <c r="DH42" i="5"/>
  <c r="DH46" i="5"/>
  <c r="DH50" i="5"/>
  <c r="DH54" i="5"/>
  <c r="DH58" i="5"/>
  <c r="DH66" i="5"/>
  <c r="DH70" i="5"/>
  <c r="DH74" i="5"/>
  <c r="DH78" i="5"/>
  <c r="DH82" i="5"/>
  <c r="DH86" i="5"/>
  <c r="DH90" i="5"/>
  <c r="DH98" i="5"/>
  <c r="DH102" i="5"/>
  <c r="DH106" i="5"/>
  <c r="DH110" i="5"/>
  <c r="DH114" i="5"/>
  <c r="DH118" i="5"/>
  <c r="DD72" i="5"/>
  <c r="DD80" i="5"/>
  <c r="DD88" i="5"/>
  <c r="DD96" i="5"/>
  <c r="DD104" i="5"/>
  <c r="DD112" i="5"/>
  <c r="DG14" i="5"/>
  <c r="DG30" i="5"/>
  <c r="DG38" i="5"/>
  <c r="DG46" i="5"/>
  <c r="DG54" i="5"/>
  <c r="DG62" i="5"/>
  <c r="DG70" i="5"/>
  <c r="DG78" i="5"/>
  <c r="DG86" i="5"/>
  <c r="DG94" i="5"/>
  <c r="DG98" i="5"/>
  <c r="DG106" i="5"/>
  <c r="DG110" i="5"/>
  <c r="DG118" i="5"/>
  <c r="DG7" i="5"/>
  <c r="DG11" i="5"/>
  <c r="DG15" i="5"/>
  <c r="DG23" i="5"/>
  <c r="DG27" i="5"/>
  <c r="DG39" i="5"/>
  <c r="DG43" i="5"/>
  <c r="DG47" i="5"/>
  <c r="DG55" i="5"/>
  <c r="DG59" i="5"/>
  <c r="DG71" i="5"/>
  <c r="DG75" i="5"/>
  <c r="DG79" i="5"/>
  <c r="DG83" i="5"/>
  <c r="DG87" i="5"/>
  <c r="DG91" i="5"/>
  <c r="DG95" i="5"/>
  <c r="DG103" i="5"/>
  <c r="DG107" i="5"/>
  <c r="DG111" i="5"/>
  <c r="DG115" i="5"/>
  <c r="DG119" i="5"/>
  <c r="DC8" i="5"/>
  <c r="DC12" i="5"/>
  <c r="DC16" i="5"/>
  <c r="DC20" i="5"/>
  <c r="DC24" i="5"/>
  <c r="DC28" i="5"/>
  <c r="DC32" i="5"/>
  <c r="DC36" i="5"/>
  <c r="DC40" i="5"/>
  <c r="DC44" i="5"/>
  <c r="DC48" i="5"/>
  <c r="DC52" i="5"/>
  <c r="DC56" i="5"/>
  <c r="DC60" i="5"/>
  <c r="DC64" i="5"/>
  <c r="DC68" i="5"/>
  <c r="DC72" i="5"/>
  <c r="DC76" i="5"/>
  <c r="DC80" i="5"/>
  <c r="DC84" i="5"/>
  <c r="DC88" i="5"/>
  <c r="DC92" i="5"/>
  <c r="DC96" i="5"/>
  <c r="DC100" i="5"/>
  <c r="DC104" i="5"/>
  <c r="DC108" i="5"/>
  <c r="DC112" i="5"/>
  <c r="DC116" i="5"/>
  <c r="DD119" i="5"/>
  <c r="W47" i="23"/>
  <c r="W41" i="23"/>
  <c r="W35" i="23"/>
  <c r="S134" i="23" l="1"/>
  <c r="R134" i="23"/>
  <c r="S132" i="23"/>
  <c r="N134" i="23" l="1"/>
  <c r="L134" i="23" l="1"/>
  <c r="L132" i="23"/>
  <c r="G132" i="23" l="1"/>
  <c r="T35" i="23" l="1"/>
  <c r="CP119" i="5"/>
  <c r="CO119" i="5"/>
  <c r="S59" i="23" l="1"/>
  <c r="S53" i="23"/>
  <c r="S47" i="23"/>
  <c r="S41" i="23"/>
  <c r="S35" i="23"/>
  <c r="R35" i="23"/>
  <c r="R47" i="23" l="1"/>
  <c r="R41" i="23"/>
  <c r="C6" i="7"/>
  <c r="Q35" i="23"/>
  <c r="P39" i="23" l="1"/>
  <c r="P36" i="23"/>
  <c r="P35" i="23"/>
  <c r="AG132" i="23"/>
  <c r="AE134" i="23" l="1"/>
  <c r="AE132" i="23"/>
  <c r="N39" i="23"/>
  <c r="N36" i="23"/>
  <c r="N35" i="23"/>
  <c r="L53" i="23" l="1"/>
  <c r="L47" i="23"/>
  <c r="L41" i="23"/>
  <c r="L58" i="23"/>
  <c r="L34" i="23"/>
  <c r="K39" i="23"/>
  <c r="K65" i="23"/>
  <c r="K59" i="23"/>
  <c r="K53" i="23"/>
  <c r="K64" i="23"/>
  <c r="K52" i="23"/>
  <c r="K47" i="23"/>
  <c r="K46" i="23"/>
  <c r="K41" i="23"/>
  <c r="K40" i="23"/>
  <c r="K34" i="23"/>
  <c r="K35" i="23"/>
  <c r="U134" i="23" l="1"/>
  <c r="K63" i="23"/>
  <c r="O39" i="23" l="1"/>
  <c r="O36" i="23"/>
  <c r="O35" i="23"/>
  <c r="M39" i="23" l="1"/>
  <c r="M35" i="23"/>
  <c r="CX12" i="8" l="1"/>
  <c r="G134" i="23" l="1"/>
  <c r="V27" i="7"/>
  <c r="V20" i="7"/>
  <c r="V21" i="7"/>
  <c r="V22" i="7"/>
  <c r="V23" i="7"/>
  <c r="V24" i="7"/>
  <c r="V25" i="7"/>
  <c r="V26" i="7"/>
  <c r="V19" i="7"/>
  <c r="CH125" i="8"/>
  <c r="CK125" i="8"/>
  <c r="CK125" i="22" l="1"/>
  <c r="CH125" i="22"/>
  <c r="CI1" i="19" l="1"/>
  <c r="CJ1" i="19" s="1"/>
  <c r="CK1" i="19" s="1"/>
  <c r="CL1" i="19" s="1"/>
  <c r="CM1" i="19" s="1"/>
  <c r="CN1" i="19" s="1"/>
  <c r="CO1" i="19" s="1"/>
  <c r="CP1" i="19" s="1"/>
  <c r="CQ1" i="19" s="1"/>
  <c r="CR1" i="19" s="1"/>
  <c r="CS1" i="19" s="1"/>
  <c r="CS1" i="21"/>
  <c r="CT1" i="21" s="1"/>
  <c r="W12" i="21" l="1"/>
  <c r="J69" i="23" l="1"/>
  <c r="J65" i="23"/>
  <c r="J63" i="23"/>
  <c r="J59" i="23"/>
  <c r="J57" i="23"/>
  <c r="J53" i="23"/>
  <c r="J51" i="23"/>
  <c r="J47" i="23"/>
  <c r="J45" i="23"/>
  <c r="J41" i="23"/>
  <c r="J39" i="23"/>
  <c r="I39" i="23"/>
  <c r="H39" i="23"/>
  <c r="G39" i="23"/>
  <c r="J35" i="23"/>
  <c r="AL119" i="5"/>
  <c r="AK119" i="5"/>
  <c r="AL118" i="5"/>
  <c r="AK118" i="5"/>
  <c r="AL117" i="5"/>
  <c r="AK117" i="5"/>
  <c r="AL116" i="5"/>
  <c r="AK116" i="5"/>
  <c r="AL115" i="5"/>
  <c r="AK115" i="5"/>
  <c r="AL114" i="5"/>
  <c r="AK114" i="5"/>
  <c r="AL113" i="5"/>
  <c r="AK113" i="5"/>
  <c r="AL112" i="5"/>
  <c r="AK112" i="5"/>
  <c r="AL111" i="5"/>
  <c r="AK111" i="5"/>
  <c r="AL110" i="5"/>
  <c r="AK110" i="5"/>
  <c r="AL109" i="5"/>
  <c r="AK109" i="5"/>
  <c r="AL108" i="5"/>
  <c r="AK108" i="5"/>
  <c r="AL107" i="5"/>
  <c r="AK107" i="5"/>
  <c r="AL106" i="5"/>
  <c r="AK106" i="5"/>
  <c r="AL105" i="5"/>
  <c r="AK105" i="5"/>
  <c r="AL104" i="5"/>
  <c r="AK104" i="5"/>
  <c r="AL103" i="5"/>
  <c r="AK103" i="5"/>
  <c r="AL102" i="5"/>
  <c r="AK102" i="5"/>
  <c r="AL101" i="5"/>
  <c r="AK101" i="5"/>
  <c r="AL100" i="5"/>
  <c r="AK100" i="5"/>
  <c r="AL99" i="5"/>
  <c r="AK99" i="5"/>
  <c r="AL98" i="5"/>
  <c r="AK98" i="5"/>
  <c r="AL97" i="5"/>
  <c r="AK97" i="5"/>
  <c r="AL96" i="5"/>
  <c r="AK96" i="5"/>
  <c r="AL95" i="5"/>
  <c r="AK95" i="5"/>
  <c r="AL94" i="5"/>
  <c r="AK94" i="5"/>
  <c r="AL93" i="5"/>
  <c r="AK93" i="5"/>
  <c r="AL92" i="5"/>
  <c r="AK92" i="5"/>
  <c r="AL91" i="5"/>
  <c r="AK91" i="5"/>
  <c r="AL90" i="5"/>
  <c r="AK90" i="5"/>
  <c r="AL89" i="5"/>
  <c r="AK89" i="5"/>
  <c r="AL88" i="5"/>
  <c r="AK88" i="5"/>
  <c r="AL87" i="5"/>
  <c r="AK87" i="5"/>
  <c r="AL86" i="5"/>
  <c r="AK86" i="5"/>
  <c r="AL85" i="5"/>
  <c r="AK85" i="5"/>
  <c r="AL84" i="5"/>
  <c r="AK84" i="5"/>
  <c r="AL83" i="5"/>
  <c r="AK83" i="5"/>
  <c r="AL82" i="5"/>
  <c r="AK82" i="5"/>
  <c r="AL81" i="5"/>
  <c r="AK81" i="5"/>
  <c r="AL80" i="5"/>
  <c r="AK80" i="5"/>
  <c r="AL79" i="5"/>
  <c r="AK79" i="5"/>
  <c r="AL78" i="5"/>
  <c r="AK78" i="5"/>
  <c r="AL77" i="5"/>
  <c r="AK77" i="5"/>
  <c r="AL76" i="5"/>
  <c r="AK76" i="5"/>
  <c r="AL75" i="5"/>
  <c r="AK75" i="5"/>
  <c r="AL74" i="5"/>
  <c r="AK74" i="5"/>
  <c r="AL73" i="5"/>
  <c r="AK73" i="5"/>
  <c r="AL72" i="5"/>
  <c r="AK72" i="5"/>
  <c r="AL71" i="5"/>
  <c r="AK71" i="5"/>
  <c r="AL70" i="5"/>
  <c r="AK70" i="5"/>
  <c r="AL69" i="5"/>
  <c r="AK69" i="5"/>
  <c r="AL68" i="5"/>
  <c r="AK68" i="5"/>
  <c r="AL67" i="5"/>
  <c r="AK67" i="5"/>
  <c r="AL66" i="5"/>
  <c r="AK66" i="5"/>
  <c r="AL65" i="5"/>
  <c r="AK65" i="5"/>
  <c r="AL64" i="5"/>
  <c r="AK64" i="5"/>
  <c r="AL63" i="5"/>
  <c r="AK63" i="5"/>
  <c r="AL62" i="5"/>
  <c r="AK62" i="5"/>
  <c r="AL61" i="5"/>
  <c r="AK61" i="5"/>
  <c r="AL60" i="5"/>
  <c r="AK60" i="5"/>
  <c r="AL59" i="5"/>
  <c r="AK59" i="5"/>
  <c r="AL58" i="5"/>
  <c r="AK58" i="5"/>
  <c r="AL57" i="5"/>
  <c r="AK57" i="5"/>
  <c r="AL56" i="5"/>
  <c r="AK56" i="5"/>
  <c r="AL55" i="5"/>
  <c r="AK55" i="5"/>
  <c r="AL54" i="5"/>
  <c r="AK54" i="5"/>
  <c r="AL53" i="5"/>
  <c r="AK53" i="5"/>
  <c r="AL52" i="5"/>
  <c r="AK52" i="5"/>
  <c r="AL51" i="5"/>
  <c r="AK51" i="5"/>
  <c r="AL50" i="5"/>
  <c r="AK50" i="5"/>
  <c r="AL49" i="5"/>
  <c r="AK49" i="5"/>
  <c r="AL48" i="5"/>
  <c r="AK48" i="5"/>
  <c r="AL47" i="5"/>
  <c r="AK47" i="5"/>
  <c r="AL46" i="5"/>
  <c r="AK46" i="5"/>
  <c r="AL45" i="5"/>
  <c r="AK45" i="5"/>
  <c r="AL44" i="5"/>
  <c r="AK44" i="5"/>
  <c r="AL43" i="5"/>
  <c r="AK43" i="5"/>
  <c r="AL42" i="5"/>
  <c r="AK42" i="5"/>
  <c r="AL41" i="5"/>
  <c r="AK41" i="5"/>
  <c r="AL40" i="5"/>
  <c r="AK40" i="5"/>
  <c r="AL39" i="5"/>
  <c r="AK39" i="5"/>
  <c r="AL38" i="5"/>
  <c r="AK38" i="5"/>
  <c r="AL37" i="5"/>
  <c r="AK37" i="5"/>
  <c r="AL36" i="5"/>
  <c r="AK36" i="5"/>
  <c r="AL35" i="5"/>
  <c r="AK35" i="5"/>
  <c r="AL34" i="5"/>
  <c r="AK34" i="5"/>
  <c r="AL33" i="5"/>
  <c r="AK33" i="5"/>
  <c r="AL32" i="5"/>
  <c r="AK32" i="5"/>
  <c r="AL31" i="5"/>
  <c r="AK31" i="5"/>
  <c r="AL30" i="5"/>
  <c r="AK30" i="5"/>
  <c r="AL29" i="5"/>
  <c r="AK29" i="5"/>
  <c r="AL28" i="5"/>
  <c r="AK28" i="5"/>
  <c r="AL27" i="5"/>
  <c r="AK27" i="5"/>
  <c r="AL26" i="5"/>
  <c r="AK26" i="5"/>
  <c r="AL25" i="5"/>
  <c r="AK25" i="5"/>
  <c r="AL24" i="5"/>
  <c r="AK24" i="5"/>
  <c r="AL23" i="5"/>
  <c r="AK23" i="5"/>
  <c r="AL22" i="5"/>
  <c r="AK22" i="5"/>
  <c r="AL21" i="5"/>
  <c r="AK21" i="5"/>
  <c r="AL20" i="5"/>
  <c r="AK20" i="5"/>
  <c r="AL19" i="5"/>
  <c r="AK19" i="5"/>
  <c r="AL18" i="5"/>
  <c r="AK18" i="5"/>
  <c r="AL17" i="5"/>
  <c r="AK17" i="5"/>
  <c r="AL16" i="5"/>
  <c r="AK16" i="5"/>
  <c r="AL15" i="5"/>
  <c r="AK15" i="5"/>
  <c r="AL14" i="5"/>
  <c r="AK14" i="5"/>
  <c r="AL13" i="5"/>
  <c r="AK13" i="5"/>
  <c r="AL12" i="5"/>
  <c r="AK12" i="5"/>
  <c r="AL11" i="5"/>
  <c r="AK11" i="5"/>
  <c r="AL10" i="5"/>
  <c r="AK10" i="5"/>
  <c r="AL9" i="5"/>
  <c r="AK9" i="5"/>
  <c r="AL8" i="5"/>
  <c r="AK8" i="5"/>
  <c r="AL7" i="5"/>
  <c r="AK7" i="5"/>
  <c r="AH119" i="5"/>
  <c r="AG119" i="5"/>
  <c r="AH118" i="5"/>
  <c r="AG118" i="5"/>
  <c r="AH117" i="5"/>
  <c r="AG117" i="5"/>
  <c r="AH116" i="5"/>
  <c r="AG116" i="5"/>
  <c r="AH115" i="5"/>
  <c r="AG115" i="5"/>
  <c r="AH114" i="5"/>
  <c r="AG114" i="5"/>
  <c r="AH113" i="5"/>
  <c r="AG113" i="5"/>
  <c r="AH112" i="5"/>
  <c r="AG112" i="5"/>
  <c r="AH111" i="5"/>
  <c r="AG111" i="5"/>
  <c r="AH110" i="5"/>
  <c r="AG110" i="5"/>
  <c r="AH109" i="5"/>
  <c r="AG109" i="5"/>
  <c r="AH108" i="5"/>
  <c r="AG108" i="5"/>
  <c r="AH107" i="5"/>
  <c r="AG107" i="5"/>
  <c r="AH106" i="5"/>
  <c r="AG106" i="5"/>
  <c r="AH105" i="5"/>
  <c r="AG105" i="5"/>
  <c r="AH104" i="5"/>
  <c r="AG104" i="5"/>
  <c r="AH103" i="5"/>
  <c r="AG103" i="5"/>
  <c r="AH102" i="5"/>
  <c r="AG102" i="5"/>
  <c r="AH101" i="5"/>
  <c r="AG101" i="5"/>
  <c r="AH100" i="5"/>
  <c r="AG100" i="5"/>
  <c r="AH99" i="5"/>
  <c r="AG99" i="5"/>
  <c r="AH98" i="5"/>
  <c r="AG98" i="5"/>
  <c r="AH97" i="5"/>
  <c r="AG97" i="5"/>
  <c r="AH96" i="5"/>
  <c r="AG96" i="5"/>
  <c r="AH95" i="5"/>
  <c r="AG95" i="5"/>
  <c r="AH94" i="5"/>
  <c r="AG94" i="5"/>
  <c r="AH93" i="5"/>
  <c r="AG93" i="5"/>
  <c r="AH92" i="5"/>
  <c r="AG92" i="5"/>
  <c r="AH91" i="5"/>
  <c r="AG91" i="5"/>
  <c r="AH90" i="5"/>
  <c r="AG90" i="5"/>
  <c r="AH89" i="5"/>
  <c r="AG89" i="5"/>
  <c r="AH88" i="5"/>
  <c r="AG88" i="5"/>
  <c r="AH87" i="5"/>
  <c r="AG87" i="5"/>
  <c r="AH86" i="5"/>
  <c r="AG86" i="5"/>
  <c r="AH85" i="5"/>
  <c r="AG85" i="5"/>
  <c r="AH84" i="5"/>
  <c r="AG84" i="5"/>
  <c r="AH83" i="5"/>
  <c r="AG83" i="5"/>
  <c r="AH82" i="5"/>
  <c r="AG82" i="5"/>
  <c r="AH81" i="5"/>
  <c r="AG81" i="5"/>
  <c r="AH80" i="5"/>
  <c r="AG80" i="5"/>
  <c r="AH79" i="5"/>
  <c r="AG79" i="5"/>
  <c r="AH78" i="5"/>
  <c r="AG78" i="5"/>
  <c r="AH77" i="5"/>
  <c r="AG77" i="5"/>
  <c r="AH76" i="5"/>
  <c r="AG76" i="5"/>
  <c r="AH75" i="5"/>
  <c r="AG75" i="5"/>
  <c r="AH74" i="5"/>
  <c r="AG74" i="5"/>
  <c r="AH73" i="5"/>
  <c r="AG73" i="5"/>
  <c r="AH72" i="5"/>
  <c r="AG72" i="5"/>
  <c r="AH71" i="5"/>
  <c r="AG71" i="5"/>
  <c r="AH70" i="5"/>
  <c r="AG70" i="5"/>
  <c r="AH69" i="5"/>
  <c r="AG69" i="5"/>
  <c r="AH68" i="5"/>
  <c r="AG68" i="5"/>
  <c r="AH67" i="5"/>
  <c r="AG67" i="5"/>
  <c r="AH66" i="5"/>
  <c r="AG66" i="5"/>
  <c r="AH65" i="5"/>
  <c r="AG65" i="5"/>
  <c r="AH64" i="5"/>
  <c r="AG64" i="5"/>
  <c r="AH63" i="5"/>
  <c r="AG63" i="5"/>
  <c r="AH62" i="5"/>
  <c r="AG62" i="5"/>
  <c r="AH61" i="5"/>
  <c r="AG61" i="5"/>
  <c r="AH60" i="5"/>
  <c r="AG60" i="5"/>
  <c r="AH59" i="5"/>
  <c r="AG59" i="5"/>
  <c r="AH58" i="5"/>
  <c r="AG58" i="5"/>
  <c r="AH57" i="5"/>
  <c r="AG57" i="5"/>
  <c r="AH56" i="5"/>
  <c r="AG56" i="5"/>
  <c r="AH55" i="5"/>
  <c r="AG55" i="5"/>
  <c r="AH54" i="5"/>
  <c r="AG54" i="5"/>
  <c r="AH53" i="5"/>
  <c r="AG53" i="5"/>
  <c r="AH52" i="5"/>
  <c r="AG52" i="5"/>
  <c r="AH51" i="5"/>
  <c r="AG51" i="5"/>
  <c r="AH50" i="5"/>
  <c r="AG50" i="5"/>
  <c r="AH49" i="5"/>
  <c r="AG49" i="5"/>
  <c r="AH48" i="5"/>
  <c r="AG48" i="5"/>
  <c r="AH47" i="5"/>
  <c r="AG47" i="5"/>
  <c r="AH46" i="5"/>
  <c r="AG46" i="5"/>
  <c r="AH45" i="5"/>
  <c r="AG45" i="5"/>
  <c r="AH44" i="5"/>
  <c r="AG44" i="5"/>
  <c r="AH43" i="5"/>
  <c r="AG43" i="5"/>
  <c r="AH42" i="5"/>
  <c r="AG42" i="5"/>
  <c r="AH41" i="5"/>
  <c r="AG41" i="5"/>
  <c r="AH40" i="5"/>
  <c r="AG40" i="5"/>
  <c r="AH39" i="5"/>
  <c r="AG39" i="5"/>
  <c r="AH38" i="5"/>
  <c r="AG38" i="5"/>
  <c r="AH37" i="5"/>
  <c r="AG37" i="5"/>
  <c r="AH36" i="5"/>
  <c r="AG36" i="5"/>
  <c r="AH35" i="5"/>
  <c r="AG35" i="5"/>
  <c r="AH34" i="5"/>
  <c r="AG34" i="5"/>
  <c r="AH33" i="5"/>
  <c r="AG33" i="5"/>
  <c r="AH32" i="5"/>
  <c r="AG32" i="5"/>
  <c r="AH31" i="5"/>
  <c r="AG31" i="5"/>
  <c r="AH30" i="5"/>
  <c r="AG30" i="5"/>
  <c r="AH29" i="5"/>
  <c r="AG29" i="5"/>
  <c r="AH28" i="5"/>
  <c r="AG28" i="5"/>
  <c r="AH27" i="5"/>
  <c r="AG27" i="5"/>
  <c r="AH26" i="5"/>
  <c r="AG26" i="5"/>
  <c r="AH25" i="5"/>
  <c r="AG25" i="5"/>
  <c r="AH24" i="5"/>
  <c r="AG24" i="5"/>
  <c r="AH23" i="5"/>
  <c r="AG23" i="5"/>
  <c r="AH22" i="5"/>
  <c r="AG22" i="5"/>
  <c r="AH21" i="5"/>
  <c r="AG21" i="5"/>
  <c r="AH20" i="5"/>
  <c r="AG20" i="5"/>
  <c r="AH19" i="5"/>
  <c r="AG19" i="5"/>
  <c r="AH18" i="5"/>
  <c r="AG18" i="5"/>
  <c r="AH17" i="5"/>
  <c r="AG17" i="5"/>
  <c r="AH16" i="5"/>
  <c r="AG16" i="5"/>
  <c r="AH15" i="5"/>
  <c r="AG15" i="5"/>
  <c r="AH14" i="5"/>
  <c r="AG14" i="5"/>
  <c r="AH13" i="5"/>
  <c r="AG13" i="5"/>
  <c r="AH12" i="5"/>
  <c r="AG12" i="5"/>
  <c r="AH11" i="5"/>
  <c r="AG11" i="5"/>
  <c r="AH10" i="5"/>
  <c r="AG10" i="5"/>
  <c r="AH9" i="5"/>
  <c r="AG9" i="5"/>
  <c r="AH8" i="5"/>
  <c r="AG8" i="5"/>
  <c r="AH7" i="5"/>
  <c r="AG7" i="5"/>
  <c r="AD119" i="5"/>
  <c r="AC119" i="5"/>
  <c r="AD118" i="5"/>
  <c r="AC118" i="5"/>
  <c r="AD117" i="5"/>
  <c r="AC117" i="5"/>
  <c r="AD116" i="5"/>
  <c r="AC116" i="5"/>
  <c r="AD115" i="5"/>
  <c r="AC115" i="5"/>
  <c r="AD114" i="5"/>
  <c r="AC114" i="5"/>
  <c r="AD113" i="5"/>
  <c r="AC113" i="5"/>
  <c r="AD112" i="5"/>
  <c r="AC112" i="5"/>
  <c r="AD111" i="5"/>
  <c r="AC111" i="5"/>
  <c r="AD110" i="5"/>
  <c r="AC110" i="5"/>
  <c r="AD109" i="5"/>
  <c r="AC109" i="5"/>
  <c r="AD108" i="5"/>
  <c r="AC108" i="5"/>
  <c r="AD107" i="5"/>
  <c r="AC107" i="5"/>
  <c r="AD106" i="5"/>
  <c r="AC106" i="5"/>
  <c r="AD105" i="5"/>
  <c r="AC105" i="5"/>
  <c r="AD104" i="5"/>
  <c r="AC104" i="5"/>
  <c r="AD103" i="5"/>
  <c r="AC103" i="5"/>
  <c r="AD102" i="5"/>
  <c r="AC102" i="5"/>
  <c r="AD101" i="5"/>
  <c r="AC101" i="5"/>
  <c r="AD100" i="5"/>
  <c r="AC100" i="5"/>
  <c r="AD99" i="5"/>
  <c r="AC99" i="5"/>
  <c r="AD98" i="5"/>
  <c r="AC98" i="5"/>
  <c r="AD97" i="5"/>
  <c r="AC97" i="5"/>
  <c r="AD96" i="5"/>
  <c r="AC96" i="5"/>
  <c r="AD95" i="5"/>
  <c r="AC95" i="5"/>
  <c r="AD94" i="5"/>
  <c r="AC94" i="5"/>
  <c r="AD93" i="5"/>
  <c r="AC93" i="5"/>
  <c r="AD92" i="5"/>
  <c r="AC92" i="5"/>
  <c r="AD91" i="5"/>
  <c r="AC91" i="5"/>
  <c r="AD90" i="5"/>
  <c r="AC90" i="5"/>
  <c r="AD89" i="5"/>
  <c r="AC89" i="5"/>
  <c r="AD88" i="5"/>
  <c r="AC88" i="5"/>
  <c r="AD87" i="5"/>
  <c r="AC87" i="5"/>
  <c r="AD86" i="5"/>
  <c r="AC86" i="5"/>
  <c r="AD85" i="5"/>
  <c r="AC85" i="5"/>
  <c r="AD84" i="5"/>
  <c r="AC84" i="5"/>
  <c r="AD83" i="5"/>
  <c r="AC83" i="5"/>
  <c r="AD82" i="5"/>
  <c r="AC82" i="5"/>
  <c r="AD81" i="5"/>
  <c r="AC81" i="5"/>
  <c r="AD80" i="5"/>
  <c r="AC80" i="5"/>
  <c r="AD79" i="5"/>
  <c r="AC79" i="5"/>
  <c r="AD78" i="5"/>
  <c r="AC78" i="5"/>
  <c r="AD77" i="5"/>
  <c r="AC77" i="5"/>
  <c r="AD76" i="5"/>
  <c r="AC76" i="5"/>
  <c r="AD75" i="5"/>
  <c r="AC75" i="5"/>
  <c r="AD74" i="5"/>
  <c r="AC74" i="5"/>
  <c r="AD73" i="5"/>
  <c r="AC73" i="5"/>
  <c r="AD72" i="5"/>
  <c r="AC72" i="5"/>
  <c r="AD71" i="5"/>
  <c r="AC71" i="5"/>
  <c r="AD70" i="5"/>
  <c r="AC70" i="5"/>
  <c r="AD69" i="5"/>
  <c r="AC69" i="5"/>
  <c r="AD68" i="5"/>
  <c r="AC68" i="5"/>
  <c r="AD67" i="5"/>
  <c r="AC67" i="5"/>
  <c r="AD66" i="5"/>
  <c r="AC66" i="5"/>
  <c r="AD65" i="5"/>
  <c r="AC65" i="5"/>
  <c r="AD64" i="5"/>
  <c r="AC64" i="5"/>
  <c r="AD63" i="5"/>
  <c r="AC63" i="5"/>
  <c r="AD62" i="5"/>
  <c r="AC62" i="5"/>
  <c r="AD61" i="5"/>
  <c r="AC61" i="5"/>
  <c r="AD60" i="5"/>
  <c r="AC60" i="5"/>
  <c r="AD59" i="5"/>
  <c r="AC59" i="5"/>
  <c r="AD58" i="5"/>
  <c r="AC58" i="5"/>
  <c r="AD57" i="5"/>
  <c r="AC57" i="5"/>
  <c r="AD56" i="5"/>
  <c r="AC56" i="5"/>
  <c r="AD55" i="5"/>
  <c r="AC55" i="5"/>
  <c r="AD54" i="5"/>
  <c r="AC54" i="5"/>
  <c r="AD53" i="5"/>
  <c r="AC53" i="5"/>
  <c r="AD52" i="5"/>
  <c r="AC52" i="5"/>
  <c r="AD51" i="5"/>
  <c r="AC51" i="5"/>
  <c r="AD50" i="5"/>
  <c r="AC50" i="5"/>
  <c r="AD49" i="5"/>
  <c r="AC49" i="5"/>
  <c r="AD48" i="5"/>
  <c r="AC48" i="5"/>
  <c r="AD47" i="5"/>
  <c r="AC47" i="5"/>
  <c r="AD46" i="5"/>
  <c r="AC46" i="5"/>
  <c r="AD45" i="5"/>
  <c r="AC45" i="5"/>
  <c r="AD44" i="5"/>
  <c r="AC44" i="5"/>
  <c r="AD43" i="5"/>
  <c r="AC43" i="5"/>
  <c r="AD42" i="5"/>
  <c r="AC42" i="5"/>
  <c r="AD41" i="5"/>
  <c r="AC41" i="5"/>
  <c r="AD40" i="5"/>
  <c r="AC40" i="5"/>
  <c r="AD39" i="5"/>
  <c r="AC39" i="5"/>
  <c r="AD38" i="5"/>
  <c r="AC38" i="5"/>
  <c r="AD37" i="5"/>
  <c r="AC37" i="5"/>
  <c r="AD36" i="5"/>
  <c r="AC36" i="5"/>
  <c r="AD35" i="5"/>
  <c r="AC35" i="5"/>
  <c r="AD34" i="5"/>
  <c r="AC34" i="5"/>
  <c r="AD33" i="5"/>
  <c r="AC33" i="5"/>
  <c r="AD32" i="5"/>
  <c r="AC32" i="5"/>
  <c r="AD31" i="5"/>
  <c r="AC31" i="5"/>
  <c r="AD30" i="5"/>
  <c r="AC30" i="5"/>
  <c r="AD29" i="5"/>
  <c r="AC29" i="5"/>
  <c r="AD28" i="5"/>
  <c r="AC28" i="5"/>
  <c r="AD27" i="5"/>
  <c r="AC27" i="5"/>
  <c r="AD26" i="5"/>
  <c r="AC26" i="5"/>
  <c r="AD25" i="5"/>
  <c r="AC25" i="5"/>
  <c r="AD24" i="5"/>
  <c r="AC24" i="5"/>
  <c r="AD23" i="5"/>
  <c r="AC23" i="5"/>
  <c r="AD22" i="5"/>
  <c r="AC22" i="5"/>
  <c r="AD21" i="5"/>
  <c r="AC21" i="5"/>
  <c r="AD20" i="5"/>
  <c r="AC20" i="5"/>
  <c r="AD19" i="5"/>
  <c r="AC19" i="5"/>
  <c r="AD18" i="5"/>
  <c r="AC18" i="5"/>
  <c r="AD17" i="5"/>
  <c r="AC17" i="5"/>
  <c r="AD16" i="5"/>
  <c r="AC16" i="5"/>
  <c r="AD15" i="5"/>
  <c r="AC15" i="5"/>
  <c r="AD14" i="5"/>
  <c r="AC14" i="5"/>
  <c r="AD13" i="5"/>
  <c r="AC13" i="5"/>
  <c r="AD12" i="5"/>
  <c r="AC12" i="5"/>
  <c r="AD11" i="5"/>
  <c r="AC11" i="5"/>
  <c r="AD10" i="5"/>
  <c r="AC10" i="5"/>
  <c r="AD9" i="5"/>
  <c r="AC9" i="5"/>
  <c r="AD8" i="5"/>
  <c r="AC8" i="5"/>
  <c r="AD7" i="5"/>
  <c r="AC7" i="5"/>
  <c r="Z118" i="5"/>
  <c r="Y118" i="5"/>
  <c r="Z117" i="5"/>
  <c r="Y117" i="5"/>
  <c r="Z116" i="5"/>
  <c r="Y116" i="5"/>
  <c r="Z115" i="5"/>
  <c r="Y115" i="5"/>
  <c r="Z114" i="5"/>
  <c r="Y114" i="5"/>
  <c r="Z113" i="5"/>
  <c r="Y113" i="5"/>
  <c r="Z112" i="5"/>
  <c r="Y112" i="5"/>
  <c r="Z111" i="5"/>
  <c r="Y111" i="5"/>
  <c r="Z110" i="5"/>
  <c r="Y110" i="5"/>
  <c r="Z109" i="5"/>
  <c r="Y109" i="5"/>
  <c r="Z108" i="5"/>
  <c r="Y108" i="5"/>
  <c r="Z107" i="5"/>
  <c r="Y107" i="5"/>
  <c r="Z106" i="5"/>
  <c r="Y106" i="5"/>
  <c r="Z105" i="5"/>
  <c r="Y105" i="5"/>
  <c r="Z104" i="5"/>
  <c r="Y104" i="5"/>
  <c r="Z103" i="5"/>
  <c r="Y103" i="5"/>
  <c r="Z102" i="5"/>
  <c r="Y102" i="5"/>
  <c r="Z101" i="5"/>
  <c r="Y101" i="5"/>
  <c r="Z100" i="5"/>
  <c r="Y100" i="5"/>
  <c r="Z99" i="5"/>
  <c r="Y99" i="5"/>
  <c r="Z98" i="5"/>
  <c r="Y98" i="5"/>
  <c r="Z97" i="5"/>
  <c r="Y97" i="5"/>
  <c r="Z96" i="5"/>
  <c r="Y96" i="5"/>
  <c r="Z95" i="5"/>
  <c r="Y95" i="5"/>
  <c r="Z94" i="5"/>
  <c r="Y94" i="5"/>
  <c r="Z93" i="5"/>
  <c r="Y93" i="5"/>
  <c r="Z92" i="5"/>
  <c r="Y92" i="5"/>
  <c r="Z91" i="5"/>
  <c r="Y91" i="5"/>
  <c r="Z90" i="5"/>
  <c r="Y90" i="5"/>
  <c r="Z89" i="5"/>
  <c r="Y89" i="5"/>
  <c r="Z88" i="5"/>
  <c r="Y88" i="5"/>
  <c r="Z87" i="5"/>
  <c r="Y87" i="5"/>
  <c r="Z86" i="5"/>
  <c r="Y86" i="5"/>
  <c r="Z85" i="5"/>
  <c r="Y85" i="5"/>
  <c r="Z84" i="5"/>
  <c r="Y84" i="5"/>
  <c r="Z83" i="5"/>
  <c r="Y83" i="5"/>
  <c r="Z82" i="5"/>
  <c r="Y82" i="5"/>
  <c r="Z81" i="5"/>
  <c r="Y81" i="5"/>
  <c r="Z80" i="5"/>
  <c r="Y80" i="5"/>
  <c r="Z79" i="5"/>
  <c r="Y79" i="5"/>
  <c r="Z78" i="5"/>
  <c r="Y78" i="5"/>
  <c r="Z77" i="5"/>
  <c r="Y77" i="5"/>
  <c r="Z76" i="5"/>
  <c r="Y76" i="5"/>
  <c r="Z75" i="5"/>
  <c r="Y75" i="5"/>
  <c r="Z74" i="5"/>
  <c r="Y74" i="5"/>
  <c r="Z73" i="5"/>
  <c r="Y73" i="5"/>
  <c r="Z72" i="5"/>
  <c r="Y72" i="5"/>
  <c r="Z71" i="5"/>
  <c r="Y71" i="5"/>
  <c r="Z70" i="5"/>
  <c r="Y70" i="5"/>
  <c r="Z69" i="5"/>
  <c r="Y69" i="5"/>
  <c r="Z68" i="5"/>
  <c r="Y68" i="5"/>
  <c r="Z67" i="5"/>
  <c r="Y67" i="5"/>
  <c r="Z66" i="5"/>
  <c r="Y66" i="5"/>
  <c r="Z65" i="5"/>
  <c r="Y65" i="5"/>
  <c r="Z64" i="5"/>
  <c r="Y64" i="5"/>
  <c r="Z63" i="5"/>
  <c r="Y63" i="5"/>
  <c r="Z62" i="5"/>
  <c r="Y62" i="5"/>
  <c r="Z61" i="5"/>
  <c r="Y61" i="5"/>
  <c r="Z60" i="5"/>
  <c r="Y60" i="5"/>
  <c r="Z59" i="5"/>
  <c r="Y59" i="5"/>
  <c r="Z58" i="5"/>
  <c r="Y58" i="5"/>
  <c r="Z57" i="5"/>
  <c r="Y57" i="5"/>
  <c r="Z56" i="5"/>
  <c r="Y56" i="5"/>
  <c r="Z55" i="5"/>
  <c r="Y55" i="5"/>
  <c r="Z54" i="5"/>
  <c r="Y54" i="5"/>
  <c r="Z53" i="5"/>
  <c r="Y53" i="5"/>
  <c r="Z52" i="5"/>
  <c r="Y52" i="5"/>
  <c r="Z51" i="5"/>
  <c r="Y51" i="5"/>
  <c r="Z50" i="5"/>
  <c r="Y50" i="5"/>
  <c r="Z49" i="5"/>
  <c r="Y49" i="5"/>
  <c r="Z48" i="5"/>
  <c r="Y48" i="5"/>
  <c r="Z47" i="5"/>
  <c r="Y47" i="5"/>
  <c r="Z46" i="5"/>
  <c r="Y46" i="5"/>
  <c r="Z45" i="5"/>
  <c r="Y45" i="5"/>
  <c r="Z44" i="5"/>
  <c r="Y44" i="5"/>
  <c r="Z43" i="5"/>
  <c r="Y43" i="5"/>
  <c r="Z42" i="5"/>
  <c r="Y42" i="5"/>
  <c r="Z41" i="5"/>
  <c r="Y41" i="5"/>
  <c r="Z40" i="5"/>
  <c r="Y40" i="5"/>
  <c r="Z39" i="5"/>
  <c r="Y39" i="5"/>
  <c r="Z38" i="5"/>
  <c r="Y38" i="5"/>
  <c r="Z37" i="5"/>
  <c r="Y37" i="5"/>
  <c r="Z36" i="5"/>
  <c r="Y36" i="5"/>
  <c r="Z35" i="5"/>
  <c r="Y35" i="5"/>
  <c r="Z34" i="5"/>
  <c r="Y34" i="5"/>
  <c r="Z33" i="5"/>
  <c r="Y33" i="5"/>
  <c r="Z32" i="5"/>
  <c r="Y32" i="5"/>
  <c r="Z31" i="5"/>
  <c r="Y31" i="5"/>
  <c r="Z30" i="5"/>
  <c r="Y30" i="5"/>
  <c r="Z29" i="5"/>
  <c r="Y29" i="5"/>
  <c r="Z28" i="5"/>
  <c r="Y28" i="5"/>
  <c r="Z27" i="5"/>
  <c r="Y27" i="5"/>
  <c r="Z26" i="5"/>
  <c r="Y26" i="5"/>
  <c r="Z25" i="5"/>
  <c r="Y25" i="5"/>
  <c r="Z24" i="5"/>
  <c r="Y24" i="5"/>
  <c r="Z23" i="5"/>
  <c r="Y23" i="5"/>
  <c r="Z22" i="5"/>
  <c r="Y22" i="5"/>
  <c r="Z21" i="5"/>
  <c r="Y21" i="5"/>
  <c r="Z20" i="5"/>
  <c r="Y20" i="5"/>
  <c r="Z19" i="5"/>
  <c r="Y19" i="5"/>
  <c r="Z18" i="5"/>
  <c r="Y18" i="5"/>
  <c r="Z17" i="5"/>
  <c r="Y17" i="5"/>
  <c r="Z16" i="5"/>
  <c r="Y16" i="5"/>
  <c r="Z15" i="5"/>
  <c r="Y15" i="5"/>
  <c r="Z14" i="5"/>
  <c r="Y14" i="5"/>
  <c r="Z13" i="5"/>
  <c r="Y13" i="5"/>
  <c r="Z12" i="5"/>
  <c r="Y12" i="5"/>
  <c r="Z11" i="5"/>
  <c r="Y11" i="5"/>
  <c r="Z10" i="5"/>
  <c r="Y10" i="5"/>
  <c r="Z9" i="5"/>
  <c r="Y9" i="5"/>
  <c r="Z8" i="5"/>
  <c r="Y8" i="5"/>
  <c r="Z7" i="5"/>
  <c r="Y7" i="5"/>
  <c r="Z119" i="5"/>
  <c r="Y119" i="5"/>
  <c r="O119" i="5" l="1"/>
  <c r="O118" i="5"/>
  <c r="O117" i="5"/>
  <c r="O116" i="5"/>
  <c r="O115" i="5"/>
  <c r="O114" i="5"/>
  <c r="O113" i="5"/>
  <c r="O112" i="5"/>
  <c r="O111" i="5"/>
  <c r="O110" i="5"/>
  <c r="O109" i="5"/>
  <c r="O108" i="5"/>
  <c r="O107" i="5"/>
  <c r="O106" i="5"/>
  <c r="O105" i="5"/>
  <c r="O104" i="5"/>
  <c r="O103" i="5"/>
  <c r="O102" i="5"/>
  <c r="O101" i="5"/>
  <c r="O100" i="5"/>
  <c r="O99" i="5"/>
  <c r="O98" i="5"/>
  <c r="O97" i="5"/>
  <c r="O96" i="5"/>
  <c r="O95" i="5"/>
  <c r="O94" i="5"/>
  <c r="O93" i="5"/>
  <c r="O92" i="5"/>
  <c r="O91" i="5"/>
  <c r="O90" i="5"/>
  <c r="O89" i="5"/>
  <c r="O88" i="5"/>
  <c r="O87" i="5"/>
  <c r="O86" i="5"/>
  <c r="O85" i="5"/>
  <c r="O84" i="5"/>
  <c r="O83" i="5"/>
  <c r="O82" i="5"/>
  <c r="O81" i="5"/>
  <c r="O80" i="5"/>
  <c r="O79" i="5"/>
  <c r="O78" i="5"/>
  <c r="O77" i="5"/>
  <c r="O76" i="5"/>
  <c r="O75" i="5"/>
  <c r="O74" i="5"/>
  <c r="O73" i="5"/>
  <c r="O72" i="5"/>
  <c r="O71" i="5"/>
  <c r="O70" i="5"/>
  <c r="O69" i="5"/>
  <c r="O68" i="5"/>
  <c r="O67" i="5"/>
  <c r="O66" i="5"/>
  <c r="O65" i="5"/>
  <c r="O64" i="5"/>
  <c r="O63" i="5"/>
  <c r="O62" i="5"/>
  <c r="O61" i="5"/>
  <c r="O60" i="5"/>
  <c r="O59" i="5"/>
  <c r="O58" i="5"/>
  <c r="O57" i="5"/>
  <c r="O56" i="5"/>
  <c r="O55" i="5"/>
  <c r="O54" i="5"/>
  <c r="O53" i="5"/>
  <c r="O52" i="5"/>
  <c r="O51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P7" i="5"/>
  <c r="I36" i="23"/>
  <c r="I35" i="23"/>
  <c r="H36" i="23" l="1"/>
  <c r="H35" i="23"/>
  <c r="AN119" i="5"/>
  <c r="AM119" i="5"/>
  <c r="AN118" i="5"/>
  <c r="AM118" i="5"/>
  <c r="AN117" i="5"/>
  <c r="AM117" i="5"/>
  <c r="AN116" i="5"/>
  <c r="AM116" i="5"/>
  <c r="AN115" i="5"/>
  <c r="AM115" i="5"/>
  <c r="AN114" i="5"/>
  <c r="AM114" i="5"/>
  <c r="AN113" i="5"/>
  <c r="AM113" i="5"/>
  <c r="AN112" i="5"/>
  <c r="AM112" i="5"/>
  <c r="AN111" i="5"/>
  <c r="AM111" i="5"/>
  <c r="AN110" i="5"/>
  <c r="AM110" i="5"/>
  <c r="AN109" i="5"/>
  <c r="AM109" i="5"/>
  <c r="AN108" i="5"/>
  <c r="AM108" i="5"/>
  <c r="AN107" i="5"/>
  <c r="AM107" i="5"/>
  <c r="AN106" i="5"/>
  <c r="AM106" i="5"/>
  <c r="AN105" i="5"/>
  <c r="AM105" i="5"/>
  <c r="AN104" i="5"/>
  <c r="AM104" i="5"/>
  <c r="AN103" i="5"/>
  <c r="AM103" i="5"/>
  <c r="AN102" i="5"/>
  <c r="AM102" i="5"/>
  <c r="AN101" i="5"/>
  <c r="AM101" i="5"/>
  <c r="AN100" i="5"/>
  <c r="AM100" i="5"/>
  <c r="AN99" i="5"/>
  <c r="AM99" i="5"/>
  <c r="AN98" i="5"/>
  <c r="AM98" i="5"/>
  <c r="AN97" i="5"/>
  <c r="AM97" i="5"/>
  <c r="AN96" i="5"/>
  <c r="AM96" i="5"/>
  <c r="AN95" i="5"/>
  <c r="AM95" i="5"/>
  <c r="AN94" i="5"/>
  <c r="AM94" i="5"/>
  <c r="AN93" i="5"/>
  <c r="AM93" i="5"/>
  <c r="AN92" i="5"/>
  <c r="AM92" i="5"/>
  <c r="AN91" i="5"/>
  <c r="AM91" i="5"/>
  <c r="AN90" i="5"/>
  <c r="AM90" i="5"/>
  <c r="AN89" i="5"/>
  <c r="AM89" i="5"/>
  <c r="AN88" i="5"/>
  <c r="AM88" i="5"/>
  <c r="AN87" i="5"/>
  <c r="AM87" i="5"/>
  <c r="AN86" i="5"/>
  <c r="AM86" i="5"/>
  <c r="AN85" i="5"/>
  <c r="AM85" i="5"/>
  <c r="AN84" i="5"/>
  <c r="AM84" i="5"/>
  <c r="AN83" i="5"/>
  <c r="AM83" i="5"/>
  <c r="AN82" i="5"/>
  <c r="AM82" i="5"/>
  <c r="AN81" i="5"/>
  <c r="AM81" i="5"/>
  <c r="AN80" i="5"/>
  <c r="AM80" i="5"/>
  <c r="AN79" i="5"/>
  <c r="AM79" i="5"/>
  <c r="AN78" i="5"/>
  <c r="AM78" i="5"/>
  <c r="AN77" i="5"/>
  <c r="AM77" i="5"/>
  <c r="AN76" i="5"/>
  <c r="AM76" i="5"/>
  <c r="AN75" i="5"/>
  <c r="AM75" i="5"/>
  <c r="AN74" i="5"/>
  <c r="AM74" i="5"/>
  <c r="AN73" i="5"/>
  <c r="AM73" i="5"/>
  <c r="AN72" i="5"/>
  <c r="AM72" i="5"/>
  <c r="AN71" i="5"/>
  <c r="AM71" i="5"/>
  <c r="AN70" i="5"/>
  <c r="AM70" i="5"/>
  <c r="AN69" i="5"/>
  <c r="AM69" i="5"/>
  <c r="AN68" i="5"/>
  <c r="AM68" i="5"/>
  <c r="AN67" i="5"/>
  <c r="AM67" i="5"/>
  <c r="AN66" i="5"/>
  <c r="AM66" i="5"/>
  <c r="AN65" i="5"/>
  <c r="AM65" i="5"/>
  <c r="AN64" i="5"/>
  <c r="AM64" i="5"/>
  <c r="AN63" i="5"/>
  <c r="AM63" i="5"/>
  <c r="AN62" i="5"/>
  <c r="AM62" i="5"/>
  <c r="AN61" i="5"/>
  <c r="AM61" i="5"/>
  <c r="AN60" i="5"/>
  <c r="AM60" i="5"/>
  <c r="AN59" i="5"/>
  <c r="AM59" i="5"/>
  <c r="AN58" i="5"/>
  <c r="AM58" i="5"/>
  <c r="AN57" i="5"/>
  <c r="AM57" i="5"/>
  <c r="AN56" i="5"/>
  <c r="AM56" i="5"/>
  <c r="AN55" i="5"/>
  <c r="AM55" i="5"/>
  <c r="AN54" i="5"/>
  <c r="AM54" i="5"/>
  <c r="AN53" i="5"/>
  <c r="AM53" i="5"/>
  <c r="AN52" i="5"/>
  <c r="AM52" i="5"/>
  <c r="AN51" i="5"/>
  <c r="AM51" i="5"/>
  <c r="AN50" i="5"/>
  <c r="AM50" i="5"/>
  <c r="AN49" i="5"/>
  <c r="AM49" i="5"/>
  <c r="AN48" i="5"/>
  <c r="AM48" i="5"/>
  <c r="AN47" i="5"/>
  <c r="AM47" i="5"/>
  <c r="AN46" i="5"/>
  <c r="AM46" i="5"/>
  <c r="AN45" i="5"/>
  <c r="AM45" i="5"/>
  <c r="AN44" i="5"/>
  <c r="AM44" i="5"/>
  <c r="AN43" i="5"/>
  <c r="AM43" i="5"/>
  <c r="AN42" i="5"/>
  <c r="AM42" i="5"/>
  <c r="AN41" i="5"/>
  <c r="AM41" i="5"/>
  <c r="AN40" i="5"/>
  <c r="AM40" i="5"/>
  <c r="AN39" i="5"/>
  <c r="AM39" i="5"/>
  <c r="AN38" i="5"/>
  <c r="AM38" i="5"/>
  <c r="AN37" i="5"/>
  <c r="AM37" i="5"/>
  <c r="AN36" i="5"/>
  <c r="AM36" i="5"/>
  <c r="AN35" i="5"/>
  <c r="AM35" i="5"/>
  <c r="AN34" i="5"/>
  <c r="AM34" i="5"/>
  <c r="AN33" i="5"/>
  <c r="AM33" i="5"/>
  <c r="AN32" i="5"/>
  <c r="AM32" i="5"/>
  <c r="AN31" i="5"/>
  <c r="AM31" i="5"/>
  <c r="AN30" i="5"/>
  <c r="AM30" i="5"/>
  <c r="AN29" i="5"/>
  <c r="AM29" i="5"/>
  <c r="AN28" i="5"/>
  <c r="AM28" i="5"/>
  <c r="AN27" i="5"/>
  <c r="AM27" i="5"/>
  <c r="AN26" i="5"/>
  <c r="AM26" i="5"/>
  <c r="AN25" i="5"/>
  <c r="AM25" i="5"/>
  <c r="AN24" i="5"/>
  <c r="AM24" i="5"/>
  <c r="AN23" i="5"/>
  <c r="AM23" i="5"/>
  <c r="AN22" i="5"/>
  <c r="AM22" i="5"/>
  <c r="AN21" i="5"/>
  <c r="AM21" i="5"/>
  <c r="AN20" i="5"/>
  <c r="AM20" i="5"/>
  <c r="AN19" i="5"/>
  <c r="AM19" i="5"/>
  <c r="AN18" i="5"/>
  <c r="AM18" i="5"/>
  <c r="AN17" i="5"/>
  <c r="AM17" i="5"/>
  <c r="AN16" i="5"/>
  <c r="AM16" i="5"/>
  <c r="AN15" i="5"/>
  <c r="AM15" i="5"/>
  <c r="AN14" i="5"/>
  <c r="AM14" i="5"/>
  <c r="AN13" i="5"/>
  <c r="AM13" i="5"/>
  <c r="AN12" i="5"/>
  <c r="AM12" i="5"/>
  <c r="AN11" i="5"/>
  <c r="AM11" i="5"/>
  <c r="AN10" i="5"/>
  <c r="AM10" i="5"/>
  <c r="AN9" i="5"/>
  <c r="AM9" i="5"/>
  <c r="AN8" i="5"/>
  <c r="AM8" i="5"/>
  <c r="AN7" i="5"/>
  <c r="AM7" i="5"/>
  <c r="G36" i="23"/>
  <c r="M119" i="5" l="1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4" i="5"/>
  <c r="M103" i="5"/>
  <c r="M102" i="5"/>
  <c r="M101" i="5"/>
  <c r="M100" i="5"/>
  <c r="M99" i="5"/>
  <c r="M98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N119" i="5"/>
  <c r="N118" i="5"/>
  <c r="N117" i="5"/>
  <c r="N116" i="5"/>
  <c r="N115" i="5"/>
  <c r="N114" i="5"/>
  <c r="N113" i="5"/>
  <c r="N112" i="5"/>
  <c r="N111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G35" i="23"/>
  <c r="F134" i="23" l="1"/>
  <c r="N23" i="7" l="1"/>
  <c r="N16" i="7"/>
  <c r="F35" i="23"/>
  <c r="G1" i="5"/>
  <c r="H1" i="5" s="1"/>
  <c r="I1" i="5" s="1"/>
  <c r="K1" i="5"/>
  <c r="L1" i="5" s="1"/>
  <c r="Q1" i="5" s="1"/>
  <c r="S1" i="5"/>
  <c r="T1" i="5" s="1"/>
  <c r="U1" i="5" s="1"/>
  <c r="W1" i="5"/>
  <c r="X1" i="5" s="1"/>
  <c r="AA1" i="5" s="1"/>
  <c r="AE1" i="5"/>
  <c r="AF1" i="5" s="1"/>
  <c r="AI1" i="5" s="1"/>
  <c r="AO1" i="5"/>
  <c r="AP1" i="5" s="1"/>
  <c r="AQ1" i="5" s="1"/>
  <c r="AS1" i="5"/>
  <c r="AT1" i="5" s="1"/>
  <c r="AU1" i="5" s="1"/>
  <c r="AW1" i="5"/>
  <c r="AX1" i="5" s="1"/>
  <c r="AY1" i="5" s="1"/>
  <c r="BA1" i="5"/>
  <c r="BB1" i="5" s="1"/>
  <c r="BC1" i="5" s="1"/>
  <c r="BE1" i="5"/>
  <c r="BF1" i="5" s="1"/>
  <c r="BG1" i="5" s="1"/>
  <c r="BI1" i="5"/>
  <c r="BJ1" i="5" s="1"/>
  <c r="BK1" i="5" s="1"/>
  <c r="BM1" i="5"/>
  <c r="BN1" i="5" s="1"/>
  <c r="BO1" i="5" s="1"/>
  <c r="BQ1" i="5"/>
  <c r="BR1" i="5" s="1"/>
  <c r="BS1" i="5" s="1"/>
  <c r="BU1" i="5"/>
  <c r="BV1" i="5" s="1"/>
  <c r="BW1" i="5" s="1"/>
  <c r="BY1" i="5"/>
  <c r="BZ1" i="5" s="1"/>
  <c r="CA1" i="5" s="1"/>
  <c r="CC1" i="5"/>
  <c r="CD1" i="5" s="1"/>
  <c r="CE1" i="5" s="1"/>
  <c r="CG1" i="5"/>
  <c r="CH1" i="5" s="1"/>
  <c r="CI1" i="5" s="1"/>
  <c r="CK1" i="5"/>
  <c r="CL1" i="5" s="1"/>
  <c r="CM1" i="5" s="1"/>
  <c r="CQ1" i="5"/>
  <c r="CR1" i="5" s="1"/>
  <c r="CS1" i="5" s="1"/>
  <c r="CW1" i="5"/>
  <c r="CX1" i="5" s="1"/>
  <c r="DA1" i="5" s="1"/>
  <c r="DE1" i="5"/>
  <c r="DF1" i="5" s="1"/>
  <c r="DI1" i="5" s="1"/>
  <c r="DK1" i="5"/>
  <c r="DL1" i="5" s="1"/>
  <c r="DO1" i="5" s="1"/>
  <c r="DQ1" i="5"/>
  <c r="DR1" i="5" s="1"/>
  <c r="DS1" i="5" s="1"/>
  <c r="DU1" i="5"/>
  <c r="DV1" i="5" s="1"/>
  <c r="DW1" i="5" s="1"/>
  <c r="DY1" i="5"/>
  <c r="DZ1" i="5" s="1"/>
  <c r="EA1" i="5" s="1"/>
  <c r="EC1" i="5"/>
  <c r="ED1" i="5" s="1"/>
  <c r="C11" i="6" l="1"/>
  <c r="BE132" i="23" l="1"/>
  <c r="BA139" i="23" l="1"/>
  <c r="BA140" i="23" s="1"/>
  <c r="N13" i="19" l="1"/>
  <c r="D12" i="7"/>
  <c r="C13" i="7" l="1"/>
  <c r="G131" i="23" s="1"/>
  <c r="D10" i="8"/>
  <c r="D10" i="22"/>
  <c r="D10" i="21"/>
  <c r="D10" i="19"/>
  <c r="AD131" i="23" l="1"/>
  <c r="AB142" i="23"/>
  <c r="F131" i="23"/>
  <c r="BH131" i="23"/>
  <c r="BI142" i="23"/>
  <c r="AX142" i="23"/>
  <c r="R142" i="23"/>
  <c r="T142" i="23"/>
  <c r="BC142" i="23"/>
  <c r="AJ142" i="23"/>
  <c r="AD142" i="23"/>
  <c r="AC142" i="23"/>
  <c r="BB142" i="23"/>
  <c r="BH142" i="23"/>
  <c r="AT142" i="23"/>
  <c r="N142" i="23"/>
  <c r="BD142" i="23"/>
  <c r="AV142" i="23"/>
  <c r="AH142" i="23"/>
  <c r="AG142" i="23"/>
  <c r="AQ142" i="23"/>
  <c r="AW142" i="23"/>
  <c r="Q142" i="23"/>
  <c r="AS142" i="23"/>
  <c r="I142" i="23"/>
  <c r="BF142" i="23"/>
  <c r="BK142" i="23"/>
  <c r="BG142" i="23"/>
  <c r="X142" i="23"/>
  <c r="AP142" i="23"/>
  <c r="Z142" i="23"/>
  <c r="J142" i="23"/>
  <c r="AO142" i="23"/>
  <c r="Y142" i="23"/>
  <c r="AZ142" i="23"/>
  <c r="AR142" i="23"/>
  <c r="AY142" i="23"/>
  <c r="AI142" i="23"/>
  <c r="S142" i="23"/>
  <c r="C10" i="6"/>
  <c r="BC131" i="23"/>
  <c r="BE142" i="23"/>
  <c r="BJ142" i="23"/>
  <c r="BA142" i="23"/>
  <c r="L142" i="23"/>
  <c r="AL142" i="23"/>
  <c r="V142" i="23"/>
  <c r="F142" i="23"/>
  <c r="AK142" i="23"/>
  <c r="U142" i="23"/>
  <c r="AN142" i="23"/>
  <c r="AF142" i="23"/>
  <c r="AU142" i="23"/>
  <c r="AE142" i="23"/>
  <c r="O142" i="23"/>
  <c r="AA142" i="23"/>
  <c r="K142" i="23"/>
  <c r="M142" i="23"/>
  <c r="P142" i="23"/>
  <c r="H142" i="23"/>
  <c r="AM142" i="23"/>
  <c r="W142" i="23"/>
  <c r="G142" i="23"/>
  <c r="C1" i="5"/>
  <c r="D1" i="5" s="1"/>
  <c r="E1" i="5" s="1"/>
  <c r="B5" i="24"/>
  <c r="B6" i="24" s="1"/>
  <c r="B7" i="24" s="1"/>
  <c r="B8" i="24" s="1"/>
  <c r="B9" i="24" s="1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B23" i="24" s="1"/>
  <c r="B24" i="24" s="1"/>
  <c r="B25" i="24" s="1"/>
  <c r="E30" i="7" l="1"/>
  <c r="F30" i="7" s="1"/>
  <c r="B6" i="23"/>
  <c r="B7" i="23" s="1"/>
  <c r="B8" i="23" s="1"/>
  <c r="B9" i="23" l="1"/>
  <c r="AB8" i="23"/>
  <c r="Z8" i="23"/>
  <c r="G30" i="7"/>
  <c r="AM125" i="22"/>
  <c r="R13" i="22"/>
  <c r="N13" i="22"/>
  <c r="N14" i="22" s="1"/>
  <c r="D13" i="22"/>
  <c r="W12" i="22"/>
  <c r="C10" i="22"/>
  <c r="C9" i="22"/>
  <c r="C8" i="22"/>
  <c r="C7" i="22"/>
  <c r="D7" i="22" s="1"/>
  <c r="B7" i="22"/>
  <c r="D6" i="22"/>
  <c r="T1" i="22"/>
  <c r="U1" i="22" s="1"/>
  <c r="V1" i="22" s="1"/>
  <c r="W1" i="22" s="1"/>
  <c r="X1" i="22" s="1"/>
  <c r="Y1" i="22" s="1"/>
  <c r="Z1" i="22" s="1"/>
  <c r="AA1" i="22" s="1"/>
  <c r="AB1" i="22" s="1"/>
  <c r="AC1" i="22" s="1"/>
  <c r="AD1" i="22" s="1"/>
  <c r="AE1" i="22" s="1"/>
  <c r="AF1" i="22" s="1"/>
  <c r="AG1" i="22" s="1"/>
  <c r="AH1" i="22" s="1"/>
  <c r="AI1" i="22" s="1"/>
  <c r="AJ1" i="22" s="1"/>
  <c r="AK1" i="22" s="1"/>
  <c r="AL1" i="22" s="1"/>
  <c r="AM1" i="22" s="1"/>
  <c r="AN1" i="22" s="1"/>
  <c r="AO1" i="22" s="1"/>
  <c r="AP1" i="22" s="1"/>
  <c r="AQ1" i="22" s="1"/>
  <c r="AR1" i="22" s="1"/>
  <c r="AS1" i="22" s="1"/>
  <c r="AT1" i="22" s="1"/>
  <c r="AU1" i="22" s="1"/>
  <c r="AV1" i="22" s="1"/>
  <c r="AW1" i="22" s="1"/>
  <c r="AX1" i="22" s="1"/>
  <c r="AY1" i="22" s="1"/>
  <c r="AZ1" i="22" s="1"/>
  <c r="BA1" i="22" s="1"/>
  <c r="BB1" i="22" s="1"/>
  <c r="BC1" i="22" s="1"/>
  <c r="BD1" i="22" s="1"/>
  <c r="BE1" i="22" s="1"/>
  <c r="BF1" i="22" s="1"/>
  <c r="BG1" i="22" s="1"/>
  <c r="BH1" i="22" s="1"/>
  <c r="BI1" i="22" s="1"/>
  <c r="BJ1" i="22" s="1"/>
  <c r="BK1" i="22" s="1"/>
  <c r="BL1" i="22" s="1"/>
  <c r="BM1" i="22" s="1"/>
  <c r="BN1" i="22" s="1"/>
  <c r="BO1" i="22" s="1"/>
  <c r="BP1" i="22" s="1"/>
  <c r="BQ1" i="22" s="1"/>
  <c r="BR1" i="22" s="1"/>
  <c r="BS1" i="22" s="1"/>
  <c r="BT1" i="22" s="1"/>
  <c r="BU1" i="22" s="1"/>
  <c r="BV1" i="22" s="1"/>
  <c r="BW1" i="22" s="1"/>
  <c r="BX1" i="22" s="1"/>
  <c r="BY1" i="22" s="1"/>
  <c r="BZ1" i="22" s="1"/>
  <c r="CA1" i="22" s="1"/>
  <c r="CB1" i="22" s="1"/>
  <c r="CC1" i="22" s="1"/>
  <c r="CD1" i="22" s="1"/>
  <c r="CE1" i="22" s="1"/>
  <c r="CF1" i="22" s="1"/>
  <c r="CG1" i="22" s="1"/>
  <c r="AM125" i="21"/>
  <c r="R13" i="21"/>
  <c r="N13" i="21"/>
  <c r="N14" i="21" s="1"/>
  <c r="D13" i="21"/>
  <c r="C10" i="21"/>
  <c r="C9" i="21"/>
  <c r="C8" i="21"/>
  <c r="C7" i="21"/>
  <c r="D7" i="21" s="1"/>
  <c r="B7" i="21"/>
  <c r="D6" i="21"/>
  <c r="T1" i="2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AG1" i="21" s="1"/>
  <c r="AH1" i="21" s="1"/>
  <c r="AI1" i="21" s="1"/>
  <c r="AJ1" i="21" s="1"/>
  <c r="AK1" i="21" s="1"/>
  <c r="AL1" i="21" s="1"/>
  <c r="AM1" i="21" s="1"/>
  <c r="AN1" i="21" s="1"/>
  <c r="AO1" i="21" s="1"/>
  <c r="AP1" i="21" s="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BV1" i="21" s="1"/>
  <c r="BW1" i="21" s="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AM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R13" i="19"/>
  <c r="C13" i="19"/>
  <c r="W12" i="19"/>
  <c r="V12" i="19"/>
  <c r="C10" i="19"/>
  <c r="C9" i="19"/>
  <c r="C8" i="19"/>
  <c r="C7" i="19"/>
  <c r="D7" i="19" s="1"/>
  <c r="B7" i="19"/>
  <c r="D6" i="19"/>
  <c r="T1" i="19"/>
  <c r="U1" i="19" s="1"/>
  <c r="V1" i="19" s="1"/>
  <c r="W1" i="19" s="1"/>
  <c r="X1" i="19" s="1"/>
  <c r="Y1" i="19" s="1"/>
  <c r="Z1" i="19" s="1"/>
  <c r="AA1" i="19" s="1"/>
  <c r="AB1" i="19" s="1"/>
  <c r="AC1" i="19" s="1"/>
  <c r="AD1" i="19" s="1"/>
  <c r="AE1" i="19" s="1"/>
  <c r="AF1" i="19" s="1"/>
  <c r="AG1" i="19" s="1"/>
  <c r="AH1" i="19" s="1"/>
  <c r="AI1" i="19" s="1"/>
  <c r="AJ1" i="19" s="1"/>
  <c r="AK1" i="19" s="1"/>
  <c r="AL1" i="19" s="1"/>
  <c r="AM1" i="19" s="1"/>
  <c r="AN1" i="19" s="1"/>
  <c r="AO1" i="19" s="1"/>
  <c r="AP1" i="19" s="1"/>
  <c r="AQ1" i="19" s="1"/>
  <c r="AR1" i="19" s="1"/>
  <c r="AS1" i="19" s="1"/>
  <c r="AT1" i="19" s="1"/>
  <c r="AU1" i="19" s="1"/>
  <c r="AV1" i="19" s="1"/>
  <c r="AW1" i="19" s="1"/>
  <c r="AX1" i="19" s="1"/>
  <c r="AY1" i="19" s="1"/>
  <c r="AZ1" i="19" s="1"/>
  <c r="BA1" i="19" s="1"/>
  <c r="BB1" i="19" s="1"/>
  <c r="BC1" i="19" s="1"/>
  <c r="BD1" i="19" s="1"/>
  <c r="BE1" i="19" s="1"/>
  <c r="BF1" i="19" s="1"/>
  <c r="BG1" i="19" s="1"/>
  <c r="BH1" i="19" s="1"/>
  <c r="BI1" i="19" s="1"/>
  <c r="BJ1" i="19" s="1"/>
  <c r="BK1" i="19" s="1"/>
  <c r="BL1" i="19" s="1"/>
  <c r="BM1" i="19" s="1"/>
  <c r="BN1" i="19" s="1"/>
  <c r="BO1" i="19" s="1"/>
  <c r="BP1" i="19" s="1"/>
  <c r="BQ1" i="19" s="1"/>
  <c r="BR1" i="19" s="1"/>
  <c r="BS1" i="19" s="1"/>
  <c r="BT1" i="19" s="1"/>
  <c r="BU1" i="19" s="1"/>
  <c r="BV1" i="19" s="1"/>
  <c r="BW1" i="19" s="1"/>
  <c r="BX1" i="19" s="1"/>
  <c r="BY1" i="19" s="1"/>
  <c r="BZ1" i="19" s="1"/>
  <c r="CA1" i="19" s="1"/>
  <c r="CB1" i="19" s="1"/>
  <c r="CC1" i="19" s="1"/>
  <c r="CD1" i="19" s="1"/>
  <c r="CE1" i="19" s="1"/>
  <c r="CF1" i="19" s="1"/>
  <c r="CG1" i="19" s="1"/>
  <c r="CH1" i="19" s="1"/>
  <c r="CH1" i="22" l="1"/>
  <c r="CI1" i="22" s="1"/>
  <c r="CJ1" i="22" s="1"/>
  <c r="CK1" i="22" s="1"/>
  <c r="CL1" i="22" s="1"/>
  <c r="CM1" i="22" s="1"/>
  <c r="CN1" i="22" s="1"/>
  <c r="CO1" i="22" s="1"/>
  <c r="CP1" i="22" s="1"/>
  <c r="CQ1" i="22" s="1"/>
  <c r="CR1" i="22" s="1"/>
  <c r="CS1" i="22" s="1"/>
  <c r="CT1" i="22" s="1"/>
  <c r="CU1" i="22" s="1"/>
  <c r="CV1" i="22" s="1"/>
  <c r="CW1" i="22" s="1"/>
  <c r="CX1" i="22" s="1"/>
  <c r="CY1" i="22" s="1"/>
  <c r="CZ1" i="22" s="1"/>
  <c r="DA1" i="22" s="1"/>
  <c r="R14" i="19"/>
  <c r="B10" i="23"/>
  <c r="AA9" i="23"/>
  <c r="S9" i="23"/>
  <c r="K9" i="23"/>
  <c r="Z9" i="23"/>
  <c r="R9" i="23"/>
  <c r="J9" i="23"/>
  <c r="Q9" i="23"/>
  <c r="F9" i="23"/>
  <c r="Y9" i="23"/>
  <c r="I9" i="23"/>
  <c r="H9" i="23"/>
  <c r="M9" i="23"/>
  <c r="X9" i="23"/>
  <c r="P9" i="23"/>
  <c r="T9" i="23"/>
  <c r="W9" i="23"/>
  <c r="O9" i="23"/>
  <c r="G9" i="23"/>
  <c r="N9" i="23"/>
  <c r="U9" i="23"/>
  <c r="V9" i="23"/>
  <c r="AB9" i="23"/>
  <c r="L9" i="23"/>
  <c r="H30" i="7"/>
  <c r="C11" i="22"/>
  <c r="S12" i="22" s="1"/>
  <c r="J48" i="22"/>
  <c r="AD12" i="22"/>
  <c r="R14" i="22"/>
  <c r="N15" i="22"/>
  <c r="D8" i="22"/>
  <c r="C11" i="21"/>
  <c r="J44" i="21"/>
  <c r="D8" i="21"/>
  <c r="N15" i="21"/>
  <c r="AD12" i="21"/>
  <c r="R14" i="21"/>
  <c r="C11" i="19"/>
  <c r="R15" i="19"/>
  <c r="J44" i="19"/>
  <c r="AD12" i="19"/>
  <c r="D13" i="19"/>
  <c r="N14" i="19"/>
  <c r="D8" i="19"/>
  <c r="S13" i="21" l="1"/>
  <c r="C12" i="21"/>
  <c r="U10" i="23"/>
  <c r="M10" i="23"/>
  <c r="AB10" i="23"/>
  <c r="T10" i="23"/>
  <c r="L10" i="23"/>
  <c r="AA10" i="23"/>
  <c r="S10" i="23"/>
  <c r="K10" i="23"/>
  <c r="Z10" i="23"/>
  <c r="R10" i="23"/>
  <c r="J10" i="23"/>
  <c r="Y10" i="23"/>
  <c r="Q10" i="23"/>
  <c r="I10" i="23"/>
  <c r="X10" i="23"/>
  <c r="P10" i="23"/>
  <c r="H10" i="23"/>
  <c r="W10" i="23"/>
  <c r="O10" i="23"/>
  <c r="G10" i="23"/>
  <c r="V10" i="23"/>
  <c r="N10" i="23"/>
  <c r="B11" i="23"/>
  <c r="F10" i="23"/>
  <c r="S13" i="19"/>
  <c r="I30" i="7"/>
  <c r="S13" i="22"/>
  <c r="S14" i="22"/>
  <c r="R15" i="22"/>
  <c r="N16" i="22"/>
  <c r="S12" i="21"/>
  <c r="S14" i="21"/>
  <c r="N16" i="21"/>
  <c r="R15" i="21"/>
  <c r="S12" i="19"/>
  <c r="S14" i="19"/>
  <c r="S15" i="19"/>
  <c r="N15" i="19"/>
  <c r="R16" i="19"/>
  <c r="CT12" i="21" l="1"/>
  <c r="CT14" i="21"/>
  <c r="CT16" i="21"/>
  <c r="CT18" i="21"/>
  <c r="CT20" i="21"/>
  <c r="CT22" i="21"/>
  <c r="CT24" i="21"/>
  <c r="CT26" i="21"/>
  <c r="CT28" i="21"/>
  <c r="CT30" i="21"/>
  <c r="CT17" i="21"/>
  <c r="CT25" i="21"/>
  <c r="CT34" i="21"/>
  <c r="CT38" i="21"/>
  <c r="CT42" i="21"/>
  <c r="CT19" i="21"/>
  <c r="CT27" i="21"/>
  <c r="CT35" i="21"/>
  <c r="CT39" i="21"/>
  <c r="CT43" i="21"/>
  <c r="CT46" i="21"/>
  <c r="CT48" i="21"/>
  <c r="CT50" i="21"/>
  <c r="CT52" i="21"/>
  <c r="CT54" i="21"/>
  <c r="CT56" i="21"/>
  <c r="CT58" i="21"/>
  <c r="CT60" i="21"/>
  <c r="CT62" i="21"/>
  <c r="CT64" i="21"/>
  <c r="CT66" i="21"/>
  <c r="CT13" i="21"/>
  <c r="CT21" i="21"/>
  <c r="CT29" i="21"/>
  <c r="CT32" i="21"/>
  <c r="CT36" i="21"/>
  <c r="CT40" i="21"/>
  <c r="CT44" i="21"/>
  <c r="CT15" i="21"/>
  <c r="CT23" i="21"/>
  <c r="CT31" i="21"/>
  <c r="CT33" i="21"/>
  <c r="CT37" i="21"/>
  <c r="CT41" i="21"/>
  <c r="CT45" i="21"/>
  <c r="CT47" i="21"/>
  <c r="CT49" i="21"/>
  <c r="CT51" i="21"/>
  <c r="CT53" i="21"/>
  <c r="CT55" i="21"/>
  <c r="CT57" i="21"/>
  <c r="CT59" i="21"/>
  <c r="CT61" i="21"/>
  <c r="CT63" i="21"/>
  <c r="CT65" i="21"/>
  <c r="CT67" i="21"/>
  <c r="CT69" i="21"/>
  <c r="CT71" i="21"/>
  <c r="CT73" i="21"/>
  <c r="CT75" i="21"/>
  <c r="CT77" i="21"/>
  <c r="CT79" i="21"/>
  <c r="CT81" i="21"/>
  <c r="CT83" i="21"/>
  <c r="CT85" i="21"/>
  <c r="CT87" i="21"/>
  <c r="CT91" i="21"/>
  <c r="CT93" i="21"/>
  <c r="CT95" i="21"/>
  <c r="CT99" i="21"/>
  <c r="CT98" i="21"/>
  <c r="CT100" i="21"/>
  <c r="CT102" i="21"/>
  <c r="CT68" i="21"/>
  <c r="CT70" i="21"/>
  <c r="CT72" i="21"/>
  <c r="CT74" i="21"/>
  <c r="CT76" i="21"/>
  <c r="CT78" i="21"/>
  <c r="CT80" i="21"/>
  <c r="CT82" i="21"/>
  <c r="CT84" i="21"/>
  <c r="CT86" i="21"/>
  <c r="CT88" i="21"/>
  <c r="CT90" i="21"/>
  <c r="CT92" i="21"/>
  <c r="CT94" i="21"/>
  <c r="CT96" i="21"/>
  <c r="CT89" i="21"/>
  <c r="CT97" i="21"/>
  <c r="CT101" i="21"/>
  <c r="CT103" i="21"/>
  <c r="CT104" i="21"/>
  <c r="CT108" i="21"/>
  <c r="CT112" i="21"/>
  <c r="CT116" i="21"/>
  <c r="CT120" i="21"/>
  <c r="CT124" i="21"/>
  <c r="CT105" i="21"/>
  <c r="CT109" i="21"/>
  <c r="CT113" i="21"/>
  <c r="CT117" i="21"/>
  <c r="CT121" i="21"/>
  <c r="CT106" i="21"/>
  <c r="CT110" i="21"/>
  <c r="CT114" i="21"/>
  <c r="CT118" i="21"/>
  <c r="CT122" i="21"/>
  <c r="CT107" i="21"/>
  <c r="CT111" i="21"/>
  <c r="CT115" i="21"/>
  <c r="CT119" i="21"/>
  <c r="CT123" i="21"/>
  <c r="W11" i="23"/>
  <c r="O11" i="23"/>
  <c r="G11" i="23"/>
  <c r="V11" i="23"/>
  <c r="N11" i="23"/>
  <c r="U11" i="23"/>
  <c r="M11" i="23"/>
  <c r="AB11" i="23"/>
  <c r="T11" i="23"/>
  <c r="L11" i="23"/>
  <c r="AA11" i="23"/>
  <c r="S11" i="23"/>
  <c r="K11" i="23"/>
  <c r="Z11" i="23"/>
  <c r="R11" i="23"/>
  <c r="J11" i="23"/>
  <c r="Y11" i="23"/>
  <c r="Q11" i="23"/>
  <c r="I11" i="23"/>
  <c r="X11" i="23"/>
  <c r="P11" i="23"/>
  <c r="H11" i="23"/>
  <c r="B12" i="23"/>
  <c r="F11" i="23"/>
  <c r="J30" i="7"/>
  <c r="S15" i="22"/>
  <c r="R16" i="22"/>
  <c r="N17" i="22"/>
  <c r="R16" i="21"/>
  <c r="S15" i="21"/>
  <c r="N17" i="21"/>
  <c r="R17" i="19"/>
  <c r="S16" i="19"/>
  <c r="N16" i="19"/>
  <c r="Y12" i="23" l="1"/>
  <c r="Q12" i="23"/>
  <c r="I12" i="23"/>
  <c r="X12" i="23"/>
  <c r="P12" i="23"/>
  <c r="H12" i="23"/>
  <c r="W12" i="23"/>
  <c r="O12" i="23"/>
  <c r="G12" i="23"/>
  <c r="V12" i="23"/>
  <c r="N12" i="23"/>
  <c r="U12" i="23"/>
  <c r="M12" i="23"/>
  <c r="AB12" i="23"/>
  <c r="T12" i="23"/>
  <c r="L12" i="23"/>
  <c r="AA12" i="23"/>
  <c r="S12" i="23"/>
  <c r="K12" i="23"/>
  <c r="Z12" i="23"/>
  <c r="R12" i="23"/>
  <c r="J12" i="23"/>
  <c r="F12" i="23"/>
  <c r="B13" i="23"/>
  <c r="K30" i="7"/>
  <c r="S16" i="22"/>
  <c r="R17" i="22"/>
  <c r="N18" i="22"/>
  <c r="N18" i="21"/>
  <c r="R17" i="21"/>
  <c r="S16" i="21"/>
  <c r="N17" i="19"/>
  <c r="R18" i="19"/>
  <c r="S17" i="19"/>
  <c r="AA13" i="23" l="1"/>
  <c r="S13" i="23"/>
  <c r="K13" i="23"/>
  <c r="Z13" i="23"/>
  <c r="R13" i="23"/>
  <c r="J13" i="23"/>
  <c r="Y13" i="23"/>
  <c r="Q13" i="23"/>
  <c r="I13" i="23"/>
  <c r="X13" i="23"/>
  <c r="P13" i="23"/>
  <c r="H13" i="23"/>
  <c r="W13" i="23"/>
  <c r="O13" i="23"/>
  <c r="G13" i="23"/>
  <c r="V13" i="23"/>
  <c r="N13" i="23"/>
  <c r="U13" i="23"/>
  <c r="M13" i="23"/>
  <c r="AB13" i="23"/>
  <c r="T13" i="23"/>
  <c r="L13" i="23"/>
  <c r="F13" i="23"/>
  <c r="B14" i="23"/>
  <c r="L30" i="7"/>
  <c r="S17" i="22"/>
  <c r="R18" i="22"/>
  <c r="N19" i="22"/>
  <c r="R18" i="21"/>
  <c r="S17" i="21"/>
  <c r="N19" i="21"/>
  <c r="N18" i="19"/>
  <c r="R19" i="19"/>
  <c r="S18" i="19"/>
  <c r="U14" i="23" l="1"/>
  <c r="M14" i="23"/>
  <c r="AB14" i="23"/>
  <c r="T14" i="23"/>
  <c r="L14" i="23"/>
  <c r="AA14" i="23"/>
  <c r="S14" i="23"/>
  <c r="K14" i="23"/>
  <c r="Z14" i="23"/>
  <c r="R14" i="23"/>
  <c r="J14" i="23"/>
  <c r="Y14" i="23"/>
  <c r="Q14" i="23"/>
  <c r="I14" i="23"/>
  <c r="X14" i="23"/>
  <c r="P14" i="23"/>
  <c r="H14" i="23"/>
  <c r="W14" i="23"/>
  <c r="O14" i="23"/>
  <c r="G14" i="23"/>
  <c r="V14" i="23"/>
  <c r="N14" i="23"/>
  <c r="F14" i="23"/>
  <c r="B15" i="23"/>
  <c r="M30" i="7"/>
  <c r="S18" i="22"/>
  <c r="R19" i="22"/>
  <c r="N20" i="22"/>
  <c r="N20" i="21"/>
  <c r="R19" i="21"/>
  <c r="S18" i="21"/>
  <c r="R20" i="19"/>
  <c r="S19" i="19"/>
  <c r="N19" i="19"/>
  <c r="W15" i="23" l="1"/>
  <c r="O15" i="23"/>
  <c r="G15" i="23"/>
  <c r="V15" i="23"/>
  <c r="N15" i="23"/>
  <c r="U15" i="23"/>
  <c r="M15" i="23"/>
  <c r="T15" i="23"/>
  <c r="L15" i="23"/>
  <c r="AB15" i="23"/>
  <c r="S15" i="23"/>
  <c r="K15" i="23"/>
  <c r="AA15" i="23"/>
  <c r="R15" i="23"/>
  <c r="J15" i="23"/>
  <c r="Z15" i="23"/>
  <c r="Q15" i="23"/>
  <c r="I15" i="23"/>
  <c r="X15" i="23"/>
  <c r="Y15" i="23"/>
  <c r="P15" i="23"/>
  <c r="H15" i="23"/>
  <c r="B16" i="23"/>
  <c r="F15" i="23"/>
  <c r="N30" i="7"/>
  <c r="S19" i="22"/>
  <c r="R20" i="22"/>
  <c r="N21" i="22"/>
  <c r="R20" i="21"/>
  <c r="S19" i="21"/>
  <c r="N21" i="21"/>
  <c r="N20" i="19"/>
  <c r="R21" i="19"/>
  <c r="S20" i="19"/>
  <c r="Z16" i="23" l="1"/>
  <c r="R16" i="23"/>
  <c r="J16" i="23"/>
  <c r="Y16" i="23"/>
  <c r="Q16" i="23"/>
  <c r="I16" i="23"/>
  <c r="X16" i="23"/>
  <c r="P16" i="23"/>
  <c r="H16" i="23"/>
  <c r="W16" i="23"/>
  <c r="O16" i="23"/>
  <c r="G16" i="23"/>
  <c r="V16" i="23"/>
  <c r="N16" i="23"/>
  <c r="U16" i="23"/>
  <c r="M16" i="23"/>
  <c r="AB16" i="23"/>
  <c r="T16" i="23"/>
  <c r="L16" i="23"/>
  <c r="AA16" i="23"/>
  <c r="S16" i="23"/>
  <c r="K16" i="23"/>
  <c r="F16" i="23"/>
  <c r="B17" i="23"/>
  <c r="B18" i="23" s="1"/>
  <c r="O30" i="7"/>
  <c r="S20" i="22"/>
  <c r="R21" i="22"/>
  <c r="N22" i="22"/>
  <c r="N22" i="21"/>
  <c r="R21" i="21"/>
  <c r="S20" i="21"/>
  <c r="N21" i="19"/>
  <c r="R22" i="19"/>
  <c r="S21" i="19"/>
  <c r="K18" i="23" l="1"/>
  <c r="S18" i="23"/>
  <c r="L18" i="23"/>
  <c r="T18" i="23"/>
  <c r="W18" i="23"/>
  <c r="M18" i="23"/>
  <c r="U18" i="23"/>
  <c r="V18" i="23"/>
  <c r="N18" i="23"/>
  <c r="O18" i="23"/>
  <c r="P18" i="23"/>
  <c r="Q18" i="23"/>
  <c r="R18" i="23"/>
  <c r="B19" i="23"/>
  <c r="Y19" i="23" s="1"/>
  <c r="I18" i="23"/>
  <c r="H18" i="23"/>
  <c r="G18" i="23"/>
  <c r="F18" i="23"/>
  <c r="AB18" i="23"/>
  <c r="AA18" i="23"/>
  <c r="J18" i="23"/>
  <c r="Y18" i="23"/>
  <c r="X18" i="23"/>
  <c r="Z18" i="23"/>
  <c r="AB17" i="23"/>
  <c r="T17" i="23"/>
  <c r="L17" i="23"/>
  <c r="AA17" i="23"/>
  <c r="S17" i="23"/>
  <c r="K17" i="23"/>
  <c r="Z17" i="23"/>
  <c r="R17" i="23"/>
  <c r="J17" i="23"/>
  <c r="Y17" i="23"/>
  <c r="Q17" i="23"/>
  <c r="I17" i="23"/>
  <c r="X17" i="23"/>
  <c r="P17" i="23"/>
  <c r="H17" i="23"/>
  <c r="W17" i="23"/>
  <c r="O17" i="23"/>
  <c r="G17" i="23"/>
  <c r="V17" i="23"/>
  <c r="N17" i="23"/>
  <c r="U17" i="23"/>
  <c r="M17" i="23"/>
  <c r="F17" i="23"/>
  <c r="P30" i="7"/>
  <c r="S21" i="22"/>
  <c r="R22" i="22"/>
  <c r="N23" i="22"/>
  <c r="N23" i="21"/>
  <c r="R22" i="21"/>
  <c r="S21" i="21"/>
  <c r="R23" i="19"/>
  <c r="S22" i="19"/>
  <c r="N22" i="19"/>
  <c r="T19" i="23" l="1"/>
  <c r="M19" i="23"/>
  <c r="R19" i="23"/>
  <c r="S19" i="23"/>
  <c r="W19" i="23"/>
  <c r="P19" i="23"/>
  <c r="J19" i="23"/>
  <c r="K19" i="23"/>
  <c r="V19" i="23"/>
  <c r="L19" i="23"/>
  <c r="N19" i="23"/>
  <c r="Q19" i="23"/>
  <c r="O19" i="23"/>
  <c r="U19" i="23"/>
  <c r="AA19" i="23"/>
  <c r="Z19" i="23"/>
  <c r="AB19" i="23"/>
  <c r="X19" i="23"/>
  <c r="B20" i="23"/>
  <c r="H19" i="23"/>
  <c r="I19" i="23"/>
  <c r="G19" i="23"/>
  <c r="F19" i="23"/>
  <c r="Q30" i="7"/>
  <c r="S22" i="22"/>
  <c r="R23" i="22"/>
  <c r="R24" i="22" s="1"/>
  <c r="N24" i="22"/>
  <c r="R23" i="21"/>
  <c r="S22" i="21"/>
  <c r="N24" i="21"/>
  <c r="N23" i="19"/>
  <c r="R24" i="19"/>
  <c r="S23" i="19"/>
  <c r="N20" i="23" l="1"/>
  <c r="V20" i="23"/>
  <c r="O20" i="23"/>
  <c r="W20" i="23"/>
  <c r="Q20" i="23"/>
  <c r="S20" i="23"/>
  <c r="T20" i="23"/>
  <c r="P20" i="23"/>
  <c r="J20" i="23"/>
  <c r="K20" i="23"/>
  <c r="L20" i="23"/>
  <c r="U20" i="23"/>
  <c r="R20" i="23"/>
  <c r="M20" i="23"/>
  <c r="B22" i="23"/>
  <c r="B23" i="23" s="1"/>
  <c r="B24" i="23" s="1"/>
  <c r="B25" i="23" s="1"/>
  <c r="B26" i="23" s="1"/>
  <c r="B27" i="23" s="1"/>
  <c r="B28" i="23" s="1"/>
  <c r="B29" i="23" s="1"/>
  <c r="B30" i="23" s="1"/>
  <c r="B31" i="23" s="1"/>
  <c r="B32" i="23" s="1"/>
  <c r="B33" i="23" s="1"/>
  <c r="B34" i="23" s="1"/>
  <c r="B35" i="23" s="1"/>
  <c r="B36" i="23" s="1"/>
  <c r="B37" i="23" s="1"/>
  <c r="B38" i="23" s="1"/>
  <c r="B39" i="23" s="1"/>
  <c r="B40" i="23" s="1"/>
  <c r="B41" i="23" s="1"/>
  <c r="B42" i="23" s="1"/>
  <c r="B43" i="23" s="1"/>
  <c r="B44" i="23" s="1"/>
  <c r="B45" i="23" s="1"/>
  <c r="B46" i="23" s="1"/>
  <c r="B47" i="23" s="1"/>
  <c r="B48" i="23" s="1"/>
  <c r="B49" i="23" s="1"/>
  <c r="B50" i="23" s="1"/>
  <c r="B51" i="23" s="1"/>
  <c r="B52" i="23" s="1"/>
  <c r="B53" i="23" s="1"/>
  <c r="B54" i="23" s="1"/>
  <c r="B55" i="23" s="1"/>
  <c r="B56" i="23" s="1"/>
  <c r="B57" i="23" s="1"/>
  <c r="B58" i="23" s="1"/>
  <c r="B59" i="23" s="1"/>
  <c r="B60" i="23" s="1"/>
  <c r="B61" i="23" s="1"/>
  <c r="B62" i="23" s="1"/>
  <c r="B63" i="23" s="1"/>
  <c r="B64" i="23" s="1"/>
  <c r="B65" i="23" s="1"/>
  <c r="B66" i="23" s="1"/>
  <c r="B67" i="23" s="1"/>
  <c r="B68" i="23" s="1"/>
  <c r="B69" i="23" s="1"/>
  <c r="B70" i="23" s="1"/>
  <c r="B71" i="23" s="1"/>
  <c r="B72" i="23" s="1"/>
  <c r="B73" i="23" s="1"/>
  <c r="B74" i="23" s="1"/>
  <c r="B75" i="23" s="1"/>
  <c r="B76" i="23" s="1"/>
  <c r="B77" i="23" s="1"/>
  <c r="B78" i="23" s="1"/>
  <c r="B79" i="23" s="1"/>
  <c r="B80" i="23" s="1"/>
  <c r="B81" i="23" s="1"/>
  <c r="B82" i="23" s="1"/>
  <c r="B83" i="23" s="1"/>
  <c r="B84" i="23" s="1"/>
  <c r="B85" i="23" s="1"/>
  <c r="B86" i="23" s="1"/>
  <c r="B87" i="23" s="1"/>
  <c r="B88" i="23" s="1"/>
  <c r="B89" i="23" s="1"/>
  <c r="B90" i="23" s="1"/>
  <c r="B91" i="23" s="1"/>
  <c r="B92" i="23" s="1"/>
  <c r="B93" i="23" s="1"/>
  <c r="B94" i="23" s="1"/>
  <c r="B95" i="23" s="1"/>
  <c r="B96" i="23" s="1"/>
  <c r="B97" i="23" s="1"/>
  <c r="B98" i="23" s="1"/>
  <c r="B99" i="23" s="1"/>
  <c r="B100" i="23" s="1"/>
  <c r="B101" i="23" s="1"/>
  <c r="B102" i="23" s="1"/>
  <c r="B103" i="23" s="1"/>
  <c r="B104" i="23" s="1"/>
  <c r="B105" i="23" s="1"/>
  <c r="I20" i="23"/>
  <c r="H20" i="23"/>
  <c r="G20" i="23"/>
  <c r="F20" i="23"/>
  <c r="S23" i="22"/>
  <c r="R25" i="22"/>
  <c r="S24" i="22"/>
  <c r="N25" i="22"/>
  <c r="R24" i="21"/>
  <c r="S23" i="21"/>
  <c r="N25" i="21"/>
  <c r="N24" i="19"/>
  <c r="R25" i="19"/>
  <c r="S24" i="19"/>
  <c r="N26" i="22" l="1"/>
  <c r="R26" i="22"/>
  <c r="S25" i="22"/>
  <c r="R25" i="21"/>
  <c r="S24" i="21"/>
  <c r="N26" i="21"/>
  <c r="R26" i="19"/>
  <c r="S25" i="19"/>
  <c r="N25" i="19"/>
  <c r="R27" i="22" l="1"/>
  <c r="S26" i="22"/>
  <c r="N27" i="22"/>
  <c r="N27" i="21"/>
  <c r="R26" i="21"/>
  <c r="S25" i="21"/>
  <c r="R27" i="19"/>
  <c r="S26" i="19"/>
  <c r="N26" i="19"/>
  <c r="N28" i="22" l="1"/>
  <c r="R28" i="22"/>
  <c r="S27" i="22"/>
  <c r="N28" i="21"/>
  <c r="R27" i="21"/>
  <c r="S26" i="21"/>
  <c r="N27" i="19"/>
  <c r="R28" i="19"/>
  <c r="S27" i="19"/>
  <c r="R29" i="22" l="1"/>
  <c r="S28" i="22"/>
  <c r="N29" i="22"/>
  <c r="R28" i="21"/>
  <c r="S27" i="21"/>
  <c r="N29" i="21"/>
  <c r="R29" i="19"/>
  <c r="S28" i="19"/>
  <c r="N28" i="19"/>
  <c r="N30" i="22" l="1"/>
  <c r="R30" i="22"/>
  <c r="S29" i="22"/>
  <c r="N30" i="21"/>
  <c r="R29" i="21"/>
  <c r="S28" i="21"/>
  <c r="R30" i="19"/>
  <c r="S29" i="19"/>
  <c r="N29" i="19"/>
  <c r="R31" i="22" l="1"/>
  <c r="S30" i="22"/>
  <c r="N31" i="22"/>
  <c r="R30" i="21"/>
  <c r="S29" i="21"/>
  <c r="N31" i="21"/>
  <c r="N30" i="19"/>
  <c r="R31" i="19"/>
  <c r="S30" i="19"/>
  <c r="N32" i="22" l="1"/>
  <c r="R32" i="22"/>
  <c r="S31" i="22"/>
  <c r="N32" i="21"/>
  <c r="R31" i="21"/>
  <c r="S30" i="21"/>
  <c r="R32" i="19"/>
  <c r="S31" i="19"/>
  <c r="N31" i="19"/>
  <c r="R33" i="22" l="1"/>
  <c r="S32" i="22"/>
  <c r="N33" i="22"/>
  <c r="R32" i="21"/>
  <c r="S31" i="21"/>
  <c r="N33" i="21"/>
  <c r="N32" i="19"/>
  <c r="R33" i="19"/>
  <c r="S32" i="19"/>
  <c r="N34" i="22" l="1"/>
  <c r="R34" i="22"/>
  <c r="S33" i="22"/>
  <c r="N34" i="21"/>
  <c r="R33" i="21"/>
  <c r="S32" i="21"/>
  <c r="R34" i="19"/>
  <c r="S33" i="19"/>
  <c r="N33" i="19"/>
  <c r="R35" i="22" l="1"/>
  <c r="S34" i="22"/>
  <c r="N35" i="22"/>
  <c r="R34" i="21"/>
  <c r="S33" i="21"/>
  <c r="N35" i="21"/>
  <c r="N34" i="19"/>
  <c r="R35" i="19"/>
  <c r="S34" i="19"/>
  <c r="N36" i="22" l="1"/>
  <c r="R36" i="22"/>
  <c r="S35" i="22"/>
  <c r="N36" i="21"/>
  <c r="R35" i="21"/>
  <c r="S34" i="21"/>
  <c r="N35" i="19"/>
  <c r="R36" i="19"/>
  <c r="S35" i="19"/>
  <c r="R37" i="22" l="1"/>
  <c r="S36" i="22"/>
  <c r="N37" i="22"/>
  <c r="R36" i="21"/>
  <c r="S35" i="21"/>
  <c r="N37" i="21"/>
  <c r="R37" i="19"/>
  <c r="S36" i="19"/>
  <c r="N36" i="19"/>
  <c r="N38" i="22" l="1"/>
  <c r="R38" i="22"/>
  <c r="S37" i="22"/>
  <c r="R37" i="21"/>
  <c r="S36" i="21"/>
  <c r="N38" i="21"/>
  <c r="R38" i="19"/>
  <c r="S37" i="19"/>
  <c r="N37" i="19"/>
  <c r="R39" i="22" l="1"/>
  <c r="S38" i="22"/>
  <c r="N39" i="22"/>
  <c r="N39" i="21"/>
  <c r="R38" i="21"/>
  <c r="S37" i="21"/>
  <c r="N38" i="19"/>
  <c r="R39" i="19"/>
  <c r="S38" i="19"/>
  <c r="N40" i="22" l="1"/>
  <c r="R40" i="22"/>
  <c r="S39" i="22"/>
  <c r="R39" i="21"/>
  <c r="S38" i="21"/>
  <c r="N40" i="21"/>
  <c r="R40" i="19"/>
  <c r="S39" i="19"/>
  <c r="N39" i="19"/>
  <c r="R41" i="22" l="1"/>
  <c r="S40" i="22"/>
  <c r="N41" i="22"/>
  <c r="N41" i="21"/>
  <c r="R40" i="21"/>
  <c r="S39" i="21"/>
  <c r="N40" i="19"/>
  <c r="R41" i="19"/>
  <c r="S40" i="19"/>
  <c r="N42" i="22" l="1"/>
  <c r="R42" i="22"/>
  <c r="S41" i="22"/>
  <c r="N42" i="21"/>
  <c r="R41" i="21"/>
  <c r="S40" i="21"/>
  <c r="N41" i="19"/>
  <c r="R42" i="19"/>
  <c r="S41" i="19"/>
  <c r="R43" i="22" l="1"/>
  <c r="S42" i="22"/>
  <c r="N43" i="22"/>
  <c r="N43" i="21"/>
  <c r="R42" i="21"/>
  <c r="S41" i="21"/>
  <c r="R43" i="19"/>
  <c r="S42" i="19"/>
  <c r="N42" i="19"/>
  <c r="N44" i="22" l="1"/>
  <c r="R44" i="22"/>
  <c r="S43" i="22"/>
  <c r="N44" i="21"/>
  <c r="R43" i="21"/>
  <c r="S42" i="21"/>
  <c r="N43" i="19"/>
  <c r="R44" i="19"/>
  <c r="S43" i="19"/>
  <c r="R45" i="22" l="1"/>
  <c r="S44" i="22"/>
  <c r="N45" i="22"/>
  <c r="R44" i="21"/>
  <c r="S43" i="21"/>
  <c r="N45" i="21"/>
  <c r="N44" i="19"/>
  <c r="R45" i="19"/>
  <c r="S44" i="19"/>
  <c r="N46" i="22" l="1"/>
  <c r="R46" i="22"/>
  <c r="S45" i="22"/>
  <c r="R45" i="21"/>
  <c r="S44" i="21"/>
  <c r="N46" i="21"/>
  <c r="N45" i="19"/>
  <c r="R46" i="19"/>
  <c r="S45" i="19"/>
  <c r="R47" i="22" l="1"/>
  <c r="S46" i="22"/>
  <c r="N47" i="22"/>
  <c r="N47" i="21"/>
  <c r="R46" i="21"/>
  <c r="S45" i="21"/>
  <c r="R47" i="19"/>
  <c r="S46" i="19"/>
  <c r="N46" i="19"/>
  <c r="N48" i="22" l="1"/>
  <c r="R48" i="22"/>
  <c r="S47" i="22"/>
  <c r="R47" i="21"/>
  <c r="S46" i="21"/>
  <c r="N48" i="21"/>
  <c r="N47" i="19"/>
  <c r="R48" i="19"/>
  <c r="S47" i="19"/>
  <c r="R49" i="22" l="1"/>
  <c r="S48" i="22"/>
  <c r="N49" i="22"/>
  <c r="R48" i="21"/>
  <c r="S47" i="21"/>
  <c r="N49" i="21"/>
  <c r="R49" i="19"/>
  <c r="S48" i="19"/>
  <c r="N48" i="19"/>
  <c r="N50" i="22" l="1"/>
  <c r="R50" i="22"/>
  <c r="S49" i="22"/>
  <c r="N50" i="21"/>
  <c r="R49" i="21"/>
  <c r="S48" i="21"/>
  <c r="R50" i="19"/>
  <c r="S49" i="19"/>
  <c r="N49" i="19"/>
  <c r="R51" i="22" l="1"/>
  <c r="S50" i="22"/>
  <c r="N51" i="22"/>
  <c r="R50" i="21"/>
  <c r="S49" i="21"/>
  <c r="N51" i="21"/>
  <c r="R51" i="19"/>
  <c r="S50" i="19"/>
  <c r="N50" i="19"/>
  <c r="N52" i="22" l="1"/>
  <c r="R52" i="22"/>
  <c r="S51" i="22"/>
  <c r="N52" i="21"/>
  <c r="R51" i="21"/>
  <c r="S50" i="21"/>
  <c r="N51" i="19"/>
  <c r="R52" i="19"/>
  <c r="S51" i="19"/>
  <c r="R53" i="22" l="1"/>
  <c r="S52" i="22"/>
  <c r="N53" i="22"/>
  <c r="N53" i="21"/>
  <c r="R52" i="21"/>
  <c r="S51" i="21"/>
  <c r="N52" i="19"/>
  <c r="R53" i="19"/>
  <c r="S52" i="19"/>
  <c r="N54" i="22" l="1"/>
  <c r="R54" i="22"/>
  <c r="S53" i="22"/>
  <c r="R53" i="21"/>
  <c r="S52" i="21"/>
  <c r="N54" i="21"/>
  <c r="N53" i="19"/>
  <c r="R54" i="19"/>
  <c r="S53" i="19"/>
  <c r="R55" i="22" l="1"/>
  <c r="S54" i="22"/>
  <c r="N55" i="22"/>
  <c r="N55" i="21"/>
  <c r="R54" i="21"/>
  <c r="S53" i="21"/>
  <c r="R55" i="19"/>
  <c r="S54" i="19"/>
  <c r="N54" i="19"/>
  <c r="N56" i="22" l="1"/>
  <c r="R56" i="22"/>
  <c r="S55" i="22"/>
  <c r="R55" i="21"/>
  <c r="S54" i="21"/>
  <c r="N56" i="21"/>
  <c r="N55" i="19"/>
  <c r="R56" i="19"/>
  <c r="S55" i="19"/>
  <c r="R57" i="22" l="1"/>
  <c r="S56" i="22"/>
  <c r="N57" i="22"/>
  <c r="N57" i="21"/>
  <c r="R56" i="21"/>
  <c r="S55" i="21"/>
  <c r="R57" i="19"/>
  <c r="S56" i="19"/>
  <c r="N56" i="19"/>
  <c r="N58" i="22" l="1"/>
  <c r="R58" i="22"/>
  <c r="S57" i="22"/>
  <c r="N58" i="21"/>
  <c r="R57" i="21"/>
  <c r="S56" i="21"/>
  <c r="R58" i="19"/>
  <c r="S57" i="19"/>
  <c r="N57" i="19"/>
  <c r="R59" i="22" l="1"/>
  <c r="S58" i="22"/>
  <c r="N59" i="22"/>
  <c r="N59" i="21"/>
  <c r="R58" i="21"/>
  <c r="S57" i="21"/>
  <c r="R59" i="19"/>
  <c r="S58" i="19"/>
  <c r="N58" i="19"/>
  <c r="R60" i="22" l="1"/>
  <c r="S59" i="22"/>
  <c r="N60" i="22"/>
  <c r="N60" i="21"/>
  <c r="R59" i="21"/>
  <c r="S58" i="21"/>
  <c r="N59" i="19"/>
  <c r="R60" i="19"/>
  <c r="S59" i="19"/>
  <c r="N61" i="22" l="1"/>
  <c r="R61" i="22"/>
  <c r="S60" i="22"/>
  <c r="N61" i="21"/>
  <c r="R60" i="21"/>
  <c r="S59" i="21"/>
  <c r="N60" i="19"/>
  <c r="R61" i="19"/>
  <c r="S60" i="19"/>
  <c r="N62" i="22" l="1"/>
  <c r="R62" i="22"/>
  <c r="S61" i="22"/>
  <c r="N62" i="21"/>
  <c r="R61" i="21"/>
  <c r="S60" i="21"/>
  <c r="N61" i="19"/>
  <c r="R62" i="19"/>
  <c r="S61" i="19"/>
  <c r="N63" i="22" l="1"/>
  <c r="R63" i="22"/>
  <c r="S62" i="22"/>
  <c r="R62" i="21"/>
  <c r="S61" i="21"/>
  <c r="N63" i="21"/>
  <c r="R63" i="19"/>
  <c r="S62" i="19"/>
  <c r="N62" i="19"/>
  <c r="N64" i="22" l="1"/>
  <c r="R64" i="22"/>
  <c r="S63" i="22"/>
  <c r="N64" i="21"/>
  <c r="R63" i="21"/>
  <c r="S62" i="21"/>
  <c r="N63" i="19"/>
  <c r="R64" i="19"/>
  <c r="S63" i="19"/>
  <c r="R65" i="22" l="1"/>
  <c r="S64" i="22"/>
  <c r="N65" i="22"/>
  <c r="N65" i="21"/>
  <c r="R64" i="21"/>
  <c r="S63" i="21"/>
  <c r="R65" i="19"/>
  <c r="S64" i="19"/>
  <c r="N64" i="19"/>
  <c r="N66" i="22" l="1"/>
  <c r="R66" i="22"/>
  <c r="S65" i="22"/>
  <c r="N66" i="21"/>
  <c r="R65" i="21"/>
  <c r="S64" i="21"/>
  <c r="N65" i="19"/>
  <c r="R66" i="19"/>
  <c r="S65" i="19"/>
  <c r="N67" i="22" l="1"/>
  <c r="R67" i="22"/>
  <c r="S66" i="22"/>
  <c r="N67" i="21"/>
  <c r="R66" i="21"/>
  <c r="S65" i="21"/>
  <c r="R67" i="19"/>
  <c r="S66" i="19"/>
  <c r="N66" i="19"/>
  <c r="N68" i="22" l="1"/>
  <c r="R68" i="22"/>
  <c r="S67" i="22"/>
  <c r="R67" i="21"/>
  <c r="S66" i="21"/>
  <c r="N68" i="21"/>
  <c r="N67" i="19"/>
  <c r="R68" i="19"/>
  <c r="S67" i="19"/>
  <c r="R69" i="22" l="1"/>
  <c r="S68" i="22"/>
  <c r="N69" i="22"/>
  <c r="R68" i="21"/>
  <c r="S67" i="21"/>
  <c r="N69" i="21"/>
  <c r="N68" i="19"/>
  <c r="R69" i="19"/>
  <c r="S68" i="19"/>
  <c r="N70" i="22" l="1"/>
  <c r="R70" i="22"/>
  <c r="S69" i="22"/>
  <c r="N70" i="21"/>
  <c r="R69" i="21"/>
  <c r="S68" i="21"/>
  <c r="R70" i="19"/>
  <c r="S69" i="19"/>
  <c r="N69" i="19"/>
  <c r="N71" i="22" l="1"/>
  <c r="R71" i="22"/>
  <c r="S70" i="22"/>
  <c r="N71" i="21"/>
  <c r="R70" i="21"/>
  <c r="S69" i="21"/>
  <c r="N70" i="19"/>
  <c r="R71" i="19"/>
  <c r="S70" i="19"/>
  <c r="N72" i="22" l="1"/>
  <c r="R72" i="22"/>
  <c r="S71" i="22"/>
  <c r="R71" i="21"/>
  <c r="S70" i="21"/>
  <c r="N72" i="21"/>
  <c r="R72" i="19"/>
  <c r="S71" i="19"/>
  <c r="N71" i="19"/>
  <c r="N73" i="22" l="1"/>
  <c r="R73" i="22"/>
  <c r="S72" i="22"/>
  <c r="N73" i="21"/>
  <c r="R72" i="21"/>
  <c r="S71" i="21"/>
  <c r="R73" i="19"/>
  <c r="S72" i="19"/>
  <c r="N72" i="19"/>
  <c r="N74" i="22" l="1"/>
  <c r="R74" i="22"/>
  <c r="S73" i="22"/>
  <c r="R73" i="21"/>
  <c r="S72" i="21"/>
  <c r="N74" i="21"/>
  <c r="R74" i="19"/>
  <c r="S73" i="19"/>
  <c r="N73" i="19"/>
  <c r="R75" i="22" l="1"/>
  <c r="S74" i="22"/>
  <c r="N75" i="22"/>
  <c r="N75" i="21"/>
  <c r="R74" i="21"/>
  <c r="S73" i="21"/>
  <c r="R75" i="19"/>
  <c r="S74" i="19"/>
  <c r="N74" i="19"/>
  <c r="R76" i="22" l="1"/>
  <c r="S75" i="22"/>
  <c r="N76" i="22"/>
  <c r="R75" i="21"/>
  <c r="S74" i="21"/>
  <c r="N76" i="21"/>
  <c r="R76" i="19"/>
  <c r="S75" i="19"/>
  <c r="N75" i="19"/>
  <c r="N77" i="22" l="1"/>
  <c r="R77" i="22"/>
  <c r="S76" i="22"/>
  <c r="N77" i="21"/>
  <c r="R76" i="21"/>
  <c r="S75" i="21"/>
  <c r="N76" i="19"/>
  <c r="R77" i="19"/>
  <c r="S76" i="19"/>
  <c r="R78" i="22" l="1"/>
  <c r="S77" i="22"/>
  <c r="N78" i="22"/>
  <c r="R77" i="21"/>
  <c r="S76" i="21"/>
  <c r="N78" i="21"/>
  <c r="R78" i="19"/>
  <c r="S77" i="19"/>
  <c r="N77" i="19"/>
  <c r="R79" i="22" l="1"/>
  <c r="S78" i="22"/>
  <c r="N79" i="22"/>
  <c r="N79" i="21"/>
  <c r="R78" i="21"/>
  <c r="S77" i="21"/>
  <c r="R79" i="19"/>
  <c r="S78" i="19"/>
  <c r="N78" i="19"/>
  <c r="R80" i="22" l="1"/>
  <c r="S79" i="22"/>
  <c r="N80" i="22"/>
  <c r="R79" i="21"/>
  <c r="S78" i="21"/>
  <c r="N80" i="21"/>
  <c r="R80" i="19"/>
  <c r="S79" i="19"/>
  <c r="N79" i="19"/>
  <c r="N81" i="22" l="1"/>
  <c r="R81" i="22"/>
  <c r="S80" i="22"/>
  <c r="N81" i="21"/>
  <c r="R80" i="21"/>
  <c r="S79" i="21"/>
  <c r="R81" i="19"/>
  <c r="S80" i="19"/>
  <c r="N80" i="19"/>
  <c r="R82" i="22" l="1"/>
  <c r="S81" i="22"/>
  <c r="N82" i="22"/>
  <c r="R81" i="21"/>
  <c r="S80" i="21"/>
  <c r="N82" i="21"/>
  <c r="R82" i="19"/>
  <c r="S81" i="19"/>
  <c r="N81" i="19"/>
  <c r="N83" i="22" l="1"/>
  <c r="R83" i="22"/>
  <c r="S82" i="22"/>
  <c r="R82" i="21"/>
  <c r="S81" i="21"/>
  <c r="N83" i="21"/>
  <c r="N82" i="19"/>
  <c r="R83" i="19"/>
  <c r="S82" i="19"/>
  <c r="R84" i="22" l="1"/>
  <c r="S83" i="22"/>
  <c r="N84" i="22"/>
  <c r="R83" i="21"/>
  <c r="S82" i="21"/>
  <c r="N84" i="21"/>
  <c r="N83" i="19"/>
  <c r="R84" i="19"/>
  <c r="S83" i="19"/>
  <c r="N85" i="22" l="1"/>
  <c r="R85" i="22"/>
  <c r="S84" i="22"/>
  <c r="R84" i="21"/>
  <c r="S83" i="21"/>
  <c r="N85" i="21"/>
  <c r="N84" i="19"/>
  <c r="R85" i="19"/>
  <c r="S84" i="19"/>
  <c r="N86" i="22" l="1"/>
  <c r="R86" i="22"/>
  <c r="S85" i="22"/>
  <c r="R85" i="21"/>
  <c r="S84" i="21"/>
  <c r="N86" i="21"/>
  <c r="R86" i="19"/>
  <c r="S85" i="19"/>
  <c r="N85" i="19"/>
  <c r="N87" i="22" l="1"/>
  <c r="R87" i="22"/>
  <c r="S86" i="22"/>
  <c r="N87" i="21"/>
  <c r="R86" i="21"/>
  <c r="S85" i="21"/>
  <c r="N86" i="19"/>
  <c r="R87" i="19"/>
  <c r="S86" i="19"/>
  <c r="R88" i="22" l="1"/>
  <c r="S87" i="22"/>
  <c r="N88" i="22"/>
  <c r="N88" i="21"/>
  <c r="R87" i="21"/>
  <c r="S86" i="21"/>
  <c r="R88" i="19"/>
  <c r="S87" i="19"/>
  <c r="N87" i="19"/>
  <c r="R89" i="22" l="1"/>
  <c r="S88" i="22"/>
  <c r="N89" i="22"/>
  <c r="N89" i="21"/>
  <c r="R88" i="21"/>
  <c r="S87" i="21"/>
  <c r="R89" i="19"/>
  <c r="S88" i="19"/>
  <c r="N88" i="19"/>
  <c r="R90" i="22" l="1"/>
  <c r="S89" i="22"/>
  <c r="N90" i="22"/>
  <c r="R89" i="21"/>
  <c r="S88" i="21"/>
  <c r="N90" i="21"/>
  <c r="N89" i="19"/>
  <c r="R90" i="19"/>
  <c r="S89" i="19"/>
  <c r="N91" i="22" l="1"/>
  <c r="R91" i="22"/>
  <c r="S90" i="22"/>
  <c r="R90" i="21"/>
  <c r="S89" i="21"/>
  <c r="N91" i="21"/>
  <c r="N90" i="19"/>
  <c r="R91" i="19"/>
  <c r="S90" i="19"/>
  <c r="R92" i="22" l="1"/>
  <c r="S91" i="22"/>
  <c r="N92" i="22"/>
  <c r="N92" i="21"/>
  <c r="R91" i="21"/>
  <c r="S90" i="21"/>
  <c r="N91" i="19"/>
  <c r="R92" i="19"/>
  <c r="S91" i="19"/>
  <c r="R93" i="22" l="1"/>
  <c r="S92" i="22"/>
  <c r="N93" i="22"/>
  <c r="R92" i="21"/>
  <c r="S91" i="21"/>
  <c r="N93" i="21"/>
  <c r="R93" i="19"/>
  <c r="S92" i="19"/>
  <c r="N92" i="19"/>
  <c r="N94" i="22" l="1"/>
  <c r="R94" i="22"/>
  <c r="S93" i="22"/>
  <c r="N94" i="21"/>
  <c r="R93" i="21"/>
  <c r="S92" i="21"/>
  <c r="R94" i="19"/>
  <c r="S93" i="19"/>
  <c r="N93" i="19"/>
  <c r="N95" i="22" l="1"/>
  <c r="R95" i="22"/>
  <c r="S94" i="22"/>
  <c r="R94" i="21"/>
  <c r="S93" i="21"/>
  <c r="N95" i="21"/>
  <c r="R95" i="19"/>
  <c r="S94" i="19"/>
  <c r="N94" i="19"/>
  <c r="N96" i="22" l="1"/>
  <c r="R96" i="22"/>
  <c r="S95" i="22"/>
  <c r="N96" i="21"/>
  <c r="R95" i="21"/>
  <c r="S94" i="21"/>
  <c r="N95" i="19"/>
  <c r="R96" i="19"/>
  <c r="S95" i="19"/>
  <c r="N97" i="22" l="1"/>
  <c r="R97" i="22"/>
  <c r="S96" i="22"/>
  <c r="R96" i="21"/>
  <c r="S95" i="21"/>
  <c r="N97" i="21"/>
  <c r="N96" i="19"/>
  <c r="R97" i="19"/>
  <c r="S96" i="19"/>
  <c r="N98" i="22" l="1"/>
  <c r="R98" i="22"/>
  <c r="S97" i="22"/>
  <c r="N98" i="21"/>
  <c r="R97" i="21"/>
  <c r="S96" i="21"/>
  <c r="N97" i="19"/>
  <c r="R98" i="19"/>
  <c r="S97" i="19"/>
  <c r="R99" i="22" l="1"/>
  <c r="S98" i="22"/>
  <c r="N99" i="22"/>
  <c r="N99" i="21"/>
  <c r="R98" i="21"/>
  <c r="S97" i="21"/>
  <c r="N98" i="19"/>
  <c r="R99" i="19"/>
  <c r="S98" i="19"/>
  <c r="N100" i="22" l="1"/>
  <c r="R100" i="22"/>
  <c r="S99" i="22"/>
  <c r="N100" i="21"/>
  <c r="R99" i="21"/>
  <c r="S98" i="21"/>
  <c r="N99" i="19"/>
  <c r="R100" i="19"/>
  <c r="S99" i="19"/>
  <c r="N101" i="22" l="1"/>
  <c r="R101" i="22"/>
  <c r="S100" i="22"/>
  <c r="N101" i="21"/>
  <c r="R100" i="21"/>
  <c r="S99" i="21"/>
  <c r="R101" i="19"/>
  <c r="S100" i="19"/>
  <c r="N100" i="19"/>
  <c r="R102" i="22" l="1"/>
  <c r="S101" i="22"/>
  <c r="N102" i="22"/>
  <c r="R101" i="21"/>
  <c r="S100" i="21"/>
  <c r="N102" i="21"/>
  <c r="R102" i="19"/>
  <c r="S101" i="19"/>
  <c r="N101" i="19"/>
  <c r="R103" i="22" l="1"/>
  <c r="S102" i="22"/>
  <c r="N103" i="22"/>
  <c r="R102" i="21"/>
  <c r="S101" i="21"/>
  <c r="N103" i="21"/>
  <c r="R103" i="19"/>
  <c r="S102" i="19"/>
  <c r="N102" i="19"/>
  <c r="R104" i="22" l="1"/>
  <c r="S103" i="22"/>
  <c r="N104" i="22"/>
  <c r="N104" i="21"/>
  <c r="R103" i="21"/>
  <c r="S102" i="21"/>
  <c r="N103" i="19"/>
  <c r="R104" i="19"/>
  <c r="S103" i="19"/>
  <c r="R105" i="22" l="1"/>
  <c r="S104" i="22"/>
  <c r="N105" i="22"/>
  <c r="R104" i="21"/>
  <c r="S103" i="21"/>
  <c r="N105" i="21"/>
  <c r="N104" i="19"/>
  <c r="R105" i="19"/>
  <c r="S104" i="19"/>
  <c r="N106" i="22" l="1"/>
  <c r="R106" i="22"/>
  <c r="S105" i="22"/>
  <c r="N106" i="21"/>
  <c r="R105" i="21"/>
  <c r="S104" i="21"/>
  <c r="R106" i="19"/>
  <c r="S105" i="19"/>
  <c r="N105" i="19"/>
  <c r="N107" i="22" l="1"/>
  <c r="R107" i="22"/>
  <c r="S106" i="22"/>
  <c r="R106" i="21"/>
  <c r="S105" i="21"/>
  <c r="N107" i="21"/>
  <c r="R107" i="19"/>
  <c r="S106" i="19"/>
  <c r="N106" i="19"/>
  <c r="N108" i="22" l="1"/>
  <c r="R108" i="22"/>
  <c r="S107" i="22"/>
  <c r="N108" i="21"/>
  <c r="R107" i="21"/>
  <c r="S106" i="21"/>
  <c r="R108" i="19"/>
  <c r="S107" i="19"/>
  <c r="N107" i="19"/>
  <c r="R109" i="22" l="1"/>
  <c r="S108" i="22"/>
  <c r="N109" i="22"/>
  <c r="R108" i="21"/>
  <c r="S107" i="21"/>
  <c r="N109" i="21"/>
  <c r="R109" i="19"/>
  <c r="S108" i="19"/>
  <c r="N108" i="19"/>
  <c r="N110" i="22" l="1"/>
  <c r="R110" i="22"/>
  <c r="S109" i="22"/>
  <c r="R109" i="21"/>
  <c r="S108" i="21"/>
  <c r="N110" i="21"/>
  <c r="N109" i="19"/>
  <c r="R110" i="19"/>
  <c r="S109" i="19"/>
  <c r="N111" i="22" l="1"/>
  <c r="R111" i="22"/>
  <c r="S110" i="22"/>
  <c r="R110" i="21"/>
  <c r="S109" i="21"/>
  <c r="N111" i="21"/>
  <c r="N110" i="19"/>
  <c r="R111" i="19"/>
  <c r="S110" i="19"/>
  <c r="R112" i="22" l="1"/>
  <c r="S111" i="22"/>
  <c r="N112" i="22"/>
  <c r="N112" i="21"/>
  <c r="R111" i="21"/>
  <c r="S110" i="21"/>
  <c r="R112" i="19"/>
  <c r="S111" i="19"/>
  <c r="N111" i="19"/>
  <c r="R113" i="22" l="1"/>
  <c r="S112" i="22"/>
  <c r="N113" i="22"/>
  <c r="R112" i="21"/>
  <c r="S111" i="21"/>
  <c r="N113" i="21"/>
  <c r="N112" i="19"/>
  <c r="R113" i="19"/>
  <c r="S112" i="19"/>
  <c r="N114" i="22" l="1"/>
  <c r="R114" i="22"/>
  <c r="CV113" i="22"/>
  <c r="W113" i="22"/>
  <c r="AD113" i="22"/>
  <c r="S113" i="22"/>
  <c r="N114" i="21"/>
  <c r="R113" i="21"/>
  <c r="S112" i="21"/>
  <c r="R114" i="19"/>
  <c r="W113" i="19"/>
  <c r="AD113" i="19"/>
  <c r="CN113" i="19"/>
  <c r="S113" i="19"/>
  <c r="N113" i="19"/>
  <c r="R115" i="22" l="1"/>
  <c r="CV114" i="22"/>
  <c r="W114" i="22"/>
  <c r="AD114" i="22"/>
  <c r="S114" i="22"/>
  <c r="N115" i="22"/>
  <c r="N115" i="21"/>
  <c r="R114" i="21"/>
  <c r="W113" i="21"/>
  <c r="CN113" i="21"/>
  <c r="AD113" i="21"/>
  <c r="S113" i="21"/>
  <c r="W114" i="19"/>
  <c r="AD114" i="19"/>
  <c r="CN114" i="19"/>
  <c r="R115" i="19"/>
  <c r="S114" i="19"/>
  <c r="N114" i="19"/>
  <c r="N116" i="22" l="1"/>
  <c r="AD115" i="22"/>
  <c r="W115" i="22"/>
  <c r="CV115" i="22"/>
  <c r="R116" i="22"/>
  <c r="S115" i="22"/>
  <c r="R115" i="21"/>
  <c r="W114" i="21"/>
  <c r="CN114" i="21"/>
  <c r="AD114" i="21"/>
  <c r="S114" i="21"/>
  <c r="N116" i="21"/>
  <c r="W115" i="19"/>
  <c r="AD115" i="19"/>
  <c r="CN115" i="19"/>
  <c r="R116" i="19"/>
  <c r="S115" i="19"/>
  <c r="N115" i="19"/>
  <c r="R117" i="22" l="1"/>
  <c r="CV116" i="22"/>
  <c r="W116" i="22"/>
  <c r="AD116" i="22"/>
  <c r="S116" i="22"/>
  <c r="N117" i="22"/>
  <c r="R116" i="21"/>
  <c r="W115" i="21"/>
  <c r="CN115" i="21"/>
  <c r="AD115" i="21"/>
  <c r="S115" i="21"/>
  <c r="N117" i="21"/>
  <c r="N116" i="19"/>
  <c r="AD116" i="19"/>
  <c r="CN116" i="19"/>
  <c r="R117" i="19"/>
  <c r="W116" i="19"/>
  <c r="S116" i="19"/>
  <c r="N118" i="22" l="1"/>
  <c r="AD117" i="22"/>
  <c r="R118" i="22"/>
  <c r="CV117" i="22"/>
  <c r="W117" i="22"/>
  <c r="S117" i="22"/>
  <c r="R117" i="21"/>
  <c r="W116" i="21"/>
  <c r="CN116" i="21"/>
  <c r="AD116" i="21"/>
  <c r="S116" i="21"/>
  <c r="N118" i="21"/>
  <c r="CN117" i="19"/>
  <c r="R118" i="19"/>
  <c r="W117" i="19"/>
  <c r="AD117" i="19"/>
  <c r="S117" i="19"/>
  <c r="N117" i="19"/>
  <c r="N119" i="22" l="1"/>
  <c r="R119" i="22"/>
  <c r="CV118" i="22"/>
  <c r="W118" i="22"/>
  <c r="AD118" i="22"/>
  <c r="S118" i="22"/>
  <c r="W117" i="21"/>
  <c r="CN117" i="21"/>
  <c r="AD117" i="21"/>
  <c r="R118" i="21"/>
  <c r="S117" i="21"/>
  <c r="N119" i="21"/>
  <c r="W118" i="19"/>
  <c r="CN118" i="19"/>
  <c r="AD118" i="19"/>
  <c r="R119" i="19"/>
  <c r="S118" i="19"/>
  <c r="N118" i="19"/>
  <c r="N120" i="22" l="1"/>
  <c r="R120" i="22"/>
  <c r="CV119" i="22"/>
  <c r="W119" i="22"/>
  <c r="AD119" i="22"/>
  <c r="S119" i="22"/>
  <c r="W118" i="21"/>
  <c r="CN118" i="21"/>
  <c r="AD118" i="21"/>
  <c r="R119" i="21"/>
  <c r="S118" i="21"/>
  <c r="N120" i="21"/>
  <c r="N119" i="19"/>
  <c r="W119" i="19"/>
  <c r="AD119" i="19"/>
  <c r="CN119" i="19"/>
  <c r="R120" i="19"/>
  <c r="S119" i="19"/>
  <c r="R121" i="22" l="1"/>
  <c r="CV120" i="22"/>
  <c r="W120" i="22"/>
  <c r="AD120" i="22"/>
  <c r="S120" i="22"/>
  <c r="N121" i="22"/>
  <c r="N121" i="21"/>
  <c r="W119" i="21"/>
  <c r="AD119" i="21"/>
  <c r="CN119" i="21"/>
  <c r="R120" i="21"/>
  <c r="S119" i="21"/>
  <c r="W120" i="19"/>
  <c r="AD120" i="19"/>
  <c r="CN120" i="19"/>
  <c r="R121" i="19"/>
  <c r="S120" i="19"/>
  <c r="N120" i="19"/>
  <c r="AD121" i="22" l="1"/>
  <c r="CV121" i="22"/>
  <c r="W121" i="22"/>
  <c r="R122" i="22"/>
  <c r="S121" i="22"/>
  <c r="N122" i="22"/>
  <c r="W120" i="21"/>
  <c r="AD120" i="21"/>
  <c r="CN120" i="21"/>
  <c r="R121" i="21"/>
  <c r="S120" i="21"/>
  <c r="N122" i="21"/>
  <c r="N121" i="19"/>
  <c r="CN121" i="19"/>
  <c r="AD121" i="19"/>
  <c r="R122" i="19"/>
  <c r="W121" i="19"/>
  <c r="S121" i="19"/>
  <c r="R123" i="22" l="1"/>
  <c r="CV122" i="22"/>
  <c r="W122" i="22"/>
  <c r="AD122" i="22"/>
  <c r="S122" i="22"/>
  <c r="N123" i="22"/>
  <c r="W121" i="21"/>
  <c r="CN121" i="21"/>
  <c r="AD121" i="21"/>
  <c r="R122" i="21"/>
  <c r="S121" i="21"/>
  <c r="N123" i="21"/>
  <c r="AD122" i="19"/>
  <c r="CN122" i="19"/>
  <c r="R123" i="19"/>
  <c r="W122" i="19"/>
  <c r="S122" i="19"/>
  <c r="N122" i="19"/>
  <c r="R124" i="22" l="1"/>
  <c r="CV123" i="22"/>
  <c r="W123" i="22"/>
  <c r="AD123" i="22"/>
  <c r="S123" i="22"/>
  <c r="N124" i="22"/>
  <c r="W122" i="21"/>
  <c r="AD122" i="21"/>
  <c r="CN122" i="21"/>
  <c r="R123" i="21"/>
  <c r="S122" i="21"/>
  <c r="N124" i="21"/>
  <c r="W123" i="19"/>
  <c r="R124" i="19"/>
  <c r="AD123" i="19"/>
  <c r="CN123" i="19"/>
  <c r="S123" i="19"/>
  <c r="N123" i="19"/>
  <c r="CV124" i="22" l="1"/>
  <c r="W124" i="22"/>
  <c r="AD124" i="22"/>
  <c r="S124" i="22"/>
  <c r="W123" i="21"/>
  <c r="AD123" i="21"/>
  <c r="CN123" i="21"/>
  <c r="R124" i="21"/>
  <c r="S123" i="21"/>
  <c r="CN124" i="19"/>
  <c r="W124" i="19"/>
  <c r="AD124" i="19"/>
  <c r="S124" i="19"/>
  <c r="N124" i="19"/>
  <c r="W124" i="21" l="1"/>
  <c r="AD124" i="21"/>
  <c r="CN124" i="21"/>
  <c r="S124" i="21"/>
  <c r="AM125" i="8" l="1"/>
  <c r="W12" i="8"/>
  <c r="R13" i="8" l="1"/>
  <c r="R14" i="8" l="1"/>
  <c r="C8" i="8"/>
  <c r="R15" i="8" l="1"/>
  <c r="R16" i="8" l="1"/>
  <c r="R17" i="8" l="1"/>
  <c r="D9" i="7"/>
  <c r="R18" i="8" l="1"/>
  <c r="B7" i="8"/>
  <c r="R19" i="8" l="1"/>
  <c r="D6" i="8"/>
  <c r="R20" i="8" l="1"/>
  <c r="G32" i="7"/>
  <c r="H32" i="7"/>
  <c r="I32" i="7"/>
  <c r="J32" i="7"/>
  <c r="K32" i="7"/>
  <c r="L32" i="7"/>
  <c r="M32" i="7"/>
  <c r="N32" i="7"/>
  <c r="O32" i="7"/>
  <c r="P32" i="7"/>
  <c r="Q32" i="7"/>
  <c r="F32" i="7"/>
  <c r="C10" i="8"/>
  <c r="R21" i="8" l="1"/>
  <c r="R22" i="8" l="1"/>
  <c r="R23" i="8" l="1"/>
  <c r="R24" i="8" l="1"/>
  <c r="R25" i="8" l="1"/>
  <c r="R26" i="8" l="1"/>
  <c r="R27" i="8" l="1"/>
  <c r="R28" i="8" l="1"/>
  <c r="R29" i="8" l="1"/>
  <c r="C9" i="6"/>
  <c r="R30" i="8" l="1"/>
  <c r="D8" i="17"/>
  <c r="D6" i="17"/>
  <c r="D5" i="17"/>
  <c r="R31" i="8" l="1"/>
  <c r="F23" i="17"/>
  <c r="G23" i="17" s="1"/>
  <c r="H23" i="17" s="1"/>
  <c r="D17" i="17"/>
  <c r="C10" i="17" s="1"/>
  <c r="G20" i="17" s="1"/>
  <c r="C14" i="17" a="1"/>
  <c r="C14" i="17" s="1"/>
  <c r="D12" i="17"/>
  <c r="B7" i="17"/>
  <c r="B2" i="17"/>
  <c r="C9" i="8"/>
  <c r="R32" i="8" l="1"/>
  <c r="I23" i="17"/>
  <c r="C7" i="6"/>
  <c r="C8" i="6"/>
  <c r="D12" i="6"/>
  <c r="D15" i="7"/>
  <c r="R33" i="8" l="1"/>
  <c r="J23" i="17"/>
  <c r="R34" i="8" l="1"/>
  <c r="K23" i="17"/>
  <c r="D8" i="7"/>
  <c r="R35" i="8" l="1"/>
  <c r="L23" i="17"/>
  <c r="C21" i="6"/>
  <c r="C12" i="6"/>
  <c r="N8" i="6"/>
  <c r="D8" i="6"/>
  <c r="Y7" i="6"/>
  <c r="B7" i="6"/>
  <c r="D6" i="6"/>
  <c r="T1" i="6"/>
  <c r="U1" i="6" s="1"/>
  <c r="V1" i="6" s="1"/>
  <c r="W1" i="6" s="1"/>
  <c r="X1" i="6" s="1"/>
  <c r="Y1" i="6" s="1"/>
  <c r="Z1" i="6" s="1"/>
  <c r="AA1" i="6" s="1"/>
  <c r="AB1" i="6" s="1"/>
  <c r="AC1" i="6" s="1"/>
  <c r="AD1" i="6" s="1"/>
  <c r="N13" i="8"/>
  <c r="N14" i="8" s="1"/>
  <c r="N15" i="8" s="1"/>
  <c r="N16" i="8" s="1"/>
  <c r="N17" i="8" s="1"/>
  <c r="N18" i="8" s="1"/>
  <c r="N19" i="8" s="1"/>
  <c r="N20" i="8" s="1"/>
  <c r="N21" i="8" s="1"/>
  <c r="N22" i="8" s="1"/>
  <c r="N23" i="8" s="1"/>
  <c r="N24" i="8" s="1"/>
  <c r="N25" i="8" s="1"/>
  <c r="N26" i="8" s="1"/>
  <c r="N27" i="8" s="1"/>
  <c r="N28" i="8" s="1"/>
  <c r="N29" i="8" s="1"/>
  <c r="N30" i="8" s="1"/>
  <c r="N31" i="8" s="1"/>
  <c r="N32" i="8" s="1"/>
  <c r="N33" i="8" s="1"/>
  <c r="N34" i="8" s="1"/>
  <c r="N35" i="8" s="1"/>
  <c r="N36" i="8" s="1"/>
  <c r="N37" i="8" s="1"/>
  <c r="N38" i="8" s="1"/>
  <c r="N39" i="8" s="1"/>
  <c r="N40" i="8" s="1"/>
  <c r="N41" i="8" s="1"/>
  <c r="N42" i="8" s="1"/>
  <c r="N43" i="8" s="1"/>
  <c r="N44" i="8" s="1"/>
  <c r="N45" i="8" s="1"/>
  <c r="N46" i="8" s="1"/>
  <c r="N47" i="8" s="1"/>
  <c r="N48" i="8" s="1"/>
  <c r="N49" i="8" s="1"/>
  <c r="N50" i="8" s="1"/>
  <c r="N51" i="8" s="1"/>
  <c r="N52" i="8" s="1"/>
  <c r="N53" i="8" s="1"/>
  <c r="N54" i="8" s="1"/>
  <c r="N55" i="8" s="1"/>
  <c r="N56" i="8" s="1"/>
  <c r="N57" i="8" s="1"/>
  <c r="N58" i="8" s="1"/>
  <c r="N59" i="8" s="1"/>
  <c r="N60" i="8" s="1"/>
  <c r="N61" i="8" s="1"/>
  <c r="N62" i="8" s="1"/>
  <c r="N63" i="8" s="1"/>
  <c r="N64" i="8" s="1"/>
  <c r="N65" i="8" s="1"/>
  <c r="N66" i="8" s="1"/>
  <c r="N67" i="8" s="1"/>
  <c r="N68" i="8" s="1"/>
  <c r="N69" i="8" s="1"/>
  <c r="N70" i="8" s="1"/>
  <c r="N71" i="8" s="1"/>
  <c r="N72" i="8" s="1"/>
  <c r="N73" i="8" s="1"/>
  <c r="N74" i="8" s="1"/>
  <c r="N75" i="8" s="1"/>
  <c r="N76" i="8" s="1"/>
  <c r="N77" i="8" s="1"/>
  <c r="N78" i="8" s="1"/>
  <c r="N79" i="8" s="1"/>
  <c r="N80" i="8" s="1"/>
  <c r="N81" i="8" s="1"/>
  <c r="N82" i="8" s="1"/>
  <c r="N83" i="8" s="1"/>
  <c r="N84" i="8" s="1"/>
  <c r="N85" i="8" s="1"/>
  <c r="N86" i="8" s="1"/>
  <c r="N87" i="8" s="1"/>
  <c r="N88" i="8" s="1"/>
  <c r="N89" i="8" s="1"/>
  <c r="N90" i="8" s="1"/>
  <c r="N91" i="8" s="1"/>
  <c r="N92" i="8" s="1"/>
  <c r="N93" i="8" s="1"/>
  <c r="N94" i="8" s="1"/>
  <c r="N95" i="8" s="1"/>
  <c r="N96" i="8" s="1"/>
  <c r="N97" i="8" s="1"/>
  <c r="N98" i="8" s="1"/>
  <c r="N99" i="8" s="1"/>
  <c r="N100" i="8" s="1"/>
  <c r="N101" i="8" s="1"/>
  <c r="N102" i="8" s="1"/>
  <c r="N103" i="8" s="1"/>
  <c r="N104" i="8" s="1"/>
  <c r="N105" i="8" s="1"/>
  <c r="N106" i="8" s="1"/>
  <c r="N107" i="8" s="1"/>
  <c r="N108" i="8" s="1"/>
  <c r="N109" i="8" s="1"/>
  <c r="N110" i="8" s="1"/>
  <c r="N111" i="8" s="1"/>
  <c r="N112" i="8" s="1"/>
  <c r="N113" i="8" s="1"/>
  <c r="N114" i="8" s="1"/>
  <c r="N115" i="8" s="1"/>
  <c r="N116" i="8" s="1"/>
  <c r="N117" i="8" s="1"/>
  <c r="N118" i="8" s="1"/>
  <c r="N119" i="8" s="1"/>
  <c r="N120" i="8" s="1"/>
  <c r="N121" i="8" s="1"/>
  <c r="N122" i="8" s="1"/>
  <c r="N123" i="8" s="1"/>
  <c r="N124" i="8" s="1"/>
  <c r="AD12" i="8"/>
  <c r="C7" i="8"/>
  <c r="D7" i="8" s="1"/>
  <c r="T1" i="8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D10" i="7"/>
  <c r="R36" i="8" l="1"/>
  <c r="N9" i="6"/>
  <c r="N10" i="6" s="1"/>
  <c r="AM1" i="8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D13" i="8"/>
  <c r="P5" i="17"/>
  <c r="P7" i="17"/>
  <c r="I10" i="17"/>
  <c r="I11" i="17"/>
  <c r="P6" i="17"/>
  <c r="D8" i="8"/>
  <c r="CH1" i="8" l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N11" i="6"/>
  <c r="R37" i="8"/>
  <c r="E26" i="17"/>
  <c r="F28" i="17"/>
  <c r="I18" i="17"/>
  <c r="K26" i="17"/>
  <c r="D28" i="17"/>
  <c r="K29" i="17"/>
  <c r="J29" i="17"/>
  <c r="D26" i="17"/>
  <c r="I29" i="17"/>
  <c r="C17" i="6"/>
  <c r="D17" i="6" s="1"/>
  <c r="H18" i="17"/>
  <c r="D29" i="17"/>
  <c r="E28" i="17"/>
  <c r="J28" i="17"/>
  <c r="J27" i="17"/>
  <c r="J30" i="17"/>
  <c r="J31" i="17" s="1"/>
  <c r="I30" i="17"/>
  <c r="I31" i="17" s="1"/>
  <c r="H30" i="17"/>
  <c r="H31" i="17" s="1"/>
  <c r="E27" i="17"/>
  <c r="F30" i="17"/>
  <c r="F31" i="17" s="1"/>
  <c r="L28" i="17"/>
  <c r="I28" i="17"/>
  <c r="J26" i="17"/>
  <c r="I26" i="17"/>
  <c r="I13" i="17"/>
  <c r="H26" i="17"/>
  <c r="H19" i="17"/>
  <c r="L30" i="17"/>
  <c r="L31" i="17" s="1"/>
  <c r="K30" i="17"/>
  <c r="K31" i="17" s="1"/>
  <c r="K28" i="17"/>
  <c r="H29" i="17"/>
  <c r="I20" i="17"/>
  <c r="I8" i="17" s="1"/>
  <c r="I27" i="17"/>
  <c r="H27" i="17"/>
  <c r="G29" i="17"/>
  <c r="G27" i="17"/>
  <c r="I17" i="17"/>
  <c r="L26" i="17"/>
  <c r="I21" i="17"/>
  <c r="G30" i="17"/>
  <c r="G31" i="17" s="1"/>
  <c r="H28" i="17"/>
  <c r="G28" i="17"/>
  <c r="D27" i="17"/>
  <c r="L27" i="17"/>
  <c r="G26" i="17"/>
  <c r="H21" i="17"/>
  <c r="F29" i="17"/>
  <c r="I12" i="17"/>
  <c r="F26" i="17"/>
  <c r="E29" i="17"/>
  <c r="L29" i="17"/>
  <c r="F27" i="17"/>
  <c r="H17" i="17"/>
  <c r="E30" i="17"/>
  <c r="E31" i="17" s="1"/>
  <c r="K27" i="17"/>
  <c r="H20" i="17"/>
  <c r="I7" i="17" s="1"/>
  <c r="I19" i="17"/>
  <c r="S7" i="6"/>
  <c r="N12" i="6" l="1"/>
  <c r="R38" i="8"/>
  <c r="U7" i="6"/>
  <c r="T7" i="6"/>
  <c r="C11" i="8"/>
  <c r="N13" i="6"/>
  <c r="S8" i="6"/>
  <c r="AJ131" i="23" l="1"/>
  <c r="BF131" i="23"/>
  <c r="AA8" i="23" s="1"/>
  <c r="L131" i="23"/>
  <c r="X131" i="23"/>
  <c r="BB131" i="23"/>
  <c r="Y8" i="23" s="1"/>
  <c r="AS131" i="23"/>
  <c r="AH131" i="23"/>
  <c r="V131" i="23"/>
  <c r="J131" i="23"/>
  <c r="I131" i="23"/>
  <c r="R131" i="23"/>
  <c r="AZ131" i="23"/>
  <c r="BA131" i="23"/>
  <c r="AR131" i="23"/>
  <c r="AG131" i="23"/>
  <c r="U131" i="23"/>
  <c r="AY131" i="23"/>
  <c r="AE131" i="23"/>
  <c r="F8" i="23"/>
  <c r="AO131" i="23"/>
  <c r="AP131" i="23"/>
  <c r="S131" i="23"/>
  <c r="AX131" i="23"/>
  <c r="AM131" i="23"/>
  <c r="AC131" i="23"/>
  <c r="P131" i="23"/>
  <c r="M131" i="23"/>
  <c r="AI131" i="23"/>
  <c r="AW131" i="23"/>
  <c r="AL131" i="23"/>
  <c r="AA131" i="23"/>
  <c r="M8" i="23" s="1"/>
  <c r="O131" i="23"/>
  <c r="AV131" i="23"/>
  <c r="Y131" i="23"/>
  <c r="AU131" i="23"/>
  <c r="C12" i="19"/>
  <c r="C12" i="8"/>
  <c r="R39" i="8"/>
  <c r="S12" i="8"/>
  <c r="S26" i="8"/>
  <c r="S22" i="8"/>
  <c r="S30" i="8"/>
  <c r="S24" i="8"/>
  <c r="S17" i="8"/>
  <c r="S34" i="8"/>
  <c r="S13" i="8"/>
  <c r="S32" i="8"/>
  <c r="S25" i="8"/>
  <c r="S21" i="8"/>
  <c r="S38" i="8"/>
  <c r="S23" i="8"/>
  <c r="S33" i="8"/>
  <c r="S16" i="8"/>
  <c r="S20" i="8"/>
  <c r="S29" i="8"/>
  <c r="S15" i="8"/>
  <c r="S28" i="8"/>
  <c r="S37" i="8"/>
  <c r="S19" i="8"/>
  <c r="S31" i="8"/>
  <c r="S36" i="8"/>
  <c r="S27" i="8"/>
  <c r="S18" i="8"/>
  <c r="S35" i="8"/>
  <c r="S14" i="8"/>
  <c r="U8" i="6"/>
  <c r="T8" i="6"/>
  <c r="AB8" i="6" s="1"/>
  <c r="J48" i="8"/>
  <c r="N14" i="6"/>
  <c r="AB7" i="6"/>
  <c r="Y8" i="6"/>
  <c r="V8" i="6"/>
  <c r="S9" i="6"/>
  <c r="J8" i="23" l="1"/>
  <c r="CL12" i="8"/>
  <c r="CL125" i="8"/>
  <c r="V12" i="8"/>
  <c r="CH12" i="8" s="1"/>
  <c r="V13" i="8"/>
  <c r="CH13" i="8" s="1"/>
  <c r="V17" i="8"/>
  <c r="CH17" i="8" s="1"/>
  <c r="V21" i="8"/>
  <c r="CH21" i="8" s="1"/>
  <c r="V25" i="8"/>
  <c r="CH25" i="8" s="1"/>
  <c r="V29" i="8"/>
  <c r="CH29" i="8" s="1"/>
  <c r="V33" i="8"/>
  <c r="CH33" i="8" s="1"/>
  <c r="V37" i="8"/>
  <c r="CH37" i="8" s="1"/>
  <c r="V14" i="8"/>
  <c r="CH14" i="8" s="1"/>
  <c r="V18" i="8"/>
  <c r="CH18" i="8" s="1"/>
  <c r="V22" i="8"/>
  <c r="CH22" i="8" s="1"/>
  <c r="V26" i="8"/>
  <c r="CH26" i="8" s="1"/>
  <c r="V30" i="8"/>
  <c r="CH30" i="8" s="1"/>
  <c r="V34" i="8"/>
  <c r="CH34" i="8" s="1"/>
  <c r="V38" i="8"/>
  <c r="CH38" i="8" s="1"/>
  <c r="V15" i="8"/>
  <c r="CH15" i="8" s="1"/>
  <c r="V19" i="8"/>
  <c r="CH19" i="8" s="1"/>
  <c r="V23" i="8"/>
  <c r="CH23" i="8" s="1"/>
  <c r="V27" i="8"/>
  <c r="CH27" i="8" s="1"/>
  <c r="V31" i="8"/>
  <c r="CH31" i="8" s="1"/>
  <c r="V35" i="8"/>
  <c r="CH35" i="8" s="1"/>
  <c r="V39" i="8"/>
  <c r="CH39" i="8" s="1"/>
  <c r="V16" i="8"/>
  <c r="CH16" i="8" s="1"/>
  <c r="V20" i="8"/>
  <c r="CH20" i="8" s="1"/>
  <c r="V24" i="8"/>
  <c r="CH24" i="8" s="1"/>
  <c r="V28" i="8"/>
  <c r="CH28" i="8" s="1"/>
  <c r="V32" i="8"/>
  <c r="CH32" i="8" s="1"/>
  <c r="V36" i="8"/>
  <c r="CH36" i="8" s="1"/>
  <c r="L8" i="23"/>
  <c r="G8" i="23"/>
  <c r="X8" i="23"/>
  <c r="R8" i="23"/>
  <c r="S8" i="23"/>
  <c r="T8" i="23"/>
  <c r="H8" i="23"/>
  <c r="DA118" i="8"/>
  <c r="V8" i="23"/>
  <c r="K8" i="23"/>
  <c r="I8" i="23"/>
  <c r="U8" i="23"/>
  <c r="Q8" i="23"/>
  <c r="P8" i="23"/>
  <c r="O8" i="23"/>
  <c r="N8" i="23"/>
  <c r="W8" i="23"/>
  <c r="DA122" i="8"/>
  <c r="DA94" i="8"/>
  <c r="DA87" i="8"/>
  <c r="DA52" i="8"/>
  <c r="DA96" i="8"/>
  <c r="DA120" i="8"/>
  <c r="DA59" i="8"/>
  <c r="DA89" i="8"/>
  <c r="DA36" i="8"/>
  <c r="DA45" i="8"/>
  <c r="DA83" i="8"/>
  <c r="DA64" i="8"/>
  <c r="DA121" i="8"/>
  <c r="DA88" i="8"/>
  <c r="DA86" i="8"/>
  <c r="DA31" i="8"/>
  <c r="DA13" i="8"/>
  <c r="DA48" i="8"/>
  <c r="DA72" i="8"/>
  <c r="DA15" i="8"/>
  <c r="DA34" i="8"/>
  <c r="DA101" i="8"/>
  <c r="DA75" i="8"/>
  <c r="DA99" i="8"/>
  <c r="DA62" i="8"/>
  <c r="DA12" i="8"/>
  <c r="DA43" i="8"/>
  <c r="DA67" i="8"/>
  <c r="DA90" i="8"/>
  <c r="DA71" i="8"/>
  <c r="DA24" i="8"/>
  <c r="DA111" i="8"/>
  <c r="DA27" i="8"/>
  <c r="DA51" i="8"/>
  <c r="DA119" i="8"/>
  <c r="DA102" i="8"/>
  <c r="DA33" i="8"/>
  <c r="DA78" i="8"/>
  <c r="DA16" i="8"/>
  <c r="DA41" i="8"/>
  <c r="DA20" i="8"/>
  <c r="DA46" i="8"/>
  <c r="DA109" i="8"/>
  <c r="DA81" i="8"/>
  <c r="DA85" i="8"/>
  <c r="DA95" i="8"/>
  <c r="DA30" i="8"/>
  <c r="DA47" i="8"/>
  <c r="DA17" i="8"/>
  <c r="DA123" i="8"/>
  <c r="DA40" i="8"/>
  <c r="DA57" i="8"/>
  <c r="DA107" i="8"/>
  <c r="DA60" i="8"/>
  <c r="DA22" i="8"/>
  <c r="DA25" i="8"/>
  <c r="DA112" i="8"/>
  <c r="DA73" i="8"/>
  <c r="DA18" i="8"/>
  <c r="DA79" i="8"/>
  <c r="DA49" i="8"/>
  <c r="DA50" i="8"/>
  <c r="DA117" i="8"/>
  <c r="DA97" i="8"/>
  <c r="DA14" i="8"/>
  <c r="DA76" i="8"/>
  <c r="DA84" i="8"/>
  <c r="DA39" i="8"/>
  <c r="DA110" i="8"/>
  <c r="DA44" i="8"/>
  <c r="DA69" i="8"/>
  <c r="DA19" i="8"/>
  <c r="DA98" i="8"/>
  <c r="DA28" i="8"/>
  <c r="DA29" i="8"/>
  <c r="DA113" i="8"/>
  <c r="DA105" i="8"/>
  <c r="DA100" i="8"/>
  <c r="DA55" i="8"/>
  <c r="DA114" i="8"/>
  <c r="DA58" i="8"/>
  <c r="DA68" i="8"/>
  <c r="DA23" i="8"/>
  <c r="DA91" i="8"/>
  <c r="DA108" i="8"/>
  <c r="DA63" i="8"/>
  <c r="DA38" i="8"/>
  <c r="DA32" i="8"/>
  <c r="DA56" i="8"/>
  <c r="DA124" i="8"/>
  <c r="DA65" i="8"/>
  <c r="DA74" i="8"/>
  <c r="DA77" i="8"/>
  <c r="DA37" i="8"/>
  <c r="DA82" i="8"/>
  <c r="DA42" i="8"/>
  <c r="DA106" i="8"/>
  <c r="DA115" i="8"/>
  <c r="DA116" i="8"/>
  <c r="DA66" i="8"/>
  <c r="DA26" i="8"/>
  <c r="DA70" i="8"/>
  <c r="DA35" i="8"/>
  <c r="DA103" i="8"/>
  <c r="DA93" i="8"/>
  <c r="DA53" i="8"/>
  <c r="DA80" i="8"/>
  <c r="DA104" i="8"/>
  <c r="DA61" i="8"/>
  <c r="DA21" i="8"/>
  <c r="DA54" i="8"/>
  <c r="DA92" i="8"/>
  <c r="C20" i="19"/>
  <c r="C20" i="22"/>
  <c r="C20" i="21"/>
  <c r="CS124" i="19"/>
  <c r="CS16" i="19"/>
  <c r="CS65" i="19"/>
  <c r="CS50" i="19"/>
  <c r="CS82" i="19"/>
  <c r="CS114" i="19"/>
  <c r="CS31" i="19"/>
  <c r="CS39" i="19"/>
  <c r="CS71" i="19"/>
  <c r="CS103" i="19"/>
  <c r="CS73" i="19"/>
  <c r="CS53" i="19"/>
  <c r="CS40" i="19"/>
  <c r="CS72" i="19"/>
  <c r="CS104" i="19"/>
  <c r="CS46" i="19"/>
  <c r="CS26" i="19"/>
  <c r="CS45" i="19"/>
  <c r="CS85" i="19"/>
  <c r="CS54" i="19"/>
  <c r="CS86" i="19"/>
  <c r="CS118" i="19"/>
  <c r="CS69" i="19"/>
  <c r="CS43" i="19"/>
  <c r="CS75" i="19"/>
  <c r="CS107" i="19"/>
  <c r="CS89" i="19"/>
  <c r="CS77" i="19"/>
  <c r="CS44" i="19"/>
  <c r="CS76" i="19"/>
  <c r="CS108" i="19"/>
  <c r="CS99" i="19"/>
  <c r="CS81" i="19"/>
  <c r="CS101" i="19"/>
  <c r="CS58" i="19"/>
  <c r="CS90" i="19"/>
  <c r="CS122" i="19"/>
  <c r="CS109" i="19"/>
  <c r="CS47" i="19"/>
  <c r="CS79" i="19"/>
  <c r="CS111" i="19"/>
  <c r="CS97" i="19"/>
  <c r="CS93" i="19"/>
  <c r="CS48" i="19"/>
  <c r="CS80" i="19"/>
  <c r="CS112" i="19"/>
  <c r="CS57" i="19"/>
  <c r="CS121" i="19"/>
  <c r="CS20" i="19"/>
  <c r="CS62" i="19"/>
  <c r="CS94" i="19"/>
  <c r="CS41" i="19"/>
  <c r="CS12" i="19"/>
  <c r="CS51" i="19"/>
  <c r="CS83" i="19"/>
  <c r="CS115" i="19"/>
  <c r="CS117" i="19"/>
  <c r="CS113" i="19"/>
  <c r="CS52" i="19"/>
  <c r="CS84" i="19"/>
  <c r="CS116" i="19"/>
  <c r="CS19" i="19"/>
  <c r="CS13" i="19"/>
  <c r="CS34" i="19"/>
  <c r="CS66" i="19"/>
  <c r="CS98" i="19"/>
  <c r="CS61" i="19"/>
  <c r="CS14" i="19"/>
  <c r="CS55" i="19"/>
  <c r="CS87" i="19"/>
  <c r="CS119" i="19"/>
  <c r="CS18" i="19"/>
  <c r="CS15" i="19"/>
  <c r="CS56" i="19"/>
  <c r="CS88" i="19"/>
  <c r="CS120" i="19"/>
  <c r="CS49" i="19"/>
  <c r="CS27" i="19"/>
  <c r="CS67" i="19"/>
  <c r="CS68" i="19"/>
  <c r="CS33" i="19"/>
  <c r="CS23" i="19"/>
  <c r="CS38" i="19"/>
  <c r="CS70" i="19"/>
  <c r="CS102" i="19"/>
  <c r="CS105" i="19"/>
  <c r="CS21" i="19"/>
  <c r="CS59" i="19"/>
  <c r="CS91" i="19"/>
  <c r="CS123" i="19"/>
  <c r="CS28" i="19"/>
  <c r="CS22" i="19"/>
  <c r="CS60" i="19"/>
  <c r="CS92" i="19"/>
  <c r="CS110" i="19"/>
  <c r="CS100" i="19"/>
  <c r="CS29" i="19"/>
  <c r="CS30" i="19"/>
  <c r="CS42" i="19"/>
  <c r="CS74" i="19"/>
  <c r="CS106" i="19"/>
  <c r="CS17" i="19"/>
  <c r="CS24" i="19"/>
  <c r="CS63" i="19"/>
  <c r="CS95" i="19"/>
  <c r="CS37" i="19"/>
  <c r="CS32" i="19"/>
  <c r="CS25" i="19"/>
  <c r="CS64" i="19"/>
  <c r="CS96" i="19"/>
  <c r="CS78" i="19"/>
  <c r="CS35" i="19"/>
  <c r="CS36" i="19"/>
  <c r="S39" i="8"/>
  <c r="R40" i="8"/>
  <c r="V40" i="8" s="1"/>
  <c r="CH40" i="8" s="1"/>
  <c r="C20" i="8"/>
  <c r="U9" i="6"/>
  <c r="T9" i="6"/>
  <c r="AB9" i="6" s="1"/>
  <c r="N15" i="6"/>
  <c r="S10" i="6"/>
  <c r="V9" i="6"/>
  <c r="Y9" i="6"/>
  <c r="R41" i="8" l="1"/>
  <c r="V41" i="8" s="1"/>
  <c r="CH41" i="8" s="1"/>
  <c r="S40" i="8"/>
  <c r="T10" i="6"/>
  <c r="AB10" i="6" s="1"/>
  <c r="U10" i="6"/>
  <c r="N16" i="6"/>
  <c r="V10" i="6"/>
  <c r="Y10" i="6"/>
  <c r="S11" i="6"/>
  <c r="R42" i="8" l="1"/>
  <c r="V42" i="8" s="1"/>
  <c r="CH42" i="8" s="1"/>
  <c r="S41" i="8"/>
  <c r="U11" i="6"/>
  <c r="T11" i="6"/>
  <c r="AB11" i="6" s="1"/>
  <c r="N17" i="6"/>
  <c r="S12" i="6"/>
  <c r="Y11" i="6"/>
  <c r="V11" i="6"/>
  <c r="R43" i="8" l="1"/>
  <c r="V43" i="8" s="1"/>
  <c r="CH43" i="8" s="1"/>
  <c r="S42" i="8"/>
  <c r="T12" i="6"/>
  <c r="AB12" i="6" s="1"/>
  <c r="U12" i="6"/>
  <c r="N18" i="6"/>
  <c r="V12" i="6"/>
  <c r="Y12" i="6"/>
  <c r="S13" i="6"/>
  <c r="R44" i="8" l="1"/>
  <c r="V44" i="8" s="1"/>
  <c r="CH44" i="8" s="1"/>
  <c r="S43" i="8"/>
  <c r="U13" i="6"/>
  <c r="T13" i="6"/>
  <c r="AB13" i="6" s="1"/>
  <c r="N19" i="6"/>
  <c r="S14" i="6"/>
  <c r="Y13" i="6"/>
  <c r="V13" i="6"/>
  <c r="R45" i="8" l="1"/>
  <c r="V45" i="8" s="1"/>
  <c r="CH45" i="8" s="1"/>
  <c r="S44" i="8"/>
  <c r="T14" i="6"/>
  <c r="AB14" i="6" s="1"/>
  <c r="U14" i="6"/>
  <c r="N20" i="6"/>
  <c r="V14" i="6"/>
  <c r="Y14" i="6"/>
  <c r="S15" i="6"/>
  <c r="R46" i="8" l="1"/>
  <c r="V46" i="8" s="1"/>
  <c r="CH46" i="8" s="1"/>
  <c r="S45" i="8"/>
  <c r="U15" i="6"/>
  <c r="T15" i="6"/>
  <c r="AB15" i="6" s="1"/>
  <c r="N21" i="6"/>
  <c r="S16" i="6"/>
  <c r="Y15" i="6"/>
  <c r="V15" i="6"/>
  <c r="R47" i="8" l="1"/>
  <c r="V47" i="8" s="1"/>
  <c r="CH47" i="8" s="1"/>
  <c r="S46" i="8"/>
  <c r="T16" i="6"/>
  <c r="AB16" i="6" s="1"/>
  <c r="U16" i="6"/>
  <c r="N22" i="6"/>
  <c r="V16" i="6"/>
  <c r="Y16" i="6"/>
  <c r="S17" i="6"/>
  <c r="R48" i="8" l="1"/>
  <c r="V48" i="8" s="1"/>
  <c r="CH48" i="8" s="1"/>
  <c r="S47" i="8"/>
  <c r="U17" i="6"/>
  <c r="T17" i="6"/>
  <c r="AB17" i="6" s="1"/>
  <c r="N23" i="6"/>
  <c r="S18" i="6"/>
  <c r="Y17" i="6"/>
  <c r="V17" i="6"/>
  <c r="R49" i="8" l="1"/>
  <c r="V49" i="8" s="1"/>
  <c r="CH49" i="8" s="1"/>
  <c r="S48" i="8"/>
  <c r="T18" i="6"/>
  <c r="AB18" i="6" s="1"/>
  <c r="U18" i="6"/>
  <c r="N24" i="6"/>
  <c r="V18" i="6"/>
  <c r="Y18" i="6"/>
  <c r="S19" i="6"/>
  <c r="R50" i="8" l="1"/>
  <c r="V50" i="8" s="1"/>
  <c r="CH50" i="8" s="1"/>
  <c r="S49" i="8"/>
  <c r="U19" i="6"/>
  <c r="T19" i="6"/>
  <c r="AB19" i="6" s="1"/>
  <c r="N25" i="6"/>
  <c r="S20" i="6"/>
  <c r="Y19" i="6"/>
  <c r="V19" i="6"/>
  <c r="R51" i="8" l="1"/>
  <c r="V51" i="8" s="1"/>
  <c r="CH51" i="8" s="1"/>
  <c r="S50" i="8"/>
  <c r="T20" i="6"/>
  <c r="AB20" i="6" s="1"/>
  <c r="U20" i="6"/>
  <c r="N26" i="6"/>
  <c r="V20" i="6"/>
  <c r="Y20" i="6"/>
  <c r="S21" i="6"/>
  <c r="R52" i="8" l="1"/>
  <c r="V52" i="8" s="1"/>
  <c r="CH52" i="8" s="1"/>
  <c r="S51" i="8"/>
  <c r="U21" i="6"/>
  <c r="T21" i="6"/>
  <c r="AB21" i="6" s="1"/>
  <c r="N27" i="6"/>
  <c r="S22" i="6"/>
  <c r="Y21" i="6"/>
  <c r="V21" i="6"/>
  <c r="R53" i="8" l="1"/>
  <c r="V53" i="8" s="1"/>
  <c r="CH53" i="8" s="1"/>
  <c r="S52" i="8"/>
  <c r="T22" i="6"/>
  <c r="AB22" i="6" s="1"/>
  <c r="U22" i="6"/>
  <c r="N28" i="6"/>
  <c r="V22" i="6"/>
  <c r="Y22" i="6"/>
  <c r="S23" i="6"/>
  <c r="R54" i="8" l="1"/>
  <c r="V54" i="8" s="1"/>
  <c r="CH54" i="8" s="1"/>
  <c r="S53" i="8"/>
  <c r="U23" i="6"/>
  <c r="T23" i="6"/>
  <c r="AB23" i="6" s="1"/>
  <c r="N29" i="6"/>
  <c r="S24" i="6"/>
  <c r="Y23" i="6"/>
  <c r="V23" i="6"/>
  <c r="R55" i="8" l="1"/>
  <c r="V55" i="8" s="1"/>
  <c r="CH55" i="8" s="1"/>
  <c r="S54" i="8"/>
  <c r="T24" i="6"/>
  <c r="AB24" i="6" s="1"/>
  <c r="U24" i="6"/>
  <c r="N30" i="6"/>
  <c r="V24" i="6"/>
  <c r="Y24" i="6"/>
  <c r="S25" i="6"/>
  <c r="R56" i="8" l="1"/>
  <c r="V56" i="8" s="1"/>
  <c r="CH56" i="8" s="1"/>
  <c r="S55" i="8"/>
  <c r="U25" i="6"/>
  <c r="T25" i="6"/>
  <c r="AB25" i="6" s="1"/>
  <c r="N31" i="6"/>
  <c r="S26" i="6"/>
  <c r="Y25" i="6"/>
  <c r="V25" i="6"/>
  <c r="R57" i="8" l="1"/>
  <c r="V57" i="8" s="1"/>
  <c r="CH57" i="8" s="1"/>
  <c r="S56" i="8"/>
  <c r="U26" i="6"/>
  <c r="T26" i="6"/>
  <c r="AB26" i="6" s="1"/>
  <c r="N32" i="6"/>
  <c r="V26" i="6"/>
  <c r="Y26" i="6"/>
  <c r="S27" i="6"/>
  <c r="R58" i="8" l="1"/>
  <c r="V58" i="8" s="1"/>
  <c r="CH58" i="8" s="1"/>
  <c r="S57" i="8"/>
  <c r="U27" i="6"/>
  <c r="T27" i="6"/>
  <c r="AB27" i="6" s="1"/>
  <c r="N33" i="6"/>
  <c r="S28" i="6"/>
  <c r="Y27" i="6"/>
  <c r="V27" i="6"/>
  <c r="R59" i="8" l="1"/>
  <c r="V59" i="8" s="1"/>
  <c r="CH59" i="8" s="1"/>
  <c r="S58" i="8"/>
  <c r="U28" i="6"/>
  <c r="T28" i="6"/>
  <c r="AB28" i="6" s="1"/>
  <c r="N34" i="6"/>
  <c r="V28" i="6"/>
  <c r="Y28" i="6"/>
  <c r="S29" i="6"/>
  <c r="R60" i="8" l="1"/>
  <c r="V60" i="8" s="1"/>
  <c r="CH60" i="8" s="1"/>
  <c r="S59" i="8"/>
  <c r="U29" i="6"/>
  <c r="T29" i="6"/>
  <c r="AB29" i="6" s="1"/>
  <c r="N35" i="6"/>
  <c r="S30" i="6"/>
  <c r="Y29" i="6"/>
  <c r="V29" i="6"/>
  <c r="R61" i="8" l="1"/>
  <c r="V61" i="8" s="1"/>
  <c r="CH61" i="8" s="1"/>
  <c r="S60" i="8"/>
  <c r="T30" i="6"/>
  <c r="AB30" i="6" s="1"/>
  <c r="U30" i="6"/>
  <c r="N36" i="6"/>
  <c r="V30" i="6"/>
  <c r="Y30" i="6"/>
  <c r="S31" i="6"/>
  <c r="R62" i="8" l="1"/>
  <c r="V62" i="8" s="1"/>
  <c r="CH62" i="8" s="1"/>
  <c r="S61" i="8"/>
  <c r="U31" i="6"/>
  <c r="T31" i="6"/>
  <c r="AB31" i="6" s="1"/>
  <c r="N37" i="6"/>
  <c r="S32" i="6"/>
  <c r="Y31" i="6"/>
  <c r="V31" i="6"/>
  <c r="R63" i="8" l="1"/>
  <c r="V63" i="8" s="1"/>
  <c r="CH63" i="8" s="1"/>
  <c r="S62" i="8"/>
  <c r="T32" i="6"/>
  <c r="AB32" i="6" s="1"/>
  <c r="U32" i="6"/>
  <c r="N38" i="6"/>
  <c r="V32" i="6"/>
  <c r="Y32" i="6"/>
  <c r="S33" i="6"/>
  <c r="R64" i="8" l="1"/>
  <c r="V64" i="8" s="1"/>
  <c r="CH64" i="8" s="1"/>
  <c r="S63" i="8"/>
  <c r="U33" i="6"/>
  <c r="T33" i="6"/>
  <c r="AB33" i="6" s="1"/>
  <c r="N39" i="6"/>
  <c r="S34" i="6"/>
  <c r="Y33" i="6"/>
  <c r="V33" i="6"/>
  <c r="R65" i="8" l="1"/>
  <c r="V65" i="8" s="1"/>
  <c r="CH65" i="8" s="1"/>
  <c r="S64" i="8"/>
  <c r="U34" i="6"/>
  <c r="T34" i="6"/>
  <c r="AB34" i="6" s="1"/>
  <c r="N40" i="6"/>
  <c r="V34" i="6"/>
  <c r="Y34" i="6"/>
  <c r="S35" i="6"/>
  <c r="R66" i="8" l="1"/>
  <c r="V66" i="8" s="1"/>
  <c r="CH66" i="8" s="1"/>
  <c r="S65" i="8"/>
  <c r="U35" i="6"/>
  <c r="T35" i="6"/>
  <c r="AB35" i="6" s="1"/>
  <c r="N41" i="6"/>
  <c r="S36" i="6"/>
  <c r="Y35" i="6"/>
  <c r="V35" i="6"/>
  <c r="R67" i="8" l="1"/>
  <c r="V67" i="8" s="1"/>
  <c r="CH67" i="8" s="1"/>
  <c r="S66" i="8"/>
  <c r="U36" i="6"/>
  <c r="T36" i="6"/>
  <c r="AB36" i="6" s="1"/>
  <c r="N42" i="6"/>
  <c r="V36" i="6"/>
  <c r="Y36" i="6"/>
  <c r="S37" i="6"/>
  <c r="R68" i="8" l="1"/>
  <c r="V68" i="8" s="1"/>
  <c r="CH68" i="8" s="1"/>
  <c r="S67" i="8"/>
  <c r="U37" i="6"/>
  <c r="T37" i="6"/>
  <c r="AB37" i="6" s="1"/>
  <c r="N43" i="6"/>
  <c r="S38" i="6"/>
  <c r="Y37" i="6"/>
  <c r="V37" i="6"/>
  <c r="R69" i="8" l="1"/>
  <c r="V69" i="8" s="1"/>
  <c r="CH69" i="8" s="1"/>
  <c r="S68" i="8"/>
  <c r="T38" i="6"/>
  <c r="AB38" i="6" s="1"/>
  <c r="U38" i="6"/>
  <c r="N44" i="6"/>
  <c r="V38" i="6"/>
  <c r="Y38" i="6"/>
  <c r="S39" i="6"/>
  <c r="R70" i="8" l="1"/>
  <c r="V70" i="8" s="1"/>
  <c r="CH70" i="8" s="1"/>
  <c r="S69" i="8"/>
  <c r="U39" i="6"/>
  <c r="T39" i="6"/>
  <c r="AB39" i="6" s="1"/>
  <c r="N45" i="6"/>
  <c r="S40" i="6"/>
  <c r="Y39" i="6"/>
  <c r="V39" i="6"/>
  <c r="R71" i="8" l="1"/>
  <c r="V71" i="8" s="1"/>
  <c r="CH71" i="8" s="1"/>
  <c r="S70" i="8"/>
  <c r="U40" i="6"/>
  <c r="T40" i="6"/>
  <c r="AB40" i="6" s="1"/>
  <c r="N46" i="6"/>
  <c r="V40" i="6"/>
  <c r="Y40" i="6"/>
  <c r="S41" i="6"/>
  <c r="R72" i="8" l="1"/>
  <c r="V72" i="8" s="1"/>
  <c r="CH72" i="8" s="1"/>
  <c r="S71" i="8"/>
  <c r="T41" i="6"/>
  <c r="AB41" i="6" s="1"/>
  <c r="U41" i="6"/>
  <c r="N47" i="6"/>
  <c r="S42" i="6"/>
  <c r="Y41" i="6"/>
  <c r="V41" i="6"/>
  <c r="R73" i="8" l="1"/>
  <c r="V73" i="8" s="1"/>
  <c r="CH73" i="8" s="1"/>
  <c r="S72" i="8"/>
  <c r="U42" i="6"/>
  <c r="T42" i="6"/>
  <c r="AB42" i="6" s="1"/>
  <c r="N48" i="6"/>
  <c r="V42" i="6"/>
  <c r="Y42" i="6"/>
  <c r="S43" i="6"/>
  <c r="R74" i="8" l="1"/>
  <c r="V74" i="8" s="1"/>
  <c r="CH74" i="8" s="1"/>
  <c r="S73" i="8"/>
  <c r="T43" i="6"/>
  <c r="AB43" i="6" s="1"/>
  <c r="U43" i="6"/>
  <c r="N49" i="6"/>
  <c r="S44" i="6"/>
  <c r="Y43" i="6"/>
  <c r="V43" i="6"/>
  <c r="R75" i="8" l="1"/>
  <c r="V75" i="8" s="1"/>
  <c r="CH75" i="8" s="1"/>
  <c r="S74" i="8"/>
  <c r="U44" i="6"/>
  <c r="T44" i="6"/>
  <c r="AB44" i="6" s="1"/>
  <c r="N50" i="6"/>
  <c r="V44" i="6"/>
  <c r="Y44" i="6"/>
  <c r="S45" i="6"/>
  <c r="R76" i="8" l="1"/>
  <c r="V76" i="8" s="1"/>
  <c r="CH76" i="8" s="1"/>
  <c r="S75" i="8"/>
  <c r="T45" i="6"/>
  <c r="AB45" i="6" s="1"/>
  <c r="U45" i="6"/>
  <c r="N51" i="6"/>
  <c r="S46" i="6"/>
  <c r="Y45" i="6"/>
  <c r="V45" i="6"/>
  <c r="R77" i="8" l="1"/>
  <c r="V77" i="8" s="1"/>
  <c r="CH77" i="8" s="1"/>
  <c r="S76" i="8"/>
  <c r="T46" i="6"/>
  <c r="AB46" i="6" s="1"/>
  <c r="U46" i="6"/>
  <c r="N52" i="6"/>
  <c r="V46" i="6"/>
  <c r="Y46" i="6"/>
  <c r="S47" i="6"/>
  <c r="R78" i="8" l="1"/>
  <c r="V78" i="8" s="1"/>
  <c r="CH78" i="8" s="1"/>
  <c r="S77" i="8"/>
  <c r="U47" i="6"/>
  <c r="T47" i="6"/>
  <c r="AB47" i="6" s="1"/>
  <c r="N53" i="6"/>
  <c r="S48" i="6"/>
  <c r="Y47" i="6"/>
  <c r="V47" i="6"/>
  <c r="R79" i="8" l="1"/>
  <c r="V79" i="8" s="1"/>
  <c r="CH79" i="8" s="1"/>
  <c r="S78" i="8"/>
  <c r="U48" i="6"/>
  <c r="T48" i="6"/>
  <c r="AB48" i="6" s="1"/>
  <c r="N54" i="6"/>
  <c r="V48" i="6"/>
  <c r="Y48" i="6"/>
  <c r="S49" i="6"/>
  <c r="R80" i="8" l="1"/>
  <c r="V80" i="8" s="1"/>
  <c r="CH80" i="8" s="1"/>
  <c r="S79" i="8"/>
  <c r="T49" i="6"/>
  <c r="AB49" i="6" s="1"/>
  <c r="U49" i="6"/>
  <c r="N55" i="6"/>
  <c r="S50" i="6"/>
  <c r="Y49" i="6"/>
  <c r="V49" i="6"/>
  <c r="R81" i="8" l="1"/>
  <c r="V81" i="8" s="1"/>
  <c r="CH81" i="8" s="1"/>
  <c r="S80" i="8"/>
  <c r="U50" i="6"/>
  <c r="T50" i="6"/>
  <c r="AB50" i="6" s="1"/>
  <c r="N56" i="6"/>
  <c r="V50" i="6"/>
  <c r="Y50" i="6"/>
  <c r="S51" i="6"/>
  <c r="R82" i="8" l="1"/>
  <c r="V82" i="8" s="1"/>
  <c r="CH82" i="8" s="1"/>
  <c r="S81" i="8"/>
  <c r="T51" i="6"/>
  <c r="AB51" i="6" s="1"/>
  <c r="U51" i="6"/>
  <c r="N57" i="6"/>
  <c r="S52" i="6"/>
  <c r="Y51" i="6"/>
  <c r="V51" i="6"/>
  <c r="R83" i="8" l="1"/>
  <c r="V83" i="8" s="1"/>
  <c r="CH83" i="8" s="1"/>
  <c r="S82" i="8"/>
  <c r="U52" i="6"/>
  <c r="T52" i="6"/>
  <c r="AB52" i="6" s="1"/>
  <c r="N58" i="6"/>
  <c r="V52" i="6"/>
  <c r="Y52" i="6"/>
  <c r="S53" i="6"/>
  <c r="R84" i="8" l="1"/>
  <c r="V84" i="8" s="1"/>
  <c r="CH84" i="8" s="1"/>
  <c r="S83" i="8"/>
  <c r="T53" i="6"/>
  <c r="AB53" i="6" s="1"/>
  <c r="U53" i="6"/>
  <c r="N59" i="6"/>
  <c r="S54" i="6"/>
  <c r="Y53" i="6"/>
  <c r="V53" i="6"/>
  <c r="R85" i="8" l="1"/>
  <c r="V85" i="8" s="1"/>
  <c r="CH85" i="8" s="1"/>
  <c r="S84" i="8"/>
  <c r="T54" i="6"/>
  <c r="AB54" i="6" s="1"/>
  <c r="U54" i="6"/>
  <c r="N60" i="6"/>
  <c r="V54" i="6"/>
  <c r="Y54" i="6"/>
  <c r="S55" i="6"/>
  <c r="R86" i="8" l="1"/>
  <c r="V86" i="8" s="1"/>
  <c r="CH86" i="8" s="1"/>
  <c r="S85" i="8"/>
  <c r="T55" i="6"/>
  <c r="AB55" i="6" s="1"/>
  <c r="U55" i="6"/>
  <c r="N61" i="6"/>
  <c r="S56" i="6"/>
  <c r="Y55" i="6"/>
  <c r="V55" i="6"/>
  <c r="R87" i="8" l="1"/>
  <c r="V87" i="8" s="1"/>
  <c r="CH87" i="8" s="1"/>
  <c r="S86" i="8"/>
  <c r="U56" i="6"/>
  <c r="T56" i="6"/>
  <c r="AB56" i="6" s="1"/>
  <c r="N62" i="6"/>
  <c r="V56" i="6"/>
  <c r="Y56" i="6"/>
  <c r="S57" i="6"/>
  <c r="R88" i="8" l="1"/>
  <c r="V88" i="8" s="1"/>
  <c r="CH88" i="8" s="1"/>
  <c r="S87" i="8"/>
  <c r="T57" i="6"/>
  <c r="AB57" i="6" s="1"/>
  <c r="U57" i="6"/>
  <c r="N63" i="6"/>
  <c r="S58" i="6"/>
  <c r="Y57" i="6"/>
  <c r="V57" i="6"/>
  <c r="R89" i="8" l="1"/>
  <c r="V89" i="8" s="1"/>
  <c r="CH89" i="8" s="1"/>
  <c r="S88" i="8"/>
  <c r="U58" i="6"/>
  <c r="T58" i="6"/>
  <c r="AB58" i="6" s="1"/>
  <c r="N64" i="6"/>
  <c r="V58" i="6"/>
  <c r="Y58" i="6"/>
  <c r="S59" i="6"/>
  <c r="R90" i="8" l="1"/>
  <c r="V90" i="8" s="1"/>
  <c r="CH90" i="8" s="1"/>
  <c r="S89" i="8"/>
  <c r="U59" i="6"/>
  <c r="T59" i="6"/>
  <c r="AB59" i="6" s="1"/>
  <c r="N65" i="6"/>
  <c r="S60" i="6"/>
  <c r="Y59" i="6"/>
  <c r="V59" i="6"/>
  <c r="R91" i="8" l="1"/>
  <c r="V91" i="8" s="1"/>
  <c r="CH91" i="8" s="1"/>
  <c r="S90" i="8"/>
  <c r="U60" i="6"/>
  <c r="T60" i="6"/>
  <c r="AB60" i="6" s="1"/>
  <c r="N66" i="6"/>
  <c r="V60" i="6"/>
  <c r="Y60" i="6"/>
  <c r="S61" i="6"/>
  <c r="R92" i="8" l="1"/>
  <c r="V92" i="8" s="1"/>
  <c r="CH92" i="8" s="1"/>
  <c r="S91" i="8"/>
  <c r="U61" i="6"/>
  <c r="T61" i="6"/>
  <c r="AB61" i="6" s="1"/>
  <c r="N67" i="6"/>
  <c r="S62" i="6"/>
  <c r="Y61" i="6"/>
  <c r="V61" i="6"/>
  <c r="R93" i="8" l="1"/>
  <c r="V93" i="8" s="1"/>
  <c r="CH93" i="8" s="1"/>
  <c r="S92" i="8"/>
  <c r="T62" i="6"/>
  <c r="AB62" i="6" s="1"/>
  <c r="U62" i="6"/>
  <c r="N68" i="6"/>
  <c r="V62" i="6"/>
  <c r="Y62" i="6"/>
  <c r="S63" i="6"/>
  <c r="R94" i="8" l="1"/>
  <c r="V94" i="8" s="1"/>
  <c r="CH94" i="8" s="1"/>
  <c r="S93" i="8"/>
  <c r="T63" i="6"/>
  <c r="AB63" i="6" s="1"/>
  <c r="U63" i="6"/>
  <c r="N69" i="6"/>
  <c r="S64" i="6"/>
  <c r="Y63" i="6"/>
  <c r="V63" i="6"/>
  <c r="R95" i="8" l="1"/>
  <c r="V95" i="8" s="1"/>
  <c r="CH95" i="8" s="1"/>
  <c r="S94" i="8"/>
  <c r="U64" i="6"/>
  <c r="T64" i="6"/>
  <c r="AB64" i="6" s="1"/>
  <c r="N70" i="6"/>
  <c r="V64" i="6"/>
  <c r="Y64" i="6"/>
  <c r="S65" i="6"/>
  <c r="R96" i="8" l="1"/>
  <c r="V96" i="8" s="1"/>
  <c r="CH96" i="8" s="1"/>
  <c r="S95" i="8"/>
  <c r="U65" i="6"/>
  <c r="T65" i="6"/>
  <c r="AB65" i="6" s="1"/>
  <c r="N71" i="6"/>
  <c r="S66" i="6"/>
  <c r="Y65" i="6"/>
  <c r="V65" i="6"/>
  <c r="R97" i="8" l="1"/>
  <c r="V97" i="8" s="1"/>
  <c r="CH97" i="8" s="1"/>
  <c r="S96" i="8"/>
  <c r="U66" i="6"/>
  <c r="T66" i="6"/>
  <c r="AB66" i="6" s="1"/>
  <c r="N72" i="6"/>
  <c r="V66" i="6"/>
  <c r="Y66" i="6"/>
  <c r="S67" i="6"/>
  <c r="R98" i="8" l="1"/>
  <c r="V98" i="8" s="1"/>
  <c r="CH98" i="8" s="1"/>
  <c r="S97" i="8"/>
  <c r="U67" i="6"/>
  <c r="T67" i="6"/>
  <c r="AB67" i="6" s="1"/>
  <c r="N73" i="6"/>
  <c r="S68" i="6"/>
  <c r="Y67" i="6"/>
  <c r="V67" i="6"/>
  <c r="R99" i="8" l="1"/>
  <c r="V99" i="8" s="1"/>
  <c r="CH99" i="8" s="1"/>
  <c r="S98" i="8"/>
  <c r="U68" i="6"/>
  <c r="T68" i="6"/>
  <c r="AB68" i="6" s="1"/>
  <c r="N74" i="6"/>
  <c r="V68" i="6"/>
  <c r="Y68" i="6"/>
  <c r="S69" i="6"/>
  <c r="R100" i="8" l="1"/>
  <c r="V100" i="8" s="1"/>
  <c r="CH100" i="8" s="1"/>
  <c r="S99" i="8"/>
  <c r="U69" i="6"/>
  <c r="T69" i="6"/>
  <c r="AB69" i="6" s="1"/>
  <c r="N75" i="6"/>
  <c r="S70" i="6"/>
  <c r="Y69" i="6"/>
  <c r="V69" i="6"/>
  <c r="R101" i="8" l="1"/>
  <c r="V101" i="8" s="1"/>
  <c r="CH101" i="8" s="1"/>
  <c r="S100" i="8"/>
  <c r="T70" i="6"/>
  <c r="AB70" i="6" s="1"/>
  <c r="U70" i="6"/>
  <c r="N76" i="6"/>
  <c r="V70" i="6"/>
  <c r="Y70" i="6"/>
  <c r="S71" i="6"/>
  <c r="R102" i="8" l="1"/>
  <c r="V102" i="8" s="1"/>
  <c r="CH102" i="8" s="1"/>
  <c r="S101" i="8"/>
  <c r="T71" i="6"/>
  <c r="AB71" i="6" s="1"/>
  <c r="U71" i="6"/>
  <c r="N77" i="6"/>
  <c r="S72" i="6"/>
  <c r="Y71" i="6"/>
  <c r="V71" i="6"/>
  <c r="R103" i="8" l="1"/>
  <c r="V103" i="8" s="1"/>
  <c r="CH103" i="8" s="1"/>
  <c r="S102" i="8"/>
  <c r="U72" i="6"/>
  <c r="T72" i="6"/>
  <c r="AB72" i="6" s="1"/>
  <c r="N78" i="6"/>
  <c r="V72" i="6"/>
  <c r="Y72" i="6"/>
  <c r="S73" i="6"/>
  <c r="R104" i="8" l="1"/>
  <c r="V104" i="8" s="1"/>
  <c r="CH104" i="8" s="1"/>
  <c r="S103" i="8"/>
  <c r="U73" i="6"/>
  <c r="T73" i="6"/>
  <c r="AB73" i="6" s="1"/>
  <c r="N79" i="6"/>
  <c r="S74" i="6"/>
  <c r="Y73" i="6"/>
  <c r="V73" i="6"/>
  <c r="R105" i="8" l="1"/>
  <c r="V105" i="8" s="1"/>
  <c r="CH105" i="8" s="1"/>
  <c r="S104" i="8"/>
  <c r="T74" i="6"/>
  <c r="AB74" i="6" s="1"/>
  <c r="U74" i="6"/>
  <c r="N80" i="6"/>
  <c r="V74" i="6"/>
  <c r="Y74" i="6"/>
  <c r="S75" i="6"/>
  <c r="R106" i="8" l="1"/>
  <c r="V106" i="8" s="1"/>
  <c r="CH106" i="8" s="1"/>
  <c r="S105" i="8"/>
  <c r="U75" i="6"/>
  <c r="T75" i="6"/>
  <c r="AB75" i="6" s="1"/>
  <c r="N81" i="6"/>
  <c r="S76" i="6"/>
  <c r="Y75" i="6"/>
  <c r="V75" i="6"/>
  <c r="R107" i="8" l="1"/>
  <c r="V107" i="8" s="1"/>
  <c r="CH107" i="8" s="1"/>
  <c r="S106" i="8"/>
  <c r="T76" i="6"/>
  <c r="AB76" i="6" s="1"/>
  <c r="U76" i="6"/>
  <c r="N82" i="6"/>
  <c r="V76" i="6"/>
  <c r="Y76" i="6"/>
  <c r="S77" i="6"/>
  <c r="R108" i="8" l="1"/>
  <c r="V108" i="8" s="1"/>
  <c r="CH108" i="8" s="1"/>
  <c r="S107" i="8"/>
  <c r="U77" i="6"/>
  <c r="T77" i="6"/>
  <c r="AB77" i="6" s="1"/>
  <c r="N83" i="6"/>
  <c r="S78" i="6"/>
  <c r="Y77" i="6"/>
  <c r="V77" i="6"/>
  <c r="R109" i="8" l="1"/>
  <c r="V109" i="8" s="1"/>
  <c r="CH109" i="8" s="1"/>
  <c r="S108" i="8"/>
  <c r="T78" i="6"/>
  <c r="AB78" i="6" s="1"/>
  <c r="U78" i="6"/>
  <c r="N84" i="6"/>
  <c r="V78" i="6"/>
  <c r="Y78" i="6"/>
  <c r="S79" i="6"/>
  <c r="R110" i="8" l="1"/>
  <c r="V110" i="8" s="1"/>
  <c r="CH110" i="8" s="1"/>
  <c r="S109" i="8"/>
  <c r="U79" i="6"/>
  <c r="T79" i="6"/>
  <c r="AB79" i="6" s="1"/>
  <c r="N85" i="6"/>
  <c r="S80" i="6"/>
  <c r="Y79" i="6"/>
  <c r="V79" i="6"/>
  <c r="R111" i="8" l="1"/>
  <c r="V111" i="8" s="1"/>
  <c r="CH111" i="8" s="1"/>
  <c r="S110" i="8"/>
  <c r="T80" i="6"/>
  <c r="AB80" i="6" s="1"/>
  <c r="U80" i="6"/>
  <c r="N86" i="6"/>
  <c r="V80" i="6"/>
  <c r="Y80" i="6"/>
  <c r="S81" i="6"/>
  <c r="R112" i="8" l="1"/>
  <c r="V112" i="8" s="1"/>
  <c r="CH112" i="8" s="1"/>
  <c r="S111" i="8"/>
  <c r="U81" i="6"/>
  <c r="T81" i="6"/>
  <c r="AB81" i="6" s="1"/>
  <c r="N87" i="6"/>
  <c r="S82" i="6"/>
  <c r="Y81" i="6"/>
  <c r="V81" i="6"/>
  <c r="R113" i="8" l="1"/>
  <c r="V113" i="8" s="1"/>
  <c r="CH113" i="8" s="1"/>
  <c r="S112" i="8"/>
  <c r="T82" i="6"/>
  <c r="AB82" i="6" s="1"/>
  <c r="U82" i="6"/>
  <c r="N88" i="6"/>
  <c r="V82" i="6"/>
  <c r="Y82" i="6"/>
  <c r="S83" i="6"/>
  <c r="R114" i="8" l="1"/>
  <c r="V114" i="8" s="1"/>
  <c r="CH114" i="8" s="1"/>
  <c r="AD113" i="8"/>
  <c r="S113" i="8"/>
  <c r="W113" i="8"/>
  <c r="U83" i="6"/>
  <c r="T83" i="6"/>
  <c r="AB83" i="6" s="1"/>
  <c r="N89" i="6"/>
  <c r="S84" i="6"/>
  <c r="Y83" i="6"/>
  <c r="V83" i="6"/>
  <c r="R115" i="8" l="1"/>
  <c r="V115" i="8" s="1"/>
  <c r="CH115" i="8" s="1"/>
  <c r="AD114" i="8"/>
  <c r="W114" i="8"/>
  <c r="S114" i="8"/>
  <c r="T84" i="6"/>
  <c r="AB84" i="6" s="1"/>
  <c r="U84" i="6"/>
  <c r="N90" i="6"/>
  <c r="V84" i="6"/>
  <c r="Y84" i="6"/>
  <c r="S85" i="6"/>
  <c r="R116" i="8" l="1"/>
  <c r="V116" i="8" s="1"/>
  <c r="CH116" i="8" s="1"/>
  <c r="S115" i="8"/>
  <c r="W115" i="8"/>
  <c r="AD115" i="8"/>
  <c r="U85" i="6"/>
  <c r="T85" i="6"/>
  <c r="AB85" i="6" s="1"/>
  <c r="N91" i="6"/>
  <c r="S86" i="6"/>
  <c r="Y85" i="6"/>
  <c r="V85" i="6"/>
  <c r="R117" i="8" l="1"/>
  <c r="V117" i="8" s="1"/>
  <c r="CH117" i="8" s="1"/>
  <c r="S116" i="8"/>
  <c r="AD116" i="8"/>
  <c r="W116" i="8"/>
  <c r="T86" i="6"/>
  <c r="AB86" i="6" s="1"/>
  <c r="U86" i="6"/>
  <c r="N92" i="6"/>
  <c r="V86" i="6"/>
  <c r="Y86" i="6"/>
  <c r="S87" i="6"/>
  <c r="R118" i="8" l="1"/>
  <c r="V118" i="8" s="1"/>
  <c r="CH118" i="8" s="1"/>
  <c r="AD117" i="8"/>
  <c r="S117" i="8"/>
  <c r="W117" i="8"/>
  <c r="U87" i="6"/>
  <c r="T87" i="6"/>
  <c r="AB87" i="6" s="1"/>
  <c r="N93" i="6"/>
  <c r="S88" i="6"/>
  <c r="Y87" i="6"/>
  <c r="V87" i="6"/>
  <c r="R119" i="8" l="1"/>
  <c r="V119" i="8" s="1"/>
  <c r="CH119" i="8" s="1"/>
  <c r="AD118" i="8"/>
  <c r="W118" i="8"/>
  <c r="S118" i="8"/>
  <c r="T88" i="6"/>
  <c r="AB88" i="6" s="1"/>
  <c r="U88" i="6"/>
  <c r="N94" i="6"/>
  <c r="V88" i="6"/>
  <c r="Y88" i="6"/>
  <c r="S89" i="6"/>
  <c r="R120" i="8" l="1"/>
  <c r="V120" i="8" s="1"/>
  <c r="CH120" i="8" s="1"/>
  <c r="W119" i="8"/>
  <c r="AD119" i="8"/>
  <c r="S119" i="8"/>
  <c r="U89" i="6"/>
  <c r="T89" i="6"/>
  <c r="AB89" i="6" s="1"/>
  <c r="N95" i="6"/>
  <c r="S90" i="6"/>
  <c r="Y89" i="6"/>
  <c r="V89" i="6"/>
  <c r="R121" i="8" l="1"/>
  <c r="V121" i="8" s="1"/>
  <c r="CH121" i="8" s="1"/>
  <c r="AD120" i="8"/>
  <c r="S120" i="8"/>
  <c r="W120" i="8"/>
  <c r="U90" i="6"/>
  <c r="T90" i="6"/>
  <c r="AB90" i="6" s="1"/>
  <c r="N96" i="6"/>
  <c r="S91" i="6"/>
  <c r="V90" i="6"/>
  <c r="Y90" i="6"/>
  <c r="R122" i="8" l="1"/>
  <c r="V122" i="8" s="1"/>
  <c r="CH122" i="8" s="1"/>
  <c r="S121" i="8"/>
  <c r="AD121" i="8"/>
  <c r="W121" i="8"/>
  <c r="U91" i="6"/>
  <c r="T91" i="6"/>
  <c r="AB91" i="6" s="1"/>
  <c r="N97" i="6"/>
  <c r="Y91" i="6"/>
  <c r="V91" i="6"/>
  <c r="S92" i="6"/>
  <c r="R123" i="8" l="1"/>
  <c r="V123" i="8" s="1"/>
  <c r="CH123" i="8" s="1"/>
  <c r="W122" i="8"/>
  <c r="AD122" i="8"/>
  <c r="S122" i="8"/>
  <c r="U92" i="6"/>
  <c r="T92" i="6"/>
  <c r="AB92" i="6" s="1"/>
  <c r="N98" i="6"/>
  <c r="S93" i="6"/>
  <c r="V92" i="6"/>
  <c r="Y92" i="6"/>
  <c r="R124" i="8" l="1"/>
  <c r="V124" i="8" s="1"/>
  <c r="CH124" i="8" s="1"/>
  <c r="S123" i="8"/>
  <c r="W123" i="8"/>
  <c r="AD123" i="8"/>
  <c r="U93" i="6"/>
  <c r="T93" i="6"/>
  <c r="AB93" i="6" s="1"/>
  <c r="N99" i="6"/>
  <c r="Y93" i="6"/>
  <c r="V93" i="6"/>
  <c r="S94" i="6"/>
  <c r="W124" i="8" l="1"/>
  <c r="S124" i="8"/>
  <c r="AD124" i="8"/>
  <c r="T94" i="6"/>
  <c r="AB94" i="6" s="1"/>
  <c r="U94" i="6"/>
  <c r="N100" i="6"/>
  <c r="S95" i="6"/>
  <c r="V94" i="6"/>
  <c r="Y94" i="6"/>
  <c r="U95" i="6" l="1"/>
  <c r="T95" i="6"/>
  <c r="AB95" i="6" s="1"/>
  <c r="N101" i="6"/>
  <c r="Y95" i="6"/>
  <c r="V95" i="6"/>
  <c r="S96" i="6"/>
  <c r="T96" i="6" l="1"/>
  <c r="AB96" i="6" s="1"/>
  <c r="U96" i="6"/>
  <c r="N102" i="6"/>
  <c r="S97" i="6"/>
  <c r="V96" i="6"/>
  <c r="Y96" i="6"/>
  <c r="U97" i="6" l="1"/>
  <c r="T97" i="6"/>
  <c r="AB97" i="6" s="1"/>
  <c r="N103" i="6"/>
  <c r="Y97" i="6"/>
  <c r="V97" i="6"/>
  <c r="S98" i="6"/>
  <c r="U98" i="6" l="1"/>
  <c r="T98" i="6"/>
  <c r="AB98" i="6" s="1"/>
  <c r="N104" i="6"/>
  <c r="S99" i="6"/>
  <c r="V98" i="6"/>
  <c r="Y98" i="6"/>
  <c r="U99" i="6" l="1"/>
  <c r="T99" i="6"/>
  <c r="AB99" i="6" s="1"/>
  <c r="N105" i="6"/>
  <c r="Y99" i="6"/>
  <c r="V99" i="6"/>
  <c r="S100" i="6"/>
  <c r="U100" i="6" l="1"/>
  <c r="T100" i="6"/>
  <c r="AB100" i="6" s="1"/>
  <c r="N106" i="6"/>
  <c r="S101" i="6"/>
  <c r="V100" i="6"/>
  <c r="Y100" i="6"/>
  <c r="U101" i="6" l="1"/>
  <c r="T101" i="6"/>
  <c r="AB101" i="6" s="1"/>
  <c r="N107" i="6"/>
  <c r="Y101" i="6"/>
  <c r="V101" i="6"/>
  <c r="S102" i="6"/>
  <c r="T102" i="6" l="1"/>
  <c r="AB102" i="6" s="1"/>
  <c r="U102" i="6"/>
  <c r="N108" i="6"/>
  <c r="S103" i="6"/>
  <c r="V102" i="6"/>
  <c r="Y102" i="6"/>
  <c r="U103" i="6" l="1"/>
  <c r="T103" i="6"/>
  <c r="AB103" i="6" s="1"/>
  <c r="N109" i="6"/>
  <c r="Y103" i="6"/>
  <c r="V103" i="6"/>
  <c r="S104" i="6"/>
  <c r="U104" i="6" l="1"/>
  <c r="T104" i="6"/>
  <c r="AB104" i="6" s="1"/>
  <c r="N110" i="6"/>
  <c r="S105" i="6"/>
  <c r="V104" i="6"/>
  <c r="Y104" i="6"/>
  <c r="T105" i="6" l="1"/>
  <c r="AB105" i="6" s="1"/>
  <c r="U105" i="6"/>
  <c r="N111" i="6"/>
  <c r="Y105" i="6"/>
  <c r="V105" i="6"/>
  <c r="S106" i="6"/>
  <c r="U106" i="6" l="1"/>
  <c r="T106" i="6"/>
  <c r="AB106" i="6" s="1"/>
  <c r="N112" i="6"/>
  <c r="S107" i="6"/>
  <c r="V106" i="6"/>
  <c r="Y106" i="6"/>
  <c r="T107" i="6" l="1"/>
  <c r="AB107" i="6" s="1"/>
  <c r="U107" i="6"/>
  <c r="N113" i="6"/>
  <c r="Y107" i="6"/>
  <c r="V107" i="6"/>
  <c r="S108" i="6"/>
  <c r="U108" i="6" l="1"/>
  <c r="T108" i="6"/>
  <c r="AB108" i="6" s="1"/>
  <c r="N114" i="6"/>
  <c r="S109" i="6"/>
  <c r="V108" i="6"/>
  <c r="Y108" i="6"/>
  <c r="T109" i="6" l="1"/>
  <c r="AB109" i="6" s="1"/>
  <c r="U109" i="6"/>
  <c r="N115" i="6"/>
  <c r="Y109" i="6"/>
  <c r="V109" i="6"/>
  <c r="S110" i="6"/>
  <c r="T110" i="6" l="1"/>
  <c r="AB110" i="6" s="1"/>
  <c r="U110" i="6"/>
  <c r="N116" i="6"/>
  <c r="S111" i="6"/>
  <c r="V110" i="6"/>
  <c r="Y110" i="6"/>
  <c r="U111" i="6" l="1"/>
  <c r="T111" i="6"/>
  <c r="AB111" i="6" s="1"/>
  <c r="N117" i="6"/>
  <c r="Y111" i="6"/>
  <c r="V111" i="6"/>
  <c r="S112" i="6"/>
  <c r="U112" i="6" l="1"/>
  <c r="T112" i="6"/>
  <c r="AB112" i="6" s="1"/>
  <c r="N118" i="6"/>
  <c r="S113" i="6"/>
  <c r="V112" i="6"/>
  <c r="Y112" i="6"/>
  <c r="T113" i="6" l="1"/>
  <c r="AB113" i="6" s="1"/>
  <c r="U113" i="6"/>
  <c r="N119" i="6"/>
  <c r="Y113" i="6"/>
  <c r="V113" i="6"/>
  <c r="S114" i="6"/>
  <c r="U114" i="6" l="1"/>
  <c r="T114" i="6"/>
  <c r="AB114" i="6" s="1"/>
  <c r="S115" i="6"/>
  <c r="V114" i="6"/>
  <c r="Y114" i="6"/>
  <c r="T115" i="6" l="1"/>
  <c r="AB115" i="6" s="1"/>
  <c r="U115" i="6"/>
  <c r="Y115" i="6"/>
  <c r="V115" i="6"/>
  <c r="S116" i="6"/>
  <c r="U116" i="6" l="1"/>
  <c r="T116" i="6"/>
  <c r="AB116" i="6" s="1"/>
  <c r="S117" i="6"/>
  <c r="V116" i="6"/>
  <c r="Y116" i="6"/>
  <c r="T117" i="6" l="1"/>
  <c r="AB117" i="6" s="1"/>
  <c r="U117" i="6"/>
  <c r="Y117" i="6"/>
  <c r="V117" i="6"/>
  <c r="S118" i="6"/>
  <c r="T118" i="6" l="1"/>
  <c r="AB118" i="6" s="1"/>
  <c r="U118" i="6"/>
  <c r="S119" i="6"/>
  <c r="V118" i="6"/>
  <c r="Y118" i="6"/>
  <c r="T119" i="6" l="1"/>
  <c r="AB119" i="6" s="1"/>
  <c r="U119" i="6"/>
  <c r="Y119" i="6"/>
  <c r="V119" i="6"/>
  <c r="P22" i="17" l="1"/>
  <c r="P21" i="17"/>
  <c r="O20" i="17" l="1"/>
  <c r="P20" i="17" s="1"/>
  <c r="N13" i="17" l="1"/>
  <c r="O19" i="17"/>
  <c r="O21" i="17"/>
  <c r="O22" i="17"/>
  <c r="P30" i="17" l="1"/>
  <c r="O24" i="17"/>
  <c r="P27" i="17"/>
  <c r="P29" i="17"/>
  <c r="O26" i="17"/>
  <c r="P25" i="17"/>
  <c r="O27" i="17"/>
  <c r="O28" i="17"/>
  <c r="O23" i="17"/>
  <c r="P26" i="17"/>
  <c r="P23" i="17"/>
  <c r="P28" i="17"/>
  <c r="P24" i="17"/>
  <c r="O29" i="17"/>
  <c r="O25" i="17"/>
  <c r="O30" i="17"/>
  <c r="CV113" i="8" l="1"/>
  <c r="CV114" i="8" l="1"/>
  <c r="CV115" i="8" l="1"/>
  <c r="CV116" i="8" l="1"/>
  <c r="CV117" i="8" l="1"/>
  <c r="CV118" i="8" l="1"/>
  <c r="CV119" i="8" l="1"/>
  <c r="CV120" i="8" l="1"/>
  <c r="CV121" i="8" l="1"/>
  <c r="CV122" i="8" l="1"/>
  <c r="CV123" i="8" l="1"/>
  <c r="CV124" i="8" l="1"/>
  <c r="L25" i="22" l="1"/>
  <c r="CY12" i="8" l="1"/>
  <c r="E27" i="23"/>
  <c r="D38" i="7" s="1" a="1"/>
  <c r="D38" i="7" s="1"/>
  <c r="E57" i="23"/>
  <c r="I38" i="7" s="1" a="1"/>
  <c r="I38" i="7" s="1"/>
  <c r="E26" i="23"/>
  <c r="D37" i="7" s="1" a="1"/>
  <c r="D37" i="7" s="1"/>
  <c r="E99" i="23"/>
  <c r="P38" i="7" s="1" a="1"/>
  <c r="P38" i="7" s="1"/>
  <c r="E87" i="23"/>
  <c r="N38" i="7" s="1" a="1"/>
  <c r="N38" i="7" s="1"/>
  <c r="E63" i="23"/>
  <c r="J38" i="7" s="1" a="1"/>
  <c r="J38" i="7" s="1"/>
  <c r="E69" i="23"/>
  <c r="K38" i="7" s="1" a="1"/>
  <c r="K38" i="7" s="1"/>
  <c r="E105" i="23"/>
  <c r="Q38" i="7" s="1" a="1"/>
  <c r="Q38" i="7" s="1"/>
  <c r="E51" i="23"/>
  <c r="H38" i="7" s="1" a="1"/>
  <c r="H38" i="7" s="1"/>
  <c r="E33" i="23"/>
  <c r="E38" i="7" s="1" a="1"/>
  <c r="E38" i="7" s="1"/>
  <c r="E45" i="23"/>
  <c r="G38" i="7" s="1" a="1"/>
  <c r="G38" i="7" s="1"/>
  <c r="E42" i="23"/>
  <c r="G35" i="7" s="1" a="1"/>
  <c r="G35" i="7" s="1"/>
  <c r="E53" i="23"/>
  <c r="I34" i="7" s="1" a="1"/>
  <c r="I34" i="7" s="1"/>
  <c r="E50" i="23"/>
  <c r="H37" i="7" s="1" a="1"/>
  <c r="H37" i="7" s="1"/>
  <c r="E62" i="23"/>
  <c r="J37" i="7" s="1" a="1"/>
  <c r="J37" i="7" s="1"/>
  <c r="E73" i="23"/>
  <c r="L36" i="7" s="1" a="1"/>
  <c r="L36" i="7" s="1"/>
  <c r="BK5" i="8" s="1"/>
  <c r="E32" i="23"/>
  <c r="E37" i="7" s="1" a="1"/>
  <c r="E37" i="7" s="1"/>
  <c r="AE6" i="8" s="1"/>
  <c r="E89" i="23"/>
  <c r="O34" i="7" s="1" a="1"/>
  <c r="O34" i="7" s="1"/>
  <c r="E72" i="23"/>
  <c r="L35" i="7" s="1" a="1"/>
  <c r="L35" i="7" s="1"/>
  <c r="E61" i="23"/>
  <c r="J36" i="7" s="1" a="1"/>
  <c r="J36" i="7" s="1"/>
  <c r="BC5" i="19" s="1"/>
  <c r="E13" i="23"/>
  <c r="I14" i="7" s="1"/>
  <c r="C26" i="22" s="1"/>
  <c r="E59" i="23"/>
  <c r="J34" i="7" s="1" a="1"/>
  <c r="J34" i="7" s="1"/>
  <c r="BC7" i="22" s="1"/>
  <c r="E93" i="23"/>
  <c r="O38" i="7" s="1" a="1"/>
  <c r="O38" i="7" s="1"/>
  <c r="E91" i="23"/>
  <c r="O36" i="7" s="1" a="1"/>
  <c r="O36" i="7" s="1"/>
  <c r="E44" i="23"/>
  <c r="G37" i="7" s="1" a="1"/>
  <c r="G37" i="7" s="1"/>
  <c r="AQ6" i="22" s="1"/>
  <c r="E90" i="23"/>
  <c r="O35" i="7" s="1" a="1"/>
  <c r="O35" i="7" s="1"/>
  <c r="E66" i="23"/>
  <c r="K35" i="7" s="1" a="1"/>
  <c r="K35" i="7" s="1"/>
  <c r="BG4" i="19" s="1"/>
  <c r="E92" i="23"/>
  <c r="O37" i="7" s="1" a="1"/>
  <c r="O37" i="7" s="1"/>
  <c r="E54" i="23"/>
  <c r="I35" i="7" s="1" a="1"/>
  <c r="I35" i="7" s="1"/>
  <c r="E68" i="23"/>
  <c r="K37" i="7" s="1" a="1"/>
  <c r="K37" i="7" s="1"/>
  <c r="E74" i="23"/>
  <c r="L37" i="7" s="1" a="1"/>
  <c r="L37" i="7" s="1"/>
  <c r="E96" i="23"/>
  <c r="P35" i="7" s="1" a="1"/>
  <c r="P35" i="7" s="1"/>
  <c r="E23" i="23"/>
  <c r="D34" i="7" s="1" a="1"/>
  <c r="D34" i="7" s="1"/>
  <c r="E56" i="23"/>
  <c r="I37" i="7" s="1" a="1"/>
  <c r="I37" i="7" s="1"/>
  <c r="E35" i="23"/>
  <c r="F34" i="7" s="1" a="1"/>
  <c r="F34" i="7" s="1"/>
  <c r="E47" i="23"/>
  <c r="H34" i="7" s="1" a="1"/>
  <c r="H34" i="7" s="1"/>
  <c r="AU7" i="22" s="1"/>
  <c r="E39" i="23"/>
  <c r="F38" i="7" s="1" a="1"/>
  <c r="F38" i="7" s="1"/>
  <c r="E77" i="23"/>
  <c r="M34" i="7" s="1" a="1"/>
  <c r="M34" i="7" s="1"/>
  <c r="BL7" i="22" s="1" a="1"/>
  <c r="BL7" i="22" s="1"/>
  <c r="E41" i="23"/>
  <c r="G34" i="7" s="1" a="1"/>
  <c r="G34" i="7" s="1"/>
  <c r="AQ7" i="21" s="1"/>
  <c r="E60" i="23"/>
  <c r="J35" i="7" s="1" a="1"/>
  <c r="J35" i="7" s="1"/>
  <c r="E65" i="23"/>
  <c r="K34" i="7" s="1" a="1"/>
  <c r="K34" i="7" s="1"/>
  <c r="E9" i="23"/>
  <c r="I10" i="7" s="1"/>
  <c r="E75" i="23"/>
  <c r="L38" i="7" s="1" a="1"/>
  <c r="L38" i="7" s="1"/>
  <c r="E104" i="23"/>
  <c r="Q37" i="7" s="1" a="1"/>
  <c r="Q37" i="7" s="1"/>
  <c r="E29" i="23"/>
  <c r="E34" i="7" s="1" a="1"/>
  <c r="E34" i="7" s="1"/>
  <c r="E81" i="23"/>
  <c r="M38" i="7" s="1" a="1"/>
  <c r="M38" i="7" s="1"/>
  <c r="E71" i="23"/>
  <c r="L34" i="7" s="1" a="1"/>
  <c r="L34" i="7" s="1"/>
  <c r="E55" i="23"/>
  <c r="I36" i="7" s="1" a="1"/>
  <c r="I36" i="7" s="1"/>
  <c r="E36" i="23"/>
  <c r="F35" i="7" s="1" a="1"/>
  <c r="F35" i="7" s="1"/>
  <c r="E97" i="23"/>
  <c r="P36" i="7" s="1" a="1"/>
  <c r="P36" i="7" s="1"/>
  <c r="BO5" i="8" s="1"/>
  <c r="E25" i="23"/>
  <c r="D36" i="7" s="1" a="1"/>
  <c r="D36" i="7" s="1"/>
  <c r="X5" i="19" s="1"/>
  <c r="E84" i="23"/>
  <c r="N35" i="7" s="1" a="1"/>
  <c r="N35" i="7" s="1"/>
  <c r="E67" i="23"/>
  <c r="K36" i="7" s="1" a="1"/>
  <c r="K36" i="7" s="1"/>
  <c r="E38" i="23"/>
  <c r="F37" i="7" s="1" a="1"/>
  <c r="F37" i="7" s="1"/>
  <c r="E49" i="23"/>
  <c r="H36" i="7" s="1" a="1"/>
  <c r="H36" i="7" s="1"/>
  <c r="E11" i="23"/>
  <c r="I13" i="7" s="1"/>
  <c r="E102" i="23"/>
  <c r="Q35" i="7" s="1" a="1"/>
  <c r="Q35" i="7" s="1"/>
  <c r="E86" i="23"/>
  <c r="N37" i="7" s="1" a="1"/>
  <c r="N37" i="7" s="1"/>
  <c r="E103" i="23"/>
  <c r="Q36" i="7" s="1" a="1"/>
  <c r="Q36" i="7" s="1"/>
  <c r="E101" i="23"/>
  <c r="Q34" i="7" s="1" a="1"/>
  <c r="Q34" i="7" s="1"/>
  <c r="E83" i="23"/>
  <c r="N34" i="7" s="1" a="1"/>
  <c r="N34" i="7" s="1"/>
  <c r="E95" i="23"/>
  <c r="P34" i="7" s="1" a="1"/>
  <c r="P34" i="7" s="1"/>
  <c r="E48" i="23"/>
  <c r="H35" i="7" s="1" a="1"/>
  <c r="H35" i="7" s="1"/>
  <c r="E79" i="23"/>
  <c r="M36" i="7" s="1" a="1"/>
  <c r="M36" i="7" s="1"/>
  <c r="E30" i="23"/>
  <c r="E35" i="7" s="1" a="1"/>
  <c r="E35" i="7" s="1"/>
  <c r="E78" i="23"/>
  <c r="M35" i="7" s="1" a="1"/>
  <c r="M35" i="7" s="1"/>
  <c r="E98" i="23"/>
  <c r="P37" i="7" s="1" a="1"/>
  <c r="P37" i="7" s="1"/>
  <c r="BO6" i="21" s="1"/>
  <c r="E85" i="23"/>
  <c r="N36" i="7" s="1" a="1"/>
  <c r="N36" i="7" s="1"/>
  <c r="E43" i="23"/>
  <c r="G36" i="7" s="1" a="1"/>
  <c r="G36" i="7" s="1"/>
  <c r="E5" i="23"/>
  <c r="D7" i="7" s="1"/>
  <c r="B2" i="7" s="1"/>
  <c r="E8" i="23"/>
  <c r="I11" i="7" s="1"/>
  <c r="C21" i="19" s="1"/>
  <c r="E37" i="23"/>
  <c r="F36" i="7" s="1" a="1"/>
  <c r="F36" i="7" s="1"/>
  <c r="E80" i="23"/>
  <c r="M37" i="7" s="1" a="1"/>
  <c r="M37" i="7" s="1"/>
  <c r="E28" i="23"/>
  <c r="E33" i="7" s="1" a="1"/>
  <c r="E33" i="7" s="1"/>
  <c r="E58" i="23"/>
  <c r="J33" i="7" s="1" a="1"/>
  <c r="J33" i="7" s="1"/>
  <c r="E82" i="23"/>
  <c r="N33" i="7" s="1" a="1"/>
  <c r="N33" i="7" s="1"/>
  <c r="E34" i="23"/>
  <c r="F33" i="7" s="1" a="1"/>
  <c r="F33" i="7" s="1"/>
  <c r="AL11" i="8" s="1"/>
  <c r="E52" i="23"/>
  <c r="I33" i="7" s="1" a="1"/>
  <c r="I33" i="7" s="1"/>
  <c r="AY11" i="8" s="1"/>
  <c r="AY12" i="8" s="1"/>
  <c r="E40" i="23"/>
  <c r="G33" i="7" s="1" a="1"/>
  <c r="G33" i="7" s="1"/>
  <c r="E46" i="23"/>
  <c r="H33" i="7" s="1" a="1"/>
  <c r="H33" i="7" s="1"/>
  <c r="E70" i="23"/>
  <c r="L33" i="7" s="1" a="1"/>
  <c r="L33" i="7" s="1"/>
  <c r="BK11" i="8" s="1"/>
  <c r="E88" i="23"/>
  <c r="O33" i="7" s="1" a="1"/>
  <c r="O33" i="7" s="1"/>
  <c r="BW11" i="8" s="1"/>
  <c r="E100" i="23"/>
  <c r="Q33" i="7" s="1" a="1"/>
  <c r="Q33" i="7" s="1"/>
  <c r="E64" i="23"/>
  <c r="K33" i="7" s="1" a="1"/>
  <c r="K33" i="7" s="1"/>
  <c r="BG11" i="8" s="1"/>
  <c r="E94" i="23"/>
  <c r="P33" i="7" s="1" a="1"/>
  <c r="P33" i="7" s="1"/>
  <c r="E31" i="23"/>
  <c r="E36" i="7" s="1" a="1"/>
  <c r="E36" i="7" s="1"/>
  <c r="E12" i="23"/>
  <c r="E17" i="23"/>
  <c r="E15" i="23"/>
  <c r="E16" i="23"/>
  <c r="E22" i="23"/>
  <c r="D33" i="7" s="1" a="1"/>
  <c r="D33" i="7" s="1"/>
  <c r="E76" i="23"/>
  <c r="M33" i="7" s="1" a="1"/>
  <c r="M33" i="7" s="1"/>
  <c r="E21" i="23"/>
  <c r="CI6" i="22" s="1"/>
  <c r="CI125" i="22" s="1"/>
  <c r="CJ125" i="22" s="1"/>
  <c r="E10" i="23"/>
  <c r="I12" i="7" s="1"/>
  <c r="E6" i="23"/>
  <c r="C16" i="7" s="1"/>
  <c r="E18" i="23"/>
  <c r="C34" i="19" s="1"/>
  <c r="E20" i="23"/>
  <c r="C34" i="8" s="1"/>
  <c r="E14" i="23"/>
  <c r="I15" i="7" s="1"/>
  <c r="E7" i="23"/>
  <c r="C18" i="7" s="1"/>
  <c r="C15" i="6" s="1"/>
  <c r="E19" i="23"/>
  <c r="C12" i="22" s="1"/>
  <c r="C7" i="7"/>
  <c r="E24" i="23"/>
  <c r="D35" i="7" s="1" a="1"/>
  <c r="D35" i="7" s="1"/>
  <c r="BG7" i="8" l="1"/>
  <c r="BG7" i="21"/>
  <c r="AQ7" i="19"/>
  <c r="BO6" i="19"/>
  <c r="BG5" i="22"/>
  <c r="BG5" i="8"/>
  <c r="BG5" i="21"/>
  <c r="BG5" i="19"/>
  <c r="BP5" i="22"/>
  <c r="BP5" i="21"/>
  <c r="BP5" i="8"/>
  <c r="BP5" i="19"/>
  <c r="BM6" i="22"/>
  <c r="BM6" i="21"/>
  <c r="BL6" i="22"/>
  <c r="BL6" i="8"/>
  <c r="BL6" i="19"/>
  <c r="BL6" i="21"/>
  <c r="BL4" i="19" a="1"/>
  <c r="BL4" i="19" s="1"/>
  <c r="BL4" i="21" a="1"/>
  <c r="BL4" i="21" s="1"/>
  <c r="BP4" i="22"/>
  <c r="BP4" i="21"/>
  <c r="BP4" i="19"/>
  <c r="BP4" i="8"/>
  <c r="BP6" i="8"/>
  <c r="BP6" i="22"/>
  <c r="BO4" i="21"/>
  <c r="BO4" i="19"/>
  <c r="AL4" i="19"/>
  <c r="AL4" i="21"/>
  <c r="AL4" i="8"/>
  <c r="AY5" i="21"/>
  <c r="AY5" i="19"/>
  <c r="AY5" i="22"/>
  <c r="C16" i="19"/>
  <c r="C17" i="19" s="1"/>
  <c r="CP117" i="19" s="1"/>
  <c r="CX117" i="19" s="1"/>
  <c r="C16" i="8"/>
  <c r="C17" i="8" s="1"/>
  <c r="CX116" i="8" s="1"/>
  <c r="CY116" i="8" s="1"/>
  <c r="BN6" i="19"/>
  <c r="BN6" i="22"/>
  <c r="AQ6" i="8"/>
  <c r="X4" i="8"/>
  <c r="X4" i="21"/>
  <c r="X4" i="22"/>
  <c r="X4" i="19"/>
  <c r="V93" i="22"/>
  <c r="CH93" i="22" s="1"/>
  <c r="V42" i="22"/>
  <c r="CH42" i="22" s="1"/>
  <c r="V71" i="22"/>
  <c r="CH71" i="22" s="1"/>
  <c r="V61" i="22"/>
  <c r="CH61" i="22" s="1"/>
  <c r="V36" i="22"/>
  <c r="CH36" i="22" s="1"/>
  <c r="V79" i="22"/>
  <c r="CH79" i="22" s="1"/>
  <c r="V102" i="22"/>
  <c r="CH102" i="22" s="1"/>
  <c r="V69" i="22"/>
  <c r="CH69" i="22" s="1"/>
  <c r="V14" i="22"/>
  <c r="CH14" i="22" s="1"/>
  <c r="V62" i="22"/>
  <c r="CH62" i="22" s="1"/>
  <c r="V68" i="22"/>
  <c r="CH68" i="22" s="1"/>
  <c r="V116" i="22"/>
  <c r="CH116" i="22" s="1"/>
  <c r="V33" i="22"/>
  <c r="CH33" i="22" s="1"/>
  <c r="V50" i="22"/>
  <c r="CH50" i="22" s="1"/>
  <c r="V89" i="22"/>
  <c r="CH89" i="22" s="1"/>
  <c r="V51" i="22"/>
  <c r="CH51" i="22" s="1"/>
  <c r="V20" i="22"/>
  <c r="CH20" i="22" s="1"/>
  <c r="V23" i="22"/>
  <c r="CH23" i="22" s="1"/>
  <c r="V81" i="22"/>
  <c r="CH81" i="22" s="1"/>
  <c r="V101" i="22"/>
  <c r="CH101" i="22" s="1"/>
  <c r="V29" i="22"/>
  <c r="CH29" i="22" s="1"/>
  <c r="V124" i="22"/>
  <c r="CH124" i="22" s="1"/>
  <c r="V58" i="22"/>
  <c r="CH58" i="22" s="1"/>
  <c r="V16" i="22"/>
  <c r="CH16" i="22" s="1"/>
  <c r="V105" i="22"/>
  <c r="CH105" i="22" s="1"/>
  <c r="V49" i="22"/>
  <c r="CH49" i="22" s="1"/>
  <c r="V55" i="22"/>
  <c r="CH55" i="22" s="1"/>
  <c r="V117" i="22"/>
  <c r="CH117" i="22" s="1"/>
  <c r="V110" i="22"/>
  <c r="CH110" i="22" s="1"/>
  <c r="V106" i="22"/>
  <c r="CH106" i="22" s="1"/>
  <c r="V97" i="22"/>
  <c r="CH97" i="22" s="1"/>
  <c r="V77" i="22"/>
  <c r="CH77" i="22" s="1"/>
  <c r="V72" i="22"/>
  <c r="CH72" i="22" s="1"/>
  <c r="V43" i="22"/>
  <c r="CH43" i="22" s="1"/>
  <c r="V94" i="22"/>
  <c r="CH94" i="22" s="1"/>
  <c r="V57" i="22"/>
  <c r="CH57" i="22" s="1"/>
  <c r="V27" i="22"/>
  <c r="CH27" i="22" s="1"/>
  <c r="V121" i="22"/>
  <c r="CH121" i="22" s="1"/>
  <c r="V108" i="22"/>
  <c r="CH108" i="22" s="1"/>
  <c r="V120" i="22"/>
  <c r="CH120" i="22" s="1"/>
  <c r="V46" i="22"/>
  <c r="CH46" i="22" s="1"/>
  <c r="V85" i="22"/>
  <c r="CH85" i="22" s="1"/>
  <c r="V83" i="22"/>
  <c r="CH83" i="22" s="1"/>
  <c r="V52" i="22"/>
  <c r="CH52" i="22" s="1"/>
  <c r="V70" i="22"/>
  <c r="CH70" i="22" s="1"/>
  <c r="V30" i="22"/>
  <c r="CH30" i="22" s="1"/>
  <c r="V35" i="22"/>
  <c r="CH35" i="22" s="1"/>
  <c r="V88" i="22"/>
  <c r="CH88" i="22" s="1"/>
  <c r="V56" i="22"/>
  <c r="CH56" i="22" s="1"/>
  <c r="V40" i="22"/>
  <c r="CH40" i="22" s="1"/>
  <c r="V107" i="22"/>
  <c r="CH107" i="22" s="1"/>
  <c r="V67" i="22"/>
  <c r="CH67" i="22" s="1"/>
  <c r="V80" i="22"/>
  <c r="CH80" i="22" s="1"/>
  <c r="V41" i="22"/>
  <c r="CH41" i="22" s="1"/>
  <c r="CL125" i="22"/>
  <c r="CM125" i="22" s="1"/>
  <c r="V18" i="22"/>
  <c r="CH18" i="22" s="1"/>
  <c r="V24" i="22"/>
  <c r="CH24" i="22" s="1"/>
  <c r="V22" i="22"/>
  <c r="CH22" i="22" s="1"/>
  <c r="V15" i="22"/>
  <c r="CH15" i="22" s="1"/>
  <c r="V122" i="22"/>
  <c r="CH122" i="22" s="1"/>
  <c r="V96" i="22"/>
  <c r="CH96" i="22" s="1"/>
  <c r="V28" i="22"/>
  <c r="CH28" i="22" s="1"/>
  <c r="V90" i="22"/>
  <c r="CH90" i="22" s="1"/>
  <c r="V115" i="22"/>
  <c r="CH115" i="22" s="1"/>
  <c r="V48" i="22"/>
  <c r="CH48" i="22" s="1"/>
  <c r="V99" i="22"/>
  <c r="CH99" i="22" s="1"/>
  <c r="V19" i="22"/>
  <c r="CH19" i="22" s="1"/>
  <c r="V47" i="22"/>
  <c r="CH47" i="22" s="1"/>
  <c r="V74" i="22"/>
  <c r="CH74" i="22" s="1"/>
  <c r="V87" i="22"/>
  <c r="CH87" i="22" s="1"/>
  <c r="V92" i="22"/>
  <c r="CH92" i="22" s="1"/>
  <c r="V60" i="22"/>
  <c r="CH60" i="22" s="1"/>
  <c r="V53" i="22"/>
  <c r="CH53" i="22" s="1"/>
  <c r="V59" i="22"/>
  <c r="CH59" i="22" s="1"/>
  <c r="V82" i="22"/>
  <c r="CH82" i="22" s="1"/>
  <c r="V34" i="22"/>
  <c r="CH34" i="22" s="1"/>
  <c r="V26" i="22"/>
  <c r="CH26" i="22" s="1"/>
  <c r="V78" i="22"/>
  <c r="CH78" i="22" s="1"/>
  <c r="V12" i="22"/>
  <c r="CH12" i="22" s="1"/>
  <c r="V32" i="22"/>
  <c r="CH32" i="22" s="1"/>
  <c r="V63" i="22"/>
  <c r="CH63" i="22" s="1"/>
  <c r="V100" i="22"/>
  <c r="CH100" i="22" s="1"/>
  <c r="V13" i="22"/>
  <c r="CH13" i="22" s="1"/>
  <c r="V103" i="22"/>
  <c r="CH103" i="22" s="1"/>
  <c r="V95" i="22"/>
  <c r="CH95" i="22" s="1"/>
  <c r="V86" i="22"/>
  <c r="CH86" i="22" s="1"/>
  <c r="V91" i="22"/>
  <c r="CH91" i="22" s="1"/>
  <c r="V31" i="22"/>
  <c r="CH31" i="22" s="1"/>
  <c r="V75" i="22"/>
  <c r="CH75" i="22" s="1"/>
  <c r="V64" i="22"/>
  <c r="CH64" i="22" s="1"/>
  <c r="V119" i="22"/>
  <c r="CH119" i="22" s="1"/>
  <c r="V112" i="22"/>
  <c r="CH112" i="22" s="1"/>
  <c r="V76" i="22"/>
  <c r="CH76" i="22" s="1"/>
  <c r="V104" i="22"/>
  <c r="CH104" i="22" s="1"/>
  <c r="V17" i="22"/>
  <c r="CH17" i="22" s="1"/>
  <c r="V109" i="22"/>
  <c r="CH109" i="22" s="1"/>
  <c r="V39" i="22"/>
  <c r="CH39" i="22" s="1"/>
  <c r="V98" i="22"/>
  <c r="CH98" i="22" s="1"/>
  <c r="V38" i="22"/>
  <c r="CH38" i="22" s="1"/>
  <c r="V123" i="22"/>
  <c r="CH123" i="22" s="1"/>
  <c r="V118" i="22"/>
  <c r="CH118" i="22" s="1"/>
  <c r="V45" i="22"/>
  <c r="CH45" i="22" s="1"/>
  <c r="V25" i="22"/>
  <c r="CH25" i="22" s="1"/>
  <c r="V44" i="22"/>
  <c r="CH44" i="22" s="1"/>
  <c r="V113" i="22"/>
  <c r="CH113" i="22" s="1"/>
  <c r="V73" i="22"/>
  <c r="CH73" i="22" s="1"/>
  <c r="V114" i="22"/>
  <c r="CH114" i="22" s="1"/>
  <c r="V37" i="22"/>
  <c r="CH37" i="22" s="1"/>
  <c r="V21" i="22"/>
  <c r="CH21" i="22" s="1"/>
  <c r="V54" i="22"/>
  <c r="CH54" i="22" s="1"/>
  <c r="V111" i="22"/>
  <c r="CH111" i="22" s="1"/>
  <c r="V66" i="22"/>
  <c r="CH66" i="22" s="1"/>
  <c r="V84" i="22"/>
  <c r="CH84" i="22" s="1"/>
  <c r="V65" i="22"/>
  <c r="CH65" i="22" s="1"/>
  <c r="DA49" i="22"/>
  <c r="DA78" i="22"/>
  <c r="DA109" i="22"/>
  <c r="DA81" i="22"/>
  <c r="DA14" i="22"/>
  <c r="DA95" i="22"/>
  <c r="DA105" i="22"/>
  <c r="DA87" i="22"/>
  <c r="DA92" i="22"/>
  <c r="DA28" i="22"/>
  <c r="DA80" i="22"/>
  <c r="DA79" i="22"/>
  <c r="DA116" i="22"/>
  <c r="DA110" i="22"/>
  <c r="DA55" i="22"/>
  <c r="DA99" i="22"/>
  <c r="DA17" i="22"/>
  <c r="DA71" i="22"/>
  <c r="DA61" i="22"/>
  <c r="DA48" i="22"/>
  <c r="DA60" i="22"/>
  <c r="DA83" i="22"/>
  <c r="DA46" i="22"/>
  <c r="DA59" i="22"/>
  <c r="DA12" i="22"/>
  <c r="DA77" i="22"/>
  <c r="DA108" i="22"/>
  <c r="DA15" i="22"/>
  <c r="DA70" i="22"/>
  <c r="DA94" i="22"/>
  <c r="DA107" i="22"/>
  <c r="DA65" i="22"/>
  <c r="DA29" i="22"/>
  <c r="DA123" i="22"/>
  <c r="DA117" i="22"/>
  <c r="DA30" i="22"/>
  <c r="DA93" i="22"/>
  <c r="DA67" i="22"/>
  <c r="DA84" i="22"/>
  <c r="DA27" i="22"/>
  <c r="DA100" i="22"/>
  <c r="DA18" i="22"/>
  <c r="DA21" i="22"/>
  <c r="DA19" i="22"/>
  <c r="DA39" i="22"/>
  <c r="DA42" i="22"/>
  <c r="DA22" i="22"/>
  <c r="DA85" i="22"/>
  <c r="DA82" i="22"/>
  <c r="DA52" i="22"/>
  <c r="DA32" i="22"/>
  <c r="DA120" i="22"/>
  <c r="DA73" i="22"/>
  <c r="DA58" i="22"/>
  <c r="DA63" i="22"/>
  <c r="DA41" i="22"/>
  <c r="DA37" i="22"/>
  <c r="DA101" i="22"/>
  <c r="DA33" i="22"/>
  <c r="DA114" i="22"/>
  <c r="DA106" i="22"/>
  <c r="DA20" i="22"/>
  <c r="DA38" i="22"/>
  <c r="DA102" i="22"/>
  <c r="DA57" i="22"/>
  <c r="DA13" i="22"/>
  <c r="DA45" i="22"/>
  <c r="DA69" i="22"/>
  <c r="DA40" i="22"/>
  <c r="DA96" i="22"/>
  <c r="DA88" i="22"/>
  <c r="DA68" i="22"/>
  <c r="DA98" i="22"/>
  <c r="DA25" i="22"/>
  <c r="DA104" i="22"/>
  <c r="DA121" i="22"/>
  <c r="DA115" i="22"/>
  <c r="DA113" i="22"/>
  <c r="DA50" i="22"/>
  <c r="DA74" i="22"/>
  <c r="DA54" i="22"/>
  <c r="DA66" i="22"/>
  <c r="DA43" i="22"/>
  <c r="DA89" i="22"/>
  <c r="DA16" i="22"/>
  <c r="DA86" i="22"/>
  <c r="DA111" i="22"/>
  <c r="DA53" i="22"/>
  <c r="DA44" i="22"/>
  <c r="DA24" i="22"/>
  <c r="DA72" i="22"/>
  <c r="DA64" i="22"/>
  <c r="DA47" i="22"/>
  <c r="DA36" i="22"/>
  <c r="DA31" i="22"/>
  <c r="DA23" i="22"/>
  <c r="DA112" i="22"/>
  <c r="DA124" i="22"/>
  <c r="DA34" i="22"/>
  <c r="DA90" i="22"/>
  <c r="DA35" i="22"/>
  <c r="DA26" i="22"/>
  <c r="DA122" i="22"/>
  <c r="DA75" i="22"/>
  <c r="DA103" i="22"/>
  <c r="DA97" i="22"/>
  <c r="DA118" i="22"/>
  <c r="DA91" i="22"/>
  <c r="DA119" i="22"/>
  <c r="DA51" i="22"/>
  <c r="DA62" i="22"/>
  <c r="DA76" i="22"/>
  <c r="DA56" i="22"/>
  <c r="C16" i="22"/>
  <c r="C17" i="22" s="1"/>
  <c r="C19" i="7"/>
  <c r="C16" i="21"/>
  <c r="C17" i="21" s="1"/>
  <c r="C27" i="19"/>
  <c r="C27" i="22"/>
  <c r="C27" i="21"/>
  <c r="C34" i="21"/>
  <c r="C17" i="7" a="1"/>
  <c r="C17" i="7" s="1"/>
  <c r="P107" i="6"/>
  <c r="AC107" i="6" s="1"/>
  <c r="P70" i="6"/>
  <c r="AC70" i="6" s="1"/>
  <c r="P112" i="6"/>
  <c r="AC112" i="6" s="1"/>
  <c r="P71" i="6"/>
  <c r="AC71" i="6" s="1"/>
  <c r="P94" i="6"/>
  <c r="AC94" i="6" s="1"/>
  <c r="P115" i="6"/>
  <c r="AC115" i="6" s="1"/>
  <c r="P85" i="6"/>
  <c r="AC85" i="6" s="1"/>
  <c r="P106" i="6"/>
  <c r="AC106" i="6" s="1"/>
  <c r="O99" i="6"/>
  <c r="P63" i="6"/>
  <c r="AC63" i="6" s="1"/>
  <c r="P114" i="6"/>
  <c r="AC114" i="6" s="1"/>
  <c r="O17" i="6"/>
  <c r="O98" i="6"/>
  <c r="P36" i="6"/>
  <c r="AC36" i="6" s="1"/>
  <c r="P14" i="6"/>
  <c r="AC14" i="6" s="1"/>
  <c r="O67" i="6"/>
  <c r="O117" i="6"/>
  <c r="P61" i="6"/>
  <c r="AC61" i="6" s="1"/>
  <c r="P88" i="6"/>
  <c r="AC88" i="6" s="1"/>
  <c r="P96" i="6"/>
  <c r="AC96" i="6" s="1"/>
  <c r="O77" i="6"/>
  <c r="P60" i="6"/>
  <c r="AC60" i="6" s="1"/>
  <c r="O111" i="6"/>
  <c r="P51" i="6"/>
  <c r="AC51" i="6" s="1"/>
  <c r="O64" i="6"/>
  <c r="O51" i="6"/>
  <c r="O101" i="6"/>
  <c r="P47" i="6"/>
  <c r="AC47" i="6" s="1"/>
  <c r="O38" i="6"/>
  <c r="P113" i="6"/>
  <c r="AC113" i="6" s="1"/>
  <c r="P74" i="6"/>
  <c r="AC74" i="6" s="1"/>
  <c r="P45" i="6"/>
  <c r="AC45" i="6" s="1"/>
  <c r="P109" i="6"/>
  <c r="AC109" i="6" s="1"/>
  <c r="P25" i="6"/>
  <c r="AC25" i="6" s="1"/>
  <c r="O93" i="6"/>
  <c r="P81" i="6"/>
  <c r="AC81" i="6" s="1"/>
  <c r="O112" i="6"/>
  <c r="P16" i="6"/>
  <c r="AC16" i="6" s="1"/>
  <c r="P118" i="6"/>
  <c r="AC118" i="6" s="1"/>
  <c r="P44" i="6"/>
  <c r="AC44" i="6" s="1"/>
  <c r="P12" i="6"/>
  <c r="AC12" i="6" s="1"/>
  <c r="P103" i="6"/>
  <c r="AC103" i="6" s="1"/>
  <c r="O83" i="6"/>
  <c r="P92" i="6"/>
  <c r="AC92" i="6" s="1"/>
  <c r="O116" i="6"/>
  <c r="P13" i="6"/>
  <c r="AC13" i="6" s="1"/>
  <c r="P119" i="6"/>
  <c r="AC119" i="6" s="1"/>
  <c r="AD119" i="6" s="1"/>
  <c r="P59" i="6"/>
  <c r="AC59" i="6" s="1"/>
  <c r="P82" i="6"/>
  <c r="AC82" i="6" s="1"/>
  <c r="O34" i="6"/>
  <c r="P83" i="6"/>
  <c r="AC83" i="6" s="1"/>
  <c r="P65" i="6"/>
  <c r="AC65" i="6" s="1"/>
  <c r="O9" i="6"/>
  <c r="O19" i="6"/>
  <c r="O115" i="6"/>
  <c r="P104" i="6"/>
  <c r="AC104" i="6" s="1"/>
  <c r="O22" i="6"/>
  <c r="O108" i="6"/>
  <c r="P102" i="6"/>
  <c r="AC102" i="6" s="1"/>
  <c r="O37" i="6"/>
  <c r="O52" i="6"/>
  <c r="P15" i="6"/>
  <c r="AC15" i="6" s="1"/>
  <c r="O45" i="6"/>
  <c r="O31" i="6"/>
  <c r="P84" i="6"/>
  <c r="AC84" i="6" s="1"/>
  <c r="P40" i="6"/>
  <c r="AC40" i="6" s="1"/>
  <c r="P75" i="6"/>
  <c r="AC75" i="6" s="1"/>
  <c r="O97" i="6"/>
  <c r="O103" i="6"/>
  <c r="P68" i="6"/>
  <c r="AC68" i="6" s="1"/>
  <c r="O63" i="6"/>
  <c r="O24" i="6"/>
  <c r="O73" i="6"/>
  <c r="O54" i="6"/>
  <c r="O109" i="6"/>
  <c r="P108" i="6"/>
  <c r="AC108" i="6" s="1"/>
  <c r="O72" i="6"/>
  <c r="O92" i="6"/>
  <c r="O84" i="6"/>
  <c r="P72" i="6"/>
  <c r="AC72" i="6" s="1"/>
  <c r="P42" i="6"/>
  <c r="AC42" i="6" s="1"/>
  <c r="P50" i="6"/>
  <c r="AC50" i="6" s="1"/>
  <c r="O56" i="6"/>
  <c r="O44" i="6"/>
  <c r="P79" i="6"/>
  <c r="AC79" i="6" s="1"/>
  <c r="O94" i="6"/>
  <c r="P17" i="6"/>
  <c r="AC17" i="6" s="1"/>
  <c r="P58" i="6"/>
  <c r="AC58" i="6" s="1"/>
  <c r="O25" i="6"/>
  <c r="O113" i="6"/>
  <c r="O105" i="6"/>
  <c r="O61" i="6"/>
  <c r="O87" i="6"/>
  <c r="P27" i="6"/>
  <c r="AC27" i="6" s="1"/>
  <c r="O88" i="6"/>
  <c r="P53" i="6"/>
  <c r="AC53" i="6" s="1"/>
  <c r="P62" i="6"/>
  <c r="AC62" i="6" s="1"/>
  <c r="P43" i="6"/>
  <c r="AC43" i="6" s="1"/>
  <c r="O78" i="6"/>
  <c r="O20" i="6"/>
  <c r="O80" i="6"/>
  <c r="P57" i="6"/>
  <c r="AC57" i="6" s="1"/>
  <c r="P89" i="6"/>
  <c r="AC89" i="6" s="1"/>
  <c r="P11" i="6"/>
  <c r="AC11" i="6" s="1"/>
  <c r="O40" i="6"/>
  <c r="O30" i="6"/>
  <c r="P20" i="6"/>
  <c r="AC20" i="6" s="1"/>
  <c r="O60" i="6"/>
  <c r="P80" i="6"/>
  <c r="AC80" i="6" s="1"/>
  <c r="O48" i="6"/>
  <c r="O58" i="6"/>
  <c r="O14" i="6"/>
  <c r="P76" i="6"/>
  <c r="AC76" i="6" s="1"/>
  <c r="O27" i="6"/>
  <c r="O42" i="6"/>
  <c r="P31" i="6"/>
  <c r="AC31" i="6" s="1"/>
  <c r="P8" i="6"/>
  <c r="AC8" i="6" s="1"/>
  <c r="O119" i="6"/>
  <c r="P97" i="6"/>
  <c r="AC97" i="6" s="1"/>
  <c r="O13" i="6"/>
  <c r="O95" i="6"/>
  <c r="O29" i="6"/>
  <c r="P110" i="6"/>
  <c r="AC110" i="6" s="1"/>
  <c r="O91" i="6"/>
  <c r="P86" i="6"/>
  <c r="AC86" i="6" s="1"/>
  <c r="O114" i="6"/>
  <c r="O21" i="6"/>
  <c r="O100" i="6"/>
  <c r="O57" i="6"/>
  <c r="P32" i="6"/>
  <c r="AC32" i="6" s="1"/>
  <c r="P111" i="6"/>
  <c r="AC111" i="6" s="1"/>
  <c r="P93" i="6"/>
  <c r="AC93" i="6" s="1"/>
  <c r="O35" i="6"/>
  <c r="O32" i="6"/>
  <c r="P54" i="6"/>
  <c r="AC54" i="6" s="1"/>
  <c r="P52" i="6"/>
  <c r="AC52" i="6" s="1"/>
  <c r="O28" i="6"/>
  <c r="O41" i="6"/>
  <c r="O66" i="6"/>
  <c r="P19" i="6"/>
  <c r="AC19" i="6" s="1"/>
  <c r="P90" i="6"/>
  <c r="AC90" i="6" s="1"/>
  <c r="O18" i="6"/>
  <c r="P98" i="6"/>
  <c r="AC98" i="6" s="1"/>
  <c r="O71" i="6"/>
  <c r="P101" i="6"/>
  <c r="AC101" i="6" s="1"/>
  <c r="P10" i="6"/>
  <c r="AC10" i="6" s="1"/>
  <c r="P26" i="6"/>
  <c r="AC26" i="6" s="1"/>
  <c r="P69" i="6"/>
  <c r="AC69" i="6" s="1"/>
  <c r="P100" i="6"/>
  <c r="AC100" i="6" s="1"/>
  <c r="O107" i="6"/>
  <c r="P39" i="6"/>
  <c r="AC39" i="6" s="1"/>
  <c r="P23" i="6"/>
  <c r="AC23" i="6" s="1"/>
  <c r="P35" i="6"/>
  <c r="AC35" i="6" s="1"/>
  <c r="O75" i="6"/>
  <c r="P33" i="6"/>
  <c r="AC33" i="6" s="1"/>
  <c r="O106" i="6"/>
  <c r="O16" i="6"/>
  <c r="O89" i="6"/>
  <c r="P66" i="6"/>
  <c r="AC66" i="6" s="1"/>
  <c r="P49" i="6"/>
  <c r="AC49" i="6" s="1"/>
  <c r="O55" i="6"/>
  <c r="O90" i="6"/>
  <c r="P56" i="6"/>
  <c r="AC56" i="6" s="1"/>
  <c r="O96" i="6"/>
  <c r="O81" i="6"/>
  <c r="O36" i="6"/>
  <c r="P91" i="6"/>
  <c r="AC91" i="6" s="1"/>
  <c r="P87" i="6"/>
  <c r="AC87" i="6" s="1"/>
  <c r="P38" i="6"/>
  <c r="AC38" i="6" s="1"/>
  <c r="P77" i="6"/>
  <c r="AC77" i="6" s="1"/>
  <c r="P29" i="6"/>
  <c r="AC29" i="6" s="1"/>
  <c r="O50" i="6"/>
  <c r="P41" i="6"/>
  <c r="AC41" i="6" s="1"/>
  <c r="P46" i="6"/>
  <c r="AC46" i="6" s="1"/>
  <c r="P67" i="6"/>
  <c r="AC67" i="6" s="1"/>
  <c r="P99" i="6"/>
  <c r="AC99" i="6" s="1"/>
  <c r="P55" i="6"/>
  <c r="AC55" i="6" s="1"/>
  <c r="O53" i="6"/>
  <c r="P64" i="6"/>
  <c r="AC64" i="6" s="1"/>
  <c r="O12" i="6"/>
  <c r="P21" i="6"/>
  <c r="AC21" i="6" s="1"/>
  <c r="O39" i="6"/>
  <c r="P37" i="6"/>
  <c r="AC37" i="6" s="1"/>
  <c r="O102" i="6"/>
  <c r="O82" i="6"/>
  <c r="P22" i="6"/>
  <c r="AC22" i="6" s="1"/>
  <c r="P48" i="6"/>
  <c r="AC48" i="6" s="1"/>
  <c r="P78" i="6"/>
  <c r="AC78" i="6" s="1"/>
  <c r="O104" i="6"/>
  <c r="O68" i="6"/>
  <c r="O47" i="6"/>
  <c r="O43" i="6"/>
  <c r="P73" i="6"/>
  <c r="AC73" i="6" s="1"/>
  <c r="O79" i="6"/>
  <c r="P117" i="6"/>
  <c r="AC117" i="6" s="1"/>
  <c r="P30" i="6"/>
  <c r="AC30" i="6" s="1"/>
  <c r="P24" i="6"/>
  <c r="AC24" i="6" s="1"/>
  <c r="O70" i="6"/>
  <c r="O8" i="6"/>
  <c r="O85" i="6"/>
  <c r="P28" i="6"/>
  <c r="AC28" i="6" s="1"/>
  <c r="O59" i="6"/>
  <c r="P105" i="6"/>
  <c r="AC105" i="6" s="1"/>
  <c r="O65" i="6"/>
  <c r="P18" i="6"/>
  <c r="AC18" i="6" s="1"/>
  <c r="O10" i="6"/>
  <c r="P116" i="6"/>
  <c r="AC116" i="6" s="1"/>
  <c r="O7" i="6"/>
  <c r="O33" i="6"/>
  <c r="O46" i="6"/>
  <c r="O62" i="6"/>
  <c r="P34" i="6"/>
  <c r="AC34" i="6" s="1"/>
  <c r="O74" i="6"/>
  <c r="O26" i="6"/>
  <c r="O110" i="6"/>
  <c r="O69" i="6"/>
  <c r="O23" i="6"/>
  <c r="O76" i="6"/>
  <c r="P9" i="6"/>
  <c r="AC9" i="6" s="1"/>
  <c r="O49" i="6"/>
  <c r="P7" i="6"/>
  <c r="AC7" i="6" s="1"/>
  <c r="O11" i="6"/>
  <c r="O118" i="6"/>
  <c r="O15" i="6"/>
  <c r="O86" i="6"/>
  <c r="C13" i="6"/>
  <c r="C14" i="21"/>
  <c r="P95" i="6"/>
  <c r="AC95" i="6" s="1"/>
  <c r="C14" i="22"/>
  <c r="C14" i="19"/>
  <c r="C14" i="8"/>
  <c r="C27" i="8"/>
  <c r="C34" i="22"/>
  <c r="T11" i="21"/>
  <c r="T11" i="22"/>
  <c r="T11" i="19"/>
  <c r="X11" i="8"/>
  <c r="X11" i="22"/>
  <c r="X11" i="19"/>
  <c r="X11" i="21"/>
  <c r="T11" i="8"/>
  <c r="C24" i="19"/>
  <c r="C24" i="21"/>
  <c r="C24" i="22"/>
  <c r="C24" i="8"/>
  <c r="AE5" i="22"/>
  <c r="AE5" i="21"/>
  <c r="AE5" i="8"/>
  <c r="AE5" i="19"/>
  <c r="CA11" i="21"/>
  <c r="CA11" i="19"/>
  <c r="CA11" i="22"/>
  <c r="CA11" i="8"/>
  <c r="BO11" i="22"/>
  <c r="BO11" i="21"/>
  <c r="BO11" i="19"/>
  <c r="CE11" i="21"/>
  <c r="CE11" i="22"/>
  <c r="CE11" i="19"/>
  <c r="CE11" i="8"/>
  <c r="BW50" i="8"/>
  <c r="BW85" i="8"/>
  <c r="BW72" i="8"/>
  <c r="BW108" i="8"/>
  <c r="BW42" i="8"/>
  <c r="BW46" i="8"/>
  <c r="BW18" i="8"/>
  <c r="BW24" i="8"/>
  <c r="BW35" i="8"/>
  <c r="BW36" i="8"/>
  <c r="BW99" i="8"/>
  <c r="BW27" i="8"/>
  <c r="BW20" i="8"/>
  <c r="BW43" i="8"/>
  <c r="BW106" i="8"/>
  <c r="BW48" i="8"/>
  <c r="BW67" i="8"/>
  <c r="BW94" i="8"/>
  <c r="BW21" i="8"/>
  <c r="BW107" i="8"/>
  <c r="BW96" i="8"/>
  <c r="BW111" i="8"/>
  <c r="BW102" i="8"/>
  <c r="BW56" i="8"/>
  <c r="BW120" i="8"/>
  <c r="BW119" i="8"/>
  <c r="BW79" i="8"/>
  <c r="BW83" i="8"/>
  <c r="BW124" i="8"/>
  <c r="BW86" i="8"/>
  <c r="BW47" i="8"/>
  <c r="BW98" i="8"/>
  <c r="BW53" i="8"/>
  <c r="BW51" i="8"/>
  <c r="BW93" i="8"/>
  <c r="BW19" i="8"/>
  <c r="BW44" i="8"/>
  <c r="BW14" i="8"/>
  <c r="BW110" i="8"/>
  <c r="BW38" i="8"/>
  <c r="BW97" i="8"/>
  <c r="BW95" i="8"/>
  <c r="BW89" i="8"/>
  <c r="BW41" i="8"/>
  <c r="BW39" i="8"/>
  <c r="BW75" i="8"/>
  <c r="BW81" i="8"/>
  <c r="BW77" i="8"/>
  <c r="BW121" i="8"/>
  <c r="BW122" i="8"/>
  <c r="BW22" i="8"/>
  <c r="BW34" i="8"/>
  <c r="BW45" i="8"/>
  <c r="BW26" i="8"/>
  <c r="BW57" i="8"/>
  <c r="BW52" i="8"/>
  <c r="BW37" i="8"/>
  <c r="BW117" i="8"/>
  <c r="BW40" i="8"/>
  <c r="BW123" i="8"/>
  <c r="BW59" i="8"/>
  <c r="BW23" i="8"/>
  <c r="BW70" i="8"/>
  <c r="BW90" i="8"/>
  <c r="BW101" i="8"/>
  <c r="BW28" i="8"/>
  <c r="BW63" i="8"/>
  <c r="BW30" i="8"/>
  <c r="BW71" i="8"/>
  <c r="BW84" i="8"/>
  <c r="BW69" i="8"/>
  <c r="BW64" i="8"/>
  <c r="BW118" i="8"/>
  <c r="BW31" i="8"/>
  <c r="BW115" i="8"/>
  <c r="BW12" i="8"/>
  <c r="BW114" i="8"/>
  <c r="BW25" i="8"/>
  <c r="BW13" i="8"/>
  <c r="BW116" i="8"/>
  <c r="BW55" i="8"/>
  <c r="BW109" i="8"/>
  <c r="BW91" i="8"/>
  <c r="BW32" i="8"/>
  <c r="BW105" i="8"/>
  <c r="BW88" i="8"/>
  <c r="BW15" i="8"/>
  <c r="BW17" i="8"/>
  <c r="BW73" i="8"/>
  <c r="BW87" i="8"/>
  <c r="BW58" i="8"/>
  <c r="BW54" i="8"/>
  <c r="BW112" i="8"/>
  <c r="BW80" i="8"/>
  <c r="BW82" i="8"/>
  <c r="BW100" i="8"/>
  <c r="BW49" i="8"/>
  <c r="BW61" i="8"/>
  <c r="BW62" i="8"/>
  <c r="BW33" i="8"/>
  <c r="BW60" i="8"/>
  <c r="BW68" i="8"/>
  <c r="BW16" i="8"/>
  <c r="BW92" i="8"/>
  <c r="BW65" i="8"/>
  <c r="BW78" i="8"/>
  <c r="BW113" i="8"/>
  <c r="BW29" i="8"/>
  <c r="BW76" i="8"/>
  <c r="BW104" i="8"/>
  <c r="BW74" i="8"/>
  <c r="BW66" i="8"/>
  <c r="BW103" i="8"/>
  <c r="BK32" i="8"/>
  <c r="BK63" i="8"/>
  <c r="BK82" i="8"/>
  <c r="BK124" i="8"/>
  <c r="BK48" i="8"/>
  <c r="BK17" i="8"/>
  <c r="BK36" i="8"/>
  <c r="BK22" i="8"/>
  <c r="BK61" i="8"/>
  <c r="BK97" i="8"/>
  <c r="BK98" i="8"/>
  <c r="BK67" i="8"/>
  <c r="BK114" i="8"/>
  <c r="BK72" i="8"/>
  <c r="BK71" i="8"/>
  <c r="BK42" i="8"/>
  <c r="BK25" i="8"/>
  <c r="BK45" i="8"/>
  <c r="BK37" i="8"/>
  <c r="BK34" i="8"/>
  <c r="BK75" i="8"/>
  <c r="BK104" i="8"/>
  <c r="BK107" i="8"/>
  <c r="BK109" i="8"/>
  <c r="BK123" i="8"/>
  <c r="BK76" i="8"/>
  <c r="BK110" i="8"/>
  <c r="BK119" i="8"/>
  <c r="BK53" i="8"/>
  <c r="BK54" i="8"/>
  <c r="BK79" i="8"/>
  <c r="BK47" i="8"/>
  <c r="BK30" i="8"/>
  <c r="BK44" i="8"/>
  <c r="BK84" i="8"/>
  <c r="BK24" i="8"/>
  <c r="BK59" i="8"/>
  <c r="BK38" i="8"/>
  <c r="BK46" i="8"/>
  <c r="BK89" i="8"/>
  <c r="BK88" i="8"/>
  <c r="BK106" i="8"/>
  <c r="BK92" i="8"/>
  <c r="BK117" i="8"/>
  <c r="BK19" i="8"/>
  <c r="BK66" i="8"/>
  <c r="BK112" i="8"/>
  <c r="BK20" i="8"/>
  <c r="BK78" i="8"/>
  <c r="BK70" i="8"/>
  <c r="BK58" i="8"/>
  <c r="BK64" i="8"/>
  <c r="BK62" i="8"/>
  <c r="BK13" i="8"/>
  <c r="BK27" i="8"/>
  <c r="BK65" i="8"/>
  <c r="BK91" i="8"/>
  <c r="BK116" i="8"/>
  <c r="BK18" i="8"/>
  <c r="BK115" i="8"/>
  <c r="BK77" i="8"/>
  <c r="BK102" i="8"/>
  <c r="BK95" i="8"/>
  <c r="BK73" i="8"/>
  <c r="BK56" i="8"/>
  <c r="BK52" i="8"/>
  <c r="BK14" i="8"/>
  <c r="BK28" i="8"/>
  <c r="BK99" i="8"/>
  <c r="BK29" i="8"/>
  <c r="BK12" i="8"/>
  <c r="BK33" i="8"/>
  <c r="BK103" i="8"/>
  <c r="BK87" i="8"/>
  <c r="BK118" i="8"/>
  <c r="BK49" i="8"/>
  <c r="BK94" i="8"/>
  <c r="BK111" i="8"/>
  <c r="BK31" i="8"/>
  <c r="BK113" i="8"/>
  <c r="BK93" i="8"/>
  <c r="BK90" i="8"/>
  <c r="BK51" i="8"/>
  <c r="BK23" i="8"/>
  <c r="BK100" i="8"/>
  <c r="BK21" i="8"/>
  <c r="BK86" i="8"/>
  <c r="BK69" i="8"/>
  <c r="BK68" i="8"/>
  <c r="BK83" i="8"/>
  <c r="BK81" i="8"/>
  <c r="BK60" i="8"/>
  <c r="BK40" i="8"/>
  <c r="BK43" i="8"/>
  <c r="BK50" i="8"/>
  <c r="BK55" i="8"/>
  <c r="BK15" i="8"/>
  <c r="BK85" i="8"/>
  <c r="BK57" i="8"/>
  <c r="BK121" i="8"/>
  <c r="BK96" i="8"/>
  <c r="BK120" i="8"/>
  <c r="BK74" i="8"/>
  <c r="BK105" i="8"/>
  <c r="BK80" i="8"/>
  <c r="BK26" i="8"/>
  <c r="BK35" i="8"/>
  <c r="BK108" i="8"/>
  <c r="BK101" i="8"/>
  <c r="BK16" i="8"/>
  <c r="BK39" i="8"/>
  <c r="BK41" i="8"/>
  <c r="BK122" i="8"/>
  <c r="BO11" i="8"/>
  <c r="BG124" i="8"/>
  <c r="BG79" i="8"/>
  <c r="BG41" i="8"/>
  <c r="BG14" i="8"/>
  <c r="BG107" i="8"/>
  <c r="BG27" i="8"/>
  <c r="BG63" i="8"/>
  <c r="BG58" i="8"/>
  <c r="BG45" i="8"/>
  <c r="BG111" i="8"/>
  <c r="BG80" i="8"/>
  <c r="BG31" i="8"/>
  <c r="BG22" i="8"/>
  <c r="BG70" i="8"/>
  <c r="BG123" i="8"/>
  <c r="BG50" i="8"/>
  <c r="BG56" i="8"/>
  <c r="BG48" i="8"/>
  <c r="BG117" i="8"/>
  <c r="BG89" i="8"/>
  <c r="BG54" i="8"/>
  <c r="BG36" i="8"/>
  <c r="BG104" i="8"/>
  <c r="BG34" i="8"/>
  <c r="BG62" i="8"/>
  <c r="BG78" i="8"/>
  <c r="BG40" i="8"/>
  <c r="BG121" i="8"/>
  <c r="BG38" i="8"/>
  <c r="BG84" i="8"/>
  <c r="BG91" i="8"/>
  <c r="BG96" i="8"/>
  <c r="BG75" i="8"/>
  <c r="BG74" i="8"/>
  <c r="BG92" i="8"/>
  <c r="BG23" i="8"/>
  <c r="BG28" i="8"/>
  <c r="BG46" i="8"/>
  <c r="BG122" i="8"/>
  <c r="BG59" i="8"/>
  <c r="BG33" i="8"/>
  <c r="BG120" i="8"/>
  <c r="BG88" i="8"/>
  <c r="BG37" i="8"/>
  <c r="BG26" i="8"/>
  <c r="BG25" i="8"/>
  <c r="BG82" i="8"/>
  <c r="BG65" i="8"/>
  <c r="BG116" i="8"/>
  <c r="BG86" i="8"/>
  <c r="BG83" i="8"/>
  <c r="BG94" i="8"/>
  <c r="BG29" i="8"/>
  <c r="BG67" i="8"/>
  <c r="BG98" i="8"/>
  <c r="BG39" i="8"/>
  <c r="BG15" i="8"/>
  <c r="BG32" i="8"/>
  <c r="BG55" i="8"/>
  <c r="BG13" i="8"/>
  <c r="BG85" i="8"/>
  <c r="BG106" i="8"/>
  <c r="BG16" i="8"/>
  <c r="BG81" i="8"/>
  <c r="BG109" i="8"/>
  <c r="BG64" i="8"/>
  <c r="BG17" i="8"/>
  <c r="BG44" i="8"/>
  <c r="BG72" i="8"/>
  <c r="BG100" i="8"/>
  <c r="BG12" i="8"/>
  <c r="BG43" i="8"/>
  <c r="BG93" i="8"/>
  <c r="BG77" i="8"/>
  <c r="BG73" i="8"/>
  <c r="BG115" i="8"/>
  <c r="BG119" i="8"/>
  <c r="BG71" i="8"/>
  <c r="BG60" i="8"/>
  <c r="BG18" i="8"/>
  <c r="BG68" i="8"/>
  <c r="BG114" i="8"/>
  <c r="BG53" i="8"/>
  <c r="BG103" i="8"/>
  <c r="BG49" i="8"/>
  <c r="BG69" i="8"/>
  <c r="BG118" i="8"/>
  <c r="BG95" i="8"/>
  <c r="BG113" i="8"/>
  <c r="BG24" i="8"/>
  <c r="BG87" i="8"/>
  <c r="BG90" i="8"/>
  <c r="BG97" i="8"/>
  <c r="BG52" i="8"/>
  <c r="BG42" i="8"/>
  <c r="BG57" i="8"/>
  <c r="BG21" i="8"/>
  <c r="BG105" i="8"/>
  <c r="BG76" i="8"/>
  <c r="BG101" i="8"/>
  <c r="BG61" i="8"/>
  <c r="BG51" i="8"/>
  <c r="BG66" i="8"/>
  <c r="BG20" i="8"/>
  <c r="BG112" i="8"/>
  <c r="BG108" i="8"/>
  <c r="BG47" i="8"/>
  <c r="BG19" i="8"/>
  <c r="BG102" i="8"/>
  <c r="BG99" i="8"/>
  <c r="BG110" i="8"/>
  <c r="BG35" i="8"/>
  <c r="BG30" i="8"/>
  <c r="BW11" i="19"/>
  <c r="BW11" i="21"/>
  <c r="BW11" i="22"/>
  <c r="AL12" i="8"/>
  <c r="AL77" i="8"/>
  <c r="AL55" i="8"/>
  <c r="AL81" i="8"/>
  <c r="AL52" i="8"/>
  <c r="AL110" i="8"/>
  <c r="AL28" i="8"/>
  <c r="AL24" i="8"/>
  <c r="AL80" i="8"/>
  <c r="AL19" i="8"/>
  <c r="AL35" i="8"/>
  <c r="AL65" i="8"/>
  <c r="AL95" i="8"/>
  <c r="AL42" i="8"/>
  <c r="AL51" i="8"/>
  <c r="AL82" i="8"/>
  <c r="AL33" i="8"/>
  <c r="AL23" i="8"/>
  <c r="AL121" i="8"/>
  <c r="AL96" i="8"/>
  <c r="AL36" i="8"/>
  <c r="AL99" i="8"/>
  <c r="AL87" i="8"/>
  <c r="AL31" i="8"/>
  <c r="AL64" i="8"/>
  <c r="AL103" i="8"/>
  <c r="AL78" i="8"/>
  <c r="AL84" i="8"/>
  <c r="AL17" i="8"/>
  <c r="AL32" i="8"/>
  <c r="AL15" i="8"/>
  <c r="AL27" i="8"/>
  <c r="AL53" i="8"/>
  <c r="AL108" i="8"/>
  <c r="AL107" i="8"/>
  <c r="AL113" i="8"/>
  <c r="AL86" i="8"/>
  <c r="AL48" i="8"/>
  <c r="AL91" i="8"/>
  <c r="AL57" i="8"/>
  <c r="AL22" i="8"/>
  <c r="AL123" i="8"/>
  <c r="AL114" i="8"/>
  <c r="AL109" i="8"/>
  <c r="AL16" i="8"/>
  <c r="AL39" i="8"/>
  <c r="AL111" i="8"/>
  <c r="AL21" i="8"/>
  <c r="AL85" i="8"/>
  <c r="AL106" i="8"/>
  <c r="AL94" i="8"/>
  <c r="AL89" i="8"/>
  <c r="AL73" i="8"/>
  <c r="AL101" i="8"/>
  <c r="AL14" i="8"/>
  <c r="AL41" i="8"/>
  <c r="AL34" i="8"/>
  <c r="AL13" i="8"/>
  <c r="AL69" i="8"/>
  <c r="AL124" i="8"/>
  <c r="AL120" i="8"/>
  <c r="AL102" i="8"/>
  <c r="AL43" i="8"/>
  <c r="AL98" i="8"/>
  <c r="AL44" i="8"/>
  <c r="AL76" i="8"/>
  <c r="AL75" i="8"/>
  <c r="AL54" i="8"/>
  <c r="AL100" i="8"/>
  <c r="AL30" i="8"/>
  <c r="AL18" i="8"/>
  <c r="AL56" i="8"/>
  <c r="AL25" i="8"/>
  <c r="AL93" i="8"/>
  <c r="AL26" i="8"/>
  <c r="AL112" i="8"/>
  <c r="AL58" i="8"/>
  <c r="AL72" i="8"/>
  <c r="AL83" i="8"/>
  <c r="AL79" i="8"/>
  <c r="AL117" i="8"/>
  <c r="AL122" i="8"/>
  <c r="AL66" i="8"/>
  <c r="AL119" i="8"/>
  <c r="AL49" i="8"/>
  <c r="AL118" i="8"/>
  <c r="AL104" i="8"/>
  <c r="AL90" i="8"/>
  <c r="AL29" i="8"/>
  <c r="AL67" i="8"/>
  <c r="AL60" i="8"/>
  <c r="AL70" i="8"/>
  <c r="AL37" i="8"/>
  <c r="AL59" i="8"/>
  <c r="AL88" i="8"/>
  <c r="AL71" i="8"/>
  <c r="AL40" i="8"/>
  <c r="AL20" i="8"/>
  <c r="AL38" i="8"/>
  <c r="AL68" i="8"/>
  <c r="AL46" i="8"/>
  <c r="AL45" i="8"/>
  <c r="AL63" i="8"/>
  <c r="AL50" i="8"/>
  <c r="AL97" i="8"/>
  <c r="AL47" i="8"/>
  <c r="AL74" i="8"/>
  <c r="AL92" i="8"/>
  <c r="AL61" i="8"/>
  <c r="AL115" i="8"/>
  <c r="AL105" i="8"/>
  <c r="AL116" i="8"/>
  <c r="AL62" i="8"/>
  <c r="BG11" i="21"/>
  <c r="BG11" i="19"/>
  <c r="BG11" i="22"/>
  <c r="BK11" i="21"/>
  <c r="BK11" i="19"/>
  <c r="BK11" i="22"/>
  <c r="AU11" i="19"/>
  <c r="AU11" i="21"/>
  <c r="AU11" i="22"/>
  <c r="AU11" i="8"/>
  <c r="AQ11" i="21"/>
  <c r="AQ11" i="22"/>
  <c r="AQ11" i="19"/>
  <c r="AQ11" i="8"/>
  <c r="AY16" i="8"/>
  <c r="AY49" i="8"/>
  <c r="AY40" i="8"/>
  <c r="AY66" i="8"/>
  <c r="AY76" i="8"/>
  <c r="AY101" i="8"/>
  <c r="AY57" i="8"/>
  <c r="AY95" i="8"/>
  <c r="AY108" i="8"/>
  <c r="AY32" i="8"/>
  <c r="AY117" i="8"/>
  <c r="AY46" i="8"/>
  <c r="AY72" i="8"/>
  <c r="AY30" i="8"/>
  <c r="AY45" i="8"/>
  <c r="AY54" i="8"/>
  <c r="AY48" i="8"/>
  <c r="AY51" i="8"/>
  <c r="AY114" i="8"/>
  <c r="AY62" i="8"/>
  <c r="AY91" i="8"/>
  <c r="AY22" i="8"/>
  <c r="AY98" i="8"/>
  <c r="AY21" i="8"/>
  <c r="AY15" i="8"/>
  <c r="AY83" i="8"/>
  <c r="AY109" i="8"/>
  <c r="AY119" i="8"/>
  <c r="AY116" i="8"/>
  <c r="AY103" i="8"/>
  <c r="AY92" i="8"/>
  <c r="AY33" i="8"/>
  <c r="AY111" i="8"/>
  <c r="AY102" i="8"/>
  <c r="AY99" i="8"/>
  <c r="AY43" i="8"/>
  <c r="AY105" i="8"/>
  <c r="AY97" i="8"/>
  <c r="AY120" i="8"/>
  <c r="AY96" i="8"/>
  <c r="AY59" i="8"/>
  <c r="AY26" i="8"/>
  <c r="AY90" i="8"/>
  <c r="AY42" i="8"/>
  <c r="AY88" i="8"/>
  <c r="AY14" i="8"/>
  <c r="AY23" i="8"/>
  <c r="AY124" i="8"/>
  <c r="AY24" i="8"/>
  <c r="AY123" i="8"/>
  <c r="AY31" i="8"/>
  <c r="AY20" i="8"/>
  <c r="AY52" i="8"/>
  <c r="AY79" i="8"/>
  <c r="AY17" i="8"/>
  <c r="AY112" i="8"/>
  <c r="AY58" i="8"/>
  <c r="AY47" i="8"/>
  <c r="AY81" i="8"/>
  <c r="AY113" i="8"/>
  <c r="AY93" i="8"/>
  <c r="AY94" i="8"/>
  <c r="AY37" i="8"/>
  <c r="AY82" i="8"/>
  <c r="AY110" i="8"/>
  <c r="AY53" i="8"/>
  <c r="AY27" i="8"/>
  <c r="AY122" i="8"/>
  <c r="AY118" i="8"/>
  <c r="AY56" i="8"/>
  <c r="AY73" i="8"/>
  <c r="AL11" i="22"/>
  <c r="AL11" i="21"/>
  <c r="AL11" i="19"/>
  <c r="AL22" i="19" s="1"/>
  <c r="AY11" i="19"/>
  <c r="AY11" i="21"/>
  <c r="AY11" i="22"/>
  <c r="AY106" i="8"/>
  <c r="AY19" i="8"/>
  <c r="AY86" i="8"/>
  <c r="AY65" i="8"/>
  <c r="AY74" i="8"/>
  <c r="AY55" i="8"/>
  <c r="AY107" i="8"/>
  <c r="AY13" i="8"/>
  <c r="AY71" i="8"/>
  <c r="AY75" i="8"/>
  <c r="AY18" i="8"/>
  <c r="AY85" i="8"/>
  <c r="AY84" i="8"/>
  <c r="AY78" i="8"/>
  <c r="BS11" i="21"/>
  <c r="BS11" i="22"/>
  <c r="BS11" i="19"/>
  <c r="BS11" i="8"/>
  <c r="AY100" i="8"/>
  <c r="AY44" i="8"/>
  <c r="AY34" i="8"/>
  <c r="AY70" i="8"/>
  <c r="AY68" i="8"/>
  <c r="AY25" i="8"/>
  <c r="AY28" i="8"/>
  <c r="AY29" i="8"/>
  <c r="AY77" i="8"/>
  <c r="AY35" i="8"/>
  <c r="AY87" i="8"/>
  <c r="AY38" i="8"/>
  <c r="AY80" i="8"/>
  <c r="BC11" i="21"/>
  <c r="BC11" i="19"/>
  <c r="BC11" i="22"/>
  <c r="BC11" i="8"/>
  <c r="AY104" i="8"/>
  <c r="AY67" i="8"/>
  <c r="AY61" i="8"/>
  <c r="AY115" i="8"/>
  <c r="AY63" i="8"/>
  <c r="AY89" i="8"/>
  <c r="AY121" i="8"/>
  <c r="AY36" i="8"/>
  <c r="AY50" i="8"/>
  <c r="AY41" i="8"/>
  <c r="AY64" i="8"/>
  <c r="AY69" i="8"/>
  <c r="AY39" i="8"/>
  <c r="AY60" i="8"/>
  <c r="U11" i="19"/>
  <c r="U11" i="22"/>
  <c r="U11" i="21"/>
  <c r="AE11" i="19"/>
  <c r="AE11" i="21"/>
  <c r="AE11" i="22"/>
  <c r="U11" i="8"/>
  <c r="AE11" i="8"/>
  <c r="AL5" i="22"/>
  <c r="AL5" i="19"/>
  <c r="AL5" i="21"/>
  <c r="AL5" i="8"/>
  <c r="B2" i="21"/>
  <c r="B2" i="19"/>
  <c r="B2" i="22"/>
  <c r="B2" i="8"/>
  <c r="AQ5" i="19"/>
  <c r="AQ5" i="21"/>
  <c r="AQ5" i="8"/>
  <c r="AQ5" i="22"/>
  <c r="AE4" i="19"/>
  <c r="AE4" i="22"/>
  <c r="AE4" i="21"/>
  <c r="AE4" i="8"/>
  <c r="C21" i="22"/>
  <c r="BL4" i="22" a="1"/>
  <c r="BL4" i="22" s="1"/>
  <c r="BL4" i="8" a="1"/>
  <c r="BL4" i="8" s="1"/>
  <c r="BM5" i="21"/>
  <c r="BM5" i="19"/>
  <c r="BM5" i="22"/>
  <c r="C21" i="8"/>
  <c r="BM5" i="8"/>
  <c r="BL5" i="22"/>
  <c r="BL5" i="21"/>
  <c r="BL5" i="19"/>
  <c r="BL5" i="8"/>
  <c r="C21" i="21"/>
  <c r="AU4" i="8"/>
  <c r="AU4" i="19"/>
  <c r="AU4" i="21"/>
  <c r="AU4" i="22"/>
  <c r="BO6" i="8"/>
  <c r="BO6" i="22"/>
  <c r="BO7" i="22"/>
  <c r="BO7" i="8"/>
  <c r="BO7" i="21"/>
  <c r="BO7" i="19"/>
  <c r="BG6" i="8"/>
  <c r="BG6" i="22"/>
  <c r="BG6" i="19"/>
  <c r="BG6" i="21"/>
  <c r="BP7" i="19"/>
  <c r="BP7" i="21"/>
  <c r="BP7" i="22"/>
  <c r="BP7" i="8"/>
  <c r="C25" i="22"/>
  <c r="C25" i="19"/>
  <c r="C25" i="21"/>
  <c r="C25" i="8"/>
  <c r="BK7" i="8"/>
  <c r="BK7" i="22"/>
  <c r="BK7" i="21"/>
  <c r="BK7" i="19"/>
  <c r="BC4" i="22"/>
  <c r="BC4" i="8"/>
  <c r="BC4" i="21"/>
  <c r="BC4" i="19"/>
  <c r="AU5" i="22"/>
  <c r="AU5" i="19"/>
  <c r="AU5" i="8"/>
  <c r="AU5" i="21"/>
  <c r="AL6" i="21"/>
  <c r="AL6" i="8"/>
  <c r="AL6" i="22"/>
  <c r="AL6" i="19"/>
  <c r="BM4" i="19"/>
  <c r="BM4" i="8"/>
  <c r="BM4" i="22"/>
  <c r="BM4" i="21"/>
  <c r="X5" i="8"/>
  <c r="X5" i="22"/>
  <c r="X5" i="21"/>
  <c r="AE7" i="21"/>
  <c r="AE7" i="8"/>
  <c r="AE7" i="22"/>
  <c r="AE7" i="19"/>
  <c r="C22" i="22"/>
  <c r="C22" i="21"/>
  <c r="C22" i="19"/>
  <c r="C22" i="8"/>
  <c r="BM7" i="21"/>
  <c r="BM7" i="8"/>
  <c r="BM7" i="19"/>
  <c r="BM7" i="22"/>
  <c r="BO5" i="19"/>
  <c r="BO5" i="21"/>
  <c r="BO5" i="22"/>
  <c r="BM6" i="19"/>
  <c r="AY6" i="21"/>
  <c r="AY6" i="8"/>
  <c r="AY6" i="22"/>
  <c r="AY6" i="19"/>
  <c r="AY4" i="8"/>
  <c r="AY4" i="21"/>
  <c r="AY4" i="19"/>
  <c r="AY4" i="22"/>
  <c r="BN7" i="19"/>
  <c r="BN7" i="8"/>
  <c r="BN7" i="22"/>
  <c r="BN7" i="21"/>
  <c r="BM6" i="8"/>
  <c r="X7" i="19"/>
  <c r="X7" i="8"/>
  <c r="X7" i="22"/>
  <c r="X7" i="21"/>
  <c r="BP6" i="21"/>
  <c r="BP6" i="19"/>
  <c r="AQ7" i="22"/>
  <c r="AQ7" i="8"/>
  <c r="AL4" i="22"/>
  <c r="AY5" i="8"/>
  <c r="BG7" i="22"/>
  <c r="BG7" i="19"/>
  <c r="BL7" i="21" a="1"/>
  <c r="BL7" i="21" s="1"/>
  <c r="BL7" i="19" a="1"/>
  <c r="BL7" i="19" s="1"/>
  <c r="BL7" i="8" a="1"/>
  <c r="BL7" i="8" s="1"/>
  <c r="AL7" i="8"/>
  <c r="AL7" i="19"/>
  <c r="AL7" i="22"/>
  <c r="AL7" i="21"/>
  <c r="BK6" i="8"/>
  <c r="BK6" i="19"/>
  <c r="BK6" i="21"/>
  <c r="BK6" i="22"/>
  <c r="BN4" i="21"/>
  <c r="BN4" i="22"/>
  <c r="BK4" i="22"/>
  <c r="BK4" i="21"/>
  <c r="BO4" i="8"/>
  <c r="BN6" i="8"/>
  <c r="BG4" i="22"/>
  <c r="BG4" i="8"/>
  <c r="BN4" i="19"/>
  <c r="C26" i="19"/>
  <c r="C26" i="8"/>
  <c r="BC6" i="8"/>
  <c r="BC6" i="21"/>
  <c r="BC6" i="22"/>
  <c r="BC6" i="19"/>
  <c r="AU7" i="8"/>
  <c r="BN4" i="8"/>
  <c r="BK4" i="19"/>
  <c r="AY7" i="21"/>
  <c r="AY7" i="22"/>
  <c r="AU7" i="21"/>
  <c r="BO4" i="22"/>
  <c r="BN6" i="21"/>
  <c r="BG4" i="21"/>
  <c r="C26" i="21"/>
  <c r="AE6" i="21"/>
  <c r="AE6" i="19"/>
  <c r="AE6" i="22"/>
  <c r="AY7" i="19"/>
  <c r="AU7" i="19"/>
  <c r="BN5" i="19"/>
  <c r="BN5" i="22"/>
  <c r="BN5" i="21"/>
  <c r="BN5" i="8"/>
  <c r="AU6" i="19"/>
  <c r="AU6" i="21"/>
  <c r="AU6" i="8"/>
  <c r="AU6" i="22"/>
  <c r="AY7" i="8"/>
  <c r="BC5" i="21"/>
  <c r="BC5" i="22"/>
  <c r="BC5" i="8"/>
  <c r="AQ4" i="8"/>
  <c r="AQ4" i="22"/>
  <c r="AQ4" i="21"/>
  <c r="AQ6" i="21"/>
  <c r="AQ6" i="19"/>
  <c r="BC7" i="19"/>
  <c r="BC7" i="8"/>
  <c r="BC7" i="21"/>
  <c r="BK4" i="8"/>
  <c r="BK5" i="19"/>
  <c r="BK5" i="21"/>
  <c r="BK5" i="22"/>
  <c r="AQ4" i="19"/>
  <c r="CP123" i="19" l="1"/>
  <c r="CX123" i="19" s="1"/>
  <c r="CP119" i="19"/>
  <c r="CX119" i="19" s="1"/>
  <c r="CP118" i="19"/>
  <c r="CX118" i="19" s="1"/>
  <c r="CP124" i="19"/>
  <c r="CX124" i="19" s="1"/>
  <c r="C35" i="19"/>
  <c r="CP115" i="19"/>
  <c r="CX115" i="19" s="1"/>
  <c r="C32" i="19"/>
  <c r="D32" i="19" s="1"/>
  <c r="CP116" i="19"/>
  <c r="CX116" i="19" s="1"/>
  <c r="CP121" i="19"/>
  <c r="CX121" i="19" s="1"/>
  <c r="CP120" i="19"/>
  <c r="CX120" i="19" s="1"/>
  <c r="CP122" i="19"/>
  <c r="CX122" i="19" s="1"/>
  <c r="CP114" i="19"/>
  <c r="CX114" i="19" s="1"/>
  <c r="CP113" i="19"/>
  <c r="CX113" i="19" s="1"/>
  <c r="C35" i="8"/>
  <c r="CX115" i="8"/>
  <c r="CY115" i="8" s="1"/>
  <c r="C32" i="8"/>
  <c r="D32" i="8" s="1"/>
  <c r="CX119" i="8"/>
  <c r="CY119" i="8" s="1"/>
  <c r="CX114" i="8"/>
  <c r="CY114" i="8" s="1"/>
  <c r="CX124" i="8"/>
  <c r="CY124" i="8" s="1"/>
  <c r="CX123" i="8"/>
  <c r="CY123" i="8" s="1"/>
  <c r="CX113" i="8"/>
  <c r="CY113" i="8" s="1"/>
  <c r="CX117" i="8"/>
  <c r="CY117" i="8" s="1"/>
  <c r="CX120" i="8"/>
  <c r="CY120" i="8" s="1"/>
  <c r="CX118" i="8"/>
  <c r="CY118" i="8" s="1"/>
  <c r="CX122" i="8"/>
  <c r="CY122" i="8" s="1"/>
  <c r="CX121" i="8"/>
  <c r="CY121" i="8" s="1"/>
  <c r="AD116" i="6"/>
  <c r="AD99" i="6"/>
  <c r="AD104" i="6"/>
  <c r="AD106" i="6"/>
  <c r="U69" i="8"/>
  <c r="U119" i="8"/>
  <c r="U100" i="8"/>
  <c r="U39" i="8"/>
  <c r="U90" i="8"/>
  <c r="U120" i="8"/>
  <c r="U82" i="8"/>
  <c r="U106" i="8"/>
  <c r="U97" i="8"/>
  <c r="U124" i="8"/>
  <c r="U54" i="8"/>
  <c r="U109" i="8"/>
  <c r="U41" i="8"/>
  <c r="U26" i="8"/>
  <c r="U23" i="8"/>
  <c r="U71" i="8"/>
  <c r="U87" i="8"/>
  <c r="U56" i="8"/>
  <c r="U93" i="8"/>
  <c r="U35" i="8"/>
  <c r="U62" i="8"/>
  <c r="U80" i="8"/>
  <c r="U88" i="8"/>
  <c r="U114" i="8"/>
  <c r="U33" i="8"/>
  <c r="U20" i="8"/>
  <c r="U44" i="8"/>
  <c r="U72" i="8"/>
  <c r="U107" i="8"/>
  <c r="U83" i="8"/>
  <c r="U51" i="8"/>
  <c r="U48" i="8"/>
  <c r="U36" i="8"/>
  <c r="U103" i="8"/>
  <c r="U28" i="8"/>
  <c r="U94" i="8"/>
  <c r="U14" i="8"/>
  <c r="U21" i="8"/>
  <c r="U61" i="8"/>
  <c r="U12" i="8"/>
  <c r="U32" i="8"/>
  <c r="U25" i="8"/>
  <c r="U89" i="8"/>
  <c r="U112" i="8"/>
  <c r="U58" i="8"/>
  <c r="U116" i="8"/>
  <c r="U95" i="8"/>
  <c r="U27" i="8"/>
  <c r="U78" i="8"/>
  <c r="U66" i="8"/>
  <c r="U85" i="8"/>
  <c r="U101" i="8"/>
  <c r="U105" i="8"/>
  <c r="U60" i="8"/>
  <c r="U53" i="8"/>
  <c r="U24" i="8"/>
  <c r="U73" i="8"/>
  <c r="U67" i="8"/>
  <c r="U68" i="8"/>
  <c r="U38" i="8"/>
  <c r="U99" i="8"/>
  <c r="U15" i="8"/>
  <c r="U79" i="8"/>
  <c r="U43" i="8"/>
  <c r="U104" i="8"/>
  <c r="U37" i="8"/>
  <c r="U96" i="8"/>
  <c r="U22" i="8"/>
  <c r="U17" i="8"/>
  <c r="U117" i="8"/>
  <c r="U40" i="8"/>
  <c r="U16" i="8"/>
  <c r="U75" i="8"/>
  <c r="U115" i="8"/>
  <c r="U102" i="8"/>
  <c r="U121" i="8"/>
  <c r="U122" i="8"/>
  <c r="U64" i="8"/>
  <c r="U84" i="8"/>
  <c r="U86" i="8"/>
  <c r="U59" i="8"/>
  <c r="U74" i="8"/>
  <c r="U77" i="8"/>
  <c r="U57" i="8"/>
  <c r="U55" i="8"/>
  <c r="U31" i="8"/>
  <c r="U98" i="8"/>
  <c r="U118" i="8"/>
  <c r="U63" i="8"/>
  <c r="U47" i="8"/>
  <c r="U18" i="8"/>
  <c r="U30" i="8"/>
  <c r="U49" i="8"/>
  <c r="U50" i="8"/>
  <c r="U65" i="8"/>
  <c r="U111" i="8"/>
  <c r="U19" i="8"/>
  <c r="U13" i="8"/>
  <c r="U76" i="8"/>
  <c r="U42" i="8"/>
  <c r="U45" i="8"/>
  <c r="U123" i="8"/>
  <c r="U81" i="8"/>
  <c r="U70" i="8"/>
  <c r="U92" i="8"/>
  <c r="U108" i="8"/>
  <c r="U29" i="8"/>
  <c r="U46" i="8"/>
  <c r="U91" i="8"/>
  <c r="U113" i="8"/>
  <c r="U110" i="8"/>
  <c r="U52" i="8"/>
  <c r="U34" i="8"/>
  <c r="BC92" i="21"/>
  <c r="BC106" i="21"/>
  <c r="BC21" i="21"/>
  <c r="BC81" i="21"/>
  <c r="BC105" i="21"/>
  <c r="BC111" i="21"/>
  <c r="BC46" i="21"/>
  <c r="BC98" i="21"/>
  <c r="BC95" i="21"/>
  <c r="BC14" i="21"/>
  <c r="BC52" i="21"/>
  <c r="BC123" i="21"/>
  <c r="BC49" i="21"/>
  <c r="BC37" i="21"/>
  <c r="BC76" i="21"/>
  <c r="BC124" i="21"/>
  <c r="BC48" i="21"/>
  <c r="BC38" i="21"/>
  <c r="BC67" i="21"/>
  <c r="BC30" i="21"/>
  <c r="BC108" i="21"/>
  <c r="BC28" i="21"/>
  <c r="BC114" i="21"/>
  <c r="BC100" i="21"/>
  <c r="BC115" i="21"/>
  <c r="BC104" i="21"/>
  <c r="BC59" i="21"/>
  <c r="BC41" i="21"/>
  <c r="BC122" i="21"/>
  <c r="BC121" i="21"/>
  <c r="BC45" i="21"/>
  <c r="BC87" i="21"/>
  <c r="BC58" i="21"/>
  <c r="BC77" i="21"/>
  <c r="BC33" i="21"/>
  <c r="BC23" i="21"/>
  <c r="BC82" i="21"/>
  <c r="BC75" i="21"/>
  <c r="BC89" i="21"/>
  <c r="BC71" i="21"/>
  <c r="BC85" i="21"/>
  <c r="BC12" i="21"/>
  <c r="BC107" i="21"/>
  <c r="BC22" i="21"/>
  <c r="BC91" i="21"/>
  <c r="BC116" i="21"/>
  <c r="BC35" i="21"/>
  <c r="BC118" i="21"/>
  <c r="BC66" i="21"/>
  <c r="BC42" i="21"/>
  <c r="BC18" i="21"/>
  <c r="BC13" i="21"/>
  <c r="BC120" i="21"/>
  <c r="BC109" i="21"/>
  <c r="BC117" i="21"/>
  <c r="BC24" i="21"/>
  <c r="BC54" i="21"/>
  <c r="BC17" i="21"/>
  <c r="BC96" i="21"/>
  <c r="BC51" i="21"/>
  <c r="BC86" i="21"/>
  <c r="BC47" i="21"/>
  <c r="BC110" i="21"/>
  <c r="BC103" i="21"/>
  <c r="BC40" i="21"/>
  <c r="BC74" i="21"/>
  <c r="BC43" i="21"/>
  <c r="BC55" i="21"/>
  <c r="BC31" i="21"/>
  <c r="BC119" i="21"/>
  <c r="BC44" i="21"/>
  <c r="BC112" i="21"/>
  <c r="BC88" i="21"/>
  <c r="BC83" i="21"/>
  <c r="BC64" i="21"/>
  <c r="BC93" i="21"/>
  <c r="BC29" i="21"/>
  <c r="BC70" i="21"/>
  <c r="BC65" i="21"/>
  <c r="BC19" i="21"/>
  <c r="BC97" i="21"/>
  <c r="BC72" i="21"/>
  <c r="BC73" i="21"/>
  <c r="BC63" i="21"/>
  <c r="BC102" i="21"/>
  <c r="BC94" i="21"/>
  <c r="BC50" i="21"/>
  <c r="BC26" i="21"/>
  <c r="BC39" i="21"/>
  <c r="BC69" i="21"/>
  <c r="BC78" i="21"/>
  <c r="BC99" i="21"/>
  <c r="BC36" i="21"/>
  <c r="BC16" i="21"/>
  <c r="BC113" i="21"/>
  <c r="BC57" i="21"/>
  <c r="BC61" i="21"/>
  <c r="BC90" i="21"/>
  <c r="BC84" i="21"/>
  <c r="BC79" i="21"/>
  <c r="BC68" i="21"/>
  <c r="BC80" i="21"/>
  <c r="BC101" i="21"/>
  <c r="BC20" i="21"/>
  <c r="BC62" i="21"/>
  <c r="BC32" i="21"/>
  <c r="BC56" i="21"/>
  <c r="BC60" i="21"/>
  <c r="BC34" i="21"/>
  <c r="BC15" i="21"/>
  <c r="BC53" i="21"/>
  <c r="BC25" i="21"/>
  <c r="BC27" i="21"/>
  <c r="BS12" i="22"/>
  <c r="BS47" i="22"/>
  <c r="BS13" i="22"/>
  <c r="BS116" i="22"/>
  <c r="BS114" i="22"/>
  <c r="BS60" i="22"/>
  <c r="BS119" i="22"/>
  <c r="BS30" i="22"/>
  <c r="BS65" i="22"/>
  <c r="BS27" i="22"/>
  <c r="BS31" i="22"/>
  <c r="BS55" i="22"/>
  <c r="BS117" i="22"/>
  <c r="BS81" i="22"/>
  <c r="BS101" i="22"/>
  <c r="BS71" i="22"/>
  <c r="BS46" i="22"/>
  <c r="BS50" i="22"/>
  <c r="BS14" i="22"/>
  <c r="BS36" i="22"/>
  <c r="BS69" i="22"/>
  <c r="BS75" i="22"/>
  <c r="BS100" i="22"/>
  <c r="BS112" i="22"/>
  <c r="BS92" i="22"/>
  <c r="BS94" i="22"/>
  <c r="BS57" i="22"/>
  <c r="BS121" i="22"/>
  <c r="BS44" i="22"/>
  <c r="BS17" i="22"/>
  <c r="BS85" i="22"/>
  <c r="BS96" i="22"/>
  <c r="BS52" i="22"/>
  <c r="BS42" i="22"/>
  <c r="BS29" i="22"/>
  <c r="BS37" i="22"/>
  <c r="BS74" i="22"/>
  <c r="BS26" i="22"/>
  <c r="BS93" i="22"/>
  <c r="BS77" i="22"/>
  <c r="BS23" i="22"/>
  <c r="BS72" i="22"/>
  <c r="BS34" i="22"/>
  <c r="BS99" i="22"/>
  <c r="BS84" i="22"/>
  <c r="BS39" i="22"/>
  <c r="BS97" i="22"/>
  <c r="BS107" i="22"/>
  <c r="BS108" i="22"/>
  <c r="BS53" i="22"/>
  <c r="BS66" i="22"/>
  <c r="BS120" i="22"/>
  <c r="BS103" i="22"/>
  <c r="BS79" i="22"/>
  <c r="BS51" i="22"/>
  <c r="BS78" i="22"/>
  <c r="BS109" i="22"/>
  <c r="BS95" i="22"/>
  <c r="BS105" i="22"/>
  <c r="BS87" i="22"/>
  <c r="BS70" i="22"/>
  <c r="BS68" i="22"/>
  <c r="BS28" i="22"/>
  <c r="BS35" i="22"/>
  <c r="BS21" i="22"/>
  <c r="BS40" i="22"/>
  <c r="BS82" i="22"/>
  <c r="BS24" i="22"/>
  <c r="BS86" i="22"/>
  <c r="BS91" i="22"/>
  <c r="BS56" i="22"/>
  <c r="BS45" i="22"/>
  <c r="BS33" i="22"/>
  <c r="BS80" i="22"/>
  <c r="BS76" i="22"/>
  <c r="BS43" i="22"/>
  <c r="BS64" i="22"/>
  <c r="BS19" i="22"/>
  <c r="BS98" i="22"/>
  <c r="BS90" i="22"/>
  <c r="BS54" i="22"/>
  <c r="BS58" i="22"/>
  <c r="BS83" i="22"/>
  <c r="BS63" i="22"/>
  <c r="BS16" i="22"/>
  <c r="BS15" i="22"/>
  <c r="BS123" i="22"/>
  <c r="BS104" i="22"/>
  <c r="BS38" i="22"/>
  <c r="BS122" i="22"/>
  <c r="BS67" i="22"/>
  <c r="BS61" i="22"/>
  <c r="BS20" i="22"/>
  <c r="BS25" i="22"/>
  <c r="BS32" i="22"/>
  <c r="BS110" i="22"/>
  <c r="BS102" i="22"/>
  <c r="BS113" i="22"/>
  <c r="BS22" i="22"/>
  <c r="BS62" i="22"/>
  <c r="BS49" i="22"/>
  <c r="BS41" i="22"/>
  <c r="BS111" i="22"/>
  <c r="BS73" i="22"/>
  <c r="BS106" i="22"/>
  <c r="BS59" i="22"/>
  <c r="BS89" i="22"/>
  <c r="BS48" i="22"/>
  <c r="BS118" i="22"/>
  <c r="BS88" i="22"/>
  <c r="BS115" i="22"/>
  <c r="BS18" i="22"/>
  <c r="BS124" i="22"/>
  <c r="AY12" i="22"/>
  <c r="AY52" i="22"/>
  <c r="AY85" i="22"/>
  <c r="AY70" i="22"/>
  <c r="AY84" i="22"/>
  <c r="AY56" i="22"/>
  <c r="AY119" i="22"/>
  <c r="AY97" i="22"/>
  <c r="AY66" i="22"/>
  <c r="AY61" i="22"/>
  <c r="AY109" i="22"/>
  <c r="AY18" i="22"/>
  <c r="AY94" i="22"/>
  <c r="AY90" i="22"/>
  <c r="AY47" i="22"/>
  <c r="AY24" i="22"/>
  <c r="AY21" i="22"/>
  <c r="AY113" i="22"/>
  <c r="AY50" i="22"/>
  <c r="AY63" i="22"/>
  <c r="AY110" i="22"/>
  <c r="AY74" i="22"/>
  <c r="AY45" i="22"/>
  <c r="AY83" i="22"/>
  <c r="AY26" i="22"/>
  <c r="AY81" i="22"/>
  <c r="AY93" i="22"/>
  <c r="AY46" i="22"/>
  <c r="AY87" i="22"/>
  <c r="AY99" i="22"/>
  <c r="AY54" i="22"/>
  <c r="AY48" i="22"/>
  <c r="AY77" i="22"/>
  <c r="AY86" i="22"/>
  <c r="AY82" i="22"/>
  <c r="AY115" i="22"/>
  <c r="AY30" i="22"/>
  <c r="AY38" i="22"/>
  <c r="AY58" i="22"/>
  <c r="AY121" i="22"/>
  <c r="AY103" i="22"/>
  <c r="AY35" i="22"/>
  <c r="AY22" i="22"/>
  <c r="AY64" i="22"/>
  <c r="AY71" i="22"/>
  <c r="AY108" i="22"/>
  <c r="AY14" i="22"/>
  <c r="AY59" i="22"/>
  <c r="AY16" i="22"/>
  <c r="AY106" i="22"/>
  <c r="AY49" i="22"/>
  <c r="AY75" i="22"/>
  <c r="AY102" i="22"/>
  <c r="AY73" i="22"/>
  <c r="AY116" i="22"/>
  <c r="AY105" i="22"/>
  <c r="AY65" i="22"/>
  <c r="AY67" i="22"/>
  <c r="AY112" i="22"/>
  <c r="AY80" i="22"/>
  <c r="AY33" i="22"/>
  <c r="AY107" i="22"/>
  <c r="AY72" i="22"/>
  <c r="AY62" i="22"/>
  <c r="AY17" i="22"/>
  <c r="AY123" i="22"/>
  <c r="AY28" i="22"/>
  <c r="AY60" i="22"/>
  <c r="AY78" i="22"/>
  <c r="AY20" i="22"/>
  <c r="AY98" i="22"/>
  <c r="AY51" i="22"/>
  <c r="AY23" i="22"/>
  <c r="AY53" i="22"/>
  <c r="AY91" i="22"/>
  <c r="AY27" i="22"/>
  <c r="AY100" i="22"/>
  <c r="AY19" i="22"/>
  <c r="AY122" i="22"/>
  <c r="AY44" i="22"/>
  <c r="AY15" i="22"/>
  <c r="AY111" i="22"/>
  <c r="AY89" i="22"/>
  <c r="AY104" i="22"/>
  <c r="AY88" i="22"/>
  <c r="AY40" i="22"/>
  <c r="AY68" i="22"/>
  <c r="AY34" i="22"/>
  <c r="AY101" i="22"/>
  <c r="AY31" i="22"/>
  <c r="AY13" i="22"/>
  <c r="AY76" i="22"/>
  <c r="AY25" i="22"/>
  <c r="AY32" i="22"/>
  <c r="AY69" i="22"/>
  <c r="AY79" i="22"/>
  <c r="AY120" i="22"/>
  <c r="AY29" i="22"/>
  <c r="AY36" i="22"/>
  <c r="AY92" i="22"/>
  <c r="AY42" i="22"/>
  <c r="AY117" i="22"/>
  <c r="AY39" i="22"/>
  <c r="AY124" i="22"/>
  <c r="AY96" i="22"/>
  <c r="AY118" i="22"/>
  <c r="AY41" i="22"/>
  <c r="AY95" i="22"/>
  <c r="AY43" i="22"/>
  <c r="AY114" i="22"/>
  <c r="AY57" i="22"/>
  <c r="AY37" i="22"/>
  <c r="AY55" i="22"/>
  <c r="AQ12" i="22"/>
  <c r="AQ50" i="22"/>
  <c r="AQ54" i="22"/>
  <c r="AQ22" i="22"/>
  <c r="AQ38" i="22"/>
  <c r="AQ92" i="22"/>
  <c r="AQ89" i="22"/>
  <c r="AQ76" i="22"/>
  <c r="AQ36" i="22"/>
  <c r="AQ124" i="22"/>
  <c r="AQ68" i="22"/>
  <c r="AQ65" i="22"/>
  <c r="AQ23" i="22"/>
  <c r="AQ37" i="22"/>
  <c r="AQ67" i="22"/>
  <c r="AQ35" i="22"/>
  <c r="AQ102" i="22"/>
  <c r="AQ122" i="22"/>
  <c r="AQ58" i="22"/>
  <c r="AQ108" i="22"/>
  <c r="AQ100" i="22"/>
  <c r="AQ41" i="22"/>
  <c r="AQ90" i="22"/>
  <c r="AQ110" i="22"/>
  <c r="AQ107" i="22"/>
  <c r="AQ123" i="22"/>
  <c r="AQ46" i="22"/>
  <c r="AQ112" i="22"/>
  <c r="AQ121" i="22"/>
  <c r="AQ29" i="22"/>
  <c r="AQ72" i="22"/>
  <c r="AQ56" i="22"/>
  <c r="AQ28" i="22"/>
  <c r="AQ66" i="22"/>
  <c r="AQ70" i="22"/>
  <c r="AQ79" i="22"/>
  <c r="AQ33" i="22"/>
  <c r="AQ21" i="22"/>
  <c r="AQ95" i="22"/>
  <c r="AQ17" i="22"/>
  <c r="AQ31" i="22"/>
  <c r="AQ32" i="22"/>
  <c r="AQ24" i="22"/>
  <c r="AQ39" i="22"/>
  <c r="AQ63" i="22"/>
  <c r="AQ118" i="22"/>
  <c r="AQ83" i="22"/>
  <c r="AQ60" i="22"/>
  <c r="AQ16" i="22"/>
  <c r="AQ19" i="22"/>
  <c r="AQ48" i="22"/>
  <c r="AQ25" i="22"/>
  <c r="AQ98" i="22"/>
  <c r="AQ18" i="22"/>
  <c r="AQ115" i="22"/>
  <c r="AQ99" i="22"/>
  <c r="AQ20" i="22"/>
  <c r="AQ26" i="22"/>
  <c r="AQ74" i="22"/>
  <c r="AQ119" i="22"/>
  <c r="AQ57" i="22"/>
  <c r="AQ91" i="22"/>
  <c r="AQ49" i="22"/>
  <c r="AQ59" i="22"/>
  <c r="AQ80" i="22"/>
  <c r="AQ85" i="22"/>
  <c r="AQ104" i="22"/>
  <c r="AQ43" i="22"/>
  <c r="AQ116" i="22"/>
  <c r="AQ13" i="22"/>
  <c r="AQ109" i="22"/>
  <c r="AQ42" i="22"/>
  <c r="AQ15" i="22"/>
  <c r="AQ93" i="22"/>
  <c r="AQ117" i="22"/>
  <c r="AQ103" i="22"/>
  <c r="AQ86" i="22"/>
  <c r="AQ113" i="22"/>
  <c r="AQ78" i="22"/>
  <c r="AQ71" i="22"/>
  <c r="AQ105" i="22"/>
  <c r="AQ27" i="22"/>
  <c r="AQ73" i="22"/>
  <c r="AQ64" i="22"/>
  <c r="AQ51" i="22"/>
  <c r="AQ87" i="22"/>
  <c r="AQ14" i="22"/>
  <c r="AQ111" i="22"/>
  <c r="AQ81" i="22"/>
  <c r="AQ62" i="22"/>
  <c r="AQ101" i="22"/>
  <c r="AQ106" i="22"/>
  <c r="AQ45" i="22"/>
  <c r="AQ30" i="22"/>
  <c r="AQ84" i="22"/>
  <c r="AQ69" i="22"/>
  <c r="AQ77" i="22"/>
  <c r="AQ88" i="22"/>
  <c r="AQ61" i="22"/>
  <c r="AQ94" i="22"/>
  <c r="AQ120" i="22"/>
  <c r="AQ96" i="22"/>
  <c r="AQ52" i="22"/>
  <c r="AQ82" i="22"/>
  <c r="AQ114" i="22"/>
  <c r="AQ34" i="22"/>
  <c r="AQ44" i="22"/>
  <c r="AQ40" i="22"/>
  <c r="AQ47" i="22"/>
  <c r="AQ97" i="22"/>
  <c r="AQ53" i="22"/>
  <c r="AQ75" i="22"/>
  <c r="AQ55" i="22"/>
  <c r="BK12" i="21"/>
  <c r="BK82" i="21"/>
  <c r="BK73" i="21"/>
  <c r="BK120" i="21"/>
  <c r="BK49" i="21"/>
  <c r="BK17" i="21"/>
  <c r="BK71" i="21"/>
  <c r="BK96" i="21"/>
  <c r="BK30" i="21"/>
  <c r="BK106" i="21"/>
  <c r="BK39" i="21"/>
  <c r="BK77" i="21"/>
  <c r="BK75" i="21"/>
  <c r="BK118" i="21"/>
  <c r="BK22" i="21"/>
  <c r="BK57" i="21"/>
  <c r="BK98" i="21"/>
  <c r="BK122" i="21"/>
  <c r="BK25" i="21"/>
  <c r="BK53" i="21"/>
  <c r="BK109" i="21"/>
  <c r="BK20" i="21"/>
  <c r="BK97" i="21"/>
  <c r="BK107" i="21"/>
  <c r="BK78" i="21"/>
  <c r="BK31" i="21"/>
  <c r="BK63" i="21"/>
  <c r="BK67" i="21"/>
  <c r="BK35" i="21"/>
  <c r="BK38" i="21"/>
  <c r="BK42" i="21"/>
  <c r="BK87" i="21"/>
  <c r="BK29" i="21"/>
  <c r="BK45" i="21"/>
  <c r="BK85" i="21"/>
  <c r="BK83" i="21"/>
  <c r="BK110" i="21"/>
  <c r="BK95" i="21"/>
  <c r="BK37" i="21"/>
  <c r="BK18" i="21"/>
  <c r="BK93" i="21"/>
  <c r="BK105" i="21"/>
  <c r="BK84" i="21"/>
  <c r="BK104" i="21"/>
  <c r="BK99" i="21"/>
  <c r="BK33" i="21"/>
  <c r="BK108" i="21"/>
  <c r="BK115" i="21"/>
  <c r="BK47" i="21"/>
  <c r="BK68" i="21"/>
  <c r="BK21" i="21"/>
  <c r="BK113" i="21"/>
  <c r="BK119" i="21"/>
  <c r="BK61" i="21"/>
  <c r="BK117" i="21"/>
  <c r="BK36" i="21"/>
  <c r="BK76" i="21"/>
  <c r="BK54" i="21"/>
  <c r="BK70" i="21"/>
  <c r="BK26" i="21"/>
  <c r="BK121" i="21"/>
  <c r="BK50" i="21"/>
  <c r="BK81" i="21"/>
  <c r="BK28" i="21"/>
  <c r="BK46" i="21"/>
  <c r="BK34" i="21"/>
  <c r="BK114" i="21"/>
  <c r="BK102" i="21"/>
  <c r="BK72" i="21"/>
  <c r="BK23" i="21"/>
  <c r="BK58" i="21"/>
  <c r="BK80" i="21"/>
  <c r="BK32" i="21"/>
  <c r="BK124" i="21"/>
  <c r="BK90" i="21"/>
  <c r="BK88" i="21"/>
  <c r="BK116" i="21"/>
  <c r="BK48" i="21"/>
  <c r="BK112" i="21"/>
  <c r="BK66" i="21"/>
  <c r="BK103" i="21"/>
  <c r="BK59" i="21"/>
  <c r="BK51" i="21"/>
  <c r="BK91" i="21"/>
  <c r="BK74" i="21"/>
  <c r="BK44" i="21"/>
  <c r="BK41" i="21"/>
  <c r="BK60" i="21"/>
  <c r="BK15" i="21"/>
  <c r="BK40" i="21"/>
  <c r="BK69" i="21"/>
  <c r="BK79" i="21"/>
  <c r="BK123" i="21"/>
  <c r="BK111" i="21"/>
  <c r="BK24" i="21"/>
  <c r="BK55" i="21"/>
  <c r="BK19" i="21"/>
  <c r="BK65" i="21"/>
  <c r="BK43" i="21"/>
  <c r="BK62" i="21"/>
  <c r="BK16" i="21"/>
  <c r="BK64" i="21"/>
  <c r="BK94" i="21"/>
  <c r="BK56" i="21"/>
  <c r="BK13" i="21"/>
  <c r="BK14" i="21"/>
  <c r="BK52" i="21"/>
  <c r="BK27" i="21"/>
  <c r="BK101" i="21"/>
  <c r="BK86" i="21"/>
  <c r="BK92" i="21"/>
  <c r="BK100" i="21"/>
  <c r="BK89" i="21"/>
  <c r="CE12" i="21"/>
  <c r="CE64" i="21"/>
  <c r="CE58" i="21"/>
  <c r="CE37" i="21"/>
  <c r="CE21" i="21"/>
  <c r="CE15" i="21"/>
  <c r="CE105" i="21"/>
  <c r="CE124" i="21"/>
  <c r="CE87" i="21"/>
  <c r="CE41" i="21"/>
  <c r="CE78" i="21"/>
  <c r="CE85" i="21"/>
  <c r="CE42" i="21"/>
  <c r="CE90" i="21"/>
  <c r="CE118" i="21"/>
  <c r="CE73" i="21"/>
  <c r="CE116" i="21"/>
  <c r="CE103" i="21"/>
  <c r="CE74" i="21"/>
  <c r="CE122" i="21"/>
  <c r="CE111" i="21"/>
  <c r="CE19" i="21"/>
  <c r="CE50" i="21"/>
  <c r="CE52" i="21"/>
  <c r="CE23" i="21"/>
  <c r="CE56" i="21"/>
  <c r="CE44" i="21"/>
  <c r="CE63" i="21"/>
  <c r="CE53" i="21"/>
  <c r="CE36" i="21"/>
  <c r="CE77" i="21"/>
  <c r="CE67" i="21"/>
  <c r="CE95" i="21"/>
  <c r="CE32" i="21"/>
  <c r="CE35" i="21"/>
  <c r="CE14" i="21"/>
  <c r="CE20" i="21"/>
  <c r="CE57" i="21"/>
  <c r="CE26" i="21"/>
  <c r="CE72" i="21"/>
  <c r="CE96" i="21"/>
  <c r="CE45" i="21"/>
  <c r="CE102" i="21"/>
  <c r="CE88" i="21"/>
  <c r="CE104" i="21"/>
  <c r="CE97" i="21"/>
  <c r="CE60" i="21"/>
  <c r="CE93" i="21"/>
  <c r="CE80" i="21"/>
  <c r="CE98" i="21"/>
  <c r="CE27" i="21"/>
  <c r="CE110" i="21"/>
  <c r="CE13" i="21"/>
  <c r="CE54" i="21"/>
  <c r="CE38" i="21"/>
  <c r="CE82" i="21"/>
  <c r="CE51" i="21"/>
  <c r="CE30" i="21"/>
  <c r="CE69" i="21"/>
  <c r="CE70" i="21"/>
  <c r="CE65" i="21"/>
  <c r="CE107" i="21"/>
  <c r="CE62" i="21"/>
  <c r="CE119" i="21"/>
  <c r="CE108" i="21"/>
  <c r="CE59" i="21"/>
  <c r="CE76" i="21"/>
  <c r="CE91" i="21"/>
  <c r="CE29" i="21"/>
  <c r="CE22" i="21"/>
  <c r="CE113" i="21"/>
  <c r="CE120" i="21"/>
  <c r="CE106" i="21"/>
  <c r="CE84" i="21"/>
  <c r="CE71" i="21"/>
  <c r="CE24" i="21"/>
  <c r="CE99" i="21"/>
  <c r="CE101" i="21"/>
  <c r="CE61" i="21"/>
  <c r="CE16" i="21"/>
  <c r="CE17" i="21"/>
  <c r="CE112" i="21"/>
  <c r="CE81" i="21"/>
  <c r="CE68" i="21"/>
  <c r="CE109" i="21"/>
  <c r="CE79" i="21"/>
  <c r="CE39" i="21"/>
  <c r="CE34" i="21"/>
  <c r="CE100" i="21"/>
  <c r="CE46" i="21"/>
  <c r="CE94" i="21"/>
  <c r="CE89" i="21"/>
  <c r="CE75" i="21"/>
  <c r="CE86" i="21"/>
  <c r="CE31" i="21"/>
  <c r="CE33" i="21"/>
  <c r="CE40" i="21"/>
  <c r="CE47" i="21"/>
  <c r="CE115" i="21"/>
  <c r="CE83" i="21"/>
  <c r="CE48" i="21"/>
  <c r="CE66" i="21"/>
  <c r="CE123" i="21"/>
  <c r="CE18" i="21"/>
  <c r="CE49" i="21"/>
  <c r="CE55" i="21"/>
  <c r="CE114" i="21"/>
  <c r="CE121" i="21"/>
  <c r="CE92" i="21"/>
  <c r="CE28" i="21"/>
  <c r="CE117" i="21"/>
  <c r="CE43" i="21"/>
  <c r="CE25" i="21"/>
  <c r="H27" i="8"/>
  <c r="K27" i="8"/>
  <c r="Z86" i="6"/>
  <c r="W86" i="6"/>
  <c r="Z23" i="6"/>
  <c r="W23" i="6"/>
  <c r="Z33" i="6"/>
  <c r="W33" i="6"/>
  <c r="AD28" i="6"/>
  <c r="AD73" i="6"/>
  <c r="W82" i="6"/>
  <c r="Z82" i="6"/>
  <c r="AD55" i="6"/>
  <c r="AD38" i="6"/>
  <c r="W55" i="6"/>
  <c r="Z55" i="6"/>
  <c r="AD35" i="6"/>
  <c r="AD101" i="6"/>
  <c r="Z28" i="6"/>
  <c r="W28" i="6"/>
  <c r="Z57" i="6"/>
  <c r="W57" i="6"/>
  <c r="Z95" i="6"/>
  <c r="W95" i="6"/>
  <c r="AD76" i="6"/>
  <c r="W40" i="6"/>
  <c r="Z40" i="6"/>
  <c r="AD62" i="6"/>
  <c r="W25" i="6"/>
  <c r="Z25" i="6"/>
  <c r="AD42" i="6"/>
  <c r="Z73" i="6"/>
  <c r="W73" i="6"/>
  <c r="AD84" i="6"/>
  <c r="W22" i="6"/>
  <c r="Z22" i="6"/>
  <c r="AD82" i="6"/>
  <c r="AD12" i="6"/>
  <c r="AD109" i="6"/>
  <c r="W64" i="6"/>
  <c r="Z64" i="6"/>
  <c r="W117" i="6"/>
  <c r="Z117" i="6"/>
  <c r="Z99" i="6"/>
  <c r="W99" i="6"/>
  <c r="AD107" i="6"/>
  <c r="BS123" i="21"/>
  <c r="BS79" i="21"/>
  <c r="BS109" i="21"/>
  <c r="BS88" i="21"/>
  <c r="BS50" i="21"/>
  <c r="BS97" i="21"/>
  <c r="BS86" i="21"/>
  <c r="BS45" i="21"/>
  <c r="BS104" i="21"/>
  <c r="BS68" i="21"/>
  <c r="BS55" i="21"/>
  <c r="BS119" i="21"/>
  <c r="BS106" i="21"/>
  <c r="BS23" i="21"/>
  <c r="BS31" i="21"/>
  <c r="BS112" i="21"/>
  <c r="BS21" i="21"/>
  <c r="BS56" i="21"/>
  <c r="BS94" i="21"/>
  <c r="BS30" i="21"/>
  <c r="BS25" i="21"/>
  <c r="BS89" i="21"/>
  <c r="BS77" i="21"/>
  <c r="BS62" i="21"/>
  <c r="BS57" i="21"/>
  <c r="BS114" i="21"/>
  <c r="BS28" i="21"/>
  <c r="BS72" i="21"/>
  <c r="BS12" i="21"/>
  <c r="BS15" i="21"/>
  <c r="BS81" i="21"/>
  <c r="BS43" i="21"/>
  <c r="BS18" i="21"/>
  <c r="BS96" i="21"/>
  <c r="BS99" i="21"/>
  <c r="BS69" i="21"/>
  <c r="BS66" i="21"/>
  <c r="BS108" i="21"/>
  <c r="BS91" i="21"/>
  <c r="BS33" i="21"/>
  <c r="BS93" i="21"/>
  <c r="BS53" i="21"/>
  <c r="BS59" i="21"/>
  <c r="BS98" i="21"/>
  <c r="BS101" i="21"/>
  <c r="BS40" i="21"/>
  <c r="BS38" i="21"/>
  <c r="BS44" i="21"/>
  <c r="BS111" i="21"/>
  <c r="BS100" i="21"/>
  <c r="BS16" i="21"/>
  <c r="BS48" i="21"/>
  <c r="BS73" i="21"/>
  <c r="BS85" i="21"/>
  <c r="BS110" i="21"/>
  <c r="BS71" i="21"/>
  <c r="BS42" i="21"/>
  <c r="BS87" i="21"/>
  <c r="BS103" i="21"/>
  <c r="BS39" i="21"/>
  <c r="BS113" i="21"/>
  <c r="BS122" i="21"/>
  <c r="BS17" i="21"/>
  <c r="BS20" i="21"/>
  <c r="BS61" i="21"/>
  <c r="BS116" i="21"/>
  <c r="BS95" i="21"/>
  <c r="BS37" i="21"/>
  <c r="BS74" i="21"/>
  <c r="BS64" i="21"/>
  <c r="BS49" i="21"/>
  <c r="BS124" i="21"/>
  <c r="BS115" i="21"/>
  <c r="BS63" i="21"/>
  <c r="BS78" i="21"/>
  <c r="BS105" i="21"/>
  <c r="BS75" i="21"/>
  <c r="BS41" i="21"/>
  <c r="BS107" i="21"/>
  <c r="BS35" i="21"/>
  <c r="BS80" i="21"/>
  <c r="BS90" i="21"/>
  <c r="BS32" i="21"/>
  <c r="BS22" i="21"/>
  <c r="BS29" i="21"/>
  <c r="BS117" i="21"/>
  <c r="BS120" i="21"/>
  <c r="BS60" i="21"/>
  <c r="BS13" i="21"/>
  <c r="BS24" i="21"/>
  <c r="BS76" i="21"/>
  <c r="BS83" i="21"/>
  <c r="BS52" i="21"/>
  <c r="BS58" i="21"/>
  <c r="BS19" i="21"/>
  <c r="BS118" i="21"/>
  <c r="BS67" i="21"/>
  <c r="BS92" i="21"/>
  <c r="BS36" i="21"/>
  <c r="BS121" i="21"/>
  <c r="BS70" i="21"/>
  <c r="BS102" i="21"/>
  <c r="BS46" i="21"/>
  <c r="BS47" i="21"/>
  <c r="BS26" i="21"/>
  <c r="BS51" i="21"/>
  <c r="BS82" i="21"/>
  <c r="BS84" i="21"/>
  <c r="BS65" i="21"/>
  <c r="BS14" i="21"/>
  <c r="BS27" i="21"/>
  <c r="BS34" i="21"/>
  <c r="BS54" i="21"/>
  <c r="AY12" i="21"/>
  <c r="AY88" i="21"/>
  <c r="AY72" i="21"/>
  <c r="AY53" i="21"/>
  <c r="AY69" i="21"/>
  <c r="AY34" i="21"/>
  <c r="AY106" i="21"/>
  <c r="AY59" i="21"/>
  <c r="AY67" i="21"/>
  <c r="AY56" i="21"/>
  <c r="AY105" i="21"/>
  <c r="AY122" i="21"/>
  <c r="AY110" i="21"/>
  <c r="AY33" i="21"/>
  <c r="AY83" i="21"/>
  <c r="AY37" i="21"/>
  <c r="AY123" i="21"/>
  <c r="AY79" i="21"/>
  <c r="AY55" i="21"/>
  <c r="AY26" i="21"/>
  <c r="AY65" i="21"/>
  <c r="AY31" i="21"/>
  <c r="AY85" i="21"/>
  <c r="AY101" i="21"/>
  <c r="AY96" i="21"/>
  <c r="AY90" i="21"/>
  <c r="AY76" i="21"/>
  <c r="AY64" i="21"/>
  <c r="AY38" i="21"/>
  <c r="AY114" i="21"/>
  <c r="AY95" i="21"/>
  <c r="AY24" i="21"/>
  <c r="AY94" i="21"/>
  <c r="AY17" i="21"/>
  <c r="AY97" i="21"/>
  <c r="AY39" i="21"/>
  <c r="AY68" i="21"/>
  <c r="AY82" i="21"/>
  <c r="AY74" i="21"/>
  <c r="AY58" i="21"/>
  <c r="AY20" i="21"/>
  <c r="AY14" i="21"/>
  <c r="AY111" i="21"/>
  <c r="AY18" i="21"/>
  <c r="AY115" i="21"/>
  <c r="AY40" i="21"/>
  <c r="AY44" i="21"/>
  <c r="AY121" i="21"/>
  <c r="AY54" i="21"/>
  <c r="AY41" i="21"/>
  <c r="AY102" i="21"/>
  <c r="AY30" i="21"/>
  <c r="AY103" i="21"/>
  <c r="AY84" i="21"/>
  <c r="AY81" i="21"/>
  <c r="AY50" i="21"/>
  <c r="AY63" i="21"/>
  <c r="AY46" i="21"/>
  <c r="AY29" i="21"/>
  <c r="AY118" i="21"/>
  <c r="AY98" i="21"/>
  <c r="AY87" i="21"/>
  <c r="AY92" i="21"/>
  <c r="AY116" i="21"/>
  <c r="AY70" i="21"/>
  <c r="AY62" i="21"/>
  <c r="AY60" i="21"/>
  <c r="AY22" i="21"/>
  <c r="AY25" i="21"/>
  <c r="AY61" i="21"/>
  <c r="AY89" i="21"/>
  <c r="AY120" i="21"/>
  <c r="AY42" i="21"/>
  <c r="AY66" i="21"/>
  <c r="AY13" i="21"/>
  <c r="AY23" i="21"/>
  <c r="AY99" i="21"/>
  <c r="AY113" i="21"/>
  <c r="AY19" i="21"/>
  <c r="AY112" i="21"/>
  <c r="AY35" i="21"/>
  <c r="AY117" i="21"/>
  <c r="AY108" i="21"/>
  <c r="AY16" i="21"/>
  <c r="AY93" i="21"/>
  <c r="AY107" i="21"/>
  <c r="AY104" i="21"/>
  <c r="AY43" i="21"/>
  <c r="AY36" i="21"/>
  <c r="AY27" i="21"/>
  <c r="AY21" i="21"/>
  <c r="AY109" i="21"/>
  <c r="AY119" i="21"/>
  <c r="AY57" i="21"/>
  <c r="AY77" i="21"/>
  <c r="AY124" i="21"/>
  <c r="AY48" i="21"/>
  <c r="AY52" i="21"/>
  <c r="AY71" i="21"/>
  <c r="AY45" i="21"/>
  <c r="AY75" i="21"/>
  <c r="AY78" i="21"/>
  <c r="AY51" i="21"/>
  <c r="AY15" i="21"/>
  <c r="AY100" i="21"/>
  <c r="AY49" i="21"/>
  <c r="AY86" i="21"/>
  <c r="AY91" i="21"/>
  <c r="AY80" i="21"/>
  <c r="AY28" i="21"/>
  <c r="AY47" i="21"/>
  <c r="AY73" i="21"/>
  <c r="AY32" i="21"/>
  <c r="AQ12" i="21"/>
  <c r="AQ15" i="21"/>
  <c r="AQ91" i="21"/>
  <c r="AQ23" i="21"/>
  <c r="AQ117" i="21"/>
  <c r="AQ77" i="21"/>
  <c r="AQ94" i="21"/>
  <c r="AQ82" i="21"/>
  <c r="AQ99" i="21"/>
  <c r="AQ56" i="21"/>
  <c r="AQ84" i="21"/>
  <c r="AQ97" i="21"/>
  <c r="AQ34" i="21"/>
  <c r="AQ22" i="21"/>
  <c r="AQ36" i="21"/>
  <c r="AQ93" i="21"/>
  <c r="AQ112" i="21"/>
  <c r="AQ37" i="21"/>
  <c r="AQ16" i="21"/>
  <c r="AQ51" i="21"/>
  <c r="AQ76" i="21"/>
  <c r="AQ103" i="21"/>
  <c r="AQ69" i="21"/>
  <c r="AQ65" i="21"/>
  <c r="AQ98" i="21"/>
  <c r="AQ62" i="21"/>
  <c r="AQ114" i="21"/>
  <c r="AQ90" i="21"/>
  <c r="AQ101" i="21"/>
  <c r="AQ41" i="21"/>
  <c r="AQ113" i="21"/>
  <c r="AQ96" i="21"/>
  <c r="AQ121" i="21"/>
  <c r="AQ106" i="21"/>
  <c r="AQ46" i="21"/>
  <c r="AQ31" i="21"/>
  <c r="AQ123" i="21"/>
  <c r="AQ13" i="21"/>
  <c r="AQ122" i="21"/>
  <c r="AQ72" i="21"/>
  <c r="AQ66" i="21"/>
  <c r="AQ71" i="21"/>
  <c r="AQ61" i="21"/>
  <c r="AQ21" i="21"/>
  <c r="AQ87" i="21"/>
  <c r="AQ30" i="21"/>
  <c r="AQ32" i="21"/>
  <c r="AQ58" i="21"/>
  <c r="AQ59" i="21"/>
  <c r="AQ108" i="21"/>
  <c r="AQ110" i="21"/>
  <c r="AQ60" i="21"/>
  <c r="AQ100" i="21"/>
  <c r="AQ26" i="21"/>
  <c r="AQ53" i="21"/>
  <c r="AQ25" i="21"/>
  <c r="AQ63" i="21"/>
  <c r="AQ40" i="21"/>
  <c r="AQ116" i="21"/>
  <c r="AQ111" i="21"/>
  <c r="AQ55" i="21"/>
  <c r="AQ79" i="21"/>
  <c r="AQ85" i="21"/>
  <c r="AQ92" i="21"/>
  <c r="AQ109" i="21"/>
  <c r="AQ49" i="21"/>
  <c r="AQ45" i="21"/>
  <c r="AQ74" i="21"/>
  <c r="AQ52" i="21"/>
  <c r="AQ17" i="21"/>
  <c r="AQ27" i="21"/>
  <c r="AQ81" i="21"/>
  <c r="AQ67" i="21"/>
  <c r="AQ73" i="21"/>
  <c r="AQ80" i="21"/>
  <c r="AQ64" i="21"/>
  <c r="AQ89" i="21"/>
  <c r="AQ115" i="21"/>
  <c r="AQ107" i="21"/>
  <c r="AQ104" i="21"/>
  <c r="AQ28" i="21"/>
  <c r="AQ86" i="21"/>
  <c r="AQ43" i="21"/>
  <c r="AQ102" i="21"/>
  <c r="AQ44" i="21"/>
  <c r="AQ42" i="21"/>
  <c r="AQ54" i="21"/>
  <c r="AQ14" i="21"/>
  <c r="AQ88" i="21"/>
  <c r="AQ18" i="21"/>
  <c r="AQ39" i="21"/>
  <c r="AQ50" i="21"/>
  <c r="AQ38" i="21"/>
  <c r="AQ47" i="21"/>
  <c r="AQ20" i="21"/>
  <c r="AQ68" i="21"/>
  <c r="AQ95" i="21"/>
  <c r="AQ75" i="21"/>
  <c r="AQ35" i="21"/>
  <c r="AQ118" i="21"/>
  <c r="AQ105" i="21"/>
  <c r="AQ78" i="21"/>
  <c r="AQ120" i="21"/>
  <c r="AQ29" i="21"/>
  <c r="AQ48" i="21"/>
  <c r="AQ119" i="21"/>
  <c r="AQ70" i="21"/>
  <c r="AQ24" i="21"/>
  <c r="AQ83" i="21"/>
  <c r="AQ57" i="21"/>
  <c r="AQ19" i="21"/>
  <c r="AQ33" i="21"/>
  <c r="AQ124" i="21"/>
  <c r="BG12" i="22"/>
  <c r="BG123" i="22"/>
  <c r="BG91" i="22"/>
  <c r="BG51" i="22"/>
  <c r="BG31" i="22"/>
  <c r="BG42" i="22"/>
  <c r="BG88" i="22"/>
  <c r="BG85" i="22"/>
  <c r="BG107" i="22"/>
  <c r="BG20" i="22"/>
  <c r="BG99" i="22"/>
  <c r="BG92" i="22"/>
  <c r="BG76" i="22"/>
  <c r="BG46" i="22"/>
  <c r="BG120" i="22"/>
  <c r="BG112" i="22"/>
  <c r="BG102" i="22"/>
  <c r="BG15" i="22"/>
  <c r="BG93" i="22"/>
  <c r="BG111" i="22"/>
  <c r="BG117" i="22"/>
  <c r="BG84" i="22"/>
  <c r="BG65" i="22"/>
  <c r="BG16" i="22"/>
  <c r="BG62" i="22"/>
  <c r="BG69" i="22"/>
  <c r="BG105" i="22"/>
  <c r="BG82" i="22"/>
  <c r="BG55" i="22"/>
  <c r="BG14" i="22"/>
  <c r="BG101" i="22"/>
  <c r="BG26" i="22"/>
  <c r="BG83" i="22"/>
  <c r="BG44" i="22"/>
  <c r="BG73" i="22"/>
  <c r="BG32" i="22"/>
  <c r="BG25" i="22"/>
  <c r="BG19" i="22"/>
  <c r="BG43" i="22"/>
  <c r="BG103" i="22"/>
  <c r="BG33" i="22"/>
  <c r="BG28" i="22"/>
  <c r="BG63" i="22"/>
  <c r="BG94" i="22"/>
  <c r="BG47" i="22"/>
  <c r="BG81" i="22"/>
  <c r="BG119" i="22"/>
  <c r="BG122" i="22"/>
  <c r="BG106" i="22"/>
  <c r="BG24" i="22"/>
  <c r="BG100" i="22"/>
  <c r="BG113" i="22"/>
  <c r="BG27" i="22"/>
  <c r="BG68" i="22"/>
  <c r="BG95" i="22"/>
  <c r="BG86" i="22"/>
  <c r="BG72" i="22"/>
  <c r="BG18" i="22"/>
  <c r="BG121" i="22"/>
  <c r="BG108" i="22"/>
  <c r="BG77" i="22"/>
  <c r="BG78" i="22"/>
  <c r="BG52" i="22"/>
  <c r="BG40" i="22"/>
  <c r="BG22" i="22"/>
  <c r="BG66" i="22"/>
  <c r="BG61" i="22"/>
  <c r="BG114" i="22"/>
  <c r="BG45" i="22"/>
  <c r="BG80" i="22"/>
  <c r="BG48" i="22"/>
  <c r="BG38" i="22"/>
  <c r="BG70" i="22"/>
  <c r="BG34" i="22"/>
  <c r="BG58" i="22"/>
  <c r="BG37" i="22"/>
  <c r="BG79" i="22"/>
  <c r="BG13" i="22"/>
  <c r="BG104" i="22"/>
  <c r="BG17" i="22"/>
  <c r="BG35" i="22"/>
  <c r="BG56" i="22"/>
  <c r="BG60" i="22"/>
  <c r="BG21" i="22"/>
  <c r="BG50" i="22"/>
  <c r="BG30" i="22"/>
  <c r="BG115" i="22"/>
  <c r="BG53" i="22"/>
  <c r="BG39" i="22"/>
  <c r="BG116" i="22"/>
  <c r="BG59" i="22"/>
  <c r="BG98" i="22"/>
  <c r="BG23" i="22"/>
  <c r="BG109" i="22"/>
  <c r="BG96" i="22"/>
  <c r="BG41" i="22"/>
  <c r="BG90" i="22"/>
  <c r="BG49" i="22"/>
  <c r="BG57" i="22"/>
  <c r="BG89" i="22"/>
  <c r="BG118" i="22"/>
  <c r="BG54" i="22"/>
  <c r="BG64" i="22"/>
  <c r="BG87" i="22"/>
  <c r="BG71" i="22"/>
  <c r="BG97" i="22"/>
  <c r="BG75" i="22"/>
  <c r="BG124" i="22"/>
  <c r="BG67" i="22"/>
  <c r="BG29" i="22"/>
  <c r="BG36" i="22"/>
  <c r="BG74" i="22"/>
  <c r="BG110" i="22"/>
  <c r="BO29" i="8"/>
  <c r="BO84" i="8"/>
  <c r="BO56" i="8"/>
  <c r="BO123" i="8"/>
  <c r="BO122" i="8"/>
  <c r="BO70" i="8"/>
  <c r="BO48" i="8"/>
  <c r="BO45" i="8"/>
  <c r="BO49" i="8"/>
  <c r="BO75" i="8"/>
  <c r="BO107" i="8"/>
  <c r="BO24" i="8"/>
  <c r="BO113" i="8"/>
  <c r="BO39" i="8"/>
  <c r="BO16" i="8"/>
  <c r="BO26" i="8"/>
  <c r="BO47" i="8"/>
  <c r="BO74" i="8"/>
  <c r="BO98" i="8"/>
  <c r="BO32" i="8"/>
  <c r="BO50" i="8"/>
  <c r="BO110" i="8"/>
  <c r="BO118" i="8"/>
  <c r="BO30" i="8"/>
  <c r="BO94" i="8"/>
  <c r="BO114" i="8"/>
  <c r="BO61" i="8"/>
  <c r="BO106" i="8"/>
  <c r="BO12" i="8"/>
  <c r="BO44" i="8"/>
  <c r="BO105" i="8"/>
  <c r="BO31" i="8"/>
  <c r="BO86" i="8"/>
  <c r="BO35" i="8"/>
  <c r="BO90" i="8"/>
  <c r="BO27" i="8"/>
  <c r="BO41" i="8"/>
  <c r="BO115" i="8"/>
  <c r="BO37" i="8"/>
  <c r="BO67" i="8"/>
  <c r="BO120" i="8"/>
  <c r="BO82" i="8"/>
  <c r="BO100" i="8"/>
  <c r="BO85" i="8"/>
  <c r="BO88" i="8"/>
  <c r="BO20" i="8"/>
  <c r="BO93" i="8"/>
  <c r="BO79" i="8"/>
  <c r="BO76" i="8"/>
  <c r="BO103" i="8"/>
  <c r="BO64" i="8"/>
  <c r="BO17" i="8"/>
  <c r="BO81" i="8"/>
  <c r="BO109" i="8"/>
  <c r="BO51" i="8"/>
  <c r="BO99" i="8"/>
  <c r="BO43" i="8"/>
  <c r="BO58" i="8"/>
  <c r="BO15" i="8"/>
  <c r="BO83" i="8"/>
  <c r="BO117" i="8"/>
  <c r="BO89" i="8"/>
  <c r="BO63" i="8"/>
  <c r="BO91" i="8"/>
  <c r="BO52" i="8"/>
  <c r="BO111" i="8"/>
  <c r="BO22" i="8"/>
  <c r="BO102" i="8"/>
  <c r="BO42" i="8"/>
  <c r="BO60" i="8"/>
  <c r="BO46" i="8"/>
  <c r="BO80" i="8"/>
  <c r="BO53" i="8"/>
  <c r="BO96" i="8"/>
  <c r="BO69" i="8"/>
  <c r="BO78" i="8"/>
  <c r="BO18" i="8"/>
  <c r="BO73" i="8"/>
  <c r="BO119" i="8"/>
  <c r="BO112" i="8"/>
  <c r="BO19" i="8"/>
  <c r="BO95" i="8"/>
  <c r="BO97" i="8"/>
  <c r="BO34" i="8"/>
  <c r="BO66" i="8"/>
  <c r="BO59" i="8"/>
  <c r="BO87" i="8"/>
  <c r="BO13" i="8"/>
  <c r="BO62" i="8"/>
  <c r="BO108" i="8"/>
  <c r="BO57" i="8"/>
  <c r="BO104" i="8"/>
  <c r="BO77" i="8"/>
  <c r="BO55" i="8"/>
  <c r="BO14" i="8"/>
  <c r="BO121" i="8"/>
  <c r="BO25" i="8"/>
  <c r="BO71" i="8"/>
  <c r="BO124" i="8"/>
  <c r="BO38" i="8"/>
  <c r="BO33" i="8"/>
  <c r="BO40" i="8"/>
  <c r="BO28" i="8"/>
  <c r="BO36" i="8"/>
  <c r="BO101" i="8"/>
  <c r="BO65" i="8"/>
  <c r="BO21" i="8"/>
  <c r="BO92" i="8"/>
  <c r="BO23" i="8"/>
  <c r="BO68" i="8"/>
  <c r="BO116" i="8"/>
  <c r="BO54" i="8"/>
  <c r="BO72" i="8"/>
  <c r="BO108" i="19"/>
  <c r="BO16" i="19"/>
  <c r="BO123" i="19"/>
  <c r="BO27" i="19"/>
  <c r="BO75" i="19"/>
  <c r="BO115" i="19"/>
  <c r="BO29" i="19"/>
  <c r="BO48" i="19"/>
  <c r="BO49" i="19"/>
  <c r="BO82" i="19"/>
  <c r="BO97" i="19"/>
  <c r="BO52" i="19"/>
  <c r="BO110" i="19"/>
  <c r="BO81" i="19"/>
  <c r="BO45" i="19"/>
  <c r="BO104" i="19"/>
  <c r="BO47" i="19"/>
  <c r="BO124" i="19"/>
  <c r="BO20" i="19"/>
  <c r="BO56" i="19"/>
  <c r="BO116" i="19"/>
  <c r="BO91" i="19"/>
  <c r="BO66" i="19"/>
  <c r="BO111" i="19"/>
  <c r="BO63" i="19"/>
  <c r="BO34" i="19"/>
  <c r="BO103" i="19"/>
  <c r="BO40" i="19"/>
  <c r="BO118" i="19"/>
  <c r="BO26" i="19"/>
  <c r="BO70" i="19"/>
  <c r="BO105" i="19"/>
  <c r="BO31" i="19"/>
  <c r="BO54" i="19"/>
  <c r="BO46" i="19"/>
  <c r="BO88" i="19"/>
  <c r="BO92" i="19"/>
  <c r="BO94" i="19"/>
  <c r="BO112" i="19"/>
  <c r="BO83" i="19"/>
  <c r="BO72" i="19"/>
  <c r="BO77" i="19"/>
  <c r="BO65" i="19"/>
  <c r="BO102" i="19"/>
  <c r="BO121" i="19"/>
  <c r="BO30" i="19"/>
  <c r="BO35" i="19"/>
  <c r="BO50" i="19"/>
  <c r="BO53" i="19"/>
  <c r="BO101" i="19"/>
  <c r="BO17" i="19"/>
  <c r="BO14" i="19"/>
  <c r="BO43" i="19"/>
  <c r="BO117" i="19"/>
  <c r="BO122" i="19"/>
  <c r="BO42" i="19"/>
  <c r="BO39" i="19"/>
  <c r="BO22" i="19"/>
  <c r="BO80" i="19"/>
  <c r="BO85" i="19"/>
  <c r="BO100" i="19"/>
  <c r="BO23" i="19"/>
  <c r="BO21" i="19"/>
  <c r="BO73" i="19"/>
  <c r="BO90" i="19"/>
  <c r="BO107" i="19"/>
  <c r="BO76" i="19"/>
  <c r="BO59" i="19"/>
  <c r="BO69" i="19"/>
  <c r="BO58" i="19"/>
  <c r="BO89" i="19"/>
  <c r="BO32" i="19"/>
  <c r="BO64" i="19"/>
  <c r="BO86" i="19"/>
  <c r="BO79" i="19"/>
  <c r="BO96" i="19"/>
  <c r="BO119" i="19"/>
  <c r="BO71" i="19"/>
  <c r="BO87" i="19"/>
  <c r="BO68" i="19"/>
  <c r="BO78" i="19"/>
  <c r="BO44" i="19"/>
  <c r="BO19" i="19"/>
  <c r="BO41" i="19"/>
  <c r="BO28" i="19"/>
  <c r="BO98" i="19"/>
  <c r="BO24" i="19"/>
  <c r="BO60" i="19"/>
  <c r="BO15" i="19"/>
  <c r="BO57" i="19"/>
  <c r="BO62" i="19"/>
  <c r="BO120" i="19"/>
  <c r="BO113" i="19"/>
  <c r="BO99" i="19"/>
  <c r="BO84" i="19"/>
  <c r="BO67" i="19"/>
  <c r="BO36" i="19"/>
  <c r="BO95" i="19"/>
  <c r="BO12" i="19"/>
  <c r="BO33" i="19"/>
  <c r="BO25" i="19"/>
  <c r="BO74" i="19"/>
  <c r="BO109" i="19"/>
  <c r="BO114" i="19"/>
  <c r="BO55" i="19"/>
  <c r="BO18" i="19"/>
  <c r="BO61" i="19"/>
  <c r="BO51" i="19"/>
  <c r="BO106" i="19"/>
  <c r="BO13" i="19"/>
  <c r="BO38" i="19"/>
  <c r="BO37" i="19"/>
  <c r="BO93" i="19"/>
  <c r="H27" i="22"/>
  <c r="K27" i="22"/>
  <c r="T119" i="19"/>
  <c r="X119" i="19" s="1"/>
  <c r="T103" i="19"/>
  <c r="X103" i="19" s="1"/>
  <c r="T69" i="19"/>
  <c r="X69" i="19" s="1"/>
  <c r="T14" i="19"/>
  <c r="X14" i="19" s="1"/>
  <c r="T36" i="19"/>
  <c r="X36" i="19" s="1"/>
  <c r="T81" i="19"/>
  <c r="X81" i="19" s="1"/>
  <c r="T113" i="19"/>
  <c r="X113" i="19" s="1"/>
  <c r="T104" i="19"/>
  <c r="X104" i="19" s="1"/>
  <c r="T15" i="19"/>
  <c r="X15" i="19" s="1"/>
  <c r="T78" i="19"/>
  <c r="X78" i="19" s="1"/>
  <c r="T92" i="19"/>
  <c r="X92" i="19" s="1"/>
  <c r="T111" i="19"/>
  <c r="X111" i="19" s="1"/>
  <c r="T48" i="19"/>
  <c r="X48" i="19" s="1"/>
  <c r="T101" i="19"/>
  <c r="X101" i="19" s="1"/>
  <c r="T79" i="19"/>
  <c r="X79" i="19" s="1"/>
  <c r="T26" i="19"/>
  <c r="X26" i="19" s="1"/>
  <c r="T64" i="19"/>
  <c r="X64" i="19" s="1"/>
  <c r="T31" i="19"/>
  <c r="X31" i="19" s="1"/>
  <c r="T44" i="19"/>
  <c r="X44" i="19" s="1"/>
  <c r="T32" i="19"/>
  <c r="X32" i="19" s="1"/>
  <c r="T71" i="19"/>
  <c r="X71" i="19" s="1"/>
  <c r="T95" i="19"/>
  <c r="X95" i="19" s="1"/>
  <c r="T24" i="19"/>
  <c r="X24" i="19" s="1"/>
  <c r="T58" i="19"/>
  <c r="X58" i="19" s="1"/>
  <c r="T41" i="19"/>
  <c r="X41" i="19" s="1"/>
  <c r="T90" i="19"/>
  <c r="X90" i="19" s="1"/>
  <c r="T68" i="19"/>
  <c r="X68" i="19" s="1"/>
  <c r="T47" i="19"/>
  <c r="X47" i="19" s="1"/>
  <c r="T112" i="19"/>
  <c r="X112" i="19" s="1"/>
  <c r="T50" i="19"/>
  <c r="X50" i="19" s="1"/>
  <c r="T22" i="19"/>
  <c r="X22" i="19" s="1"/>
  <c r="T43" i="19"/>
  <c r="X43" i="19" s="1"/>
  <c r="T57" i="19"/>
  <c r="X57" i="19" s="1"/>
  <c r="T114" i="19"/>
  <c r="X114" i="19" s="1"/>
  <c r="T38" i="19"/>
  <c r="X38" i="19" s="1"/>
  <c r="T115" i="19"/>
  <c r="X115" i="19" s="1"/>
  <c r="T86" i="19"/>
  <c r="X86" i="19" s="1"/>
  <c r="T21" i="19"/>
  <c r="X21" i="19" s="1"/>
  <c r="T18" i="19"/>
  <c r="X18" i="19" s="1"/>
  <c r="T74" i="19"/>
  <c r="X74" i="19" s="1"/>
  <c r="T77" i="19"/>
  <c r="X77" i="19" s="1"/>
  <c r="T80" i="19"/>
  <c r="X80" i="19" s="1"/>
  <c r="T60" i="19"/>
  <c r="X60" i="19" s="1"/>
  <c r="T35" i="19"/>
  <c r="X35" i="19" s="1"/>
  <c r="T109" i="19"/>
  <c r="X109" i="19" s="1"/>
  <c r="T102" i="19"/>
  <c r="X102" i="19" s="1"/>
  <c r="T19" i="19"/>
  <c r="X19" i="19" s="1"/>
  <c r="T84" i="19"/>
  <c r="X84" i="19" s="1"/>
  <c r="T17" i="19"/>
  <c r="X17" i="19" s="1"/>
  <c r="T49" i="19"/>
  <c r="X49" i="19" s="1"/>
  <c r="T75" i="19"/>
  <c r="X75" i="19" s="1"/>
  <c r="T59" i="19"/>
  <c r="X59" i="19" s="1"/>
  <c r="T30" i="19"/>
  <c r="X30" i="19" s="1"/>
  <c r="T42" i="19"/>
  <c r="X42" i="19" s="1"/>
  <c r="T116" i="19"/>
  <c r="X116" i="19" s="1"/>
  <c r="T122" i="19"/>
  <c r="X122" i="19" s="1"/>
  <c r="T54" i="19"/>
  <c r="X54" i="19" s="1"/>
  <c r="T23" i="19"/>
  <c r="X23" i="19" s="1"/>
  <c r="T117" i="19"/>
  <c r="X117" i="19" s="1"/>
  <c r="T120" i="19"/>
  <c r="X120" i="19" s="1"/>
  <c r="T118" i="19"/>
  <c r="X118" i="19" s="1"/>
  <c r="T83" i="19"/>
  <c r="X83" i="19" s="1"/>
  <c r="T28" i="19"/>
  <c r="X28" i="19" s="1"/>
  <c r="T13" i="19"/>
  <c r="X13" i="19" s="1"/>
  <c r="T94" i="19"/>
  <c r="X94" i="19" s="1"/>
  <c r="T97" i="19"/>
  <c r="X97" i="19" s="1"/>
  <c r="T12" i="19"/>
  <c r="X12" i="19" s="1"/>
  <c r="T108" i="19"/>
  <c r="X108" i="19" s="1"/>
  <c r="T105" i="19"/>
  <c r="X105" i="19" s="1"/>
  <c r="T53" i="19"/>
  <c r="X53" i="19" s="1"/>
  <c r="T62" i="19"/>
  <c r="X62" i="19" s="1"/>
  <c r="T123" i="19"/>
  <c r="X123" i="19" s="1"/>
  <c r="T29" i="19"/>
  <c r="X29" i="19" s="1"/>
  <c r="T46" i="19"/>
  <c r="X46" i="19" s="1"/>
  <c r="T65" i="19"/>
  <c r="X65" i="19" s="1"/>
  <c r="T45" i="19"/>
  <c r="X45" i="19" s="1"/>
  <c r="T37" i="19"/>
  <c r="X37" i="19" s="1"/>
  <c r="T88" i="19"/>
  <c r="X88" i="19" s="1"/>
  <c r="T87" i="19"/>
  <c r="X87" i="19" s="1"/>
  <c r="T51" i="19"/>
  <c r="X51" i="19" s="1"/>
  <c r="T33" i="19"/>
  <c r="X33" i="19" s="1"/>
  <c r="T98" i="19"/>
  <c r="X98" i="19" s="1"/>
  <c r="T107" i="19"/>
  <c r="X107" i="19" s="1"/>
  <c r="T63" i="19"/>
  <c r="X63" i="19" s="1"/>
  <c r="T56" i="19"/>
  <c r="X56" i="19" s="1"/>
  <c r="T85" i="19"/>
  <c r="X85" i="19" s="1"/>
  <c r="T93" i="19"/>
  <c r="X93" i="19" s="1"/>
  <c r="T99" i="19"/>
  <c r="X99" i="19" s="1"/>
  <c r="T89" i="19"/>
  <c r="X89" i="19" s="1"/>
  <c r="T39" i="19"/>
  <c r="X39" i="19" s="1"/>
  <c r="T124" i="19"/>
  <c r="X124" i="19" s="1"/>
  <c r="T76" i="19"/>
  <c r="X76" i="19" s="1"/>
  <c r="T25" i="19"/>
  <c r="X25" i="19" s="1"/>
  <c r="T27" i="19"/>
  <c r="X27" i="19" s="1"/>
  <c r="T100" i="19"/>
  <c r="X100" i="19" s="1"/>
  <c r="T96" i="19"/>
  <c r="X96" i="19" s="1"/>
  <c r="T67" i="19"/>
  <c r="X67" i="19" s="1"/>
  <c r="T72" i="19"/>
  <c r="X72" i="19" s="1"/>
  <c r="T121" i="19"/>
  <c r="X121" i="19" s="1"/>
  <c r="T73" i="19"/>
  <c r="X73" i="19" s="1"/>
  <c r="T40" i="19"/>
  <c r="X40" i="19" s="1"/>
  <c r="T91" i="19"/>
  <c r="X91" i="19" s="1"/>
  <c r="T110" i="19"/>
  <c r="X110" i="19" s="1"/>
  <c r="T20" i="19"/>
  <c r="X20" i="19" s="1"/>
  <c r="T34" i="19"/>
  <c r="X34" i="19" s="1"/>
  <c r="T66" i="19"/>
  <c r="X66" i="19" s="1"/>
  <c r="T106" i="19"/>
  <c r="X106" i="19" s="1"/>
  <c r="T55" i="19"/>
  <c r="X55" i="19" s="1"/>
  <c r="T61" i="19"/>
  <c r="X61" i="19" s="1"/>
  <c r="T52" i="19"/>
  <c r="X52" i="19" s="1"/>
  <c r="T70" i="19"/>
  <c r="X70" i="19" s="1"/>
  <c r="T82" i="19"/>
  <c r="X82" i="19" s="1"/>
  <c r="T16" i="19"/>
  <c r="X16" i="19" s="1"/>
  <c r="Z15" i="6"/>
  <c r="W15" i="6"/>
  <c r="Z69" i="6"/>
  <c r="W69" i="6"/>
  <c r="Z7" i="6"/>
  <c r="W7" i="6"/>
  <c r="Z85" i="6"/>
  <c r="W85" i="6"/>
  <c r="W43" i="6"/>
  <c r="Z43" i="6"/>
  <c r="Z102" i="6"/>
  <c r="W102" i="6"/>
  <c r="AD87" i="6"/>
  <c r="AD49" i="6"/>
  <c r="AD23" i="6"/>
  <c r="W71" i="6"/>
  <c r="Z71" i="6"/>
  <c r="AD52" i="6"/>
  <c r="Z100" i="6"/>
  <c r="W100" i="6"/>
  <c r="Z13" i="6"/>
  <c r="W13" i="6"/>
  <c r="Z14" i="6"/>
  <c r="W14" i="6"/>
  <c r="AD11" i="6"/>
  <c r="AD53" i="6"/>
  <c r="AD58" i="6"/>
  <c r="AD72" i="6"/>
  <c r="W24" i="6"/>
  <c r="Z24" i="6"/>
  <c r="W31" i="6"/>
  <c r="Z31" i="6"/>
  <c r="AD59" i="6"/>
  <c r="AD44" i="6"/>
  <c r="AD45" i="6"/>
  <c r="AD51" i="6"/>
  <c r="Z67" i="6"/>
  <c r="W67" i="6"/>
  <c r="C14" i="6"/>
  <c r="C15" i="8"/>
  <c r="C15" i="22"/>
  <c r="C15" i="19"/>
  <c r="C15" i="21"/>
  <c r="AY12" i="19"/>
  <c r="AY96" i="19"/>
  <c r="AY23" i="19"/>
  <c r="AY108" i="19"/>
  <c r="AY100" i="19"/>
  <c r="AY122" i="19"/>
  <c r="AY91" i="19"/>
  <c r="AY14" i="19"/>
  <c r="AY68" i="19"/>
  <c r="AY110" i="19"/>
  <c r="AY33" i="19"/>
  <c r="AY74" i="19"/>
  <c r="AY58" i="19"/>
  <c r="AY99" i="19"/>
  <c r="AY61" i="19"/>
  <c r="AY53" i="19"/>
  <c r="AY62" i="19"/>
  <c r="AY63" i="19"/>
  <c r="AY47" i="19"/>
  <c r="AY41" i="19"/>
  <c r="AY44" i="19"/>
  <c r="AY36" i="19"/>
  <c r="AY54" i="19"/>
  <c r="AY50" i="19"/>
  <c r="AY51" i="19"/>
  <c r="AY59" i="19"/>
  <c r="AY86" i="19"/>
  <c r="AY116" i="19"/>
  <c r="AY45" i="19"/>
  <c r="AY79" i="19"/>
  <c r="AY72" i="19"/>
  <c r="AY46" i="19"/>
  <c r="AY103" i="19"/>
  <c r="AY80" i="19"/>
  <c r="AY105" i="19"/>
  <c r="AY31" i="19"/>
  <c r="AY88" i="19"/>
  <c r="AY43" i="19"/>
  <c r="AY109" i="19"/>
  <c r="AY24" i="19"/>
  <c r="AY119" i="19"/>
  <c r="AY95" i="19"/>
  <c r="AY92" i="19"/>
  <c r="AY124" i="19"/>
  <c r="AY107" i="19"/>
  <c r="AY87" i="19"/>
  <c r="AY67" i="19"/>
  <c r="AY97" i="19"/>
  <c r="AY25" i="19"/>
  <c r="AY84" i="19"/>
  <c r="AY76" i="19"/>
  <c r="AY64" i="19"/>
  <c r="AY15" i="19"/>
  <c r="AY115" i="19"/>
  <c r="AY42" i="19"/>
  <c r="AY39" i="19"/>
  <c r="AY20" i="19"/>
  <c r="AY85" i="19"/>
  <c r="AY19" i="19"/>
  <c r="AY32" i="19"/>
  <c r="AY13" i="19"/>
  <c r="AY113" i="19"/>
  <c r="AY69" i="19"/>
  <c r="AY27" i="19"/>
  <c r="AY81" i="19"/>
  <c r="AY17" i="19"/>
  <c r="AY104" i="19"/>
  <c r="AY120" i="19"/>
  <c r="AY37" i="19"/>
  <c r="AY38" i="19"/>
  <c r="AY55" i="19"/>
  <c r="AY29" i="19"/>
  <c r="AY93" i="19"/>
  <c r="AY18" i="19"/>
  <c r="AY52" i="19"/>
  <c r="AY106" i="19"/>
  <c r="AY73" i="19"/>
  <c r="AY82" i="19"/>
  <c r="AY48" i="19"/>
  <c r="AY112" i="19"/>
  <c r="AY60" i="19"/>
  <c r="AY21" i="19"/>
  <c r="AY66" i="19"/>
  <c r="AY16" i="19"/>
  <c r="AY89" i="19"/>
  <c r="AY117" i="19"/>
  <c r="AY70" i="19"/>
  <c r="AY57" i="19"/>
  <c r="AY34" i="19"/>
  <c r="AY121" i="19"/>
  <c r="AY114" i="19"/>
  <c r="AY102" i="19"/>
  <c r="AY49" i="19"/>
  <c r="AY56" i="19"/>
  <c r="AY118" i="19"/>
  <c r="AY78" i="19"/>
  <c r="AY111" i="19"/>
  <c r="AY30" i="19"/>
  <c r="AY98" i="19"/>
  <c r="AY90" i="19"/>
  <c r="AY26" i="19"/>
  <c r="AY83" i="19"/>
  <c r="AY28" i="19"/>
  <c r="AY71" i="19"/>
  <c r="AY40" i="19"/>
  <c r="AY22" i="19"/>
  <c r="AY35" i="19"/>
  <c r="AY75" i="19"/>
  <c r="AY101" i="19"/>
  <c r="AY65" i="19"/>
  <c r="AY77" i="19"/>
  <c r="AY123" i="19"/>
  <c r="AY94" i="19"/>
  <c r="AU121" i="8"/>
  <c r="AU72" i="8"/>
  <c r="AU47" i="8"/>
  <c r="AU17" i="8"/>
  <c r="AU82" i="8"/>
  <c r="AU103" i="8"/>
  <c r="AU54" i="8"/>
  <c r="AU33" i="8"/>
  <c r="AU13" i="8"/>
  <c r="AU39" i="8"/>
  <c r="AU59" i="8"/>
  <c r="AU31" i="8"/>
  <c r="AU69" i="8"/>
  <c r="AU34" i="8"/>
  <c r="AU80" i="8"/>
  <c r="AU118" i="8"/>
  <c r="AU37" i="8"/>
  <c r="AU102" i="8"/>
  <c r="AU22" i="8"/>
  <c r="AU116" i="8"/>
  <c r="AU55" i="8"/>
  <c r="AU85" i="8"/>
  <c r="AU43" i="8"/>
  <c r="AU122" i="8"/>
  <c r="AU99" i="8"/>
  <c r="AU45" i="8"/>
  <c r="AU60" i="8"/>
  <c r="AU123" i="8"/>
  <c r="AU18" i="8"/>
  <c r="AU32" i="8"/>
  <c r="AU24" i="8"/>
  <c r="AU112" i="8"/>
  <c r="AU68" i="8"/>
  <c r="AU114" i="8"/>
  <c r="AU71" i="8"/>
  <c r="AU86" i="8"/>
  <c r="AU73" i="8"/>
  <c r="AU20" i="8"/>
  <c r="AU87" i="8"/>
  <c r="AU65" i="8"/>
  <c r="AU27" i="8"/>
  <c r="AU49" i="8"/>
  <c r="AU41" i="8"/>
  <c r="AU15" i="8"/>
  <c r="AU101" i="8"/>
  <c r="AU113" i="8"/>
  <c r="AU97" i="8"/>
  <c r="AU52" i="8"/>
  <c r="AU92" i="8"/>
  <c r="AU74" i="8"/>
  <c r="AU50" i="8"/>
  <c r="AU40" i="8"/>
  <c r="AU104" i="8"/>
  <c r="AU120" i="8"/>
  <c r="AU94" i="8"/>
  <c r="AU119" i="8"/>
  <c r="AU110" i="8"/>
  <c r="AU84" i="8"/>
  <c r="AU79" i="8"/>
  <c r="AU38" i="8"/>
  <c r="AU35" i="8"/>
  <c r="AU61" i="8"/>
  <c r="AU21" i="8"/>
  <c r="AU16" i="8"/>
  <c r="AU90" i="8"/>
  <c r="AU117" i="8"/>
  <c r="AU76" i="8"/>
  <c r="AU58" i="8"/>
  <c r="AU67" i="8"/>
  <c r="AU95" i="8"/>
  <c r="AU44" i="8"/>
  <c r="AU77" i="8"/>
  <c r="AU106" i="8"/>
  <c r="AU107" i="8"/>
  <c r="AU51" i="8"/>
  <c r="AU29" i="8"/>
  <c r="AU23" i="8"/>
  <c r="AU81" i="8"/>
  <c r="AU93" i="8"/>
  <c r="AU46" i="8"/>
  <c r="AU66" i="8"/>
  <c r="AU124" i="8"/>
  <c r="AU53" i="8"/>
  <c r="AU98" i="8"/>
  <c r="AU83" i="8"/>
  <c r="AU89" i="8"/>
  <c r="AU88" i="8"/>
  <c r="AU28" i="8"/>
  <c r="AU78" i="8"/>
  <c r="AU108" i="8"/>
  <c r="AU57" i="8"/>
  <c r="AU91" i="8"/>
  <c r="AU26" i="8"/>
  <c r="AU19" i="8"/>
  <c r="AU25" i="8"/>
  <c r="AU14" i="8"/>
  <c r="AU115" i="8"/>
  <c r="AU109" i="8"/>
  <c r="AU12" i="8"/>
  <c r="AU111" i="8"/>
  <c r="AU105" i="8"/>
  <c r="AU75" i="8"/>
  <c r="AU62" i="8"/>
  <c r="AU64" i="8"/>
  <c r="AU70" i="8"/>
  <c r="AU42" i="8"/>
  <c r="AU63" i="8"/>
  <c r="AU48" i="8"/>
  <c r="AU36" i="8"/>
  <c r="AU56" i="8"/>
  <c r="AU100" i="8"/>
  <c r="AU96" i="8"/>
  <c r="AU30" i="8"/>
  <c r="BG16" i="19"/>
  <c r="BG14" i="19"/>
  <c r="BG40" i="19"/>
  <c r="BG57" i="19"/>
  <c r="BG15" i="19"/>
  <c r="BG50" i="19"/>
  <c r="BG70" i="19"/>
  <c r="BG74" i="19"/>
  <c r="BG45" i="19"/>
  <c r="BG122" i="19"/>
  <c r="BG48" i="19"/>
  <c r="BG99" i="19"/>
  <c r="BG33" i="19"/>
  <c r="BG88" i="19"/>
  <c r="BG41" i="19"/>
  <c r="BG61" i="19"/>
  <c r="BG94" i="19"/>
  <c r="BG90" i="19"/>
  <c r="BG32" i="19"/>
  <c r="BG39" i="19"/>
  <c r="BG89" i="19"/>
  <c r="BG110" i="19"/>
  <c r="BG123" i="19"/>
  <c r="BG47" i="19"/>
  <c r="BG109" i="19"/>
  <c r="BG95" i="19"/>
  <c r="BG34" i="19"/>
  <c r="BG55" i="19"/>
  <c r="BG86" i="19"/>
  <c r="BG30" i="19"/>
  <c r="BG62" i="19"/>
  <c r="BG77" i="19"/>
  <c r="BG118" i="19"/>
  <c r="BG28" i="19"/>
  <c r="BG58" i="19"/>
  <c r="BG115" i="19"/>
  <c r="BG91" i="19"/>
  <c r="BG26" i="19"/>
  <c r="BG79" i="19"/>
  <c r="BG78" i="19"/>
  <c r="BG49" i="19"/>
  <c r="BG52" i="19"/>
  <c r="BG59" i="19"/>
  <c r="BG101" i="19"/>
  <c r="BG65" i="19"/>
  <c r="BG81" i="19"/>
  <c r="BG100" i="19"/>
  <c r="BG56" i="19"/>
  <c r="BG24" i="19"/>
  <c r="BG51" i="19"/>
  <c r="BG112" i="19"/>
  <c r="BG18" i="19"/>
  <c r="BG98" i="19"/>
  <c r="BG120" i="19"/>
  <c r="BG106" i="19"/>
  <c r="BG73" i="19"/>
  <c r="BG64" i="19"/>
  <c r="BG102" i="19"/>
  <c r="BG19" i="19"/>
  <c r="BG124" i="19"/>
  <c r="BG117" i="19"/>
  <c r="BG103" i="19"/>
  <c r="BG43" i="19"/>
  <c r="BG104" i="19"/>
  <c r="BG23" i="19"/>
  <c r="BG21" i="19"/>
  <c r="BG63" i="19"/>
  <c r="BG96" i="19"/>
  <c r="BG13" i="19"/>
  <c r="BG29" i="19"/>
  <c r="BG35" i="19"/>
  <c r="BG20" i="19"/>
  <c r="BG87" i="19"/>
  <c r="BG17" i="19"/>
  <c r="BG108" i="19"/>
  <c r="BG46" i="19"/>
  <c r="BG37" i="19"/>
  <c r="BG54" i="19"/>
  <c r="BG107" i="19"/>
  <c r="BG25" i="19"/>
  <c r="BG82" i="19"/>
  <c r="BG71" i="19"/>
  <c r="BG93" i="19"/>
  <c r="BG53" i="19"/>
  <c r="BG84" i="19"/>
  <c r="BG80" i="19"/>
  <c r="BG75" i="19"/>
  <c r="BG72" i="19"/>
  <c r="BG69" i="19"/>
  <c r="BG119" i="19"/>
  <c r="BG111" i="19"/>
  <c r="BG114" i="19"/>
  <c r="BG44" i="19"/>
  <c r="BG92" i="19"/>
  <c r="BG66" i="19"/>
  <c r="BG36" i="19"/>
  <c r="BG27" i="19"/>
  <c r="BG12" i="19"/>
  <c r="BG113" i="19"/>
  <c r="BG31" i="19"/>
  <c r="BG83" i="19"/>
  <c r="BG42" i="19"/>
  <c r="BG60" i="19"/>
  <c r="BG121" i="19"/>
  <c r="BG68" i="19"/>
  <c r="BG116" i="19"/>
  <c r="BG22" i="19"/>
  <c r="BG38" i="19"/>
  <c r="BG97" i="19"/>
  <c r="BG85" i="19"/>
  <c r="BG76" i="19"/>
  <c r="BG67" i="19"/>
  <c r="BG105" i="19"/>
  <c r="CI125" i="8"/>
  <c r="CJ125" i="8" s="1"/>
  <c r="CM125" i="8" s="1"/>
  <c r="CN125" i="8" s="1"/>
  <c r="CI121" i="8"/>
  <c r="CI118" i="8"/>
  <c r="CI113" i="8"/>
  <c r="CI120" i="8"/>
  <c r="CI115" i="8"/>
  <c r="CI117" i="8"/>
  <c r="CI124" i="8"/>
  <c r="CI123" i="8"/>
  <c r="CI119" i="8"/>
  <c r="CI122" i="8"/>
  <c r="CI114" i="8"/>
  <c r="CI116" i="8"/>
  <c r="CI12" i="8"/>
  <c r="BO12" i="21"/>
  <c r="BO48" i="21"/>
  <c r="BO118" i="21"/>
  <c r="BO120" i="21"/>
  <c r="BO89" i="21"/>
  <c r="BO111" i="21"/>
  <c r="BO27" i="21"/>
  <c r="BO44" i="21"/>
  <c r="BO62" i="21"/>
  <c r="BO107" i="21"/>
  <c r="BO30" i="21"/>
  <c r="BO114" i="21"/>
  <c r="BO104" i="21"/>
  <c r="BO45" i="21"/>
  <c r="BO87" i="21"/>
  <c r="BO109" i="21"/>
  <c r="BO105" i="21"/>
  <c r="BO20" i="21"/>
  <c r="BO29" i="21"/>
  <c r="BO70" i="21"/>
  <c r="BO90" i="21"/>
  <c r="BO76" i="21"/>
  <c r="BO58" i="21"/>
  <c r="BO66" i="21"/>
  <c r="BO97" i="21"/>
  <c r="BO68" i="21"/>
  <c r="BO35" i="21"/>
  <c r="BO18" i="21"/>
  <c r="BO69" i="21"/>
  <c r="BO38" i="21"/>
  <c r="BO36" i="21"/>
  <c r="BO31" i="21"/>
  <c r="BO115" i="21"/>
  <c r="BO117" i="21"/>
  <c r="BO19" i="21"/>
  <c r="BO93" i="21"/>
  <c r="BO74" i="21"/>
  <c r="BO64" i="21"/>
  <c r="BO57" i="21"/>
  <c r="BO94" i="21"/>
  <c r="BO47" i="21"/>
  <c r="BO99" i="21"/>
  <c r="BO123" i="21"/>
  <c r="BO81" i="21"/>
  <c r="BO33" i="21"/>
  <c r="BO51" i="21"/>
  <c r="BO17" i="21"/>
  <c r="BO98" i="21"/>
  <c r="BO16" i="21"/>
  <c r="BO46" i="21"/>
  <c r="BO113" i="21"/>
  <c r="BO34" i="21"/>
  <c r="BO92" i="21"/>
  <c r="BO77" i="21"/>
  <c r="BO95" i="21"/>
  <c r="BO59" i="21"/>
  <c r="BO50" i="21"/>
  <c r="BO25" i="21"/>
  <c r="BO53" i="21"/>
  <c r="BO75" i="21"/>
  <c r="BO83" i="21"/>
  <c r="BO65" i="21"/>
  <c r="BO84" i="21"/>
  <c r="BO28" i="21"/>
  <c r="BO22" i="21"/>
  <c r="BO61" i="21"/>
  <c r="BO42" i="21"/>
  <c r="BO82" i="21"/>
  <c r="BO23" i="21"/>
  <c r="BO43" i="21"/>
  <c r="BO21" i="21"/>
  <c r="BO101" i="21"/>
  <c r="BO15" i="21"/>
  <c r="BO110" i="21"/>
  <c r="BO49" i="21"/>
  <c r="BO100" i="21"/>
  <c r="BO32" i="21"/>
  <c r="BO41" i="21"/>
  <c r="BO103" i="21"/>
  <c r="BO116" i="21"/>
  <c r="BO91" i="21"/>
  <c r="BO86" i="21"/>
  <c r="BO54" i="21"/>
  <c r="BO112" i="21"/>
  <c r="BO26" i="21"/>
  <c r="BO119" i="21"/>
  <c r="BO72" i="21"/>
  <c r="BO52" i="21"/>
  <c r="BO55" i="21"/>
  <c r="BO85" i="21"/>
  <c r="BO78" i="21"/>
  <c r="BO13" i="21"/>
  <c r="BO60" i="21"/>
  <c r="BO122" i="21"/>
  <c r="BO56" i="21"/>
  <c r="BO71" i="21"/>
  <c r="BO37" i="21"/>
  <c r="BO108" i="21"/>
  <c r="BO63" i="21"/>
  <c r="BO88" i="21"/>
  <c r="BO96" i="21"/>
  <c r="BO40" i="21"/>
  <c r="BO73" i="21"/>
  <c r="BO102" i="21"/>
  <c r="BO80" i="21"/>
  <c r="BO14" i="21"/>
  <c r="BO24" i="21"/>
  <c r="BO106" i="21"/>
  <c r="BO67" i="21"/>
  <c r="BO121" i="21"/>
  <c r="BO79" i="21"/>
  <c r="BO124" i="21"/>
  <c r="BO39" i="21"/>
  <c r="K27" i="21"/>
  <c r="H27" i="21"/>
  <c r="T65" i="22"/>
  <c r="X65" i="22" s="1"/>
  <c r="T115" i="22"/>
  <c r="X115" i="22" s="1"/>
  <c r="T26" i="22"/>
  <c r="X26" i="22" s="1"/>
  <c r="T86" i="22"/>
  <c r="X86" i="22" s="1"/>
  <c r="T31" i="22"/>
  <c r="X31" i="22" s="1"/>
  <c r="T45" i="22"/>
  <c r="X45" i="22" s="1"/>
  <c r="T36" i="22"/>
  <c r="X36" i="22" s="1"/>
  <c r="T96" i="22"/>
  <c r="X96" i="22" s="1"/>
  <c r="T37" i="22"/>
  <c r="X37" i="22" s="1"/>
  <c r="T62" i="22"/>
  <c r="X62" i="22" s="1"/>
  <c r="T12" i="22"/>
  <c r="X12" i="22" s="1"/>
  <c r="T101" i="22"/>
  <c r="X101" i="22" s="1"/>
  <c r="T40" i="22"/>
  <c r="X40" i="22" s="1"/>
  <c r="T100" i="22"/>
  <c r="X100" i="22" s="1"/>
  <c r="T41" i="22"/>
  <c r="X41" i="22" s="1"/>
  <c r="T35" i="22"/>
  <c r="X35" i="22" s="1"/>
  <c r="T34" i="22"/>
  <c r="X34" i="22" s="1"/>
  <c r="T113" i="22"/>
  <c r="X113" i="22" s="1"/>
  <c r="T39" i="22"/>
  <c r="X39" i="22" s="1"/>
  <c r="T44" i="22"/>
  <c r="X44" i="22" s="1"/>
  <c r="T104" i="22"/>
  <c r="X104" i="22" s="1"/>
  <c r="T15" i="22"/>
  <c r="X15" i="22" s="1"/>
  <c r="T105" i="22"/>
  <c r="X105" i="22" s="1"/>
  <c r="T38" i="22"/>
  <c r="X38" i="22" s="1"/>
  <c r="T92" i="22"/>
  <c r="X92" i="22" s="1"/>
  <c r="T95" i="22"/>
  <c r="X95" i="22" s="1"/>
  <c r="T103" i="22"/>
  <c r="X103" i="22" s="1"/>
  <c r="T48" i="22"/>
  <c r="X48" i="22" s="1"/>
  <c r="T21" i="22"/>
  <c r="X21" i="22" s="1"/>
  <c r="T49" i="22"/>
  <c r="X49" i="22" s="1"/>
  <c r="T110" i="22"/>
  <c r="X110" i="22" s="1"/>
  <c r="T16" i="22"/>
  <c r="X16" i="22" s="1"/>
  <c r="T102" i="22"/>
  <c r="X102" i="22" s="1"/>
  <c r="T111" i="22"/>
  <c r="X111" i="22" s="1"/>
  <c r="T23" i="22"/>
  <c r="X23" i="22" s="1"/>
  <c r="T52" i="22"/>
  <c r="X52" i="22" s="1"/>
  <c r="T116" i="22"/>
  <c r="X116" i="22" s="1"/>
  <c r="T53" i="22"/>
  <c r="X53" i="22" s="1"/>
  <c r="T118" i="22"/>
  <c r="X118" i="22" s="1"/>
  <c r="T98" i="22"/>
  <c r="X98" i="22" s="1"/>
  <c r="T75" i="22"/>
  <c r="X75" i="22" s="1"/>
  <c r="T93" i="22"/>
  <c r="X93" i="22" s="1"/>
  <c r="T114" i="22"/>
  <c r="X114" i="22" s="1"/>
  <c r="T88" i="22"/>
  <c r="X88" i="22" s="1"/>
  <c r="T124" i="22"/>
  <c r="X124" i="22" s="1"/>
  <c r="T57" i="22"/>
  <c r="X57" i="22" s="1"/>
  <c r="T50" i="22"/>
  <c r="X50" i="22" s="1"/>
  <c r="T112" i="22"/>
  <c r="X112" i="22" s="1"/>
  <c r="T55" i="22"/>
  <c r="X55" i="22" s="1"/>
  <c r="T122" i="22"/>
  <c r="X122" i="22" s="1"/>
  <c r="T90" i="22"/>
  <c r="X90" i="22" s="1"/>
  <c r="T61" i="22"/>
  <c r="X61" i="22" s="1"/>
  <c r="T46" i="22"/>
  <c r="X46" i="22" s="1"/>
  <c r="T106" i="22"/>
  <c r="X106" i="22" s="1"/>
  <c r="T120" i="22"/>
  <c r="X120" i="22" s="1"/>
  <c r="T59" i="22"/>
  <c r="X59" i="22" s="1"/>
  <c r="T13" i="22"/>
  <c r="X13" i="22" s="1"/>
  <c r="T89" i="22"/>
  <c r="X89" i="22" s="1"/>
  <c r="T24" i="22"/>
  <c r="X24" i="22" s="1"/>
  <c r="T99" i="22"/>
  <c r="X99" i="22" s="1"/>
  <c r="T30" i="22"/>
  <c r="X30" i="22" s="1"/>
  <c r="T58" i="22"/>
  <c r="X58" i="22" s="1"/>
  <c r="T33" i="22"/>
  <c r="X33" i="22" s="1"/>
  <c r="T63" i="22"/>
  <c r="X63" i="22" s="1"/>
  <c r="T22" i="22"/>
  <c r="X22" i="22" s="1"/>
  <c r="T68" i="22"/>
  <c r="X68" i="22" s="1"/>
  <c r="T109" i="22"/>
  <c r="X109" i="22" s="1"/>
  <c r="T54" i="22"/>
  <c r="X54" i="22" s="1"/>
  <c r="T108" i="22"/>
  <c r="X108" i="22" s="1"/>
  <c r="T20" i="22"/>
  <c r="X20" i="22" s="1"/>
  <c r="T67" i="22"/>
  <c r="X67" i="22" s="1"/>
  <c r="T42" i="22"/>
  <c r="X42" i="22" s="1"/>
  <c r="T72" i="22"/>
  <c r="X72" i="22" s="1"/>
  <c r="T117" i="22"/>
  <c r="X117" i="22" s="1"/>
  <c r="T73" i="22"/>
  <c r="X73" i="22" s="1"/>
  <c r="T64" i="22"/>
  <c r="X64" i="22" s="1"/>
  <c r="T66" i="22"/>
  <c r="X66" i="22" s="1"/>
  <c r="T43" i="22"/>
  <c r="X43" i="22" s="1"/>
  <c r="T71" i="22"/>
  <c r="X71" i="22" s="1"/>
  <c r="T123" i="22"/>
  <c r="X123" i="22" s="1"/>
  <c r="T91" i="22"/>
  <c r="X91" i="22" s="1"/>
  <c r="T69" i="22"/>
  <c r="X69" i="22" s="1"/>
  <c r="T18" i="22"/>
  <c r="X18" i="22" s="1"/>
  <c r="T119" i="22"/>
  <c r="X119" i="22" s="1"/>
  <c r="T70" i="22"/>
  <c r="X70" i="22" s="1"/>
  <c r="T121" i="22"/>
  <c r="X121" i="22" s="1"/>
  <c r="T107" i="22"/>
  <c r="X107" i="22" s="1"/>
  <c r="T76" i="22"/>
  <c r="X76" i="22" s="1"/>
  <c r="T80" i="22"/>
  <c r="X80" i="22" s="1"/>
  <c r="T17" i="22"/>
  <c r="X17" i="22" s="1"/>
  <c r="T81" i="22"/>
  <c r="X81" i="22" s="1"/>
  <c r="T60" i="22"/>
  <c r="X60" i="22" s="1"/>
  <c r="T74" i="22"/>
  <c r="X74" i="22" s="1"/>
  <c r="T14" i="22"/>
  <c r="X14" i="22" s="1"/>
  <c r="T79" i="22"/>
  <c r="X79" i="22" s="1"/>
  <c r="T56" i="22"/>
  <c r="X56" i="22" s="1"/>
  <c r="T51" i="22"/>
  <c r="X51" i="22" s="1"/>
  <c r="T77" i="22"/>
  <c r="X77" i="22" s="1"/>
  <c r="T29" i="22"/>
  <c r="X29" i="22" s="1"/>
  <c r="T85" i="22"/>
  <c r="X85" i="22" s="1"/>
  <c r="T47" i="22"/>
  <c r="X47" i="22" s="1"/>
  <c r="T94" i="22"/>
  <c r="X94" i="22" s="1"/>
  <c r="T19" i="22"/>
  <c r="X19" i="22" s="1"/>
  <c r="T78" i="22"/>
  <c r="X78" i="22" s="1"/>
  <c r="T82" i="22"/>
  <c r="X82" i="22" s="1"/>
  <c r="T97" i="22"/>
  <c r="X97" i="22" s="1"/>
  <c r="T27" i="22"/>
  <c r="X27" i="22" s="1"/>
  <c r="T83" i="22"/>
  <c r="X83" i="22" s="1"/>
  <c r="T87" i="22"/>
  <c r="X87" i="22" s="1"/>
  <c r="T28" i="22"/>
  <c r="X28" i="22" s="1"/>
  <c r="T84" i="22"/>
  <c r="X84" i="22" s="1"/>
  <c r="T32" i="22"/>
  <c r="X32" i="22" s="1"/>
  <c r="T25" i="22"/>
  <c r="X25" i="22" s="1"/>
  <c r="O111" i="8"/>
  <c r="O122" i="8"/>
  <c r="O118" i="8"/>
  <c r="O110" i="8"/>
  <c r="O117" i="8"/>
  <c r="O113" i="8"/>
  <c r="O119" i="8"/>
  <c r="O115" i="8"/>
  <c r="O12" i="8"/>
  <c r="O116" i="8"/>
  <c r="O105" i="8"/>
  <c r="O35" i="8"/>
  <c r="P122" i="8"/>
  <c r="P56" i="8"/>
  <c r="P94" i="8"/>
  <c r="P18" i="8"/>
  <c r="P87" i="8"/>
  <c r="O13" i="8"/>
  <c r="P92" i="8"/>
  <c r="O45" i="8"/>
  <c r="O65" i="8"/>
  <c r="P117" i="8"/>
  <c r="O43" i="8"/>
  <c r="O36" i="8"/>
  <c r="P104" i="8"/>
  <c r="O19" i="8"/>
  <c r="O82" i="8"/>
  <c r="P93" i="8"/>
  <c r="O92" i="8"/>
  <c r="O88" i="8"/>
  <c r="O48" i="8"/>
  <c r="O26" i="8"/>
  <c r="P118" i="8"/>
  <c r="P50" i="8"/>
  <c r="O60" i="8"/>
  <c r="P115" i="8"/>
  <c r="O124" i="8"/>
  <c r="O112" i="8"/>
  <c r="O121" i="8"/>
  <c r="P38" i="8"/>
  <c r="O16" i="8"/>
  <c r="P24" i="8"/>
  <c r="P67" i="8"/>
  <c r="P62" i="8"/>
  <c r="O96" i="8"/>
  <c r="P103" i="8"/>
  <c r="O40" i="8"/>
  <c r="P70" i="8"/>
  <c r="P22" i="8"/>
  <c r="P111" i="8"/>
  <c r="P97" i="8"/>
  <c r="O107" i="8"/>
  <c r="O22" i="8"/>
  <c r="O100" i="8"/>
  <c r="P46" i="8"/>
  <c r="P64" i="8"/>
  <c r="P30" i="8"/>
  <c r="O32" i="8"/>
  <c r="O58" i="8"/>
  <c r="P12" i="8"/>
  <c r="AZ12" i="8" s="1"/>
  <c r="O78" i="8"/>
  <c r="P124" i="8"/>
  <c r="P21" i="8"/>
  <c r="O53" i="8"/>
  <c r="P116" i="8"/>
  <c r="O108" i="8"/>
  <c r="P78" i="8"/>
  <c r="O103" i="8"/>
  <c r="O106" i="8"/>
  <c r="O68" i="8"/>
  <c r="P34" i="8"/>
  <c r="O49" i="8"/>
  <c r="O77" i="8"/>
  <c r="O52" i="8"/>
  <c r="O67" i="8"/>
  <c r="P109" i="8"/>
  <c r="O14" i="8"/>
  <c r="P53" i="8"/>
  <c r="O56" i="8"/>
  <c r="O64" i="8"/>
  <c r="P37" i="8"/>
  <c r="O31" i="8"/>
  <c r="P60" i="8"/>
  <c r="P95" i="8"/>
  <c r="P91" i="8"/>
  <c r="O87" i="8"/>
  <c r="P20" i="8"/>
  <c r="O84" i="8"/>
  <c r="P29" i="8"/>
  <c r="P82" i="8"/>
  <c r="P31" i="8"/>
  <c r="P80" i="8"/>
  <c r="O120" i="8"/>
  <c r="O23" i="8"/>
  <c r="P119" i="8"/>
  <c r="P36" i="8"/>
  <c r="P72" i="8"/>
  <c r="P35" i="8"/>
  <c r="O91" i="8"/>
  <c r="O57" i="8"/>
  <c r="P99" i="8"/>
  <c r="O85" i="8"/>
  <c r="O83" i="8"/>
  <c r="P76" i="8"/>
  <c r="O54" i="8"/>
  <c r="O99" i="8"/>
  <c r="P96" i="8"/>
  <c r="P23" i="8"/>
  <c r="O39" i="8"/>
  <c r="P75" i="8"/>
  <c r="P121" i="8"/>
  <c r="O63" i="8"/>
  <c r="O72" i="8"/>
  <c r="O62" i="8"/>
  <c r="P98" i="8"/>
  <c r="O97" i="8"/>
  <c r="O41" i="8"/>
  <c r="O42" i="8"/>
  <c r="P44" i="8"/>
  <c r="P43" i="8"/>
  <c r="P52" i="8"/>
  <c r="O47" i="8"/>
  <c r="P108" i="8"/>
  <c r="O25" i="8"/>
  <c r="P73" i="8"/>
  <c r="P15" i="8"/>
  <c r="O21" i="8"/>
  <c r="P102" i="8"/>
  <c r="P66" i="8"/>
  <c r="O38" i="8"/>
  <c r="P39" i="8"/>
  <c r="P86" i="8"/>
  <c r="O81" i="8"/>
  <c r="P68" i="8"/>
  <c r="P32" i="8"/>
  <c r="P45" i="8"/>
  <c r="O69" i="8"/>
  <c r="P27" i="8"/>
  <c r="P13" i="8"/>
  <c r="O95" i="8"/>
  <c r="P54" i="8"/>
  <c r="O30" i="8"/>
  <c r="P40" i="8"/>
  <c r="P100" i="8"/>
  <c r="O86" i="8"/>
  <c r="O15" i="8"/>
  <c r="P89" i="8"/>
  <c r="P47" i="8"/>
  <c r="O73" i="8"/>
  <c r="O18" i="8"/>
  <c r="P101" i="8"/>
  <c r="P84" i="8"/>
  <c r="O75" i="8"/>
  <c r="O101" i="8"/>
  <c r="O24" i="8"/>
  <c r="P77" i="8"/>
  <c r="P51" i="8"/>
  <c r="P114" i="8"/>
  <c r="P85" i="8"/>
  <c r="O94" i="8"/>
  <c r="O51" i="8"/>
  <c r="O66" i="8"/>
  <c r="O98" i="8"/>
  <c r="P83" i="8"/>
  <c r="P33" i="8"/>
  <c r="P110" i="8"/>
  <c r="P106" i="8"/>
  <c r="P61" i="8"/>
  <c r="P19" i="8"/>
  <c r="O89" i="8"/>
  <c r="P74" i="8"/>
  <c r="O80" i="8"/>
  <c r="O104" i="8"/>
  <c r="P105" i="8"/>
  <c r="O59" i="8"/>
  <c r="P14" i="8"/>
  <c r="P69" i="8"/>
  <c r="O71" i="8"/>
  <c r="P59" i="8"/>
  <c r="P26" i="8"/>
  <c r="P65" i="8"/>
  <c r="P41" i="8"/>
  <c r="O93" i="8"/>
  <c r="O74" i="8"/>
  <c r="P17" i="8"/>
  <c r="P81" i="8"/>
  <c r="P90" i="8"/>
  <c r="O20" i="8"/>
  <c r="P57" i="8"/>
  <c r="P107" i="8"/>
  <c r="P48" i="8"/>
  <c r="P123" i="8"/>
  <c r="O70" i="8"/>
  <c r="O28" i="8"/>
  <c r="O33" i="8"/>
  <c r="O102" i="8"/>
  <c r="O29" i="8"/>
  <c r="O123" i="8"/>
  <c r="P42" i="8"/>
  <c r="P112" i="8"/>
  <c r="P55" i="8"/>
  <c r="O90" i="8"/>
  <c r="O34" i="8"/>
  <c r="P63" i="8"/>
  <c r="P120" i="8"/>
  <c r="O55" i="8"/>
  <c r="O17" i="8"/>
  <c r="P58" i="8"/>
  <c r="O76" i="8"/>
  <c r="O27" i="8"/>
  <c r="P88" i="8"/>
  <c r="P28" i="8"/>
  <c r="O79" i="8"/>
  <c r="P113" i="8"/>
  <c r="P79" i="8"/>
  <c r="O46" i="8"/>
  <c r="O44" i="8"/>
  <c r="P49" i="8"/>
  <c r="O61" i="8"/>
  <c r="P25" i="8"/>
  <c r="O37" i="8"/>
  <c r="P71" i="8"/>
  <c r="O50" i="8"/>
  <c r="P16" i="8"/>
  <c r="O114" i="8"/>
  <c r="O109" i="8"/>
  <c r="Z118" i="6"/>
  <c r="W118" i="6"/>
  <c r="Z110" i="6"/>
  <c r="W110" i="6"/>
  <c r="Z8" i="6"/>
  <c r="W8" i="6"/>
  <c r="W47" i="6"/>
  <c r="Z47" i="6"/>
  <c r="AD37" i="6"/>
  <c r="AD67" i="6"/>
  <c r="AD91" i="6"/>
  <c r="AD66" i="6"/>
  <c r="AD39" i="6"/>
  <c r="AD98" i="6"/>
  <c r="AD54" i="6"/>
  <c r="Z21" i="6"/>
  <c r="W21" i="6"/>
  <c r="AD97" i="6"/>
  <c r="Z58" i="6"/>
  <c r="W58" i="6"/>
  <c r="AD89" i="6"/>
  <c r="Z88" i="6"/>
  <c r="W88" i="6"/>
  <c r="AD17" i="6"/>
  <c r="W84" i="6"/>
  <c r="Z84" i="6"/>
  <c r="Z63" i="6"/>
  <c r="W63" i="6"/>
  <c r="Z45" i="6"/>
  <c r="W45" i="6"/>
  <c r="Z115" i="6"/>
  <c r="W115" i="6"/>
  <c r="AD118" i="6"/>
  <c r="AD74" i="6"/>
  <c r="Z111" i="6"/>
  <c r="W111" i="6"/>
  <c r="AD14" i="6"/>
  <c r="AD85" i="6"/>
  <c r="AL12" i="19"/>
  <c r="AL21" i="19"/>
  <c r="AL77" i="19"/>
  <c r="AL121" i="19"/>
  <c r="AL70" i="19"/>
  <c r="AL115" i="19"/>
  <c r="AL28" i="19"/>
  <c r="AL98" i="19"/>
  <c r="AL101" i="19"/>
  <c r="AL118" i="19"/>
  <c r="AL42" i="19"/>
  <c r="AL83" i="19"/>
  <c r="AL76" i="19"/>
  <c r="AL19" i="19"/>
  <c r="AL104" i="19"/>
  <c r="AL110" i="19"/>
  <c r="AL120" i="19"/>
  <c r="AL79" i="19"/>
  <c r="AL35" i="19"/>
  <c r="AL59" i="19"/>
  <c r="AL116" i="19"/>
  <c r="AL113" i="19"/>
  <c r="AL114" i="19"/>
  <c r="AL46" i="19"/>
  <c r="AL69" i="19"/>
  <c r="AL14" i="19"/>
  <c r="AL103" i="19"/>
  <c r="AL80" i="19"/>
  <c r="AL81" i="19"/>
  <c r="AL65" i="19"/>
  <c r="AL105" i="19"/>
  <c r="AL33" i="19"/>
  <c r="AL78" i="19"/>
  <c r="AL13" i="19"/>
  <c r="AL68" i="19"/>
  <c r="AL88" i="19"/>
  <c r="AL91" i="19"/>
  <c r="AL51" i="19"/>
  <c r="AL84" i="19"/>
  <c r="AL87" i="19"/>
  <c r="AL99" i="19"/>
  <c r="AL38" i="19"/>
  <c r="AL16" i="19"/>
  <c r="AL108" i="19"/>
  <c r="AL89" i="19"/>
  <c r="AL50" i="19"/>
  <c r="AL106" i="19"/>
  <c r="AL54" i="19"/>
  <c r="AL18" i="19"/>
  <c r="AL53" i="19"/>
  <c r="AL109" i="19"/>
  <c r="AL90" i="19"/>
  <c r="AL122" i="19"/>
  <c r="AL124" i="19"/>
  <c r="AL44" i="19"/>
  <c r="AL119" i="19"/>
  <c r="AL26" i="19"/>
  <c r="AL112" i="19"/>
  <c r="AL62" i="19"/>
  <c r="AL86" i="19"/>
  <c r="AL73" i="19"/>
  <c r="AL72" i="19"/>
  <c r="AL30" i="19"/>
  <c r="AL34" i="19"/>
  <c r="AL37" i="19"/>
  <c r="AL123" i="19"/>
  <c r="AL20" i="19"/>
  <c r="AL43" i="19"/>
  <c r="AL48" i="19"/>
  <c r="AL92" i="19"/>
  <c r="AL24" i="19"/>
  <c r="AL56" i="19"/>
  <c r="AL64" i="19"/>
  <c r="AL100" i="19"/>
  <c r="AL31" i="19"/>
  <c r="AL49" i="19"/>
  <c r="AL94" i="19"/>
  <c r="AL39" i="19"/>
  <c r="AL40" i="19"/>
  <c r="AL107" i="19"/>
  <c r="AL58" i="19"/>
  <c r="AL102" i="19"/>
  <c r="AL67" i="19"/>
  <c r="AL15" i="19"/>
  <c r="AL82" i="19"/>
  <c r="AL66" i="19"/>
  <c r="AL55" i="19"/>
  <c r="AL111" i="19"/>
  <c r="AL17" i="19"/>
  <c r="AL95" i="19"/>
  <c r="AL71" i="19"/>
  <c r="AL25" i="19"/>
  <c r="AL61" i="19"/>
  <c r="AL45" i="19"/>
  <c r="AL32" i="19"/>
  <c r="AL74" i="19"/>
  <c r="AL23" i="19"/>
  <c r="AL29" i="19"/>
  <c r="AL57" i="19"/>
  <c r="AL63" i="19"/>
  <c r="AL27" i="19"/>
  <c r="AL117" i="19"/>
  <c r="AL60" i="19"/>
  <c r="AL93" i="19"/>
  <c r="AL41" i="19"/>
  <c r="AL97" i="19"/>
  <c r="AL75" i="19"/>
  <c r="AL36" i="19"/>
  <c r="AL52" i="19"/>
  <c r="AL47" i="19"/>
  <c r="AL85" i="19"/>
  <c r="AL96" i="19"/>
  <c r="AU71" i="22"/>
  <c r="AU39" i="22"/>
  <c r="AU55" i="22"/>
  <c r="AU77" i="22"/>
  <c r="AU82" i="22"/>
  <c r="AU38" i="22"/>
  <c r="AU30" i="22"/>
  <c r="AU109" i="22"/>
  <c r="AU105" i="22"/>
  <c r="AU41" i="22"/>
  <c r="AU61" i="22"/>
  <c r="AU90" i="22"/>
  <c r="AU122" i="22"/>
  <c r="AU69" i="22"/>
  <c r="AU54" i="22"/>
  <c r="AU44" i="22"/>
  <c r="AU57" i="22"/>
  <c r="AU56" i="22"/>
  <c r="AU43" i="22"/>
  <c r="AU94" i="22"/>
  <c r="AU72" i="22"/>
  <c r="AU70" i="22"/>
  <c r="AU93" i="22"/>
  <c r="AU113" i="22"/>
  <c r="AU60" i="22"/>
  <c r="AU85" i="22"/>
  <c r="AU26" i="22"/>
  <c r="AU83" i="22"/>
  <c r="AU35" i="22"/>
  <c r="AU42" i="22"/>
  <c r="AU116" i="22"/>
  <c r="AU100" i="22"/>
  <c r="AU20" i="22"/>
  <c r="AU22" i="22"/>
  <c r="AU91" i="22"/>
  <c r="AU64" i="22"/>
  <c r="AU76" i="22"/>
  <c r="AU40" i="22"/>
  <c r="AU47" i="22"/>
  <c r="AU28" i="22"/>
  <c r="AU16" i="22"/>
  <c r="AU17" i="22"/>
  <c r="AU65" i="22"/>
  <c r="AU59" i="22"/>
  <c r="AU66" i="22"/>
  <c r="AU106" i="22"/>
  <c r="AU50" i="22"/>
  <c r="AU48" i="22"/>
  <c r="AU46" i="22"/>
  <c r="AU49" i="22"/>
  <c r="AU97" i="22"/>
  <c r="AU81" i="22"/>
  <c r="AU68" i="22"/>
  <c r="AU73" i="22"/>
  <c r="AU53" i="22"/>
  <c r="AU120" i="22"/>
  <c r="AU89" i="22"/>
  <c r="AU96" i="22"/>
  <c r="AU104" i="22"/>
  <c r="AU27" i="22"/>
  <c r="AU24" i="22"/>
  <c r="AU117" i="22"/>
  <c r="AU21" i="22"/>
  <c r="AU112" i="22"/>
  <c r="AU92" i="22"/>
  <c r="AU33" i="22"/>
  <c r="AU99" i="22"/>
  <c r="AU51" i="22"/>
  <c r="AU58" i="22"/>
  <c r="AU88" i="22"/>
  <c r="AU95" i="22"/>
  <c r="AU25" i="22"/>
  <c r="AU67" i="22"/>
  <c r="AU19" i="22"/>
  <c r="AU107" i="22"/>
  <c r="AU13" i="22"/>
  <c r="AU29" i="22"/>
  <c r="AU14" i="22"/>
  <c r="AU124" i="22"/>
  <c r="AU114" i="22"/>
  <c r="AU118" i="22"/>
  <c r="AU62" i="22"/>
  <c r="AU84" i="22"/>
  <c r="AU36" i="22"/>
  <c r="AU119" i="22"/>
  <c r="AU111" i="22"/>
  <c r="AU23" i="22"/>
  <c r="AU80" i="22"/>
  <c r="AU86" i="22"/>
  <c r="AU102" i="22"/>
  <c r="AU87" i="22"/>
  <c r="AU79" i="22"/>
  <c r="AU37" i="22"/>
  <c r="AU123" i="22"/>
  <c r="AU78" i="22"/>
  <c r="AU98" i="22"/>
  <c r="AU101" i="22"/>
  <c r="AU32" i="22"/>
  <c r="AU18" i="22"/>
  <c r="AU103" i="22"/>
  <c r="AU110" i="22"/>
  <c r="AU121" i="22"/>
  <c r="AU63" i="22"/>
  <c r="AU15" i="22"/>
  <c r="AU75" i="22"/>
  <c r="AU12" i="22"/>
  <c r="AU115" i="22"/>
  <c r="AU31" i="22"/>
  <c r="AU52" i="22"/>
  <c r="AU74" i="22"/>
  <c r="AU108" i="22"/>
  <c r="AU34" i="22"/>
  <c r="AU45" i="22"/>
  <c r="BG12" i="21"/>
  <c r="BG84" i="21"/>
  <c r="BG94" i="21"/>
  <c r="BG113" i="21"/>
  <c r="BG30" i="21"/>
  <c r="BG33" i="21"/>
  <c r="BG27" i="21"/>
  <c r="BG34" i="21"/>
  <c r="BG114" i="21"/>
  <c r="BG56" i="21"/>
  <c r="BG93" i="21"/>
  <c r="BG21" i="21"/>
  <c r="BG122" i="21"/>
  <c r="BG39" i="21"/>
  <c r="BG74" i="21"/>
  <c r="BG18" i="21"/>
  <c r="BG82" i="21"/>
  <c r="BG28" i="21"/>
  <c r="BG102" i="21"/>
  <c r="BG25" i="21"/>
  <c r="BG53" i="21"/>
  <c r="BG107" i="21"/>
  <c r="BG26" i="21"/>
  <c r="BG121" i="21"/>
  <c r="BG63" i="21"/>
  <c r="BG32" i="21"/>
  <c r="BG83" i="21"/>
  <c r="BG108" i="21"/>
  <c r="BG23" i="21"/>
  <c r="BG19" i="21"/>
  <c r="BG68" i="21"/>
  <c r="BG13" i="21"/>
  <c r="BG99" i="21"/>
  <c r="BG24" i="21"/>
  <c r="BG47" i="21"/>
  <c r="BG123" i="21"/>
  <c r="BG51" i="21"/>
  <c r="BG120" i="21"/>
  <c r="BG124" i="21"/>
  <c r="BG97" i="21"/>
  <c r="BG81" i="21"/>
  <c r="BG41" i="21"/>
  <c r="BG89" i="21"/>
  <c r="BG60" i="21"/>
  <c r="BG85" i="21"/>
  <c r="BG112" i="21"/>
  <c r="BG71" i="21"/>
  <c r="BG92" i="21"/>
  <c r="BG110" i="21"/>
  <c r="BG20" i="21"/>
  <c r="BG22" i="21"/>
  <c r="BG37" i="21"/>
  <c r="BG78" i="21"/>
  <c r="BG67" i="21"/>
  <c r="BG35" i="21"/>
  <c r="BG52" i="21"/>
  <c r="BG118" i="21"/>
  <c r="BG66" i="21"/>
  <c r="BG58" i="21"/>
  <c r="BG109" i="21"/>
  <c r="BG119" i="21"/>
  <c r="BG86" i="21"/>
  <c r="BG96" i="21"/>
  <c r="BG76" i="21"/>
  <c r="BG42" i="21"/>
  <c r="BG70" i="21"/>
  <c r="BG16" i="21"/>
  <c r="BG45" i="21"/>
  <c r="BG91" i="21"/>
  <c r="BG101" i="21"/>
  <c r="BG117" i="21"/>
  <c r="BG75" i="21"/>
  <c r="BG43" i="21"/>
  <c r="BG40" i="21"/>
  <c r="BG69" i="21"/>
  <c r="BG46" i="21"/>
  <c r="BG17" i="21"/>
  <c r="BG105" i="21"/>
  <c r="BG80" i="21"/>
  <c r="BG15" i="21"/>
  <c r="BG57" i="21"/>
  <c r="BG115" i="21"/>
  <c r="BG88" i="21"/>
  <c r="BG98" i="21"/>
  <c r="BG79" i="21"/>
  <c r="BG38" i="21"/>
  <c r="BG36" i="21"/>
  <c r="BG104" i="21"/>
  <c r="BG111" i="21"/>
  <c r="BG103" i="21"/>
  <c r="BG14" i="21"/>
  <c r="BG31" i="21"/>
  <c r="BG77" i="21"/>
  <c r="BG87" i="21"/>
  <c r="BG54" i="21"/>
  <c r="BG64" i="21"/>
  <c r="BG49" i="21"/>
  <c r="BG61" i="21"/>
  <c r="BG62" i="21"/>
  <c r="BG48" i="21"/>
  <c r="BG95" i="21"/>
  <c r="BG73" i="21"/>
  <c r="BG100" i="21"/>
  <c r="BG59" i="21"/>
  <c r="BG72" i="21"/>
  <c r="BG44" i="21"/>
  <c r="BG29" i="21"/>
  <c r="BG55" i="21"/>
  <c r="BG106" i="21"/>
  <c r="BG65" i="21"/>
  <c r="BG116" i="21"/>
  <c r="BG50" i="21"/>
  <c r="BG90" i="21"/>
  <c r="BO12" i="22"/>
  <c r="BO18" i="22"/>
  <c r="BO25" i="22"/>
  <c r="BO87" i="22"/>
  <c r="BO43" i="22"/>
  <c r="BO95" i="22"/>
  <c r="BO28" i="22"/>
  <c r="BO84" i="22"/>
  <c r="BO22" i="22"/>
  <c r="BO40" i="22"/>
  <c r="BO34" i="22"/>
  <c r="BO121" i="22"/>
  <c r="BO35" i="22"/>
  <c r="BO37" i="22"/>
  <c r="BO68" i="22"/>
  <c r="BO97" i="22"/>
  <c r="BO103" i="22"/>
  <c r="BO58" i="22"/>
  <c r="BO104" i="22"/>
  <c r="BO31" i="22"/>
  <c r="BO63" i="22"/>
  <c r="BO92" i="22"/>
  <c r="BO123" i="22"/>
  <c r="BO111" i="22"/>
  <c r="BO112" i="22"/>
  <c r="BO93" i="22"/>
  <c r="BO122" i="22"/>
  <c r="BO109" i="22"/>
  <c r="BO14" i="22"/>
  <c r="BO120" i="22"/>
  <c r="BO50" i="22"/>
  <c r="BO56" i="22"/>
  <c r="BO90" i="22"/>
  <c r="BO88" i="22"/>
  <c r="BO82" i="22"/>
  <c r="BO59" i="22"/>
  <c r="BO20" i="22"/>
  <c r="BO52" i="22"/>
  <c r="BO98" i="22"/>
  <c r="BO114" i="22"/>
  <c r="BO27" i="22"/>
  <c r="BO48" i="22"/>
  <c r="BO102" i="22"/>
  <c r="BO30" i="22"/>
  <c r="BO60" i="22"/>
  <c r="BO107" i="22"/>
  <c r="BO64" i="22"/>
  <c r="BO29" i="22"/>
  <c r="BO89" i="22"/>
  <c r="BO78" i="22"/>
  <c r="BO46" i="22"/>
  <c r="BO71" i="22"/>
  <c r="BO91" i="22"/>
  <c r="BO113" i="22"/>
  <c r="BO118" i="22"/>
  <c r="BO19" i="22"/>
  <c r="BO41" i="22"/>
  <c r="BO16" i="22"/>
  <c r="BO51" i="22"/>
  <c r="BO101" i="22"/>
  <c r="BO26" i="22"/>
  <c r="BO106" i="22"/>
  <c r="BO81" i="22"/>
  <c r="BO96" i="22"/>
  <c r="BO124" i="22"/>
  <c r="BO77" i="22"/>
  <c r="BO62" i="22"/>
  <c r="BO61" i="22"/>
  <c r="BO36" i="22"/>
  <c r="BO33" i="22"/>
  <c r="BO80" i="22"/>
  <c r="BO42" i="22"/>
  <c r="BO15" i="22"/>
  <c r="BO70" i="22"/>
  <c r="BO105" i="22"/>
  <c r="BO75" i="22"/>
  <c r="BO99" i="22"/>
  <c r="BO57" i="22"/>
  <c r="BO108" i="22"/>
  <c r="BO110" i="22"/>
  <c r="BO44" i="22"/>
  <c r="BO100" i="22"/>
  <c r="BO32" i="22"/>
  <c r="BO45" i="22"/>
  <c r="BO79" i="22"/>
  <c r="BO21" i="22"/>
  <c r="BO13" i="22"/>
  <c r="BO53" i="22"/>
  <c r="BO55" i="22"/>
  <c r="BO85" i="22"/>
  <c r="BO38" i="22"/>
  <c r="BO94" i="22"/>
  <c r="BO83" i="22"/>
  <c r="BO119" i="22"/>
  <c r="BO86" i="22"/>
  <c r="BO116" i="22"/>
  <c r="BO47" i="22"/>
  <c r="BO67" i="22"/>
  <c r="BO117" i="22"/>
  <c r="BO74" i="22"/>
  <c r="BO39" i="22"/>
  <c r="BO23" i="22"/>
  <c r="BO69" i="22"/>
  <c r="BO24" i="22"/>
  <c r="BO115" i="22"/>
  <c r="BO65" i="22"/>
  <c r="BO54" i="22"/>
  <c r="BO73" i="22"/>
  <c r="BO49" i="22"/>
  <c r="BO66" i="22"/>
  <c r="BO17" i="22"/>
  <c r="BO76" i="22"/>
  <c r="BO72" i="22"/>
  <c r="K27" i="19"/>
  <c r="H27" i="19"/>
  <c r="T89" i="21"/>
  <c r="X89" i="21" s="1"/>
  <c r="T28" i="21"/>
  <c r="X28" i="21" s="1"/>
  <c r="T80" i="21"/>
  <c r="X80" i="21" s="1"/>
  <c r="T25" i="21"/>
  <c r="X25" i="21" s="1"/>
  <c r="T111" i="21"/>
  <c r="X111" i="21" s="1"/>
  <c r="T105" i="21"/>
  <c r="X105" i="21" s="1"/>
  <c r="T77" i="21"/>
  <c r="X77" i="21" s="1"/>
  <c r="T40" i="21"/>
  <c r="X40" i="21" s="1"/>
  <c r="T106" i="21"/>
  <c r="X106" i="21" s="1"/>
  <c r="T68" i="21"/>
  <c r="X68" i="21" s="1"/>
  <c r="T65" i="21"/>
  <c r="X65" i="21" s="1"/>
  <c r="T38" i="21"/>
  <c r="X38" i="21" s="1"/>
  <c r="T14" i="21"/>
  <c r="X14" i="21" s="1"/>
  <c r="T71" i="21"/>
  <c r="X71" i="21" s="1"/>
  <c r="T123" i="21"/>
  <c r="X123" i="21" s="1"/>
  <c r="T81" i="21"/>
  <c r="X81" i="21" s="1"/>
  <c r="T104" i="21"/>
  <c r="X104" i="21" s="1"/>
  <c r="T57" i="21"/>
  <c r="X57" i="21" s="1"/>
  <c r="T55" i="21"/>
  <c r="X55" i="21" s="1"/>
  <c r="T79" i="21"/>
  <c r="X79" i="21" s="1"/>
  <c r="T78" i="21"/>
  <c r="X78" i="21" s="1"/>
  <c r="T86" i="21"/>
  <c r="X86" i="21" s="1"/>
  <c r="T24" i="21"/>
  <c r="X24" i="21" s="1"/>
  <c r="T29" i="21"/>
  <c r="X29" i="21" s="1"/>
  <c r="T49" i="21"/>
  <c r="X49" i="21" s="1"/>
  <c r="T112" i="21"/>
  <c r="X112" i="21" s="1"/>
  <c r="T27" i="21"/>
  <c r="X27" i="21" s="1"/>
  <c r="T93" i="21"/>
  <c r="X93" i="21" s="1"/>
  <c r="T82" i="21"/>
  <c r="X82" i="21" s="1"/>
  <c r="T94" i="21"/>
  <c r="X94" i="21" s="1"/>
  <c r="T20" i="21"/>
  <c r="X20" i="21" s="1"/>
  <c r="T59" i="21"/>
  <c r="X59" i="21" s="1"/>
  <c r="T124" i="21"/>
  <c r="X124" i="21" s="1"/>
  <c r="T12" i="21"/>
  <c r="X12" i="21" s="1"/>
  <c r="T95" i="21"/>
  <c r="X95" i="21" s="1"/>
  <c r="T66" i="21"/>
  <c r="X66" i="21" s="1"/>
  <c r="T53" i="21"/>
  <c r="X53" i="21" s="1"/>
  <c r="T109" i="21"/>
  <c r="X109" i="21" s="1"/>
  <c r="T62" i="21"/>
  <c r="X62" i="21" s="1"/>
  <c r="T108" i="21"/>
  <c r="X108" i="21" s="1"/>
  <c r="T103" i="21"/>
  <c r="X103" i="21" s="1"/>
  <c r="T102" i="21"/>
  <c r="X102" i="21" s="1"/>
  <c r="T52" i="21"/>
  <c r="X52" i="21" s="1"/>
  <c r="T114" i="21"/>
  <c r="X114" i="21" s="1"/>
  <c r="T118" i="21"/>
  <c r="X118" i="21" s="1"/>
  <c r="T85" i="21"/>
  <c r="X85" i="21" s="1"/>
  <c r="T44" i="21"/>
  <c r="X44" i="21" s="1"/>
  <c r="T107" i="21"/>
  <c r="X107" i="21" s="1"/>
  <c r="T42" i="21"/>
  <c r="X42" i="21" s="1"/>
  <c r="T22" i="21"/>
  <c r="X22" i="21" s="1"/>
  <c r="T98" i="21"/>
  <c r="X98" i="21" s="1"/>
  <c r="T113" i="21"/>
  <c r="X113" i="21" s="1"/>
  <c r="T119" i="21"/>
  <c r="X119" i="21" s="1"/>
  <c r="T75" i="21"/>
  <c r="X75" i="21" s="1"/>
  <c r="T56" i="21"/>
  <c r="X56" i="21" s="1"/>
  <c r="T116" i="21"/>
  <c r="X116" i="21" s="1"/>
  <c r="T18" i="21"/>
  <c r="X18" i="21" s="1"/>
  <c r="T54" i="21"/>
  <c r="X54" i="21" s="1"/>
  <c r="T76" i="21"/>
  <c r="X76" i="21" s="1"/>
  <c r="T33" i="21"/>
  <c r="X33" i="21" s="1"/>
  <c r="T35" i="21"/>
  <c r="X35" i="21" s="1"/>
  <c r="T32" i="21"/>
  <c r="X32" i="21" s="1"/>
  <c r="T64" i="21"/>
  <c r="X64" i="21" s="1"/>
  <c r="T73" i="21"/>
  <c r="X73" i="21" s="1"/>
  <c r="T92" i="21"/>
  <c r="X92" i="21" s="1"/>
  <c r="T34" i="21"/>
  <c r="X34" i="21" s="1"/>
  <c r="T91" i="21"/>
  <c r="X91" i="21" s="1"/>
  <c r="T121" i="21"/>
  <c r="X121" i="21" s="1"/>
  <c r="T110" i="21"/>
  <c r="X110" i="21" s="1"/>
  <c r="T41" i="21"/>
  <c r="X41" i="21" s="1"/>
  <c r="T117" i="21"/>
  <c r="X117" i="21" s="1"/>
  <c r="T88" i="21"/>
  <c r="X88" i="21" s="1"/>
  <c r="T13" i="21"/>
  <c r="X13" i="21" s="1"/>
  <c r="T48" i="21"/>
  <c r="X48" i="21" s="1"/>
  <c r="T67" i="21"/>
  <c r="X67" i="21" s="1"/>
  <c r="T63" i="21"/>
  <c r="X63" i="21" s="1"/>
  <c r="T90" i="21"/>
  <c r="X90" i="21" s="1"/>
  <c r="T61" i="21"/>
  <c r="X61" i="21" s="1"/>
  <c r="T100" i="21"/>
  <c r="X100" i="21" s="1"/>
  <c r="T45" i="21"/>
  <c r="X45" i="21" s="1"/>
  <c r="T84" i="21"/>
  <c r="X84" i="21" s="1"/>
  <c r="T19" i="21"/>
  <c r="X19" i="21" s="1"/>
  <c r="T120" i="21"/>
  <c r="X120" i="21" s="1"/>
  <c r="T83" i="21"/>
  <c r="X83" i="21" s="1"/>
  <c r="T36" i="21"/>
  <c r="X36" i="21" s="1"/>
  <c r="T16" i="21"/>
  <c r="X16" i="21" s="1"/>
  <c r="T51" i="21"/>
  <c r="X51" i="21" s="1"/>
  <c r="T72" i="21"/>
  <c r="X72" i="21" s="1"/>
  <c r="T115" i="21"/>
  <c r="X115" i="21" s="1"/>
  <c r="T69" i="21"/>
  <c r="X69" i="21" s="1"/>
  <c r="T60" i="21"/>
  <c r="X60" i="21" s="1"/>
  <c r="T31" i="21"/>
  <c r="X31" i="21" s="1"/>
  <c r="T26" i="21"/>
  <c r="X26" i="21" s="1"/>
  <c r="T43" i="21"/>
  <c r="X43" i="21" s="1"/>
  <c r="T74" i="21"/>
  <c r="X74" i="21" s="1"/>
  <c r="T97" i="21"/>
  <c r="X97" i="21" s="1"/>
  <c r="T46" i="21"/>
  <c r="X46" i="21" s="1"/>
  <c r="T58" i="21"/>
  <c r="X58" i="21" s="1"/>
  <c r="T30" i="21"/>
  <c r="X30" i="21" s="1"/>
  <c r="T23" i="21"/>
  <c r="X23" i="21" s="1"/>
  <c r="T37" i="21"/>
  <c r="X37" i="21" s="1"/>
  <c r="T15" i="21"/>
  <c r="X15" i="21" s="1"/>
  <c r="T87" i="21"/>
  <c r="X87" i="21" s="1"/>
  <c r="T99" i="21"/>
  <c r="X99" i="21" s="1"/>
  <c r="T50" i="21"/>
  <c r="X50" i="21" s="1"/>
  <c r="T39" i="21"/>
  <c r="X39" i="21" s="1"/>
  <c r="T47" i="21"/>
  <c r="X47" i="21" s="1"/>
  <c r="T21" i="21"/>
  <c r="X21" i="21" s="1"/>
  <c r="T17" i="21"/>
  <c r="X17" i="21" s="1"/>
  <c r="T122" i="21"/>
  <c r="X122" i="21" s="1"/>
  <c r="T96" i="21"/>
  <c r="X96" i="21" s="1"/>
  <c r="T70" i="21"/>
  <c r="X70" i="21" s="1"/>
  <c r="T101" i="21"/>
  <c r="X101" i="21" s="1"/>
  <c r="O117" i="19"/>
  <c r="O108" i="19"/>
  <c r="O119" i="19"/>
  <c r="O115" i="19"/>
  <c r="O118" i="19"/>
  <c r="O112" i="19"/>
  <c r="O113" i="19"/>
  <c r="O114" i="19"/>
  <c r="O124" i="19"/>
  <c r="O116" i="19"/>
  <c r="O122" i="19"/>
  <c r="O120" i="19"/>
  <c r="O123" i="19"/>
  <c r="P81" i="19"/>
  <c r="O13" i="19"/>
  <c r="P121" i="19"/>
  <c r="P70" i="19"/>
  <c r="P72" i="19"/>
  <c r="P64" i="19"/>
  <c r="P48" i="19"/>
  <c r="O70" i="19"/>
  <c r="O15" i="19"/>
  <c r="O33" i="19"/>
  <c r="O32" i="19"/>
  <c r="O87" i="19"/>
  <c r="O35" i="19"/>
  <c r="P98" i="19"/>
  <c r="P40" i="19"/>
  <c r="P93" i="19"/>
  <c r="O94" i="19"/>
  <c r="O76" i="19"/>
  <c r="P88" i="19"/>
  <c r="P94" i="19"/>
  <c r="P110" i="19"/>
  <c r="P77" i="19"/>
  <c r="O34" i="19"/>
  <c r="P37" i="19"/>
  <c r="P20" i="19"/>
  <c r="O81" i="19"/>
  <c r="O85" i="19"/>
  <c r="P53" i="19"/>
  <c r="O31" i="19"/>
  <c r="P54" i="19"/>
  <c r="P15" i="19"/>
  <c r="O30" i="19"/>
  <c r="P33" i="19"/>
  <c r="P16" i="19"/>
  <c r="O66" i="19"/>
  <c r="O49" i="19"/>
  <c r="P62" i="19"/>
  <c r="O82" i="19"/>
  <c r="P102" i="19"/>
  <c r="P123" i="19"/>
  <c r="O36" i="19"/>
  <c r="P83" i="19"/>
  <c r="O83" i="19"/>
  <c r="P73" i="19"/>
  <c r="P97" i="19"/>
  <c r="O92" i="19"/>
  <c r="P114" i="19"/>
  <c r="O80" i="19"/>
  <c r="P108" i="19"/>
  <c r="P105" i="19"/>
  <c r="P89" i="19"/>
  <c r="P45" i="19"/>
  <c r="P69" i="19"/>
  <c r="P42" i="19"/>
  <c r="O96" i="19"/>
  <c r="P27" i="19"/>
  <c r="P113" i="19"/>
  <c r="O62" i="19"/>
  <c r="P68" i="19"/>
  <c r="O14" i="19"/>
  <c r="O78" i="19"/>
  <c r="O25" i="19"/>
  <c r="O77" i="19"/>
  <c r="P52" i="19"/>
  <c r="P80" i="19"/>
  <c r="O53" i="19"/>
  <c r="P115" i="19"/>
  <c r="P101" i="19"/>
  <c r="O51" i="19"/>
  <c r="O39" i="19"/>
  <c r="P106" i="19"/>
  <c r="P92" i="19"/>
  <c r="P51" i="19"/>
  <c r="P124" i="19"/>
  <c r="O19" i="19"/>
  <c r="O107" i="19"/>
  <c r="O98" i="19"/>
  <c r="P30" i="19"/>
  <c r="O73" i="19"/>
  <c r="O75" i="19"/>
  <c r="O16" i="19"/>
  <c r="O41" i="19"/>
  <c r="O79" i="19"/>
  <c r="P34" i="19"/>
  <c r="P31" i="19"/>
  <c r="P47" i="19"/>
  <c r="P82" i="19"/>
  <c r="O55" i="19"/>
  <c r="P74" i="19"/>
  <c r="P96" i="19"/>
  <c r="P23" i="19"/>
  <c r="P76" i="19"/>
  <c r="P67" i="19"/>
  <c r="O89" i="19"/>
  <c r="P29" i="19"/>
  <c r="O71" i="19"/>
  <c r="P116" i="19"/>
  <c r="P60" i="19"/>
  <c r="O46" i="19"/>
  <c r="O20" i="19"/>
  <c r="O64" i="19"/>
  <c r="O101" i="19"/>
  <c r="P66" i="19"/>
  <c r="P87" i="19"/>
  <c r="P86" i="19"/>
  <c r="O40" i="19"/>
  <c r="P85" i="19"/>
  <c r="O102" i="19"/>
  <c r="P56" i="19"/>
  <c r="P36" i="19"/>
  <c r="P111" i="19"/>
  <c r="P13" i="19"/>
  <c r="P49" i="19"/>
  <c r="P63" i="19"/>
  <c r="O106" i="19"/>
  <c r="O23" i="19"/>
  <c r="P55" i="19"/>
  <c r="P24" i="19"/>
  <c r="O42" i="19"/>
  <c r="P79" i="19"/>
  <c r="P28" i="19"/>
  <c r="P78" i="19"/>
  <c r="O104" i="19"/>
  <c r="O103" i="19"/>
  <c r="O24" i="19"/>
  <c r="P44" i="19"/>
  <c r="O52" i="19"/>
  <c r="P119" i="19"/>
  <c r="O43" i="19"/>
  <c r="O48" i="19"/>
  <c r="O22" i="19"/>
  <c r="O95" i="19"/>
  <c r="P107" i="19"/>
  <c r="P39" i="19"/>
  <c r="P32" i="19"/>
  <c r="P109" i="19"/>
  <c r="P19" i="19"/>
  <c r="O74" i="19"/>
  <c r="P59" i="19"/>
  <c r="P41" i="19"/>
  <c r="P26" i="19"/>
  <c r="P75" i="19"/>
  <c r="O45" i="19"/>
  <c r="P35" i="19"/>
  <c r="O59" i="19"/>
  <c r="P122" i="19"/>
  <c r="P99" i="19"/>
  <c r="P91" i="19"/>
  <c r="P46" i="19"/>
  <c r="O21" i="19"/>
  <c r="P50" i="19"/>
  <c r="P57" i="19"/>
  <c r="P61" i="19"/>
  <c r="O44" i="19"/>
  <c r="O97" i="19"/>
  <c r="O50" i="19"/>
  <c r="O26" i="19"/>
  <c r="P118" i="19"/>
  <c r="O37" i="19"/>
  <c r="P14" i="19"/>
  <c r="P104" i="19"/>
  <c r="O72" i="19"/>
  <c r="O88" i="19"/>
  <c r="O99" i="19"/>
  <c r="P25" i="19"/>
  <c r="O58" i="19"/>
  <c r="P65" i="19"/>
  <c r="O91" i="19"/>
  <c r="P18" i="19"/>
  <c r="O90" i="19"/>
  <c r="O68" i="19"/>
  <c r="O65" i="19"/>
  <c r="P90" i="19"/>
  <c r="P84" i="19"/>
  <c r="O100" i="19"/>
  <c r="P71" i="19"/>
  <c r="O67" i="19"/>
  <c r="P117" i="19"/>
  <c r="O57" i="19"/>
  <c r="O47" i="19"/>
  <c r="O105" i="19"/>
  <c r="O28" i="19"/>
  <c r="O18" i="19"/>
  <c r="O56" i="19"/>
  <c r="O86" i="19"/>
  <c r="O27" i="19"/>
  <c r="O69" i="19"/>
  <c r="P100" i="19"/>
  <c r="P43" i="19"/>
  <c r="P103" i="19"/>
  <c r="P58" i="19"/>
  <c r="P95" i="19"/>
  <c r="O29" i="19"/>
  <c r="P21" i="19"/>
  <c r="O54" i="19"/>
  <c r="P22" i="19"/>
  <c r="P17" i="19"/>
  <c r="O60" i="19"/>
  <c r="P112" i="19"/>
  <c r="O17" i="19"/>
  <c r="P38" i="19"/>
  <c r="O63" i="19"/>
  <c r="O121" i="19"/>
  <c r="O111" i="19"/>
  <c r="O61" i="19"/>
  <c r="O93" i="19"/>
  <c r="P120" i="19"/>
  <c r="P12" i="19"/>
  <c r="O84" i="19"/>
  <c r="O38" i="19"/>
  <c r="O109" i="19"/>
  <c r="O110" i="19"/>
  <c r="O12" i="19"/>
  <c r="AM12" i="19" s="1"/>
  <c r="Z11" i="6"/>
  <c r="W11" i="6"/>
  <c r="Z26" i="6"/>
  <c r="W26" i="6"/>
  <c r="Z10" i="6"/>
  <c r="W10" i="6"/>
  <c r="Z70" i="6"/>
  <c r="W70" i="6"/>
  <c r="W68" i="6"/>
  <c r="Z68" i="6"/>
  <c r="W39" i="6"/>
  <c r="Z39" i="6"/>
  <c r="AD46" i="6"/>
  <c r="Z36" i="6"/>
  <c r="W36" i="6"/>
  <c r="W89" i="6"/>
  <c r="Z89" i="6"/>
  <c r="Z107" i="6"/>
  <c r="W107" i="6"/>
  <c r="Z18" i="6"/>
  <c r="W18" i="6"/>
  <c r="Z32" i="6"/>
  <c r="W32" i="6"/>
  <c r="Z114" i="6"/>
  <c r="W114" i="6"/>
  <c r="W119" i="6"/>
  <c r="X119" i="6" s="1"/>
  <c r="Z119" i="6"/>
  <c r="AA119" i="6" s="1"/>
  <c r="W48" i="6"/>
  <c r="Z48" i="6"/>
  <c r="AD57" i="6"/>
  <c r="AD27" i="6"/>
  <c r="Z94" i="6"/>
  <c r="W94" i="6"/>
  <c r="Z92" i="6"/>
  <c r="W92" i="6"/>
  <c r="AD68" i="6"/>
  <c r="AD15" i="6"/>
  <c r="W19" i="6"/>
  <c r="Z19" i="6"/>
  <c r="AD13" i="6"/>
  <c r="AD16" i="6"/>
  <c r="AD113" i="6"/>
  <c r="AD60" i="6"/>
  <c r="AD36" i="6"/>
  <c r="AD115" i="6"/>
  <c r="CP115" i="21"/>
  <c r="CY115" i="21" s="1"/>
  <c r="CP121" i="21"/>
  <c r="CY121" i="21" s="1"/>
  <c r="CP117" i="21"/>
  <c r="CY117" i="21" s="1"/>
  <c r="CP123" i="21"/>
  <c r="CY123" i="21" s="1"/>
  <c r="CP118" i="21"/>
  <c r="CY118" i="21" s="1"/>
  <c r="CP120" i="21"/>
  <c r="CY120" i="21" s="1"/>
  <c r="CP119" i="21"/>
  <c r="CY119" i="21" s="1"/>
  <c r="CP113" i="21"/>
  <c r="CY113" i="21" s="1"/>
  <c r="CP124" i="21"/>
  <c r="CY124" i="21" s="1"/>
  <c r="CP122" i="21"/>
  <c r="CY122" i="21" s="1"/>
  <c r="CP116" i="21"/>
  <c r="CY116" i="21" s="1"/>
  <c r="CP114" i="21"/>
  <c r="CY114" i="21" s="1"/>
  <c r="U81" i="21"/>
  <c r="U44" i="21"/>
  <c r="U76" i="21"/>
  <c r="U27" i="21"/>
  <c r="U97" i="21"/>
  <c r="U95" i="21"/>
  <c r="U45" i="21"/>
  <c r="U70" i="21"/>
  <c r="U65" i="21"/>
  <c r="U85" i="21"/>
  <c r="U71" i="21"/>
  <c r="U21" i="21"/>
  <c r="U96" i="21"/>
  <c r="U117" i="21"/>
  <c r="U118" i="21"/>
  <c r="U22" i="21"/>
  <c r="U66" i="21"/>
  <c r="U20" i="21"/>
  <c r="U114" i="21"/>
  <c r="U89" i="21"/>
  <c r="U46" i="21"/>
  <c r="U51" i="21"/>
  <c r="U24" i="21"/>
  <c r="U19" i="21"/>
  <c r="U99" i="21"/>
  <c r="U115" i="21"/>
  <c r="U31" i="21"/>
  <c r="U55" i="21"/>
  <c r="U43" i="21"/>
  <c r="U41" i="21"/>
  <c r="U61" i="21"/>
  <c r="U23" i="21"/>
  <c r="U84" i="21"/>
  <c r="U104" i="21"/>
  <c r="U59" i="21"/>
  <c r="U78" i="21"/>
  <c r="U48" i="21"/>
  <c r="U113" i="21"/>
  <c r="U29" i="21"/>
  <c r="U122" i="21"/>
  <c r="U93" i="21"/>
  <c r="U121" i="21"/>
  <c r="U74" i="21"/>
  <c r="U42" i="21"/>
  <c r="U56" i="21"/>
  <c r="U52" i="21"/>
  <c r="U35" i="21"/>
  <c r="U54" i="21"/>
  <c r="U100" i="21"/>
  <c r="U88" i="21"/>
  <c r="U108" i="21"/>
  <c r="U36" i="21"/>
  <c r="U49" i="21"/>
  <c r="U14" i="21"/>
  <c r="U12" i="21"/>
  <c r="U26" i="21"/>
  <c r="U112" i="21"/>
  <c r="U28" i="21"/>
  <c r="U92" i="21"/>
  <c r="U16" i="21"/>
  <c r="U62" i="21"/>
  <c r="U102" i="21"/>
  <c r="U58" i="21"/>
  <c r="U120" i="21"/>
  <c r="U13" i="21"/>
  <c r="U75" i="21"/>
  <c r="U98" i="21"/>
  <c r="U101" i="21"/>
  <c r="U111" i="21"/>
  <c r="U119" i="21"/>
  <c r="U68" i="21"/>
  <c r="U80" i="21"/>
  <c r="U18" i="21"/>
  <c r="U60" i="21"/>
  <c r="U34" i="21"/>
  <c r="U40" i="21"/>
  <c r="U72" i="21"/>
  <c r="U15" i="21"/>
  <c r="U25" i="21"/>
  <c r="U47" i="21"/>
  <c r="U50" i="21"/>
  <c r="U30" i="21"/>
  <c r="U82" i="21"/>
  <c r="U67" i="21"/>
  <c r="U90" i="21"/>
  <c r="U106" i="21"/>
  <c r="U86" i="21"/>
  <c r="U39" i="21"/>
  <c r="U87" i="21"/>
  <c r="U123" i="21"/>
  <c r="U77" i="21"/>
  <c r="U32" i="21"/>
  <c r="U107" i="21"/>
  <c r="U38" i="21"/>
  <c r="U33" i="21"/>
  <c r="U53" i="21"/>
  <c r="U110" i="21"/>
  <c r="U109" i="21"/>
  <c r="U69" i="21"/>
  <c r="U79" i="21"/>
  <c r="U94" i="21"/>
  <c r="U83" i="21"/>
  <c r="U17" i="21"/>
  <c r="U63" i="21"/>
  <c r="U91" i="21"/>
  <c r="U116" i="21"/>
  <c r="U124" i="21"/>
  <c r="U103" i="21"/>
  <c r="U37" i="21"/>
  <c r="U64" i="21"/>
  <c r="U73" i="21"/>
  <c r="U105" i="21"/>
  <c r="U57" i="21"/>
  <c r="AL12" i="21"/>
  <c r="AL51" i="21"/>
  <c r="AL79" i="21"/>
  <c r="AL54" i="21"/>
  <c r="AL83" i="21"/>
  <c r="AL85" i="21"/>
  <c r="AL97" i="21"/>
  <c r="AL55" i="21"/>
  <c r="AL19" i="21"/>
  <c r="AL119" i="21"/>
  <c r="AL101" i="21"/>
  <c r="AL99" i="21"/>
  <c r="AL33" i="21"/>
  <c r="AL31" i="21"/>
  <c r="AL86" i="21"/>
  <c r="AL13" i="21"/>
  <c r="AL76" i="21"/>
  <c r="AL45" i="21"/>
  <c r="AL50" i="21"/>
  <c r="AL47" i="21"/>
  <c r="AL117" i="21"/>
  <c r="AL64" i="21"/>
  <c r="AL40" i="21"/>
  <c r="AL21" i="21"/>
  <c r="AL17" i="21"/>
  <c r="AL100" i="21"/>
  <c r="AL111" i="21"/>
  <c r="AL48" i="21"/>
  <c r="AL37" i="21"/>
  <c r="AL26" i="21"/>
  <c r="AL36" i="21"/>
  <c r="AL124" i="21"/>
  <c r="AL108" i="21"/>
  <c r="AL59" i="21"/>
  <c r="AL93" i="21"/>
  <c r="AL123" i="21"/>
  <c r="AL113" i="21"/>
  <c r="AL35" i="21"/>
  <c r="AL29" i="21"/>
  <c r="AL57" i="21"/>
  <c r="AL23" i="21"/>
  <c r="AL56" i="21"/>
  <c r="AL58" i="21"/>
  <c r="AL110" i="21"/>
  <c r="AL61" i="21"/>
  <c r="AL121" i="21"/>
  <c r="AL90" i="21"/>
  <c r="AL82" i="21"/>
  <c r="AL15" i="21"/>
  <c r="AL66" i="21"/>
  <c r="AL34" i="21"/>
  <c r="AL71" i="21"/>
  <c r="AL18" i="21"/>
  <c r="AL28" i="21"/>
  <c r="AL60" i="21"/>
  <c r="AL105" i="21"/>
  <c r="AL92" i="21"/>
  <c r="AL42" i="21"/>
  <c r="AL80" i="21"/>
  <c r="AL122" i="21"/>
  <c r="AL77" i="21"/>
  <c r="AL120" i="21"/>
  <c r="AL30" i="21"/>
  <c r="AL73" i="21"/>
  <c r="AL67" i="21"/>
  <c r="AL53" i="21"/>
  <c r="AL52" i="21"/>
  <c r="AL32" i="21"/>
  <c r="AL49" i="21"/>
  <c r="AL112" i="21"/>
  <c r="AL14" i="21"/>
  <c r="AL43" i="21"/>
  <c r="AL72" i="21"/>
  <c r="AL24" i="21"/>
  <c r="AL118" i="21"/>
  <c r="AL109" i="21"/>
  <c r="AL69" i="21"/>
  <c r="AL27" i="21"/>
  <c r="AL104" i="21"/>
  <c r="AL25" i="21"/>
  <c r="AL39" i="21"/>
  <c r="AL94" i="21"/>
  <c r="AL65" i="21"/>
  <c r="AL75" i="21"/>
  <c r="AL95" i="21"/>
  <c r="AL115" i="21"/>
  <c r="AL16" i="21"/>
  <c r="AL88" i="21"/>
  <c r="AL70" i="21"/>
  <c r="AL107" i="21"/>
  <c r="AL114" i="21"/>
  <c r="AL81" i="21"/>
  <c r="AL106" i="21"/>
  <c r="AL68" i="21"/>
  <c r="AL74" i="21"/>
  <c r="AL103" i="21"/>
  <c r="AL91" i="21"/>
  <c r="AL78" i="21"/>
  <c r="AL38" i="21"/>
  <c r="AL63" i="21"/>
  <c r="AL87" i="21"/>
  <c r="AL84" i="21"/>
  <c r="AL44" i="21"/>
  <c r="AL96" i="21"/>
  <c r="AL22" i="21"/>
  <c r="AL46" i="21"/>
  <c r="AL41" i="21"/>
  <c r="AL98" i="21"/>
  <c r="AL102" i="21"/>
  <c r="AL20" i="21"/>
  <c r="AL62" i="21"/>
  <c r="AL89" i="21"/>
  <c r="AL116" i="21"/>
  <c r="AU57" i="21"/>
  <c r="AU78" i="21"/>
  <c r="AU18" i="21"/>
  <c r="AU52" i="21"/>
  <c r="AU23" i="21"/>
  <c r="AU35" i="21"/>
  <c r="AU120" i="21"/>
  <c r="AU33" i="21"/>
  <c r="AU54" i="21"/>
  <c r="AU20" i="21"/>
  <c r="AU62" i="21"/>
  <c r="AU71" i="21"/>
  <c r="AU42" i="21"/>
  <c r="AU109" i="21"/>
  <c r="AU75" i="21"/>
  <c r="AU107" i="21"/>
  <c r="AU83" i="21"/>
  <c r="AU94" i="21"/>
  <c r="AU112" i="21"/>
  <c r="AU114" i="21"/>
  <c r="AU111" i="21"/>
  <c r="AU116" i="21"/>
  <c r="AU100" i="21"/>
  <c r="AU34" i="21"/>
  <c r="AU27" i="21"/>
  <c r="AU118" i="21"/>
  <c r="AU41" i="21"/>
  <c r="AU98" i="21"/>
  <c r="AU30" i="21"/>
  <c r="AU79" i="21"/>
  <c r="AU28" i="21"/>
  <c r="AU73" i="21"/>
  <c r="AU96" i="21"/>
  <c r="AU43" i="21"/>
  <c r="AU24" i="21"/>
  <c r="AU121" i="21"/>
  <c r="AU122" i="21"/>
  <c r="AU50" i="21"/>
  <c r="AU74" i="21"/>
  <c r="AU68" i="21"/>
  <c r="AU91" i="21"/>
  <c r="AU88" i="21"/>
  <c r="AU60" i="21"/>
  <c r="AU47" i="21"/>
  <c r="AU21" i="21"/>
  <c r="AU104" i="21"/>
  <c r="AU36" i="21"/>
  <c r="AU103" i="21"/>
  <c r="AU70" i="21"/>
  <c r="AU110" i="21"/>
  <c r="AU48" i="21"/>
  <c r="AU12" i="21"/>
  <c r="AU84" i="21"/>
  <c r="AU46" i="21"/>
  <c r="AU63" i="21"/>
  <c r="AU44" i="21"/>
  <c r="AU22" i="21"/>
  <c r="AU32" i="21"/>
  <c r="AU69" i="21"/>
  <c r="AU106" i="21"/>
  <c r="AU39" i="21"/>
  <c r="AU77" i="21"/>
  <c r="AU15" i="21"/>
  <c r="AU97" i="21"/>
  <c r="AU58" i="21"/>
  <c r="AU31" i="21"/>
  <c r="AU65" i="21"/>
  <c r="AU25" i="21"/>
  <c r="AU119" i="21"/>
  <c r="AU13" i="21"/>
  <c r="AU123" i="21"/>
  <c r="AU61" i="21"/>
  <c r="AU117" i="21"/>
  <c r="AU101" i="21"/>
  <c r="AU82" i="21"/>
  <c r="AU29" i="21"/>
  <c r="AU67" i="21"/>
  <c r="AU93" i="21"/>
  <c r="AU14" i="21"/>
  <c r="AU102" i="21"/>
  <c r="AU85" i="21"/>
  <c r="AU26" i="21"/>
  <c r="AU81" i="21"/>
  <c r="AU49" i="21"/>
  <c r="AU99" i="21"/>
  <c r="AU51" i="21"/>
  <c r="AU16" i="21"/>
  <c r="AU64" i="21"/>
  <c r="AU45" i="21"/>
  <c r="AU87" i="21"/>
  <c r="AU90" i="21"/>
  <c r="AU80" i="21"/>
  <c r="AU37" i="21"/>
  <c r="AU92" i="21"/>
  <c r="AU115" i="21"/>
  <c r="AU108" i="21"/>
  <c r="AU59" i="21"/>
  <c r="AU124" i="21"/>
  <c r="AU19" i="21"/>
  <c r="AU113" i="21"/>
  <c r="AU53" i="21"/>
  <c r="AU105" i="21"/>
  <c r="AU40" i="21"/>
  <c r="AU89" i="21"/>
  <c r="AU38" i="21"/>
  <c r="AU66" i="21"/>
  <c r="AU17" i="21"/>
  <c r="AU76" i="21"/>
  <c r="AU86" i="21"/>
  <c r="AU95" i="21"/>
  <c r="AU55" i="21"/>
  <c r="AU72" i="21"/>
  <c r="AU56" i="21"/>
  <c r="CA12" i="8"/>
  <c r="CA112" i="8"/>
  <c r="CA114" i="8"/>
  <c r="CA69" i="8"/>
  <c r="CA14" i="8"/>
  <c r="CA71" i="8"/>
  <c r="CA28" i="8"/>
  <c r="CA22" i="8"/>
  <c r="CA13" i="8"/>
  <c r="CA103" i="8"/>
  <c r="CA15" i="8"/>
  <c r="CA95" i="8"/>
  <c r="CA54" i="8"/>
  <c r="CA117" i="8"/>
  <c r="CA73" i="8"/>
  <c r="CA74" i="8"/>
  <c r="CA64" i="8"/>
  <c r="CA63" i="8"/>
  <c r="CA76" i="8"/>
  <c r="CA47" i="8"/>
  <c r="CA41" i="8"/>
  <c r="CA123" i="8"/>
  <c r="CA57" i="8"/>
  <c r="CA94" i="8"/>
  <c r="CA72" i="8"/>
  <c r="CA82" i="8"/>
  <c r="CA68" i="8"/>
  <c r="CA58" i="8"/>
  <c r="CA120" i="8"/>
  <c r="CA118" i="8"/>
  <c r="CA51" i="8"/>
  <c r="CA77" i="8"/>
  <c r="CA124" i="8"/>
  <c r="CA35" i="8"/>
  <c r="CA53" i="8"/>
  <c r="CA30" i="8"/>
  <c r="CA75" i="8"/>
  <c r="CA31" i="8"/>
  <c r="CA84" i="8"/>
  <c r="CA34" i="8"/>
  <c r="CA60" i="8"/>
  <c r="CA38" i="8"/>
  <c r="CA122" i="8"/>
  <c r="CA101" i="8"/>
  <c r="CA21" i="8"/>
  <c r="CA104" i="8"/>
  <c r="CA78" i="8"/>
  <c r="CA80" i="8"/>
  <c r="CA113" i="8"/>
  <c r="CA119" i="8"/>
  <c r="CA29" i="8"/>
  <c r="CA105" i="8"/>
  <c r="CA56" i="8"/>
  <c r="CA102" i="8"/>
  <c r="CA83" i="8"/>
  <c r="CA44" i="8"/>
  <c r="CA107" i="8"/>
  <c r="CA88" i="8"/>
  <c r="CA18" i="8"/>
  <c r="CA109" i="8"/>
  <c r="CA48" i="8"/>
  <c r="CA46" i="8"/>
  <c r="CA33" i="8"/>
  <c r="CA90" i="8"/>
  <c r="CA36" i="8"/>
  <c r="CA23" i="8"/>
  <c r="CA79" i="8"/>
  <c r="CA19" i="8"/>
  <c r="CA24" i="8"/>
  <c r="CA106" i="8"/>
  <c r="CA98" i="8"/>
  <c r="CA108" i="8"/>
  <c r="CA65" i="8"/>
  <c r="CA50" i="8"/>
  <c r="CA100" i="8"/>
  <c r="CA27" i="8"/>
  <c r="CA62" i="8"/>
  <c r="CA70" i="8"/>
  <c r="CA45" i="8"/>
  <c r="CA116" i="8"/>
  <c r="CA87" i="8"/>
  <c r="CA49" i="8"/>
  <c r="CA55" i="8"/>
  <c r="CA37" i="8"/>
  <c r="CA32" i="8"/>
  <c r="CA92" i="8"/>
  <c r="CA59" i="8"/>
  <c r="CA85" i="8"/>
  <c r="CA99" i="8"/>
  <c r="CA40" i="8"/>
  <c r="CA52" i="8"/>
  <c r="CA111" i="8"/>
  <c r="CA20" i="8"/>
  <c r="CA17" i="8"/>
  <c r="CA115" i="8"/>
  <c r="CA121" i="8"/>
  <c r="CA86" i="8"/>
  <c r="CA89" i="8"/>
  <c r="CA25" i="8"/>
  <c r="CA39" i="8"/>
  <c r="CA66" i="8"/>
  <c r="CA110" i="8"/>
  <c r="CA91" i="8"/>
  <c r="CA61" i="8"/>
  <c r="CA16" i="8"/>
  <c r="CA42" i="8"/>
  <c r="CA96" i="8"/>
  <c r="CA26" i="8"/>
  <c r="CA67" i="8"/>
  <c r="CA93" i="8"/>
  <c r="CA97" i="8"/>
  <c r="CA81" i="8"/>
  <c r="CA43" i="8"/>
  <c r="T71" i="8"/>
  <c r="T14" i="8"/>
  <c r="T65" i="8"/>
  <c r="T42" i="8"/>
  <c r="T114" i="8"/>
  <c r="T68" i="8"/>
  <c r="T98" i="8"/>
  <c r="T67" i="8"/>
  <c r="T56" i="8"/>
  <c r="T85" i="8"/>
  <c r="T26" i="8"/>
  <c r="T25" i="8"/>
  <c r="T41" i="8"/>
  <c r="T119" i="8"/>
  <c r="T76" i="8"/>
  <c r="T48" i="8"/>
  <c r="X48" i="8" s="1"/>
  <c r="T29" i="8"/>
  <c r="T77" i="8"/>
  <c r="T50" i="8"/>
  <c r="T23" i="8"/>
  <c r="T112" i="8"/>
  <c r="T100" i="8"/>
  <c r="X100" i="8" s="1"/>
  <c r="T90" i="8"/>
  <c r="T115" i="8"/>
  <c r="T34" i="8"/>
  <c r="T28" i="8"/>
  <c r="T116" i="8"/>
  <c r="T96" i="8"/>
  <c r="T101" i="8"/>
  <c r="T57" i="8"/>
  <c r="T120" i="8"/>
  <c r="T91" i="8"/>
  <c r="T35" i="8"/>
  <c r="T19" i="8"/>
  <c r="T117" i="8"/>
  <c r="T78" i="8"/>
  <c r="T46" i="8"/>
  <c r="T64" i="8"/>
  <c r="T99" i="8"/>
  <c r="T123" i="8"/>
  <c r="T89" i="8"/>
  <c r="T121" i="8"/>
  <c r="T53" i="8"/>
  <c r="T27" i="8"/>
  <c r="T105" i="8"/>
  <c r="T80" i="8"/>
  <c r="T95" i="8"/>
  <c r="T104" i="8"/>
  <c r="T37" i="8"/>
  <c r="T72" i="8"/>
  <c r="T39" i="8"/>
  <c r="T70" i="8"/>
  <c r="T102" i="8"/>
  <c r="T82" i="8"/>
  <c r="T62" i="8"/>
  <c r="T13" i="8"/>
  <c r="T122" i="8"/>
  <c r="T66" i="8"/>
  <c r="T18" i="8"/>
  <c r="T81" i="8"/>
  <c r="T74" i="8"/>
  <c r="T59" i="8"/>
  <c r="T33" i="8"/>
  <c r="T75" i="8"/>
  <c r="T107" i="8"/>
  <c r="T61" i="8"/>
  <c r="T55" i="8"/>
  <c r="T110" i="8"/>
  <c r="T92" i="8"/>
  <c r="T109" i="8"/>
  <c r="T15" i="8"/>
  <c r="T51" i="8"/>
  <c r="T106" i="8"/>
  <c r="T43" i="8"/>
  <c r="T49" i="8"/>
  <c r="T79" i="8"/>
  <c r="T30" i="8"/>
  <c r="T111" i="8"/>
  <c r="T63" i="8"/>
  <c r="T12" i="8"/>
  <c r="T24" i="8"/>
  <c r="T97" i="8"/>
  <c r="T94" i="8"/>
  <c r="T83" i="8"/>
  <c r="T21" i="8"/>
  <c r="T113" i="8"/>
  <c r="T86" i="8"/>
  <c r="T31" i="8"/>
  <c r="T17" i="8"/>
  <c r="T16" i="8"/>
  <c r="T124" i="8"/>
  <c r="T20" i="8"/>
  <c r="T32" i="8"/>
  <c r="T73" i="8"/>
  <c r="T108" i="8"/>
  <c r="T36" i="8"/>
  <c r="T84" i="8"/>
  <c r="T40" i="8"/>
  <c r="X40" i="8" s="1"/>
  <c r="T38" i="8"/>
  <c r="T22" i="8"/>
  <c r="T52" i="8"/>
  <c r="T88" i="8"/>
  <c r="T47" i="8"/>
  <c r="T93" i="8"/>
  <c r="T45" i="8"/>
  <c r="T54" i="8"/>
  <c r="T60" i="8"/>
  <c r="T87" i="8"/>
  <c r="T118" i="8"/>
  <c r="T58" i="8"/>
  <c r="T103" i="8"/>
  <c r="T69" i="8"/>
  <c r="T44" i="8"/>
  <c r="O123" i="22"/>
  <c r="O121" i="22"/>
  <c r="O116" i="22"/>
  <c r="O118" i="22"/>
  <c r="O114" i="22"/>
  <c r="O119" i="22"/>
  <c r="O113" i="22"/>
  <c r="O122" i="22"/>
  <c r="O115" i="22"/>
  <c r="O117" i="22"/>
  <c r="O112" i="22"/>
  <c r="O120" i="22"/>
  <c r="O111" i="22"/>
  <c r="O124" i="22"/>
  <c r="O110" i="22"/>
  <c r="O109" i="22"/>
  <c r="O108" i="22"/>
  <c r="O61" i="22"/>
  <c r="O47" i="22"/>
  <c r="P117" i="22"/>
  <c r="O97" i="22"/>
  <c r="P114" i="22"/>
  <c r="P59" i="22"/>
  <c r="P113" i="22"/>
  <c r="O52" i="22"/>
  <c r="P112" i="22"/>
  <c r="O84" i="22"/>
  <c r="P66" i="22"/>
  <c r="P79" i="22"/>
  <c r="P98" i="22"/>
  <c r="O57" i="22"/>
  <c r="O28" i="22"/>
  <c r="O104" i="22"/>
  <c r="P16" i="22"/>
  <c r="P61" i="22"/>
  <c r="P115" i="22"/>
  <c r="O76" i="22"/>
  <c r="O69" i="22"/>
  <c r="P120" i="22"/>
  <c r="P14" i="22"/>
  <c r="P91" i="22"/>
  <c r="O43" i="22"/>
  <c r="O32" i="22"/>
  <c r="P110" i="22"/>
  <c r="P12" i="22"/>
  <c r="P43" i="22"/>
  <c r="P39" i="22"/>
  <c r="O37" i="22"/>
  <c r="O23" i="22"/>
  <c r="P69" i="22"/>
  <c r="P56" i="22"/>
  <c r="O82" i="22"/>
  <c r="P41" i="22"/>
  <c r="P60" i="22"/>
  <c r="O86" i="22"/>
  <c r="O54" i="22"/>
  <c r="O27" i="22"/>
  <c r="P88" i="22"/>
  <c r="P75" i="22"/>
  <c r="P33" i="22"/>
  <c r="O75" i="22"/>
  <c r="O58" i="22"/>
  <c r="O53" i="22"/>
  <c r="P23" i="22"/>
  <c r="P116" i="22"/>
  <c r="O102" i="22"/>
  <c r="O59" i="22"/>
  <c r="P65" i="22"/>
  <c r="O45" i="22"/>
  <c r="O38" i="22"/>
  <c r="O80" i="22"/>
  <c r="P93" i="22"/>
  <c r="P87" i="22"/>
  <c r="P86" i="22"/>
  <c r="P29" i="22"/>
  <c r="P118" i="22"/>
  <c r="P122" i="22"/>
  <c r="P45" i="22"/>
  <c r="P119" i="22"/>
  <c r="O48" i="22"/>
  <c r="O81" i="22"/>
  <c r="O35" i="22"/>
  <c r="O71" i="22"/>
  <c r="P57" i="22"/>
  <c r="O91" i="22"/>
  <c r="P36" i="22"/>
  <c r="O78" i="22"/>
  <c r="O41" i="22"/>
  <c r="P90" i="22"/>
  <c r="P67" i="22"/>
  <c r="P37" i="22"/>
  <c r="O87" i="22"/>
  <c r="O85" i="22"/>
  <c r="O64" i="22"/>
  <c r="P102" i="22"/>
  <c r="P73" i="22"/>
  <c r="P17" i="22"/>
  <c r="P54" i="22"/>
  <c r="O92" i="22"/>
  <c r="O36" i="22"/>
  <c r="P105" i="22"/>
  <c r="P121" i="22"/>
  <c r="O33" i="22"/>
  <c r="O25" i="22"/>
  <c r="P108" i="22"/>
  <c r="P70" i="22"/>
  <c r="P84" i="22"/>
  <c r="P35" i="22"/>
  <c r="O34" i="22"/>
  <c r="P50" i="22"/>
  <c r="O56" i="22"/>
  <c r="P76" i="22"/>
  <c r="P111" i="22"/>
  <c r="P53" i="22"/>
  <c r="O98" i="22"/>
  <c r="O106" i="22"/>
  <c r="O50" i="22"/>
  <c r="P106" i="22"/>
  <c r="P99" i="22"/>
  <c r="O90" i="22"/>
  <c r="O96" i="22"/>
  <c r="P77" i="22"/>
  <c r="P21" i="22"/>
  <c r="P62" i="22"/>
  <c r="O73" i="22"/>
  <c r="O88" i="22"/>
  <c r="P47" i="22"/>
  <c r="O40" i="22"/>
  <c r="O29" i="22"/>
  <c r="O60" i="22"/>
  <c r="P101" i="22"/>
  <c r="O65" i="22"/>
  <c r="O99" i="22"/>
  <c r="P31" i="22"/>
  <c r="O95" i="22"/>
  <c r="P13" i="22"/>
  <c r="P80" i="22"/>
  <c r="O107" i="22"/>
  <c r="P25" i="22"/>
  <c r="P46" i="22"/>
  <c r="P104" i="22"/>
  <c r="O63" i="22"/>
  <c r="P94" i="22"/>
  <c r="P109" i="22"/>
  <c r="O74" i="22"/>
  <c r="O68" i="22"/>
  <c r="O39" i="22"/>
  <c r="P20" i="22"/>
  <c r="O79" i="22"/>
  <c r="P52" i="22"/>
  <c r="O26" i="22"/>
  <c r="O89" i="22"/>
  <c r="P83" i="22"/>
  <c r="O18" i="22"/>
  <c r="O24" i="22"/>
  <c r="O14" i="22"/>
  <c r="O105" i="22"/>
  <c r="P63" i="22"/>
  <c r="P38" i="22"/>
  <c r="P89" i="22"/>
  <c r="O22" i="22"/>
  <c r="P100" i="22"/>
  <c r="P18" i="22"/>
  <c r="O62" i="22"/>
  <c r="P64" i="22"/>
  <c r="O72" i="22"/>
  <c r="P97" i="22"/>
  <c r="O51" i="22"/>
  <c r="O30" i="22"/>
  <c r="O70" i="22"/>
  <c r="P74" i="22"/>
  <c r="P55" i="22"/>
  <c r="P58" i="22"/>
  <c r="O94" i="22"/>
  <c r="O13" i="22"/>
  <c r="O77" i="22"/>
  <c r="P124" i="22"/>
  <c r="O15" i="22"/>
  <c r="O100" i="22"/>
  <c r="P19" i="22"/>
  <c r="P28" i="22"/>
  <c r="P22" i="22"/>
  <c r="P40" i="22"/>
  <c r="P95" i="22"/>
  <c r="P81" i="22"/>
  <c r="P51" i="22"/>
  <c r="P103" i="22"/>
  <c r="P34" i="22"/>
  <c r="P44" i="22"/>
  <c r="O44" i="22"/>
  <c r="O93" i="22"/>
  <c r="P96" i="22"/>
  <c r="O83" i="22"/>
  <c r="O46" i="22"/>
  <c r="O19" i="22"/>
  <c r="O55" i="22"/>
  <c r="O101" i="22"/>
  <c r="P107" i="22"/>
  <c r="O21" i="22"/>
  <c r="P49" i="22"/>
  <c r="P123" i="22"/>
  <c r="P71" i="22"/>
  <c r="P30" i="22"/>
  <c r="P24" i="22"/>
  <c r="P92" i="22"/>
  <c r="P32" i="22"/>
  <c r="P68" i="22"/>
  <c r="O16" i="22"/>
  <c r="O49" i="22"/>
  <c r="O17" i="22"/>
  <c r="P72" i="22"/>
  <c r="O42" i="22"/>
  <c r="P15" i="22"/>
  <c r="P82" i="22"/>
  <c r="P85" i="22"/>
  <c r="O67" i="22"/>
  <c r="P78" i="22"/>
  <c r="O31" i="22"/>
  <c r="O66" i="22"/>
  <c r="P42" i="22"/>
  <c r="O103" i="22"/>
  <c r="P48" i="22"/>
  <c r="O20" i="22"/>
  <c r="P27" i="22"/>
  <c r="P26" i="22"/>
  <c r="O12" i="22"/>
  <c r="AD7" i="6"/>
  <c r="Z74" i="6"/>
  <c r="W74" i="6"/>
  <c r="AD18" i="6"/>
  <c r="AD24" i="6"/>
  <c r="W104" i="6"/>
  <c r="Z104" i="6"/>
  <c r="AD21" i="6"/>
  <c r="AD41" i="6"/>
  <c r="Z81" i="6"/>
  <c r="W81" i="6"/>
  <c r="Z16" i="6"/>
  <c r="W16" i="6"/>
  <c r="AD100" i="6"/>
  <c r="AD90" i="6"/>
  <c r="W35" i="6"/>
  <c r="Z35" i="6"/>
  <c r="AD86" i="6"/>
  <c r="AD8" i="6"/>
  <c r="AD80" i="6"/>
  <c r="Z80" i="6"/>
  <c r="W80" i="6"/>
  <c r="W87" i="6"/>
  <c r="Z87" i="6"/>
  <c r="AD79" i="6"/>
  <c r="W72" i="6"/>
  <c r="Z72" i="6"/>
  <c r="Z103" i="6"/>
  <c r="W103" i="6"/>
  <c r="W52" i="6"/>
  <c r="Z52" i="6"/>
  <c r="Z9" i="6"/>
  <c r="W9" i="6"/>
  <c r="W116" i="6"/>
  <c r="Z116" i="6"/>
  <c r="W112" i="6"/>
  <c r="Z112" i="6"/>
  <c r="W38" i="6"/>
  <c r="Z38" i="6"/>
  <c r="Z77" i="6"/>
  <c r="W77" i="6"/>
  <c r="Z98" i="6"/>
  <c r="W98" i="6"/>
  <c r="AD94" i="6"/>
  <c r="C35" i="21"/>
  <c r="U119" i="22"/>
  <c r="U111" i="22"/>
  <c r="U94" i="22"/>
  <c r="U28" i="22"/>
  <c r="U96" i="22"/>
  <c r="U62" i="22"/>
  <c r="U21" i="22"/>
  <c r="U88" i="22"/>
  <c r="U54" i="22"/>
  <c r="U43" i="22"/>
  <c r="U102" i="22"/>
  <c r="U26" i="22"/>
  <c r="U31" i="22"/>
  <c r="U46" i="22"/>
  <c r="U30" i="22"/>
  <c r="U17" i="22"/>
  <c r="U29" i="22"/>
  <c r="U15" i="22"/>
  <c r="U45" i="22"/>
  <c r="U13" i="22"/>
  <c r="U53" i="22"/>
  <c r="U109" i="22"/>
  <c r="U98" i="22"/>
  <c r="U36" i="22"/>
  <c r="U23" i="22"/>
  <c r="U51" i="22"/>
  <c r="U12" i="22"/>
  <c r="U56" i="22"/>
  <c r="U60" i="22"/>
  <c r="U71" i="22"/>
  <c r="U74" i="22"/>
  <c r="U113" i="22"/>
  <c r="U122" i="22"/>
  <c r="U32" i="22"/>
  <c r="U83" i="22"/>
  <c r="U114" i="22"/>
  <c r="U80" i="22"/>
  <c r="U57" i="22"/>
  <c r="U44" i="22"/>
  <c r="U47" i="22"/>
  <c r="U48" i="22"/>
  <c r="U72" i="22"/>
  <c r="U50" i="22"/>
  <c r="U112" i="22"/>
  <c r="U55" i="22"/>
  <c r="U27" i="22"/>
  <c r="U64" i="22"/>
  <c r="U116" i="22"/>
  <c r="U49" i="22"/>
  <c r="U105" i="22"/>
  <c r="U82" i="22"/>
  <c r="U104" i="22"/>
  <c r="U70" i="22"/>
  <c r="U14" i="22"/>
  <c r="U120" i="22"/>
  <c r="U97" i="22"/>
  <c r="U77" i="22"/>
  <c r="U59" i="22"/>
  <c r="U58" i="22"/>
  <c r="U90" i="22"/>
  <c r="U39" i="22"/>
  <c r="U124" i="22"/>
  <c r="U110" i="22"/>
  <c r="U117" i="22"/>
  <c r="U52" i="22"/>
  <c r="U91" i="22"/>
  <c r="U25" i="22"/>
  <c r="U85" i="22"/>
  <c r="U66" i="22"/>
  <c r="U16" i="22"/>
  <c r="U106" i="22"/>
  <c r="U65" i="22"/>
  <c r="U99" i="22"/>
  <c r="U68" i="22"/>
  <c r="U93" i="22"/>
  <c r="U24" i="22"/>
  <c r="U95" i="22"/>
  <c r="U73" i="22"/>
  <c r="U107" i="22"/>
  <c r="U18" i="22"/>
  <c r="U19" i="22"/>
  <c r="U41" i="22"/>
  <c r="U123" i="22"/>
  <c r="U87" i="22"/>
  <c r="U63" i="22"/>
  <c r="U115" i="22"/>
  <c r="U35" i="22"/>
  <c r="U92" i="22"/>
  <c r="U75" i="22"/>
  <c r="U40" i="22"/>
  <c r="U89" i="22"/>
  <c r="U78" i="22"/>
  <c r="U42" i="22"/>
  <c r="U38" i="22"/>
  <c r="U118" i="22"/>
  <c r="U37" i="22"/>
  <c r="U101" i="22"/>
  <c r="U84" i="22"/>
  <c r="U86" i="22"/>
  <c r="U100" i="22"/>
  <c r="U20" i="22"/>
  <c r="U121" i="22"/>
  <c r="U61" i="22"/>
  <c r="U69" i="22"/>
  <c r="U22" i="22"/>
  <c r="U33" i="22"/>
  <c r="U34" i="22"/>
  <c r="U103" i="22"/>
  <c r="U108" i="22"/>
  <c r="U67" i="22"/>
  <c r="U76" i="22"/>
  <c r="U79" i="22"/>
  <c r="U81" i="22"/>
  <c r="BC35" i="8"/>
  <c r="BC23" i="8"/>
  <c r="BC24" i="8"/>
  <c r="BC88" i="8"/>
  <c r="BC67" i="8"/>
  <c r="BC84" i="8"/>
  <c r="BC58" i="8"/>
  <c r="BC59" i="8"/>
  <c r="BC72" i="8"/>
  <c r="BC89" i="8"/>
  <c r="BC101" i="8"/>
  <c r="BC90" i="8"/>
  <c r="BC76" i="8"/>
  <c r="BC108" i="8"/>
  <c r="BC99" i="8"/>
  <c r="BC46" i="8"/>
  <c r="BC41" i="8"/>
  <c r="BC68" i="8"/>
  <c r="BC104" i="8"/>
  <c r="BC44" i="8"/>
  <c r="BC121" i="8"/>
  <c r="BC39" i="8"/>
  <c r="BC98" i="8"/>
  <c r="BC79" i="8"/>
  <c r="BC123" i="8"/>
  <c r="BC82" i="8"/>
  <c r="BC28" i="8"/>
  <c r="BC111" i="8"/>
  <c r="BC83" i="8"/>
  <c r="BC77" i="8"/>
  <c r="BC71" i="8"/>
  <c r="BC15" i="8"/>
  <c r="BC94" i="8"/>
  <c r="BC91" i="8"/>
  <c r="BC40" i="8"/>
  <c r="BC57" i="8"/>
  <c r="BC118" i="8"/>
  <c r="BC34" i="8"/>
  <c r="BC49" i="8"/>
  <c r="BC73" i="8"/>
  <c r="BC33" i="8"/>
  <c r="BC110" i="8"/>
  <c r="BC32" i="8"/>
  <c r="BC102" i="8"/>
  <c r="BC74" i="8"/>
  <c r="BC66" i="8"/>
  <c r="BC52" i="8"/>
  <c r="BC117" i="8"/>
  <c r="BC27" i="8"/>
  <c r="BC13" i="8"/>
  <c r="BC109" i="8"/>
  <c r="BC54" i="8"/>
  <c r="BC78" i="8"/>
  <c r="BC112" i="8"/>
  <c r="BC53" i="8"/>
  <c r="BC97" i="8"/>
  <c r="BC63" i="8"/>
  <c r="BC12" i="8"/>
  <c r="BC48" i="8"/>
  <c r="BC86" i="8"/>
  <c r="BC106" i="8"/>
  <c r="BC18" i="8"/>
  <c r="BC20" i="8"/>
  <c r="BC43" i="8"/>
  <c r="BC22" i="8"/>
  <c r="BC100" i="8"/>
  <c r="BC92" i="8"/>
  <c r="BC51" i="8"/>
  <c r="BC120" i="8"/>
  <c r="BC62" i="8"/>
  <c r="BC87" i="8"/>
  <c r="BC60" i="8"/>
  <c r="BC85" i="8"/>
  <c r="BC21" i="8"/>
  <c r="BC55" i="8"/>
  <c r="BC31" i="8"/>
  <c r="BC26" i="8"/>
  <c r="BC17" i="8"/>
  <c r="BC42" i="8"/>
  <c r="BC96" i="8"/>
  <c r="BC107" i="8"/>
  <c r="BC115" i="8"/>
  <c r="BC81" i="8"/>
  <c r="BC124" i="8"/>
  <c r="BC116" i="8"/>
  <c r="BC19" i="8"/>
  <c r="BC61" i="8"/>
  <c r="BC30" i="8"/>
  <c r="BC38" i="8"/>
  <c r="BC95" i="8"/>
  <c r="BC122" i="8"/>
  <c r="BC56" i="8"/>
  <c r="BC47" i="8"/>
  <c r="BC14" i="8"/>
  <c r="BC119" i="8"/>
  <c r="BC114" i="8"/>
  <c r="BC29" i="8"/>
  <c r="BC105" i="8"/>
  <c r="BC45" i="8"/>
  <c r="BC65" i="8"/>
  <c r="BC64" i="8"/>
  <c r="BC25" i="8"/>
  <c r="BC37" i="8"/>
  <c r="BC50" i="8"/>
  <c r="BC16" i="8"/>
  <c r="BC36" i="8"/>
  <c r="BC69" i="8"/>
  <c r="BC113" i="8"/>
  <c r="BC103" i="8"/>
  <c r="BC80" i="8"/>
  <c r="BC93" i="8"/>
  <c r="BC70" i="8"/>
  <c r="BC75" i="8"/>
  <c r="AL12" i="22"/>
  <c r="CI12" i="22" s="1"/>
  <c r="AL43" i="22"/>
  <c r="AL46" i="22"/>
  <c r="AL26" i="22"/>
  <c r="AL14" i="22"/>
  <c r="AL77" i="22"/>
  <c r="AL13" i="22"/>
  <c r="AL16" i="22"/>
  <c r="AL19" i="22"/>
  <c r="AL37" i="22"/>
  <c r="AL99" i="22"/>
  <c r="AL48" i="22"/>
  <c r="AL35" i="22"/>
  <c r="AL119" i="22"/>
  <c r="AL70" i="22"/>
  <c r="AL90" i="22"/>
  <c r="AL58" i="22"/>
  <c r="AL44" i="22"/>
  <c r="AL15" i="22"/>
  <c r="AL54" i="22"/>
  <c r="AL27" i="22"/>
  <c r="AL40" i="22"/>
  <c r="AL60" i="22"/>
  <c r="AL115" i="22"/>
  <c r="CI115" i="22" s="1"/>
  <c r="AL103" i="22"/>
  <c r="AL87" i="22"/>
  <c r="AL68" i="22"/>
  <c r="AL66" i="22"/>
  <c r="AL94" i="22"/>
  <c r="AL69" i="22"/>
  <c r="AL76" i="22"/>
  <c r="AL100" i="22"/>
  <c r="AL59" i="22"/>
  <c r="AL21" i="22"/>
  <c r="AL105" i="22"/>
  <c r="AL82" i="22"/>
  <c r="AL101" i="22"/>
  <c r="AL36" i="22"/>
  <c r="AL97" i="22"/>
  <c r="AL49" i="22"/>
  <c r="AL116" i="22"/>
  <c r="AL25" i="22"/>
  <c r="AL85" i="22"/>
  <c r="AL65" i="22"/>
  <c r="AL39" i="22"/>
  <c r="AL51" i="22"/>
  <c r="AL113" i="22"/>
  <c r="AL32" i="22"/>
  <c r="AL122" i="22"/>
  <c r="AL121" i="22"/>
  <c r="CI121" i="22" s="1"/>
  <c r="AL63" i="22"/>
  <c r="AL114" i="22"/>
  <c r="AL107" i="22"/>
  <c r="AL53" i="22"/>
  <c r="AL42" i="22"/>
  <c r="AL18" i="22"/>
  <c r="AL118" i="22"/>
  <c r="AL34" i="22"/>
  <c r="AL62" i="22"/>
  <c r="AL61" i="22"/>
  <c r="AL41" i="22"/>
  <c r="AL95" i="22"/>
  <c r="AL47" i="22"/>
  <c r="AL50" i="22"/>
  <c r="AL102" i="22"/>
  <c r="AL81" i="22"/>
  <c r="AL22" i="22"/>
  <c r="AL71" i="22"/>
  <c r="AL91" i="22"/>
  <c r="AL74" i="22"/>
  <c r="AL110" i="22"/>
  <c r="AL23" i="22"/>
  <c r="AL108" i="22"/>
  <c r="AL45" i="22"/>
  <c r="AL83" i="22"/>
  <c r="AL78" i="22"/>
  <c r="AL86" i="22"/>
  <c r="AL109" i="22"/>
  <c r="AL52" i="22"/>
  <c r="AL120" i="22"/>
  <c r="CI120" i="22" s="1"/>
  <c r="AL93" i="22"/>
  <c r="AL88" i="22"/>
  <c r="AL80" i="22"/>
  <c r="AL29" i="22"/>
  <c r="AL89" i="22"/>
  <c r="AL96" i="22"/>
  <c r="AL56" i="22"/>
  <c r="AL106" i="22"/>
  <c r="AL17" i="22"/>
  <c r="AL67" i="22"/>
  <c r="AL111" i="22"/>
  <c r="AL104" i="22"/>
  <c r="AL124" i="22"/>
  <c r="AL33" i="22"/>
  <c r="AL24" i="22"/>
  <c r="AL30" i="22"/>
  <c r="AL38" i="22"/>
  <c r="AL117" i="22"/>
  <c r="AL84" i="22"/>
  <c r="AL20" i="22"/>
  <c r="AL73" i="22"/>
  <c r="AL31" i="22"/>
  <c r="AL98" i="22"/>
  <c r="AL75" i="22"/>
  <c r="AL55" i="22"/>
  <c r="AL28" i="22"/>
  <c r="AL64" i="22"/>
  <c r="AL112" i="22"/>
  <c r="AL92" i="22"/>
  <c r="AL79" i="22"/>
  <c r="AL57" i="22"/>
  <c r="AL72" i="22"/>
  <c r="AL123" i="22"/>
  <c r="AU12" i="19"/>
  <c r="AU27" i="19"/>
  <c r="AU38" i="19"/>
  <c r="AU101" i="19"/>
  <c r="AU79" i="19"/>
  <c r="AU75" i="19"/>
  <c r="AU110" i="19"/>
  <c r="AU25" i="19"/>
  <c r="AU104" i="19"/>
  <c r="AU15" i="19"/>
  <c r="AU99" i="19"/>
  <c r="AU105" i="19"/>
  <c r="AU111" i="19"/>
  <c r="AU59" i="19"/>
  <c r="AU63" i="19"/>
  <c r="AU18" i="19"/>
  <c r="AU66" i="19"/>
  <c r="AU71" i="19"/>
  <c r="AU51" i="19"/>
  <c r="AU13" i="19"/>
  <c r="AU57" i="19"/>
  <c r="AU31" i="19"/>
  <c r="AU121" i="19"/>
  <c r="AU43" i="19"/>
  <c r="AU35" i="19"/>
  <c r="AU52" i="19"/>
  <c r="AU85" i="19"/>
  <c r="AU50" i="19"/>
  <c r="AU33" i="19"/>
  <c r="AU95" i="19"/>
  <c r="AU68" i="19"/>
  <c r="AU93" i="19"/>
  <c r="AU48" i="19"/>
  <c r="AU108" i="19"/>
  <c r="AU96" i="19"/>
  <c r="AU55" i="19"/>
  <c r="AU88" i="19"/>
  <c r="AU118" i="19"/>
  <c r="AU81" i="19"/>
  <c r="AU106" i="19"/>
  <c r="AU30" i="19"/>
  <c r="AU42" i="19"/>
  <c r="AU114" i="19"/>
  <c r="AU123" i="19"/>
  <c r="AU64" i="19"/>
  <c r="AU122" i="19"/>
  <c r="AU60" i="19"/>
  <c r="AU78" i="19"/>
  <c r="AU83" i="19"/>
  <c r="AU82" i="19"/>
  <c r="AU70" i="19"/>
  <c r="AU97" i="19"/>
  <c r="AU73" i="19"/>
  <c r="AU87" i="19"/>
  <c r="AU37" i="19"/>
  <c r="AU91" i="19"/>
  <c r="AU29" i="19"/>
  <c r="AU45" i="19"/>
  <c r="AU102" i="19"/>
  <c r="AU77" i="19"/>
  <c r="AU34" i="19"/>
  <c r="AU49" i="19"/>
  <c r="AU92" i="19"/>
  <c r="AU116" i="19"/>
  <c r="AU84" i="19"/>
  <c r="AU21" i="19"/>
  <c r="AU117" i="19"/>
  <c r="AU40" i="19"/>
  <c r="AU72" i="19"/>
  <c r="AU14" i="19"/>
  <c r="AU24" i="19"/>
  <c r="AU124" i="19"/>
  <c r="AU100" i="19"/>
  <c r="AU47" i="19"/>
  <c r="AU61" i="19"/>
  <c r="AU32" i="19"/>
  <c r="AU90" i="19"/>
  <c r="AU65" i="19"/>
  <c r="AU58" i="19"/>
  <c r="AU94" i="19"/>
  <c r="AU119" i="19"/>
  <c r="AU69" i="19"/>
  <c r="AU16" i="19"/>
  <c r="AU54" i="19"/>
  <c r="AU53" i="19"/>
  <c r="AU74" i="19"/>
  <c r="AU56" i="19"/>
  <c r="AU76" i="19"/>
  <c r="AU86" i="19"/>
  <c r="AU113" i="19"/>
  <c r="AU107" i="19"/>
  <c r="AU28" i="19"/>
  <c r="AU36" i="19"/>
  <c r="AU103" i="19"/>
  <c r="AU20" i="19"/>
  <c r="AU89" i="19"/>
  <c r="AU67" i="19"/>
  <c r="AU115" i="19"/>
  <c r="AU109" i="19"/>
  <c r="AU39" i="19"/>
  <c r="AU26" i="19"/>
  <c r="AU46" i="19"/>
  <c r="AU98" i="19"/>
  <c r="AU62" i="19"/>
  <c r="AU44" i="19"/>
  <c r="AU80" i="19"/>
  <c r="AU17" i="19"/>
  <c r="AU120" i="19"/>
  <c r="AU22" i="19"/>
  <c r="AU112" i="19"/>
  <c r="AU41" i="19"/>
  <c r="AU19" i="19"/>
  <c r="AU23" i="19"/>
  <c r="BW12" i="22"/>
  <c r="BW124" i="22"/>
  <c r="BW66" i="22"/>
  <c r="BW119" i="22"/>
  <c r="BW45" i="22"/>
  <c r="BW122" i="22"/>
  <c r="BW47" i="22"/>
  <c r="BW82" i="22"/>
  <c r="BW115" i="22"/>
  <c r="BW114" i="22"/>
  <c r="BW81" i="22"/>
  <c r="BW60" i="22"/>
  <c r="BW53" i="22"/>
  <c r="BW44" i="22"/>
  <c r="BW29" i="22"/>
  <c r="BW93" i="22"/>
  <c r="BW16" i="22"/>
  <c r="BW35" i="22"/>
  <c r="BW43" i="22"/>
  <c r="BW26" i="22"/>
  <c r="BW79" i="22"/>
  <c r="BW72" i="22"/>
  <c r="BW98" i="22"/>
  <c r="BW19" i="22"/>
  <c r="BW113" i="22"/>
  <c r="BW123" i="22"/>
  <c r="BW75" i="22"/>
  <c r="BW15" i="22"/>
  <c r="BW18" i="22"/>
  <c r="BW121" i="22"/>
  <c r="BW59" i="22"/>
  <c r="BW38" i="22"/>
  <c r="BW89" i="22"/>
  <c r="BW25" i="22"/>
  <c r="BW117" i="22"/>
  <c r="BW90" i="22"/>
  <c r="BW68" i="22"/>
  <c r="BW30" i="22"/>
  <c r="BW51" i="22"/>
  <c r="BW69" i="22"/>
  <c r="BW63" i="22"/>
  <c r="BW56" i="22"/>
  <c r="BW109" i="22"/>
  <c r="BW78" i="22"/>
  <c r="BW57" i="22"/>
  <c r="BW102" i="22"/>
  <c r="BW99" i="22"/>
  <c r="BW20" i="22"/>
  <c r="BW105" i="22"/>
  <c r="BW13" i="22"/>
  <c r="BW40" i="22"/>
  <c r="BW37" i="22"/>
  <c r="BW41" i="22"/>
  <c r="BW67" i="22"/>
  <c r="BW36" i="22"/>
  <c r="BW32" i="22"/>
  <c r="BW70" i="22"/>
  <c r="BW55" i="22"/>
  <c r="BW22" i="22"/>
  <c r="BW101" i="22"/>
  <c r="BW31" i="22"/>
  <c r="BW71" i="22"/>
  <c r="BW76" i="22"/>
  <c r="BW64" i="22"/>
  <c r="BW27" i="22"/>
  <c r="BW28" i="22"/>
  <c r="BW108" i="22"/>
  <c r="BW91" i="22"/>
  <c r="BW116" i="22"/>
  <c r="BW107" i="22"/>
  <c r="BW33" i="22"/>
  <c r="BW88" i="22"/>
  <c r="BW97" i="22"/>
  <c r="BW61" i="22"/>
  <c r="BW118" i="22"/>
  <c r="BW58" i="22"/>
  <c r="BW104" i="22"/>
  <c r="BW92" i="22"/>
  <c r="BW111" i="22"/>
  <c r="BW62" i="22"/>
  <c r="BW84" i="22"/>
  <c r="BW54" i="22"/>
  <c r="BW42" i="22"/>
  <c r="BW49" i="22"/>
  <c r="BW24" i="22"/>
  <c r="BW83" i="22"/>
  <c r="BW120" i="22"/>
  <c r="BW50" i="22"/>
  <c r="BW112" i="22"/>
  <c r="BW14" i="22"/>
  <c r="BW39" i="22"/>
  <c r="BW73" i="22"/>
  <c r="BW100" i="22"/>
  <c r="BW80" i="22"/>
  <c r="BW96" i="22"/>
  <c r="BW110" i="22"/>
  <c r="BW52" i="22"/>
  <c r="BW103" i="22"/>
  <c r="BW34" i="22"/>
  <c r="BW95" i="22"/>
  <c r="BW85" i="22"/>
  <c r="BW86" i="22"/>
  <c r="BW65" i="22"/>
  <c r="BW17" i="22"/>
  <c r="BW106" i="22"/>
  <c r="BW87" i="22"/>
  <c r="BW77" i="22"/>
  <c r="BW46" i="22"/>
  <c r="BW94" i="22"/>
  <c r="BW21" i="22"/>
  <c r="BW48" i="22"/>
  <c r="BW23" i="22"/>
  <c r="BW74" i="22"/>
  <c r="CE69" i="8"/>
  <c r="CE52" i="8"/>
  <c r="CE50" i="8"/>
  <c r="CE107" i="8"/>
  <c r="CE51" i="8"/>
  <c r="CE91" i="8"/>
  <c r="CE58" i="8"/>
  <c r="CE92" i="8"/>
  <c r="CE47" i="8"/>
  <c r="CE38" i="8"/>
  <c r="CE40" i="8"/>
  <c r="CE21" i="8"/>
  <c r="CE74" i="8"/>
  <c r="CE57" i="8"/>
  <c r="CE71" i="8"/>
  <c r="CE66" i="8"/>
  <c r="CE73" i="8"/>
  <c r="CE24" i="8"/>
  <c r="CE23" i="8"/>
  <c r="CE75" i="8"/>
  <c r="CE100" i="8"/>
  <c r="CE84" i="8"/>
  <c r="CE25" i="8"/>
  <c r="CE123" i="8"/>
  <c r="CE32" i="8"/>
  <c r="CE22" i="8"/>
  <c r="CE72" i="8"/>
  <c r="CE96" i="8"/>
  <c r="CE42" i="8"/>
  <c r="CE14" i="8"/>
  <c r="CE83" i="8"/>
  <c r="CE85" i="8"/>
  <c r="CE88" i="8"/>
  <c r="CE60" i="8"/>
  <c r="CE118" i="8"/>
  <c r="CE39" i="8"/>
  <c r="CE65" i="8"/>
  <c r="CE117" i="8"/>
  <c r="CE90" i="8"/>
  <c r="CE113" i="8"/>
  <c r="CE82" i="8"/>
  <c r="CE43" i="8"/>
  <c r="CE48" i="8"/>
  <c r="CE12" i="8"/>
  <c r="CE122" i="8"/>
  <c r="CE98" i="8"/>
  <c r="CE103" i="8"/>
  <c r="CE114" i="8"/>
  <c r="CE26" i="8"/>
  <c r="CE17" i="8"/>
  <c r="CE33" i="8"/>
  <c r="CE119" i="8"/>
  <c r="CE44" i="8"/>
  <c r="CE45" i="8"/>
  <c r="CE29" i="8"/>
  <c r="CE120" i="8"/>
  <c r="CE111" i="8"/>
  <c r="CE76" i="8"/>
  <c r="CE112" i="8"/>
  <c r="CE61" i="8"/>
  <c r="CE55" i="8"/>
  <c r="CE110" i="8"/>
  <c r="CE62" i="8"/>
  <c r="CE121" i="8"/>
  <c r="CE81" i="8"/>
  <c r="CE18" i="8"/>
  <c r="CE15" i="8"/>
  <c r="CE94" i="8"/>
  <c r="CE46" i="8"/>
  <c r="CE78" i="8"/>
  <c r="CE30" i="8"/>
  <c r="CE59" i="8"/>
  <c r="CE101" i="8"/>
  <c r="CE20" i="8"/>
  <c r="CE97" i="8"/>
  <c r="CE19" i="8"/>
  <c r="CE63" i="8"/>
  <c r="CE115" i="8"/>
  <c r="CE34" i="8"/>
  <c r="CE13" i="8"/>
  <c r="CE80" i="8"/>
  <c r="CE106" i="8"/>
  <c r="CE102" i="8"/>
  <c r="CE41" i="8"/>
  <c r="CE27" i="8"/>
  <c r="CE31" i="8"/>
  <c r="CE36" i="8"/>
  <c r="CE56" i="8"/>
  <c r="CE87" i="8"/>
  <c r="CE109" i="8"/>
  <c r="CE86" i="8"/>
  <c r="CE79" i="8"/>
  <c r="CE16" i="8"/>
  <c r="CE99" i="8"/>
  <c r="CE35" i="8"/>
  <c r="CE93" i="8"/>
  <c r="CE89" i="8"/>
  <c r="CE68" i="8"/>
  <c r="CE77" i="8"/>
  <c r="CE104" i="8"/>
  <c r="CE95" i="8"/>
  <c r="CE28" i="8"/>
  <c r="CE70" i="8"/>
  <c r="CE37" i="8"/>
  <c r="CE53" i="8"/>
  <c r="CE64" i="8"/>
  <c r="CE124" i="8"/>
  <c r="CE105" i="8"/>
  <c r="CE108" i="8"/>
  <c r="CE67" i="8"/>
  <c r="CE116" i="8"/>
  <c r="CE49" i="8"/>
  <c r="CE54" i="8"/>
  <c r="CA13" i="22"/>
  <c r="CA111" i="22"/>
  <c r="CA33" i="22"/>
  <c r="CA116" i="22"/>
  <c r="CA46" i="22"/>
  <c r="CA50" i="22"/>
  <c r="CA40" i="22"/>
  <c r="CA69" i="22"/>
  <c r="CA53" i="22"/>
  <c r="CA57" i="22"/>
  <c r="CA77" i="22"/>
  <c r="CA19" i="22"/>
  <c r="CA44" i="22"/>
  <c r="CA58" i="22"/>
  <c r="CA120" i="22"/>
  <c r="CA83" i="22"/>
  <c r="CA68" i="22"/>
  <c r="CA18" i="22"/>
  <c r="CA25" i="22"/>
  <c r="CA43" i="22"/>
  <c r="CA30" i="22"/>
  <c r="CA21" i="22"/>
  <c r="CA16" i="22"/>
  <c r="CA55" i="22"/>
  <c r="CA108" i="22"/>
  <c r="CA76" i="22"/>
  <c r="CA100" i="22"/>
  <c r="CA42" i="22"/>
  <c r="CA96" i="22"/>
  <c r="CA49" i="22"/>
  <c r="CA73" i="22"/>
  <c r="CA91" i="22"/>
  <c r="CA88" i="22"/>
  <c r="CA121" i="22"/>
  <c r="CA39" i="22"/>
  <c r="CA115" i="22"/>
  <c r="CA112" i="22"/>
  <c r="CA71" i="22"/>
  <c r="CA89" i="22"/>
  <c r="CA47" i="22"/>
  <c r="CA124" i="22"/>
  <c r="CA117" i="22"/>
  <c r="CA86" i="22"/>
  <c r="CA97" i="22"/>
  <c r="CA113" i="22"/>
  <c r="CA104" i="22"/>
  <c r="CA98" i="22"/>
  <c r="CA75" i="22"/>
  <c r="CA118" i="22"/>
  <c r="CA41" i="22"/>
  <c r="CA17" i="22"/>
  <c r="CA79" i="22"/>
  <c r="CA106" i="22"/>
  <c r="CA38" i="22"/>
  <c r="CA67" i="22"/>
  <c r="CA36" i="22"/>
  <c r="CA35" i="22"/>
  <c r="CA27" i="22"/>
  <c r="CA123" i="22"/>
  <c r="CA28" i="22"/>
  <c r="CA12" i="22"/>
  <c r="CA99" i="22"/>
  <c r="CA74" i="22"/>
  <c r="CA70" i="22"/>
  <c r="CA81" i="22"/>
  <c r="CA31" i="22"/>
  <c r="CA66" i="22"/>
  <c r="CA54" i="22"/>
  <c r="CA60" i="22"/>
  <c r="CA85" i="22"/>
  <c r="CA23" i="22"/>
  <c r="CA72" i="22"/>
  <c r="CA101" i="22"/>
  <c r="CA45" i="22"/>
  <c r="CA29" i="22"/>
  <c r="CA37" i="22"/>
  <c r="CA59" i="22"/>
  <c r="CA52" i="22"/>
  <c r="CA64" i="22"/>
  <c r="CA22" i="22"/>
  <c r="CA94" i="22"/>
  <c r="CA87" i="22"/>
  <c r="CA62" i="22"/>
  <c r="CA103" i="22"/>
  <c r="CA109" i="22"/>
  <c r="CA61" i="22"/>
  <c r="CA82" i="22"/>
  <c r="CA26" i="22"/>
  <c r="CA105" i="22"/>
  <c r="CA24" i="22"/>
  <c r="CA63" i="22"/>
  <c r="CA56" i="22"/>
  <c r="CA48" i="22"/>
  <c r="CA119" i="22"/>
  <c r="CA32" i="22"/>
  <c r="CA15" i="22"/>
  <c r="CA65" i="22"/>
  <c r="CA34" i="22"/>
  <c r="CA20" i="22"/>
  <c r="CA78" i="22"/>
  <c r="CA122" i="22"/>
  <c r="CA110" i="22"/>
  <c r="CA80" i="22"/>
  <c r="CA84" i="22"/>
  <c r="CA14" i="22"/>
  <c r="CA93" i="22"/>
  <c r="CA51" i="22"/>
  <c r="CA107" i="22"/>
  <c r="CA90" i="22"/>
  <c r="CA102" i="22"/>
  <c r="CA95" i="22"/>
  <c r="CA114" i="22"/>
  <c r="CA92" i="22"/>
  <c r="AD95" i="6"/>
  <c r="Z49" i="6"/>
  <c r="W49" i="6"/>
  <c r="AD34" i="6"/>
  <c r="Z65" i="6"/>
  <c r="W65" i="6"/>
  <c r="AD30" i="6"/>
  <c r="AD78" i="6"/>
  <c r="Z12" i="6"/>
  <c r="W12" i="6"/>
  <c r="Z50" i="6"/>
  <c r="W50" i="6"/>
  <c r="Z96" i="6"/>
  <c r="W96" i="6"/>
  <c r="Z106" i="6"/>
  <c r="W106" i="6"/>
  <c r="AD69" i="6"/>
  <c r="AD19" i="6"/>
  <c r="AD93" i="6"/>
  <c r="Z91" i="6"/>
  <c r="W91" i="6"/>
  <c r="AD31" i="6"/>
  <c r="Z60" i="6"/>
  <c r="W60" i="6"/>
  <c r="W20" i="6"/>
  <c r="Z20" i="6"/>
  <c r="Z61" i="6"/>
  <c r="W61" i="6"/>
  <c r="Z44" i="6"/>
  <c r="W44" i="6"/>
  <c r="AD108" i="6"/>
  <c r="Z97" i="6"/>
  <c r="W97" i="6"/>
  <c r="Z37" i="6"/>
  <c r="W37" i="6"/>
  <c r="AD65" i="6"/>
  <c r="AD92" i="6"/>
  <c r="AD81" i="6"/>
  <c r="AD47" i="6"/>
  <c r="AD96" i="6"/>
  <c r="W17" i="6"/>
  <c r="Z17" i="6"/>
  <c r="AD71" i="6"/>
  <c r="CQ124" i="19"/>
  <c r="CQ117" i="21"/>
  <c r="CQ122" i="21"/>
  <c r="CQ117" i="19"/>
  <c r="CQ121" i="21"/>
  <c r="CQ115" i="21"/>
  <c r="CQ118" i="19"/>
  <c r="CQ116" i="21"/>
  <c r="CQ120" i="21"/>
  <c r="CQ113" i="21"/>
  <c r="CQ122" i="19"/>
  <c r="CQ119" i="21"/>
  <c r="CQ114" i="19"/>
  <c r="CQ118" i="21"/>
  <c r="CQ115" i="19"/>
  <c r="CQ124" i="21"/>
  <c r="CQ116" i="19"/>
  <c r="CQ120" i="19"/>
  <c r="C16" i="6"/>
  <c r="CQ121" i="19"/>
  <c r="CQ113" i="19"/>
  <c r="CQ123" i="19"/>
  <c r="CQ119" i="19"/>
  <c r="CQ114" i="21"/>
  <c r="CQ123" i="21"/>
  <c r="U32" i="19"/>
  <c r="U15" i="19"/>
  <c r="U39" i="19"/>
  <c r="U62" i="19"/>
  <c r="U74" i="19"/>
  <c r="U101" i="19"/>
  <c r="U19" i="19"/>
  <c r="U103" i="19"/>
  <c r="U80" i="19"/>
  <c r="U121" i="19"/>
  <c r="U89" i="19"/>
  <c r="U75" i="19"/>
  <c r="U57" i="19"/>
  <c r="U97" i="19"/>
  <c r="U96" i="19"/>
  <c r="U82" i="19"/>
  <c r="U117" i="19"/>
  <c r="U114" i="19"/>
  <c r="U43" i="19"/>
  <c r="U76" i="19"/>
  <c r="U123" i="19"/>
  <c r="U107" i="19"/>
  <c r="U49" i="19"/>
  <c r="U95" i="19"/>
  <c r="U52" i="19"/>
  <c r="U36" i="19"/>
  <c r="U67" i="19"/>
  <c r="U16" i="19"/>
  <c r="U54" i="19"/>
  <c r="U106" i="19"/>
  <c r="U98" i="19"/>
  <c r="U102" i="19"/>
  <c r="U116" i="19"/>
  <c r="U28" i="19"/>
  <c r="U20" i="19"/>
  <c r="U23" i="19"/>
  <c r="U46" i="19"/>
  <c r="U88" i="19"/>
  <c r="U90" i="19"/>
  <c r="U21" i="19"/>
  <c r="U17" i="19"/>
  <c r="U64" i="19"/>
  <c r="U71" i="19"/>
  <c r="U72" i="19"/>
  <c r="U94" i="19"/>
  <c r="U40" i="19"/>
  <c r="U22" i="19"/>
  <c r="U115" i="19"/>
  <c r="U70" i="19"/>
  <c r="U65" i="19"/>
  <c r="U120" i="19"/>
  <c r="U53" i="19"/>
  <c r="U69" i="19"/>
  <c r="U58" i="19"/>
  <c r="U50" i="19"/>
  <c r="U29" i="19"/>
  <c r="U63" i="19"/>
  <c r="U78" i="19"/>
  <c r="U85" i="19"/>
  <c r="U42" i="19"/>
  <c r="U113" i="19"/>
  <c r="U81" i="19"/>
  <c r="U44" i="19"/>
  <c r="U111" i="19"/>
  <c r="U30" i="19"/>
  <c r="U13" i="19"/>
  <c r="U35" i="19"/>
  <c r="U112" i="19"/>
  <c r="U55" i="19"/>
  <c r="U109" i="19"/>
  <c r="U73" i="19"/>
  <c r="U68" i="19"/>
  <c r="U77" i="19"/>
  <c r="U87" i="19"/>
  <c r="U60" i="19"/>
  <c r="U24" i="19"/>
  <c r="U93" i="19"/>
  <c r="U83" i="19"/>
  <c r="U119" i="19"/>
  <c r="U124" i="19"/>
  <c r="U51" i="19"/>
  <c r="U26" i="19"/>
  <c r="U18" i="19"/>
  <c r="U37" i="19"/>
  <c r="U100" i="19"/>
  <c r="U110" i="19"/>
  <c r="U66" i="19"/>
  <c r="U59" i="19"/>
  <c r="U48" i="19"/>
  <c r="U38" i="19"/>
  <c r="U14" i="19"/>
  <c r="U92" i="19"/>
  <c r="U118" i="19"/>
  <c r="U79" i="19"/>
  <c r="U122" i="19"/>
  <c r="U84" i="19"/>
  <c r="U12" i="19"/>
  <c r="U61" i="19"/>
  <c r="U34" i="19"/>
  <c r="U99" i="19"/>
  <c r="U27" i="19"/>
  <c r="U104" i="19"/>
  <c r="U41" i="19"/>
  <c r="U91" i="19"/>
  <c r="U105" i="19"/>
  <c r="U56" i="19"/>
  <c r="U33" i="19"/>
  <c r="U86" i="19"/>
  <c r="U25" i="19"/>
  <c r="U45" i="19"/>
  <c r="U31" i="19"/>
  <c r="U47" i="19"/>
  <c r="U108" i="19"/>
  <c r="BC12" i="22"/>
  <c r="BC51" i="22"/>
  <c r="BC94" i="22"/>
  <c r="BC48" i="22"/>
  <c r="BC58" i="22"/>
  <c r="BC23" i="22"/>
  <c r="BC84" i="22"/>
  <c r="BC123" i="22"/>
  <c r="BC29" i="22"/>
  <c r="BC107" i="22"/>
  <c r="BC86" i="22"/>
  <c r="BC63" i="22"/>
  <c r="BC70" i="22"/>
  <c r="BC37" i="22"/>
  <c r="BC32" i="22"/>
  <c r="BC77" i="22"/>
  <c r="BC88" i="22"/>
  <c r="BC98" i="22"/>
  <c r="BC27" i="22"/>
  <c r="BC41" i="22"/>
  <c r="BC85" i="22"/>
  <c r="BC74" i="22"/>
  <c r="BC119" i="22"/>
  <c r="BC57" i="22"/>
  <c r="BC114" i="22"/>
  <c r="BC116" i="22"/>
  <c r="BC25" i="22"/>
  <c r="BC93" i="22"/>
  <c r="BC44" i="22"/>
  <c r="BC34" i="22"/>
  <c r="BC45" i="22"/>
  <c r="BC59" i="22"/>
  <c r="BC61" i="22"/>
  <c r="BC22" i="22"/>
  <c r="BC95" i="22"/>
  <c r="BC16" i="22"/>
  <c r="BC72" i="22"/>
  <c r="BC90" i="22"/>
  <c r="BC71" i="22"/>
  <c r="BC113" i="22"/>
  <c r="BC24" i="22"/>
  <c r="BC40" i="22"/>
  <c r="BC121" i="22"/>
  <c r="BC103" i="22"/>
  <c r="BC36" i="22"/>
  <c r="BC19" i="22"/>
  <c r="BC38" i="22"/>
  <c r="BC118" i="22"/>
  <c r="BC124" i="22"/>
  <c r="BC55" i="22"/>
  <c r="BC49" i="22"/>
  <c r="BC92" i="22"/>
  <c r="BC28" i="22"/>
  <c r="BC75" i="22"/>
  <c r="BC73" i="22"/>
  <c r="BC87" i="22"/>
  <c r="BC42" i="22"/>
  <c r="BC100" i="22"/>
  <c r="BC104" i="22"/>
  <c r="BC18" i="22"/>
  <c r="BC66" i="22"/>
  <c r="BC97" i="22"/>
  <c r="BC20" i="22"/>
  <c r="BC120" i="22"/>
  <c r="BC109" i="22"/>
  <c r="BC39" i="22"/>
  <c r="BC15" i="22"/>
  <c r="BC52" i="22"/>
  <c r="BC102" i="22"/>
  <c r="BC69" i="22"/>
  <c r="BC111" i="22"/>
  <c r="BC91" i="22"/>
  <c r="BC82" i="22"/>
  <c r="BC78" i="22"/>
  <c r="BC80" i="22"/>
  <c r="BC46" i="22"/>
  <c r="BC89" i="22"/>
  <c r="BC33" i="22"/>
  <c r="BC17" i="22"/>
  <c r="BC112" i="22"/>
  <c r="BC101" i="22"/>
  <c r="BC115" i="22"/>
  <c r="BC96" i="22"/>
  <c r="BC67" i="22"/>
  <c r="BC64" i="22"/>
  <c r="BC122" i="22"/>
  <c r="BC79" i="22"/>
  <c r="BC13" i="22"/>
  <c r="BC108" i="22"/>
  <c r="BC68" i="22"/>
  <c r="BC47" i="22"/>
  <c r="BC31" i="22"/>
  <c r="BC26" i="22"/>
  <c r="BC14" i="22"/>
  <c r="BC62" i="22"/>
  <c r="BC21" i="22"/>
  <c r="BC110" i="22"/>
  <c r="BC30" i="22"/>
  <c r="BC43" i="22"/>
  <c r="BC54" i="22"/>
  <c r="BC105" i="22"/>
  <c r="BC60" i="22"/>
  <c r="BC50" i="22"/>
  <c r="BC117" i="22"/>
  <c r="BC53" i="22"/>
  <c r="BC76" i="22"/>
  <c r="BC56" i="22"/>
  <c r="BC35" i="22"/>
  <c r="BC106" i="22"/>
  <c r="BC83" i="22"/>
  <c r="BC65" i="22"/>
  <c r="BC81" i="22"/>
  <c r="BC99" i="22"/>
  <c r="BS72" i="8"/>
  <c r="BS79" i="8"/>
  <c r="BS73" i="8"/>
  <c r="BS101" i="8"/>
  <c r="BS76" i="8"/>
  <c r="BS89" i="8"/>
  <c r="BS116" i="8"/>
  <c r="BS61" i="8"/>
  <c r="BS62" i="8"/>
  <c r="BS50" i="8"/>
  <c r="BS59" i="8"/>
  <c r="BS29" i="8"/>
  <c r="BS23" i="8"/>
  <c r="BS48" i="8"/>
  <c r="BS64" i="8"/>
  <c r="BS49" i="8"/>
  <c r="BS31" i="8"/>
  <c r="BS109" i="8"/>
  <c r="BS63" i="8"/>
  <c r="BS80" i="8"/>
  <c r="BS91" i="8"/>
  <c r="BS83" i="8"/>
  <c r="BS124" i="8"/>
  <c r="BS37" i="8"/>
  <c r="BS77" i="8"/>
  <c r="BS99" i="8"/>
  <c r="BS70" i="8"/>
  <c r="BS110" i="8"/>
  <c r="BS58" i="8"/>
  <c r="BS119" i="8"/>
  <c r="BS96" i="8"/>
  <c r="BS92" i="8"/>
  <c r="BS88" i="8"/>
  <c r="BS30" i="8"/>
  <c r="BS85" i="8"/>
  <c r="BS40" i="8"/>
  <c r="BS27" i="8"/>
  <c r="BS19" i="8"/>
  <c r="BS47" i="8"/>
  <c r="BS95" i="8"/>
  <c r="BS74" i="8"/>
  <c r="BS100" i="8"/>
  <c r="BS71" i="8"/>
  <c r="BS123" i="8"/>
  <c r="BS55" i="8"/>
  <c r="BS90" i="8"/>
  <c r="BS39" i="8"/>
  <c r="BS56" i="8"/>
  <c r="BS82" i="8"/>
  <c r="BS42" i="8"/>
  <c r="BS25" i="8"/>
  <c r="BS16" i="8"/>
  <c r="BS112" i="8"/>
  <c r="BS115" i="8"/>
  <c r="BS57" i="8"/>
  <c r="BS81" i="8"/>
  <c r="BS111" i="8"/>
  <c r="BS12" i="8"/>
  <c r="BS52" i="8"/>
  <c r="BS97" i="8"/>
  <c r="BS22" i="8"/>
  <c r="BS68" i="8"/>
  <c r="BS24" i="8"/>
  <c r="BS114" i="8"/>
  <c r="BS106" i="8"/>
  <c r="BS54" i="8"/>
  <c r="BS44" i="8"/>
  <c r="BS86" i="8"/>
  <c r="BS75" i="8"/>
  <c r="BS20" i="8"/>
  <c r="BS118" i="8"/>
  <c r="BS105" i="8"/>
  <c r="BS35" i="8"/>
  <c r="BS66" i="8"/>
  <c r="BS103" i="8"/>
  <c r="BS121" i="8"/>
  <c r="BS26" i="8"/>
  <c r="BS87" i="8"/>
  <c r="BS67" i="8"/>
  <c r="BS53" i="8"/>
  <c r="BS45" i="8"/>
  <c r="BS17" i="8"/>
  <c r="BS84" i="8"/>
  <c r="BS94" i="8"/>
  <c r="BS15" i="8"/>
  <c r="BS122" i="8"/>
  <c r="BS102" i="8"/>
  <c r="BS69" i="8"/>
  <c r="BS41" i="8"/>
  <c r="BS60" i="8"/>
  <c r="BS93" i="8"/>
  <c r="BS32" i="8"/>
  <c r="BS78" i="8"/>
  <c r="BS108" i="8"/>
  <c r="BS104" i="8"/>
  <c r="BS36" i="8"/>
  <c r="BS46" i="8"/>
  <c r="BS65" i="8"/>
  <c r="BS34" i="8"/>
  <c r="BS28" i="8"/>
  <c r="BS21" i="8"/>
  <c r="BS14" i="8"/>
  <c r="BS117" i="8"/>
  <c r="BS113" i="8"/>
  <c r="BS13" i="8"/>
  <c r="BS98" i="8"/>
  <c r="BS33" i="8"/>
  <c r="BS43" i="8"/>
  <c r="BS120" i="8"/>
  <c r="BS38" i="8"/>
  <c r="BS18" i="8"/>
  <c r="BS107" i="8"/>
  <c r="BS51" i="8"/>
  <c r="AQ84" i="8"/>
  <c r="AQ70" i="8"/>
  <c r="AQ16" i="8"/>
  <c r="AQ67" i="8"/>
  <c r="AQ66" i="8"/>
  <c r="AQ108" i="8"/>
  <c r="AQ28" i="8"/>
  <c r="AQ100" i="8"/>
  <c r="AQ102" i="8"/>
  <c r="AQ56" i="8"/>
  <c r="AQ57" i="8"/>
  <c r="AQ94" i="8"/>
  <c r="AQ95" i="8"/>
  <c r="AQ68" i="8"/>
  <c r="AQ116" i="8"/>
  <c r="AQ78" i="8"/>
  <c r="AQ73" i="8"/>
  <c r="AQ49" i="8"/>
  <c r="AQ37" i="8"/>
  <c r="AQ17" i="8"/>
  <c r="AQ93" i="8"/>
  <c r="AQ124" i="8"/>
  <c r="AQ75" i="8"/>
  <c r="AQ90" i="8"/>
  <c r="AQ97" i="8"/>
  <c r="AQ63" i="8"/>
  <c r="AQ82" i="8"/>
  <c r="AQ59" i="8"/>
  <c r="AQ105" i="8"/>
  <c r="AQ34" i="8"/>
  <c r="AQ96" i="8"/>
  <c r="AQ83" i="8"/>
  <c r="AQ50" i="8"/>
  <c r="AQ52" i="8"/>
  <c r="AQ15" i="8"/>
  <c r="AQ27" i="8"/>
  <c r="AQ58" i="8"/>
  <c r="AQ87" i="8"/>
  <c r="AQ112" i="8"/>
  <c r="AQ43" i="8"/>
  <c r="AQ32" i="8"/>
  <c r="AQ109" i="8"/>
  <c r="AQ44" i="8"/>
  <c r="AQ61" i="8"/>
  <c r="AQ29" i="8"/>
  <c r="AQ62" i="8"/>
  <c r="AQ22" i="8"/>
  <c r="AQ81" i="8"/>
  <c r="AQ88" i="8"/>
  <c r="AQ54" i="8"/>
  <c r="AQ118" i="8"/>
  <c r="AQ92" i="8"/>
  <c r="AQ35" i="8"/>
  <c r="AQ103" i="8"/>
  <c r="AQ60" i="8"/>
  <c r="AQ74" i="8"/>
  <c r="AQ24" i="8"/>
  <c r="AQ71" i="8"/>
  <c r="AQ98" i="8"/>
  <c r="AQ40" i="8"/>
  <c r="AQ107" i="8"/>
  <c r="AQ36" i="8"/>
  <c r="AQ122" i="8"/>
  <c r="AQ19" i="8"/>
  <c r="AQ13" i="8"/>
  <c r="AQ46" i="8"/>
  <c r="AQ80" i="8"/>
  <c r="AQ77" i="8"/>
  <c r="AQ42" i="8"/>
  <c r="AQ23" i="8"/>
  <c r="AQ117" i="8"/>
  <c r="AQ113" i="8"/>
  <c r="AQ99" i="8"/>
  <c r="AQ18" i="8"/>
  <c r="AQ64" i="8"/>
  <c r="AQ48" i="8"/>
  <c r="AQ104" i="8"/>
  <c r="AQ21" i="8"/>
  <c r="AQ53" i="8"/>
  <c r="AQ106" i="8"/>
  <c r="AQ72" i="8"/>
  <c r="AQ38" i="8"/>
  <c r="AQ111" i="8"/>
  <c r="AQ121" i="8"/>
  <c r="AQ101" i="8"/>
  <c r="AQ25" i="8"/>
  <c r="AQ33" i="8"/>
  <c r="AQ86" i="8"/>
  <c r="AQ85" i="8"/>
  <c r="AQ30" i="8"/>
  <c r="AQ31" i="8"/>
  <c r="AQ115" i="8"/>
  <c r="AQ65" i="8"/>
  <c r="AQ76" i="8"/>
  <c r="AQ110" i="8"/>
  <c r="AQ114" i="8"/>
  <c r="AQ51" i="8"/>
  <c r="AQ119" i="8"/>
  <c r="AQ41" i="8"/>
  <c r="AQ123" i="8"/>
  <c r="AQ20" i="8"/>
  <c r="AQ89" i="8"/>
  <c r="AQ14" i="8"/>
  <c r="AQ55" i="8"/>
  <c r="AQ79" i="8"/>
  <c r="AQ45" i="8"/>
  <c r="AQ26" i="8"/>
  <c r="AQ39" i="8"/>
  <c r="AQ69" i="8"/>
  <c r="AQ47" i="8"/>
  <c r="AQ120" i="8"/>
  <c r="AQ91" i="8"/>
  <c r="AQ12" i="8"/>
  <c r="BK12" i="22"/>
  <c r="BK122" i="22"/>
  <c r="BK21" i="22"/>
  <c r="BK71" i="22"/>
  <c r="BK33" i="22"/>
  <c r="BK18" i="22"/>
  <c r="BK20" i="22"/>
  <c r="BK93" i="22"/>
  <c r="BK96" i="22"/>
  <c r="BK47" i="22"/>
  <c r="BK91" i="22"/>
  <c r="BK98" i="22"/>
  <c r="BK118" i="22"/>
  <c r="BK50" i="22"/>
  <c r="BK53" i="22"/>
  <c r="BK56" i="22"/>
  <c r="BK40" i="22"/>
  <c r="BK28" i="22"/>
  <c r="BK39" i="22"/>
  <c r="BK117" i="22"/>
  <c r="BK48" i="22"/>
  <c r="BK107" i="22"/>
  <c r="BK92" i="22"/>
  <c r="BK83" i="22"/>
  <c r="BK102" i="22"/>
  <c r="BK67" i="22"/>
  <c r="BK116" i="22"/>
  <c r="BK104" i="22"/>
  <c r="BK113" i="22"/>
  <c r="BK68" i="22"/>
  <c r="BK84" i="22"/>
  <c r="BK81" i="22"/>
  <c r="BK89" i="22"/>
  <c r="BK29" i="22"/>
  <c r="BK94" i="22"/>
  <c r="BK26" i="22"/>
  <c r="BK101" i="22"/>
  <c r="BK90" i="22"/>
  <c r="BK108" i="22"/>
  <c r="BK51" i="22"/>
  <c r="BK64" i="22"/>
  <c r="BK97" i="22"/>
  <c r="BK60" i="22"/>
  <c r="BK80" i="22"/>
  <c r="BK112" i="22"/>
  <c r="BK13" i="22"/>
  <c r="BK66" i="22"/>
  <c r="BK75" i="22"/>
  <c r="BK59" i="22"/>
  <c r="BK35" i="22"/>
  <c r="BK86" i="22"/>
  <c r="BK38" i="22"/>
  <c r="BK65" i="22"/>
  <c r="BK23" i="22"/>
  <c r="BK100" i="22"/>
  <c r="BK77" i="22"/>
  <c r="BK34" i="22"/>
  <c r="BK70" i="22"/>
  <c r="BK58" i="22"/>
  <c r="BK114" i="22"/>
  <c r="BK61" i="22"/>
  <c r="BK45" i="22"/>
  <c r="BK32" i="22"/>
  <c r="BK63" i="22"/>
  <c r="BK110" i="22"/>
  <c r="BK95" i="22"/>
  <c r="BK49" i="22"/>
  <c r="BK78" i="22"/>
  <c r="BK17" i="22"/>
  <c r="BK37" i="22"/>
  <c r="BK74" i="22"/>
  <c r="BK41" i="22"/>
  <c r="BK52" i="22"/>
  <c r="BK24" i="22"/>
  <c r="BK115" i="22"/>
  <c r="BK22" i="22"/>
  <c r="BK16" i="22"/>
  <c r="BK14" i="22"/>
  <c r="BK42" i="22"/>
  <c r="BK120" i="22"/>
  <c r="BK109" i="22"/>
  <c r="BK43" i="22"/>
  <c r="BK72" i="22"/>
  <c r="BK82" i="22"/>
  <c r="BK123" i="22"/>
  <c r="BK87" i="22"/>
  <c r="BK46" i="22"/>
  <c r="BK36" i="22"/>
  <c r="BK76" i="22"/>
  <c r="BK44" i="22"/>
  <c r="BK111" i="22"/>
  <c r="BK31" i="22"/>
  <c r="BK25" i="22"/>
  <c r="BK99" i="22"/>
  <c r="BK124" i="22"/>
  <c r="BK79" i="22"/>
  <c r="BK19" i="22"/>
  <c r="BK106" i="22"/>
  <c r="BK103" i="22"/>
  <c r="BK30" i="22"/>
  <c r="BK27" i="22"/>
  <c r="BK57" i="22"/>
  <c r="BK105" i="22"/>
  <c r="BK69" i="22"/>
  <c r="BK85" i="22"/>
  <c r="BK73" i="22"/>
  <c r="BK15" i="22"/>
  <c r="BK54" i="22"/>
  <c r="BK55" i="22"/>
  <c r="BK121" i="22"/>
  <c r="BK88" i="22"/>
  <c r="BK119" i="22"/>
  <c r="BK62" i="22"/>
  <c r="BW12" i="21"/>
  <c r="BW25" i="21"/>
  <c r="BW49" i="21"/>
  <c r="BW55" i="21"/>
  <c r="BW107" i="21"/>
  <c r="BW74" i="21"/>
  <c r="BW109" i="21"/>
  <c r="BW15" i="21"/>
  <c r="BW63" i="21"/>
  <c r="BW110" i="21"/>
  <c r="BW14" i="21"/>
  <c r="BW84" i="21"/>
  <c r="BW56" i="21"/>
  <c r="BW98" i="21"/>
  <c r="BW20" i="21"/>
  <c r="BW45" i="21"/>
  <c r="BW65" i="21"/>
  <c r="BW17" i="21"/>
  <c r="BW85" i="21"/>
  <c r="BW97" i="21"/>
  <c r="BW32" i="21"/>
  <c r="BW43" i="21"/>
  <c r="BW80" i="21"/>
  <c r="BW35" i="21"/>
  <c r="BW93" i="21"/>
  <c r="BW16" i="21"/>
  <c r="BW94" i="21"/>
  <c r="BW39" i="21"/>
  <c r="BW99" i="21"/>
  <c r="BW115" i="21"/>
  <c r="BW100" i="21"/>
  <c r="BW75" i="21"/>
  <c r="BW24" i="21"/>
  <c r="BW61" i="21"/>
  <c r="BW28" i="21"/>
  <c r="BW102" i="21"/>
  <c r="BW70" i="21"/>
  <c r="BW42" i="21"/>
  <c r="BW60" i="21"/>
  <c r="BW82" i="21"/>
  <c r="BW71" i="21"/>
  <c r="BW123" i="21"/>
  <c r="BW92" i="21"/>
  <c r="BW114" i="21"/>
  <c r="BW38" i="21"/>
  <c r="BW120" i="21"/>
  <c r="BW34" i="21"/>
  <c r="BW51" i="21"/>
  <c r="BW88" i="21"/>
  <c r="BW108" i="21"/>
  <c r="BW87" i="21"/>
  <c r="BW78" i="21"/>
  <c r="BW121" i="21"/>
  <c r="BW59" i="21"/>
  <c r="BW21" i="21"/>
  <c r="BW111" i="21"/>
  <c r="BW26" i="21"/>
  <c r="BW83" i="21"/>
  <c r="BW33" i="21"/>
  <c r="BW69" i="21"/>
  <c r="BW47" i="21"/>
  <c r="BW124" i="21"/>
  <c r="BW119" i="21"/>
  <c r="BW58" i="21"/>
  <c r="BW67" i="21"/>
  <c r="BW50" i="21"/>
  <c r="BW86" i="21"/>
  <c r="BW91" i="21"/>
  <c r="BW36" i="21"/>
  <c r="BW90" i="21"/>
  <c r="BW44" i="21"/>
  <c r="BW113" i="21"/>
  <c r="BW54" i="21"/>
  <c r="BW122" i="21"/>
  <c r="BW79" i="21"/>
  <c r="BW48" i="21"/>
  <c r="BW13" i="21"/>
  <c r="BW104" i="21"/>
  <c r="BW18" i="21"/>
  <c r="BW46" i="21"/>
  <c r="BW105" i="21"/>
  <c r="BW40" i="21"/>
  <c r="BW76" i="21"/>
  <c r="BW57" i="21"/>
  <c r="BW81" i="21"/>
  <c r="BW66" i="21"/>
  <c r="BW68" i="21"/>
  <c r="BW30" i="21"/>
  <c r="BW118" i="21"/>
  <c r="BW37" i="21"/>
  <c r="BW27" i="21"/>
  <c r="BW64" i="21"/>
  <c r="BW106" i="21"/>
  <c r="BW116" i="21"/>
  <c r="BW23" i="21"/>
  <c r="BW29" i="21"/>
  <c r="BW52" i="21"/>
  <c r="BW96" i="21"/>
  <c r="BW22" i="21"/>
  <c r="BW95" i="21"/>
  <c r="BW77" i="21"/>
  <c r="BW62" i="21"/>
  <c r="BW112" i="21"/>
  <c r="BW103" i="21"/>
  <c r="BW101" i="21"/>
  <c r="BW72" i="21"/>
  <c r="BW117" i="21"/>
  <c r="BW31" i="21"/>
  <c r="BW89" i="21"/>
  <c r="BW73" i="21"/>
  <c r="BW53" i="21"/>
  <c r="BW19" i="21"/>
  <c r="BW41" i="21"/>
  <c r="CE94" i="19"/>
  <c r="CE65" i="19"/>
  <c r="CE124" i="19"/>
  <c r="CE18" i="19"/>
  <c r="CE66" i="19"/>
  <c r="CE84" i="19"/>
  <c r="CE21" i="19"/>
  <c r="CE31" i="19"/>
  <c r="CE49" i="19"/>
  <c r="CE119" i="19"/>
  <c r="CE26" i="19"/>
  <c r="CE115" i="19"/>
  <c r="CE23" i="19"/>
  <c r="CE80" i="19"/>
  <c r="CE27" i="19"/>
  <c r="CE105" i="19"/>
  <c r="CE51" i="19"/>
  <c r="CE101" i="19"/>
  <c r="CE77" i="19"/>
  <c r="CE108" i="19"/>
  <c r="CE118" i="19"/>
  <c r="CE57" i="19"/>
  <c r="CE67" i="19"/>
  <c r="CE69" i="19"/>
  <c r="CE52" i="19"/>
  <c r="CE97" i="19"/>
  <c r="CE47" i="19"/>
  <c r="CE120" i="19"/>
  <c r="CE37" i="19"/>
  <c r="CE123" i="19"/>
  <c r="CE19" i="19"/>
  <c r="CE68" i="19"/>
  <c r="CE48" i="19"/>
  <c r="CE25" i="19"/>
  <c r="CE33" i="19"/>
  <c r="CE78" i="19"/>
  <c r="CE74" i="19"/>
  <c r="CE109" i="19"/>
  <c r="CE70" i="19"/>
  <c r="CE86" i="19"/>
  <c r="CE28" i="19"/>
  <c r="CE35" i="19"/>
  <c r="CE55" i="19"/>
  <c r="CE38" i="19"/>
  <c r="CE54" i="19"/>
  <c r="CE75" i="19"/>
  <c r="CE100" i="19"/>
  <c r="CE106" i="19"/>
  <c r="CE73" i="19"/>
  <c r="CE83" i="19"/>
  <c r="CE36" i="19"/>
  <c r="CE13" i="19"/>
  <c r="CE81" i="19"/>
  <c r="CE104" i="19"/>
  <c r="CE46" i="19"/>
  <c r="CE56" i="19"/>
  <c r="CE114" i="19"/>
  <c r="CE44" i="19"/>
  <c r="CE72" i="19"/>
  <c r="CE111" i="19"/>
  <c r="CE117" i="19"/>
  <c r="CE116" i="19"/>
  <c r="CE91" i="19"/>
  <c r="CE93" i="19"/>
  <c r="CE76" i="19"/>
  <c r="CE45" i="19"/>
  <c r="CE22" i="19"/>
  <c r="CE110" i="19"/>
  <c r="CE98" i="19"/>
  <c r="CE96" i="19"/>
  <c r="CE113" i="19"/>
  <c r="CE53" i="19"/>
  <c r="CE63" i="19"/>
  <c r="CE20" i="19"/>
  <c r="CE107" i="19"/>
  <c r="CE17" i="19"/>
  <c r="CE82" i="19"/>
  <c r="CE43" i="19"/>
  <c r="CE59" i="19"/>
  <c r="CE58" i="19"/>
  <c r="CE103" i="19"/>
  <c r="CE121" i="19"/>
  <c r="CE24" i="19"/>
  <c r="CE34" i="19"/>
  <c r="CE29" i="19"/>
  <c r="CE71" i="19"/>
  <c r="CE89" i="19"/>
  <c r="CE99" i="19"/>
  <c r="CE40" i="19"/>
  <c r="CE39" i="19"/>
  <c r="CE92" i="19"/>
  <c r="CE102" i="19"/>
  <c r="CE112" i="19"/>
  <c r="CE79" i="19"/>
  <c r="CE88" i="19"/>
  <c r="CE50" i="19"/>
  <c r="CE122" i="19"/>
  <c r="CE14" i="19"/>
  <c r="CE85" i="19"/>
  <c r="CE15" i="19"/>
  <c r="CE95" i="19"/>
  <c r="CE12" i="19"/>
  <c r="CE90" i="19"/>
  <c r="CE30" i="19"/>
  <c r="CE16" i="19"/>
  <c r="CE61" i="19"/>
  <c r="CE42" i="19"/>
  <c r="CE62" i="19"/>
  <c r="CE64" i="19"/>
  <c r="CE87" i="19"/>
  <c r="CE41" i="19"/>
  <c r="CE60" i="19"/>
  <c r="CE32" i="19"/>
  <c r="CA12" i="19"/>
  <c r="CA124" i="19"/>
  <c r="CA84" i="19"/>
  <c r="CA91" i="19"/>
  <c r="CA26" i="19"/>
  <c r="CA107" i="19"/>
  <c r="CA98" i="19"/>
  <c r="CA58" i="19"/>
  <c r="CA103" i="19"/>
  <c r="CA40" i="19"/>
  <c r="CA18" i="19"/>
  <c r="CA27" i="19"/>
  <c r="CA16" i="19"/>
  <c r="CA61" i="19"/>
  <c r="CA63" i="19"/>
  <c r="CA109" i="19"/>
  <c r="CA78" i="19"/>
  <c r="CA60" i="19"/>
  <c r="CA19" i="19"/>
  <c r="CA69" i="19"/>
  <c r="CA52" i="19"/>
  <c r="CA62" i="19"/>
  <c r="CA36" i="19"/>
  <c r="CA37" i="19"/>
  <c r="CA55" i="19"/>
  <c r="CA64" i="19"/>
  <c r="CA83" i="19"/>
  <c r="CA122" i="19"/>
  <c r="CA15" i="19"/>
  <c r="CA94" i="19"/>
  <c r="CA112" i="19"/>
  <c r="CA50" i="19"/>
  <c r="CA93" i="19"/>
  <c r="CA105" i="19"/>
  <c r="CA38" i="19"/>
  <c r="CA117" i="19"/>
  <c r="CA95" i="19"/>
  <c r="CA81" i="19"/>
  <c r="CA23" i="19"/>
  <c r="CA66" i="19"/>
  <c r="CA45" i="19"/>
  <c r="CA31" i="19"/>
  <c r="CA28" i="19"/>
  <c r="CA101" i="19"/>
  <c r="CA99" i="19"/>
  <c r="CA110" i="19"/>
  <c r="CA70" i="19"/>
  <c r="CA86" i="19"/>
  <c r="CA53" i="19"/>
  <c r="CA47" i="19"/>
  <c r="CA85" i="19"/>
  <c r="CA59" i="19"/>
  <c r="CA89" i="19"/>
  <c r="CA57" i="19"/>
  <c r="CA116" i="19"/>
  <c r="CA54" i="19"/>
  <c r="CA39" i="19"/>
  <c r="CA100" i="19"/>
  <c r="CA20" i="19"/>
  <c r="CA14" i="19"/>
  <c r="CA114" i="19"/>
  <c r="CA17" i="19"/>
  <c r="CA104" i="19"/>
  <c r="CA106" i="19"/>
  <c r="CA43" i="19"/>
  <c r="CA111" i="19"/>
  <c r="CA48" i="19"/>
  <c r="CA80" i="19"/>
  <c r="CA102" i="19"/>
  <c r="CA115" i="19"/>
  <c r="CA90" i="19"/>
  <c r="CA76" i="19"/>
  <c r="CA119" i="19"/>
  <c r="CA113" i="19"/>
  <c r="CA25" i="19"/>
  <c r="CA29" i="19"/>
  <c r="CA97" i="19"/>
  <c r="CA79" i="19"/>
  <c r="CA77" i="19"/>
  <c r="CA41" i="19"/>
  <c r="CA32" i="19"/>
  <c r="CA51" i="19"/>
  <c r="CA68" i="19"/>
  <c r="CA21" i="19"/>
  <c r="CA42" i="19"/>
  <c r="CA120" i="19"/>
  <c r="CA118" i="19"/>
  <c r="CA46" i="19"/>
  <c r="CA65" i="19"/>
  <c r="CA44" i="19"/>
  <c r="CA88" i="19"/>
  <c r="CA121" i="19"/>
  <c r="CA71" i="19"/>
  <c r="CA35" i="19"/>
  <c r="CA75" i="19"/>
  <c r="CA123" i="19"/>
  <c r="CA24" i="19"/>
  <c r="CA34" i="19"/>
  <c r="CA67" i="19"/>
  <c r="CA73" i="19"/>
  <c r="CA74" i="19"/>
  <c r="CA87" i="19"/>
  <c r="CA13" i="19"/>
  <c r="CA72" i="19"/>
  <c r="CA82" i="19"/>
  <c r="CA56" i="19"/>
  <c r="CA30" i="19"/>
  <c r="CA96" i="19"/>
  <c r="CA108" i="19"/>
  <c r="CA92" i="19"/>
  <c r="CA22" i="19"/>
  <c r="CA49" i="19"/>
  <c r="CA33" i="19"/>
  <c r="C32" i="22"/>
  <c r="D32" i="22" s="1"/>
  <c r="C35" i="22"/>
  <c r="O118" i="21"/>
  <c r="O112" i="21"/>
  <c r="O113" i="21"/>
  <c r="O116" i="21"/>
  <c r="O123" i="21"/>
  <c r="O117" i="21"/>
  <c r="O115" i="21"/>
  <c r="O119" i="21"/>
  <c r="O122" i="21"/>
  <c r="O114" i="21"/>
  <c r="O120" i="21"/>
  <c r="P122" i="21"/>
  <c r="P41" i="21"/>
  <c r="O63" i="21"/>
  <c r="P69" i="21"/>
  <c r="P111" i="21"/>
  <c r="P98" i="21"/>
  <c r="O47" i="21"/>
  <c r="O104" i="21"/>
  <c r="P30" i="21"/>
  <c r="P59" i="21"/>
  <c r="P92" i="21"/>
  <c r="O20" i="21"/>
  <c r="P54" i="21"/>
  <c r="P95" i="21"/>
  <c r="O59" i="21"/>
  <c r="O71" i="21"/>
  <c r="O99" i="21"/>
  <c r="P43" i="21"/>
  <c r="P27" i="21"/>
  <c r="P105" i="21"/>
  <c r="O60" i="21"/>
  <c r="P85" i="21"/>
  <c r="O39" i="21"/>
  <c r="O85" i="21"/>
  <c r="O90" i="21"/>
  <c r="O98" i="21"/>
  <c r="O68" i="21"/>
  <c r="O41" i="21"/>
  <c r="P116" i="21"/>
  <c r="P87" i="21"/>
  <c r="P78" i="21"/>
  <c r="O55" i="21"/>
  <c r="P99" i="21"/>
  <c r="P16" i="21"/>
  <c r="P89" i="21"/>
  <c r="O74" i="21"/>
  <c r="O92" i="21"/>
  <c r="P75" i="21"/>
  <c r="P64" i="21"/>
  <c r="O89" i="21"/>
  <c r="O48" i="21"/>
  <c r="O107" i="21"/>
  <c r="P44" i="21"/>
  <c r="P107" i="21"/>
  <c r="P66" i="21"/>
  <c r="P120" i="21"/>
  <c r="P70" i="21"/>
  <c r="O22" i="21"/>
  <c r="O82" i="21"/>
  <c r="O33" i="21"/>
  <c r="P48" i="21"/>
  <c r="P42" i="21"/>
  <c r="P18" i="21"/>
  <c r="P52" i="21"/>
  <c r="O51" i="21"/>
  <c r="P117" i="21"/>
  <c r="P17" i="21"/>
  <c r="P49" i="21"/>
  <c r="P19" i="21"/>
  <c r="P100" i="21"/>
  <c r="P36" i="21"/>
  <c r="O52" i="21"/>
  <c r="P91" i="21"/>
  <c r="P81" i="21"/>
  <c r="P55" i="21"/>
  <c r="P121" i="21"/>
  <c r="O19" i="21"/>
  <c r="O96" i="21"/>
  <c r="O66" i="21"/>
  <c r="O21" i="21"/>
  <c r="P24" i="21"/>
  <c r="P123" i="21"/>
  <c r="P88" i="21"/>
  <c r="P26" i="21"/>
  <c r="O103" i="21"/>
  <c r="O93" i="21"/>
  <c r="P76" i="21"/>
  <c r="P60" i="21"/>
  <c r="P109" i="21"/>
  <c r="O45" i="21"/>
  <c r="O16" i="21"/>
  <c r="O106" i="21"/>
  <c r="O35" i="21"/>
  <c r="O54" i="21"/>
  <c r="P68" i="21"/>
  <c r="O83" i="21"/>
  <c r="P31" i="21"/>
  <c r="O50" i="21"/>
  <c r="O65" i="21"/>
  <c r="P29" i="21"/>
  <c r="O53" i="21"/>
  <c r="O81" i="21"/>
  <c r="O25" i="21"/>
  <c r="P72" i="21"/>
  <c r="P106" i="21"/>
  <c r="O87" i="21"/>
  <c r="P115" i="21"/>
  <c r="P46" i="21"/>
  <c r="P67" i="21"/>
  <c r="P15" i="21"/>
  <c r="O34" i="21"/>
  <c r="P37" i="21"/>
  <c r="P124" i="21"/>
  <c r="O97" i="21"/>
  <c r="P119" i="21"/>
  <c r="O36" i="21"/>
  <c r="O84" i="21"/>
  <c r="P86" i="21"/>
  <c r="P45" i="21"/>
  <c r="P40" i="21"/>
  <c r="P38" i="21"/>
  <c r="O67" i="21"/>
  <c r="P90" i="21"/>
  <c r="P63" i="21"/>
  <c r="P118" i="21"/>
  <c r="O14" i="21"/>
  <c r="P101" i="21"/>
  <c r="P65" i="21"/>
  <c r="O17" i="21"/>
  <c r="O44" i="21"/>
  <c r="P93" i="21"/>
  <c r="P77" i="21"/>
  <c r="O80" i="21"/>
  <c r="P82" i="21"/>
  <c r="O102" i="21"/>
  <c r="O79" i="21"/>
  <c r="P14" i="21"/>
  <c r="O13" i="21"/>
  <c r="O105" i="21"/>
  <c r="O56" i="21"/>
  <c r="O24" i="21"/>
  <c r="P51" i="21"/>
  <c r="P97" i="21"/>
  <c r="O91" i="21"/>
  <c r="O40" i="21"/>
  <c r="P12" i="21"/>
  <c r="O86" i="21"/>
  <c r="P103" i="21"/>
  <c r="P57" i="21"/>
  <c r="P94" i="21"/>
  <c r="O88" i="21"/>
  <c r="P34" i="21"/>
  <c r="P79" i="21"/>
  <c r="O18" i="21"/>
  <c r="P113" i="21"/>
  <c r="O37" i="21"/>
  <c r="O77" i="21"/>
  <c r="O42" i="21"/>
  <c r="P96" i="21"/>
  <c r="O100" i="21"/>
  <c r="O32" i="21"/>
  <c r="O30" i="21"/>
  <c r="O64" i="21"/>
  <c r="P73" i="21"/>
  <c r="O62" i="21"/>
  <c r="O46" i="21"/>
  <c r="P23" i="21"/>
  <c r="P61" i="21"/>
  <c r="O49" i="21"/>
  <c r="P110" i="21"/>
  <c r="O23" i="21"/>
  <c r="O28" i="21"/>
  <c r="O75" i="21"/>
  <c r="P20" i="21"/>
  <c r="P53" i="21"/>
  <c r="P50" i="21"/>
  <c r="P47" i="21"/>
  <c r="O29" i="21"/>
  <c r="P58" i="21"/>
  <c r="O70" i="21"/>
  <c r="P74" i="21"/>
  <c r="O78" i="21"/>
  <c r="P56" i="21"/>
  <c r="P80" i="21"/>
  <c r="P25" i="21"/>
  <c r="O69" i="21"/>
  <c r="O101" i="21"/>
  <c r="O26" i="21"/>
  <c r="P71" i="21"/>
  <c r="P83" i="21"/>
  <c r="O38" i="21"/>
  <c r="P28" i="21"/>
  <c r="P13" i="21"/>
  <c r="O27" i="21"/>
  <c r="O31" i="21"/>
  <c r="O109" i="21"/>
  <c r="O111" i="21"/>
  <c r="P102" i="21"/>
  <c r="P104" i="21"/>
  <c r="P108" i="21"/>
  <c r="P39" i="21"/>
  <c r="P84" i="21"/>
  <c r="P35" i="21"/>
  <c r="O124" i="21"/>
  <c r="P22" i="21"/>
  <c r="O76" i="21"/>
  <c r="P112" i="21"/>
  <c r="O72" i="21"/>
  <c r="P21" i="21"/>
  <c r="P62" i="21"/>
  <c r="O61" i="21"/>
  <c r="O110" i="21"/>
  <c r="O57" i="21"/>
  <c r="O73" i="21"/>
  <c r="O15" i="21"/>
  <c r="O94" i="21"/>
  <c r="O95" i="21"/>
  <c r="P32" i="21"/>
  <c r="P114" i="21"/>
  <c r="P33" i="21"/>
  <c r="O43" i="21"/>
  <c r="O58" i="21"/>
  <c r="O108" i="21"/>
  <c r="O121" i="21"/>
  <c r="O12" i="21"/>
  <c r="AD9" i="6"/>
  <c r="Z62" i="6"/>
  <c r="W62" i="6"/>
  <c r="AD105" i="6"/>
  <c r="AD117" i="6"/>
  <c r="AD48" i="6"/>
  <c r="AD64" i="6"/>
  <c r="AD29" i="6"/>
  <c r="AD56" i="6"/>
  <c r="AD33" i="6"/>
  <c r="AD26" i="6"/>
  <c r="Z66" i="6"/>
  <c r="W66" i="6"/>
  <c r="AD111" i="6"/>
  <c r="AD110" i="6"/>
  <c r="Z42" i="6"/>
  <c r="W42" i="6"/>
  <c r="AD20" i="6"/>
  <c r="Z78" i="6"/>
  <c r="W78" i="6"/>
  <c r="Z105" i="6"/>
  <c r="W105" i="6"/>
  <c r="Z56" i="6"/>
  <c r="W56" i="6"/>
  <c r="Z109" i="6"/>
  <c r="W109" i="6"/>
  <c r="AD75" i="6"/>
  <c r="AD102" i="6"/>
  <c r="AD83" i="6"/>
  <c r="W83" i="6"/>
  <c r="Z83" i="6"/>
  <c r="W93" i="6"/>
  <c r="Z93" i="6"/>
  <c r="W101" i="6"/>
  <c r="Z101" i="6"/>
  <c r="AD88" i="6"/>
  <c r="AD114" i="6"/>
  <c r="AD112" i="6"/>
  <c r="CX117" i="22"/>
  <c r="CY117" i="22" s="1"/>
  <c r="CX120" i="22"/>
  <c r="CY120" i="22" s="1"/>
  <c r="CX121" i="22"/>
  <c r="CY121" i="22" s="1"/>
  <c r="CX114" i="22"/>
  <c r="CY114" i="22" s="1"/>
  <c r="CX113" i="22"/>
  <c r="CY113" i="22" s="1"/>
  <c r="CX123" i="22"/>
  <c r="CY123" i="22" s="1"/>
  <c r="CX116" i="22"/>
  <c r="CY116" i="22" s="1"/>
  <c r="CX115" i="22"/>
  <c r="CY115" i="22" s="1"/>
  <c r="CX119" i="22"/>
  <c r="CY119" i="22" s="1"/>
  <c r="CX124" i="22"/>
  <c r="CY124" i="22" s="1"/>
  <c r="CX118" i="22"/>
  <c r="CY118" i="22" s="1"/>
  <c r="CX122" i="22"/>
  <c r="CY122" i="22" s="1"/>
  <c r="BC12" i="19"/>
  <c r="BC90" i="19"/>
  <c r="BC95" i="19"/>
  <c r="BC85" i="19"/>
  <c r="BC54" i="19"/>
  <c r="BC76" i="19"/>
  <c r="BC104" i="19"/>
  <c r="BC61" i="19"/>
  <c r="BC97" i="19"/>
  <c r="BC32" i="19"/>
  <c r="BC62" i="19"/>
  <c r="BC40" i="19"/>
  <c r="BC109" i="19"/>
  <c r="BC19" i="19"/>
  <c r="BC122" i="19"/>
  <c r="BC35" i="19"/>
  <c r="BC43" i="19"/>
  <c r="BC123" i="19"/>
  <c r="BC121" i="19"/>
  <c r="BC91" i="19"/>
  <c r="BC16" i="19"/>
  <c r="BC108" i="19"/>
  <c r="BC80" i="19"/>
  <c r="BC33" i="19"/>
  <c r="BC52" i="19"/>
  <c r="BC100" i="19"/>
  <c r="BC72" i="19"/>
  <c r="BC46" i="19"/>
  <c r="BC30" i="19"/>
  <c r="BC25" i="19"/>
  <c r="BC105" i="19"/>
  <c r="BC37" i="19"/>
  <c r="BC20" i="19"/>
  <c r="BC117" i="19"/>
  <c r="BC26" i="19"/>
  <c r="BC53" i="19"/>
  <c r="BC22" i="19"/>
  <c r="BC50" i="19"/>
  <c r="BC82" i="19"/>
  <c r="BC73" i="19"/>
  <c r="BC66" i="19"/>
  <c r="BC119" i="19"/>
  <c r="BC98" i="19"/>
  <c r="BC47" i="19"/>
  <c r="BC71" i="19"/>
  <c r="BC99" i="19"/>
  <c r="BC49" i="19"/>
  <c r="BC101" i="19"/>
  <c r="BC84" i="19"/>
  <c r="BC78" i="19"/>
  <c r="BC115" i="19"/>
  <c r="BC65" i="19"/>
  <c r="BC31" i="19"/>
  <c r="BC42" i="19"/>
  <c r="BC75" i="19"/>
  <c r="BC41" i="19"/>
  <c r="BC113" i="19"/>
  <c r="BC89" i="19"/>
  <c r="BC60" i="19"/>
  <c r="BC17" i="19"/>
  <c r="BC57" i="19"/>
  <c r="BC14" i="19"/>
  <c r="BC102" i="19"/>
  <c r="BC13" i="19"/>
  <c r="BC51" i="19"/>
  <c r="BC110" i="19"/>
  <c r="BC38" i="19"/>
  <c r="BC59" i="19"/>
  <c r="BC15" i="19"/>
  <c r="BC21" i="19"/>
  <c r="BC118" i="19"/>
  <c r="BC106" i="19"/>
  <c r="BC63" i="19"/>
  <c r="BC124" i="19"/>
  <c r="BC94" i="19"/>
  <c r="BC56" i="19"/>
  <c r="BC93" i="19"/>
  <c r="BC27" i="19"/>
  <c r="BC103" i="19"/>
  <c r="BC74" i="19"/>
  <c r="BC79" i="19"/>
  <c r="BC114" i="19"/>
  <c r="BC67" i="19"/>
  <c r="BC58" i="19"/>
  <c r="BC96" i="19"/>
  <c r="BC34" i="19"/>
  <c r="BC116" i="19"/>
  <c r="BC77" i="19"/>
  <c r="BC81" i="19"/>
  <c r="BC64" i="19"/>
  <c r="BC70" i="19"/>
  <c r="BC55" i="19"/>
  <c r="BC83" i="19"/>
  <c r="BC107" i="19"/>
  <c r="BC48" i="19"/>
  <c r="BC87" i="19"/>
  <c r="BC28" i="19"/>
  <c r="BC88" i="19"/>
  <c r="BC29" i="19"/>
  <c r="BC24" i="19"/>
  <c r="BC23" i="19"/>
  <c r="BC18" i="19"/>
  <c r="BC69" i="19"/>
  <c r="BC68" i="19"/>
  <c r="BC39" i="19"/>
  <c r="BC120" i="19"/>
  <c r="BC44" i="19"/>
  <c r="BC45" i="19"/>
  <c r="BC92" i="19"/>
  <c r="BC112" i="19"/>
  <c r="BC36" i="19"/>
  <c r="BC111" i="19"/>
  <c r="BC86" i="19"/>
  <c r="BS12" i="19"/>
  <c r="BS97" i="19"/>
  <c r="BS28" i="19"/>
  <c r="BS52" i="19"/>
  <c r="BS23" i="19"/>
  <c r="BS106" i="19"/>
  <c r="BS55" i="19"/>
  <c r="BS57" i="19"/>
  <c r="BS82" i="19"/>
  <c r="BS36" i="19"/>
  <c r="BS88" i="19"/>
  <c r="BS48" i="19"/>
  <c r="BS121" i="19"/>
  <c r="BS24" i="19"/>
  <c r="BS60" i="19"/>
  <c r="BS65" i="19"/>
  <c r="BS78" i="19"/>
  <c r="BS53" i="19"/>
  <c r="BS15" i="19"/>
  <c r="BS68" i="19"/>
  <c r="BS20" i="19"/>
  <c r="BS32" i="19"/>
  <c r="BS107" i="19"/>
  <c r="BS46" i="19"/>
  <c r="BS50" i="19"/>
  <c r="BS26" i="19"/>
  <c r="BS115" i="19"/>
  <c r="BS86" i="19"/>
  <c r="BS104" i="19"/>
  <c r="BS45" i="19"/>
  <c r="BS39" i="19"/>
  <c r="BS105" i="19"/>
  <c r="BS117" i="19"/>
  <c r="BS27" i="19"/>
  <c r="BS72" i="19"/>
  <c r="BS69" i="19"/>
  <c r="BS94" i="19"/>
  <c r="BS108" i="19"/>
  <c r="BS56" i="19"/>
  <c r="BS22" i="19"/>
  <c r="BS64" i="19"/>
  <c r="BS33" i="19"/>
  <c r="BS75" i="19"/>
  <c r="BS13" i="19"/>
  <c r="BS16" i="19"/>
  <c r="BS114" i="19"/>
  <c r="BS103" i="19"/>
  <c r="BS83" i="19"/>
  <c r="BS34" i="19"/>
  <c r="BS76" i="19"/>
  <c r="BS58" i="19"/>
  <c r="BS92" i="19"/>
  <c r="BS98" i="19"/>
  <c r="BS119" i="19"/>
  <c r="BS66" i="19"/>
  <c r="BS35" i="19"/>
  <c r="BS62" i="19"/>
  <c r="BS113" i="19"/>
  <c r="BS44" i="19"/>
  <c r="BS71" i="19"/>
  <c r="BS43" i="19"/>
  <c r="BS31" i="19"/>
  <c r="BS54" i="19"/>
  <c r="BS81" i="19"/>
  <c r="BS37" i="19"/>
  <c r="BS91" i="19"/>
  <c r="BS38" i="19"/>
  <c r="BS90" i="19"/>
  <c r="BS93" i="19"/>
  <c r="BS118" i="19"/>
  <c r="BS40" i="19"/>
  <c r="BS67" i="19"/>
  <c r="BS111" i="19"/>
  <c r="BS63" i="19"/>
  <c r="BS42" i="19"/>
  <c r="BS84" i="19"/>
  <c r="BS109" i="19"/>
  <c r="BS100" i="19"/>
  <c r="BS110" i="19"/>
  <c r="BS124" i="19"/>
  <c r="BS21" i="19"/>
  <c r="BS29" i="19"/>
  <c r="BS79" i="19"/>
  <c r="BS95" i="19"/>
  <c r="BS73" i="19"/>
  <c r="BS112" i="19"/>
  <c r="BS30" i="19"/>
  <c r="BS89" i="19"/>
  <c r="BS123" i="19"/>
  <c r="BS25" i="19"/>
  <c r="BS74" i="19"/>
  <c r="BS51" i="19"/>
  <c r="BS47" i="19"/>
  <c r="BS77" i="19"/>
  <c r="BS85" i="19"/>
  <c r="BS18" i="19"/>
  <c r="BS41" i="19"/>
  <c r="BS70" i="19"/>
  <c r="BS49" i="19"/>
  <c r="BS96" i="19"/>
  <c r="BS87" i="19"/>
  <c r="BS17" i="19"/>
  <c r="BS122" i="19"/>
  <c r="BS102" i="19"/>
  <c r="BS120" i="19"/>
  <c r="BS80" i="19"/>
  <c r="BS61" i="19"/>
  <c r="BS14" i="19"/>
  <c r="BS116" i="19"/>
  <c r="BS101" i="19"/>
  <c r="BS19" i="19"/>
  <c r="BS99" i="19"/>
  <c r="BS59" i="19"/>
  <c r="AQ67" i="19"/>
  <c r="AQ103" i="19"/>
  <c r="AQ106" i="19"/>
  <c r="AQ96" i="19"/>
  <c r="AQ99" i="19"/>
  <c r="AQ80" i="19"/>
  <c r="AQ91" i="19"/>
  <c r="AQ22" i="19"/>
  <c r="AQ55" i="19"/>
  <c r="AQ102" i="19"/>
  <c r="AQ93" i="19"/>
  <c r="AQ89" i="19"/>
  <c r="AQ21" i="19"/>
  <c r="AQ111" i="19"/>
  <c r="AQ16" i="19"/>
  <c r="AQ30" i="19"/>
  <c r="AQ85" i="19"/>
  <c r="AQ56" i="19"/>
  <c r="AQ65" i="19"/>
  <c r="AQ109" i="19"/>
  <c r="AQ34" i="19"/>
  <c r="AQ79" i="19"/>
  <c r="AQ33" i="19"/>
  <c r="AQ95" i="19"/>
  <c r="AQ84" i="19"/>
  <c r="AQ20" i="19"/>
  <c r="AQ66" i="19"/>
  <c r="AQ74" i="19"/>
  <c r="AQ120" i="19"/>
  <c r="AQ119" i="19"/>
  <c r="AQ117" i="19"/>
  <c r="AQ57" i="19"/>
  <c r="AQ97" i="19"/>
  <c r="AQ81" i="19"/>
  <c r="AQ48" i="19"/>
  <c r="AQ108" i="19"/>
  <c r="AQ116" i="19"/>
  <c r="AQ123" i="19"/>
  <c r="AQ113" i="19"/>
  <c r="AQ88" i="19"/>
  <c r="AQ42" i="19"/>
  <c r="AQ98" i="19"/>
  <c r="AQ37" i="19"/>
  <c r="AQ70" i="19"/>
  <c r="AQ68" i="19"/>
  <c r="AQ82" i="19"/>
  <c r="AQ19" i="19"/>
  <c r="AQ49" i="19"/>
  <c r="AQ23" i="19"/>
  <c r="AQ75" i="19"/>
  <c r="AQ26" i="19"/>
  <c r="AQ110" i="19"/>
  <c r="AQ35" i="19"/>
  <c r="AQ94" i="19"/>
  <c r="AQ121" i="19"/>
  <c r="AQ43" i="19"/>
  <c r="AQ28" i="19"/>
  <c r="AQ83" i="19"/>
  <c r="AQ31" i="19"/>
  <c r="AQ62" i="19"/>
  <c r="AQ73" i="19"/>
  <c r="AQ38" i="19"/>
  <c r="AQ41" i="19"/>
  <c r="AQ44" i="19"/>
  <c r="AQ47" i="19"/>
  <c r="AQ36" i="19"/>
  <c r="AQ118" i="19"/>
  <c r="AQ114" i="19"/>
  <c r="AQ54" i="19"/>
  <c r="AQ15" i="19"/>
  <c r="AQ12" i="19"/>
  <c r="AQ17" i="19"/>
  <c r="AQ100" i="19"/>
  <c r="AQ115" i="19"/>
  <c r="AQ69" i="19"/>
  <c r="AQ87" i="19"/>
  <c r="AQ92" i="19"/>
  <c r="AQ14" i="19"/>
  <c r="AQ39" i="19"/>
  <c r="AQ64" i="19"/>
  <c r="AQ58" i="19"/>
  <c r="AQ77" i="19"/>
  <c r="AQ59" i="19"/>
  <c r="AQ27" i="19"/>
  <c r="AQ90" i="19"/>
  <c r="AQ76" i="19"/>
  <c r="AQ25" i="19"/>
  <c r="AQ45" i="19"/>
  <c r="AQ46" i="19"/>
  <c r="AQ78" i="19"/>
  <c r="AQ50" i="19"/>
  <c r="AQ105" i="19"/>
  <c r="AQ52" i="19"/>
  <c r="AQ18" i="19"/>
  <c r="AQ107" i="19"/>
  <c r="AQ104" i="19"/>
  <c r="AQ63" i="19"/>
  <c r="AQ13" i="19"/>
  <c r="AQ101" i="19"/>
  <c r="AQ122" i="19"/>
  <c r="AQ51" i="19"/>
  <c r="AQ40" i="19"/>
  <c r="AQ24" i="19"/>
  <c r="AQ112" i="19"/>
  <c r="AQ86" i="19"/>
  <c r="AQ53" i="19"/>
  <c r="AQ61" i="19"/>
  <c r="AQ60" i="19"/>
  <c r="AQ29" i="19"/>
  <c r="AQ124" i="19"/>
  <c r="AQ72" i="19"/>
  <c r="AQ71" i="19"/>
  <c r="AQ32" i="19"/>
  <c r="BK34" i="19"/>
  <c r="BK110" i="19"/>
  <c r="BK83" i="19"/>
  <c r="BK121" i="19"/>
  <c r="BK56" i="19"/>
  <c r="BK112" i="19"/>
  <c r="BK68" i="19"/>
  <c r="BK25" i="19"/>
  <c r="BK92" i="19"/>
  <c r="BK32" i="19"/>
  <c r="BK71" i="19"/>
  <c r="BK93" i="19"/>
  <c r="BK48" i="19"/>
  <c r="BK28" i="19"/>
  <c r="BK12" i="19"/>
  <c r="BK107" i="19"/>
  <c r="BK53" i="19"/>
  <c r="BK108" i="19"/>
  <c r="BK35" i="19"/>
  <c r="BK118" i="19"/>
  <c r="BK76" i="19"/>
  <c r="BK101" i="19"/>
  <c r="BK72" i="19"/>
  <c r="BK122" i="19"/>
  <c r="BK105" i="19"/>
  <c r="BK113" i="19"/>
  <c r="BK63" i="19"/>
  <c r="BK119" i="19"/>
  <c r="BK30" i="19"/>
  <c r="BK54" i="19"/>
  <c r="BK59" i="19"/>
  <c r="BK96" i="19"/>
  <c r="BK20" i="19"/>
  <c r="BK18" i="19"/>
  <c r="BK117" i="19"/>
  <c r="BK79" i="19"/>
  <c r="BK44" i="19"/>
  <c r="BK64" i="19"/>
  <c r="BK49" i="19"/>
  <c r="BK45" i="19"/>
  <c r="BK24" i="19"/>
  <c r="BK33" i="19"/>
  <c r="BK80" i="19"/>
  <c r="BK23" i="19"/>
  <c r="BK37" i="19"/>
  <c r="BK97" i="19"/>
  <c r="BK109" i="19"/>
  <c r="BK58" i="19"/>
  <c r="BK60" i="19"/>
  <c r="BK26" i="19"/>
  <c r="BK88" i="19"/>
  <c r="BK40" i="19"/>
  <c r="BK99" i="19"/>
  <c r="BK78" i="19"/>
  <c r="BK42" i="19"/>
  <c r="BK51" i="19"/>
  <c r="BK75" i="19"/>
  <c r="BK81" i="19"/>
  <c r="BK84" i="19"/>
  <c r="BK21" i="19"/>
  <c r="BK104" i="19"/>
  <c r="BK74" i="19"/>
  <c r="BK69" i="19"/>
  <c r="BK103" i="19"/>
  <c r="BK94" i="19"/>
  <c r="BK95" i="19"/>
  <c r="BK19" i="19"/>
  <c r="BK100" i="19"/>
  <c r="BK14" i="19"/>
  <c r="BK43" i="19"/>
  <c r="BK15" i="19"/>
  <c r="BK86" i="19"/>
  <c r="BK82" i="19"/>
  <c r="BK57" i="19"/>
  <c r="BK62" i="19"/>
  <c r="BK61" i="19"/>
  <c r="BK55" i="19"/>
  <c r="BK67" i="19"/>
  <c r="BK120" i="19"/>
  <c r="BK16" i="19"/>
  <c r="BK17" i="19"/>
  <c r="BK29" i="19"/>
  <c r="BK66" i="19"/>
  <c r="BK36" i="19"/>
  <c r="BK13" i="19"/>
  <c r="BK22" i="19"/>
  <c r="BK89" i="19"/>
  <c r="BK87" i="19"/>
  <c r="BK114" i="19"/>
  <c r="BK123" i="19"/>
  <c r="BK116" i="19"/>
  <c r="BK31" i="19"/>
  <c r="BK124" i="19"/>
  <c r="BK91" i="19"/>
  <c r="BK98" i="19"/>
  <c r="BK50" i="19"/>
  <c r="BK73" i="19"/>
  <c r="BK27" i="19"/>
  <c r="BK38" i="19"/>
  <c r="BK77" i="19"/>
  <c r="BK41" i="19"/>
  <c r="BK52" i="19"/>
  <c r="BK39" i="19"/>
  <c r="BK47" i="19"/>
  <c r="BK46" i="19"/>
  <c r="BK90" i="19"/>
  <c r="BK65" i="19"/>
  <c r="BK111" i="19"/>
  <c r="BK85" i="19"/>
  <c r="BK102" i="19"/>
  <c r="BK106" i="19"/>
  <c r="BK70" i="19"/>
  <c r="BK115" i="19"/>
  <c r="BW12" i="19"/>
  <c r="BW59" i="19"/>
  <c r="BW124" i="19"/>
  <c r="BW46" i="19"/>
  <c r="BW22" i="19"/>
  <c r="BW83" i="19"/>
  <c r="BW97" i="19"/>
  <c r="BW34" i="19"/>
  <c r="BW86" i="19"/>
  <c r="BW15" i="19"/>
  <c r="BW78" i="19"/>
  <c r="BW48" i="19"/>
  <c r="BW14" i="19"/>
  <c r="BW101" i="19"/>
  <c r="BW43" i="19"/>
  <c r="BW109" i="19"/>
  <c r="BW28" i="19"/>
  <c r="BW99" i="19"/>
  <c r="BW89" i="19"/>
  <c r="BW62" i="19"/>
  <c r="BW119" i="19"/>
  <c r="BW73" i="19"/>
  <c r="BW44" i="19"/>
  <c r="BW108" i="19"/>
  <c r="BW40" i="19"/>
  <c r="BW41" i="19"/>
  <c r="BW30" i="19"/>
  <c r="BW32" i="19"/>
  <c r="BW118" i="19"/>
  <c r="BW92" i="19"/>
  <c r="BW37" i="19"/>
  <c r="BW64" i="19"/>
  <c r="BW84" i="19"/>
  <c r="BW77" i="19"/>
  <c r="BW33" i="19"/>
  <c r="BW88" i="19"/>
  <c r="BW68" i="19"/>
  <c r="BW95" i="19"/>
  <c r="BW51" i="19"/>
  <c r="BW24" i="19"/>
  <c r="BW27" i="19"/>
  <c r="BW81" i="19"/>
  <c r="BW106" i="19"/>
  <c r="BW90" i="19"/>
  <c r="BW112" i="19"/>
  <c r="BW71" i="19"/>
  <c r="BW104" i="19"/>
  <c r="BW117" i="19"/>
  <c r="BW113" i="19"/>
  <c r="BW120" i="19"/>
  <c r="BW111" i="19"/>
  <c r="BW21" i="19"/>
  <c r="BW102" i="19"/>
  <c r="BW67" i="19"/>
  <c r="BW53" i="19"/>
  <c r="BW122" i="19"/>
  <c r="BW23" i="19"/>
  <c r="BW93" i="19"/>
  <c r="BW55" i="19"/>
  <c r="BW45" i="19"/>
  <c r="BW115" i="19"/>
  <c r="BW13" i="19"/>
  <c r="BW38" i="19"/>
  <c r="BW96" i="19"/>
  <c r="BW114" i="19"/>
  <c r="BW65" i="19"/>
  <c r="BW82" i="19"/>
  <c r="BW36" i="19"/>
  <c r="BW80" i="19"/>
  <c r="BW35" i="19"/>
  <c r="BW107" i="19"/>
  <c r="BW123" i="19"/>
  <c r="BW57" i="19"/>
  <c r="BW31" i="19"/>
  <c r="BW54" i="19"/>
  <c r="BW105" i="19"/>
  <c r="BW91" i="19"/>
  <c r="BW50" i="19"/>
  <c r="BW94" i="19"/>
  <c r="BW52" i="19"/>
  <c r="BW25" i="19"/>
  <c r="BW56" i="19"/>
  <c r="BW74" i="19"/>
  <c r="BW49" i="19"/>
  <c r="BW103" i="19"/>
  <c r="BW19" i="19"/>
  <c r="BW66" i="19"/>
  <c r="BW110" i="19"/>
  <c r="BW39" i="19"/>
  <c r="BW58" i="19"/>
  <c r="BW47" i="19"/>
  <c r="BW20" i="19"/>
  <c r="BW17" i="19"/>
  <c r="BW70" i="19"/>
  <c r="BW100" i="19"/>
  <c r="BW116" i="19"/>
  <c r="BW98" i="19"/>
  <c r="BW29" i="19"/>
  <c r="BW16" i="19"/>
  <c r="BW61" i="19"/>
  <c r="BW69" i="19"/>
  <c r="BW75" i="19"/>
  <c r="BW72" i="19"/>
  <c r="BW79" i="19"/>
  <c r="BW87" i="19"/>
  <c r="BW85" i="19"/>
  <c r="BW76" i="19"/>
  <c r="BW18" i="19"/>
  <c r="BW42" i="19"/>
  <c r="BW60" i="19"/>
  <c r="BW26" i="19"/>
  <c r="BW121" i="19"/>
  <c r="BW63" i="19"/>
  <c r="CE20" i="22"/>
  <c r="CE21" i="22"/>
  <c r="CE115" i="22"/>
  <c r="CE90" i="22"/>
  <c r="CE117" i="22"/>
  <c r="CE82" i="22"/>
  <c r="CE60" i="22"/>
  <c r="CE121" i="22"/>
  <c r="CE14" i="22"/>
  <c r="CE55" i="22"/>
  <c r="CE66" i="22"/>
  <c r="CE88" i="22"/>
  <c r="CE110" i="22"/>
  <c r="CE54" i="22"/>
  <c r="CE23" i="22"/>
  <c r="CE72" i="22"/>
  <c r="CE19" i="22"/>
  <c r="CE119" i="22"/>
  <c r="CE52" i="22"/>
  <c r="CE111" i="22"/>
  <c r="CE89" i="22"/>
  <c r="CE13" i="22"/>
  <c r="CE94" i="22"/>
  <c r="CE91" i="22"/>
  <c r="CE45" i="22"/>
  <c r="CE100" i="22"/>
  <c r="CE84" i="22"/>
  <c r="CE116" i="22"/>
  <c r="CE76" i="22"/>
  <c r="CE46" i="22"/>
  <c r="CE34" i="22"/>
  <c r="CE103" i="22"/>
  <c r="CE44" i="22"/>
  <c r="CE113" i="22"/>
  <c r="CE30" i="22"/>
  <c r="CE27" i="22"/>
  <c r="CE28" i="22"/>
  <c r="CE108" i="22"/>
  <c r="CE17" i="22"/>
  <c r="CE48" i="22"/>
  <c r="CE32" i="22"/>
  <c r="CE123" i="22"/>
  <c r="CE109" i="22"/>
  <c r="CE83" i="22"/>
  <c r="CE50" i="22"/>
  <c r="CE59" i="22"/>
  <c r="CE69" i="22"/>
  <c r="CE92" i="22"/>
  <c r="CE86" i="22"/>
  <c r="CE67" i="22"/>
  <c r="CE65" i="22"/>
  <c r="CE42" i="22"/>
  <c r="CE77" i="22"/>
  <c r="CE104" i="22"/>
  <c r="CE43" i="22"/>
  <c r="CE98" i="22"/>
  <c r="CE71" i="22"/>
  <c r="CE70" i="22"/>
  <c r="CE25" i="22"/>
  <c r="CE107" i="22"/>
  <c r="CE102" i="22"/>
  <c r="CE37" i="22"/>
  <c r="CE16" i="22"/>
  <c r="CE29" i="22"/>
  <c r="CE51" i="22"/>
  <c r="CE118" i="22"/>
  <c r="CE114" i="22"/>
  <c r="CE73" i="22"/>
  <c r="CE49" i="22"/>
  <c r="CE106" i="22"/>
  <c r="CE120" i="22"/>
  <c r="CE93" i="22"/>
  <c r="CE80" i="22"/>
  <c r="CE95" i="22"/>
  <c r="CE47" i="22"/>
  <c r="CE35" i="22"/>
  <c r="CE57" i="22"/>
  <c r="CE33" i="22"/>
  <c r="CE36" i="22"/>
  <c r="CE101" i="22"/>
  <c r="CE58" i="22"/>
  <c r="CE53" i="22"/>
  <c r="CE64" i="22"/>
  <c r="CE31" i="22"/>
  <c r="CE56" i="22"/>
  <c r="CE75" i="22"/>
  <c r="CE61" i="22"/>
  <c r="CE96" i="22"/>
  <c r="CE74" i="22"/>
  <c r="CE99" i="22"/>
  <c r="CE124" i="22"/>
  <c r="CE41" i="22"/>
  <c r="CE22" i="22"/>
  <c r="CE39" i="22"/>
  <c r="CE105" i="22"/>
  <c r="CE62" i="22"/>
  <c r="CE112" i="22"/>
  <c r="CE87" i="22"/>
  <c r="CE78" i="22"/>
  <c r="CE63" i="22"/>
  <c r="CE18" i="22"/>
  <c r="CE68" i="22"/>
  <c r="CE12" i="22"/>
  <c r="CE97" i="22"/>
  <c r="CE15" i="22"/>
  <c r="CE81" i="22"/>
  <c r="CE79" i="22"/>
  <c r="CE122" i="22"/>
  <c r="CE26" i="22"/>
  <c r="CE40" i="22"/>
  <c r="CE85" i="22"/>
  <c r="CE38" i="22"/>
  <c r="CE24" i="22"/>
  <c r="CA12" i="21"/>
  <c r="CA72" i="21"/>
  <c r="CA28" i="21"/>
  <c r="CA108" i="21"/>
  <c r="CA64" i="21"/>
  <c r="CA101" i="21"/>
  <c r="CA67" i="21"/>
  <c r="CA63" i="21"/>
  <c r="CA27" i="21"/>
  <c r="CA92" i="21"/>
  <c r="CA86" i="21"/>
  <c r="CA83" i="21"/>
  <c r="CA99" i="21"/>
  <c r="CA78" i="21"/>
  <c r="CA75" i="21"/>
  <c r="CA54" i="21"/>
  <c r="CA49" i="21"/>
  <c r="CA45" i="21"/>
  <c r="CA46" i="21"/>
  <c r="CA26" i="21"/>
  <c r="CA104" i="21"/>
  <c r="CA123" i="21"/>
  <c r="CA40" i="21"/>
  <c r="CA107" i="21"/>
  <c r="CA94" i="21"/>
  <c r="CA110" i="21"/>
  <c r="CA24" i="21"/>
  <c r="CA57" i="21"/>
  <c r="CA87" i="21"/>
  <c r="CA42" i="21"/>
  <c r="CA34" i="21"/>
  <c r="CA58" i="21"/>
  <c r="CA77" i="21"/>
  <c r="CA102" i="21"/>
  <c r="CA51" i="21"/>
  <c r="CA32" i="21"/>
  <c r="CA117" i="21"/>
  <c r="CA69" i="21"/>
  <c r="CA56" i="21"/>
  <c r="CA48" i="21"/>
  <c r="CA55" i="21"/>
  <c r="CA21" i="21"/>
  <c r="CA22" i="21"/>
  <c r="CA37" i="21"/>
  <c r="CA74" i="21"/>
  <c r="CA61" i="21"/>
  <c r="CA31" i="21"/>
  <c r="CA111" i="21"/>
  <c r="CA30" i="21"/>
  <c r="CA13" i="21"/>
  <c r="CA89" i="21"/>
  <c r="CA80" i="21"/>
  <c r="CA105" i="21"/>
  <c r="CA95" i="21"/>
  <c r="CA82" i="21"/>
  <c r="CA85" i="21"/>
  <c r="CA109" i="21"/>
  <c r="CA23" i="21"/>
  <c r="CA115" i="21"/>
  <c r="CA113" i="21"/>
  <c r="CA50" i="21"/>
  <c r="CA20" i="21"/>
  <c r="CA70" i="21"/>
  <c r="CA103" i="21"/>
  <c r="CA66" i="21"/>
  <c r="CA71" i="21"/>
  <c r="CA36" i="21"/>
  <c r="CA114" i="21"/>
  <c r="CA33" i="21"/>
  <c r="CA47" i="21"/>
  <c r="CA116" i="21"/>
  <c r="CA81" i="21"/>
  <c r="CA106" i="21"/>
  <c r="CA112" i="21"/>
  <c r="CA38" i="21"/>
  <c r="CA25" i="21"/>
  <c r="CA18" i="21"/>
  <c r="CA41" i="21"/>
  <c r="CA68" i="21"/>
  <c r="CA93" i="21"/>
  <c r="CA65" i="21"/>
  <c r="CA120" i="21"/>
  <c r="CA97" i="21"/>
  <c r="CA119" i="21"/>
  <c r="CA39" i="21"/>
  <c r="CA76" i="21"/>
  <c r="CA88" i="21"/>
  <c r="CA121" i="21"/>
  <c r="CA96" i="21"/>
  <c r="CA73" i="21"/>
  <c r="CA16" i="21"/>
  <c r="CA19" i="21"/>
  <c r="CA14" i="21"/>
  <c r="CA118" i="21"/>
  <c r="CA15" i="21"/>
  <c r="CA59" i="21"/>
  <c r="CA84" i="21"/>
  <c r="CA124" i="21"/>
  <c r="CA17" i="21"/>
  <c r="CA62" i="21"/>
  <c r="CA98" i="21"/>
  <c r="CA79" i="21"/>
  <c r="CA53" i="21"/>
  <c r="CA100" i="21"/>
  <c r="CA90" i="21"/>
  <c r="CA91" i="21"/>
  <c r="CA52" i="21"/>
  <c r="CA122" i="21"/>
  <c r="CA35" i="21"/>
  <c r="CA29" i="21"/>
  <c r="CA44" i="21"/>
  <c r="CA60" i="21"/>
  <c r="CA43" i="21"/>
  <c r="W76" i="6"/>
  <c r="Z76" i="6"/>
  <c r="Z46" i="6"/>
  <c r="W46" i="6"/>
  <c r="Z59" i="6"/>
  <c r="W59" i="6"/>
  <c r="Z79" i="6"/>
  <c r="W79" i="6"/>
  <c r="AD22" i="6"/>
  <c r="Z53" i="6"/>
  <c r="W53" i="6"/>
  <c r="AD77" i="6"/>
  <c r="Z90" i="6"/>
  <c r="W90" i="6"/>
  <c r="Z75" i="6"/>
  <c r="W75" i="6"/>
  <c r="AD10" i="6"/>
  <c r="Z41" i="6"/>
  <c r="W41" i="6"/>
  <c r="AD32" i="6"/>
  <c r="Z29" i="6"/>
  <c r="W29" i="6"/>
  <c r="W27" i="6"/>
  <c r="Z27" i="6"/>
  <c r="Z30" i="6"/>
  <c r="W30" i="6"/>
  <c r="AD43" i="6"/>
  <c r="Z113" i="6"/>
  <c r="W113" i="6"/>
  <c r="AD50" i="6"/>
  <c r="Z54" i="6"/>
  <c r="W54" i="6"/>
  <c r="AD40" i="6"/>
  <c r="Z108" i="6"/>
  <c r="W108" i="6"/>
  <c r="Z34" i="6"/>
  <c r="W34" i="6"/>
  <c r="AD103" i="6"/>
  <c r="AD25" i="6"/>
  <c r="W51" i="6"/>
  <c r="Z51" i="6"/>
  <c r="AD61" i="6"/>
  <c r="AD63" i="6"/>
  <c r="AD70" i="6"/>
  <c r="BL12" i="8" l="1"/>
  <c r="AF58" i="22"/>
  <c r="AF94" i="22"/>
  <c r="AF103" i="22"/>
  <c r="BL12" i="19"/>
  <c r="BT12" i="19"/>
  <c r="CB12" i="19"/>
  <c r="AR12" i="19"/>
  <c r="BD12" i="19"/>
  <c r="CF12" i="8"/>
  <c r="CF12" i="19"/>
  <c r="AR12" i="8"/>
  <c r="BT12" i="8"/>
  <c r="BX12" i="19"/>
  <c r="AF31" i="22"/>
  <c r="CB12" i="8"/>
  <c r="AF27" i="22"/>
  <c r="AF48" i="8"/>
  <c r="AF64" i="22"/>
  <c r="AF83" i="22"/>
  <c r="AF22" i="22"/>
  <c r="AF85" i="22"/>
  <c r="AF19" i="22"/>
  <c r="CJ120" i="22"/>
  <c r="AF39" i="22"/>
  <c r="AF101" i="22"/>
  <c r="AF20" i="22"/>
  <c r="AF45" i="22"/>
  <c r="AF81" i="22"/>
  <c r="CJ121" i="22"/>
  <c r="AF118" i="22"/>
  <c r="AF38" i="22"/>
  <c r="AF18" i="22"/>
  <c r="AF123" i="22"/>
  <c r="AF57" i="22"/>
  <c r="AF86" i="22"/>
  <c r="AF29" i="22"/>
  <c r="AF105" i="22"/>
  <c r="AF67" i="22"/>
  <c r="AF37" i="22"/>
  <c r="AF24" i="22"/>
  <c r="AF79" i="22"/>
  <c r="AF33" i="22"/>
  <c r="AF36" i="22"/>
  <c r="AF119" i="22"/>
  <c r="AF41" i="22"/>
  <c r="BX12" i="22"/>
  <c r="AF80" i="22"/>
  <c r="AF62" i="22"/>
  <c r="AF68" i="22"/>
  <c r="AF15" i="22"/>
  <c r="BD12" i="22"/>
  <c r="CB12" i="22"/>
  <c r="CJ12" i="22"/>
  <c r="CF12" i="22"/>
  <c r="BL12" i="22"/>
  <c r="CB12" i="21"/>
  <c r="AF84" i="22"/>
  <c r="AF99" i="22"/>
  <c r="AF46" i="22"/>
  <c r="X116" i="6"/>
  <c r="AV12" i="19"/>
  <c r="AF21" i="22"/>
  <c r="AF87" i="22"/>
  <c r="AF43" i="22"/>
  <c r="BD12" i="8"/>
  <c r="AF107" i="22"/>
  <c r="AN12" i="8"/>
  <c r="AF104" i="22"/>
  <c r="AF61" i="22"/>
  <c r="AF66" i="22"/>
  <c r="AF26" i="22"/>
  <c r="AA116" i="6"/>
  <c r="AF34" i="22"/>
  <c r="CJ115" i="22"/>
  <c r="AF55" i="22"/>
  <c r="AF17" i="22"/>
  <c r="AF93" i="22"/>
  <c r="AF108" i="22"/>
  <c r="AF102" i="22"/>
  <c r="AF122" i="22"/>
  <c r="AF116" i="22"/>
  <c r="AF59" i="22"/>
  <c r="AA113" i="6"/>
  <c r="AF72" i="22"/>
  <c r="AF75" i="22"/>
  <c r="AF30" i="22"/>
  <c r="AF120" i="22"/>
  <c r="AF23" i="22"/>
  <c r="AF50" i="22"/>
  <c r="AF49" i="22"/>
  <c r="AF100" i="22"/>
  <c r="AF115" i="22"/>
  <c r="AF90" i="22"/>
  <c r="AF52" i="22"/>
  <c r="AF110" i="22"/>
  <c r="AF47" i="22"/>
  <c r="AF113" i="22"/>
  <c r="AF97" i="22"/>
  <c r="AF60" i="22"/>
  <c r="AF13" i="22"/>
  <c r="AF28" i="22"/>
  <c r="AF25" i="22"/>
  <c r="AF44" i="22"/>
  <c r="X113" i="6"/>
  <c r="AF109" i="22"/>
  <c r="AF95" i="22"/>
  <c r="AF53" i="22"/>
  <c r="AF51" i="22"/>
  <c r="AF77" i="22"/>
  <c r="AF92" i="22"/>
  <c r="AF124" i="22"/>
  <c r="AF89" i="22"/>
  <c r="AF91" i="22"/>
  <c r="AF71" i="22"/>
  <c r="AF114" i="22"/>
  <c r="AF65" i="22"/>
  <c r="AF82" i="22"/>
  <c r="AF54" i="22"/>
  <c r="AF48" i="22"/>
  <c r="AF112" i="22"/>
  <c r="AF78" i="22"/>
  <c r="AF111" i="22"/>
  <c r="AF63" i="22"/>
  <c r="AF117" i="22"/>
  <c r="AF88" i="22"/>
  <c r="AF121" i="22"/>
  <c r="AF106" i="22"/>
  <c r="AF32" i="22"/>
  <c r="AF16" i="22"/>
  <c r="AF98" i="22"/>
  <c r="AF56" i="22"/>
  <c r="AF42" i="22"/>
  <c r="AF76" i="22"/>
  <c r="AF70" i="22"/>
  <c r="AF96" i="22"/>
  <c r="AF74" i="22"/>
  <c r="AF69" i="22"/>
  <c r="AF40" i="22"/>
  <c r="AF73" i="22"/>
  <c r="AF35" i="22"/>
  <c r="AF14" i="22"/>
  <c r="CI118" i="22"/>
  <c r="CJ118" i="22" s="1"/>
  <c r="X79" i="6"/>
  <c r="AF116" i="21"/>
  <c r="AA34" i="6"/>
  <c r="AA27" i="6"/>
  <c r="X34" i="6"/>
  <c r="AA29" i="6"/>
  <c r="AA90" i="6"/>
  <c r="AA59" i="6"/>
  <c r="AA101" i="6"/>
  <c r="AA78" i="6"/>
  <c r="X62" i="6"/>
  <c r="AG124" i="21"/>
  <c r="AH124" i="21" s="1"/>
  <c r="Z124" i="21"/>
  <c r="AA124" i="21" s="1"/>
  <c r="Z123" i="21"/>
  <c r="AG123" i="21"/>
  <c r="AE108" i="19"/>
  <c r="Y108" i="19"/>
  <c r="AE105" i="19"/>
  <c r="Y105" i="19"/>
  <c r="Y12" i="19"/>
  <c r="BJ13" i="19" s="1"/>
  <c r="AE12" i="19"/>
  <c r="Y48" i="19"/>
  <c r="AE48" i="19"/>
  <c r="Y51" i="19"/>
  <c r="AE51" i="19"/>
  <c r="AE77" i="19"/>
  <c r="Y77" i="19"/>
  <c r="AE30" i="19"/>
  <c r="Y30" i="19"/>
  <c r="Y63" i="19"/>
  <c r="AE63" i="19"/>
  <c r="Y70" i="19"/>
  <c r="AE70" i="19"/>
  <c r="Y17" i="19"/>
  <c r="AE17" i="19"/>
  <c r="AE116" i="19"/>
  <c r="AI116" i="19" s="1"/>
  <c r="Y116" i="19"/>
  <c r="AE52" i="19"/>
  <c r="Y52" i="19"/>
  <c r="AE117" i="19"/>
  <c r="AI117" i="19" s="1"/>
  <c r="Y117" i="19"/>
  <c r="AE80" i="19"/>
  <c r="Y80" i="19"/>
  <c r="AE32" i="19"/>
  <c r="Y32" i="19"/>
  <c r="AA60" i="6"/>
  <c r="AA106" i="6"/>
  <c r="Y81" i="22"/>
  <c r="AE81" i="22"/>
  <c r="Y22" i="22"/>
  <c r="AE22" i="22"/>
  <c r="AE101" i="22"/>
  <c r="Y101" i="22"/>
  <c r="Y75" i="22"/>
  <c r="AE75" i="22"/>
  <c r="Y19" i="22"/>
  <c r="AE19" i="22"/>
  <c r="AE99" i="22"/>
  <c r="Y99" i="22"/>
  <c r="Y52" i="22"/>
  <c r="AE52" i="22"/>
  <c r="Y77" i="22"/>
  <c r="AE77" i="22"/>
  <c r="Y49" i="22"/>
  <c r="AE49" i="22"/>
  <c r="AE48" i="22"/>
  <c r="Y48" i="22"/>
  <c r="AE122" i="22"/>
  <c r="AI122" i="22" s="1"/>
  <c r="Y122" i="22"/>
  <c r="Y23" i="22"/>
  <c r="AE23" i="22"/>
  <c r="AE29" i="22"/>
  <c r="Y29" i="22"/>
  <c r="AE54" i="22"/>
  <c r="Y54" i="22"/>
  <c r="AE119" i="22"/>
  <c r="AI119" i="22" s="1"/>
  <c r="Y119" i="22"/>
  <c r="X77" i="6"/>
  <c r="X9" i="6"/>
  <c r="AA35" i="6"/>
  <c r="H14" i="6"/>
  <c r="H21" i="6" s="1"/>
  <c r="Z116" i="22"/>
  <c r="AG116" i="22"/>
  <c r="X103" i="8"/>
  <c r="AF103" i="8"/>
  <c r="AF47" i="8"/>
  <c r="X47" i="8"/>
  <c r="X108" i="8"/>
  <c r="AF108" i="8"/>
  <c r="X31" i="8"/>
  <c r="AF31" i="8"/>
  <c r="X24" i="8"/>
  <c r="AF24" i="8"/>
  <c r="X106" i="8"/>
  <c r="AF106" i="8"/>
  <c r="X107" i="8"/>
  <c r="AF107" i="8"/>
  <c r="X122" i="8"/>
  <c r="AB122" i="8" s="1"/>
  <c r="AF122" i="8"/>
  <c r="X72" i="8"/>
  <c r="AF72" i="8"/>
  <c r="AF64" i="8"/>
  <c r="X64" i="8"/>
  <c r="AF57" i="8"/>
  <c r="X57" i="8"/>
  <c r="X119" i="8"/>
  <c r="AB119" i="8" s="1"/>
  <c r="AF119" i="8"/>
  <c r="X67" i="8"/>
  <c r="AF67" i="8"/>
  <c r="AF62" i="21"/>
  <c r="AF44" i="21"/>
  <c r="AF74" i="21"/>
  <c r="AF16" i="21"/>
  <c r="AF104" i="21"/>
  <c r="AF14" i="21"/>
  <c r="AF30" i="21"/>
  <c r="AF60" i="21"/>
  <c r="AF90" i="21"/>
  <c r="AF29" i="21"/>
  <c r="AF36" i="21"/>
  <c r="AF40" i="21"/>
  <c r="AF86" i="21"/>
  <c r="AF97" i="21"/>
  <c r="AE105" i="21"/>
  <c r="Y105" i="21"/>
  <c r="Y63" i="21"/>
  <c r="AE63" i="21"/>
  <c r="AE53" i="21"/>
  <c r="Y53" i="21"/>
  <c r="Y39" i="21"/>
  <c r="AE39" i="21"/>
  <c r="AE47" i="21"/>
  <c r="Y47" i="21"/>
  <c r="Y80" i="21"/>
  <c r="AE80" i="21"/>
  <c r="AE120" i="21"/>
  <c r="AI120" i="21" s="1"/>
  <c r="Y120" i="21"/>
  <c r="Y26" i="21"/>
  <c r="AE26" i="21"/>
  <c r="Y54" i="21"/>
  <c r="AE54" i="21"/>
  <c r="AE122" i="21"/>
  <c r="AI122" i="21" s="1"/>
  <c r="Y122" i="21"/>
  <c r="Y23" i="21"/>
  <c r="AE23" i="21"/>
  <c r="Y19" i="21"/>
  <c r="AE19" i="21"/>
  <c r="AE22" i="21"/>
  <c r="Y22" i="21"/>
  <c r="AE70" i="21"/>
  <c r="Y70" i="21"/>
  <c r="CI113" i="22"/>
  <c r="CJ113" i="22" s="1"/>
  <c r="X92" i="6"/>
  <c r="X107" i="6"/>
  <c r="X39" i="6"/>
  <c r="AA26" i="6"/>
  <c r="Z123" i="19"/>
  <c r="AG123" i="19"/>
  <c r="Z118" i="19"/>
  <c r="AG118" i="19"/>
  <c r="AB119" i="21"/>
  <c r="AB118" i="21"/>
  <c r="AF41" i="19"/>
  <c r="AF23" i="19"/>
  <c r="AF17" i="19"/>
  <c r="AF58" i="19"/>
  <c r="AF64" i="19"/>
  <c r="AF37" i="19"/>
  <c r="AF26" i="19"/>
  <c r="AF18" i="19"/>
  <c r="AF99" i="19"/>
  <c r="AF78" i="19"/>
  <c r="AF69" i="19"/>
  <c r="AF79" i="19"/>
  <c r="AF118" i="19"/>
  <c r="AF21" i="19"/>
  <c r="X45" i="6"/>
  <c r="AA88" i="6"/>
  <c r="X8" i="6"/>
  <c r="Z115" i="8"/>
  <c r="AG115" i="8"/>
  <c r="AB115" i="22"/>
  <c r="CJ116" i="8"/>
  <c r="CJ115" i="8"/>
  <c r="CI114" i="22"/>
  <c r="CJ114" i="22" s="1"/>
  <c r="AA31" i="6"/>
  <c r="X14" i="6"/>
  <c r="X71" i="6"/>
  <c r="X85" i="6"/>
  <c r="AB121" i="19"/>
  <c r="AB124" i="19"/>
  <c r="AB120" i="19"/>
  <c r="AZ12" i="21"/>
  <c r="AA99" i="6"/>
  <c r="AA22" i="6"/>
  <c r="X28" i="6"/>
  <c r="AA82" i="6"/>
  <c r="X86" i="6"/>
  <c r="CF12" i="21"/>
  <c r="Y52" i="8"/>
  <c r="AE52" i="8"/>
  <c r="Y70" i="8"/>
  <c r="AE70" i="8"/>
  <c r="AE111" i="8"/>
  <c r="Y111" i="8"/>
  <c r="AE118" i="8"/>
  <c r="AI118" i="8" s="1"/>
  <c r="Y118" i="8"/>
  <c r="Y86" i="8"/>
  <c r="AE86" i="8"/>
  <c r="AE16" i="8"/>
  <c r="Y16" i="8"/>
  <c r="Y43" i="8"/>
  <c r="AE43" i="8"/>
  <c r="AE24" i="8"/>
  <c r="Y24" i="8"/>
  <c r="AE27" i="8"/>
  <c r="Y27" i="8"/>
  <c r="AE12" i="8"/>
  <c r="AI12" i="8" s="1"/>
  <c r="Y12" i="8"/>
  <c r="AE48" i="8"/>
  <c r="Y48" i="8"/>
  <c r="AE114" i="8"/>
  <c r="AI114" i="8" s="1"/>
  <c r="Y114" i="8"/>
  <c r="Y71" i="8"/>
  <c r="AE71" i="8"/>
  <c r="AE106" i="8"/>
  <c r="Y106" i="8"/>
  <c r="X101" i="6"/>
  <c r="X109" i="6"/>
  <c r="AA62" i="6"/>
  <c r="AG116" i="21"/>
  <c r="Z116" i="21"/>
  <c r="AE47" i="19"/>
  <c r="Y47" i="19"/>
  <c r="AE91" i="19"/>
  <c r="Y91" i="19"/>
  <c r="Y84" i="19"/>
  <c r="AE84" i="19"/>
  <c r="AE59" i="19"/>
  <c r="Y59" i="19"/>
  <c r="AE124" i="19"/>
  <c r="AI124" i="19" s="1"/>
  <c r="Y124" i="19"/>
  <c r="Y68" i="19"/>
  <c r="AE68" i="19"/>
  <c r="AE111" i="19"/>
  <c r="Y111" i="19"/>
  <c r="Y29" i="19"/>
  <c r="AE29" i="19"/>
  <c r="AE115" i="19"/>
  <c r="AI115" i="19" s="1"/>
  <c r="Y115" i="19"/>
  <c r="Y21" i="19"/>
  <c r="AE21" i="19"/>
  <c r="AE102" i="19"/>
  <c r="Y102" i="19"/>
  <c r="Y95" i="19"/>
  <c r="AE95" i="19"/>
  <c r="AE82" i="19"/>
  <c r="Y82" i="19"/>
  <c r="AE103" i="19"/>
  <c r="Y103" i="19"/>
  <c r="X44" i="6"/>
  <c r="X96" i="6"/>
  <c r="X65" i="6"/>
  <c r="Y79" i="22"/>
  <c r="AE79" i="22"/>
  <c r="AE69" i="22"/>
  <c r="Y69" i="22"/>
  <c r="Y37" i="22"/>
  <c r="AE37" i="22"/>
  <c r="AE92" i="22"/>
  <c r="Y92" i="22"/>
  <c r="AE18" i="22"/>
  <c r="Y18" i="22"/>
  <c r="AE65" i="22"/>
  <c r="Y65" i="22"/>
  <c r="AE117" i="22"/>
  <c r="AI117" i="22" s="1"/>
  <c r="Y117" i="22"/>
  <c r="Y97" i="22"/>
  <c r="AE97" i="22"/>
  <c r="Y116" i="22"/>
  <c r="AE116" i="22"/>
  <c r="AI116" i="22" s="1"/>
  <c r="Y47" i="22"/>
  <c r="AE47" i="22"/>
  <c r="AE113" i="22"/>
  <c r="AI113" i="22" s="1"/>
  <c r="Y113" i="22"/>
  <c r="Y36" i="22"/>
  <c r="AE36" i="22"/>
  <c r="Y17" i="22"/>
  <c r="AE17" i="22"/>
  <c r="AE88" i="22"/>
  <c r="Y88" i="22"/>
  <c r="AA77" i="6"/>
  <c r="AA9" i="6"/>
  <c r="AA87" i="6"/>
  <c r="X35" i="6"/>
  <c r="AG12" i="22"/>
  <c r="AM12" i="22"/>
  <c r="Z12" i="22"/>
  <c r="AG117" i="22"/>
  <c r="Z117" i="22"/>
  <c r="AG121" i="22"/>
  <c r="Z121" i="22"/>
  <c r="X58" i="8"/>
  <c r="AF58" i="8"/>
  <c r="X88" i="8"/>
  <c r="AF88" i="8"/>
  <c r="AF73" i="8"/>
  <c r="X73" i="8"/>
  <c r="AF12" i="8"/>
  <c r="X12" i="8"/>
  <c r="X51" i="8"/>
  <c r="AF51" i="8"/>
  <c r="X75" i="8"/>
  <c r="AF75" i="8"/>
  <c r="AF13" i="8"/>
  <c r="X13" i="8"/>
  <c r="X37" i="8"/>
  <c r="AF37" i="8"/>
  <c r="X46" i="8"/>
  <c r="AF46" i="8"/>
  <c r="X101" i="8"/>
  <c r="AF101" i="8"/>
  <c r="AF112" i="8"/>
  <c r="X112" i="8"/>
  <c r="X41" i="8"/>
  <c r="AF41" i="8"/>
  <c r="AF98" i="8"/>
  <c r="X98" i="8"/>
  <c r="AF20" i="21"/>
  <c r="AF84" i="21"/>
  <c r="AF68" i="21"/>
  <c r="AF115" i="21"/>
  <c r="AF27" i="21"/>
  <c r="AF112" i="21"/>
  <c r="AF120" i="21"/>
  <c r="AF28" i="21"/>
  <c r="AF121" i="21"/>
  <c r="AF35" i="21"/>
  <c r="AF26" i="21"/>
  <c r="AF64" i="21"/>
  <c r="AF31" i="21"/>
  <c r="AF85" i="21"/>
  <c r="AE73" i="21"/>
  <c r="Y73" i="21"/>
  <c r="AE17" i="21"/>
  <c r="Y17" i="21"/>
  <c r="Y33" i="21"/>
  <c r="AE33" i="21"/>
  <c r="AE86" i="21"/>
  <c r="Y86" i="21"/>
  <c r="Y25" i="21"/>
  <c r="AE25" i="21"/>
  <c r="AE68" i="21"/>
  <c r="Y68" i="21"/>
  <c r="Y58" i="21"/>
  <c r="AE58" i="21"/>
  <c r="AE12" i="21"/>
  <c r="AI12" i="21" s="1"/>
  <c r="Y12" i="21"/>
  <c r="BN13" i="21" s="1"/>
  <c r="Y35" i="21"/>
  <c r="AE35" i="21"/>
  <c r="Y29" i="21"/>
  <c r="AE29" i="21"/>
  <c r="AE61" i="21"/>
  <c r="Y61" i="21"/>
  <c r="Y24" i="21"/>
  <c r="AE24" i="21"/>
  <c r="Y118" i="21"/>
  <c r="AE118" i="21"/>
  <c r="AI118" i="21" s="1"/>
  <c r="AE45" i="21"/>
  <c r="Y45" i="21"/>
  <c r="AA92" i="6"/>
  <c r="AA107" i="6"/>
  <c r="AA68" i="6"/>
  <c r="X11" i="6"/>
  <c r="AG120" i="19"/>
  <c r="Z120" i="19"/>
  <c r="AG115" i="19"/>
  <c r="Z115" i="19"/>
  <c r="AB120" i="21"/>
  <c r="AB121" i="21"/>
  <c r="AB113" i="21"/>
  <c r="AB114" i="21"/>
  <c r="AB123" i="21"/>
  <c r="AF96" i="19"/>
  <c r="AF93" i="19"/>
  <c r="AF74" i="19"/>
  <c r="AF111" i="19"/>
  <c r="AF107" i="19"/>
  <c r="AF56" i="19"/>
  <c r="AF34" i="19"/>
  <c r="AF119" i="19"/>
  <c r="AF54" i="19"/>
  <c r="AF87" i="19"/>
  <c r="AF33" i="19"/>
  <c r="AF46" i="19"/>
  <c r="AF120" i="19"/>
  <c r="AF101" i="19"/>
  <c r="AN12" i="19"/>
  <c r="AF12" i="19"/>
  <c r="AA45" i="6"/>
  <c r="AA8" i="6"/>
  <c r="AG121" i="8"/>
  <c r="Z121" i="8"/>
  <c r="Z119" i="8"/>
  <c r="AG119" i="8"/>
  <c r="AB117" i="22"/>
  <c r="AB124" i="22"/>
  <c r="AB116" i="22"/>
  <c r="CJ114" i="8"/>
  <c r="CJ120" i="8"/>
  <c r="BH12" i="8"/>
  <c r="BH12" i="19"/>
  <c r="AV12" i="8"/>
  <c r="X31" i="6"/>
  <c r="AA14" i="6"/>
  <c r="AA85" i="6"/>
  <c r="AB12" i="19"/>
  <c r="AB115" i="19"/>
  <c r="BP12" i="19"/>
  <c r="BP12" i="8"/>
  <c r="AA117" i="6"/>
  <c r="X22" i="6"/>
  <c r="AA40" i="6"/>
  <c r="AA28" i="6"/>
  <c r="X82" i="6"/>
  <c r="AA86" i="6"/>
  <c r="AF100" i="8"/>
  <c r="AE110" i="8"/>
  <c r="Y110" i="8"/>
  <c r="AE81" i="8"/>
  <c r="Y81" i="8"/>
  <c r="Y65" i="8"/>
  <c r="AE65" i="8"/>
  <c r="AE98" i="8"/>
  <c r="Y98" i="8"/>
  <c r="Y84" i="8"/>
  <c r="AE84" i="8"/>
  <c r="Y40" i="8"/>
  <c r="AE40" i="8"/>
  <c r="AE79" i="8"/>
  <c r="Y79" i="8"/>
  <c r="AE53" i="8"/>
  <c r="Y53" i="8"/>
  <c r="AE95" i="8"/>
  <c r="Y95" i="8"/>
  <c r="AE61" i="8"/>
  <c r="Y61" i="8"/>
  <c r="AE51" i="8"/>
  <c r="Y51" i="8"/>
  <c r="AE88" i="8"/>
  <c r="Y88" i="8"/>
  <c r="Y23" i="8"/>
  <c r="AE23" i="8"/>
  <c r="Y82" i="8"/>
  <c r="AE82" i="8"/>
  <c r="X41" i="6"/>
  <c r="AA46" i="6"/>
  <c r="AA93" i="6"/>
  <c r="AA109" i="6"/>
  <c r="X42" i="6"/>
  <c r="AG120" i="21"/>
  <c r="Z120" i="21"/>
  <c r="Z113" i="21"/>
  <c r="AG113" i="21"/>
  <c r="Y31" i="19"/>
  <c r="AE31" i="19"/>
  <c r="AE41" i="19"/>
  <c r="Y41" i="19"/>
  <c r="Y122" i="19"/>
  <c r="AE122" i="19"/>
  <c r="AI122" i="19" s="1"/>
  <c r="AE66" i="19"/>
  <c r="Y66" i="19"/>
  <c r="Y119" i="19"/>
  <c r="AE119" i="19"/>
  <c r="AI119" i="19" s="1"/>
  <c r="AE73" i="19"/>
  <c r="Y73" i="19"/>
  <c r="Y44" i="19"/>
  <c r="AE44" i="19"/>
  <c r="AE50" i="19"/>
  <c r="Y50" i="19"/>
  <c r="Y22" i="19"/>
  <c r="AE22" i="19"/>
  <c r="Y90" i="19"/>
  <c r="AE90" i="19"/>
  <c r="AE98" i="19"/>
  <c r="Y98" i="19"/>
  <c r="AE49" i="19"/>
  <c r="Y49" i="19"/>
  <c r="AE96" i="19"/>
  <c r="Y96" i="19"/>
  <c r="Y19" i="19"/>
  <c r="AE19" i="19"/>
  <c r="AA44" i="6"/>
  <c r="X91" i="6"/>
  <c r="AA96" i="6"/>
  <c r="AA65" i="6"/>
  <c r="Y76" i="22"/>
  <c r="AE76" i="22"/>
  <c r="AE61" i="22"/>
  <c r="Y61" i="22"/>
  <c r="Y118" i="22"/>
  <c r="AE118" i="22"/>
  <c r="AI118" i="22" s="1"/>
  <c r="AE35" i="22"/>
  <c r="Y35" i="22"/>
  <c r="Y107" i="22"/>
  <c r="AE107" i="22"/>
  <c r="Y106" i="22"/>
  <c r="AE106" i="22"/>
  <c r="Y110" i="22"/>
  <c r="AE110" i="22"/>
  <c r="Y120" i="22"/>
  <c r="AE120" i="22"/>
  <c r="AI120" i="22" s="1"/>
  <c r="Y64" i="22"/>
  <c r="AE64" i="22"/>
  <c r="AE44" i="22"/>
  <c r="Y44" i="22"/>
  <c r="AE74" i="22"/>
  <c r="Y74" i="22"/>
  <c r="AE98" i="22"/>
  <c r="Y98" i="22"/>
  <c r="AE30" i="22"/>
  <c r="Y30" i="22"/>
  <c r="Y21" i="22"/>
  <c r="AE21" i="22"/>
  <c r="AA38" i="6"/>
  <c r="AA52" i="6"/>
  <c r="X87" i="6"/>
  <c r="AA104" i="6"/>
  <c r="Z115" i="22"/>
  <c r="AG115" i="22"/>
  <c r="AG123" i="22"/>
  <c r="Z123" i="22"/>
  <c r="X118" i="8"/>
  <c r="AB118" i="8" s="1"/>
  <c r="AF118" i="8"/>
  <c r="AF52" i="8"/>
  <c r="X52" i="8"/>
  <c r="X32" i="8"/>
  <c r="AF32" i="8"/>
  <c r="X86" i="8"/>
  <c r="AF86" i="8"/>
  <c r="X63" i="8"/>
  <c r="AF63" i="8"/>
  <c r="X15" i="8"/>
  <c r="AF15" i="8"/>
  <c r="X33" i="8"/>
  <c r="AF33" i="8"/>
  <c r="AF62" i="8"/>
  <c r="X62" i="8"/>
  <c r="X104" i="8"/>
  <c r="AF104" i="8"/>
  <c r="X27" i="8"/>
  <c r="AF27" i="8"/>
  <c r="X78" i="8"/>
  <c r="AF78" i="8"/>
  <c r="X96" i="8"/>
  <c r="AF96" i="8"/>
  <c r="AF23" i="8"/>
  <c r="X23" i="8"/>
  <c r="AF25" i="8"/>
  <c r="X25" i="8"/>
  <c r="AF68" i="8"/>
  <c r="X68" i="8"/>
  <c r="AV12" i="21"/>
  <c r="AF102" i="21"/>
  <c r="AF87" i="21"/>
  <c r="AF106" i="21"/>
  <c r="AF95" i="21"/>
  <c r="AF69" i="21"/>
  <c r="AF49" i="21"/>
  <c r="AF77" i="21"/>
  <c r="AF18" i="21"/>
  <c r="AF61" i="21"/>
  <c r="AF113" i="21"/>
  <c r="AF37" i="21"/>
  <c r="AF117" i="21"/>
  <c r="AF33" i="21"/>
  <c r="AF83" i="21"/>
  <c r="Y64" i="21"/>
  <c r="AE64" i="21"/>
  <c r="AE83" i="21"/>
  <c r="Y83" i="21"/>
  <c r="AE38" i="21"/>
  <c r="Y38" i="21"/>
  <c r="AE106" i="21"/>
  <c r="Y106" i="21"/>
  <c r="Y15" i="21"/>
  <c r="AE15" i="21"/>
  <c r="AE119" i="21"/>
  <c r="AI119" i="21" s="1"/>
  <c r="Y119" i="21"/>
  <c r="Y102" i="21"/>
  <c r="AE102" i="21"/>
  <c r="Y14" i="21"/>
  <c r="AE14" i="21"/>
  <c r="Y52" i="21"/>
  <c r="AE52" i="21"/>
  <c r="AE113" i="21"/>
  <c r="AI113" i="21" s="1"/>
  <c r="Y113" i="21"/>
  <c r="AE41" i="21"/>
  <c r="Y41" i="21"/>
  <c r="AE51" i="21"/>
  <c r="Y51" i="21"/>
  <c r="AE117" i="21"/>
  <c r="AI117" i="21" s="1"/>
  <c r="Y117" i="21"/>
  <c r="AE95" i="21"/>
  <c r="Y95" i="21"/>
  <c r="X94" i="6"/>
  <c r="X114" i="6"/>
  <c r="AA89" i="6"/>
  <c r="X68" i="6"/>
  <c r="AA11" i="6"/>
  <c r="AG122" i="19"/>
  <c r="Z122" i="19"/>
  <c r="AG119" i="19"/>
  <c r="Z119" i="19"/>
  <c r="AF85" i="19"/>
  <c r="AF60" i="19"/>
  <c r="AF32" i="19"/>
  <c r="AF55" i="19"/>
  <c r="AF40" i="19"/>
  <c r="AF24" i="19"/>
  <c r="AF30" i="19"/>
  <c r="AF44" i="19"/>
  <c r="AF106" i="19"/>
  <c r="AF84" i="19"/>
  <c r="AF105" i="19"/>
  <c r="AF114" i="19"/>
  <c r="AF110" i="19"/>
  <c r="AF98" i="19"/>
  <c r="CI116" i="22"/>
  <c r="CJ116" i="22" s="1"/>
  <c r="X111" i="6"/>
  <c r="X63" i="6"/>
  <c r="X58" i="6"/>
  <c r="X110" i="6"/>
  <c r="AG123" i="8"/>
  <c r="Z123" i="8"/>
  <c r="Z113" i="8"/>
  <c r="AG113" i="8"/>
  <c r="CJ122" i="8"/>
  <c r="CJ113" i="8"/>
  <c r="X67" i="6"/>
  <c r="AA24" i="6"/>
  <c r="X13" i="6"/>
  <c r="X7" i="6"/>
  <c r="H9" i="6" s="1"/>
  <c r="H8" i="6"/>
  <c r="AB117" i="19"/>
  <c r="CI124" i="22"/>
  <c r="CJ124" i="22" s="1"/>
  <c r="X117" i="6"/>
  <c r="X40" i="6"/>
  <c r="BL12" i="21"/>
  <c r="AE113" i="8"/>
  <c r="AI113" i="8" s="1"/>
  <c r="Y113" i="8"/>
  <c r="AE123" i="8"/>
  <c r="AI123" i="8" s="1"/>
  <c r="Y123" i="8"/>
  <c r="AE50" i="8"/>
  <c r="Y50" i="8"/>
  <c r="AE31" i="8"/>
  <c r="Y31" i="8"/>
  <c r="Y64" i="8"/>
  <c r="AE64" i="8"/>
  <c r="Y117" i="8"/>
  <c r="AE117" i="8"/>
  <c r="AI117" i="8" s="1"/>
  <c r="AE15" i="8"/>
  <c r="Y15" i="8"/>
  <c r="Y60" i="8"/>
  <c r="AE60" i="8"/>
  <c r="Y116" i="8"/>
  <c r="AE116" i="8"/>
  <c r="AI116" i="8" s="1"/>
  <c r="Y21" i="8"/>
  <c r="AE21" i="8"/>
  <c r="Y83" i="8"/>
  <c r="AE83" i="8"/>
  <c r="AE80" i="8"/>
  <c r="Y80" i="8"/>
  <c r="AE26" i="8"/>
  <c r="Y26" i="8"/>
  <c r="Y120" i="8"/>
  <c r="AE120" i="8"/>
  <c r="AI120" i="8" s="1"/>
  <c r="X51" i="6"/>
  <c r="X46" i="6"/>
  <c r="X108" i="6"/>
  <c r="X53" i="6"/>
  <c r="AA108" i="6"/>
  <c r="X30" i="6"/>
  <c r="AA41" i="6"/>
  <c r="AA53" i="6"/>
  <c r="AA76" i="6"/>
  <c r="X93" i="6"/>
  <c r="X56" i="6"/>
  <c r="AA42" i="6"/>
  <c r="AG12" i="21"/>
  <c r="Z12" i="21"/>
  <c r="AM12" i="21"/>
  <c r="Z114" i="21"/>
  <c r="AG114" i="21"/>
  <c r="BX12" i="21"/>
  <c r="AE45" i="19"/>
  <c r="Y45" i="19"/>
  <c r="AE104" i="19"/>
  <c r="Y104" i="19"/>
  <c r="AE79" i="19"/>
  <c r="Y79" i="19"/>
  <c r="Y110" i="19"/>
  <c r="AE110" i="19"/>
  <c r="AE83" i="19"/>
  <c r="Y83" i="19"/>
  <c r="AE109" i="19"/>
  <c r="Y109" i="19"/>
  <c r="AE81" i="19"/>
  <c r="Y81" i="19"/>
  <c r="AE58" i="19"/>
  <c r="Y58" i="19"/>
  <c r="AE40" i="19"/>
  <c r="Y40" i="19"/>
  <c r="Y88" i="19"/>
  <c r="AE88" i="19"/>
  <c r="Y106" i="19"/>
  <c r="AE106" i="19"/>
  <c r="AE107" i="19"/>
  <c r="Y107" i="19"/>
  <c r="AE97" i="19"/>
  <c r="Y97" i="19"/>
  <c r="Y101" i="19"/>
  <c r="AE101" i="19"/>
  <c r="X61" i="6"/>
  <c r="AA91" i="6"/>
  <c r="X50" i="6"/>
  <c r="AE67" i="22"/>
  <c r="Y67" i="22"/>
  <c r="AE121" i="22"/>
  <c r="AI121" i="22" s="1"/>
  <c r="Y121" i="22"/>
  <c r="AE38" i="22"/>
  <c r="Y38" i="22"/>
  <c r="AE115" i="22"/>
  <c r="AI115" i="22" s="1"/>
  <c r="Y115" i="22"/>
  <c r="AE73" i="22"/>
  <c r="Y73" i="22"/>
  <c r="Y16" i="22"/>
  <c r="AE16" i="22"/>
  <c r="AE124" i="22"/>
  <c r="AI124" i="22" s="1"/>
  <c r="Y124" i="22"/>
  <c r="Y14" i="22"/>
  <c r="AE14" i="22"/>
  <c r="AE27" i="22"/>
  <c r="Y27" i="22"/>
  <c r="AE57" i="22"/>
  <c r="Y57" i="22"/>
  <c r="AE71" i="22"/>
  <c r="Y71" i="22"/>
  <c r="AE109" i="22"/>
  <c r="Y109" i="22"/>
  <c r="Y46" i="22"/>
  <c r="AE46" i="22"/>
  <c r="Y62" i="22"/>
  <c r="AE62" i="22"/>
  <c r="X38" i="6"/>
  <c r="X52" i="6"/>
  <c r="X80" i="6"/>
  <c r="X104" i="6"/>
  <c r="Z122" i="22"/>
  <c r="AG122" i="22"/>
  <c r="X87" i="8"/>
  <c r="AF87" i="8"/>
  <c r="X22" i="8"/>
  <c r="AF22" i="8"/>
  <c r="AF20" i="8"/>
  <c r="X20" i="8"/>
  <c r="AF113" i="8"/>
  <c r="X113" i="8"/>
  <c r="AB113" i="8" s="1"/>
  <c r="AF111" i="8"/>
  <c r="X111" i="8"/>
  <c r="X109" i="8"/>
  <c r="AF109" i="8"/>
  <c r="AF59" i="8"/>
  <c r="X59" i="8"/>
  <c r="AF82" i="8"/>
  <c r="X82" i="8"/>
  <c r="X53" i="8"/>
  <c r="AF53" i="8"/>
  <c r="X117" i="8"/>
  <c r="AB117" i="8" s="1"/>
  <c r="AF117" i="8"/>
  <c r="X116" i="8"/>
  <c r="AB116" i="8" s="1"/>
  <c r="AF116" i="8"/>
  <c r="X50" i="8"/>
  <c r="AF50" i="8"/>
  <c r="AF114" i="8"/>
  <c r="X114" i="8"/>
  <c r="AB114" i="8" s="1"/>
  <c r="AF98" i="21"/>
  <c r="AF63" i="21"/>
  <c r="AF81" i="21"/>
  <c r="AF75" i="21"/>
  <c r="AF109" i="21"/>
  <c r="AF32" i="21"/>
  <c r="AF122" i="21"/>
  <c r="AF71" i="21"/>
  <c r="AF110" i="21"/>
  <c r="AF123" i="21"/>
  <c r="AF48" i="21"/>
  <c r="AF47" i="21"/>
  <c r="AF99" i="21"/>
  <c r="AF54" i="21"/>
  <c r="AE37" i="21"/>
  <c r="Y37" i="21"/>
  <c r="Y94" i="21"/>
  <c r="AE94" i="21"/>
  <c r="AE107" i="21"/>
  <c r="Y107" i="21"/>
  <c r="AE90" i="21"/>
  <c r="Y90" i="21"/>
  <c r="Y72" i="21"/>
  <c r="AE72" i="21"/>
  <c r="Y111" i="21"/>
  <c r="AE111" i="21"/>
  <c r="AE62" i="21"/>
  <c r="Y62" i="21"/>
  <c r="Y49" i="21"/>
  <c r="AE49" i="21"/>
  <c r="Y56" i="21"/>
  <c r="AE56" i="21"/>
  <c r="Y48" i="21"/>
  <c r="AE48" i="21"/>
  <c r="AE43" i="21"/>
  <c r="Y43" i="21"/>
  <c r="Y46" i="21"/>
  <c r="AE46" i="21"/>
  <c r="Y96" i="21"/>
  <c r="AE96" i="21"/>
  <c r="Y97" i="21"/>
  <c r="AE97" i="21"/>
  <c r="AA94" i="6"/>
  <c r="AA114" i="6"/>
  <c r="X89" i="6"/>
  <c r="X70" i="6"/>
  <c r="AG12" i="19"/>
  <c r="Z12" i="19"/>
  <c r="Z116" i="19"/>
  <c r="AG116" i="19"/>
  <c r="AB115" i="21"/>
  <c r="AF47" i="19"/>
  <c r="AF117" i="19"/>
  <c r="AF45" i="19"/>
  <c r="AF66" i="19"/>
  <c r="AF39" i="19"/>
  <c r="AF92" i="19"/>
  <c r="AF72" i="19"/>
  <c r="AF124" i="19"/>
  <c r="AF50" i="19"/>
  <c r="AF51" i="19"/>
  <c r="AF65" i="19"/>
  <c r="AF113" i="19"/>
  <c r="AF104" i="19"/>
  <c r="AF28" i="19"/>
  <c r="CI117" i="22"/>
  <c r="CJ117" i="22" s="1"/>
  <c r="AA111" i="6"/>
  <c r="AA63" i="6"/>
  <c r="AA58" i="6"/>
  <c r="AA110" i="6"/>
  <c r="Z120" i="8"/>
  <c r="AG120" i="8"/>
  <c r="AG124" i="8"/>
  <c r="AH124" i="8" s="1"/>
  <c r="Z124" i="8"/>
  <c r="AA124" i="8" s="1"/>
  <c r="AG117" i="8"/>
  <c r="Z117" i="8"/>
  <c r="AB123" i="22"/>
  <c r="AB122" i="22"/>
  <c r="AB114" i="22"/>
  <c r="CJ119" i="8"/>
  <c r="CJ118" i="8"/>
  <c r="AA67" i="6"/>
  <c r="X24" i="6"/>
  <c r="AA13" i="6"/>
  <c r="H10" i="6"/>
  <c r="AA7" i="6"/>
  <c r="H11" i="6" s="1"/>
  <c r="AB114" i="19"/>
  <c r="AB119" i="19"/>
  <c r="CI123" i="22"/>
  <c r="CJ123" i="22" s="1"/>
  <c r="AA64" i="6"/>
  <c r="X73" i="6"/>
  <c r="AR12" i="22"/>
  <c r="AE91" i="8"/>
  <c r="Y91" i="8"/>
  <c r="AE45" i="8"/>
  <c r="Y45" i="8"/>
  <c r="AE49" i="8"/>
  <c r="Y49" i="8"/>
  <c r="Y55" i="8"/>
  <c r="AE55" i="8"/>
  <c r="Y122" i="8"/>
  <c r="AE122" i="8"/>
  <c r="AI122" i="8" s="1"/>
  <c r="Y17" i="8"/>
  <c r="AE17" i="8"/>
  <c r="AE99" i="8"/>
  <c r="Y99" i="8"/>
  <c r="AE105" i="8"/>
  <c r="Y105" i="8"/>
  <c r="Y58" i="8"/>
  <c r="AE58" i="8"/>
  <c r="AE14" i="8"/>
  <c r="Y14" i="8"/>
  <c r="AE107" i="8"/>
  <c r="Y107" i="8"/>
  <c r="AE62" i="8"/>
  <c r="Y62" i="8"/>
  <c r="Y41" i="8"/>
  <c r="AE41" i="8"/>
  <c r="Y90" i="8"/>
  <c r="AE90" i="8"/>
  <c r="X54" i="6"/>
  <c r="AA51" i="6"/>
  <c r="AA30" i="6"/>
  <c r="X76" i="6"/>
  <c r="AA83" i="6"/>
  <c r="AA56" i="6"/>
  <c r="AG121" i="21"/>
  <c r="Z121" i="21"/>
  <c r="AG122" i="21"/>
  <c r="Z122" i="21"/>
  <c r="Z118" i="21"/>
  <c r="AG118" i="21"/>
  <c r="Y25" i="19"/>
  <c r="AE25" i="19"/>
  <c r="AE27" i="19"/>
  <c r="Y27" i="19"/>
  <c r="AE118" i="19"/>
  <c r="AI118" i="19" s="1"/>
  <c r="Y118" i="19"/>
  <c r="AE100" i="19"/>
  <c r="Y100" i="19"/>
  <c r="AE93" i="19"/>
  <c r="Y93" i="19"/>
  <c r="Y55" i="19"/>
  <c r="AE55" i="19"/>
  <c r="Y113" i="19"/>
  <c r="AE113" i="19"/>
  <c r="AI113" i="19" s="1"/>
  <c r="AE69" i="19"/>
  <c r="Y69" i="19"/>
  <c r="AE94" i="19"/>
  <c r="Y94" i="19"/>
  <c r="AE46" i="19"/>
  <c r="Y46" i="19"/>
  <c r="AE54" i="19"/>
  <c r="Y54" i="19"/>
  <c r="Y123" i="19"/>
  <c r="AE123" i="19"/>
  <c r="AI123" i="19" s="1"/>
  <c r="AE57" i="19"/>
  <c r="Y57" i="19"/>
  <c r="Y74" i="19"/>
  <c r="AE74" i="19"/>
  <c r="X37" i="6"/>
  <c r="AA61" i="6"/>
  <c r="AA50" i="6"/>
  <c r="X49" i="6"/>
  <c r="AE108" i="22"/>
  <c r="Y108" i="22"/>
  <c r="AE20" i="22"/>
  <c r="Y20" i="22"/>
  <c r="Y42" i="22"/>
  <c r="AE42" i="22"/>
  <c r="AE63" i="22"/>
  <c r="Y63" i="22"/>
  <c r="Y95" i="22"/>
  <c r="AE95" i="22"/>
  <c r="AE66" i="22"/>
  <c r="Y66" i="22"/>
  <c r="AE39" i="22"/>
  <c r="Y39" i="22"/>
  <c r="Y70" i="22"/>
  <c r="AE70" i="22"/>
  <c r="Y55" i="22"/>
  <c r="AE55" i="22"/>
  <c r="Y80" i="22"/>
  <c r="AE80" i="22"/>
  <c r="AE60" i="22"/>
  <c r="Y60" i="22"/>
  <c r="AE53" i="22"/>
  <c r="Y53" i="22"/>
  <c r="AE31" i="22"/>
  <c r="Y31" i="22"/>
  <c r="Y96" i="22"/>
  <c r="AE96" i="22"/>
  <c r="AA112" i="6"/>
  <c r="X103" i="6"/>
  <c r="AA80" i="6"/>
  <c r="X16" i="6"/>
  <c r="Z113" i="22"/>
  <c r="AG113" i="22"/>
  <c r="X60" i="8"/>
  <c r="AF60" i="8"/>
  <c r="AF38" i="8"/>
  <c r="X38" i="8"/>
  <c r="AF124" i="8"/>
  <c r="X124" i="8"/>
  <c r="AB124" i="8" s="1"/>
  <c r="X21" i="8"/>
  <c r="AF21" i="8"/>
  <c r="X30" i="8"/>
  <c r="AF30" i="8"/>
  <c r="AF92" i="8"/>
  <c r="X92" i="8"/>
  <c r="AF74" i="8"/>
  <c r="X74" i="8"/>
  <c r="X95" i="8"/>
  <c r="AF95" i="8"/>
  <c r="AF121" i="8"/>
  <c r="X121" i="8"/>
  <c r="AB121" i="8" s="1"/>
  <c r="AF19" i="8"/>
  <c r="X19" i="8"/>
  <c r="AF28" i="8"/>
  <c r="X28" i="8"/>
  <c r="AF77" i="8"/>
  <c r="X77" i="8"/>
  <c r="X26" i="8"/>
  <c r="AF26" i="8"/>
  <c r="AF42" i="8"/>
  <c r="X42" i="8"/>
  <c r="AF40" i="8"/>
  <c r="AF41" i="21"/>
  <c r="AF38" i="21"/>
  <c r="AF114" i="21"/>
  <c r="AF65" i="21"/>
  <c r="AF118" i="21"/>
  <c r="AF52" i="21"/>
  <c r="AF80" i="21"/>
  <c r="AF34" i="21"/>
  <c r="AF58" i="21"/>
  <c r="AF93" i="21"/>
  <c r="AF111" i="21"/>
  <c r="AF50" i="21"/>
  <c r="AF101" i="21"/>
  <c r="AF79" i="21"/>
  <c r="Y103" i="21"/>
  <c r="AE103" i="21"/>
  <c r="Y79" i="21"/>
  <c r="AE79" i="21"/>
  <c r="Y32" i="21"/>
  <c r="AE32" i="21"/>
  <c r="AE67" i="21"/>
  <c r="Y67" i="21"/>
  <c r="Y40" i="21"/>
  <c r="AE40" i="21"/>
  <c r="Y101" i="21"/>
  <c r="AE101" i="21"/>
  <c r="Y16" i="21"/>
  <c r="AE16" i="21"/>
  <c r="Y36" i="21"/>
  <c r="AE36" i="21"/>
  <c r="AE42" i="21"/>
  <c r="Y42" i="21"/>
  <c r="AE78" i="21"/>
  <c r="Y78" i="21"/>
  <c r="AE55" i="21"/>
  <c r="Y55" i="21"/>
  <c r="AE89" i="21"/>
  <c r="Y89" i="21"/>
  <c r="Y21" i="21"/>
  <c r="AE21" i="21"/>
  <c r="AE27" i="21"/>
  <c r="Y27" i="21"/>
  <c r="AA19" i="6"/>
  <c r="X32" i="6"/>
  <c r="X36" i="6"/>
  <c r="AA70" i="6"/>
  <c r="AG124" i="19"/>
  <c r="AH124" i="19" s="1"/>
  <c r="Z124" i="19"/>
  <c r="AA124" i="19" s="1"/>
  <c r="Z117" i="19"/>
  <c r="AG117" i="19"/>
  <c r="AB122" i="21"/>
  <c r="AB12" i="21"/>
  <c r="AF52" i="19"/>
  <c r="AF27" i="19"/>
  <c r="AF61" i="19"/>
  <c r="AF82" i="19"/>
  <c r="AF94" i="19"/>
  <c r="AF48" i="19"/>
  <c r="AF73" i="19"/>
  <c r="AF122" i="19"/>
  <c r="AF89" i="19"/>
  <c r="AF91" i="19"/>
  <c r="AF81" i="19"/>
  <c r="AF116" i="19"/>
  <c r="AF19" i="19"/>
  <c r="AF115" i="19"/>
  <c r="CI119" i="22"/>
  <c r="CJ119" i="22" s="1"/>
  <c r="AA84" i="6"/>
  <c r="X118" i="6"/>
  <c r="CJ123" i="8"/>
  <c r="CJ121" i="8"/>
  <c r="AZ12" i="19"/>
  <c r="X100" i="6"/>
  <c r="X102" i="6"/>
  <c r="J8" i="6"/>
  <c r="X69" i="6"/>
  <c r="AB123" i="19"/>
  <c r="AB113" i="19"/>
  <c r="BX12" i="8"/>
  <c r="X64" i="6"/>
  <c r="AA73" i="6"/>
  <c r="X95" i="6"/>
  <c r="AA55" i="6"/>
  <c r="X33" i="6"/>
  <c r="AZ12" i="22"/>
  <c r="Y46" i="8"/>
  <c r="AE46" i="8"/>
  <c r="AE42" i="8"/>
  <c r="Y42" i="8"/>
  <c r="Y30" i="8"/>
  <c r="AE30" i="8"/>
  <c r="Y57" i="8"/>
  <c r="AE57" i="8"/>
  <c r="Y121" i="8"/>
  <c r="AE121" i="8"/>
  <c r="AI121" i="8" s="1"/>
  <c r="AE22" i="8"/>
  <c r="Y22" i="8"/>
  <c r="Y38" i="8"/>
  <c r="AE38" i="8"/>
  <c r="Y101" i="8"/>
  <c r="AE101" i="8"/>
  <c r="Y112" i="8"/>
  <c r="AE112" i="8"/>
  <c r="Y94" i="8"/>
  <c r="AE94" i="8"/>
  <c r="AE72" i="8"/>
  <c r="Y72" i="8"/>
  <c r="Y35" i="8"/>
  <c r="AE35" i="8"/>
  <c r="Y109" i="8"/>
  <c r="AE109" i="8"/>
  <c r="Y39" i="8"/>
  <c r="AE39" i="8"/>
  <c r="X83" i="6"/>
  <c r="X105" i="6"/>
  <c r="Z119" i="21"/>
  <c r="AG119" i="21"/>
  <c r="AE86" i="19"/>
  <c r="Y86" i="19"/>
  <c r="AE99" i="19"/>
  <c r="Y99" i="19"/>
  <c r="Y92" i="19"/>
  <c r="AE92" i="19"/>
  <c r="AE37" i="19"/>
  <c r="Y37" i="19"/>
  <c r="Y24" i="19"/>
  <c r="AE24" i="19"/>
  <c r="AE112" i="19"/>
  <c r="Y112" i="19"/>
  <c r="Y42" i="19"/>
  <c r="AE42" i="19"/>
  <c r="Y53" i="19"/>
  <c r="AE53" i="19"/>
  <c r="AE72" i="19"/>
  <c r="Y72" i="19"/>
  <c r="Y23" i="19"/>
  <c r="AE23" i="19"/>
  <c r="AE16" i="19"/>
  <c r="Y16" i="19"/>
  <c r="AE76" i="19"/>
  <c r="Y76" i="19"/>
  <c r="AE75" i="19"/>
  <c r="Y75" i="19"/>
  <c r="AE62" i="19"/>
  <c r="Y62" i="19"/>
  <c r="AA17" i="6"/>
  <c r="I10" i="6"/>
  <c r="AA37" i="6"/>
  <c r="AA20" i="6"/>
  <c r="X12" i="6"/>
  <c r="AA49" i="6"/>
  <c r="AE103" i="22"/>
  <c r="Y103" i="22"/>
  <c r="AE100" i="22"/>
  <c r="Y100" i="22"/>
  <c r="AE78" i="22"/>
  <c r="Y78" i="22"/>
  <c r="Y87" i="22"/>
  <c r="AE87" i="22"/>
  <c r="AE24" i="22"/>
  <c r="Y24" i="22"/>
  <c r="AE85" i="22"/>
  <c r="Y85" i="22"/>
  <c r="Y90" i="22"/>
  <c r="AE90" i="22"/>
  <c r="AE104" i="22"/>
  <c r="Y104" i="22"/>
  <c r="AE112" i="22"/>
  <c r="Y112" i="22"/>
  <c r="AE114" i="22"/>
  <c r="AI114" i="22" s="1"/>
  <c r="Y114" i="22"/>
  <c r="AE56" i="22"/>
  <c r="Y56" i="22"/>
  <c r="AE13" i="22"/>
  <c r="Y13" i="22"/>
  <c r="Y26" i="22"/>
  <c r="AE26" i="22"/>
  <c r="Y28" i="22"/>
  <c r="AE28" i="22"/>
  <c r="X112" i="6"/>
  <c r="AA103" i="6"/>
  <c r="AA16" i="6"/>
  <c r="Z124" i="22"/>
  <c r="AA124" i="22" s="1"/>
  <c r="AG124" i="22"/>
  <c r="AH124" i="22" s="1"/>
  <c r="Z119" i="22"/>
  <c r="AG119" i="22"/>
  <c r="X54" i="8"/>
  <c r="AF54" i="8"/>
  <c r="AF16" i="8"/>
  <c r="X16" i="8"/>
  <c r="X83" i="8"/>
  <c r="AF83" i="8"/>
  <c r="AF79" i="8"/>
  <c r="X79" i="8"/>
  <c r="X110" i="8"/>
  <c r="AF110" i="8"/>
  <c r="X81" i="8"/>
  <c r="AF81" i="8"/>
  <c r="X102" i="8"/>
  <c r="AF102" i="8"/>
  <c r="X80" i="8"/>
  <c r="AF80" i="8"/>
  <c r="AF89" i="8"/>
  <c r="X89" i="8"/>
  <c r="AF35" i="8"/>
  <c r="X35" i="8"/>
  <c r="X34" i="8"/>
  <c r="AF34" i="8"/>
  <c r="AF29" i="8"/>
  <c r="X29" i="8"/>
  <c r="AF65" i="8"/>
  <c r="X65" i="8"/>
  <c r="AF46" i="21"/>
  <c r="AF78" i="21"/>
  <c r="AF107" i="21"/>
  <c r="AF94" i="21"/>
  <c r="AF24" i="21"/>
  <c r="AF53" i="21"/>
  <c r="AF42" i="21"/>
  <c r="AF66" i="21"/>
  <c r="AF56" i="21"/>
  <c r="AF59" i="21"/>
  <c r="AF100" i="21"/>
  <c r="AF45" i="21"/>
  <c r="AF119" i="21"/>
  <c r="AF51" i="21"/>
  <c r="AE124" i="21"/>
  <c r="AI124" i="21" s="1"/>
  <c r="Y124" i="21"/>
  <c r="Y69" i="21"/>
  <c r="AE69" i="21"/>
  <c r="Y77" i="21"/>
  <c r="AE77" i="21"/>
  <c r="Y82" i="21"/>
  <c r="AE82" i="21"/>
  <c r="AE34" i="21"/>
  <c r="Y34" i="21"/>
  <c r="AE98" i="21"/>
  <c r="Y98" i="21"/>
  <c r="Y92" i="21"/>
  <c r="AE92" i="21"/>
  <c r="Y108" i="21"/>
  <c r="AE108" i="21"/>
  <c r="Y74" i="21"/>
  <c r="AE74" i="21"/>
  <c r="Y59" i="21"/>
  <c r="AE59" i="21"/>
  <c r="Y31" i="21"/>
  <c r="AE31" i="21"/>
  <c r="Y114" i="21"/>
  <c r="AE114" i="21"/>
  <c r="AI114" i="21" s="1"/>
  <c r="Y71" i="21"/>
  <c r="AE71" i="21"/>
  <c r="AE76" i="21"/>
  <c r="Y76" i="21"/>
  <c r="X19" i="6"/>
  <c r="AA32" i="6"/>
  <c r="AA36" i="6"/>
  <c r="X10" i="6"/>
  <c r="Z121" i="19"/>
  <c r="AG121" i="19"/>
  <c r="AG114" i="19"/>
  <c r="Z114" i="19"/>
  <c r="AB116" i="21"/>
  <c r="AB124" i="21"/>
  <c r="AF36" i="19"/>
  <c r="AF63" i="19"/>
  <c r="AF25" i="19"/>
  <c r="AF15" i="19"/>
  <c r="AF49" i="19"/>
  <c r="AF43" i="19"/>
  <c r="AF86" i="19"/>
  <c r="AF90" i="19"/>
  <c r="AF108" i="19"/>
  <c r="AF88" i="19"/>
  <c r="AF80" i="19"/>
  <c r="AF59" i="19"/>
  <c r="AF76" i="19"/>
  <c r="AF70" i="19"/>
  <c r="X84" i="6"/>
  <c r="X21" i="6"/>
  <c r="AA118" i="6"/>
  <c r="Z118" i="8"/>
  <c r="AG118" i="8"/>
  <c r="AB121" i="22"/>
  <c r="AB120" i="22"/>
  <c r="AB12" i="22"/>
  <c r="BP12" i="21"/>
  <c r="AA100" i="6"/>
  <c r="J10" i="6"/>
  <c r="AA102" i="6"/>
  <c r="AA69" i="6"/>
  <c r="AB122" i="19"/>
  <c r="BT12" i="21"/>
  <c r="AA95" i="6"/>
  <c r="X55" i="6"/>
  <c r="AA33" i="6"/>
  <c r="BT12" i="22"/>
  <c r="BD12" i="21"/>
  <c r="AE29" i="8"/>
  <c r="Y29" i="8"/>
  <c r="Y76" i="8"/>
  <c r="AE76" i="8"/>
  <c r="AE18" i="8"/>
  <c r="Y18" i="8"/>
  <c r="AE77" i="8"/>
  <c r="Y77" i="8"/>
  <c r="Y102" i="8"/>
  <c r="AE102" i="8"/>
  <c r="AE96" i="8"/>
  <c r="Y96" i="8"/>
  <c r="Y68" i="8"/>
  <c r="AE68" i="8"/>
  <c r="Y85" i="8"/>
  <c r="AE85" i="8"/>
  <c r="AE89" i="8"/>
  <c r="Y89" i="8"/>
  <c r="Y28" i="8"/>
  <c r="AE28" i="8"/>
  <c r="Y44" i="8"/>
  <c r="AE44" i="8"/>
  <c r="AE93" i="8"/>
  <c r="Y93" i="8"/>
  <c r="Y54" i="8"/>
  <c r="AE54" i="8"/>
  <c r="AE100" i="8"/>
  <c r="Y100" i="8"/>
  <c r="X75" i="6"/>
  <c r="X27" i="6"/>
  <c r="AA79" i="6"/>
  <c r="AA105" i="6"/>
  <c r="X66" i="6"/>
  <c r="Z115" i="21"/>
  <c r="AG115" i="21"/>
  <c r="AE33" i="19"/>
  <c r="Y33" i="19"/>
  <c r="AE34" i="19"/>
  <c r="Y34" i="19"/>
  <c r="Y14" i="19"/>
  <c r="AE14" i="19"/>
  <c r="Y18" i="19"/>
  <c r="AE18" i="19"/>
  <c r="AE60" i="19"/>
  <c r="Y60" i="19"/>
  <c r="AE35" i="19"/>
  <c r="Y35" i="19"/>
  <c r="Y85" i="19"/>
  <c r="AE85" i="19"/>
  <c r="Y120" i="19"/>
  <c r="AE120" i="19"/>
  <c r="AI120" i="19" s="1"/>
  <c r="Y71" i="19"/>
  <c r="AE71" i="19"/>
  <c r="AE20" i="19"/>
  <c r="Y20" i="19"/>
  <c r="Y67" i="19"/>
  <c r="AE67" i="19"/>
  <c r="AE43" i="19"/>
  <c r="Y43" i="19"/>
  <c r="AE89" i="19"/>
  <c r="Y89" i="19"/>
  <c r="AE39" i="19"/>
  <c r="Y39" i="19"/>
  <c r="X17" i="6"/>
  <c r="I8" i="6"/>
  <c r="X97" i="6"/>
  <c r="X20" i="6"/>
  <c r="AA12" i="6"/>
  <c r="AN12" i="22"/>
  <c r="AF12" i="22"/>
  <c r="Y34" i="22"/>
  <c r="AE34" i="22"/>
  <c r="Y86" i="22"/>
  <c r="AE86" i="22"/>
  <c r="AE89" i="22"/>
  <c r="Y89" i="22"/>
  <c r="Y123" i="22"/>
  <c r="AE123" i="22"/>
  <c r="AI123" i="22" s="1"/>
  <c r="AE93" i="22"/>
  <c r="Y93" i="22"/>
  <c r="Y25" i="22"/>
  <c r="AE25" i="22"/>
  <c r="AE58" i="22"/>
  <c r="Y58" i="22"/>
  <c r="Y82" i="22"/>
  <c r="AE82" i="22"/>
  <c r="AE50" i="22"/>
  <c r="Y50" i="22"/>
  <c r="Y83" i="22"/>
  <c r="AE83" i="22"/>
  <c r="AE12" i="22"/>
  <c r="AI12" i="22" s="1"/>
  <c r="Y12" i="22"/>
  <c r="BN13" i="22" s="1"/>
  <c r="AE45" i="22"/>
  <c r="Y45" i="22"/>
  <c r="Y102" i="22"/>
  <c r="AE102" i="22"/>
  <c r="AE94" i="22"/>
  <c r="Y94" i="22"/>
  <c r="X98" i="6"/>
  <c r="AA72" i="6"/>
  <c r="X81" i="6"/>
  <c r="X74" i="6"/>
  <c r="Z114" i="22"/>
  <c r="AG114" i="22"/>
  <c r="X44" i="8"/>
  <c r="AF44" i="8"/>
  <c r="X45" i="8"/>
  <c r="AF45" i="8"/>
  <c r="AF84" i="8"/>
  <c r="X84" i="8"/>
  <c r="AF17" i="8"/>
  <c r="X17" i="8"/>
  <c r="AF94" i="8"/>
  <c r="X94" i="8"/>
  <c r="X49" i="8"/>
  <c r="AF49" i="8"/>
  <c r="X55" i="8"/>
  <c r="AF55" i="8"/>
  <c r="AF18" i="8"/>
  <c r="X18" i="8"/>
  <c r="X70" i="8"/>
  <c r="AF70" i="8"/>
  <c r="X105" i="8"/>
  <c r="AF105" i="8"/>
  <c r="AF123" i="8"/>
  <c r="X123" i="8"/>
  <c r="AB123" i="8" s="1"/>
  <c r="AF91" i="8"/>
  <c r="X91" i="8"/>
  <c r="AF115" i="8"/>
  <c r="X115" i="8"/>
  <c r="AB115" i="8" s="1"/>
  <c r="X85" i="8"/>
  <c r="AF85" i="8"/>
  <c r="X14" i="8"/>
  <c r="AF14" i="8"/>
  <c r="AF22" i="21"/>
  <c r="AF91" i="21"/>
  <c r="AF70" i="21"/>
  <c r="AF39" i="21"/>
  <c r="AF72" i="21"/>
  <c r="AF67" i="21"/>
  <c r="AF92" i="21"/>
  <c r="AF15" i="21"/>
  <c r="AF23" i="21"/>
  <c r="AF108" i="21"/>
  <c r="AF17" i="21"/>
  <c r="AF76" i="21"/>
  <c r="AF19" i="21"/>
  <c r="AN12" i="21"/>
  <c r="AF12" i="21"/>
  <c r="AE116" i="21"/>
  <c r="AI116" i="21" s="1"/>
  <c r="Y116" i="21"/>
  <c r="Y109" i="21"/>
  <c r="AE109" i="21"/>
  <c r="AE123" i="21"/>
  <c r="AI123" i="21" s="1"/>
  <c r="Y123" i="21"/>
  <c r="Y30" i="21"/>
  <c r="AE30" i="21"/>
  <c r="Y60" i="21"/>
  <c r="AE60" i="21"/>
  <c r="Y75" i="21"/>
  <c r="AE75" i="21"/>
  <c r="AE28" i="21"/>
  <c r="Y28" i="21"/>
  <c r="AE88" i="21"/>
  <c r="Y88" i="21"/>
  <c r="AE121" i="21"/>
  <c r="AI121" i="21" s="1"/>
  <c r="Y121" i="21"/>
  <c r="AE104" i="21"/>
  <c r="Y104" i="21"/>
  <c r="AE115" i="21"/>
  <c r="AI115" i="21" s="1"/>
  <c r="Y115" i="21"/>
  <c r="AE20" i="21"/>
  <c r="Y20" i="21"/>
  <c r="AE85" i="21"/>
  <c r="Y85" i="21"/>
  <c r="AE44" i="21"/>
  <c r="Y44" i="21"/>
  <c r="AA48" i="6"/>
  <c r="X18" i="6"/>
  <c r="AA10" i="6"/>
  <c r="Z113" i="19"/>
  <c r="AG113" i="19"/>
  <c r="AB117" i="21"/>
  <c r="BP12" i="22"/>
  <c r="AF75" i="19"/>
  <c r="AF57" i="19"/>
  <c r="AF71" i="19"/>
  <c r="AF67" i="19"/>
  <c r="AF31" i="19"/>
  <c r="AF20" i="19"/>
  <c r="AF62" i="19"/>
  <c r="AF109" i="19"/>
  <c r="AF16" i="19"/>
  <c r="AF68" i="19"/>
  <c r="AF103" i="19"/>
  <c r="AF22" i="19"/>
  <c r="AF83" i="19"/>
  <c r="AF121" i="19"/>
  <c r="X115" i="6"/>
  <c r="AA21" i="6"/>
  <c r="AA47" i="6"/>
  <c r="AG116" i="8"/>
  <c r="Z116" i="8"/>
  <c r="AG122" i="8"/>
  <c r="Z122" i="8"/>
  <c r="AB113" i="22"/>
  <c r="CJ12" i="8"/>
  <c r="CM12" i="8" s="1"/>
  <c r="CJ124" i="8"/>
  <c r="CI122" i="22"/>
  <c r="CJ122" i="22" s="1"/>
  <c r="AA43" i="6"/>
  <c r="X15" i="6"/>
  <c r="AB116" i="19"/>
  <c r="BH12" i="22"/>
  <c r="AA25" i="6"/>
  <c r="X57" i="6"/>
  <c r="X23" i="6"/>
  <c r="AE108" i="8"/>
  <c r="Y108" i="8"/>
  <c r="AE13" i="8"/>
  <c r="Y13" i="8"/>
  <c r="Y47" i="8"/>
  <c r="AE47" i="8"/>
  <c r="Y74" i="8"/>
  <c r="AE74" i="8"/>
  <c r="AE115" i="8"/>
  <c r="AI115" i="8" s="1"/>
  <c r="Y115" i="8"/>
  <c r="AE37" i="8"/>
  <c r="Y37" i="8"/>
  <c r="Y67" i="8"/>
  <c r="AE67" i="8"/>
  <c r="Y66" i="8"/>
  <c r="AE66" i="8"/>
  <c r="Y25" i="8"/>
  <c r="AE25" i="8"/>
  <c r="AE103" i="8"/>
  <c r="Y103" i="8"/>
  <c r="Y20" i="8"/>
  <c r="AE20" i="8"/>
  <c r="AE56" i="8"/>
  <c r="Y56" i="8"/>
  <c r="Y124" i="8"/>
  <c r="AE124" i="8"/>
  <c r="AI124" i="8" s="1"/>
  <c r="AE119" i="8"/>
  <c r="AI119" i="8" s="1"/>
  <c r="Y119" i="8"/>
  <c r="AA54" i="6"/>
  <c r="AA75" i="6"/>
  <c r="X29" i="6"/>
  <c r="X90" i="6"/>
  <c r="X59" i="6"/>
  <c r="X78" i="6"/>
  <c r="AA66" i="6"/>
  <c r="Z117" i="21"/>
  <c r="AG117" i="21"/>
  <c r="Y56" i="19"/>
  <c r="AE56" i="19"/>
  <c r="AE61" i="19"/>
  <c r="Y61" i="19"/>
  <c r="AE38" i="19"/>
  <c r="Y38" i="19"/>
  <c r="Y26" i="19"/>
  <c r="AE26" i="19"/>
  <c r="Y87" i="19"/>
  <c r="AE87" i="19"/>
  <c r="AE13" i="19"/>
  <c r="Y13" i="19"/>
  <c r="AE78" i="19"/>
  <c r="Y78" i="19"/>
  <c r="Y65" i="19"/>
  <c r="AE65" i="19"/>
  <c r="AE64" i="19"/>
  <c r="Y64" i="19"/>
  <c r="AE28" i="19"/>
  <c r="Y28" i="19"/>
  <c r="AE36" i="19"/>
  <c r="Y36" i="19"/>
  <c r="AE114" i="19"/>
  <c r="AI114" i="19" s="1"/>
  <c r="Y114" i="19"/>
  <c r="AE121" i="19"/>
  <c r="AI121" i="19" s="1"/>
  <c r="Y121" i="19"/>
  <c r="AE15" i="19"/>
  <c r="Y15" i="19"/>
  <c r="AA97" i="6"/>
  <c r="X60" i="6"/>
  <c r="X106" i="6"/>
  <c r="AE33" i="22"/>
  <c r="Y33" i="22"/>
  <c r="AE84" i="22"/>
  <c r="Y84" i="22"/>
  <c r="AE40" i="22"/>
  <c r="Y40" i="22"/>
  <c r="Y41" i="22"/>
  <c r="AE41" i="22"/>
  <c r="Y68" i="22"/>
  <c r="AE68" i="22"/>
  <c r="Y91" i="22"/>
  <c r="AE91" i="22"/>
  <c r="AE59" i="22"/>
  <c r="Y59" i="22"/>
  <c r="AE105" i="22"/>
  <c r="Y105" i="22"/>
  <c r="Y72" i="22"/>
  <c r="AE72" i="22"/>
  <c r="AE32" i="22"/>
  <c r="Y32" i="22"/>
  <c r="AE51" i="22"/>
  <c r="Y51" i="22"/>
  <c r="Y15" i="22"/>
  <c r="AE15" i="22"/>
  <c r="Y43" i="22"/>
  <c r="AE43" i="22"/>
  <c r="AE111" i="22"/>
  <c r="Y111" i="22"/>
  <c r="AA98" i="6"/>
  <c r="X72" i="6"/>
  <c r="AA81" i="6"/>
  <c r="AA74" i="6"/>
  <c r="Z120" i="22"/>
  <c r="AG120" i="22"/>
  <c r="Z118" i="22"/>
  <c r="AG118" i="22"/>
  <c r="AF69" i="8"/>
  <c r="X69" i="8"/>
  <c r="AF93" i="8"/>
  <c r="X93" i="8"/>
  <c r="X36" i="8"/>
  <c r="AF36" i="8"/>
  <c r="AF97" i="8"/>
  <c r="X97" i="8"/>
  <c r="X43" i="8"/>
  <c r="AF43" i="8"/>
  <c r="AF61" i="8"/>
  <c r="X61" i="8"/>
  <c r="AF66" i="8"/>
  <c r="X66" i="8"/>
  <c r="X39" i="8"/>
  <c r="AF39" i="8"/>
  <c r="X99" i="8"/>
  <c r="AF99" i="8"/>
  <c r="AF120" i="8"/>
  <c r="X120" i="8"/>
  <c r="AB120" i="8" s="1"/>
  <c r="AF90" i="8"/>
  <c r="X90" i="8"/>
  <c r="AF76" i="8"/>
  <c r="X76" i="8"/>
  <c r="AF56" i="8"/>
  <c r="X56" i="8"/>
  <c r="X71" i="8"/>
  <c r="AF71" i="8"/>
  <c r="AF89" i="21"/>
  <c r="AF96" i="21"/>
  <c r="AF103" i="21"/>
  <c r="AF88" i="21"/>
  <c r="AF25" i="21"/>
  <c r="AF43" i="21"/>
  <c r="AF73" i="21"/>
  <c r="AF105" i="21"/>
  <c r="AF82" i="21"/>
  <c r="AF57" i="21"/>
  <c r="AF124" i="21"/>
  <c r="AF21" i="21"/>
  <c r="AF13" i="21"/>
  <c r="AF55" i="21"/>
  <c r="Y57" i="21"/>
  <c r="AE57" i="21"/>
  <c r="Y91" i="21"/>
  <c r="AE91" i="21"/>
  <c r="AE110" i="21"/>
  <c r="Y110" i="21"/>
  <c r="Y87" i="21"/>
  <c r="AE87" i="21"/>
  <c r="Y50" i="21"/>
  <c r="AE50" i="21"/>
  <c r="AE18" i="21"/>
  <c r="Y18" i="21"/>
  <c r="AE13" i="21"/>
  <c r="Y13" i="21"/>
  <c r="AE112" i="21"/>
  <c r="Y112" i="21"/>
  <c r="Y100" i="21"/>
  <c r="AE100" i="21"/>
  <c r="Y93" i="21"/>
  <c r="AE93" i="21"/>
  <c r="Y84" i="21"/>
  <c r="AE84" i="21"/>
  <c r="AE99" i="21"/>
  <c r="Y99" i="21"/>
  <c r="Y66" i="21"/>
  <c r="AE66" i="21"/>
  <c r="AE65" i="21"/>
  <c r="Y65" i="21"/>
  <c r="AE81" i="21"/>
  <c r="Y81" i="21"/>
  <c r="X48" i="6"/>
  <c r="AA18" i="6"/>
  <c r="AA39" i="6"/>
  <c r="X26" i="6"/>
  <c r="BH12" i="21"/>
  <c r="AV12" i="22"/>
  <c r="AF97" i="19"/>
  <c r="AF29" i="19"/>
  <c r="AF95" i="19"/>
  <c r="AF102" i="19"/>
  <c r="AF100" i="19"/>
  <c r="AF123" i="19"/>
  <c r="AF112" i="19"/>
  <c r="AF53" i="19"/>
  <c r="AF38" i="19"/>
  <c r="AF13" i="19"/>
  <c r="AF14" i="19"/>
  <c r="AF35" i="19"/>
  <c r="AF42" i="19"/>
  <c r="AF77" i="19"/>
  <c r="AA115" i="6"/>
  <c r="X88" i="6"/>
  <c r="X47" i="6"/>
  <c r="AG114" i="8"/>
  <c r="Z114" i="8"/>
  <c r="AG12" i="8"/>
  <c r="AM12" i="8"/>
  <c r="Z12" i="8"/>
  <c r="AB119" i="22"/>
  <c r="AB118" i="22"/>
  <c r="CJ117" i="8"/>
  <c r="AA71" i="6"/>
  <c r="X43" i="6"/>
  <c r="AA15" i="6"/>
  <c r="AB118" i="19"/>
  <c r="AR12" i="21"/>
  <c r="X99" i="6"/>
  <c r="X25" i="6"/>
  <c r="AA57" i="6"/>
  <c r="AA23" i="6"/>
  <c r="AE34" i="8"/>
  <c r="Y34" i="8"/>
  <c r="AE92" i="8"/>
  <c r="Y92" i="8"/>
  <c r="AE19" i="8"/>
  <c r="Y19" i="8"/>
  <c r="AE63" i="8"/>
  <c r="Y63" i="8"/>
  <c r="AE59" i="8"/>
  <c r="Y59" i="8"/>
  <c r="Y75" i="8"/>
  <c r="AE75" i="8"/>
  <c r="Y104" i="8"/>
  <c r="AE104" i="8"/>
  <c r="Y73" i="8"/>
  <c r="AE73" i="8"/>
  <c r="Y78" i="8"/>
  <c r="AE78" i="8"/>
  <c r="Y32" i="8"/>
  <c r="AE32" i="8"/>
  <c r="AE36" i="8"/>
  <c r="Y36" i="8"/>
  <c r="Y33" i="8"/>
  <c r="AE33" i="8"/>
  <c r="Y87" i="8"/>
  <c r="AE87" i="8"/>
  <c r="AE97" i="8"/>
  <c r="Y97" i="8"/>
  <c r="AE69" i="8"/>
  <c r="Y69" i="8"/>
  <c r="I9" i="6" l="1"/>
  <c r="BJ13" i="21"/>
  <c r="BJ14" i="21" s="1"/>
  <c r="W13" i="21"/>
  <c r="AB13" i="21" s="1"/>
  <c r="BB13" i="21"/>
  <c r="BD13" i="21" s="1"/>
  <c r="CD13" i="19"/>
  <c r="CF13" i="19" s="1"/>
  <c r="AT13" i="19"/>
  <c r="AV13" i="19" s="1"/>
  <c r="BZ13" i="19"/>
  <c r="CB13" i="19" s="1"/>
  <c r="AX13" i="19"/>
  <c r="AZ13" i="19" s="1"/>
  <c r="AK13" i="19"/>
  <c r="AM13" i="19" s="1"/>
  <c r="BV13" i="19"/>
  <c r="BX13" i="19" s="1"/>
  <c r="BB13" i="19"/>
  <c r="BD13" i="19" s="1"/>
  <c r="AP13" i="19"/>
  <c r="AR13" i="19" s="1"/>
  <c r="BR13" i="19"/>
  <c r="BT13" i="19" s="1"/>
  <c r="W13" i="19"/>
  <c r="BF13" i="19"/>
  <c r="BH13" i="19" s="1"/>
  <c r="BN13" i="19"/>
  <c r="BP13" i="19" s="1"/>
  <c r="J9" i="6"/>
  <c r="I11" i="6"/>
  <c r="I20" i="6" s="1"/>
  <c r="I22" i="6" s="1"/>
  <c r="J11" i="6"/>
  <c r="BR13" i="21"/>
  <c r="BT13" i="21" s="1"/>
  <c r="AP13" i="21"/>
  <c r="AR13" i="21" s="1"/>
  <c r="AT13" i="21"/>
  <c r="AV13" i="21" s="1"/>
  <c r="CD13" i="21"/>
  <c r="CD14" i="21" s="1"/>
  <c r="AK13" i="21"/>
  <c r="AN13" i="21" s="1"/>
  <c r="BZ13" i="21"/>
  <c r="CB13" i="21" s="1"/>
  <c r="AX13" i="21"/>
  <c r="AX14" i="21" s="1"/>
  <c r="BV13" i="21"/>
  <c r="BX13" i="21" s="1"/>
  <c r="BF13" i="21"/>
  <c r="BF14" i="21" s="1"/>
  <c r="AA121" i="19"/>
  <c r="AH120" i="22"/>
  <c r="AA119" i="21"/>
  <c r="AA120" i="22"/>
  <c r="AA117" i="21"/>
  <c r="AD13" i="21"/>
  <c r="AG13" i="21" s="1"/>
  <c r="AD13" i="19"/>
  <c r="AG13" i="19" s="1"/>
  <c r="AA122" i="8"/>
  <c r="AH121" i="19"/>
  <c r="AA122" i="21"/>
  <c r="AH117" i="21"/>
  <c r="AH113" i="19"/>
  <c r="AA114" i="8"/>
  <c r="AA113" i="19"/>
  <c r="AH122" i="8"/>
  <c r="AH119" i="21"/>
  <c r="AH122" i="21"/>
  <c r="AA118" i="22"/>
  <c r="AH114" i="8"/>
  <c r="BJ13" i="22"/>
  <c r="BL13" i="22" s="1"/>
  <c r="AA116" i="8"/>
  <c r="AK13" i="22"/>
  <c r="AM13" i="22" s="1"/>
  <c r="AH121" i="21"/>
  <c r="BR13" i="22"/>
  <c r="BR14" i="22" s="1"/>
  <c r="BB13" i="22"/>
  <c r="BB14" i="22" s="1"/>
  <c r="AT13" i="22"/>
  <c r="AV13" i="22" s="1"/>
  <c r="AH114" i="19"/>
  <c r="AP13" i="22"/>
  <c r="AR13" i="22" s="1"/>
  <c r="BZ13" i="22"/>
  <c r="BZ14" i="22" s="1"/>
  <c r="AA123" i="21"/>
  <c r="BP13" i="22"/>
  <c r="BN14" i="22"/>
  <c r="H10" i="8"/>
  <c r="AJ118" i="19"/>
  <c r="AC118" i="19"/>
  <c r="AJ118" i="22"/>
  <c r="AC118" i="22"/>
  <c r="AJ120" i="8"/>
  <c r="AC120" i="8"/>
  <c r="AC122" i="19"/>
  <c r="AJ122" i="19"/>
  <c r="BV13" i="22"/>
  <c r="AC116" i="21"/>
  <c r="AJ116" i="21"/>
  <c r="BP13" i="21"/>
  <c r="BN14" i="21"/>
  <c r="AA118" i="21"/>
  <c r="AA117" i="8"/>
  <c r="H10" i="19"/>
  <c r="AA122" i="19"/>
  <c r="AC115" i="19"/>
  <c r="AJ115" i="19"/>
  <c r="AC116" i="22"/>
  <c r="AJ116" i="22"/>
  <c r="AH115" i="19"/>
  <c r="AH117" i="22"/>
  <c r="AC124" i="19"/>
  <c r="AJ124" i="19"/>
  <c r="AC119" i="21"/>
  <c r="AJ119" i="21"/>
  <c r="AC120" i="22"/>
  <c r="AJ120" i="22"/>
  <c r="AA114" i="19"/>
  <c r="AH113" i="22"/>
  <c r="AH117" i="8"/>
  <c r="AC115" i="21"/>
  <c r="AJ115" i="21"/>
  <c r="AJ117" i="8"/>
  <c r="AC117" i="8"/>
  <c r="AA123" i="8"/>
  <c r="AH122" i="19"/>
  <c r="AH113" i="21"/>
  <c r="AC124" i="22"/>
  <c r="AJ124" i="22"/>
  <c r="AA120" i="19"/>
  <c r="H8" i="22"/>
  <c r="AC121" i="19"/>
  <c r="AJ121" i="19"/>
  <c r="AH116" i="22"/>
  <c r="AH3" i="19"/>
  <c r="AI12" i="19"/>
  <c r="AC119" i="22"/>
  <c r="AJ119" i="22"/>
  <c r="W13" i="22"/>
  <c r="CD13" i="22"/>
  <c r="AC121" i="22"/>
  <c r="AJ121" i="22"/>
  <c r="AH119" i="22"/>
  <c r="AA113" i="22"/>
  <c r="AC114" i="8"/>
  <c r="AJ114" i="8"/>
  <c r="AH123" i="8"/>
  <c r="AJ118" i="8"/>
  <c r="AC118" i="8"/>
  <c r="AA113" i="21"/>
  <c r="AC123" i="21"/>
  <c r="AJ123" i="21"/>
  <c r="AH120" i="19"/>
  <c r="AJ115" i="22"/>
  <c r="AC115" i="22"/>
  <c r="AH118" i="19"/>
  <c r="AC119" i="8"/>
  <c r="AJ119" i="8"/>
  <c r="AC122" i="8"/>
  <c r="AJ122" i="8"/>
  <c r="AA116" i="22"/>
  <c r="AH116" i="8"/>
  <c r="AC115" i="8"/>
  <c r="AJ115" i="8"/>
  <c r="AD13" i="22"/>
  <c r="AX13" i="22"/>
  <c r="AH118" i="8"/>
  <c r="AA119" i="22"/>
  <c r="AJ122" i="21"/>
  <c r="AC122" i="21"/>
  <c r="AC124" i="8"/>
  <c r="AJ124" i="8"/>
  <c r="AA121" i="21"/>
  <c r="AJ119" i="19"/>
  <c r="AC119" i="19"/>
  <c r="AH114" i="21"/>
  <c r="AA123" i="22"/>
  <c r="AA120" i="21"/>
  <c r="AC117" i="22"/>
  <c r="AJ117" i="22"/>
  <c r="AC114" i="21"/>
  <c r="AJ114" i="21"/>
  <c r="H10" i="22"/>
  <c r="AH115" i="8"/>
  <c r="AA118" i="19"/>
  <c r="H8" i="8"/>
  <c r="AH118" i="22"/>
  <c r="AC117" i="21"/>
  <c r="AJ117" i="21"/>
  <c r="AA118" i="8"/>
  <c r="AH117" i="19"/>
  <c r="AH120" i="8"/>
  <c r="AH116" i="19"/>
  <c r="AJ113" i="8"/>
  <c r="AC113" i="8"/>
  <c r="AH122" i="22"/>
  <c r="AA114" i="21"/>
  <c r="AH123" i="22"/>
  <c r="AH120" i="21"/>
  <c r="BL13" i="19"/>
  <c r="BJ14" i="19"/>
  <c r="AH119" i="8"/>
  <c r="AJ113" i="21"/>
  <c r="AC113" i="21"/>
  <c r="AA115" i="8"/>
  <c r="AH123" i="19"/>
  <c r="AH114" i="22"/>
  <c r="AH115" i="21"/>
  <c r="AC113" i="19"/>
  <c r="AJ113" i="19"/>
  <c r="AA117" i="19"/>
  <c r="AJ114" i="19"/>
  <c r="AC114" i="19"/>
  <c r="AJ114" i="22"/>
  <c r="AC114" i="22"/>
  <c r="AA120" i="8"/>
  <c r="AA116" i="19"/>
  <c r="AA122" i="22"/>
  <c r="AC117" i="19"/>
  <c r="AJ117" i="19"/>
  <c r="AH113" i="8"/>
  <c r="AH115" i="22"/>
  <c r="AA119" i="8"/>
  <c r="AC121" i="21"/>
  <c r="AJ121" i="21"/>
  <c r="BR13" i="8"/>
  <c r="AK13" i="8"/>
  <c r="CD13" i="8"/>
  <c r="BB13" i="8"/>
  <c r="AP13" i="8"/>
  <c r="AX13" i="8"/>
  <c r="AD13" i="8"/>
  <c r="AT13" i="8"/>
  <c r="BN13" i="8"/>
  <c r="BZ13" i="8"/>
  <c r="BF13" i="8"/>
  <c r="BJ13" i="8"/>
  <c r="BV13" i="8"/>
  <c r="W13" i="8"/>
  <c r="AB12" i="8"/>
  <c r="AA121" i="22"/>
  <c r="AA116" i="21"/>
  <c r="AA123" i="19"/>
  <c r="K21" i="6"/>
  <c r="J21" i="6"/>
  <c r="I21" i="6"/>
  <c r="AJ113" i="22"/>
  <c r="AC113" i="22"/>
  <c r="AA114" i="22"/>
  <c r="AA115" i="21"/>
  <c r="AJ123" i="19"/>
  <c r="AC123" i="19"/>
  <c r="K20" i="6"/>
  <c r="K22" i="6" s="1"/>
  <c r="AC122" i="22"/>
  <c r="AJ122" i="22"/>
  <c r="H8" i="19"/>
  <c r="H8" i="21"/>
  <c r="AA113" i="8"/>
  <c r="AA119" i="19"/>
  <c r="AA115" i="22"/>
  <c r="AA121" i="8"/>
  <c r="AC120" i="21"/>
  <c r="AJ120" i="21"/>
  <c r="AH121" i="22"/>
  <c r="AH116" i="21"/>
  <c r="AC120" i="19"/>
  <c r="AJ120" i="19"/>
  <c r="AC116" i="19"/>
  <c r="AJ116" i="19"/>
  <c r="AJ123" i="8"/>
  <c r="AC123" i="8"/>
  <c r="BF13" i="22"/>
  <c r="AC124" i="21"/>
  <c r="AJ124" i="21"/>
  <c r="AC121" i="8"/>
  <c r="AJ121" i="8"/>
  <c r="AH118" i="21"/>
  <c r="AC123" i="22"/>
  <c r="AJ123" i="22"/>
  <c r="AJ116" i="8"/>
  <c r="AC116" i="8"/>
  <c r="H10" i="21"/>
  <c r="AH119" i="19"/>
  <c r="AH121" i="8"/>
  <c r="AA115" i="19"/>
  <c r="AA117" i="22"/>
  <c r="AJ118" i="21"/>
  <c r="AC118" i="21"/>
  <c r="AH123" i="21"/>
  <c r="W14" i="19" l="1"/>
  <c r="Z14" i="19" s="1"/>
  <c r="Z13" i="19"/>
  <c r="BL13" i="21"/>
  <c r="H13" i="6"/>
  <c r="AN13" i="19"/>
  <c r="AK14" i="19"/>
  <c r="AM14" i="19" s="1"/>
  <c r="BR14" i="19"/>
  <c r="BR15" i="19" s="1"/>
  <c r="AP14" i="21"/>
  <c r="AP15" i="21" s="1"/>
  <c r="CD14" i="19"/>
  <c r="CF14" i="19" s="1"/>
  <c r="W14" i="21"/>
  <c r="Z14" i="21" s="1"/>
  <c r="BD13" i="22"/>
  <c r="BB14" i="21"/>
  <c r="BD14" i="21" s="1"/>
  <c r="AP14" i="19"/>
  <c r="AR14" i="19" s="1"/>
  <c r="AM13" i="21"/>
  <c r="AX14" i="19"/>
  <c r="AZ14" i="19" s="1"/>
  <c r="BN14" i="19"/>
  <c r="BP14" i="19" s="1"/>
  <c r="H12" i="6"/>
  <c r="BZ14" i="19"/>
  <c r="BZ15" i="19" s="1"/>
  <c r="Z13" i="21"/>
  <c r="BF14" i="19"/>
  <c r="BH14" i="19" s="1"/>
  <c r="CF13" i="21"/>
  <c r="AT14" i="19"/>
  <c r="AV14" i="19" s="1"/>
  <c r="AB13" i="19"/>
  <c r="BB14" i="19"/>
  <c r="BD14" i="19" s="1"/>
  <c r="J20" i="6"/>
  <c r="J22" i="6" s="1"/>
  <c r="J23" i="6" s="1"/>
  <c r="J24" i="6" s="1"/>
  <c r="AZ13" i="21"/>
  <c r="H20" i="6"/>
  <c r="H22" i="6" s="1"/>
  <c r="H23" i="6" s="1"/>
  <c r="O8" i="7" s="1"/>
  <c r="BH13" i="21"/>
  <c r="BV14" i="19"/>
  <c r="BX14" i="19" s="1"/>
  <c r="BR14" i="21"/>
  <c r="BR15" i="21" s="1"/>
  <c r="AT14" i="21"/>
  <c r="AV14" i="21" s="1"/>
  <c r="AK14" i="21"/>
  <c r="AN14" i="21" s="1"/>
  <c r="BZ14" i="21"/>
  <c r="CB14" i="21" s="1"/>
  <c r="BT13" i="22"/>
  <c r="BV14" i="21"/>
  <c r="BX14" i="21" s="1"/>
  <c r="BJ14" i="22"/>
  <c r="BL14" i="22" s="1"/>
  <c r="CB13" i="22"/>
  <c r="AT14" i="22"/>
  <c r="AV14" i="22" s="1"/>
  <c r="AD14" i="21"/>
  <c r="AD15" i="21" s="1"/>
  <c r="AI13" i="21"/>
  <c r="AK14" i="22"/>
  <c r="AN14" i="22" s="1"/>
  <c r="AN13" i="22"/>
  <c r="AD14" i="19"/>
  <c r="AG14" i="19" s="1"/>
  <c r="AI13" i="19"/>
  <c r="AP14" i="22"/>
  <c r="AP15" i="22" s="1"/>
  <c r="Z13" i="8"/>
  <c r="CI13" i="8"/>
  <c r="CJ13" i="8" s="1"/>
  <c r="AB13" i="8"/>
  <c r="W14" i="8"/>
  <c r="AZ13" i="8"/>
  <c r="AX14" i="8"/>
  <c r="K23" i="6"/>
  <c r="K24" i="6" s="1"/>
  <c r="BX13" i="8"/>
  <c r="BV14" i="8"/>
  <c r="AR13" i="8"/>
  <c r="AP14" i="8"/>
  <c r="AZ13" i="22"/>
  <c r="AX14" i="22"/>
  <c r="CF13" i="22"/>
  <c r="CD14" i="22"/>
  <c r="BL14" i="19"/>
  <c r="BJ15" i="19"/>
  <c r="AZ14" i="21"/>
  <c r="AX15" i="21"/>
  <c r="BT14" i="22"/>
  <c r="BR15" i="22"/>
  <c r="BL13" i="8"/>
  <c r="BJ14" i="8"/>
  <c r="BD13" i="8"/>
  <c r="BB14" i="8"/>
  <c r="BL14" i="21"/>
  <c r="BJ15" i="21"/>
  <c r="AG13" i="22"/>
  <c r="AI13" i="22"/>
  <c r="AD14" i="22"/>
  <c r="CI13" i="22"/>
  <c r="CJ13" i="22" s="1"/>
  <c r="AB13" i="22"/>
  <c r="Z13" i="22"/>
  <c r="W14" i="22"/>
  <c r="CB14" i="22"/>
  <c r="BZ15" i="22"/>
  <c r="BH13" i="8"/>
  <c r="BF14" i="8"/>
  <c r="CF13" i="8"/>
  <c r="CD14" i="8"/>
  <c r="BP14" i="22"/>
  <c r="BN15" i="22"/>
  <c r="BH13" i="22"/>
  <c r="BF14" i="22"/>
  <c r="CB13" i="8"/>
  <c r="BZ14" i="8"/>
  <c r="AN13" i="8"/>
  <c r="AM13" i="8"/>
  <c r="AK14" i="8"/>
  <c r="BT13" i="8"/>
  <c r="BR14" i="8"/>
  <c r="CF14" i="21"/>
  <c r="CD15" i="21"/>
  <c r="BP14" i="21"/>
  <c r="BN15" i="21"/>
  <c r="BP13" i="8"/>
  <c r="BN14" i="8"/>
  <c r="I23" i="6"/>
  <c r="I24" i="6" s="1"/>
  <c r="AV13" i="8"/>
  <c r="AT14" i="8"/>
  <c r="BX13" i="22"/>
  <c r="BV14" i="22"/>
  <c r="AG13" i="8"/>
  <c r="AI13" i="8"/>
  <c r="AD14" i="8"/>
  <c r="BD14" i="22"/>
  <c r="BB15" i="22"/>
  <c r="BH14" i="21"/>
  <c r="BF15" i="21"/>
  <c r="W15" i="19" l="1"/>
  <c r="AB15" i="19" s="1"/>
  <c r="AB14" i="19"/>
  <c r="AK15" i="19"/>
  <c r="AM15" i="19" s="1"/>
  <c r="AN14" i="19"/>
  <c r="BT14" i="19"/>
  <c r="W15" i="21"/>
  <c r="AB15" i="21" s="1"/>
  <c r="AB14" i="21"/>
  <c r="CD15" i="19"/>
  <c r="CF15" i="19" s="1"/>
  <c r="AR14" i="21"/>
  <c r="AP15" i="19"/>
  <c r="AR15" i="19" s="1"/>
  <c r="BB15" i="21"/>
  <c r="BB16" i="21" s="1"/>
  <c r="CB14" i="19"/>
  <c r="BB15" i="19"/>
  <c r="BD15" i="19" s="1"/>
  <c r="BN15" i="19"/>
  <c r="BN16" i="19" s="1"/>
  <c r="AX15" i="19"/>
  <c r="AX16" i="19" s="1"/>
  <c r="BV15" i="19"/>
  <c r="BX15" i="19" s="1"/>
  <c r="BF15" i="19"/>
  <c r="BH15" i="19" s="1"/>
  <c r="AT15" i="19"/>
  <c r="AV15" i="19" s="1"/>
  <c r="BZ15" i="21"/>
  <c r="BZ16" i="21" s="1"/>
  <c r="C37" i="19"/>
  <c r="BT14" i="21"/>
  <c r="R6" i="17"/>
  <c r="H24" i="6"/>
  <c r="AT15" i="21"/>
  <c r="AT16" i="21" s="1"/>
  <c r="AK15" i="21"/>
  <c r="AN15" i="21" s="1"/>
  <c r="AM14" i="21"/>
  <c r="AM14" i="22"/>
  <c r="BJ15" i="22"/>
  <c r="BL15" i="22" s="1"/>
  <c r="AR14" i="22"/>
  <c r="AG14" i="21"/>
  <c r="AT15" i="22"/>
  <c r="AV15" i="22" s="1"/>
  <c r="AI14" i="21"/>
  <c r="BV15" i="21"/>
  <c r="BV16" i="21" s="1"/>
  <c r="AI14" i="19"/>
  <c r="AD15" i="19"/>
  <c r="AI15" i="19" s="1"/>
  <c r="AK15" i="22"/>
  <c r="AK16" i="22" s="1"/>
  <c r="BD15" i="22"/>
  <c r="BB16" i="22"/>
  <c r="AR14" i="8"/>
  <c r="AP15" i="8"/>
  <c r="BH15" i="21"/>
  <c r="BF16" i="21"/>
  <c r="BX14" i="22"/>
  <c r="BV15" i="22"/>
  <c r="BP15" i="21"/>
  <c r="BN16" i="21"/>
  <c r="AR15" i="22"/>
  <c r="AP16" i="22"/>
  <c r="BP15" i="22"/>
  <c r="BN16" i="22"/>
  <c r="BT15" i="21"/>
  <c r="BR16" i="21"/>
  <c r="AI14" i="22"/>
  <c r="AG14" i="22"/>
  <c r="AD15" i="22"/>
  <c r="BL15" i="21"/>
  <c r="BJ16" i="21"/>
  <c r="BT15" i="22"/>
  <c r="BR16" i="22"/>
  <c r="BL15" i="19"/>
  <c r="BJ16" i="19"/>
  <c r="CF15" i="21"/>
  <c r="CD16" i="21"/>
  <c r="AM14" i="8"/>
  <c r="AN14" i="8"/>
  <c r="AK15" i="8"/>
  <c r="BT15" i="19"/>
  <c r="BR16" i="19"/>
  <c r="CF14" i="8"/>
  <c r="CD15" i="8"/>
  <c r="BX14" i="8"/>
  <c r="BV15" i="8"/>
  <c r="CB15" i="19"/>
  <c r="BZ16" i="19"/>
  <c r="BP14" i="8"/>
  <c r="BN15" i="8"/>
  <c r="CI14" i="22"/>
  <c r="CJ14" i="22" s="1"/>
  <c r="Z14" i="22"/>
  <c r="W15" i="22"/>
  <c r="AB14" i="22"/>
  <c r="BH14" i="8"/>
  <c r="BF15" i="8"/>
  <c r="AZ15" i="21"/>
  <c r="AX16" i="21"/>
  <c r="CF14" i="22"/>
  <c r="CD15" i="22"/>
  <c r="CB14" i="8"/>
  <c r="BZ15" i="8"/>
  <c r="BB15" i="8"/>
  <c r="BD14" i="8"/>
  <c r="AZ14" i="8"/>
  <c r="AX15" i="8"/>
  <c r="AI15" i="21"/>
  <c r="AG15" i="21"/>
  <c r="AD16" i="21"/>
  <c r="BH14" i="22"/>
  <c r="BF15" i="22"/>
  <c r="AR15" i="21"/>
  <c r="AP16" i="21"/>
  <c r="AV14" i="8"/>
  <c r="AT15" i="8"/>
  <c r="AI14" i="8"/>
  <c r="AG14" i="8"/>
  <c r="AD15" i="8"/>
  <c r="Z15" i="19"/>
  <c r="BT14" i="8"/>
  <c r="BR15" i="8"/>
  <c r="CB15" i="22"/>
  <c r="BZ16" i="22"/>
  <c r="BL14" i="8"/>
  <c r="BJ15" i="8"/>
  <c r="AZ14" i="22"/>
  <c r="AX15" i="22"/>
  <c r="Z14" i="8"/>
  <c r="CI14" i="8"/>
  <c r="CJ14" i="8" s="1"/>
  <c r="AB14" i="8"/>
  <c r="W15" i="8"/>
  <c r="W16" i="19" l="1"/>
  <c r="Z16" i="19" s="1"/>
  <c r="AK16" i="19"/>
  <c r="AM16" i="19" s="1"/>
  <c r="AN15" i="19"/>
  <c r="CD16" i="19"/>
  <c r="CF16" i="19" s="1"/>
  <c r="W16" i="21"/>
  <c r="W17" i="21" s="1"/>
  <c r="Z15" i="21"/>
  <c r="BD15" i="21"/>
  <c r="AP16" i="19"/>
  <c r="AR16" i="19" s="1"/>
  <c r="AZ15" i="19"/>
  <c r="BP15" i="19"/>
  <c r="BV16" i="19"/>
  <c r="BX16" i="19" s="1"/>
  <c r="BB16" i="19"/>
  <c r="BB17" i="19" s="1"/>
  <c r="AT16" i="19"/>
  <c r="AV16" i="19" s="1"/>
  <c r="BF16" i="19"/>
  <c r="BH16" i="19" s="1"/>
  <c r="CB15" i="21"/>
  <c r="AN15" i="22"/>
  <c r="AV15" i="21"/>
  <c r="AT16" i="22"/>
  <c r="AV16" i="22" s="1"/>
  <c r="BX15" i="21"/>
  <c r="BJ16" i="22"/>
  <c r="BJ17" i="22" s="1"/>
  <c r="AM15" i="22"/>
  <c r="AK16" i="21"/>
  <c r="AN16" i="21" s="1"/>
  <c r="AM15" i="21"/>
  <c r="AD16" i="19"/>
  <c r="AI16" i="19" s="1"/>
  <c r="AG15" i="19"/>
  <c r="CB16" i="22"/>
  <c r="BZ17" i="22"/>
  <c r="BH15" i="22"/>
  <c r="BF16" i="22"/>
  <c r="AG15" i="8"/>
  <c r="AI15" i="8"/>
  <c r="AD16" i="8"/>
  <c r="AV15" i="8"/>
  <c r="AT16" i="8"/>
  <c r="AR16" i="21"/>
  <c r="AP17" i="21"/>
  <c r="CF15" i="22"/>
  <c r="CD16" i="22"/>
  <c r="AV16" i="21"/>
  <c r="AT17" i="21"/>
  <c r="BT16" i="19"/>
  <c r="BR17" i="19"/>
  <c r="CF16" i="21"/>
  <c r="CD17" i="21"/>
  <c r="BT16" i="21"/>
  <c r="BR17" i="21"/>
  <c r="BD16" i="22"/>
  <c r="BB17" i="22"/>
  <c r="Z15" i="8"/>
  <c r="CI15" i="8"/>
  <c r="CJ15" i="8" s="1"/>
  <c r="AB15" i="8"/>
  <c r="W16" i="8"/>
  <c r="BX15" i="22"/>
  <c r="BV16" i="22"/>
  <c r="BD16" i="21"/>
  <c r="BB17" i="21"/>
  <c r="BT16" i="22"/>
  <c r="BR17" i="22"/>
  <c r="BP16" i="21"/>
  <c r="BN17" i="21"/>
  <c r="AR16" i="22"/>
  <c r="AP17" i="22"/>
  <c r="BX16" i="21"/>
  <c r="BV17" i="21"/>
  <c r="AZ15" i="22"/>
  <c r="AX16" i="22"/>
  <c r="BH15" i="8"/>
  <c r="BF16" i="8"/>
  <c r="BP16" i="22"/>
  <c r="BN17" i="22"/>
  <c r="AI16" i="21"/>
  <c r="AG16" i="21"/>
  <c r="AD17" i="21"/>
  <c r="AZ15" i="8"/>
  <c r="AX16" i="8"/>
  <c r="BD15" i="8"/>
  <c r="BB16" i="8"/>
  <c r="AZ16" i="21"/>
  <c r="AX17" i="21"/>
  <c r="BL16" i="21"/>
  <c r="BJ17" i="21"/>
  <c r="BH16" i="21"/>
  <c r="BF17" i="21"/>
  <c r="BL15" i="8"/>
  <c r="BJ16" i="8"/>
  <c r="CB15" i="8"/>
  <c r="BZ16" i="8"/>
  <c r="AM16" i="22"/>
  <c r="AN16" i="22"/>
  <c r="AK17" i="22"/>
  <c r="AN15" i="8"/>
  <c r="AM15" i="8"/>
  <c r="AK16" i="8"/>
  <c r="AI15" i="22"/>
  <c r="AG15" i="22"/>
  <c r="AD16" i="22"/>
  <c r="AR15" i="8"/>
  <c r="AP16" i="8"/>
  <c r="BX15" i="8"/>
  <c r="BV16" i="8"/>
  <c r="CF15" i="8"/>
  <c r="CD16" i="8"/>
  <c r="CB16" i="21"/>
  <c r="BZ17" i="21"/>
  <c r="BP16" i="19"/>
  <c r="BN17" i="19"/>
  <c r="AZ16" i="19"/>
  <c r="AX17" i="19"/>
  <c r="CI15" i="22"/>
  <c r="CJ15" i="22" s="1"/>
  <c r="Z15" i="22"/>
  <c r="W16" i="22"/>
  <c r="AB15" i="22"/>
  <c r="BT15" i="8"/>
  <c r="BR16" i="8"/>
  <c r="BP15" i="8"/>
  <c r="BN16" i="8"/>
  <c r="CB16" i="19"/>
  <c r="BZ17" i="19"/>
  <c r="BL16" i="19"/>
  <c r="BJ17" i="19"/>
  <c r="AN16" i="19" l="1"/>
  <c r="W17" i="19"/>
  <c r="W18" i="19" s="1"/>
  <c r="AB16" i="19"/>
  <c r="AK17" i="19"/>
  <c r="AN17" i="19" s="1"/>
  <c r="AB16" i="21"/>
  <c r="Z16" i="21"/>
  <c r="CD17" i="19"/>
  <c r="CD18" i="19" s="1"/>
  <c r="AP17" i="19"/>
  <c r="AR17" i="19" s="1"/>
  <c r="BV17" i="19"/>
  <c r="BX17" i="19" s="1"/>
  <c r="AT17" i="19"/>
  <c r="AV17" i="19" s="1"/>
  <c r="BF17" i="19"/>
  <c r="BH17" i="19" s="1"/>
  <c r="BD16" i="19"/>
  <c r="BL16" i="22"/>
  <c r="AT17" i="22"/>
  <c r="AV17" i="22" s="1"/>
  <c r="AG16" i="19"/>
  <c r="AK17" i="21"/>
  <c r="AK18" i="21" s="1"/>
  <c r="AM16" i="21"/>
  <c r="AD17" i="19"/>
  <c r="AG17" i="19" s="1"/>
  <c r="BL17" i="19"/>
  <c r="BJ18" i="19"/>
  <c r="BP17" i="19"/>
  <c r="BN18" i="19"/>
  <c r="BX16" i="8"/>
  <c r="BV17" i="8"/>
  <c r="CI16" i="22"/>
  <c r="CJ16" i="22" s="1"/>
  <c r="Z16" i="22"/>
  <c r="AB16" i="22"/>
  <c r="W17" i="22"/>
  <c r="BL16" i="8"/>
  <c r="BJ17" i="8"/>
  <c r="BD17" i="21"/>
  <c r="BB18" i="21"/>
  <c r="AV17" i="21"/>
  <c r="AT18" i="21"/>
  <c r="CB17" i="21"/>
  <c r="BZ18" i="21"/>
  <c r="BH17" i="21"/>
  <c r="BF18" i="21"/>
  <c r="AR17" i="21"/>
  <c r="AP18" i="21"/>
  <c r="AZ16" i="8"/>
  <c r="AX17" i="8"/>
  <c r="AN17" i="22"/>
  <c r="AM17" i="22"/>
  <c r="AK18" i="22"/>
  <c r="Z17" i="21"/>
  <c r="AB17" i="21"/>
  <c r="W18" i="21"/>
  <c r="BL17" i="21"/>
  <c r="BJ18" i="21"/>
  <c r="BL17" i="22"/>
  <c r="BJ18" i="22"/>
  <c r="BT17" i="22"/>
  <c r="BR18" i="22"/>
  <c r="BD17" i="22"/>
  <c r="BB18" i="22"/>
  <c r="CF16" i="22"/>
  <c r="CD17" i="22"/>
  <c r="AZ17" i="21"/>
  <c r="AX18" i="21"/>
  <c r="AI17" i="21"/>
  <c r="AG17" i="21"/>
  <c r="AD18" i="21"/>
  <c r="CF17" i="21"/>
  <c r="CD18" i="21"/>
  <c r="AV16" i="8"/>
  <c r="AT17" i="8"/>
  <c r="BH16" i="8"/>
  <c r="BF17" i="8"/>
  <c r="AZ16" i="22"/>
  <c r="AX17" i="22"/>
  <c r="AR17" i="22"/>
  <c r="AP18" i="22"/>
  <c r="BX16" i="22"/>
  <c r="BV17" i="22"/>
  <c r="BP16" i="8"/>
  <c r="BN17" i="8"/>
  <c r="AG16" i="22"/>
  <c r="AI16" i="22"/>
  <c r="AD17" i="22"/>
  <c r="CF16" i="8"/>
  <c r="CD17" i="8"/>
  <c r="CB16" i="8"/>
  <c r="BZ17" i="8"/>
  <c r="BD17" i="19"/>
  <c r="BB18" i="19"/>
  <c r="BT17" i="19"/>
  <c r="BR18" i="19"/>
  <c r="AG16" i="8"/>
  <c r="AI16" i="8"/>
  <c r="AD17" i="8"/>
  <c r="BH16" i="22"/>
  <c r="BF17" i="22"/>
  <c r="BP17" i="22"/>
  <c r="BN18" i="22"/>
  <c r="BX17" i="21"/>
  <c r="BV18" i="21"/>
  <c r="Z16" i="8"/>
  <c r="AB16" i="8"/>
  <c r="CI16" i="8"/>
  <c r="CJ16" i="8" s="1"/>
  <c r="W17" i="8"/>
  <c r="BT17" i="21"/>
  <c r="BR18" i="21"/>
  <c r="AZ17" i="19"/>
  <c r="AX18" i="19"/>
  <c r="CB17" i="19"/>
  <c r="BZ18" i="19"/>
  <c r="BT16" i="8"/>
  <c r="BR17" i="8"/>
  <c r="AR16" i="8"/>
  <c r="AP17" i="8"/>
  <c r="AM16" i="8"/>
  <c r="AN16" i="8"/>
  <c r="AK17" i="8"/>
  <c r="BD16" i="8"/>
  <c r="BB17" i="8"/>
  <c r="BP17" i="21"/>
  <c r="BN18" i="21"/>
  <c r="CB17" i="22"/>
  <c r="BZ18" i="22"/>
  <c r="AM17" i="19" l="1"/>
  <c r="AK18" i="19"/>
  <c r="AN18" i="19" s="1"/>
  <c r="Z17" i="19"/>
  <c r="AB17" i="19"/>
  <c r="CF17" i="19"/>
  <c r="AT18" i="19"/>
  <c r="AV18" i="19" s="1"/>
  <c r="AP18" i="19"/>
  <c r="AP19" i="19" s="1"/>
  <c r="BF18" i="19"/>
  <c r="BF19" i="19" s="1"/>
  <c r="BV18" i="19"/>
  <c r="BX18" i="19" s="1"/>
  <c r="AD18" i="19"/>
  <c r="AI18" i="19" s="1"/>
  <c r="AI17" i="19"/>
  <c r="AT18" i="22"/>
  <c r="AV18" i="22" s="1"/>
  <c r="AM17" i="21"/>
  <c r="AN17" i="21"/>
  <c r="BP18" i="21"/>
  <c r="BN19" i="21"/>
  <c r="AN17" i="8"/>
  <c r="AM17" i="8"/>
  <c r="AK18" i="8"/>
  <c r="AK19" i="19"/>
  <c r="CF18" i="21"/>
  <c r="CD19" i="21"/>
  <c r="CI17" i="22"/>
  <c r="CJ17" i="22" s="1"/>
  <c r="Z17" i="22"/>
  <c r="AB17" i="22"/>
  <c r="W18" i="22"/>
  <c r="BX17" i="8"/>
  <c r="BV18" i="8"/>
  <c r="BP18" i="22"/>
  <c r="BN19" i="22"/>
  <c r="BH17" i="22"/>
  <c r="BF18" i="22"/>
  <c r="AG18" i="21"/>
  <c r="AI18" i="21"/>
  <c r="AD19" i="21"/>
  <c r="BT18" i="22"/>
  <c r="BR19" i="22"/>
  <c r="Z18" i="19"/>
  <c r="AB18" i="19"/>
  <c r="W19" i="19"/>
  <c r="BL17" i="8"/>
  <c r="BJ18" i="8"/>
  <c r="BT18" i="21"/>
  <c r="BR19" i="21"/>
  <c r="AR18" i="22"/>
  <c r="AP19" i="22"/>
  <c r="AV17" i="8"/>
  <c r="AT18" i="8"/>
  <c r="BP18" i="19"/>
  <c r="BN19" i="19"/>
  <c r="CB18" i="19"/>
  <c r="BZ19" i="19"/>
  <c r="BX18" i="21"/>
  <c r="BV19" i="21"/>
  <c r="AG17" i="8"/>
  <c r="AI17" i="8"/>
  <c r="AD18" i="8"/>
  <c r="CB17" i="8"/>
  <c r="BZ18" i="8"/>
  <c r="CF17" i="8"/>
  <c r="CD18" i="8"/>
  <c r="BL18" i="22"/>
  <c r="BJ19" i="22"/>
  <c r="Z18" i="21"/>
  <c r="AB18" i="21"/>
  <c r="W19" i="21"/>
  <c r="BD18" i="21"/>
  <c r="BB19" i="21"/>
  <c r="AR17" i="8"/>
  <c r="AP18" i="8"/>
  <c r="Z17" i="8"/>
  <c r="CI17" i="8"/>
  <c r="CJ17" i="8" s="1"/>
  <c r="AB17" i="8"/>
  <c r="W18" i="8"/>
  <c r="AZ18" i="21"/>
  <c r="AX19" i="21"/>
  <c r="CF17" i="22"/>
  <c r="CD18" i="22"/>
  <c r="CB18" i="21"/>
  <c r="BZ19" i="21"/>
  <c r="BB18" i="8"/>
  <c r="BD17" i="8"/>
  <c r="AZ17" i="22"/>
  <c r="AX18" i="22"/>
  <c r="BT17" i="8"/>
  <c r="BR18" i="8"/>
  <c r="CF18" i="19"/>
  <c r="CD19" i="19"/>
  <c r="AR18" i="21"/>
  <c r="AP19" i="21"/>
  <c r="AV18" i="21"/>
  <c r="AT19" i="21"/>
  <c r="BL18" i="19"/>
  <c r="BJ19" i="19"/>
  <c r="AZ18" i="19"/>
  <c r="AX19" i="19"/>
  <c r="CB18" i="22"/>
  <c r="BZ19" i="22"/>
  <c r="AI17" i="22"/>
  <c r="AG17" i="22"/>
  <c r="AD18" i="22"/>
  <c r="BN18" i="8"/>
  <c r="BP17" i="8"/>
  <c r="BH17" i="8"/>
  <c r="BF18" i="8"/>
  <c r="BL18" i="21"/>
  <c r="BJ19" i="21"/>
  <c r="AN18" i="22"/>
  <c r="AM18" i="22"/>
  <c r="AK19" i="22"/>
  <c r="AZ17" i="8"/>
  <c r="AX18" i="8"/>
  <c r="BH18" i="21"/>
  <c r="BF19" i="21"/>
  <c r="BT18" i="19"/>
  <c r="BR19" i="19"/>
  <c r="BD18" i="19"/>
  <c r="BB19" i="19"/>
  <c r="BX17" i="22"/>
  <c r="BV18" i="22"/>
  <c r="BD18" i="22"/>
  <c r="BB19" i="22"/>
  <c r="AN18" i="21"/>
  <c r="AM18" i="21"/>
  <c r="AK19" i="21"/>
  <c r="AM18" i="19" l="1"/>
  <c r="AT19" i="19"/>
  <c r="AT20" i="19" s="1"/>
  <c r="AR18" i="19"/>
  <c r="BH18" i="19"/>
  <c r="AD19" i="19"/>
  <c r="AG19" i="19" s="1"/>
  <c r="AG18" i="19"/>
  <c r="BV19" i="19"/>
  <c r="BX19" i="19" s="1"/>
  <c r="AT19" i="22"/>
  <c r="AT20" i="22" s="1"/>
  <c r="AV19" i="21"/>
  <c r="AT20" i="21"/>
  <c r="BL19" i="21"/>
  <c r="BJ20" i="21"/>
  <c r="BP18" i="8"/>
  <c r="BN19" i="8"/>
  <c r="CB19" i="22"/>
  <c r="BZ20" i="22"/>
  <c r="CF19" i="19"/>
  <c r="CD20" i="19"/>
  <c r="BT18" i="8"/>
  <c r="BR19" i="8"/>
  <c r="BD18" i="8"/>
  <c r="BB19" i="8"/>
  <c r="CF18" i="8"/>
  <c r="CD19" i="8"/>
  <c r="AV18" i="8"/>
  <c r="AT19" i="8"/>
  <c r="BL18" i="8"/>
  <c r="BJ19" i="8"/>
  <c r="AN19" i="19"/>
  <c r="AM19" i="19"/>
  <c r="AK20" i="19"/>
  <c r="BP19" i="21"/>
  <c r="BN20" i="21"/>
  <c r="BH19" i="21"/>
  <c r="BF20" i="21"/>
  <c r="AZ19" i="21"/>
  <c r="AX20" i="21"/>
  <c r="AM19" i="21"/>
  <c r="AN19" i="21"/>
  <c r="AK20" i="21"/>
  <c r="BX18" i="22"/>
  <c r="BV19" i="22"/>
  <c r="AG18" i="22"/>
  <c r="AI18" i="22"/>
  <c r="AD19" i="22"/>
  <c r="BL19" i="19"/>
  <c r="BJ20" i="19"/>
  <c r="BL19" i="22"/>
  <c r="BJ20" i="22"/>
  <c r="CB19" i="19"/>
  <c r="BZ20" i="19"/>
  <c r="BT19" i="22"/>
  <c r="BR20" i="22"/>
  <c r="CF19" i="21"/>
  <c r="CD20" i="21"/>
  <c r="CB18" i="8"/>
  <c r="BZ19" i="8"/>
  <c r="AR19" i="22"/>
  <c r="AP20" i="22"/>
  <c r="AZ18" i="8"/>
  <c r="AX19" i="8"/>
  <c r="BT19" i="21"/>
  <c r="BR20" i="21"/>
  <c r="Z19" i="19"/>
  <c r="AB19" i="19"/>
  <c r="W20" i="19"/>
  <c r="AI19" i="21"/>
  <c r="AG19" i="21"/>
  <c r="AD20" i="21"/>
  <c r="BX18" i="8"/>
  <c r="BV19" i="8"/>
  <c r="AZ19" i="19"/>
  <c r="AX20" i="19"/>
  <c r="Z19" i="21"/>
  <c r="AB19" i="21"/>
  <c r="W20" i="21"/>
  <c r="AZ18" i="22"/>
  <c r="AX19" i="22"/>
  <c r="CF18" i="22"/>
  <c r="CD19" i="22"/>
  <c r="CI18" i="8"/>
  <c r="CJ18" i="8" s="1"/>
  <c r="Z18" i="8"/>
  <c r="AB18" i="8"/>
  <c r="W19" i="8"/>
  <c r="BD19" i="21"/>
  <c r="BB20" i="21"/>
  <c r="AG18" i="8"/>
  <c r="AI18" i="8"/>
  <c r="AD19" i="8"/>
  <c r="BP19" i="19"/>
  <c r="BN20" i="19"/>
  <c r="AR19" i="19"/>
  <c r="AP20" i="19"/>
  <c r="BH18" i="22"/>
  <c r="BF19" i="22"/>
  <c r="BT19" i="19"/>
  <c r="BR20" i="19"/>
  <c r="BD19" i="22"/>
  <c r="BB20" i="22"/>
  <c r="AR19" i="21"/>
  <c r="AP20" i="21"/>
  <c r="BH18" i="8"/>
  <c r="BF19" i="8"/>
  <c r="BH19" i="19"/>
  <c r="BF20" i="19"/>
  <c r="BD19" i="19"/>
  <c r="BB20" i="19"/>
  <c r="AM19" i="22"/>
  <c r="AN19" i="22"/>
  <c r="AK20" i="22"/>
  <c r="AR18" i="8"/>
  <c r="AP19" i="8"/>
  <c r="CI18" i="22"/>
  <c r="CJ18" i="22" s="1"/>
  <c r="Z18" i="22"/>
  <c r="AB18" i="22"/>
  <c r="W19" i="22"/>
  <c r="AN18" i="8"/>
  <c r="AM18" i="8"/>
  <c r="AK19" i="8"/>
  <c r="BP19" i="22"/>
  <c r="BN20" i="22"/>
  <c r="CB19" i="21"/>
  <c r="BZ20" i="21"/>
  <c r="BX19" i="21"/>
  <c r="BV20" i="21"/>
  <c r="AV19" i="19" l="1"/>
  <c r="AD20" i="19"/>
  <c r="AG20" i="19" s="1"/>
  <c r="AI19" i="19"/>
  <c r="BV20" i="19"/>
  <c r="BV21" i="19" s="1"/>
  <c r="AV19" i="22"/>
  <c r="AI19" i="8"/>
  <c r="AG19" i="8"/>
  <c r="AD20" i="8"/>
  <c r="AN19" i="8"/>
  <c r="AM19" i="8"/>
  <c r="AK20" i="8"/>
  <c r="BF21" i="19"/>
  <c r="BH20" i="19"/>
  <c r="AZ19" i="8"/>
  <c r="AX20" i="8"/>
  <c r="AR20" i="22"/>
  <c r="AP21" i="22"/>
  <c r="AV19" i="8"/>
  <c r="AT20" i="8"/>
  <c r="CF19" i="22"/>
  <c r="CD20" i="22"/>
  <c r="CB20" i="21"/>
  <c r="BZ21" i="21"/>
  <c r="AR19" i="8"/>
  <c r="AP20" i="8"/>
  <c r="BD20" i="22"/>
  <c r="BB21" i="22"/>
  <c r="BH19" i="22"/>
  <c r="BF20" i="22"/>
  <c r="BD20" i="21"/>
  <c r="BB21" i="21"/>
  <c r="Z20" i="19"/>
  <c r="AB20" i="19"/>
  <c r="W21" i="19"/>
  <c r="AG19" i="22"/>
  <c r="AI19" i="22"/>
  <c r="AD20" i="22"/>
  <c r="AZ20" i="21"/>
  <c r="AX21" i="21"/>
  <c r="CF20" i="19"/>
  <c r="CD21" i="19"/>
  <c r="AG20" i="21"/>
  <c r="AI20" i="21"/>
  <c r="AD21" i="21"/>
  <c r="AR20" i="19"/>
  <c r="AP21" i="19"/>
  <c r="Z20" i="21"/>
  <c r="AB20" i="21"/>
  <c r="W21" i="21"/>
  <c r="BP20" i="21"/>
  <c r="BN21" i="21"/>
  <c r="AV20" i="21"/>
  <c r="AT21" i="21"/>
  <c r="Z19" i="8"/>
  <c r="CI19" i="8"/>
  <c r="CJ19" i="8" s="1"/>
  <c r="AB19" i="8"/>
  <c r="W20" i="8"/>
  <c r="AZ19" i="22"/>
  <c r="AX20" i="22"/>
  <c r="CB19" i="8"/>
  <c r="BZ20" i="8"/>
  <c r="CF20" i="21"/>
  <c r="CD21" i="21"/>
  <c r="BH20" i="21"/>
  <c r="BF21" i="21"/>
  <c r="CB20" i="22"/>
  <c r="BZ21" i="22"/>
  <c r="BP20" i="22"/>
  <c r="BN21" i="22"/>
  <c r="BH19" i="8"/>
  <c r="BF20" i="8"/>
  <c r="BP20" i="19"/>
  <c r="BN21" i="19"/>
  <c r="BX19" i="8"/>
  <c r="BV20" i="8"/>
  <c r="BL20" i="22"/>
  <c r="BJ21" i="22"/>
  <c r="BX19" i="22"/>
  <c r="BV20" i="22"/>
  <c r="CF19" i="8"/>
  <c r="CD20" i="8"/>
  <c r="AN20" i="22"/>
  <c r="AM20" i="22"/>
  <c r="AK21" i="22"/>
  <c r="CI19" i="22"/>
  <c r="CJ19" i="22" s="1"/>
  <c r="Z19" i="22"/>
  <c r="AB19" i="22"/>
  <c r="W20" i="22"/>
  <c r="BD20" i="19"/>
  <c r="BB21" i="19"/>
  <c r="BT20" i="19"/>
  <c r="BR21" i="19"/>
  <c r="AV20" i="19"/>
  <c r="AT21" i="19"/>
  <c r="BT20" i="21"/>
  <c r="BR21" i="21"/>
  <c r="AM20" i="19"/>
  <c r="AN20" i="19"/>
  <c r="AK21" i="19"/>
  <c r="BD19" i="8"/>
  <c r="BB20" i="8"/>
  <c r="BP19" i="8"/>
  <c r="BN20" i="8"/>
  <c r="BX20" i="21"/>
  <c r="BV21" i="21"/>
  <c r="AR20" i="21"/>
  <c r="AP21" i="21"/>
  <c r="AV20" i="22"/>
  <c r="AT21" i="22"/>
  <c r="BL20" i="19"/>
  <c r="BJ21" i="19"/>
  <c r="AM20" i="21"/>
  <c r="AN20" i="21"/>
  <c r="AK21" i="21"/>
  <c r="BL19" i="8"/>
  <c r="BJ20" i="8"/>
  <c r="AZ20" i="19"/>
  <c r="AX21" i="19"/>
  <c r="BT20" i="22"/>
  <c r="BR21" i="22"/>
  <c r="CB20" i="19"/>
  <c r="BZ21" i="19"/>
  <c r="BT19" i="8"/>
  <c r="BR20" i="8"/>
  <c r="BL20" i="21"/>
  <c r="BJ21" i="21"/>
  <c r="AD21" i="19" l="1"/>
  <c r="AG21" i="19" s="1"/>
  <c r="AI20" i="19"/>
  <c r="BX20" i="19"/>
  <c r="BL21" i="21"/>
  <c r="BJ22" i="21"/>
  <c r="AT22" i="19"/>
  <c r="AV21" i="19"/>
  <c r="BP21" i="19"/>
  <c r="BN22" i="19"/>
  <c r="BH21" i="21"/>
  <c r="BF22" i="21"/>
  <c r="AV21" i="21"/>
  <c r="AT22" i="21"/>
  <c r="BP21" i="21"/>
  <c r="BN22" i="21"/>
  <c r="CB21" i="19"/>
  <c r="BZ22" i="19"/>
  <c r="AV21" i="22"/>
  <c r="AT22" i="22"/>
  <c r="BP20" i="8"/>
  <c r="BN21" i="8"/>
  <c r="BD21" i="19"/>
  <c r="BB22" i="19"/>
  <c r="BX20" i="22"/>
  <c r="BV21" i="22"/>
  <c r="BP21" i="22"/>
  <c r="BN22" i="22"/>
  <c r="AZ21" i="21"/>
  <c r="AX22" i="21"/>
  <c r="CF20" i="22"/>
  <c r="CD21" i="22"/>
  <c r="AZ20" i="8"/>
  <c r="AX21" i="8"/>
  <c r="BX21" i="19"/>
  <c r="BV22" i="19"/>
  <c r="BL20" i="8"/>
  <c r="BJ21" i="8"/>
  <c r="AM21" i="22"/>
  <c r="AN21" i="22"/>
  <c r="AK22" i="22"/>
  <c r="BX20" i="8"/>
  <c r="BV21" i="8"/>
  <c r="AZ20" i="22"/>
  <c r="AX21" i="22"/>
  <c r="CF21" i="19"/>
  <c r="CD22" i="19"/>
  <c r="AR20" i="8"/>
  <c r="AP21" i="8"/>
  <c r="AR21" i="22"/>
  <c r="AP22" i="22"/>
  <c r="AI20" i="22"/>
  <c r="AG20" i="22"/>
  <c r="AD21" i="22"/>
  <c r="BD21" i="21"/>
  <c r="BB22" i="21"/>
  <c r="BD20" i="8"/>
  <c r="BB21" i="8"/>
  <c r="BT21" i="21"/>
  <c r="BR22" i="21"/>
  <c r="BL21" i="22"/>
  <c r="BJ22" i="22"/>
  <c r="CF21" i="21"/>
  <c r="CD22" i="21"/>
  <c r="AN21" i="21"/>
  <c r="AM21" i="21"/>
  <c r="AK22" i="21"/>
  <c r="AR21" i="21"/>
  <c r="AP22" i="21"/>
  <c r="CI20" i="22"/>
  <c r="CJ20" i="22" s="1"/>
  <c r="AB20" i="22"/>
  <c r="Z20" i="22"/>
  <c r="W21" i="22"/>
  <c r="CF20" i="8"/>
  <c r="CD21" i="8"/>
  <c r="CI20" i="8"/>
  <c r="CJ20" i="8" s="1"/>
  <c r="Z20" i="8"/>
  <c r="AB20" i="8"/>
  <c r="W21" i="8"/>
  <c r="AR21" i="19"/>
  <c r="AP22" i="19"/>
  <c r="BH21" i="19"/>
  <c r="BF22" i="19"/>
  <c r="BH20" i="22"/>
  <c r="BF21" i="22"/>
  <c r="AV20" i="8"/>
  <c r="AT21" i="8"/>
  <c r="BX21" i="21"/>
  <c r="BV22" i="21"/>
  <c r="BH20" i="8"/>
  <c r="BF21" i="8"/>
  <c r="CB21" i="22"/>
  <c r="BZ22" i="22"/>
  <c r="CB20" i="8"/>
  <c r="BZ21" i="8"/>
  <c r="Z21" i="21"/>
  <c r="AB21" i="21"/>
  <c r="W22" i="21"/>
  <c r="AI21" i="21"/>
  <c r="AD22" i="21"/>
  <c r="AG21" i="21"/>
  <c r="CB21" i="21"/>
  <c r="BZ22" i="21"/>
  <c r="AG20" i="8"/>
  <c r="AI20" i="8"/>
  <c r="AD21" i="8"/>
  <c r="AZ21" i="19"/>
  <c r="AX22" i="19"/>
  <c r="BL21" i="19"/>
  <c r="BJ22" i="19"/>
  <c r="AM21" i="19"/>
  <c r="AN21" i="19"/>
  <c r="AK22" i="19"/>
  <c r="BT21" i="19"/>
  <c r="BR22" i="19"/>
  <c r="Z21" i="19"/>
  <c r="AB21" i="19"/>
  <c r="W22" i="19"/>
  <c r="BD21" i="22"/>
  <c r="BB22" i="22"/>
  <c r="BT21" i="22"/>
  <c r="BR22" i="22"/>
  <c r="BT20" i="8"/>
  <c r="BR21" i="8"/>
  <c r="AM20" i="8"/>
  <c r="AN20" i="8"/>
  <c r="AK21" i="8"/>
  <c r="AD22" i="19" l="1"/>
  <c r="AG22" i="19" s="1"/>
  <c r="AI21" i="19"/>
  <c r="BT22" i="19"/>
  <c r="BR23" i="19"/>
  <c r="BL22" i="19"/>
  <c r="BJ23" i="19"/>
  <c r="AG21" i="8"/>
  <c r="AI21" i="8"/>
  <c r="AD22" i="8"/>
  <c r="AR22" i="19"/>
  <c r="AP23" i="19"/>
  <c r="BT22" i="21"/>
  <c r="BR23" i="21"/>
  <c r="AI21" i="22"/>
  <c r="AG21" i="22"/>
  <c r="AD22" i="22"/>
  <c r="AR22" i="22"/>
  <c r="AP23" i="22"/>
  <c r="AZ21" i="22"/>
  <c r="AX22" i="22"/>
  <c r="BX21" i="8"/>
  <c r="BV22" i="8"/>
  <c r="CB21" i="8"/>
  <c r="BZ22" i="8"/>
  <c r="BL21" i="8"/>
  <c r="BJ22" i="8"/>
  <c r="BP22" i="22"/>
  <c r="BN23" i="22"/>
  <c r="BX21" i="22"/>
  <c r="BV22" i="22"/>
  <c r="BP22" i="19"/>
  <c r="BN23" i="19"/>
  <c r="AN21" i="8"/>
  <c r="AM21" i="8"/>
  <c r="AK22" i="8"/>
  <c r="AZ22" i="19"/>
  <c r="AX23" i="19"/>
  <c r="AI22" i="21"/>
  <c r="AG22" i="21"/>
  <c r="AD23" i="21"/>
  <c r="CI21" i="22"/>
  <c r="CJ21" i="22" s="1"/>
  <c r="Z21" i="22"/>
  <c r="AB21" i="22"/>
  <c r="W22" i="22"/>
  <c r="BD21" i="8"/>
  <c r="BB22" i="8"/>
  <c r="AZ21" i="8"/>
  <c r="AX22" i="8"/>
  <c r="AZ22" i="21"/>
  <c r="AX23" i="21"/>
  <c r="AV22" i="22"/>
  <c r="AT23" i="22"/>
  <c r="BP22" i="21"/>
  <c r="BN23" i="21"/>
  <c r="BT21" i="8"/>
  <c r="BR22" i="8"/>
  <c r="BD22" i="22"/>
  <c r="BB23" i="22"/>
  <c r="CB22" i="22"/>
  <c r="BZ23" i="22"/>
  <c r="BH21" i="22"/>
  <c r="BF22" i="22"/>
  <c r="BH22" i="19"/>
  <c r="BF23" i="19"/>
  <c r="AR22" i="21"/>
  <c r="AP23" i="21"/>
  <c r="BX22" i="19"/>
  <c r="BV23" i="19"/>
  <c r="BD22" i="19"/>
  <c r="BB23" i="19"/>
  <c r="CB22" i="21"/>
  <c r="BZ23" i="21"/>
  <c r="AM22" i="19"/>
  <c r="AN22" i="19"/>
  <c r="AK23" i="19"/>
  <c r="Z22" i="21"/>
  <c r="W23" i="21"/>
  <c r="AB22" i="21"/>
  <c r="BX22" i="21"/>
  <c r="BV23" i="21"/>
  <c r="Z21" i="8"/>
  <c r="CI21" i="8"/>
  <c r="CJ21" i="8" s="1"/>
  <c r="AB21" i="8"/>
  <c r="W22" i="8"/>
  <c r="AV22" i="21"/>
  <c r="AT23" i="21"/>
  <c r="BT22" i="22"/>
  <c r="BR23" i="22"/>
  <c r="Z22" i="19"/>
  <c r="AB22" i="19"/>
  <c r="W23" i="19"/>
  <c r="BH21" i="8"/>
  <c r="BF22" i="8"/>
  <c r="AN22" i="21"/>
  <c r="AM22" i="21"/>
  <c r="AK23" i="21"/>
  <c r="CF21" i="22"/>
  <c r="CD22" i="22"/>
  <c r="BL22" i="21"/>
  <c r="BJ23" i="21"/>
  <c r="BL22" i="22"/>
  <c r="BJ23" i="22"/>
  <c r="BD22" i="21"/>
  <c r="BB23" i="21"/>
  <c r="CF22" i="19"/>
  <c r="CD23" i="19"/>
  <c r="AV22" i="19"/>
  <c r="AT23" i="19"/>
  <c r="AV21" i="8"/>
  <c r="AT22" i="8"/>
  <c r="CF21" i="8"/>
  <c r="CD22" i="8"/>
  <c r="CF22" i="21"/>
  <c r="CD23" i="21"/>
  <c r="AR21" i="8"/>
  <c r="AP22" i="8"/>
  <c r="AN22" i="22"/>
  <c r="AM22" i="22"/>
  <c r="AK23" i="22"/>
  <c r="BP21" i="8"/>
  <c r="BN22" i="8"/>
  <c r="CB22" i="19"/>
  <c r="BZ23" i="19"/>
  <c r="BH22" i="21"/>
  <c r="BF23" i="21"/>
  <c r="AI22" i="19" l="1"/>
  <c r="AD23" i="19"/>
  <c r="AI23" i="19" s="1"/>
  <c r="AV22" i="8"/>
  <c r="AT23" i="8"/>
  <c r="BD23" i="21"/>
  <c r="BB24" i="21"/>
  <c r="BH23" i="21"/>
  <c r="BF24" i="21"/>
  <c r="BX23" i="21"/>
  <c r="BV24" i="21"/>
  <c r="BD23" i="19"/>
  <c r="BB24" i="19"/>
  <c r="BT22" i="8"/>
  <c r="BR23" i="8"/>
  <c r="AM22" i="8"/>
  <c r="AN22" i="8"/>
  <c r="AK23" i="8"/>
  <c r="BX22" i="22"/>
  <c r="BV23" i="22"/>
  <c r="BL23" i="22"/>
  <c r="BJ24" i="22"/>
  <c r="BH22" i="22"/>
  <c r="BF23" i="22"/>
  <c r="AV23" i="22"/>
  <c r="AT24" i="22"/>
  <c r="AZ22" i="8"/>
  <c r="AX23" i="8"/>
  <c r="AR23" i="19"/>
  <c r="AP24" i="19"/>
  <c r="AN23" i="22"/>
  <c r="AM23" i="22"/>
  <c r="AK24" i="22"/>
  <c r="CF22" i="8"/>
  <c r="CD23" i="8"/>
  <c r="Z23" i="19"/>
  <c r="AB23" i="19"/>
  <c r="W24" i="19"/>
  <c r="AV23" i="21"/>
  <c r="AT24" i="21"/>
  <c r="BP23" i="22"/>
  <c r="BN24" i="22"/>
  <c r="BX22" i="8"/>
  <c r="BV23" i="8"/>
  <c r="AR23" i="22"/>
  <c r="AP24" i="22"/>
  <c r="BL23" i="19"/>
  <c r="BJ24" i="19"/>
  <c r="AR23" i="21"/>
  <c r="AP24" i="21"/>
  <c r="CB23" i="22"/>
  <c r="BZ24" i="22"/>
  <c r="CI22" i="8"/>
  <c r="CJ22" i="8" s="1"/>
  <c r="Z22" i="8"/>
  <c r="AB22" i="8"/>
  <c r="W23" i="8"/>
  <c r="BP22" i="8"/>
  <c r="BN23" i="8"/>
  <c r="BB23" i="8"/>
  <c r="BD22" i="8"/>
  <c r="AZ22" i="22"/>
  <c r="AX23" i="22"/>
  <c r="AG22" i="22"/>
  <c r="AI22" i="22"/>
  <c r="AD23" i="22"/>
  <c r="BT23" i="19"/>
  <c r="BR24" i="19"/>
  <c r="CF23" i="19"/>
  <c r="CD24" i="19"/>
  <c r="AN23" i="21"/>
  <c r="AM23" i="21"/>
  <c r="AK24" i="21"/>
  <c r="BT23" i="22"/>
  <c r="BR24" i="22"/>
  <c r="Z23" i="21"/>
  <c r="AB23" i="21"/>
  <c r="W24" i="21"/>
  <c r="AM23" i="19"/>
  <c r="AN23" i="19"/>
  <c r="AK24" i="19"/>
  <c r="CB23" i="21"/>
  <c r="BZ24" i="21"/>
  <c r="AZ23" i="19"/>
  <c r="AX24" i="19"/>
  <c r="BL22" i="8"/>
  <c r="BJ23" i="8"/>
  <c r="CB22" i="8"/>
  <c r="BZ23" i="8"/>
  <c r="CF23" i="21"/>
  <c r="CD24" i="21"/>
  <c r="AV23" i="19"/>
  <c r="AT24" i="19"/>
  <c r="BD23" i="22"/>
  <c r="BB24" i="22"/>
  <c r="CI22" i="22"/>
  <c r="CJ22" i="22" s="1"/>
  <c r="Z22" i="22"/>
  <c r="AB22" i="22"/>
  <c r="W23" i="22"/>
  <c r="AI23" i="21"/>
  <c r="AG23" i="21"/>
  <c r="AD24" i="21"/>
  <c r="BP23" i="19"/>
  <c r="BN24" i="19"/>
  <c r="CB23" i="19"/>
  <c r="BZ24" i="19"/>
  <c r="AR22" i="8"/>
  <c r="AP23" i="8"/>
  <c r="BL23" i="21"/>
  <c r="BJ24" i="21"/>
  <c r="CF22" i="22"/>
  <c r="CD23" i="22"/>
  <c r="BF23" i="8"/>
  <c r="BH22" i="8"/>
  <c r="BX23" i="19"/>
  <c r="BV24" i="19"/>
  <c r="BH23" i="19"/>
  <c r="BF24" i="19"/>
  <c r="BP23" i="21"/>
  <c r="BN24" i="21"/>
  <c r="AZ23" i="21"/>
  <c r="AX24" i="21"/>
  <c r="BT23" i="21"/>
  <c r="BR24" i="21"/>
  <c r="AG22" i="8"/>
  <c r="AI22" i="8"/>
  <c r="AD23" i="8"/>
  <c r="AD24" i="19" l="1"/>
  <c r="AG24" i="19" s="1"/>
  <c r="AG23" i="19"/>
  <c r="AZ24" i="19"/>
  <c r="AX25" i="19"/>
  <c r="BT24" i="19"/>
  <c r="BR25" i="19"/>
  <c r="BX24" i="21"/>
  <c r="BV25" i="21"/>
  <c r="AN24" i="21"/>
  <c r="AM24" i="21"/>
  <c r="AK25" i="21"/>
  <c r="AG23" i="8"/>
  <c r="AI23" i="8"/>
  <c r="AD24" i="8"/>
  <c r="CB23" i="8"/>
  <c r="BZ24" i="8"/>
  <c r="AN24" i="19"/>
  <c r="AM24" i="19"/>
  <c r="AK25" i="19"/>
  <c r="AV24" i="22"/>
  <c r="AT25" i="22"/>
  <c r="BX23" i="22"/>
  <c r="BV24" i="22"/>
  <c r="BH23" i="8"/>
  <c r="BF24" i="8"/>
  <c r="BP24" i="19"/>
  <c r="BN25" i="19"/>
  <c r="AV24" i="19"/>
  <c r="AT25" i="19"/>
  <c r="BL23" i="8"/>
  <c r="BJ24" i="8"/>
  <c r="AG24" i="21"/>
  <c r="AI24" i="21"/>
  <c r="AD25" i="21"/>
  <c r="BL24" i="21"/>
  <c r="BJ25" i="21"/>
  <c r="AR23" i="8"/>
  <c r="AP24" i="8"/>
  <c r="CF24" i="19"/>
  <c r="CD25" i="19"/>
  <c r="AV24" i="21"/>
  <c r="AT25" i="21"/>
  <c r="BF25" i="19"/>
  <c r="BH24" i="19"/>
  <c r="AZ24" i="21"/>
  <c r="AX25" i="21"/>
  <c r="CF23" i="22"/>
  <c r="CD24" i="22"/>
  <c r="BT24" i="21"/>
  <c r="BR25" i="21"/>
  <c r="CI23" i="22"/>
  <c r="CJ23" i="22" s="1"/>
  <c r="Z23" i="22"/>
  <c r="W24" i="22"/>
  <c r="AB23" i="22"/>
  <c r="BL24" i="19"/>
  <c r="BJ25" i="19"/>
  <c r="AR24" i="22"/>
  <c r="AP25" i="22"/>
  <c r="CF23" i="8"/>
  <c r="CD24" i="8"/>
  <c r="BL24" i="22"/>
  <c r="BJ25" i="22"/>
  <c r="AM23" i="8"/>
  <c r="AN23" i="8"/>
  <c r="AK24" i="8"/>
  <c r="BH24" i="21"/>
  <c r="BF25" i="21"/>
  <c r="CI23" i="8"/>
  <c r="CJ23" i="8" s="1"/>
  <c r="Z23" i="8"/>
  <c r="AB23" i="8"/>
  <c r="W24" i="8"/>
  <c r="BP24" i="21"/>
  <c r="BN25" i="21"/>
  <c r="BD24" i="22"/>
  <c r="BB25" i="22"/>
  <c r="CB24" i="19"/>
  <c r="BZ25" i="19"/>
  <c r="Z24" i="21"/>
  <c r="AB24" i="21"/>
  <c r="W25" i="21"/>
  <c r="BT24" i="22"/>
  <c r="BR25" i="22"/>
  <c r="AG23" i="22"/>
  <c r="AI23" i="22"/>
  <c r="AD24" i="22"/>
  <c r="BD23" i="8"/>
  <c r="BB24" i="8"/>
  <c r="BP23" i="8"/>
  <c r="BN24" i="8"/>
  <c r="Z24" i="19"/>
  <c r="AB24" i="19"/>
  <c r="W25" i="19"/>
  <c r="AR24" i="19"/>
  <c r="AP25" i="19"/>
  <c r="BH23" i="22"/>
  <c r="BF24" i="22"/>
  <c r="BT23" i="8"/>
  <c r="BR24" i="8"/>
  <c r="CB24" i="22"/>
  <c r="BZ25" i="22"/>
  <c r="BX23" i="8"/>
  <c r="BV24" i="8"/>
  <c r="AN24" i="22"/>
  <c r="AM24" i="22"/>
  <c r="AK25" i="22"/>
  <c r="BD24" i="21"/>
  <c r="BB25" i="21"/>
  <c r="BD24" i="19"/>
  <c r="BB25" i="19"/>
  <c r="BX24" i="19"/>
  <c r="BV25" i="19"/>
  <c r="CF24" i="21"/>
  <c r="CD25" i="21"/>
  <c r="CB24" i="21"/>
  <c r="BZ25" i="21"/>
  <c r="AZ23" i="22"/>
  <c r="AX24" i="22"/>
  <c r="AR24" i="21"/>
  <c r="AP25" i="21"/>
  <c r="BP24" i="22"/>
  <c r="BN25" i="22"/>
  <c r="AZ23" i="8"/>
  <c r="AX24" i="8"/>
  <c r="AV23" i="8"/>
  <c r="AT24" i="8"/>
  <c r="AD25" i="19" l="1"/>
  <c r="AI25" i="19" s="1"/>
  <c r="AI24" i="19"/>
  <c r="AM25" i="22"/>
  <c r="AN25" i="22"/>
  <c r="AK26" i="22"/>
  <c r="BP24" i="8"/>
  <c r="BN25" i="8"/>
  <c r="AV25" i="21"/>
  <c r="AT26" i="21"/>
  <c r="AV25" i="19"/>
  <c r="AT26" i="19"/>
  <c r="BX25" i="21"/>
  <c r="BV26" i="21"/>
  <c r="BD25" i="21"/>
  <c r="BB26" i="21"/>
  <c r="BT24" i="8"/>
  <c r="BR25" i="8"/>
  <c r="Z25" i="21"/>
  <c r="AB25" i="21"/>
  <c r="W26" i="21"/>
  <c r="AR25" i="22"/>
  <c r="AP26" i="22"/>
  <c r="BH25" i="19"/>
  <c r="BF26" i="19"/>
  <c r="AG25" i="21"/>
  <c r="AI25" i="21"/>
  <c r="AD26" i="21"/>
  <c r="AM25" i="19"/>
  <c r="AN25" i="19"/>
  <c r="AK26" i="19"/>
  <c r="BT25" i="22"/>
  <c r="BR26" i="22"/>
  <c r="BP25" i="22"/>
  <c r="BN26" i="22"/>
  <c r="BH24" i="22"/>
  <c r="BF25" i="22"/>
  <c r="BD24" i="8"/>
  <c r="BB25" i="8"/>
  <c r="BL25" i="22"/>
  <c r="BJ26" i="22"/>
  <c r="BT25" i="21"/>
  <c r="BR26" i="21"/>
  <c r="CF24" i="22"/>
  <c r="CD25" i="22"/>
  <c r="BP25" i="19"/>
  <c r="BN26" i="19"/>
  <c r="AV24" i="8"/>
  <c r="AT25" i="8"/>
  <c r="CB25" i="21"/>
  <c r="BZ26" i="21"/>
  <c r="BH25" i="21"/>
  <c r="BF26" i="21"/>
  <c r="BJ26" i="19"/>
  <c r="BL25" i="19"/>
  <c r="CI24" i="22"/>
  <c r="CJ24" i="22" s="1"/>
  <c r="Z24" i="22"/>
  <c r="AB24" i="22"/>
  <c r="W25" i="22"/>
  <c r="AR24" i="8"/>
  <c r="AP25" i="8"/>
  <c r="BX24" i="22"/>
  <c r="BV25" i="22"/>
  <c r="AG24" i="8"/>
  <c r="AI24" i="8"/>
  <c r="AD25" i="8"/>
  <c r="BT25" i="19"/>
  <c r="BR26" i="19"/>
  <c r="CB25" i="22"/>
  <c r="BZ26" i="22"/>
  <c r="Z25" i="19"/>
  <c r="AB25" i="19"/>
  <c r="W26" i="19"/>
  <c r="BD25" i="22"/>
  <c r="BB26" i="22"/>
  <c r="AZ25" i="21"/>
  <c r="AX26" i="21"/>
  <c r="BH24" i="8"/>
  <c r="BF25" i="8"/>
  <c r="BX25" i="19"/>
  <c r="BV26" i="19"/>
  <c r="AR25" i="19"/>
  <c r="AP26" i="19"/>
  <c r="AG24" i="22"/>
  <c r="AI24" i="22"/>
  <c r="AD25" i="22"/>
  <c r="CI24" i="8"/>
  <c r="CJ24" i="8" s="1"/>
  <c r="Z24" i="8"/>
  <c r="W25" i="8"/>
  <c r="AB24" i="8"/>
  <c r="AZ24" i="8"/>
  <c r="AX25" i="8"/>
  <c r="BD25" i="19"/>
  <c r="BB26" i="19"/>
  <c r="BX24" i="8"/>
  <c r="BV25" i="8"/>
  <c r="BL25" i="21"/>
  <c r="BJ26" i="21"/>
  <c r="AV25" i="22"/>
  <c r="AT26" i="22"/>
  <c r="AZ24" i="22"/>
  <c r="AX25" i="22"/>
  <c r="AR25" i="21"/>
  <c r="AP26" i="21"/>
  <c r="CF25" i="21"/>
  <c r="CD26" i="21"/>
  <c r="CB25" i="19"/>
  <c r="BZ26" i="19"/>
  <c r="BP25" i="21"/>
  <c r="BN26" i="21"/>
  <c r="CF24" i="8"/>
  <c r="CD25" i="8"/>
  <c r="CF25" i="19"/>
  <c r="CD26" i="19"/>
  <c r="BL24" i="8"/>
  <c r="BJ25" i="8"/>
  <c r="CB24" i="8"/>
  <c r="BZ25" i="8"/>
  <c r="AM25" i="21"/>
  <c r="AN25" i="21"/>
  <c r="AK26" i="21"/>
  <c r="AZ25" i="19"/>
  <c r="AX26" i="19"/>
  <c r="AM24" i="8"/>
  <c r="AN24" i="8"/>
  <c r="AK25" i="8"/>
  <c r="AD26" i="19" l="1"/>
  <c r="AG25" i="19"/>
  <c r="BL26" i="21"/>
  <c r="BJ27" i="21"/>
  <c r="BX25" i="8"/>
  <c r="BV26" i="8"/>
  <c r="AR26" i="21"/>
  <c r="AP27" i="21"/>
  <c r="BF26" i="8"/>
  <c r="BH25" i="8"/>
  <c r="BT26" i="19"/>
  <c r="BR27" i="19"/>
  <c r="CI25" i="22"/>
  <c r="CJ25" i="22" s="1"/>
  <c r="AB25" i="22"/>
  <c r="W26" i="22"/>
  <c r="Z25" i="22"/>
  <c r="BP26" i="19"/>
  <c r="BN27" i="19"/>
  <c r="AN26" i="21"/>
  <c r="AM26" i="21"/>
  <c r="AK27" i="21"/>
  <c r="AZ25" i="8"/>
  <c r="AX26" i="8"/>
  <c r="BX26" i="19"/>
  <c r="BV27" i="19"/>
  <c r="AB26" i="19"/>
  <c r="Z26" i="19"/>
  <c r="W27" i="19"/>
  <c r="AV26" i="19"/>
  <c r="AT27" i="19"/>
  <c r="CI25" i="8"/>
  <c r="CJ25" i="8" s="1"/>
  <c r="Z25" i="8"/>
  <c r="AB25" i="8"/>
  <c r="W26" i="8"/>
  <c r="AN25" i="8"/>
  <c r="AM25" i="8"/>
  <c r="AK26" i="8"/>
  <c r="BL25" i="8"/>
  <c r="BJ26" i="8"/>
  <c r="AV26" i="22"/>
  <c r="AT27" i="22"/>
  <c r="AI25" i="22"/>
  <c r="AG25" i="22"/>
  <c r="AD26" i="22"/>
  <c r="AZ26" i="21"/>
  <c r="AX27" i="21"/>
  <c r="AR25" i="8"/>
  <c r="AP26" i="8"/>
  <c r="AM26" i="19"/>
  <c r="AN26" i="19"/>
  <c r="AK27" i="19"/>
  <c r="AR26" i="22"/>
  <c r="AP27" i="22"/>
  <c r="BD26" i="21"/>
  <c r="BB27" i="21"/>
  <c r="BX26" i="21"/>
  <c r="BV27" i="21"/>
  <c r="BP25" i="8"/>
  <c r="BN26" i="8"/>
  <c r="AZ26" i="19"/>
  <c r="AX27" i="19"/>
  <c r="CF25" i="8"/>
  <c r="CD26" i="8"/>
  <c r="BP26" i="21"/>
  <c r="BN27" i="21"/>
  <c r="CF26" i="21"/>
  <c r="CD27" i="21"/>
  <c r="AG26" i="19"/>
  <c r="AI26" i="19"/>
  <c r="AD27" i="19"/>
  <c r="BD26" i="19"/>
  <c r="BB27" i="19"/>
  <c r="BV26" i="22"/>
  <c r="BX25" i="22"/>
  <c r="BH26" i="21"/>
  <c r="BF27" i="21"/>
  <c r="BT26" i="22"/>
  <c r="BR27" i="22"/>
  <c r="CB25" i="8"/>
  <c r="BZ26" i="8"/>
  <c r="AZ25" i="22"/>
  <c r="AX26" i="22"/>
  <c r="BD26" i="22"/>
  <c r="BB27" i="22"/>
  <c r="CB26" i="22"/>
  <c r="BZ27" i="22"/>
  <c r="CF25" i="22"/>
  <c r="CD26" i="22"/>
  <c r="BD25" i="8"/>
  <c r="BB26" i="8"/>
  <c r="BT25" i="8"/>
  <c r="BR26" i="8"/>
  <c r="AV26" i="21"/>
  <c r="AT27" i="21"/>
  <c r="CB26" i="19"/>
  <c r="BZ27" i="19"/>
  <c r="AR26" i="19"/>
  <c r="AP27" i="19"/>
  <c r="AI25" i="8"/>
  <c r="AG25" i="8"/>
  <c r="AD26" i="8"/>
  <c r="BL26" i="19"/>
  <c r="BJ27" i="19"/>
  <c r="AV25" i="8"/>
  <c r="AT26" i="8"/>
  <c r="AB26" i="21"/>
  <c r="Z26" i="21"/>
  <c r="W27" i="21"/>
  <c r="CF26" i="19"/>
  <c r="CD27" i="19"/>
  <c r="CB26" i="21"/>
  <c r="BZ27" i="21"/>
  <c r="BT26" i="21"/>
  <c r="BR27" i="21"/>
  <c r="BL26" i="22"/>
  <c r="BJ27" i="22"/>
  <c r="BH25" i="22"/>
  <c r="BF26" i="22"/>
  <c r="AI26" i="21"/>
  <c r="AG26" i="21"/>
  <c r="AD27" i="21"/>
  <c r="BH26" i="19"/>
  <c r="BF27" i="19"/>
  <c r="BP26" i="22"/>
  <c r="BN27" i="22"/>
  <c r="AM26" i="22"/>
  <c r="AN26" i="22"/>
  <c r="AK27" i="22"/>
  <c r="BT27" i="22" l="1"/>
  <c r="BR28" i="22"/>
  <c r="AR26" i="8"/>
  <c r="AP27" i="8"/>
  <c r="AN26" i="8"/>
  <c r="AM26" i="8"/>
  <c r="AK27" i="8"/>
  <c r="BP27" i="19"/>
  <c r="BN28" i="19"/>
  <c r="BT27" i="19"/>
  <c r="BR28" i="19"/>
  <c r="BP27" i="22"/>
  <c r="BN28" i="22"/>
  <c r="AB27" i="21"/>
  <c r="Z27" i="21"/>
  <c r="W28" i="21"/>
  <c r="BD26" i="8"/>
  <c r="BB27" i="8"/>
  <c r="CB27" i="22"/>
  <c r="BZ28" i="22"/>
  <c r="BD27" i="19"/>
  <c r="BB28" i="19"/>
  <c r="BP26" i="8"/>
  <c r="BN27" i="8"/>
  <c r="BD27" i="21"/>
  <c r="BB28" i="21"/>
  <c r="AV27" i="22"/>
  <c r="AT28" i="22"/>
  <c r="AI27" i="21"/>
  <c r="AG27" i="21"/>
  <c r="AD28" i="21"/>
  <c r="BL27" i="19"/>
  <c r="BJ28" i="19"/>
  <c r="BH27" i="19"/>
  <c r="BF28" i="19"/>
  <c r="AZ26" i="22"/>
  <c r="AX27" i="22"/>
  <c r="CB26" i="8"/>
  <c r="BZ27" i="8"/>
  <c r="BH26" i="22"/>
  <c r="BF27" i="22"/>
  <c r="BL27" i="22"/>
  <c r="BJ28" i="22"/>
  <c r="AI26" i="8"/>
  <c r="AG26" i="8"/>
  <c r="AD27" i="8"/>
  <c r="AV27" i="21"/>
  <c r="AT28" i="21"/>
  <c r="CF26" i="22"/>
  <c r="CD27" i="22"/>
  <c r="BD27" i="22"/>
  <c r="BB28" i="22"/>
  <c r="CF27" i="21"/>
  <c r="CD28" i="21"/>
  <c r="AR27" i="22"/>
  <c r="AP28" i="22"/>
  <c r="AI26" i="22"/>
  <c r="AG26" i="22"/>
  <c r="AD27" i="22"/>
  <c r="Z27" i="19"/>
  <c r="AB27" i="19"/>
  <c r="W28" i="19"/>
  <c r="BH26" i="8"/>
  <c r="BF27" i="8"/>
  <c r="AV27" i="19"/>
  <c r="AT28" i="19"/>
  <c r="BX27" i="19"/>
  <c r="BV28" i="19"/>
  <c r="AN27" i="21"/>
  <c r="AM27" i="21"/>
  <c r="AK28" i="21"/>
  <c r="AR27" i="21"/>
  <c r="AP28" i="21"/>
  <c r="BX26" i="8"/>
  <c r="BV27" i="8"/>
  <c r="CF27" i="19"/>
  <c r="CD28" i="19"/>
  <c r="AR27" i="19"/>
  <c r="AP28" i="19"/>
  <c r="BT26" i="8"/>
  <c r="BR27" i="8"/>
  <c r="BH27" i="21"/>
  <c r="BF28" i="21"/>
  <c r="BP27" i="21"/>
  <c r="BN28" i="21"/>
  <c r="AZ27" i="21"/>
  <c r="AX28" i="21"/>
  <c r="BL26" i="8"/>
  <c r="BJ27" i="8"/>
  <c r="CI26" i="22"/>
  <c r="CJ26" i="22" s="1"/>
  <c r="Z26" i="22"/>
  <c r="AB26" i="22"/>
  <c r="W27" i="22"/>
  <c r="BT27" i="21"/>
  <c r="BR28" i="21"/>
  <c r="AN27" i="22"/>
  <c r="AM27" i="22"/>
  <c r="AK28" i="22"/>
  <c r="AV26" i="8"/>
  <c r="AT27" i="8"/>
  <c r="CB27" i="19"/>
  <c r="BZ28" i="19"/>
  <c r="AZ27" i="19"/>
  <c r="AX28" i="19"/>
  <c r="AN27" i="19"/>
  <c r="AM27" i="19"/>
  <c r="AK28" i="19"/>
  <c r="AZ26" i="8"/>
  <c r="AX27" i="8"/>
  <c r="CB27" i="21"/>
  <c r="BZ28" i="21"/>
  <c r="BX26" i="22"/>
  <c r="BV27" i="22"/>
  <c r="AI27" i="19"/>
  <c r="AG27" i="19"/>
  <c r="AD28" i="19"/>
  <c r="CF26" i="8"/>
  <c r="CD27" i="8"/>
  <c r="BX27" i="21"/>
  <c r="BV28" i="21"/>
  <c r="CI26" i="8"/>
  <c r="CJ26" i="8" s="1"/>
  <c r="Z26" i="8"/>
  <c r="AB26" i="8"/>
  <c r="W27" i="8"/>
  <c r="BL27" i="21"/>
  <c r="BJ28" i="21"/>
  <c r="BD28" i="19" l="1"/>
  <c r="BB29" i="19"/>
  <c r="BD27" i="8"/>
  <c r="BB28" i="8"/>
  <c r="BT28" i="19"/>
  <c r="BR29" i="19"/>
  <c r="BR29" i="22"/>
  <c r="BT28" i="22"/>
  <c r="CF27" i="8"/>
  <c r="CD28" i="8"/>
  <c r="CF28" i="19"/>
  <c r="CD29" i="19"/>
  <c r="AN28" i="19"/>
  <c r="AM28" i="19"/>
  <c r="AK29" i="19"/>
  <c r="AM28" i="22"/>
  <c r="AN28" i="22"/>
  <c r="AK29" i="22"/>
  <c r="BT28" i="21"/>
  <c r="BR29" i="21"/>
  <c r="AZ28" i="21"/>
  <c r="AX29" i="21"/>
  <c r="CF27" i="22"/>
  <c r="CD28" i="22"/>
  <c r="BL28" i="22"/>
  <c r="BJ29" i="22"/>
  <c r="BH28" i="21"/>
  <c r="BF29" i="21"/>
  <c r="AR28" i="22"/>
  <c r="AP29" i="22"/>
  <c r="CB27" i="8"/>
  <c r="BZ28" i="8"/>
  <c r="AI28" i="19"/>
  <c r="AG28" i="19"/>
  <c r="AD29" i="19"/>
  <c r="AV27" i="8"/>
  <c r="AT28" i="8"/>
  <c r="AV28" i="19"/>
  <c r="AT29" i="19"/>
  <c r="BH27" i="8"/>
  <c r="BF28" i="8"/>
  <c r="CF28" i="21"/>
  <c r="CD29" i="21"/>
  <c r="AZ27" i="22"/>
  <c r="AX28" i="22"/>
  <c r="BP28" i="19"/>
  <c r="BN29" i="19"/>
  <c r="AN27" i="8"/>
  <c r="AM27" i="8"/>
  <c r="AK28" i="8"/>
  <c r="AI28" i="21"/>
  <c r="AG28" i="21"/>
  <c r="AD29" i="21"/>
  <c r="BD28" i="21"/>
  <c r="BB29" i="21"/>
  <c r="BT27" i="8"/>
  <c r="BR28" i="8"/>
  <c r="CB28" i="21"/>
  <c r="BZ29" i="21"/>
  <c r="AZ28" i="19"/>
  <c r="AX29" i="19"/>
  <c r="BP28" i="21"/>
  <c r="BN29" i="21"/>
  <c r="BX27" i="8"/>
  <c r="BV28" i="8"/>
  <c r="AG27" i="22"/>
  <c r="AI27" i="22"/>
  <c r="AD28" i="22"/>
  <c r="AV28" i="21"/>
  <c r="AT29" i="21"/>
  <c r="AM28" i="21"/>
  <c r="AN28" i="21"/>
  <c r="AK29" i="21"/>
  <c r="BH27" i="22"/>
  <c r="BF28" i="22"/>
  <c r="CI27" i="8"/>
  <c r="CJ27" i="8" s="1"/>
  <c r="Z27" i="8"/>
  <c r="W28" i="8"/>
  <c r="AB27" i="8"/>
  <c r="BX28" i="21"/>
  <c r="BV29" i="21"/>
  <c r="BX27" i="22"/>
  <c r="BV28" i="22"/>
  <c r="CB28" i="19"/>
  <c r="BZ29" i="19"/>
  <c r="CI27" i="22"/>
  <c r="CJ27" i="22" s="1"/>
  <c r="Z27" i="22"/>
  <c r="AB27" i="22"/>
  <c r="W28" i="22"/>
  <c r="AR28" i="19"/>
  <c r="AP29" i="19"/>
  <c r="BH28" i="19"/>
  <c r="BF29" i="19"/>
  <c r="BL28" i="19"/>
  <c r="BJ29" i="19"/>
  <c r="BP27" i="8"/>
  <c r="BN28" i="8"/>
  <c r="BP28" i="22"/>
  <c r="BN29" i="22"/>
  <c r="AR27" i="8"/>
  <c r="AP28" i="8"/>
  <c r="BL28" i="21"/>
  <c r="BJ29" i="21"/>
  <c r="AR28" i="21"/>
  <c r="AP29" i="21"/>
  <c r="BX28" i="19"/>
  <c r="BV29" i="19"/>
  <c r="AI27" i="8"/>
  <c r="AG27" i="8"/>
  <c r="AD28" i="8"/>
  <c r="AV28" i="22"/>
  <c r="AT29" i="22"/>
  <c r="CB28" i="22"/>
  <c r="BZ29" i="22"/>
  <c r="AZ27" i="8"/>
  <c r="AX28" i="8"/>
  <c r="BL27" i="8"/>
  <c r="BJ28" i="8"/>
  <c r="Z28" i="19"/>
  <c r="AB28" i="19"/>
  <c r="W29" i="19"/>
  <c r="BD28" i="22"/>
  <c r="BB29" i="22"/>
  <c r="Z28" i="21"/>
  <c r="AB28" i="21"/>
  <c r="W29" i="21"/>
  <c r="AR29" i="21" l="1"/>
  <c r="AP30" i="21"/>
  <c r="AR29" i="19"/>
  <c r="AP30" i="19"/>
  <c r="BT28" i="8"/>
  <c r="BR29" i="8"/>
  <c r="BD29" i="21"/>
  <c r="BB30" i="21"/>
  <c r="BP29" i="19"/>
  <c r="BN30" i="19"/>
  <c r="BL29" i="22"/>
  <c r="BJ30" i="22"/>
  <c r="BT29" i="19"/>
  <c r="BR30" i="19"/>
  <c r="BX29" i="19"/>
  <c r="BV30" i="19"/>
  <c r="AZ28" i="8"/>
  <c r="AX29" i="8"/>
  <c r="AG28" i="8"/>
  <c r="AI28" i="8"/>
  <c r="AD29" i="8"/>
  <c r="BP28" i="8"/>
  <c r="BN29" i="8"/>
  <c r="CI28" i="8"/>
  <c r="CJ28" i="8" s="1"/>
  <c r="Z28" i="8"/>
  <c r="AB28" i="8"/>
  <c r="W29" i="8"/>
  <c r="BX28" i="8"/>
  <c r="BV29" i="8"/>
  <c r="AM29" i="19"/>
  <c r="AN29" i="19"/>
  <c r="AK30" i="19"/>
  <c r="BL28" i="8"/>
  <c r="BJ29" i="8"/>
  <c r="CB29" i="22"/>
  <c r="BZ30" i="22"/>
  <c r="CB29" i="19"/>
  <c r="BZ30" i="19"/>
  <c r="AM29" i="21"/>
  <c r="AN29" i="21"/>
  <c r="AK30" i="21"/>
  <c r="CF28" i="22"/>
  <c r="CD29" i="22"/>
  <c r="AZ29" i="21"/>
  <c r="AX30" i="21"/>
  <c r="AZ29" i="19"/>
  <c r="AX30" i="19"/>
  <c r="AG29" i="21"/>
  <c r="AI29" i="21"/>
  <c r="AD30" i="21"/>
  <c r="CF29" i="21"/>
  <c r="CD30" i="21"/>
  <c r="CD29" i="8"/>
  <c r="CF28" i="8"/>
  <c r="Z29" i="21"/>
  <c r="AB29" i="21"/>
  <c r="W30" i="21"/>
  <c r="BL29" i="21"/>
  <c r="BJ30" i="21"/>
  <c r="BL29" i="19"/>
  <c r="BJ30" i="19"/>
  <c r="BX28" i="22"/>
  <c r="BV29" i="22"/>
  <c r="BH28" i="22"/>
  <c r="BF29" i="22"/>
  <c r="AV29" i="21"/>
  <c r="AT30" i="21"/>
  <c r="AV28" i="8"/>
  <c r="AT29" i="8"/>
  <c r="CB28" i="8"/>
  <c r="BZ29" i="8"/>
  <c r="BT29" i="21"/>
  <c r="BR30" i="21"/>
  <c r="CF29" i="19"/>
  <c r="CD30" i="19"/>
  <c r="CB29" i="21"/>
  <c r="BZ30" i="21"/>
  <c r="AM28" i="8"/>
  <c r="AN28" i="8"/>
  <c r="AK29" i="8"/>
  <c r="AZ28" i="22"/>
  <c r="AX29" i="22"/>
  <c r="BH28" i="8"/>
  <c r="BF29" i="8"/>
  <c r="BH29" i="21"/>
  <c r="BF30" i="21"/>
  <c r="BD28" i="8"/>
  <c r="BB29" i="8"/>
  <c r="AR28" i="8"/>
  <c r="AP29" i="8"/>
  <c r="BH29" i="19"/>
  <c r="BF30" i="19"/>
  <c r="CI28" i="22"/>
  <c r="CJ28" i="22" s="1"/>
  <c r="Z28" i="22"/>
  <c r="W29" i="22"/>
  <c r="AB28" i="22"/>
  <c r="BX29" i="21"/>
  <c r="BV30" i="21"/>
  <c r="AI28" i="22"/>
  <c r="AG28" i="22"/>
  <c r="AD29" i="22"/>
  <c r="BP29" i="21"/>
  <c r="BN30" i="21"/>
  <c r="AR29" i="22"/>
  <c r="AP30" i="22"/>
  <c r="AN29" i="22"/>
  <c r="AM29" i="22"/>
  <c r="AK30" i="22"/>
  <c r="BT29" i="22"/>
  <c r="BR30" i="22"/>
  <c r="BD29" i="22"/>
  <c r="BB30" i="22"/>
  <c r="Z29" i="19"/>
  <c r="AB29" i="19"/>
  <c r="W30" i="19"/>
  <c r="AV29" i="22"/>
  <c r="AT30" i="22"/>
  <c r="BP29" i="22"/>
  <c r="BN30" i="22"/>
  <c r="AV29" i="19"/>
  <c r="AT30" i="19"/>
  <c r="AG29" i="19"/>
  <c r="AI29" i="19"/>
  <c r="AD30" i="19"/>
  <c r="BD29" i="19"/>
  <c r="BB30" i="19"/>
  <c r="BH30" i="19" l="1"/>
  <c r="BF31" i="19"/>
  <c r="CF30" i="19"/>
  <c r="CD31" i="19"/>
  <c r="BD30" i="19"/>
  <c r="BB31" i="19"/>
  <c r="BD29" i="8"/>
  <c r="BB30" i="8"/>
  <c r="AZ29" i="22"/>
  <c r="AX30" i="22"/>
  <c r="AR30" i="19"/>
  <c r="AP31" i="19"/>
  <c r="BD30" i="22"/>
  <c r="BB31" i="22"/>
  <c r="BX30" i="21"/>
  <c r="BV31" i="21"/>
  <c r="BT30" i="21"/>
  <c r="BR31" i="21"/>
  <c r="AV30" i="21"/>
  <c r="AT31" i="21"/>
  <c r="BL30" i="19"/>
  <c r="BJ31" i="19"/>
  <c r="BL30" i="21"/>
  <c r="BJ31" i="21"/>
  <c r="Z30" i="21"/>
  <c r="W31" i="21"/>
  <c r="AB30" i="21"/>
  <c r="AZ30" i="19"/>
  <c r="AX31" i="19"/>
  <c r="BL29" i="8"/>
  <c r="BJ30" i="8"/>
  <c r="AN30" i="19"/>
  <c r="AM30" i="19"/>
  <c r="AK31" i="19"/>
  <c r="BL30" i="22"/>
  <c r="BJ31" i="22"/>
  <c r="BD30" i="21"/>
  <c r="BB31" i="21"/>
  <c r="Z30" i="19"/>
  <c r="W31" i="19"/>
  <c r="AB30" i="19"/>
  <c r="AV30" i="19"/>
  <c r="AT31" i="19"/>
  <c r="AV30" i="22"/>
  <c r="AT31" i="22"/>
  <c r="AM30" i="22"/>
  <c r="AK31" i="22"/>
  <c r="AN30" i="22"/>
  <c r="AN29" i="8"/>
  <c r="AM29" i="8"/>
  <c r="AK30" i="8"/>
  <c r="CI29" i="8"/>
  <c r="CJ29" i="8" s="1"/>
  <c r="Z29" i="8"/>
  <c r="AB29" i="8"/>
  <c r="W30" i="8"/>
  <c r="AR30" i="21"/>
  <c r="AP31" i="21"/>
  <c r="AR30" i="22"/>
  <c r="AP31" i="22"/>
  <c r="AI30" i="19"/>
  <c r="AG30" i="19"/>
  <c r="AD31" i="19"/>
  <c r="BP30" i="22"/>
  <c r="BN31" i="22"/>
  <c r="AZ30" i="21"/>
  <c r="AX31" i="21"/>
  <c r="AM30" i="21"/>
  <c r="AN30" i="21"/>
  <c r="AK31" i="21"/>
  <c r="BP29" i="8"/>
  <c r="BN30" i="8"/>
  <c r="AG29" i="8"/>
  <c r="AI29" i="8"/>
  <c r="AD30" i="8"/>
  <c r="BT29" i="8"/>
  <c r="BR30" i="8"/>
  <c r="BN31" i="21"/>
  <c r="BP30" i="21"/>
  <c r="CI29" i="22"/>
  <c r="CJ29" i="22" s="1"/>
  <c r="Z29" i="22"/>
  <c r="W30" i="22"/>
  <c r="AB29" i="22"/>
  <c r="BH29" i="22"/>
  <c r="BF30" i="22"/>
  <c r="CF29" i="8"/>
  <c r="CD30" i="8"/>
  <c r="CF30" i="21"/>
  <c r="CD31" i="21"/>
  <c r="CB29" i="8"/>
  <c r="BZ30" i="8"/>
  <c r="CB30" i="22"/>
  <c r="BZ31" i="22"/>
  <c r="BT30" i="19"/>
  <c r="BR31" i="19"/>
  <c r="CB30" i="21"/>
  <c r="BZ31" i="21"/>
  <c r="BT30" i="22"/>
  <c r="BR31" i="22"/>
  <c r="AI29" i="22"/>
  <c r="AG29" i="22"/>
  <c r="AD30" i="22"/>
  <c r="AR29" i="8"/>
  <c r="AP30" i="8"/>
  <c r="BH30" i="21"/>
  <c r="BF31" i="21"/>
  <c r="BH29" i="8"/>
  <c r="BF30" i="8"/>
  <c r="BX29" i="22"/>
  <c r="BV30" i="22"/>
  <c r="AI30" i="21"/>
  <c r="AG30" i="21"/>
  <c r="AD31" i="21"/>
  <c r="CF29" i="22"/>
  <c r="CD30" i="22"/>
  <c r="BP30" i="19"/>
  <c r="BN31" i="19"/>
  <c r="AV29" i="8"/>
  <c r="AT30" i="8"/>
  <c r="CB30" i="19"/>
  <c r="BZ31" i="19"/>
  <c r="BX29" i="8"/>
  <c r="BV30" i="8"/>
  <c r="AZ29" i="8"/>
  <c r="AX30" i="8"/>
  <c r="BX30" i="19"/>
  <c r="BV31" i="19"/>
  <c r="BH30" i="22" l="1"/>
  <c r="BF31" i="22"/>
  <c r="AN31" i="21"/>
  <c r="AM31" i="21"/>
  <c r="AK32" i="21"/>
  <c r="BD31" i="21"/>
  <c r="BB32" i="21"/>
  <c r="AN31" i="19"/>
  <c r="AM31" i="19"/>
  <c r="AK32" i="19"/>
  <c r="CF31" i="21"/>
  <c r="CD32" i="21"/>
  <c r="AR31" i="21"/>
  <c r="AP32" i="21"/>
  <c r="AB31" i="21"/>
  <c r="Z31" i="21"/>
  <c r="W32" i="21"/>
  <c r="BT31" i="21"/>
  <c r="BR32" i="21"/>
  <c r="BD30" i="8"/>
  <c r="BB31" i="8"/>
  <c r="BP31" i="21"/>
  <c r="BN32" i="21"/>
  <c r="BR31" i="8"/>
  <c r="BT30" i="8"/>
  <c r="CB31" i="19"/>
  <c r="BZ32" i="19"/>
  <c r="BX31" i="19"/>
  <c r="BV32" i="19"/>
  <c r="BX30" i="22"/>
  <c r="BV31" i="22"/>
  <c r="BH31" i="21"/>
  <c r="BF32" i="21"/>
  <c r="AI31" i="19"/>
  <c r="AG31" i="19"/>
  <c r="AD32" i="19"/>
  <c r="AV31" i="22"/>
  <c r="AT32" i="22"/>
  <c r="BL31" i="22"/>
  <c r="BJ32" i="22"/>
  <c r="BP31" i="19"/>
  <c r="BN32" i="19"/>
  <c r="BH31" i="19"/>
  <c r="BF32" i="19"/>
  <c r="BT31" i="22"/>
  <c r="BR32" i="22"/>
  <c r="AZ31" i="21"/>
  <c r="AX32" i="21"/>
  <c r="BL30" i="8"/>
  <c r="BJ31" i="8"/>
  <c r="BL31" i="21"/>
  <c r="BJ32" i="21"/>
  <c r="BD31" i="19"/>
  <c r="BB32" i="19"/>
  <c r="BH30" i="8"/>
  <c r="BF31" i="8"/>
  <c r="AN30" i="8"/>
  <c r="AM30" i="8"/>
  <c r="AK31" i="8"/>
  <c r="AV31" i="19"/>
  <c r="AT32" i="19"/>
  <c r="AV30" i="8"/>
  <c r="AT31" i="8"/>
  <c r="AR30" i="8"/>
  <c r="AP31" i="8"/>
  <c r="BT31" i="19"/>
  <c r="BR32" i="19"/>
  <c r="AR31" i="22"/>
  <c r="AP32" i="22"/>
  <c r="BL31" i="19"/>
  <c r="BJ32" i="19"/>
  <c r="AI30" i="22"/>
  <c r="AG30" i="22"/>
  <c r="AD31" i="22"/>
  <c r="AZ30" i="8"/>
  <c r="AX31" i="8"/>
  <c r="CF30" i="22"/>
  <c r="CD31" i="22"/>
  <c r="CB30" i="8"/>
  <c r="BZ31" i="8"/>
  <c r="CI30" i="22"/>
  <c r="CJ30" i="22" s="1"/>
  <c r="Z30" i="22"/>
  <c r="AB30" i="22"/>
  <c r="W31" i="22"/>
  <c r="AI30" i="8"/>
  <c r="AG30" i="8"/>
  <c r="AD31" i="8"/>
  <c r="BX31" i="21"/>
  <c r="BV32" i="21"/>
  <c r="AG31" i="21"/>
  <c r="AI31" i="21"/>
  <c r="AD32" i="21"/>
  <c r="CB31" i="21"/>
  <c r="BZ32" i="21"/>
  <c r="BP31" i="22"/>
  <c r="BN32" i="22"/>
  <c r="CI30" i="8"/>
  <c r="CJ30" i="8" s="1"/>
  <c r="Z30" i="8"/>
  <c r="AB30" i="8"/>
  <c r="W31" i="8"/>
  <c r="AZ31" i="19"/>
  <c r="AX32" i="19"/>
  <c r="BD31" i="22"/>
  <c r="BB32" i="22"/>
  <c r="AR31" i="19"/>
  <c r="AP32" i="19"/>
  <c r="AZ30" i="22"/>
  <c r="AX31" i="22"/>
  <c r="CF31" i="19"/>
  <c r="CD32" i="19"/>
  <c r="CB31" i="22"/>
  <c r="BZ32" i="22"/>
  <c r="CF30" i="8"/>
  <c r="CD31" i="8"/>
  <c r="BX30" i="8"/>
  <c r="BV31" i="8"/>
  <c r="BP30" i="8"/>
  <c r="BN31" i="8"/>
  <c r="AM31" i="22"/>
  <c r="AN31" i="22"/>
  <c r="AK32" i="22"/>
  <c r="Z31" i="19"/>
  <c r="AB31" i="19"/>
  <c r="W32" i="19"/>
  <c r="AV31" i="21"/>
  <c r="AT32" i="21"/>
  <c r="BL32" i="22" l="1"/>
  <c r="BJ33" i="22"/>
  <c r="Z32" i="21"/>
  <c r="AB32" i="21"/>
  <c r="W33" i="21"/>
  <c r="AR32" i="21"/>
  <c r="AP33" i="21"/>
  <c r="BH31" i="8"/>
  <c r="BF32" i="8"/>
  <c r="BP32" i="22"/>
  <c r="BN33" i="22"/>
  <c r="BX32" i="21"/>
  <c r="BV33" i="21"/>
  <c r="BT32" i="22"/>
  <c r="BR33" i="22"/>
  <c r="AI32" i="19"/>
  <c r="AG32" i="19"/>
  <c r="AD33" i="19"/>
  <c r="BH32" i="21"/>
  <c r="BF33" i="21"/>
  <c r="CB32" i="19"/>
  <c r="BZ33" i="19"/>
  <c r="BT31" i="8"/>
  <c r="BR32" i="8"/>
  <c r="BD31" i="8"/>
  <c r="BB32" i="8"/>
  <c r="AR32" i="19"/>
  <c r="AP33" i="19"/>
  <c r="AZ31" i="8"/>
  <c r="AX32" i="8"/>
  <c r="BD32" i="19"/>
  <c r="BB33" i="19"/>
  <c r="AV32" i="22"/>
  <c r="AT33" i="22"/>
  <c r="BP32" i="21"/>
  <c r="BN33" i="21"/>
  <c r="AM32" i="19"/>
  <c r="AN32" i="19"/>
  <c r="AK33" i="19"/>
  <c r="BH31" i="22"/>
  <c r="BF32" i="22"/>
  <c r="CI31" i="22"/>
  <c r="CJ31" i="22" s="1"/>
  <c r="Z31" i="22"/>
  <c r="W32" i="22"/>
  <c r="AB31" i="22"/>
  <c r="AB32" i="19"/>
  <c r="Z32" i="19"/>
  <c r="W33" i="19"/>
  <c r="BX31" i="8"/>
  <c r="BV32" i="8"/>
  <c r="CI31" i="8"/>
  <c r="CJ31" i="8" s="1"/>
  <c r="Z31" i="8"/>
  <c r="AB31" i="8"/>
  <c r="W32" i="8"/>
  <c r="CB32" i="21"/>
  <c r="BZ33" i="21"/>
  <c r="BL32" i="19"/>
  <c r="BJ33" i="19"/>
  <c r="AR32" i="22"/>
  <c r="AP33" i="22"/>
  <c r="AV32" i="19"/>
  <c r="AT33" i="19"/>
  <c r="BX31" i="22"/>
  <c r="BV32" i="22"/>
  <c r="CF31" i="8"/>
  <c r="CD32" i="8"/>
  <c r="CF32" i="19"/>
  <c r="CD33" i="19"/>
  <c r="BD32" i="22"/>
  <c r="BB33" i="22"/>
  <c r="CB31" i="8"/>
  <c r="BZ32" i="8"/>
  <c r="AI31" i="22"/>
  <c r="AD32" i="22"/>
  <c r="AG31" i="22"/>
  <c r="AV31" i="8"/>
  <c r="AT32" i="8"/>
  <c r="BH32" i="19"/>
  <c r="BF33" i="19"/>
  <c r="CF32" i="21"/>
  <c r="CD33" i="21"/>
  <c r="AZ32" i="19"/>
  <c r="AX33" i="19"/>
  <c r="CF31" i="22"/>
  <c r="CD32" i="22"/>
  <c r="BL31" i="8"/>
  <c r="BJ32" i="8"/>
  <c r="AG31" i="8"/>
  <c r="AI31" i="8"/>
  <c r="AD32" i="8"/>
  <c r="BT32" i="19"/>
  <c r="BR33" i="19"/>
  <c r="AN31" i="8"/>
  <c r="AM31" i="8"/>
  <c r="AK32" i="8"/>
  <c r="BD32" i="21"/>
  <c r="BB33" i="21"/>
  <c r="AR31" i="8"/>
  <c r="AP32" i="8"/>
  <c r="BP31" i="8"/>
  <c r="BN32" i="8"/>
  <c r="AV32" i="21"/>
  <c r="AT33" i="21"/>
  <c r="AM32" i="22"/>
  <c r="AN32" i="22"/>
  <c r="AK33" i="22"/>
  <c r="AZ31" i="22"/>
  <c r="AX32" i="22"/>
  <c r="BL32" i="21"/>
  <c r="BJ33" i="21"/>
  <c r="BP32" i="19"/>
  <c r="BN33" i="19"/>
  <c r="BT32" i="21"/>
  <c r="BR33" i="21"/>
  <c r="CB32" i="22"/>
  <c r="BZ33" i="22"/>
  <c r="AG32" i="21"/>
  <c r="AI32" i="21"/>
  <c r="AD33" i="21"/>
  <c r="AZ32" i="21"/>
  <c r="AX33" i="21"/>
  <c r="BX32" i="19"/>
  <c r="BV33" i="19"/>
  <c r="AN32" i="21"/>
  <c r="AM32" i="21"/>
  <c r="AK33" i="21"/>
  <c r="CB33" i="22" l="1"/>
  <c r="BZ34" i="22"/>
  <c r="AN33" i="22"/>
  <c r="AM33" i="22"/>
  <c r="AK34" i="22"/>
  <c r="BX32" i="22"/>
  <c r="BV33" i="22"/>
  <c r="BP33" i="21"/>
  <c r="BN34" i="21"/>
  <c r="CB33" i="19"/>
  <c r="BZ34" i="19"/>
  <c r="AB33" i="21"/>
  <c r="Z33" i="21"/>
  <c r="W34" i="21"/>
  <c r="BD33" i="22"/>
  <c r="BB34" i="22"/>
  <c r="AR33" i="22"/>
  <c r="AP34" i="22"/>
  <c r="CB33" i="21"/>
  <c r="BZ34" i="21"/>
  <c r="Z33" i="19"/>
  <c r="AB33" i="19"/>
  <c r="W34" i="19"/>
  <c r="CI32" i="22"/>
  <c r="CJ32" i="22" s="1"/>
  <c r="AB32" i="22"/>
  <c r="Z32" i="22"/>
  <c r="W33" i="22"/>
  <c r="BH32" i="22"/>
  <c r="BF33" i="22"/>
  <c r="AR33" i="19"/>
  <c r="AP34" i="19"/>
  <c r="BP33" i="22"/>
  <c r="BN34" i="22"/>
  <c r="BH32" i="8"/>
  <c r="BF33" i="8"/>
  <c r="BL33" i="22"/>
  <c r="BJ34" i="22"/>
  <c r="AZ32" i="22"/>
  <c r="AX33" i="22"/>
  <c r="BD33" i="21"/>
  <c r="BB34" i="21"/>
  <c r="BL32" i="8"/>
  <c r="BJ33" i="8"/>
  <c r="BB34" i="19"/>
  <c r="BD33" i="19"/>
  <c r="BH33" i="21"/>
  <c r="BF34" i="21"/>
  <c r="I8" i="21"/>
  <c r="CF33" i="19"/>
  <c r="CD34" i="19"/>
  <c r="BL33" i="19"/>
  <c r="BJ34" i="19"/>
  <c r="CI32" i="8"/>
  <c r="CJ32" i="8" s="1"/>
  <c r="Z32" i="8"/>
  <c r="AB32" i="8"/>
  <c r="W33" i="8"/>
  <c r="AM33" i="19"/>
  <c r="AN33" i="19"/>
  <c r="AK34" i="19"/>
  <c r="AV33" i="22"/>
  <c r="AT34" i="22"/>
  <c r="AZ33" i="21"/>
  <c r="AX34" i="21"/>
  <c r="BT33" i="21"/>
  <c r="BR34" i="21"/>
  <c r="BT33" i="19"/>
  <c r="BR34" i="19"/>
  <c r="CF32" i="22"/>
  <c r="CD33" i="22"/>
  <c r="CF33" i="21"/>
  <c r="CD34" i="21"/>
  <c r="AG32" i="22"/>
  <c r="AI32" i="22"/>
  <c r="AD33" i="22"/>
  <c r="AV33" i="19"/>
  <c r="AT34" i="19"/>
  <c r="BD32" i="8"/>
  <c r="BB33" i="8"/>
  <c r="AI33" i="19"/>
  <c r="AG33" i="19"/>
  <c r="AD34" i="19"/>
  <c r="BX33" i="19"/>
  <c r="BV34" i="19"/>
  <c r="I10" i="21"/>
  <c r="AN33" i="21"/>
  <c r="AM33" i="21"/>
  <c r="AK34" i="21"/>
  <c r="BT33" i="22"/>
  <c r="BR34" i="22"/>
  <c r="BP32" i="8"/>
  <c r="BN33" i="8"/>
  <c r="BL33" i="21"/>
  <c r="BJ34" i="21"/>
  <c r="AZ33" i="19"/>
  <c r="AX34" i="19"/>
  <c r="BH33" i="19"/>
  <c r="BF34" i="19"/>
  <c r="CB32" i="8"/>
  <c r="BZ33" i="8"/>
  <c r="BT32" i="8"/>
  <c r="BR33" i="8"/>
  <c r="BX33" i="21"/>
  <c r="BV34" i="21"/>
  <c r="AR33" i="21"/>
  <c r="AP34" i="21"/>
  <c r="AI33" i="21"/>
  <c r="AG33" i="21"/>
  <c r="AD34" i="21"/>
  <c r="BP33" i="19"/>
  <c r="BN34" i="19"/>
  <c r="AV33" i="21"/>
  <c r="AT34" i="21"/>
  <c r="CF32" i="8"/>
  <c r="CD33" i="8"/>
  <c r="AR32" i="8"/>
  <c r="AP33" i="8"/>
  <c r="AN32" i="8"/>
  <c r="AM32" i="8"/>
  <c r="AK33" i="8"/>
  <c r="AG32" i="8"/>
  <c r="AI32" i="8"/>
  <c r="AD33" i="8"/>
  <c r="AV32" i="8"/>
  <c r="AT33" i="8"/>
  <c r="BX32" i="8"/>
  <c r="BV33" i="8"/>
  <c r="AZ32" i="8"/>
  <c r="AX33" i="8"/>
  <c r="AM34" i="19" l="1"/>
  <c r="AN34" i="19"/>
  <c r="AK35" i="19"/>
  <c r="BD34" i="21"/>
  <c r="BB35" i="21"/>
  <c r="BP34" i="22"/>
  <c r="BN35" i="22"/>
  <c r="AR34" i="19"/>
  <c r="AP35" i="19"/>
  <c r="CB34" i="21"/>
  <c r="BZ35" i="21"/>
  <c r="CB34" i="19"/>
  <c r="BZ35" i="19"/>
  <c r="BP34" i="21"/>
  <c r="BN35" i="21"/>
  <c r="BX33" i="22"/>
  <c r="BV34" i="22"/>
  <c r="BT33" i="8"/>
  <c r="BR34" i="8"/>
  <c r="AG33" i="22"/>
  <c r="AI33" i="22"/>
  <c r="AD34" i="22"/>
  <c r="BT34" i="21"/>
  <c r="BR35" i="21"/>
  <c r="CI33" i="8"/>
  <c r="CJ33" i="8" s="1"/>
  <c r="Z33" i="8"/>
  <c r="AB33" i="8"/>
  <c r="W34" i="8"/>
  <c r="CI33" i="22"/>
  <c r="CJ33" i="22" s="1"/>
  <c r="AB33" i="22"/>
  <c r="W34" i="22"/>
  <c r="Z33" i="22"/>
  <c r="AZ34" i="19"/>
  <c r="AX35" i="19"/>
  <c r="AG34" i="21"/>
  <c r="AI34" i="21"/>
  <c r="AD35" i="21"/>
  <c r="AN33" i="8"/>
  <c r="AM33" i="8"/>
  <c r="AK34" i="8"/>
  <c r="BT34" i="19"/>
  <c r="BR35" i="19"/>
  <c r="AZ33" i="22"/>
  <c r="AX34" i="22"/>
  <c r="I8" i="22"/>
  <c r="AR34" i="22"/>
  <c r="AP35" i="22"/>
  <c r="Z34" i="21"/>
  <c r="AB34" i="21"/>
  <c r="W35" i="21"/>
  <c r="AP34" i="8"/>
  <c r="AR33" i="8"/>
  <c r="CF33" i="8"/>
  <c r="CD34" i="8"/>
  <c r="BX34" i="21"/>
  <c r="BV35" i="21"/>
  <c r="BX33" i="8"/>
  <c r="BV34" i="8"/>
  <c r="AZ33" i="8"/>
  <c r="AX34" i="8"/>
  <c r="CB33" i="8"/>
  <c r="BZ34" i="8"/>
  <c r="AN34" i="21"/>
  <c r="AM34" i="21"/>
  <c r="AK35" i="21"/>
  <c r="AV34" i="19"/>
  <c r="AT35" i="19"/>
  <c r="I10" i="22"/>
  <c r="BL33" i="8"/>
  <c r="BJ34" i="8"/>
  <c r="AN34" i="22"/>
  <c r="AM34" i="22"/>
  <c r="AK35" i="22"/>
  <c r="AV34" i="21"/>
  <c r="AT35" i="21"/>
  <c r="AV33" i="8"/>
  <c r="AT34" i="8"/>
  <c r="AG34" i="19"/>
  <c r="AI34" i="19"/>
  <c r="AD35" i="19"/>
  <c r="BH34" i="21"/>
  <c r="BF35" i="21"/>
  <c r="BD34" i="19"/>
  <c r="BB35" i="19"/>
  <c r="BL34" i="22"/>
  <c r="BJ35" i="22"/>
  <c r="Z34" i="19"/>
  <c r="W35" i="19"/>
  <c r="AB34" i="19"/>
  <c r="BX34" i="19"/>
  <c r="BV35" i="19"/>
  <c r="CF34" i="21"/>
  <c r="CD35" i="21"/>
  <c r="AZ34" i="21"/>
  <c r="AX35" i="21"/>
  <c r="BL34" i="19"/>
  <c r="BJ35" i="19"/>
  <c r="AR34" i="21"/>
  <c r="AP35" i="21"/>
  <c r="BH34" i="19"/>
  <c r="BF35" i="19"/>
  <c r="BL34" i="21"/>
  <c r="BJ35" i="21"/>
  <c r="BP33" i="8"/>
  <c r="BN34" i="8"/>
  <c r="AV34" i="22"/>
  <c r="AT35" i="22"/>
  <c r="BH33" i="8"/>
  <c r="BF34" i="8"/>
  <c r="BD34" i="22"/>
  <c r="BB35" i="22"/>
  <c r="AG33" i="8"/>
  <c r="AI33" i="8"/>
  <c r="AD34" i="8"/>
  <c r="BP34" i="19"/>
  <c r="BN35" i="19"/>
  <c r="BT34" i="22"/>
  <c r="BR35" i="22"/>
  <c r="BD33" i="8"/>
  <c r="BB34" i="8"/>
  <c r="CF33" i="22"/>
  <c r="CD34" i="22"/>
  <c r="CF34" i="19"/>
  <c r="CD35" i="19"/>
  <c r="BH33" i="22"/>
  <c r="BF34" i="22"/>
  <c r="CB34" i="22"/>
  <c r="BZ35" i="22"/>
  <c r="AN35" i="21" l="1"/>
  <c r="AM35" i="21"/>
  <c r="AK36" i="21"/>
  <c r="AR34" i="8"/>
  <c r="AP35" i="8"/>
  <c r="AN34" i="8"/>
  <c r="AM34" i="8"/>
  <c r="AK35" i="8"/>
  <c r="AG35" i="21"/>
  <c r="AI35" i="21"/>
  <c r="AD36" i="21"/>
  <c r="CI34" i="22"/>
  <c r="CJ34" i="22" s="1"/>
  <c r="Z34" i="22"/>
  <c r="AB34" i="22"/>
  <c r="W35" i="22"/>
  <c r="BT35" i="21"/>
  <c r="BR36" i="21"/>
  <c r="CB35" i="19"/>
  <c r="BZ36" i="19"/>
  <c r="BP35" i="22"/>
  <c r="BN36" i="22"/>
  <c r="CF34" i="22"/>
  <c r="CD35" i="22"/>
  <c r="BD34" i="8"/>
  <c r="BB35" i="8"/>
  <c r="BP35" i="19"/>
  <c r="BN36" i="19"/>
  <c r="BX35" i="19"/>
  <c r="BV36" i="19"/>
  <c r="BH35" i="21"/>
  <c r="BF36" i="21"/>
  <c r="BX34" i="8"/>
  <c r="BV35" i="8"/>
  <c r="Z35" i="21"/>
  <c r="AB35" i="21"/>
  <c r="W36" i="21"/>
  <c r="AN35" i="19"/>
  <c r="AM35" i="19"/>
  <c r="AK36" i="19"/>
  <c r="AG34" i="22"/>
  <c r="AD35" i="22"/>
  <c r="AI34" i="22"/>
  <c r="BZ36" i="21"/>
  <c r="CB35" i="21"/>
  <c r="BH35" i="19"/>
  <c r="BF36" i="19"/>
  <c r="BL35" i="19"/>
  <c r="BJ36" i="19"/>
  <c r="AN35" i="22"/>
  <c r="AM35" i="22"/>
  <c r="AK36" i="22"/>
  <c r="CB34" i="8"/>
  <c r="BZ35" i="8"/>
  <c r="AI34" i="8"/>
  <c r="AG34" i="8"/>
  <c r="AD35" i="8"/>
  <c r="BH34" i="8"/>
  <c r="BF35" i="8"/>
  <c r="AV35" i="22"/>
  <c r="AT36" i="22"/>
  <c r="BX35" i="21"/>
  <c r="BV36" i="21"/>
  <c r="AZ34" i="22"/>
  <c r="AX35" i="22"/>
  <c r="BT35" i="19"/>
  <c r="BR36" i="19"/>
  <c r="BD35" i="21"/>
  <c r="BB36" i="21"/>
  <c r="CB35" i="22"/>
  <c r="BZ36" i="22"/>
  <c r="BD35" i="19"/>
  <c r="BB36" i="19"/>
  <c r="BD35" i="22"/>
  <c r="BB36" i="22"/>
  <c r="AZ35" i="21"/>
  <c r="AX36" i="21"/>
  <c r="AV34" i="8"/>
  <c r="AT35" i="8"/>
  <c r="AZ34" i="8"/>
  <c r="AX35" i="8"/>
  <c r="AR35" i="22"/>
  <c r="AP36" i="22"/>
  <c r="BX34" i="22"/>
  <c r="BV35" i="22"/>
  <c r="BL35" i="22"/>
  <c r="BJ36" i="22"/>
  <c r="BL35" i="21"/>
  <c r="BJ36" i="21"/>
  <c r="CF35" i="19"/>
  <c r="CD36" i="19"/>
  <c r="BH34" i="22"/>
  <c r="BF35" i="22"/>
  <c r="BT35" i="22"/>
  <c r="BR36" i="22"/>
  <c r="AR35" i="21"/>
  <c r="AP36" i="21"/>
  <c r="Z35" i="19"/>
  <c r="AB35" i="19"/>
  <c r="W36" i="19"/>
  <c r="AV35" i="19"/>
  <c r="AT36" i="19"/>
  <c r="CF34" i="8"/>
  <c r="CD35" i="8"/>
  <c r="AZ35" i="19"/>
  <c r="AX36" i="19"/>
  <c r="BT34" i="8"/>
  <c r="BR35" i="8"/>
  <c r="BP34" i="8"/>
  <c r="BN35" i="8"/>
  <c r="CF35" i="21"/>
  <c r="CD36" i="21"/>
  <c r="AD36" i="19"/>
  <c r="AI35" i="19"/>
  <c r="AG35" i="19"/>
  <c r="AV35" i="21"/>
  <c r="AT36" i="21"/>
  <c r="BL34" i="8"/>
  <c r="BJ35" i="8"/>
  <c r="CI34" i="8"/>
  <c r="CJ34" i="8" s="1"/>
  <c r="Z34" i="8"/>
  <c r="AB34" i="8"/>
  <c r="W35" i="8"/>
  <c r="BP35" i="21"/>
  <c r="BN36" i="21"/>
  <c r="AR35" i="19"/>
  <c r="AP36" i="19"/>
  <c r="BP36" i="21" l="1"/>
  <c r="BN37" i="21"/>
  <c r="AG36" i="19"/>
  <c r="AI36" i="19"/>
  <c r="AD37" i="19"/>
  <c r="BH35" i="22"/>
  <c r="BF36" i="22"/>
  <c r="AV35" i="8"/>
  <c r="AT36" i="8"/>
  <c r="AM36" i="22"/>
  <c r="AN36" i="22"/>
  <c r="AK37" i="22"/>
  <c r="BH36" i="21"/>
  <c r="BF37" i="21"/>
  <c r="AG36" i="21"/>
  <c r="AI36" i="21"/>
  <c r="AD37" i="21"/>
  <c r="BL35" i="8"/>
  <c r="BJ36" i="8"/>
  <c r="BP35" i="8"/>
  <c r="BN36" i="8"/>
  <c r="CF35" i="8"/>
  <c r="CD36" i="8"/>
  <c r="AR36" i="21"/>
  <c r="AP37" i="21"/>
  <c r="BT36" i="22"/>
  <c r="BR37" i="22"/>
  <c r="BT36" i="19"/>
  <c r="BR37" i="19"/>
  <c r="BX36" i="21"/>
  <c r="BV37" i="21"/>
  <c r="AG35" i="8"/>
  <c r="AI35" i="8"/>
  <c r="AD36" i="8"/>
  <c r="BL36" i="19"/>
  <c r="BJ37" i="19"/>
  <c r="BP36" i="22"/>
  <c r="BN37" i="22"/>
  <c r="AZ35" i="8"/>
  <c r="AX36" i="8"/>
  <c r="AZ36" i="21"/>
  <c r="AX37" i="21"/>
  <c r="BD36" i="21"/>
  <c r="BB37" i="21"/>
  <c r="BX35" i="8"/>
  <c r="BV36" i="8"/>
  <c r="BX36" i="19"/>
  <c r="BV37" i="19"/>
  <c r="BP36" i="19"/>
  <c r="BN37" i="19"/>
  <c r="CB36" i="19"/>
  <c r="BZ37" i="19"/>
  <c r="AM35" i="8"/>
  <c r="AN35" i="8"/>
  <c r="AK36" i="8"/>
  <c r="AN36" i="21"/>
  <c r="AM36" i="21"/>
  <c r="AK37" i="21"/>
  <c r="CF36" i="19"/>
  <c r="CD37" i="19"/>
  <c r="AV36" i="21"/>
  <c r="AT37" i="21"/>
  <c r="CB36" i="22"/>
  <c r="BZ37" i="22"/>
  <c r="AV36" i="22"/>
  <c r="AT37" i="22"/>
  <c r="CI35" i="22"/>
  <c r="CJ35" i="22" s="1"/>
  <c r="Z35" i="22"/>
  <c r="AB35" i="22"/>
  <c r="W36" i="22"/>
  <c r="AZ35" i="22"/>
  <c r="AX36" i="22"/>
  <c r="BH36" i="19"/>
  <c r="BF37" i="19"/>
  <c r="CI35" i="8"/>
  <c r="CJ35" i="8" s="1"/>
  <c r="Z35" i="8"/>
  <c r="AB35" i="8"/>
  <c r="W36" i="8"/>
  <c r="CF36" i="21"/>
  <c r="CD37" i="21"/>
  <c r="BT35" i="8"/>
  <c r="BR36" i="8"/>
  <c r="CB36" i="21"/>
  <c r="BZ37" i="21"/>
  <c r="BD35" i="8"/>
  <c r="BB36" i="8"/>
  <c r="BL36" i="22"/>
  <c r="BJ37" i="22"/>
  <c r="BX35" i="22"/>
  <c r="BV36" i="22"/>
  <c r="AR36" i="22"/>
  <c r="AP37" i="22"/>
  <c r="BD36" i="22"/>
  <c r="BB37" i="22"/>
  <c r="CB35" i="8"/>
  <c r="BZ36" i="8"/>
  <c r="AN36" i="19"/>
  <c r="AM36" i="19"/>
  <c r="AK37" i="19"/>
  <c r="BT36" i="21"/>
  <c r="BR37" i="21"/>
  <c r="AR35" i="8"/>
  <c r="AP36" i="8"/>
  <c r="AV36" i="19"/>
  <c r="AT37" i="19"/>
  <c r="AR36" i="19"/>
  <c r="AP37" i="19"/>
  <c r="AB36" i="19"/>
  <c r="Z36" i="19"/>
  <c r="W37" i="19"/>
  <c r="AZ36" i="19"/>
  <c r="AX37" i="19"/>
  <c r="BL36" i="21"/>
  <c r="BJ37" i="21"/>
  <c r="BD36" i="19"/>
  <c r="BB37" i="19"/>
  <c r="BH35" i="8"/>
  <c r="BF36" i="8"/>
  <c r="AI35" i="22"/>
  <c r="AG35" i="22"/>
  <c r="AD36" i="22"/>
  <c r="Z36" i="21"/>
  <c r="AB36" i="21"/>
  <c r="W37" i="21"/>
  <c r="CF35" i="22"/>
  <c r="CD36" i="22"/>
  <c r="CB36" i="8" l="1"/>
  <c r="BZ37" i="8"/>
  <c r="AR37" i="22"/>
  <c r="AP38" i="22"/>
  <c r="AV37" i="22"/>
  <c r="AT38" i="22"/>
  <c r="BX36" i="8"/>
  <c r="BV37" i="8"/>
  <c r="AZ36" i="8"/>
  <c r="AX37" i="8"/>
  <c r="BT37" i="22"/>
  <c r="BR38" i="22"/>
  <c r="BL36" i="8"/>
  <c r="BJ37" i="8"/>
  <c r="BD37" i="19"/>
  <c r="BB38" i="19"/>
  <c r="BT37" i="21"/>
  <c r="BR38" i="21"/>
  <c r="CF37" i="19"/>
  <c r="CD38" i="19"/>
  <c r="BP37" i="19"/>
  <c r="BN38" i="19"/>
  <c r="AI36" i="8"/>
  <c r="AG36" i="8"/>
  <c r="AD37" i="8"/>
  <c r="BP37" i="21"/>
  <c r="BN38" i="21"/>
  <c r="BL37" i="21"/>
  <c r="BJ38" i="21"/>
  <c r="BX36" i="22"/>
  <c r="BV37" i="22"/>
  <c r="BH37" i="19"/>
  <c r="BF38" i="19"/>
  <c r="CI36" i="22"/>
  <c r="CJ36" i="22" s="1"/>
  <c r="Z36" i="22"/>
  <c r="AB36" i="22"/>
  <c r="W37" i="22"/>
  <c r="AN36" i="8"/>
  <c r="AM36" i="8"/>
  <c r="AK37" i="8"/>
  <c r="AR37" i="21"/>
  <c r="AP38" i="21"/>
  <c r="BP36" i="8"/>
  <c r="BN37" i="8"/>
  <c r="BH37" i="21"/>
  <c r="BF38" i="21"/>
  <c r="CI36" i="8"/>
  <c r="CJ36" i="8" s="1"/>
  <c r="Z36" i="8"/>
  <c r="AB36" i="8"/>
  <c r="W37" i="8"/>
  <c r="BX37" i="19"/>
  <c r="BV38" i="19"/>
  <c r="BD37" i="21"/>
  <c r="BB38" i="21"/>
  <c r="Z37" i="19"/>
  <c r="AB37" i="19"/>
  <c r="W38" i="19"/>
  <c r="AM37" i="19"/>
  <c r="AN37" i="19"/>
  <c r="AK38" i="19"/>
  <c r="BL37" i="22"/>
  <c r="BJ38" i="22"/>
  <c r="CB37" i="21"/>
  <c r="BZ38" i="21"/>
  <c r="AZ36" i="22"/>
  <c r="AX37" i="22"/>
  <c r="AN37" i="21"/>
  <c r="AM37" i="21"/>
  <c r="AK38" i="21"/>
  <c r="BX37" i="21"/>
  <c r="BV38" i="21"/>
  <c r="AG36" i="22"/>
  <c r="AI36" i="22"/>
  <c r="AD37" i="22"/>
  <c r="BH36" i="8"/>
  <c r="BF37" i="8"/>
  <c r="AZ37" i="19"/>
  <c r="AX38" i="19"/>
  <c r="AR37" i="19"/>
  <c r="AP38" i="19"/>
  <c r="AR36" i="8"/>
  <c r="AP37" i="8"/>
  <c r="BD37" i="22"/>
  <c r="BB38" i="22"/>
  <c r="BT36" i="8"/>
  <c r="BR37" i="8"/>
  <c r="CB37" i="22"/>
  <c r="BZ38" i="22"/>
  <c r="BP37" i="22"/>
  <c r="BN38" i="22"/>
  <c r="CD37" i="8"/>
  <c r="CF36" i="8"/>
  <c r="AG37" i="21"/>
  <c r="AI37" i="21"/>
  <c r="AD38" i="21"/>
  <c r="AM37" i="22"/>
  <c r="AN37" i="22"/>
  <c r="AK38" i="22"/>
  <c r="Z37" i="21"/>
  <c r="AB37" i="21"/>
  <c r="W38" i="21"/>
  <c r="CF36" i="22"/>
  <c r="CD37" i="22"/>
  <c r="AV37" i="21"/>
  <c r="AT38" i="21"/>
  <c r="CB37" i="19"/>
  <c r="BZ38" i="19"/>
  <c r="AZ37" i="21"/>
  <c r="AX38" i="21"/>
  <c r="BT37" i="19"/>
  <c r="BR38" i="19"/>
  <c r="BH36" i="22"/>
  <c r="BF37" i="22"/>
  <c r="AG37" i="19"/>
  <c r="AI37" i="19"/>
  <c r="AD38" i="19"/>
  <c r="AT38" i="19"/>
  <c r="AV37" i="19"/>
  <c r="BD36" i="8"/>
  <c r="BB37" i="8"/>
  <c r="CF37" i="21"/>
  <c r="CD38" i="21"/>
  <c r="BL37" i="19"/>
  <c r="BJ38" i="19"/>
  <c r="AV36" i="8"/>
  <c r="AT37" i="8"/>
  <c r="BT38" i="19" l="1"/>
  <c r="BR39" i="19"/>
  <c r="AR38" i="19"/>
  <c r="AP39" i="19"/>
  <c r="CF37" i="8"/>
  <c r="CD38" i="8"/>
  <c r="BH37" i="22"/>
  <c r="BF38" i="22"/>
  <c r="AG38" i="21"/>
  <c r="AI38" i="21"/>
  <c r="AD39" i="21"/>
  <c r="BP38" i="22"/>
  <c r="BN39" i="22"/>
  <c r="BD38" i="22"/>
  <c r="BB39" i="22"/>
  <c r="AN38" i="21"/>
  <c r="AM38" i="21"/>
  <c r="AK39" i="21"/>
  <c r="AN38" i="19"/>
  <c r="AM38" i="19"/>
  <c r="AK39" i="19"/>
  <c r="BH38" i="19"/>
  <c r="BF39" i="19"/>
  <c r="BP38" i="21"/>
  <c r="BN39" i="21"/>
  <c r="BP38" i="19"/>
  <c r="BN39" i="19"/>
  <c r="BD38" i="19"/>
  <c r="BB39" i="19"/>
  <c r="BL37" i="8"/>
  <c r="BJ38" i="8"/>
  <c r="AZ37" i="8"/>
  <c r="AX38" i="8"/>
  <c r="CF37" i="22"/>
  <c r="CD38" i="22"/>
  <c r="AZ38" i="19"/>
  <c r="AX39" i="19"/>
  <c r="AG37" i="8"/>
  <c r="AI37" i="8"/>
  <c r="AD38" i="8"/>
  <c r="CB37" i="8"/>
  <c r="BZ38" i="8"/>
  <c r="AV37" i="8"/>
  <c r="AT38" i="8"/>
  <c r="CF38" i="21"/>
  <c r="CD39" i="21"/>
  <c r="AZ38" i="21"/>
  <c r="AX39" i="21"/>
  <c r="AV38" i="21"/>
  <c r="AT39" i="21"/>
  <c r="AR37" i="8"/>
  <c r="AP38" i="8"/>
  <c r="CB38" i="21"/>
  <c r="BZ39" i="21"/>
  <c r="BD38" i="21"/>
  <c r="BB39" i="21"/>
  <c r="CI37" i="8"/>
  <c r="CJ37" i="8" s="1"/>
  <c r="Z37" i="8"/>
  <c r="AB37" i="8"/>
  <c r="W38" i="8"/>
  <c r="AR38" i="21"/>
  <c r="AP39" i="21"/>
  <c r="BX37" i="22"/>
  <c r="BV38" i="22"/>
  <c r="CF38" i="19"/>
  <c r="CD39" i="19"/>
  <c r="BX37" i="8"/>
  <c r="BV38" i="8"/>
  <c r="BH38" i="21"/>
  <c r="BF39" i="21"/>
  <c r="CI37" i="22"/>
  <c r="CJ37" i="22" s="1"/>
  <c r="Z37" i="22"/>
  <c r="W38" i="22"/>
  <c r="AB37" i="22"/>
  <c r="BT38" i="22"/>
  <c r="BR39" i="22"/>
  <c r="AV38" i="22"/>
  <c r="AT39" i="22"/>
  <c r="BX38" i="19"/>
  <c r="BV39" i="19"/>
  <c r="BL38" i="19"/>
  <c r="BJ39" i="19"/>
  <c r="AG38" i="19"/>
  <c r="AI38" i="19"/>
  <c r="AD39" i="19"/>
  <c r="AM38" i="22"/>
  <c r="AN38" i="22"/>
  <c r="AK39" i="22"/>
  <c r="CB38" i="22"/>
  <c r="BZ39" i="22"/>
  <c r="AG37" i="22"/>
  <c r="AI37" i="22"/>
  <c r="AD38" i="22"/>
  <c r="BX38" i="21"/>
  <c r="BV39" i="21"/>
  <c r="AZ37" i="22"/>
  <c r="AX38" i="22"/>
  <c r="BL38" i="21"/>
  <c r="BJ39" i="21"/>
  <c r="CB38" i="19"/>
  <c r="BZ39" i="19"/>
  <c r="BT37" i="8"/>
  <c r="BR38" i="8"/>
  <c r="BL38" i="22"/>
  <c r="BJ39" i="22"/>
  <c r="BP37" i="8"/>
  <c r="BN38" i="8"/>
  <c r="BT38" i="21"/>
  <c r="BR39" i="21"/>
  <c r="BD37" i="8"/>
  <c r="BB38" i="8"/>
  <c r="Z38" i="19"/>
  <c r="AB38" i="19"/>
  <c r="W39" i="19"/>
  <c r="BH37" i="8"/>
  <c r="BF38" i="8"/>
  <c r="AV38" i="19"/>
  <c r="AT39" i="19"/>
  <c r="Z38" i="21"/>
  <c r="W39" i="21"/>
  <c r="AB38" i="21"/>
  <c r="AM37" i="8"/>
  <c r="AN37" i="8"/>
  <c r="AK38" i="8"/>
  <c r="AR38" i="22"/>
  <c r="AP39" i="22"/>
  <c r="AN39" i="22" l="1"/>
  <c r="AM39" i="22"/>
  <c r="AK40" i="22"/>
  <c r="BT39" i="22"/>
  <c r="BR40" i="22"/>
  <c r="CF39" i="21"/>
  <c r="CD40" i="21"/>
  <c r="AZ38" i="8"/>
  <c r="AX39" i="8"/>
  <c r="BP39" i="21"/>
  <c r="BN40" i="21"/>
  <c r="AR39" i="22"/>
  <c r="AP40" i="22"/>
  <c r="BX38" i="8"/>
  <c r="BV39" i="8"/>
  <c r="BD39" i="21"/>
  <c r="BB40" i="21"/>
  <c r="AV39" i="21"/>
  <c r="AT40" i="21"/>
  <c r="BP39" i="22"/>
  <c r="BN40" i="22"/>
  <c r="BL39" i="19"/>
  <c r="BJ40" i="19"/>
  <c r="BX38" i="22"/>
  <c r="BV39" i="22"/>
  <c r="Z39" i="21"/>
  <c r="AB39" i="21"/>
  <c r="W40" i="21"/>
  <c r="AI38" i="22"/>
  <c r="AG38" i="22"/>
  <c r="AD39" i="22"/>
  <c r="CB39" i="22"/>
  <c r="BZ40" i="22"/>
  <c r="BX39" i="19"/>
  <c r="BV40" i="19"/>
  <c r="AR39" i="21"/>
  <c r="AP40" i="21"/>
  <c r="BL38" i="8"/>
  <c r="BJ39" i="8"/>
  <c r="BF40" i="19"/>
  <c r="BH39" i="19"/>
  <c r="BH38" i="22"/>
  <c r="BF39" i="22"/>
  <c r="CF38" i="8"/>
  <c r="CD39" i="8"/>
  <c r="AV39" i="19"/>
  <c r="AT40" i="19"/>
  <c r="Z39" i="19"/>
  <c r="AB39" i="19"/>
  <c r="W40" i="19"/>
  <c r="BT39" i="21"/>
  <c r="BR40" i="21"/>
  <c r="BP38" i="8"/>
  <c r="BN39" i="8"/>
  <c r="CF39" i="19"/>
  <c r="CD40" i="19"/>
  <c r="AZ39" i="21"/>
  <c r="AX40" i="21"/>
  <c r="AV38" i="8"/>
  <c r="AT39" i="8"/>
  <c r="CF38" i="22"/>
  <c r="CD39" i="22"/>
  <c r="AN39" i="21"/>
  <c r="AM39" i="21"/>
  <c r="AK40" i="21"/>
  <c r="AG39" i="21"/>
  <c r="AI39" i="21"/>
  <c r="AD40" i="21"/>
  <c r="CI38" i="22"/>
  <c r="CJ38" i="22" s="1"/>
  <c r="Z38" i="22"/>
  <c r="W39" i="22"/>
  <c r="AB38" i="22"/>
  <c r="CB39" i="21"/>
  <c r="BZ40" i="21"/>
  <c r="AZ39" i="19"/>
  <c r="AX40" i="19"/>
  <c r="BB40" i="19"/>
  <c r="BD39" i="19"/>
  <c r="BX39" i="21"/>
  <c r="BV40" i="21"/>
  <c r="BH38" i="8"/>
  <c r="BF39" i="8"/>
  <c r="BZ40" i="19"/>
  <c r="CB39" i="19"/>
  <c r="AG39" i="19"/>
  <c r="AI39" i="19"/>
  <c r="AD40" i="19"/>
  <c r="CI38" i="8"/>
  <c r="CJ38" i="8" s="1"/>
  <c r="Z38" i="8"/>
  <c r="AB38" i="8"/>
  <c r="W39" i="8"/>
  <c r="AI38" i="8"/>
  <c r="AG38" i="8"/>
  <c r="AD39" i="8"/>
  <c r="AR39" i="19"/>
  <c r="AP40" i="19"/>
  <c r="AN38" i="8"/>
  <c r="AM38" i="8"/>
  <c r="AK39" i="8"/>
  <c r="BL39" i="22"/>
  <c r="BJ40" i="22"/>
  <c r="AR38" i="8"/>
  <c r="AP39" i="8"/>
  <c r="CB38" i="8"/>
  <c r="BZ39" i="8"/>
  <c r="BP39" i="19"/>
  <c r="BN40" i="19"/>
  <c r="BD38" i="8"/>
  <c r="BB39" i="8"/>
  <c r="AZ38" i="22"/>
  <c r="AX39" i="22"/>
  <c r="AV39" i="22"/>
  <c r="AT40" i="22"/>
  <c r="BT38" i="8"/>
  <c r="BR39" i="8"/>
  <c r="BL39" i="21"/>
  <c r="BJ40" i="21"/>
  <c r="BH39" i="21"/>
  <c r="BF40" i="21"/>
  <c r="AM39" i="19"/>
  <c r="AN39" i="19"/>
  <c r="AK40" i="19"/>
  <c r="BD39" i="22"/>
  <c r="BB40" i="22"/>
  <c r="BT39" i="19"/>
  <c r="BR40" i="19"/>
  <c r="AV40" i="21" l="1"/>
  <c r="AT41" i="21"/>
  <c r="BP40" i="21"/>
  <c r="BN41" i="21"/>
  <c r="AN40" i="22"/>
  <c r="AM40" i="22"/>
  <c r="AK41" i="22"/>
  <c r="AR39" i="8"/>
  <c r="AP40" i="8"/>
  <c r="CB40" i="21"/>
  <c r="BZ41" i="21"/>
  <c r="BH39" i="22"/>
  <c r="BF40" i="22"/>
  <c r="BL39" i="8"/>
  <c r="BJ40" i="8"/>
  <c r="AG39" i="22"/>
  <c r="AD40" i="22"/>
  <c r="AI39" i="22"/>
  <c r="AV40" i="22"/>
  <c r="AT41" i="22"/>
  <c r="BP40" i="19"/>
  <c r="BN41" i="19"/>
  <c r="BL40" i="22"/>
  <c r="BJ41" i="22"/>
  <c r="AI40" i="21"/>
  <c r="AG40" i="21"/>
  <c r="AD41" i="21"/>
  <c r="BT40" i="21"/>
  <c r="BR41" i="21"/>
  <c r="CB40" i="19"/>
  <c r="BZ41" i="19"/>
  <c r="BL40" i="19"/>
  <c r="BJ41" i="19"/>
  <c r="BX40" i="21"/>
  <c r="BV41" i="21"/>
  <c r="AV39" i="8"/>
  <c r="AT40" i="8"/>
  <c r="BD40" i="21"/>
  <c r="BB41" i="21"/>
  <c r="AZ39" i="8"/>
  <c r="AX40" i="8"/>
  <c r="CI39" i="8"/>
  <c r="CJ39" i="8" s="1"/>
  <c r="Z39" i="8"/>
  <c r="AB39" i="8"/>
  <c r="W40" i="8"/>
  <c r="AG40" i="19"/>
  <c r="AI40" i="19"/>
  <c r="AD41" i="19"/>
  <c r="Z40" i="19"/>
  <c r="AB40" i="19"/>
  <c r="W41" i="19"/>
  <c r="AV40" i="19"/>
  <c r="AT41" i="19"/>
  <c r="AB40" i="21"/>
  <c r="Z40" i="21"/>
  <c r="W41" i="21"/>
  <c r="AN40" i="21"/>
  <c r="AK41" i="21"/>
  <c r="AM40" i="21"/>
  <c r="AZ40" i="21"/>
  <c r="AX41" i="21"/>
  <c r="BX40" i="19"/>
  <c r="BV41" i="19"/>
  <c r="AR40" i="22"/>
  <c r="AP41" i="22"/>
  <c r="CF40" i="21"/>
  <c r="CD41" i="21"/>
  <c r="BL40" i="21"/>
  <c r="BJ41" i="21"/>
  <c r="AN39" i="8"/>
  <c r="AM39" i="8"/>
  <c r="AK40" i="8"/>
  <c r="BD40" i="22"/>
  <c r="BB41" i="22"/>
  <c r="BT39" i="8"/>
  <c r="BR40" i="8"/>
  <c r="CB39" i="8"/>
  <c r="BZ40" i="8"/>
  <c r="CI39" i="22"/>
  <c r="CJ39" i="22" s="1"/>
  <c r="Z39" i="22"/>
  <c r="AB39" i="22"/>
  <c r="W40" i="22"/>
  <c r="AZ39" i="22"/>
  <c r="AX40" i="22"/>
  <c r="AR40" i="19"/>
  <c r="AP41" i="19"/>
  <c r="AI39" i="8"/>
  <c r="AG39" i="8"/>
  <c r="AD40" i="8"/>
  <c r="AZ40" i="19"/>
  <c r="AX41" i="19"/>
  <c r="BD39" i="8"/>
  <c r="BB40" i="8"/>
  <c r="CF39" i="8"/>
  <c r="CD40" i="8"/>
  <c r="AR40" i="21"/>
  <c r="AP41" i="21"/>
  <c r="CB40" i="22"/>
  <c r="BZ41" i="22"/>
  <c r="BX39" i="22"/>
  <c r="BV40" i="22"/>
  <c r="BP40" i="22"/>
  <c r="BN41" i="22"/>
  <c r="BX39" i="8"/>
  <c r="BV40" i="8"/>
  <c r="BT40" i="22"/>
  <c r="BR41" i="22"/>
  <c r="BT40" i="19"/>
  <c r="BR41" i="19"/>
  <c r="AM40" i="19"/>
  <c r="AN40" i="19"/>
  <c r="AK41" i="19"/>
  <c r="BH40" i="21"/>
  <c r="BF41" i="21"/>
  <c r="BH39" i="8"/>
  <c r="BF40" i="8"/>
  <c r="BD40" i="19"/>
  <c r="BB41" i="19"/>
  <c r="CF39" i="22"/>
  <c r="CD40" i="22"/>
  <c r="CF40" i="19"/>
  <c r="CD41" i="19"/>
  <c r="BP39" i="8"/>
  <c r="BN40" i="8"/>
  <c r="BH40" i="19"/>
  <c r="BF41" i="19"/>
  <c r="AI41" i="21" l="1"/>
  <c r="AG41" i="21"/>
  <c r="AD42" i="21"/>
  <c r="BH40" i="22"/>
  <c r="BF41" i="22"/>
  <c r="CB41" i="22"/>
  <c r="BZ42" i="22"/>
  <c r="BT41" i="19"/>
  <c r="BR42" i="19"/>
  <c r="BD40" i="8"/>
  <c r="BB41" i="8"/>
  <c r="BL41" i="21"/>
  <c r="BJ42" i="21"/>
  <c r="BF42" i="19"/>
  <c r="BH41" i="19"/>
  <c r="AR41" i="21"/>
  <c r="AP42" i="21"/>
  <c r="CI40" i="22"/>
  <c r="CJ40" i="22" s="1"/>
  <c r="Z40" i="22"/>
  <c r="AB40" i="22"/>
  <c r="W41" i="22"/>
  <c r="CF41" i="19"/>
  <c r="CD42" i="19"/>
  <c r="BH41" i="21"/>
  <c r="BF42" i="21"/>
  <c r="BP41" i="22"/>
  <c r="BN42" i="22"/>
  <c r="AZ41" i="19"/>
  <c r="AX42" i="19"/>
  <c r="BX41" i="21"/>
  <c r="BV42" i="21"/>
  <c r="CB41" i="19"/>
  <c r="BZ42" i="19"/>
  <c r="AV41" i="22"/>
  <c r="AT42" i="22"/>
  <c r="BP41" i="21"/>
  <c r="BN42" i="21"/>
  <c r="BD41" i="22"/>
  <c r="BB42" i="22"/>
  <c r="BX40" i="8"/>
  <c r="BV41" i="8"/>
  <c r="BH40" i="8"/>
  <c r="BF41" i="8"/>
  <c r="BT41" i="22"/>
  <c r="BR42" i="22"/>
  <c r="AV41" i="19"/>
  <c r="AT42" i="19"/>
  <c r="AI41" i="19"/>
  <c r="AG41" i="19"/>
  <c r="AD42" i="19"/>
  <c r="AZ40" i="8"/>
  <c r="AX41" i="8"/>
  <c r="CB41" i="21"/>
  <c r="BZ42" i="21"/>
  <c r="CF40" i="22"/>
  <c r="CD41" i="22"/>
  <c r="AN41" i="19"/>
  <c r="AM41" i="19"/>
  <c r="AK42" i="19"/>
  <c r="BX40" i="22"/>
  <c r="BV41" i="22"/>
  <c r="CF40" i="8"/>
  <c r="CD41" i="8"/>
  <c r="AI40" i="8"/>
  <c r="AG40" i="8"/>
  <c r="AD41" i="8"/>
  <c r="AR41" i="19"/>
  <c r="AP42" i="19"/>
  <c r="BR41" i="8"/>
  <c r="BT40" i="8"/>
  <c r="AN40" i="8"/>
  <c r="AM40" i="8"/>
  <c r="AK41" i="8"/>
  <c r="AN41" i="21"/>
  <c r="AM41" i="21"/>
  <c r="AK42" i="21"/>
  <c r="AV41" i="21"/>
  <c r="AT42" i="21"/>
  <c r="CF41" i="21"/>
  <c r="CD42" i="21"/>
  <c r="Z41" i="19"/>
  <c r="AB41" i="19"/>
  <c r="W42" i="19"/>
  <c r="AG40" i="22"/>
  <c r="AI40" i="22"/>
  <c r="AD41" i="22"/>
  <c r="AR40" i="8"/>
  <c r="AP41" i="8"/>
  <c r="Z41" i="21"/>
  <c r="AB41" i="21"/>
  <c r="W42" i="21"/>
  <c r="CI40" i="8"/>
  <c r="CJ40" i="8" s="1"/>
  <c r="Z40" i="8"/>
  <c r="W41" i="8"/>
  <c r="AB40" i="8"/>
  <c r="BL41" i="19"/>
  <c r="BJ42" i="19"/>
  <c r="BT41" i="21"/>
  <c r="BR42" i="21"/>
  <c r="BP40" i="8"/>
  <c r="BN41" i="8"/>
  <c r="AZ40" i="22"/>
  <c r="AX41" i="22"/>
  <c r="AR41" i="22"/>
  <c r="AP42" i="22"/>
  <c r="AV40" i="8"/>
  <c r="AT41" i="8"/>
  <c r="BP41" i="19"/>
  <c r="BN42" i="19"/>
  <c r="BL40" i="8"/>
  <c r="BJ41" i="8"/>
  <c r="AM41" i="22"/>
  <c r="AN41" i="22"/>
  <c r="AK42" i="22"/>
  <c r="BD41" i="19"/>
  <c r="BB42" i="19"/>
  <c r="CB40" i="8"/>
  <c r="BZ41" i="8"/>
  <c r="BX41" i="19"/>
  <c r="BV42" i="19"/>
  <c r="AZ41" i="21"/>
  <c r="AX42" i="21"/>
  <c r="BD41" i="21"/>
  <c r="BB42" i="21"/>
  <c r="BL41" i="22"/>
  <c r="BJ42" i="22"/>
  <c r="BL42" i="22" l="1"/>
  <c r="BJ43" i="22"/>
  <c r="AM42" i="22"/>
  <c r="AN42" i="22"/>
  <c r="AK43" i="22"/>
  <c r="AZ41" i="22"/>
  <c r="AX42" i="22"/>
  <c r="Z42" i="21"/>
  <c r="AB42" i="21"/>
  <c r="W43" i="21"/>
  <c r="Z42" i="19"/>
  <c r="AB42" i="19"/>
  <c r="W43" i="19"/>
  <c r="CF42" i="21"/>
  <c r="CD43" i="21"/>
  <c r="BT41" i="8"/>
  <c r="BR42" i="8"/>
  <c r="AM42" i="19"/>
  <c r="AN42" i="19"/>
  <c r="AK43" i="19"/>
  <c r="BP42" i="21"/>
  <c r="BN43" i="21"/>
  <c r="AZ42" i="19"/>
  <c r="AX43" i="19"/>
  <c r="CB42" i="22"/>
  <c r="BZ43" i="22"/>
  <c r="AV42" i="19"/>
  <c r="AT43" i="19"/>
  <c r="BD42" i="21"/>
  <c r="BB43" i="21"/>
  <c r="CB41" i="8"/>
  <c r="BZ42" i="8"/>
  <c r="CF41" i="8"/>
  <c r="CD42" i="8"/>
  <c r="AZ41" i="8"/>
  <c r="AX42" i="8"/>
  <c r="CI41" i="22"/>
  <c r="CJ41" i="22" s="1"/>
  <c r="Z41" i="22"/>
  <c r="AB41" i="22"/>
  <c r="W42" i="22"/>
  <c r="BH42" i="19"/>
  <c r="BF43" i="19"/>
  <c r="BP41" i="8"/>
  <c r="BN42" i="8"/>
  <c r="CB42" i="21"/>
  <c r="BZ43" i="21"/>
  <c r="BH41" i="8"/>
  <c r="BF42" i="8"/>
  <c r="BL42" i="21"/>
  <c r="BJ43" i="21"/>
  <c r="AR41" i="8"/>
  <c r="AP42" i="8"/>
  <c r="AN41" i="8"/>
  <c r="AM41" i="8"/>
  <c r="AK42" i="8"/>
  <c r="AR42" i="19"/>
  <c r="AP43" i="19"/>
  <c r="BX41" i="22"/>
  <c r="BV42" i="22"/>
  <c r="CF41" i="22"/>
  <c r="CD42" i="22"/>
  <c r="BP42" i="22"/>
  <c r="BN43" i="22"/>
  <c r="AV41" i="8"/>
  <c r="AT42" i="8"/>
  <c r="CI41" i="8"/>
  <c r="CJ41" i="8" s="1"/>
  <c r="Z41" i="8"/>
  <c r="W42" i="8"/>
  <c r="AB41" i="8"/>
  <c r="AI42" i="19"/>
  <c r="AG42" i="19"/>
  <c r="AD43" i="19"/>
  <c r="CB42" i="19"/>
  <c r="BZ43" i="19"/>
  <c r="BD41" i="8"/>
  <c r="BB42" i="8"/>
  <c r="BX42" i="19"/>
  <c r="BV43" i="19"/>
  <c r="BD42" i="19"/>
  <c r="BB43" i="19"/>
  <c r="BT42" i="21"/>
  <c r="BR43" i="21"/>
  <c r="AG41" i="22"/>
  <c r="AI41" i="22"/>
  <c r="AD42" i="22"/>
  <c r="BT42" i="22"/>
  <c r="BR43" i="22"/>
  <c r="BX41" i="8"/>
  <c r="BV42" i="8"/>
  <c r="AV42" i="22"/>
  <c r="AT43" i="22"/>
  <c r="BH42" i="21"/>
  <c r="BF43" i="21"/>
  <c r="BL41" i="8"/>
  <c r="BJ42" i="8"/>
  <c r="AZ42" i="21"/>
  <c r="AX43" i="21"/>
  <c r="BP42" i="19"/>
  <c r="BN43" i="19"/>
  <c r="AG41" i="8"/>
  <c r="AI41" i="8"/>
  <c r="AD42" i="8"/>
  <c r="AR42" i="22"/>
  <c r="AP43" i="22"/>
  <c r="AV42" i="21"/>
  <c r="AT43" i="21"/>
  <c r="AN42" i="21"/>
  <c r="AM42" i="21"/>
  <c r="AK43" i="21"/>
  <c r="BD42" i="22"/>
  <c r="BB43" i="22"/>
  <c r="BX42" i="21"/>
  <c r="BV43" i="21"/>
  <c r="AR42" i="21"/>
  <c r="AP43" i="21"/>
  <c r="BT42" i="19"/>
  <c r="BR43" i="19"/>
  <c r="BL42" i="19"/>
  <c r="BJ43" i="19"/>
  <c r="CF42" i="19"/>
  <c r="CD43" i="19"/>
  <c r="BH41" i="22"/>
  <c r="BF42" i="22"/>
  <c r="AI42" i="21"/>
  <c r="AG42" i="21"/>
  <c r="AD43" i="21"/>
  <c r="AG43" i="21" l="1"/>
  <c r="AI43" i="21"/>
  <c r="AD44" i="21"/>
  <c r="AV43" i="21"/>
  <c r="AT44" i="21"/>
  <c r="BP43" i="19"/>
  <c r="BN44" i="19"/>
  <c r="CI42" i="8"/>
  <c r="CJ42" i="8" s="1"/>
  <c r="Z42" i="8"/>
  <c r="AB42" i="8"/>
  <c r="W43" i="8"/>
  <c r="BL43" i="21"/>
  <c r="BJ44" i="21"/>
  <c r="AZ43" i="19"/>
  <c r="AX44" i="19"/>
  <c r="AZ42" i="22"/>
  <c r="AX43" i="22"/>
  <c r="BH42" i="22"/>
  <c r="BF43" i="22"/>
  <c r="BX43" i="21"/>
  <c r="BV44" i="21"/>
  <c r="AG42" i="22"/>
  <c r="AI42" i="22"/>
  <c r="AD43" i="22"/>
  <c r="BT43" i="19"/>
  <c r="BR44" i="19"/>
  <c r="BT43" i="22"/>
  <c r="BR44" i="22"/>
  <c r="AG43" i="19"/>
  <c r="AI43" i="19"/>
  <c r="AD44" i="19"/>
  <c r="BN44" i="22"/>
  <c r="BP43" i="22"/>
  <c r="AN42" i="8"/>
  <c r="AM42" i="8"/>
  <c r="AK43" i="8"/>
  <c r="AZ42" i="8"/>
  <c r="AX43" i="8"/>
  <c r="CF43" i="19"/>
  <c r="CD44" i="19"/>
  <c r="AR43" i="21"/>
  <c r="AP44" i="21"/>
  <c r="CB42" i="8"/>
  <c r="BZ43" i="8"/>
  <c r="AV43" i="19"/>
  <c r="AT44" i="19"/>
  <c r="BP43" i="21"/>
  <c r="BN44" i="21"/>
  <c r="BT42" i="8"/>
  <c r="BR43" i="8"/>
  <c r="Z43" i="21"/>
  <c r="AB43" i="21"/>
  <c r="W44" i="21"/>
  <c r="AV43" i="22"/>
  <c r="AT44" i="22"/>
  <c r="AV42" i="8"/>
  <c r="AT43" i="8"/>
  <c r="CF42" i="22"/>
  <c r="CD43" i="22"/>
  <c r="BH43" i="19"/>
  <c r="BF44" i="19"/>
  <c r="CF42" i="8"/>
  <c r="CD43" i="8"/>
  <c r="AN43" i="22"/>
  <c r="AM43" i="22"/>
  <c r="AK44" i="22"/>
  <c r="AZ43" i="21"/>
  <c r="AX44" i="21"/>
  <c r="BD43" i="19"/>
  <c r="BB44" i="19"/>
  <c r="AN43" i="21"/>
  <c r="AM43" i="21"/>
  <c r="AK44" i="21"/>
  <c r="AG42" i="8"/>
  <c r="AI42" i="8"/>
  <c r="AD43" i="8"/>
  <c r="BL42" i="8"/>
  <c r="BJ43" i="8"/>
  <c r="BX43" i="19"/>
  <c r="BV44" i="19"/>
  <c r="BD42" i="8"/>
  <c r="BB43" i="8"/>
  <c r="AR42" i="8"/>
  <c r="AP43" i="8"/>
  <c r="BH42" i="8"/>
  <c r="BF43" i="8"/>
  <c r="CB43" i="21"/>
  <c r="BZ44" i="21"/>
  <c r="CB43" i="22"/>
  <c r="BZ44" i="22"/>
  <c r="CF43" i="21"/>
  <c r="CD44" i="21"/>
  <c r="BL43" i="22"/>
  <c r="BJ44" i="22"/>
  <c r="CB43" i="19"/>
  <c r="BZ44" i="19"/>
  <c r="BV43" i="22"/>
  <c r="BX42" i="22"/>
  <c r="CI42" i="22"/>
  <c r="CJ42" i="22" s="1"/>
  <c r="Z42" i="22"/>
  <c r="AB42" i="22"/>
  <c r="W43" i="22"/>
  <c r="BD43" i="21"/>
  <c r="BB44" i="21"/>
  <c r="BL43" i="19"/>
  <c r="BJ44" i="19"/>
  <c r="BH43" i="21"/>
  <c r="BF44" i="21"/>
  <c r="BT43" i="21"/>
  <c r="BR44" i="21"/>
  <c r="BD43" i="22"/>
  <c r="BB44" i="22"/>
  <c r="AR43" i="22"/>
  <c r="AP44" i="22"/>
  <c r="BX42" i="8"/>
  <c r="BV43" i="8"/>
  <c r="AN43" i="19"/>
  <c r="AM43" i="19"/>
  <c r="AK44" i="19"/>
  <c r="Z43" i="19"/>
  <c r="W44" i="19"/>
  <c r="AB43" i="19"/>
  <c r="AR43" i="19"/>
  <c r="AP44" i="19"/>
  <c r="BP42" i="8"/>
  <c r="BN43" i="8"/>
  <c r="BH44" i="21" l="1"/>
  <c r="BF45" i="21"/>
  <c r="BH43" i="8"/>
  <c r="BF44" i="8"/>
  <c r="Z44" i="21"/>
  <c r="AB44" i="21"/>
  <c r="W45" i="21"/>
  <c r="BT44" i="22"/>
  <c r="BR45" i="22"/>
  <c r="BD44" i="22"/>
  <c r="BB45" i="22"/>
  <c r="Z44" i="19"/>
  <c r="AB44" i="19"/>
  <c r="W45" i="19"/>
  <c r="CI43" i="22"/>
  <c r="CJ43" i="22" s="1"/>
  <c r="AB43" i="22"/>
  <c r="Z43" i="22"/>
  <c r="W44" i="22"/>
  <c r="AZ44" i="21"/>
  <c r="AX45" i="21"/>
  <c r="AV43" i="8"/>
  <c r="AT44" i="8"/>
  <c r="CB43" i="8"/>
  <c r="BZ44" i="8"/>
  <c r="BX44" i="21"/>
  <c r="BV45" i="21"/>
  <c r="AV44" i="21"/>
  <c r="AT45" i="21"/>
  <c r="AR44" i="22"/>
  <c r="AP45" i="22"/>
  <c r="AR43" i="8"/>
  <c r="AP44" i="8"/>
  <c r="BD43" i="8"/>
  <c r="BB44" i="8"/>
  <c r="AM44" i="21"/>
  <c r="AN44" i="21"/>
  <c r="AK45" i="21"/>
  <c r="BT44" i="19"/>
  <c r="BR45" i="19"/>
  <c r="AZ44" i="19"/>
  <c r="AX45" i="19"/>
  <c r="AN44" i="19"/>
  <c r="AM44" i="19"/>
  <c r="AK45" i="19"/>
  <c r="BL44" i="22"/>
  <c r="BJ45" i="22"/>
  <c r="CF44" i="21"/>
  <c r="CD45" i="21"/>
  <c r="BD44" i="19"/>
  <c r="BB45" i="19"/>
  <c r="BT43" i="8"/>
  <c r="BR44" i="8"/>
  <c r="AR44" i="21"/>
  <c r="AP45" i="21"/>
  <c r="AN43" i="8"/>
  <c r="AM43" i="8"/>
  <c r="AK44" i="8"/>
  <c r="BH43" i="22"/>
  <c r="BF44" i="22"/>
  <c r="CI43" i="8"/>
  <c r="CJ43" i="8" s="1"/>
  <c r="Z43" i="8"/>
  <c r="AB43" i="8"/>
  <c r="W44" i="8"/>
  <c r="BX43" i="8"/>
  <c r="BV44" i="8"/>
  <c r="BD44" i="21"/>
  <c r="BB45" i="21"/>
  <c r="BN44" i="8"/>
  <c r="BP43" i="8"/>
  <c r="BL44" i="19"/>
  <c r="BJ45" i="19"/>
  <c r="BX44" i="19"/>
  <c r="BV45" i="19"/>
  <c r="BL43" i="8"/>
  <c r="BJ44" i="8"/>
  <c r="CF43" i="8"/>
  <c r="CD44" i="8"/>
  <c r="AZ43" i="8"/>
  <c r="AX44" i="8"/>
  <c r="AI44" i="19"/>
  <c r="AG44" i="19"/>
  <c r="AD45" i="19"/>
  <c r="AG43" i="22"/>
  <c r="AI43" i="22"/>
  <c r="AD44" i="22"/>
  <c r="BP44" i="21"/>
  <c r="BN45" i="21"/>
  <c r="CF44" i="19"/>
  <c r="CD45" i="19"/>
  <c r="AI44" i="21"/>
  <c r="AG44" i="21"/>
  <c r="AD45" i="21"/>
  <c r="BT44" i="21"/>
  <c r="BR45" i="21"/>
  <c r="BX43" i="22"/>
  <c r="BV44" i="22"/>
  <c r="AR44" i="19"/>
  <c r="AP45" i="19"/>
  <c r="CB44" i="21"/>
  <c r="BZ45" i="21"/>
  <c r="AI43" i="8"/>
  <c r="AG43" i="8"/>
  <c r="AD44" i="8"/>
  <c r="AN44" i="22"/>
  <c r="AM44" i="22"/>
  <c r="AK45" i="22"/>
  <c r="CF43" i="22"/>
  <c r="CD44" i="22"/>
  <c r="AZ43" i="22"/>
  <c r="AX44" i="22"/>
  <c r="BL44" i="21"/>
  <c r="BJ45" i="21"/>
  <c r="CB44" i="19"/>
  <c r="BZ45" i="19"/>
  <c r="CB44" i="22"/>
  <c r="BZ45" i="22"/>
  <c r="BH44" i="19"/>
  <c r="BF45" i="19"/>
  <c r="AV44" i="22"/>
  <c r="AT45" i="22"/>
  <c r="AV44" i="19"/>
  <c r="AT45" i="19"/>
  <c r="BP44" i="22"/>
  <c r="BN45" i="22"/>
  <c r="BP44" i="19"/>
  <c r="BN45" i="19"/>
  <c r="AZ44" i="8" l="1"/>
  <c r="AX45" i="8"/>
  <c r="BH44" i="22"/>
  <c r="BF45" i="22"/>
  <c r="AM45" i="19"/>
  <c r="AN45" i="19"/>
  <c r="AK46" i="19"/>
  <c r="CI44" i="22"/>
  <c r="CJ44" i="22" s="1"/>
  <c r="Z44" i="22"/>
  <c r="W45" i="22"/>
  <c r="AB44" i="22"/>
  <c r="CF44" i="22"/>
  <c r="CD45" i="22"/>
  <c r="BT45" i="21"/>
  <c r="BR46" i="21"/>
  <c r="CF45" i="19"/>
  <c r="CD46" i="19"/>
  <c r="AG44" i="22"/>
  <c r="AI44" i="22"/>
  <c r="AD45" i="22"/>
  <c r="BP44" i="8"/>
  <c r="BN45" i="8"/>
  <c r="CI44" i="8"/>
  <c r="CJ44" i="8" s="1"/>
  <c r="Z44" i="8"/>
  <c r="AB44" i="8"/>
  <c r="W45" i="8"/>
  <c r="BT44" i="8"/>
  <c r="BR45" i="8"/>
  <c r="BL45" i="22"/>
  <c r="BJ46" i="22"/>
  <c r="AR44" i="8"/>
  <c r="AP45" i="8"/>
  <c r="AV45" i="21"/>
  <c r="AT46" i="21"/>
  <c r="BD45" i="22"/>
  <c r="BB46" i="22"/>
  <c r="BH44" i="8"/>
  <c r="BF45" i="8"/>
  <c r="AG44" i="8"/>
  <c r="AI44" i="8"/>
  <c r="AD45" i="8"/>
  <c r="AV45" i="22"/>
  <c r="AT46" i="22"/>
  <c r="BL45" i="21"/>
  <c r="BJ46" i="21"/>
  <c r="AN45" i="22"/>
  <c r="AM45" i="22"/>
  <c r="AK46" i="22"/>
  <c r="CB45" i="21"/>
  <c r="BZ46" i="21"/>
  <c r="CF44" i="8"/>
  <c r="CD45" i="8"/>
  <c r="AV44" i="8"/>
  <c r="AT45" i="8"/>
  <c r="CB45" i="19"/>
  <c r="BZ46" i="19"/>
  <c r="BL44" i="8"/>
  <c r="BJ45" i="8"/>
  <c r="AM44" i="8"/>
  <c r="AN44" i="8"/>
  <c r="AK45" i="8"/>
  <c r="AR45" i="22"/>
  <c r="AP46" i="22"/>
  <c r="BX45" i="21"/>
  <c r="BV46" i="21"/>
  <c r="Z45" i="21"/>
  <c r="AB45" i="21"/>
  <c r="W46" i="21"/>
  <c r="AR45" i="19"/>
  <c r="AP46" i="19"/>
  <c r="BP45" i="19"/>
  <c r="BN46" i="19"/>
  <c r="AZ44" i="22"/>
  <c r="AX45" i="22"/>
  <c r="AG45" i="19"/>
  <c r="AI45" i="19"/>
  <c r="AD46" i="19"/>
  <c r="BD45" i="21"/>
  <c r="BB46" i="21"/>
  <c r="AZ45" i="19"/>
  <c r="AX46" i="19"/>
  <c r="AM45" i="21"/>
  <c r="AN45" i="21"/>
  <c r="AK46" i="21"/>
  <c r="AZ45" i="21"/>
  <c r="AX46" i="21"/>
  <c r="AV45" i="19"/>
  <c r="AT46" i="19"/>
  <c r="BP45" i="21"/>
  <c r="BN46" i="21"/>
  <c r="BP45" i="22"/>
  <c r="BN46" i="22"/>
  <c r="BX44" i="22"/>
  <c r="BV45" i="22"/>
  <c r="AI45" i="21"/>
  <c r="AG45" i="21"/>
  <c r="AD46" i="21"/>
  <c r="BX45" i="19"/>
  <c r="BV46" i="19"/>
  <c r="BL45" i="19"/>
  <c r="BJ46" i="19"/>
  <c r="BD45" i="19"/>
  <c r="BB46" i="19"/>
  <c r="BH45" i="19"/>
  <c r="BF46" i="19"/>
  <c r="CB45" i="22"/>
  <c r="BZ46" i="22"/>
  <c r="BX44" i="8"/>
  <c r="BV45" i="8"/>
  <c r="AR45" i="21"/>
  <c r="AP46" i="21"/>
  <c r="Z45" i="19"/>
  <c r="AB45" i="19"/>
  <c r="W46" i="19"/>
  <c r="CF45" i="21"/>
  <c r="CD46" i="21"/>
  <c r="BT45" i="19"/>
  <c r="BR46" i="19"/>
  <c r="BD44" i="8"/>
  <c r="BB45" i="8"/>
  <c r="CB44" i="8"/>
  <c r="BZ45" i="8"/>
  <c r="BT45" i="22"/>
  <c r="BR46" i="22"/>
  <c r="BH45" i="21"/>
  <c r="BF46" i="21"/>
  <c r="CF46" i="21" l="1"/>
  <c r="CD47" i="21"/>
  <c r="Z46" i="19"/>
  <c r="AB46" i="19"/>
  <c r="W47" i="19"/>
  <c r="AG46" i="21"/>
  <c r="AI46" i="21"/>
  <c r="AD47" i="21"/>
  <c r="BP46" i="22"/>
  <c r="BN47" i="22"/>
  <c r="BD46" i="21"/>
  <c r="BB47" i="21"/>
  <c r="BT46" i="19"/>
  <c r="BR47" i="19"/>
  <c r="AV45" i="8"/>
  <c r="AT46" i="8"/>
  <c r="BL46" i="22"/>
  <c r="BJ47" i="22"/>
  <c r="BH45" i="22"/>
  <c r="BF46" i="22"/>
  <c r="AR46" i="21"/>
  <c r="AP47" i="21"/>
  <c r="BH46" i="19"/>
  <c r="BF47" i="19"/>
  <c r="BL46" i="19"/>
  <c r="BJ47" i="19"/>
  <c r="AN45" i="8"/>
  <c r="AM45" i="8"/>
  <c r="AK46" i="8"/>
  <c r="AV46" i="22"/>
  <c r="AT47" i="22"/>
  <c r="BH45" i="8"/>
  <c r="BF46" i="8"/>
  <c r="CF45" i="22"/>
  <c r="CD46" i="22"/>
  <c r="CF45" i="8"/>
  <c r="CD46" i="8"/>
  <c r="CB46" i="21"/>
  <c r="BZ47" i="21"/>
  <c r="BT45" i="8"/>
  <c r="BR46" i="8"/>
  <c r="CI45" i="8"/>
  <c r="CJ45" i="8" s="1"/>
  <c r="Z45" i="8"/>
  <c r="AB45" i="8"/>
  <c r="W46" i="8"/>
  <c r="AI45" i="22"/>
  <c r="AG45" i="22"/>
  <c r="AD46" i="22"/>
  <c r="CI45" i="22"/>
  <c r="CJ45" i="22" s="1"/>
  <c r="Z45" i="22"/>
  <c r="W46" i="22"/>
  <c r="AB45" i="22"/>
  <c r="AM46" i="19"/>
  <c r="AN46" i="19"/>
  <c r="AK47" i="19"/>
  <c r="AV46" i="19"/>
  <c r="AT47" i="19"/>
  <c r="AZ46" i="19"/>
  <c r="AX47" i="19"/>
  <c r="BP46" i="19"/>
  <c r="BN47" i="19"/>
  <c r="Z46" i="21"/>
  <c r="AB46" i="21"/>
  <c r="W47" i="21"/>
  <c r="CB45" i="8"/>
  <c r="BZ46" i="8"/>
  <c r="BX45" i="8"/>
  <c r="BV46" i="8"/>
  <c r="BD46" i="19"/>
  <c r="BB47" i="19"/>
  <c r="BX46" i="19"/>
  <c r="BV47" i="19"/>
  <c r="BX46" i="21"/>
  <c r="BV47" i="21"/>
  <c r="AV46" i="21"/>
  <c r="AT47" i="21"/>
  <c r="AG46" i="19"/>
  <c r="AI46" i="19"/>
  <c r="AD47" i="19"/>
  <c r="CB46" i="19"/>
  <c r="BZ47" i="19"/>
  <c r="AM46" i="22"/>
  <c r="AN46" i="22"/>
  <c r="AK47" i="22"/>
  <c r="BD46" i="22"/>
  <c r="BB47" i="22"/>
  <c r="AZ45" i="8"/>
  <c r="AX46" i="8"/>
  <c r="AR45" i="8"/>
  <c r="AP46" i="8"/>
  <c r="CF46" i="19"/>
  <c r="CD47" i="19"/>
  <c r="AR46" i="22"/>
  <c r="AP47" i="22"/>
  <c r="BD45" i="8"/>
  <c r="BB46" i="8"/>
  <c r="BP46" i="21"/>
  <c r="BN47" i="21"/>
  <c r="AZ45" i="22"/>
  <c r="AX46" i="22"/>
  <c r="AG45" i="8"/>
  <c r="AI45" i="8"/>
  <c r="AD46" i="8"/>
  <c r="BP45" i="8"/>
  <c r="BN46" i="8"/>
  <c r="BT46" i="22"/>
  <c r="BR47" i="22"/>
  <c r="BX45" i="22"/>
  <c r="BV46" i="22"/>
  <c r="AZ46" i="21"/>
  <c r="AX47" i="21"/>
  <c r="AR46" i="19"/>
  <c r="AP47" i="19"/>
  <c r="BH46" i="21"/>
  <c r="BF47" i="21"/>
  <c r="CB46" i="22"/>
  <c r="BZ47" i="22"/>
  <c r="AM46" i="21"/>
  <c r="AN46" i="21"/>
  <c r="AK47" i="21"/>
  <c r="BJ46" i="8"/>
  <c r="BL45" i="8"/>
  <c r="BL46" i="21"/>
  <c r="BJ47" i="21"/>
  <c r="BT46" i="21"/>
  <c r="BR47" i="21"/>
  <c r="CB46" i="8" l="1"/>
  <c r="BZ47" i="8"/>
  <c r="BP47" i="19"/>
  <c r="BN48" i="19"/>
  <c r="AM47" i="19"/>
  <c r="AN47" i="19"/>
  <c r="AK48" i="19"/>
  <c r="AG46" i="22"/>
  <c r="AI46" i="22"/>
  <c r="AD47" i="22"/>
  <c r="BH47" i="19"/>
  <c r="BF48" i="19"/>
  <c r="BT47" i="19"/>
  <c r="BR48" i="19"/>
  <c r="BT47" i="21"/>
  <c r="BR48" i="21"/>
  <c r="BL46" i="8"/>
  <c r="BJ47" i="8"/>
  <c r="BP46" i="8"/>
  <c r="BN47" i="8"/>
  <c r="CB47" i="19"/>
  <c r="BZ48" i="19"/>
  <c r="BH46" i="8"/>
  <c r="BF47" i="8"/>
  <c r="AM46" i="8"/>
  <c r="AN46" i="8"/>
  <c r="AK47" i="8"/>
  <c r="AN47" i="21"/>
  <c r="AM47" i="21"/>
  <c r="AK48" i="21"/>
  <c r="AZ47" i="21"/>
  <c r="AX48" i="21"/>
  <c r="AZ47" i="19"/>
  <c r="AX48" i="19"/>
  <c r="CF47" i="21"/>
  <c r="CD48" i="21"/>
  <c r="AG46" i="8"/>
  <c r="AI46" i="8"/>
  <c r="AD47" i="8"/>
  <c r="BX46" i="22"/>
  <c r="BV47" i="22"/>
  <c r="BD46" i="8"/>
  <c r="BB47" i="8"/>
  <c r="CF47" i="19"/>
  <c r="CD48" i="19"/>
  <c r="BD47" i="22"/>
  <c r="BB48" i="22"/>
  <c r="AV47" i="21"/>
  <c r="AT48" i="21"/>
  <c r="BX47" i="19"/>
  <c r="BV48" i="19"/>
  <c r="CI46" i="8"/>
  <c r="CJ46" i="8" s="1"/>
  <c r="Z46" i="8"/>
  <c r="AB46" i="8"/>
  <c r="W47" i="8"/>
  <c r="AV47" i="22"/>
  <c r="AT48" i="22"/>
  <c r="AR47" i="21"/>
  <c r="AP48" i="21"/>
  <c r="AV46" i="8"/>
  <c r="AT47" i="8"/>
  <c r="BD47" i="21"/>
  <c r="BB48" i="21"/>
  <c r="CB47" i="22"/>
  <c r="BZ48" i="22"/>
  <c r="AZ46" i="22"/>
  <c r="AX47" i="22"/>
  <c r="AZ46" i="8"/>
  <c r="AX47" i="8"/>
  <c r="AV47" i="19"/>
  <c r="AT48" i="19"/>
  <c r="CI46" i="22"/>
  <c r="CJ46" i="22" s="1"/>
  <c r="Z46" i="22"/>
  <c r="AB46" i="22"/>
  <c r="W47" i="22"/>
  <c r="BL47" i="22"/>
  <c r="BJ48" i="22"/>
  <c r="AI47" i="21"/>
  <c r="AG47" i="21"/>
  <c r="AD48" i="21"/>
  <c r="BL47" i="21"/>
  <c r="BJ48" i="21"/>
  <c r="BH47" i="21"/>
  <c r="BF48" i="21"/>
  <c r="BP47" i="21"/>
  <c r="BN48" i="21"/>
  <c r="AR46" i="8"/>
  <c r="AP47" i="8"/>
  <c r="AN47" i="22"/>
  <c r="AM47" i="22"/>
  <c r="AK48" i="22"/>
  <c r="BX47" i="21"/>
  <c r="BV48" i="21"/>
  <c r="BD47" i="19"/>
  <c r="BB48" i="19"/>
  <c r="Z47" i="21"/>
  <c r="W48" i="21"/>
  <c r="AB47" i="21"/>
  <c r="CB47" i="21"/>
  <c r="BZ48" i="21"/>
  <c r="BH46" i="22"/>
  <c r="BF47" i="22"/>
  <c r="BP47" i="22"/>
  <c r="BN48" i="22"/>
  <c r="CF46" i="22"/>
  <c r="CD47" i="22"/>
  <c r="BL47" i="19"/>
  <c r="BJ48" i="19"/>
  <c r="BT47" i="22"/>
  <c r="BR48" i="22"/>
  <c r="AR47" i="19"/>
  <c r="AP48" i="19"/>
  <c r="AR47" i="22"/>
  <c r="AP48" i="22"/>
  <c r="AI47" i="19"/>
  <c r="AG47" i="19"/>
  <c r="AD48" i="19"/>
  <c r="BX46" i="8"/>
  <c r="BV47" i="8"/>
  <c r="BT46" i="8"/>
  <c r="BR47" i="8"/>
  <c r="CF46" i="8"/>
  <c r="CD47" i="8"/>
  <c r="AB47" i="19"/>
  <c r="Z47" i="19"/>
  <c r="W48" i="19"/>
  <c r="Z48" i="19" l="1"/>
  <c r="W49" i="19"/>
  <c r="AB48" i="19"/>
  <c r="CI47" i="8"/>
  <c r="CJ47" i="8" s="1"/>
  <c r="Z47" i="8"/>
  <c r="AB47" i="8"/>
  <c r="W48" i="8"/>
  <c r="AZ48" i="19"/>
  <c r="AX49" i="19"/>
  <c r="BT47" i="8"/>
  <c r="BR48" i="8"/>
  <c r="BL48" i="19"/>
  <c r="BJ49" i="19"/>
  <c r="BH47" i="22"/>
  <c r="BF48" i="22"/>
  <c r="BX48" i="21"/>
  <c r="BV49" i="21"/>
  <c r="AR48" i="21"/>
  <c r="AP49" i="21"/>
  <c r="CB48" i="19"/>
  <c r="BZ49" i="19"/>
  <c r="BH48" i="19"/>
  <c r="BF49" i="19"/>
  <c r="BN49" i="19"/>
  <c r="BP48" i="19"/>
  <c r="AR48" i="19"/>
  <c r="AP49" i="19"/>
  <c r="AR47" i="8"/>
  <c r="AP48" i="8"/>
  <c r="BH48" i="21"/>
  <c r="BF49" i="21"/>
  <c r="CI47" i="22"/>
  <c r="CJ47" i="22" s="1"/>
  <c r="Z47" i="22"/>
  <c r="AB47" i="22"/>
  <c r="W48" i="22"/>
  <c r="BD48" i="21"/>
  <c r="BB49" i="21"/>
  <c r="BD48" i="22"/>
  <c r="BB49" i="22"/>
  <c r="AG47" i="8"/>
  <c r="AI47" i="8"/>
  <c r="AD48" i="8"/>
  <c r="AZ48" i="21"/>
  <c r="AX49" i="21"/>
  <c r="CF48" i="21"/>
  <c r="CD49" i="21"/>
  <c r="BP47" i="8"/>
  <c r="BN48" i="8"/>
  <c r="AI47" i="22"/>
  <c r="AG47" i="22"/>
  <c r="AD48" i="22"/>
  <c r="CB47" i="8"/>
  <c r="BZ48" i="8"/>
  <c r="CF47" i="22"/>
  <c r="CD48" i="22"/>
  <c r="AG48" i="19"/>
  <c r="AI48" i="19"/>
  <c r="AD49" i="19"/>
  <c r="BT48" i="22"/>
  <c r="BR49" i="22"/>
  <c r="AV48" i="22"/>
  <c r="AT49" i="22"/>
  <c r="BX48" i="19"/>
  <c r="BV49" i="19"/>
  <c r="CF48" i="19"/>
  <c r="CD49" i="19"/>
  <c r="AN48" i="21"/>
  <c r="AM48" i="21"/>
  <c r="AK49" i="21"/>
  <c r="AM47" i="8"/>
  <c r="AN47" i="8"/>
  <c r="AK48" i="8"/>
  <c r="BP48" i="21"/>
  <c r="BN49" i="21"/>
  <c r="Z48" i="21"/>
  <c r="AB48" i="21"/>
  <c r="W49" i="21"/>
  <c r="AI48" i="21"/>
  <c r="AG48" i="21"/>
  <c r="AD49" i="21"/>
  <c r="AZ47" i="8"/>
  <c r="AX48" i="8"/>
  <c r="CB48" i="22"/>
  <c r="BZ49" i="22"/>
  <c r="AV47" i="8"/>
  <c r="AT48" i="8"/>
  <c r="BX47" i="22"/>
  <c r="BV48" i="22"/>
  <c r="BL47" i="8"/>
  <c r="BJ48" i="8"/>
  <c r="BT48" i="19"/>
  <c r="BR49" i="19"/>
  <c r="AR48" i="22"/>
  <c r="AP49" i="22"/>
  <c r="BP48" i="22"/>
  <c r="BN49" i="22"/>
  <c r="BL48" i="21"/>
  <c r="BJ49" i="21"/>
  <c r="AM48" i="22"/>
  <c r="AN48" i="22"/>
  <c r="AK49" i="22"/>
  <c r="CB48" i="21"/>
  <c r="BZ49" i="21"/>
  <c r="AV48" i="19"/>
  <c r="AT49" i="19"/>
  <c r="AZ47" i="22"/>
  <c r="AX48" i="22"/>
  <c r="BD47" i="8"/>
  <c r="BB48" i="8"/>
  <c r="AM48" i="19"/>
  <c r="AN48" i="19"/>
  <c r="AK49" i="19"/>
  <c r="BX47" i="8"/>
  <c r="BV48" i="8"/>
  <c r="CF47" i="8"/>
  <c r="CD48" i="8"/>
  <c r="BD48" i="19"/>
  <c r="BB49" i="19"/>
  <c r="BL48" i="22"/>
  <c r="BJ49" i="22"/>
  <c r="AT49" i="21"/>
  <c r="AV48" i="21"/>
  <c r="BH47" i="8"/>
  <c r="BF48" i="8"/>
  <c r="BT48" i="21"/>
  <c r="BR49" i="21"/>
  <c r="BT49" i="21" l="1"/>
  <c r="BR50" i="21"/>
  <c r="BD49" i="19"/>
  <c r="BB50" i="19"/>
  <c r="CB49" i="22"/>
  <c r="BZ50" i="22"/>
  <c r="CF49" i="19"/>
  <c r="CD50" i="19"/>
  <c r="BH48" i="8"/>
  <c r="BF49" i="8"/>
  <c r="AZ48" i="22"/>
  <c r="AX49" i="22"/>
  <c r="AR49" i="22"/>
  <c r="AP50" i="22"/>
  <c r="BT49" i="19"/>
  <c r="BR50" i="19"/>
  <c r="CF49" i="21"/>
  <c r="CD50" i="21"/>
  <c r="AG48" i="8"/>
  <c r="AI48" i="8"/>
  <c r="AD49" i="8"/>
  <c r="BP49" i="19"/>
  <c r="BN50" i="19"/>
  <c r="BH48" i="22"/>
  <c r="BF49" i="22"/>
  <c r="BX48" i="8"/>
  <c r="BV49" i="8"/>
  <c r="BT49" i="22"/>
  <c r="BR50" i="22"/>
  <c r="AV49" i="21"/>
  <c r="AT50" i="21"/>
  <c r="BL49" i="21"/>
  <c r="BJ50" i="21"/>
  <c r="AZ48" i="8"/>
  <c r="AX49" i="8"/>
  <c r="Z49" i="21"/>
  <c r="AB49" i="21"/>
  <c r="W50" i="21"/>
  <c r="BX49" i="19"/>
  <c r="BV50" i="19"/>
  <c r="CF48" i="22"/>
  <c r="CD49" i="22"/>
  <c r="AN49" i="19"/>
  <c r="AM49" i="19"/>
  <c r="AK50" i="19"/>
  <c r="AV49" i="22"/>
  <c r="AT50" i="22"/>
  <c r="BL49" i="22"/>
  <c r="BJ50" i="22"/>
  <c r="CF48" i="8"/>
  <c r="CD49" i="8"/>
  <c r="CB49" i="21"/>
  <c r="BZ50" i="21"/>
  <c r="AN49" i="21"/>
  <c r="AM49" i="21"/>
  <c r="AK50" i="21"/>
  <c r="BH49" i="19"/>
  <c r="BF50" i="19"/>
  <c r="BL49" i="19"/>
  <c r="BJ50" i="19"/>
  <c r="CI48" i="8"/>
  <c r="CJ48" i="8" s="1"/>
  <c r="Z48" i="8"/>
  <c r="AB48" i="8"/>
  <c r="W49" i="8"/>
  <c r="BL48" i="8"/>
  <c r="BJ49" i="8"/>
  <c r="BX48" i="22"/>
  <c r="BV49" i="22"/>
  <c r="AG49" i="21"/>
  <c r="AI49" i="21"/>
  <c r="AD50" i="21"/>
  <c r="BP49" i="21"/>
  <c r="BN50" i="21"/>
  <c r="BP48" i="8"/>
  <c r="BN49" i="8"/>
  <c r="BD49" i="22"/>
  <c r="BB50" i="22"/>
  <c r="BH49" i="21"/>
  <c r="BF50" i="21"/>
  <c r="Z49" i="19"/>
  <c r="AB49" i="19"/>
  <c r="W50" i="19"/>
  <c r="CB48" i="8"/>
  <c r="BZ49" i="8"/>
  <c r="AR49" i="21"/>
  <c r="AP50" i="21"/>
  <c r="AZ49" i="19"/>
  <c r="AX50" i="19"/>
  <c r="BD48" i="8"/>
  <c r="BB49" i="8"/>
  <c r="AV49" i="19"/>
  <c r="AT50" i="19"/>
  <c r="AM49" i="22"/>
  <c r="AN49" i="22"/>
  <c r="AK50" i="22"/>
  <c r="BD49" i="21"/>
  <c r="BB50" i="21"/>
  <c r="AR48" i="8"/>
  <c r="AP49" i="8"/>
  <c r="CB49" i="19"/>
  <c r="BZ50" i="19"/>
  <c r="BT48" i="8"/>
  <c r="BR49" i="8"/>
  <c r="BP49" i="22"/>
  <c r="BN50" i="22"/>
  <c r="AG49" i="19"/>
  <c r="AI49" i="19"/>
  <c r="AD50" i="19"/>
  <c r="AG48" i="22"/>
  <c r="AD49" i="22"/>
  <c r="AI48" i="22"/>
  <c r="AZ49" i="21"/>
  <c r="AX50" i="21"/>
  <c r="BX49" i="21"/>
  <c r="BV50" i="21"/>
  <c r="AV48" i="8"/>
  <c r="AT49" i="8"/>
  <c r="AN48" i="8"/>
  <c r="AM48" i="8"/>
  <c r="AK49" i="8"/>
  <c r="CI48" i="22"/>
  <c r="CJ48" i="22" s="1"/>
  <c r="Z48" i="22"/>
  <c r="W49" i="22"/>
  <c r="AB48" i="22"/>
  <c r="AP50" i="19"/>
  <c r="AR49" i="19"/>
  <c r="BX49" i="22" l="1"/>
  <c r="BV50" i="22"/>
  <c r="CB50" i="21"/>
  <c r="BZ51" i="21"/>
  <c r="BL50" i="21"/>
  <c r="BJ51" i="21"/>
  <c r="BP50" i="19"/>
  <c r="BN51" i="19"/>
  <c r="CF50" i="21"/>
  <c r="CD51" i="21"/>
  <c r="BD50" i="19"/>
  <c r="BB51" i="19"/>
  <c r="CI49" i="22"/>
  <c r="CJ49" i="22" s="1"/>
  <c r="Z49" i="22"/>
  <c r="AB49" i="22"/>
  <c r="W50" i="22"/>
  <c r="BX50" i="21"/>
  <c r="BV51" i="21"/>
  <c r="AR50" i="21"/>
  <c r="AP51" i="21"/>
  <c r="BX49" i="8"/>
  <c r="BV50" i="8"/>
  <c r="AG50" i="19"/>
  <c r="AI50" i="19"/>
  <c r="AD51" i="19"/>
  <c r="BD50" i="21"/>
  <c r="BB51" i="21"/>
  <c r="AV50" i="19"/>
  <c r="AT51" i="19"/>
  <c r="BH50" i="21"/>
  <c r="BF51" i="21"/>
  <c r="CF49" i="22"/>
  <c r="CD50" i="22"/>
  <c r="AZ49" i="8"/>
  <c r="AX50" i="8"/>
  <c r="BT50" i="19"/>
  <c r="BR51" i="19"/>
  <c r="CB49" i="8"/>
  <c r="BZ50" i="8"/>
  <c r="BP50" i="21"/>
  <c r="BN51" i="21"/>
  <c r="AN49" i="8"/>
  <c r="AM49" i="8"/>
  <c r="AK50" i="8"/>
  <c r="BL49" i="8"/>
  <c r="BJ50" i="8"/>
  <c r="BL50" i="19"/>
  <c r="BJ51" i="19"/>
  <c r="AM50" i="21"/>
  <c r="AN50" i="21"/>
  <c r="AK51" i="21"/>
  <c r="AM50" i="19"/>
  <c r="AN50" i="19"/>
  <c r="AK51" i="19"/>
  <c r="BT50" i="22"/>
  <c r="BR51" i="22"/>
  <c r="BT50" i="21"/>
  <c r="BR51" i="21"/>
  <c r="CF49" i="8"/>
  <c r="CD50" i="8"/>
  <c r="BX50" i="19"/>
  <c r="BV51" i="19"/>
  <c r="AR50" i="22"/>
  <c r="AP51" i="22"/>
  <c r="BH49" i="8"/>
  <c r="BF50" i="8"/>
  <c r="Z50" i="19"/>
  <c r="AB50" i="19"/>
  <c r="W51" i="19"/>
  <c r="AZ50" i="21"/>
  <c r="AX51" i="21"/>
  <c r="Z49" i="8"/>
  <c r="CI49" i="8"/>
  <c r="CJ49" i="8" s="1"/>
  <c r="AB49" i="8"/>
  <c r="W50" i="8"/>
  <c r="BD50" i="22"/>
  <c r="BB51" i="22"/>
  <c r="BP50" i="22"/>
  <c r="BN51" i="22"/>
  <c r="BH50" i="19"/>
  <c r="BF51" i="19"/>
  <c r="CB50" i="19"/>
  <c r="BZ51" i="19"/>
  <c r="AZ50" i="19"/>
  <c r="AX51" i="19"/>
  <c r="BP49" i="8"/>
  <c r="BN50" i="8"/>
  <c r="AG50" i="21"/>
  <c r="AI50" i="21"/>
  <c r="AD51" i="21"/>
  <c r="BL50" i="22"/>
  <c r="BJ51" i="22"/>
  <c r="AI49" i="8"/>
  <c r="AG49" i="8"/>
  <c r="AD50" i="8"/>
  <c r="CF50" i="19"/>
  <c r="CD51" i="19"/>
  <c r="BD49" i="8"/>
  <c r="BB50" i="8"/>
  <c r="AR50" i="19"/>
  <c r="AP51" i="19"/>
  <c r="AV49" i="8"/>
  <c r="AT50" i="8"/>
  <c r="AM50" i="22"/>
  <c r="AN50" i="22"/>
  <c r="AK51" i="22"/>
  <c r="Z50" i="21"/>
  <c r="AB50" i="21"/>
  <c r="W51" i="21"/>
  <c r="AV50" i="21"/>
  <c r="AT51" i="21"/>
  <c r="BH49" i="22"/>
  <c r="BF50" i="22"/>
  <c r="AG49" i="22"/>
  <c r="AI49" i="22"/>
  <c r="AD50" i="22"/>
  <c r="BT49" i="8"/>
  <c r="BR50" i="8"/>
  <c r="AR49" i="8"/>
  <c r="AP50" i="8"/>
  <c r="AV50" i="22"/>
  <c r="AT51" i="22"/>
  <c r="AZ49" i="22"/>
  <c r="AX50" i="22"/>
  <c r="CB50" i="22"/>
  <c r="BZ51" i="22"/>
  <c r="AV51" i="22" l="1"/>
  <c r="AT52" i="22"/>
  <c r="AV51" i="21"/>
  <c r="AT52" i="21"/>
  <c r="AG50" i="8"/>
  <c r="AI50" i="8"/>
  <c r="AD51" i="8"/>
  <c r="BP51" i="21"/>
  <c r="BN52" i="21"/>
  <c r="AG51" i="19"/>
  <c r="AI51" i="19"/>
  <c r="AD52" i="19"/>
  <c r="CB51" i="21"/>
  <c r="BZ52" i="21"/>
  <c r="BD50" i="8"/>
  <c r="BB51" i="8"/>
  <c r="BP50" i="8"/>
  <c r="BN51" i="8"/>
  <c r="AZ51" i="19"/>
  <c r="AX52" i="19"/>
  <c r="BD51" i="22"/>
  <c r="BB52" i="22"/>
  <c r="AR51" i="22"/>
  <c r="AP52" i="22"/>
  <c r="AM51" i="19"/>
  <c r="AN51" i="19"/>
  <c r="AK52" i="19"/>
  <c r="BL50" i="8"/>
  <c r="BJ51" i="8"/>
  <c r="CF50" i="22"/>
  <c r="CD51" i="22"/>
  <c r="BH51" i="21"/>
  <c r="BF52" i="21"/>
  <c r="AR51" i="21"/>
  <c r="AP52" i="21"/>
  <c r="CI50" i="8"/>
  <c r="CJ50" i="8" s="1"/>
  <c r="Z50" i="8"/>
  <c r="W51" i="8"/>
  <c r="AB50" i="8"/>
  <c r="AZ51" i="21"/>
  <c r="AX52" i="21"/>
  <c r="BX51" i="19"/>
  <c r="BV52" i="19"/>
  <c r="CB50" i="8"/>
  <c r="BZ51" i="8"/>
  <c r="BX51" i="21"/>
  <c r="BV52" i="21"/>
  <c r="BX50" i="22"/>
  <c r="BV51" i="22"/>
  <c r="AV51" i="19"/>
  <c r="AT52" i="19"/>
  <c r="CF51" i="21"/>
  <c r="CD52" i="21"/>
  <c r="AM51" i="22"/>
  <c r="AN51" i="22"/>
  <c r="AK52" i="22"/>
  <c r="BH50" i="22"/>
  <c r="BF51" i="22"/>
  <c r="CB51" i="19"/>
  <c r="BZ52" i="19"/>
  <c r="BH51" i="19"/>
  <c r="BF52" i="19"/>
  <c r="BT51" i="22"/>
  <c r="BR52" i="22"/>
  <c r="AK52" i="21"/>
  <c r="AN51" i="21"/>
  <c r="AM51" i="21"/>
  <c r="CI50" i="22"/>
  <c r="CJ50" i="22" s="1"/>
  <c r="Z50" i="22"/>
  <c r="AB50" i="22"/>
  <c r="W51" i="22"/>
  <c r="BD51" i="19"/>
  <c r="BB52" i="19"/>
  <c r="BT50" i="8"/>
  <c r="BR51" i="8"/>
  <c r="CB51" i="22"/>
  <c r="BZ52" i="22"/>
  <c r="AG50" i="22"/>
  <c r="AI50" i="22"/>
  <c r="AD51" i="22"/>
  <c r="AV50" i="8"/>
  <c r="AT51" i="8"/>
  <c r="CF51" i="19"/>
  <c r="CD52" i="19"/>
  <c r="CF50" i="8"/>
  <c r="CD51" i="8"/>
  <c r="BT51" i="21"/>
  <c r="BR52" i="21"/>
  <c r="AM50" i="8"/>
  <c r="AN50" i="8"/>
  <c r="AK51" i="8"/>
  <c r="BD51" i="21"/>
  <c r="BB52" i="21"/>
  <c r="BP51" i="19"/>
  <c r="BN52" i="19"/>
  <c r="Z51" i="21"/>
  <c r="AB51" i="21"/>
  <c r="W52" i="21"/>
  <c r="AG51" i="21"/>
  <c r="AI51" i="21"/>
  <c r="AD52" i="21"/>
  <c r="AR50" i="8"/>
  <c r="AP51" i="8"/>
  <c r="AZ50" i="22"/>
  <c r="AX51" i="22"/>
  <c r="AR51" i="19"/>
  <c r="AP52" i="19"/>
  <c r="BL51" i="22"/>
  <c r="BJ52" i="22"/>
  <c r="BP51" i="22"/>
  <c r="BN52" i="22"/>
  <c r="AB51" i="19"/>
  <c r="Z51" i="19"/>
  <c r="W52" i="19"/>
  <c r="BH50" i="8"/>
  <c r="BF51" i="8"/>
  <c r="BL51" i="19"/>
  <c r="BJ52" i="19"/>
  <c r="BT51" i="19"/>
  <c r="BR52" i="19"/>
  <c r="AZ50" i="8"/>
  <c r="AX51" i="8"/>
  <c r="BX50" i="8"/>
  <c r="BV51" i="8"/>
  <c r="BL51" i="21"/>
  <c r="BJ52" i="21"/>
  <c r="BL52" i="19" l="1"/>
  <c r="BJ53" i="19"/>
  <c r="BH52" i="19"/>
  <c r="BF53" i="19"/>
  <c r="BH52" i="21"/>
  <c r="BF53" i="21"/>
  <c r="CB52" i="21"/>
  <c r="BZ53" i="21"/>
  <c r="BP52" i="22"/>
  <c r="BN53" i="22"/>
  <c r="CI51" i="22"/>
  <c r="CJ51" i="22" s="1"/>
  <c r="Z51" i="22"/>
  <c r="W52" i="22"/>
  <c r="AB51" i="22"/>
  <c r="AG51" i="8"/>
  <c r="AD52" i="8"/>
  <c r="AI51" i="8"/>
  <c r="AG52" i="21"/>
  <c r="AI52" i="21"/>
  <c r="AD53" i="21"/>
  <c r="BL52" i="21"/>
  <c r="BJ53" i="21"/>
  <c r="AN51" i="8"/>
  <c r="AM51" i="8"/>
  <c r="AK52" i="8"/>
  <c r="AI51" i="22"/>
  <c r="AG51" i="22"/>
  <c r="AD52" i="22"/>
  <c r="AN52" i="21"/>
  <c r="AM52" i="21"/>
  <c r="AK53" i="21"/>
  <c r="BX52" i="19"/>
  <c r="BV53" i="19"/>
  <c r="CF51" i="22"/>
  <c r="CD52" i="22"/>
  <c r="BL51" i="8"/>
  <c r="BJ52" i="8"/>
  <c r="AR52" i="22"/>
  <c r="AP53" i="22"/>
  <c r="AZ52" i="19"/>
  <c r="AX53" i="19"/>
  <c r="BT51" i="8"/>
  <c r="BR52" i="8"/>
  <c r="CF52" i="19"/>
  <c r="CD53" i="19"/>
  <c r="BT52" i="21"/>
  <c r="BR53" i="21"/>
  <c r="AV51" i="8"/>
  <c r="AT52" i="8"/>
  <c r="BT52" i="22"/>
  <c r="BR53" i="22"/>
  <c r="CB52" i="19"/>
  <c r="BZ53" i="19"/>
  <c r="BH51" i="22"/>
  <c r="BF52" i="22"/>
  <c r="CB51" i="8"/>
  <c r="BZ52" i="8"/>
  <c r="CI51" i="8"/>
  <c r="CJ51" i="8" s="1"/>
  <c r="Z51" i="8"/>
  <c r="AB51" i="8"/>
  <c r="W52" i="8"/>
  <c r="AZ51" i="22"/>
  <c r="AX52" i="22"/>
  <c r="BL52" i="22"/>
  <c r="BJ53" i="22"/>
  <c r="BX52" i="21"/>
  <c r="BV53" i="21"/>
  <c r="AN52" i="19"/>
  <c r="AM52" i="19"/>
  <c r="AK53" i="19"/>
  <c r="BP51" i="8"/>
  <c r="BN52" i="8"/>
  <c r="AI52" i="19"/>
  <c r="AD53" i="19"/>
  <c r="AG52" i="19"/>
  <c r="BT52" i="19"/>
  <c r="BR53" i="19"/>
  <c r="BX51" i="8"/>
  <c r="BV52" i="8"/>
  <c r="Z52" i="19"/>
  <c r="W53" i="19"/>
  <c r="AB52" i="19"/>
  <c r="AR51" i="8"/>
  <c r="AP52" i="8"/>
  <c r="Z52" i="21"/>
  <c r="AB52" i="21"/>
  <c r="W53" i="21"/>
  <c r="CF51" i="8"/>
  <c r="CD52" i="8"/>
  <c r="AV52" i="19"/>
  <c r="AT53" i="19"/>
  <c r="BD51" i="8"/>
  <c r="BB52" i="8"/>
  <c r="AV52" i="21"/>
  <c r="AT53" i="21"/>
  <c r="BD52" i="21"/>
  <c r="BB53" i="21"/>
  <c r="AZ51" i="8"/>
  <c r="AX52" i="8"/>
  <c r="BH51" i="8"/>
  <c r="BF52" i="8"/>
  <c r="AR52" i="19"/>
  <c r="AP53" i="19"/>
  <c r="BP52" i="19"/>
  <c r="BN53" i="19"/>
  <c r="CB52" i="22"/>
  <c r="BZ53" i="22"/>
  <c r="AR52" i="21"/>
  <c r="AP53" i="21"/>
  <c r="BP52" i="21"/>
  <c r="BN53" i="21"/>
  <c r="BD52" i="19"/>
  <c r="BB53" i="19"/>
  <c r="AM52" i="22"/>
  <c r="AN52" i="22"/>
  <c r="AK53" i="22"/>
  <c r="CF52" i="21"/>
  <c r="CD53" i="21"/>
  <c r="BX51" i="22"/>
  <c r="BV52" i="22"/>
  <c r="AZ52" i="21"/>
  <c r="AX53" i="21"/>
  <c r="BD52" i="22"/>
  <c r="BB53" i="22"/>
  <c r="AV52" i="22"/>
  <c r="AT53" i="22"/>
  <c r="BD52" i="8" l="1"/>
  <c r="BB53" i="8"/>
  <c r="AR53" i="21"/>
  <c r="AP54" i="21"/>
  <c r="AM53" i="21"/>
  <c r="AN53" i="21"/>
  <c r="AK54" i="21"/>
  <c r="AG52" i="8"/>
  <c r="AI52" i="8"/>
  <c r="AD53" i="8"/>
  <c r="BL53" i="19"/>
  <c r="BJ54" i="19"/>
  <c r="CI52" i="8"/>
  <c r="CJ52" i="8" s="1"/>
  <c r="Z52" i="8"/>
  <c r="W53" i="8"/>
  <c r="AB52" i="8"/>
  <c r="BH52" i="22"/>
  <c r="BF53" i="22"/>
  <c r="BL52" i="8"/>
  <c r="BJ53" i="8"/>
  <c r="BP53" i="22"/>
  <c r="BN54" i="22"/>
  <c r="BP53" i="19"/>
  <c r="BN54" i="19"/>
  <c r="AZ52" i="8"/>
  <c r="AX53" i="8"/>
  <c r="AG53" i="19"/>
  <c r="AI53" i="19"/>
  <c r="AD54" i="19"/>
  <c r="BX52" i="8"/>
  <c r="BV53" i="8"/>
  <c r="BX53" i="19"/>
  <c r="BV54" i="19"/>
  <c r="CB53" i="22"/>
  <c r="BZ54" i="22"/>
  <c r="CF53" i="21"/>
  <c r="CD54" i="21"/>
  <c r="AV53" i="21"/>
  <c r="AT54" i="21"/>
  <c r="AZ53" i="21"/>
  <c r="AX54" i="21"/>
  <c r="CF52" i="8"/>
  <c r="CD53" i="8"/>
  <c r="AR52" i="8"/>
  <c r="AP53" i="8"/>
  <c r="CB53" i="19"/>
  <c r="BZ54" i="19"/>
  <c r="CF53" i="19"/>
  <c r="CD54" i="19"/>
  <c r="CF52" i="22"/>
  <c r="CD53" i="22"/>
  <c r="CB53" i="21"/>
  <c r="BZ54" i="21"/>
  <c r="BH53" i="21"/>
  <c r="BF54" i="21"/>
  <c r="BD53" i="19"/>
  <c r="BB54" i="19"/>
  <c r="Z53" i="19"/>
  <c r="AB53" i="19"/>
  <c r="W54" i="19"/>
  <c r="BD53" i="22"/>
  <c r="BB54" i="22"/>
  <c r="AV53" i="22"/>
  <c r="AT54" i="22"/>
  <c r="AN53" i="22"/>
  <c r="AM53" i="22"/>
  <c r="AK54" i="22"/>
  <c r="BH52" i="8"/>
  <c r="BF53" i="8"/>
  <c r="AR53" i="19"/>
  <c r="AP54" i="19"/>
  <c r="BD53" i="21"/>
  <c r="BB54" i="21"/>
  <c r="BT53" i="19"/>
  <c r="BR54" i="19"/>
  <c r="BP52" i="8"/>
  <c r="BN53" i="8"/>
  <c r="AV52" i="8"/>
  <c r="AT53" i="8"/>
  <c r="AN52" i="8"/>
  <c r="AM52" i="8"/>
  <c r="AK53" i="8"/>
  <c r="AG53" i="21"/>
  <c r="AI53" i="21"/>
  <c r="AD54" i="21"/>
  <c r="AI52" i="22"/>
  <c r="AG52" i="22"/>
  <c r="AD53" i="22"/>
  <c r="BT53" i="22"/>
  <c r="BR54" i="22"/>
  <c r="BT52" i="8"/>
  <c r="BR53" i="8"/>
  <c r="AZ53" i="19"/>
  <c r="AX54" i="19"/>
  <c r="BX52" i="22"/>
  <c r="BV53" i="22"/>
  <c r="BP53" i="21"/>
  <c r="BN54" i="21"/>
  <c r="AV53" i="19"/>
  <c r="AT54" i="19"/>
  <c r="Z53" i="21"/>
  <c r="AB53" i="21"/>
  <c r="W54" i="21"/>
  <c r="BX53" i="21"/>
  <c r="BV54" i="21"/>
  <c r="BL53" i="22"/>
  <c r="BJ54" i="22"/>
  <c r="BT53" i="21"/>
  <c r="BR54" i="21"/>
  <c r="CI52" i="22"/>
  <c r="CJ52" i="22" s="1"/>
  <c r="Z52" i="22"/>
  <c r="W53" i="22"/>
  <c r="AB52" i="22"/>
  <c r="BH53" i="19"/>
  <c r="BF54" i="19"/>
  <c r="AM53" i="19"/>
  <c r="AN53" i="19"/>
  <c r="AK54" i="19"/>
  <c r="AZ52" i="22"/>
  <c r="AX53" i="22"/>
  <c r="CB52" i="8"/>
  <c r="BZ53" i="8"/>
  <c r="AR53" i="22"/>
  <c r="AP54" i="22"/>
  <c r="BL53" i="21"/>
  <c r="BJ54" i="21"/>
  <c r="AV54" i="22" l="1"/>
  <c r="AT55" i="22"/>
  <c r="BL54" i="22"/>
  <c r="BJ55" i="22"/>
  <c r="AZ54" i="19"/>
  <c r="AX55" i="19"/>
  <c r="CB54" i="21"/>
  <c r="BZ55" i="21"/>
  <c r="CF54" i="21"/>
  <c r="CD55" i="21"/>
  <c r="BX53" i="8"/>
  <c r="BV54" i="8"/>
  <c r="AI54" i="19"/>
  <c r="AG54" i="19"/>
  <c r="AD55" i="19"/>
  <c r="BD53" i="8"/>
  <c r="BB54" i="8"/>
  <c r="BP54" i="21"/>
  <c r="BN55" i="21"/>
  <c r="BL54" i="21"/>
  <c r="BJ55" i="21"/>
  <c r="Z54" i="21"/>
  <c r="AB54" i="21"/>
  <c r="W55" i="21"/>
  <c r="BT54" i="22"/>
  <c r="BR55" i="22"/>
  <c r="CI53" i="22"/>
  <c r="CJ53" i="22" s="1"/>
  <c r="AB53" i="22"/>
  <c r="Z53" i="22"/>
  <c r="W54" i="22"/>
  <c r="BT54" i="19"/>
  <c r="BR55" i="19"/>
  <c r="BP54" i="22"/>
  <c r="BN55" i="22"/>
  <c r="AG53" i="8"/>
  <c r="AI53" i="8"/>
  <c r="AD54" i="8"/>
  <c r="BT53" i="8"/>
  <c r="BR54" i="8"/>
  <c r="AG53" i="22"/>
  <c r="AD54" i="22"/>
  <c r="AI53" i="22"/>
  <c r="AM53" i="8"/>
  <c r="AN53" i="8"/>
  <c r="AK54" i="8"/>
  <c r="BD54" i="21"/>
  <c r="BB55" i="21"/>
  <c r="BH53" i="8"/>
  <c r="BF54" i="8"/>
  <c r="CI53" i="8"/>
  <c r="CJ53" i="8" s="1"/>
  <c r="Z53" i="8"/>
  <c r="AB53" i="8"/>
  <c r="W54" i="8"/>
  <c r="BT54" i="21"/>
  <c r="BR55" i="21"/>
  <c r="AV54" i="19"/>
  <c r="AT55" i="19"/>
  <c r="BD54" i="19"/>
  <c r="BB55" i="19"/>
  <c r="CF53" i="22"/>
  <c r="CD54" i="22"/>
  <c r="AV54" i="21"/>
  <c r="AT55" i="21"/>
  <c r="BL53" i="8"/>
  <c r="BJ54" i="8"/>
  <c r="BX54" i="21"/>
  <c r="BV55" i="21"/>
  <c r="AZ54" i="21"/>
  <c r="AX55" i="21"/>
  <c r="CB54" i="22"/>
  <c r="BZ55" i="22"/>
  <c r="AN54" i="19"/>
  <c r="AM54" i="19"/>
  <c r="AK55" i="19"/>
  <c r="BX53" i="22"/>
  <c r="BV54" i="22"/>
  <c r="CF54" i="19"/>
  <c r="CD55" i="19"/>
  <c r="AR53" i="8"/>
  <c r="AP54" i="8"/>
  <c r="BX54" i="19"/>
  <c r="BV55" i="19"/>
  <c r="AZ53" i="8"/>
  <c r="AX54" i="8"/>
  <c r="BH54" i="19"/>
  <c r="BF55" i="19"/>
  <c r="AR54" i="22"/>
  <c r="AP55" i="22"/>
  <c r="AZ53" i="22"/>
  <c r="AX54" i="22"/>
  <c r="AI54" i="21"/>
  <c r="AG54" i="21"/>
  <c r="AD55" i="21"/>
  <c r="AN54" i="22"/>
  <c r="AM54" i="22"/>
  <c r="AK55" i="22"/>
  <c r="BD54" i="22"/>
  <c r="BB55" i="22"/>
  <c r="BH54" i="21"/>
  <c r="BF55" i="21"/>
  <c r="BL54" i="19"/>
  <c r="BJ55" i="19"/>
  <c r="AR54" i="21"/>
  <c r="AP55" i="21"/>
  <c r="CB53" i="8"/>
  <c r="BZ54" i="8"/>
  <c r="AV53" i="8"/>
  <c r="AT54" i="8"/>
  <c r="BP53" i="8"/>
  <c r="BN54" i="8"/>
  <c r="AR54" i="19"/>
  <c r="AP55" i="19"/>
  <c r="Z54" i="19"/>
  <c r="AB54" i="19"/>
  <c r="W55" i="19"/>
  <c r="CB54" i="19"/>
  <c r="BZ55" i="19"/>
  <c r="CF53" i="8"/>
  <c r="CD54" i="8"/>
  <c r="BP54" i="19"/>
  <c r="BN55" i="19"/>
  <c r="BF54" i="22"/>
  <c r="BH53" i="22"/>
  <c r="AN54" i="21"/>
  <c r="AM54" i="21"/>
  <c r="AK55" i="21"/>
  <c r="BD55" i="22" l="1"/>
  <c r="BB56" i="22"/>
  <c r="BX54" i="22"/>
  <c r="BV55" i="22"/>
  <c r="CB55" i="22"/>
  <c r="BZ56" i="22"/>
  <c r="BH54" i="22"/>
  <c r="BF55" i="22"/>
  <c r="CB54" i="8"/>
  <c r="BZ55" i="8"/>
  <c r="BH55" i="21"/>
  <c r="BF56" i="21"/>
  <c r="AZ54" i="22"/>
  <c r="AX55" i="22"/>
  <c r="BD55" i="19"/>
  <c r="BB56" i="19"/>
  <c r="AN54" i="8"/>
  <c r="AM54" i="8"/>
  <c r="AK55" i="8"/>
  <c r="BB55" i="8"/>
  <c r="BD54" i="8"/>
  <c r="AM55" i="21"/>
  <c r="AK56" i="21"/>
  <c r="AN55" i="21"/>
  <c r="CF55" i="19"/>
  <c r="CD56" i="19"/>
  <c r="CB55" i="19"/>
  <c r="BZ56" i="19"/>
  <c r="AG55" i="21"/>
  <c r="AI55" i="21"/>
  <c r="AD56" i="21"/>
  <c r="AN55" i="19"/>
  <c r="AM55" i="19"/>
  <c r="AK56" i="19"/>
  <c r="CI54" i="8"/>
  <c r="CJ54" i="8" s="1"/>
  <c r="Z54" i="8"/>
  <c r="AB54" i="8"/>
  <c r="W55" i="8"/>
  <c r="BH54" i="8"/>
  <c r="BF55" i="8"/>
  <c r="CI54" i="22"/>
  <c r="CJ54" i="22" s="1"/>
  <c r="Z54" i="22"/>
  <c r="AB54" i="22"/>
  <c r="W55" i="22"/>
  <c r="BX54" i="8"/>
  <c r="BV55" i="8"/>
  <c r="BL55" i="21"/>
  <c r="BJ56" i="21"/>
  <c r="AZ55" i="19"/>
  <c r="AX56" i="19"/>
  <c r="BP55" i="19"/>
  <c r="BN56" i="19"/>
  <c r="AG54" i="8"/>
  <c r="AI54" i="8"/>
  <c r="AD55" i="8"/>
  <c r="CF55" i="21"/>
  <c r="CD56" i="21"/>
  <c r="AV55" i="22"/>
  <c r="AT56" i="22"/>
  <c r="AZ54" i="8"/>
  <c r="AX55" i="8"/>
  <c r="AR54" i="8"/>
  <c r="AP55" i="8"/>
  <c r="AV55" i="21"/>
  <c r="AT56" i="21"/>
  <c r="AG54" i="22"/>
  <c r="AI54" i="22"/>
  <c r="AD55" i="22"/>
  <c r="BP55" i="22"/>
  <c r="BN56" i="22"/>
  <c r="BP55" i="21"/>
  <c r="BN56" i="21"/>
  <c r="BL55" i="22"/>
  <c r="BJ56" i="22"/>
  <c r="AR55" i="22"/>
  <c r="AP56" i="22"/>
  <c r="AR55" i="21"/>
  <c r="AP56" i="21"/>
  <c r="BP54" i="8"/>
  <c r="BN55" i="8"/>
  <c r="AN55" i="22"/>
  <c r="AM55" i="22"/>
  <c r="AK56" i="22"/>
  <c r="BT55" i="21"/>
  <c r="BR56" i="21"/>
  <c r="BT55" i="19"/>
  <c r="BR56" i="19"/>
  <c r="BT55" i="22"/>
  <c r="BR56" i="22"/>
  <c r="CF54" i="8"/>
  <c r="CD55" i="8"/>
  <c r="Z55" i="19"/>
  <c r="AB55" i="19"/>
  <c r="W56" i="19"/>
  <c r="BL55" i="19"/>
  <c r="BJ56" i="19"/>
  <c r="BX55" i="21"/>
  <c r="BV56" i="21"/>
  <c r="CF54" i="22"/>
  <c r="CD55" i="22"/>
  <c r="BT54" i="8"/>
  <c r="BR55" i="8"/>
  <c r="AG55" i="19"/>
  <c r="AI55" i="19"/>
  <c r="AD56" i="19"/>
  <c r="CB55" i="21"/>
  <c r="BZ56" i="21"/>
  <c r="AR55" i="19"/>
  <c r="AP56" i="19"/>
  <c r="BH55" i="19"/>
  <c r="BF56" i="19"/>
  <c r="AT56" i="19"/>
  <c r="AV55" i="19"/>
  <c r="BD55" i="21"/>
  <c r="BB56" i="21"/>
  <c r="AV54" i="8"/>
  <c r="AT55" i="8"/>
  <c r="BX55" i="19"/>
  <c r="BV56" i="19"/>
  <c r="AZ55" i="21"/>
  <c r="AX56" i="21"/>
  <c r="BL54" i="8"/>
  <c r="BJ55" i="8"/>
  <c r="Z55" i="21"/>
  <c r="AB55" i="21"/>
  <c r="W56" i="21"/>
  <c r="AV56" i="21" l="1"/>
  <c r="AT57" i="21"/>
  <c r="CB56" i="19"/>
  <c r="BZ57" i="19"/>
  <c r="AR55" i="8"/>
  <c r="AP56" i="8"/>
  <c r="AR56" i="21"/>
  <c r="AP57" i="21"/>
  <c r="BN56" i="8"/>
  <c r="BP55" i="8"/>
  <c r="AG55" i="22"/>
  <c r="AI55" i="22"/>
  <c r="AD56" i="22"/>
  <c r="AR56" i="19"/>
  <c r="AP57" i="19"/>
  <c r="Z56" i="19"/>
  <c r="W57" i="19"/>
  <c r="AB56" i="19"/>
  <c r="BT56" i="19"/>
  <c r="BR57" i="19"/>
  <c r="BL56" i="22"/>
  <c r="BJ57" i="22"/>
  <c r="BP56" i="21"/>
  <c r="BN57" i="21"/>
  <c r="AZ55" i="8"/>
  <c r="AX56" i="8"/>
  <c r="AN56" i="19"/>
  <c r="AM56" i="19"/>
  <c r="AK57" i="19"/>
  <c r="AZ55" i="22"/>
  <c r="AX56" i="22"/>
  <c r="AM56" i="22"/>
  <c r="AN56" i="22"/>
  <c r="AK57" i="22"/>
  <c r="Z56" i="21"/>
  <c r="AB56" i="21"/>
  <c r="W57" i="21"/>
  <c r="BP56" i="19"/>
  <c r="BN57" i="19"/>
  <c r="BD56" i="19"/>
  <c r="BB57" i="19"/>
  <c r="CB56" i="22"/>
  <c r="BZ57" i="22"/>
  <c r="AV55" i="8"/>
  <c r="AT56" i="8"/>
  <c r="AG56" i="19"/>
  <c r="AI56" i="19"/>
  <c r="AD57" i="19"/>
  <c r="BD56" i="21"/>
  <c r="BB57" i="21"/>
  <c r="AZ56" i="21"/>
  <c r="AX57" i="21"/>
  <c r="CF55" i="22"/>
  <c r="CD56" i="22"/>
  <c r="CF56" i="21"/>
  <c r="CD57" i="21"/>
  <c r="BX55" i="8"/>
  <c r="BV56" i="8"/>
  <c r="CI55" i="22"/>
  <c r="CJ55" i="22" s="1"/>
  <c r="Z55" i="22"/>
  <c r="W56" i="22"/>
  <c r="AB55" i="22"/>
  <c r="BH55" i="8"/>
  <c r="BF56" i="8"/>
  <c r="BH55" i="22"/>
  <c r="BF56" i="22"/>
  <c r="BL56" i="19"/>
  <c r="BJ57" i="19"/>
  <c r="CF55" i="8"/>
  <c r="CD56" i="8"/>
  <c r="AV56" i="22"/>
  <c r="AT57" i="22"/>
  <c r="BH56" i="21"/>
  <c r="BF57" i="21"/>
  <c r="BX55" i="22"/>
  <c r="BV56" i="22"/>
  <c r="BL55" i="8"/>
  <c r="BJ56" i="8"/>
  <c r="BT56" i="21"/>
  <c r="BR57" i="21"/>
  <c r="AZ56" i="19"/>
  <c r="AX57" i="19"/>
  <c r="Z55" i="8"/>
  <c r="CI55" i="8"/>
  <c r="CJ55" i="8" s="1"/>
  <c r="W56" i="8"/>
  <c r="AB55" i="8"/>
  <c r="AM56" i="21"/>
  <c r="AN56" i="21"/>
  <c r="AK57" i="21"/>
  <c r="BD55" i="8"/>
  <c r="BB56" i="8"/>
  <c r="AV56" i="19"/>
  <c r="AT57" i="19"/>
  <c r="BP56" i="22"/>
  <c r="BN57" i="22"/>
  <c r="BX56" i="19"/>
  <c r="BV57" i="19"/>
  <c r="BH56" i="19"/>
  <c r="BF57" i="19"/>
  <c r="CB56" i="21"/>
  <c r="BZ57" i="21"/>
  <c r="BT55" i="8"/>
  <c r="BR56" i="8"/>
  <c r="BX56" i="21"/>
  <c r="BV57" i="21"/>
  <c r="BT56" i="22"/>
  <c r="BR57" i="22"/>
  <c r="AR56" i="22"/>
  <c r="AP57" i="22"/>
  <c r="AG55" i="8"/>
  <c r="AI55" i="8"/>
  <c r="AD56" i="8"/>
  <c r="BL56" i="21"/>
  <c r="BJ57" i="21"/>
  <c r="AI56" i="21"/>
  <c r="AG56" i="21"/>
  <c r="AD57" i="21"/>
  <c r="CF56" i="19"/>
  <c r="CD57" i="19"/>
  <c r="AN55" i="8"/>
  <c r="AM55" i="8"/>
  <c r="AK56" i="8"/>
  <c r="CB55" i="8"/>
  <c r="BZ56" i="8"/>
  <c r="BD56" i="22"/>
  <c r="BB57" i="22"/>
  <c r="AN57" i="21" l="1"/>
  <c r="AM57" i="21"/>
  <c r="AK58" i="21"/>
  <c r="BL56" i="8"/>
  <c r="BJ57" i="8"/>
  <c r="CF56" i="22"/>
  <c r="CD57" i="22"/>
  <c r="BP56" i="8"/>
  <c r="BN57" i="8"/>
  <c r="BT57" i="21"/>
  <c r="BR58" i="21"/>
  <c r="BL57" i="19"/>
  <c r="BJ58" i="19"/>
  <c r="AZ57" i="21"/>
  <c r="AX58" i="21"/>
  <c r="BL57" i="22"/>
  <c r="BJ58" i="22"/>
  <c r="BT57" i="19"/>
  <c r="BR58" i="19"/>
  <c r="CB57" i="19"/>
  <c r="BZ58" i="19"/>
  <c r="AI56" i="8"/>
  <c r="AG56" i="8"/>
  <c r="AD57" i="8"/>
  <c r="AV57" i="19"/>
  <c r="AT58" i="19"/>
  <c r="BX56" i="22"/>
  <c r="BV57" i="22"/>
  <c r="BX56" i="8"/>
  <c r="BV57" i="8"/>
  <c r="AG57" i="19"/>
  <c r="AI57" i="19"/>
  <c r="AD58" i="19"/>
  <c r="BB58" i="19"/>
  <c r="BD57" i="19"/>
  <c r="AZ56" i="8"/>
  <c r="AX57" i="8"/>
  <c r="BT56" i="8"/>
  <c r="BR57" i="8"/>
  <c r="CF57" i="19"/>
  <c r="CD58" i="19"/>
  <c r="AR57" i="22"/>
  <c r="AP58" i="22"/>
  <c r="BT57" i="22"/>
  <c r="BR58" i="22"/>
  <c r="CB57" i="21"/>
  <c r="BZ58" i="21"/>
  <c r="CB57" i="22"/>
  <c r="BZ58" i="22"/>
  <c r="AI57" i="21"/>
  <c r="AG57" i="21"/>
  <c r="AD58" i="21"/>
  <c r="BL57" i="21"/>
  <c r="BJ58" i="21"/>
  <c r="BP57" i="22"/>
  <c r="BN58" i="22"/>
  <c r="AV57" i="22"/>
  <c r="AT58" i="22"/>
  <c r="BH56" i="22"/>
  <c r="BF57" i="22"/>
  <c r="BH56" i="8"/>
  <c r="BF57" i="8"/>
  <c r="Z57" i="19"/>
  <c r="AB57" i="19"/>
  <c r="W58" i="19"/>
  <c r="AG56" i="22"/>
  <c r="AI56" i="22"/>
  <c r="AD57" i="22"/>
  <c r="AR56" i="8"/>
  <c r="AP57" i="8"/>
  <c r="CB56" i="8"/>
  <c r="BZ57" i="8"/>
  <c r="BD57" i="22"/>
  <c r="BB58" i="22"/>
  <c r="BH57" i="21"/>
  <c r="BF58" i="21"/>
  <c r="AV56" i="8"/>
  <c r="AT57" i="8"/>
  <c r="AN57" i="19"/>
  <c r="AM57" i="19"/>
  <c r="AK58" i="19"/>
  <c r="AN56" i="8"/>
  <c r="AM56" i="8"/>
  <c r="AK57" i="8"/>
  <c r="BH57" i="19"/>
  <c r="BF58" i="19"/>
  <c r="CI56" i="8"/>
  <c r="CJ56" i="8" s="1"/>
  <c r="Z56" i="8"/>
  <c r="W57" i="8"/>
  <c r="AB56" i="8"/>
  <c r="BX57" i="21"/>
  <c r="BV58" i="21"/>
  <c r="BD56" i="8"/>
  <c r="BB57" i="8"/>
  <c r="CF57" i="21"/>
  <c r="CD58" i="21"/>
  <c r="BD57" i="21"/>
  <c r="BB58" i="21"/>
  <c r="BP57" i="19"/>
  <c r="BN58" i="19"/>
  <c r="AN57" i="22"/>
  <c r="AM57" i="22"/>
  <c r="AK58" i="22"/>
  <c r="AV57" i="21"/>
  <c r="AT58" i="21"/>
  <c r="BX57" i="19"/>
  <c r="BV58" i="19"/>
  <c r="AZ57" i="19"/>
  <c r="AX58" i="19"/>
  <c r="CF56" i="8"/>
  <c r="CD57" i="8"/>
  <c r="CI56" i="22"/>
  <c r="CJ56" i="22" s="1"/>
  <c r="Z56" i="22"/>
  <c r="W57" i="22"/>
  <c r="AB56" i="22"/>
  <c r="Z57" i="21"/>
  <c r="AB57" i="21"/>
  <c r="W58" i="21"/>
  <c r="AZ56" i="22"/>
  <c r="AX57" i="22"/>
  <c r="BP57" i="21"/>
  <c r="BN58" i="21"/>
  <c r="AR57" i="19"/>
  <c r="AP58" i="19"/>
  <c r="AR57" i="21"/>
  <c r="AP58" i="21"/>
  <c r="CF58" i="21" l="1"/>
  <c r="CD59" i="21"/>
  <c r="Z58" i="21"/>
  <c r="AB58" i="21"/>
  <c r="W59" i="21"/>
  <c r="AR58" i="21"/>
  <c r="AP59" i="21"/>
  <c r="BP58" i="21"/>
  <c r="BN59" i="21"/>
  <c r="AZ57" i="22"/>
  <c r="AX58" i="22"/>
  <c r="BH58" i="19"/>
  <c r="BF59" i="19"/>
  <c r="CB57" i="8"/>
  <c r="BZ58" i="8"/>
  <c r="AV58" i="22"/>
  <c r="AT59" i="22"/>
  <c r="BX57" i="8"/>
  <c r="BV58" i="8"/>
  <c r="BP57" i="8"/>
  <c r="BN58" i="8"/>
  <c r="BL58" i="19"/>
  <c r="BJ59" i="19"/>
  <c r="AZ58" i="19"/>
  <c r="AX59" i="19"/>
  <c r="AV58" i="21"/>
  <c r="AT59" i="21"/>
  <c r="BD57" i="8"/>
  <c r="BB58" i="8"/>
  <c r="AG57" i="22"/>
  <c r="AI57" i="22"/>
  <c r="AD58" i="22"/>
  <c r="BD58" i="19"/>
  <c r="BB59" i="19"/>
  <c r="AV58" i="19"/>
  <c r="AT59" i="19"/>
  <c r="CF57" i="22"/>
  <c r="CD58" i="22"/>
  <c r="BP58" i="19"/>
  <c r="BN59" i="19"/>
  <c r="BH58" i="21"/>
  <c r="BF59" i="21"/>
  <c r="BH57" i="8"/>
  <c r="BF58" i="8"/>
  <c r="BP58" i="22"/>
  <c r="BN59" i="22"/>
  <c r="AG58" i="19"/>
  <c r="AI58" i="19"/>
  <c r="AD59" i="19"/>
  <c r="BT58" i="19"/>
  <c r="BR59" i="19"/>
  <c r="BL58" i="21"/>
  <c r="BJ59" i="21"/>
  <c r="AR58" i="22"/>
  <c r="AP59" i="22"/>
  <c r="AZ57" i="8"/>
  <c r="AX58" i="8"/>
  <c r="AG57" i="8"/>
  <c r="AI57" i="8"/>
  <c r="AD58" i="8"/>
  <c r="AZ58" i="21"/>
  <c r="AX59" i="21"/>
  <c r="AN58" i="22"/>
  <c r="AM58" i="22"/>
  <c r="AK59" i="22"/>
  <c r="BD58" i="22"/>
  <c r="BB59" i="22"/>
  <c r="AR57" i="8"/>
  <c r="AP58" i="8"/>
  <c r="Z58" i="19"/>
  <c r="AB58" i="19"/>
  <c r="W59" i="19"/>
  <c r="BH57" i="22"/>
  <c r="BF58" i="22"/>
  <c r="CB58" i="21"/>
  <c r="BZ59" i="21"/>
  <c r="BT57" i="8"/>
  <c r="BR58" i="8"/>
  <c r="BX57" i="22"/>
  <c r="BV58" i="22"/>
  <c r="BL58" i="22"/>
  <c r="BJ59" i="22"/>
  <c r="BT58" i="21"/>
  <c r="BR59" i="21"/>
  <c r="BL57" i="8"/>
  <c r="BJ58" i="8"/>
  <c r="CI57" i="8"/>
  <c r="CJ57" i="8" s="1"/>
  <c r="Z57" i="8"/>
  <c r="W58" i="8"/>
  <c r="AB57" i="8"/>
  <c r="CI57" i="22"/>
  <c r="CJ57" i="22" s="1"/>
  <c r="Z57" i="22"/>
  <c r="AB57" i="22"/>
  <c r="W58" i="22"/>
  <c r="BD58" i="21"/>
  <c r="BB59" i="21"/>
  <c r="BX58" i="21"/>
  <c r="BV59" i="21"/>
  <c r="AV57" i="8"/>
  <c r="AT58" i="8"/>
  <c r="AG58" i="21"/>
  <c r="AI58" i="21"/>
  <c r="AD59" i="21"/>
  <c r="CF58" i="19"/>
  <c r="CD59" i="19"/>
  <c r="AP59" i="19"/>
  <c r="AR58" i="19"/>
  <c r="BX58" i="19"/>
  <c r="BV59" i="19"/>
  <c r="CF57" i="8"/>
  <c r="CD58" i="8"/>
  <c r="AM57" i="8"/>
  <c r="AN57" i="8"/>
  <c r="AK58" i="8"/>
  <c r="AM58" i="19"/>
  <c r="AN58" i="19"/>
  <c r="AK59" i="19"/>
  <c r="CB58" i="22"/>
  <c r="BZ59" i="22"/>
  <c r="BT58" i="22"/>
  <c r="BR59" i="22"/>
  <c r="CB58" i="19"/>
  <c r="BZ59" i="19"/>
  <c r="AM58" i="21"/>
  <c r="AN58" i="21"/>
  <c r="AK59" i="21"/>
  <c r="AI59" i="21" l="1"/>
  <c r="AG59" i="21"/>
  <c r="AD60" i="21"/>
  <c r="BL59" i="22"/>
  <c r="BJ60" i="22"/>
  <c r="CB59" i="19"/>
  <c r="BZ60" i="19"/>
  <c r="AN59" i="21"/>
  <c r="AM59" i="21"/>
  <c r="AK60" i="21"/>
  <c r="BT59" i="22"/>
  <c r="BR60" i="22"/>
  <c r="BT59" i="21"/>
  <c r="BR60" i="21"/>
  <c r="CF58" i="22"/>
  <c r="CD59" i="22"/>
  <c r="AV59" i="19"/>
  <c r="AT60" i="19"/>
  <c r="BX58" i="8"/>
  <c r="BV59" i="8"/>
  <c r="AV59" i="22"/>
  <c r="AT60" i="22"/>
  <c r="BP59" i="21"/>
  <c r="BN60" i="21"/>
  <c r="CI58" i="22"/>
  <c r="CJ58" i="22" s="1"/>
  <c r="Z58" i="22"/>
  <c r="AB58" i="22"/>
  <c r="W59" i="22"/>
  <c r="BH59" i="21"/>
  <c r="BF60" i="21"/>
  <c r="BP58" i="8"/>
  <c r="BN59" i="8"/>
  <c r="BT59" i="19"/>
  <c r="BR60" i="19"/>
  <c r="CB59" i="22"/>
  <c r="BZ60" i="22"/>
  <c r="BX59" i="19"/>
  <c r="BV60" i="19"/>
  <c r="BT58" i="8"/>
  <c r="BR59" i="8"/>
  <c r="AR58" i="8"/>
  <c r="AP59" i="8"/>
  <c r="BD59" i="19"/>
  <c r="BB60" i="19"/>
  <c r="AI58" i="22"/>
  <c r="AG58" i="22"/>
  <c r="AD59" i="22"/>
  <c r="CB58" i="8"/>
  <c r="BZ59" i="8"/>
  <c r="AR59" i="21"/>
  <c r="AP60" i="21"/>
  <c r="BX58" i="22"/>
  <c r="BV59" i="22"/>
  <c r="AD59" i="8"/>
  <c r="AI58" i="8"/>
  <c r="AG58" i="8"/>
  <c r="AM58" i="8"/>
  <c r="AN58" i="8"/>
  <c r="AK59" i="8"/>
  <c r="BD59" i="21"/>
  <c r="BB60" i="21"/>
  <c r="BL59" i="21"/>
  <c r="BJ60" i="21"/>
  <c r="BP59" i="22"/>
  <c r="BN60" i="22"/>
  <c r="BD58" i="8"/>
  <c r="BB59" i="8"/>
  <c r="AV59" i="21"/>
  <c r="AT60" i="21"/>
  <c r="CF58" i="8"/>
  <c r="CD59" i="8"/>
  <c r="BD59" i="22"/>
  <c r="BB60" i="22"/>
  <c r="BH59" i="19"/>
  <c r="BF60" i="19"/>
  <c r="CF59" i="21"/>
  <c r="CD60" i="21"/>
  <c r="AZ59" i="21"/>
  <c r="AX60" i="21"/>
  <c r="AR59" i="19"/>
  <c r="AP60" i="19"/>
  <c r="BL58" i="8"/>
  <c r="BJ59" i="8"/>
  <c r="BH58" i="22"/>
  <c r="BF59" i="22"/>
  <c r="AZ58" i="8"/>
  <c r="AX59" i="8"/>
  <c r="BP59" i="19"/>
  <c r="BN60" i="19"/>
  <c r="CI58" i="8"/>
  <c r="CJ58" i="8" s="1"/>
  <c r="Z58" i="8"/>
  <c r="AB58" i="8"/>
  <c r="W59" i="8"/>
  <c r="AG59" i="19"/>
  <c r="AI59" i="19"/>
  <c r="AD60" i="19"/>
  <c r="AZ59" i="19"/>
  <c r="AX60" i="19"/>
  <c r="BL59" i="19"/>
  <c r="BJ60" i="19"/>
  <c r="AZ58" i="22"/>
  <c r="AX59" i="22"/>
  <c r="Z59" i="21"/>
  <c r="W60" i="21"/>
  <c r="AB59" i="21"/>
  <c r="BX59" i="21"/>
  <c r="BV60" i="21"/>
  <c r="CB59" i="21"/>
  <c r="BZ60" i="21"/>
  <c r="AN59" i="19"/>
  <c r="AM59" i="19"/>
  <c r="AK60" i="19"/>
  <c r="CF59" i="19"/>
  <c r="CD60" i="19"/>
  <c r="AV58" i="8"/>
  <c r="AT59" i="8"/>
  <c r="Z59" i="19"/>
  <c r="W60" i="19"/>
  <c r="AB59" i="19"/>
  <c r="AN59" i="22"/>
  <c r="AM59" i="22"/>
  <c r="AK60" i="22"/>
  <c r="AR59" i="22"/>
  <c r="AP60" i="22"/>
  <c r="BH58" i="8"/>
  <c r="BF59" i="8"/>
  <c r="Z60" i="19" l="1"/>
  <c r="AB60" i="19"/>
  <c r="W61" i="19"/>
  <c r="BL60" i="19"/>
  <c r="BJ61" i="19"/>
  <c r="AI60" i="19"/>
  <c r="AG60" i="19"/>
  <c r="AD61" i="19"/>
  <c r="Z59" i="8"/>
  <c r="CI59" i="8"/>
  <c r="CJ59" i="8" s="1"/>
  <c r="AB59" i="8"/>
  <c r="W60" i="8"/>
  <c r="BD59" i="8"/>
  <c r="BB60" i="8"/>
  <c r="AR60" i="21"/>
  <c r="AP61" i="21"/>
  <c r="AR59" i="8"/>
  <c r="AP60" i="8"/>
  <c r="BP60" i="21"/>
  <c r="BN61" i="21"/>
  <c r="BL60" i="22"/>
  <c r="BJ61" i="22"/>
  <c r="BD60" i="21"/>
  <c r="BB61" i="21"/>
  <c r="BT59" i="8"/>
  <c r="BR60" i="8"/>
  <c r="AN60" i="22"/>
  <c r="AM60" i="22"/>
  <c r="AK61" i="22"/>
  <c r="Z60" i="21"/>
  <c r="W61" i="21"/>
  <c r="AB60" i="21"/>
  <c r="AZ59" i="8"/>
  <c r="AX60" i="8"/>
  <c r="BH59" i="22"/>
  <c r="BF60" i="22"/>
  <c r="BD60" i="22"/>
  <c r="BB61" i="22"/>
  <c r="AI59" i="8"/>
  <c r="AG59" i="8"/>
  <c r="AD60" i="8"/>
  <c r="BH60" i="21"/>
  <c r="BF61" i="21"/>
  <c r="CF59" i="22"/>
  <c r="CD60" i="22"/>
  <c r="BT60" i="21"/>
  <c r="BR61" i="21"/>
  <c r="AG60" i="21"/>
  <c r="AI60" i="21"/>
  <c r="AD61" i="21"/>
  <c r="AG59" i="22"/>
  <c r="AI59" i="22"/>
  <c r="AD60" i="22"/>
  <c r="BL59" i="8"/>
  <c r="BJ60" i="8"/>
  <c r="AM60" i="21"/>
  <c r="AN60" i="21"/>
  <c r="AK61" i="21"/>
  <c r="AZ60" i="19"/>
  <c r="AX61" i="19"/>
  <c r="AZ60" i="21"/>
  <c r="AX61" i="21"/>
  <c r="BP59" i="8"/>
  <c r="BN60" i="8"/>
  <c r="CI59" i="22"/>
  <c r="CJ59" i="22" s="1"/>
  <c r="Z59" i="22"/>
  <c r="AB59" i="22"/>
  <c r="W60" i="22"/>
  <c r="AV60" i="22"/>
  <c r="AT61" i="22"/>
  <c r="BH59" i="8"/>
  <c r="BF60" i="8"/>
  <c r="AR60" i="19"/>
  <c r="AP61" i="19"/>
  <c r="BP60" i="22"/>
  <c r="BN61" i="22"/>
  <c r="AN59" i="8"/>
  <c r="AM59" i="8"/>
  <c r="AK60" i="8"/>
  <c r="BX60" i="19"/>
  <c r="BV61" i="19"/>
  <c r="BT60" i="19"/>
  <c r="BR61" i="19"/>
  <c r="BT60" i="22"/>
  <c r="BR61" i="22"/>
  <c r="BD60" i="19"/>
  <c r="BB61" i="19"/>
  <c r="BX59" i="8"/>
  <c r="BV60" i="8"/>
  <c r="BX59" i="22"/>
  <c r="BV60" i="22"/>
  <c r="CB60" i="21"/>
  <c r="BZ61" i="21"/>
  <c r="BP60" i="19"/>
  <c r="BN61" i="19"/>
  <c r="CF59" i="8"/>
  <c r="CD60" i="8"/>
  <c r="AV60" i="21"/>
  <c r="AT61" i="21"/>
  <c r="CB60" i="19"/>
  <c r="BZ61" i="19"/>
  <c r="AZ59" i="22"/>
  <c r="AX60" i="22"/>
  <c r="CB59" i="8"/>
  <c r="BZ60" i="8"/>
  <c r="AV59" i="8"/>
  <c r="AT60" i="8"/>
  <c r="BX60" i="21"/>
  <c r="BV61" i="21"/>
  <c r="CF60" i="21"/>
  <c r="CD61" i="21"/>
  <c r="AR60" i="22"/>
  <c r="AP61" i="22"/>
  <c r="CF60" i="19"/>
  <c r="CD61" i="19"/>
  <c r="AN60" i="19"/>
  <c r="AM60" i="19"/>
  <c r="AK61" i="19"/>
  <c r="BH60" i="19"/>
  <c r="BF61" i="19"/>
  <c r="BL60" i="21"/>
  <c r="BJ61" i="21"/>
  <c r="CB60" i="22"/>
  <c r="BZ61" i="22"/>
  <c r="AV60" i="19"/>
  <c r="AT61" i="19"/>
  <c r="AR61" i="22" l="1"/>
  <c r="AP62" i="22"/>
  <c r="BP61" i="22"/>
  <c r="BN62" i="22"/>
  <c r="CI60" i="22"/>
  <c r="CJ60" i="22" s="1"/>
  <c r="Z60" i="22"/>
  <c r="AB60" i="22"/>
  <c r="W61" i="22"/>
  <c r="AN61" i="19"/>
  <c r="AM61" i="19"/>
  <c r="AK62" i="19"/>
  <c r="BP61" i="19"/>
  <c r="BN62" i="19"/>
  <c r="CF60" i="8"/>
  <c r="CD61" i="8"/>
  <c r="CB61" i="21"/>
  <c r="BZ62" i="21"/>
  <c r="AI61" i="21"/>
  <c r="AG61" i="21"/>
  <c r="AD62" i="21"/>
  <c r="CF60" i="22"/>
  <c r="CD61" i="22"/>
  <c r="BP61" i="21"/>
  <c r="BN62" i="21"/>
  <c r="BD61" i="22"/>
  <c r="BB62" i="22"/>
  <c r="BD60" i="8"/>
  <c r="BB61" i="8"/>
  <c r="BJ62" i="19"/>
  <c r="BL61" i="19"/>
  <c r="BL60" i="8"/>
  <c r="BJ61" i="8"/>
  <c r="CI60" i="8"/>
  <c r="CJ60" i="8" s="1"/>
  <c r="Z60" i="8"/>
  <c r="AB60" i="8"/>
  <c r="W61" i="8"/>
  <c r="Z61" i="19"/>
  <c r="AB61" i="19"/>
  <c r="W62" i="19"/>
  <c r="AZ61" i="21"/>
  <c r="AX62" i="21"/>
  <c r="AG60" i="8"/>
  <c r="AI60" i="8"/>
  <c r="AD61" i="8"/>
  <c r="BH60" i="22"/>
  <c r="BF61" i="22"/>
  <c r="Z61" i="21"/>
  <c r="AB61" i="21"/>
  <c r="W62" i="21"/>
  <c r="AR60" i="8"/>
  <c r="AP61" i="8"/>
  <c r="BL61" i="21"/>
  <c r="BJ62" i="21"/>
  <c r="BH61" i="19"/>
  <c r="BF62" i="19"/>
  <c r="BX61" i="21"/>
  <c r="BV62" i="21"/>
  <c r="BX60" i="8"/>
  <c r="BV61" i="8"/>
  <c r="BT61" i="22"/>
  <c r="BR62" i="22"/>
  <c r="BT61" i="19"/>
  <c r="BR62" i="19"/>
  <c r="BH60" i="8"/>
  <c r="BF61" i="8"/>
  <c r="AN61" i="21"/>
  <c r="AM61" i="21"/>
  <c r="AK62" i="21"/>
  <c r="AG60" i="22"/>
  <c r="AI60" i="22"/>
  <c r="AD61" i="22"/>
  <c r="BT60" i="8"/>
  <c r="BR61" i="8"/>
  <c r="BL61" i="22"/>
  <c r="BJ62" i="22"/>
  <c r="CB60" i="8"/>
  <c r="BZ61" i="8"/>
  <c r="AT62" i="21"/>
  <c r="AV61" i="21"/>
  <c r="AR61" i="19"/>
  <c r="AP62" i="19"/>
  <c r="BP60" i="8"/>
  <c r="BN61" i="8"/>
  <c r="AZ60" i="8"/>
  <c r="AX61" i="8"/>
  <c r="AR61" i="21"/>
  <c r="AP62" i="21"/>
  <c r="BD61" i="19"/>
  <c r="BB62" i="19"/>
  <c r="CF61" i="19"/>
  <c r="CD62" i="19"/>
  <c r="AV60" i="8"/>
  <c r="AT61" i="8"/>
  <c r="BX61" i="19"/>
  <c r="BV62" i="19"/>
  <c r="AN60" i="8"/>
  <c r="AM60" i="8"/>
  <c r="AK61" i="8"/>
  <c r="BT61" i="21"/>
  <c r="BR62" i="21"/>
  <c r="AN61" i="22"/>
  <c r="AM61" i="22"/>
  <c r="AK62" i="22"/>
  <c r="BD61" i="21"/>
  <c r="BB62" i="21"/>
  <c r="AD62" i="19"/>
  <c r="AI61" i="19"/>
  <c r="AG61" i="19"/>
  <c r="CB61" i="22"/>
  <c r="BZ62" i="22"/>
  <c r="BX60" i="22"/>
  <c r="BV61" i="22"/>
  <c r="CB61" i="19"/>
  <c r="BZ62" i="19"/>
  <c r="AV61" i="19"/>
  <c r="AT62" i="19"/>
  <c r="CF61" i="21"/>
  <c r="CD62" i="21"/>
  <c r="AZ60" i="22"/>
  <c r="AX61" i="22"/>
  <c r="AV61" i="22"/>
  <c r="AT62" i="22"/>
  <c r="AZ61" i="19"/>
  <c r="AX62" i="19"/>
  <c r="BH61" i="21"/>
  <c r="BF62" i="21"/>
  <c r="AM61" i="8" l="1"/>
  <c r="AN61" i="8"/>
  <c r="AK62" i="8"/>
  <c r="AV62" i="19"/>
  <c r="AT63" i="19"/>
  <c r="BD62" i="21"/>
  <c r="BB63" i="21"/>
  <c r="AR62" i="21"/>
  <c r="AP63" i="21"/>
  <c r="Z62" i="19"/>
  <c r="I8" i="19" s="1"/>
  <c r="AB62" i="19"/>
  <c r="W63" i="19"/>
  <c r="CF61" i="8"/>
  <c r="CD62" i="8"/>
  <c r="BP62" i="19"/>
  <c r="BN63" i="19"/>
  <c r="CI61" i="22"/>
  <c r="CJ61" i="22" s="1"/>
  <c r="Z61" i="22"/>
  <c r="W62" i="22"/>
  <c r="AB61" i="22"/>
  <c r="BH62" i="21"/>
  <c r="BF63" i="21"/>
  <c r="BX62" i="19"/>
  <c r="BV63" i="19"/>
  <c r="AV62" i="22"/>
  <c r="AT63" i="22"/>
  <c r="BT62" i="21"/>
  <c r="BR63" i="21"/>
  <c r="BH61" i="8"/>
  <c r="BF62" i="8"/>
  <c r="BH61" i="22"/>
  <c r="BF62" i="22"/>
  <c r="CF61" i="22"/>
  <c r="CD62" i="22"/>
  <c r="AZ61" i="22"/>
  <c r="AX62" i="22"/>
  <c r="AZ61" i="8"/>
  <c r="AX62" i="8"/>
  <c r="BL62" i="19"/>
  <c r="BJ63" i="19"/>
  <c r="AZ62" i="19"/>
  <c r="AX63" i="19"/>
  <c r="BD62" i="19"/>
  <c r="BB63" i="19"/>
  <c r="BP61" i="8"/>
  <c r="BN62" i="8"/>
  <c r="AI61" i="22"/>
  <c r="AG61" i="22"/>
  <c r="AD62" i="22"/>
  <c r="BX61" i="8"/>
  <c r="BV62" i="8"/>
  <c r="BH62" i="19"/>
  <c r="BF63" i="19"/>
  <c r="AR61" i="8"/>
  <c r="AP62" i="8"/>
  <c r="AG61" i="8"/>
  <c r="AI61" i="8"/>
  <c r="AD62" i="8"/>
  <c r="AZ62" i="21"/>
  <c r="AX63" i="21"/>
  <c r="BL61" i="8"/>
  <c r="BJ62" i="8"/>
  <c r="BD61" i="8"/>
  <c r="BB62" i="8"/>
  <c r="BP62" i="21"/>
  <c r="BN63" i="21"/>
  <c r="AG62" i="21"/>
  <c r="AI62" i="21"/>
  <c r="AD63" i="21"/>
  <c r="AM62" i="22"/>
  <c r="AN62" i="22"/>
  <c r="AK63" i="22"/>
  <c r="CF62" i="19"/>
  <c r="CD63" i="19"/>
  <c r="AV62" i="21"/>
  <c r="AT63" i="21"/>
  <c r="CB62" i="19"/>
  <c r="BZ63" i="19"/>
  <c r="AG62" i="19"/>
  <c r="I10" i="19" s="1"/>
  <c r="AI62" i="19"/>
  <c r="AD63" i="19"/>
  <c r="BT62" i="19"/>
  <c r="BR63" i="19"/>
  <c r="BP62" i="22"/>
  <c r="BN63" i="22"/>
  <c r="CF62" i="21"/>
  <c r="CD63" i="21"/>
  <c r="CB61" i="8"/>
  <c r="BZ62" i="8"/>
  <c r="BL62" i="22"/>
  <c r="BJ63" i="22"/>
  <c r="Z61" i="8"/>
  <c r="CI61" i="8"/>
  <c r="CJ61" i="8" s="1"/>
  <c r="AB61" i="8"/>
  <c r="W62" i="8"/>
  <c r="AM62" i="19"/>
  <c r="AN62" i="19"/>
  <c r="AK63" i="19"/>
  <c r="AV61" i="8"/>
  <c r="AT62" i="8"/>
  <c r="AM62" i="21"/>
  <c r="AN62" i="21"/>
  <c r="AK63" i="21"/>
  <c r="BT62" i="22"/>
  <c r="BR63" i="22"/>
  <c r="BX62" i="21"/>
  <c r="BV63" i="21"/>
  <c r="Z62" i="21"/>
  <c r="AB62" i="21"/>
  <c r="W63" i="21"/>
  <c r="CB62" i="21"/>
  <c r="BZ63" i="21"/>
  <c r="AR62" i="22"/>
  <c r="AP63" i="22"/>
  <c r="BX61" i="22"/>
  <c r="BV62" i="22"/>
  <c r="AR62" i="19"/>
  <c r="AP63" i="19"/>
  <c r="CB62" i="22"/>
  <c r="BZ63" i="22"/>
  <c r="BT61" i="8"/>
  <c r="BR62" i="8"/>
  <c r="BL62" i="21"/>
  <c r="BJ63" i="21"/>
  <c r="BD62" i="22"/>
  <c r="BB63" i="22"/>
  <c r="BT63" i="22" l="1"/>
  <c r="BR64" i="22"/>
  <c r="AV62" i="8"/>
  <c r="AT63" i="8"/>
  <c r="BL63" i="22"/>
  <c r="BJ64" i="22"/>
  <c r="BP63" i="21"/>
  <c r="BN64" i="21"/>
  <c r="AI62" i="8"/>
  <c r="AG62" i="8"/>
  <c r="I10" i="8" s="1"/>
  <c r="AD63" i="8"/>
  <c r="BX62" i="8"/>
  <c r="BV63" i="8"/>
  <c r="BX63" i="19"/>
  <c r="BV64" i="19"/>
  <c r="Z63" i="19"/>
  <c r="AB63" i="19"/>
  <c r="W64" i="19"/>
  <c r="AV63" i="19"/>
  <c r="AT64" i="19"/>
  <c r="BX62" i="22"/>
  <c r="BV63" i="22"/>
  <c r="CB63" i="19"/>
  <c r="BZ64" i="19"/>
  <c r="AZ62" i="22"/>
  <c r="AX63" i="22"/>
  <c r="CF62" i="22"/>
  <c r="CD63" i="22"/>
  <c r="BH62" i="8"/>
  <c r="BF63" i="8"/>
  <c r="BP63" i="19"/>
  <c r="BN64" i="19"/>
  <c r="AM63" i="19"/>
  <c r="AN63" i="19"/>
  <c r="AK64" i="19"/>
  <c r="CB62" i="8"/>
  <c r="BZ63" i="8"/>
  <c r="BD62" i="8"/>
  <c r="BB63" i="8"/>
  <c r="AI62" i="22"/>
  <c r="AG62" i="22"/>
  <c r="AD63" i="22"/>
  <c r="BH63" i="21"/>
  <c r="BF64" i="21"/>
  <c r="AN62" i="8"/>
  <c r="AM62" i="8"/>
  <c r="AK63" i="8"/>
  <c r="AV63" i="21"/>
  <c r="AT64" i="21"/>
  <c r="BD63" i="19"/>
  <c r="BB64" i="19"/>
  <c r="CD63" i="8"/>
  <c r="CF62" i="8"/>
  <c r="AR63" i="21"/>
  <c r="AP64" i="21"/>
  <c r="AN63" i="21"/>
  <c r="AM63" i="21"/>
  <c r="AK64" i="21"/>
  <c r="BD63" i="22"/>
  <c r="BB64" i="22"/>
  <c r="AR63" i="22"/>
  <c r="AP64" i="22"/>
  <c r="CF63" i="21"/>
  <c r="CD64" i="21"/>
  <c r="BT63" i="19"/>
  <c r="BR64" i="19"/>
  <c r="CF63" i="19"/>
  <c r="CD64" i="19"/>
  <c r="BL62" i="8"/>
  <c r="BJ63" i="8"/>
  <c r="BL63" i="19"/>
  <c r="BJ64" i="19"/>
  <c r="AZ62" i="8"/>
  <c r="AX63" i="8"/>
  <c r="AR62" i="8"/>
  <c r="AP63" i="8"/>
  <c r="BT62" i="8"/>
  <c r="BR63" i="8"/>
  <c r="CB63" i="22"/>
  <c r="BZ64" i="22"/>
  <c r="AI63" i="19"/>
  <c r="AG63" i="19"/>
  <c r="AD64" i="19"/>
  <c r="AI63" i="21"/>
  <c r="AG63" i="21"/>
  <c r="AD64" i="21"/>
  <c r="BH63" i="19"/>
  <c r="BF64" i="19"/>
  <c r="AZ63" i="19"/>
  <c r="AX64" i="19"/>
  <c r="BH62" i="22"/>
  <c r="BF63" i="22"/>
  <c r="BT63" i="21"/>
  <c r="BR64" i="21"/>
  <c r="BD63" i="21"/>
  <c r="BB64" i="21"/>
  <c r="BX63" i="21"/>
  <c r="BV64" i="21"/>
  <c r="AM63" i="22"/>
  <c r="AN63" i="22"/>
  <c r="AK64" i="22"/>
  <c r="AZ63" i="21"/>
  <c r="AX64" i="21"/>
  <c r="BP62" i="8"/>
  <c r="BN63" i="8"/>
  <c r="AV63" i="22"/>
  <c r="AT64" i="22"/>
  <c r="CI62" i="22"/>
  <c r="CJ62" i="22" s="1"/>
  <c r="Z62" i="22"/>
  <c r="AB62" i="22"/>
  <c r="W63" i="22"/>
  <c r="AR63" i="19"/>
  <c r="AP64" i="19"/>
  <c r="Z63" i="21"/>
  <c r="AB63" i="21"/>
  <c r="W64" i="21"/>
  <c r="CB63" i="21"/>
  <c r="BZ64" i="21"/>
  <c r="BL63" i="21"/>
  <c r="BJ64" i="21"/>
  <c r="CI62" i="8"/>
  <c r="CJ62" i="8" s="1"/>
  <c r="Z62" i="8"/>
  <c r="I8" i="8" s="1"/>
  <c r="AB62" i="8"/>
  <c r="W63" i="8"/>
  <c r="BP63" i="22"/>
  <c r="BN64" i="22"/>
  <c r="BH64" i="19" l="1"/>
  <c r="BF65" i="19"/>
  <c r="CI63" i="8"/>
  <c r="CJ63" i="8" s="1"/>
  <c r="Z63" i="8"/>
  <c r="AB63" i="8"/>
  <c r="W64" i="8"/>
  <c r="CB64" i="21"/>
  <c r="BZ65" i="21"/>
  <c r="BT64" i="21"/>
  <c r="BR65" i="21"/>
  <c r="BL64" i="19"/>
  <c r="BJ65" i="19"/>
  <c r="CF64" i="21"/>
  <c r="CD65" i="21"/>
  <c r="CB64" i="19"/>
  <c r="BZ65" i="19"/>
  <c r="AN64" i="22"/>
  <c r="AM64" i="22"/>
  <c r="AK65" i="22"/>
  <c r="Z64" i="21"/>
  <c r="AB64" i="21"/>
  <c r="W65" i="21"/>
  <c r="BD64" i="21"/>
  <c r="BB65" i="21"/>
  <c r="CF64" i="19"/>
  <c r="CD65" i="19"/>
  <c r="AN64" i="21"/>
  <c r="AM64" i="21"/>
  <c r="AK65" i="21"/>
  <c r="AG63" i="22"/>
  <c r="AI63" i="22"/>
  <c r="AD64" i="22"/>
  <c r="AN64" i="19"/>
  <c r="AM64" i="19"/>
  <c r="AK65" i="19"/>
  <c r="AI63" i="8"/>
  <c r="AG63" i="8"/>
  <c r="AD64" i="8"/>
  <c r="BT64" i="22"/>
  <c r="BR65" i="22"/>
  <c r="CI63" i="22"/>
  <c r="CJ63" i="22" s="1"/>
  <c r="Z63" i="22"/>
  <c r="AB63" i="22"/>
  <c r="W64" i="22"/>
  <c r="BH63" i="22"/>
  <c r="BF64" i="22"/>
  <c r="AI64" i="19"/>
  <c r="AG64" i="19"/>
  <c r="AD65" i="19"/>
  <c r="CB64" i="22"/>
  <c r="BZ65" i="22"/>
  <c r="CF63" i="8"/>
  <c r="CD64" i="8"/>
  <c r="AV64" i="21"/>
  <c r="AT65" i="21"/>
  <c r="BD63" i="8"/>
  <c r="BB64" i="8"/>
  <c r="BH63" i="8"/>
  <c r="BF64" i="8"/>
  <c r="BX64" i="19"/>
  <c r="BV65" i="19"/>
  <c r="BL64" i="21"/>
  <c r="BJ65" i="21"/>
  <c r="AR64" i="19"/>
  <c r="AP65" i="19"/>
  <c r="BD64" i="22"/>
  <c r="BB65" i="22"/>
  <c r="AV64" i="19"/>
  <c r="AT65" i="19"/>
  <c r="BP64" i="22"/>
  <c r="BN65" i="22"/>
  <c r="BX64" i="21"/>
  <c r="BV65" i="21"/>
  <c r="AZ64" i="19"/>
  <c r="AX65" i="19"/>
  <c r="AI64" i="21"/>
  <c r="AG64" i="21"/>
  <c r="AD65" i="21"/>
  <c r="AR63" i="8"/>
  <c r="AP64" i="8"/>
  <c r="CF63" i="22"/>
  <c r="CD64" i="22"/>
  <c r="BP64" i="21"/>
  <c r="BN65" i="21"/>
  <c r="BL64" i="22"/>
  <c r="BJ65" i="22"/>
  <c r="BT64" i="19"/>
  <c r="BR65" i="19"/>
  <c r="AZ64" i="21"/>
  <c r="AX65" i="21"/>
  <c r="BT63" i="8"/>
  <c r="BR64" i="8"/>
  <c r="AZ63" i="8"/>
  <c r="AX64" i="8"/>
  <c r="AR64" i="22"/>
  <c r="AP65" i="22"/>
  <c r="BD64" i="19"/>
  <c r="BB65" i="19"/>
  <c r="CB63" i="8"/>
  <c r="BZ64" i="8"/>
  <c r="AN63" i="8"/>
  <c r="AM63" i="8"/>
  <c r="AK64" i="8"/>
  <c r="BP64" i="19"/>
  <c r="BN65" i="19"/>
  <c r="AZ63" i="22"/>
  <c r="AX64" i="22"/>
  <c r="AT65" i="22"/>
  <c r="AV64" i="22"/>
  <c r="BP63" i="8"/>
  <c r="BN64" i="8"/>
  <c r="BL63" i="8"/>
  <c r="BJ64" i="8"/>
  <c r="AR64" i="21"/>
  <c r="AP65" i="21"/>
  <c r="BH64" i="21"/>
  <c r="BF65" i="21"/>
  <c r="BX63" i="22"/>
  <c r="BV64" i="22"/>
  <c r="Z64" i="19"/>
  <c r="AB64" i="19"/>
  <c r="W65" i="19"/>
  <c r="BX63" i="8"/>
  <c r="BV64" i="8"/>
  <c r="AV63" i="8"/>
  <c r="AT64" i="8"/>
  <c r="Z65" i="21" l="1"/>
  <c r="AB65" i="21"/>
  <c r="W66" i="21"/>
  <c r="AV64" i="8"/>
  <c r="AT65" i="8"/>
  <c r="BX64" i="22"/>
  <c r="BV65" i="22"/>
  <c r="AZ64" i="22"/>
  <c r="AX65" i="22"/>
  <c r="AZ64" i="8"/>
  <c r="AX65" i="8"/>
  <c r="AZ65" i="21"/>
  <c r="AX66" i="21"/>
  <c r="CF64" i="8"/>
  <c r="CD65" i="8"/>
  <c r="AI64" i="22"/>
  <c r="AG64" i="22"/>
  <c r="AD65" i="22"/>
  <c r="BT65" i="19"/>
  <c r="BR66" i="19"/>
  <c r="BH65" i="21"/>
  <c r="BF66" i="21"/>
  <c r="AN64" i="8"/>
  <c r="AM64" i="8"/>
  <c r="AK65" i="8"/>
  <c r="BD65" i="19"/>
  <c r="BB66" i="19"/>
  <c r="BL65" i="22"/>
  <c r="BJ66" i="22"/>
  <c r="AG65" i="21"/>
  <c r="AI65" i="21"/>
  <c r="AD66" i="21"/>
  <c r="BP65" i="22"/>
  <c r="BN66" i="22"/>
  <c r="AR65" i="19"/>
  <c r="AP66" i="19"/>
  <c r="CB65" i="22"/>
  <c r="BZ66" i="22"/>
  <c r="CF65" i="21"/>
  <c r="CD66" i="21"/>
  <c r="CF65" i="19"/>
  <c r="CD66" i="19"/>
  <c r="BD65" i="22"/>
  <c r="BB66" i="22"/>
  <c r="CB65" i="21"/>
  <c r="BZ66" i="21"/>
  <c r="BH64" i="8"/>
  <c r="BF65" i="8"/>
  <c r="AP66" i="21"/>
  <c r="AR65" i="21"/>
  <c r="BL65" i="21"/>
  <c r="BJ66" i="21"/>
  <c r="BD64" i="8"/>
  <c r="BB65" i="8"/>
  <c r="AG65" i="19"/>
  <c r="AI65" i="19"/>
  <c r="AD66" i="19"/>
  <c r="BT65" i="22"/>
  <c r="BR66" i="22"/>
  <c r="AN65" i="22"/>
  <c r="AM65" i="22"/>
  <c r="AK66" i="22"/>
  <c r="BT65" i="21"/>
  <c r="BR66" i="21"/>
  <c r="BH65" i="19"/>
  <c r="BF66" i="19"/>
  <c r="CF64" i="22"/>
  <c r="CD65" i="22"/>
  <c r="AR65" i="22"/>
  <c r="AP66" i="22"/>
  <c r="BT64" i="8"/>
  <c r="BR65" i="8"/>
  <c r="AZ65" i="19"/>
  <c r="AX66" i="19"/>
  <c r="AV65" i="19"/>
  <c r="AT66" i="19"/>
  <c r="BX65" i="19"/>
  <c r="BV66" i="19"/>
  <c r="CI64" i="8"/>
  <c r="CJ64" i="8" s="1"/>
  <c r="Z64" i="8"/>
  <c r="AB64" i="8"/>
  <c r="W65" i="8"/>
  <c r="BP65" i="19"/>
  <c r="BN66" i="19"/>
  <c r="BL64" i="8"/>
  <c r="BJ65" i="8"/>
  <c r="BP65" i="21"/>
  <c r="BN66" i="21"/>
  <c r="Z65" i="19"/>
  <c r="AB65" i="19"/>
  <c r="W66" i="19"/>
  <c r="AR64" i="8"/>
  <c r="AP65" i="8"/>
  <c r="CI64" i="22"/>
  <c r="CJ64" i="22" s="1"/>
  <c r="Z64" i="22"/>
  <c r="AB64" i="22"/>
  <c r="W65" i="22"/>
  <c r="AG64" i="8"/>
  <c r="AI64" i="8"/>
  <c r="AD65" i="8"/>
  <c r="AN65" i="19"/>
  <c r="AM65" i="19"/>
  <c r="AK66" i="19"/>
  <c r="AN65" i="21"/>
  <c r="AM65" i="21"/>
  <c r="AK66" i="21"/>
  <c r="BD65" i="21"/>
  <c r="BB66" i="21"/>
  <c r="CB65" i="19"/>
  <c r="BZ66" i="19"/>
  <c r="CB64" i="8"/>
  <c r="BZ65" i="8"/>
  <c r="BX65" i="21"/>
  <c r="BV66" i="21"/>
  <c r="BX64" i="8"/>
  <c r="BV65" i="8"/>
  <c r="AV65" i="22"/>
  <c r="AT66" i="22"/>
  <c r="BP64" i="8"/>
  <c r="BN65" i="8"/>
  <c r="AV65" i="21"/>
  <c r="AT66" i="21"/>
  <c r="BH64" i="22"/>
  <c r="BF65" i="22"/>
  <c r="BL65" i="19"/>
  <c r="BJ66" i="19"/>
  <c r="AR66" i="22" l="1"/>
  <c r="AP67" i="22"/>
  <c r="CB65" i="8"/>
  <c r="BZ66" i="8"/>
  <c r="CI65" i="22"/>
  <c r="CJ65" i="22" s="1"/>
  <c r="Z65" i="22"/>
  <c r="W66" i="22"/>
  <c r="AB65" i="22"/>
  <c r="BL66" i="21"/>
  <c r="BJ67" i="21"/>
  <c r="BD66" i="22"/>
  <c r="BB67" i="22"/>
  <c r="CF65" i="8"/>
  <c r="CD66" i="8"/>
  <c r="AZ66" i="21"/>
  <c r="AX67" i="21"/>
  <c r="AZ65" i="22"/>
  <c r="AX66" i="22"/>
  <c r="BT65" i="8"/>
  <c r="BR66" i="8"/>
  <c r="BX65" i="8"/>
  <c r="BV66" i="8"/>
  <c r="AR65" i="8"/>
  <c r="AP66" i="8"/>
  <c r="AZ66" i="19"/>
  <c r="AX67" i="19"/>
  <c r="AN65" i="8"/>
  <c r="AM65" i="8"/>
  <c r="AK66" i="8"/>
  <c r="AD67" i="19"/>
  <c r="AI66" i="19"/>
  <c r="AG66" i="19"/>
  <c r="BP65" i="8"/>
  <c r="BN66" i="8"/>
  <c r="BD66" i="21"/>
  <c r="BB67" i="21"/>
  <c r="AV66" i="21"/>
  <c r="AT67" i="21"/>
  <c r="BX66" i="21"/>
  <c r="BV67" i="21"/>
  <c r="AN66" i="19"/>
  <c r="AM66" i="19"/>
  <c r="AK67" i="19"/>
  <c r="BP66" i="21"/>
  <c r="BN67" i="21"/>
  <c r="AK67" i="22"/>
  <c r="AN66" i="22"/>
  <c r="AM66" i="22"/>
  <c r="BL66" i="22"/>
  <c r="BJ67" i="22"/>
  <c r="AZ65" i="8"/>
  <c r="AX66" i="8"/>
  <c r="BX65" i="22"/>
  <c r="BV66" i="22"/>
  <c r="CF66" i="21"/>
  <c r="CD67" i="21"/>
  <c r="CB66" i="22"/>
  <c r="BZ67" i="22"/>
  <c r="AR66" i="19"/>
  <c r="AP67" i="19"/>
  <c r="AG65" i="22"/>
  <c r="AI65" i="22"/>
  <c r="AD66" i="22"/>
  <c r="AV65" i="8"/>
  <c r="AT66" i="8"/>
  <c r="BT66" i="21"/>
  <c r="BR67" i="21"/>
  <c r="CB66" i="21"/>
  <c r="BZ67" i="21"/>
  <c r="BP66" i="22"/>
  <c r="BN67" i="22"/>
  <c r="BT66" i="19"/>
  <c r="BR67" i="19"/>
  <c r="BX66" i="19"/>
  <c r="BV67" i="19"/>
  <c r="BH65" i="8"/>
  <c r="BF66" i="8"/>
  <c r="BH66" i="19"/>
  <c r="BF67" i="19"/>
  <c r="BL65" i="8"/>
  <c r="BJ66" i="8"/>
  <c r="BD65" i="8"/>
  <c r="BB66" i="8"/>
  <c r="CF66" i="19"/>
  <c r="CD67" i="19"/>
  <c r="Z66" i="21"/>
  <c r="AB66" i="21"/>
  <c r="W67" i="21"/>
  <c r="BP66" i="19"/>
  <c r="BN67" i="19"/>
  <c r="BH65" i="22"/>
  <c r="BF66" i="22"/>
  <c r="BL66" i="19"/>
  <c r="BJ67" i="19"/>
  <c r="AG65" i="8"/>
  <c r="AI65" i="8"/>
  <c r="AD66" i="8"/>
  <c r="Z65" i="8"/>
  <c r="CI65" i="8"/>
  <c r="CJ65" i="8" s="1"/>
  <c r="AB65" i="8"/>
  <c r="W66" i="8"/>
  <c r="AV66" i="22"/>
  <c r="AT67" i="22"/>
  <c r="CB66" i="19"/>
  <c r="BZ67" i="19"/>
  <c r="AN66" i="21"/>
  <c r="AM66" i="21"/>
  <c r="AK67" i="21"/>
  <c r="Z66" i="19"/>
  <c r="AB66" i="19"/>
  <c r="W67" i="19"/>
  <c r="AT67" i="19"/>
  <c r="AV66" i="19"/>
  <c r="CF65" i="22"/>
  <c r="CD66" i="22"/>
  <c r="BT66" i="22"/>
  <c r="BR67" i="22"/>
  <c r="AR66" i="21"/>
  <c r="AP67" i="21"/>
  <c r="AG66" i="21"/>
  <c r="AI66" i="21"/>
  <c r="AD67" i="21"/>
  <c r="BD66" i="19"/>
  <c r="BB67" i="19"/>
  <c r="BH66" i="21"/>
  <c r="BF67" i="21"/>
  <c r="BL67" i="19" l="1"/>
  <c r="BJ68" i="19"/>
  <c r="Z67" i="21"/>
  <c r="AB67" i="21"/>
  <c r="W68" i="21"/>
  <c r="AR66" i="8"/>
  <c r="AP67" i="8"/>
  <c r="AZ66" i="22"/>
  <c r="AX67" i="22"/>
  <c r="CB66" i="8"/>
  <c r="BZ67" i="8"/>
  <c r="Z66" i="8"/>
  <c r="CI66" i="8"/>
  <c r="CJ66" i="8" s="1"/>
  <c r="AB66" i="8"/>
  <c r="W67" i="8"/>
  <c r="AR67" i="19"/>
  <c r="AP68" i="19"/>
  <c r="BD67" i="21"/>
  <c r="BB68" i="21"/>
  <c r="BT66" i="8"/>
  <c r="BR67" i="8"/>
  <c r="AI67" i="21"/>
  <c r="AD68" i="21"/>
  <c r="AG67" i="21"/>
  <c r="Z67" i="19"/>
  <c r="AB67" i="19"/>
  <c r="W68" i="19"/>
  <c r="AV67" i="21"/>
  <c r="AT68" i="21"/>
  <c r="AV67" i="19"/>
  <c r="AT68" i="19"/>
  <c r="CB67" i="19"/>
  <c r="BZ68" i="19"/>
  <c r="BX67" i="19"/>
  <c r="BV68" i="19"/>
  <c r="AM67" i="22"/>
  <c r="AN67" i="22"/>
  <c r="AK68" i="22"/>
  <c r="AZ67" i="21"/>
  <c r="AX68" i="21"/>
  <c r="AR67" i="22"/>
  <c r="AP68" i="22"/>
  <c r="AR67" i="21"/>
  <c r="AP68" i="21"/>
  <c r="BL66" i="8"/>
  <c r="BJ67" i="8"/>
  <c r="BT67" i="21"/>
  <c r="BR68" i="21"/>
  <c r="AN66" i="8"/>
  <c r="AM66" i="8"/>
  <c r="AK67" i="8"/>
  <c r="BT67" i="19"/>
  <c r="BR68" i="19"/>
  <c r="CB67" i="21"/>
  <c r="BZ68" i="21"/>
  <c r="AD67" i="22"/>
  <c r="AI66" i="22"/>
  <c r="AG66" i="22"/>
  <c r="CB67" i="22"/>
  <c r="BZ68" i="22"/>
  <c r="BX66" i="22"/>
  <c r="BV67" i="22"/>
  <c r="BL67" i="22"/>
  <c r="BJ68" i="22"/>
  <c r="BP66" i="8"/>
  <c r="BN67" i="8"/>
  <c r="AZ67" i="19"/>
  <c r="AX68" i="19"/>
  <c r="BD67" i="22"/>
  <c r="BB68" i="22"/>
  <c r="BH66" i="8"/>
  <c r="BF67" i="8"/>
  <c r="BH67" i="21"/>
  <c r="BF68" i="21"/>
  <c r="BT67" i="22"/>
  <c r="BR68" i="22"/>
  <c r="AV67" i="22"/>
  <c r="AT68" i="22"/>
  <c r="BH66" i="22"/>
  <c r="BF67" i="22"/>
  <c r="CF66" i="8"/>
  <c r="CD67" i="8"/>
  <c r="CI66" i="22"/>
  <c r="CJ66" i="22" s="1"/>
  <c r="Z66" i="22"/>
  <c r="AB66" i="22"/>
  <c r="W67" i="22"/>
  <c r="BL67" i="21"/>
  <c r="BJ68" i="21"/>
  <c r="CF67" i="21"/>
  <c r="CD68" i="21"/>
  <c r="AZ66" i="8"/>
  <c r="AX67" i="8"/>
  <c r="BD67" i="19"/>
  <c r="BB68" i="19"/>
  <c r="CF66" i="22"/>
  <c r="CD67" i="22"/>
  <c r="BP67" i="19"/>
  <c r="BN68" i="19"/>
  <c r="CF67" i="19"/>
  <c r="CD68" i="19"/>
  <c r="BH67" i="19"/>
  <c r="BF68" i="19"/>
  <c r="BP67" i="22"/>
  <c r="BN68" i="22"/>
  <c r="BX67" i="21"/>
  <c r="BV68" i="21"/>
  <c r="BX66" i="8"/>
  <c r="BV67" i="8"/>
  <c r="AG66" i="8"/>
  <c r="AI66" i="8"/>
  <c r="AD67" i="8"/>
  <c r="BD66" i="8"/>
  <c r="BB67" i="8"/>
  <c r="AM67" i="21"/>
  <c r="AN67" i="21"/>
  <c r="AK68" i="21"/>
  <c r="AV66" i="8"/>
  <c r="AT67" i="8"/>
  <c r="BP67" i="21"/>
  <c r="BN68" i="21"/>
  <c r="AM67" i="19"/>
  <c r="AN67" i="19"/>
  <c r="AK68" i="19"/>
  <c r="AG67" i="19"/>
  <c r="AI67" i="19"/>
  <c r="AD68" i="19"/>
  <c r="BP68" i="22" l="1"/>
  <c r="BN69" i="22"/>
  <c r="BD68" i="19"/>
  <c r="BB69" i="19"/>
  <c r="BL68" i="21"/>
  <c r="BJ69" i="21"/>
  <c r="CI67" i="22"/>
  <c r="CJ67" i="22" s="1"/>
  <c r="Z67" i="22"/>
  <c r="AB67" i="22"/>
  <c r="W68" i="22"/>
  <c r="BH68" i="21"/>
  <c r="BF69" i="21"/>
  <c r="BX68" i="19"/>
  <c r="BV69" i="19"/>
  <c r="BT67" i="8"/>
  <c r="BR68" i="8"/>
  <c r="CB67" i="8"/>
  <c r="BZ68" i="8"/>
  <c r="Z68" i="21"/>
  <c r="AB68" i="21"/>
  <c r="W69" i="21"/>
  <c r="BX68" i="21"/>
  <c r="BV69" i="21"/>
  <c r="CF67" i="22"/>
  <c r="CD68" i="22"/>
  <c r="BL68" i="22"/>
  <c r="BJ69" i="22"/>
  <c r="AM68" i="22"/>
  <c r="AN68" i="22"/>
  <c r="AK69" i="22"/>
  <c r="AI67" i="8"/>
  <c r="AG67" i="8"/>
  <c r="AD68" i="8"/>
  <c r="AV67" i="8"/>
  <c r="AT68" i="8"/>
  <c r="BX67" i="8"/>
  <c r="BV68" i="8"/>
  <c r="CF68" i="19"/>
  <c r="CD69" i="19"/>
  <c r="AZ68" i="19"/>
  <c r="AX69" i="19"/>
  <c r="BX67" i="22"/>
  <c r="BV68" i="22"/>
  <c r="CB68" i="21"/>
  <c r="BZ69" i="21"/>
  <c r="AR68" i="22"/>
  <c r="AP69" i="22"/>
  <c r="CI67" i="8"/>
  <c r="CJ67" i="8" s="1"/>
  <c r="Z67" i="8"/>
  <c r="AB67" i="8"/>
  <c r="W68" i="8"/>
  <c r="AG67" i="22"/>
  <c r="AI67" i="22"/>
  <c r="AD68" i="22"/>
  <c r="AV68" i="19"/>
  <c r="AT69" i="19"/>
  <c r="BP68" i="21"/>
  <c r="BN69" i="21"/>
  <c r="BD67" i="8"/>
  <c r="BB68" i="8"/>
  <c r="Z68" i="19"/>
  <c r="AB68" i="19"/>
  <c r="W69" i="19"/>
  <c r="AZ67" i="8"/>
  <c r="AX68" i="8"/>
  <c r="AV68" i="22"/>
  <c r="AT69" i="22"/>
  <c r="AN68" i="19"/>
  <c r="AM68" i="19"/>
  <c r="AK69" i="19"/>
  <c r="BP68" i="19"/>
  <c r="BN69" i="19"/>
  <c r="BD68" i="22"/>
  <c r="BB69" i="22"/>
  <c r="CB68" i="22"/>
  <c r="BZ69" i="22"/>
  <c r="BT68" i="19"/>
  <c r="BR69" i="19"/>
  <c r="AG68" i="21"/>
  <c r="AI68" i="21"/>
  <c r="AD69" i="21"/>
  <c r="AZ67" i="22"/>
  <c r="AX68" i="22"/>
  <c r="BL68" i="19"/>
  <c r="BJ69" i="19"/>
  <c r="AI68" i="19"/>
  <c r="AG68" i="19"/>
  <c r="AD69" i="19"/>
  <c r="BH68" i="19"/>
  <c r="BF69" i="19"/>
  <c r="CF67" i="8"/>
  <c r="CD68" i="8"/>
  <c r="CF68" i="21"/>
  <c r="CD69" i="21"/>
  <c r="BH67" i="8"/>
  <c r="BF68" i="8"/>
  <c r="BP67" i="8"/>
  <c r="BN68" i="8"/>
  <c r="BL67" i="8"/>
  <c r="BJ68" i="8"/>
  <c r="CB68" i="19"/>
  <c r="BZ69" i="19"/>
  <c r="AM67" i="8"/>
  <c r="AN67" i="8"/>
  <c r="AK68" i="8"/>
  <c r="BT68" i="21"/>
  <c r="BR69" i="21"/>
  <c r="BT68" i="22"/>
  <c r="BR69" i="22"/>
  <c r="AV68" i="21"/>
  <c r="AT69" i="21"/>
  <c r="BD68" i="21"/>
  <c r="BB69" i="21"/>
  <c r="AR68" i="19"/>
  <c r="AP69" i="19"/>
  <c r="AR67" i="8"/>
  <c r="AP68" i="8"/>
  <c r="AN68" i="21"/>
  <c r="AM68" i="21"/>
  <c r="AK69" i="21"/>
  <c r="BH67" i="22"/>
  <c r="BF68" i="22"/>
  <c r="AR68" i="21"/>
  <c r="AP69" i="21"/>
  <c r="AZ68" i="21"/>
  <c r="AX69" i="21"/>
  <c r="Z69" i="19" l="1"/>
  <c r="AB69" i="19"/>
  <c r="W70" i="19"/>
  <c r="BX68" i="22"/>
  <c r="BV69" i="22"/>
  <c r="BX68" i="8"/>
  <c r="BV69" i="8"/>
  <c r="BX69" i="19"/>
  <c r="BV70" i="19"/>
  <c r="BL69" i="21"/>
  <c r="BJ70" i="21"/>
  <c r="BH68" i="22"/>
  <c r="BF69" i="22"/>
  <c r="BD69" i="22"/>
  <c r="BB70" i="22"/>
  <c r="BD68" i="8"/>
  <c r="BB69" i="8"/>
  <c r="AZ69" i="21"/>
  <c r="AX70" i="21"/>
  <c r="BL68" i="8"/>
  <c r="BJ69" i="8"/>
  <c r="CF69" i="21"/>
  <c r="CD70" i="21"/>
  <c r="BP69" i="21"/>
  <c r="BN70" i="21"/>
  <c r="AR69" i="22"/>
  <c r="AP70" i="22"/>
  <c r="BX69" i="21"/>
  <c r="BV70" i="21"/>
  <c r="BH69" i="21"/>
  <c r="BF70" i="21"/>
  <c r="CF68" i="22"/>
  <c r="CD69" i="22"/>
  <c r="AV69" i="21"/>
  <c r="AT70" i="21"/>
  <c r="AN68" i="8"/>
  <c r="AM68" i="8"/>
  <c r="AK69" i="8"/>
  <c r="BH69" i="19"/>
  <c r="BF70" i="19"/>
  <c r="BP69" i="19"/>
  <c r="BN70" i="19"/>
  <c r="AZ68" i="8"/>
  <c r="AX69" i="8"/>
  <c r="AX70" i="19"/>
  <c r="AZ69" i="19"/>
  <c r="AM69" i="22"/>
  <c r="AN69" i="22"/>
  <c r="AK70" i="22"/>
  <c r="BD69" i="19"/>
  <c r="BB70" i="19"/>
  <c r="AG69" i="19"/>
  <c r="AI69" i="19"/>
  <c r="AD70" i="19"/>
  <c r="BT69" i="19"/>
  <c r="BR70" i="19"/>
  <c r="CI68" i="8"/>
  <c r="CJ68" i="8" s="1"/>
  <c r="Z68" i="8"/>
  <c r="AB68" i="8"/>
  <c r="W69" i="8"/>
  <c r="CF69" i="19"/>
  <c r="CD70" i="19"/>
  <c r="AV68" i="8"/>
  <c r="AT69" i="8"/>
  <c r="BT68" i="8"/>
  <c r="BR69" i="8"/>
  <c r="CB68" i="8"/>
  <c r="BZ69" i="8"/>
  <c r="AZ68" i="22"/>
  <c r="AX69" i="22"/>
  <c r="AV69" i="22"/>
  <c r="AT70" i="22"/>
  <c r="AR69" i="19"/>
  <c r="AP70" i="19"/>
  <c r="CB69" i="19"/>
  <c r="BZ70" i="19"/>
  <c r="BH68" i="8"/>
  <c r="BF69" i="8"/>
  <c r="Z69" i="21"/>
  <c r="AB69" i="21"/>
  <c r="W70" i="21"/>
  <c r="CI68" i="22"/>
  <c r="CJ68" i="22" s="1"/>
  <c r="Z68" i="22"/>
  <c r="AB68" i="22"/>
  <c r="W69" i="22"/>
  <c r="BT69" i="21"/>
  <c r="BR70" i="21"/>
  <c r="CD69" i="8"/>
  <c r="CF68" i="8"/>
  <c r="AN69" i="21"/>
  <c r="AM69" i="21"/>
  <c r="AK70" i="21"/>
  <c r="AR69" i="21"/>
  <c r="AP70" i="21"/>
  <c r="AR68" i="8"/>
  <c r="AP69" i="8"/>
  <c r="BD69" i="21"/>
  <c r="BB70" i="21"/>
  <c r="CB69" i="22"/>
  <c r="BZ70" i="22"/>
  <c r="AI68" i="22"/>
  <c r="AG68" i="22"/>
  <c r="AD69" i="22"/>
  <c r="AI68" i="8"/>
  <c r="AG68" i="8"/>
  <c r="AD69" i="8"/>
  <c r="BL69" i="22"/>
  <c r="BJ70" i="22"/>
  <c r="BP69" i="22"/>
  <c r="BN70" i="22"/>
  <c r="BT69" i="22"/>
  <c r="BR70" i="22"/>
  <c r="BP68" i="8"/>
  <c r="BN69" i="8"/>
  <c r="BL69" i="19"/>
  <c r="BJ70" i="19"/>
  <c r="AI69" i="21"/>
  <c r="AG69" i="21"/>
  <c r="AD70" i="21"/>
  <c r="AN69" i="19"/>
  <c r="AM69" i="19"/>
  <c r="AK70" i="19"/>
  <c r="AV69" i="19"/>
  <c r="AT70" i="19"/>
  <c r="CB69" i="21"/>
  <c r="BZ70" i="21"/>
  <c r="AI70" i="21" l="1"/>
  <c r="AG70" i="21"/>
  <c r="AD71" i="21"/>
  <c r="CF70" i="21"/>
  <c r="CD71" i="21"/>
  <c r="AM70" i="21"/>
  <c r="AN70" i="21"/>
  <c r="AK71" i="21"/>
  <c r="CF69" i="8"/>
  <c r="CD70" i="8"/>
  <c r="CB70" i="19"/>
  <c r="BZ71" i="19"/>
  <c r="CB69" i="8"/>
  <c r="BZ70" i="8"/>
  <c r="BT69" i="8"/>
  <c r="BR70" i="8"/>
  <c r="BT70" i="19"/>
  <c r="BR71" i="19"/>
  <c r="BH70" i="21"/>
  <c r="BF71" i="21"/>
  <c r="BD69" i="8"/>
  <c r="BB70" i="8"/>
  <c r="BX70" i="19"/>
  <c r="BV71" i="19"/>
  <c r="BX69" i="22"/>
  <c r="BV70" i="22"/>
  <c r="BD70" i="21"/>
  <c r="BB71" i="21"/>
  <c r="BP70" i="21"/>
  <c r="BN71" i="21"/>
  <c r="AN70" i="19"/>
  <c r="AM70" i="19"/>
  <c r="AK71" i="19"/>
  <c r="AR69" i="8"/>
  <c r="AP70" i="8"/>
  <c r="AR70" i="19"/>
  <c r="AP71" i="19"/>
  <c r="AZ70" i="19"/>
  <c r="AX71" i="19"/>
  <c r="CF69" i="22"/>
  <c r="CD70" i="22"/>
  <c r="BL69" i="8"/>
  <c r="BJ70" i="8"/>
  <c r="BJ71" i="19"/>
  <c r="BL70" i="19"/>
  <c r="AI70" i="19"/>
  <c r="AG70" i="19"/>
  <c r="AD71" i="19"/>
  <c r="BD70" i="22"/>
  <c r="BB71" i="22"/>
  <c r="AN69" i="8"/>
  <c r="AM69" i="8"/>
  <c r="AK70" i="8"/>
  <c r="AV70" i="22"/>
  <c r="AT71" i="22"/>
  <c r="BD70" i="19"/>
  <c r="BB71" i="19"/>
  <c r="BH70" i="19"/>
  <c r="BF71" i="19"/>
  <c r="AV70" i="19"/>
  <c r="AT71" i="19"/>
  <c r="BT70" i="22"/>
  <c r="BR71" i="22"/>
  <c r="CB70" i="21"/>
  <c r="BZ71" i="21"/>
  <c r="BP69" i="8"/>
  <c r="BN70" i="8"/>
  <c r="BL70" i="22"/>
  <c r="BJ71" i="22"/>
  <c r="BT70" i="21"/>
  <c r="BR71" i="21"/>
  <c r="AV69" i="8"/>
  <c r="AT70" i="8"/>
  <c r="CI69" i="8"/>
  <c r="CJ69" i="8" s="1"/>
  <c r="Z69" i="8"/>
  <c r="AB69" i="8"/>
  <c r="W70" i="8"/>
  <c r="AM70" i="22"/>
  <c r="AN70" i="22"/>
  <c r="AK71" i="22"/>
  <c r="AZ69" i="8"/>
  <c r="AX70" i="8"/>
  <c r="AV70" i="21"/>
  <c r="AT71" i="21"/>
  <c r="AR70" i="22"/>
  <c r="AP71" i="22"/>
  <c r="BH69" i="22"/>
  <c r="BF70" i="22"/>
  <c r="CI69" i="22"/>
  <c r="CJ69" i="22" s="1"/>
  <c r="Z69" i="22"/>
  <c r="W70" i="22"/>
  <c r="AB69" i="22"/>
  <c r="CB70" i="22"/>
  <c r="BZ71" i="22"/>
  <c r="AR70" i="21"/>
  <c r="AP71" i="21"/>
  <c r="BX70" i="21"/>
  <c r="BV71" i="21"/>
  <c r="Z70" i="19"/>
  <c r="AB70" i="19"/>
  <c r="W71" i="19"/>
  <c r="BP70" i="22"/>
  <c r="BN71" i="22"/>
  <c r="AG69" i="8"/>
  <c r="AI69" i="8"/>
  <c r="AD70" i="8"/>
  <c r="AI69" i="22"/>
  <c r="AG69" i="22"/>
  <c r="AD70" i="22"/>
  <c r="Z70" i="21"/>
  <c r="AB70" i="21"/>
  <c r="W71" i="21"/>
  <c r="BH69" i="8"/>
  <c r="BF70" i="8"/>
  <c r="AZ69" i="22"/>
  <c r="AX70" i="22"/>
  <c r="CF70" i="19"/>
  <c r="CD71" i="19"/>
  <c r="BP70" i="19"/>
  <c r="BN71" i="19"/>
  <c r="AZ70" i="21"/>
  <c r="AX71" i="21"/>
  <c r="BL70" i="21"/>
  <c r="BJ71" i="21"/>
  <c r="BX69" i="8"/>
  <c r="BV70" i="8"/>
  <c r="AV71" i="21" l="1"/>
  <c r="AT72" i="21"/>
  <c r="BP70" i="8"/>
  <c r="BN71" i="8"/>
  <c r="BT71" i="22"/>
  <c r="BR72" i="22"/>
  <c r="BH70" i="8"/>
  <c r="BF71" i="8"/>
  <c r="Z71" i="19"/>
  <c r="AB71" i="19"/>
  <c r="W72" i="19"/>
  <c r="AN71" i="19"/>
  <c r="AM71" i="19"/>
  <c r="AK72" i="19"/>
  <c r="BP71" i="19"/>
  <c r="BN72" i="19"/>
  <c r="AI70" i="8"/>
  <c r="AG70" i="8"/>
  <c r="AD71" i="8"/>
  <c r="CI70" i="22"/>
  <c r="CJ70" i="22" s="1"/>
  <c r="Z70" i="22"/>
  <c r="W71" i="22"/>
  <c r="AB70" i="22"/>
  <c r="CI70" i="8"/>
  <c r="CJ70" i="8" s="1"/>
  <c r="Z70" i="8"/>
  <c r="AB70" i="8"/>
  <c r="W71" i="8"/>
  <c r="AV71" i="19"/>
  <c r="AT72" i="19"/>
  <c r="AV71" i="22"/>
  <c r="AT72" i="22"/>
  <c r="AZ71" i="19"/>
  <c r="AX72" i="19"/>
  <c r="AR71" i="19"/>
  <c r="AP72" i="19"/>
  <c r="AN71" i="21"/>
  <c r="AM71" i="21"/>
  <c r="AK72" i="21"/>
  <c r="BX70" i="8"/>
  <c r="BV71" i="8"/>
  <c r="BL71" i="21"/>
  <c r="BJ72" i="21"/>
  <c r="CF71" i="19"/>
  <c r="CD72" i="19"/>
  <c r="BH70" i="22"/>
  <c r="BF71" i="22"/>
  <c r="BH71" i="19"/>
  <c r="BF72" i="19"/>
  <c r="CF70" i="22"/>
  <c r="CD71" i="22"/>
  <c r="CB70" i="8"/>
  <c r="BZ71" i="8"/>
  <c r="Z71" i="21"/>
  <c r="AB71" i="21"/>
  <c r="W72" i="21"/>
  <c r="CB71" i="21"/>
  <c r="BZ72" i="21"/>
  <c r="BL71" i="19"/>
  <c r="BJ72" i="19"/>
  <c r="BP71" i="21"/>
  <c r="BN72" i="21"/>
  <c r="AG71" i="21"/>
  <c r="AI71" i="21"/>
  <c r="AD72" i="21"/>
  <c r="AR71" i="21"/>
  <c r="AP72" i="21"/>
  <c r="AI71" i="19"/>
  <c r="AG71" i="19"/>
  <c r="AD72" i="19"/>
  <c r="AZ70" i="8"/>
  <c r="AX71" i="8"/>
  <c r="BD71" i="22"/>
  <c r="BB72" i="22"/>
  <c r="CB71" i="19"/>
  <c r="BZ72" i="19"/>
  <c r="BT71" i="21"/>
  <c r="BR72" i="21"/>
  <c r="BX70" i="22"/>
  <c r="BV71" i="22"/>
  <c r="BP71" i="22"/>
  <c r="BN72" i="22"/>
  <c r="AZ70" i="22"/>
  <c r="AX71" i="22"/>
  <c r="BX71" i="21"/>
  <c r="BV72" i="21"/>
  <c r="AV70" i="8"/>
  <c r="AT71" i="8"/>
  <c r="BD71" i="19"/>
  <c r="BB72" i="19"/>
  <c r="AR70" i="8"/>
  <c r="AP71" i="8"/>
  <c r="BX71" i="19"/>
  <c r="BV72" i="19"/>
  <c r="BH71" i="21"/>
  <c r="BF72" i="21"/>
  <c r="BT71" i="19"/>
  <c r="BR72" i="19"/>
  <c r="CF71" i="21"/>
  <c r="CD72" i="21"/>
  <c r="AZ71" i="21"/>
  <c r="AX72" i="21"/>
  <c r="AI70" i="22"/>
  <c r="AG70" i="22"/>
  <c r="AD71" i="22"/>
  <c r="CB71" i="22"/>
  <c r="BZ72" i="22"/>
  <c r="AR71" i="22"/>
  <c r="AP72" i="22"/>
  <c r="AN71" i="22"/>
  <c r="AM71" i="22"/>
  <c r="AK72" i="22"/>
  <c r="BL71" i="22"/>
  <c r="BJ72" i="22"/>
  <c r="AN70" i="8"/>
  <c r="AM70" i="8"/>
  <c r="AK71" i="8"/>
  <c r="BL70" i="8"/>
  <c r="BJ71" i="8"/>
  <c r="BD71" i="21"/>
  <c r="BB72" i="21"/>
  <c r="BD70" i="8"/>
  <c r="BB71" i="8"/>
  <c r="BT70" i="8"/>
  <c r="BR71" i="8"/>
  <c r="CF70" i="8"/>
  <c r="CD71" i="8"/>
  <c r="AZ72" i="21" l="1"/>
  <c r="AX73" i="21"/>
  <c r="BL71" i="8"/>
  <c r="BJ72" i="8"/>
  <c r="BP72" i="21"/>
  <c r="BN73" i="21"/>
  <c r="CF71" i="22"/>
  <c r="CD72" i="22"/>
  <c r="BP71" i="8"/>
  <c r="BN72" i="8"/>
  <c r="AR72" i="22"/>
  <c r="AP73" i="22"/>
  <c r="AZ72" i="19"/>
  <c r="AX73" i="19"/>
  <c r="BD71" i="8"/>
  <c r="BB72" i="8"/>
  <c r="CF71" i="8"/>
  <c r="CD72" i="8"/>
  <c r="BH72" i="21"/>
  <c r="BF73" i="21"/>
  <c r="AV71" i="8"/>
  <c r="AT72" i="8"/>
  <c r="BX72" i="21"/>
  <c r="BV73" i="21"/>
  <c r="AZ71" i="22"/>
  <c r="AX72" i="22"/>
  <c r="BD72" i="21"/>
  <c r="BB73" i="21"/>
  <c r="CB72" i="22"/>
  <c r="BZ73" i="22"/>
  <c r="BT72" i="21"/>
  <c r="BR73" i="21"/>
  <c r="BL72" i="19"/>
  <c r="BJ73" i="19"/>
  <c r="CB72" i="21"/>
  <c r="BZ73" i="21"/>
  <c r="BP72" i="19"/>
  <c r="BN73" i="19"/>
  <c r="AV72" i="21"/>
  <c r="AT73" i="21"/>
  <c r="AN72" i="22"/>
  <c r="AM72" i="22"/>
  <c r="AK73" i="22"/>
  <c r="BX72" i="19"/>
  <c r="BV73" i="19"/>
  <c r="AZ71" i="8"/>
  <c r="AX72" i="8"/>
  <c r="AR72" i="21"/>
  <c r="AP73" i="21"/>
  <c r="BH71" i="22"/>
  <c r="BF72" i="22"/>
  <c r="BL72" i="21"/>
  <c r="BJ73" i="21"/>
  <c r="BT72" i="22"/>
  <c r="BR73" i="22"/>
  <c r="BT71" i="8"/>
  <c r="BR72" i="8"/>
  <c r="BD72" i="19"/>
  <c r="BB73" i="19"/>
  <c r="BX71" i="8"/>
  <c r="BV72" i="8"/>
  <c r="CI71" i="8"/>
  <c r="CJ71" i="8" s="1"/>
  <c r="Z71" i="8"/>
  <c r="AB71" i="8"/>
  <c r="W72" i="8"/>
  <c r="Z72" i="19"/>
  <c r="AB72" i="19"/>
  <c r="W73" i="19"/>
  <c r="AN71" i="8"/>
  <c r="AM71" i="8"/>
  <c r="AK72" i="8"/>
  <c r="BL72" i="22"/>
  <c r="BJ73" i="22"/>
  <c r="BX71" i="22"/>
  <c r="BV72" i="22"/>
  <c r="BD72" i="22"/>
  <c r="BB73" i="22"/>
  <c r="AI72" i="19"/>
  <c r="AG72" i="19"/>
  <c r="AD73" i="19"/>
  <c r="AI72" i="21"/>
  <c r="AG72" i="21"/>
  <c r="AD73" i="21"/>
  <c r="Z72" i="21"/>
  <c r="AB72" i="21"/>
  <c r="W73" i="21"/>
  <c r="CF72" i="19"/>
  <c r="CD73" i="19"/>
  <c r="AV72" i="22"/>
  <c r="AT73" i="22"/>
  <c r="AR71" i="8"/>
  <c r="AP72" i="8"/>
  <c r="CB72" i="19"/>
  <c r="BZ73" i="19"/>
  <c r="CB71" i="8"/>
  <c r="BZ72" i="8"/>
  <c r="BF73" i="19"/>
  <c r="BH72" i="19"/>
  <c r="AM72" i="21"/>
  <c r="AN72" i="21"/>
  <c r="AK73" i="21"/>
  <c r="CI71" i="22"/>
  <c r="CJ71" i="22" s="1"/>
  <c r="Z71" i="22"/>
  <c r="AB71" i="22"/>
  <c r="W72" i="22"/>
  <c r="AG71" i="8"/>
  <c r="AI71" i="8"/>
  <c r="AD72" i="8"/>
  <c r="AI71" i="22"/>
  <c r="AG71" i="22"/>
  <c r="AD72" i="22"/>
  <c r="CF72" i="21"/>
  <c r="CD73" i="21"/>
  <c r="BT72" i="19"/>
  <c r="BR73" i="19"/>
  <c r="BP72" i="22"/>
  <c r="BN73" i="22"/>
  <c r="AR72" i="19"/>
  <c r="AP73" i="19"/>
  <c r="AV72" i="19"/>
  <c r="AT73" i="19"/>
  <c r="AM72" i="19"/>
  <c r="AN72" i="19"/>
  <c r="AK73" i="19"/>
  <c r="BH71" i="8"/>
  <c r="BF72" i="8"/>
  <c r="CI72" i="22" l="1"/>
  <c r="CJ72" i="22" s="1"/>
  <c r="Z72" i="22"/>
  <c r="AB72" i="22"/>
  <c r="W73" i="22"/>
  <c r="BZ73" i="8"/>
  <c r="CB72" i="8"/>
  <c r="BH72" i="22"/>
  <c r="BF73" i="22"/>
  <c r="AV73" i="21"/>
  <c r="AT74" i="21"/>
  <c r="BP72" i="8"/>
  <c r="BN73" i="8"/>
  <c r="BP73" i="21"/>
  <c r="BN74" i="21"/>
  <c r="AN73" i="19"/>
  <c r="AM73" i="19"/>
  <c r="AK74" i="19"/>
  <c r="AR73" i="19"/>
  <c r="AP74" i="19"/>
  <c r="AK74" i="21"/>
  <c r="AM73" i="21"/>
  <c r="AN73" i="21"/>
  <c r="AG73" i="21"/>
  <c r="AD74" i="21"/>
  <c r="AI73" i="21"/>
  <c r="BX72" i="22"/>
  <c r="BV73" i="22"/>
  <c r="Z73" i="19"/>
  <c r="AB73" i="19"/>
  <c r="W74" i="19"/>
  <c r="BX73" i="19"/>
  <c r="BV74" i="19"/>
  <c r="CB73" i="21"/>
  <c r="BZ74" i="21"/>
  <c r="BH73" i="21"/>
  <c r="BF74" i="21"/>
  <c r="AZ73" i="19"/>
  <c r="AX74" i="19"/>
  <c r="CF73" i="19"/>
  <c r="CD74" i="19"/>
  <c r="AV73" i="19"/>
  <c r="AT74" i="19"/>
  <c r="BT73" i="19"/>
  <c r="BR74" i="19"/>
  <c r="CF73" i="21"/>
  <c r="CD74" i="21"/>
  <c r="AN72" i="8"/>
  <c r="AM72" i="8"/>
  <c r="AK73" i="8"/>
  <c r="CB73" i="22"/>
  <c r="BZ74" i="22"/>
  <c r="BX72" i="8"/>
  <c r="BV73" i="8"/>
  <c r="BT72" i="8"/>
  <c r="BR73" i="8"/>
  <c r="AP74" i="21"/>
  <c r="AR73" i="21"/>
  <c r="AN73" i="22"/>
  <c r="AM73" i="22"/>
  <c r="AK74" i="22"/>
  <c r="BL73" i="19"/>
  <c r="BJ74" i="19"/>
  <c r="AZ72" i="22"/>
  <c r="AX73" i="22"/>
  <c r="CF72" i="8"/>
  <c r="CD73" i="8"/>
  <c r="BP73" i="22"/>
  <c r="BN74" i="22"/>
  <c r="AR72" i="8"/>
  <c r="AP73" i="8"/>
  <c r="AG73" i="19"/>
  <c r="AI73" i="19"/>
  <c r="AD74" i="19"/>
  <c r="BL73" i="22"/>
  <c r="BJ74" i="22"/>
  <c r="BD73" i="19"/>
  <c r="BB74" i="19"/>
  <c r="BT73" i="22"/>
  <c r="BR74" i="22"/>
  <c r="AP74" i="22"/>
  <c r="AR73" i="22"/>
  <c r="AZ72" i="8"/>
  <c r="AX73" i="8"/>
  <c r="BP73" i="19"/>
  <c r="BN74" i="19"/>
  <c r="BX73" i="21"/>
  <c r="BV74" i="21"/>
  <c r="BD72" i="8"/>
  <c r="BB73" i="8"/>
  <c r="BL72" i="8"/>
  <c r="BJ73" i="8"/>
  <c r="AG72" i="22"/>
  <c r="AI72" i="22"/>
  <c r="AD73" i="22"/>
  <c r="AG72" i="8"/>
  <c r="AI72" i="8"/>
  <c r="AD73" i="8"/>
  <c r="BH72" i="8"/>
  <c r="BF73" i="8"/>
  <c r="CB73" i="19"/>
  <c r="BZ74" i="19"/>
  <c r="Z73" i="21"/>
  <c r="AB73" i="21"/>
  <c r="W74" i="21"/>
  <c r="BL73" i="21"/>
  <c r="BJ74" i="21"/>
  <c r="BT73" i="21"/>
  <c r="BR74" i="21"/>
  <c r="BB74" i="21"/>
  <c r="BD73" i="21"/>
  <c r="CF72" i="22"/>
  <c r="CD73" i="22"/>
  <c r="BH73" i="19"/>
  <c r="BF74" i="19"/>
  <c r="AV73" i="22"/>
  <c r="AT74" i="22"/>
  <c r="BD73" i="22"/>
  <c r="BB74" i="22"/>
  <c r="CI72" i="8"/>
  <c r="CJ72" i="8" s="1"/>
  <c r="Z72" i="8"/>
  <c r="AB72" i="8"/>
  <c r="W73" i="8"/>
  <c r="AV72" i="8"/>
  <c r="AT73" i="8"/>
  <c r="AZ73" i="21"/>
  <c r="AX74" i="21"/>
  <c r="CI73" i="8" l="1"/>
  <c r="CJ73" i="8" s="1"/>
  <c r="Z73" i="8"/>
  <c r="AB73" i="8"/>
  <c r="W74" i="8"/>
  <c r="AG73" i="8"/>
  <c r="AI73" i="8"/>
  <c r="AD74" i="8"/>
  <c r="AZ73" i="8"/>
  <c r="AX74" i="8"/>
  <c r="BT74" i="22"/>
  <c r="BR75" i="22"/>
  <c r="BD74" i="22"/>
  <c r="BB75" i="22"/>
  <c r="BX74" i="21"/>
  <c r="BV75" i="21"/>
  <c r="BL74" i="19"/>
  <c r="BJ75" i="19"/>
  <c r="CB74" i="21"/>
  <c r="BZ75" i="21"/>
  <c r="Z74" i="19"/>
  <c r="AB74" i="19"/>
  <c r="W75" i="19"/>
  <c r="BP73" i="8"/>
  <c r="BN74" i="8"/>
  <c r="AV74" i="22"/>
  <c r="AT75" i="22"/>
  <c r="AV73" i="8"/>
  <c r="AT74" i="8"/>
  <c r="CF73" i="22"/>
  <c r="CD74" i="22"/>
  <c r="AN74" i="19"/>
  <c r="AK75" i="19"/>
  <c r="AM74" i="19"/>
  <c r="BH73" i="22"/>
  <c r="BF74" i="22"/>
  <c r="BZ74" i="8"/>
  <c r="CB73" i="8"/>
  <c r="BD74" i="19"/>
  <c r="BB75" i="19"/>
  <c r="BL74" i="22"/>
  <c r="BJ75" i="22"/>
  <c r="AN74" i="22"/>
  <c r="AM74" i="22"/>
  <c r="AK75" i="22"/>
  <c r="BX73" i="8"/>
  <c r="BV74" i="8"/>
  <c r="CI73" i="22"/>
  <c r="CJ73" i="22" s="1"/>
  <c r="Z73" i="22"/>
  <c r="AB73" i="22"/>
  <c r="W74" i="22"/>
  <c r="AG73" i="22"/>
  <c r="AI73" i="22"/>
  <c r="AD74" i="22"/>
  <c r="Z74" i="21"/>
  <c r="AB74" i="21"/>
  <c r="W75" i="21"/>
  <c r="AR73" i="8"/>
  <c r="AP74" i="8"/>
  <c r="CF73" i="8"/>
  <c r="CD74" i="8"/>
  <c r="AM73" i="8"/>
  <c r="AN73" i="8"/>
  <c r="AK74" i="8"/>
  <c r="CF74" i="19"/>
  <c r="CD75" i="19"/>
  <c r="BX74" i="19"/>
  <c r="BV75" i="19"/>
  <c r="BP74" i="19"/>
  <c r="BN75" i="19"/>
  <c r="AR74" i="22"/>
  <c r="AP75" i="22"/>
  <c r="AG74" i="19"/>
  <c r="AI74" i="19"/>
  <c r="AD75" i="19"/>
  <c r="CF74" i="21"/>
  <c r="CD75" i="21"/>
  <c r="AV74" i="19"/>
  <c r="AT75" i="19"/>
  <c r="AZ74" i="19"/>
  <c r="AX75" i="19"/>
  <c r="BX73" i="22"/>
  <c r="BV74" i="22"/>
  <c r="BH74" i="19"/>
  <c r="BF75" i="19"/>
  <c r="BH73" i="8"/>
  <c r="BF74" i="8"/>
  <c r="BP74" i="22"/>
  <c r="BN75" i="22"/>
  <c r="AZ73" i="22"/>
  <c r="AX74" i="22"/>
  <c r="BT74" i="21"/>
  <c r="BR75" i="21"/>
  <c r="BL74" i="21"/>
  <c r="BJ75" i="21"/>
  <c r="CB74" i="19"/>
  <c r="BZ75" i="19"/>
  <c r="BD73" i="8"/>
  <c r="BB74" i="8"/>
  <c r="AR74" i="21"/>
  <c r="AP75" i="21"/>
  <c r="CB74" i="22"/>
  <c r="BZ75" i="22"/>
  <c r="BT74" i="19"/>
  <c r="BR75" i="19"/>
  <c r="BH74" i="21"/>
  <c r="BF75" i="21"/>
  <c r="AM74" i="21"/>
  <c r="AN74" i="21"/>
  <c r="AK75" i="21"/>
  <c r="BP74" i="21"/>
  <c r="BN75" i="21"/>
  <c r="BD74" i="21"/>
  <c r="BB75" i="21"/>
  <c r="AZ74" i="21"/>
  <c r="AX75" i="21"/>
  <c r="BL73" i="8"/>
  <c r="BJ74" i="8"/>
  <c r="BT73" i="8"/>
  <c r="BR74" i="8"/>
  <c r="AG74" i="21"/>
  <c r="AI74" i="21"/>
  <c r="AD75" i="21"/>
  <c r="AR74" i="19"/>
  <c r="AP75" i="19"/>
  <c r="AV74" i="21"/>
  <c r="AT75" i="21"/>
  <c r="AI75" i="21" l="1"/>
  <c r="AG75" i="21"/>
  <c r="AD76" i="21"/>
  <c r="AZ74" i="22"/>
  <c r="AX75" i="22"/>
  <c r="BP75" i="19"/>
  <c r="BN76" i="19"/>
  <c r="CF75" i="19"/>
  <c r="CD76" i="19"/>
  <c r="AN75" i="22"/>
  <c r="AM75" i="22"/>
  <c r="AK76" i="22"/>
  <c r="CI74" i="8"/>
  <c r="CJ74" i="8" s="1"/>
  <c r="Z74" i="8"/>
  <c r="AB74" i="8"/>
  <c r="W75" i="8"/>
  <c r="AV75" i="21"/>
  <c r="AT76" i="21"/>
  <c r="BH75" i="21"/>
  <c r="BF76" i="21"/>
  <c r="CB75" i="22"/>
  <c r="BZ76" i="22"/>
  <c r="BH74" i="8"/>
  <c r="BF75" i="8"/>
  <c r="AV74" i="8"/>
  <c r="AT75" i="8"/>
  <c r="BX75" i="21"/>
  <c r="BV76" i="21"/>
  <c r="AZ74" i="8"/>
  <c r="AX75" i="8"/>
  <c r="BL74" i="8"/>
  <c r="BJ75" i="8"/>
  <c r="AR75" i="19"/>
  <c r="AP76" i="19"/>
  <c r="BP75" i="22"/>
  <c r="BN76" i="22"/>
  <c r="AV75" i="19"/>
  <c r="AT76" i="19"/>
  <c r="BP74" i="8"/>
  <c r="BN75" i="8"/>
  <c r="AZ75" i="21"/>
  <c r="AX76" i="21"/>
  <c r="BL75" i="21"/>
  <c r="BJ76" i="21"/>
  <c r="BT74" i="8"/>
  <c r="BR75" i="8"/>
  <c r="BP75" i="21"/>
  <c r="BN76" i="21"/>
  <c r="CB75" i="19"/>
  <c r="BZ76" i="19"/>
  <c r="AG75" i="19"/>
  <c r="AI75" i="19"/>
  <c r="AD76" i="19"/>
  <c r="CF74" i="8"/>
  <c r="CD75" i="8"/>
  <c r="Z75" i="21"/>
  <c r="AB75" i="21"/>
  <c r="W76" i="21"/>
  <c r="BL75" i="22"/>
  <c r="BJ76" i="22"/>
  <c r="CB74" i="8"/>
  <c r="BZ75" i="8"/>
  <c r="CF74" i="22"/>
  <c r="CD75" i="22"/>
  <c r="Z75" i="19"/>
  <c r="AB75" i="19"/>
  <c r="W76" i="19"/>
  <c r="AG74" i="8"/>
  <c r="AI74" i="8"/>
  <c r="AD75" i="8"/>
  <c r="AM75" i="21"/>
  <c r="AN75" i="21"/>
  <c r="AK76" i="21"/>
  <c r="BT75" i="19"/>
  <c r="BR76" i="19"/>
  <c r="AR75" i="21"/>
  <c r="AP76" i="21"/>
  <c r="CF75" i="21"/>
  <c r="CD76" i="21"/>
  <c r="AN74" i="8"/>
  <c r="AM74" i="8"/>
  <c r="AK75" i="8"/>
  <c r="AI74" i="22"/>
  <c r="AD75" i="22"/>
  <c r="AG74" i="22"/>
  <c r="BD75" i="22"/>
  <c r="BB76" i="22"/>
  <c r="BH75" i="19"/>
  <c r="BF76" i="19"/>
  <c r="AZ75" i="19"/>
  <c r="AX76" i="19"/>
  <c r="AR74" i="8"/>
  <c r="AP75" i="8"/>
  <c r="BD75" i="19"/>
  <c r="BB76" i="19"/>
  <c r="BL75" i="19"/>
  <c r="BJ76" i="19"/>
  <c r="BX74" i="22"/>
  <c r="BV75" i="22"/>
  <c r="AR75" i="22"/>
  <c r="AP76" i="22"/>
  <c r="BX75" i="19"/>
  <c r="BV76" i="19"/>
  <c r="BX74" i="8"/>
  <c r="BV75" i="8"/>
  <c r="BH74" i="22"/>
  <c r="BF75" i="22"/>
  <c r="AN75" i="19"/>
  <c r="AM75" i="19"/>
  <c r="AK76" i="19"/>
  <c r="CB75" i="21"/>
  <c r="BZ76" i="21"/>
  <c r="BD75" i="21"/>
  <c r="BB76" i="21"/>
  <c r="BD74" i="8"/>
  <c r="BB75" i="8"/>
  <c r="BT75" i="21"/>
  <c r="BR76" i="21"/>
  <c r="CI74" i="22"/>
  <c r="CJ74" i="22" s="1"/>
  <c r="Z74" i="22"/>
  <c r="AB74" i="22"/>
  <c r="W75" i="22"/>
  <c r="AV75" i="22"/>
  <c r="AT76" i="22"/>
  <c r="BT75" i="22"/>
  <c r="BR76" i="22"/>
  <c r="CB76" i="21" l="1"/>
  <c r="BZ77" i="21"/>
  <c r="Z76" i="19"/>
  <c r="AB76" i="19"/>
  <c r="W77" i="19"/>
  <c r="BP76" i="21"/>
  <c r="BN77" i="21"/>
  <c r="BT76" i="21"/>
  <c r="BR77" i="21"/>
  <c r="AR76" i="22"/>
  <c r="AP77" i="22"/>
  <c r="AZ76" i="19"/>
  <c r="AX77" i="19"/>
  <c r="AN76" i="21"/>
  <c r="AM76" i="21"/>
  <c r="AK77" i="21"/>
  <c r="AZ76" i="21"/>
  <c r="AX77" i="21"/>
  <c r="BL75" i="8"/>
  <c r="BJ76" i="8"/>
  <c r="AV76" i="21"/>
  <c r="AT77" i="21"/>
  <c r="BD76" i="22"/>
  <c r="BB77" i="22"/>
  <c r="BT76" i="19"/>
  <c r="BR77" i="19"/>
  <c r="AI76" i="19"/>
  <c r="AG76" i="19"/>
  <c r="AD77" i="19"/>
  <c r="BH75" i="8"/>
  <c r="BF76" i="8"/>
  <c r="CI75" i="22"/>
  <c r="CJ75" i="22" s="1"/>
  <c r="AB75" i="22"/>
  <c r="Z75" i="22"/>
  <c r="W76" i="22"/>
  <c r="BH75" i="22"/>
  <c r="BF76" i="22"/>
  <c r="AG75" i="22"/>
  <c r="AI75" i="22"/>
  <c r="AD76" i="22"/>
  <c r="AM75" i="8"/>
  <c r="AN75" i="8"/>
  <c r="AK76" i="8"/>
  <c r="CF75" i="22"/>
  <c r="CD76" i="22"/>
  <c r="BD75" i="8"/>
  <c r="BB76" i="8"/>
  <c r="Z76" i="21"/>
  <c r="AB76" i="21"/>
  <c r="W77" i="21"/>
  <c r="BT75" i="8"/>
  <c r="BR76" i="8"/>
  <c r="BL76" i="21"/>
  <c r="BJ77" i="21"/>
  <c r="BP75" i="8"/>
  <c r="BN76" i="8"/>
  <c r="BP76" i="22"/>
  <c r="BN77" i="22"/>
  <c r="CF76" i="19"/>
  <c r="CD77" i="19"/>
  <c r="AI76" i="21"/>
  <c r="AG76" i="21"/>
  <c r="AD77" i="21"/>
  <c r="AV75" i="8"/>
  <c r="AT76" i="8"/>
  <c r="CB76" i="22"/>
  <c r="BZ77" i="22"/>
  <c r="AN76" i="22"/>
  <c r="AM76" i="22"/>
  <c r="AK77" i="22"/>
  <c r="BD76" i="21"/>
  <c r="BB77" i="21"/>
  <c r="AR75" i="8"/>
  <c r="AP76" i="8"/>
  <c r="CB75" i="8"/>
  <c r="BZ76" i="8"/>
  <c r="AR76" i="19"/>
  <c r="AP77" i="19"/>
  <c r="AX76" i="8"/>
  <c r="AZ75" i="8"/>
  <c r="BP76" i="19"/>
  <c r="BN77" i="19"/>
  <c r="BT76" i="22"/>
  <c r="BR77" i="22"/>
  <c r="BX75" i="8"/>
  <c r="BV76" i="8"/>
  <c r="BH76" i="19"/>
  <c r="BF77" i="19"/>
  <c r="BL76" i="19"/>
  <c r="BJ77" i="19"/>
  <c r="AR76" i="21"/>
  <c r="AP77" i="21"/>
  <c r="CF75" i="8"/>
  <c r="CD76" i="8"/>
  <c r="CB76" i="19"/>
  <c r="BZ77" i="19"/>
  <c r="AV76" i="19"/>
  <c r="AT77" i="19"/>
  <c r="BH76" i="21"/>
  <c r="BF77" i="21"/>
  <c r="BD76" i="19"/>
  <c r="BB77" i="19"/>
  <c r="AI75" i="8"/>
  <c r="AG75" i="8"/>
  <c r="AD76" i="8"/>
  <c r="AV76" i="22"/>
  <c r="AT77" i="22"/>
  <c r="AN76" i="19"/>
  <c r="AM76" i="19"/>
  <c r="AK77" i="19"/>
  <c r="BX76" i="19"/>
  <c r="BV77" i="19"/>
  <c r="BX75" i="22"/>
  <c r="BV76" i="22"/>
  <c r="CF76" i="21"/>
  <c r="CD77" i="21"/>
  <c r="BL76" i="22"/>
  <c r="BJ77" i="22"/>
  <c r="BX76" i="21"/>
  <c r="BV77" i="21"/>
  <c r="CI75" i="8"/>
  <c r="CJ75" i="8" s="1"/>
  <c r="Z75" i="8"/>
  <c r="AB75" i="8"/>
  <c r="W76" i="8"/>
  <c r="AZ75" i="22"/>
  <c r="AX76" i="22"/>
  <c r="CI76" i="8" l="1"/>
  <c r="CJ76" i="8" s="1"/>
  <c r="Z76" i="8"/>
  <c r="W77" i="8"/>
  <c r="AB76" i="8"/>
  <c r="BX77" i="21"/>
  <c r="BV78" i="21"/>
  <c r="AV77" i="19"/>
  <c r="AT78" i="19"/>
  <c r="AR77" i="19"/>
  <c r="AP78" i="19"/>
  <c r="BP76" i="8"/>
  <c r="BN77" i="8"/>
  <c r="AI76" i="22"/>
  <c r="AG76" i="22"/>
  <c r="AD77" i="22"/>
  <c r="AM77" i="21"/>
  <c r="AN77" i="21"/>
  <c r="AK78" i="21"/>
  <c r="AV76" i="8"/>
  <c r="AT77" i="8"/>
  <c r="BH76" i="8"/>
  <c r="BF77" i="8"/>
  <c r="AV77" i="21"/>
  <c r="AT78" i="21"/>
  <c r="AI76" i="8"/>
  <c r="AG76" i="8"/>
  <c r="AD77" i="8"/>
  <c r="BX76" i="22"/>
  <c r="BV77" i="22"/>
  <c r="AR76" i="8"/>
  <c r="AP77" i="8"/>
  <c r="AI77" i="21"/>
  <c r="AG77" i="21"/>
  <c r="AD78" i="21"/>
  <c r="BL77" i="21"/>
  <c r="BJ78" i="21"/>
  <c r="BD76" i="8"/>
  <c r="BB77" i="8"/>
  <c r="AZ77" i="21"/>
  <c r="AX78" i="21"/>
  <c r="CB77" i="21"/>
  <c r="BZ78" i="21"/>
  <c r="CB77" i="19"/>
  <c r="BZ78" i="19"/>
  <c r="AN77" i="22"/>
  <c r="AM77" i="22"/>
  <c r="AK78" i="22"/>
  <c r="CF76" i="22"/>
  <c r="CD77" i="22"/>
  <c r="BH76" i="22"/>
  <c r="BF77" i="22"/>
  <c r="BT77" i="19"/>
  <c r="BR78" i="19"/>
  <c r="BP77" i="21"/>
  <c r="BN78" i="21"/>
  <c r="AZ76" i="22"/>
  <c r="AX77" i="22"/>
  <c r="CF77" i="21"/>
  <c r="CD78" i="21"/>
  <c r="BN78" i="19"/>
  <c r="BP77" i="19"/>
  <c r="AV77" i="22"/>
  <c r="AT78" i="22"/>
  <c r="BX77" i="19"/>
  <c r="BV78" i="19"/>
  <c r="BT76" i="8"/>
  <c r="BR77" i="8"/>
  <c r="AR77" i="22"/>
  <c r="AP78" i="22"/>
  <c r="BD77" i="19"/>
  <c r="BB78" i="19"/>
  <c r="BX76" i="8"/>
  <c r="BV77" i="8"/>
  <c r="CF77" i="19"/>
  <c r="CD78" i="19"/>
  <c r="AM76" i="8"/>
  <c r="AN76" i="8"/>
  <c r="AK77" i="8"/>
  <c r="CI76" i="22"/>
  <c r="CJ76" i="22" s="1"/>
  <c r="Z76" i="22"/>
  <c r="W77" i="22"/>
  <c r="AB76" i="22"/>
  <c r="BD77" i="22"/>
  <c r="BB78" i="22"/>
  <c r="BT77" i="21"/>
  <c r="BR78" i="21"/>
  <c r="BJ78" i="22"/>
  <c r="BL77" i="22"/>
  <c r="AN77" i="19"/>
  <c r="AM77" i="19"/>
  <c r="AK78" i="19"/>
  <c r="BH77" i="21"/>
  <c r="BF78" i="21"/>
  <c r="CF76" i="8"/>
  <c r="CD77" i="8"/>
  <c r="AR77" i="21"/>
  <c r="AP78" i="21"/>
  <c r="BL77" i="19"/>
  <c r="BJ78" i="19"/>
  <c r="BH77" i="19"/>
  <c r="BF78" i="19"/>
  <c r="BD77" i="21"/>
  <c r="BB78" i="21"/>
  <c r="BN78" i="22"/>
  <c r="BP77" i="22"/>
  <c r="Z77" i="21"/>
  <c r="AB77" i="21"/>
  <c r="W78" i="21"/>
  <c r="BL76" i="8"/>
  <c r="BJ77" i="8"/>
  <c r="AZ77" i="19"/>
  <c r="AX78" i="19"/>
  <c r="BT77" i="22"/>
  <c r="BR78" i="22"/>
  <c r="AZ76" i="8"/>
  <c r="AX77" i="8"/>
  <c r="CB76" i="8"/>
  <c r="BZ77" i="8"/>
  <c r="CB77" i="22"/>
  <c r="BZ78" i="22"/>
  <c r="AI77" i="19"/>
  <c r="AG77" i="19"/>
  <c r="AD78" i="19"/>
  <c r="Z77" i="19"/>
  <c r="AB77" i="19"/>
  <c r="W78" i="19"/>
  <c r="CI77" i="22" l="1"/>
  <c r="CJ77" i="22" s="1"/>
  <c r="Z77" i="22"/>
  <c r="AB77" i="22"/>
  <c r="W78" i="22"/>
  <c r="BV78" i="8"/>
  <c r="BX77" i="8"/>
  <c r="BT77" i="8"/>
  <c r="BR78" i="8"/>
  <c r="CF78" i="21"/>
  <c r="CD79" i="21"/>
  <c r="BL78" i="21"/>
  <c r="BJ79" i="21"/>
  <c r="AR77" i="8"/>
  <c r="AP78" i="8"/>
  <c r="AR78" i="19"/>
  <c r="AP79" i="19"/>
  <c r="AZ78" i="19"/>
  <c r="AX79" i="19"/>
  <c r="CB77" i="8"/>
  <c r="BZ78" i="8"/>
  <c r="AR78" i="21"/>
  <c r="AP79" i="21"/>
  <c r="CF78" i="19"/>
  <c r="CD79" i="19"/>
  <c r="BR79" i="19"/>
  <c r="BT78" i="19"/>
  <c r="CB78" i="21"/>
  <c r="BZ79" i="21"/>
  <c r="BH77" i="8"/>
  <c r="BF78" i="8"/>
  <c r="BX78" i="21"/>
  <c r="BV79" i="21"/>
  <c r="AZ78" i="21"/>
  <c r="AX79" i="21"/>
  <c r="AI78" i="21"/>
  <c r="AD79" i="21"/>
  <c r="AG78" i="21"/>
  <c r="CB78" i="22"/>
  <c r="BZ79" i="22"/>
  <c r="AN77" i="8"/>
  <c r="AM77" i="8"/>
  <c r="AK78" i="8"/>
  <c r="AM78" i="22"/>
  <c r="AN78" i="22"/>
  <c r="AK79" i="22"/>
  <c r="AV78" i="19"/>
  <c r="AT79" i="19"/>
  <c r="Z78" i="21"/>
  <c r="AB78" i="21"/>
  <c r="W79" i="21"/>
  <c r="BD78" i="21"/>
  <c r="BB79" i="21"/>
  <c r="BD78" i="22"/>
  <c r="BB79" i="22"/>
  <c r="BD78" i="19"/>
  <c r="BB79" i="19"/>
  <c r="BP78" i="19"/>
  <c r="BN79" i="19"/>
  <c r="AZ77" i="22"/>
  <c r="AX78" i="22"/>
  <c r="BP78" i="21"/>
  <c r="BN79" i="21"/>
  <c r="BH77" i="22"/>
  <c r="BF78" i="22"/>
  <c r="CB78" i="19"/>
  <c r="BZ79" i="19"/>
  <c r="AN78" i="21"/>
  <c r="AM78" i="21"/>
  <c r="AK79" i="21"/>
  <c r="AG77" i="22"/>
  <c r="AI77" i="22"/>
  <c r="AD78" i="22"/>
  <c r="BP77" i="8"/>
  <c r="BN78" i="8"/>
  <c r="CI77" i="8"/>
  <c r="CJ77" i="8" s="1"/>
  <c r="Z77" i="8"/>
  <c r="AB77" i="8"/>
  <c r="W78" i="8"/>
  <c r="CF77" i="8"/>
  <c r="CD78" i="8"/>
  <c r="BT78" i="22"/>
  <c r="BR79" i="22"/>
  <c r="BH78" i="19"/>
  <c r="BF79" i="19"/>
  <c r="BH78" i="21"/>
  <c r="BF79" i="21"/>
  <c r="BT78" i="21"/>
  <c r="BR79" i="21"/>
  <c r="BX78" i="19"/>
  <c r="BV79" i="19"/>
  <c r="AV78" i="22"/>
  <c r="AT79" i="22"/>
  <c r="BX77" i="22"/>
  <c r="BV78" i="22"/>
  <c r="AV78" i="21"/>
  <c r="AT79" i="21"/>
  <c r="AV77" i="8"/>
  <c r="AT78" i="8"/>
  <c r="AN78" i="19"/>
  <c r="AM78" i="19"/>
  <c r="AK79" i="19"/>
  <c r="AR78" i="22"/>
  <c r="AP79" i="22"/>
  <c r="CF77" i="22"/>
  <c r="CD78" i="22"/>
  <c r="BD77" i="8"/>
  <c r="BB78" i="8"/>
  <c r="Z78" i="19"/>
  <c r="AB78" i="19"/>
  <c r="W79" i="19"/>
  <c r="AZ77" i="8"/>
  <c r="AX78" i="8"/>
  <c r="BL77" i="8"/>
  <c r="BJ78" i="8"/>
  <c r="AG78" i="19"/>
  <c r="AI78" i="19"/>
  <c r="AD79" i="19"/>
  <c r="BL78" i="22"/>
  <c r="BJ79" i="22"/>
  <c r="BP78" i="22"/>
  <c r="BN79" i="22"/>
  <c r="BL78" i="19"/>
  <c r="BJ79" i="19"/>
  <c r="AG77" i="8"/>
  <c r="AI77" i="8"/>
  <c r="AD78" i="8"/>
  <c r="BL78" i="8" l="1"/>
  <c r="BJ79" i="8"/>
  <c r="CF78" i="8"/>
  <c r="CD79" i="8"/>
  <c r="CF78" i="22"/>
  <c r="CD79" i="22"/>
  <c r="BX79" i="19"/>
  <c r="BV80" i="19"/>
  <c r="BT79" i="22"/>
  <c r="BR80" i="22"/>
  <c r="AN79" i="21"/>
  <c r="AM79" i="21"/>
  <c r="AK80" i="21"/>
  <c r="BH78" i="22"/>
  <c r="BF79" i="22"/>
  <c r="BD79" i="19"/>
  <c r="BB80" i="19"/>
  <c r="BT79" i="19"/>
  <c r="BR80" i="19"/>
  <c r="CI78" i="22"/>
  <c r="CJ78" i="22" s="1"/>
  <c r="Z78" i="22"/>
  <c r="W79" i="22"/>
  <c r="AB78" i="22"/>
  <c r="AG78" i="22"/>
  <c r="AI78" i="22"/>
  <c r="AD79" i="22"/>
  <c r="AV79" i="21"/>
  <c r="AT80" i="21"/>
  <c r="BH79" i="19"/>
  <c r="BF80" i="19"/>
  <c r="CF79" i="21"/>
  <c r="CD80" i="21"/>
  <c r="BP79" i="21"/>
  <c r="BN80" i="21"/>
  <c r="BD79" i="21"/>
  <c r="BB80" i="21"/>
  <c r="AR79" i="21"/>
  <c r="AP80" i="21"/>
  <c r="CB78" i="8"/>
  <c r="BZ79" i="8"/>
  <c r="BD78" i="8"/>
  <c r="BB79" i="8"/>
  <c r="AM79" i="22"/>
  <c r="AN79" i="22"/>
  <c r="AK80" i="22"/>
  <c r="BT78" i="8"/>
  <c r="BR79" i="8"/>
  <c r="BP78" i="8"/>
  <c r="BN79" i="8"/>
  <c r="AM78" i="8"/>
  <c r="AN78" i="8"/>
  <c r="AK79" i="8"/>
  <c r="AG79" i="21"/>
  <c r="AI79" i="21"/>
  <c r="AD80" i="21"/>
  <c r="BL79" i="19"/>
  <c r="BJ80" i="19"/>
  <c r="AZ78" i="8"/>
  <c r="AX79" i="8"/>
  <c r="AN79" i="19"/>
  <c r="AM79" i="19"/>
  <c r="AK80" i="19"/>
  <c r="BX78" i="22"/>
  <c r="BV79" i="22"/>
  <c r="BT79" i="21"/>
  <c r="BR80" i="21"/>
  <c r="CI78" i="8"/>
  <c r="CJ78" i="8" s="1"/>
  <c r="Z78" i="8"/>
  <c r="AB78" i="8"/>
  <c r="W79" i="8"/>
  <c r="AZ78" i="22"/>
  <c r="AX79" i="22"/>
  <c r="BD79" i="22"/>
  <c r="BB80" i="22"/>
  <c r="AZ79" i="19"/>
  <c r="AX80" i="19"/>
  <c r="AG79" i="19"/>
  <c r="AI79" i="19"/>
  <c r="AD80" i="19"/>
  <c r="AZ79" i="21"/>
  <c r="AX80" i="21"/>
  <c r="BH78" i="8"/>
  <c r="BF79" i="8"/>
  <c r="CB79" i="21"/>
  <c r="BZ80" i="21"/>
  <c r="CF79" i="19"/>
  <c r="CD80" i="19"/>
  <c r="AR78" i="8"/>
  <c r="AP79" i="8"/>
  <c r="Z79" i="21"/>
  <c r="AB79" i="21"/>
  <c r="W80" i="21"/>
  <c r="BP79" i="22"/>
  <c r="BN80" i="22"/>
  <c r="BL79" i="22"/>
  <c r="BJ80" i="22"/>
  <c r="Z79" i="19"/>
  <c r="AB79" i="19"/>
  <c r="W80" i="19"/>
  <c r="AR79" i="22"/>
  <c r="AP80" i="22"/>
  <c r="AV79" i="22"/>
  <c r="AT80" i="22"/>
  <c r="CB79" i="19"/>
  <c r="BZ80" i="19"/>
  <c r="BP79" i="19"/>
  <c r="BN80" i="19"/>
  <c r="AV79" i="19"/>
  <c r="AT80" i="19"/>
  <c r="BX79" i="21"/>
  <c r="BV80" i="21"/>
  <c r="AI78" i="8"/>
  <c r="AG78" i="8"/>
  <c r="AD79" i="8"/>
  <c r="AV78" i="8"/>
  <c r="AT79" i="8"/>
  <c r="BH79" i="21"/>
  <c r="BF80" i="21"/>
  <c r="CB79" i="22"/>
  <c r="BZ80" i="22"/>
  <c r="AR79" i="19"/>
  <c r="AP80" i="19"/>
  <c r="BL79" i="21"/>
  <c r="BJ80" i="21"/>
  <c r="BX78" i="8"/>
  <c r="BV79" i="8"/>
  <c r="CB80" i="22" l="1"/>
  <c r="BZ81" i="22"/>
  <c r="BL80" i="21"/>
  <c r="BJ81" i="21"/>
  <c r="CF80" i="19"/>
  <c r="CD81" i="19"/>
  <c r="AN80" i="19"/>
  <c r="AM80" i="19"/>
  <c r="AK81" i="19"/>
  <c r="AI79" i="8"/>
  <c r="AG79" i="8"/>
  <c r="AD80" i="8"/>
  <c r="AR80" i="22"/>
  <c r="AP81" i="22"/>
  <c r="AX80" i="22"/>
  <c r="AZ79" i="22"/>
  <c r="AG79" i="22"/>
  <c r="AI79" i="22"/>
  <c r="AD80" i="22"/>
  <c r="BD80" i="19"/>
  <c r="BB81" i="19"/>
  <c r="AV80" i="22"/>
  <c r="AT81" i="22"/>
  <c r="AI80" i="21"/>
  <c r="AG80" i="21"/>
  <c r="AD81" i="21"/>
  <c r="BX80" i="21"/>
  <c r="BV81" i="21"/>
  <c r="AR80" i="19"/>
  <c r="AP81" i="19"/>
  <c r="AV79" i="8"/>
  <c r="AT80" i="8"/>
  <c r="BP80" i="22"/>
  <c r="BN81" i="22"/>
  <c r="CB80" i="21"/>
  <c r="BZ81" i="21"/>
  <c r="BT80" i="21"/>
  <c r="BR81" i="21"/>
  <c r="AM79" i="8"/>
  <c r="AN79" i="8"/>
  <c r="AK80" i="8"/>
  <c r="BT79" i="8"/>
  <c r="BR80" i="8"/>
  <c r="BD79" i="8"/>
  <c r="BB80" i="8"/>
  <c r="BT80" i="19"/>
  <c r="BR81" i="19"/>
  <c r="Z80" i="21"/>
  <c r="AB80" i="21"/>
  <c r="W81" i="21"/>
  <c r="BL80" i="22"/>
  <c r="BJ81" i="22"/>
  <c r="AR79" i="8"/>
  <c r="AP80" i="8"/>
  <c r="AZ80" i="19"/>
  <c r="AX81" i="19"/>
  <c r="CB79" i="8"/>
  <c r="BZ80" i="8"/>
  <c r="BH79" i="22"/>
  <c r="BF80" i="22"/>
  <c r="BD80" i="22"/>
  <c r="BB81" i="22"/>
  <c r="BP80" i="19"/>
  <c r="BN81" i="19"/>
  <c r="AV80" i="19"/>
  <c r="AT81" i="19"/>
  <c r="Z80" i="19"/>
  <c r="AB80" i="19"/>
  <c r="W81" i="19"/>
  <c r="BH79" i="8"/>
  <c r="BF80" i="8"/>
  <c r="AG80" i="19"/>
  <c r="AI80" i="19"/>
  <c r="AD81" i="19"/>
  <c r="BL80" i="19"/>
  <c r="BJ81" i="19"/>
  <c r="BD80" i="21"/>
  <c r="BB81" i="21"/>
  <c r="CI79" i="22"/>
  <c r="CJ79" i="22" s="1"/>
  <c r="Z79" i="22"/>
  <c r="AB79" i="22"/>
  <c r="W80" i="22"/>
  <c r="BX79" i="22"/>
  <c r="BV80" i="22"/>
  <c r="BP79" i="8"/>
  <c r="BN80" i="8"/>
  <c r="AR80" i="21"/>
  <c r="AP81" i="21"/>
  <c r="AT81" i="21"/>
  <c r="AV80" i="21"/>
  <c r="AN80" i="21"/>
  <c r="AM80" i="21"/>
  <c r="AK81" i="21"/>
  <c r="CF79" i="22"/>
  <c r="CD80" i="22"/>
  <c r="BX79" i="8"/>
  <c r="BV80" i="8"/>
  <c r="AZ80" i="21"/>
  <c r="AX81" i="21"/>
  <c r="CI79" i="8"/>
  <c r="CJ79" i="8" s="1"/>
  <c r="Z79" i="8"/>
  <c r="AB79" i="8"/>
  <c r="W80" i="8"/>
  <c r="AM80" i="22"/>
  <c r="AN80" i="22"/>
  <c r="AK81" i="22"/>
  <c r="BX80" i="19"/>
  <c r="BV81" i="19"/>
  <c r="CF79" i="8"/>
  <c r="CD80" i="8"/>
  <c r="AZ79" i="8"/>
  <c r="AX80" i="8"/>
  <c r="BP80" i="21"/>
  <c r="BN81" i="21"/>
  <c r="CF80" i="21"/>
  <c r="CD81" i="21"/>
  <c r="BF81" i="19"/>
  <c r="BH80" i="19"/>
  <c r="BH80" i="21"/>
  <c r="BF81" i="21"/>
  <c r="CB80" i="19"/>
  <c r="BZ81" i="19"/>
  <c r="BT80" i="22"/>
  <c r="BR81" i="22"/>
  <c r="BL79" i="8"/>
  <c r="BJ80" i="8"/>
  <c r="AV81" i="19" l="1"/>
  <c r="AT82" i="19"/>
  <c r="AI81" i="21"/>
  <c r="AG81" i="21"/>
  <c r="AD82" i="21"/>
  <c r="BH81" i="19"/>
  <c r="BF82" i="19"/>
  <c r="BP80" i="8"/>
  <c r="BN81" i="8"/>
  <c r="AM80" i="8"/>
  <c r="AN80" i="8"/>
  <c r="AK81" i="8"/>
  <c r="AR81" i="22"/>
  <c r="AP82" i="22"/>
  <c r="CF81" i="19"/>
  <c r="CD82" i="19"/>
  <c r="BP81" i="21"/>
  <c r="BN82" i="21"/>
  <c r="AR81" i="21"/>
  <c r="AP82" i="21"/>
  <c r="AG81" i="19"/>
  <c r="AI81" i="19"/>
  <c r="AD82" i="19"/>
  <c r="AR80" i="8"/>
  <c r="AP81" i="8"/>
  <c r="CF81" i="21"/>
  <c r="CD82" i="21"/>
  <c r="AN81" i="22"/>
  <c r="AM81" i="22"/>
  <c r="AK82" i="22"/>
  <c r="BX80" i="8"/>
  <c r="BV81" i="8"/>
  <c r="AN81" i="21"/>
  <c r="AM81" i="21"/>
  <c r="AK82" i="21"/>
  <c r="AV81" i="21"/>
  <c r="AT82" i="21"/>
  <c r="BH80" i="8"/>
  <c r="BF81" i="8"/>
  <c r="BX81" i="21"/>
  <c r="BV82" i="21"/>
  <c r="CI80" i="22"/>
  <c r="CJ80" i="22" s="1"/>
  <c r="Z80" i="22"/>
  <c r="AB80" i="22"/>
  <c r="W81" i="22"/>
  <c r="Z81" i="21"/>
  <c r="AB81" i="21"/>
  <c r="W82" i="21"/>
  <c r="BT81" i="22"/>
  <c r="BR82" i="22"/>
  <c r="AZ80" i="8"/>
  <c r="AX81" i="8"/>
  <c r="BT81" i="19"/>
  <c r="BR82" i="19"/>
  <c r="BL81" i="21"/>
  <c r="BJ82" i="21"/>
  <c r="BX80" i="22"/>
  <c r="BV81" i="22"/>
  <c r="AV81" i="22"/>
  <c r="AT82" i="22"/>
  <c r="CB81" i="22"/>
  <c r="BZ82" i="22"/>
  <c r="BX81" i="19"/>
  <c r="BV82" i="19"/>
  <c r="AZ81" i="21"/>
  <c r="AX82" i="21"/>
  <c r="BL81" i="19"/>
  <c r="BJ82" i="19"/>
  <c r="BD81" i="22"/>
  <c r="BB82" i="22"/>
  <c r="BH80" i="22"/>
  <c r="BF81" i="22"/>
  <c r="BL81" i="22"/>
  <c r="BJ82" i="22"/>
  <c r="BD80" i="8"/>
  <c r="BB81" i="8"/>
  <c r="CB81" i="21"/>
  <c r="BZ82" i="21"/>
  <c r="CB81" i="19"/>
  <c r="BZ82" i="19"/>
  <c r="CF80" i="8"/>
  <c r="CD81" i="8"/>
  <c r="CI80" i="8"/>
  <c r="CJ80" i="8" s="1"/>
  <c r="Z80" i="8"/>
  <c r="AB80" i="8"/>
  <c r="W81" i="8"/>
  <c r="BD81" i="21"/>
  <c r="BB82" i="21"/>
  <c r="BP81" i="19"/>
  <c r="BN82" i="19"/>
  <c r="CB80" i="8"/>
  <c r="BZ81" i="8"/>
  <c r="AV80" i="8"/>
  <c r="AT81" i="8"/>
  <c r="BD81" i="19"/>
  <c r="BB82" i="19"/>
  <c r="AG80" i="8"/>
  <c r="AI80" i="8"/>
  <c r="AD81" i="8"/>
  <c r="BT80" i="8"/>
  <c r="BR81" i="8"/>
  <c r="BP81" i="22"/>
  <c r="BN82" i="22"/>
  <c r="BL80" i="8"/>
  <c r="BJ81" i="8"/>
  <c r="BH81" i="21"/>
  <c r="BF82" i="21"/>
  <c r="CF80" i="22"/>
  <c r="CD81" i="22"/>
  <c r="Z81" i="19"/>
  <c r="AB81" i="19"/>
  <c r="W82" i="19"/>
  <c r="AZ81" i="19"/>
  <c r="AX82" i="19"/>
  <c r="BT81" i="21"/>
  <c r="BR82" i="21"/>
  <c r="AR81" i="19"/>
  <c r="AP82" i="19"/>
  <c r="AI80" i="22"/>
  <c r="AG80" i="22"/>
  <c r="AD81" i="22"/>
  <c r="AZ80" i="22"/>
  <c r="AX81" i="22"/>
  <c r="AN81" i="19"/>
  <c r="AM81" i="19"/>
  <c r="AK82" i="19"/>
  <c r="CF81" i="22" l="1"/>
  <c r="CD82" i="22"/>
  <c r="AR82" i="19"/>
  <c r="AP83" i="19"/>
  <c r="CD82" i="8"/>
  <c r="CF81" i="8"/>
  <c r="Z82" i="21"/>
  <c r="AB82" i="21"/>
  <c r="W83" i="21"/>
  <c r="BX81" i="8"/>
  <c r="BV82" i="8"/>
  <c r="AR82" i="22"/>
  <c r="AP83" i="22"/>
  <c r="AI82" i="21"/>
  <c r="AG82" i="21"/>
  <c r="AD83" i="21"/>
  <c r="BD82" i="19"/>
  <c r="BB83" i="19"/>
  <c r="AG81" i="22"/>
  <c r="AI81" i="22"/>
  <c r="AD82" i="22"/>
  <c r="BP82" i="22"/>
  <c r="BN83" i="22"/>
  <c r="BL82" i="22"/>
  <c r="BJ83" i="22"/>
  <c r="Z82" i="19"/>
  <c r="AB82" i="19"/>
  <c r="W83" i="19"/>
  <c r="CB82" i="22"/>
  <c r="BZ83" i="22"/>
  <c r="AG82" i="19"/>
  <c r="AI82" i="19"/>
  <c r="AD83" i="19"/>
  <c r="AN82" i="19"/>
  <c r="AM82" i="19"/>
  <c r="AK83" i="19"/>
  <c r="AZ82" i="19"/>
  <c r="AX83" i="19"/>
  <c r="BT81" i="8"/>
  <c r="BR82" i="8"/>
  <c r="AV81" i="8"/>
  <c r="AT82" i="8"/>
  <c r="CI81" i="8"/>
  <c r="CJ81" i="8" s="1"/>
  <c r="Z81" i="8"/>
  <c r="AB81" i="8"/>
  <c r="W82" i="8"/>
  <c r="CB82" i="19"/>
  <c r="BZ83" i="19"/>
  <c r="AZ82" i="21"/>
  <c r="AX83" i="21"/>
  <c r="BX82" i="21"/>
  <c r="BV83" i="21"/>
  <c r="AN82" i="22"/>
  <c r="AM82" i="22"/>
  <c r="AK83" i="22"/>
  <c r="BP82" i="21"/>
  <c r="BN83" i="21"/>
  <c r="BL82" i="19"/>
  <c r="BJ83" i="19"/>
  <c r="AV82" i="21"/>
  <c r="AT83" i="21"/>
  <c r="CB82" i="21"/>
  <c r="BZ83" i="21"/>
  <c r="BH81" i="22"/>
  <c r="BF82" i="22"/>
  <c r="BL82" i="21"/>
  <c r="BJ83" i="21"/>
  <c r="BT82" i="22"/>
  <c r="BR83" i="22"/>
  <c r="BP81" i="8"/>
  <c r="BN82" i="8"/>
  <c r="BL81" i="8"/>
  <c r="BJ82" i="8"/>
  <c r="BP82" i="19"/>
  <c r="BN83" i="19"/>
  <c r="BD82" i="21"/>
  <c r="BB83" i="21"/>
  <c r="BD81" i="8"/>
  <c r="BB82" i="8"/>
  <c r="BX82" i="19"/>
  <c r="BV83" i="19"/>
  <c r="BX81" i="22"/>
  <c r="BV82" i="22"/>
  <c r="BH81" i="8"/>
  <c r="BF82" i="8"/>
  <c r="AN82" i="21"/>
  <c r="AM82" i="21"/>
  <c r="AK83" i="21"/>
  <c r="CF82" i="21"/>
  <c r="CD83" i="21"/>
  <c r="CF82" i="19"/>
  <c r="CD83" i="19"/>
  <c r="AV82" i="19"/>
  <c r="AT83" i="19"/>
  <c r="BH82" i="21"/>
  <c r="BF83" i="21"/>
  <c r="BR83" i="21"/>
  <c r="BT82" i="21"/>
  <c r="AG81" i="8"/>
  <c r="AI81" i="8"/>
  <c r="AD82" i="8"/>
  <c r="AZ81" i="22"/>
  <c r="AX82" i="22"/>
  <c r="BT82" i="19"/>
  <c r="BR83" i="19"/>
  <c r="AN81" i="8"/>
  <c r="AM81" i="8"/>
  <c r="AK82" i="8"/>
  <c r="CB81" i="8"/>
  <c r="BZ82" i="8"/>
  <c r="BD82" i="22"/>
  <c r="BB83" i="22"/>
  <c r="AV82" i="22"/>
  <c r="AT83" i="22"/>
  <c r="AZ81" i="8"/>
  <c r="AX82" i="8"/>
  <c r="CI81" i="22"/>
  <c r="CJ81" i="22" s="1"/>
  <c r="Z81" i="22"/>
  <c r="W82" i="22"/>
  <c r="AB81" i="22"/>
  <c r="AR81" i="8"/>
  <c r="AP82" i="8"/>
  <c r="AR82" i="21"/>
  <c r="AP83" i="21"/>
  <c r="BH82" i="19"/>
  <c r="BF83" i="19"/>
  <c r="CI82" i="22" l="1"/>
  <c r="CJ82" i="22" s="1"/>
  <c r="AB82" i="22"/>
  <c r="Z82" i="22"/>
  <c r="W83" i="22"/>
  <c r="BT83" i="21"/>
  <c r="BR84" i="21"/>
  <c r="CF83" i="21"/>
  <c r="CD84" i="21"/>
  <c r="CB83" i="21"/>
  <c r="BZ84" i="21"/>
  <c r="AM83" i="19"/>
  <c r="AN83" i="19"/>
  <c r="AK84" i="19"/>
  <c r="AR83" i="22"/>
  <c r="AP84" i="22"/>
  <c r="AR82" i="8"/>
  <c r="AP83" i="8"/>
  <c r="BD83" i="22"/>
  <c r="BB84" i="22"/>
  <c r="AR83" i="21"/>
  <c r="AP84" i="21"/>
  <c r="AV83" i="22"/>
  <c r="AT84" i="22"/>
  <c r="CB82" i="8"/>
  <c r="BZ83" i="8"/>
  <c r="BL82" i="8"/>
  <c r="BJ83" i="8"/>
  <c r="BL83" i="21"/>
  <c r="BJ84" i="21"/>
  <c r="AV83" i="21"/>
  <c r="AT84" i="21"/>
  <c r="CI82" i="8"/>
  <c r="CJ82" i="8" s="1"/>
  <c r="Z82" i="8"/>
  <c r="W83" i="8"/>
  <c r="AB82" i="8"/>
  <c r="BT82" i="8"/>
  <c r="BR83" i="8"/>
  <c r="BD83" i="19"/>
  <c r="BB84" i="19"/>
  <c r="AN83" i="21"/>
  <c r="AM83" i="21"/>
  <c r="AK84" i="21"/>
  <c r="AM83" i="22"/>
  <c r="AN83" i="22"/>
  <c r="AK84" i="22"/>
  <c r="CB83" i="22"/>
  <c r="BZ84" i="22"/>
  <c r="AI83" i="21"/>
  <c r="AG83" i="21"/>
  <c r="AD84" i="21"/>
  <c r="AR83" i="19"/>
  <c r="AP84" i="19"/>
  <c r="AZ83" i="21"/>
  <c r="AX84" i="21"/>
  <c r="BX82" i="8"/>
  <c r="BV83" i="8"/>
  <c r="BD82" i="8"/>
  <c r="BB83" i="8"/>
  <c r="BL83" i="22"/>
  <c r="BJ84" i="22"/>
  <c r="Z83" i="21"/>
  <c r="AB83" i="21"/>
  <c r="W84" i="21"/>
  <c r="BH83" i="21"/>
  <c r="BF84" i="21"/>
  <c r="CF83" i="19"/>
  <c r="CD84" i="19"/>
  <c r="BH82" i="8"/>
  <c r="BF83" i="8"/>
  <c r="BX82" i="22"/>
  <c r="BV83" i="22"/>
  <c r="BP83" i="19"/>
  <c r="BN84" i="19"/>
  <c r="BX83" i="21"/>
  <c r="BV84" i="21"/>
  <c r="AV82" i="8"/>
  <c r="AT83" i="8"/>
  <c r="Z83" i="19"/>
  <c r="AB83" i="19"/>
  <c r="W84" i="19"/>
  <c r="BD83" i="21"/>
  <c r="BB84" i="21"/>
  <c r="BH83" i="19"/>
  <c r="BF84" i="19"/>
  <c r="AZ82" i="8"/>
  <c r="AX83" i="8"/>
  <c r="AN82" i="8"/>
  <c r="AM82" i="8"/>
  <c r="AK83" i="8"/>
  <c r="AZ82" i="22"/>
  <c r="AX83" i="22"/>
  <c r="BT83" i="22"/>
  <c r="BR84" i="22"/>
  <c r="BH82" i="22"/>
  <c r="BF83" i="22"/>
  <c r="AX84" i="19"/>
  <c r="AZ83" i="19"/>
  <c r="AI82" i="22"/>
  <c r="AG82" i="22"/>
  <c r="AD83" i="22"/>
  <c r="CF82" i="8"/>
  <c r="CD83" i="8"/>
  <c r="CF82" i="22"/>
  <c r="CD83" i="22"/>
  <c r="BT83" i="19"/>
  <c r="BR84" i="19"/>
  <c r="AV83" i="19"/>
  <c r="AT84" i="19"/>
  <c r="AI82" i="8"/>
  <c r="AG82" i="8"/>
  <c r="AD83" i="8"/>
  <c r="BX83" i="19"/>
  <c r="BV84" i="19"/>
  <c r="BP82" i="8"/>
  <c r="BN83" i="8"/>
  <c r="BL83" i="19"/>
  <c r="BJ84" i="19"/>
  <c r="BP83" i="21"/>
  <c r="BN84" i="21"/>
  <c r="CB83" i="19"/>
  <c r="BZ84" i="19"/>
  <c r="AI83" i="19"/>
  <c r="AG83" i="19"/>
  <c r="AD84" i="19"/>
  <c r="BP83" i="22"/>
  <c r="BN84" i="22"/>
  <c r="CF84" i="19" l="1"/>
  <c r="CD85" i="19"/>
  <c r="Z84" i="21"/>
  <c r="AB84" i="21"/>
  <c r="W85" i="21"/>
  <c r="CF84" i="21"/>
  <c r="CD85" i="21"/>
  <c r="BX83" i="8"/>
  <c r="BV84" i="8"/>
  <c r="BT84" i="19"/>
  <c r="BR85" i="19"/>
  <c r="AZ83" i="22"/>
  <c r="AX84" i="22"/>
  <c r="BH84" i="19"/>
  <c r="BF85" i="19"/>
  <c r="BD84" i="21"/>
  <c r="BB85" i="21"/>
  <c r="BX84" i="21"/>
  <c r="BV85" i="21"/>
  <c r="BL84" i="22"/>
  <c r="BJ85" i="22"/>
  <c r="AR84" i="19"/>
  <c r="AP85" i="19"/>
  <c r="AM84" i="22"/>
  <c r="AN84" i="22"/>
  <c r="AK85" i="22"/>
  <c r="CI83" i="8"/>
  <c r="CJ83" i="8" s="1"/>
  <c r="Z83" i="8"/>
  <c r="W84" i="8"/>
  <c r="AB83" i="8"/>
  <c r="CB83" i="8"/>
  <c r="BZ84" i="8"/>
  <c r="BT84" i="21"/>
  <c r="BR85" i="21"/>
  <c r="CB84" i="19"/>
  <c r="BZ85" i="19"/>
  <c r="BP83" i="8"/>
  <c r="BN84" i="8"/>
  <c r="BP84" i="21"/>
  <c r="BN85" i="21"/>
  <c r="BD84" i="19"/>
  <c r="BB85" i="19"/>
  <c r="AI83" i="8"/>
  <c r="AG83" i="8"/>
  <c r="AD84" i="8"/>
  <c r="AN83" i="8"/>
  <c r="AM83" i="8"/>
  <c r="AK84" i="8"/>
  <c r="BH84" i="21"/>
  <c r="BF85" i="21"/>
  <c r="BL84" i="21"/>
  <c r="BJ85" i="21"/>
  <c r="AV84" i="22"/>
  <c r="AT85" i="22"/>
  <c r="AR84" i="22"/>
  <c r="AP85" i="22"/>
  <c r="AM84" i="19"/>
  <c r="AN84" i="19"/>
  <c r="AK85" i="19"/>
  <c r="Z84" i="19"/>
  <c r="AB84" i="19"/>
  <c r="W85" i="19"/>
  <c r="BX83" i="22"/>
  <c r="BV84" i="22"/>
  <c r="BD83" i="8"/>
  <c r="BB84" i="8"/>
  <c r="AI84" i="21"/>
  <c r="AG84" i="21"/>
  <c r="AD85" i="21"/>
  <c r="AM84" i="21"/>
  <c r="AN84" i="21"/>
  <c r="AK85" i="21"/>
  <c r="AV84" i="21"/>
  <c r="AT85" i="21"/>
  <c r="BD84" i="22"/>
  <c r="BB85" i="22"/>
  <c r="CF83" i="22"/>
  <c r="CD84" i="22"/>
  <c r="AG83" i="22"/>
  <c r="AI83" i="22"/>
  <c r="AD84" i="22"/>
  <c r="AZ84" i="19"/>
  <c r="AX85" i="19"/>
  <c r="BH83" i="22"/>
  <c r="BF84" i="22"/>
  <c r="AZ84" i="21"/>
  <c r="AX85" i="21"/>
  <c r="BL83" i="8"/>
  <c r="BJ84" i="8"/>
  <c r="CI83" i="22"/>
  <c r="CJ83" i="22" s="1"/>
  <c r="Z83" i="22"/>
  <c r="AB83" i="22"/>
  <c r="W84" i="22"/>
  <c r="CB84" i="22"/>
  <c r="BZ85" i="22"/>
  <c r="BP84" i="22"/>
  <c r="BN85" i="22"/>
  <c r="AZ83" i="8"/>
  <c r="AX84" i="8"/>
  <c r="BP84" i="19"/>
  <c r="BN85" i="19"/>
  <c r="BH83" i="8"/>
  <c r="BF84" i="8"/>
  <c r="BT83" i="8"/>
  <c r="BR84" i="8"/>
  <c r="AR83" i="8"/>
  <c r="AP84" i="8"/>
  <c r="CB84" i="21"/>
  <c r="BZ85" i="21"/>
  <c r="AI84" i="19"/>
  <c r="AG84" i="19"/>
  <c r="AD85" i="19"/>
  <c r="BX84" i="19"/>
  <c r="BV85" i="19"/>
  <c r="BL84" i="19"/>
  <c r="BJ85" i="19"/>
  <c r="AV84" i="19"/>
  <c r="AT85" i="19"/>
  <c r="CF83" i="8"/>
  <c r="CD84" i="8"/>
  <c r="BT84" i="22"/>
  <c r="BR85" i="22"/>
  <c r="AV83" i="8"/>
  <c r="AT84" i="8"/>
  <c r="AR84" i="21"/>
  <c r="AP85" i="21"/>
  <c r="BT84" i="8" l="1"/>
  <c r="BR85" i="8"/>
  <c r="BT85" i="22"/>
  <c r="BR86" i="22"/>
  <c r="CB85" i="22"/>
  <c r="BZ86" i="22"/>
  <c r="AZ85" i="21"/>
  <c r="AX86" i="21"/>
  <c r="Z85" i="19"/>
  <c r="AB85" i="19"/>
  <c r="W86" i="19"/>
  <c r="AR85" i="22"/>
  <c r="AP86" i="22"/>
  <c r="CI84" i="8"/>
  <c r="CJ84" i="8" s="1"/>
  <c r="Z84" i="8"/>
  <c r="AB84" i="8"/>
  <c r="W85" i="8"/>
  <c r="BD85" i="21"/>
  <c r="BB86" i="21"/>
  <c r="CB85" i="21"/>
  <c r="BZ86" i="21"/>
  <c r="CF84" i="22"/>
  <c r="CD85" i="22"/>
  <c r="AV85" i="21"/>
  <c r="AT86" i="21"/>
  <c r="BD84" i="8"/>
  <c r="BB85" i="8"/>
  <c r="BD85" i="19"/>
  <c r="BB86" i="19"/>
  <c r="CF85" i="19"/>
  <c r="CD86" i="19"/>
  <c r="AV85" i="22"/>
  <c r="AT86" i="22"/>
  <c r="BT85" i="21"/>
  <c r="BR86" i="21"/>
  <c r="BH85" i="19"/>
  <c r="BF86" i="19"/>
  <c r="BH85" i="21"/>
  <c r="BF86" i="21"/>
  <c r="BP85" i="21"/>
  <c r="BN86" i="21"/>
  <c r="AM85" i="22"/>
  <c r="AN85" i="22"/>
  <c r="AK86" i="22"/>
  <c r="BX84" i="8"/>
  <c r="BV85" i="8"/>
  <c r="BD85" i="22"/>
  <c r="BB86" i="22"/>
  <c r="AN85" i="21"/>
  <c r="AM85" i="21"/>
  <c r="AK86" i="21"/>
  <c r="AR84" i="8"/>
  <c r="AP85" i="8"/>
  <c r="AZ85" i="19"/>
  <c r="AX86" i="19"/>
  <c r="BL85" i="21"/>
  <c r="BJ86" i="21"/>
  <c r="BL85" i="22"/>
  <c r="BJ86" i="22"/>
  <c r="AZ84" i="22"/>
  <c r="AX85" i="22"/>
  <c r="CF84" i="8"/>
  <c r="CD85" i="8"/>
  <c r="BP85" i="22"/>
  <c r="BN86" i="22"/>
  <c r="BX85" i="19"/>
  <c r="BV86" i="19"/>
  <c r="BP85" i="19"/>
  <c r="BN86" i="19"/>
  <c r="AZ84" i="8"/>
  <c r="AX85" i="8"/>
  <c r="CI84" i="22"/>
  <c r="CJ84" i="22" s="1"/>
  <c r="Z84" i="22"/>
  <c r="AB84" i="22"/>
  <c r="W85" i="22"/>
  <c r="BL84" i="8"/>
  <c r="BJ85" i="8"/>
  <c r="AM85" i="19"/>
  <c r="AN85" i="19"/>
  <c r="AK86" i="19"/>
  <c r="AG84" i="8"/>
  <c r="AI84" i="8"/>
  <c r="AD85" i="8"/>
  <c r="BP84" i="8"/>
  <c r="BN85" i="8"/>
  <c r="CB84" i="8"/>
  <c r="BZ85" i="8"/>
  <c r="BX85" i="21"/>
  <c r="BV86" i="21"/>
  <c r="CF85" i="21"/>
  <c r="CD86" i="21"/>
  <c r="AV84" i="8"/>
  <c r="AT85" i="8"/>
  <c r="AG84" i="22"/>
  <c r="AI84" i="22"/>
  <c r="AD85" i="22"/>
  <c r="AG85" i="21"/>
  <c r="AI85" i="21"/>
  <c r="AD86" i="21"/>
  <c r="BX84" i="22"/>
  <c r="BV85" i="22"/>
  <c r="AR85" i="19"/>
  <c r="AP86" i="19"/>
  <c r="AB85" i="21"/>
  <c r="Z85" i="21"/>
  <c r="W86" i="21"/>
  <c r="BH84" i="22"/>
  <c r="BF85" i="22"/>
  <c r="BL85" i="19"/>
  <c r="BJ86" i="19"/>
  <c r="BH84" i="8"/>
  <c r="BF85" i="8"/>
  <c r="AR85" i="21"/>
  <c r="AP86" i="21"/>
  <c r="AV85" i="19"/>
  <c r="AT86" i="19"/>
  <c r="AG85" i="19"/>
  <c r="AI85" i="19"/>
  <c r="AD86" i="19"/>
  <c r="AN84" i="8"/>
  <c r="AM84" i="8"/>
  <c r="AK85" i="8"/>
  <c r="CB85" i="19"/>
  <c r="BZ86" i="19"/>
  <c r="BT85" i="19"/>
  <c r="BR86" i="19"/>
  <c r="AM85" i="8" l="1"/>
  <c r="AN85" i="8"/>
  <c r="AK86" i="8"/>
  <c r="BV86" i="22"/>
  <c r="BX85" i="22"/>
  <c r="AV86" i="19"/>
  <c r="AT87" i="19"/>
  <c r="Z86" i="21"/>
  <c r="AB86" i="21"/>
  <c r="W87" i="21"/>
  <c r="BH85" i="8"/>
  <c r="BF86" i="8"/>
  <c r="CB85" i="8"/>
  <c r="BZ86" i="8"/>
  <c r="BH86" i="19"/>
  <c r="BF87" i="19"/>
  <c r="CI85" i="8"/>
  <c r="CJ85" i="8" s="1"/>
  <c r="Z85" i="8"/>
  <c r="AB85" i="8"/>
  <c r="W86" i="8"/>
  <c r="BZ87" i="22"/>
  <c r="CB86" i="22"/>
  <c r="AB86" i="19"/>
  <c r="Z86" i="19"/>
  <c r="W87" i="19"/>
  <c r="CF86" i="21"/>
  <c r="CD87" i="21"/>
  <c r="BP86" i="22"/>
  <c r="BN87" i="22"/>
  <c r="BL86" i="21"/>
  <c r="BJ87" i="21"/>
  <c r="AN86" i="21"/>
  <c r="AM86" i="21"/>
  <c r="AK87" i="21"/>
  <c r="BP85" i="8"/>
  <c r="BN86" i="8"/>
  <c r="BX85" i="8"/>
  <c r="BV86" i="8"/>
  <c r="BP86" i="21"/>
  <c r="BN87" i="21"/>
  <c r="AV86" i="22"/>
  <c r="AT87" i="22"/>
  <c r="CF85" i="22"/>
  <c r="CD86" i="22"/>
  <c r="BH85" i="22"/>
  <c r="BF86" i="22"/>
  <c r="AG86" i="21"/>
  <c r="AD87" i="21"/>
  <c r="AI86" i="21"/>
  <c r="CF85" i="8"/>
  <c r="CD86" i="8"/>
  <c r="CB86" i="21"/>
  <c r="BZ87" i="21"/>
  <c r="BT85" i="8"/>
  <c r="BR86" i="8"/>
  <c r="BT86" i="21"/>
  <c r="BR87" i="21"/>
  <c r="AN86" i="19"/>
  <c r="AM86" i="19"/>
  <c r="AK87" i="19"/>
  <c r="BD86" i="22"/>
  <c r="BB87" i="22"/>
  <c r="AR86" i="21"/>
  <c r="AP87" i="21"/>
  <c r="BX86" i="21"/>
  <c r="BV87" i="21"/>
  <c r="BL85" i="8"/>
  <c r="BJ86" i="8"/>
  <c r="BP86" i="19"/>
  <c r="BN87" i="19"/>
  <c r="AZ85" i="22"/>
  <c r="AX86" i="22"/>
  <c r="AZ86" i="19"/>
  <c r="AX87" i="19"/>
  <c r="AN86" i="22"/>
  <c r="AM86" i="22"/>
  <c r="AK87" i="22"/>
  <c r="BH86" i="21"/>
  <c r="BF87" i="21"/>
  <c r="CF86" i="19"/>
  <c r="CD87" i="19"/>
  <c r="BD86" i="19"/>
  <c r="BB87" i="19"/>
  <c r="BD85" i="8"/>
  <c r="BB86" i="8"/>
  <c r="AR86" i="22"/>
  <c r="AP87" i="22"/>
  <c r="AZ86" i="21"/>
  <c r="AX87" i="21"/>
  <c r="BT86" i="22"/>
  <c r="BR87" i="22"/>
  <c r="BL86" i="19"/>
  <c r="BJ87" i="19"/>
  <c r="AZ85" i="8"/>
  <c r="AX86" i="8"/>
  <c r="BX86" i="19"/>
  <c r="BV87" i="19"/>
  <c r="AR85" i="8"/>
  <c r="AP86" i="8"/>
  <c r="BD86" i="21"/>
  <c r="BB87" i="21"/>
  <c r="AI86" i="19"/>
  <c r="AG86" i="19"/>
  <c r="AD87" i="19"/>
  <c r="AG85" i="8"/>
  <c r="AI85" i="8"/>
  <c r="AD86" i="8"/>
  <c r="AR86" i="19"/>
  <c r="AP87" i="19"/>
  <c r="AG85" i="22"/>
  <c r="AI85" i="22"/>
  <c r="AD86" i="22"/>
  <c r="BT86" i="19"/>
  <c r="BR87" i="19"/>
  <c r="CB86" i="19"/>
  <c r="BZ87" i="19"/>
  <c r="AV85" i="8"/>
  <c r="AT86" i="8"/>
  <c r="CI85" i="22"/>
  <c r="CJ85" i="22" s="1"/>
  <c r="Z85" i="22"/>
  <c r="W86" i="22"/>
  <c r="AB85" i="22"/>
  <c r="BL86" i="22"/>
  <c r="BJ87" i="22"/>
  <c r="AV86" i="21"/>
  <c r="AT87" i="21"/>
  <c r="BD87" i="22" l="1"/>
  <c r="BB88" i="22"/>
  <c r="CF86" i="8"/>
  <c r="CD87" i="8"/>
  <c r="BL87" i="21"/>
  <c r="BJ88" i="21"/>
  <c r="AM86" i="8"/>
  <c r="AN86" i="8"/>
  <c r="AK87" i="8"/>
  <c r="AV86" i="8"/>
  <c r="AT87" i="8"/>
  <c r="AV87" i="21"/>
  <c r="AT88" i="21"/>
  <c r="AR87" i="19"/>
  <c r="AP88" i="19"/>
  <c r="AI87" i="19"/>
  <c r="AG87" i="19"/>
  <c r="AD88" i="19"/>
  <c r="AR86" i="8"/>
  <c r="AP87" i="8"/>
  <c r="BL86" i="8"/>
  <c r="BJ87" i="8"/>
  <c r="AR87" i="21"/>
  <c r="AP88" i="21"/>
  <c r="CB87" i="21"/>
  <c r="BZ88" i="21"/>
  <c r="BP87" i="21"/>
  <c r="BN88" i="21"/>
  <c r="Z87" i="21"/>
  <c r="AB87" i="21"/>
  <c r="W88" i="21"/>
  <c r="BT87" i="22"/>
  <c r="BR88" i="22"/>
  <c r="BH87" i="21"/>
  <c r="BF88" i="21"/>
  <c r="AZ87" i="19"/>
  <c r="AX88" i="19"/>
  <c r="BT87" i="21"/>
  <c r="BR88" i="21"/>
  <c r="Z87" i="19"/>
  <c r="AB87" i="19"/>
  <c r="W88" i="19"/>
  <c r="BH86" i="8"/>
  <c r="BF87" i="8"/>
  <c r="AI87" i="21"/>
  <c r="AG87" i="21"/>
  <c r="AD88" i="21"/>
  <c r="BX86" i="8"/>
  <c r="BV87" i="8"/>
  <c r="BP87" i="22"/>
  <c r="BN88" i="22"/>
  <c r="CF87" i="21"/>
  <c r="CD88" i="21"/>
  <c r="BD86" i="8"/>
  <c r="BB87" i="8"/>
  <c r="AZ87" i="21"/>
  <c r="AX88" i="21"/>
  <c r="AM87" i="22"/>
  <c r="AN87" i="22"/>
  <c r="AK88" i="22"/>
  <c r="AN87" i="19"/>
  <c r="AM87" i="19"/>
  <c r="AK88" i="19"/>
  <c r="CF86" i="22"/>
  <c r="CD87" i="22"/>
  <c r="CB86" i="8"/>
  <c r="BZ87" i="8"/>
  <c r="AV87" i="19"/>
  <c r="AT88" i="19"/>
  <c r="AZ86" i="8"/>
  <c r="AX87" i="8"/>
  <c r="CI86" i="22"/>
  <c r="CJ86" i="22" s="1"/>
  <c r="Z86" i="22"/>
  <c r="W87" i="22"/>
  <c r="AB86" i="22"/>
  <c r="BT87" i="19"/>
  <c r="BR88" i="19"/>
  <c r="BL87" i="19"/>
  <c r="BJ88" i="19"/>
  <c r="BD87" i="19"/>
  <c r="BB88" i="19"/>
  <c r="AZ86" i="22"/>
  <c r="AX87" i="22"/>
  <c r="BH86" i="22"/>
  <c r="BF87" i="22"/>
  <c r="AM87" i="21"/>
  <c r="AN87" i="21"/>
  <c r="AK88" i="21"/>
  <c r="CB87" i="22"/>
  <c r="BZ88" i="22"/>
  <c r="BH87" i="19"/>
  <c r="BF88" i="19"/>
  <c r="AG86" i="22"/>
  <c r="AI86" i="22"/>
  <c r="AD87" i="22"/>
  <c r="AG86" i="8"/>
  <c r="AI86" i="8"/>
  <c r="AD87" i="8"/>
  <c r="AR87" i="22"/>
  <c r="AP88" i="22"/>
  <c r="CI86" i="8"/>
  <c r="CJ86" i="8" s="1"/>
  <c r="Z86" i="8"/>
  <c r="AB86" i="8"/>
  <c r="W87" i="8"/>
  <c r="CB87" i="19"/>
  <c r="BZ88" i="19"/>
  <c r="BB88" i="21"/>
  <c r="BD87" i="21"/>
  <c r="BL87" i="22"/>
  <c r="BJ88" i="22"/>
  <c r="BV88" i="19"/>
  <c r="BX87" i="19"/>
  <c r="CF87" i="19"/>
  <c r="CD88" i="19"/>
  <c r="BP87" i="19"/>
  <c r="BN88" i="19"/>
  <c r="BX87" i="21"/>
  <c r="BV88" i="21"/>
  <c r="BT86" i="8"/>
  <c r="BR87" i="8"/>
  <c r="AV87" i="22"/>
  <c r="AT88" i="22"/>
  <c r="BP86" i="8"/>
  <c r="BN87" i="8"/>
  <c r="BX86" i="22"/>
  <c r="BV87" i="22"/>
  <c r="BP87" i="8" l="1"/>
  <c r="BN88" i="8"/>
  <c r="AV88" i="19"/>
  <c r="AT89" i="19"/>
  <c r="CF88" i="19"/>
  <c r="CD89" i="19"/>
  <c r="BL88" i="19"/>
  <c r="BJ89" i="19"/>
  <c r="BT88" i="19"/>
  <c r="BR89" i="19"/>
  <c r="AG88" i="21"/>
  <c r="AI88" i="21"/>
  <c r="AD89" i="21"/>
  <c r="BH87" i="8"/>
  <c r="BF88" i="8"/>
  <c r="BT88" i="21"/>
  <c r="BR89" i="21"/>
  <c r="AP89" i="21"/>
  <c r="AR88" i="21"/>
  <c r="AV87" i="8"/>
  <c r="AT88" i="8"/>
  <c r="AV88" i="22"/>
  <c r="AT89" i="22"/>
  <c r="AZ87" i="22"/>
  <c r="AX88" i="22"/>
  <c r="AZ88" i="19"/>
  <c r="AX89" i="19"/>
  <c r="Z88" i="21"/>
  <c r="AB88" i="21"/>
  <c r="W89" i="21"/>
  <c r="CI87" i="8"/>
  <c r="CJ87" i="8" s="1"/>
  <c r="Z87" i="8"/>
  <c r="AB87" i="8"/>
  <c r="W88" i="8"/>
  <c r="CB88" i="22"/>
  <c r="BZ89" i="22"/>
  <c r="BT87" i="8"/>
  <c r="BR88" i="8"/>
  <c r="AG87" i="22"/>
  <c r="AI87" i="22"/>
  <c r="AD88" i="22"/>
  <c r="AZ87" i="8"/>
  <c r="AX88" i="8"/>
  <c r="BD87" i="8"/>
  <c r="BB88" i="8"/>
  <c r="CF88" i="21"/>
  <c r="CD89" i="21"/>
  <c r="CB88" i="21"/>
  <c r="BZ89" i="21"/>
  <c r="BL87" i="8"/>
  <c r="BJ88" i="8"/>
  <c r="AG88" i="19"/>
  <c r="AI88" i="19"/>
  <c r="AD89" i="19"/>
  <c r="BP88" i="19"/>
  <c r="BN89" i="19"/>
  <c r="BH88" i="19"/>
  <c r="BF89" i="19"/>
  <c r="CF87" i="22"/>
  <c r="CD88" i="22"/>
  <c r="BD88" i="21"/>
  <c r="BB89" i="21"/>
  <c r="BD88" i="19"/>
  <c r="BB89" i="19"/>
  <c r="CB87" i="8"/>
  <c r="BZ88" i="8"/>
  <c r="AN88" i="22"/>
  <c r="AM88" i="22"/>
  <c r="AK89" i="22"/>
  <c r="AZ88" i="21"/>
  <c r="AX89" i="21"/>
  <c r="BF89" i="21"/>
  <c r="BH88" i="21"/>
  <c r="BD88" i="22"/>
  <c r="BB89" i="22"/>
  <c r="CF87" i="8"/>
  <c r="CD88" i="8"/>
  <c r="BL88" i="22"/>
  <c r="BJ89" i="22"/>
  <c r="CB88" i="19"/>
  <c r="BZ89" i="19"/>
  <c r="BH87" i="22"/>
  <c r="BF88" i="22"/>
  <c r="CI87" i="22"/>
  <c r="CJ87" i="22" s="1"/>
  <c r="AB87" i="22"/>
  <c r="W88" i="22"/>
  <c r="Z87" i="22"/>
  <c r="BP88" i="22"/>
  <c r="BN89" i="22"/>
  <c r="AV88" i="21"/>
  <c r="AT89" i="21"/>
  <c r="AM87" i="8"/>
  <c r="AN87" i="8"/>
  <c r="AK88" i="8"/>
  <c r="BX87" i="22"/>
  <c r="BV88" i="22"/>
  <c r="Z88" i="19"/>
  <c r="AB88" i="19"/>
  <c r="W89" i="19"/>
  <c r="BT88" i="22"/>
  <c r="BR89" i="22"/>
  <c r="BP88" i="21"/>
  <c r="BN89" i="21"/>
  <c r="AR88" i="19"/>
  <c r="AP89" i="19"/>
  <c r="BX88" i="21"/>
  <c r="BV89" i="21"/>
  <c r="BX87" i="8"/>
  <c r="BV88" i="8"/>
  <c r="BX88" i="19"/>
  <c r="BV89" i="19"/>
  <c r="AR88" i="22"/>
  <c r="AP89" i="22"/>
  <c r="AI87" i="8"/>
  <c r="AG87" i="8"/>
  <c r="AD88" i="8"/>
  <c r="AN88" i="21"/>
  <c r="AM88" i="21"/>
  <c r="AK89" i="21"/>
  <c r="AN88" i="19"/>
  <c r="AM88" i="19"/>
  <c r="AK89" i="19"/>
  <c r="AR87" i="8"/>
  <c r="AP88" i="8"/>
  <c r="BL88" i="21"/>
  <c r="BJ89" i="21"/>
  <c r="AN89" i="19" l="1"/>
  <c r="AM89" i="19"/>
  <c r="AK90" i="19"/>
  <c r="BX88" i="8"/>
  <c r="BV89" i="8"/>
  <c r="BH89" i="19"/>
  <c r="BF90" i="19"/>
  <c r="AI88" i="22"/>
  <c r="AG88" i="22"/>
  <c r="AD89" i="22"/>
  <c r="BT89" i="21"/>
  <c r="BR90" i="21"/>
  <c r="BP88" i="8"/>
  <c r="BN89" i="8"/>
  <c r="AZ88" i="22"/>
  <c r="AX89" i="22"/>
  <c r="AM89" i="21"/>
  <c r="AN89" i="21"/>
  <c r="AK90" i="21"/>
  <c r="BH88" i="22"/>
  <c r="BF89" i="22"/>
  <c r="BD89" i="22"/>
  <c r="BB90" i="22"/>
  <c r="BH89" i="21"/>
  <c r="BF90" i="21"/>
  <c r="AZ89" i="21"/>
  <c r="AX90" i="21"/>
  <c r="AG89" i="19"/>
  <c r="AI89" i="19"/>
  <c r="AD90" i="19"/>
  <c r="AZ88" i="8"/>
  <c r="AX89" i="8"/>
  <c r="CB89" i="22"/>
  <c r="BZ90" i="22"/>
  <c r="Z89" i="21"/>
  <c r="AB89" i="21"/>
  <c r="W90" i="21"/>
  <c r="AV89" i="22"/>
  <c r="AT90" i="22"/>
  <c r="AV88" i="8"/>
  <c r="AT89" i="8"/>
  <c r="BT89" i="19"/>
  <c r="BR90" i="19"/>
  <c r="BD89" i="19"/>
  <c r="BB90" i="19"/>
  <c r="BH88" i="8"/>
  <c r="BF89" i="8"/>
  <c r="CF89" i="19"/>
  <c r="CD90" i="19"/>
  <c r="BD89" i="21"/>
  <c r="BB90" i="21"/>
  <c r="BX89" i="19"/>
  <c r="BV90" i="19"/>
  <c r="BP89" i="21"/>
  <c r="BN90" i="21"/>
  <c r="AG88" i="8"/>
  <c r="AI88" i="8"/>
  <c r="AD89" i="8"/>
  <c r="BX88" i="22"/>
  <c r="BV89" i="22"/>
  <c r="BP89" i="22"/>
  <c r="BN90" i="22"/>
  <c r="AN89" i="22"/>
  <c r="AM89" i="22"/>
  <c r="AK90" i="22"/>
  <c r="CF89" i="21"/>
  <c r="CD90" i="21"/>
  <c r="BT88" i="8"/>
  <c r="BR89" i="8"/>
  <c r="Z88" i="8"/>
  <c r="CI88" i="8"/>
  <c r="CJ88" i="8" s="1"/>
  <c r="AB88" i="8"/>
  <c r="W89" i="8"/>
  <c r="BL89" i="19"/>
  <c r="BJ90" i="19"/>
  <c r="BL89" i="21"/>
  <c r="BJ90" i="21"/>
  <c r="CB89" i="19"/>
  <c r="BZ90" i="19"/>
  <c r="BT89" i="22"/>
  <c r="BR90" i="22"/>
  <c r="CB88" i="8"/>
  <c r="BZ89" i="8"/>
  <c r="BL88" i="8"/>
  <c r="BJ89" i="8"/>
  <c r="AZ89" i="19"/>
  <c r="AX90" i="19"/>
  <c r="AV89" i="21"/>
  <c r="AT90" i="21"/>
  <c r="AN88" i="8"/>
  <c r="AM88" i="8"/>
  <c r="AK89" i="8"/>
  <c r="BL89" i="22"/>
  <c r="BJ90" i="22"/>
  <c r="CF88" i="8"/>
  <c r="CD89" i="8"/>
  <c r="CF88" i="22"/>
  <c r="CD89" i="22"/>
  <c r="BP89" i="19"/>
  <c r="BN90" i="19"/>
  <c r="BD88" i="8"/>
  <c r="BB89" i="8"/>
  <c r="AG89" i="21"/>
  <c r="AI89" i="21"/>
  <c r="AD90" i="21"/>
  <c r="AT90" i="19"/>
  <c r="AV89" i="19"/>
  <c r="BX89" i="21"/>
  <c r="BV90" i="21"/>
  <c r="AR88" i="8"/>
  <c r="AP89" i="8"/>
  <c r="AR89" i="22"/>
  <c r="AP90" i="22"/>
  <c r="AR89" i="19"/>
  <c r="AP90" i="19"/>
  <c r="Z89" i="19"/>
  <c r="AB89" i="19"/>
  <c r="W90" i="19"/>
  <c r="CI88" i="22"/>
  <c r="CJ88" i="22" s="1"/>
  <c r="Z88" i="22"/>
  <c r="W89" i="22"/>
  <c r="AB88" i="22"/>
  <c r="CB89" i="21"/>
  <c r="BZ90" i="21"/>
  <c r="AP90" i="21"/>
  <c r="AR89" i="21"/>
  <c r="AZ89" i="8" l="1"/>
  <c r="AX90" i="8"/>
  <c r="AZ90" i="21"/>
  <c r="AX91" i="21"/>
  <c r="CB90" i="21"/>
  <c r="BZ91" i="21"/>
  <c r="Z90" i="19"/>
  <c r="AB90" i="19"/>
  <c r="W91" i="19"/>
  <c r="BP90" i="19"/>
  <c r="BN91" i="19"/>
  <c r="AN89" i="8"/>
  <c r="AM89" i="8"/>
  <c r="AK90" i="8"/>
  <c r="AV90" i="21"/>
  <c r="AT91" i="21"/>
  <c r="CB89" i="8"/>
  <c r="BZ90" i="8"/>
  <c r="BL90" i="19"/>
  <c r="BJ91" i="19"/>
  <c r="BX90" i="19"/>
  <c r="BV91" i="19"/>
  <c r="AR90" i="22"/>
  <c r="AP91" i="22"/>
  <c r="BD89" i="8"/>
  <c r="BB90" i="8"/>
  <c r="CF89" i="8"/>
  <c r="CD90" i="8"/>
  <c r="CI89" i="22"/>
  <c r="CJ89" i="22" s="1"/>
  <c r="AB89" i="22"/>
  <c r="Z89" i="22"/>
  <c r="W90" i="22"/>
  <c r="AR89" i="8"/>
  <c r="AP90" i="8"/>
  <c r="AV90" i="19"/>
  <c r="AT91" i="19"/>
  <c r="BL90" i="22"/>
  <c r="BJ91" i="22"/>
  <c r="BR91" i="19"/>
  <c r="BT90" i="19"/>
  <c r="Z90" i="21"/>
  <c r="AB90" i="21"/>
  <c r="W91" i="21"/>
  <c r="BH90" i="21"/>
  <c r="BF91" i="21"/>
  <c r="AI90" i="21"/>
  <c r="AG90" i="21"/>
  <c r="AD91" i="21"/>
  <c r="CF89" i="22"/>
  <c r="CD90" i="22"/>
  <c r="AZ90" i="19"/>
  <c r="AX91" i="19"/>
  <c r="BT90" i="22"/>
  <c r="BR91" i="22"/>
  <c r="BT89" i="8"/>
  <c r="BR90" i="8"/>
  <c r="BP90" i="22"/>
  <c r="BN91" i="22"/>
  <c r="BD90" i="21"/>
  <c r="BB91" i="21"/>
  <c r="BH89" i="8"/>
  <c r="BF90" i="8"/>
  <c r="AI90" i="19"/>
  <c r="AG90" i="19"/>
  <c r="AD91" i="19"/>
  <c r="AN90" i="21"/>
  <c r="AM90" i="21"/>
  <c r="AK91" i="21"/>
  <c r="AG89" i="22"/>
  <c r="AI89" i="22"/>
  <c r="AD90" i="22"/>
  <c r="BX90" i="21"/>
  <c r="BV91" i="21"/>
  <c r="AV89" i="8"/>
  <c r="AT90" i="8"/>
  <c r="BD90" i="22"/>
  <c r="BB91" i="22"/>
  <c r="AR90" i="19"/>
  <c r="AP91" i="19"/>
  <c r="BL89" i="8"/>
  <c r="BJ90" i="8"/>
  <c r="CF90" i="21"/>
  <c r="CD91" i="21"/>
  <c r="BX89" i="22"/>
  <c r="BV90" i="22"/>
  <c r="CF90" i="19"/>
  <c r="CD91" i="19"/>
  <c r="BZ91" i="22"/>
  <c r="CB90" i="22"/>
  <c r="CB90" i="19"/>
  <c r="BZ91" i="19"/>
  <c r="BL90" i="21"/>
  <c r="BJ91" i="21"/>
  <c r="AV90" i="22"/>
  <c r="AT91" i="22"/>
  <c r="BH89" i="22"/>
  <c r="BF90" i="22"/>
  <c r="BP89" i="8"/>
  <c r="BN90" i="8"/>
  <c r="AN90" i="19"/>
  <c r="AM90" i="19"/>
  <c r="AK91" i="19"/>
  <c r="AR90" i="21"/>
  <c r="AP91" i="21"/>
  <c r="Z89" i="8"/>
  <c r="CI89" i="8"/>
  <c r="CJ89" i="8" s="1"/>
  <c r="AB89" i="8"/>
  <c r="W90" i="8"/>
  <c r="AN90" i="22"/>
  <c r="AM90" i="22"/>
  <c r="AK91" i="22"/>
  <c r="AI89" i="8"/>
  <c r="AG89" i="8"/>
  <c r="AD90" i="8"/>
  <c r="BP90" i="21"/>
  <c r="BN91" i="21"/>
  <c r="BD90" i="19"/>
  <c r="BB91" i="19"/>
  <c r="AZ89" i="22"/>
  <c r="AX90" i="22"/>
  <c r="BT90" i="21"/>
  <c r="BR91" i="21"/>
  <c r="BH90" i="19"/>
  <c r="BF91" i="19"/>
  <c r="BX89" i="8"/>
  <c r="BV90" i="8"/>
  <c r="BP91" i="21" l="1"/>
  <c r="BN92" i="21"/>
  <c r="AZ90" i="22"/>
  <c r="AX91" i="22"/>
  <c r="AR91" i="21"/>
  <c r="AP92" i="21"/>
  <c r="BD91" i="19"/>
  <c r="BB92" i="19"/>
  <c r="BH90" i="22"/>
  <c r="BF91" i="22"/>
  <c r="CB91" i="22"/>
  <c r="BZ92" i="22"/>
  <c r="CF90" i="22"/>
  <c r="CD91" i="22"/>
  <c r="CI90" i="8"/>
  <c r="CJ90" i="8" s="1"/>
  <c r="Z90" i="8"/>
  <c r="W91" i="8"/>
  <c r="AB90" i="8"/>
  <c r="BX90" i="8"/>
  <c r="BV91" i="8"/>
  <c r="AN91" i="22"/>
  <c r="AM91" i="22"/>
  <c r="AK92" i="22"/>
  <c r="CF91" i="21"/>
  <c r="CD92" i="21"/>
  <c r="BP91" i="22"/>
  <c r="BN92" i="22"/>
  <c r="Z91" i="21"/>
  <c r="AB91" i="21"/>
  <c r="W92" i="21"/>
  <c r="AR90" i="8"/>
  <c r="AP91" i="8"/>
  <c r="AR91" i="22"/>
  <c r="AP92" i="22"/>
  <c r="BX91" i="19"/>
  <c r="BV92" i="19"/>
  <c r="AM90" i="8"/>
  <c r="AN90" i="8"/>
  <c r="AK91" i="8"/>
  <c r="CI90" i="22"/>
  <c r="CJ90" i="22" s="1"/>
  <c r="Z90" i="22"/>
  <c r="AB90" i="22"/>
  <c r="W91" i="22"/>
  <c r="BL91" i="19"/>
  <c r="BJ92" i="19"/>
  <c r="Z91" i="19"/>
  <c r="AB91" i="19"/>
  <c r="W92" i="19"/>
  <c r="CB91" i="21"/>
  <c r="BZ92" i="21"/>
  <c r="BD91" i="22"/>
  <c r="BB92" i="22"/>
  <c r="AN91" i="21"/>
  <c r="AM91" i="21"/>
  <c r="AK92" i="21"/>
  <c r="AG91" i="21"/>
  <c r="AI91" i="21"/>
  <c r="AD92" i="21"/>
  <c r="BH91" i="19"/>
  <c r="BF92" i="19"/>
  <c r="BT90" i="8"/>
  <c r="BR91" i="8"/>
  <c r="BL91" i="21"/>
  <c r="BJ92" i="21"/>
  <c r="CF91" i="19"/>
  <c r="CD92" i="19"/>
  <c r="BL90" i="8"/>
  <c r="BJ91" i="8"/>
  <c r="BX91" i="21"/>
  <c r="BV92" i="21"/>
  <c r="AZ91" i="21"/>
  <c r="AX92" i="21"/>
  <c r="AV90" i="8"/>
  <c r="AT91" i="8"/>
  <c r="AR91" i="19"/>
  <c r="AP92" i="19"/>
  <c r="BH90" i="8"/>
  <c r="BF91" i="8"/>
  <c r="BT91" i="22"/>
  <c r="BR92" i="22"/>
  <c r="BT91" i="19"/>
  <c r="BR92" i="19"/>
  <c r="CF90" i="8"/>
  <c r="CD91" i="8"/>
  <c r="CB90" i="8"/>
  <c r="BZ91" i="8"/>
  <c r="BT91" i="21"/>
  <c r="BR92" i="21"/>
  <c r="AG90" i="8"/>
  <c r="AI90" i="8"/>
  <c r="AD91" i="8"/>
  <c r="AN91" i="19"/>
  <c r="AM91" i="19"/>
  <c r="AK92" i="19"/>
  <c r="BP90" i="8"/>
  <c r="BN91" i="8"/>
  <c r="AV91" i="22"/>
  <c r="AT92" i="22"/>
  <c r="CB91" i="19"/>
  <c r="BZ92" i="19"/>
  <c r="BX90" i="22"/>
  <c r="BV91" i="22"/>
  <c r="AG90" i="22"/>
  <c r="AD91" i="22"/>
  <c r="AI90" i="22"/>
  <c r="BL91" i="22"/>
  <c r="BJ92" i="22"/>
  <c r="AZ90" i="8"/>
  <c r="AX91" i="8"/>
  <c r="AG91" i="19"/>
  <c r="AI91" i="19"/>
  <c r="AD92" i="19"/>
  <c r="BD91" i="21"/>
  <c r="BB92" i="21"/>
  <c r="AZ91" i="19"/>
  <c r="AX92" i="19"/>
  <c r="BH91" i="21"/>
  <c r="BF92" i="21"/>
  <c r="AV91" i="19"/>
  <c r="AT92" i="19"/>
  <c r="BD90" i="8"/>
  <c r="BB91" i="8"/>
  <c r="AV91" i="21"/>
  <c r="AT92" i="21"/>
  <c r="BP91" i="19"/>
  <c r="BN92" i="19"/>
  <c r="BX92" i="21" l="1"/>
  <c r="BV93" i="21"/>
  <c r="AR92" i="22"/>
  <c r="AP93" i="22"/>
  <c r="CB92" i="19"/>
  <c r="BZ93" i="19"/>
  <c r="AN92" i="19"/>
  <c r="AM92" i="19"/>
  <c r="AK93" i="19"/>
  <c r="BZ92" i="8"/>
  <c r="CB91" i="8"/>
  <c r="BL91" i="8"/>
  <c r="BJ92" i="8"/>
  <c r="CB92" i="21"/>
  <c r="BZ93" i="21"/>
  <c r="AN91" i="8"/>
  <c r="AM91" i="8"/>
  <c r="AK92" i="8"/>
  <c r="AR91" i="8"/>
  <c r="AP92" i="8"/>
  <c r="BP92" i="22"/>
  <c r="BN93" i="22"/>
  <c r="CF91" i="22"/>
  <c r="CD92" i="22"/>
  <c r="BH91" i="8"/>
  <c r="BF92" i="8"/>
  <c r="AV92" i="19"/>
  <c r="AT93" i="19"/>
  <c r="BP91" i="8"/>
  <c r="BN92" i="8"/>
  <c r="BT92" i="22"/>
  <c r="BR93" i="22"/>
  <c r="BT91" i="8"/>
  <c r="BR92" i="8"/>
  <c r="BF92" i="22"/>
  <c r="BH91" i="22"/>
  <c r="BL92" i="22"/>
  <c r="BJ93" i="22"/>
  <c r="BX91" i="22"/>
  <c r="BV92" i="22"/>
  <c r="AR92" i="19"/>
  <c r="AP93" i="19"/>
  <c r="AI92" i="19"/>
  <c r="AG92" i="19"/>
  <c r="AD93" i="19"/>
  <c r="BD91" i="8"/>
  <c r="BB92" i="8"/>
  <c r="BH92" i="21"/>
  <c r="BF93" i="21"/>
  <c r="AG91" i="22"/>
  <c r="AI91" i="22"/>
  <c r="AD92" i="22"/>
  <c r="CF92" i="19"/>
  <c r="CD93" i="19"/>
  <c r="AM92" i="21"/>
  <c r="AN92" i="21"/>
  <c r="AK93" i="21"/>
  <c r="Z92" i="19"/>
  <c r="AB92" i="19"/>
  <c r="W93" i="19"/>
  <c r="BD92" i="19"/>
  <c r="BB93" i="19"/>
  <c r="BX92" i="19"/>
  <c r="BV93" i="19"/>
  <c r="Z92" i="21"/>
  <c r="W93" i="21"/>
  <c r="AB92" i="21"/>
  <c r="CF92" i="21"/>
  <c r="CD93" i="21"/>
  <c r="BX91" i="8"/>
  <c r="BV92" i="8"/>
  <c r="AR92" i="21"/>
  <c r="AP93" i="21"/>
  <c r="AZ92" i="19"/>
  <c r="AX93" i="19"/>
  <c r="AV92" i="22"/>
  <c r="AT93" i="22"/>
  <c r="AI91" i="8"/>
  <c r="AG91" i="8"/>
  <c r="AD92" i="8"/>
  <c r="CF91" i="8"/>
  <c r="CD92" i="8"/>
  <c r="BL92" i="21"/>
  <c r="BJ93" i="21"/>
  <c r="AX92" i="8"/>
  <c r="AZ91" i="8"/>
  <c r="BH92" i="19"/>
  <c r="BF93" i="19"/>
  <c r="BD92" i="22"/>
  <c r="BB93" i="22"/>
  <c r="BL92" i="19"/>
  <c r="BJ93" i="19"/>
  <c r="AN92" i="22"/>
  <c r="AM92" i="22"/>
  <c r="AK93" i="22"/>
  <c r="CB92" i="22"/>
  <c r="BZ93" i="22"/>
  <c r="AZ91" i="22"/>
  <c r="AX92" i="22"/>
  <c r="AZ92" i="21"/>
  <c r="AX93" i="21"/>
  <c r="BP92" i="19"/>
  <c r="BN93" i="19"/>
  <c r="BD92" i="21"/>
  <c r="BB93" i="21"/>
  <c r="AI92" i="21"/>
  <c r="AG92" i="21"/>
  <c r="AD93" i="21"/>
  <c r="AV92" i="21"/>
  <c r="AT93" i="21"/>
  <c r="BT92" i="21"/>
  <c r="BR93" i="21"/>
  <c r="BT92" i="19"/>
  <c r="BR93" i="19"/>
  <c r="AV91" i="8"/>
  <c r="AT92" i="8"/>
  <c r="CI91" i="22"/>
  <c r="CJ91" i="22" s="1"/>
  <c r="Z91" i="22"/>
  <c r="AB91" i="22"/>
  <c r="W92" i="22"/>
  <c r="Z91" i="8"/>
  <c r="CI91" i="8"/>
  <c r="CJ91" i="8" s="1"/>
  <c r="AB91" i="8"/>
  <c r="W92" i="8"/>
  <c r="BP92" i="21"/>
  <c r="BN93" i="21"/>
  <c r="BX92" i="22" l="1"/>
  <c r="BV93" i="22"/>
  <c r="BL93" i="22"/>
  <c r="BJ94" i="22"/>
  <c r="AR92" i="8"/>
  <c r="AP93" i="8"/>
  <c r="BX93" i="21"/>
  <c r="BV94" i="21"/>
  <c r="Z93" i="21"/>
  <c r="W94" i="21"/>
  <c r="AB93" i="21"/>
  <c r="AV93" i="19"/>
  <c r="AT94" i="19"/>
  <c r="CF92" i="22"/>
  <c r="CD93" i="22"/>
  <c r="CB93" i="19"/>
  <c r="BZ94" i="19"/>
  <c r="BH93" i="19"/>
  <c r="BF94" i="19"/>
  <c r="BP93" i="19"/>
  <c r="BN94" i="19"/>
  <c r="AZ92" i="22"/>
  <c r="AX93" i="22"/>
  <c r="AZ92" i="8"/>
  <c r="AX93" i="8"/>
  <c r="BL93" i="21"/>
  <c r="BJ94" i="21"/>
  <c r="CF92" i="8"/>
  <c r="CD93" i="8"/>
  <c r="BD93" i="19"/>
  <c r="BB94" i="19"/>
  <c r="CF93" i="19"/>
  <c r="CD94" i="19"/>
  <c r="BT93" i="22"/>
  <c r="BR94" i="22"/>
  <c r="AN92" i="8"/>
  <c r="AM92" i="8"/>
  <c r="AK93" i="8"/>
  <c r="AR93" i="22"/>
  <c r="AP94" i="22"/>
  <c r="CI92" i="8"/>
  <c r="CJ92" i="8" s="1"/>
  <c r="Z92" i="8"/>
  <c r="W93" i="8"/>
  <c r="AB92" i="8"/>
  <c r="AN93" i="22"/>
  <c r="AM93" i="22"/>
  <c r="AK94" i="22"/>
  <c r="BX93" i="19"/>
  <c r="BV94" i="19"/>
  <c r="BH93" i="21"/>
  <c r="BF94" i="21"/>
  <c r="AI93" i="19"/>
  <c r="AG93" i="19"/>
  <c r="AD94" i="19"/>
  <c r="BH92" i="8"/>
  <c r="BF93" i="8"/>
  <c r="CB92" i="8"/>
  <c r="BZ93" i="8"/>
  <c r="AV93" i="21"/>
  <c r="AT94" i="21"/>
  <c r="BP93" i="21"/>
  <c r="BN94" i="21"/>
  <c r="CI92" i="22"/>
  <c r="CJ92" i="22" s="1"/>
  <c r="Z92" i="22"/>
  <c r="W93" i="22"/>
  <c r="AB92" i="22"/>
  <c r="BT93" i="19"/>
  <c r="BR94" i="19"/>
  <c r="AZ93" i="21"/>
  <c r="AX94" i="21"/>
  <c r="BL93" i="19"/>
  <c r="BJ94" i="19"/>
  <c r="AI92" i="8"/>
  <c r="AG92" i="8"/>
  <c r="AD93" i="8"/>
  <c r="AR93" i="21"/>
  <c r="AP94" i="21"/>
  <c r="BX92" i="8"/>
  <c r="BV93" i="8"/>
  <c r="Z93" i="19"/>
  <c r="W94" i="19"/>
  <c r="AB93" i="19"/>
  <c r="BD93" i="21"/>
  <c r="BB94" i="21"/>
  <c r="AV92" i="8"/>
  <c r="AT93" i="8"/>
  <c r="BD92" i="8"/>
  <c r="BB93" i="8"/>
  <c r="BT92" i="8"/>
  <c r="BR93" i="8"/>
  <c r="CB93" i="21"/>
  <c r="BZ94" i="21"/>
  <c r="BT93" i="21"/>
  <c r="BR94" i="21"/>
  <c r="CB93" i="22"/>
  <c r="BZ94" i="22"/>
  <c r="BD93" i="22"/>
  <c r="BB94" i="22"/>
  <c r="CF93" i="21"/>
  <c r="CD94" i="21"/>
  <c r="AG92" i="22"/>
  <c r="AI92" i="22"/>
  <c r="AD93" i="22"/>
  <c r="AR93" i="19"/>
  <c r="AP94" i="19"/>
  <c r="BP92" i="8"/>
  <c r="BN93" i="8"/>
  <c r="BP93" i="22"/>
  <c r="BN94" i="22"/>
  <c r="BL92" i="8"/>
  <c r="BJ93" i="8"/>
  <c r="AN93" i="19"/>
  <c r="AM93" i="19"/>
  <c r="AK94" i="19"/>
  <c r="AI93" i="21"/>
  <c r="AG93" i="21"/>
  <c r="AD94" i="21"/>
  <c r="AV93" i="22"/>
  <c r="AT94" i="22"/>
  <c r="AZ93" i="19"/>
  <c r="AX94" i="19"/>
  <c r="AN93" i="21"/>
  <c r="AM93" i="21"/>
  <c r="AK94" i="21"/>
  <c r="BH92" i="22"/>
  <c r="BF93" i="22"/>
  <c r="CI93" i="22" l="1"/>
  <c r="CJ93" i="22" s="1"/>
  <c r="AB93" i="22"/>
  <c r="Z93" i="22"/>
  <c r="W94" i="22"/>
  <c r="BP94" i="22"/>
  <c r="BN95" i="22"/>
  <c r="BT93" i="8"/>
  <c r="BR94" i="8"/>
  <c r="Z94" i="19"/>
  <c r="AB94" i="19"/>
  <c r="W95" i="19"/>
  <c r="BT94" i="19"/>
  <c r="BR95" i="19"/>
  <c r="BX94" i="19"/>
  <c r="BV95" i="19"/>
  <c r="BN95" i="19"/>
  <c r="BP94" i="19"/>
  <c r="CF94" i="21"/>
  <c r="CD95" i="21"/>
  <c r="AN94" i="21"/>
  <c r="AM94" i="21"/>
  <c r="AK95" i="21"/>
  <c r="AG93" i="22"/>
  <c r="AI93" i="22"/>
  <c r="AD94" i="22"/>
  <c r="BT94" i="21"/>
  <c r="BR95" i="21"/>
  <c r="BL94" i="19"/>
  <c r="BJ95" i="19"/>
  <c r="BH93" i="8"/>
  <c r="BF94" i="8"/>
  <c r="BH94" i="21"/>
  <c r="BF95" i="21"/>
  <c r="AR94" i="22"/>
  <c r="AP95" i="22"/>
  <c r="BB95" i="19"/>
  <c r="BD94" i="19"/>
  <c r="Z94" i="21"/>
  <c r="AB94" i="21"/>
  <c r="W95" i="21"/>
  <c r="AP94" i="8"/>
  <c r="AR93" i="8"/>
  <c r="BD94" i="22"/>
  <c r="BB95" i="22"/>
  <c r="AV93" i="8"/>
  <c r="AT94" i="8"/>
  <c r="AD94" i="8"/>
  <c r="AG93" i="8"/>
  <c r="AI93" i="8"/>
  <c r="AZ93" i="8"/>
  <c r="AX94" i="8"/>
  <c r="BX94" i="21"/>
  <c r="BV95" i="21"/>
  <c r="CF93" i="22"/>
  <c r="CD94" i="22"/>
  <c r="AZ94" i="19"/>
  <c r="AX95" i="19"/>
  <c r="BD94" i="21"/>
  <c r="BB95" i="21"/>
  <c r="BP94" i="21"/>
  <c r="BN95" i="21"/>
  <c r="AN93" i="8"/>
  <c r="AM93" i="8"/>
  <c r="AK94" i="8"/>
  <c r="AN94" i="22"/>
  <c r="AM94" i="22"/>
  <c r="AK95" i="22"/>
  <c r="BH94" i="19"/>
  <c r="BF95" i="19"/>
  <c r="BL94" i="22"/>
  <c r="BJ95" i="22"/>
  <c r="BL93" i="8"/>
  <c r="BJ94" i="8"/>
  <c r="CB94" i="21"/>
  <c r="BZ95" i="21"/>
  <c r="BT94" i="22"/>
  <c r="BR95" i="22"/>
  <c r="AV94" i="22"/>
  <c r="AT95" i="22"/>
  <c r="BX93" i="8"/>
  <c r="BV94" i="8"/>
  <c r="AZ94" i="21"/>
  <c r="AX95" i="21"/>
  <c r="AV94" i="21"/>
  <c r="AT95" i="21"/>
  <c r="CB93" i="8"/>
  <c r="BZ94" i="8"/>
  <c r="Z93" i="8"/>
  <c r="CI93" i="8"/>
  <c r="CJ93" i="8" s="1"/>
  <c r="AB93" i="8"/>
  <c r="W94" i="8"/>
  <c r="CF93" i="8"/>
  <c r="CD94" i="8"/>
  <c r="AZ93" i="22"/>
  <c r="AX94" i="22"/>
  <c r="CB94" i="19"/>
  <c r="BZ95" i="19"/>
  <c r="BH93" i="22"/>
  <c r="BF94" i="22"/>
  <c r="BP93" i="8"/>
  <c r="BN94" i="8"/>
  <c r="CB94" i="22"/>
  <c r="BZ95" i="22"/>
  <c r="BD93" i="8"/>
  <c r="BB94" i="8"/>
  <c r="AG94" i="21"/>
  <c r="AD95" i="21"/>
  <c r="AI94" i="21"/>
  <c r="AR94" i="19"/>
  <c r="AP95" i="19"/>
  <c r="AG94" i="19"/>
  <c r="AI94" i="19"/>
  <c r="AD95" i="19"/>
  <c r="CF94" i="19"/>
  <c r="CD95" i="19"/>
  <c r="AV94" i="19"/>
  <c r="AT95" i="19"/>
  <c r="BX93" i="22"/>
  <c r="BV94" i="22"/>
  <c r="AM94" i="19"/>
  <c r="AN94" i="19"/>
  <c r="AK95" i="19"/>
  <c r="AR94" i="21"/>
  <c r="AP95" i="21"/>
  <c r="BL94" i="21"/>
  <c r="BJ95" i="21"/>
  <c r="CB95" i="22" l="1"/>
  <c r="BZ96" i="22"/>
  <c r="BL95" i="22"/>
  <c r="BJ96" i="22"/>
  <c r="AR95" i="21"/>
  <c r="AP96" i="21"/>
  <c r="CF95" i="19"/>
  <c r="CD96" i="19"/>
  <c r="CB95" i="19"/>
  <c r="BZ96" i="19"/>
  <c r="AV95" i="22"/>
  <c r="AT96" i="22"/>
  <c r="AN95" i="22"/>
  <c r="AM95" i="22"/>
  <c r="AK96" i="22"/>
  <c r="AN94" i="8"/>
  <c r="AM94" i="8"/>
  <c r="AK95" i="8"/>
  <c r="BD95" i="22"/>
  <c r="BB96" i="22"/>
  <c r="BL95" i="19"/>
  <c r="BJ96" i="19"/>
  <c r="AN95" i="21"/>
  <c r="AM95" i="21"/>
  <c r="AK96" i="21"/>
  <c r="Z95" i="19"/>
  <c r="AB95" i="19"/>
  <c r="W96" i="19"/>
  <c r="BP95" i="22"/>
  <c r="BN96" i="22"/>
  <c r="AR95" i="19"/>
  <c r="AP96" i="19"/>
  <c r="BT95" i="22"/>
  <c r="BR96" i="22"/>
  <c r="AI94" i="8"/>
  <c r="AG94" i="8"/>
  <c r="AD95" i="8"/>
  <c r="BT95" i="21"/>
  <c r="BR96" i="21"/>
  <c r="BX95" i="19"/>
  <c r="BV96" i="19"/>
  <c r="CB94" i="8"/>
  <c r="BZ95" i="8"/>
  <c r="AN95" i="19"/>
  <c r="AM95" i="19"/>
  <c r="AK96" i="19"/>
  <c r="BP94" i="8"/>
  <c r="BN95" i="8"/>
  <c r="AV95" i="21"/>
  <c r="AT96" i="21"/>
  <c r="BH95" i="19"/>
  <c r="BF96" i="19"/>
  <c r="BP95" i="21"/>
  <c r="BN96" i="21"/>
  <c r="BX95" i="21"/>
  <c r="BV96" i="21"/>
  <c r="AZ94" i="8"/>
  <c r="AX95" i="8"/>
  <c r="BD95" i="19"/>
  <c r="BB96" i="19"/>
  <c r="BH95" i="21"/>
  <c r="BF96" i="21"/>
  <c r="CF95" i="21"/>
  <c r="CD96" i="21"/>
  <c r="BX94" i="22"/>
  <c r="BV95" i="22"/>
  <c r="AZ94" i="22"/>
  <c r="AX95" i="22"/>
  <c r="CB95" i="21"/>
  <c r="BZ96" i="21"/>
  <c r="AV94" i="8"/>
  <c r="AT95" i="8"/>
  <c r="AR94" i="8"/>
  <c r="AP95" i="8"/>
  <c r="AR95" i="22"/>
  <c r="AP96" i="22"/>
  <c r="AG94" i="22"/>
  <c r="AI94" i="22"/>
  <c r="AD95" i="22"/>
  <c r="CI94" i="22"/>
  <c r="CJ94" i="22" s="1"/>
  <c r="Z94" i="22"/>
  <c r="AB94" i="22"/>
  <c r="W95" i="22"/>
  <c r="AG95" i="19"/>
  <c r="AI95" i="19"/>
  <c r="AD96" i="19"/>
  <c r="CI94" i="8"/>
  <c r="CJ94" i="8" s="1"/>
  <c r="Z94" i="8"/>
  <c r="AB94" i="8"/>
  <c r="W95" i="8"/>
  <c r="AZ95" i="21"/>
  <c r="AX96" i="21"/>
  <c r="BD95" i="21"/>
  <c r="BB96" i="21"/>
  <c r="Z95" i="21"/>
  <c r="AB95" i="21"/>
  <c r="W96" i="21"/>
  <c r="BH94" i="8"/>
  <c r="BF95" i="8"/>
  <c r="BR96" i="19"/>
  <c r="BT95" i="19"/>
  <c r="AI95" i="21"/>
  <c r="AG95" i="21"/>
  <c r="AD96" i="21"/>
  <c r="BL95" i="21"/>
  <c r="BJ96" i="21"/>
  <c r="BD94" i="8"/>
  <c r="BB95" i="8"/>
  <c r="CF94" i="8"/>
  <c r="CD95" i="8"/>
  <c r="BL94" i="8"/>
  <c r="BJ95" i="8"/>
  <c r="BT94" i="8"/>
  <c r="BR95" i="8"/>
  <c r="AV95" i="19"/>
  <c r="AT96" i="19"/>
  <c r="BH94" i="22"/>
  <c r="BF95" i="22"/>
  <c r="BX94" i="8"/>
  <c r="BV95" i="8"/>
  <c r="AZ95" i="19"/>
  <c r="AX96" i="19"/>
  <c r="CF94" i="22"/>
  <c r="CD95" i="22"/>
  <c r="BP95" i="19"/>
  <c r="BN96" i="19"/>
  <c r="BL96" i="21" l="1"/>
  <c r="BJ97" i="21"/>
  <c r="AR95" i="8"/>
  <c r="AP96" i="8"/>
  <c r="BH96" i="19"/>
  <c r="BF97" i="19"/>
  <c r="BX96" i="19"/>
  <c r="BV97" i="19"/>
  <c r="AG95" i="8"/>
  <c r="AD96" i="8"/>
  <c r="AI95" i="8"/>
  <c r="BL96" i="19"/>
  <c r="BJ97" i="19"/>
  <c r="AV96" i="22"/>
  <c r="AT97" i="22"/>
  <c r="BD95" i="8"/>
  <c r="BB96" i="8"/>
  <c r="BX95" i="22"/>
  <c r="BV96" i="22"/>
  <c r="BT96" i="19"/>
  <c r="BR97" i="19"/>
  <c r="CF95" i="8"/>
  <c r="CD96" i="8"/>
  <c r="BH95" i="8"/>
  <c r="BF96" i="8"/>
  <c r="CB96" i="21"/>
  <c r="BZ97" i="21"/>
  <c r="BH96" i="21"/>
  <c r="BF97" i="21"/>
  <c r="AZ95" i="8"/>
  <c r="AX96" i="8"/>
  <c r="Z96" i="19"/>
  <c r="AB96" i="19"/>
  <c r="W97" i="19"/>
  <c r="CB96" i="22"/>
  <c r="BZ97" i="22"/>
  <c r="BP96" i="22"/>
  <c r="BN97" i="22"/>
  <c r="BL95" i="8"/>
  <c r="BJ96" i="8"/>
  <c r="AZ96" i="21"/>
  <c r="AX97" i="21"/>
  <c r="AI96" i="19"/>
  <c r="AG96" i="19"/>
  <c r="AD97" i="19"/>
  <c r="CI95" i="22"/>
  <c r="CJ95" i="22" s="1"/>
  <c r="AB95" i="22"/>
  <c r="Z95" i="22"/>
  <c r="W96" i="22"/>
  <c r="AI95" i="22"/>
  <c r="AD96" i="22"/>
  <c r="AG95" i="22"/>
  <c r="AV95" i="8"/>
  <c r="AT96" i="8"/>
  <c r="AZ95" i="22"/>
  <c r="AX96" i="22"/>
  <c r="AN95" i="8"/>
  <c r="AM95" i="8"/>
  <c r="AK96" i="8"/>
  <c r="BP95" i="8"/>
  <c r="BN96" i="8"/>
  <c r="BL96" i="22"/>
  <c r="BJ97" i="22"/>
  <c r="BT95" i="8"/>
  <c r="BR96" i="8"/>
  <c r="CF95" i="22"/>
  <c r="CD96" i="22"/>
  <c r="BD96" i="19"/>
  <c r="BB97" i="19"/>
  <c r="BX96" i="21"/>
  <c r="BV97" i="21"/>
  <c r="CB95" i="8"/>
  <c r="BZ96" i="8"/>
  <c r="BT96" i="22"/>
  <c r="BR97" i="22"/>
  <c r="BD96" i="22"/>
  <c r="BB97" i="22"/>
  <c r="CF96" i="19"/>
  <c r="CD97" i="19"/>
  <c r="BT96" i="21"/>
  <c r="BR97" i="21"/>
  <c r="AR96" i="19"/>
  <c r="AP97" i="19"/>
  <c r="CI95" i="8"/>
  <c r="CJ95" i="8" s="1"/>
  <c r="Z95" i="8"/>
  <c r="AB95" i="8"/>
  <c r="W96" i="8"/>
  <c r="AN96" i="19"/>
  <c r="AM96" i="19"/>
  <c r="AK97" i="19"/>
  <c r="BN97" i="19"/>
  <c r="BP96" i="19"/>
  <c r="CD97" i="21"/>
  <c r="CF96" i="21"/>
  <c r="BP96" i="21"/>
  <c r="BN97" i="21"/>
  <c r="AV96" i="21"/>
  <c r="AT97" i="21"/>
  <c r="AN96" i="21"/>
  <c r="AM96" i="21"/>
  <c r="AK97" i="21"/>
  <c r="AM96" i="22"/>
  <c r="AN96" i="22"/>
  <c r="AK97" i="22"/>
  <c r="CB96" i="19"/>
  <c r="BZ97" i="19"/>
  <c r="AR96" i="21"/>
  <c r="AP97" i="21"/>
  <c r="AV96" i="19"/>
  <c r="AT97" i="19"/>
  <c r="AZ96" i="19"/>
  <c r="AX97" i="19"/>
  <c r="BX95" i="8"/>
  <c r="BV96" i="8"/>
  <c r="BH95" i="22"/>
  <c r="BF96" i="22"/>
  <c r="AI96" i="21"/>
  <c r="AD97" i="21"/>
  <c r="AG96" i="21"/>
  <c r="Z96" i="21"/>
  <c r="AB96" i="21"/>
  <c r="W97" i="21"/>
  <c r="BD96" i="21"/>
  <c r="BB97" i="21"/>
  <c r="AR96" i="22"/>
  <c r="AP97" i="22"/>
  <c r="BH96" i="22" l="1"/>
  <c r="BF97" i="22"/>
  <c r="AR97" i="19"/>
  <c r="AP98" i="19"/>
  <c r="AN96" i="8"/>
  <c r="AM96" i="8"/>
  <c r="AK97" i="8"/>
  <c r="AV96" i="8"/>
  <c r="AT97" i="8"/>
  <c r="BL96" i="8"/>
  <c r="BJ97" i="8"/>
  <c r="BD96" i="8"/>
  <c r="BB97" i="8"/>
  <c r="BX97" i="19"/>
  <c r="BV98" i="19"/>
  <c r="AV97" i="21"/>
  <c r="AT98" i="21"/>
  <c r="BD97" i="21"/>
  <c r="BB98" i="21"/>
  <c r="BP97" i="21"/>
  <c r="BN98" i="21"/>
  <c r="BP97" i="19"/>
  <c r="BN98" i="19"/>
  <c r="CB96" i="8"/>
  <c r="BZ97" i="8"/>
  <c r="BL97" i="22"/>
  <c r="BJ98" i="22"/>
  <c r="BH97" i="21"/>
  <c r="BF98" i="21"/>
  <c r="AI97" i="21"/>
  <c r="AG97" i="21"/>
  <c r="AD98" i="21"/>
  <c r="CB97" i="19"/>
  <c r="BZ98" i="19"/>
  <c r="AV97" i="19"/>
  <c r="AT98" i="19"/>
  <c r="BX96" i="8"/>
  <c r="BV97" i="8"/>
  <c r="AR97" i="21"/>
  <c r="AP98" i="21"/>
  <c r="AM97" i="19"/>
  <c r="AN97" i="19"/>
  <c r="AK98" i="19"/>
  <c r="CI96" i="8"/>
  <c r="CJ96" i="8" s="1"/>
  <c r="Z96" i="8"/>
  <c r="AB96" i="8"/>
  <c r="W97" i="8"/>
  <c r="CF97" i="19"/>
  <c r="CD98" i="19"/>
  <c r="AG97" i="19"/>
  <c r="AI97" i="19"/>
  <c r="AD98" i="19"/>
  <c r="CB97" i="22"/>
  <c r="BZ98" i="22"/>
  <c r="CF96" i="8"/>
  <c r="CD97" i="8"/>
  <c r="BL97" i="21"/>
  <c r="BJ98" i="21"/>
  <c r="AN97" i="22"/>
  <c r="AM97" i="22"/>
  <c r="AK98" i="22"/>
  <c r="Z97" i="21"/>
  <c r="AB97" i="21"/>
  <c r="W98" i="21"/>
  <c r="AN97" i="21"/>
  <c r="AM97" i="21"/>
  <c r="AK98" i="21"/>
  <c r="BX97" i="21"/>
  <c r="BV98" i="21"/>
  <c r="AI96" i="22"/>
  <c r="AD97" i="22"/>
  <c r="AG96" i="22"/>
  <c r="Z97" i="19"/>
  <c r="AB97" i="19"/>
  <c r="W98" i="19"/>
  <c r="CB97" i="21"/>
  <c r="BZ98" i="21"/>
  <c r="BX96" i="22"/>
  <c r="BV97" i="22"/>
  <c r="AR97" i="22"/>
  <c r="AP98" i="22"/>
  <c r="CF97" i="21"/>
  <c r="CD98" i="21"/>
  <c r="BT97" i="22"/>
  <c r="BR98" i="22"/>
  <c r="BD97" i="19"/>
  <c r="BB98" i="19"/>
  <c r="CF96" i="22"/>
  <c r="CD97" i="22"/>
  <c r="CI96" i="22"/>
  <c r="CJ96" i="22" s="1"/>
  <c r="Z96" i="22"/>
  <c r="W97" i="22"/>
  <c r="AB96" i="22"/>
  <c r="AZ97" i="21"/>
  <c r="AX98" i="21"/>
  <c r="BP97" i="22"/>
  <c r="BN98" i="22"/>
  <c r="BT97" i="19"/>
  <c r="BR98" i="19"/>
  <c r="AV97" i="22"/>
  <c r="AT98" i="22"/>
  <c r="BH97" i="19"/>
  <c r="BF98" i="19"/>
  <c r="AZ97" i="19"/>
  <c r="AX98" i="19"/>
  <c r="BB98" i="22"/>
  <c r="BD97" i="22"/>
  <c r="BP96" i="8"/>
  <c r="BN97" i="8"/>
  <c r="AZ96" i="22"/>
  <c r="AX97" i="22"/>
  <c r="AI96" i="8"/>
  <c r="AD97" i="8"/>
  <c r="AG96" i="8"/>
  <c r="BT97" i="21"/>
  <c r="BR98" i="21"/>
  <c r="BT96" i="8"/>
  <c r="BR97" i="8"/>
  <c r="AZ96" i="8"/>
  <c r="AX97" i="8"/>
  <c r="BH96" i="8"/>
  <c r="BF97" i="8"/>
  <c r="BL97" i="19"/>
  <c r="BJ98" i="19"/>
  <c r="AR96" i="8"/>
  <c r="AP97" i="8"/>
  <c r="BP97" i="8" l="1"/>
  <c r="BN98" i="8"/>
  <c r="BT98" i="19"/>
  <c r="BR99" i="19"/>
  <c r="CF98" i="19"/>
  <c r="CD99" i="19"/>
  <c r="AR97" i="8"/>
  <c r="AP98" i="8"/>
  <c r="AZ98" i="21"/>
  <c r="AX99" i="21"/>
  <c r="CF97" i="22"/>
  <c r="CD98" i="22"/>
  <c r="CF98" i="21"/>
  <c r="CD99" i="21"/>
  <c r="BL98" i="21"/>
  <c r="BJ99" i="21"/>
  <c r="BX97" i="8"/>
  <c r="BV98" i="8"/>
  <c r="BP98" i="21"/>
  <c r="BN99" i="21"/>
  <c r="BL97" i="8"/>
  <c r="BJ98" i="8"/>
  <c r="AN98" i="21"/>
  <c r="AM98" i="21"/>
  <c r="AK99" i="21"/>
  <c r="CB98" i="22"/>
  <c r="BZ99" i="22"/>
  <c r="CI97" i="8"/>
  <c r="CJ97" i="8" s="1"/>
  <c r="Z97" i="8"/>
  <c r="AB97" i="8"/>
  <c r="W98" i="8"/>
  <c r="BX98" i="19"/>
  <c r="BV99" i="19"/>
  <c r="AR98" i="19"/>
  <c r="AP99" i="19"/>
  <c r="BL98" i="19"/>
  <c r="BJ99" i="19"/>
  <c r="BT97" i="8"/>
  <c r="BR98" i="8"/>
  <c r="AZ97" i="22"/>
  <c r="AX98" i="22"/>
  <c r="BD98" i="19"/>
  <c r="BB99" i="19"/>
  <c r="AI97" i="22"/>
  <c r="AG97" i="22"/>
  <c r="AD98" i="22"/>
  <c r="AV98" i="19"/>
  <c r="AT99" i="19"/>
  <c r="CB98" i="19"/>
  <c r="BZ99" i="19"/>
  <c r="AV97" i="8"/>
  <c r="AT98" i="8"/>
  <c r="BT98" i="21"/>
  <c r="BR99" i="21"/>
  <c r="BD98" i="22"/>
  <c r="BB99" i="22"/>
  <c r="BH98" i="19"/>
  <c r="BF99" i="19"/>
  <c r="CI97" i="22"/>
  <c r="CJ97" i="22" s="1"/>
  <c r="Z97" i="22"/>
  <c r="AB97" i="22"/>
  <c r="W98" i="22"/>
  <c r="BX97" i="22"/>
  <c r="BV98" i="22"/>
  <c r="CB98" i="21"/>
  <c r="BZ99" i="21"/>
  <c r="AN98" i="22"/>
  <c r="AM98" i="22"/>
  <c r="AK99" i="22"/>
  <c r="BH98" i="21"/>
  <c r="BF99" i="21"/>
  <c r="BD98" i="21"/>
  <c r="BB99" i="21"/>
  <c r="BH97" i="8"/>
  <c r="BF98" i="8"/>
  <c r="AI97" i="8"/>
  <c r="AG97" i="8"/>
  <c r="AD98" i="8"/>
  <c r="BR99" i="22"/>
  <c r="BT98" i="22"/>
  <c r="AG98" i="21"/>
  <c r="AI98" i="21"/>
  <c r="AD99" i="21"/>
  <c r="AM97" i="8"/>
  <c r="AN97" i="8"/>
  <c r="AK98" i="8"/>
  <c r="AV98" i="22"/>
  <c r="AT99" i="22"/>
  <c r="AR98" i="22"/>
  <c r="AP99" i="22"/>
  <c r="Z98" i="19"/>
  <c r="AB98" i="19"/>
  <c r="W99" i="19"/>
  <c r="BX98" i="21"/>
  <c r="BV99" i="21"/>
  <c r="Z98" i="21"/>
  <c r="AB98" i="21"/>
  <c r="W99" i="21"/>
  <c r="AG98" i="19"/>
  <c r="AI98" i="19"/>
  <c r="AD99" i="19"/>
  <c r="AN98" i="19"/>
  <c r="AM98" i="19"/>
  <c r="AK99" i="19"/>
  <c r="AR98" i="21"/>
  <c r="AP99" i="21"/>
  <c r="BL98" i="22"/>
  <c r="BJ99" i="22"/>
  <c r="BP98" i="19"/>
  <c r="BN99" i="19"/>
  <c r="BH97" i="22"/>
  <c r="BF98" i="22"/>
  <c r="AZ97" i="8"/>
  <c r="AX98" i="8"/>
  <c r="AZ98" i="19"/>
  <c r="AX99" i="19"/>
  <c r="BP98" i="22"/>
  <c r="BN99" i="22"/>
  <c r="CF97" i="8"/>
  <c r="CD98" i="8"/>
  <c r="AV98" i="21"/>
  <c r="AT99" i="21"/>
  <c r="CB97" i="8"/>
  <c r="BZ98" i="8"/>
  <c r="BB98" i="8"/>
  <c r="BD97" i="8"/>
  <c r="BT98" i="8" l="1"/>
  <c r="BR99" i="8"/>
  <c r="BP99" i="19"/>
  <c r="BN100" i="19"/>
  <c r="AR99" i="22"/>
  <c r="AP100" i="22"/>
  <c r="CB98" i="8"/>
  <c r="BZ99" i="8"/>
  <c r="BH98" i="22"/>
  <c r="BF99" i="22"/>
  <c r="BL99" i="22"/>
  <c r="BJ100" i="22"/>
  <c r="AG99" i="19"/>
  <c r="AI99" i="19"/>
  <c r="AD100" i="19"/>
  <c r="BV99" i="22"/>
  <c r="BX98" i="22"/>
  <c r="BD99" i="22"/>
  <c r="BB100" i="22"/>
  <c r="BD98" i="8"/>
  <c r="BB99" i="8"/>
  <c r="Z99" i="21"/>
  <c r="AB99" i="21"/>
  <c r="W100" i="21"/>
  <c r="BX99" i="21"/>
  <c r="BV100" i="21"/>
  <c r="AN98" i="8"/>
  <c r="AM98" i="8"/>
  <c r="AK99" i="8"/>
  <c r="AI98" i="8"/>
  <c r="AD99" i="8"/>
  <c r="AG98" i="8"/>
  <c r="BH99" i="21"/>
  <c r="BF100" i="21"/>
  <c r="AN99" i="22"/>
  <c r="AM99" i="22"/>
  <c r="AK100" i="22"/>
  <c r="CF99" i="19"/>
  <c r="CD100" i="19"/>
  <c r="BP98" i="8"/>
  <c r="BN99" i="8"/>
  <c r="AR99" i="21"/>
  <c r="AP100" i="21"/>
  <c r="CF98" i="8"/>
  <c r="CD99" i="8"/>
  <c r="AZ99" i="19"/>
  <c r="AX100" i="19"/>
  <c r="BH99" i="19"/>
  <c r="BF100" i="19"/>
  <c r="BT99" i="21"/>
  <c r="BR100" i="21"/>
  <c r="AT99" i="8"/>
  <c r="AV98" i="8"/>
  <c r="CB99" i="19"/>
  <c r="BZ100" i="19"/>
  <c r="BD99" i="19"/>
  <c r="BB100" i="19"/>
  <c r="Z99" i="19"/>
  <c r="AB99" i="19"/>
  <c r="W100" i="19"/>
  <c r="CB99" i="22"/>
  <c r="BZ100" i="22"/>
  <c r="CF99" i="21"/>
  <c r="CD100" i="21"/>
  <c r="BT99" i="19"/>
  <c r="BR100" i="19"/>
  <c r="AG99" i="21"/>
  <c r="AI99" i="21"/>
  <c r="AD100" i="21"/>
  <c r="BH98" i="8"/>
  <c r="BF99" i="8"/>
  <c r="AV99" i="19"/>
  <c r="AT100" i="19"/>
  <c r="BL99" i="21"/>
  <c r="BJ100" i="21"/>
  <c r="AV99" i="21"/>
  <c r="AT100" i="21"/>
  <c r="AN99" i="19"/>
  <c r="AM99" i="19"/>
  <c r="AK100" i="19"/>
  <c r="AV99" i="22"/>
  <c r="AT100" i="22"/>
  <c r="BP99" i="21"/>
  <c r="BN100" i="21"/>
  <c r="CF98" i="22"/>
  <c r="CD99" i="22"/>
  <c r="BL99" i="19"/>
  <c r="BJ100" i="19"/>
  <c r="BP99" i="22"/>
  <c r="BN100" i="22"/>
  <c r="CB99" i="21"/>
  <c r="BZ100" i="21"/>
  <c r="CI98" i="22"/>
  <c r="CJ98" i="22" s="1"/>
  <c r="Z98" i="22"/>
  <c r="W99" i="22"/>
  <c r="AB98" i="22"/>
  <c r="AG98" i="22"/>
  <c r="AI98" i="22"/>
  <c r="AD99" i="22"/>
  <c r="AZ98" i="22"/>
  <c r="AX99" i="22"/>
  <c r="BL98" i="8"/>
  <c r="BJ99" i="8"/>
  <c r="BT99" i="22"/>
  <c r="BR100" i="22"/>
  <c r="AZ98" i="8"/>
  <c r="AX99" i="8"/>
  <c r="BD99" i="21"/>
  <c r="BB100" i="21"/>
  <c r="AR99" i="19"/>
  <c r="AP100" i="19"/>
  <c r="BX99" i="19"/>
  <c r="BV100" i="19"/>
  <c r="CI98" i="8"/>
  <c r="CJ98" i="8" s="1"/>
  <c r="Z98" i="8"/>
  <c r="AB98" i="8"/>
  <c r="W99" i="8"/>
  <c r="AN99" i="21"/>
  <c r="AM99" i="21"/>
  <c r="AK100" i="21"/>
  <c r="BX98" i="8"/>
  <c r="BV99" i="8"/>
  <c r="AX100" i="21"/>
  <c r="AZ99" i="21"/>
  <c r="AR98" i="8"/>
  <c r="AP99" i="8"/>
  <c r="BH99" i="22" l="1"/>
  <c r="BF100" i="22"/>
  <c r="AR100" i="22"/>
  <c r="AP101" i="22"/>
  <c r="AZ100" i="21"/>
  <c r="AX101" i="21"/>
  <c r="AZ99" i="22"/>
  <c r="AX100" i="22"/>
  <c r="AM100" i="19"/>
  <c r="AN100" i="19"/>
  <c r="AK101" i="19"/>
  <c r="CF100" i="21"/>
  <c r="CD101" i="21"/>
  <c r="AV99" i="8"/>
  <c r="AT100" i="8"/>
  <c r="AZ100" i="19"/>
  <c r="AX101" i="19"/>
  <c r="CD101" i="19"/>
  <c r="CF100" i="19"/>
  <c r="AM100" i="21"/>
  <c r="AN100" i="21"/>
  <c r="AK101" i="21"/>
  <c r="BX99" i="8"/>
  <c r="BV100" i="8"/>
  <c r="AR100" i="19"/>
  <c r="AP101" i="19"/>
  <c r="BD100" i="21"/>
  <c r="BB101" i="21"/>
  <c r="CB100" i="21"/>
  <c r="BZ101" i="21"/>
  <c r="BH100" i="21"/>
  <c r="BF101" i="21"/>
  <c r="AV100" i="19"/>
  <c r="AT101" i="19"/>
  <c r="CD100" i="22"/>
  <c r="CF99" i="22"/>
  <c r="BP100" i="21"/>
  <c r="BN101" i="21"/>
  <c r="BT100" i="21"/>
  <c r="BR101" i="21"/>
  <c r="AR100" i="21"/>
  <c r="AP101" i="21"/>
  <c r="BX100" i="21"/>
  <c r="BV101" i="21"/>
  <c r="AG100" i="19"/>
  <c r="AI100" i="19"/>
  <c r="AD101" i="19"/>
  <c r="BP100" i="19"/>
  <c r="BN101" i="19"/>
  <c r="AV100" i="22"/>
  <c r="AT101" i="22"/>
  <c r="CI99" i="8"/>
  <c r="CJ99" i="8" s="1"/>
  <c r="Z99" i="8"/>
  <c r="AB99" i="8"/>
  <c r="W100" i="8"/>
  <c r="AX100" i="8"/>
  <c r="AZ99" i="8"/>
  <c r="BL100" i="19"/>
  <c r="BJ101" i="19"/>
  <c r="BL100" i="21"/>
  <c r="BJ101" i="21"/>
  <c r="BH99" i="8"/>
  <c r="BF100" i="8"/>
  <c r="BD100" i="19"/>
  <c r="BB101" i="19"/>
  <c r="CF99" i="8"/>
  <c r="CD100" i="8"/>
  <c r="BD99" i="8"/>
  <c r="BB100" i="8"/>
  <c r="BX100" i="19"/>
  <c r="BV101" i="19"/>
  <c r="AI99" i="22"/>
  <c r="AG99" i="22"/>
  <c r="AD100" i="22"/>
  <c r="AV100" i="21"/>
  <c r="AT101" i="21"/>
  <c r="BT100" i="19"/>
  <c r="BR101" i="19"/>
  <c r="CB100" i="22"/>
  <c r="BZ101" i="22"/>
  <c r="BH100" i="19"/>
  <c r="BF101" i="19"/>
  <c r="BP99" i="8"/>
  <c r="BN100" i="8"/>
  <c r="AG99" i="8"/>
  <c r="AI99" i="8"/>
  <c r="AD100" i="8"/>
  <c r="BD100" i="22"/>
  <c r="BB101" i="22"/>
  <c r="BV100" i="22"/>
  <c r="BX99" i="22"/>
  <c r="BP100" i="22"/>
  <c r="BN101" i="22"/>
  <c r="AR99" i="8"/>
  <c r="AP100" i="8"/>
  <c r="BT100" i="22"/>
  <c r="BR101" i="22"/>
  <c r="AI100" i="21"/>
  <c r="AG100" i="21"/>
  <c r="AD101" i="21"/>
  <c r="CB100" i="19"/>
  <c r="BZ101" i="19"/>
  <c r="Z100" i="21"/>
  <c r="W101" i="21"/>
  <c r="AB100" i="21"/>
  <c r="BL100" i="22"/>
  <c r="BJ101" i="22"/>
  <c r="CB99" i="8"/>
  <c r="BZ100" i="8"/>
  <c r="BT99" i="8"/>
  <c r="BR100" i="8"/>
  <c r="BL99" i="8"/>
  <c r="BJ100" i="8"/>
  <c r="CI99" i="22"/>
  <c r="CJ99" i="22" s="1"/>
  <c r="Z99" i="22"/>
  <c r="AB99" i="22"/>
  <c r="W100" i="22"/>
  <c r="Z100" i="19"/>
  <c r="AB100" i="19"/>
  <c r="W101" i="19"/>
  <c r="AN100" i="22"/>
  <c r="AM100" i="22"/>
  <c r="AK101" i="22"/>
  <c r="AN99" i="8"/>
  <c r="AM99" i="8"/>
  <c r="AK100" i="8"/>
  <c r="AV101" i="21" l="1"/>
  <c r="AT102" i="21"/>
  <c r="CF101" i="21"/>
  <c r="CD102" i="21"/>
  <c r="BL101" i="22"/>
  <c r="BJ102" i="22"/>
  <c r="AI101" i="21"/>
  <c r="AG101" i="21"/>
  <c r="AD102" i="21"/>
  <c r="AI100" i="8"/>
  <c r="AG100" i="8"/>
  <c r="AD101" i="8"/>
  <c r="BH101" i="19"/>
  <c r="BF102" i="19"/>
  <c r="AG100" i="22"/>
  <c r="AI100" i="22"/>
  <c r="AD101" i="22"/>
  <c r="BH100" i="8"/>
  <c r="BF101" i="8"/>
  <c r="AV101" i="22"/>
  <c r="AT102" i="22"/>
  <c r="BP101" i="19"/>
  <c r="BN102" i="19"/>
  <c r="BH100" i="22"/>
  <c r="BF101" i="22"/>
  <c r="CI100" i="22"/>
  <c r="CJ100" i="22" s="1"/>
  <c r="Z100" i="22"/>
  <c r="W101" i="22"/>
  <c r="AB100" i="22"/>
  <c r="AR101" i="21"/>
  <c r="AP102" i="21"/>
  <c r="CF100" i="22"/>
  <c r="CD101" i="22"/>
  <c r="AN101" i="22"/>
  <c r="AM101" i="22"/>
  <c r="AK102" i="22"/>
  <c r="Z101" i="21"/>
  <c r="AB101" i="21"/>
  <c r="W102" i="21"/>
  <c r="AP101" i="8"/>
  <c r="AR100" i="8"/>
  <c r="BT101" i="21"/>
  <c r="BR102" i="21"/>
  <c r="AV101" i="19"/>
  <c r="AT102" i="19"/>
  <c r="CF101" i="19"/>
  <c r="CD102" i="19"/>
  <c r="AZ100" i="22"/>
  <c r="AX101" i="22"/>
  <c r="BX100" i="22"/>
  <c r="BV101" i="22"/>
  <c r="CF100" i="8"/>
  <c r="CD101" i="8"/>
  <c r="BD101" i="21"/>
  <c r="BB102" i="21"/>
  <c r="BD101" i="22"/>
  <c r="BB102" i="22"/>
  <c r="BD100" i="8"/>
  <c r="BB101" i="8"/>
  <c r="AZ100" i="8"/>
  <c r="AX101" i="8"/>
  <c r="AX102" i="19"/>
  <c r="AZ101" i="19"/>
  <c r="BT100" i="8"/>
  <c r="BR101" i="8"/>
  <c r="BT101" i="22"/>
  <c r="BR102" i="22"/>
  <c r="CB101" i="22"/>
  <c r="BZ102" i="22"/>
  <c r="CI100" i="8"/>
  <c r="CJ100" i="8" s="1"/>
  <c r="Z100" i="8"/>
  <c r="AB100" i="8"/>
  <c r="W101" i="8"/>
  <c r="BP101" i="21"/>
  <c r="BN102" i="21"/>
  <c r="CB101" i="21"/>
  <c r="BZ102" i="21"/>
  <c r="AR101" i="19"/>
  <c r="AP102" i="19"/>
  <c r="AV100" i="8"/>
  <c r="AT101" i="8"/>
  <c r="AZ101" i="21"/>
  <c r="AX102" i="21"/>
  <c r="BP100" i="8"/>
  <c r="BN101" i="8"/>
  <c r="BL101" i="19"/>
  <c r="BJ102" i="19"/>
  <c r="AN101" i="21"/>
  <c r="AM101" i="21"/>
  <c r="AK102" i="21"/>
  <c r="CB101" i="19"/>
  <c r="BZ102" i="19"/>
  <c r="BL101" i="21"/>
  <c r="BJ102" i="21"/>
  <c r="AI101" i="19"/>
  <c r="AG101" i="19"/>
  <c r="AD102" i="19"/>
  <c r="BH101" i="21"/>
  <c r="BF102" i="21"/>
  <c r="AN100" i="8"/>
  <c r="AM100" i="8"/>
  <c r="AK101" i="8"/>
  <c r="Z101" i="19"/>
  <c r="AB101" i="19"/>
  <c r="W102" i="19"/>
  <c r="BL100" i="8"/>
  <c r="BJ101" i="8"/>
  <c r="CB100" i="8"/>
  <c r="BZ101" i="8"/>
  <c r="BP101" i="22"/>
  <c r="BN102" i="22"/>
  <c r="BT101" i="19"/>
  <c r="BR102" i="19"/>
  <c r="BX101" i="19"/>
  <c r="BV102" i="19"/>
  <c r="BD101" i="19"/>
  <c r="BB102" i="19"/>
  <c r="BX101" i="21"/>
  <c r="BV102" i="21"/>
  <c r="BX100" i="8"/>
  <c r="BV101" i="8"/>
  <c r="AN101" i="19"/>
  <c r="AM101" i="19"/>
  <c r="AK102" i="19"/>
  <c r="AR101" i="22"/>
  <c r="AP102" i="22"/>
  <c r="BL102" i="21" l="1"/>
  <c r="BJ103" i="21"/>
  <c r="BD102" i="22"/>
  <c r="BB103" i="22"/>
  <c r="BD102" i="21"/>
  <c r="BB103" i="21"/>
  <c r="BT102" i="21"/>
  <c r="BR103" i="21"/>
  <c r="AV102" i="21"/>
  <c r="AT103" i="21"/>
  <c r="Z102" i="19"/>
  <c r="W103" i="19"/>
  <c r="AB102" i="19"/>
  <c r="AZ102" i="21"/>
  <c r="AX103" i="21"/>
  <c r="AZ101" i="8"/>
  <c r="AX102" i="8"/>
  <c r="BH101" i="22"/>
  <c r="BF102" i="22"/>
  <c r="AM102" i="19"/>
  <c r="AK103" i="19"/>
  <c r="AN102" i="19"/>
  <c r="BX102" i="19"/>
  <c r="BV103" i="19"/>
  <c r="BL101" i="8"/>
  <c r="BJ102" i="8"/>
  <c r="AN101" i="8"/>
  <c r="AM101" i="8"/>
  <c r="AK102" i="8"/>
  <c r="AT102" i="8"/>
  <c r="AV101" i="8"/>
  <c r="BT101" i="8"/>
  <c r="BR102" i="8"/>
  <c r="CF102" i="19"/>
  <c r="CD103" i="19"/>
  <c r="Z102" i="21"/>
  <c r="AB102" i="21"/>
  <c r="W103" i="21"/>
  <c r="BH101" i="8"/>
  <c r="BF102" i="8"/>
  <c r="BF103" i="19"/>
  <c r="BH102" i="19"/>
  <c r="AI102" i="21"/>
  <c r="AG102" i="21"/>
  <c r="AD103" i="21"/>
  <c r="CD103" i="21"/>
  <c r="CF102" i="21"/>
  <c r="BX101" i="8"/>
  <c r="BV102" i="8"/>
  <c r="CB101" i="8"/>
  <c r="BZ102" i="8"/>
  <c r="BT102" i="19"/>
  <c r="BR103" i="19"/>
  <c r="BP102" i="22"/>
  <c r="BN103" i="22"/>
  <c r="CB102" i="19"/>
  <c r="BZ103" i="19"/>
  <c r="BP102" i="21"/>
  <c r="BN103" i="21"/>
  <c r="CD102" i="22"/>
  <c r="CF101" i="22"/>
  <c r="BP101" i="8"/>
  <c r="BN102" i="8"/>
  <c r="CI101" i="8"/>
  <c r="CJ101" i="8" s="1"/>
  <c r="Z101" i="8"/>
  <c r="AB101" i="8"/>
  <c r="W102" i="8"/>
  <c r="CF101" i="8"/>
  <c r="CD102" i="8"/>
  <c r="BP102" i="19"/>
  <c r="BN103" i="19"/>
  <c r="AG101" i="22"/>
  <c r="AI101" i="22"/>
  <c r="AD102" i="22"/>
  <c r="AG101" i="8"/>
  <c r="AI101" i="8"/>
  <c r="AD102" i="8"/>
  <c r="BD101" i="8"/>
  <c r="BB102" i="8"/>
  <c r="AR102" i="22"/>
  <c r="AP103" i="22"/>
  <c r="AI102" i="19"/>
  <c r="AG102" i="19"/>
  <c r="AD103" i="19"/>
  <c r="AN102" i="21"/>
  <c r="AM102" i="21"/>
  <c r="AK103" i="21"/>
  <c r="BL102" i="19"/>
  <c r="BJ103" i="19"/>
  <c r="AR102" i="19"/>
  <c r="AP103" i="19"/>
  <c r="AZ101" i="22"/>
  <c r="AX102" i="22"/>
  <c r="AN102" i="22"/>
  <c r="AM102" i="22"/>
  <c r="AK103" i="22"/>
  <c r="AR102" i="21"/>
  <c r="AP103" i="21"/>
  <c r="CI101" i="22"/>
  <c r="CJ101" i="22" s="1"/>
  <c r="Z101" i="22"/>
  <c r="AB101" i="22"/>
  <c r="W102" i="22"/>
  <c r="BL102" i="22"/>
  <c r="BJ103" i="22"/>
  <c r="BV103" i="21"/>
  <c r="BX102" i="21"/>
  <c r="BD102" i="19"/>
  <c r="BB103" i="19"/>
  <c r="BH102" i="21"/>
  <c r="BF103" i="21"/>
  <c r="CB102" i="22"/>
  <c r="BZ103" i="22"/>
  <c r="AZ102" i="19"/>
  <c r="AX103" i="19"/>
  <c r="BX101" i="22"/>
  <c r="BV102" i="22"/>
  <c r="AV102" i="19"/>
  <c r="AT103" i="19"/>
  <c r="CB102" i="21"/>
  <c r="BZ103" i="21"/>
  <c r="BT102" i="22"/>
  <c r="BR103" i="22"/>
  <c r="AR101" i="8"/>
  <c r="AP102" i="8"/>
  <c r="AV102" i="22"/>
  <c r="AT103" i="22"/>
  <c r="BL103" i="22" l="1"/>
  <c r="BJ104" i="22"/>
  <c r="AM103" i="22"/>
  <c r="AN103" i="22"/>
  <c r="AK104" i="22"/>
  <c r="AI102" i="8"/>
  <c r="AG102" i="8"/>
  <c r="AD103" i="8"/>
  <c r="CF102" i="8"/>
  <c r="CD103" i="8"/>
  <c r="CF102" i="22"/>
  <c r="CD103" i="22"/>
  <c r="CF103" i="19"/>
  <c r="CD104" i="19"/>
  <c r="BH102" i="22"/>
  <c r="BF103" i="22"/>
  <c r="BP103" i="19"/>
  <c r="BN104" i="19"/>
  <c r="BZ104" i="21"/>
  <c r="CB103" i="21"/>
  <c r="AX104" i="19"/>
  <c r="AZ103" i="19"/>
  <c r="CI102" i="22"/>
  <c r="CJ102" i="22" s="1"/>
  <c r="Z102" i="22"/>
  <c r="AB102" i="22"/>
  <c r="W103" i="22"/>
  <c r="BD102" i="8"/>
  <c r="BB103" i="8"/>
  <c r="BP103" i="21"/>
  <c r="BN104" i="21"/>
  <c r="CB103" i="19"/>
  <c r="BZ104" i="19"/>
  <c r="Z103" i="19"/>
  <c r="AB103" i="19"/>
  <c r="W104" i="19"/>
  <c r="AG103" i="21"/>
  <c r="AI103" i="21"/>
  <c r="AD104" i="21"/>
  <c r="BT103" i="22"/>
  <c r="BR104" i="22"/>
  <c r="CB103" i="22"/>
  <c r="BZ104" i="22"/>
  <c r="BX103" i="21"/>
  <c r="BV104" i="21"/>
  <c r="AI103" i="19"/>
  <c r="AG103" i="19"/>
  <c r="AD104" i="19"/>
  <c r="CI102" i="8"/>
  <c r="CJ102" i="8" s="1"/>
  <c r="Z102" i="8"/>
  <c r="AB102" i="8"/>
  <c r="W103" i="8"/>
  <c r="CB102" i="8"/>
  <c r="BZ103" i="8"/>
  <c r="BH103" i="19"/>
  <c r="BF104" i="19"/>
  <c r="BD103" i="22"/>
  <c r="BB104" i="22"/>
  <c r="AR103" i="22"/>
  <c r="AP104" i="22"/>
  <c r="BX102" i="22"/>
  <c r="BV103" i="22"/>
  <c r="BT103" i="21"/>
  <c r="BR104" i="21"/>
  <c r="AR103" i="21"/>
  <c r="AP104" i="21"/>
  <c r="BP102" i="8"/>
  <c r="BN103" i="8"/>
  <c r="AR102" i="8"/>
  <c r="AP103" i="8"/>
  <c r="AI102" i="22"/>
  <c r="AG102" i="22"/>
  <c r="AD103" i="22"/>
  <c r="BH102" i="8"/>
  <c r="BF103" i="8"/>
  <c r="AV102" i="8"/>
  <c r="AT103" i="8"/>
  <c r="BL103" i="19"/>
  <c r="BJ104" i="19"/>
  <c r="BP103" i="22"/>
  <c r="BN104" i="22"/>
  <c r="BX102" i="8"/>
  <c r="BV103" i="8"/>
  <c r="Z103" i="21"/>
  <c r="AB103" i="21"/>
  <c r="W104" i="21"/>
  <c r="AN103" i="19"/>
  <c r="AK104" i="19"/>
  <c r="AM103" i="19"/>
  <c r="BL103" i="21"/>
  <c r="BJ104" i="21"/>
  <c r="BT103" i="19"/>
  <c r="BR104" i="19"/>
  <c r="AV103" i="22"/>
  <c r="AT104" i="22"/>
  <c r="AZ102" i="22"/>
  <c r="AX103" i="22"/>
  <c r="BH103" i="21"/>
  <c r="BF104" i="21"/>
  <c r="CF103" i="21"/>
  <c r="CD104" i="21"/>
  <c r="AN102" i="8"/>
  <c r="AM102" i="8"/>
  <c r="AK103" i="8"/>
  <c r="BL102" i="8"/>
  <c r="BJ103" i="8"/>
  <c r="AZ103" i="21"/>
  <c r="AX104" i="21"/>
  <c r="AZ102" i="8"/>
  <c r="AX103" i="8"/>
  <c r="BT102" i="8"/>
  <c r="BR103" i="8"/>
  <c r="AV103" i="19"/>
  <c r="AT104" i="19"/>
  <c r="BD103" i="19"/>
  <c r="BB104" i="19"/>
  <c r="AR103" i="19"/>
  <c r="AP104" i="19"/>
  <c r="AN103" i="21"/>
  <c r="AM103" i="21"/>
  <c r="AK104" i="21"/>
  <c r="BX103" i="19"/>
  <c r="BV104" i="19"/>
  <c r="AV103" i="21"/>
  <c r="AT104" i="21"/>
  <c r="BD103" i="21"/>
  <c r="BB104" i="21"/>
  <c r="AR104" i="19" l="1"/>
  <c r="AP105" i="19"/>
  <c r="BT104" i="21"/>
  <c r="BR105" i="21"/>
  <c r="CB103" i="8"/>
  <c r="BZ104" i="8"/>
  <c r="BX104" i="21"/>
  <c r="BV105" i="21"/>
  <c r="CF103" i="8"/>
  <c r="CD104" i="8"/>
  <c r="AM103" i="8"/>
  <c r="AN103" i="8"/>
  <c r="AK104" i="8"/>
  <c r="AZ103" i="22"/>
  <c r="AX104" i="22"/>
  <c r="BD104" i="21"/>
  <c r="BB105" i="21"/>
  <c r="AZ104" i="21"/>
  <c r="AX105" i="21"/>
  <c r="BL104" i="19"/>
  <c r="BJ105" i="19"/>
  <c r="AV103" i="8"/>
  <c r="AT104" i="8"/>
  <c r="BP104" i="21"/>
  <c r="BN105" i="21"/>
  <c r="AN104" i="22"/>
  <c r="AM104" i="22"/>
  <c r="AK105" i="22"/>
  <c r="BX104" i="19"/>
  <c r="BV105" i="19"/>
  <c r="BR104" i="8"/>
  <c r="BT103" i="8"/>
  <c r="AV104" i="22"/>
  <c r="AT105" i="22"/>
  <c r="Z104" i="21"/>
  <c r="AB104" i="21"/>
  <c r="W105" i="21"/>
  <c r="BX103" i="22"/>
  <c r="BV104" i="22"/>
  <c r="BD104" i="22"/>
  <c r="BB105" i="22"/>
  <c r="CB104" i="22"/>
  <c r="BZ105" i="22"/>
  <c r="CB104" i="21"/>
  <c r="BZ105" i="21"/>
  <c r="BX103" i="8"/>
  <c r="BV104" i="8"/>
  <c r="BH103" i="8"/>
  <c r="BF104" i="8"/>
  <c r="AP104" i="8"/>
  <c r="AR103" i="8"/>
  <c r="AZ104" i="19"/>
  <c r="AX105" i="19"/>
  <c r="BN105" i="19"/>
  <c r="BP104" i="19"/>
  <c r="CF104" i="19"/>
  <c r="CD105" i="19"/>
  <c r="AD104" i="8"/>
  <c r="AG103" i="8"/>
  <c r="AI103" i="8"/>
  <c r="AV104" i="21"/>
  <c r="AT105" i="21"/>
  <c r="BD104" i="19"/>
  <c r="BB105" i="19"/>
  <c r="BL103" i="8"/>
  <c r="BJ104" i="8"/>
  <c r="CF104" i="21"/>
  <c r="CD105" i="21"/>
  <c r="BH104" i="21"/>
  <c r="BF105" i="21"/>
  <c r="BT104" i="19"/>
  <c r="BR105" i="19"/>
  <c r="AR104" i="22"/>
  <c r="AP105" i="22"/>
  <c r="CI103" i="8"/>
  <c r="CJ103" i="8" s="1"/>
  <c r="Z103" i="8"/>
  <c r="AB103" i="8"/>
  <c r="W104" i="8"/>
  <c r="AI104" i="19"/>
  <c r="AG104" i="19"/>
  <c r="AD105" i="19"/>
  <c r="BT104" i="22"/>
  <c r="BR105" i="22"/>
  <c r="Z104" i="19"/>
  <c r="AB104" i="19"/>
  <c r="W105" i="19"/>
  <c r="CI103" i="22"/>
  <c r="CJ103" i="22" s="1"/>
  <c r="Z103" i="22"/>
  <c r="W104" i="22"/>
  <c r="AB103" i="22"/>
  <c r="BH103" i="22"/>
  <c r="BF104" i="22"/>
  <c r="BL104" i="22"/>
  <c r="BJ105" i="22"/>
  <c r="AM104" i="21"/>
  <c r="AN104" i="21"/>
  <c r="AK105" i="21"/>
  <c r="AZ103" i="8"/>
  <c r="AX104" i="8"/>
  <c r="AM104" i="19"/>
  <c r="AN104" i="19"/>
  <c r="AK105" i="19"/>
  <c r="BP104" i="22"/>
  <c r="BN105" i="22"/>
  <c r="AG103" i="22"/>
  <c r="AI103" i="22"/>
  <c r="AD104" i="22"/>
  <c r="BP103" i="8"/>
  <c r="BN104" i="8"/>
  <c r="BH104" i="19"/>
  <c r="BF105" i="19"/>
  <c r="AG104" i="21"/>
  <c r="AD105" i="21"/>
  <c r="AI104" i="21"/>
  <c r="CF103" i="22"/>
  <c r="CD104" i="22"/>
  <c r="AV104" i="19"/>
  <c r="AT105" i="19"/>
  <c r="BL104" i="21"/>
  <c r="BJ105" i="21"/>
  <c r="AR104" i="21"/>
  <c r="AP105" i="21"/>
  <c r="CB104" i="19"/>
  <c r="BZ105" i="19"/>
  <c r="BD103" i="8"/>
  <c r="BB104" i="8"/>
  <c r="BH105" i="21" l="1"/>
  <c r="BF106" i="21"/>
  <c r="CF105" i="19"/>
  <c r="CD106" i="19"/>
  <c r="BH104" i="8"/>
  <c r="BF105" i="8"/>
  <c r="AM105" i="22"/>
  <c r="AN105" i="22"/>
  <c r="AK106" i="22"/>
  <c r="CB104" i="8"/>
  <c r="BZ105" i="8"/>
  <c r="BP105" i="22"/>
  <c r="BN106" i="22"/>
  <c r="AN105" i="21"/>
  <c r="AM105" i="21"/>
  <c r="AK106" i="21"/>
  <c r="Z105" i="19"/>
  <c r="W106" i="19"/>
  <c r="AB105" i="19"/>
  <c r="CI104" i="8"/>
  <c r="CJ104" i="8" s="1"/>
  <c r="Z104" i="8"/>
  <c r="AB104" i="8"/>
  <c r="W105" i="8"/>
  <c r="CF105" i="21"/>
  <c r="CD106" i="21"/>
  <c r="BV105" i="8"/>
  <c r="BX104" i="8"/>
  <c r="BP105" i="21"/>
  <c r="BN106" i="21"/>
  <c r="AV104" i="8"/>
  <c r="AT105" i="8"/>
  <c r="AN104" i="8"/>
  <c r="AM104" i="8"/>
  <c r="AK105" i="8"/>
  <c r="BT105" i="21"/>
  <c r="BR106" i="21"/>
  <c r="BD104" i="8"/>
  <c r="BB105" i="8"/>
  <c r="BP105" i="19"/>
  <c r="BN106" i="19"/>
  <c r="BD105" i="22"/>
  <c r="BB106" i="22"/>
  <c r="Z105" i="21"/>
  <c r="AB105" i="21"/>
  <c r="W106" i="21"/>
  <c r="BD105" i="21"/>
  <c r="BB106" i="21"/>
  <c r="AR105" i="19"/>
  <c r="AP106" i="19"/>
  <c r="CB105" i="19"/>
  <c r="BZ106" i="19"/>
  <c r="AT106" i="19"/>
  <c r="AV105" i="19"/>
  <c r="BL105" i="21"/>
  <c r="BJ106" i="21"/>
  <c r="BT105" i="19"/>
  <c r="BR106" i="19"/>
  <c r="BL104" i="8"/>
  <c r="BJ105" i="8"/>
  <c r="AZ105" i="19"/>
  <c r="AX106" i="19"/>
  <c r="CB105" i="21"/>
  <c r="BZ106" i="21"/>
  <c r="BT104" i="8"/>
  <c r="BR105" i="8"/>
  <c r="BL105" i="19"/>
  <c r="BJ106" i="19"/>
  <c r="AV105" i="21"/>
  <c r="AT106" i="21"/>
  <c r="AP106" i="21"/>
  <c r="AR105" i="21"/>
  <c r="AX105" i="8"/>
  <c r="AZ104" i="8"/>
  <c r="AM105" i="19"/>
  <c r="AN105" i="19"/>
  <c r="AK106" i="19"/>
  <c r="CF104" i="22"/>
  <c r="CD105" i="22"/>
  <c r="BP104" i="8"/>
  <c r="BN105" i="8"/>
  <c r="BL105" i="22"/>
  <c r="BJ106" i="22"/>
  <c r="BT105" i="22"/>
  <c r="BR106" i="22"/>
  <c r="BX104" i="22"/>
  <c r="BV105" i="22"/>
  <c r="AZ105" i="21"/>
  <c r="AX106" i="21"/>
  <c r="AI105" i="21"/>
  <c r="AG105" i="21"/>
  <c r="AD106" i="21"/>
  <c r="BH105" i="19"/>
  <c r="BF106" i="19"/>
  <c r="BH104" i="22"/>
  <c r="BF105" i="22"/>
  <c r="BD105" i="19"/>
  <c r="BB106" i="19"/>
  <c r="CB105" i="22"/>
  <c r="BZ106" i="22"/>
  <c r="BV106" i="19"/>
  <c r="BX105" i="19"/>
  <c r="AZ104" i="22"/>
  <c r="AX105" i="22"/>
  <c r="BV106" i="21"/>
  <c r="BX105" i="21"/>
  <c r="AI104" i="22"/>
  <c r="AG104" i="22"/>
  <c r="AD105" i="22"/>
  <c r="CI104" i="22"/>
  <c r="CJ104" i="22" s="1"/>
  <c r="AB104" i="22"/>
  <c r="Z104" i="22"/>
  <c r="W105" i="22"/>
  <c r="AG105" i="19"/>
  <c r="AI105" i="19"/>
  <c r="AD106" i="19"/>
  <c r="AR105" i="22"/>
  <c r="AP106" i="22"/>
  <c r="AI104" i="8"/>
  <c r="AD105" i="8"/>
  <c r="AG104" i="8"/>
  <c r="AR104" i="8"/>
  <c r="AP105" i="8"/>
  <c r="AV105" i="22"/>
  <c r="AT106" i="22"/>
  <c r="CF104" i="8"/>
  <c r="CD105" i="8"/>
  <c r="AZ105" i="8" l="1"/>
  <c r="AX106" i="8"/>
  <c r="BT105" i="8"/>
  <c r="BR106" i="8"/>
  <c r="AR106" i="19"/>
  <c r="AP107" i="19"/>
  <c r="BT106" i="21"/>
  <c r="BR107" i="21"/>
  <c r="BH105" i="8"/>
  <c r="BF106" i="8"/>
  <c r="BX106" i="19"/>
  <c r="BV107" i="19"/>
  <c r="BT106" i="22"/>
  <c r="BR107" i="22"/>
  <c r="CF105" i="22"/>
  <c r="CD106" i="22"/>
  <c r="AZ106" i="19"/>
  <c r="AX107" i="19"/>
  <c r="AV105" i="8"/>
  <c r="AT106" i="8"/>
  <c r="AD106" i="22"/>
  <c r="AI105" i="22"/>
  <c r="AG105" i="22"/>
  <c r="AR106" i="22"/>
  <c r="AP107" i="22"/>
  <c r="BF107" i="19"/>
  <c r="BH106" i="19"/>
  <c r="AR106" i="21"/>
  <c r="AP107" i="21"/>
  <c r="Z106" i="21"/>
  <c r="W107" i="21"/>
  <c r="W108" i="21" s="1"/>
  <c r="AB106" i="21"/>
  <c r="BP106" i="19"/>
  <c r="BN107" i="19"/>
  <c r="CF106" i="21"/>
  <c r="CD107" i="21"/>
  <c r="AB106" i="19"/>
  <c r="Z106" i="19"/>
  <c r="W107" i="19"/>
  <c r="W108" i="19" s="1"/>
  <c r="CF106" i="19"/>
  <c r="CD107" i="19"/>
  <c r="AZ106" i="21"/>
  <c r="AX107" i="21"/>
  <c r="AV106" i="21"/>
  <c r="AT107" i="21"/>
  <c r="BL105" i="8"/>
  <c r="BJ106" i="8"/>
  <c r="BD106" i="21"/>
  <c r="BB107" i="21"/>
  <c r="BP106" i="21"/>
  <c r="BN107" i="21"/>
  <c r="BH105" i="22"/>
  <c r="BF106" i="22"/>
  <c r="AD107" i="19"/>
  <c r="AD108" i="19" s="1"/>
  <c r="AG106" i="19"/>
  <c r="AI106" i="19"/>
  <c r="AI106" i="21"/>
  <c r="AG106" i="21"/>
  <c r="AD107" i="21"/>
  <c r="AD108" i="21" s="1"/>
  <c r="BN106" i="8"/>
  <c r="BP105" i="8"/>
  <c r="AV106" i="19"/>
  <c r="AT107" i="19"/>
  <c r="BX105" i="8"/>
  <c r="BV106" i="8"/>
  <c r="AN106" i="21"/>
  <c r="AM106" i="21"/>
  <c r="AK107" i="21"/>
  <c r="AM106" i="22"/>
  <c r="AN106" i="22"/>
  <c r="AK107" i="22"/>
  <c r="BH106" i="21"/>
  <c r="BF107" i="21"/>
  <c r="BX106" i="21"/>
  <c r="BV107" i="21"/>
  <c r="BD106" i="19"/>
  <c r="BB107" i="19"/>
  <c r="BL106" i="22"/>
  <c r="BJ107" i="22"/>
  <c r="AN106" i="19"/>
  <c r="AM106" i="19"/>
  <c r="AK107" i="19"/>
  <c r="BT106" i="19"/>
  <c r="BR107" i="19"/>
  <c r="BD106" i="22"/>
  <c r="BB107" i="22"/>
  <c r="AN105" i="8"/>
  <c r="AM105" i="8"/>
  <c r="AK106" i="8"/>
  <c r="CI105" i="8"/>
  <c r="CJ105" i="8" s="1"/>
  <c r="Z105" i="8"/>
  <c r="W106" i="8"/>
  <c r="AB105" i="8"/>
  <c r="CB105" i="8"/>
  <c r="BZ106" i="8"/>
  <c r="AZ105" i="22"/>
  <c r="AX106" i="22"/>
  <c r="AR105" i="8"/>
  <c r="AP106" i="8"/>
  <c r="CB106" i="22"/>
  <c r="BZ107" i="22"/>
  <c r="BX105" i="22"/>
  <c r="BV106" i="22"/>
  <c r="BL106" i="19"/>
  <c r="BJ107" i="19"/>
  <c r="BL106" i="21"/>
  <c r="BJ107" i="21"/>
  <c r="CB106" i="19"/>
  <c r="BZ107" i="19"/>
  <c r="BD105" i="8"/>
  <c r="BB106" i="8"/>
  <c r="CF105" i="8"/>
  <c r="CD106" i="8"/>
  <c r="AG105" i="8"/>
  <c r="AI105" i="8"/>
  <c r="AD106" i="8"/>
  <c r="AV106" i="22"/>
  <c r="AT107" i="22"/>
  <c r="CI105" i="22"/>
  <c r="CJ105" i="22" s="1"/>
  <c r="Z105" i="22"/>
  <c r="W106" i="22"/>
  <c r="AB105" i="22"/>
  <c r="CB106" i="21"/>
  <c r="BZ107" i="21"/>
  <c r="BP106" i="22"/>
  <c r="BN107" i="22"/>
  <c r="W109" i="19" l="1"/>
  <c r="AB108" i="19"/>
  <c r="Z108" i="19"/>
  <c r="W109" i="21"/>
  <c r="Z108" i="21"/>
  <c r="AB108" i="21"/>
  <c r="AD109" i="19"/>
  <c r="AG108" i="19"/>
  <c r="AI108" i="19"/>
  <c r="AD109" i="21"/>
  <c r="AG108" i="21"/>
  <c r="AI108" i="21"/>
  <c r="BD107" i="22"/>
  <c r="BB108" i="22"/>
  <c r="BL107" i="19"/>
  <c r="BJ108" i="19"/>
  <c r="CB106" i="8"/>
  <c r="BZ107" i="8"/>
  <c r="AM106" i="8"/>
  <c r="AN106" i="8"/>
  <c r="AK107" i="8"/>
  <c r="Z107" i="21"/>
  <c r="AB107" i="21"/>
  <c r="AZ107" i="19"/>
  <c r="AX108" i="19"/>
  <c r="BT107" i="22"/>
  <c r="BR108" i="22"/>
  <c r="AZ106" i="8"/>
  <c r="AX107" i="8"/>
  <c r="BX106" i="8"/>
  <c r="BV107" i="8"/>
  <c r="AI107" i="21"/>
  <c r="AG107" i="21"/>
  <c r="BH106" i="8"/>
  <c r="BF107" i="8"/>
  <c r="AR107" i="19"/>
  <c r="AP108" i="19"/>
  <c r="BX106" i="22"/>
  <c r="BV107" i="22"/>
  <c r="BT107" i="19"/>
  <c r="BR108" i="19"/>
  <c r="BX107" i="21"/>
  <c r="BV108" i="21"/>
  <c r="BP107" i="22"/>
  <c r="BN108" i="22"/>
  <c r="CB107" i="21"/>
  <c r="BZ108" i="21"/>
  <c r="AG106" i="8"/>
  <c r="AI106" i="8"/>
  <c r="AD107" i="8"/>
  <c r="AD108" i="8" s="1"/>
  <c r="CB107" i="22"/>
  <c r="BZ108" i="22"/>
  <c r="BL107" i="22"/>
  <c r="BJ108" i="22"/>
  <c r="BP107" i="21"/>
  <c r="BN108" i="21"/>
  <c r="BL106" i="8"/>
  <c r="BJ107" i="8"/>
  <c r="BF108" i="19"/>
  <c r="BH107" i="19"/>
  <c r="AV107" i="19"/>
  <c r="AT108" i="19"/>
  <c r="CI106" i="22"/>
  <c r="CJ106" i="22" s="1"/>
  <c r="Z106" i="22"/>
  <c r="AB106" i="22"/>
  <c r="W107" i="22"/>
  <c r="W108" i="22" s="1"/>
  <c r="AZ106" i="22"/>
  <c r="AX107" i="22"/>
  <c r="AN107" i="22"/>
  <c r="AM107" i="22"/>
  <c r="AK108" i="22"/>
  <c r="BH106" i="22"/>
  <c r="BF107" i="22"/>
  <c r="Z107" i="19"/>
  <c r="AB107" i="19"/>
  <c r="AV106" i="8"/>
  <c r="AT107" i="8"/>
  <c r="BL107" i="21"/>
  <c r="BJ108" i="21"/>
  <c r="AV107" i="22"/>
  <c r="AT108" i="22"/>
  <c r="CI106" i="8"/>
  <c r="CJ106" i="8" s="1"/>
  <c r="Z106" i="8"/>
  <c r="W107" i="8"/>
  <c r="W108" i="8" s="1"/>
  <c r="AB106" i="8"/>
  <c r="AN107" i="19"/>
  <c r="AK108" i="19"/>
  <c r="AM107" i="19"/>
  <c r="AV107" i="21"/>
  <c r="AT108" i="21"/>
  <c r="AR107" i="21"/>
  <c r="AP108" i="21"/>
  <c r="AR107" i="22"/>
  <c r="AP108" i="22"/>
  <c r="BX107" i="19"/>
  <c r="BV108" i="19"/>
  <c r="BP107" i="19"/>
  <c r="BN108" i="19"/>
  <c r="CF106" i="22"/>
  <c r="CD107" i="22"/>
  <c r="AM107" i="21"/>
  <c r="AN107" i="21"/>
  <c r="AK108" i="21"/>
  <c r="CF107" i="21"/>
  <c r="CD108" i="21"/>
  <c r="BT106" i="8"/>
  <c r="BR107" i="8"/>
  <c r="CF106" i="8"/>
  <c r="CD107" i="8"/>
  <c r="BD106" i="8"/>
  <c r="BB107" i="8"/>
  <c r="CB107" i="19"/>
  <c r="BZ108" i="19"/>
  <c r="AR106" i="8"/>
  <c r="AP107" i="8"/>
  <c r="BD107" i="19"/>
  <c r="BB108" i="19"/>
  <c r="BH107" i="21"/>
  <c r="BF108" i="21"/>
  <c r="BP106" i="8"/>
  <c r="BN107" i="8"/>
  <c r="AG107" i="19"/>
  <c r="AI107" i="19"/>
  <c r="BD107" i="21"/>
  <c r="BB108" i="21"/>
  <c r="AZ107" i="21"/>
  <c r="AX108" i="21"/>
  <c r="CF107" i="19"/>
  <c r="CD108" i="19"/>
  <c r="AD107" i="22"/>
  <c r="AD108" i="22" s="1"/>
  <c r="AG106" i="22"/>
  <c r="AI106" i="22"/>
  <c r="BT107" i="21"/>
  <c r="BR108" i="21"/>
  <c r="AD110" i="19" l="1"/>
  <c r="AG109" i="19"/>
  <c r="AI109" i="19"/>
  <c r="W109" i="8"/>
  <c r="CI108" i="8"/>
  <c r="CJ108" i="8" s="1"/>
  <c r="Z108" i="8"/>
  <c r="AB108" i="8"/>
  <c r="W110" i="21"/>
  <c r="Z109" i="21"/>
  <c r="AB109" i="21"/>
  <c r="AD109" i="22"/>
  <c r="AG108" i="22"/>
  <c r="AI108" i="22"/>
  <c r="W109" i="22"/>
  <c r="Z108" i="22"/>
  <c r="CI108" i="22"/>
  <c r="CJ108" i="22" s="1"/>
  <c r="AB108" i="22"/>
  <c r="AD109" i="8"/>
  <c r="AG108" i="8"/>
  <c r="AI108" i="8"/>
  <c r="AD110" i="21"/>
  <c r="AG109" i="21"/>
  <c r="AI109" i="21"/>
  <c r="W110" i="19"/>
  <c r="AB109" i="19"/>
  <c r="Z109" i="19"/>
  <c r="CF107" i="8"/>
  <c r="CD108" i="8"/>
  <c r="AI107" i="8"/>
  <c r="AG107" i="8"/>
  <c r="BJ109" i="19"/>
  <c r="BL108" i="19"/>
  <c r="AV108" i="19"/>
  <c r="AT109" i="19"/>
  <c r="BL107" i="8"/>
  <c r="BJ108" i="8"/>
  <c r="BX108" i="21"/>
  <c r="BV109" i="21"/>
  <c r="BX107" i="8"/>
  <c r="BV108" i="8"/>
  <c r="AN107" i="8"/>
  <c r="AM107" i="8"/>
  <c r="AK108" i="8"/>
  <c r="AI107" i="22"/>
  <c r="AG107" i="22"/>
  <c r="CF108" i="21"/>
  <c r="CD109" i="21"/>
  <c r="BL108" i="21"/>
  <c r="BJ109" i="21"/>
  <c r="AV107" i="8"/>
  <c r="AT108" i="8"/>
  <c r="BH107" i="22"/>
  <c r="BF108" i="22"/>
  <c r="AZ107" i="22"/>
  <c r="AX108" i="22"/>
  <c r="AZ107" i="8"/>
  <c r="AX108" i="8"/>
  <c r="BT108" i="22"/>
  <c r="BR109" i="22"/>
  <c r="BT108" i="21"/>
  <c r="BR109" i="21"/>
  <c r="CB108" i="19"/>
  <c r="BZ109" i="19"/>
  <c r="CF107" i="22"/>
  <c r="CD108" i="22"/>
  <c r="AR108" i="22"/>
  <c r="AP109" i="22"/>
  <c r="AM108" i="19"/>
  <c r="AN108" i="19"/>
  <c r="AK109" i="19"/>
  <c r="CF108" i="19"/>
  <c r="CD109" i="19"/>
  <c r="BD108" i="19"/>
  <c r="BB109" i="19"/>
  <c r="BD107" i="8"/>
  <c r="BB108" i="8"/>
  <c r="BP108" i="19"/>
  <c r="BN109" i="19"/>
  <c r="AR108" i="21"/>
  <c r="AP109" i="21"/>
  <c r="BT108" i="19"/>
  <c r="BR109" i="19"/>
  <c r="AP109" i="19"/>
  <c r="AR108" i="19"/>
  <c r="BP107" i="8"/>
  <c r="BN108" i="8"/>
  <c r="BX108" i="19"/>
  <c r="BV109" i="19"/>
  <c r="CI107" i="8"/>
  <c r="CJ107" i="8" s="1"/>
  <c r="Z107" i="8"/>
  <c r="AB107" i="8"/>
  <c r="CI107" i="22"/>
  <c r="CJ107" i="22" s="1"/>
  <c r="Z107" i="22"/>
  <c r="AB107" i="22"/>
  <c r="BP108" i="21"/>
  <c r="BN109" i="21"/>
  <c r="CB108" i="21"/>
  <c r="BZ109" i="21"/>
  <c r="AZ108" i="19"/>
  <c r="AX109" i="19"/>
  <c r="CB107" i="8"/>
  <c r="BZ108" i="8"/>
  <c r="AN108" i="21"/>
  <c r="AM108" i="21"/>
  <c r="AK109" i="21"/>
  <c r="BH108" i="19"/>
  <c r="BF109" i="19"/>
  <c r="BL108" i="22"/>
  <c r="BJ109" i="22"/>
  <c r="BX107" i="22"/>
  <c r="BV108" i="22"/>
  <c r="BF108" i="8"/>
  <c r="BH107" i="8"/>
  <c r="BD108" i="22"/>
  <c r="BB109" i="22"/>
  <c r="AZ108" i="21"/>
  <c r="AX109" i="21"/>
  <c r="BT107" i="8"/>
  <c r="BR108" i="8"/>
  <c r="AP108" i="8"/>
  <c r="AR107" i="8"/>
  <c r="AV108" i="22"/>
  <c r="AT109" i="22"/>
  <c r="BZ109" i="22"/>
  <c r="CB108" i="22"/>
  <c r="BP108" i="22"/>
  <c r="BN109" i="22"/>
  <c r="BD108" i="21"/>
  <c r="BB109" i="21"/>
  <c r="BH108" i="21"/>
  <c r="BF109" i="21"/>
  <c r="AV108" i="21"/>
  <c r="AT109" i="21"/>
  <c r="AK109" i="22"/>
  <c r="AM108" i="22"/>
  <c r="AN108" i="22"/>
  <c r="AD111" i="21" l="1"/>
  <c r="AG110" i="21"/>
  <c r="AI110" i="21"/>
  <c r="W111" i="19"/>
  <c r="Z110" i="19"/>
  <c r="AB110" i="19"/>
  <c r="W111" i="21"/>
  <c r="AB110" i="21"/>
  <c r="Z110" i="21"/>
  <c r="AD110" i="8"/>
  <c r="AG109" i="8"/>
  <c r="AI109" i="8"/>
  <c r="AD110" i="22"/>
  <c r="AG109" i="22"/>
  <c r="AI109" i="22"/>
  <c r="AD111" i="19"/>
  <c r="AG110" i="19"/>
  <c r="AI110" i="19"/>
  <c r="W110" i="8"/>
  <c r="CI109" i="8"/>
  <c r="CJ109" i="8" s="1"/>
  <c r="Z109" i="8"/>
  <c r="AB109" i="8"/>
  <c r="W110" i="22"/>
  <c r="CI109" i="22"/>
  <c r="CJ109" i="22" s="1"/>
  <c r="AB109" i="22"/>
  <c r="Z109" i="22"/>
  <c r="AN109" i="22"/>
  <c r="AM109" i="22"/>
  <c r="AK110" i="22"/>
  <c r="BT108" i="8"/>
  <c r="BR109" i="8"/>
  <c r="CB109" i="21"/>
  <c r="BZ110" i="21"/>
  <c r="BP108" i="8"/>
  <c r="BN109" i="8"/>
  <c r="BT109" i="19"/>
  <c r="BR110" i="19"/>
  <c r="BD109" i="19"/>
  <c r="BB110" i="19"/>
  <c r="CF108" i="22"/>
  <c r="CD109" i="22"/>
  <c r="AZ108" i="22"/>
  <c r="AX109" i="22"/>
  <c r="AM108" i="8"/>
  <c r="AN108" i="8"/>
  <c r="AK109" i="8"/>
  <c r="BB110" i="21"/>
  <c r="BD109" i="21"/>
  <c r="BN110" i="22"/>
  <c r="BP109" i="22"/>
  <c r="AV109" i="22"/>
  <c r="AT110" i="22"/>
  <c r="AR108" i="8"/>
  <c r="AP109" i="8"/>
  <c r="BL109" i="22"/>
  <c r="BJ110" i="22"/>
  <c r="AZ109" i="19"/>
  <c r="AX110" i="19"/>
  <c r="BP109" i="19"/>
  <c r="BN110" i="19"/>
  <c r="BT109" i="22"/>
  <c r="BR110" i="22"/>
  <c r="AZ109" i="21"/>
  <c r="AX110" i="21"/>
  <c r="BN110" i="21"/>
  <c r="BP109" i="21"/>
  <c r="BX109" i="19"/>
  <c r="BV110" i="19"/>
  <c r="CB109" i="19"/>
  <c r="BZ110" i="19"/>
  <c r="BH108" i="22"/>
  <c r="BF109" i="22"/>
  <c r="BL108" i="8"/>
  <c r="BJ109" i="8"/>
  <c r="CF108" i="8"/>
  <c r="CD109" i="8"/>
  <c r="AN109" i="19"/>
  <c r="AK110" i="19"/>
  <c r="AM109" i="19"/>
  <c r="AX109" i="8"/>
  <c r="AZ108" i="8"/>
  <c r="AT110" i="21"/>
  <c r="AV109" i="21"/>
  <c r="CB109" i="22"/>
  <c r="BZ110" i="22"/>
  <c r="BT109" i="21"/>
  <c r="BR110" i="21"/>
  <c r="AV108" i="8"/>
  <c r="AT109" i="8"/>
  <c r="CF109" i="21"/>
  <c r="CD110" i="21"/>
  <c r="BX108" i="8"/>
  <c r="BV109" i="8"/>
  <c r="BH108" i="8"/>
  <c r="BF109" i="8"/>
  <c r="CB108" i="8"/>
  <c r="BZ109" i="8"/>
  <c r="AV109" i="19"/>
  <c r="AT110" i="19"/>
  <c r="BL109" i="19"/>
  <c r="BJ110" i="19"/>
  <c r="BD109" i="22"/>
  <c r="BB110" i="22"/>
  <c r="BX108" i="22"/>
  <c r="BV109" i="22"/>
  <c r="BD108" i="8"/>
  <c r="BB109" i="8"/>
  <c r="AR109" i="22"/>
  <c r="AP110" i="22"/>
  <c r="BL109" i="21"/>
  <c r="BJ110" i="21"/>
  <c r="BX109" i="21"/>
  <c r="BV110" i="21"/>
  <c r="BH109" i="21"/>
  <c r="BF110" i="21"/>
  <c r="BF110" i="19"/>
  <c r="BH109" i="19"/>
  <c r="AN109" i="21"/>
  <c r="AM109" i="21"/>
  <c r="AK110" i="21"/>
  <c r="AR109" i="19"/>
  <c r="AP110" i="19"/>
  <c r="AP110" i="21"/>
  <c r="AR109" i="21"/>
  <c r="CF109" i="19"/>
  <c r="CD110" i="19"/>
  <c r="AD111" i="22" l="1"/>
  <c r="AG110" i="22"/>
  <c r="AI110" i="22"/>
  <c r="AD112" i="19"/>
  <c r="AG111" i="19"/>
  <c r="AI111" i="19"/>
  <c r="W112" i="21"/>
  <c r="Z111" i="21"/>
  <c r="AB111" i="21"/>
  <c r="W111" i="8"/>
  <c r="CI110" i="8"/>
  <c r="CJ110" i="8" s="1"/>
  <c r="Z110" i="8"/>
  <c r="AB110" i="8"/>
  <c r="AD111" i="8"/>
  <c r="AG110" i="8"/>
  <c r="AI110" i="8"/>
  <c r="AD112" i="21"/>
  <c r="AG111" i="21"/>
  <c r="AI111" i="21"/>
  <c r="W111" i="22"/>
  <c r="Z110" i="22"/>
  <c r="CI110" i="22"/>
  <c r="CJ110" i="22" s="1"/>
  <c r="AB110" i="22"/>
  <c r="W112" i="19"/>
  <c r="Z111" i="19"/>
  <c r="AB111" i="19"/>
  <c r="BL110" i="21"/>
  <c r="BJ111" i="21"/>
  <c r="BL110" i="19"/>
  <c r="BJ111" i="19"/>
  <c r="CB110" i="22"/>
  <c r="BZ111" i="22"/>
  <c r="AZ109" i="8"/>
  <c r="AX110" i="8"/>
  <c r="BH109" i="22"/>
  <c r="BF110" i="22"/>
  <c r="BZ111" i="19"/>
  <c r="CB110" i="19"/>
  <c r="BT109" i="8"/>
  <c r="BR110" i="8"/>
  <c r="AN110" i="22"/>
  <c r="AM110" i="22"/>
  <c r="AK111" i="22"/>
  <c r="AN110" i="21"/>
  <c r="AM110" i="21"/>
  <c r="AK111" i="21"/>
  <c r="BX110" i="19"/>
  <c r="BV111" i="19"/>
  <c r="BL110" i="22"/>
  <c r="BJ111" i="22"/>
  <c r="BD110" i="21"/>
  <c r="BB111" i="21"/>
  <c r="AX110" i="22"/>
  <c r="AZ109" i="22"/>
  <c r="CF110" i="19"/>
  <c r="CD111" i="19"/>
  <c r="BD109" i="8"/>
  <c r="BB110" i="8"/>
  <c r="AV110" i="19"/>
  <c r="AT111" i="19"/>
  <c r="AV109" i="8"/>
  <c r="AT110" i="8"/>
  <c r="CF109" i="8"/>
  <c r="CD110" i="8"/>
  <c r="CB109" i="8"/>
  <c r="BZ110" i="8"/>
  <c r="BT110" i="21"/>
  <c r="BR111" i="21"/>
  <c r="BL109" i="8"/>
  <c r="BJ110" i="8"/>
  <c r="AZ110" i="21"/>
  <c r="AX111" i="21"/>
  <c r="BR111" i="19"/>
  <c r="BT110" i="19"/>
  <c r="AP111" i="21"/>
  <c r="AR110" i="21"/>
  <c r="BX109" i="22"/>
  <c r="BV110" i="22"/>
  <c r="BP110" i="21"/>
  <c r="BN111" i="21"/>
  <c r="AR110" i="19"/>
  <c r="AP111" i="19"/>
  <c r="BH110" i="21"/>
  <c r="BF111" i="21"/>
  <c r="BX110" i="21"/>
  <c r="BV111" i="21"/>
  <c r="AP111" i="22"/>
  <c r="AR110" i="22"/>
  <c r="BH109" i="8"/>
  <c r="BF110" i="8"/>
  <c r="BX109" i="8"/>
  <c r="BV110" i="8"/>
  <c r="AN110" i="19"/>
  <c r="AM110" i="19"/>
  <c r="AK111" i="19"/>
  <c r="AR109" i="8"/>
  <c r="AP110" i="8"/>
  <c r="BH110" i="19"/>
  <c r="BF111" i="19"/>
  <c r="BD110" i="22"/>
  <c r="BB111" i="22"/>
  <c r="AV110" i="21"/>
  <c r="AT111" i="21"/>
  <c r="BP110" i="19"/>
  <c r="BN111" i="19"/>
  <c r="AZ110" i="19"/>
  <c r="AX111" i="19"/>
  <c r="AM109" i="8"/>
  <c r="AN109" i="8"/>
  <c r="AK110" i="8"/>
  <c r="CF109" i="22"/>
  <c r="CD110" i="22"/>
  <c r="BP109" i="8"/>
  <c r="BN110" i="8"/>
  <c r="CB110" i="21"/>
  <c r="BZ111" i="21"/>
  <c r="CF110" i="21"/>
  <c r="CD111" i="21"/>
  <c r="BT110" i="22"/>
  <c r="BR111" i="22"/>
  <c r="AV110" i="22"/>
  <c r="AT111" i="22"/>
  <c r="BP110" i="22"/>
  <c r="BN111" i="22"/>
  <c r="BD110" i="19"/>
  <c r="BB111" i="19"/>
  <c r="AB112" i="19" l="1"/>
  <c r="AC45" i="19" s="1"/>
  <c r="Z112" i="19"/>
  <c r="AA102" i="19" s="1"/>
  <c r="Z112" i="21"/>
  <c r="AA111" i="21" s="1"/>
  <c r="AB112" i="21"/>
  <c r="AJ110" i="21" s="1"/>
  <c r="AD112" i="22"/>
  <c r="AG111" i="22"/>
  <c r="AI111" i="22"/>
  <c r="AG112" i="21"/>
  <c r="AH87" i="21" s="1"/>
  <c r="AI112" i="21"/>
  <c r="AD112" i="8"/>
  <c r="AG111" i="8"/>
  <c r="AI111" i="8"/>
  <c r="AG112" i="19"/>
  <c r="AH30" i="19" s="1"/>
  <c r="AI112" i="19"/>
  <c r="W112" i="22"/>
  <c r="CI111" i="22"/>
  <c r="CJ111" i="22" s="1"/>
  <c r="Z111" i="22"/>
  <c r="AB111" i="22"/>
  <c r="W112" i="8"/>
  <c r="CI111" i="8"/>
  <c r="CJ111" i="8" s="1"/>
  <c r="Z111" i="8"/>
  <c r="AB111" i="8"/>
  <c r="AZ111" i="19"/>
  <c r="AX112" i="19"/>
  <c r="BH111" i="21"/>
  <c r="BF112" i="21"/>
  <c r="AV110" i="8"/>
  <c r="AT111" i="8"/>
  <c r="BT110" i="8"/>
  <c r="BR111" i="8"/>
  <c r="BF111" i="22"/>
  <c r="BH110" i="22"/>
  <c r="BL111" i="19"/>
  <c r="BJ112" i="19"/>
  <c r="CF111" i="21"/>
  <c r="CD112" i="21"/>
  <c r="CF110" i="8"/>
  <c r="CD111" i="8"/>
  <c r="AV111" i="19"/>
  <c r="AT112" i="19"/>
  <c r="AM111" i="21"/>
  <c r="AN111" i="21"/>
  <c r="AK112" i="21"/>
  <c r="BP110" i="8"/>
  <c r="BN111" i="8"/>
  <c r="AN111" i="19"/>
  <c r="AM111" i="19"/>
  <c r="AK112" i="19"/>
  <c r="BH110" i="8"/>
  <c r="BF111" i="8"/>
  <c r="BT111" i="21"/>
  <c r="BR112" i="21"/>
  <c r="BZ111" i="8"/>
  <c r="CB110" i="8"/>
  <c r="BZ112" i="22"/>
  <c r="CB111" i="22"/>
  <c r="BJ112" i="21"/>
  <c r="BL111" i="21"/>
  <c r="BP111" i="19"/>
  <c r="BN112" i="19"/>
  <c r="BD111" i="22"/>
  <c r="BB112" i="22"/>
  <c r="BL110" i="8"/>
  <c r="BJ111" i="8"/>
  <c r="AZ110" i="22"/>
  <c r="AX111" i="22"/>
  <c r="AZ110" i="8"/>
  <c r="AX111" i="8"/>
  <c r="CD111" i="22"/>
  <c r="CF110" i="22"/>
  <c r="BX110" i="8"/>
  <c r="BV111" i="8"/>
  <c r="AR111" i="19"/>
  <c r="AP112" i="19"/>
  <c r="BX110" i="22"/>
  <c r="BV111" i="22"/>
  <c r="BD110" i="8"/>
  <c r="BB111" i="8"/>
  <c r="BD111" i="21"/>
  <c r="BB112" i="21"/>
  <c r="BX111" i="19"/>
  <c r="BV112" i="19"/>
  <c r="AV111" i="21"/>
  <c r="AT112" i="21"/>
  <c r="AR111" i="22"/>
  <c r="AP112" i="22"/>
  <c r="AN111" i="22"/>
  <c r="AM111" i="22"/>
  <c r="AK112" i="22"/>
  <c r="BP111" i="22"/>
  <c r="BN112" i="22"/>
  <c r="BD111" i="19"/>
  <c r="BB112" i="19"/>
  <c r="BT111" i="22"/>
  <c r="BR112" i="22"/>
  <c r="AN110" i="8"/>
  <c r="AM110" i="8"/>
  <c r="AK111" i="8"/>
  <c r="AR110" i="8"/>
  <c r="AP111" i="8"/>
  <c r="BX111" i="21"/>
  <c r="BV112" i="21"/>
  <c r="BP111" i="21"/>
  <c r="BN112" i="21"/>
  <c r="AZ111" i="21"/>
  <c r="AX112" i="21"/>
  <c r="CF111" i="19"/>
  <c r="CD112" i="19"/>
  <c r="BL111" i="22"/>
  <c r="BJ112" i="22"/>
  <c r="BH111" i="19"/>
  <c r="BF112" i="19"/>
  <c r="AV111" i="22"/>
  <c r="AT112" i="22"/>
  <c r="CB111" i="21"/>
  <c r="BZ112" i="21"/>
  <c r="AR111" i="21"/>
  <c r="AP112" i="21"/>
  <c r="BT111" i="19"/>
  <c r="BR112" i="19"/>
  <c r="BZ112" i="19"/>
  <c r="CB111" i="19"/>
  <c r="AJ74" i="19" l="1"/>
  <c r="AC41" i="19"/>
  <c r="AC102" i="19"/>
  <c r="AJ99" i="19"/>
  <c r="AJ73" i="19"/>
  <c r="AJ69" i="19"/>
  <c r="AC33" i="19"/>
  <c r="AJ47" i="19"/>
  <c r="AC97" i="19"/>
  <c r="AJ92" i="19"/>
  <c r="AJ52" i="19"/>
  <c r="AJ34" i="19"/>
  <c r="AJ39" i="19"/>
  <c r="AJ36" i="19"/>
  <c r="AJ96" i="19"/>
  <c r="AC62" i="19"/>
  <c r="AJ20" i="19"/>
  <c r="AC110" i="19"/>
  <c r="AC105" i="19"/>
  <c r="AJ95" i="19"/>
  <c r="AC66" i="19"/>
  <c r="AC24" i="19"/>
  <c r="AJ110" i="19"/>
  <c r="AJ84" i="19"/>
  <c r="AJ72" i="19"/>
  <c r="AC96" i="19"/>
  <c r="AJ31" i="19"/>
  <c r="AJ90" i="19"/>
  <c r="AC91" i="19"/>
  <c r="AJ50" i="19"/>
  <c r="AJ13" i="19"/>
  <c r="AJ38" i="19"/>
  <c r="AJ68" i="19"/>
  <c r="AJ97" i="19"/>
  <c r="AC93" i="19"/>
  <c r="AJ54" i="19"/>
  <c r="AC14" i="19"/>
  <c r="AC15" i="19"/>
  <c r="AJ51" i="19"/>
  <c r="AC35" i="19"/>
  <c r="AC64" i="19"/>
  <c r="AC61" i="19"/>
  <c r="AC21" i="19"/>
  <c r="AJ43" i="19"/>
  <c r="AC79" i="19"/>
  <c r="AJ107" i="19"/>
  <c r="AJ48" i="19"/>
  <c r="AC67" i="19"/>
  <c r="AJ24" i="19"/>
  <c r="AJ80" i="19"/>
  <c r="AC44" i="19"/>
  <c r="AJ70" i="19"/>
  <c r="AJ105" i="19"/>
  <c r="AC43" i="19"/>
  <c r="AJ64" i="19"/>
  <c r="AC101" i="19"/>
  <c r="AC69" i="19"/>
  <c r="AJ93" i="19"/>
  <c r="AC34" i="19"/>
  <c r="AC98" i="19"/>
  <c r="AJ28" i="19"/>
  <c r="AJ59" i="19"/>
  <c r="AC29" i="19"/>
  <c r="AJ57" i="19"/>
  <c r="AC88" i="19"/>
  <c r="AC60" i="19"/>
  <c r="AJ85" i="19"/>
  <c r="AC16" i="19"/>
  <c r="AJ88" i="19"/>
  <c r="AJ18" i="19"/>
  <c r="AC12" i="19"/>
  <c r="AC40" i="19"/>
  <c r="AJ14" i="19"/>
  <c r="AC39" i="19"/>
  <c r="AC83" i="19"/>
  <c r="AJ100" i="19"/>
  <c r="AC32" i="19"/>
  <c r="AJ79" i="19"/>
  <c r="AC42" i="19"/>
  <c r="AC59" i="19"/>
  <c r="AC100" i="19"/>
  <c r="AJ66" i="19"/>
  <c r="AJ89" i="19"/>
  <c r="AJ30" i="19"/>
  <c r="AJ94" i="19"/>
  <c r="AC26" i="19"/>
  <c r="AC56" i="19"/>
  <c r="AC27" i="19"/>
  <c r="AJ53" i="19"/>
  <c r="AC84" i="19"/>
  <c r="AC55" i="19"/>
  <c r="AJ82" i="19"/>
  <c r="AC81" i="19"/>
  <c r="AC31" i="19"/>
  <c r="AC75" i="19"/>
  <c r="AJ33" i="19"/>
  <c r="AC57" i="19"/>
  <c r="AJ101" i="19"/>
  <c r="AJ61" i="19"/>
  <c r="AC85" i="19"/>
  <c r="AC22" i="19"/>
  <c r="AC90" i="19"/>
  <c r="AJ22" i="19"/>
  <c r="AC53" i="19"/>
  <c r="AC23" i="19"/>
  <c r="AC49" i="19"/>
  <c r="AC47" i="19"/>
  <c r="AC82" i="19"/>
  <c r="AJ41" i="19"/>
  <c r="AC68" i="19"/>
  <c r="AJ19" i="19"/>
  <c r="AJ37" i="19"/>
  <c r="AC65" i="19"/>
  <c r="AJ16" i="19"/>
  <c r="AJ65" i="19"/>
  <c r="AC92" i="19"/>
  <c r="AJ42" i="19"/>
  <c r="AC94" i="19"/>
  <c r="AC25" i="19"/>
  <c r="AC71" i="19"/>
  <c r="AJ29" i="19"/>
  <c r="AC52" i="19"/>
  <c r="AC103" i="19"/>
  <c r="AC58" i="19"/>
  <c r="AC80" i="19"/>
  <c r="AJ17" i="19"/>
  <c r="AC86" i="19"/>
  <c r="AC17" i="19"/>
  <c r="AJ15" i="19"/>
  <c r="AC77" i="19"/>
  <c r="AJ104" i="19"/>
  <c r="AC36" i="19"/>
  <c r="AC74" i="19"/>
  <c r="AC106" i="19"/>
  <c r="AJ32" i="19"/>
  <c r="AJ109" i="19"/>
  <c r="AC37" i="19"/>
  <c r="AJ62" i="19"/>
  <c r="AC107" i="19"/>
  <c r="AJ63" i="19"/>
  <c r="AC87" i="19"/>
  <c r="AC38" i="19"/>
  <c r="AC89" i="19"/>
  <c r="AJ21" i="19"/>
  <c r="AJ67" i="19"/>
  <c r="AJ27" i="19"/>
  <c r="AJ49" i="19"/>
  <c r="AC95" i="19"/>
  <c r="AC54" i="19"/>
  <c r="AC76" i="19"/>
  <c r="AJ60" i="19"/>
  <c r="AJ46" i="19"/>
  <c r="AJ76" i="19"/>
  <c r="AJ106" i="19"/>
  <c r="AJ44" i="19"/>
  <c r="AC70" i="19"/>
  <c r="AJ102" i="19"/>
  <c r="AC73" i="19"/>
  <c r="AJ98" i="19"/>
  <c r="AC28" i="19"/>
  <c r="AC99" i="19"/>
  <c r="AC30" i="19"/>
  <c r="AJ56" i="19"/>
  <c r="AC104" i="19"/>
  <c r="AJ58" i="19"/>
  <c r="AJ83" i="19"/>
  <c r="AJ35" i="19"/>
  <c r="AJ86" i="19"/>
  <c r="AC20" i="19"/>
  <c r="AC63" i="19"/>
  <c r="AJ23" i="19"/>
  <c r="AJ45" i="19"/>
  <c r="AJ91" i="19"/>
  <c r="AJ75" i="19"/>
  <c r="AC108" i="19"/>
  <c r="AC109" i="19"/>
  <c r="AJ111" i="19"/>
  <c r="AC72" i="19"/>
  <c r="AC111" i="19"/>
  <c r="AA107" i="19"/>
  <c r="AA64" i="19"/>
  <c r="AA69" i="19"/>
  <c r="AA36" i="19"/>
  <c r="AJ55" i="19"/>
  <c r="AJ26" i="19"/>
  <c r="AC78" i="19"/>
  <c r="AJ87" i="19"/>
  <c r="AJ40" i="19"/>
  <c r="AC18" i="19"/>
  <c r="AC13" i="19"/>
  <c r="AC48" i="19"/>
  <c r="AA74" i="19"/>
  <c r="AA105" i="19"/>
  <c r="AJ108" i="19"/>
  <c r="AA44" i="19"/>
  <c r="AA16" i="19"/>
  <c r="AA38" i="19"/>
  <c r="AA53" i="19"/>
  <c r="AA71" i="19"/>
  <c r="AA50" i="19"/>
  <c r="AA72" i="19"/>
  <c r="AA92" i="19"/>
  <c r="AA94" i="19"/>
  <c r="AA73" i="19"/>
  <c r="AA81" i="19"/>
  <c r="AA85" i="19"/>
  <c r="AA48" i="19"/>
  <c r="AA51" i="19"/>
  <c r="AA77" i="19"/>
  <c r="AA103" i="19"/>
  <c r="AA21" i="19"/>
  <c r="AH12" i="19"/>
  <c r="H11" i="19" s="1"/>
  <c r="AH63" i="19"/>
  <c r="AH26" i="19"/>
  <c r="AH54" i="19"/>
  <c r="AJ81" i="19"/>
  <c r="AJ74" i="21"/>
  <c r="AH61" i="19"/>
  <c r="AJ21" i="21"/>
  <c r="AJ28" i="21"/>
  <c r="AC17" i="21"/>
  <c r="AC22" i="21"/>
  <c r="AJ37" i="21"/>
  <c r="AJ62" i="21"/>
  <c r="AJ106" i="21"/>
  <c r="AC42" i="21"/>
  <c r="AC93" i="21"/>
  <c r="AJ72" i="21"/>
  <c r="AJ95" i="21"/>
  <c r="AC106" i="21"/>
  <c r="AC75" i="21"/>
  <c r="AC103" i="21"/>
  <c r="AJ92" i="21"/>
  <c r="AC111" i="21"/>
  <c r="AC43" i="21"/>
  <c r="AC102" i="21"/>
  <c r="AJ71" i="21"/>
  <c r="AJ22" i="21"/>
  <c r="AJ111" i="21"/>
  <c r="AC48" i="21"/>
  <c r="AJ36" i="21"/>
  <c r="AC24" i="21"/>
  <c r="AJ99" i="21"/>
  <c r="AJ61" i="21"/>
  <c r="AJ29" i="21"/>
  <c r="AC69" i="21"/>
  <c r="AJ27" i="21"/>
  <c r="AJ44" i="21"/>
  <c r="AJ100" i="21"/>
  <c r="AJ66" i="21"/>
  <c r="AC21" i="21"/>
  <c r="AC77" i="21"/>
  <c r="AJ38" i="21"/>
  <c r="AC27" i="21"/>
  <c r="AC29" i="21"/>
  <c r="AJ84" i="21"/>
  <c r="AJ65" i="21"/>
  <c r="AC68" i="21"/>
  <c r="AC99" i="21"/>
  <c r="AJ102" i="21"/>
  <c r="AJ19" i="21"/>
  <c r="AC38" i="21"/>
  <c r="AJ35" i="21"/>
  <c r="AC20" i="21"/>
  <c r="AC40" i="21"/>
  <c r="AC19" i="21"/>
  <c r="AJ108" i="21"/>
  <c r="AJ15" i="21"/>
  <c r="AJ76" i="21"/>
  <c r="AJ67" i="21"/>
  <c r="AJ31" i="21"/>
  <c r="AC62" i="21"/>
  <c r="AJ104" i="21"/>
  <c r="AJ30" i="21"/>
  <c r="AJ23" i="21"/>
  <c r="AC101" i="21"/>
  <c r="AC46" i="21"/>
  <c r="AC26" i="21"/>
  <c r="AC31" i="21"/>
  <c r="AC80" i="21"/>
  <c r="AC70" i="21"/>
  <c r="AJ79" i="21"/>
  <c r="AJ47" i="21"/>
  <c r="AJ51" i="21"/>
  <c r="AJ103" i="21"/>
  <c r="AJ87" i="21"/>
  <c r="AC55" i="21"/>
  <c r="AC110" i="21"/>
  <c r="AC50" i="21"/>
  <c r="AJ69" i="21"/>
  <c r="AC37" i="21"/>
  <c r="AA67" i="19"/>
  <c r="AJ54" i="21"/>
  <c r="AC74" i="21"/>
  <c r="AC85" i="21"/>
  <c r="AC98" i="21"/>
  <c r="AJ41" i="21"/>
  <c r="AH92" i="19"/>
  <c r="AJ52" i="21"/>
  <c r="AC105" i="21"/>
  <c r="AC73" i="21"/>
  <c r="AC94" i="21"/>
  <c r="AJ14" i="21"/>
  <c r="AC87" i="21"/>
  <c r="AJ73" i="21"/>
  <c r="AC95" i="21"/>
  <c r="AJ101" i="21"/>
  <c r="AC12" i="21"/>
  <c r="AJ39" i="21"/>
  <c r="AC89" i="21"/>
  <c r="AJ43" i="21"/>
  <c r="AC15" i="21"/>
  <c r="AJ25" i="21"/>
  <c r="AJ33" i="21"/>
  <c r="AC16" i="21"/>
  <c r="AC57" i="21"/>
  <c r="AJ89" i="21"/>
  <c r="AC56" i="21"/>
  <c r="AJ88" i="21"/>
  <c r="AC18" i="21"/>
  <c r="AC61" i="21"/>
  <c r="AC35" i="21"/>
  <c r="AJ58" i="21"/>
  <c r="AJ42" i="21"/>
  <c r="AC39" i="21"/>
  <c r="AJ91" i="21"/>
  <c r="AJ77" i="21"/>
  <c r="AJ46" i="21"/>
  <c r="AC13" i="21"/>
  <c r="AC41" i="21"/>
  <c r="AJ93" i="21"/>
  <c r="AC107" i="21"/>
  <c r="AJ13" i="21"/>
  <c r="AJ12" i="21"/>
  <c r="AC60" i="21"/>
  <c r="AC78" i="21"/>
  <c r="AC28" i="21"/>
  <c r="AC64" i="21"/>
  <c r="AJ48" i="21"/>
  <c r="AC47" i="21"/>
  <c r="AC96" i="21"/>
  <c r="AC81" i="21"/>
  <c r="AC86" i="21"/>
  <c r="AJ85" i="21"/>
  <c r="AJ59" i="21"/>
  <c r="AJ49" i="21"/>
  <c r="AC32" i="21"/>
  <c r="AC49" i="21"/>
  <c r="AC36" i="21"/>
  <c r="AJ90" i="21"/>
  <c r="AJ80" i="21"/>
  <c r="AC51" i="21"/>
  <c r="AJ82" i="21"/>
  <c r="AC83" i="21"/>
  <c r="AJ20" i="21"/>
  <c r="AC58" i="21"/>
  <c r="AJ63" i="21"/>
  <c r="AJ34" i="21"/>
  <c r="AH74" i="19"/>
  <c r="AH89" i="19"/>
  <c r="AH32" i="19"/>
  <c r="AH31" i="19"/>
  <c r="AH59" i="21"/>
  <c r="AH44" i="19"/>
  <c r="AH64" i="19"/>
  <c r="AH96" i="19"/>
  <c r="AH67" i="19"/>
  <c r="AH32" i="21"/>
  <c r="AH13" i="19"/>
  <c r="AH19" i="19"/>
  <c r="AH70" i="19"/>
  <c r="AH33" i="19"/>
  <c r="AH39" i="19"/>
  <c r="AH75" i="19"/>
  <c r="AH83" i="19"/>
  <c r="AH95" i="19"/>
  <c r="AH17" i="19"/>
  <c r="AH16" i="19"/>
  <c r="AH48" i="19"/>
  <c r="AH52" i="19"/>
  <c r="AH45" i="21"/>
  <c r="AH78" i="19"/>
  <c r="AH79" i="19"/>
  <c r="AH107" i="21"/>
  <c r="AH81" i="19"/>
  <c r="AH23" i="19"/>
  <c r="AH99" i="21"/>
  <c r="AH21" i="19"/>
  <c r="AH86" i="21"/>
  <c r="AH29" i="19"/>
  <c r="AH53" i="21"/>
  <c r="AH59" i="19"/>
  <c r="AH86" i="19"/>
  <c r="AH64" i="21"/>
  <c r="AH88" i="19"/>
  <c r="AH94" i="19"/>
  <c r="AH40" i="19"/>
  <c r="AH69" i="21"/>
  <c r="AH68" i="21"/>
  <c r="AH13" i="21"/>
  <c r="AH72" i="21"/>
  <c r="AH74" i="21"/>
  <c r="AH33" i="21"/>
  <c r="AH26" i="21"/>
  <c r="AH16" i="21"/>
  <c r="AH38" i="21"/>
  <c r="AH37" i="21"/>
  <c r="AH79" i="21"/>
  <c r="AH52" i="21"/>
  <c r="AH97" i="21"/>
  <c r="AH91" i="21"/>
  <c r="AH46" i="21"/>
  <c r="AH105" i="21"/>
  <c r="AH42" i="21"/>
  <c r="AH19" i="21"/>
  <c r="AH89" i="21"/>
  <c r="AH61" i="21"/>
  <c r="AH96" i="21"/>
  <c r="AH70" i="21"/>
  <c r="AH12" i="21"/>
  <c r="H11" i="21" s="1"/>
  <c r="AH83" i="21"/>
  <c r="AH30" i="21"/>
  <c r="AH92" i="21"/>
  <c r="AH80" i="21"/>
  <c r="AH110" i="21"/>
  <c r="AH39" i="21"/>
  <c r="AH76" i="21"/>
  <c r="AH51" i="21"/>
  <c r="AH93" i="21"/>
  <c r="AH66" i="21"/>
  <c r="AH58" i="21"/>
  <c r="AH17" i="21"/>
  <c r="CK17" i="21" s="1"/>
  <c r="AH104" i="21"/>
  <c r="AH50" i="21"/>
  <c r="AH20" i="21"/>
  <c r="AH18" i="21"/>
  <c r="AH65" i="21"/>
  <c r="AH36" i="21"/>
  <c r="AH35" i="21"/>
  <c r="AH81" i="21"/>
  <c r="AH67" i="21"/>
  <c r="AH22" i="21"/>
  <c r="AH88" i="21"/>
  <c r="AH82" i="21"/>
  <c r="AH41" i="21"/>
  <c r="AH98" i="21"/>
  <c r="AJ96" i="21"/>
  <c r="AC72" i="21"/>
  <c r="AH14" i="19"/>
  <c r="AA88" i="19"/>
  <c r="AH85" i="21"/>
  <c r="AA70" i="19"/>
  <c r="AA42" i="19"/>
  <c r="AC52" i="21"/>
  <c r="AA100" i="19"/>
  <c r="AA58" i="19"/>
  <c r="AJ83" i="21"/>
  <c r="AA75" i="19"/>
  <c r="AJ78" i="19"/>
  <c r="AA97" i="19"/>
  <c r="AH34" i="21"/>
  <c r="AC14" i="21"/>
  <c r="AC59" i="21"/>
  <c r="AA104" i="19"/>
  <c r="AC46" i="19"/>
  <c r="AA34" i="19"/>
  <c r="AH40" i="21"/>
  <c r="AJ107" i="21"/>
  <c r="AC84" i="21"/>
  <c r="AA89" i="19"/>
  <c r="AA13" i="19"/>
  <c r="AA43" i="19"/>
  <c r="AH28" i="19"/>
  <c r="AH34" i="19"/>
  <c r="AH23" i="21"/>
  <c r="AH49" i="21"/>
  <c r="AA91" i="19"/>
  <c r="AH103" i="21"/>
  <c r="AH75" i="21"/>
  <c r="AC30" i="21"/>
  <c r="AC65" i="21"/>
  <c r="AH102" i="21"/>
  <c r="AA60" i="19"/>
  <c r="AA59" i="19"/>
  <c r="AH20" i="19"/>
  <c r="AH27" i="21"/>
  <c r="AH73" i="21"/>
  <c r="AH77" i="21"/>
  <c r="AJ98" i="21"/>
  <c r="AC54" i="21"/>
  <c r="AA108" i="21"/>
  <c r="AA23" i="19"/>
  <c r="AA110" i="19"/>
  <c r="AA106" i="19"/>
  <c r="AH84" i="19"/>
  <c r="AH47" i="21"/>
  <c r="AC25" i="21"/>
  <c r="AA25" i="19"/>
  <c r="AA79" i="19"/>
  <c r="AH36" i="19"/>
  <c r="AH14" i="21"/>
  <c r="AA19" i="19"/>
  <c r="AA80" i="19"/>
  <c r="AH99" i="19"/>
  <c r="AH90" i="19"/>
  <c r="AH78" i="21"/>
  <c r="AA15" i="19"/>
  <c r="AA101" i="19"/>
  <c r="AA82" i="19"/>
  <c r="AA41" i="19"/>
  <c r="AH24" i="19"/>
  <c r="AH106" i="19"/>
  <c r="AH112" i="19"/>
  <c r="J10" i="19"/>
  <c r="AH107" i="19"/>
  <c r="AH38" i="19"/>
  <c r="AH76" i="19"/>
  <c r="AH18" i="19"/>
  <c r="AH53" i="19"/>
  <c r="AH82" i="19"/>
  <c r="AH104" i="19"/>
  <c r="AH55" i="19"/>
  <c r="AH68" i="19"/>
  <c r="AH37" i="19"/>
  <c r="AH102" i="19"/>
  <c r="AH69" i="19"/>
  <c r="AH42" i="19"/>
  <c r="AH98" i="19"/>
  <c r="AH85" i="19"/>
  <c r="AG112" i="8"/>
  <c r="AH97" i="8" s="1"/>
  <c r="AI112" i="8"/>
  <c r="AH66" i="19"/>
  <c r="AH93" i="19"/>
  <c r="AH55" i="21"/>
  <c r="AH100" i="21"/>
  <c r="AA103" i="21"/>
  <c r="AA31" i="19"/>
  <c r="AA86" i="19"/>
  <c r="AA52" i="19"/>
  <c r="AA66" i="19"/>
  <c r="AA28" i="19"/>
  <c r="AA47" i="19"/>
  <c r="AA14" i="19"/>
  <c r="CI112" i="8"/>
  <c r="CJ112" i="8" s="1"/>
  <c r="Z112" i="8"/>
  <c r="AA108" i="8" s="1"/>
  <c r="AB112" i="8"/>
  <c r="AJ24" i="8" s="1"/>
  <c r="AB112" i="22"/>
  <c r="AC36" i="22" s="1"/>
  <c r="Z112" i="22"/>
  <c r="AA87" i="22" s="1"/>
  <c r="CI112" i="22"/>
  <c r="CJ112" i="22" s="1"/>
  <c r="AH58" i="19"/>
  <c r="AH45" i="19"/>
  <c r="AH72" i="19"/>
  <c r="AA109" i="21"/>
  <c r="AH97" i="19"/>
  <c r="AH73" i="19"/>
  <c r="AH77" i="19"/>
  <c r="AH22" i="19"/>
  <c r="AH101" i="21"/>
  <c r="AH56" i="21"/>
  <c r="AH101" i="19"/>
  <c r="AH47" i="19"/>
  <c r="AJ26" i="21"/>
  <c r="AJ45" i="21"/>
  <c r="AJ86" i="21"/>
  <c r="AH84" i="21"/>
  <c r="AH109" i="21"/>
  <c r="AA40" i="19"/>
  <c r="AA57" i="19"/>
  <c r="AA95" i="19"/>
  <c r="AA56" i="19"/>
  <c r="AA18" i="19"/>
  <c r="AA33" i="19"/>
  <c r="AA32" i="19"/>
  <c r="AA20" i="19"/>
  <c r="AA17" i="19"/>
  <c r="AH46" i="19"/>
  <c r="AH108" i="19"/>
  <c r="AH56" i="19"/>
  <c r="AH87" i="19"/>
  <c r="AH60" i="19"/>
  <c r="AH54" i="21"/>
  <c r="AH111" i="21"/>
  <c r="AA96" i="19"/>
  <c r="AA76" i="19"/>
  <c r="AA109" i="19"/>
  <c r="AA29" i="19"/>
  <c r="AA87" i="19"/>
  <c r="AA54" i="19"/>
  <c r="AA62" i="19"/>
  <c r="AA83" i="19"/>
  <c r="AA45" i="19"/>
  <c r="AH105" i="19"/>
  <c r="AH15" i="19"/>
  <c r="AH109" i="19"/>
  <c r="AH35" i="19"/>
  <c r="AH65" i="19"/>
  <c r="AH44" i="21"/>
  <c r="AH24" i="21"/>
  <c r="AH27" i="19"/>
  <c r="AJ112" i="21"/>
  <c r="AC112" i="21"/>
  <c r="AC45" i="21"/>
  <c r="AJ75" i="21"/>
  <c r="AJ109" i="21"/>
  <c r="AC82" i="21"/>
  <c r="AJ50" i="21"/>
  <c r="AJ81" i="21"/>
  <c r="AJ94" i="21"/>
  <c r="AC44" i="21"/>
  <c r="AJ78" i="21"/>
  <c r="AJ70" i="21"/>
  <c r="AJ55" i="21"/>
  <c r="AC100" i="21"/>
  <c r="AJ53" i="21"/>
  <c r="AJ64" i="21"/>
  <c r="AC76" i="21"/>
  <c r="AC108" i="21"/>
  <c r="AJ24" i="21"/>
  <c r="AC97" i="21"/>
  <c r="AC91" i="21"/>
  <c r="AJ17" i="21"/>
  <c r="AJ40" i="21"/>
  <c r="AJ105" i="21"/>
  <c r="AJ16" i="21"/>
  <c r="AC71" i="21"/>
  <c r="AJ60" i="21"/>
  <c r="AC109" i="21"/>
  <c r="AJ32" i="21"/>
  <c r="AC79" i="21"/>
  <c r="AC90" i="21"/>
  <c r="AC67" i="21"/>
  <c r="AJ57" i="21"/>
  <c r="AC34" i="21"/>
  <c r="AJ97" i="21"/>
  <c r="AC88" i="21"/>
  <c r="AC66" i="21"/>
  <c r="AC33" i="21"/>
  <c r="AC92" i="21"/>
  <c r="AC104" i="21"/>
  <c r="AC23" i="21"/>
  <c r="AJ68" i="21"/>
  <c r="AJ56" i="21"/>
  <c r="AH25" i="21"/>
  <c r="AH110" i="19"/>
  <c r="AA112" i="19"/>
  <c r="J8" i="19"/>
  <c r="AA99" i="19"/>
  <c r="AA61" i="19"/>
  <c r="AA24" i="19"/>
  <c r="AA39" i="19"/>
  <c r="AA93" i="19"/>
  <c r="AA22" i="19"/>
  <c r="AA78" i="19"/>
  <c r="AA108" i="19"/>
  <c r="AH41" i="19"/>
  <c r="AH71" i="19"/>
  <c r="AH50" i="19"/>
  <c r="AH80" i="19"/>
  <c r="AH111" i="19"/>
  <c r="AH100" i="19"/>
  <c r="AH43" i="19"/>
  <c r="AH15" i="21"/>
  <c r="AH91" i="19"/>
  <c r="AG112" i="22"/>
  <c r="AH92" i="22" s="1"/>
  <c r="AI112" i="22"/>
  <c r="AA112" i="21"/>
  <c r="CN111" i="21" s="1"/>
  <c r="J8" i="21"/>
  <c r="AA56" i="21"/>
  <c r="AA21" i="21"/>
  <c r="AA86" i="21"/>
  <c r="AA62" i="21"/>
  <c r="AA42" i="21"/>
  <c r="AA101" i="21"/>
  <c r="AA73" i="21"/>
  <c r="AA25" i="21"/>
  <c r="AA90" i="21"/>
  <c r="AA67" i="21"/>
  <c r="AA39" i="21"/>
  <c r="AA99" i="21"/>
  <c r="AA61" i="21"/>
  <c r="AA31" i="21"/>
  <c r="AA96" i="21"/>
  <c r="AA71" i="21"/>
  <c r="AA48" i="21"/>
  <c r="AA16" i="21"/>
  <c r="AA80" i="21"/>
  <c r="AA36" i="21"/>
  <c r="AA98" i="21"/>
  <c r="AA76" i="21"/>
  <c r="AA43" i="21"/>
  <c r="AA110" i="21"/>
  <c r="AA69" i="21"/>
  <c r="AA34" i="21"/>
  <c r="AA15" i="21"/>
  <c r="AA77" i="21"/>
  <c r="AA55" i="21"/>
  <c r="AA24" i="21"/>
  <c r="AA89" i="21"/>
  <c r="AA40" i="21"/>
  <c r="AA19" i="21"/>
  <c r="AA84" i="21"/>
  <c r="AA52" i="21"/>
  <c r="AA104" i="21"/>
  <c r="AA78" i="21"/>
  <c r="AA45" i="21"/>
  <c r="AA22" i="21"/>
  <c r="AA87" i="21"/>
  <c r="AA64" i="21"/>
  <c r="AA32" i="21"/>
  <c r="AA97" i="21"/>
  <c r="AA51" i="21"/>
  <c r="AA27" i="21"/>
  <c r="AA91" i="21"/>
  <c r="AA59" i="21"/>
  <c r="AA12" i="21"/>
  <c r="AA83" i="21"/>
  <c r="AA53" i="21"/>
  <c r="AA30" i="21"/>
  <c r="AA95" i="21"/>
  <c r="AA72" i="21"/>
  <c r="AA41" i="21"/>
  <c r="AA102" i="21"/>
  <c r="AA57" i="21"/>
  <c r="AA37" i="21"/>
  <c r="AA100" i="21"/>
  <c r="AA70" i="21"/>
  <c r="AA20" i="21"/>
  <c r="AA92" i="21"/>
  <c r="AA63" i="21"/>
  <c r="AA38" i="21"/>
  <c r="AA18" i="21"/>
  <c r="AA79" i="21"/>
  <c r="AA47" i="21"/>
  <c r="AA106" i="21"/>
  <c r="AA65" i="21"/>
  <c r="AA44" i="21"/>
  <c r="AA13" i="21"/>
  <c r="AA75" i="21"/>
  <c r="AA28" i="21"/>
  <c r="AA105" i="21"/>
  <c r="AA68" i="21"/>
  <c r="AA49" i="21"/>
  <c r="AA26" i="21"/>
  <c r="AA88" i="21"/>
  <c r="AA58" i="21"/>
  <c r="AA107" i="21"/>
  <c r="AA74" i="21"/>
  <c r="AA50" i="21"/>
  <c r="AA23" i="21"/>
  <c r="AA85" i="21"/>
  <c r="AA35" i="21"/>
  <c r="AA14" i="21"/>
  <c r="AA82" i="21"/>
  <c r="AA54" i="21"/>
  <c r="AA33" i="21"/>
  <c r="AA94" i="21"/>
  <c r="AA66" i="21"/>
  <c r="AA17" i="21"/>
  <c r="AA81" i="21"/>
  <c r="AA60" i="21"/>
  <c r="AA29" i="21"/>
  <c r="AA93" i="21"/>
  <c r="AH43" i="21"/>
  <c r="AC112" i="19"/>
  <c r="AJ112" i="19"/>
  <c r="AJ12" i="19"/>
  <c r="AJ71" i="19"/>
  <c r="AC51" i="19"/>
  <c r="AJ103" i="19"/>
  <c r="AJ77" i="19"/>
  <c r="AC50" i="19"/>
  <c r="AA35" i="19"/>
  <c r="AA90" i="19"/>
  <c r="AA55" i="19"/>
  <c r="AA68" i="19"/>
  <c r="AA30" i="19"/>
  <c r="AA49" i="19"/>
  <c r="AA12" i="19"/>
  <c r="AA111" i="19"/>
  <c r="AH49" i="19"/>
  <c r="AH25" i="19"/>
  <c r="AH57" i="19"/>
  <c r="AH51" i="19"/>
  <c r="AH103" i="19"/>
  <c r="AH112" i="21"/>
  <c r="J10" i="21"/>
  <c r="AH60" i="21"/>
  <c r="AH28" i="21"/>
  <c r="AH106" i="21"/>
  <c r="AH94" i="21"/>
  <c r="AH63" i="21"/>
  <c r="AH108" i="21"/>
  <c r="AH31" i="21"/>
  <c r="AH48" i="21"/>
  <c r="AH95" i="21"/>
  <c r="AH29" i="21"/>
  <c r="AH71" i="21"/>
  <c r="AH90" i="21"/>
  <c r="AH57" i="21"/>
  <c r="AH62" i="19"/>
  <c r="AJ18" i="21"/>
  <c r="AC63" i="21"/>
  <c r="AC53" i="21"/>
  <c r="AH21" i="21"/>
  <c r="AH62" i="21"/>
  <c r="AA46" i="21"/>
  <c r="AC19" i="19"/>
  <c r="AA37" i="19"/>
  <c r="AA65" i="19"/>
  <c r="AA27" i="19"/>
  <c r="AA84" i="19"/>
  <c r="AA98" i="19"/>
  <c r="AA63" i="19"/>
  <c r="AA26" i="19"/>
  <c r="AA46" i="19"/>
  <c r="AJ25" i="19"/>
  <c r="CB111" i="8"/>
  <c r="BZ112" i="8"/>
  <c r="BH112" i="21"/>
  <c r="BF113" i="21"/>
  <c r="BD112" i="19"/>
  <c r="BB113" i="19"/>
  <c r="CF111" i="8"/>
  <c r="CD112" i="8"/>
  <c r="BH111" i="22"/>
  <c r="BF112" i="22"/>
  <c r="BT111" i="8"/>
  <c r="BR112" i="8"/>
  <c r="AZ112" i="19"/>
  <c r="AX113" i="19"/>
  <c r="AR111" i="8"/>
  <c r="AP112" i="8"/>
  <c r="CB112" i="21"/>
  <c r="BZ113" i="21"/>
  <c r="CB112" i="19"/>
  <c r="BZ113" i="19"/>
  <c r="BP112" i="21"/>
  <c r="BN113" i="21"/>
  <c r="BT112" i="22"/>
  <c r="BR113" i="22"/>
  <c r="BP112" i="22"/>
  <c r="BN113" i="22"/>
  <c r="AZ111" i="8"/>
  <c r="AX112" i="8"/>
  <c r="BP111" i="8"/>
  <c r="BN112" i="8"/>
  <c r="AV112" i="19"/>
  <c r="AT113" i="19"/>
  <c r="BX112" i="19"/>
  <c r="BV113" i="19"/>
  <c r="BL111" i="8"/>
  <c r="BJ112" i="8"/>
  <c r="AZ112" i="21"/>
  <c r="AX113" i="21"/>
  <c r="BP112" i="19"/>
  <c r="BN113" i="19"/>
  <c r="AT113" i="21"/>
  <c r="AV112" i="21"/>
  <c r="BX112" i="21"/>
  <c r="BV113" i="21"/>
  <c r="AR112" i="22"/>
  <c r="AP113" i="22"/>
  <c r="BX111" i="8"/>
  <c r="BV112" i="8"/>
  <c r="CB112" i="22"/>
  <c r="BZ113" i="22"/>
  <c r="BH111" i="8"/>
  <c r="BF112" i="8"/>
  <c r="CF112" i="21"/>
  <c r="CD113" i="21"/>
  <c r="AV111" i="8"/>
  <c r="AT112" i="8"/>
  <c r="AV112" i="22"/>
  <c r="AT113" i="22"/>
  <c r="BT112" i="21"/>
  <c r="BR113" i="21"/>
  <c r="CF111" i="22"/>
  <c r="CD112" i="22"/>
  <c r="BL112" i="21"/>
  <c r="BJ113" i="21"/>
  <c r="BL112" i="22"/>
  <c r="BJ113" i="22"/>
  <c r="BD112" i="21"/>
  <c r="BB113" i="21"/>
  <c r="BX111" i="22"/>
  <c r="BV112" i="22"/>
  <c r="AR112" i="21"/>
  <c r="AP113" i="21"/>
  <c r="AN112" i="22"/>
  <c r="AM112" i="22"/>
  <c r="AK113" i="22"/>
  <c r="AZ111" i="22"/>
  <c r="AX112" i="22"/>
  <c r="AN112" i="19"/>
  <c r="AM112" i="19"/>
  <c r="AK113" i="19"/>
  <c r="BL112" i="19"/>
  <c r="BJ113" i="19"/>
  <c r="BT112" i="19"/>
  <c r="BR113" i="19"/>
  <c r="BH112" i="19"/>
  <c r="BF113" i="19"/>
  <c r="CF112" i="19"/>
  <c r="CD113" i="19"/>
  <c r="AN111" i="8"/>
  <c r="AM111" i="8"/>
  <c r="AK112" i="8"/>
  <c r="BD111" i="8"/>
  <c r="BB112" i="8"/>
  <c r="AR112" i="19"/>
  <c r="AP113" i="19"/>
  <c r="BD112" i="22"/>
  <c r="BB113" i="22"/>
  <c r="AN112" i="21"/>
  <c r="AM112" i="21"/>
  <c r="AK113" i="21"/>
  <c r="CK13" i="21" l="1"/>
  <c r="CK47" i="21"/>
  <c r="CJ77" i="21"/>
  <c r="CJ81" i="21"/>
  <c r="CN105" i="19"/>
  <c r="CN73" i="19"/>
  <c r="CN69" i="19"/>
  <c r="CN48" i="19"/>
  <c r="CN81" i="19"/>
  <c r="CN91" i="19"/>
  <c r="CN64" i="19"/>
  <c r="AH77" i="8"/>
  <c r="AJ84" i="8"/>
  <c r="AJ92" i="22"/>
  <c r="AJ21" i="8"/>
  <c r="AC108" i="8"/>
  <c r="AJ61" i="8"/>
  <c r="AH82" i="8"/>
  <c r="AJ101" i="8"/>
  <c r="CJ20" i="19"/>
  <c r="CJ17" i="19"/>
  <c r="CJ26" i="19"/>
  <c r="CK79" i="19"/>
  <c r="CK20" i="19"/>
  <c r="CJ29" i="19"/>
  <c r="AA56" i="8"/>
  <c r="CJ39" i="19"/>
  <c r="AA36" i="8"/>
  <c r="AA49" i="8"/>
  <c r="CJ80" i="21"/>
  <c r="CJ76" i="21"/>
  <c r="AC72" i="22"/>
  <c r="CJ87" i="21"/>
  <c r="CJ83" i="21"/>
  <c r="CK80" i="21"/>
  <c r="CK34" i="21"/>
  <c r="CJ92" i="21"/>
  <c r="CK20" i="21"/>
  <c r="CK45" i="21"/>
  <c r="CJ98" i="21"/>
  <c r="CJ107" i="21"/>
  <c r="CK41" i="21"/>
  <c r="AC19" i="22"/>
  <c r="CJ69" i="21"/>
  <c r="CK110" i="21"/>
  <c r="CJ79" i="19"/>
  <c r="CK96" i="19"/>
  <c r="CJ96" i="19"/>
  <c r="CJ89" i="19"/>
  <c r="CM81" i="19"/>
  <c r="CJ64" i="19"/>
  <c r="CK48" i="19"/>
  <c r="CK64" i="19"/>
  <c r="CM21" i="19"/>
  <c r="AA17" i="8"/>
  <c r="AA101" i="8"/>
  <c r="AA16" i="8"/>
  <c r="AA83" i="8"/>
  <c r="AA15" i="8"/>
  <c r="CK29" i="19"/>
  <c r="AA75" i="8"/>
  <c r="AA57" i="8"/>
  <c r="AA104" i="8"/>
  <c r="AA52" i="8"/>
  <c r="AA99" i="8"/>
  <c r="AA27" i="8"/>
  <c r="AA58" i="8"/>
  <c r="AA84" i="8"/>
  <c r="AA42" i="8"/>
  <c r="AA91" i="8"/>
  <c r="AA105" i="8"/>
  <c r="AA28" i="8"/>
  <c r="AA34" i="8"/>
  <c r="AA24" i="8"/>
  <c r="AA71" i="8"/>
  <c r="AA88" i="8"/>
  <c r="AA43" i="8"/>
  <c r="AA87" i="8"/>
  <c r="AA102" i="8"/>
  <c r="AA46" i="8"/>
  <c r="AA109" i="8"/>
  <c r="AA66" i="8"/>
  <c r="AA76" i="8"/>
  <c r="AH63" i="8"/>
  <c r="AJ51" i="8"/>
  <c r="AC20" i="8"/>
  <c r="AC92" i="8"/>
  <c r="AJ108" i="8"/>
  <c r="AH88" i="8"/>
  <c r="AH42" i="8"/>
  <c r="AJ81" i="8"/>
  <c r="AC51" i="8"/>
  <c r="AJ33" i="8"/>
  <c r="AJ111" i="8"/>
  <c r="AH71" i="8"/>
  <c r="AH34" i="8"/>
  <c r="AH17" i="8"/>
  <c r="AJ19" i="8"/>
  <c r="AJ85" i="8"/>
  <c r="AC67" i="8"/>
  <c r="AC111" i="8"/>
  <c r="AH26" i="8"/>
  <c r="AH105" i="8"/>
  <c r="AH81" i="8"/>
  <c r="AJ53" i="8"/>
  <c r="AC24" i="8"/>
  <c r="AC98" i="8"/>
  <c r="AH89" i="8"/>
  <c r="AH73" i="8"/>
  <c r="AH27" i="8"/>
  <c r="AC83" i="8"/>
  <c r="AC57" i="8"/>
  <c r="AJ27" i="8"/>
  <c r="AH92" i="8"/>
  <c r="AJ23" i="8"/>
  <c r="AH46" i="8"/>
  <c r="AH59" i="8"/>
  <c r="AC19" i="8"/>
  <c r="AC88" i="8"/>
  <c r="AC96" i="8"/>
  <c r="AH41" i="8"/>
  <c r="AC23" i="8"/>
  <c r="AH16" i="8"/>
  <c r="AJ110" i="8"/>
  <c r="AJ52" i="8"/>
  <c r="AJ28" i="8"/>
  <c r="AJ77" i="8"/>
  <c r="AJ104" i="8"/>
  <c r="AH19" i="8"/>
  <c r="AJ54" i="8"/>
  <c r="CK89" i="21"/>
  <c r="CJ79" i="21"/>
  <c r="CK102" i="21"/>
  <c r="AJ111" i="22"/>
  <c r="AJ31" i="22"/>
  <c r="CK58" i="21"/>
  <c r="CK50" i="21"/>
  <c r="CJ72" i="21"/>
  <c r="CN75" i="19"/>
  <c r="AJ27" i="22"/>
  <c r="AJ12" i="22"/>
  <c r="AJ104" i="22"/>
  <c r="AJ86" i="22"/>
  <c r="CK23" i="19"/>
  <c r="AC89" i="22"/>
  <c r="AC96" i="22"/>
  <c r="AA78" i="8"/>
  <c r="AA103" i="8"/>
  <c r="AA62" i="8"/>
  <c r="AA64" i="8"/>
  <c r="AA23" i="8"/>
  <c r="AA33" i="8"/>
  <c r="AA68" i="8"/>
  <c r="AA95" i="8"/>
  <c r="AJ75" i="22"/>
  <c r="AC93" i="22"/>
  <c r="CJ81" i="19"/>
  <c r="CK17" i="19"/>
  <c r="CK32" i="19"/>
  <c r="AJ54" i="22"/>
  <c r="AJ33" i="22"/>
  <c r="AJ16" i="22"/>
  <c r="AC111" i="22"/>
  <c r="AJ59" i="22"/>
  <c r="AC40" i="22"/>
  <c r="AC104" i="22"/>
  <c r="AC63" i="22"/>
  <c r="AC46" i="22"/>
  <c r="AC103" i="22"/>
  <c r="AC35" i="22"/>
  <c r="AJ19" i="22"/>
  <c r="AC105" i="22"/>
  <c r="AC84" i="22"/>
  <c r="AC65" i="22"/>
  <c r="AJ49" i="22"/>
  <c r="AJ96" i="22"/>
  <c r="AJ72" i="22"/>
  <c r="CJ32" i="19"/>
  <c r="AJ26" i="22"/>
  <c r="AJ94" i="22"/>
  <c r="AC76" i="22"/>
  <c r="AC68" i="22"/>
  <c r="AC49" i="22"/>
  <c r="AC12" i="22"/>
  <c r="AC21" i="22"/>
  <c r="AC95" i="22"/>
  <c r="AJ81" i="22"/>
  <c r="AJ53" i="22"/>
  <c r="AJ32" i="22"/>
  <c r="AJ13" i="22"/>
  <c r="AC59" i="22"/>
  <c r="AJ41" i="22"/>
  <c r="AC18" i="22"/>
  <c r="AC30" i="22"/>
  <c r="AJ99" i="22"/>
  <c r="AC82" i="22"/>
  <c r="AC56" i="22"/>
  <c r="AJ36" i="22"/>
  <c r="AC101" i="22"/>
  <c r="CK81" i="19"/>
  <c r="AC86" i="22"/>
  <c r="AC67" i="22"/>
  <c r="AJ45" i="22"/>
  <c r="AC90" i="22"/>
  <c r="AJ68" i="22"/>
  <c r="AJ50" i="22"/>
  <c r="AJ65" i="22"/>
  <c r="AJ42" i="22"/>
  <c r="AC54" i="22"/>
  <c r="AJ18" i="22"/>
  <c r="AC88" i="22"/>
  <c r="AC69" i="22"/>
  <c r="AC109" i="22"/>
  <c r="AJ22" i="22"/>
  <c r="AC100" i="22"/>
  <c r="AC78" i="22"/>
  <c r="AC28" i="22"/>
  <c r="AC99" i="22"/>
  <c r="AJ82" i="22"/>
  <c r="AC97" i="22"/>
  <c r="AJ71" i="22"/>
  <c r="AJ88" i="22"/>
  <c r="AC51" i="22"/>
  <c r="AC27" i="22"/>
  <c r="AJ108" i="22"/>
  <c r="AJ101" i="22"/>
  <c r="AC58" i="22"/>
  <c r="AJ37" i="22"/>
  <c r="AC22" i="22"/>
  <c r="AJ58" i="22"/>
  <c r="AC38" i="22"/>
  <c r="AC26" i="22"/>
  <c r="AJ30" i="22"/>
  <c r="AJ14" i="22"/>
  <c r="AC31" i="22"/>
  <c r="AC81" i="22"/>
  <c r="AJ61" i="22"/>
  <c r="AC44" i="22"/>
  <c r="AJ106" i="22"/>
  <c r="AC87" i="22"/>
  <c r="AC70" i="22"/>
  <c r="AC53" i="22"/>
  <c r="AJ89" i="22"/>
  <c r="AC74" i="22"/>
  <c r="AC57" i="22"/>
  <c r="AJ62" i="22"/>
  <c r="AC45" i="22"/>
  <c r="AJ63" i="22"/>
  <c r="CJ23" i="19"/>
  <c r="CK16" i="19"/>
  <c r="AA98" i="22"/>
  <c r="AA93" i="22"/>
  <c r="CJ16" i="19"/>
  <c r="AC62" i="8"/>
  <c r="AC110" i="22"/>
  <c r="AC37" i="22"/>
  <c r="AC66" i="22"/>
  <c r="AJ44" i="22"/>
  <c r="AJ84" i="22"/>
  <c r="CK39" i="19"/>
  <c r="CJ48" i="19"/>
  <c r="CJ70" i="19"/>
  <c r="CJ78" i="19"/>
  <c r="CK78" i="19"/>
  <c r="CJ54" i="19"/>
  <c r="AJ87" i="8"/>
  <c r="CK54" i="19"/>
  <c r="CK107" i="21"/>
  <c r="CJ75" i="19"/>
  <c r="CK75" i="19"/>
  <c r="AC25" i="8"/>
  <c r="AJ88" i="8"/>
  <c r="AC28" i="8"/>
  <c r="AC24" i="22"/>
  <c r="AJ98" i="8"/>
  <c r="CM69" i="19"/>
  <c r="AC55" i="8"/>
  <c r="AJ70" i="8"/>
  <c r="AC56" i="8"/>
  <c r="AC38" i="8"/>
  <c r="AJ20" i="22"/>
  <c r="AC34" i="22"/>
  <c r="AC60" i="22"/>
  <c r="AC90" i="8"/>
  <c r="AC61" i="8"/>
  <c r="AJ58" i="8"/>
  <c r="AJ40" i="22"/>
  <c r="AJ22" i="8"/>
  <c r="AC95" i="8"/>
  <c r="AJ37" i="8"/>
  <c r="AJ55" i="8"/>
  <c r="AJ34" i="8"/>
  <c r="AH53" i="22"/>
  <c r="AC87" i="8"/>
  <c r="AJ65" i="8"/>
  <c r="AH14" i="8"/>
  <c r="AC102" i="22"/>
  <c r="AJ97" i="22"/>
  <c r="AC27" i="8"/>
  <c r="AC34" i="8"/>
  <c r="AJ89" i="8"/>
  <c r="AJ85" i="22"/>
  <c r="AJ26" i="8"/>
  <c r="AJ29" i="8"/>
  <c r="AJ74" i="8"/>
  <c r="AC60" i="8"/>
  <c r="AC91" i="8"/>
  <c r="AJ18" i="8"/>
  <c r="CL105" i="19"/>
  <c r="AH64" i="8"/>
  <c r="AC58" i="8"/>
  <c r="AC64" i="8"/>
  <c r="AC71" i="8"/>
  <c r="AH30" i="8"/>
  <c r="AJ92" i="8"/>
  <c r="AC97" i="8"/>
  <c r="AJ109" i="8"/>
  <c r="AC26" i="8"/>
  <c r="AJ36" i="8"/>
  <c r="AJ60" i="8"/>
  <c r="AJ68" i="8"/>
  <c r="AC109" i="8"/>
  <c r="AJ102" i="8"/>
  <c r="AC93" i="8"/>
  <c r="AC103" i="8"/>
  <c r="CK40" i="19"/>
  <c r="AJ12" i="8"/>
  <c r="AJ90" i="8"/>
  <c r="AJ59" i="8"/>
  <c r="AJ42" i="8"/>
  <c r="AH40" i="8"/>
  <c r="AA90" i="22"/>
  <c r="AA48" i="22"/>
  <c r="AA81" i="22"/>
  <c r="CM73" i="19"/>
  <c r="CL73" i="19"/>
  <c r="CL75" i="19"/>
  <c r="CL69" i="19"/>
  <c r="CM75" i="19"/>
  <c r="CL48" i="19"/>
  <c r="AH58" i="8"/>
  <c r="CM48" i="19"/>
  <c r="CL64" i="19"/>
  <c r="AA111" i="22"/>
  <c r="CM105" i="19"/>
  <c r="CL81" i="19"/>
  <c r="CM64" i="19"/>
  <c r="AC30" i="8"/>
  <c r="AJ63" i="8"/>
  <c r="AJ62" i="8"/>
  <c r="AJ21" i="22"/>
  <c r="AC69" i="8"/>
  <c r="AC94" i="8"/>
  <c r="AJ67" i="22"/>
  <c r="AC77" i="22"/>
  <c r="AC91" i="22"/>
  <c r="CK26" i="19"/>
  <c r="AJ30" i="8"/>
  <c r="CK67" i="19"/>
  <c r="AC98" i="22"/>
  <c r="AC17" i="22"/>
  <c r="AJ35" i="22"/>
  <c r="AC72" i="8"/>
  <c r="AC48" i="22"/>
  <c r="AJ66" i="22"/>
  <c r="AJ97" i="8"/>
  <c r="AJ69" i="8"/>
  <c r="AJ31" i="8"/>
  <c r="AJ67" i="8"/>
  <c r="AJ13" i="8"/>
  <c r="AJ32" i="8"/>
  <c r="AC100" i="8"/>
  <c r="AC101" i="8"/>
  <c r="AJ99" i="8"/>
  <c r="AC18" i="8"/>
  <c r="AJ106" i="8"/>
  <c r="AJ64" i="8"/>
  <c r="AJ47" i="8"/>
  <c r="AC35" i="8"/>
  <c r="AJ83" i="8"/>
  <c r="AH68" i="8"/>
  <c r="AC39" i="8"/>
  <c r="AJ94" i="8"/>
  <c r="AC65" i="8"/>
  <c r="AC46" i="8"/>
  <c r="AH51" i="8"/>
  <c r="AJ35" i="8"/>
  <c r="AJ100" i="8"/>
  <c r="AC32" i="8"/>
  <c r="AJ96" i="8"/>
  <c r="AC78" i="8"/>
  <c r="AJ66" i="8"/>
  <c r="AC42" i="8"/>
  <c r="AJ38" i="8"/>
  <c r="AC50" i="8"/>
  <c r="AC36" i="8"/>
  <c r="AJ73" i="8"/>
  <c r="AA100" i="8"/>
  <c r="AA40" i="8"/>
  <c r="AA70" i="8"/>
  <c r="CJ47" i="21"/>
  <c r="CK59" i="19"/>
  <c r="CK95" i="19"/>
  <c r="CK88" i="21"/>
  <c r="CK89" i="19"/>
  <c r="CK77" i="21"/>
  <c r="AA67" i="22"/>
  <c r="AA64" i="22"/>
  <c r="AA92" i="22"/>
  <c r="CK72" i="21"/>
  <c r="CK105" i="21"/>
  <c r="CK69" i="21"/>
  <c r="AA19" i="22"/>
  <c r="CK83" i="21"/>
  <c r="CJ45" i="21"/>
  <c r="CK98" i="21"/>
  <c r="AA66" i="22"/>
  <c r="CK22" i="21"/>
  <c r="CJ110" i="21"/>
  <c r="CK36" i="21"/>
  <c r="AA96" i="22"/>
  <c r="CJ104" i="21"/>
  <c r="CK81" i="21"/>
  <c r="CJ102" i="21"/>
  <c r="CJ34" i="21"/>
  <c r="CK82" i="21"/>
  <c r="CJ14" i="21"/>
  <c r="CK92" i="21"/>
  <c r="CK87" i="21"/>
  <c r="CJ73" i="21"/>
  <c r="CJ30" i="21"/>
  <c r="AA45" i="22"/>
  <c r="CJ38" i="21"/>
  <c r="AA40" i="22"/>
  <c r="CK51" i="21"/>
  <c r="CJ13" i="21"/>
  <c r="CJ105" i="21"/>
  <c r="AA80" i="22"/>
  <c r="CK39" i="21"/>
  <c r="CJ40" i="21"/>
  <c r="AA31" i="22"/>
  <c r="CJ22" i="21"/>
  <c r="CJ36" i="21"/>
  <c r="CK97" i="21"/>
  <c r="CK104" i="21"/>
  <c r="CK23" i="21"/>
  <c r="CJ82" i="21"/>
  <c r="CK14" i="21"/>
  <c r="CJ49" i="21"/>
  <c r="CK73" i="21"/>
  <c r="CK27" i="21"/>
  <c r="CK30" i="21"/>
  <c r="AA38" i="22"/>
  <c r="AA101" i="22"/>
  <c r="CK79" i="21"/>
  <c r="CK38" i="21"/>
  <c r="AA107" i="22"/>
  <c r="CJ51" i="21"/>
  <c r="AA57" i="22"/>
  <c r="CJ39" i="21"/>
  <c r="CK40" i="21"/>
  <c r="AA102" i="22"/>
  <c r="CJ67" i="21"/>
  <c r="CK32" i="21"/>
  <c r="CJ97" i="21"/>
  <c r="CK64" i="21"/>
  <c r="CJ35" i="21"/>
  <c r="CJ23" i="21"/>
  <c r="CJ96" i="21"/>
  <c r="CK33" i="21"/>
  <c r="CK12" i="21"/>
  <c r="CK49" i="21"/>
  <c r="CJ27" i="21"/>
  <c r="AA14" i="22"/>
  <c r="AA21" i="22"/>
  <c r="CJ59" i="19"/>
  <c r="AA72" i="22"/>
  <c r="AA109" i="22"/>
  <c r="AA18" i="22"/>
  <c r="CJ95" i="19"/>
  <c r="CK75" i="21"/>
  <c r="CJ16" i="21"/>
  <c r="CJ89" i="21"/>
  <c r="CK67" i="21"/>
  <c r="I11" i="21"/>
  <c r="K20" i="21" s="1"/>
  <c r="CK52" i="21"/>
  <c r="CJ64" i="21"/>
  <c r="CK35" i="21"/>
  <c r="CK96" i="21"/>
  <c r="CJ33" i="21"/>
  <c r="CJ65" i="21"/>
  <c r="CJ12" i="21"/>
  <c r="CJ85" i="21"/>
  <c r="CK93" i="21"/>
  <c r="CK103" i="21"/>
  <c r="AA79" i="22"/>
  <c r="AA86" i="22"/>
  <c r="AA51" i="22"/>
  <c r="CK91" i="21"/>
  <c r="AA30" i="22"/>
  <c r="AA37" i="22"/>
  <c r="CJ75" i="21"/>
  <c r="CK16" i="21"/>
  <c r="AA110" i="22"/>
  <c r="CK68" i="21"/>
  <c r="CJ32" i="21"/>
  <c r="CJ52" i="21"/>
  <c r="CJ99" i="21"/>
  <c r="CK42" i="21"/>
  <c r="CJ66" i="21"/>
  <c r="CK74" i="21"/>
  <c r="CK65" i="21"/>
  <c r="CJ17" i="21"/>
  <c r="CK85" i="21"/>
  <c r="CJ93" i="21"/>
  <c r="CJ103" i="21"/>
  <c r="AA60" i="22"/>
  <c r="AA84" i="22"/>
  <c r="CJ70" i="21"/>
  <c r="CK61" i="21"/>
  <c r="AA44" i="22"/>
  <c r="AA15" i="22"/>
  <c r="CJ91" i="21"/>
  <c r="AA97" i="22"/>
  <c r="AA104" i="22"/>
  <c r="CK86" i="21"/>
  <c r="CJ37" i="21"/>
  <c r="CJ26" i="21"/>
  <c r="AA62" i="22"/>
  <c r="CJ19" i="21"/>
  <c r="CJ68" i="21"/>
  <c r="CJ59" i="21"/>
  <c r="CK99" i="21"/>
  <c r="CJ42" i="21"/>
  <c r="CK78" i="21"/>
  <c r="CK66" i="21"/>
  <c r="CJ74" i="21"/>
  <c r="CJ46" i="21"/>
  <c r="CK18" i="21"/>
  <c r="CK53" i="21"/>
  <c r="CJ88" i="21"/>
  <c r="AA32" i="22"/>
  <c r="CJ20" i="21"/>
  <c r="CK70" i="21"/>
  <c r="CJ61" i="21"/>
  <c r="AA23" i="22"/>
  <c r="AA27" i="22"/>
  <c r="AA105" i="22"/>
  <c r="AA73" i="22"/>
  <c r="AA100" i="22"/>
  <c r="CJ86" i="21"/>
  <c r="CK37" i="21"/>
  <c r="CK26" i="21"/>
  <c r="AA17" i="22"/>
  <c r="CK19" i="21"/>
  <c r="CJ13" i="19"/>
  <c r="AC73" i="22"/>
  <c r="AC52" i="22"/>
  <c r="CK59" i="21"/>
  <c r="CJ50" i="21"/>
  <c r="CK76" i="21"/>
  <c r="CJ78" i="21"/>
  <c r="CJ41" i="21"/>
  <c r="CK46" i="21"/>
  <c r="CJ18" i="21"/>
  <c r="CJ53" i="21"/>
  <c r="CJ58" i="21"/>
  <c r="AC61" i="22"/>
  <c r="AC79" i="8"/>
  <c r="AJ103" i="8"/>
  <c r="AJ105" i="8"/>
  <c r="AC81" i="8"/>
  <c r="AC108" i="22"/>
  <c r="AJ39" i="8"/>
  <c r="AJ44" i="8"/>
  <c r="AJ100" i="22"/>
  <c r="AC45" i="8"/>
  <c r="AC39" i="22"/>
  <c r="AJ25" i="22"/>
  <c r="AH56" i="8"/>
  <c r="AA47" i="22"/>
  <c r="AJ76" i="22"/>
  <c r="AA52" i="22"/>
  <c r="AC105" i="8"/>
  <c r="AC68" i="8"/>
  <c r="AC49" i="8"/>
  <c r="AA72" i="8"/>
  <c r="AA55" i="8"/>
  <c r="AA85" i="8"/>
  <c r="AC22" i="8"/>
  <c r="AA54" i="8"/>
  <c r="AA20" i="8"/>
  <c r="AA48" i="8"/>
  <c r="AA26" i="8"/>
  <c r="AA80" i="8"/>
  <c r="AA94" i="8"/>
  <c r="AA51" i="8"/>
  <c r="AA86" i="8"/>
  <c r="AA31" i="8"/>
  <c r="AA37" i="8"/>
  <c r="AA98" i="8"/>
  <c r="AA92" i="8"/>
  <c r="AA14" i="8"/>
  <c r="AA69" i="8"/>
  <c r="AH35" i="8"/>
  <c r="AH66" i="8"/>
  <c r="AH44" i="8"/>
  <c r="AH13" i="8"/>
  <c r="AH39" i="8"/>
  <c r="AH103" i="8"/>
  <c r="AH96" i="8"/>
  <c r="AH12" i="8"/>
  <c r="H11" i="8" s="1"/>
  <c r="AH43" i="8"/>
  <c r="AH15" i="8"/>
  <c r="AH53" i="8"/>
  <c r="AH83" i="8"/>
  <c r="AH70" i="8"/>
  <c r="AH75" i="8"/>
  <c r="AH107" i="8"/>
  <c r="AH79" i="8"/>
  <c r="AH23" i="8"/>
  <c r="AH110" i="8"/>
  <c r="AH55" i="8"/>
  <c r="AH38" i="8"/>
  <c r="AH45" i="8"/>
  <c r="AH74" i="8"/>
  <c r="AH57" i="8"/>
  <c r="AH49" i="8"/>
  <c r="AH31" i="8"/>
  <c r="AH22" i="8"/>
  <c r="AH28" i="8"/>
  <c r="AH47" i="8"/>
  <c r="AH78" i="8"/>
  <c r="AH29" i="8"/>
  <c r="AH98" i="8"/>
  <c r="AH86" i="8"/>
  <c r="AH94" i="8"/>
  <c r="AH20" i="8"/>
  <c r="AH101" i="8"/>
  <c r="AH50" i="8"/>
  <c r="AH90" i="8"/>
  <c r="AH36" i="8"/>
  <c r="AH106" i="8"/>
  <c r="AH62" i="8"/>
  <c r="AH108" i="8"/>
  <c r="AH76" i="8"/>
  <c r="AH84" i="8"/>
  <c r="AA47" i="8"/>
  <c r="AA21" i="8"/>
  <c r="AA59" i="8"/>
  <c r="AA25" i="8"/>
  <c r="AA90" i="8"/>
  <c r="AA38" i="8"/>
  <c r="AA89" i="8"/>
  <c r="AA29" i="8"/>
  <c r="AA13" i="8"/>
  <c r="AA61" i="8"/>
  <c r="AA67" i="8"/>
  <c r="AA18" i="8"/>
  <c r="AA81" i="8"/>
  <c r="AA35" i="8"/>
  <c r="AA79" i="8"/>
  <c r="AC70" i="8"/>
  <c r="AC44" i="8"/>
  <c r="AC106" i="8"/>
  <c r="AH32" i="8"/>
  <c r="AH67" i="8"/>
  <c r="AJ82" i="8"/>
  <c r="CL111" i="21"/>
  <c r="AJ57" i="22"/>
  <c r="AH52" i="8"/>
  <c r="CJ88" i="19"/>
  <c r="AJ80" i="22"/>
  <c r="CM72" i="19"/>
  <c r="AC32" i="22"/>
  <c r="CM50" i="19"/>
  <c r="AJ105" i="22"/>
  <c r="AH37" i="8"/>
  <c r="AJ110" i="22"/>
  <c r="AJ93" i="22"/>
  <c r="AH80" i="8"/>
  <c r="AA77" i="8"/>
  <c r="CL44" i="19"/>
  <c r="CM92" i="19"/>
  <c r="AA59" i="22"/>
  <c r="AC47" i="22"/>
  <c r="AH97" i="22"/>
  <c r="AH26" i="22"/>
  <c r="AC102" i="8"/>
  <c r="AJ72" i="8"/>
  <c r="AJ49" i="8"/>
  <c r="AA33" i="22"/>
  <c r="AH60" i="8"/>
  <c r="AC53" i="8"/>
  <c r="AA65" i="8"/>
  <c r="AH12" i="22"/>
  <c r="H11" i="22" s="1"/>
  <c r="AC59" i="8"/>
  <c r="AH77" i="22"/>
  <c r="CM44" i="19"/>
  <c r="CJ67" i="19"/>
  <c r="CK88" i="19"/>
  <c r="CL103" i="19"/>
  <c r="AJ71" i="8"/>
  <c r="AC40" i="8"/>
  <c r="AJ25" i="8"/>
  <c r="AH24" i="8"/>
  <c r="AA39" i="8"/>
  <c r="AH54" i="8"/>
  <c r="CL16" i="19"/>
  <c r="CM51" i="19"/>
  <c r="AC104" i="8"/>
  <c r="AC73" i="8"/>
  <c r="AJ56" i="8"/>
  <c r="AH104" i="8"/>
  <c r="AH42" i="22"/>
  <c r="CL72" i="19"/>
  <c r="CJ33" i="19"/>
  <c r="AC37" i="8"/>
  <c r="AC14" i="8"/>
  <c r="AC86" i="8"/>
  <c r="CJ19" i="19"/>
  <c r="AH21" i="8"/>
  <c r="AJ107" i="8"/>
  <c r="AH38" i="22"/>
  <c r="AC107" i="8"/>
  <c r="AH82" i="22"/>
  <c r="CN50" i="19"/>
  <c r="CJ40" i="19"/>
  <c r="CK13" i="19"/>
  <c r="CK21" i="19"/>
  <c r="AC99" i="8"/>
  <c r="AC77" i="8"/>
  <c r="AJ95" i="8"/>
  <c r="AJ75" i="8"/>
  <c r="AH102" i="22"/>
  <c r="AJ40" i="8"/>
  <c r="AC17" i="8"/>
  <c r="AC74" i="8"/>
  <c r="AC76" i="8"/>
  <c r="CL60" i="21"/>
  <c r="CN60" i="21"/>
  <c r="CM60" i="21"/>
  <c r="CM14" i="21"/>
  <c r="CL14" i="21"/>
  <c r="CN88" i="21"/>
  <c r="CL88" i="21"/>
  <c r="CM88" i="21"/>
  <c r="CN44" i="21"/>
  <c r="CM44" i="21"/>
  <c r="CL44" i="21"/>
  <c r="CL92" i="21"/>
  <c r="CM92" i="21"/>
  <c r="CN92" i="21"/>
  <c r="CL72" i="21"/>
  <c r="CM72" i="21"/>
  <c r="CN72" i="21"/>
  <c r="CL27" i="21"/>
  <c r="CM27" i="21"/>
  <c r="CN78" i="21"/>
  <c r="CL78" i="21"/>
  <c r="CM78" i="21"/>
  <c r="CN55" i="21"/>
  <c r="CM55" i="21"/>
  <c r="CL55" i="21"/>
  <c r="CL98" i="21"/>
  <c r="CM98" i="21"/>
  <c r="CN98" i="21"/>
  <c r="CM61" i="21"/>
  <c r="CN61" i="21"/>
  <c r="CL61" i="21"/>
  <c r="CN42" i="21"/>
  <c r="CL42" i="21"/>
  <c r="CM42" i="21"/>
  <c r="AH112" i="22"/>
  <c r="J10" i="22"/>
  <c r="AH108" i="22"/>
  <c r="AH47" i="22"/>
  <c r="AH24" i="22"/>
  <c r="AH90" i="22"/>
  <c r="AH52" i="22"/>
  <c r="AH27" i="22"/>
  <c r="AH88" i="22"/>
  <c r="AH67" i="22"/>
  <c r="AH48" i="22"/>
  <c r="AH14" i="22"/>
  <c r="AH81" i="22"/>
  <c r="AH96" i="22"/>
  <c r="CL24" i="19"/>
  <c r="CN24" i="19"/>
  <c r="CM24" i="19"/>
  <c r="AH107" i="22"/>
  <c r="AH58" i="22"/>
  <c r="CJ27" i="19"/>
  <c r="CK27" i="19"/>
  <c r="CJ15" i="19"/>
  <c r="CK15" i="19"/>
  <c r="CJ105" i="19"/>
  <c r="CK105" i="19"/>
  <c r="CM76" i="19"/>
  <c r="CL76" i="19"/>
  <c r="CN76" i="19"/>
  <c r="AH13" i="22"/>
  <c r="CN38" i="19"/>
  <c r="CJ87" i="19"/>
  <c r="CK87" i="19"/>
  <c r="CM17" i="19"/>
  <c r="CL17" i="19"/>
  <c r="CM40" i="19"/>
  <c r="CN40" i="19"/>
  <c r="CL40" i="19"/>
  <c r="AH89" i="22"/>
  <c r="CL85" i="19"/>
  <c r="CN77" i="19"/>
  <c r="CJ101" i="21"/>
  <c r="CK101" i="21"/>
  <c r="CJ73" i="19"/>
  <c r="CK73" i="19"/>
  <c r="CM59" i="19"/>
  <c r="CM25" i="19"/>
  <c r="CM58" i="19"/>
  <c r="AH34" i="22"/>
  <c r="AH93" i="22"/>
  <c r="CN74" i="19"/>
  <c r="CL107" i="19"/>
  <c r="AA13" i="22"/>
  <c r="AA82" i="22"/>
  <c r="CK31" i="19"/>
  <c r="CK52" i="19"/>
  <c r="CN52" i="19"/>
  <c r="CL52" i="19"/>
  <c r="CM52" i="19"/>
  <c r="CN88" i="19"/>
  <c r="AH41" i="22"/>
  <c r="CL89" i="19"/>
  <c r="CK55" i="21"/>
  <c r="CJ55" i="21"/>
  <c r="AJ43" i="22"/>
  <c r="AC25" i="22"/>
  <c r="AJ98" i="22"/>
  <c r="CJ98" i="19"/>
  <c r="CK98" i="19"/>
  <c r="CJ53" i="19"/>
  <c r="CK53" i="19"/>
  <c r="CK92" i="19"/>
  <c r="AA83" i="22"/>
  <c r="CJ83" i="19"/>
  <c r="CK12" i="19"/>
  <c r="CM106" i="19"/>
  <c r="CN34" i="19"/>
  <c r="CM97" i="19"/>
  <c r="CN67" i="19"/>
  <c r="CN108" i="21"/>
  <c r="CK24" i="19"/>
  <c r="CJ24" i="19"/>
  <c r="AJ51" i="22"/>
  <c r="AJ34" i="22"/>
  <c r="AC106" i="22"/>
  <c r="AJ16" i="8"/>
  <c r="AC80" i="8"/>
  <c r="CK34" i="19"/>
  <c r="AA73" i="8"/>
  <c r="AA74" i="8"/>
  <c r="AA53" i="22"/>
  <c r="AA75" i="22"/>
  <c r="AA55" i="22"/>
  <c r="CJ62" i="21"/>
  <c r="CK62" i="21"/>
  <c r="CM84" i="19"/>
  <c r="CN84" i="19"/>
  <c r="CL84" i="19"/>
  <c r="CK28" i="21"/>
  <c r="CJ28" i="21"/>
  <c r="CN27" i="19"/>
  <c r="CM27" i="19"/>
  <c r="CL27" i="19"/>
  <c r="AH61" i="22"/>
  <c r="CJ95" i="21"/>
  <c r="CK95" i="21"/>
  <c r="CJ60" i="21"/>
  <c r="CK60" i="21"/>
  <c r="CN111" i="19"/>
  <c r="CM111" i="19"/>
  <c r="CL111" i="19"/>
  <c r="AH99" i="22"/>
  <c r="AH62" i="22"/>
  <c r="CN81" i="21"/>
  <c r="CL81" i="21"/>
  <c r="CM81" i="21"/>
  <c r="CM35" i="21"/>
  <c r="CN35" i="21"/>
  <c r="CL35" i="21"/>
  <c r="CM26" i="21"/>
  <c r="CL26" i="21"/>
  <c r="CN65" i="21"/>
  <c r="CL65" i="21"/>
  <c r="CM65" i="21"/>
  <c r="CL20" i="21"/>
  <c r="CM20" i="21"/>
  <c r="CN95" i="21"/>
  <c r="CM95" i="21"/>
  <c r="CL95" i="21"/>
  <c r="CL51" i="21"/>
  <c r="CN51" i="21"/>
  <c r="CM51" i="21"/>
  <c r="CM104" i="21"/>
  <c r="CL104" i="21"/>
  <c r="CN104" i="21"/>
  <c r="CN77" i="21"/>
  <c r="CM77" i="21"/>
  <c r="CL77" i="21"/>
  <c r="CL36" i="21"/>
  <c r="CM36" i="21"/>
  <c r="CN36" i="21"/>
  <c r="CM99" i="21"/>
  <c r="CL99" i="21"/>
  <c r="CN99" i="21"/>
  <c r="CN62" i="21"/>
  <c r="CL62" i="21"/>
  <c r="CM62" i="21"/>
  <c r="CK91" i="19"/>
  <c r="CJ91" i="19"/>
  <c r="CN61" i="19"/>
  <c r="CM61" i="19"/>
  <c r="CL61" i="19"/>
  <c r="AH74" i="22"/>
  <c r="CJ24" i="21"/>
  <c r="CK24" i="21"/>
  <c r="CL45" i="19"/>
  <c r="CM45" i="19"/>
  <c r="CN45" i="19"/>
  <c r="CN96" i="19"/>
  <c r="CL96" i="19"/>
  <c r="CM96" i="19"/>
  <c r="AH75" i="22"/>
  <c r="CL38" i="19"/>
  <c r="CJ56" i="19"/>
  <c r="CK56" i="19"/>
  <c r="CM20" i="19"/>
  <c r="CL20" i="19"/>
  <c r="CL15" i="19"/>
  <c r="AH65" i="22"/>
  <c r="CN85" i="19"/>
  <c r="CN51" i="19"/>
  <c r="CK22" i="19"/>
  <c r="I11" i="19"/>
  <c r="H20" i="19" s="1"/>
  <c r="H23" i="19" s="1"/>
  <c r="CJ22" i="19"/>
  <c r="AA106" i="22"/>
  <c r="AA76" i="22"/>
  <c r="CK97" i="19"/>
  <c r="CJ97" i="19"/>
  <c r="CN41" i="19"/>
  <c r="CN59" i="19"/>
  <c r="CN25" i="19"/>
  <c r="CL23" i="19"/>
  <c r="AH94" i="22"/>
  <c r="AH60" i="22"/>
  <c r="CL74" i="19"/>
  <c r="CJ72" i="19"/>
  <c r="CK72" i="19"/>
  <c r="AJ39" i="22"/>
  <c r="AC16" i="22"/>
  <c r="AJ90" i="22"/>
  <c r="AA78" i="22"/>
  <c r="AA42" i="22"/>
  <c r="CJ31" i="19"/>
  <c r="CJ52" i="19"/>
  <c r="CM86" i="19"/>
  <c r="CL86" i="19"/>
  <c r="CN86" i="19"/>
  <c r="CL70" i="19"/>
  <c r="AH19" i="22"/>
  <c r="CN89" i="19"/>
  <c r="AH18" i="8"/>
  <c r="AH87" i="8"/>
  <c r="AC75" i="22"/>
  <c r="AJ55" i="22"/>
  <c r="AC41" i="22"/>
  <c r="AC41" i="8"/>
  <c r="AC12" i="8"/>
  <c r="AJ86" i="8"/>
  <c r="CK42" i="19"/>
  <c r="CJ42" i="19"/>
  <c r="AA45" i="8"/>
  <c r="CK69" i="19"/>
  <c r="CJ69" i="19"/>
  <c r="CK18" i="19"/>
  <c r="CJ18" i="19"/>
  <c r="CK36" i="19"/>
  <c r="AA50" i="22"/>
  <c r="CK83" i="19"/>
  <c r="CN106" i="19"/>
  <c r="CM19" i="19"/>
  <c r="CN101" i="19"/>
  <c r="CN104" i="19"/>
  <c r="CK106" i="19"/>
  <c r="CJ106" i="19"/>
  <c r="AJ17" i="22"/>
  <c r="AJ83" i="22"/>
  <c r="AJ64" i="22"/>
  <c r="AC48" i="8"/>
  <c r="AJ20" i="8"/>
  <c r="CJ90" i="19"/>
  <c r="AA50" i="8"/>
  <c r="CJ28" i="19"/>
  <c r="AA29" i="22"/>
  <c r="CK70" i="19"/>
  <c r="AH15" i="22"/>
  <c r="CJ29" i="21"/>
  <c r="CK29" i="21"/>
  <c r="CN35" i="19"/>
  <c r="CM35" i="19"/>
  <c r="CL35" i="19"/>
  <c r="CN65" i="19"/>
  <c r="CM65" i="19"/>
  <c r="CL65" i="19"/>
  <c r="AH35" i="22"/>
  <c r="CK48" i="21"/>
  <c r="CJ48" i="21"/>
  <c r="H9" i="19"/>
  <c r="CL12" i="19"/>
  <c r="CM12" i="19"/>
  <c r="AH64" i="22"/>
  <c r="AH30" i="22"/>
  <c r="CK43" i="21"/>
  <c r="CJ43" i="21"/>
  <c r="CM17" i="21"/>
  <c r="CL17" i="21"/>
  <c r="CN85" i="21"/>
  <c r="CM85" i="21"/>
  <c r="CL85" i="21"/>
  <c r="CM49" i="21"/>
  <c r="CN49" i="21"/>
  <c r="CL49" i="21"/>
  <c r="CL106" i="21"/>
  <c r="CM106" i="21"/>
  <c r="CN106" i="21"/>
  <c r="CL70" i="21"/>
  <c r="CN70" i="21"/>
  <c r="CM70" i="21"/>
  <c r="CM30" i="21"/>
  <c r="CL30" i="21"/>
  <c r="CM97" i="21"/>
  <c r="CN97" i="21"/>
  <c r="CL97" i="21"/>
  <c r="CL52" i="21"/>
  <c r="CM52" i="21"/>
  <c r="CN52" i="21"/>
  <c r="CM15" i="21"/>
  <c r="CL15" i="21"/>
  <c r="CL80" i="21"/>
  <c r="CN80" i="21"/>
  <c r="CM80" i="21"/>
  <c r="CN39" i="21"/>
  <c r="CM39" i="21"/>
  <c r="CL39" i="21"/>
  <c r="CL86" i="21"/>
  <c r="CN86" i="21"/>
  <c r="CM86" i="21"/>
  <c r="CK15" i="21"/>
  <c r="CJ15" i="21"/>
  <c r="CN99" i="19"/>
  <c r="CM99" i="19"/>
  <c r="CL99" i="19"/>
  <c r="AH50" i="22"/>
  <c r="CN44" i="19"/>
  <c r="CL50" i="19"/>
  <c r="CJ44" i="21"/>
  <c r="CK44" i="21"/>
  <c r="CL83" i="19"/>
  <c r="CN83" i="19"/>
  <c r="CM83" i="19"/>
  <c r="AH79" i="22"/>
  <c r="AH44" i="22"/>
  <c r="CM38" i="19"/>
  <c r="AA39" i="22"/>
  <c r="AA46" i="22"/>
  <c r="CK33" i="19"/>
  <c r="CN32" i="19"/>
  <c r="CL32" i="19"/>
  <c r="CM32" i="19"/>
  <c r="CM15" i="19"/>
  <c r="AH46" i="22"/>
  <c r="CM85" i="19"/>
  <c r="CL51" i="19"/>
  <c r="AA71" i="22"/>
  <c r="AA36" i="22"/>
  <c r="CL41" i="19"/>
  <c r="CM43" i="19"/>
  <c r="CL25" i="19"/>
  <c r="CM23" i="19"/>
  <c r="AH72" i="22"/>
  <c r="AH106" i="22"/>
  <c r="CM74" i="19"/>
  <c r="CK45" i="19"/>
  <c r="CJ45" i="19"/>
  <c r="AJ73" i="22"/>
  <c r="AC50" i="22"/>
  <c r="AJ29" i="22"/>
  <c r="AA54" i="22"/>
  <c r="AA61" i="22"/>
  <c r="CK19" i="19"/>
  <c r="CL31" i="19"/>
  <c r="CN31" i="19"/>
  <c r="CM31" i="19"/>
  <c r="CN70" i="19"/>
  <c r="AH83" i="22"/>
  <c r="CM89" i="19"/>
  <c r="AH112" i="8"/>
  <c r="J10" i="8"/>
  <c r="AH109" i="8"/>
  <c r="AJ15" i="22"/>
  <c r="AJ91" i="22"/>
  <c r="AJ74" i="22"/>
  <c r="AJ76" i="8"/>
  <c r="AJ43" i="8"/>
  <c r="AC31" i="8"/>
  <c r="AA12" i="8"/>
  <c r="CK102" i="19"/>
  <c r="CJ102" i="19"/>
  <c r="CK76" i="19"/>
  <c r="CJ76" i="19"/>
  <c r="CJ36" i="19"/>
  <c r="AA26" i="22"/>
  <c r="CJ12" i="19"/>
  <c r="CL106" i="19"/>
  <c r="CL19" i="19"/>
  <c r="CL101" i="19"/>
  <c r="CM104" i="19"/>
  <c r="AH69" i="8"/>
  <c r="AJ47" i="22"/>
  <c r="AJ24" i="22"/>
  <c r="AJ95" i="22"/>
  <c r="AJ79" i="8"/>
  <c r="AC52" i="8"/>
  <c r="CK90" i="19"/>
  <c r="AA19" i="8"/>
  <c r="CK28" i="19"/>
  <c r="CL37" i="19"/>
  <c r="CM37" i="19"/>
  <c r="CN37" i="19"/>
  <c r="CK31" i="21"/>
  <c r="CJ31" i="21"/>
  <c r="CL23" i="21"/>
  <c r="CM23" i="21"/>
  <c r="CN13" i="21"/>
  <c r="CN24" i="21"/>
  <c r="CN12" i="21"/>
  <c r="CN17" i="21"/>
  <c r="CN23" i="21"/>
  <c r="CN30" i="21"/>
  <c r="CN32" i="21"/>
  <c r="CN21" i="21"/>
  <c r="I9" i="21"/>
  <c r="CN29" i="21"/>
  <c r="CL32" i="21"/>
  <c r="CN18" i="21"/>
  <c r="CN28" i="21"/>
  <c r="CN19" i="21"/>
  <c r="CM32" i="21"/>
  <c r="CN22" i="21"/>
  <c r="CN20" i="21"/>
  <c r="CN27" i="21"/>
  <c r="CN31" i="21"/>
  <c r="CN16" i="21"/>
  <c r="CN25" i="21"/>
  <c r="CN15" i="21"/>
  <c r="CN14" i="21"/>
  <c r="CN26" i="21"/>
  <c r="CM67" i="21"/>
  <c r="CL67" i="21"/>
  <c r="CN67" i="21"/>
  <c r="CK65" i="19"/>
  <c r="CJ65" i="19"/>
  <c r="CM62" i="19"/>
  <c r="CL62" i="19"/>
  <c r="CN62" i="19"/>
  <c r="AH56" i="22"/>
  <c r="AH25" i="22"/>
  <c r="CK60" i="19"/>
  <c r="CJ60" i="19"/>
  <c r="CN33" i="19"/>
  <c r="CL33" i="19"/>
  <c r="CM33" i="19"/>
  <c r="AH110" i="22"/>
  <c r="AH22" i="22"/>
  <c r="CM41" i="19"/>
  <c r="CL43" i="19"/>
  <c r="CL60" i="19"/>
  <c r="CN23" i="19"/>
  <c r="AH33" i="22"/>
  <c r="AH103" i="22"/>
  <c r="CN36" i="19"/>
  <c r="AA112" i="22"/>
  <c r="J8" i="22"/>
  <c r="AA108" i="22"/>
  <c r="CM42" i="19"/>
  <c r="CM70" i="19"/>
  <c r="AH57" i="22"/>
  <c r="CM71" i="19"/>
  <c r="CJ85" i="19"/>
  <c r="CK85" i="19"/>
  <c r="CJ37" i="19"/>
  <c r="CK37" i="19"/>
  <c r="CK38" i="19"/>
  <c r="CJ38" i="19"/>
  <c r="AA22" i="22"/>
  <c r="AA89" i="22"/>
  <c r="CJ61" i="19"/>
  <c r="CK86" i="19"/>
  <c r="CL110" i="19"/>
  <c r="CM101" i="19"/>
  <c r="CL104" i="19"/>
  <c r="AC79" i="22"/>
  <c r="AC55" i="22"/>
  <c r="AC16" i="8"/>
  <c r="AC84" i="8"/>
  <c r="AA82" i="8"/>
  <c r="CJ84" i="19"/>
  <c r="AA58" i="22"/>
  <c r="CK94" i="19"/>
  <c r="CM111" i="21"/>
  <c r="CJ108" i="21"/>
  <c r="CK108" i="21"/>
  <c r="CK25" i="19"/>
  <c r="CJ25" i="19"/>
  <c r="CM30" i="19"/>
  <c r="CL30" i="19"/>
  <c r="CN30" i="19"/>
  <c r="AH17" i="22"/>
  <c r="AH45" i="22"/>
  <c r="CM94" i="21"/>
  <c r="CN94" i="21"/>
  <c r="CL94" i="21"/>
  <c r="CM50" i="21"/>
  <c r="CL50" i="21"/>
  <c r="CN50" i="21"/>
  <c r="CL105" i="21"/>
  <c r="CM105" i="21"/>
  <c r="CN105" i="21"/>
  <c r="CM79" i="21"/>
  <c r="CN79" i="21"/>
  <c r="CL79" i="21"/>
  <c r="CM37" i="21"/>
  <c r="CN37" i="21"/>
  <c r="CL37" i="21"/>
  <c r="CL83" i="21"/>
  <c r="CN83" i="21"/>
  <c r="CM83" i="21"/>
  <c r="CN64" i="21"/>
  <c r="CM64" i="21"/>
  <c r="CL64" i="21"/>
  <c r="CM19" i="21"/>
  <c r="CL19" i="21"/>
  <c r="CL69" i="21"/>
  <c r="CM69" i="21"/>
  <c r="CN69" i="21"/>
  <c r="CL48" i="21"/>
  <c r="CN48" i="21"/>
  <c r="CM48" i="21"/>
  <c r="CL90" i="21"/>
  <c r="CM90" i="21"/>
  <c r="CN90" i="21"/>
  <c r="CM56" i="21"/>
  <c r="CN56" i="21"/>
  <c r="CL56" i="21"/>
  <c r="CJ100" i="19"/>
  <c r="CK100" i="19"/>
  <c r="CM78" i="19"/>
  <c r="CL78" i="19"/>
  <c r="CN78" i="19"/>
  <c r="CN112" i="19"/>
  <c r="CL113" i="19"/>
  <c r="CL124" i="19"/>
  <c r="CM121" i="19"/>
  <c r="CM119" i="19"/>
  <c r="CM124" i="19"/>
  <c r="CM118" i="19"/>
  <c r="CL119" i="19"/>
  <c r="CM113" i="19"/>
  <c r="CL112" i="19"/>
  <c r="CL120" i="19"/>
  <c r="CL121" i="19"/>
  <c r="CL114" i="19"/>
  <c r="CL116" i="19"/>
  <c r="CL115" i="19"/>
  <c r="CM116" i="19"/>
  <c r="CM112" i="19"/>
  <c r="CM115" i="19"/>
  <c r="J9" i="19"/>
  <c r="CL118" i="19"/>
  <c r="CM117" i="19"/>
  <c r="CM122" i="19"/>
  <c r="CM123" i="19"/>
  <c r="CM114" i="19"/>
  <c r="CM120" i="19"/>
  <c r="CL123" i="19"/>
  <c r="CL117" i="19"/>
  <c r="CL122" i="19"/>
  <c r="AH95" i="22"/>
  <c r="CN92" i="19"/>
  <c r="CJ35" i="19"/>
  <c r="CK35" i="19"/>
  <c r="CL54" i="19"/>
  <c r="CN54" i="19"/>
  <c r="CM54" i="19"/>
  <c r="AH18" i="22"/>
  <c r="AH63" i="22"/>
  <c r="CM16" i="19"/>
  <c r="CJ108" i="19"/>
  <c r="CK108" i="19"/>
  <c r="CL18" i="19"/>
  <c r="CM18" i="19"/>
  <c r="AH23" i="22"/>
  <c r="AH84" i="22"/>
  <c r="CM103" i="19"/>
  <c r="CK109" i="21"/>
  <c r="CJ109" i="21"/>
  <c r="AA24" i="22"/>
  <c r="AA49" i="22"/>
  <c r="CL79" i="19"/>
  <c r="CN43" i="19"/>
  <c r="CM60" i="19"/>
  <c r="CL100" i="19"/>
  <c r="AH98" i="22"/>
  <c r="CN94" i="19"/>
  <c r="CM36" i="19"/>
  <c r="CK14" i="19"/>
  <c r="AA95" i="22"/>
  <c r="AJ112" i="22"/>
  <c r="AC112" i="22"/>
  <c r="AJ109" i="22"/>
  <c r="AJ102" i="22"/>
  <c r="CL14" i="19"/>
  <c r="CM14" i="19"/>
  <c r="CN42" i="19"/>
  <c r="AH104" i="22"/>
  <c r="AH37" i="22"/>
  <c r="CL71" i="19"/>
  <c r="AJ107" i="22"/>
  <c r="AC80" i="22"/>
  <c r="AJ60" i="22"/>
  <c r="AJ41" i="8"/>
  <c r="AC15" i="8"/>
  <c r="AJ91" i="8"/>
  <c r="AA53" i="8"/>
  <c r="CJ68" i="19"/>
  <c r="CK68" i="19"/>
  <c r="CJ107" i="19"/>
  <c r="CK107" i="19"/>
  <c r="AA85" i="22"/>
  <c r="AA103" i="22"/>
  <c r="CK61" i="19"/>
  <c r="CJ86" i="19"/>
  <c r="CL91" i="19"/>
  <c r="CM110" i="19"/>
  <c r="CM13" i="19"/>
  <c r="AH33" i="8"/>
  <c r="AH102" i="8"/>
  <c r="AC15" i="22"/>
  <c r="AJ87" i="22"/>
  <c r="AJ69" i="22"/>
  <c r="AJ48" i="8"/>
  <c r="AA60" i="8"/>
  <c r="CK84" i="19"/>
  <c r="AA34" i="22"/>
  <c r="CJ94" i="19"/>
  <c r="CK30" i="19"/>
  <c r="CM68" i="21"/>
  <c r="CL68" i="21"/>
  <c r="CN68" i="21"/>
  <c r="CL16" i="21"/>
  <c r="CM16" i="21"/>
  <c r="CN108" i="19"/>
  <c r="CL108" i="19"/>
  <c r="CM108" i="19"/>
  <c r="CL26" i="19"/>
  <c r="CM26" i="19"/>
  <c r="CN26" i="19"/>
  <c r="CK57" i="21"/>
  <c r="CJ57" i="21"/>
  <c r="CJ63" i="21"/>
  <c r="CK63" i="21"/>
  <c r="CM68" i="19"/>
  <c r="CN68" i="19"/>
  <c r="CL68" i="19"/>
  <c r="AH68" i="22"/>
  <c r="CL33" i="21"/>
  <c r="CM33" i="21"/>
  <c r="CN33" i="21"/>
  <c r="CN74" i="21"/>
  <c r="CL74" i="21"/>
  <c r="CM74" i="21"/>
  <c r="CM28" i="21"/>
  <c r="CL28" i="21"/>
  <c r="CM18" i="21"/>
  <c r="CL18" i="21"/>
  <c r="CM57" i="21"/>
  <c r="CL57" i="21"/>
  <c r="CN57" i="21"/>
  <c r="CM12" i="21"/>
  <c r="H9" i="21"/>
  <c r="CL12" i="21"/>
  <c r="CL87" i="21"/>
  <c r="CN87" i="21"/>
  <c r="CM87" i="21"/>
  <c r="CL40" i="21"/>
  <c r="CM40" i="21"/>
  <c r="CN40" i="21"/>
  <c r="CN110" i="21"/>
  <c r="CL110" i="21"/>
  <c r="CM110" i="21"/>
  <c r="CM71" i="21"/>
  <c r="CN71" i="21"/>
  <c r="CL71" i="21"/>
  <c r="CL25" i="21"/>
  <c r="CM25" i="21"/>
  <c r="CJ111" i="19"/>
  <c r="CK111" i="19"/>
  <c r="CN12" i="19"/>
  <c r="CN20" i="19"/>
  <c r="CL22" i="19"/>
  <c r="I9" i="19"/>
  <c r="CN15" i="19"/>
  <c r="CM22" i="19"/>
  <c r="CN16" i="19"/>
  <c r="CN22" i="19"/>
  <c r="CN19" i="19"/>
  <c r="CN18" i="19"/>
  <c r="CN14" i="19"/>
  <c r="CN13" i="19"/>
  <c r="CN21" i="19"/>
  <c r="CN17" i="19"/>
  <c r="AH100" i="22"/>
  <c r="AH69" i="22"/>
  <c r="CL92" i="19"/>
  <c r="CJ110" i="19"/>
  <c r="CK110" i="19"/>
  <c r="CL87" i="19"/>
  <c r="CM87" i="19"/>
  <c r="CN87" i="19"/>
  <c r="AH85" i="22"/>
  <c r="CL53" i="19"/>
  <c r="CJ111" i="21"/>
  <c r="CK111" i="21"/>
  <c r="CK46" i="19"/>
  <c r="CJ46" i="19"/>
  <c r="AA56" i="22"/>
  <c r="CL56" i="19"/>
  <c r="CM56" i="19"/>
  <c r="CN56" i="19"/>
  <c r="AH86" i="22"/>
  <c r="AH54" i="22"/>
  <c r="CN103" i="19"/>
  <c r="CK84" i="21"/>
  <c r="CJ84" i="21"/>
  <c r="CJ47" i="19"/>
  <c r="CK47" i="19"/>
  <c r="AA88" i="22"/>
  <c r="CJ44" i="19"/>
  <c r="CK74" i="19"/>
  <c r="CN79" i="19"/>
  <c r="CM82" i="19"/>
  <c r="CN60" i="19"/>
  <c r="CM100" i="19"/>
  <c r="AH76" i="22"/>
  <c r="CM94" i="19"/>
  <c r="CL36" i="19"/>
  <c r="AC71" i="22"/>
  <c r="AJ56" i="22"/>
  <c r="AJ38" i="22"/>
  <c r="CJ14" i="19"/>
  <c r="AA74" i="22"/>
  <c r="AJ112" i="8"/>
  <c r="AC112" i="8"/>
  <c r="AC29" i="8"/>
  <c r="AC63" i="8"/>
  <c r="AJ93" i="8"/>
  <c r="AC85" i="8"/>
  <c r="AC66" i="8"/>
  <c r="AJ46" i="8"/>
  <c r="CN47" i="19"/>
  <c r="CL47" i="19"/>
  <c r="CM47" i="19"/>
  <c r="CL42" i="19"/>
  <c r="AH43" i="22"/>
  <c r="AH101" i="22"/>
  <c r="CN71" i="19"/>
  <c r="AH93" i="8"/>
  <c r="CJ93" i="19"/>
  <c r="CK93" i="19"/>
  <c r="AC42" i="22"/>
  <c r="AC20" i="22"/>
  <c r="AC94" i="22"/>
  <c r="AC75" i="8"/>
  <c r="AJ50" i="8"/>
  <c r="AC54" i="8"/>
  <c r="AA30" i="8"/>
  <c r="CJ55" i="19"/>
  <c r="CK55" i="19"/>
  <c r="AA63" i="22"/>
  <c r="AA68" i="22"/>
  <c r="CL80" i="19"/>
  <c r="CM91" i="19"/>
  <c r="CN110" i="19"/>
  <c r="CL13" i="19"/>
  <c r="CL21" i="19"/>
  <c r="AH25" i="8"/>
  <c r="AH95" i="8"/>
  <c r="AH100" i="8"/>
  <c r="AJ48" i="22"/>
  <c r="AC29" i="22"/>
  <c r="AC14" i="22"/>
  <c r="AJ17" i="8"/>
  <c r="AC82" i="8"/>
  <c r="AJ57" i="8"/>
  <c r="AA110" i="8"/>
  <c r="AA41" i="8"/>
  <c r="AA28" i="22"/>
  <c r="AA99" i="22"/>
  <c r="CN102" i="19"/>
  <c r="CJ30" i="19"/>
  <c r="CK115" i="21"/>
  <c r="CK121" i="21"/>
  <c r="CJ113" i="21"/>
  <c r="CJ119" i="21"/>
  <c r="CJ116" i="21"/>
  <c r="CJ121" i="21"/>
  <c r="CJ122" i="21"/>
  <c r="CJ118" i="21"/>
  <c r="CJ117" i="21"/>
  <c r="CK114" i="21"/>
  <c r="CJ120" i="21"/>
  <c r="CK119" i="21"/>
  <c r="CJ115" i="21"/>
  <c r="CK112" i="21"/>
  <c r="CK122" i="21"/>
  <c r="CK124" i="21"/>
  <c r="CJ112" i="21"/>
  <c r="CJ124" i="21"/>
  <c r="CK123" i="21"/>
  <c r="CK113" i="21"/>
  <c r="CK117" i="21"/>
  <c r="CK120" i="21"/>
  <c r="CK118" i="21"/>
  <c r="CJ114" i="21"/>
  <c r="CK116" i="21"/>
  <c r="CJ123" i="21"/>
  <c r="J11" i="21"/>
  <c r="CJ57" i="19"/>
  <c r="CK57" i="19"/>
  <c r="CK49" i="19"/>
  <c r="CJ49" i="19"/>
  <c r="CN66" i="21"/>
  <c r="CL66" i="21"/>
  <c r="CM66" i="21"/>
  <c r="CM100" i="21"/>
  <c r="CL100" i="21"/>
  <c r="CN100" i="21"/>
  <c r="CM53" i="21"/>
  <c r="CN53" i="21"/>
  <c r="CL53" i="21"/>
  <c r="CN34" i="21"/>
  <c r="CL34" i="21"/>
  <c r="CM34" i="21"/>
  <c r="CM21" i="21"/>
  <c r="CL21" i="21"/>
  <c r="CK21" i="21"/>
  <c r="CJ21" i="21"/>
  <c r="CJ62" i="19"/>
  <c r="CK62" i="19"/>
  <c r="CL63" i="19"/>
  <c r="CM63" i="19"/>
  <c r="CN63" i="19"/>
  <c r="AH55" i="22"/>
  <c r="AH20" i="22"/>
  <c r="CK90" i="21"/>
  <c r="CJ90" i="21"/>
  <c r="CK94" i="21"/>
  <c r="CJ94" i="21"/>
  <c r="CJ103" i="19"/>
  <c r="CK103" i="19"/>
  <c r="CL55" i="19"/>
  <c r="CN55" i="19"/>
  <c r="CM55" i="19"/>
  <c r="AH40" i="22"/>
  <c r="CL93" i="21"/>
  <c r="CM93" i="21"/>
  <c r="CN93" i="21"/>
  <c r="CM54" i="21"/>
  <c r="CL54" i="21"/>
  <c r="CN54" i="21"/>
  <c r="CM107" i="21"/>
  <c r="CL107" i="21"/>
  <c r="CN107" i="21"/>
  <c r="CN75" i="21"/>
  <c r="CM75" i="21"/>
  <c r="CL75" i="21"/>
  <c r="CM38" i="21"/>
  <c r="CL38" i="21"/>
  <c r="CN38" i="21"/>
  <c r="CM102" i="21"/>
  <c r="CN102" i="21"/>
  <c r="CL102" i="21"/>
  <c r="CM59" i="21"/>
  <c r="CL59" i="21"/>
  <c r="CN59" i="21"/>
  <c r="CL22" i="21"/>
  <c r="CM22" i="21"/>
  <c r="CM89" i="21"/>
  <c r="CN89" i="21"/>
  <c r="CL89" i="21"/>
  <c r="CN43" i="21"/>
  <c r="CM43" i="21"/>
  <c r="CL43" i="21"/>
  <c r="CM96" i="21"/>
  <c r="CL96" i="21"/>
  <c r="CN96" i="21"/>
  <c r="CN73" i="21"/>
  <c r="CL73" i="21"/>
  <c r="CM73" i="21"/>
  <c r="CN112" i="21"/>
  <c r="CM123" i="21"/>
  <c r="CL114" i="21"/>
  <c r="CM121" i="21"/>
  <c r="J9" i="21"/>
  <c r="CM120" i="21"/>
  <c r="CL112" i="21"/>
  <c r="CM124" i="21"/>
  <c r="CM117" i="21"/>
  <c r="CM113" i="21"/>
  <c r="CL124" i="21"/>
  <c r="CM122" i="21"/>
  <c r="CL121" i="21"/>
  <c r="CL117" i="21"/>
  <c r="CM116" i="21"/>
  <c r="CM118" i="21"/>
  <c r="CL113" i="21"/>
  <c r="CL116" i="21"/>
  <c r="CL118" i="21"/>
  <c r="CM115" i="21"/>
  <c r="CL122" i="21"/>
  <c r="CM112" i="21"/>
  <c r="CL115" i="21"/>
  <c r="CL119" i="21"/>
  <c r="CL123" i="21"/>
  <c r="CM119" i="21"/>
  <c r="CL120" i="21"/>
  <c r="CM114" i="21"/>
  <c r="CJ80" i="19"/>
  <c r="CK80" i="19"/>
  <c r="CK71" i="19"/>
  <c r="CJ71" i="19"/>
  <c r="CM93" i="19"/>
  <c r="CN93" i="19"/>
  <c r="CL93" i="19"/>
  <c r="AH70" i="22"/>
  <c r="AH39" i="22"/>
  <c r="CK25" i="21"/>
  <c r="CJ25" i="21"/>
  <c r="AH109" i="22"/>
  <c r="CL29" i="19"/>
  <c r="CN29" i="19"/>
  <c r="CM29" i="19"/>
  <c r="AH59" i="22"/>
  <c r="CN53" i="19"/>
  <c r="CJ54" i="21"/>
  <c r="CK54" i="21"/>
  <c r="AA25" i="22"/>
  <c r="CM95" i="19"/>
  <c r="CL95" i="19"/>
  <c r="CN95" i="19"/>
  <c r="AH66" i="22"/>
  <c r="AH91" i="22"/>
  <c r="CL77" i="19"/>
  <c r="CK101" i="19"/>
  <c r="CJ101" i="19"/>
  <c r="CK77" i="19"/>
  <c r="CJ77" i="19"/>
  <c r="AA65" i="22"/>
  <c r="CK44" i="19"/>
  <c r="CJ74" i="19"/>
  <c r="CM79" i="19"/>
  <c r="CL82" i="19"/>
  <c r="CL58" i="19"/>
  <c r="CN100" i="19"/>
  <c r="AH49" i="22"/>
  <c r="CL94" i="19"/>
  <c r="CN107" i="19"/>
  <c r="AC13" i="22"/>
  <c r="AC85" i="22"/>
  <c r="AJ70" i="22"/>
  <c r="CJ99" i="19"/>
  <c r="AA43" i="22"/>
  <c r="AA112" i="8"/>
  <c r="J8" i="8"/>
  <c r="CL28" i="19"/>
  <c r="CM28" i="19"/>
  <c r="CN28" i="19"/>
  <c r="CM88" i="19"/>
  <c r="AH16" i="22"/>
  <c r="AH71" i="22"/>
  <c r="CL103" i="21"/>
  <c r="CM103" i="21"/>
  <c r="CN103" i="21"/>
  <c r="AH61" i="8"/>
  <c r="CJ66" i="19"/>
  <c r="CK66" i="19"/>
  <c r="AJ77" i="22"/>
  <c r="AJ52" i="22"/>
  <c r="AC33" i="22"/>
  <c r="AC13" i="8"/>
  <c r="AJ80" i="8"/>
  <c r="AC33" i="8"/>
  <c r="AA32" i="8"/>
  <c r="AA97" i="8"/>
  <c r="CK104" i="19"/>
  <c r="CJ104" i="19"/>
  <c r="CJ118" i="19"/>
  <c r="CK123" i="19"/>
  <c r="J11" i="19"/>
  <c r="CK124" i="19"/>
  <c r="CK122" i="19"/>
  <c r="CK120" i="19"/>
  <c r="CJ115" i="19"/>
  <c r="CJ116" i="19"/>
  <c r="CJ124" i="19"/>
  <c r="CJ121" i="19"/>
  <c r="CK115" i="19"/>
  <c r="CJ112" i="19"/>
  <c r="CJ119" i="19"/>
  <c r="CJ113" i="19"/>
  <c r="CJ114" i="19"/>
  <c r="CK116" i="19"/>
  <c r="CK117" i="19"/>
  <c r="CJ122" i="19"/>
  <c r="CK118" i="19"/>
  <c r="CJ120" i="19"/>
  <c r="CJ117" i="19"/>
  <c r="CK114" i="19"/>
  <c r="CK113" i="19"/>
  <c r="CK121" i="19"/>
  <c r="CK112" i="19"/>
  <c r="CK119" i="19"/>
  <c r="CJ123" i="19"/>
  <c r="AA41" i="22"/>
  <c r="AA69" i="22"/>
  <c r="CK63" i="19"/>
  <c r="CM80" i="19"/>
  <c r="CL34" i="19"/>
  <c r="CN97" i="19"/>
  <c r="CM67" i="19"/>
  <c r="CL108" i="21"/>
  <c r="AH91" i="8"/>
  <c r="AH72" i="8"/>
  <c r="AH99" i="8"/>
  <c r="AJ79" i="22"/>
  <c r="AC62" i="22"/>
  <c r="AJ46" i="22"/>
  <c r="AJ45" i="8"/>
  <c r="AJ15" i="8"/>
  <c r="AC89" i="8"/>
  <c r="AA44" i="8"/>
  <c r="AA22" i="8"/>
  <c r="AA94" i="22"/>
  <c r="AA12" i="22"/>
  <c r="AA106" i="8"/>
  <c r="CM102" i="19"/>
  <c r="AJ23" i="22"/>
  <c r="CM49" i="19"/>
  <c r="CN49" i="19"/>
  <c r="CL49" i="19"/>
  <c r="CL47" i="21"/>
  <c r="CN47" i="21"/>
  <c r="CM47" i="21"/>
  <c r="CM84" i="21"/>
  <c r="CN84" i="21"/>
  <c r="CL84" i="21"/>
  <c r="CK43" i="19"/>
  <c r="CJ43" i="19"/>
  <c r="CL46" i="19"/>
  <c r="CN46" i="19"/>
  <c r="CM46" i="19"/>
  <c r="CN98" i="19"/>
  <c r="CL98" i="19"/>
  <c r="CM98" i="19"/>
  <c r="AH31" i="22"/>
  <c r="AH87" i="22"/>
  <c r="CM46" i="21"/>
  <c r="CL46" i="21"/>
  <c r="CN46" i="21"/>
  <c r="CK71" i="21"/>
  <c r="CJ71" i="21"/>
  <c r="CJ106" i="21"/>
  <c r="CK106" i="21"/>
  <c r="CJ51" i="19"/>
  <c r="CK51" i="19"/>
  <c r="CN90" i="19"/>
  <c r="CL90" i="19"/>
  <c r="CM90" i="19"/>
  <c r="AH21" i="22"/>
  <c r="CM29" i="21"/>
  <c r="CL29" i="21"/>
  <c r="CL82" i="21"/>
  <c r="CM82" i="21"/>
  <c r="CN82" i="21"/>
  <c r="CL58" i="21"/>
  <c r="CM58" i="21"/>
  <c r="CN58" i="21"/>
  <c r="CL13" i="21"/>
  <c r="CM13" i="21"/>
  <c r="CN63" i="21"/>
  <c r="CL63" i="21"/>
  <c r="CM63" i="21"/>
  <c r="CL41" i="21"/>
  <c r="CM41" i="21"/>
  <c r="CN41" i="21"/>
  <c r="CM91" i="21"/>
  <c r="CN91" i="21"/>
  <c r="CL91" i="21"/>
  <c r="CM45" i="21"/>
  <c r="CN45" i="21"/>
  <c r="CL45" i="21"/>
  <c r="CM24" i="21"/>
  <c r="CL24" i="21"/>
  <c r="CM76" i="21"/>
  <c r="CL76" i="21"/>
  <c r="CN76" i="21"/>
  <c r="CL31" i="21"/>
  <c r="CM31" i="21"/>
  <c r="CM101" i="21"/>
  <c r="CN101" i="21"/>
  <c r="CL101" i="21"/>
  <c r="CJ50" i="19"/>
  <c r="CK50" i="19"/>
  <c r="CJ41" i="19"/>
  <c r="CK41" i="19"/>
  <c r="CN39" i="19"/>
  <c r="CL39" i="19"/>
  <c r="CM39" i="19"/>
  <c r="AH51" i="22"/>
  <c r="AH80" i="22"/>
  <c r="CN72" i="19"/>
  <c r="AH111" i="22"/>
  <c r="CJ109" i="19"/>
  <c r="CK109" i="19"/>
  <c r="CN109" i="19"/>
  <c r="CM109" i="19"/>
  <c r="CL109" i="19"/>
  <c r="AH36" i="22"/>
  <c r="CM53" i="19"/>
  <c r="AA91" i="22"/>
  <c r="CN57" i="19"/>
  <c r="CL57" i="19"/>
  <c r="CM57" i="19"/>
  <c r="AH28" i="22"/>
  <c r="AH73" i="22"/>
  <c r="CM77" i="19"/>
  <c r="CK56" i="21"/>
  <c r="CJ56" i="21"/>
  <c r="AA35" i="22"/>
  <c r="CJ21" i="19"/>
  <c r="CL59" i="19"/>
  <c r="CN82" i="19"/>
  <c r="CN58" i="19"/>
  <c r="AH105" i="22"/>
  <c r="AH29" i="22"/>
  <c r="CN109" i="21"/>
  <c r="CM109" i="21"/>
  <c r="CL109" i="21"/>
  <c r="CM107" i="19"/>
  <c r="CJ58" i="19"/>
  <c r="CK58" i="19"/>
  <c r="AC43" i="22"/>
  <c r="AJ28" i="22"/>
  <c r="AJ103" i="22"/>
  <c r="CK99" i="19"/>
  <c r="AA20" i="22"/>
  <c r="CM66" i="19"/>
  <c r="CN66" i="19"/>
  <c r="CL66" i="19"/>
  <c r="CL88" i="19"/>
  <c r="AH78" i="22"/>
  <c r="AH32" i="22"/>
  <c r="CJ100" i="21"/>
  <c r="CK100" i="21"/>
  <c r="AH48" i="8"/>
  <c r="AC107" i="22"/>
  <c r="AC83" i="22"/>
  <c r="AC64" i="22"/>
  <c r="AC43" i="8"/>
  <c r="AC21" i="8"/>
  <c r="AJ14" i="8"/>
  <c r="AA96" i="8"/>
  <c r="AA63" i="8"/>
  <c r="CK82" i="19"/>
  <c r="CJ82" i="19"/>
  <c r="CJ92" i="19"/>
  <c r="AA16" i="22"/>
  <c r="CJ63" i="19"/>
  <c r="CN80" i="19"/>
  <c r="CM34" i="19"/>
  <c r="CL97" i="19"/>
  <c r="CL67" i="19"/>
  <c r="CM108" i="21"/>
  <c r="AH65" i="8"/>
  <c r="AH85" i="8"/>
  <c r="AH111" i="8"/>
  <c r="AC23" i="22"/>
  <c r="AC92" i="22"/>
  <c r="AJ78" i="22"/>
  <c r="AJ78" i="8"/>
  <c r="AC47" i="8"/>
  <c r="CJ34" i="19"/>
  <c r="AA107" i="8"/>
  <c r="AA93" i="8"/>
  <c r="AA70" i="22"/>
  <c r="AA77" i="22"/>
  <c r="AA111" i="8"/>
  <c r="CL102" i="19"/>
  <c r="AC110" i="8"/>
  <c r="CB113" i="19"/>
  <c r="BZ114" i="19"/>
  <c r="AR112" i="8"/>
  <c r="AP113" i="8"/>
  <c r="BB114" i="19"/>
  <c r="BD113" i="19"/>
  <c r="CB112" i="8"/>
  <c r="BZ113" i="8"/>
  <c r="AR113" i="21"/>
  <c r="AP114" i="21"/>
  <c r="BT113" i="21"/>
  <c r="BR114" i="21"/>
  <c r="BV114" i="21"/>
  <c r="BX113" i="21"/>
  <c r="AV113" i="19"/>
  <c r="AT114" i="19"/>
  <c r="BN114" i="22"/>
  <c r="BP113" i="22"/>
  <c r="BD112" i="8"/>
  <c r="BB113" i="8"/>
  <c r="BP113" i="19"/>
  <c r="BN114" i="19"/>
  <c r="BH113" i="21"/>
  <c r="BF114" i="21"/>
  <c r="CF112" i="22"/>
  <c r="CD113" i="22"/>
  <c r="BX113" i="19"/>
  <c r="BV114" i="19"/>
  <c r="BH113" i="19"/>
  <c r="BF114" i="19"/>
  <c r="BL113" i="19"/>
  <c r="BJ114" i="19"/>
  <c r="AZ112" i="22"/>
  <c r="AX113" i="22"/>
  <c r="AV113" i="22"/>
  <c r="AT114" i="22"/>
  <c r="BH112" i="8"/>
  <c r="BF113" i="8"/>
  <c r="BP112" i="8"/>
  <c r="BN113" i="8"/>
  <c r="BT113" i="22"/>
  <c r="BR114" i="22"/>
  <c r="CF113" i="19"/>
  <c r="CD114" i="19"/>
  <c r="BL113" i="22"/>
  <c r="BJ114" i="22"/>
  <c r="CF113" i="21"/>
  <c r="CD114" i="21"/>
  <c r="BL112" i="8"/>
  <c r="BJ113" i="8"/>
  <c r="AN112" i="8"/>
  <c r="AM112" i="8"/>
  <c r="AK113" i="8"/>
  <c r="BX112" i="22"/>
  <c r="BV113" i="22"/>
  <c r="AZ113" i="19"/>
  <c r="AX114" i="19"/>
  <c r="BH112" i="22"/>
  <c r="BF113" i="22"/>
  <c r="CB113" i="22"/>
  <c r="BZ114" i="22"/>
  <c r="AR113" i="22"/>
  <c r="AP114" i="22"/>
  <c r="AZ113" i="21"/>
  <c r="AX114" i="21"/>
  <c r="BN114" i="21"/>
  <c r="BP113" i="21"/>
  <c r="BT113" i="19"/>
  <c r="BR114" i="19"/>
  <c r="BD113" i="22"/>
  <c r="BB114" i="22"/>
  <c r="AR113" i="19"/>
  <c r="AP114" i="19"/>
  <c r="AN113" i="19"/>
  <c r="AK114" i="19"/>
  <c r="AM113" i="19"/>
  <c r="BD113" i="21"/>
  <c r="BB114" i="21"/>
  <c r="BL113" i="21"/>
  <c r="BJ114" i="21"/>
  <c r="AV112" i="8"/>
  <c r="AT113" i="8"/>
  <c r="BX112" i="8"/>
  <c r="BV113" i="8"/>
  <c r="AZ112" i="8"/>
  <c r="AX113" i="8"/>
  <c r="CB113" i="21"/>
  <c r="BZ114" i="21"/>
  <c r="BT112" i="8"/>
  <c r="BR113" i="8"/>
  <c r="CF112" i="8"/>
  <c r="CD113" i="8"/>
  <c r="AV113" i="21"/>
  <c r="AT114" i="21"/>
  <c r="AM113" i="21"/>
  <c r="AN113" i="21"/>
  <c r="AK114" i="21"/>
  <c r="AN113" i="22"/>
  <c r="AM113" i="22"/>
  <c r="AK114" i="22"/>
  <c r="CV109" i="22" l="1"/>
  <c r="CV107" i="22"/>
  <c r="CV46" i="8"/>
  <c r="CV72" i="22"/>
  <c r="CV48" i="22"/>
  <c r="CV45" i="22"/>
  <c r="CU32" i="22"/>
  <c r="CV101" i="22"/>
  <c r="CV80" i="22"/>
  <c r="CV98" i="22"/>
  <c r="CS40" i="8"/>
  <c r="CU102" i="8"/>
  <c r="CS22" i="8"/>
  <c r="CR105" i="8"/>
  <c r="H13" i="19"/>
  <c r="I9" i="22"/>
  <c r="CU30" i="22"/>
  <c r="CU79" i="22"/>
  <c r="CT30" i="22"/>
  <c r="CU27" i="22"/>
  <c r="CT27" i="22"/>
  <c r="CU21" i="22"/>
  <c r="CT33" i="22"/>
  <c r="CT17" i="22"/>
  <c r="CT23" i="22"/>
  <c r="CU33" i="22"/>
  <c r="CT19" i="22"/>
  <c r="CT32" i="22"/>
  <c r="CU19" i="22"/>
  <c r="CT21" i="22"/>
  <c r="CU31" i="22"/>
  <c r="CT31" i="22"/>
  <c r="CU18" i="22"/>
  <c r="CT18" i="22"/>
  <c r="CV51" i="22"/>
  <c r="CU14" i="22"/>
  <c r="CS97" i="22"/>
  <c r="CT14" i="22"/>
  <c r="CU17" i="22"/>
  <c r="CU23" i="22"/>
  <c r="CT51" i="22"/>
  <c r="CU51" i="22"/>
  <c r="CT101" i="22"/>
  <c r="CU100" i="22"/>
  <c r="CT67" i="22"/>
  <c r="CU64" i="22"/>
  <c r="CU52" i="22"/>
  <c r="CT102" i="22"/>
  <c r="CT62" i="22"/>
  <c r="CU101" i="22"/>
  <c r="CU67" i="22"/>
  <c r="CT64" i="22"/>
  <c r="CT52" i="22"/>
  <c r="CU102" i="22"/>
  <c r="CU111" i="22"/>
  <c r="CU62" i="22"/>
  <c r="CU38" i="22"/>
  <c r="CT47" i="22"/>
  <c r="CT111" i="22"/>
  <c r="CT98" i="22"/>
  <c r="CT107" i="22"/>
  <c r="CT45" i="22"/>
  <c r="CU97" i="22"/>
  <c r="CT93" i="22"/>
  <c r="CT84" i="22"/>
  <c r="CT66" i="22"/>
  <c r="CT80" i="22"/>
  <c r="CU98" i="22"/>
  <c r="CU109" i="22"/>
  <c r="CU107" i="22"/>
  <c r="CU45" i="22"/>
  <c r="CU40" i="22"/>
  <c r="CT97" i="22"/>
  <c r="CU93" i="22"/>
  <c r="CT105" i="22"/>
  <c r="CU84" i="22"/>
  <c r="CU80" i="22"/>
  <c r="CT109" i="22"/>
  <c r="CT81" i="22"/>
  <c r="CT40" i="22"/>
  <c r="CT90" i="22"/>
  <c r="CU105" i="22"/>
  <c r="CT60" i="22"/>
  <c r="CT59" i="22"/>
  <c r="CT48" i="22"/>
  <c r="CU81" i="22"/>
  <c r="CU92" i="22"/>
  <c r="CU37" i="22"/>
  <c r="CU90" i="22"/>
  <c r="CT79" i="22"/>
  <c r="CU48" i="22"/>
  <c r="CT100" i="22"/>
  <c r="CT92" i="22"/>
  <c r="CT87" i="22"/>
  <c r="CU47" i="22"/>
  <c r="CT73" i="22"/>
  <c r="CU104" i="22"/>
  <c r="CU60" i="22"/>
  <c r="CT37" i="22"/>
  <c r="CU72" i="22"/>
  <c r="CT38" i="22"/>
  <c r="CT72" i="22"/>
  <c r="H20" i="21"/>
  <c r="CT104" i="22"/>
  <c r="H30" i="21"/>
  <c r="H33" i="21" s="1"/>
  <c r="CU73" i="22"/>
  <c r="CU59" i="22"/>
  <c r="K30" i="21"/>
  <c r="K33" i="21" s="1"/>
  <c r="CV38" i="22"/>
  <c r="CR67" i="8"/>
  <c r="K20" i="19"/>
  <c r="K23" i="19" s="1"/>
  <c r="CR66" i="8"/>
  <c r="CR98" i="8"/>
  <c r="CR50" i="8"/>
  <c r="CS47" i="8"/>
  <c r="CR38" i="8"/>
  <c r="CR83" i="8"/>
  <c r="CS51" i="8"/>
  <c r="CS106" i="8"/>
  <c r="CR27" i="8"/>
  <c r="CR21" i="8"/>
  <c r="CR96" i="8"/>
  <c r="CS28" i="8"/>
  <c r="CS54" i="8"/>
  <c r="CS70" i="8"/>
  <c r="CR88" i="8"/>
  <c r="CS43" i="8"/>
  <c r="CS36" i="8"/>
  <c r="CR84" i="8"/>
  <c r="CR104" i="8"/>
  <c r="CS13" i="8"/>
  <c r="CR49" i="8"/>
  <c r="CT99" i="8"/>
  <c r="CS88" i="8"/>
  <c r="CU14" i="8"/>
  <c r="CR51" i="8"/>
  <c r="CR106" i="8"/>
  <c r="CT36" i="8"/>
  <c r="CV102" i="8"/>
  <c r="CS27" i="8"/>
  <c r="CS41" i="8"/>
  <c r="CS57" i="8"/>
  <c r="CS105" i="8"/>
  <c r="CR22" i="8"/>
  <c r="CR54" i="8"/>
  <c r="CR60" i="8"/>
  <c r="CR70" i="8"/>
  <c r="CS80" i="8"/>
  <c r="CR56" i="8"/>
  <c r="CS96" i="8"/>
  <c r="CR36" i="8"/>
  <c r="CS77" i="8"/>
  <c r="CS66" i="8"/>
  <c r="CS98" i="8"/>
  <c r="CS16" i="8"/>
  <c r="CS37" i="8"/>
  <c r="CS101" i="8"/>
  <c r="CR13" i="8"/>
  <c r="CS58" i="8"/>
  <c r="CS49" i="8"/>
  <c r="CR59" i="8"/>
  <c r="CU69" i="8"/>
  <c r="CR78" i="8"/>
  <c r="CT14" i="8"/>
  <c r="CS68" i="8"/>
  <c r="CV76" i="8"/>
  <c r="CR55" i="8"/>
  <c r="CV36" i="8"/>
  <c r="CR73" i="8"/>
  <c r="CR41" i="8"/>
  <c r="CR57" i="8"/>
  <c r="CS83" i="8"/>
  <c r="CS79" i="8"/>
  <c r="CR94" i="8"/>
  <c r="CS26" i="8"/>
  <c r="CR30" i="8"/>
  <c r="CS60" i="8"/>
  <c r="CR80" i="8"/>
  <c r="CS56" i="8"/>
  <c r="CR103" i="8"/>
  <c r="CR90" i="8"/>
  <c r="CR77" i="8"/>
  <c r="CS12" i="8"/>
  <c r="CS35" i="8"/>
  <c r="CR29" i="8"/>
  <c r="CR71" i="8"/>
  <c r="CR16" i="8"/>
  <c r="CR37" i="8"/>
  <c r="CR101" i="8"/>
  <c r="CR44" i="8"/>
  <c r="CR58" i="8"/>
  <c r="CS59" i="8"/>
  <c r="CV69" i="8"/>
  <c r="CS78" i="8"/>
  <c r="CV26" i="8"/>
  <c r="CR68" i="8"/>
  <c r="CV51" i="8"/>
  <c r="CU76" i="8"/>
  <c r="CS55" i="8"/>
  <c r="CS73" i="8"/>
  <c r="CV42" i="8"/>
  <c r="CR74" i="8"/>
  <c r="CR76" i="8"/>
  <c r="CR79" i="8"/>
  <c r="CS94" i="8"/>
  <c r="CS17" i="8"/>
  <c r="CR26" i="8"/>
  <c r="CS30" i="8"/>
  <c r="CR45" i="8"/>
  <c r="CS103" i="8"/>
  <c r="CS90" i="8"/>
  <c r="CS50" i="8"/>
  <c r="CR12" i="8"/>
  <c r="CR35" i="8"/>
  <c r="CS29" i="8"/>
  <c r="CS71" i="8"/>
  <c r="CS46" i="8"/>
  <c r="CS24" i="8"/>
  <c r="CS20" i="8"/>
  <c r="CS44" i="8"/>
  <c r="CR97" i="8"/>
  <c r="CT69" i="8"/>
  <c r="CR47" i="8"/>
  <c r="CT26" i="8"/>
  <c r="CU51" i="8"/>
  <c r="CU99" i="8"/>
  <c r="CR110" i="8"/>
  <c r="CS42" i="8"/>
  <c r="CS74" i="8"/>
  <c r="CS76" i="8"/>
  <c r="CR53" i="8"/>
  <c r="CS107" i="8"/>
  <c r="CS14" i="8"/>
  <c r="CS92" i="8"/>
  <c r="CR17" i="8"/>
  <c r="CS63" i="8"/>
  <c r="CS52" i="8"/>
  <c r="CS15" i="8"/>
  <c r="CS38" i="8"/>
  <c r="CR89" i="8"/>
  <c r="CS45" i="8"/>
  <c r="CS75" i="8"/>
  <c r="CR46" i="8"/>
  <c r="CR24" i="8"/>
  <c r="CR20" i="8"/>
  <c r="CS97" i="8"/>
  <c r="CU26" i="8"/>
  <c r="CT51" i="8"/>
  <c r="CS110" i="8"/>
  <c r="CS23" i="8"/>
  <c r="CR42" i="8"/>
  <c r="CS108" i="8"/>
  <c r="CS53" i="8"/>
  <c r="CR107" i="8"/>
  <c r="CR14" i="8"/>
  <c r="CR92" i="8"/>
  <c r="CS34" i="8"/>
  <c r="CR63" i="8"/>
  <c r="CR52" i="8"/>
  <c r="CR15" i="8"/>
  <c r="CS89" i="8"/>
  <c r="CR64" i="8"/>
  <c r="CR75" i="8"/>
  <c r="CS62" i="8"/>
  <c r="CV99" i="8"/>
  <c r="CR23" i="8"/>
  <c r="CU47" i="8"/>
  <c r="CR108" i="8"/>
  <c r="CR86" i="8"/>
  <c r="CR81" i="8"/>
  <c r="CR82" i="8"/>
  <c r="CR34" i="8"/>
  <c r="CR32" i="8"/>
  <c r="CS19" i="8"/>
  <c r="CS39" i="8"/>
  <c r="CS64" i="8"/>
  <c r="CR31" i="8"/>
  <c r="CR62" i="8"/>
  <c r="CS86" i="8"/>
  <c r="CS81" i="8"/>
  <c r="I11" i="8"/>
  <c r="K20" i="8" s="1"/>
  <c r="K23" i="8" s="1"/>
  <c r="CS82" i="8"/>
  <c r="CS32" i="8"/>
  <c r="CR28" i="8"/>
  <c r="CR19" i="8"/>
  <c r="CS21" i="8"/>
  <c r="CR39" i="8"/>
  <c r="CS67" i="8"/>
  <c r="CS84" i="8"/>
  <c r="CR43" i="8"/>
  <c r="CS104" i="8"/>
  <c r="CR40" i="8"/>
  <c r="CS31" i="8"/>
  <c r="CT96" i="22"/>
  <c r="CU96" i="22"/>
  <c r="CU66" i="22"/>
  <c r="CT86" i="22"/>
  <c r="CU57" i="22"/>
  <c r="CU86" i="22"/>
  <c r="CT57" i="22"/>
  <c r="CT15" i="22"/>
  <c r="CU15" i="22"/>
  <c r="CT110" i="22"/>
  <c r="CU44" i="22"/>
  <c r="CU87" i="22"/>
  <c r="CU110" i="22"/>
  <c r="CT44" i="22"/>
  <c r="CT76" i="8"/>
  <c r="CU37" i="8"/>
  <c r="CV80" i="8"/>
  <c r="CT57" i="8"/>
  <c r="K30" i="19"/>
  <c r="K33" i="19" s="1"/>
  <c r="CR77" i="22"/>
  <c r="CV33" i="8"/>
  <c r="CS77" i="22"/>
  <c r="CT65" i="22"/>
  <c r="CU65" i="22"/>
  <c r="CV65" i="22"/>
  <c r="CS91" i="22"/>
  <c r="CR91" i="22"/>
  <c r="CR70" i="22"/>
  <c r="CS70" i="22"/>
  <c r="CU63" i="22"/>
  <c r="CT63" i="22"/>
  <c r="CV63" i="22"/>
  <c r="CT35" i="8"/>
  <c r="CU85" i="8"/>
  <c r="CT48" i="8"/>
  <c r="CT64" i="8"/>
  <c r="CR100" i="22"/>
  <c r="CS100" i="22"/>
  <c r="CS102" i="22"/>
  <c r="CV58" i="8"/>
  <c r="CS102" i="8"/>
  <c r="CR102" i="8"/>
  <c r="CV85" i="22"/>
  <c r="CU85" i="22"/>
  <c r="CT85" i="22"/>
  <c r="CV61" i="8"/>
  <c r="CU18" i="8"/>
  <c r="CS23" i="22"/>
  <c r="CR23" i="22"/>
  <c r="CU95" i="8"/>
  <c r="CV103" i="8"/>
  <c r="CV109" i="8"/>
  <c r="CV112" i="22"/>
  <c r="CU124" i="22"/>
  <c r="CU116" i="22"/>
  <c r="CU118" i="22"/>
  <c r="CT122" i="22"/>
  <c r="CU117" i="22"/>
  <c r="CU122" i="22"/>
  <c r="CU114" i="22"/>
  <c r="CT112" i="22"/>
  <c r="CT113" i="22"/>
  <c r="CU121" i="22"/>
  <c r="CT115" i="22"/>
  <c r="CT119" i="22"/>
  <c r="CT118" i="22"/>
  <c r="J9" i="22"/>
  <c r="CU123" i="22"/>
  <c r="CU113" i="22"/>
  <c r="CU120" i="22"/>
  <c r="CT117" i="22"/>
  <c r="CT120" i="22"/>
  <c r="CT121" i="22"/>
  <c r="CT124" i="22"/>
  <c r="CT123" i="22"/>
  <c r="CT114" i="22"/>
  <c r="CU112" i="22"/>
  <c r="CT116" i="22"/>
  <c r="CU115" i="22"/>
  <c r="CU119" i="22"/>
  <c r="CU29" i="8"/>
  <c r="CR103" i="22"/>
  <c r="CS103" i="22"/>
  <c r="CR22" i="22"/>
  <c r="CS22" i="22"/>
  <c r="CV87" i="8"/>
  <c r="CV84" i="8"/>
  <c r="CS92" i="22"/>
  <c r="CT19" i="8"/>
  <c r="CU19" i="8"/>
  <c r="CU61" i="22"/>
  <c r="CT61" i="22"/>
  <c r="CV61" i="22"/>
  <c r="CS106" i="22"/>
  <c r="CR106" i="22"/>
  <c r="CU38" i="8"/>
  <c r="CU70" i="8"/>
  <c r="CV104" i="8"/>
  <c r="CV31" i="22"/>
  <c r="CV15" i="22"/>
  <c r="CV83" i="8"/>
  <c r="CV49" i="8"/>
  <c r="CS87" i="8"/>
  <c r="CR87" i="8"/>
  <c r="CV59" i="8"/>
  <c r="CU92" i="8"/>
  <c r="CS75" i="22"/>
  <c r="CR75" i="22"/>
  <c r="CT105" i="8"/>
  <c r="CT17" i="8"/>
  <c r="CU75" i="22"/>
  <c r="CT75" i="22"/>
  <c r="CV75" i="22"/>
  <c r="CT65" i="8"/>
  <c r="CV94" i="8"/>
  <c r="CV66" i="22"/>
  <c r="CV31" i="8"/>
  <c r="CR13" i="22"/>
  <c r="CS13" i="22"/>
  <c r="CR96" i="22"/>
  <c r="CS96" i="22"/>
  <c r="CR90" i="22"/>
  <c r="CS90" i="22"/>
  <c r="CU56" i="8"/>
  <c r="CV87" i="22"/>
  <c r="CS85" i="8"/>
  <c r="CR85" i="8"/>
  <c r="CS105" i="22"/>
  <c r="CR105" i="22"/>
  <c r="CS65" i="8"/>
  <c r="CR65" i="8"/>
  <c r="CR87" i="22"/>
  <c r="CS87" i="22"/>
  <c r="CS49" i="22"/>
  <c r="CR49" i="22"/>
  <c r="CS66" i="22"/>
  <c r="CR66" i="22"/>
  <c r="CT33" i="8"/>
  <c r="CS20" i="22"/>
  <c r="CR20" i="22"/>
  <c r="CU99" i="22"/>
  <c r="CT99" i="22"/>
  <c r="CV99" i="22"/>
  <c r="CV35" i="8"/>
  <c r="CV85" i="8"/>
  <c r="CU48" i="8"/>
  <c r="CV64" i="8"/>
  <c r="K21" i="21"/>
  <c r="L21" i="21" s="1"/>
  <c r="H21" i="21"/>
  <c r="H23" i="21" s="1"/>
  <c r="H12" i="21"/>
  <c r="K31" i="21"/>
  <c r="H31" i="21"/>
  <c r="CR102" i="22"/>
  <c r="CT58" i="8"/>
  <c r="CU34" i="22"/>
  <c r="CT34" i="22"/>
  <c r="CV34" i="22"/>
  <c r="CS33" i="8"/>
  <c r="CR33" i="8"/>
  <c r="CR37" i="22"/>
  <c r="CS37" i="22"/>
  <c r="CT18" i="8"/>
  <c r="CT40" i="8"/>
  <c r="CS63" i="22"/>
  <c r="CR63" i="22"/>
  <c r="CU103" i="8"/>
  <c r="CS45" i="22"/>
  <c r="CR45" i="22"/>
  <c r="CV67" i="22"/>
  <c r="CS38" i="22"/>
  <c r="CV77" i="8"/>
  <c r="CV59" i="22"/>
  <c r="CV29" i="8"/>
  <c r="CR33" i="22"/>
  <c r="CS33" i="22"/>
  <c r="CR110" i="22"/>
  <c r="CS110" i="22"/>
  <c r="CV104" i="22"/>
  <c r="CT87" i="8"/>
  <c r="CT84" i="8"/>
  <c r="CR92" i="22"/>
  <c r="CT54" i="22"/>
  <c r="CU54" i="22"/>
  <c r="CV54" i="22"/>
  <c r="CR72" i="22"/>
  <c r="CS72" i="22"/>
  <c r="CV38" i="8"/>
  <c r="CV70" i="8"/>
  <c r="CT104" i="8"/>
  <c r="CS30" i="22"/>
  <c r="CR30" i="22"/>
  <c r="CV28" i="22"/>
  <c r="CV17" i="22"/>
  <c r="CV13" i="22"/>
  <c r="CU83" i="8"/>
  <c r="CU50" i="22"/>
  <c r="CT50" i="22"/>
  <c r="CV50" i="22"/>
  <c r="CS18" i="8"/>
  <c r="CR18" i="8"/>
  <c r="CU59" i="8"/>
  <c r="CR62" i="22"/>
  <c r="CS62" i="22"/>
  <c r="CT53" i="22"/>
  <c r="CV53" i="22"/>
  <c r="CU53" i="22"/>
  <c r="CT94" i="8"/>
  <c r="CT78" i="8"/>
  <c r="CR81" i="22"/>
  <c r="CS81" i="22"/>
  <c r="CR24" i="22"/>
  <c r="CS24" i="22"/>
  <c r="CT56" i="8"/>
  <c r="CS73" i="22"/>
  <c r="CR73" i="22"/>
  <c r="CS31" i="22"/>
  <c r="CR31" i="22"/>
  <c r="CU106" i="8"/>
  <c r="CT106" i="8"/>
  <c r="CV112" i="8"/>
  <c r="CU121" i="8"/>
  <c r="CU120" i="8"/>
  <c r="CT117" i="8"/>
  <c r="J9" i="8"/>
  <c r="CU114" i="8"/>
  <c r="CT113" i="8"/>
  <c r="CT115" i="8"/>
  <c r="CT112" i="8"/>
  <c r="CU118" i="8"/>
  <c r="CT114" i="8"/>
  <c r="CT124" i="8"/>
  <c r="CU124" i="8"/>
  <c r="CU119" i="8"/>
  <c r="CT119" i="8"/>
  <c r="CT122" i="8"/>
  <c r="CT121" i="8"/>
  <c r="CU123" i="8"/>
  <c r="CU122" i="8"/>
  <c r="CT118" i="8"/>
  <c r="CU113" i="8"/>
  <c r="CT123" i="8"/>
  <c r="CT116" i="8"/>
  <c r="CU117" i="8"/>
  <c r="CU116" i="8"/>
  <c r="CU112" i="8"/>
  <c r="CU115" i="8"/>
  <c r="CT120" i="8"/>
  <c r="CT37" i="8"/>
  <c r="CR109" i="22"/>
  <c r="CS109" i="22"/>
  <c r="CS40" i="22"/>
  <c r="CR40" i="22"/>
  <c r="CS55" i="22"/>
  <c r="CR55" i="22"/>
  <c r="CT28" i="22"/>
  <c r="CU28" i="22"/>
  <c r="CU35" i="8"/>
  <c r="CT85" i="8"/>
  <c r="CR54" i="22"/>
  <c r="CS54" i="22"/>
  <c r="CV48" i="8"/>
  <c r="CV43" i="8"/>
  <c r="CU58" i="8"/>
  <c r="CS104" i="22"/>
  <c r="CR104" i="22"/>
  <c r="CT95" i="22"/>
  <c r="CU95" i="22"/>
  <c r="CV95" i="22"/>
  <c r="CV40" i="8"/>
  <c r="CR18" i="22"/>
  <c r="CS18" i="22"/>
  <c r="CT34" i="8"/>
  <c r="CS17" i="22"/>
  <c r="CR17" i="22"/>
  <c r="CR38" i="22"/>
  <c r="CU77" i="8"/>
  <c r="CU89" i="8"/>
  <c r="CU55" i="8"/>
  <c r="CU84" i="8"/>
  <c r="CR109" i="8"/>
  <c r="CS109" i="8"/>
  <c r="CR83" i="22"/>
  <c r="CS83" i="22"/>
  <c r="CV90" i="8"/>
  <c r="CT38" i="8"/>
  <c r="CT100" i="8"/>
  <c r="CR44" i="22"/>
  <c r="CS44" i="22"/>
  <c r="CV90" i="22"/>
  <c r="CS64" i="22"/>
  <c r="CR64" i="22"/>
  <c r="CV16" i="22"/>
  <c r="CV23" i="22"/>
  <c r="CV12" i="22"/>
  <c r="CT83" i="8"/>
  <c r="CT42" i="22"/>
  <c r="CU42" i="22"/>
  <c r="CV42" i="22"/>
  <c r="CT59" i="8"/>
  <c r="CU42" i="8"/>
  <c r="CR74" i="22"/>
  <c r="CS74" i="22"/>
  <c r="CR99" i="22"/>
  <c r="CS99" i="22"/>
  <c r="CV60" i="22"/>
  <c r="CV74" i="8"/>
  <c r="CU74" i="8"/>
  <c r="CT74" i="8"/>
  <c r="CT82" i="22"/>
  <c r="CV82" i="22"/>
  <c r="CU82" i="22"/>
  <c r="CR89" i="22"/>
  <c r="CS89" i="22"/>
  <c r="CV78" i="8"/>
  <c r="CS14" i="22"/>
  <c r="CR14" i="22"/>
  <c r="CS47" i="22"/>
  <c r="CR47" i="22"/>
  <c r="CR82" i="22"/>
  <c r="CR28" i="22"/>
  <c r="CS28" i="22"/>
  <c r="CT102" i="8"/>
  <c r="CU12" i="22"/>
  <c r="CT12" i="22"/>
  <c r="H9" i="22"/>
  <c r="CR71" i="22"/>
  <c r="CS71" i="22"/>
  <c r="CT43" i="22"/>
  <c r="CU43" i="22"/>
  <c r="CV43" i="22"/>
  <c r="CV37" i="8"/>
  <c r="CT41" i="8"/>
  <c r="CU41" i="8"/>
  <c r="CV41" i="8"/>
  <c r="CR100" i="8"/>
  <c r="CS100" i="8"/>
  <c r="CU30" i="8"/>
  <c r="CT30" i="8"/>
  <c r="CV30" i="8"/>
  <c r="CR86" i="22"/>
  <c r="CS86" i="22"/>
  <c r="CT20" i="8"/>
  <c r="CU43" i="8"/>
  <c r="CV91" i="8"/>
  <c r="CV60" i="8"/>
  <c r="CT60" i="8"/>
  <c r="CU60" i="8"/>
  <c r="CT67" i="8"/>
  <c r="CV49" i="22"/>
  <c r="CU49" i="22"/>
  <c r="CT49" i="22"/>
  <c r="CV81" i="22"/>
  <c r="CU40" i="8"/>
  <c r="CV73" i="22"/>
  <c r="CU34" i="8"/>
  <c r="CT89" i="22"/>
  <c r="CV89" i="22"/>
  <c r="CU89" i="22"/>
  <c r="CT77" i="8"/>
  <c r="CS57" i="22"/>
  <c r="CR57" i="22"/>
  <c r="CV89" i="8"/>
  <c r="CV47" i="22"/>
  <c r="CV55" i="8"/>
  <c r="CU12" i="8"/>
  <c r="CT12" i="8"/>
  <c r="H9" i="8"/>
  <c r="CT90" i="8"/>
  <c r="CV100" i="8"/>
  <c r="CS79" i="22"/>
  <c r="CR79" i="22"/>
  <c r="CV20" i="22"/>
  <c r="CV19" i="22"/>
  <c r="CS15" i="22"/>
  <c r="CR15" i="22"/>
  <c r="CR19" i="22"/>
  <c r="CS19" i="22"/>
  <c r="CU78" i="22"/>
  <c r="CT78" i="22"/>
  <c r="CV78" i="22"/>
  <c r="CT42" i="8"/>
  <c r="CU73" i="8"/>
  <c r="CV73" i="8"/>
  <c r="CT73" i="8"/>
  <c r="CV39" i="8"/>
  <c r="CS41" i="22"/>
  <c r="CR41" i="22"/>
  <c r="CT13" i="22"/>
  <c r="CU13" i="22"/>
  <c r="CV96" i="22"/>
  <c r="CU78" i="8"/>
  <c r="CV44" i="22"/>
  <c r="CR48" i="22"/>
  <c r="CS48" i="22"/>
  <c r="CS108" i="22"/>
  <c r="CR108" i="22"/>
  <c r="CS82" i="22"/>
  <c r="CR36" i="22"/>
  <c r="CS36" i="22"/>
  <c r="CR48" i="8"/>
  <c r="CS48" i="8"/>
  <c r="CU94" i="22"/>
  <c r="CT94" i="22"/>
  <c r="CV94" i="22"/>
  <c r="CR16" i="22"/>
  <c r="CS16" i="22"/>
  <c r="CT54" i="8"/>
  <c r="CU68" i="8"/>
  <c r="CU66" i="8"/>
  <c r="CT71" i="8"/>
  <c r="CV110" i="8"/>
  <c r="CT110" i="8"/>
  <c r="CU110" i="8"/>
  <c r="CS95" i="8"/>
  <c r="CR95" i="8"/>
  <c r="CS93" i="8"/>
  <c r="CR93" i="8"/>
  <c r="CU74" i="22"/>
  <c r="CV74" i="22"/>
  <c r="CT74" i="22"/>
  <c r="CU88" i="22"/>
  <c r="CT88" i="22"/>
  <c r="CV88" i="22"/>
  <c r="CU20" i="8"/>
  <c r="CV23" i="8"/>
  <c r="CT43" i="8"/>
  <c r="CS68" i="22"/>
  <c r="CR68" i="22"/>
  <c r="CU91" i="8"/>
  <c r="CU67" i="8"/>
  <c r="CT24" i="22"/>
  <c r="CU24" i="22"/>
  <c r="CT62" i="8"/>
  <c r="CV34" i="8"/>
  <c r="CT27" i="8"/>
  <c r="CV92" i="22"/>
  <c r="CU22" i="22"/>
  <c r="CT22" i="22"/>
  <c r="CV33" i="22"/>
  <c r="CT89" i="8"/>
  <c r="CT13" i="8"/>
  <c r="CT55" i="8"/>
  <c r="CR25" i="22"/>
  <c r="CS25" i="22"/>
  <c r="CV97" i="22"/>
  <c r="CS113" i="8"/>
  <c r="CR123" i="8"/>
  <c r="CS118" i="8"/>
  <c r="CR118" i="8"/>
  <c r="CR115" i="8"/>
  <c r="CR124" i="8"/>
  <c r="CR117" i="8"/>
  <c r="CS123" i="8"/>
  <c r="J11" i="8"/>
  <c r="CR116" i="8"/>
  <c r="CS124" i="8"/>
  <c r="CS114" i="8"/>
  <c r="CR120" i="8"/>
  <c r="CR122" i="8"/>
  <c r="CS117" i="8"/>
  <c r="CS119" i="8"/>
  <c r="CS121" i="8"/>
  <c r="CS122" i="8"/>
  <c r="CS120" i="8"/>
  <c r="CR113" i="8"/>
  <c r="CR112" i="8"/>
  <c r="CS116" i="8"/>
  <c r="CS115" i="8"/>
  <c r="CR121" i="8"/>
  <c r="CR114" i="8"/>
  <c r="CS112" i="8"/>
  <c r="CR119" i="8"/>
  <c r="CU90" i="8"/>
  <c r="CU100" i="8"/>
  <c r="CT24" i="8"/>
  <c r="CV52" i="8"/>
  <c r="CV22" i="22"/>
  <c r="CV32" i="22"/>
  <c r="CU21" i="8"/>
  <c r="CV62" i="22"/>
  <c r="CT101" i="8"/>
  <c r="CT39" i="8"/>
  <c r="CS58" i="22"/>
  <c r="CR58" i="22"/>
  <c r="CR67" i="22"/>
  <c r="CS67" i="22"/>
  <c r="CV86" i="22"/>
  <c r="CS42" i="22"/>
  <c r="CV106" i="8"/>
  <c r="CT107" i="8"/>
  <c r="CV107" i="8"/>
  <c r="CU107" i="8"/>
  <c r="CV96" i="8"/>
  <c r="CU96" i="8"/>
  <c r="CT96" i="8"/>
  <c r="CT20" i="22"/>
  <c r="CU20" i="22"/>
  <c r="CR80" i="22"/>
  <c r="CS80" i="22"/>
  <c r="CV12" i="8"/>
  <c r="I9" i="8"/>
  <c r="CV13" i="8"/>
  <c r="CV22" i="8"/>
  <c r="CV20" i="8"/>
  <c r="CV14" i="8"/>
  <c r="CV21" i="8"/>
  <c r="CV15" i="8"/>
  <c r="CV18" i="8"/>
  <c r="CV16" i="8"/>
  <c r="CV19" i="8"/>
  <c r="CU22" i="8"/>
  <c r="CT22" i="8"/>
  <c r="CV17" i="8"/>
  <c r="CR99" i="8"/>
  <c r="CS99" i="8"/>
  <c r="CT97" i="8"/>
  <c r="CV97" i="8"/>
  <c r="CU97" i="8"/>
  <c r="CT98" i="8"/>
  <c r="CU54" i="8"/>
  <c r="CT25" i="22"/>
  <c r="CU25" i="22"/>
  <c r="CT68" i="8"/>
  <c r="CT66" i="8"/>
  <c r="CV71" i="8"/>
  <c r="CS25" i="8"/>
  <c r="CR25" i="8"/>
  <c r="CU79" i="8"/>
  <c r="CR76" i="22"/>
  <c r="CS76" i="22"/>
  <c r="CT86" i="8"/>
  <c r="CS85" i="22"/>
  <c r="CR85" i="22"/>
  <c r="CU23" i="8"/>
  <c r="CT88" i="8"/>
  <c r="CT91" i="8"/>
  <c r="CR12" i="22"/>
  <c r="CT53" i="8"/>
  <c r="CU53" i="8"/>
  <c r="CV53" i="8"/>
  <c r="CV67" i="8"/>
  <c r="CT81" i="8"/>
  <c r="CU62" i="8"/>
  <c r="CV28" i="8"/>
  <c r="CU27" i="8"/>
  <c r="CV58" i="22"/>
  <c r="CT58" i="22"/>
  <c r="CU58" i="22"/>
  <c r="CU13" i="8"/>
  <c r="CV102" i="22"/>
  <c r="CU72" i="8"/>
  <c r="CR56" i="22"/>
  <c r="CS56" i="22"/>
  <c r="H13" i="21"/>
  <c r="CU26" i="22"/>
  <c r="CT26" i="22"/>
  <c r="CV25" i="8"/>
  <c r="CT46" i="22"/>
  <c r="CV46" i="22"/>
  <c r="CU46" i="22"/>
  <c r="CU24" i="8"/>
  <c r="CV111" i="22"/>
  <c r="CT52" i="8"/>
  <c r="H12" i="19"/>
  <c r="K21" i="19"/>
  <c r="K31" i="19"/>
  <c r="H21" i="19"/>
  <c r="H31" i="19"/>
  <c r="CV18" i="22"/>
  <c r="CV27" i="22"/>
  <c r="CV25" i="22"/>
  <c r="CU29" i="22"/>
  <c r="CT29" i="22"/>
  <c r="CT21" i="8"/>
  <c r="CR65" i="22"/>
  <c r="CS65" i="22"/>
  <c r="CT75" i="8"/>
  <c r="CV101" i="8"/>
  <c r="CV79" i="22"/>
  <c r="CU39" i="8"/>
  <c r="CV47" i="8"/>
  <c r="CR93" i="22"/>
  <c r="CS93" i="22"/>
  <c r="CV110" i="22"/>
  <c r="CV57" i="22"/>
  <c r="CS107" i="22"/>
  <c r="CR107" i="22"/>
  <c r="CR88" i="22"/>
  <c r="CS88" i="22"/>
  <c r="CS118" i="22"/>
  <c r="CS123" i="22"/>
  <c r="CR124" i="22"/>
  <c r="CR119" i="22"/>
  <c r="CR123" i="22"/>
  <c r="CR112" i="22"/>
  <c r="CS115" i="22"/>
  <c r="CS119" i="22"/>
  <c r="CS116" i="22"/>
  <c r="CR116" i="22"/>
  <c r="CS113" i="22"/>
  <c r="CS121" i="22"/>
  <c r="CR121" i="22"/>
  <c r="CS120" i="22"/>
  <c r="CS124" i="22"/>
  <c r="CS117" i="22"/>
  <c r="CR120" i="22"/>
  <c r="CR122" i="22"/>
  <c r="CR118" i="22"/>
  <c r="CS122" i="22"/>
  <c r="J11" i="22"/>
  <c r="CR117" i="22"/>
  <c r="CR113" i="22"/>
  <c r="CS112" i="22"/>
  <c r="CR114" i="22"/>
  <c r="CR115" i="22"/>
  <c r="CS114" i="22"/>
  <c r="CR42" i="22"/>
  <c r="CT108" i="8"/>
  <c r="CT16" i="22"/>
  <c r="CU16" i="22"/>
  <c r="CV111" i="8"/>
  <c r="CU111" i="8"/>
  <c r="CT111" i="8"/>
  <c r="CU77" i="22"/>
  <c r="CT77" i="22"/>
  <c r="CV77" i="22"/>
  <c r="CU70" i="22"/>
  <c r="CT70" i="22"/>
  <c r="CV70" i="22"/>
  <c r="CR51" i="22"/>
  <c r="CS51" i="22"/>
  <c r="CR21" i="22"/>
  <c r="CS21" i="22"/>
  <c r="CU46" i="8"/>
  <c r="CV57" i="8"/>
  <c r="CT44" i="8"/>
  <c r="CV44" i="8"/>
  <c r="CU44" i="8"/>
  <c r="CR72" i="8"/>
  <c r="CS72" i="8"/>
  <c r="CU69" i="22"/>
  <c r="CT69" i="22"/>
  <c r="CV69" i="22"/>
  <c r="CV32" i="8"/>
  <c r="CT32" i="8"/>
  <c r="CU32" i="8"/>
  <c r="CV98" i="8"/>
  <c r="CV54" i="8"/>
  <c r="CU80" i="8"/>
  <c r="CS59" i="22"/>
  <c r="CR59" i="22"/>
  <c r="CV68" i="8"/>
  <c r="CV66" i="8"/>
  <c r="CU71" i="8"/>
  <c r="K23" i="21"/>
  <c r="L20" i="21"/>
  <c r="L23" i="21" s="1"/>
  <c r="CR101" i="22"/>
  <c r="CS101" i="22"/>
  <c r="CT79" i="8"/>
  <c r="CU86" i="8"/>
  <c r="CT23" i="8"/>
  <c r="CV88" i="8"/>
  <c r="CR53" i="22"/>
  <c r="CS12" i="22"/>
  <c r="CU61" i="8"/>
  <c r="CS98" i="22"/>
  <c r="CR98" i="22"/>
  <c r="CV81" i="8"/>
  <c r="CT95" i="8"/>
  <c r="CV100" i="22"/>
  <c r="CV62" i="8"/>
  <c r="CU28" i="8"/>
  <c r="CU109" i="8"/>
  <c r="CV27" i="8"/>
  <c r="CV64" i="22"/>
  <c r="CV108" i="22"/>
  <c r="CT108" i="22"/>
  <c r="CU108" i="22"/>
  <c r="CV52" i="22"/>
  <c r="CV72" i="8"/>
  <c r="CS26" i="22"/>
  <c r="CU25" i="8"/>
  <c r="CU36" i="22"/>
  <c r="CT36" i="22"/>
  <c r="CV36" i="22"/>
  <c r="CU39" i="22"/>
  <c r="CT39" i="22"/>
  <c r="CV39" i="22"/>
  <c r="CV24" i="8"/>
  <c r="CV93" i="22"/>
  <c r="CU52" i="8"/>
  <c r="CV14" i="22"/>
  <c r="CV26" i="22"/>
  <c r="CV29" i="22"/>
  <c r="CT15" i="8"/>
  <c r="CU49" i="8"/>
  <c r="H30" i="19"/>
  <c r="H33" i="19" s="1"/>
  <c r="CR60" i="22"/>
  <c r="CS60" i="22"/>
  <c r="CT76" i="22"/>
  <c r="CV76" i="22"/>
  <c r="CU76" i="22"/>
  <c r="CT92" i="8"/>
  <c r="CU75" i="8"/>
  <c r="CV105" i="8"/>
  <c r="CV84" i="22"/>
  <c r="CU101" i="8"/>
  <c r="CV65" i="8"/>
  <c r="CT47" i="8"/>
  <c r="CR34" i="22"/>
  <c r="CS34" i="22"/>
  <c r="CU31" i="8"/>
  <c r="CT16" i="8"/>
  <c r="CR27" i="22"/>
  <c r="CS27" i="22"/>
  <c r="CU108" i="8"/>
  <c r="CR78" i="22"/>
  <c r="CS78" i="22"/>
  <c r="CT63" i="8"/>
  <c r="CU63" i="8"/>
  <c r="CV63" i="8"/>
  <c r="CU35" i="22"/>
  <c r="CV35" i="22"/>
  <c r="CT35" i="22"/>
  <c r="CT93" i="8"/>
  <c r="CV93" i="8"/>
  <c r="CU93" i="8"/>
  <c r="CS111" i="8"/>
  <c r="CR111" i="8"/>
  <c r="CR32" i="22"/>
  <c r="CS32" i="22"/>
  <c r="I11" i="22"/>
  <c r="H20" i="22" s="1"/>
  <c r="H23" i="22" s="1"/>
  <c r="CS29" i="22"/>
  <c r="CR29" i="22"/>
  <c r="CU91" i="22"/>
  <c r="CT91" i="22"/>
  <c r="CV91" i="22"/>
  <c r="CS111" i="22"/>
  <c r="CR111" i="22"/>
  <c r="CU36" i="8"/>
  <c r="CT46" i="8"/>
  <c r="CU57" i="8"/>
  <c r="CS91" i="8"/>
  <c r="CR91" i="8"/>
  <c r="CU41" i="22"/>
  <c r="CT41" i="22"/>
  <c r="CV41" i="22"/>
  <c r="CR61" i="8"/>
  <c r="CS61" i="8"/>
  <c r="CU98" i="8"/>
  <c r="CT80" i="8"/>
  <c r="CU33" i="8"/>
  <c r="CR39" i="22"/>
  <c r="CS39" i="22"/>
  <c r="CV68" i="22"/>
  <c r="CT68" i="22"/>
  <c r="CU68" i="22"/>
  <c r="CS43" i="22"/>
  <c r="CR43" i="22"/>
  <c r="CV79" i="8"/>
  <c r="CV86" i="8"/>
  <c r="CT56" i="22"/>
  <c r="CU56" i="22"/>
  <c r="CV56" i="22"/>
  <c r="CU64" i="8"/>
  <c r="CR69" i="22"/>
  <c r="CS69" i="22"/>
  <c r="CU88" i="8"/>
  <c r="CS53" i="22"/>
  <c r="CT103" i="22"/>
  <c r="CV103" i="22"/>
  <c r="CU103" i="22"/>
  <c r="CT61" i="8"/>
  <c r="CU81" i="8"/>
  <c r="CS84" i="22"/>
  <c r="CR84" i="22"/>
  <c r="CV95" i="8"/>
  <c r="CT103" i="8"/>
  <c r="CS95" i="22"/>
  <c r="CR95" i="22"/>
  <c r="CV40" i="22"/>
  <c r="CT28" i="8"/>
  <c r="CT109" i="8"/>
  <c r="CU82" i="8"/>
  <c r="CV82" i="8"/>
  <c r="CT82" i="8"/>
  <c r="CT29" i="8"/>
  <c r="CT72" i="8"/>
  <c r="CU87" i="8"/>
  <c r="CR26" i="22"/>
  <c r="CS69" i="8"/>
  <c r="CR69" i="8"/>
  <c r="CT25" i="8"/>
  <c r="CT71" i="22"/>
  <c r="CU71" i="22"/>
  <c r="CV71" i="22"/>
  <c r="CS46" i="22"/>
  <c r="CR46" i="22"/>
  <c r="CT70" i="8"/>
  <c r="CV37" i="22"/>
  <c r="CS50" i="22"/>
  <c r="CR50" i="22"/>
  <c r="CU104" i="8"/>
  <c r="CV21" i="22"/>
  <c r="CV24" i="22"/>
  <c r="CV30" i="22"/>
  <c r="CU15" i="8"/>
  <c r="CR35" i="22"/>
  <c r="CS35" i="22"/>
  <c r="CT49" i="8"/>
  <c r="CT50" i="8"/>
  <c r="CV50" i="8"/>
  <c r="CU50" i="8"/>
  <c r="CV45" i="8"/>
  <c r="CU45" i="8"/>
  <c r="CT45" i="8"/>
  <c r="CR94" i="22"/>
  <c r="CS94" i="22"/>
  <c r="CU106" i="22"/>
  <c r="CV106" i="22"/>
  <c r="CT106" i="22"/>
  <c r="CV92" i="8"/>
  <c r="CV105" i="22"/>
  <c r="CV75" i="8"/>
  <c r="CU105" i="8"/>
  <c r="CU17" i="8"/>
  <c r="CR61" i="22"/>
  <c r="CS61" i="22"/>
  <c r="CU55" i="22"/>
  <c r="CT55" i="22"/>
  <c r="CV55" i="22"/>
  <c r="CU83" i="22"/>
  <c r="CT83" i="22"/>
  <c r="CV83" i="22"/>
  <c r="CU65" i="8"/>
  <c r="CU94" i="8"/>
  <c r="CT31" i="8"/>
  <c r="CU16" i="8"/>
  <c r="CS52" i="22"/>
  <c r="CR52" i="22"/>
  <c r="CV56" i="8"/>
  <c r="CR97" i="22"/>
  <c r="CV108" i="8"/>
  <c r="CF114" i="21"/>
  <c r="CD115" i="21"/>
  <c r="BX114" i="21"/>
  <c r="BV115" i="21"/>
  <c r="CB113" i="8"/>
  <c r="BZ114" i="8"/>
  <c r="BD114" i="22"/>
  <c r="BB115" i="22"/>
  <c r="BH113" i="22"/>
  <c r="BF114" i="22"/>
  <c r="BP113" i="8"/>
  <c r="BN114" i="8"/>
  <c r="AX114" i="22"/>
  <c r="AZ113" i="22"/>
  <c r="BX114" i="19"/>
  <c r="BV115" i="19"/>
  <c r="BL114" i="21"/>
  <c r="BJ115" i="21"/>
  <c r="AM114" i="21"/>
  <c r="AN114" i="21"/>
  <c r="AK115" i="21"/>
  <c r="AN114" i="22"/>
  <c r="AM114" i="22"/>
  <c r="AK115" i="22"/>
  <c r="CF113" i="8"/>
  <c r="CD114" i="8"/>
  <c r="BD114" i="21"/>
  <c r="BB115" i="21"/>
  <c r="BP114" i="21"/>
  <c r="BN115" i="21"/>
  <c r="AZ114" i="19"/>
  <c r="AX115" i="19"/>
  <c r="AN113" i="8"/>
  <c r="AM113" i="8"/>
  <c r="AK114" i="8"/>
  <c r="BJ115" i="19"/>
  <c r="BL114" i="19"/>
  <c r="CF113" i="22"/>
  <c r="CD114" i="22"/>
  <c r="BH114" i="21"/>
  <c r="BF115" i="21"/>
  <c r="BP114" i="22"/>
  <c r="BN115" i="22"/>
  <c r="BD114" i="19"/>
  <c r="BB115" i="19"/>
  <c r="BX113" i="8"/>
  <c r="BV114" i="8"/>
  <c r="BL114" i="22"/>
  <c r="BJ115" i="22"/>
  <c r="AR113" i="8"/>
  <c r="AP114" i="8"/>
  <c r="BH113" i="8"/>
  <c r="BF114" i="8"/>
  <c r="BD113" i="8"/>
  <c r="BB114" i="8"/>
  <c r="AM114" i="19"/>
  <c r="AN114" i="19"/>
  <c r="AK115" i="19"/>
  <c r="BX113" i="22"/>
  <c r="BV114" i="22"/>
  <c r="BT113" i="8"/>
  <c r="BR114" i="8"/>
  <c r="AV114" i="21"/>
  <c r="AT115" i="21"/>
  <c r="AZ113" i="8"/>
  <c r="AX114" i="8"/>
  <c r="BL113" i="8"/>
  <c r="BJ114" i="8"/>
  <c r="BT114" i="22"/>
  <c r="BR115" i="22"/>
  <c r="CB114" i="19"/>
  <c r="BZ115" i="19"/>
  <c r="AP115" i="22"/>
  <c r="AR114" i="22"/>
  <c r="CB114" i="22"/>
  <c r="BZ115" i="22"/>
  <c r="CF114" i="19"/>
  <c r="CD115" i="19"/>
  <c r="AV114" i="19"/>
  <c r="AT115" i="19"/>
  <c r="CB114" i="21"/>
  <c r="BZ115" i="21"/>
  <c r="AT114" i="8"/>
  <c r="AV113" i="8"/>
  <c r="AR114" i="19"/>
  <c r="AP115" i="19"/>
  <c r="BT114" i="19"/>
  <c r="BR115" i="19"/>
  <c r="AZ114" i="21"/>
  <c r="AX115" i="21"/>
  <c r="AT115" i="22"/>
  <c r="AV114" i="22"/>
  <c r="BH114" i="19"/>
  <c r="BF115" i="19"/>
  <c r="BP114" i="19"/>
  <c r="BN115" i="19"/>
  <c r="BT114" i="21"/>
  <c r="BR115" i="21"/>
  <c r="AP115" i="21"/>
  <c r="AR114" i="21"/>
  <c r="H13" i="22" l="1"/>
  <c r="H13" i="8"/>
  <c r="H20" i="8"/>
  <c r="K20" i="22"/>
  <c r="H21" i="8"/>
  <c r="K21" i="8"/>
  <c r="H12" i="8"/>
  <c r="K21" i="22"/>
  <c r="H21" i="22"/>
  <c r="H12" i="22"/>
  <c r="AR115" i="22"/>
  <c r="AP116" i="22"/>
  <c r="BX114" i="22"/>
  <c r="BV115" i="22"/>
  <c r="BT115" i="22"/>
  <c r="BR116" i="22"/>
  <c r="AR114" i="8"/>
  <c r="AP115" i="8"/>
  <c r="BH115" i="21"/>
  <c r="BF116" i="21"/>
  <c r="BL115" i="21"/>
  <c r="BJ116" i="21"/>
  <c r="BX115" i="21"/>
  <c r="BV116" i="21"/>
  <c r="BH114" i="22"/>
  <c r="BF115" i="22"/>
  <c r="AR115" i="21"/>
  <c r="AP116" i="21"/>
  <c r="BT115" i="19"/>
  <c r="BR116" i="19"/>
  <c r="CB115" i="19"/>
  <c r="BZ116" i="19"/>
  <c r="AZ114" i="8"/>
  <c r="AX115" i="8"/>
  <c r="BF115" i="8"/>
  <c r="BH114" i="8"/>
  <c r="BB116" i="19"/>
  <c r="BD115" i="19"/>
  <c r="BN116" i="21"/>
  <c r="BP115" i="21"/>
  <c r="BX115" i="19"/>
  <c r="BV116" i="19"/>
  <c r="BD115" i="22"/>
  <c r="BB116" i="22"/>
  <c r="CF115" i="21"/>
  <c r="CD116" i="21"/>
  <c r="BX114" i="8"/>
  <c r="BV115" i="8"/>
  <c r="AZ115" i="19"/>
  <c r="AX116" i="19"/>
  <c r="BF116" i="19"/>
  <c r="BH115" i="19"/>
  <c r="AT116" i="21"/>
  <c r="AV115" i="21"/>
  <c r="AV115" i="22"/>
  <c r="AT116" i="22"/>
  <c r="CF114" i="22"/>
  <c r="CD115" i="22"/>
  <c r="AM115" i="19"/>
  <c r="AN115" i="19"/>
  <c r="AK116" i="19"/>
  <c r="BL115" i="22"/>
  <c r="BJ116" i="22"/>
  <c r="BR116" i="21"/>
  <c r="BT115" i="21"/>
  <c r="CB115" i="21"/>
  <c r="BZ116" i="21"/>
  <c r="CD116" i="19"/>
  <c r="CF115" i="19"/>
  <c r="BT114" i="8"/>
  <c r="BR115" i="8"/>
  <c r="BD114" i="8"/>
  <c r="BB115" i="8"/>
  <c r="AN114" i="8"/>
  <c r="AM114" i="8"/>
  <c r="AK115" i="8"/>
  <c r="CD115" i="8"/>
  <c r="CF114" i="8"/>
  <c r="CB114" i="8"/>
  <c r="BZ115" i="8"/>
  <c r="BL114" i="8"/>
  <c r="BJ115" i="8"/>
  <c r="BP115" i="19"/>
  <c r="BN116" i="19"/>
  <c r="AR115" i="19"/>
  <c r="AP116" i="19"/>
  <c r="AT116" i="19"/>
  <c r="AV115" i="19"/>
  <c r="BD115" i="21"/>
  <c r="BB116" i="21"/>
  <c r="AZ114" i="22"/>
  <c r="AX115" i="22"/>
  <c r="AZ115" i="21"/>
  <c r="AX116" i="21"/>
  <c r="CB115" i="22"/>
  <c r="BZ116" i="22"/>
  <c r="BP115" i="22"/>
  <c r="BN116" i="22"/>
  <c r="BL115" i="19"/>
  <c r="BJ116" i="19"/>
  <c r="AN115" i="21"/>
  <c r="AM115" i="21"/>
  <c r="AK116" i="21"/>
  <c r="BP114" i="8"/>
  <c r="BN115" i="8"/>
  <c r="AV114" i="8"/>
  <c r="AT115" i="8"/>
  <c r="AN115" i="22"/>
  <c r="AM115" i="22"/>
  <c r="AK116" i="22"/>
  <c r="BP116" i="22" l="1"/>
  <c r="BN117" i="22"/>
  <c r="AZ116" i="21"/>
  <c r="AX117" i="21"/>
  <c r="BD116" i="19"/>
  <c r="BB117" i="19"/>
  <c r="CB116" i="19"/>
  <c r="BZ117" i="19"/>
  <c r="BT116" i="22"/>
  <c r="BR117" i="22"/>
  <c r="AR116" i="22"/>
  <c r="AP117" i="22"/>
  <c r="CF115" i="8"/>
  <c r="CD116" i="8"/>
  <c r="BT115" i="8"/>
  <c r="BR116" i="8"/>
  <c r="BH116" i="19"/>
  <c r="BF117" i="19"/>
  <c r="BD116" i="22"/>
  <c r="BB117" i="22"/>
  <c r="AZ116" i="19"/>
  <c r="AX117" i="19"/>
  <c r="CF116" i="21"/>
  <c r="CD117" i="21"/>
  <c r="BT116" i="19"/>
  <c r="BR117" i="19"/>
  <c r="AR115" i="8"/>
  <c r="AP116" i="8"/>
  <c r="BD116" i="21"/>
  <c r="BB117" i="21"/>
  <c r="AM115" i="8"/>
  <c r="AN115" i="8"/>
  <c r="AK116" i="8"/>
  <c r="CD116" i="22"/>
  <c r="CF115" i="22"/>
  <c r="AV116" i="22"/>
  <c r="AT117" i="22"/>
  <c r="BX116" i="19"/>
  <c r="BV117" i="19"/>
  <c r="BP116" i="21"/>
  <c r="BN117" i="21"/>
  <c r="BX116" i="21"/>
  <c r="BV117" i="21"/>
  <c r="AM116" i="19"/>
  <c r="AN116" i="19"/>
  <c r="AK117" i="19"/>
  <c r="BP115" i="8"/>
  <c r="BN116" i="8"/>
  <c r="CB116" i="22"/>
  <c r="BZ117" i="22"/>
  <c r="AZ115" i="22"/>
  <c r="AX116" i="22"/>
  <c r="AR116" i="19"/>
  <c r="AP117" i="19"/>
  <c r="BL115" i="8"/>
  <c r="BJ116" i="8"/>
  <c r="BX115" i="8"/>
  <c r="BV116" i="8"/>
  <c r="AN116" i="22"/>
  <c r="AM116" i="22"/>
  <c r="AK117" i="22"/>
  <c r="CB115" i="8"/>
  <c r="BZ116" i="8"/>
  <c r="BT116" i="21"/>
  <c r="BR117" i="21"/>
  <c r="BH115" i="8"/>
  <c r="BF116" i="8"/>
  <c r="BH116" i="21"/>
  <c r="BF117" i="21"/>
  <c r="AV116" i="19"/>
  <c r="AT117" i="19"/>
  <c r="AR116" i="21"/>
  <c r="AP117" i="21"/>
  <c r="BX115" i="22"/>
  <c r="BV116" i="22"/>
  <c r="AV115" i="8"/>
  <c r="AT116" i="8"/>
  <c r="CB116" i="21"/>
  <c r="BZ117" i="21"/>
  <c r="BL116" i="19"/>
  <c r="BJ117" i="19"/>
  <c r="BP116" i="19"/>
  <c r="BN117" i="19"/>
  <c r="AN116" i="21"/>
  <c r="AM116" i="21"/>
  <c r="AK117" i="21"/>
  <c r="BD115" i="8"/>
  <c r="BB116" i="8"/>
  <c r="CD117" i="19"/>
  <c r="CF116" i="19"/>
  <c r="BL116" i="22"/>
  <c r="BJ117" i="22"/>
  <c r="AV116" i="21"/>
  <c r="AT117" i="21"/>
  <c r="AZ115" i="8"/>
  <c r="AX116" i="8"/>
  <c r="BF116" i="22"/>
  <c r="BH115" i="22"/>
  <c r="BL116" i="21"/>
  <c r="BJ117" i="21"/>
  <c r="BV117" i="22" l="1"/>
  <c r="BX116" i="22"/>
  <c r="CB117" i="21"/>
  <c r="BZ118" i="21"/>
  <c r="BV117" i="8"/>
  <c r="BX116" i="8"/>
  <c r="AP118" i="19"/>
  <c r="AR117" i="19"/>
  <c r="BP117" i="21"/>
  <c r="BN118" i="21"/>
  <c r="BD117" i="21"/>
  <c r="BB118" i="21"/>
  <c r="BL117" i="21"/>
  <c r="BJ118" i="21"/>
  <c r="AR117" i="21"/>
  <c r="AP118" i="21"/>
  <c r="CB116" i="8"/>
  <c r="BZ117" i="8"/>
  <c r="CD118" i="19"/>
  <c r="CF117" i="19"/>
  <c r="AM117" i="22"/>
  <c r="AN117" i="22"/>
  <c r="AK118" i="22"/>
  <c r="BZ118" i="22"/>
  <c r="CB117" i="22"/>
  <c r="BD117" i="22"/>
  <c r="BB118" i="22"/>
  <c r="CF116" i="8"/>
  <c r="CD117" i="8"/>
  <c r="BD117" i="19"/>
  <c r="BB118" i="19"/>
  <c r="BP117" i="19"/>
  <c r="BN118" i="19"/>
  <c r="BV118" i="19"/>
  <c r="BX117" i="19"/>
  <c r="AR116" i="8"/>
  <c r="AP117" i="8"/>
  <c r="CD118" i="21"/>
  <c r="CF117" i="21"/>
  <c r="BD116" i="8"/>
  <c r="BB117" i="8"/>
  <c r="BL117" i="19"/>
  <c r="BJ118" i="19"/>
  <c r="BP116" i="8"/>
  <c r="BN117" i="8"/>
  <c r="BH117" i="19"/>
  <c r="BF118" i="19"/>
  <c r="AR117" i="22"/>
  <c r="AP118" i="22"/>
  <c r="AZ117" i="21"/>
  <c r="AX118" i="21"/>
  <c r="BF117" i="22"/>
  <c r="BH116" i="22"/>
  <c r="BH117" i="21"/>
  <c r="BF118" i="21"/>
  <c r="AV117" i="19"/>
  <c r="AT118" i="19"/>
  <c r="BX117" i="21"/>
  <c r="BV118" i="21"/>
  <c r="AV117" i="22"/>
  <c r="AT118" i="22"/>
  <c r="AM116" i="8"/>
  <c r="AN116" i="8"/>
  <c r="AK117" i="8"/>
  <c r="BT117" i="19"/>
  <c r="BR118" i="19"/>
  <c r="AZ117" i="19"/>
  <c r="AX118" i="19"/>
  <c r="BL117" i="22"/>
  <c r="BJ118" i="22"/>
  <c r="AN117" i="21"/>
  <c r="AM117" i="21"/>
  <c r="AK118" i="21"/>
  <c r="AT117" i="8"/>
  <c r="AV116" i="8"/>
  <c r="AT118" i="21"/>
  <c r="AV117" i="21"/>
  <c r="AZ116" i="8"/>
  <c r="AX117" i="8"/>
  <c r="AM117" i="19"/>
  <c r="AN117" i="19"/>
  <c r="AK118" i="19"/>
  <c r="BT117" i="22"/>
  <c r="BR118" i="22"/>
  <c r="CB117" i="19"/>
  <c r="BZ118" i="19"/>
  <c r="BL116" i="8"/>
  <c r="BJ117" i="8"/>
  <c r="AZ116" i="22"/>
  <c r="AX117" i="22"/>
  <c r="BP117" i="22"/>
  <c r="BN118" i="22"/>
  <c r="BH116" i="8"/>
  <c r="BF117" i="8"/>
  <c r="BT117" i="21"/>
  <c r="BR118" i="21"/>
  <c r="CF116" i="22"/>
  <c r="CD117" i="22"/>
  <c r="BT116" i="8"/>
  <c r="BR117" i="8"/>
  <c r="AZ118" i="21" l="1"/>
  <c r="AX119" i="21"/>
  <c r="BD117" i="8"/>
  <c r="BB118" i="8"/>
  <c r="CD119" i="21"/>
  <c r="CF118" i="21"/>
  <c r="BP118" i="21"/>
  <c r="BN119" i="21"/>
  <c r="BX117" i="8"/>
  <c r="BV118" i="8"/>
  <c r="AM117" i="8"/>
  <c r="AN117" i="8"/>
  <c r="AK118" i="8"/>
  <c r="CF117" i="22"/>
  <c r="CD118" i="22"/>
  <c r="AV118" i="21"/>
  <c r="AT119" i="21"/>
  <c r="AR117" i="8"/>
  <c r="AP118" i="8"/>
  <c r="CB118" i="22"/>
  <c r="BZ119" i="22"/>
  <c r="BX118" i="21"/>
  <c r="BV119" i="21"/>
  <c r="AV118" i="19"/>
  <c r="AT119" i="19"/>
  <c r="BT118" i="21"/>
  <c r="BR119" i="21"/>
  <c r="AZ117" i="22"/>
  <c r="AX118" i="22"/>
  <c r="CB118" i="19"/>
  <c r="BZ119" i="19"/>
  <c r="BP117" i="8"/>
  <c r="BN118" i="8"/>
  <c r="BP118" i="19"/>
  <c r="BN119" i="19"/>
  <c r="CB117" i="8"/>
  <c r="BZ118" i="8"/>
  <c r="BN119" i="22"/>
  <c r="BP118" i="22"/>
  <c r="BT117" i="8"/>
  <c r="BR118" i="8"/>
  <c r="AZ117" i="8"/>
  <c r="AX118" i="8"/>
  <c r="AV117" i="8"/>
  <c r="AT118" i="8"/>
  <c r="AZ118" i="19"/>
  <c r="AX119" i="19"/>
  <c r="AV118" i="22"/>
  <c r="AT119" i="22"/>
  <c r="BH118" i="21"/>
  <c r="BF119" i="21"/>
  <c r="BL118" i="19"/>
  <c r="BJ119" i="19"/>
  <c r="CF117" i="8"/>
  <c r="CD118" i="8"/>
  <c r="AM118" i="22"/>
  <c r="AN118" i="22"/>
  <c r="AK119" i="22"/>
  <c r="AM118" i="21"/>
  <c r="AN118" i="21"/>
  <c r="AK119" i="21"/>
  <c r="AR118" i="22"/>
  <c r="AP119" i="22"/>
  <c r="BX118" i="19"/>
  <c r="BV119" i="19"/>
  <c r="AR118" i="21"/>
  <c r="AP119" i="21"/>
  <c r="BX117" i="22"/>
  <c r="BV118" i="22"/>
  <c r="BL117" i="8"/>
  <c r="BJ118" i="8"/>
  <c r="BT118" i="22"/>
  <c r="BR119" i="22"/>
  <c r="AN118" i="19"/>
  <c r="AM118" i="19"/>
  <c r="AK119" i="19"/>
  <c r="BT118" i="19"/>
  <c r="BR119" i="19"/>
  <c r="BD118" i="22"/>
  <c r="BB119" i="22"/>
  <c r="BD118" i="21"/>
  <c r="BB119" i="21"/>
  <c r="AR118" i="19"/>
  <c r="AP119" i="19"/>
  <c r="CB118" i="21"/>
  <c r="BZ119" i="21"/>
  <c r="BJ119" i="21"/>
  <c r="BL118" i="21"/>
  <c r="BH117" i="8"/>
  <c r="BF118" i="8"/>
  <c r="BF119" i="19"/>
  <c r="BH118" i="19"/>
  <c r="BL118" i="22"/>
  <c r="BJ119" i="22"/>
  <c r="BH117" i="22"/>
  <c r="BF118" i="22"/>
  <c r="BD118" i="19"/>
  <c r="BB119" i="19"/>
  <c r="CF118" i="19"/>
  <c r="CD119" i="19"/>
  <c r="BL119" i="21" l="1"/>
  <c r="BJ120" i="21"/>
  <c r="AN119" i="22"/>
  <c r="AM119" i="22"/>
  <c r="AK120" i="22"/>
  <c r="AZ119" i="21"/>
  <c r="AX120" i="21"/>
  <c r="BL119" i="22"/>
  <c r="BJ120" i="22"/>
  <c r="BH118" i="8"/>
  <c r="BF119" i="8"/>
  <c r="BR120" i="22"/>
  <c r="BT119" i="22"/>
  <c r="AR119" i="21"/>
  <c r="AP120" i="21"/>
  <c r="BX119" i="19"/>
  <c r="BV120" i="19"/>
  <c r="AP120" i="22"/>
  <c r="AR119" i="22"/>
  <c r="BH119" i="21"/>
  <c r="BF120" i="21"/>
  <c r="AZ118" i="8"/>
  <c r="AX119" i="8"/>
  <c r="CB118" i="8"/>
  <c r="BZ119" i="8"/>
  <c r="BZ120" i="22"/>
  <c r="CB119" i="22"/>
  <c r="BZ120" i="21"/>
  <c r="CB119" i="21"/>
  <c r="BL118" i="8"/>
  <c r="BJ119" i="8"/>
  <c r="BX118" i="22"/>
  <c r="BV119" i="22"/>
  <c r="CB119" i="19"/>
  <c r="BZ120" i="19"/>
  <c r="CF119" i="19"/>
  <c r="CD120" i="19"/>
  <c r="BT119" i="19"/>
  <c r="BR120" i="19"/>
  <c r="CD119" i="8"/>
  <c r="CF118" i="8"/>
  <c r="BL119" i="19"/>
  <c r="BJ120" i="19"/>
  <c r="AT120" i="22"/>
  <c r="AV119" i="22"/>
  <c r="BT118" i="8"/>
  <c r="BR119" i="8"/>
  <c r="BP118" i="8"/>
  <c r="BN119" i="8"/>
  <c r="CD119" i="22"/>
  <c r="CF118" i="22"/>
  <c r="CD120" i="21"/>
  <c r="CF119" i="21"/>
  <c r="BD119" i="22"/>
  <c r="BB120" i="22"/>
  <c r="BP119" i="19"/>
  <c r="BN120" i="19"/>
  <c r="AZ118" i="22"/>
  <c r="AX119" i="22"/>
  <c r="AR118" i="8"/>
  <c r="AP119" i="8"/>
  <c r="AZ119" i="19"/>
  <c r="AX120" i="19"/>
  <c r="AV119" i="19"/>
  <c r="AT120" i="19"/>
  <c r="AV119" i="21"/>
  <c r="AT120" i="21"/>
  <c r="BX118" i="8"/>
  <c r="BV119" i="8"/>
  <c r="BD118" i="8"/>
  <c r="BB119" i="8"/>
  <c r="AP120" i="19"/>
  <c r="AR119" i="19"/>
  <c r="AM119" i="21"/>
  <c r="AN119" i="21"/>
  <c r="AK120" i="21"/>
  <c r="BP119" i="22"/>
  <c r="BN120" i="22"/>
  <c r="AK119" i="8"/>
  <c r="AN118" i="8"/>
  <c r="AM118" i="8"/>
  <c r="AN119" i="19"/>
  <c r="AM119" i="19"/>
  <c r="AK120" i="19"/>
  <c r="BD119" i="19"/>
  <c r="BB120" i="19"/>
  <c r="BH118" i="22"/>
  <c r="BF119" i="22"/>
  <c r="BH119" i="19"/>
  <c r="BF120" i="19"/>
  <c r="BD119" i="21"/>
  <c r="BB120" i="21"/>
  <c r="AV118" i="8"/>
  <c r="AT119" i="8"/>
  <c r="BT119" i="21"/>
  <c r="BR120" i="21"/>
  <c r="BX119" i="21"/>
  <c r="BV120" i="21"/>
  <c r="BP119" i="21"/>
  <c r="BN120" i="21"/>
  <c r="BB121" i="19" l="1"/>
  <c r="BD120" i="19"/>
  <c r="AV120" i="22"/>
  <c r="AT121" i="22"/>
  <c r="AN120" i="21"/>
  <c r="AM120" i="21"/>
  <c r="AK121" i="21"/>
  <c r="BB120" i="8"/>
  <c r="BD119" i="8"/>
  <c r="BT119" i="8"/>
  <c r="BR120" i="8"/>
  <c r="BX119" i="22"/>
  <c r="BV120" i="22"/>
  <c r="CB119" i="8"/>
  <c r="BZ120" i="8"/>
  <c r="BL120" i="21"/>
  <c r="BJ121" i="21"/>
  <c r="AT121" i="19"/>
  <c r="AV120" i="19"/>
  <c r="CF120" i="21"/>
  <c r="CD121" i="21"/>
  <c r="BT120" i="21"/>
  <c r="BR121" i="21"/>
  <c r="BH119" i="22"/>
  <c r="BF120" i="22"/>
  <c r="BD120" i="22"/>
  <c r="BB121" i="22"/>
  <c r="AR120" i="22"/>
  <c r="AP121" i="22"/>
  <c r="BF120" i="8"/>
  <c r="BH119" i="8"/>
  <c r="BT120" i="19"/>
  <c r="BR121" i="19"/>
  <c r="BJ120" i="8"/>
  <c r="BL119" i="8"/>
  <c r="AZ119" i="8"/>
  <c r="AX120" i="8"/>
  <c r="BV121" i="19"/>
  <c r="BX120" i="19"/>
  <c r="BL120" i="22"/>
  <c r="BJ121" i="22"/>
  <c r="CD121" i="19"/>
  <c r="CF120" i="19"/>
  <c r="AN120" i="22"/>
  <c r="AM120" i="22"/>
  <c r="AK121" i="22"/>
  <c r="BN121" i="22"/>
  <c r="BP120" i="22"/>
  <c r="BH120" i="21"/>
  <c r="BF121" i="21"/>
  <c r="AP121" i="21"/>
  <c r="AR120" i="21"/>
  <c r="AZ120" i="21"/>
  <c r="AX121" i="21"/>
  <c r="AN120" i="19"/>
  <c r="AM120" i="19"/>
  <c r="AK121" i="19"/>
  <c r="AP121" i="19"/>
  <c r="AR120" i="19"/>
  <c r="AV120" i="21"/>
  <c r="AT121" i="21"/>
  <c r="AZ119" i="22"/>
  <c r="AX120" i="22"/>
  <c r="BL120" i="19"/>
  <c r="BJ121" i="19"/>
  <c r="AM119" i="8"/>
  <c r="AN119" i="8"/>
  <c r="AK120" i="8"/>
  <c r="AZ120" i="19"/>
  <c r="AX121" i="19"/>
  <c r="AR119" i="8"/>
  <c r="AP120" i="8"/>
  <c r="BN121" i="19"/>
  <c r="BP120" i="19"/>
  <c r="CD120" i="22"/>
  <c r="CF119" i="22"/>
  <c r="BP119" i="8"/>
  <c r="BN120" i="8"/>
  <c r="BX119" i="8"/>
  <c r="BV120" i="8"/>
  <c r="AV119" i="8"/>
  <c r="AT120" i="8"/>
  <c r="BP120" i="21"/>
  <c r="BN121" i="21"/>
  <c r="BX120" i="21"/>
  <c r="BV121" i="21"/>
  <c r="BD120" i="21"/>
  <c r="BB121" i="21"/>
  <c r="BH120" i="19"/>
  <c r="BF121" i="19"/>
  <c r="CF119" i="8"/>
  <c r="CD120" i="8"/>
  <c r="CB120" i="19"/>
  <c r="BZ121" i="19"/>
  <c r="CB120" i="21"/>
  <c r="BZ121" i="21"/>
  <c r="CB120" i="22"/>
  <c r="BZ121" i="22"/>
  <c r="BR121" i="22"/>
  <c r="BT120" i="22"/>
  <c r="BT121" i="22" l="1"/>
  <c r="BR122" i="22"/>
  <c r="AP122" i="21"/>
  <c r="AR121" i="21"/>
  <c r="BL121" i="22"/>
  <c r="BJ122" i="22"/>
  <c r="CF121" i="21"/>
  <c r="CD122" i="21"/>
  <c r="BX120" i="22"/>
  <c r="BV121" i="22"/>
  <c r="BZ122" i="22"/>
  <c r="CB121" i="22"/>
  <c r="BH121" i="19"/>
  <c r="BF122" i="19"/>
  <c r="BX120" i="8"/>
  <c r="BV121" i="8"/>
  <c r="BP120" i="8"/>
  <c r="BN121" i="8"/>
  <c r="AZ121" i="19"/>
  <c r="AX122" i="19"/>
  <c r="AM121" i="19"/>
  <c r="AN121" i="19"/>
  <c r="AK122" i="19"/>
  <c r="BH121" i="21"/>
  <c r="BF122" i="21"/>
  <c r="BD121" i="22"/>
  <c r="BB122" i="22"/>
  <c r="CD122" i="19"/>
  <c r="CF121" i="19"/>
  <c r="BL120" i="8"/>
  <c r="BJ121" i="8"/>
  <c r="BH120" i="8"/>
  <c r="BF121" i="8"/>
  <c r="BD121" i="21"/>
  <c r="BB122" i="21"/>
  <c r="AZ120" i="22"/>
  <c r="AX121" i="22"/>
  <c r="AV121" i="21"/>
  <c r="AT122" i="21"/>
  <c r="AP122" i="22"/>
  <c r="AR121" i="22"/>
  <c r="AV121" i="19"/>
  <c r="AT122" i="19"/>
  <c r="AV121" i="22"/>
  <c r="AT122" i="22"/>
  <c r="CD121" i="8"/>
  <c r="CF120" i="8"/>
  <c r="CB121" i="21"/>
  <c r="BZ122" i="21"/>
  <c r="CF120" i="22"/>
  <c r="CD121" i="22"/>
  <c r="BL121" i="19"/>
  <c r="BJ122" i="19"/>
  <c r="AZ121" i="21"/>
  <c r="AX122" i="21"/>
  <c r="BT121" i="19"/>
  <c r="BR122" i="19"/>
  <c r="BH120" i="22"/>
  <c r="BF121" i="22"/>
  <c r="BD120" i="8"/>
  <c r="BB121" i="8"/>
  <c r="AN121" i="21"/>
  <c r="AM121" i="21"/>
  <c r="AK122" i="21"/>
  <c r="BX121" i="21"/>
  <c r="BV122" i="21"/>
  <c r="BN122" i="19"/>
  <c r="BP121" i="19"/>
  <c r="AR121" i="19"/>
  <c r="AP122" i="19"/>
  <c r="BP121" i="22"/>
  <c r="BN122" i="22"/>
  <c r="BX121" i="19"/>
  <c r="BV122" i="19"/>
  <c r="BR122" i="21"/>
  <c r="BT121" i="21"/>
  <c r="CB120" i="8"/>
  <c r="BZ121" i="8"/>
  <c r="BD121" i="19"/>
  <c r="BB122" i="19"/>
  <c r="BP121" i="21"/>
  <c r="BN122" i="21"/>
  <c r="CB121" i="19"/>
  <c r="BZ122" i="19"/>
  <c r="AV120" i="8"/>
  <c r="AT121" i="8"/>
  <c r="AR120" i="8"/>
  <c r="AP121" i="8"/>
  <c r="AN120" i="8"/>
  <c r="AM120" i="8"/>
  <c r="AK121" i="8"/>
  <c r="AM121" i="22"/>
  <c r="AK122" i="22"/>
  <c r="AN121" i="22"/>
  <c r="AX121" i="8"/>
  <c r="AZ120" i="8"/>
  <c r="BL121" i="21"/>
  <c r="BJ122" i="21"/>
  <c r="BT120" i="8"/>
  <c r="BR121" i="8"/>
  <c r="BR123" i="21" l="1"/>
  <c r="BT122" i="21"/>
  <c r="BT121" i="8"/>
  <c r="BR122" i="8"/>
  <c r="BR123" i="19"/>
  <c r="BT122" i="19"/>
  <c r="CD123" i="19"/>
  <c r="CF122" i="19"/>
  <c r="BH121" i="22"/>
  <c r="BF122" i="22"/>
  <c r="BP122" i="22"/>
  <c r="BN123" i="22"/>
  <c r="BF123" i="19"/>
  <c r="BH122" i="19"/>
  <c r="AR122" i="21"/>
  <c r="AP123" i="21"/>
  <c r="CF121" i="8"/>
  <c r="CD122" i="8"/>
  <c r="AX123" i="19"/>
  <c r="AZ122" i="19"/>
  <c r="BL122" i="21"/>
  <c r="BJ123" i="21"/>
  <c r="AN121" i="8"/>
  <c r="AM121" i="8"/>
  <c r="AK122" i="8"/>
  <c r="AR121" i="8"/>
  <c r="AP122" i="8"/>
  <c r="CB121" i="8"/>
  <c r="BZ122" i="8"/>
  <c r="BP122" i="19"/>
  <c r="BN123" i="19"/>
  <c r="BJ123" i="19"/>
  <c r="BL122" i="19"/>
  <c r="AV122" i="19"/>
  <c r="AT123" i="19"/>
  <c r="BV122" i="22"/>
  <c r="BX121" i="22"/>
  <c r="CD123" i="21"/>
  <c r="CF122" i="21"/>
  <c r="BZ123" i="19"/>
  <c r="CB122" i="19"/>
  <c r="BH121" i="8"/>
  <c r="BF122" i="8"/>
  <c r="BB122" i="8"/>
  <c r="BD121" i="8"/>
  <c r="CF121" i="22"/>
  <c r="CD122" i="22"/>
  <c r="CB122" i="21"/>
  <c r="BZ123" i="21"/>
  <c r="AT123" i="22"/>
  <c r="AV122" i="22"/>
  <c r="BD122" i="21"/>
  <c r="BB123" i="21"/>
  <c r="BT122" i="22"/>
  <c r="BR123" i="22"/>
  <c r="AZ121" i="8"/>
  <c r="AX122" i="8"/>
  <c r="AT123" i="21"/>
  <c r="AV122" i="21"/>
  <c r="BP122" i="21"/>
  <c r="BN123" i="21"/>
  <c r="AP123" i="19"/>
  <c r="AR122" i="19"/>
  <c r="AN122" i="21"/>
  <c r="AM122" i="21"/>
  <c r="AK123" i="21"/>
  <c r="AV121" i="8"/>
  <c r="AT122" i="8"/>
  <c r="BX122" i="21"/>
  <c r="BV123" i="21"/>
  <c r="AZ122" i="21"/>
  <c r="AX123" i="21"/>
  <c r="AZ121" i="22"/>
  <c r="AX122" i="22"/>
  <c r="BL121" i="8"/>
  <c r="BJ122" i="8"/>
  <c r="BH122" i="21"/>
  <c r="BF123" i="21"/>
  <c r="BP121" i="8"/>
  <c r="BN122" i="8"/>
  <c r="AN122" i="22"/>
  <c r="AK123" i="22"/>
  <c r="AM122" i="22"/>
  <c r="AR122" i="22"/>
  <c r="AP123" i="22"/>
  <c r="BB123" i="22"/>
  <c r="BD122" i="22"/>
  <c r="CB122" i="22"/>
  <c r="BZ123" i="22"/>
  <c r="BL122" i="22"/>
  <c r="BJ123" i="22"/>
  <c r="BB123" i="19"/>
  <c r="BD122" i="19"/>
  <c r="BV123" i="19"/>
  <c r="BX122" i="19"/>
  <c r="AN122" i="19"/>
  <c r="AK123" i="19"/>
  <c r="AM122" i="19"/>
  <c r="BV122" i="8"/>
  <c r="BX121" i="8"/>
  <c r="AP124" i="22" l="1"/>
  <c r="AR124" i="22" s="1"/>
  <c r="AR123" i="22"/>
  <c r="BV123" i="22"/>
  <c r="BX122" i="22"/>
  <c r="AZ123" i="19"/>
  <c r="AX124" i="19"/>
  <c r="AZ124" i="19" s="1"/>
  <c r="CD124" i="21"/>
  <c r="CF124" i="21" s="1"/>
  <c r="CF123" i="21"/>
  <c r="BZ124" i="22"/>
  <c r="CB124" i="22" s="1"/>
  <c r="CB123" i="22"/>
  <c r="AZ123" i="21"/>
  <c r="AX124" i="21"/>
  <c r="AZ124" i="21" s="1"/>
  <c r="AK124" i="21"/>
  <c r="AM123" i="21"/>
  <c r="AN123" i="21"/>
  <c r="AV123" i="21"/>
  <c r="AT124" i="21"/>
  <c r="AV124" i="21" s="1"/>
  <c r="CF122" i="22"/>
  <c r="CD123" i="22"/>
  <c r="BZ124" i="19"/>
  <c r="CB124" i="19" s="1"/>
  <c r="CB123" i="19"/>
  <c r="AT124" i="19"/>
  <c r="AV124" i="19" s="1"/>
  <c r="AV123" i="19"/>
  <c r="BJ124" i="19"/>
  <c r="BL124" i="19" s="1"/>
  <c r="BL123" i="19"/>
  <c r="BZ123" i="8"/>
  <c r="CB122" i="8"/>
  <c r="CF122" i="8"/>
  <c r="CD123" i="8"/>
  <c r="BH122" i="22"/>
  <c r="BF123" i="22"/>
  <c r="CF123" i="19"/>
  <c r="CD124" i="19"/>
  <c r="CF124" i="19" s="1"/>
  <c r="AZ122" i="22"/>
  <c r="AX123" i="22"/>
  <c r="BH122" i="8"/>
  <c r="BF123" i="8"/>
  <c r="BL122" i="8"/>
  <c r="BJ123" i="8"/>
  <c r="AV122" i="8"/>
  <c r="AT123" i="8"/>
  <c r="AZ122" i="8"/>
  <c r="AX123" i="8"/>
  <c r="AK123" i="8"/>
  <c r="AM122" i="8"/>
  <c r="AN122" i="8"/>
  <c r="BF124" i="19"/>
  <c r="BH124" i="19" s="1"/>
  <c r="BH123" i="19"/>
  <c r="BT123" i="21"/>
  <c r="BR124" i="21"/>
  <c r="BT124" i="21" s="1"/>
  <c r="BF124" i="21"/>
  <c r="BH124" i="21" s="1"/>
  <c r="BH123" i="21"/>
  <c r="AM123" i="19"/>
  <c r="AN123" i="19"/>
  <c r="AK124" i="19"/>
  <c r="BD123" i="21"/>
  <c r="BB124" i="21"/>
  <c r="BD124" i="21" s="1"/>
  <c r="BJ124" i="22"/>
  <c r="BL124" i="22" s="1"/>
  <c r="BL123" i="22"/>
  <c r="BD122" i="8"/>
  <c r="BB123" i="8"/>
  <c r="AR122" i="8"/>
  <c r="AP123" i="8"/>
  <c r="BN123" i="8"/>
  <c r="BP122" i="8"/>
  <c r="AV123" i="22"/>
  <c r="AT124" i="22"/>
  <c r="AV124" i="22" s="1"/>
  <c r="BV123" i="8"/>
  <c r="BX122" i="8"/>
  <c r="BX123" i="19"/>
  <c r="BV124" i="19"/>
  <c r="BX124" i="19" s="1"/>
  <c r="BB124" i="22"/>
  <c r="BD124" i="22" s="1"/>
  <c r="BD123" i="22"/>
  <c r="AN123" i="22"/>
  <c r="AM123" i="22"/>
  <c r="AK124" i="22"/>
  <c r="AR123" i="19"/>
  <c r="AP124" i="19"/>
  <c r="AR124" i="19" s="1"/>
  <c r="BR124" i="22"/>
  <c r="BT124" i="22" s="1"/>
  <c r="BT123" i="22"/>
  <c r="BN124" i="19"/>
  <c r="BP124" i="19" s="1"/>
  <c r="BP123" i="19"/>
  <c r="BJ124" i="21"/>
  <c r="BL124" i="21" s="1"/>
  <c r="BL123" i="21"/>
  <c r="BT123" i="19"/>
  <c r="BR124" i="19"/>
  <c r="BT124" i="19" s="1"/>
  <c r="BT122" i="8"/>
  <c r="BR123" i="8"/>
  <c r="BP123" i="21"/>
  <c r="BN124" i="21"/>
  <c r="BP124" i="21" s="1"/>
  <c r="BB124" i="19"/>
  <c r="BD124" i="19" s="1"/>
  <c r="BD123" i="19"/>
  <c r="BX123" i="21"/>
  <c r="BV124" i="21"/>
  <c r="BX124" i="21" s="1"/>
  <c r="CB123" i="21"/>
  <c r="BZ124" i="21"/>
  <c r="CB124" i="21" s="1"/>
  <c r="AR123" i="21"/>
  <c r="AP124" i="21"/>
  <c r="AR124" i="21" s="1"/>
  <c r="BP123" i="22"/>
  <c r="BN124" i="22"/>
  <c r="BP124" i="22" s="1"/>
  <c r="AS119" i="22" l="1"/>
  <c r="AS114" i="22"/>
  <c r="AS120" i="22"/>
  <c r="AS122" i="22"/>
  <c r="CC116" i="22"/>
  <c r="AS118" i="22"/>
  <c r="AS117" i="22"/>
  <c r="BA117" i="19"/>
  <c r="BA116" i="21"/>
  <c r="BA116" i="19"/>
  <c r="BA122" i="19"/>
  <c r="CC117" i="22"/>
  <c r="AW122" i="21"/>
  <c r="AW120" i="19"/>
  <c r="BM119" i="19"/>
  <c r="AW119" i="21"/>
  <c r="BA119" i="21"/>
  <c r="CG122" i="21"/>
  <c r="BY115" i="21"/>
  <c r="CC118" i="19"/>
  <c r="BE122" i="21"/>
  <c r="AW116" i="19"/>
  <c r="CC117" i="19"/>
  <c r="AS119" i="21"/>
  <c r="BY115" i="19"/>
  <c r="CG120" i="21"/>
  <c r="AW121" i="21"/>
  <c r="BI118" i="21"/>
  <c r="BM121" i="19"/>
  <c r="BM117" i="22"/>
  <c r="BU122" i="22"/>
  <c r="BM119" i="21"/>
  <c r="BI117" i="19"/>
  <c r="BM122" i="22"/>
  <c r="BY116" i="19"/>
  <c r="BQ118" i="21"/>
  <c r="BQ118" i="19"/>
  <c r="BY117" i="19"/>
  <c r="BY122" i="19"/>
  <c r="BI122" i="21"/>
  <c r="CC122" i="19"/>
  <c r="BE119" i="21"/>
  <c r="BE117" i="22"/>
  <c r="AW120" i="22"/>
  <c r="CC119" i="21"/>
  <c r="AS123" i="21"/>
  <c r="BE119" i="19"/>
  <c r="BQ117" i="22"/>
  <c r="BQ120" i="21"/>
  <c r="BQ122" i="21"/>
  <c r="BE120" i="19"/>
  <c r="BE122" i="19"/>
  <c r="CC116" i="21"/>
  <c r="BM118" i="22"/>
  <c r="BU122" i="21"/>
  <c r="BY119" i="21"/>
  <c r="BE121" i="19"/>
  <c r="BM123" i="21"/>
  <c r="BU123" i="22"/>
  <c r="BE122" i="22"/>
  <c r="BM120" i="22"/>
  <c r="AW122" i="22"/>
  <c r="BQ121" i="19"/>
  <c r="AS117" i="19"/>
  <c r="BI119" i="21"/>
  <c r="BA120" i="21"/>
  <c r="BE120" i="21"/>
  <c r="BU117" i="22"/>
  <c r="AW120" i="21"/>
  <c r="BT123" i="8"/>
  <c r="BR124" i="8"/>
  <c r="BT124" i="8" s="1"/>
  <c r="BD123" i="8"/>
  <c r="BB124" i="8"/>
  <c r="BD124" i="8" s="1"/>
  <c r="AS122" i="19"/>
  <c r="BE124" i="19"/>
  <c r="BE12" i="19"/>
  <c r="BE15" i="19"/>
  <c r="BE14" i="19"/>
  <c r="BE16" i="19"/>
  <c r="BE13" i="19"/>
  <c r="BE17" i="19"/>
  <c r="BE18" i="19"/>
  <c r="BE19" i="19"/>
  <c r="BE20" i="19"/>
  <c r="BE22" i="19"/>
  <c r="BE23" i="19"/>
  <c r="BE21" i="19"/>
  <c r="BE24" i="19"/>
  <c r="BE26" i="19"/>
  <c r="BE29" i="19"/>
  <c r="BE25" i="19"/>
  <c r="BE28" i="19"/>
  <c r="BE27" i="19"/>
  <c r="BE30" i="19"/>
  <c r="BE31" i="19"/>
  <c r="BE32" i="19"/>
  <c r="BE33" i="19"/>
  <c r="BE34" i="19"/>
  <c r="BE35" i="19"/>
  <c r="BE36" i="19"/>
  <c r="BE38" i="19"/>
  <c r="BE37" i="19"/>
  <c r="BE39" i="19"/>
  <c r="BE40" i="19"/>
  <c r="BE42" i="19"/>
  <c r="BE43" i="19"/>
  <c r="BE41" i="19"/>
  <c r="BE44" i="19"/>
  <c r="BE45" i="19"/>
  <c r="BE47" i="19"/>
  <c r="BE46" i="19"/>
  <c r="BE50" i="19"/>
  <c r="BE48" i="19"/>
  <c r="BE49" i="19"/>
  <c r="BE51" i="19"/>
  <c r="BE53" i="19"/>
  <c r="BE52" i="19"/>
  <c r="BE54" i="19"/>
  <c r="BE55" i="19"/>
  <c r="BE56" i="19"/>
  <c r="BE58" i="19"/>
  <c r="BE57" i="19"/>
  <c r="BE60" i="19"/>
  <c r="BE63" i="19"/>
  <c r="BE59" i="19"/>
  <c r="BE62" i="19"/>
  <c r="BE61" i="19"/>
  <c r="BE65" i="19"/>
  <c r="BE64" i="19"/>
  <c r="BE68" i="19"/>
  <c r="BE67" i="19"/>
  <c r="BE66" i="19"/>
  <c r="BE70" i="19"/>
  <c r="BE69" i="19"/>
  <c r="BE73" i="19"/>
  <c r="BE75" i="19"/>
  <c r="BE71" i="19"/>
  <c r="BE72" i="19"/>
  <c r="BE77" i="19"/>
  <c r="BE74" i="19"/>
  <c r="BE79" i="19"/>
  <c r="BE76" i="19"/>
  <c r="BE81" i="19"/>
  <c r="BE78" i="19"/>
  <c r="BE80" i="19"/>
  <c r="BE83" i="19"/>
  <c r="BE82" i="19"/>
  <c r="BE84" i="19"/>
  <c r="BE86" i="19"/>
  <c r="BE85" i="19"/>
  <c r="BE89" i="19"/>
  <c r="BE87" i="19"/>
  <c r="BE88" i="19"/>
  <c r="BE93" i="19"/>
  <c r="BE91" i="19"/>
  <c r="BE90" i="19"/>
  <c r="BE96" i="19"/>
  <c r="BE92" i="19"/>
  <c r="BE94" i="19"/>
  <c r="BE98" i="19"/>
  <c r="BE95" i="19"/>
  <c r="BE97" i="19"/>
  <c r="BE101" i="19"/>
  <c r="BE102" i="19"/>
  <c r="BE99" i="19"/>
  <c r="BE100" i="19"/>
  <c r="BE103" i="19"/>
  <c r="BE104" i="19"/>
  <c r="BE106" i="19"/>
  <c r="BE105" i="19"/>
  <c r="BE109" i="19"/>
  <c r="BE107" i="19"/>
  <c r="BE108" i="19"/>
  <c r="BE110" i="19"/>
  <c r="BE111" i="19"/>
  <c r="BE112" i="19"/>
  <c r="BE113" i="19"/>
  <c r="BE114" i="19"/>
  <c r="BE115" i="19"/>
  <c r="BU123" i="19"/>
  <c r="BU121" i="19"/>
  <c r="BU119" i="19"/>
  <c r="BU117" i="19"/>
  <c r="AN124" i="22"/>
  <c r="AO122" i="22" s="1"/>
  <c r="AM124" i="22"/>
  <c r="BY118" i="21"/>
  <c r="AS124" i="21"/>
  <c r="AS12" i="21"/>
  <c r="AS13" i="21"/>
  <c r="AS15" i="21"/>
  <c r="AS14" i="21"/>
  <c r="AS16" i="21"/>
  <c r="AS20" i="21"/>
  <c r="AS18" i="21"/>
  <c r="AS17" i="21"/>
  <c r="AS19" i="21"/>
  <c r="AS23" i="21"/>
  <c r="AS21" i="21"/>
  <c r="AS24" i="21"/>
  <c r="AS22" i="21"/>
  <c r="AS25" i="21"/>
  <c r="AS30" i="21"/>
  <c r="AS26" i="21"/>
  <c r="AS28" i="21"/>
  <c r="AS27" i="21"/>
  <c r="AS31" i="21"/>
  <c r="AS29" i="21"/>
  <c r="AS32" i="21"/>
  <c r="AS33" i="21"/>
  <c r="AS36" i="21"/>
  <c r="AS35" i="21"/>
  <c r="AS38" i="21"/>
  <c r="AS34" i="21"/>
  <c r="AS37" i="21"/>
  <c r="AS43" i="21"/>
  <c r="AS39" i="21"/>
  <c r="AS40" i="21"/>
  <c r="AS41" i="21"/>
  <c r="AS42" i="21"/>
  <c r="AS44" i="21"/>
  <c r="AS45" i="21"/>
  <c r="AS46" i="21"/>
  <c r="AS47" i="21"/>
  <c r="AS48" i="21"/>
  <c r="AS49" i="21"/>
  <c r="AS50" i="21"/>
  <c r="AS54" i="21"/>
  <c r="AS52" i="21"/>
  <c r="AS51" i="21"/>
  <c r="AS53" i="21"/>
  <c r="AS55" i="21"/>
  <c r="AS56" i="21"/>
  <c r="AS60" i="21"/>
  <c r="AS57" i="21"/>
  <c r="AS58" i="21"/>
  <c r="AS61" i="21"/>
  <c r="AS59" i="21"/>
  <c r="AS63" i="21"/>
  <c r="AS65" i="21"/>
  <c r="AS62" i="21"/>
  <c r="AS67" i="21"/>
  <c r="AS64" i="21"/>
  <c r="AS69" i="21"/>
  <c r="AS66" i="21"/>
  <c r="AS68" i="21"/>
  <c r="AS71" i="21"/>
  <c r="AS70" i="21"/>
  <c r="AS72" i="21"/>
  <c r="AS74" i="21"/>
  <c r="AS73" i="21"/>
  <c r="AS78" i="21"/>
  <c r="AS75" i="21"/>
  <c r="AS76" i="21"/>
  <c r="AS80" i="21"/>
  <c r="AS79" i="21"/>
  <c r="AS77" i="21"/>
  <c r="AS81" i="21"/>
  <c r="AS83" i="21"/>
  <c r="AS85" i="21"/>
  <c r="AS82" i="21"/>
  <c r="AS86" i="21"/>
  <c r="AS84" i="21"/>
  <c r="AS87" i="21"/>
  <c r="AS88" i="21"/>
  <c r="AS90" i="21"/>
  <c r="AS89" i="21"/>
  <c r="AS92" i="21"/>
  <c r="AS91" i="21"/>
  <c r="AS93" i="21"/>
  <c r="AS95" i="21"/>
  <c r="AS94" i="21"/>
  <c r="AS96" i="21"/>
  <c r="AS97" i="21"/>
  <c r="AS99" i="21"/>
  <c r="AS100" i="21"/>
  <c r="AS98" i="21"/>
  <c r="AS101" i="21"/>
  <c r="AS102" i="21"/>
  <c r="AS105" i="21"/>
  <c r="AS103" i="21"/>
  <c r="AS108" i="21"/>
  <c r="AS106" i="21"/>
  <c r="AS104" i="21"/>
  <c r="AS107" i="21"/>
  <c r="AS110" i="21"/>
  <c r="AS109" i="21"/>
  <c r="AS111" i="21"/>
  <c r="AS113" i="21"/>
  <c r="AS112" i="21"/>
  <c r="AS116" i="21"/>
  <c r="AS114" i="21"/>
  <c r="AS117" i="21"/>
  <c r="CC123" i="21"/>
  <c r="CC121" i="21"/>
  <c r="BY120" i="19"/>
  <c r="BQ123" i="19"/>
  <c r="BQ120" i="19"/>
  <c r="BY123" i="19"/>
  <c r="BY118" i="19"/>
  <c r="AW124" i="22"/>
  <c r="AW14" i="22"/>
  <c r="AW12" i="22"/>
  <c r="AW15" i="22"/>
  <c r="AW13" i="22"/>
  <c r="AW16" i="22"/>
  <c r="AW20" i="22"/>
  <c r="AW18" i="22"/>
  <c r="AW17" i="22"/>
  <c r="AW19" i="22"/>
  <c r="AW23" i="22"/>
  <c r="AW21" i="22"/>
  <c r="AW22" i="22"/>
  <c r="AW24" i="22"/>
  <c r="AW25" i="22"/>
  <c r="AW28" i="22"/>
  <c r="AW26" i="22"/>
  <c r="AW27" i="22"/>
  <c r="AW29" i="22"/>
  <c r="AW30" i="22"/>
  <c r="AW31" i="22"/>
  <c r="AW32" i="22"/>
  <c r="AW33" i="22"/>
  <c r="AW34" i="22"/>
  <c r="AW35" i="22"/>
  <c r="AW36" i="22"/>
  <c r="AW38" i="22"/>
  <c r="AW37" i="22"/>
  <c r="AW39" i="22"/>
  <c r="AW43" i="22"/>
  <c r="AW41" i="22"/>
  <c r="AW40" i="22"/>
  <c r="AW42" i="22"/>
  <c r="AW45" i="22"/>
  <c r="AW46" i="22"/>
  <c r="AW44" i="22"/>
  <c r="AW47" i="22"/>
  <c r="AW49" i="22"/>
  <c r="AW51" i="22"/>
  <c r="AW53" i="22"/>
  <c r="AW48" i="22"/>
  <c r="AW50" i="22"/>
  <c r="AW52" i="22"/>
  <c r="AW54" i="22"/>
  <c r="AW55" i="22"/>
  <c r="AW58" i="22"/>
  <c r="AW56" i="22"/>
  <c r="AW60" i="22"/>
  <c r="AW57" i="22"/>
  <c r="AW59" i="22"/>
  <c r="AW62" i="22"/>
  <c r="AW65" i="22"/>
  <c r="AW61" i="22"/>
  <c r="AW63" i="22"/>
  <c r="AW64" i="22"/>
  <c r="AW67" i="22"/>
  <c r="AW68" i="22"/>
  <c r="AW66" i="22"/>
  <c r="AW69" i="22"/>
  <c r="AW74" i="22"/>
  <c r="AW71" i="22"/>
  <c r="AW70" i="22"/>
  <c r="AW73" i="22"/>
  <c r="AW72" i="22"/>
  <c r="AW77" i="22"/>
  <c r="AW75" i="22"/>
  <c r="AW76" i="22"/>
  <c r="AW78" i="22"/>
  <c r="AW79" i="22"/>
  <c r="AW80" i="22"/>
  <c r="AW83" i="22"/>
  <c r="AW81" i="22"/>
  <c r="AW86" i="22"/>
  <c r="AW82" i="22"/>
  <c r="AW84" i="22"/>
  <c r="AW85" i="22"/>
  <c r="AW88" i="22"/>
  <c r="AW87" i="22"/>
  <c r="AW91" i="22"/>
  <c r="AW89" i="22"/>
  <c r="AW90" i="22"/>
  <c r="AW92" i="22"/>
  <c r="AW94" i="22"/>
  <c r="AW95" i="22"/>
  <c r="AW93" i="22"/>
  <c r="AW97" i="22"/>
  <c r="AW96" i="22"/>
  <c r="AW99" i="22"/>
  <c r="AW98" i="22"/>
  <c r="AW101" i="22"/>
  <c r="AW103" i="22"/>
  <c r="AW100" i="22"/>
  <c r="AW102" i="22"/>
  <c r="AW104" i="22"/>
  <c r="AW106" i="22"/>
  <c r="AW107" i="22"/>
  <c r="AW105" i="22"/>
  <c r="AW109" i="22"/>
  <c r="AW108" i="22"/>
  <c r="AW110" i="22"/>
  <c r="AW113" i="22"/>
  <c r="AW111" i="22"/>
  <c r="AW112" i="22"/>
  <c r="AW116" i="22"/>
  <c r="AW118" i="22"/>
  <c r="AW114" i="22"/>
  <c r="BY120" i="21"/>
  <c r="AR123" i="8"/>
  <c r="AP124" i="8"/>
  <c r="AR124" i="8" s="1"/>
  <c r="BU118" i="22"/>
  <c r="BY119" i="19"/>
  <c r="AT124" i="8"/>
  <c r="AV124" i="8" s="1"/>
  <c r="AV123" i="8"/>
  <c r="BM124" i="19"/>
  <c r="BM12" i="19"/>
  <c r="BM15" i="19"/>
  <c r="BM14" i="19"/>
  <c r="BM13" i="19"/>
  <c r="BM18" i="19"/>
  <c r="BM16" i="19"/>
  <c r="BM17" i="19"/>
  <c r="BM20" i="19"/>
  <c r="BM19" i="19"/>
  <c r="BM21" i="19"/>
  <c r="BM24" i="19"/>
  <c r="BM22" i="19"/>
  <c r="BM25" i="19"/>
  <c r="BM23" i="19"/>
  <c r="BM26" i="19"/>
  <c r="BM27" i="19"/>
  <c r="BM29" i="19"/>
  <c r="BM28" i="19"/>
  <c r="BM34" i="19"/>
  <c r="BM30" i="19"/>
  <c r="BM36" i="19"/>
  <c r="BM32" i="19"/>
  <c r="BM31" i="19"/>
  <c r="BM35" i="19"/>
  <c r="BM33" i="19"/>
  <c r="BM38" i="19"/>
  <c r="BM39" i="19"/>
  <c r="BM37" i="19"/>
  <c r="BM41" i="19"/>
  <c r="BM40" i="19"/>
  <c r="BM42" i="19"/>
  <c r="BM44" i="19"/>
  <c r="BM46" i="19"/>
  <c r="BM43" i="19"/>
  <c r="BM47" i="19"/>
  <c r="BM45" i="19"/>
  <c r="BM48" i="19"/>
  <c r="BM49" i="19"/>
  <c r="BM50" i="19"/>
  <c r="BM52" i="19"/>
  <c r="BM54" i="19"/>
  <c r="BM51" i="19"/>
  <c r="BM53" i="19"/>
  <c r="BM56" i="19"/>
  <c r="BM55" i="19"/>
  <c r="BM59" i="19"/>
  <c r="BM57" i="19"/>
  <c r="BM58" i="19"/>
  <c r="BM60" i="19"/>
  <c r="BM62" i="19"/>
  <c r="BM61" i="19"/>
  <c r="BM65" i="19"/>
  <c r="BM63" i="19"/>
  <c r="BM64" i="19"/>
  <c r="BM67" i="19"/>
  <c r="BM66" i="19"/>
  <c r="BM70" i="19"/>
  <c r="BM69" i="19"/>
  <c r="BM71" i="19"/>
  <c r="BM68" i="19"/>
  <c r="BM72" i="19"/>
  <c r="BM73" i="19"/>
  <c r="BM77" i="19"/>
  <c r="BM76" i="19"/>
  <c r="BM74" i="19"/>
  <c r="BM79" i="19"/>
  <c r="BM75" i="19"/>
  <c r="BM78" i="19"/>
  <c r="BM82" i="19"/>
  <c r="BM84" i="19"/>
  <c r="BM80" i="19"/>
  <c r="BM81" i="19"/>
  <c r="BM83" i="19"/>
  <c r="BM86" i="19"/>
  <c r="BM85" i="19"/>
  <c r="BM90" i="19"/>
  <c r="BM89" i="19"/>
  <c r="BM88" i="19"/>
  <c r="BM87" i="19"/>
  <c r="BM91" i="19"/>
  <c r="BM92" i="19"/>
  <c r="BM93" i="19"/>
  <c r="BM94" i="19"/>
  <c r="BM95" i="19"/>
  <c r="BM96" i="19"/>
  <c r="BM98" i="19"/>
  <c r="BM97" i="19"/>
  <c r="BM100" i="19"/>
  <c r="BM99" i="19"/>
  <c r="BM101" i="19"/>
  <c r="BM102" i="19"/>
  <c r="BM104" i="19"/>
  <c r="BM103" i="19"/>
  <c r="BM105" i="19"/>
  <c r="BM106" i="19"/>
  <c r="BM111" i="19"/>
  <c r="BM107" i="19"/>
  <c r="BM108" i="19"/>
  <c r="BM110" i="19"/>
  <c r="BM109" i="19"/>
  <c r="BM112" i="19"/>
  <c r="BM116" i="19"/>
  <c r="BM117" i="19"/>
  <c r="BM113" i="19"/>
  <c r="BM114" i="19"/>
  <c r="BM118" i="19"/>
  <c r="BM115" i="19"/>
  <c r="AW123" i="21"/>
  <c r="AW117" i="21"/>
  <c r="AW118" i="21"/>
  <c r="BI116" i="21"/>
  <c r="BQ122" i="22"/>
  <c r="AS116" i="19"/>
  <c r="BI123" i="19"/>
  <c r="BI119" i="19"/>
  <c r="BI121" i="19"/>
  <c r="CC124" i="21"/>
  <c r="CC12" i="21"/>
  <c r="CC14" i="21"/>
  <c r="CC13" i="21"/>
  <c r="CC15" i="21"/>
  <c r="CC16" i="21"/>
  <c r="CC18" i="21"/>
  <c r="CC17" i="21"/>
  <c r="CC21" i="21"/>
  <c r="CC24" i="21"/>
  <c r="CC20" i="21"/>
  <c r="CC19" i="21"/>
  <c r="CC25" i="21"/>
  <c r="CC23" i="21"/>
  <c r="CC22" i="21"/>
  <c r="CC26" i="21"/>
  <c r="CC27" i="21"/>
  <c r="CC28" i="21"/>
  <c r="CC29" i="21"/>
  <c r="CC31" i="21"/>
  <c r="CC30" i="21"/>
  <c r="CC33" i="21"/>
  <c r="CC32" i="21"/>
  <c r="CC35" i="21"/>
  <c r="CC34" i="21"/>
  <c r="CC40" i="21"/>
  <c r="CC36" i="21"/>
  <c r="CC38" i="21"/>
  <c r="CC39" i="21"/>
  <c r="CC37" i="21"/>
  <c r="CC41" i="21"/>
  <c r="CC42" i="21"/>
  <c r="CC47" i="21"/>
  <c r="CC43" i="21"/>
  <c r="CC45" i="21"/>
  <c r="CC44" i="21"/>
  <c r="CC46" i="21"/>
  <c r="CC49" i="21"/>
  <c r="CC48" i="21"/>
  <c r="CC52" i="21"/>
  <c r="CC51" i="21"/>
  <c r="CC50" i="21"/>
  <c r="CC53" i="21"/>
  <c r="CC54" i="21"/>
  <c r="CC56" i="21"/>
  <c r="CC55" i="21"/>
  <c r="CC57" i="21"/>
  <c r="CC59" i="21"/>
  <c r="CC58" i="21"/>
  <c r="CC61" i="21"/>
  <c r="CC60" i="21"/>
  <c r="CC62" i="21"/>
  <c r="CC63" i="21"/>
  <c r="CC66" i="21"/>
  <c r="CC67" i="21"/>
  <c r="CC65" i="21"/>
  <c r="CC64" i="21"/>
  <c r="CC69" i="21"/>
  <c r="CC68" i="21"/>
  <c r="CC70" i="21"/>
  <c r="CC73" i="21"/>
  <c r="CC72" i="21"/>
  <c r="CC71" i="21"/>
  <c r="CC74" i="21"/>
  <c r="CC76" i="21"/>
  <c r="CC75" i="21"/>
  <c r="CC77" i="21"/>
  <c r="CC79" i="21"/>
  <c r="CC78" i="21"/>
  <c r="CC83" i="21"/>
  <c r="CC81" i="21"/>
  <c r="CC80" i="21"/>
  <c r="CC82" i="21"/>
  <c r="CC84" i="21"/>
  <c r="CC85" i="21"/>
  <c r="CC86" i="21"/>
  <c r="CC87" i="21"/>
  <c r="CC88" i="21"/>
  <c r="CC90" i="21"/>
  <c r="CC89" i="21"/>
  <c r="CC91" i="21"/>
  <c r="CC92" i="21"/>
  <c r="CC94" i="21"/>
  <c r="CC93" i="21"/>
  <c r="CC98" i="21"/>
  <c r="CC96" i="21"/>
  <c r="CC95" i="21"/>
  <c r="CC97" i="21"/>
  <c r="CC101" i="21"/>
  <c r="CC99" i="21"/>
  <c r="CC100" i="21"/>
  <c r="CC102" i="21"/>
  <c r="CC103" i="21"/>
  <c r="CC104" i="21"/>
  <c r="CC107" i="21"/>
  <c r="CC106" i="21"/>
  <c r="CC105" i="21"/>
  <c r="CC109" i="21"/>
  <c r="CC110" i="21"/>
  <c r="CC108" i="21"/>
  <c r="CC112" i="21"/>
  <c r="CC113" i="21"/>
  <c r="CC111" i="21"/>
  <c r="CC114" i="21"/>
  <c r="BM122" i="21"/>
  <c r="BQ124" i="19"/>
  <c r="BQ12" i="19"/>
  <c r="BQ13" i="19"/>
  <c r="BQ15" i="19"/>
  <c r="BQ14" i="19"/>
  <c r="BQ16" i="19"/>
  <c r="BQ19" i="19"/>
  <c r="BQ17" i="19"/>
  <c r="BQ18" i="19"/>
  <c r="BQ20" i="19"/>
  <c r="BQ22" i="19"/>
  <c r="BQ21" i="19"/>
  <c r="BQ25" i="19"/>
  <c r="BQ24" i="19"/>
  <c r="BQ23" i="19"/>
  <c r="BQ26" i="19"/>
  <c r="BQ30" i="19"/>
  <c r="BQ28" i="19"/>
  <c r="BQ27" i="19"/>
  <c r="BQ32" i="19"/>
  <c r="BQ31" i="19"/>
  <c r="BQ29" i="19"/>
  <c r="BQ33" i="19"/>
  <c r="BQ35" i="19"/>
  <c r="BQ34" i="19"/>
  <c r="BQ36" i="19"/>
  <c r="BQ37" i="19"/>
  <c r="BQ43" i="19"/>
  <c r="BQ38" i="19"/>
  <c r="BQ39" i="19"/>
  <c r="BQ40" i="19"/>
  <c r="BQ41" i="19"/>
  <c r="BQ42" i="19"/>
  <c r="BQ45" i="19"/>
  <c r="BQ44" i="19"/>
  <c r="BQ46" i="19"/>
  <c r="BQ47" i="19"/>
  <c r="BQ48" i="19"/>
  <c r="BQ49" i="19"/>
  <c r="BQ50" i="19"/>
  <c r="BQ51" i="19"/>
  <c r="BQ52" i="19"/>
  <c r="BQ54" i="19"/>
  <c r="BQ53" i="19"/>
  <c r="BQ57" i="19"/>
  <c r="BQ55" i="19"/>
  <c r="BQ56" i="19"/>
  <c r="BQ62" i="19"/>
  <c r="BQ58" i="19"/>
  <c r="BQ61" i="19"/>
  <c r="BQ59" i="19"/>
  <c r="BQ64" i="19"/>
  <c r="BQ60" i="19"/>
  <c r="BQ63" i="19"/>
  <c r="BQ67" i="19"/>
  <c r="BQ70" i="19"/>
  <c r="BQ66" i="19"/>
  <c r="BQ65" i="19"/>
  <c r="BQ69" i="19"/>
  <c r="BQ68" i="19"/>
  <c r="BQ72" i="19"/>
  <c r="BQ71" i="19"/>
  <c r="BQ73" i="19"/>
  <c r="BQ77" i="19"/>
  <c r="BQ74" i="19"/>
  <c r="BQ75" i="19"/>
  <c r="BQ78" i="19"/>
  <c r="BQ76" i="19"/>
  <c r="BQ80" i="19"/>
  <c r="BQ79" i="19"/>
  <c r="BQ83" i="19"/>
  <c r="BQ81" i="19"/>
  <c r="BQ82" i="19"/>
  <c r="BQ84" i="19"/>
  <c r="BQ88" i="19"/>
  <c r="BQ86" i="19"/>
  <c r="BQ85" i="19"/>
  <c r="BQ87" i="19"/>
  <c r="BQ89" i="19"/>
  <c r="BQ90" i="19"/>
  <c r="BQ91" i="19"/>
  <c r="BQ92" i="19"/>
  <c r="BQ94" i="19"/>
  <c r="BQ93" i="19"/>
  <c r="BQ96" i="19"/>
  <c r="BQ95" i="19"/>
  <c r="BQ97" i="19"/>
  <c r="BQ98" i="19"/>
  <c r="BQ104" i="19"/>
  <c r="BQ99" i="19"/>
  <c r="BQ100" i="19"/>
  <c r="BQ101" i="19"/>
  <c r="BQ105" i="19"/>
  <c r="BQ102" i="19"/>
  <c r="BQ106" i="19"/>
  <c r="BQ103" i="19"/>
  <c r="BQ108" i="19"/>
  <c r="BQ107" i="19"/>
  <c r="BQ109" i="19"/>
  <c r="BQ110" i="19"/>
  <c r="BQ111" i="19"/>
  <c r="BQ113" i="19"/>
  <c r="BQ114" i="19"/>
  <c r="BQ112" i="19"/>
  <c r="BQ117" i="19"/>
  <c r="BQ115" i="19"/>
  <c r="CC119" i="22"/>
  <c r="AW123" i="22"/>
  <c r="AW121" i="22"/>
  <c r="AW119" i="22"/>
  <c r="AW115" i="22"/>
  <c r="AW117" i="22"/>
  <c r="BU120" i="19"/>
  <c r="BE124" i="21"/>
  <c r="BE12" i="21"/>
  <c r="BE13" i="21"/>
  <c r="BE14" i="21"/>
  <c r="BE16" i="21"/>
  <c r="BE15" i="21"/>
  <c r="BE18" i="21"/>
  <c r="BE17" i="21"/>
  <c r="BE19" i="21"/>
  <c r="BE21" i="21"/>
  <c r="BE20" i="21"/>
  <c r="BE22" i="21"/>
  <c r="BE25" i="21"/>
  <c r="BE23" i="21"/>
  <c r="BE24" i="21"/>
  <c r="BE28" i="21"/>
  <c r="BE26" i="21"/>
  <c r="BE30" i="21"/>
  <c r="BE27" i="21"/>
  <c r="BE29" i="21"/>
  <c r="BE32" i="21"/>
  <c r="BE34" i="21"/>
  <c r="BE31" i="21"/>
  <c r="BE33" i="21"/>
  <c r="BE35" i="21"/>
  <c r="BE38" i="21"/>
  <c r="BE36" i="21"/>
  <c r="BE37" i="21"/>
  <c r="BE39" i="21"/>
  <c r="BE41" i="21"/>
  <c r="BE40" i="21"/>
  <c r="BE43" i="21"/>
  <c r="BE44" i="21"/>
  <c r="BE46" i="21"/>
  <c r="BE42" i="21"/>
  <c r="BE45" i="21"/>
  <c r="BE48" i="21"/>
  <c r="BE47" i="21"/>
  <c r="BE49" i="21"/>
  <c r="BE50" i="21"/>
  <c r="BE51" i="21"/>
  <c r="BE52" i="21"/>
  <c r="BE53" i="21"/>
  <c r="BE54" i="21"/>
  <c r="BE57" i="21"/>
  <c r="BE55" i="21"/>
  <c r="BE56" i="21"/>
  <c r="BE58" i="21"/>
  <c r="BE59" i="21"/>
  <c r="BE62" i="21"/>
  <c r="BE60" i="21"/>
  <c r="BE63" i="21"/>
  <c r="BE61" i="21"/>
  <c r="BE64" i="21"/>
  <c r="BE65" i="21"/>
  <c r="BE67" i="21"/>
  <c r="BE70" i="21"/>
  <c r="BE66" i="21"/>
  <c r="BE69" i="21"/>
  <c r="BE68" i="21"/>
  <c r="BE72" i="21"/>
  <c r="BE71" i="21"/>
  <c r="BE74" i="21"/>
  <c r="BE73" i="21"/>
  <c r="BE77" i="21"/>
  <c r="BE75" i="21"/>
  <c r="BE78" i="21"/>
  <c r="BE76" i="21"/>
  <c r="BE80" i="21"/>
  <c r="BE79" i="21"/>
  <c r="BE82" i="21"/>
  <c r="BE81" i="21"/>
  <c r="BE86" i="21"/>
  <c r="BE84" i="21"/>
  <c r="BE83" i="21"/>
  <c r="BE85" i="21"/>
  <c r="BE90" i="21"/>
  <c r="BE89" i="21"/>
  <c r="BE88" i="21"/>
  <c r="BE87" i="21"/>
  <c r="BE94" i="21"/>
  <c r="BE92" i="21"/>
  <c r="BE91" i="21"/>
  <c r="BE93" i="21"/>
  <c r="BE95" i="21"/>
  <c r="BE96" i="21"/>
  <c r="BE98" i="21"/>
  <c r="BE97" i="21"/>
  <c r="BE100" i="21"/>
  <c r="BE99" i="21"/>
  <c r="BE104" i="21"/>
  <c r="BE102" i="21"/>
  <c r="BE101" i="21"/>
  <c r="BE103" i="21"/>
  <c r="BE106" i="21"/>
  <c r="BE105" i="21"/>
  <c r="BE108" i="21"/>
  <c r="BE107" i="21"/>
  <c r="BE109" i="21"/>
  <c r="BE112" i="21"/>
  <c r="BE110" i="21"/>
  <c r="BE113" i="21"/>
  <c r="BE111" i="21"/>
  <c r="BE114" i="21"/>
  <c r="BE115" i="21"/>
  <c r="BE118" i="21"/>
  <c r="BU120" i="22"/>
  <c r="CC117" i="21"/>
  <c r="BY122" i="21"/>
  <c r="CG124" i="19"/>
  <c r="CG12" i="19"/>
  <c r="CG13" i="19"/>
  <c r="CG14" i="19"/>
  <c r="CG16" i="19"/>
  <c r="CG15" i="19"/>
  <c r="CG19" i="19"/>
  <c r="CG18" i="19"/>
  <c r="CG17" i="19"/>
  <c r="CG20" i="19"/>
  <c r="CG24" i="19"/>
  <c r="CG25" i="19"/>
  <c r="CG21" i="19"/>
  <c r="CG22" i="19"/>
  <c r="CG23" i="19"/>
  <c r="CG26" i="19"/>
  <c r="CG27" i="19"/>
  <c r="CG28" i="19"/>
  <c r="CG29" i="19"/>
  <c r="CG33" i="19"/>
  <c r="CG31" i="19"/>
  <c r="CG32" i="19"/>
  <c r="CG30" i="19"/>
  <c r="CG35" i="19"/>
  <c r="CG34" i="19"/>
  <c r="CG38" i="19"/>
  <c r="CG36" i="19"/>
  <c r="CG37" i="19"/>
  <c r="CG39" i="19"/>
  <c r="CG41" i="19"/>
  <c r="CG40" i="19"/>
  <c r="CG43" i="19"/>
  <c r="CG42" i="19"/>
  <c r="CG44" i="19"/>
  <c r="CG45" i="19"/>
  <c r="CG47" i="19"/>
  <c r="CG46" i="19"/>
  <c r="CG51" i="19"/>
  <c r="CG48" i="19"/>
  <c r="CG49" i="19"/>
  <c r="CG55" i="19"/>
  <c r="CG50" i="19"/>
  <c r="CG53" i="19"/>
  <c r="CG52" i="19"/>
  <c r="CG54" i="19"/>
  <c r="CG59" i="19"/>
  <c r="CG56" i="19"/>
  <c r="CG58" i="19"/>
  <c r="CG57" i="19"/>
  <c r="CG60" i="19"/>
  <c r="CG64" i="19"/>
  <c r="CG62" i="19"/>
  <c r="CG61" i="19"/>
  <c r="CG63" i="19"/>
  <c r="CG67" i="19"/>
  <c r="CG66" i="19"/>
  <c r="CG65" i="19"/>
  <c r="CG69" i="19"/>
  <c r="CG68" i="19"/>
  <c r="CG71" i="19"/>
  <c r="CG70" i="19"/>
  <c r="CG73" i="19"/>
  <c r="CG72" i="19"/>
  <c r="CG74" i="19"/>
  <c r="CG75" i="19"/>
  <c r="CG76" i="19"/>
  <c r="CG77" i="19"/>
  <c r="CG78" i="19"/>
  <c r="CG81" i="19"/>
  <c r="CG79" i="19"/>
  <c r="CG80" i="19"/>
  <c r="CG82" i="19"/>
  <c r="CG84" i="19"/>
  <c r="CG85" i="19"/>
  <c r="CG83" i="19"/>
  <c r="CG86" i="19"/>
  <c r="CG89" i="19"/>
  <c r="CG88" i="19"/>
  <c r="CG87" i="19"/>
  <c r="CG90" i="19"/>
  <c r="CG93" i="19"/>
  <c r="CG92" i="19"/>
  <c r="CG91" i="19"/>
  <c r="CG95" i="19"/>
  <c r="CG94" i="19"/>
  <c r="CG97" i="19"/>
  <c r="CG96" i="19"/>
  <c r="CG98" i="19"/>
  <c r="CG101" i="19"/>
  <c r="CG100" i="19"/>
  <c r="CG99" i="19"/>
  <c r="CG104" i="19"/>
  <c r="CG102" i="19"/>
  <c r="CG103" i="19"/>
  <c r="CG108" i="19"/>
  <c r="CG107" i="19"/>
  <c r="CG106" i="19"/>
  <c r="CG105" i="19"/>
  <c r="CG110" i="19"/>
  <c r="CG109" i="19"/>
  <c r="CG111" i="19"/>
  <c r="CG113" i="19"/>
  <c r="CG112" i="19"/>
  <c r="CG116" i="19"/>
  <c r="CG118" i="19"/>
  <c r="CG117" i="19"/>
  <c r="CG114" i="19"/>
  <c r="CG115" i="19"/>
  <c r="BI122" i="19"/>
  <c r="AW123" i="19"/>
  <c r="AW121" i="19"/>
  <c r="AW118" i="19"/>
  <c r="AW119" i="19"/>
  <c r="AW117" i="19"/>
  <c r="AS118" i="21"/>
  <c r="BV124" i="22"/>
  <c r="BX124" i="22" s="1"/>
  <c r="BX123" i="22"/>
  <c r="BE118" i="19"/>
  <c r="BY124" i="21"/>
  <c r="BY12" i="21"/>
  <c r="BY14" i="21"/>
  <c r="BY13" i="21"/>
  <c r="BY16" i="21"/>
  <c r="BY15" i="21"/>
  <c r="BY18" i="21"/>
  <c r="BY17" i="21"/>
  <c r="BY19" i="21"/>
  <c r="BY20" i="21"/>
  <c r="BY22" i="21"/>
  <c r="BY21" i="21"/>
  <c r="BY26" i="21"/>
  <c r="BY23" i="21"/>
  <c r="BY28" i="21"/>
  <c r="BY24" i="21"/>
  <c r="BY25" i="21"/>
  <c r="BY29" i="21"/>
  <c r="BY27" i="21"/>
  <c r="BY30" i="21"/>
  <c r="BY32" i="21"/>
  <c r="BY33" i="21"/>
  <c r="BY34" i="21"/>
  <c r="BY31" i="21"/>
  <c r="BY36" i="21"/>
  <c r="BY35" i="21"/>
  <c r="BY38" i="21"/>
  <c r="BY37" i="21"/>
  <c r="BY40" i="21"/>
  <c r="BY41" i="21"/>
  <c r="BY39" i="21"/>
  <c r="BY44" i="21"/>
  <c r="BY42" i="21"/>
  <c r="BY43" i="21"/>
  <c r="BY47" i="21"/>
  <c r="BY45" i="21"/>
  <c r="BY46" i="21"/>
  <c r="BY49" i="21"/>
  <c r="BY48" i="21"/>
  <c r="BY53" i="21"/>
  <c r="BY54" i="21"/>
  <c r="BY52" i="21"/>
  <c r="BY51" i="21"/>
  <c r="BY50" i="21"/>
  <c r="BY55" i="21"/>
  <c r="BY59" i="21"/>
  <c r="BY58" i="21"/>
  <c r="BY56" i="21"/>
  <c r="BY57" i="21"/>
  <c r="BY60" i="21"/>
  <c r="BY62" i="21"/>
  <c r="BY61" i="21"/>
  <c r="BY63" i="21"/>
  <c r="BY64" i="21"/>
  <c r="BY66" i="21"/>
  <c r="BY65" i="21"/>
  <c r="BY68" i="21"/>
  <c r="BY67" i="21"/>
  <c r="BY69" i="21"/>
  <c r="BY73" i="21"/>
  <c r="BY71" i="21"/>
  <c r="BY70" i="21"/>
  <c r="BY72" i="21"/>
  <c r="BY77" i="21"/>
  <c r="BY74" i="21"/>
  <c r="BY76" i="21"/>
  <c r="BY75" i="21"/>
  <c r="BY79" i="21"/>
  <c r="BY82" i="21"/>
  <c r="BY81" i="21"/>
  <c r="BY78" i="21"/>
  <c r="BY80" i="21"/>
  <c r="BY85" i="21"/>
  <c r="BY87" i="21"/>
  <c r="BY84" i="21"/>
  <c r="BY83" i="21"/>
  <c r="BY86" i="21"/>
  <c r="BY88" i="21"/>
  <c r="BY90" i="21"/>
  <c r="BY89" i="21"/>
  <c r="BY92" i="21"/>
  <c r="BY93" i="21"/>
  <c r="BY91" i="21"/>
  <c r="BY94" i="21"/>
  <c r="BY95" i="21"/>
  <c r="BY96" i="21"/>
  <c r="BY97" i="21"/>
  <c r="BY99" i="21"/>
  <c r="BY98" i="21"/>
  <c r="BY100" i="21"/>
  <c r="BY101" i="21"/>
  <c r="BY102" i="21"/>
  <c r="BY103" i="21"/>
  <c r="BY104" i="21"/>
  <c r="BY105" i="21"/>
  <c r="BY106" i="21"/>
  <c r="BY107" i="21"/>
  <c r="BY108" i="21"/>
  <c r="BY110" i="21"/>
  <c r="BY109" i="21"/>
  <c r="BY111" i="21"/>
  <c r="BY112" i="21"/>
  <c r="BY114" i="21"/>
  <c r="BY113" i="21"/>
  <c r="BY116" i="21"/>
  <c r="AS118" i="19"/>
  <c r="BE117" i="19"/>
  <c r="BQ124" i="21"/>
  <c r="BQ13" i="21"/>
  <c r="BQ12" i="21"/>
  <c r="BQ14" i="21"/>
  <c r="BQ18" i="21"/>
  <c r="BQ16" i="21"/>
  <c r="BQ15" i="21"/>
  <c r="BQ17" i="21"/>
  <c r="BQ20" i="21"/>
  <c r="BQ19" i="21"/>
  <c r="BQ22" i="21"/>
  <c r="BQ21" i="21"/>
  <c r="BQ23" i="21"/>
  <c r="BQ24" i="21"/>
  <c r="BQ26" i="21"/>
  <c r="BQ25" i="21"/>
  <c r="BQ27" i="21"/>
  <c r="BQ28" i="21"/>
  <c r="BQ29" i="21"/>
  <c r="BQ30" i="21"/>
  <c r="BQ33" i="21"/>
  <c r="BQ31" i="21"/>
  <c r="BQ32" i="21"/>
  <c r="BQ34" i="21"/>
  <c r="BQ36" i="21"/>
  <c r="BQ35" i="21"/>
  <c r="BQ38" i="21"/>
  <c r="BQ37" i="21"/>
  <c r="BQ39" i="21"/>
  <c r="BQ42" i="21"/>
  <c r="BQ40" i="21"/>
  <c r="BQ41" i="21"/>
  <c r="BQ43" i="21"/>
  <c r="BQ47" i="21"/>
  <c r="BQ45" i="21"/>
  <c r="BQ44" i="21"/>
  <c r="BQ48" i="21"/>
  <c r="BQ49" i="21"/>
  <c r="BQ46" i="21"/>
  <c r="BQ52" i="21"/>
  <c r="BQ50" i="21"/>
  <c r="BQ51" i="21"/>
  <c r="BQ56" i="21"/>
  <c r="BQ53" i="21"/>
  <c r="BQ55" i="21"/>
  <c r="BQ54" i="21"/>
  <c r="BQ57" i="21"/>
  <c r="BQ58" i="21"/>
  <c r="BQ59" i="21"/>
  <c r="BQ60" i="21"/>
  <c r="BQ62" i="21"/>
  <c r="BQ64" i="21"/>
  <c r="BQ61" i="21"/>
  <c r="BQ63" i="21"/>
  <c r="BQ66" i="21"/>
  <c r="BQ65" i="21"/>
  <c r="BQ68" i="21"/>
  <c r="BQ67" i="21"/>
  <c r="BQ69" i="21"/>
  <c r="BQ71" i="21"/>
  <c r="BQ70" i="21"/>
  <c r="BQ72" i="21"/>
  <c r="BQ74" i="21"/>
  <c r="BQ73" i="21"/>
  <c r="BQ75" i="21"/>
  <c r="BQ76" i="21"/>
  <c r="BQ77" i="21"/>
  <c r="BQ82" i="21"/>
  <c r="BQ78" i="21"/>
  <c r="BQ79" i="21"/>
  <c r="BQ80" i="21"/>
  <c r="BQ84" i="21"/>
  <c r="BQ83" i="21"/>
  <c r="BQ81" i="21"/>
  <c r="BQ86" i="21"/>
  <c r="BQ85" i="21"/>
  <c r="BQ88" i="21"/>
  <c r="BQ89" i="21"/>
  <c r="BQ87" i="21"/>
  <c r="BQ91" i="21"/>
  <c r="BQ95" i="21"/>
  <c r="BQ90" i="21"/>
  <c r="BQ92" i="21"/>
  <c r="BQ93" i="21"/>
  <c r="BQ94" i="21"/>
  <c r="BQ98" i="21"/>
  <c r="BQ100" i="21"/>
  <c r="BQ96" i="21"/>
  <c r="BQ97" i="21"/>
  <c r="BQ102" i="21"/>
  <c r="BQ99" i="21"/>
  <c r="BQ101" i="21"/>
  <c r="BQ103" i="21"/>
  <c r="BQ104" i="21"/>
  <c r="BQ105" i="21"/>
  <c r="BQ107" i="21"/>
  <c r="BQ109" i="21"/>
  <c r="BQ108" i="21"/>
  <c r="BQ106" i="21"/>
  <c r="BQ110" i="21"/>
  <c r="BQ111" i="21"/>
  <c r="BQ112" i="21"/>
  <c r="BQ113" i="21"/>
  <c r="BQ114" i="21"/>
  <c r="BQ116" i="21"/>
  <c r="CC118" i="22"/>
  <c r="BQ119" i="19"/>
  <c r="BU124" i="22"/>
  <c r="BU12" i="22"/>
  <c r="BU13" i="22"/>
  <c r="BU14" i="22"/>
  <c r="BU16" i="22"/>
  <c r="BU18" i="22"/>
  <c r="BU15" i="22"/>
  <c r="BU17" i="22"/>
  <c r="BU20" i="22"/>
  <c r="BU19" i="22"/>
  <c r="BU21" i="22"/>
  <c r="BU24" i="22"/>
  <c r="BU22" i="22"/>
  <c r="BU23" i="22"/>
  <c r="BU25" i="22"/>
  <c r="BU28" i="22"/>
  <c r="BU27" i="22"/>
  <c r="BU26" i="22"/>
  <c r="BU30" i="22"/>
  <c r="BU29" i="22"/>
  <c r="BU31" i="22"/>
  <c r="BU32" i="22"/>
  <c r="BU33" i="22"/>
  <c r="BU35" i="22"/>
  <c r="BU34" i="22"/>
  <c r="BU36" i="22"/>
  <c r="BU37" i="22"/>
  <c r="BU42" i="22"/>
  <c r="BU39" i="22"/>
  <c r="BU38" i="22"/>
  <c r="BU40" i="22"/>
  <c r="BU41" i="22"/>
  <c r="BU43" i="22"/>
  <c r="BU45" i="22"/>
  <c r="BU44" i="22"/>
  <c r="BU46" i="22"/>
  <c r="BU49" i="22"/>
  <c r="BU48" i="22"/>
  <c r="BU47" i="22"/>
  <c r="BU51" i="22"/>
  <c r="BU50" i="22"/>
  <c r="BU53" i="22"/>
  <c r="BU54" i="22"/>
  <c r="BU52" i="22"/>
  <c r="BU56" i="22"/>
  <c r="BU55" i="22"/>
  <c r="BU57" i="22"/>
  <c r="BU59" i="22"/>
  <c r="BU58" i="22"/>
  <c r="BU65" i="22"/>
  <c r="BU60" i="22"/>
  <c r="BU61" i="22"/>
  <c r="BU62" i="22"/>
  <c r="BU63" i="22"/>
  <c r="BU64" i="22"/>
  <c r="BU66" i="22"/>
  <c r="BU67" i="22"/>
  <c r="BU69" i="22"/>
  <c r="BU68" i="22"/>
  <c r="BU70" i="22"/>
  <c r="BU71" i="22"/>
  <c r="BU74" i="22"/>
  <c r="BU72" i="22"/>
  <c r="BU73" i="22"/>
  <c r="BU75" i="22"/>
  <c r="BU76" i="22"/>
  <c r="BU77" i="22"/>
  <c r="BU78" i="22"/>
  <c r="BU80" i="22"/>
  <c r="BU79" i="22"/>
  <c r="BU81" i="22"/>
  <c r="BU83" i="22"/>
  <c r="BU82" i="22"/>
  <c r="BU84" i="22"/>
  <c r="BU86" i="22"/>
  <c r="BU85" i="22"/>
  <c r="BU87" i="22"/>
  <c r="BU91" i="22"/>
  <c r="BU88" i="22"/>
  <c r="BU89" i="22"/>
  <c r="BU90" i="22"/>
  <c r="BU93" i="22"/>
  <c r="BU92" i="22"/>
  <c r="BU96" i="22"/>
  <c r="BU94" i="22"/>
  <c r="BU95" i="22"/>
  <c r="BU99" i="22"/>
  <c r="BU97" i="22"/>
  <c r="BU98" i="22"/>
  <c r="BU103" i="22"/>
  <c r="BU105" i="22"/>
  <c r="BU101" i="22"/>
  <c r="BU100" i="22"/>
  <c r="BU102" i="22"/>
  <c r="BU104" i="22"/>
  <c r="BU107" i="22"/>
  <c r="BU109" i="22"/>
  <c r="BU106" i="22"/>
  <c r="BU111" i="22"/>
  <c r="BU108" i="22"/>
  <c r="BU110" i="22"/>
  <c r="BU113" i="22"/>
  <c r="BU115" i="22"/>
  <c r="BU112" i="22"/>
  <c r="BU114" i="22"/>
  <c r="BE123" i="22"/>
  <c r="BE116" i="22"/>
  <c r="BE121" i="22"/>
  <c r="BE119" i="22"/>
  <c r="BE118" i="22"/>
  <c r="CC122" i="22"/>
  <c r="BU118" i="19"/>
  <c r="BE116" i="19"/>
  <c r="BM123" i="22"/>
  <c r="BM121" i="22"/>
  <c r="BM119" i="22"/>
  <c r="BE123" i="21"/>
  <c r="BE121" i="21"/>
  <c r="BE116" i="21"/>
  <c r="BU119" i="22"/>
  <c r="BM120" i="21"/>
  <c r="BA118" i="21"/>
  <c r="CC118" i="21"/>
  <c r="BH123" i="8"/>
  <c r="BF124" i="8"/>
  <c r="BH124" i="8" s="1"/>
  <c r="CG123" i="19"/>
  <c r="CG121" i="19"/>
  <c r="CG120" i="19"/>
  <c r="CG119" i="19"/>
  <c r="CD124" i="8"/>
  <c r="CF124" i="8" s="1"/>
  <c r="CF123" i="8"/>
  <c r="AW124" i="19"/>
  <c r="AW12" i="19"/>
  <c r="AW14" i="19"/>
  <c r="AW13" i="19"/>
  <c r="AW15" i="19"/>
  <c r="AW17" i="19"/>
  <c r="AW16" i="19"/>
  <c r="AW18" i="19"/>
  <c r="AW21" i="19"/>
  <c r="AW19" i="19"/>
  <c r="AW20" i="19"/>
  <c r="AW23" i="19"/>
  <c r="AW24" i="19"/>
  <c r="AW22" i="19"/>
  <c r="AW28" i="19"/>
  <c r="AW25" i="19"/>
  <c r="AW26" i="19"/>
  <c r="AW29" i="19"/>
  <c r="AW27" i="19"/>
  <c r="AW31" i="19"/>
  <c r="AW30" i="19"/>
  <c r="AW33" i="19"/>
  <c r="AW32" i="19"/>
  <c r="AW34" i="19"/>
  <c r="AW36" i="19"/>
  <c r="AW35" i="19"/>
  <c r="AW39" i="19"/>
  <c r="AW37" i="19"/>
  <c r="AW38" i="19"/>
  <c r="AW41" i="19"/>
  <c r="AW43" i="19"/>
  <c r="AW42" i="19"/>
  <c r="AW40" i="19"/>
  <c r="AW45" i="19"/>
  <c r="AW44" i="19"/>
  <c r="AW47" i="19"/>
  <c r="AW46" i="19"/>
  <c r="AW48" i="19"/>
  <c r="AW49" i="19"/>
  <c r="AW50" i="19"/>
  <c r="AW51" i="19"/>
  <c r="AW52" i="19"/>
  <c r="AW53" i="19"/>
  <c r="AW54" i="19"/>
  <c r="AW56" i="19"/>
  <c r="AW55" i="19"/>
  <c r="AW57" i="19"/>
  <c r="AW59" i="19"/>
  <c r="AW58" i="19"/>
  <c r="AW60" i="19"/>
  <c r="AW62" i="19"/>
  <c r="AW61" i="19"/>
  <c r="AW67" i="19"/>
  <c r="AW63" i="19"/>
  <c r="AW65" i="19"/>
  <c r="AW64" i="19"/>
  <c r="AW66" i="19"/>
  <c r="AW69" i="19"/>
  <c r="AW68" i="19"/>
  <c r="AW70" i="19"/>
  <c r="AW72" i="19"/>
  <c r="AW71" i="19"/>
  <c r="AW73" i="19"/>
  <c r="AW74" i="19"/>
  <c r="AW76" i="19"/>
  <c r="AW75" i="19"/>
  <c r="AW78" i="19"/>
  <c r="AW77" i="19"/>
  <c r="AW79" i="19"/>
  <c r="AW80" i="19"/>
  <c r="AW81" i="19"/>
  <c r="AW82" i="19"/>
  <c r="AW83" i="19"/>
  <c r="AW84" i="19"/>
  <c r="AW85" i="19"/>
  <c r="AW87" i="19"/>
  <c r="AW86" i="19"/>
  <c r="AW89" i="19"/>
  <c r="AW88" i="19"/>
  <c r="AW90" i="19"/>
  <c r="AW91" i="19"/>
  <c r="AW92" i="19"/>
  <c r="AW93" i="19"/>
  <c r="AW96" i="19"/>
  <c r="AW94" i="19"/>
  <c r="AW95" i="19"/>
  <c r="AW97" i="19"/>
  <c r="AW100" i="19"/>
  <c r="AW98" i="19"/>
  <c r="AW99" i="19"/>
  <c r="AW102" i="19"/>
  <c r="AW101" i="19"/>
  <c r="AW104" i="19"/>
  <c r="AW103" i="19"/>
  <c r="AW105" i="19"/>
  <c r="AW106" i="19"/>
  <c r="AW107" i="19"/>
  <c r="AW108" i="19"/>
  <c r="AW109" i="19"/>
  <c r="AW114" i="19"/>
  <c r="AW110" i="19"/>
  <c r="AW113" i="19"/>
  <c r="AW111" i="19"/>
  <c r="AW112" i="19"/>
  <c r="AW115" i="19"/>
  <c r="AS120" i="21"/>
  <c r="AS123" i="22"/>
  <c r="AS116" i="22"/>
  <c r="BU121" i="22"/>
  <c r="BQ124" i="22"/>
  <c r="BQ13" i="22"/>
  <c r="BQ12" i="22"/>
  <c r="BQ17" i="22"/>
  <c r="BQ15" i="22"/>
  <c r="BQ14" i="22"/>
  <c r="BQ18" i="22"/>
  <c r="BQ19" i="22"/>
  <c r="BQ20" i="22"/>
  <c r="BQ16" i="22"/>
  <c r="BQ21" i="22"/>
  <c r="BQ23" i="22"/>
  <c r="BQ22" i="22"/>
  <c r="BQ25" i="22"/>
  <c r="BQ24" i="22"/>
  <c r="BQ28" i="22"/>
  <c r="BQ26" i="22"/>
  <c r="BQ27" i="22"/>
  <c r="BQ30" i="22"/>
  <c r="BQ29" i="22"/>
  <c r="BQ34" i="22"/>
  <c r="BQ31" i="22"/>
  <c r="BQ32" i="22"/>
  <c r="BQ33" i="22"/>
  <c r="BQ35" i="22"/>
  <c r="BQ37" i="22"/>
  <c r="BQ36" i="22"/>
  <c r="BQ38" i="22"/>
  <c r="BQ39" i="22"/>
  <c r="BQ42" i="22"/>
  <c r="BQ41" i="22"/>
  <c r="BQ40" i="22"/>
  <c r="BQ43" i="22"/>
  <c r="BQ45" i="22"/>
  <c r="BQ47" i="22"/>
  <c r="BQ44" i="22"/>
  <c r="BQ46" i="22"/>
  <c r="BQ50" i="22"/>
  <c r="BQ48" i="22"/>
  <c r="BQ52" i="22"/>
  <c r="BQ49" i="22"/>
  <c r="BQ51" i="22"/>
  <c r="BQ53" i="22"/>
  <c r="BQ57" i="22"/>
  <c r="BQ56" i="22"/>
  <c r="BQ54" i="22"/>
  <c r="BQ55" i="22"/>
  <c r="BQ62" i="22"/>
  <c r="BQ58" i="22"/>
  <c r="BQ61" i="22"/>
  <c r="BQ60" i="22"/>
  <c r="BQ59" i="22"/>
  <c r="BQ64" i="22"/>
  <c r="BQ63" i="22"/>
  <c r="BQ66" i="22"/>
  <c r="BQ65" i="22"/>
  <c r="BQ69" i="22"/>
  <c r="BQ68" i="22"/>
  <c r="BQ67" i="22"/>
  <c r="BQ72" i="22"/>
  <c r="BQ70" i="22"/>
  <c r="BQ71" i="22"/>
  <c r="BQ74" i="22"/>
  <c r="BQ73" i="22"/>
  <c r="BQ75" i="22"/>
  <c r="BQ76" i="22"/>
  <c r="BQ78" i="22"/>
  <c r="BQ77" i="22"/>
  <c r="BQ79" i="22"/>
  <c r="BQ81" i="22"/>
  <c r="BQ80" i="22"/>
  <c r="BQ84" i="22"/>
  <c r="BQ82" i="22"/>
  <c r="BQ85" i="22"/>
  <c r="BQ86" i="22"/>
  <c r="BQ83" i="22"/>
  <c r="BQ87" i="22"/>
  <c r="BQ88" i="22"/>
  <c r="BQ89" i="22"/>
  <c r="BQ90" i="22"/>
  <c r="BQ95" i="22"/>
  <c r="BQ92" i="22"/>
  <c r="BQ91" i="22"/>
  <c r="BQ97" i="22"/>
  <c r="BQ93" i="22"/>
  <c r="BQ96" i="22"/>
  <c r="BQ94" i="22"/>
  <c r="BQ98" i="22"/>
  <c r="BQ100" i="22"/>
  <c r="BQ99" i="22"/>
  <c r="BQ101" i="22"/>
  <c r="BQ103" i="22"/>
  <c r="BQ102" i="22"/>
  <c r="BQ104" i="22"/>
  <c r="BQ105" i="22"/>
  <c r="BQ109" i="22"/>
  <c r="BQ106" i="22"/>
  <c r="BQ107" i="22"/>
  <c r="BQ108" i="22"/>
  <c r="BQ111" i="22"/>
  <c r="BQ112" i="22"/>
  <c r="BQ114" i="22"/>
  <c r="BQ110" i="22"/>
  <c r="BQ113" i="22"/>
  <c r="BQ118" i="22"/>
  <c r="BQ116" i="22"/>
  <c r="BQ115" i="22"/>
  <c r="BQ123" i="21"/>
  <c r="BQ117" i="21"/>
  <c r="BQ119" i="21"/>
  <c r="BQ121" i="21"/>
  <c r="BQ115" i="21"/>
  <c r="AS124" i="19"/>
  <c r="AS12" i="19"/>
  <c r="AS6" i="19" s="1"/>
  <c r="AS13" i="19"/>
  <c r="AS14" i="19"/>
  <c r="AS15" i="19"/>
  <c r="AS17" i="19"/>
  <c r="AS19" i="19"/>
  <c r="AS16" i="19"/>
  <c r="AS22" i="19"/>
  <c r="AS18" i="19"/>
  <c r="AS20" i="19"/>
  <c r="AS21" i="19"/>
  <c r="AS24" i="19"/>
  <c r="AS23" i="19"/>
  <c r="AS25" i="19"/>
  <c r="AS26" i="19"/>
  <c r="AS28" i="19"/>
  <c r="AS27" i="19"/>
  <c r="AS30" i="19"/>
  <c r="AS32" i="19"/>
  <c r="AS29" i="19"/>
  <c r="AS34" i="19"/>
  <c r="AS31" i="19"/>
  <c r="AS33" i="19"/>
  <c r="AS35" i="19"/>
  <c r="AS36" i="19"/>
  <c r="AS37" i="19"/>
  <c r="AS38" i="19"/>
  <c r="AS41" i="19"/>
  <c r="AS42" i="19"/>
  <c r="AS40" i="19"/>
  <c r="AS39" i="19"/>
  <c r="AS44" i="19"/>
  <c r="AS45" i="19"/>
  <c r="AS43" i="19"/>
  <c r="AS48" i="19"/>
  <c r="AS46" i="19"/>
  <c r="AS47" i="19"/>
  <c r="AS49" i="19"/>
  <c r="AS50" i="19"/>
  <c r="AS51" i="19"/>
  <c r="AS53" i="19"/>
  <c r="AS52" i="19"/>
  <c r="AS54" i="19"/>
  <c r="AS56" i="19"/>
  <c r="AS55" i="19"/>
  <c r="AS58" i="19"/>
  <c r="AS57" i="19"/>
  <c r="AS60" i="19"/>
  <c r="AS59" i="19"/>
  <c r="AS62" i="19"/>
  <c r="AS64" i="19"/>
  <c r="AS61" i="19"/>
  <c r="AS63" i="19"/>
  <c r="AS66" i="19"/>
  <c r="AS65" i="19"/>
  <c r="AS68" i="19"/>
  <c r="AS71" i="19"/>
  <c r="AS67" i="19"/>
  <c r="AS73" i="19"/>
  <c r="AS69" i="19"/>
  <c r="AS70" i="19"/>
  <c r="AS72" i="19"/>
  <c r="AS75" i="19"/>
  <c r="AS74" i="19"/>
  <c r="AS78" i="19"/>
  <c r="AS76" i="19"/>
  <c r="AS77" i="19"/>
  <c r="AS80" i="19"/>
  <c r="AS79" i="19"/>
  <c r="AS85" i="19"/>
  <c r="AS81" i="19"/>
  <c r="AS82" i="19"/>
  <c r="AS84" i="19"/>
  <c r="AS83" i="19"/>
  <c r="AS86" i="19"/>
  <c r="AS87" i="19"/>
  <c r="AS88" i="19"/>
  <c r="AS90" i="19"/>
  <c r="AS91" i="19"/>
  <c r="AS89" i="19"/>
  <c r="AS92" i="19"/>
  <c r="AS94" i="19"/>
  <c r="AS96" i="19"/>
  <c r="AS93" i="19"/>
  <c r="AS98" i="19"/>
  <c r="AS100" i="19"/>
  <c r="AS95" i="19"/>
  <c r="AS97" i="19"/>
  <c r="AS99" i="19"/>
  <c r="AS102" i="19"/>
  <c r="AS105" i="19"/>
  <c r="AS104" i="19"/>
  <c r="AS101" i="19"/>
  <c r="AS106" i="19"/>
  <c r="AS103" i="19"/>
  <c r="AS110" i="19"/>
  <c r="AS107" i="19"/>
  <c r="AS109" i="19"/>
  <c r="AS108" i="19"/>
  <c r="AS111" i="19"/>
  <c r="AS112" i="19"/>
  <c r="AS114" i="19"/>
  <c r="AS113" i="19"/>
  <c r="BE124" i="22"/>
  <c r="BE12" i="22"/>
  <c r="BE13" i="22"/>
  <c r="BE15" i="22"/>
  <c r="BE14" i="22"/>
  <c r="BE16" i="22"/>
  <c r="BE18" i="22"/>
  <c r="BE19" i="22"/>
  <c r="BE17" i="22"/>
  <c r="BE21" i="22"/>
  <c r="BE20" i="22"/>
  <c r="BE22" i="22"/>
  <c r="BE24" i="22"/>
  <c r="BE23" i="22"/>
  <c r="BE26" i="22"/>
  <c r="BE25" i="22"/>
  <c r="BE27" i="22"/>
  <c r="BE28" i="22"/>
  <c r="BE29" i="22"/>
  <c r="BE34" i="22"/>
  <c r="BE30" i="22"/>
  <c r="BE32" i="22"/>
  <c r="BE31" i="22"/>
  <c r="BE35" i="22"/>
  <c r="BE37" i="22"/>
  <c r="BE33" i="22"/>
  <c r="BE36" i="22"/>
  <c r="BE40" i="22"/>
  <c r="BE38" i="22"/>
  <c r="BE39" i="22"/>
  <c r="BE42" i="22"/>
  <c r="BE41" i="22"/>
  <c r="BE43" i="22"/>
  <c r="BE44" i="22"/>
  <c r="BE45" i="22"/>
  <c r="BE46" i="22"/>
  <c r="BE47" i="22"/>
  <c r="BE51" i="22"/>
  <c r="BE48" i="22"/>
  <c r="BE53" i="22"/>
  <c r="BE49" i="22"/>
  <c r="BE50" i="22"/>
  <c r="BE52" i="22"/>
  <c r="BE55" i="22"/>
  <c r="BE54" i="22"/>
  <c r="BE59" i="22"/>
  <c r="BE57" i="22"/>
  <c r="BE56" i="22"/>
  <c r="BE58" i="22"/>
  <c r="BE63" i="22"/>
  <c r="BE60" i="22"/>
  <c r="BE61" i="22"/>
  <c r="BE64" i="22"/>
  <c r="BE62" i="22"/>
  <c r="BE65" i="22"/>
  <c r="BE67" i="22"/>
  <c r="BE66" i="22"/>
  <c r="BE68" i="22"/>
  <c r="BE69" i="22"/>
  <c r="BE70" i="22"/>
  <c r="BE72" i="22"/>
  <c r="BE71" i="22"/>
  <c r="BE74" i="22"/>
  <c r="BE73" i="22"/>
  <c r="BE75" i="22"/>
  <c r="BE76" i="22"/>
  <c r="BE77" i="22"/>
  <c r="BE79" i="22"/>
  <c r="BE78" i="22"/>
  <c r="BE82" i="22"/>
  <c r="BE81" i="22"/>
  <c r="BE80" i="22"/>
  <c r="BE83" i="22"/>
  <c r="BE84" i="22"/>
  <c r="BE87" i="22"/>
  <c r="BE85" i="22"/>
  <c r="BE86" i="22"/>
  <c r="BE88" i="22"/>
  <c r="BE89" i="22"/>
  <c r="BE90" i="22"/>
  <c r="BE93" i="22"/>
  <c r="BE91" i="22"/>
  <c r="BE92" i="22"/>
  <c r="BE95" i="22"/>
  <c r="BE94" i="22"/>
  <c r="BE97" i="22"/>
  <c r="BE96" i="22"/>
  <c r="BE101" i="22"/>
  <c r="BE98" i="22"/>
  <c r="BE99" i="22"/>
  <c r="BE103" i="22"/>
  <c r="BE100" i="22"/>
  <c r="BE102" i="22"/>
  <c r="BE105" i="22"/>
  <c r="BE104" i="22"/>
  <c r="BE107" i="22"/>
  <c r="BE110" i="22"/>
  <c r="BE106" i="22"/>
  <c r="BE108" i="22"/>
  <c r="BE109" i="22"/>
  <c r="BE111" i="22"/>
  <c r="BE115" i="22"/>
  <c r="BE112" i="22"/>
  <c r="BE113" i="22"/>
  <c r="BE114" i="22"/>
  <c r="BP123" i="8"/>
  <c r="BN124" i="8"/>
  <c r="BP124" i="8" s="1"/>
  <c r="BU122" i="19"/>
  <c r="AS115" i="19"/>
  <c r="BM124" i="22"/>
  <c r="BM12" i="22"/>
  <c r="BM13" i="22"/>
  <c r="BM14" i="22"/>
  <c r="BM16" i="22"/>
  <c r="BM15" i="22"/>
  <c r="BM19" i="22"/>
  <c r="BM17" i="22"/>
  <c r="BM18" i="22"/>
  <c r="BM20" i="22"/>
  <c r="BM21" i="22"/>
  <c r="BM23" i="22"/>
  <c r="BM22" i="22"/>
  <c r="BM24" i="22"/>
  <c r="BM26" i="22"/>
  <c r="BM25" i="22"/>
  <c r="BM27" i="22"/>
  <c r="BM28" i="22"/>
  <c r="BM30" i="22"/>
  <c r="BM29" i="22"/>
  <c r="BM31" i="22"/>
  <c r="BM32" i="22"/>
  <c r="BM33" i="22"/>
  <c r="BM34" i="22"/>
  <c r="BM35" i="22"/>
  <c r="BM36" i="22"/>
  <c r="BM37" i="22"/>
  <c r="BM38" i="22"/>
  <c r="BM42" i="22"/>
  <c r="BM40" i="22"/>
  <c r="BM39" i="22"/>
  <c r="BM41" i="22"/>
  <c r="BM43" i="22"/>
  <c r="BM44" i="22"/>
  <c r="BM46" i="22"/>
  <c r="BM45" i="22"/>
  <c r="BM47" i="22"/>
  <c r="BM48" i="22"/>
  <c r="BM50" i="22"/>
  <c r="BM49" i="22"/>
  <c r="BM51" i="22"/>
  <c r="BM52" i="22"/>
  <c r="BM53" i="22"/>
  <c r="BM54" i="22"/>
  <c r="BM55" i="22"/>
  <c r="BM60" i="22"/>
  <c r="BM57" i="22"/>
  <c r="BM56" i="22"/>
  <c r="BM58" i="22"/>
  <c r="BM59" i="22"/>
  <c r="BM61" i="22"/>
  <c r="BM65" i="22"/>
  <c r="BM63" i="22"/>
  <c r="BM62" i="22"/>
  <c r="BM64" i="22"/>
  <c r="BM67" i="22"/>
  <c r="BM66" i="22"/>
  <c r="BM69" i="22"/>
  <c r="BM71" i="22"/>
  <c r="BM68" i="22"/>
  <c r="BM70" i="22"/>
  <c r="BM72" i="22"/>
  <c r="BM74" i="22"/>
  <c r="BM75" i="22"/>
  <c r="BM73" i="22"/>
  <c r="BM77" i="22"/>
  <c r="BM76" i="22"/>
  <c r="BM79" i="22"/>
  <c r="BM81" i="22"/>
  <c r="BM78" i="22"/>
  <c r="BM80" i="22"/>
  <c r="BM83" i="22"/>
  <c r="BM84" i="22"/>
  <c r="BM82" i="22"/>
  <c r="BM85" i="22"/>
  <c r="BM87" i="22"/>
  <c r="BM86" i="22"/>
  <c r="BM89" i="22"/>
  <c r="BM88" i="22"/>
  <c r="BM90" i="22"/>
  <c r="BM91" i="22"/>
  <c r="BM92" i="22"/>
  <c r="BM93" i="22"/>
  <c r="BM94" i="22"/>
  <c r="BM95" i="22"/>
  <c r="BM97" i="22"/>
  <c r="BM96" i="22"/>
  <c r="BM100" i="22"/>
  <c r="BM98" i="22"/>
  <c r="BM99" i="22"/>
  <c r="BM102" i="22"/>
  <c r="BM101" i="22"/>
  <c r="BM103" i="22"/>
  <c r="BM104" i="22"/>
  <c r="BM106" i="22"/>
  <c r="BM108" i="22"/>
  <c r="BM105" i="22"/>
  <c r="BM107" i="22"/>
  <c r="BM109" i="22"/>
  <c r="BM111" i="22"/>
  <c r="BM110" i="22"/>
  <c r="BM115" i="22"/>
  <c r="BM113" i="22"/>
  <c r="BM114" i="22"/>
  <c r="BM112" i="22"/>
  <c r="BM116" i="22"/>
  <c r="BI123" i="21"/>
  <c r="BU116" i="22"/>
  <c r="AW122" i="19"/>
  <c r="BA117" i="21"/>
  <c r="CC115" i="21"/>
  <c r="AS121" i="21"/>
  <c r="CC123" i="19"/>
  <c r="CC119" i="19"/>
  <c r="CC116" i="19"/>
  <c r="AM124" i="21"/>
  <c r="AN124" i="21"/>
  <c r="AO121" i="21" s="1"/>
  <c r="CC123" i="22"/>
  <c r="CC120" i="22"/>
  <c r="AS122" i="21"/>
  <c r="AS124" i="22"/>
  <c r="AS12" i="22"/>
  <c r="AS13" i="22"/>
  <c r="AS14" i="22"/>
  <c r="AS16" i="22"/>
  <c r="AS15" i="22"/>
  <c r="AS18" i="22"/>
  <c r="AS17" i="22"/>
  <c r="AS19" i="22"/>
  <c r="AS21" i="22"/>
  <c r="AS23" i="22"/>
  <c r="AS20" i="22"/>
  <c r="AS25" i="22"/>
  <c r="AS22" i="22"/>
  <c r="AS26" i="22"/>
  <c r="AS24" i="22"/>
  <c r="AS27" i="22"/>
  <c r="AS28" i="22"/>
  <c r="AS32" i="22"/>
  <c r="AS29" i="22"/>
  <c r="AS30" i="22"/>
  <c r="AS31" i="22"/>
  <c r="AS34" i="22"/>
  <c r="AS37" i="22"/>
  <c r="AS33" i="22"/>
  <c r="AS35" i="22"/>
  <c r="AS36" i="22"/>
  <c r="AS39" i="22"/>
  <c r="AS40" i="22"/>
  <c r="AS38" i="22"/>
  <c r="AS41" i="22"/>
  <c r="AS42" i="22"/>
  <c r="AS43" i="22"/>
  <c r="AS44" i="22"/>
  <c r="AS46" i="22"/>
  <c r="AS48" i="22"/>
  <c r="AS45" i="22"/>
  <c r="AS47" i="22"/>
  <c r="AS52" i="22"/>
  <c r="AS49" i="22"/>
  <c r="AS50" i="22"/>
  <c r="AS54" i="22"/>
  <c r="AS51" i="22"/>
  <c r="AS53" i="22"/>
  <c r="AS55" i="22"/>
  <c r="AS56" i="22"/>
  <c r="AS57" i="22"/>
  <c r="AS58" i="22"/>
  <c r="AS59" i="22"/>
  <c r="AS61" i="22"/>
  <c r="AS60" i="22"/>
  <c r="AS62" i="22"/>
  <c r="AS64" i="22"/>
  <c r="AS63" i="22"/>
  <c r="AS66" i="22"/>
  <c r="AS67" i="22"/>
  <c r="AS65" i="22"/>
  <c r="AS71" i="22"/>
  <c r="AS68" i="22"/>
  <c r="AS69" i="22"/>
  <c r="AS70" i="22"/>
  <c r="AS72" i="22"/>
  <c r="AS75" i="22"/>
  <c r="AS73" i="22"/>
  <c r="AS77" i="22"/>
  <c r="AS74" i="22"/>
  <c r="AS76" i="22"/>
  <c r="AS78" i="22"/>
  <c r="AS80" i="22"/>
  <c r="AS79" i="22"/>
  <c r="AS81" i="22"/>
  <c r="AS82" i="22"/>
  <c r="AS84" i="22"/>
  <c r="AS83" i="22"/>
  <c r="AS89" i="22"/>
  <c r="AS85" i="22"/>
  <c r="AS87" i="22"/>
  <c r="AS86" i="22"/>
  <c r="AS88" i="22"/>
  <c r="AS90" i="22"/>
  <c r="AS95" i="22"/>
  <c r="AS91" i="22"/>
  <c r="AS93" i="22"/>
  <c r="AS94" i="22"/>
  <c r="AS92" i="22"/>
  <c r="AS97" i="22"/>
  <c r="AS101" i="22"/>
  <c r="AS96" i="22"/>
  <c r="AS98" i="22"/>
  <c r="AS99" i="22"/>
  <c r="AS104" i="22"/>
  <c r="AS100" i="22"/>
  <c r="AS102" i="22"/>
  <c r="AS107" i="22"/>
  <c r="AS105" i="22"/>
  <c r="AS103" i="22"/>
  <c r="AS106" i="22"/>
  <c r="AS108" i="22"/>
  <c r="AS110" i="22"/>
  <c r="AS111" i="22"/>
  <c r="AS109" i="22"/>
  <c r="AS113" i="22"/>
  <c r="AS115" i="22"/>
  <c r="AS112" i="22"/>
  <c r="BI124" i="21"/>
  <c r="BI13" i="21"/>
  <c r="BI12" i="21"/>
  <c r="BI15" i="21"/>
  <c r="BI14" i="21"/>
  <c r="BI17" i="21"/>
  <c r="BI16" i="21"/>
  <c r="BI19" i="21"/>
  <c r="BI18" i="21"/>
  <c r="BI21" i="21"/>
  <c r="BI20" i="21"/>
  <c r="BI23" i="21"/>
  <c r="BI25" i="21"/>
  <c r="BI27" i="21"/>
  <c r="BI22" i="21"/>
  <c r="BI24" i="21"/>
  <c r="BI28" i="21"/>
  <c r="BI26" i="21"/>
  <c r="BI29" i="21"/>
  <c r="BI32" i="21"/>
  <c r="BI30" i="21"/>
  <c r="BI31" i="21"/>
  <c r="BI33" i="21"/>
  <c r="BI34" i="21"/>
  <c r="BI36" i="21"/>
  <c r="BI35" i="21"/>
  <c r="BI37" i="21"/>
  <c r="BI38" i="21"/>
  <c r="BI39" i="21"/>
  <c r="BI40" i="21"/>
  <c r="BI42" i="21"/>
  <c r="BI41" i="21"/>
  <c r="BI45" i="21"/>
  <c r="BI44" i="21"/>
  <c r="BI43" i="21"/>
  <c r="BI47" i="21"/>
  <c r="BI46" i="21"/>
  <c r="BI48" i="21"/>
  <c r="BI52" i="21"/>
  <c r="BI49" i="21"/>
  <c r="BI50" i="21"/>
  <c r="BI51" i="21"/>
  <c r="BI55" i="21"/>
  <c r="BI53" i="21"/>
  <c r="BI54" i="21"/>
  <c r="BI56" i="21"/>
  <c r="BI60" i="21"/>
  <c r="BI57" i="21"/>
  <c r="BI58" i="21"/>
  <c r="BI59" i="21"/>
  <c r="BI62" i="21"/>
  <c r="BI65" i="21"/>
  <c r="BI61" i="21"/>
  <c r="BI64" i="21"/>
  <c r="BI63" i="21"/>
  <c r="BI66" i="21"/>
  <c r="BI67" i="21"/>
  <c r="BI68" i="21"/>
  <c r="BI70" i="21"/>
  <c r="BI69" i="21"/>
  <c r="BI71" i="21"/>
  <c r="BI72" i="21"/>
  <c r="BI74" i="21"/>
  <c r="BI73" i="21"/>
  <c r="BI78" i="21"/>
  <c r="BI75" i="21"/>
  <c r="BI80" i="21"/>
  <c r="BI76" i="21"/>
  <c r="BI77" i="21"/>
  <c r="BI79" i="21"/>
  <c r="BI82" i="21"/>
  <c r="BI81" i="21"/>
  <c r="BI84" i="21"/>
  <c r="BI83" i="21"/>
  <c r="BI85" i="21"/>
  <c r="BI86" i="21"/>
  <c r="BI87" i="21"/>
  <c r="BI89" i="21"/>
  <c r="BI88" i="21"/>
  <c r="BI90" i="21"/>
  <c r="BI92" i="21"/>
  <c r="BI96" i="21"/>
  <c r="BI94" i="21"/>
  <c r="BI91" i="21"/>
  <c r="BI93" i="21"/>
  <c r="BI98" i="21"/>
  <c r="BI95" i="21"/>
  <c r="BI97" i="21"/>
  <c r="BI102" i="21"/>
  <c r="BI99" i="21"/>
  <c r="BI100" i="21"/>
  <c r="BI103" i="21"/>
  <c r="BI101" i="21"/>
  <c r="BI105" i="21"/>
  <c r="BI106" i="21"/>
  <c r="BI107" i="21"/>
  <c r="BI104" i="21"/>
  <c r="BI110" i="21"/>
  <c r="BI108" i="21"/>
  <c r="BI112" i="21"/>
  <c r="BI113" i="21"/>
  <c r="BI109" i="21"/>
  <c r="BI111" i="21"/>
  <c r="BI115" i="21"/>
  <c r="BI117" i="21"/>
  <c r="AX124" i="22"/>
  <c r="AZ124" i="22" s="1"/>
  <c r="AZ123" i="22"/>
  <c r="BF124" i="22"/>
  <c r="BH124" i="22" s="1"/>
  <c r="BH123" i="22"/>
  <c r="CC124" i="19"/>
  <c r="CC12" i="19"/>
  <c r="CC14" i="19"/>
  <c r="CC13" i="19"/>
  <c r="CC16" i="19"/>
  <c r="CC15" i="19"/>
  <c r="CC17" i="19"/>
  <c r="CC18" i="19"/>
  <c r="CC21" i="19"/>
  <c r="CC22" i="19"/>
  <c r="CC19" i="19"/>
  <c r="CC20" i="19"/>
  <c r="CC24" i="19"/>
  <c r="CC23" i="19"/>
  <c r="CC25" i="19"/>
  <c r="CC26" i="19"/>
  <c r="CC27" i="19"/>
  <c r="CC28" i="19"/>
  <c r="CC34" i="19"/>
  <c r="CC29" i="19"/>
  <c r="CC30" i="19"/>
  <c r="CC31" i="19"/>
  <c r="CC33" i="19"/>
  <c r="CC36" i="19"/>
  <c r="CC32" i="19"/>
  <c r="CC35" i="19"/>
  <c r="CC37" i="19"/>
  <c r="CC39" i="19"/>
  <c r="CC38" i="19"/>
  <c r="CC40" i="19"/>
  <c r="CC43" i="19"/>
  <c r="CC41" i="19"/>
  <c r="CC42" i="19"/>
  <c r="CC44" i="19"/>
  <c r="CC45" i="19"/>
  <c r="CC46" i="19"/>
  <c r="CC47" i="19"/>
  <c r="CC48" i="19"/>
  <c r="CC49" i="19"/>
  <c r="CC50" i="19"/>
  <c r="CC52" i="19"/>
  <c r="CC51" i="19"/>
  <c r="CC53" i="19"/>
  <c r="CC55" i="19"/>
  <c r="CC54" i="19"/>
  <c r="CC57" i="19"/>
  <c r="CC56" i="19"/>
  <c r="CC58" i="19"/>
  <c r="CC59" i="19"/>
  <c r="CC63" i="19"/>
  <c r="CC60" i="19"/>
  <c r="CC61" i="19"/>
  <c r="CC62" i="19"/>
  <c r="CC65" i="19"/>
  <c r="CC68" i="19"/>
  <c r="CC64" i="19"/>
  <c r="CC67" i="19"/>
  <c r="CC66" i="19"/>
  <c r="CC69" i="19"/>
  <c r="CC70" i="19"/>
  <c r="CC71" i="19"/>
  <c r="CC73" i="19"/>
  <c r="CC75" i="19"/>
  <c r="CC72" i="19"/>
  <c r="CC79" i="19"/>
  <c r="CC74" i="19"/>
  <c r="CC77" i="19"/>
  <c r="CC76" i="19"/>
  <c r="CC78" i="19"/>
  <c r="CC80" i="19"/>
  <c r="CC81" i="19"/>
  <c r="CC82" i="19"/>
  <c r="CC83" i="19"/>
  <c r="CC84" i="19"/>
  <c r="CC85" i="19"/>
  <c r="CC86" i="19"/>
  <c r="CC87" i="19"/>
  <c r="CC90" i="19"/>
  <c r="CC93" i="19"/>
  <c r="CC89" i="19"/>
  <c r="CC88" i="19"/>
  <c r="CC91" i="19"/>
  <c r="CC97" i="19"/>
  <c r="CC94" i="19"/>
  <c r="CC92" i="19"/>
  <c r="CC95" i="19"/>
  <c r="CC96" i="19"/>
  <c r="CC102" i="19"/>
  <c r="CC98" i="19"/>
  <c r="CC100" i="19"/>
  <c r="CC104" i="19"/>
  <c r="CC99" i="19"/>
  <c r="CC103" i="19"/>
  <c r="CC101" i="19"/>
  <c r="CC107" i="19"/>
  <c r="CC105" i="19"/>
  <c r="CC108" i="19"/>
  <c r="CC106" i="19"/>
  <c r="CC110" i="19"/>
  <c r="CC109" i="19"/>
  <c r="CC112" i="19"/>
  <c r="CC111" i="19"/>
  <c r="CC114" i="19"/>
  <c r="CC115" i="19"/>
  <c r="CC113" i="19"/>
  <c r="BA124" i="21"/>
  <c r="BA12" i="21"/>
  <c r="BA14" i="21"/>
  <c r="BA13" i="21"/>
  <c r="BA17" i="21"/>
  <c r="BA15" i="21"/>
  <c r="BA16" i="21"/>
  <c r="BA18" i="21"/>
  <c r="BA22" i="21"/>
  <c r="BA19" i="21"/>
  <c r="BA20" i="21"/>
  <c r="BA21" i="21"/>
  <c r="BA23" i="21"/>
  <c r="BA24" i="21"/>
  <c r="BA25" i="21"/>
  <c r="BA28" i="21"/>
  <c r="BA27" i="21"/>
  <c r="BA26" i="21"/>
  <c r="BA30" i="21"/>
  <c r="BA34" i="21"/>
  <c r="BA29" i="21"/>
  <c r="BA31" i="21"/>
  <c r="BA32" i="21"/>
  <c r="BA33" i="21"/>
  <c r="BA36" i="21"/>
  <c r="BA35" i="21"/>
  <c r="BA38" i="21"/>
  <c r="BA37" i="21"/>
  <c r="BA39" i="21"/>
  <c r="BA40" i="21"/>
  <c r="BA42" i="21"/>
  <c r="BA41" i="21"/>
  <c r="BA46" i="21"/>
  <c r="BA44" i="21"/>
  <c r="BA43" i="21"/>
  <c r="BA47" i="21"/>
  <c r="BA45" i="21"/>
  <c r="BA49" i="21"/>
  <c r="BA48" i="21"/>
  <c r="BA52" i="21"/>
  <c r="BA51" i="21"/>
  <c r="BA50" i="21"/>
  <c r="BA54" i="21"/>
  <c r="BA53" i="21"/>
  <c r="BA56" i="21"/>
  <c r="BA55" i="21"/>
  <c r="BA58" i="21"/>
  <c r="BA57" i="21"/>
  <c r="BA60" i="21"/>
  <c r="BA59" i="21"/>
  <c r="BA61" i="21"/>
  <c r="BA62" i="21"/>
  <c r="BA63" i="21"/>
  <c r="BA66" i="21"/>
  <c r="BA64" i="21"/>
  <c r="BA65" i="21"/>
  <c r="BA68" i="21"/>
  <c r="BA69" i="21"/>
  <c r="BA67" i="21"/>
  <c r="BA71" i="21"/>
  <c r="BA70" i="21"/>
  <c r="BA72" i="21"/>
  <c r="BA73" i="21"/>
  <c r="BA74" i="21"/>
  <c r="BA76" i="21"/>
  <c r="BA75" i="21"/>
  <c r="BA80" i="21"/>
  <c r="BA79" i="21"/>
  <c r="BA77" i="21"/>
  <c r="BA78" i="21"/>
  <c r="BA81" i="21"/>
  <c r="BA82" i="21"/>
  <c r="BA83" i="21"/>
  <c r="BA84" i="21"/>
  <c r="BA86" i="21"/>
  <c r="BA87" i="21"/>
  <c r="BA85" i="21"/>
  <c r="BA91" i="21"/>
  <c r="BA88" i="21"/>
  <c r="BA89" i="21"/>
  <c r="BA90" i="21"/>
  <c r="BA92" i="21"/>
  <c r="BA94" i="21"/>
  <c r="BA93" i="21"/>
  <c r="BA98" i="21"/>
  <c r="BA95" i="21"/>
  <c r="BA96" i="21"/>
  <c r="BA99" i="21"/>
  <c r="BA97" i="21"/>
  <c r="BA101" i="21"/>
  <c r="BA100" i="21"/>
  <c r="BA102" i="21"/>
  <c r="BA103" i="21"/>
  <c r="BA106" i="21"/>
  <c r="BA104" i="21"/>
  <c r="BA107" i="21"/>
  <c r="BA105" i="21"/>
  <c r="BA108" i="21"/>
  <c r="BA109" i="21"/>
  <c r="BA110" i="21"/>
  <c r="BA111" i="21"/>
  <c r="BA112" i="21"/>
  <c r="BA113" i="21"/>
  <c r="BA115" i="21"/>
  <c r="BA114" i="21"/>
  <c r="CC124" i="22"/>
  <c r="CC12" i="22"/>
  <c r="CC14" i="22"/>
  <c r="CC16" i="22"/>
  <c r="CC15" i="22"/>
  <c r="CC13" i="22"/>
  <c r="CC17" i="22"/>
  <c r="CC18" i="22"/>
  <c r="CC19" i="22"/>
  <c r="CC21" i="22"/>
  <c r="CC20" i="22"/>
  <c r="CC25" i="22"/>
  <c r="CC22" i="22"/>
  <c r="CC23" i="22"/>
  <c r="CC24" i="22"/>
  <c r="CC26" i="22"/>
  <c r="CC28" i="22"/>
  <c r="CC30" i="22"/>
  <c r="CC27" i="22"/>
  <c r="CC33" i="22"/>
  <c r="CC29" i="22"/>
  <c r="CC32" i="22"/>
  <c r="CC31" i="22"/>
  <c r="CC36" i="22"/>
  <c r="CC34" i="22"/>
  <c r="CC35" i="22"/>
  <c r="CC37" i="22"/>
  <c r="CC39" i="22"/>
  <c r="CC38" i="22"/>
  <c r="CC43" i="22"/>
  <c r="CC40" i="22"/>
  <c r="CC41" i="22"/>
  <c r="CC42" i="22"/>
  <c r="CC45" i="22"/>
  <c r="CC44" i="22"/>
  <c r="CC46" i="22"/>
  <c r="CC50" i="22"/>
  <c r="CC47" i="22"/>
  <c r="CC48" i="22"/>
  <c r="CC51" i="22"/>
  <c r="CC49" i="22"/>
  <c r="CC54" i="22"/>
  <c r="CC53" i="22"/>
  <c r="CC52" i="22"/>
  <c r="CC59" i="22"/>
  <c r="CC55" i="22"/>
  <c r="CC58" i="22"/>
  <c r="CC57" i="22"/>
  <c r="CC56" i="22"/>
  <c r="CC61" i="22"/>
  <c r="CC60" i="22"/>
  <c r="CC62" i="22"/>
  <c r="CC67" i="22"/>
  <c r="CC65" i="22"/>
  <c r="CC63" i="22"/>
  <c r="CC66" i="22"/>
  <c r="CC64" i="22"/>
  <c r="CC69" i="22"/>
  <c r="CC71" i="22"/>
  <c r="CC68" i="22"/>
  <c r="CC70" i="22"/>
  <c r="CC72" i="22"/>
  <c r="CC76" i="22"/>
  <c r="CC73" i="22"/>
  <c r="CC74" i="22"/>
  <c r="CC78" i="22"/>
  <c r="CC77" i="22"/>
  <c r="CC75" i="22"/>
  <c r="CC80" i="22"/>
  <c r="CC79" i="22"/>
  <c r="CC85" i="22"/>
  <c r="CC81" i="22"/>
  <c r="CC82" i="22"/>
  <c r="CC83" i="22"/>
  <c r="CC84" i="22"/>
  <c r="CC87" i="22"/>
  <c r="CC89" i="22"/>
  <c r="CC91" i="22"/>
  <c r="CC86" i="22"/>
  <c r="CC88" i="22"/>
  <c r="CC90" i="22"/>
  <c r="CC93" i="22"/>
  <c r="CC94" i="22"/>
  <c r="CC92" i="22"/>
  <c r="CC95" i="22"/>
  <c r="CC96" i="22"/>
  <c r="CC100" i="22"/>
  <c r="CC97" i="22"/>
  <c r="CC98" i="22"/>
  <c r="CC102" i="22"/>
  <c r="CC101" i="22"/>
  <c r="CC104" i="22"/>
  <c r="CC99" i="22"/>
  <c r="CC103" i="22"/>
  <c r="CC106" i="22"/>
  <c r="CC107" i="22"/>
  <c r="CC105" i="22"/>
  <c r="CC108" i="22"/>
  <c r="CC109" i="22"/>
  <c r="CC113" i="22"/>
  <c r="CC112" i="22"/>
  <c r="CC111" i="22"/>
  <c r="CC110" i="22"/>
  <c r="CC115" i="22"/>
  <c r="CC114" i="22"/>
  <c r="CG122" i="19"/>
  <c r="BA124" i="19"/>
  <c r="BA12" i="19"/>
  <c r="BA13" i="19"/>
  <c r="BA14" i="19"/>
  <c r="BA15" i="19"/>
  <c r="BA17" i="19"/>
  <c r="BA18" i="19"/>
  <c r="BA16" i="19"/>
  <c r="BA20" i="19"/>
  <c r="BA19" i="19"/>
  <c r="BA21" i="19"/>
  <c r="BA24" i="19"/>
  <c r="BA22" i="19"/>
  <c r="BA28" i="19"/>
  <c r="BA23" i="19"/>
  <c r="BA26" i="19"/>
  <c r="BA25" i="19"/>
  <c r="BA27" i="19"/>
  <c r="BA29" i="19"/>
  <c r="BA33" i="19"/>
  <c r="BA30" i="19"/>
  <c r="BA31" i="19"/>
  <c r="BA35" i="19"/>
  <c r="BA32" i="19"/>
  <c r="BA34" i="19"/>
  <c r="BA36" i="19"/>
  <c r="BA37" i="19"/>
  <c r="BA42" i="19"/>
  <c r="BA38" i="19"/>
  <c r="BA39" i="19"/>
  <c r="BA41" i="19"/>
  <c r="BA40" i="19"/>
  <c r="BA46" i="19"/>
  <c r="BA43" i="19"/>
  <c r="BA44" i="19"/>
  <c r="BA47" i="19"/>
  <c r="BA45" i="19"/>
  <c r="BA50" i="19"/>
  <c r="BA48" i="19"/>
  <c r="BA49" i="19"/>
  <c r="BA52" i="19"/>
  <c r="BA56" i="19"/>
  <c r="BA51" i="19"/>
  <c r="BA54" i="19"/>
  <c r="BA55" i="19"/>
  <c r="BA58" i="19"/>
  <c r="BA53" i="19"/>
  <c r="BA59" i="19"/>
  <c r="BA57" i="19"/>
  <c r="BA63" i="19"/>
  <c r="BA60" i="19"/>
  <c r="BA62" i="19"/>
  <c r="BA61" i="19"/>
  <c r="BA65" i="19"/>
  <c r="BA64" i="19"/>
  <c r="BA66" i="19"/>
  <c r="BA69" i="19"/>
  <c r="BA67" i="19"/>
  <c r="BA68" i="19"/>
  <c r="BA70" i="19"/>
  <c r="BA71" i="19"/>
  <c r="BA72" i="19"/>
  <c r="BA73" i="19"/>
  <c r="BA74" i="19"/>
  <c r="BA75" i="19"/>
  <c r="BA76" i="19"/>
  <c r="BA77" i="19"/>
  <c r="BA80" i="19"/>
  <c r="BA78" i="19"/>
  <c r="BA79" i="19"/>
  <c r="BA82" i="19"/>
  <c r="BA81" i="19"/>
  <c r="BA84" i="19"/>
  <c r="BA83" i="19"/>
  <c r="BA85" i="19"/>
  <c r="BA88" i="19"/>
  <c r="BA87" i="19"/>
  <c r="BA86" i="19"/>
  <c r="BA90" i="19"/>
  <c r="BA89" i="19"/>
  <c r="BA92" i="19"/>
  <c r="BA91" i="19"/>
  <c r="BA93" i="19"/>
  <c r="BA94" i="19"/>
  <c r="BA96" i="19"/>
  <c r="BA95" i="19"/>
  <c r="BA97" i="19"/>
  <c r="BA98" i="19"/>
  <c r="BA99" i="19"/>
  <c r="BA100" i="19"/>
  <c r="BA101" i="19"/>
  <c r="BA103" i="19"/>
  <c r="BA102" i="19"/>
  <c r="BA105" i="19"/>
  <c r="BA104" i="19"/>
  <c r="BA107" i="19"/>
  <c r="BA106" i="19"/>
  <c r="BA112" i="19"/>
  <c r="BA108" i="19"/>
  <c r="BA109" i="19"/>
  <c r="BA110" i="19"/>
  <c r="BA113" i="19"/>
  <c r="BA111" i="19"/>
  <c r="BA114" i="19"/>
  <c r="BA115" i="19"/>
  <c r="AS119" i="19"/>
  <c r="CD124" i="22"/>
  <c r="CF124" i="22" s="1"/>
  <c r="CF123" i="22"/>
  <c r="BA123" i="21"/>
  <c r="BA121" i="21"/>
  <c r="BM121" i="21"/>
  <c r="AS115" i="21"/>
  <c r="BA123" i="19"/>
  <c r="BA119" i="19"/>
  <c r="BA120" i="19"/>
  <c r="BA121" i="19"/>
  <c r="BA118" i="19"/>
  <c r="BY121" i="19"/>
  <c r="AS123" i="19"/>
  <c r="AS121" i="19"/>
  <c r="AS120" i="19"/>
  <c r="BY123" i="21"/>
  <c r="BE123" i="19"/>
  <c r="BU124" i="19"/>
  <c r="BU12" i="19"/>
  <c r="BU14" i="19"/>
  <c r="BU13" i="19"/>
  <c r="BU15" i="19"/>
  <c r="BU17" i="19"/>
  <c r="BU16" i="19"/>
  <c r="BU19" i="19"/>
  <c r="BU18" i="19"/>
  <c r="BU20" i="19"/>
  <c r="BU21" i="19"/>
  <c r="BU22" i="19"/>
  <c r="BU24" i="19"/>
  <c r="BU23" i="19"/>
  <c r="BU25" i="19"/>
  <c r="BU27" i="19"/>
  <c r="BU26" i="19"/>
  <c r="BU28" i="19"/>
  <c r="BU29" i="19"/>
  <c r="BU30" i="19"/>
  <c r="BU32" i="19"/>
  <c r="BU31" i="19"/>
  <c r="BU33" i="19"/>
  <c r="BU34" i="19"/>
  <c r="BU36" i="19"/>
  <c r="BU35" i="19"/>
  <c r="BU37" i="19"/>
  <c r="BU38" i="19"/>
  <c r="BU42" i="19"/>
  <c r="BU39" i="19"/>
  <c r="BU40" i="19"/>
  <c r="BU43" i="19"/>
  <c r="BU41" i="19"/>
  <c r="BU45" i="19"/>
  <c r="BU44" i="19"/>
  <c r="BU46" i="19"/>
  <c r="BU49" i="19"/>
  <c r="BU48" i="19"/>
  <c r="BU47" i="19"/>
  <c r="BU50" i="19"/>
  <c r="BU51" i="19"/>
  <c r="BU52" i="19"/>
  <c r="BU54" i="19"/>
  <c r="BU53" i="19"/>
  <c r="BU57" i="19"/>
  <c r="BU55" i="19"/>
  <c r="BU56" i="19"/>
  <c r="BU58" i="19"/>
  <c r="BU62" i="19"/>
  <c r="BU59" i="19"/>
  <c r="BU60" i="19"/>
  <c r="BU61" i="19"/>
  <c r="BU66" i="19"/>
  <c r="BU63" i="19"/>
  <c r="BU64" i="19"/>
  <c r="BU65" i="19"/>
  <c r="BU67" i="19"/>
  <c r="BU68" i="19"/>
  <c r="BU69" i="19"/>
  <c r="BU72" i="19"/>
  <c r="BU70" i="19"/>
  <c r="BU73" i="19"/>
  <c r="BU71" i="19"/>
  <c r="BU75" i="19"/>
  <c r="BU77" i="19"/>
  <c r="BU74" i="19"/>
  <c r="BU76" i="19"/>
  <c r="BU82" i="19"/>
  <c r="BU79" i="19"/>
  <c r="BU78" i="19"/>
  <c r="BU81" i="19"/>
  <c r="BU80" i="19"/>
  <c r="BU85" i="19"/>
  <c r="BU83" i="19"/>
  <c r="BU84" i="19"/>
  <c r="BU86" i="19"/>
  <c r="BU90" i="19"/>
  <c r="BU88" i="19"/>
  <c r="BU87" i="19"/>
  <c r="BU89" i="19"/>
  <c r="BU91" i="19"/>
  <c r="BU92" i="19"/>
  <c r="BU93" i="19"/>
  <c r="BU95" i="19"/>
  <c r="BU94" i="19"/>
  <c r="BU100" i="19"/>
  <c r="BU96" i="19"/>
  <c r="BU97" i="19"/>
  <c r="BU98" i="19"/>
  <c r="BU99" i="19"/>
  <c r="BU102" i="19"/>
  <c r="BU101" i="19"/>
  <c r="BU106" i="19"/>
  <c r="BU103" i="19"/>
  <c r="BU104" i="19"/>
  <c r="BU105" i="19"/>
  <c r="BU108" i="19"/>
  <c r="BU109" i="19"/>
  <c r="BU107" i="19"/>
  <c r="BU110" i="19"/>
  <c r="BU111" i="19"/>
  <c r="BU113" i="19"/>
  <c r="BU112" i="19"/>
  <c r="BU116" i="19"/>
  <c r="BU114" i="19"/>
  <c r="BU115" i="19"/>
  <c r="BM124" i="21"/>
  <c r="BM14" i="21"/>
  <c r="BM12" i="21"/>
  <c r="BM13" i="21"/>
  <c r="BM19" i="21"/>
  <c r="BM15" i="21"/>
  <c r="BM16" i="21"/>
  <c r="BM17" i="21"/>
  <c r="BM22" i="21"/>
  <c r="BM18" i="21"/>
  <c r="BM20" i="21"/>
  <c r="BM21" i="21"/>
  <c r="BM26" i="21"/>
  <c r="BM24" i="21"/>
  <c r="BM23" i="21"/>
  <c r="BM29" i="21"/>
  <c r="BM28" i="21"/>
  <c r="BM25" i="21"/>
  <c r="BM27" i="21"/>
  <c r="BM30" i="21"/>
  <c r="BM32" i="21"/>
  <c r="BM31" i="21"/>
  <c r="BM34" i="21"/>
  <c r="BM35" i="21"/>
  <c r="BM37" i="21"/>
  <c r="BM33" i="21"/>
  <c r="BM36" i="21"/>
  <c r="BM39" i="21"/>
  <c r="BM38" i="21"/>
  <c r="BM41" i="21"/>
  <c r="BM43" i="21"/>
  <c r="BM40" i="21"/>
  <c r="BM44" i="21"/>
  <c r="BM42" i="21"/>
  <c r="BM45" i="21"/>
  <c r="BM46" i="21"/>
  <c r="BM47" i="21"/>
  <c r="BM48" i="21"/>
  <c r="BM51" i="21"/>
  <c r="BM49" i="21"/>
  <c r="BM50" i="21"/>
  <c r="BM52" i="21"/>
  <c r="BM55" i="21"/>
  <c r="BM53" i="21"/>
  <c r="BM54" i="21"/>
  <c r="BM56" i="21"/>
  <c r="BM59" i="21"/>
  <c r="BM57" i="21"/>
  <c r="BM58" i="21"/>
  <c r="BM62" i="21"/>
  <c r="BM61" i="21"/>
  <c r="BM60" i="21"/>
  <c r="BM63" i="21"/>
  <c r="BM64" i="21"/>
  <c r="BM66" i="21"/>
  <c r="BM65" i="21"/>
  <c r="BM70" i="21"/>
  <c r="BM69" i="21"/>
  <c r="BM68" i="21"/>
  <c r="BM67" i="21"/>
  <c r="BM71" i="21"/>
  <c r="BM72" i="21"/>
  <c r="BM74" i="21"/>
  <c r="BM73" i="21"/>
  <c r="BM75" i="21"/>
  <c r="BM78" i="21"/>
  <c r="BM76" i="21"/>
  <c r="BM77" i="21"/>
  <c r="BM79" i="21"/>
  <c r="BM81" i="21"/>
  <c r="BM80" i="21"/>
  <c r="BM87" i="21"/>
  <c r="BM82" i="21"/>
  <c r="BM83" i="21"/>
  <c r="BM89" i="21"/>
  <c r="BM85" i="21"/>
  <c r="BM86" i="21"/>
  <c r="BM84" i="21"/>
  <c r="BM91" i="21"/>
  <c r="BM90" i="21"/>
  <c r="BM88" i="21"/>
  <c r="BM93" i="21"/>
  <c r="BM92" i="21"/>
  <c r="BM95" i="21"/>
  <c r="BM94" i="21"/>
  <c r="BM96" i="21"/>
  <c r="BM97" i="21"/>
  <c r="BM98" i="21"/>
  <c r="BM100" i="21"/>
  <c r="BM99" i="21"/>
  <c r="BM101" i="21"/>
  <c r="BM103" i="21"/>
  <c r="BM102" i="21"/>
  <c r="BM104" i="21"/>
  <c r="BM105" i="21"/>
  <c r="BM106" i="21"/>
  <c r="BM107" i="21"/>
  <c r="BM108" i="21"/>
  <c r="BM109" i="21"/>
  <c r="BM111" i="21"/>
  <c r="BM112" i="21"/>
  <c r="BM110" i="21"/>
  <c r="BM117" i="21"/>
  <c r="BM114" i="21"/>
  <c r="BM113" i="21"/>
  <c r="BM116" i="21"/>
  <c r="BM115" i="21"/>
  <c r="CC121" i="19"/>
  <c r="CC121" i="22"/>
  <c r="BQ116" i="19"/>
  <c r="BM118" i="21"/>
  <c r="BE117" i="21"/>
  <c r="BY117" i="21"/>
  <c r="BI121" i="21"/>
  <c r="BU124" i="21"/>
  <c r="BU13" i="21"/>
  <c r="BU12" i="21"/>
  <c r="BU18" i="21"/>
  <c r="BU15" i="21"/>
  <c r="BU14" i="21"/>
  <c r="BU19" i="21"/>
  <c r="BU16" i="21"/>
  <c r="BU17" i="21"/>
  <c r="BU20" i="21"/>
  <c r="BU24" i="21"/>
  <c r="BU21" i="21"/>
  <c r="BU23" i="21"/>
  <c r="BU22" i="21"/>
  <c r="BU25" i="21"/>
  <c r="BU26" i="21"/>
  <c r="BU27" i="21"/>
  <c r="BU28" i="21"/>
  <c r="BU29" i="21"/>
  <c r="BU30" i="21"/>
  <c r="BU32" i="21"/>
  <c r="BU31" i="21"/>
  <c r="BU33" i="21"/>
  <c r="BU39" i="21"/>
  <c r="BU34" i="21"/>
  <c r="BU35" i="21"/>
  <c r="BU37" i="21"/>
  <c r="BU38" i="21"/>
  <c r="BU36" i="21"/>
  <c r="BU41" i="21"/>
  <c r="BU40" i="21"/>
  <c r="BU43" i="21"/>
  <c r="BU42" i="21"/>
  <c r="BU44" i="21"/>
  <c r="BU47" i="21"/>
  <c r="BU45" i="21"/>
  <c r="BU48" i="21"/>
  <c r="BU46" i="21"/>
  <c r="BU49" i="21"/>
  <c r="BU50" i="21"/>
  <c r="BU54" i="21"/>
  <c r="BU51" i="21"/>
  <c r="BU52" i="21"/>
  <c r="BU53" i="21"/>
  <c r="BU56" i="21"/>
  <c r="BU55" i="21"/>
  <c r="BU57" i="21"/>
  <c r="BU60" i="21"/>
  <c r="BU58" i="21"/>
  <c r="BU59" i="21"/>
  <c r="BU61" i="21"/>
  <c r="BU64" i="21"/>
  <c r="BU63" i="21"/>
  <c r="BU62" i="21"/>
  <c r="BU65" i="21"/>
  <c r="BU66" i="21"/>
  <c r="BU69" i="21"/>
  <c r="BU67" i="21"/>
  <c r="BU70" i="21"/>
  <c r="BU68" i="21"/>
  <c r="BU72" i="21"/>
  <c r="BU71" i="21"/>
  <c r="BU73" i="21"/>
  <c r="BU74" i="21"/>
  <c r="BU75" i="21"/>
  <c r="BU76" i="21"/>
  <c r="BU80" i="21"/>
  <c r="BU78" i="21"/>
  <c r="BU77" i="21"/>
  <c r="BU79" i="21"/>
  <c r="BU82" i="21"/>
  <c r="BU81" i="21"/>
  <c r="BU84" i="21"/>
  <c r="BU85" i="21"/>
  <c r="BU88" i="21"/>
  <c r="BU83" i="21"/>
  <c r="BU86" i="21"/>
  <c r="BU87" i="21"/>
  <c r="BU89" i="21"/>
  <c r="BU90" i="21"/>
  <c r="BU91" i="21"/>
  <c r="BU93" i="21"/>
  <c r="BU92" i="21"/>
  <c r="BU98" i="21"/>
  <c r="BU94" i="21"/>
  <c r="BU96" i="21"/>
  <c r="BU99" i="21"/>
  <c r="BU95" i="21"/>
  <c r="BU97" i="21"/>
  <c r="BU101" i="21"/>
  <c r="BU100" i="21"/>
  <c r="BU106" i="21"/>
  <c r="BU102" i="21"/>
  <c r="BU103" i="21"/>
  <c r="BU104" i="21"/>
  <c r="BU105" i="21"/>
  <c r="BU108" i="21"/>
  <c r="BU107" i="21"/>
  <c r="BU110" i="21"/>
  <c r="BU111" i="21"/>
  <c r="BU109" i="21"/>
  <c r="BU113" i="21"/>
  <c r="BU114" i="21"/>
  <c r="BU112" i="21"/>
  <c r="BU117" i="21"/>
  <c r="BU115" i="21"/>
  <c r="BI124" i="19"/>
  <c r="BI12" i="19"/>
  <c r="BI13" i="19"/>
  <c r="BI15" i="19"/>
  <c r="BI17" i="19"/>
  <c r="BI14" i="19"/>
  <c r="BI16" i="19"/>
  <c r="BI19" i="19"/>
  <c r="BI18" i="19"/>
  <c r="BI22" i="19"/>
  <c r="BI20" i="19"/>
  <c r="BI21" i="19"/>
  <c r="BI24" i="19"/>
  <c r="BI25" i="19"/>
  <c r="BI23" i="19"/>
  <c r="BI26" i="19"/>
  <c r="BI28" i="19"/>
  <c r="BI27" i="19"/>
  <c r="BI31" i="19"/>
  <c r="BI30" i="19"/>
  <c r="BI29" i="19"/>
  <c r="BI32" i="19"/>
  <c r="BI34" i="19"/>
  <c r="BI33" i="19"/>
  <c r="BI37" i="19"/>
  <c r="BI35" i="19"/>
  <c r="BI36" i="19"/>
  <c r="BI41" i="19"/>
  <c r="BI40" i="19"/>
  <c r="BI39" i="19"/>
  <c r="BI38" i="19"/>
  <c r="BI43" i="19"/>
  <c r="BI42" i="19"/>
  <c r="BI44" i="19"/>
  <c r="BI45" i="19"/>
  <c r="BI46" i="19"/>
  <c r="BI47" i="19"/>
  <c r="BI48" i="19"/>
  <c r="BI49" i="19"/>
  <c r="BI52" i="19"/>
  <c r="BI50" i="19"/>
  <c r="BI51" i="19"/>
  <c r="BI55" i="19"/>
  <c r="BI54" i="19"/>
  <c r="BI53" i="19"/>
  <c r="BI56" i="19"/>
  <c r="BI59" i="19"/>
  <c r="BI58" i="19"/>
  <c r="BI57" i="19"/>
  <c r="BI63" i="19"/>
  <c r="BI61" i="19"/>
  <c r="BI60" i="19"/>
  <c r="BI62" i="19"/>
  <c r="BI67" i="19"/>
  <c r="BI64" i="19"/>
  <c r="BI65" i="19"/>
  <c r="BI70" i="19"/>
  <c r="BI66" i="19"/>
  <c r="BI68" i="19"/>
  <c r="BI69" i="19"/>
  <c r="BI71" i="19"/>
  <c r="BI73" i="19"/>
  <c r="BI74" i="19"/>
  <c r="BI72" i="19"/>
  <c r="BI75" i="19"/>
  <c r="BI76" i="19"/>
  <c r="BI77" i="19"/>
  <c r="BI78" i="19"/>
  <c r="BI80" i="19"/>
  <c r="BI79" i="19"/>
  <c r="BI81" i="19"/>
  <c r="BI83" i="19"/>
  <c r="BI82" i="19"/>
  <c r="BI84" i="19"/>
  <c r="BI85" i="19"/>
  <c r="BI86" i="19"/>
  <c r="BI88" i="19"/>
  <c r="BI89" i="19"/>
  <c r="BI87" i="19"/>
  <c r="BI90" i="19"/>
  <c r="BI91" i="19"/>
  <c r="BI92" i="19"/>
  <c r="BI93" i="19"/>
  <c r="BI97" i="19"/>
  <c r="BI96" i="19"/>
  <c r="BI94" i="19"/>
  <c r="BI95" i="19"/>
  <c r="BI98" i="19"/>
  <c r="BI99" i="19"/>
  <c r="BI100" i="19"/>
  <c r="BI106" i="19"/>
  <c r="BI102" i="19"/>
  <c r="BI101" i="19"/>
  <c r="BI104" i="19"/>
  <c r="BI103" i="19"/>
  <c r="BI105" i="19"/>
  <c r="BI108" i="19"/>
  <c r="BI107" i="19"/>
  <c r="BI110" i="19"/>
  <c r="BI112" i="19"/>
  <c r="BI109" i="19"/>
  <c r="BI111" i="19"/>
  <c r="BI113" i="19"/>
  <c r="BI115" i="19"/>
  <c r="BI116" i="19"/>
  <c r="BI114" i="19"/>
  <c r="AZ123" i="8"/>
  <c r="AX124" i="8"/>
  <c r="AZ124" i="8" s="1"/>
  <c r="BA122" i="21"/>
  <c r="CC120" i="21"/>
  <c r="CC120" i="19"/>
  <c r="BI120" i="19"/>
  <c r="CB123" i="8"/>
  <c r="BZ124" i="8"/>
  <c r="CB124" i="8" s="1"/>
  <c r="BI114" i="21"/>
  <c r="CG123" i="21"/>
  <c r="CG121" i="21"/>
  <c r="CG118" i="21"/>
  <c r="CG119" i="21"/>
  <c r="CG117" i="21"/>
  <c r="CG115" i="21"/>
  <c r="BY121" i="21"/>
  <c r="BX123" i="8"/>
  <c r="BV124" i="8"/>
  <c r="BX124" i="8" s="1"/>
  <c r="BQ123" i="22"/>
  <c r="BQ119" i="22"/>
  <c r="BQ121" i="22"/>
  <c r="BY124" i="19"/>
  <c r="BY14" i="19"/>
  <c r="BY12" i="19"/>
  <c r="BY13" i="19"/>
  <c r="BY16" i="19"/>
  <c r="BY15" i="19"/>
  <c r="BY17" i="19"/>
  <c r="BY18" i="19"/>
  <c r="BY19" i="19"/>
  <c r="BY21" i="19"/>
  <c r="BY20" i="19"/>
  <c r="BY22" i="19"/>
  <c r="BY25" i="19"/>
  <c r="BY23" i="19"/>
  <c r="BY24" i="19"/>
  <c r="BY26" i="19"/>
  <c r="BY27" i="19"/>
  <c r="BY28" i="19"/>
  <c r="BY29" i="19"/>
  <c r="BY31" i="19"/>
  <c r="BY30" i="19"/>
  <c r="BY33" i="19"/>
  <c r="BY32" i="19"/>
  <c r="BY34" i="19"/>
  <c r="BY35" i="19"/>
  <c r="BY36" i="19"/>
  <c r="BY37" i="19"/>
  <c r="BY41" i="19"/>
  <c r="BY38" i="19"/>
  <c r="BY40" i="19"/>
  <c r="BY43" i="19"/>
  <c r="BY42" i="19"/>
  <c r="BY39" i="19"/>
  <c r="BY45" i="19"/>
  <c r="BY44" i="19"/>
  <c r="BY46" i="19"/>
  <c r="BY48" i="19"/>
  <c r="BY47" i="19"/>
  <c r="BY49" i="19"/>
  <c r="BY52" i="19"/>
  <c r="BY50" i="19"/>
  <c r="BY54" i="19"/>
  <c r="BY51" i="19"/>
  <c r="BY55" i="19"/>
  <c r="BY53" i="19"/>
  <c r="BY56" i="19"/>
  <c r="BY57" i="19"/>
  <c r="BY59" i="19"/>
  <c r="BY58" i="19"/>
  <c r="BY60" i="19"/>
  <c r="BY61" i="19"/>
  <c r="BY62" i="19"/>
  <c r="BY64" i="19"/>
  <c r="BY63" i="19"/>
  <c r="BY68" i="19"/>
  <c r="BY65" i="19"/>
  <c r="BY66" i="19"/>
  <c r="BY67" i="19"/>
  <c r="BY70" i="19"/>
  <c r="BY71" i="19"/>
  <c r="BY69" i="19"/>
  <c r="BY74" i="19"/>
  <c r="BY72" i="19"/>
  <c r="BY73" i="19"/>
  <c r="BY77" i="19"/>
  <c r="BY75" i="19"/>
  <c r="BY76" i="19"/>
  <c r="BY78" i="19"/>
  <c r="BY79" i="19"/>
  <c r="BY80" i="19"/>
  <c r="BY81" i="19"/>
  <c r="BY82" i="19"/>
  <c r="BY84" i="19"/>
  <c r="BY83" i="19"/>
  <c r="BY85" i="19"/>
  <c r="BY86" i="19"/>
  <c r="BY88" i="19"/>
  <c r="BY87" i="19"/>
  <c r="BY89" i="19"/>
  <c r="BY90" i="19"/>
  <c r="BY91" i="19"/>
  <c r="BY92" i="19"/>
  <c r="BY93" i="19"/>
  <c r="BY94" i="19"/>
  <c r="BY96" i="19"/>
  <c r="BY95" i="19"/>
  <c r="BY98" i="19"/>
  <c r="BY97" i="19"/>
  <c r="BY100" i="19"/>
  <c r="BY99" i="19"/>
  <c r="BY101" i="19"/>
  <c r="BY102" i="19"/>
  <c r="BY104" i="19"/>
  <c r="BY106" i="19"/>
  <c r="BY103" i="19"/>
  <c r="BY105" i="19"/>
  <c r="BY107" i="19"/>
  <c r="BY108" i="19"/>
  <c r="BY109" i="19"/>
  <c r="BY112" i="19"/>
  <c r="BY111" i="19"/>
  <c r="BY110" i="19"/>
  <c r="BY114" i="19"/>
  <c r="BY113" i="19"/>
  <c r="BQ122" i="19"/>
  <c r="BE120" i="22"/>
  <c r="AN124" i="19"/>
  <c r="AO120" i="19" s="1"/>
  <c r="AM124" i="19"/>
  <c r="BU123" i="21"/>
  <c r="BU121" i="21"/>
  <c r="BU119" i="21"/>
  <c r="BU118" i="21"/>
  <c r="BU116" i="21"/>
  <c r="AN123" i="8"/>
  <c r="AM123" i="8"/>
  <c r="AK124" i="8"/>
  <c r="BJ124" i="8"/>
  <c r="BL124" i="8" s="1"/>
  <c r="BL123" i="8"/>
  <c r="CC122" i="21"/>
  <c r="BU120" i="21"/>
  <c r="BI118" i="19"/>
  <c r="BM123" i="19"/>
  <c r="BM120" i="19"/>
  <c r="AW124" i="21"/>
  <c r="AW13" i="21"/>
  <c r="AW12" i="21"/>
  <c r="AW17" i="21"/>
  <c r="AW14" i="21"/>
  <c r="AW15" i="21"/>
  <c r="AW21" i="21"/>
  <c r="AW19" i="21"/>
  <c r="AW16" i="21"/>
  <c r="AW18" i="21"/>
  <c r="AW20" i="21"/>
  <c r="AW23" i="21"/>
  <c r="AW22" i="21"/>
  <c r="AW25" i="21"/>
  <c r="AW27" i="21"/>
  <c r="AW26" i="21"/>
  <c r="AW24" i="21"/>
  <c r="AW28" i="21"/>
  <c r="AW30" i="21"/>
  <c r="AW31" i="21"/>
  <c r="AW29" i="21"/>
  <c r="AW32" i="21"/>
  <c r="AW33" i="21"/>
  <c r="AW34" i="21"/>
  <c r="AW36" i="21"/>
  <c r="AW35" i="21"/>
  <c r="AW38" i="21"/>
  <c r="AW37" i="21"/>
  <c r="AW41" i="21"/>
  <c r="AW40" i="21"/>
  <c r="AW39" i="21"/>
  <c r="AW42" i="21"/>
  <c r="AW43" i="21"/>
  <c r="AW45" i="21"/>
  <c r="AW46" i="21"/>
  <c r="AW44" i="21"/>
  <c r="AW47" i="21"/>
  <c r="AW49" i="21"/>
  <c r="AW48" i="21"/>
  <c r="AW51" i="21"/>
  <c r="AW50" i="21"/>
  <c r="AW56" i="21"/>
  <c r="AW54" i="21"/>
  <c r="AW52" i="21"/>
  <c r="AW53" i="21"/>
  <c r="AW55" i="21"/>
  <c r="AW57" i="21"/>
  <c r="AW58" i="21"/>
  <c r="AW59" i="21"/>
  <c r="AW60" i="21"/>
  <c r="AW61" i="21"/>
  <c r="AW62" i="21"/>
  <c r="AW63" i="21"/>
  <c r="AW66" i="21"/>
  <c r="AW65" i="21"/>
  <c r="AW64" i="21"/>
  <c r="AW70" i="21"/>
  <c r="AW68" i="21"/>
  <c r="AW67" i="21"/>
  <c r="AW69" i="21"/>
  <c r="AW73" i="21"/>
  <c r="AW72" i="21"/>
  <c r="AW74" i="21"/>
  <c r="AW71" i="21"/>
  <c r="AW75" i="21"/>
  <c r="AW80" i="21"/>
  <c r="AW76" i="21"/>
  <c r="AW77" i="21"/>
  <c r="AW79" i="21"/>
  <c r="AW78" i="21"/>
  <c r="AW81" i="21"/>
  <c r="AW82" i="21"/>
  <c r="AW84" i="21"/>
  <c r="AW83" i="21"/>
  <c r="AW87" i="21"/>
  <c r="AW85" i="21"/>
  <c r="AW86" i="21"/>
  <c r="AW88" i="21"/>
  <c r="AW89" i="21"/>
  <c r="AW90" i="21"/>
  <c r="AW92" i="21"/>
  <c r="AW93" i="21"/>
  <c r="AW91" i="21"/>
  <c r="AW96" i="21"/>
  <c r="AW94" i="21"/>
  <c r="AW95" i="21"/>
  <c r="AW98" i="21"/>
  <c r="AW97" i="21"/>
  <c r="AW104" i="21"/>
  <c r="AW103" i="21"/>
  <c r="AW99" i="21"/>
  <c r="AW100" i="21"/>
  <c r="AW101" i="21"/>
  <c r="AW102" i="21"/>
  <c r="AW109" i="21"/>
  <c r="AW105" i="21"/>
  <c r="AW111" i="21"/>
  <c r="AW107" i="21"/>
  <c r="AW106" i="21"/>
  <c r="AW108" i="21"/>
  <c r="AW113" i="21"/>
  <c r="AW110" i="21"/>
  <c r="AW112" i="21"/>
  <c r="AW114" i="21"/>
  <c r="AW115" i="21"/>
  <c r="AW116" i="21"/>
  <c r="BI120" i="21"/>
  <c r="CG124" i="21"/>
  <c r="CG12" i="21"/>
  <c r="CG13" i="21"/>
  <c r="CG16" i="21"/>
  <c r="CG14" i="21"/>
  <c r="CG15" i="21"/>
  <c r="CG18" i="21"/>
  <c r="CG17" i="21"/>
  <c r="CG19" i="21"/>
  <c r="CG23" i="21"/>
  <c r="CG22" i="21"/>
  <c r="CG20" i="21"/>
  <c r="CG24" i="21"/>
  <c r="CG21" i="21"/>
  <c r="CG25" i="21"/>
  <c r="CG28" i="21"/>
  <c r="CG26" i="21"/>
  <c r="CG29" i="21"/>
  <c r="CG27" i="21"/>
  <c r="CG31" i="21"/>
  <c r="CG34" i="21"/>
  <c r="CG30" i="21"/>
  <c r="CG33" i="21"/>
  <c r="CG32" i="21"/>
  <c r="CG36" i="21"/>
  <c r="CG35" i="21"/>
  <c r="CG37" i="21"/>
  <c r="CG40" i="21"/>
  <c r="CG38" i="21"/>
  <c r="CG43" i="21"/>
  <c r="CG39" i="21"/>
  <c r="CG46" i="21"/>
  <c r="CG42" i="21"/>
  <c r="CG41" i="21"/>
  <c r="CG44" i="21"/>
  <c r="CG45" i="21"/>
  <c r="CG48" i="21"/>
  <c r="CG49" i="21"/>
  <c r="CG47" i="21"/>
  <c r="CG52" i="21"/>
  <c r="CG50" i="21"/>
  <c r="CG51" i="21"/>
  <c r="CG53" i="21"/>
  <c r="CG55" i="21"/>
  <c r="CG54" i="21"/>
  <c r="CG58" i="21"/>
  <c r="CG56" i="21"/>
  <c r="CG57" i="21"/>
  <c r="CG59" i="21"/>
  <c r="CG60" i="21"/>
  <c r="CG62" i="21"/>
  <c r="CG64" i="21"/>
  <c r="CG61" i="21"/>
  <c r="CG63" i="21"/>
  <c r="CG66" i="21"/>
  <c r="CG65" i="21"/>
  <c r="CG69" i="21"/>
  <c r="CG67" i="21"/>
  <c r="CG70" i="21"/>
  <c r="CG68" i="21"/>
  <c r="CG73" i="21"/>
  <c r="CG71" i="21"/>
  <c r="CG72" i="21"/>
  <c r="CG75" i="21"/>
  <c r="CG77" i="21"/>
  <c r="CG76" i="21"/>
  <c r="CG74" i="21"/>
  <c r="CG78" i="21"/>
  <c r="CG79" i="21"/>
  <c r="CG82" i="21"/>
  <c r="CG81" i="21"/>
  <c r="CG80" i="21"/>
  <c r="CG83" i="21"/>
  <c r="CG89" i="21"/>
  <c r="CG85" i="21"/>
  <c r="CG84" i="21"/>
  <c r="CG87" i="21"/>
  <c r="CG86" i="21"/>
  <c r="CG88" i="21"/>
  <c r="CG91" i="21"/>
  <c r="CG92" i="21"/>
  <c r="CG90" i="21"/>
  <c r="CG93" i="21"/>
  <c r="CG95" i="21"/>
  <c r="CG94" i="21"/>
  <c r="CG97" i="21"/>
  <c r="CG98" i="21"/>
  <c r="CG96" i="21"/>
  <c r="CG102" i="21"/>
  <c r="CG99" i="21"/>
  <c r="CG100" i="21"/>
  <c r="CG101" i="21"/>
  <c r="CG104" i="21"/>
  <c r="CG103" i="21"/>
  <c r="CG105" i="21"/>
  <c r="CG109" i="21"/>
  <c r="CG107" i="21"/>
  <c r="CG106" i="21"/>
  <c r="CG112" i="21"/>
  <c r="CG108" i="21"/>
  <c r="CG111" i="21"/>
  <c r="CG110" i="21"/>
  <c r="CG113" i="21"/>
  <c r="CG114" i="21"/>
  <c r="CG116" i="21"/>
  <c r="BQ120" i="22"/>
  <c r="BM122" i="19"/>
  <c r="AS121" i="22"/>
  <c r="AO120" i="22" l="1"/>
  <c r="AO123" i="22"/>
  <c r="AO121" i="22"/>
  <c r="BE118" i="8"/>
  <c r="BI119" i="22"/>
  <c r="CG118" i="22"/>
  <c r="AS120" i="8"/>
  <c r="AS116" i="8"/>
  <c r="AS118" i="8"/>
  <c r="AS117" i="8"/>
  <c r="AS114" i="8"/>
  <c r="AS119" i="8"/>
  <c r="AS115" i="8"/>
  <c r="AS122" i="8"/>
  <c r="BI115" i="8"/>
  <c r="BE116" i="8"/>
  <c r="BE115" i="8"/>
  <c r="BE117" i="8"/>
  <c r="BE122" i="8"/>
  <c r="BE120" i="8"/>
  <c r="BI120" i="8"/>
  <c r="BI122" i="8"/>
  <c r="CG115" i="22"/>
  <c r="BA120" i="8"/>
  <c r="CG122" i="22"/>
  <c r="CG120" i="22"/>
  <c r="AW122" i="8"/>
  <c r="BI120" i="22"/>
  <c r="AW119" i="8"/>
  <c r="AW116" i="8"/>
  <c r="BA118" i="8"/>
  <c r="BI116" i="22"/>
  <c r="CG122" i="8"/>
  <c r="BU122" i="8"/>
  <c r="BU120" i="8"/>
  <c r="BI122" i="22"/>
  <c r="BU119" i="8"/>
  <c r="BU118" i="8"/>
  <c r="BU116" i="8"/>
  <c r="CC117" i="8"/>
  <c r="CG120" i="8"/>
  <c r="BA122" i="8"/>
  <c r="BI118" i="22"/>
  <c r="BY121" i="8"/>
  <c r="BE121" i="8"/>
  <c r="BA119" i="8"/>
  <c r="BA116" i="8"/>
  <c r="BY120" i="8"/>
  <c r="CH120" i="19"/>
  <c r="BU123" i="8"/>
  <c r="CC114" i="8"/>
  <c r="BI123" i="22"/>
  <c r="BM120" i="8"/>
  <c r="BA123" i="22"/>
  <c r="BI119" i="8"/>
  <c r="BM124" i="8"/>
  <c r="BM12" i="8"/>
  <c r="BM13" i="8"/>
  <c r="BM14" i="8"/>
  <c r="BM15" i="8"/>
  <c r="BM17" i="8"/>
  <c r="BM18" i="8"/>
  <c r="BM16" i="8"/>
  <c r="BM19" i="8"/>
  <c r="BM20" i="8"/>
  <c r="BM21" i="8"/>
  <c r="BM23" i="8"/>
  <c r="BM25" i="8"/>
  <c r="BM27" i="8"/>
  <c r="BM24" i="8"/>
  <c r="BM22" i="8"/>
  <c r="BM26" i="8"/>
  <c r="BM29" i="8"/>
  <c r="BM30" i="8"/>
  <c r="BM28" i="8"/>
  <c r="BM31" i="8"/>
  <c r="BM32" i="8"/>
  <c r="BM36" i="8"/>
  <c r="BM33" i="8"/>
  <c r="BM34" i="8"/>
  <c r="BM35" i="8"/>
  <c r="BM38" i="8"/>
  <c r="BM37" i="8"/>
  <c r="BM41" i="8"/>
  <c r="BM39" i="8"/>
  <c r="BM40" i="8"/>
  <c r="BM46" i="8"/>
  <c r="BM42" i="8"/>
  <c r="BM45" i="8"/>
  <c r="BM44" i="8"/>
  <c r="BM43" i="8"/>
  <c r="BM48" i="8"/>
  <c r="BM47" i="8"/>
  <c r="BM49" i="8"/>
  <c r="BM51" i="8"/>
  <c r="BM53" i="8"/>
  <c r="BM50" i="8"/>
  <c r="BM56" i="8"/>
  <c r="BM52" i="8"/>
  <c r="BM54" i="8"/>
  <c r="BM55" i="8"/>
  <c r="BM58" i="8"/>
  <c r="BM57" i="8"/>
  <c r="BM59" i="8"/>
  <c r="BM61" i="8"/>
  <c r="BM60" i="8"/>
  <c r="BM63" i="8"/>
  <c r="BM62" i="8"/>
  <c r="BM65" i="8"/>
  <c r="BM64" i="8"/>
  <c r="BM66" i="8"/>
  <c r="BM68" i="8"/>
  <c r="BM67" i="8"/>
  <c r="BM71" i="8"/>
  <c r="BM70" i="8"/>
  <c r="BM69" i="8"/>
  <c r="BM72" i="8"/>
  <c r="BM74" i="8"/>
  <c r="BM76" i="8"/>
  <c r="BM73" i="8"/>
  <c r="BM75" i="8"/>
  <c r="BM78" i="8"/>
  <c r="BM77" i="8"/>
  <c r="BM79" i="8"/>
  <c r="BM80" i="8"/>
  <c r="BM81" i="8"/>
  <c r="BM82" i="8"/>
  <c r="BM83" i="8"/>
  <c r="BM88" i="8"/>
  <c r="BM86" i="8"/>
  <c r="BM84" i="8"/>
  <c r="BM85" i="8"/>
  <c r="BM87" i="8"/>
  <c r="BM90" i="8"/>
  <c r="BM89" i="8"/>
  <c r="BM91" i="8"/>
  <c r="BM92" i="8"/>
  <c r="BM96" i="8"/>
  <c r="BM93" i="8"/>
  <c r="BM94" i="8"/>
  <c r="BM97" i="8"/>
  <c r="BM95" i="8"/>
  <c r="BM98" i="8"/>
  <c r="BM101" i="8"/>
  <c r="BM99" i="8"/>
  <c r="BM100" i="8"/>
  <c r="BM102" i="8"/>
  <c r="BM103" i="8"/>
  <c r="BM104" i="8"/>
  <c r="BM105" i="8"/>
  <c r="BM107" i="8"/>
  <c r="BM106" i="8"/>
  <c r="BM111" i="8"/>
  <c r="BM112" i="8"/>
  <c r="BM108" i="8"/>
  <c r="BM109" i="8"/>
  <c r="BM110" i="8"/>
  <c r="BM115" i="8"/>
  <c r="BM117" i="8"/>
  <c r="BM113" i="8"/>
  <c r="BM116" i="8"/>
  <c r="BY123" i="8"/>
  <c r="BY118" i="8"/>
  <c r="CC120" i="8"/>
  <c r="BA124" i="22"/>
  <c r="BA13" i="22"/>
  <c r="BA12" i="22"/>
  <c r="BA14" i="22"/>
  <c r="BA15" i="22"/>
  <c r="BA16" i="22"/>
  <c r="BA18" i="22"/>
  <c r="BA19" i="22"/>
  <c r="BA17" i="22"/>
  <c r="BA20" i="22"/>
  <c r="BA22" i="22"/>
  <c r="BA21" i="22"/>
  <c r="BA24" i="22"/>
  <c r="BA25" i="22"/>
  <c r="BA23" i="22"/>
  <c r="BA27" i="22"/>
  <c r="BA26" i="22"/>
  <c r="BA28" i="22"/>
  <c r="BA30" i="22"/>
  <c r="BA29" i="22"/>
  <c r="BA32" i="22"/>
  <c r="BA31" i="22"/>
  <c r="BA33" i="22"/>
  <c r="BA35" i="22"/>
  <c r="BA34" i="22"/>
  <c r="BA38" i="22"/>
  <c r="BA36" i="22"/>
  <c r="BA42" i="22"/>
  <c r="BA40" i="22"/>
  <c r="BA37" i="22"/>
  <c r="BA39" i="22"/>
  <c r="BA41" i="22"/>
  <c r="BA45" i="22"/>
  <c r="BA44" i="22"/>
  <c r="BA43" i="22"/>
  <c r="BA48" i="22"/>
  <c r="BA49" i="22"/>
  <c r="BA46" i="22"/>
  <c r="BA51" i="22"/>
  <c r="BA47" i="22"/>
  <c r="BA50" i="22"/>
  <c r="BA55" i="22"/>
  <c r="BA52" i="22"/>
  <c r="BA53" i="22"/>
  <c r="BA57" i="22"/>
  <c r="BA54" i="22"/>
  <c r="BA56" i="22"/>
  <c r="BA59" i="22"/>
  <c r="BA58" i="22"/>
  <c r="BA60" i="22"/>
  <c r="BA61" i="22"/>
  <c r="BA62" i="22"/>
  <c r="BA67" i="22"/>
  <c r="BA64" i="22"/>
  <c r="BA63" i="22"/>
  <c r="BA66" i="22"/>
  <c r="BA70" i="22"/>
  <c r="BA65" i="22"/>
  <c r="BA69" i="22"/>
  <c r="BA68" i="22"/>
  <c r="BA74" i="22"/>
  <c r="BA73" i="22"/>
  <c r="BA71" i="22"/>
  <c r="BA72" i="22"/>
  <c r="BA76" i="22"/>
  <c r="BA80" i="22"/>
  <c r="BA75" i="22"/>
  <c r="BA77" i="22"/>
  <c r="BA79" i="22"/>
  <c r="BA78" i="22"/>
  <c r="BA81" i="22"/>
  <c r="BA83" i="22"/>
  <c r="BA85" i="22"/>
  <c r="BA82" i="22"/>
  <c r="BA90" i="22"/>
  <c r="BA84" i="22"/>
  <c r="BA86" i="22"/>
  <c r="BA87" i="22"/>
  <c r="BA88" i="22"/>
  <c r="BA95" i="22"/>
  <c r="BA91" i="22"/>
  <c r="BA89" i="22"/>
  <c r="BA98" i="22"/>
  <c r="BA92" i="22"/>
  <c r="BA93" i="22"/>
  <c r="BA94" i="22"/>
  <c r="BA96" i="22"/>
  <c r="BA97" i="22"/>
  <c r="BA102" i="22"/>
  <c r="BA99" i="22"/>
  <c r="BA101" i="22"/>
  <c r="BA100" i="22"/>
  <c r="BA104" i="22"/>
  <c r="BA103" i="22"/>
  <c r="BA105" i="22"/>
  <c r="BA107" i="22"/>
  <c r="BA106" i="22"/>
  <c r="BA108" i="22"/>
  <c r="BA110" i="22"/>
  <c r="BA111" i="22"/>
  <c r="BA109" i="22"/>
  <c r="BA113" i="22"/>
  <c r="BA112" i="22"/>
  <c r="BA117" i="22"/>
  <c r="BA114" i="22"/>
  <c r="CG124" i="8"/>
  <c r="CG14" i="8"/>
  <c r="CG12" i="8"/>
  <c r="CG13" i="8"/>
  <c r="CG16" i="8"/>
  <c r="CG15" i="8"/>
  <c r="CG20" i="8"/>
  <c r="CG17" i="8"/>
  <c r="CG18" i="8"/>
  <c r="CG19" i="8"/>
  <c r="CG23" i="8"/>
  <c r="CG22" i="8"/>
  <c r="CG21" i="8"/>
  <c r="CG24" i="8"/>
  <c r="CG25" i="8"/>
  <c r="CG28" i="8"/>
  <c r="CG26" i="8"/>
  <c r="CG29" i="8"/>
  <c r="CG30" i="8"/>
  <c r="CG27" i="8"/>
  <c r="CG31" i="8"/>
  <c r="CG32" i="8"/>
  <c r="CG33" i="8"/>
  <c r="CG34" i="8"/>
  <c r="CG35" i="8"/>
  <c r="CG42" i="8"/>
  <c r="CG36" i="8"/>
  <c r="CG37" i="8"/>
  <c r="CG39" i="8"/>
  <c r="CG41" i="8"/>
  <c r="CG38" i="8"/>
  <c r="CG40" i="8"/>
  <c r="CG43" i="8"/>
  <c r="CG46" i="8"/>
  <c r="CG44" i="8"/>
  <c r="CG45" i="8"/>
  <c r="CG47" i="8"/>
  <c r="CG49" i="8"/>
  <c r="CG48" i="8"/>
  <c r="CG50" i="8"/>
  <c r="CG52" i="8"/>
  <c r="CG53" i="8"/>
  <c r="CG51" i="8"/>
  <c r="CG55" i="8"/>
  <c r="CG56" i="8"/>
  <c r="CG54" i="8"/>
  <c r="CG58" i="8"/>
  <c r="CG60" i="8"/>
  <c r="CG57" i="8"/>
  <c r="CG59" i="8"/>
  <c r="CG62" i="8"/>
  <c r="CG61" i="8"/>
  <c r="CG64" i="8"/>
  <c r="CG63" i="8"/>
  <c r="CG66" i="8"/>
  <c r="CG65" i="8"/>
  <c r="CG70" i="8"/>
  <c r="CG69" i="8"/>
  <c r="CG67" i="8"/>
  <c r="CG68" i="8"/>
  <c r="CG72" i="8"/>
  <c r="CG71" i="8"/>
  <c r="CG73" i="8"/>
  <c r="CG74" i="8"/>
  <c r="CG76" i="8"/>
  <c r="CG75" i="8"/>
  <c r="CG78" i="8"/>
  <c r="CG77" i="8"/>
  <c r="CG79" i="8"/>
  <c r="CG80" i="8"/>
  <c r="CG82" i="8"/>
  <c r="CG81" i="8"/>
  <c r="CG83" i="8"/>
  <c r="CG84" i="8"/>
  <c r="CG87" i="8"/>
  <c r="CG85" i="8"/>
  <c r="CG86" i="8"/>
  <c r="CG88" i="8"/>
  <c r="CG90" i="8"/>
  <c r="CG91" i="8"/>
  <c r="CG89" i="8"/>
  <c r="CG93" i="8"/>
  <c r="CG92" i="8"/>
  <c r="CG95" i="8"/>
  <c r="CG96" i="8"/>
  <c r="CG94" i="8"/>
  <c r="CG98" i="8"/>
  <c r="CG97" i="8"/>
  <c r="CG99" i="8"/>
  <c r="CG103" i="8"/>
  <c r="CG100" i="8"/>
  <c r="CG101" i="8"/>
  <c r="CG105" i="8"/>
  <c r="CG102" i="8"/>
  <c r="CG107" i="8"/>
  <c r="CG104" i="8"/>
  <c r="CG110" i="8"/>
  <c r="CG106" i="8"/>
  <c r="CG108" i="8"/>
  <c r="CG109" i="8"/>
  <c r="CG112" i="8"/>
  <c r="CG114" i="8"/>
  <c r="CG111" i="8"/>
  <c r="CG118" i="8"/>
  <c r="CG113" i="8"/>
  <c r="CG116" i="8"/>
  <c r="BA121" i="22"/>
  <c r="BM118" i="8"/>
  <c r="AS124" i="8"/>
  <c r="AS12" i="8"/>
  <c r="AS14" i="8"/>
  <c r="AS15" i="8"/>
  <c r="AS13" i="8"/>
  <c r="AS16" i="8"/>
  <c r="AS17" i="8"/>
  <c r="AS21" i="8"/>
  <c r="AS18" i="8"/>
  <c r="AS19" i="8"/>
  <c r="AS20" i="8"/>
  <c r="AS22" i="8"/>
  <c r="AS24" i="8"/>
  <c r="AS23" i="8"/>
  <c r="AS26" i="8"/>
  <c r="AS25" i="8"/>
  <c r="AS27" i="8"/>
  <c r="AS28" i="8"/>
  <c r="AS33" i="8"/>
  <c r="AS31" i="8"/>
  <c r="AS29" i="8"/>
  <c r="AS30" i="8"/>
  <c r="AS32" i="8"/>
  <c r="AS35" i="8"/>
  <c r="AS34" i="8"/>
  <c r="AS37" i="8"/>
  <c r="AS36" i="8"/>
  <c r="AS40" i="8"/>
  <c r="AS38" i="8"/>
  <c r="AS39" i="8"/>
  <c r="AS41" i="8"/>
  <c r="AS44" i="8"/>
  <c r="AS42" i="8"/>
  <c r="AS43" i="8"/>
  <c r="AS46" i="8"/>
  <c r="AS45" i="8"/>
  <c r="AS49" i="8"/>
  <c r="AS48" i="8"/>
  <c r="AS47" i="8"/>
  <c r="AS50" i="8"/>
  <c r="AS54" i="8"/>
  <c r="AS55" i="8"/>
  <c r="AS53" i="8"/>
  <c r="AS51" i="8"/>
  <c r="AS52" i="8"/>
  <c r="AS57" i="8"/>
  <c r="AS56" i="8"/>
  <c r="AS58" i="8"/>
  <c r="AS59" i="8"/>
  <c r="AS60" i="8"/>
  <c r="AS61" i="8"/>
  <c r="AS62" i="8"/>
  <c r="AS63" i="8"/>
  <c r="AS64" i="8"/>
  <c r="AS67" i="8"/>
  <c r="AS65" i="8"/>
  <c r="AS69" i="8"/>
  <c r="AS68" i="8"/>
  <c r="AS66" i="8"/>
  <c r="AS70" i="8"/>
  <c r="AS71" i="8"/>
  <c r="AS72" i="8"/>
  <c r="AS73" i="8"/>
  <c r="AS74" i="8"/>
  <c r="AS75" i="8"/>
  <c r="AS76" i="8"/>
  <c r="AS82" i="8"/>
  <c r="AS80" i="8"/>
  <c r="AS77" i="8"/>
  <c r="AS78" i="8"/>
  <c r="AS79" i="8"/>
  <c r="AS81" i="8"/>
  <c r="AS83" i="8"/>
  <c r="AS84" i="8"/>
  <c r="AS85" i="8"/>
  <c r="AS86" i="8"/>
  <c r="AS88" i="8"/>
  <c r="AS87" i="8"/>
  <c r="AS90" i="8"/>
  <c r="AS89" i="8"/>
  <c r="AS91" i="8"/>
  <c r="AS95" i="8"/>
  <c r="AS92" i="8"/>
  <c r="AS93" i="8"/>
  <c r="AS94" i="8"/>
  <c r="AS97" i="8"/>
  <c r="AS96" i="8"/>
  <c r="AS98" i="8"/>
  <c r="AS99" i="8"/>
  <c r="AS101" i="8"/>
  <c r="AS102" i="8"/>
  <c r="AS100" i="8"/>
  <c r="AS104" i="8"/>
  <c r="AS103" i="8"/>
  <c r="AS107" i="8"/>
  <c r="AS105" i="8"/>
  <c r="AS106" i="8"/>
  <c r="AS109" i="8"/>
  <c r="AS112" i="8"/>
  <c r="AS108" i="8"/>
  <c r="AS111" i="8"/>
  <c r="AS110" i="8"/>
  <c r="AS113" i="8"/>
  <c r="CH121" i="21"/>
  <c r="CC118" i="8"/>
  <c r="BA118" i="22"/>
  <c r="BM122" i="8"/>
  <c r="AS123" i="8"/>
  <c r="AS121" i="8"/>
  <c r="BY119" i="8"/>
  <c r="AO124" i="22"/>
  <c r="AO14" i="22"/>
  <c r="AO13" i="22"/>
  <c r="AO12" i="22"/>
  <c r="AO16" i="22"/>
  <c r="AO18" i="22"/>
  <c r="AO15" i="22"/>
  <c r="AO17" i="22"/>
  <c r="AO21" i="22"/>
  <c r="AO19" i="22"/>
  <c r="AO20" i="22"/>
  <c r="AO23" i="22"/>
  <c r="AO26" i="22"/>
  <c r="AO24" i="22"/>
  <c r="AO22" i="22"/>
  <c r="AO25" i="22"/>
  <c r="AO28" i="22"/>
  <c r="AO29" i="22"/>
  <c r="AO27" i="22"/>
  <c r="AO30" i="22"/>
  <c r="AO31" i="22"/>
  <c r="AO32" i="22"/>
  <c r="AO33" i="22"/>
  <c r="AO34" i="22"/>
  <c r="AO35" i="22"/>
  <c r="AO36" i="22"/>
  <c r="AO38" i="22"/>
  <c r="AO37" i="22"/>
  <c r="AO41" i="22"/>
  <c r="AO40" i="22"/>
  <c r="AO39" i="22"/>
  <c r="AO45" i="22"/>
  <c r="AO43" i="22"/>
  <c r="AO42" i="22"/>
  <c r="AO48" i="22"/>
  <c r="AO47" i="22"/>
  <c r="AO44" i="22"/>
  <c r="AO46" i="22"/>
  <c r="AO51" i="22"/>
  <c r="AO49" i="22"/>
  <c r="AO50" i="22"/>
  <c r="AO53" i="22"/>
  <c r="AO52" i="22"/>
  <c r="AO55" i="22"/>
  <c r="AO54" i="22"/>
  <c r="AO57" i="22"/>
  <c r="AO58" i="22"/>
  <c r="AO56" i="22"/>
  <c r="AO59" i="22"/>
  <c r="AO60" i="22"/>
  <c r="AO63" i="22"/>
  <c r="AO62" i="22"/>
  <c r="AO61" i="22"/>
  <c r="AO68" i="22"/>
  <c r="AO65" i="22"/>
  <c r="AO66" i="22"/>
  <c r="AO64" i="22"/>
  <c r="AO67" i="22"/>
  <c r="AO69" i="22"/>
  <c r="AO75" i="22"/>
  <c r="AO70" i="22"/>
  <c r="AO72" i="22"/>
  <c r="AO71" i="22"/>
  <c r="AO73" i="22"/>
  <c r="AO74" i="22"/>
  <c r="AO82" i="22"/>
  <c r="AO76" i="22"/>
  <c r="AO77" i="22"/>
  <c r="AO78" i="22"/>
  <c r="AO80" i="22"/>
  <c r="AO79" i="22"/>
  <c r="AO84" i="22"/>
  <c r="AO86" i="22"/>
  <c r="AO81" i="22"/>
  <c r="AO83" i="22"/>
  <c r="AO85" i="22"/>
  <c r="AO87" i="22"/>
  <c r="AO89" i="22"/>
  <c r="AO88" i="22"/>
  <c r="AO90" i="22"/>
  <c r="AO91" i="22"/>
  <c r="AO96" i="22"/>
  <c r="AO92" i="22"/>
  <c r="AO93" i="22"/>
  <c r="AO95" i="22"/>
  <c r="AO94" i="22"/>
  <c r="AO98" i="22"/>
  <c r="AO100" i="22"/>
  <c r="AO97" i="22"/>
  <c r="AO99" i="22"/>
  <c r="AO101" i="22"/>
  <c r="AO102" i="22"/>
  <c r="AO106" i="22"/>
  <c r="AO103" i="22"/>
  <c r="AO104" i="22"/>
  <c r="AO105" i="22"/>
  <c r="AO108" i="22"/>
  <c r="AO107" i="22"/>
  <c r="AO112" i="22"/>
  <c r="AO109" i="22"/>
  <c r="AO111" i="22"/>
  <c r="AO114" i="22"/>
  <c r="AO110" i="22"/>
  <c r="AO113" i="22"/>
  <c r="AO116" i="22"/>
  <c r="AO118" i="22"/>
  <c r="AO117" i="22"/>
  <c r="AO115" i="22"/>
  <c r="BA119" i="22"/>
  <c r="CC122" i="8"/>
  <c r="BY123" i="22"/>
  <c r="BY117" i="22"/>
  <c r="BY119" i="22"/>
  <c r="BY115" i="22"/>
  <c r="BY121" i="22"/>
  <c r="BA115" i="22"/>
  <c r="BY120" i="22"/>
  <c r="AW123" i="8"/>
  <c r="AW120" i="8"/>
  <c r="AW121" i="8"/>
  <c r="AW118" i="8"/>
  <c r="CG123" i="22"/>
  <c r="CG121" i="22"/>
  <c r="CG117" i="22"/>
  <c r="BQ124" i="8"/>
  <c r="BQ12" i="8"/>
  <c r="BQ16" i="8"/>
  <c r="BQ14" i="8"/>
  <c r="BQ13" i="8"/>
  <c r="BQ15" i="8"/>
  <c r="BQ19" i="8"/>
  <c r="BQ17" i="8"/>
  <c r="BQ18" i="8"/>
  <c r="BQ20" i="8"/>
  <c r="BQ21" i="8"/>
  <c r="BQ22" i="8"/>
  <c r="BQ24" i="8"/>
  <c r="BQ23" i="8"/>
  <c r="BQ25" i="8"/>
  <c r="BQ26" i="8"/>
  <c r="BQ30" i="8"/>
  <c r="BQ27" i="8"/>
  <c r="BQ28" i="8"/>
  <c r="BQ29" i="8"/>
  <c r="BQ32" i="8"/>
  <c r="BQ31" i="8"/>
  <c r="BQ33" i="8"/>
  <c r="BQ34" i="8"/>
  <c r="BQ37" i="8"/>
  <c r="BQ35" i="8"/>
  <c r="BQ36" i="8"/>
  <c r="BQ39" i="8"/>
  <c r="BQ38" i="8"/>
  <c r="BQ41" i="8"/>
  <c r="BQ40" i="8"/>
  <c r="BQ43" i="8"/>
  <c r="BQ42" i="8"/>
  <c r="BQ45" i="8"/>
  <c r="BQ44" i="8"/>
  <c r="BQ46" i="8"/>
  <c r="BQ48" i="8"/>
  <c r="BQ50" i="8"/>
  <c r="BQ47" i="8"/>
  <c r="BQ49" i="8"/>
  <c r="BQ51" i="8"/>
  <c r="BQ54" i="8"/>
  <c r="BQ52" i="8"/>
  <c r="BQ53" i="8"/>
  <c r="BQ56" i="8"/>
  <c r="BQ55" i="8"/>
  <c r="BQ58" i="8"/>
  <c r="BQ57" i="8"/>
  <c r="BQ59" i="8"/>
  <c r="BQ60" i="8"/>
  <c r="BQ61" i="8"/>
  <c r="BQ63" i="8"/>
  <c r="BQ62" i="8"/>
  <c r="BQ64" i="8"/>
  <c r="BQ65" i="8"/>
  <c r="BQ68" i="8"/>
  <c r="BQ66" i="8"/>
  <c r="BQ67" i="8"/>
  <c r="BQ69" i="8"/>
  <c r="BQ71" i="8"/>
  <c r="BQ70" i="8"/>
  <c r="BQ75" i="8"/>
  <c r="BQ73" i="8"/>
  <c r="BQ78" i="8"/>
  <c r="BQ72" i="8"/>
  <c r="BQ74" i="8"/>
  <c r="BQ77" i="8"/>
  <c r="BQ76" i="8"/>
  <c r="BQ79" i="8"/>
  <c r="BQ82" i="8"/>
  <c r="BQ81" i="8"/>
  <c r="BQ80" i="8"/>
  <c r="BQ83" i="8"/>
  <c r="BQ84" i="8"/>
  <c r="BQ85" i="8"/>
  <c r="BQ88" i="8"/>
  <c r="BQ87" i="8"/>
  <c r="BQ86" i="8"/>
  <c r="BQ89" i="8"/>
  <c r="BQ90" i="8"/>
  <c r="BQ94" i="8"/>
  <c r="BQ92" i="8"/>
  <c r="BQ91" i="8"/>
  <c r="BQ93" i="8"/>
  <c r="BQ96" i="8"/>
  <c r="BQ95" i="8"/>
  <c r="BQ102" i="8"/>
  <c r="BQ97" i="8"/>
  <c r="BQ98" i="8"/>
  <c r="BQ99" i="8"/>
  <c r="BQ100" i="8"/>
  <c r="BQ101" i="8"/>
  <c r="BQ105" i="8"/>
  <c r="BQ103" i="8"/>
  <c r="BQ106" i="8"/>
  <c r="BQ104" i="8"/>
  <c r="BQ110" i="8"/>
  <c r="BQ108" i="8"/>
  <c r="BQ107" i="8"/>
  <c r="BQ109" i="8"/>
  <c r="BQ112" i="8"/>
  <c r="BQ111" i="8"/>
  <c r="BQ113" i="8"/>
  <c r="BQ114" i="8"/>
  <c r="BQ118" i="8"/>
  <c r="BY124" i="22"/>
  <c r="BY12" i="22"/>
  <c r="BY14" i="22"/>
  <c r="BY13" i="22"/>
  <c r="BY15" i="22"/>
  <c r="BY18" i="22"/>
  <c r="BY16" i="22"/>
  <c r="BY17" i="22"/>
  <c r="BY22" i="22"/>
  <c r="BY19" i="22"/>
  <c r="BY20" i="22"/>
  <c r="BY23" i="22"/>
  <c r="BY21" i="22"/>
  <c r="BY24" i="22"/>
  <c r="BY26" i="22"/>
  <c r="BY25" i="22"/>
  <c r="BY27" i="22"/>
  <c r="BY28" i="22"/>
  <c r="BY29" i="22"/>
  <c r="BY33" i="22"/>
  <c r="BY30" i="22"/>
  <c r="BY34" i="22"/>
  <c r="BY31" i="22"/>
  <c r="BY32" i="22"/>
  <c r="BY35" i="22"/>
  <c r="BY37" i="22"/>
  <c r="BY36" i="22"/>
  <c r="BY42" i="22"/>
  <c r="BY38" i="22"/>
  <c r="BY40" i="22"/>
  <c r="BY39" i="22"/>
  <c r="BY41" i="22"/>
  <c r="BY44" i="22"/>
  <c r="BY46" i="22"/>
  <c r="BY43" i="22"/>
  <c r="BY45" i="22"/>
  <c r="BY47" i="22"/>
  <c r="BY48" i="22"/>
  <c r="BY49" i="22"/>
  <c r="BY51" i="22"/>
  <c r="BY50" i="22"/>
  <c r="BY52" i="22"/>
  <c r="BY53" i="22"/>
  <c r="BY55" i="22"/>
  <c r="BY56" i="22"/>
  <c r="BY54" i="22"/>
  <c r="BY57" i="22"/>
  <c r="BY59" i="22"/>
  <c r="BY58" i="22"/>
  <c r="BY60" i="22"/>
  <c r="BY61" i="22"/>
  <c r="BY62" i="22"/>
  <c r="BY63" i="22"/>
  <c r="BY64" i="22"/>
  <c r="BY67" i="22"/>
  <c r="BY65" i="22"/>
  <c r="BY66" i="22"/>
  <c r="BY71" i="22"/>
  <c r="BY68" i="22"/>
  <c r="BY69" i="22"/>
  <c r="BY70" i="22"/>
  <c r="BY72" i="22"/>
  <c r="BY73" i="22"/>
  <c r="BY75" i="22"/>
  <c r="BY77" i="22"/>
  <c r="BY74" i="22"/>
  <c r="BY76" i="22"/>
  <c r="BY79" i="22"/>
  <c r="BY78" i="22"/>
  <c r="BY80" i="22"/>
  <c r="BY81" i="22"/>
  <c r="BY86" i="22"/>
  <c r="BY83" i="22"/>
  <c r="BY82" i="22"/>
  <c r="BY84" i="22"/>
  <c r="BY85" i="22"/>
  <c r="BY87" i="22"/>
  <c r="BY89" i="22"/>
  <c r="BY88" i="22"/>
  <c r="BY91" i="22"/>
  <c r="BY90" i="22"/>
  <c r="BY93" i="22"/>
  <c r="BY92" i="22"/>
  <c r="BY98" i="22"/>
  <c r="BY99" i="22"/>
  <c r="BY95" i="22"/>
  <c r="BY94" i="22"/>
  <c r="BY97" i="22"/>
  <c r="BY96" i="22"/>
  <c r="BY100" i="22"/>
  <c r="BY102" i="22"/>
  <c r="BY101" i="22"/>
  <c r="BY103" i="22"/>
  <c r="BY105" i="22"/>
  <c r="BY104" i="22"/>
  <c r="BY110" i="22"/>
  <c r="BY106" i="22"/>
  <c r="BY107" i="22"/>
  <c r="BY108" i="22"/>
  <c r="BY111" i="22"/>
  <c r="BY109" i="22"/>
  <c r="BY112" i="22"/>
  <c r="BY113" i="22"/>
  <c r="BY116" i="22"/>
  <c r="BY114" i="22"/>
  <c r="BA116" i="22"/>
  <c r="BY118" i="22"/>
  <c r="AW124" i="8"/>
  <c r="AW12" i="8"/>
  <c r="AW14" i="8"/>
  <c r="AW13" i="8"/>
  <c r="AW15" i="8"/>
  <c r="AW16" i="8"/>
  <c r="AW17" i="8"/>
  <c r="AW22" i="8"/>
  <c r="AW19" i="8"/>
  <c r="AW21" i="8"/>
  <c r="AW20" i="8"/>
  <c r="AW18" i="8"/>
  <c r="AW24" i="8"/>
  <c r="AW23" i="8"/>
  <c r="AW26" i="8"/>
  <c r="AW25" i="8"/>
  <c r="AW27" i="8"/>
  <c r="AW28" i="8"/>
  <c r="AW30" i="8"/>
  <c r="AW29" i="8"/>
  <c r="AW32" i="8"/>
  <c r="AW31" i="8"/>
  <c r="AW33" i="8"/>
  <c r="AW34" i="8"/>
  <c r="AW35" i="8"/>
  <c r="AW36" i="8"/>
  <c r="AW37" i="8"/>
  <c r="AW39" i="8"/>
  <c r="AW38" i="8"/>
  <c r="AW40" i="8"/>
  <c r="AW41" i="8"/>
  <c r="AW43" i="8"/>
  <c r="AW42" i="8"/>
  <c r="AW46" i="8"/>
  <c r="AW47" i="8"/>
  <c r="AW45" i="8"/>
  <c r="AW44" i="8"/>
  <c r="AW48" i="8"/>
  <c r="AW50" i="8"/>
  <c r="AW49" i="8"/>
  <c r="AW51" i="8"/>
  <c r="AW52" i="8"/>
  <c r="AW54" i="8"/>
  <c r="AW53" i="8"/>
  <c r="AW55" i="8"/>
  <c r="AW58" i="8"/>
  <c r="AW56" i="8"/>
  <c r="AW57" i="8"/>
  <c r="AW62" i="8"/>
  <c r="AW59" i="8"/>
  <c r="AW64" i="8"/>
  <c r="AW60" i="8"/>
  <c r="AW61" i="8"/>
  <c r="AW63" i="8"/>
  <c r="AW66" i="8"/>
  <c r="AW65" i="8"/>
  <c r="AW67" i="8"/>
  <c r="AW71" i="8"/>
  <c r="AW69" i="8"/>
  <c r="AW73" i="8"/>
  <c r="AW70" i="8"/>
  <c r="AW68" i="8"/>
  <c r="AW72" i="8"/>
  <c r="AW74" i="8"/>
  <c r="AW75" i="8"/>
  <c r="AW77" i="8"/>
  <c r="AW79" i="8"/>
  <c r="AW76" i="8"/>
  <c r="AW80" i="8"/>
  <c r="AW78" i="8"/>
  <c r="AW82" i="8"/>
  <c r="AW81" i="8"/>
  <c r="AW83" i="8"/>
  <c r="AW84" i="8"/>
  <c r="AW85" i="8"/>
  <c r="AW86" i="8"/>
  <c r="AW90" i="8"/>
  <c r="AW88" i="8"/>
  <c r="AW87" i="8"/>
  <c r="AW89" i="8"/>
  <c r="AW92" i="8"/>
  <c r="AW91" i="8"/>
  <c r="AW93" i="8"/>
  <c r="AW94" i="8"/>
  <c r="AW95" i="8"/>
  <c r="AW96" i="8"/>
  <c r="AW99" i="8"/>
  <c r="AW97" i="8"/>
  <c r="AW98" i="8"/>
  <c r="AW101" i="8"/>
  <c r="AW100" i="8"/>
  <c r="AW102" i="8"/>
  <c r="AW103" i="8"/>
  <c r="AW104" i="8"/>
  <c r="AW105" i="8"/>
  <c r="AW106" i="8"/>
  <c r="AW107" i="8"/>
  <c r="AW108" i="8"/>
  <c r="AW111" i="8"/>
  <c r="AW109" i="8"/>
  <c r="AW110" i="8"/>
  <c r="AW112" i="8"/>
  <c r="AW113" i="8"/>
  <c r="AW115" i="8"/>
  <c r="AW114" i="8"/>
  <c r="AW117" i="8"/>
  <c r="BA124" i="8"/>
  <c r="BA12" i="8"/>
  <c r="BA15" i="8"/>
  <c r="BA14" i="8"/>
  <c r="BA13" i="8"/>
  <c r="BA17" i="8"/>
  <c r="BA16" i="8"/>
  <c r="BA19" i="8"/>
  <c r="BA18" i="8"/>
  <c r="BA24" i="8"/>
  <c r="BA22" i="8"/>
  <c r="BA21" i="8"/>
  <c r="BA20" i="8"/>
  <c r="BA23" i="8"/>
  <c r="BA25" i="8"/>
  <c r="BA26" i="8"/>
  <c r="BA28" i="8"/>
  <c r="BA29" i="8"/>
  <c r="BA27" i="8"/>
  <c r="BA33" i="8"/>
  <c r="BA30" i="8"/>
  <c r="BA31" i="8"/>
  <c r="BA32" i="8"/>
  <c r="BA35" i="8"/>
  <c r="BA34" i="8"/>
  <c r="BA39" i="8"/>
  <c r="BA36" i="8"/>
  <c r="BA38" i="8"/>
  <c r="BA37" i="8"/>
  <c r="BA40" i="8"/>
  <c r="BA41" i="8"/>
  <c r="BA42" i="8"/>
  <c r="BA43" i="8"/>
  <c r="BA44" i="8"/>
  <c r="BA48" i="8"/>
  <c r="BA46" i="8"/>
  <c r="BA47" i="8"/>
  <c r="BA45" i="8"/>
  <c r="BA49" i="8"/>
  <c r="BA51" i="8"/>
  <c r="BA50" i="8"/>
  <c r="BA52" i="8"/>
  <c r="BA53" i="8"/>
  <c r="BA54" i="8"/>
  <c r="BA55" i="8"/>
  <c r="BA56" i="8"/>
  <c r="BA57" i="8"/>
  <c r="BA59" i="8"/>
  <c r="BA58" i="8"/>
  <c r="BA61" i="8"/>
  <c r="BA60" i="8"/>
  <c r="BA62" i="8"/>
  <c r="BA63" i="8"/>
  <c r="BA65" i="8"/>
  <c r="BA64" i="8"/>
  <c r="BA66" i="8"/>
  <c r="BA67" i="8"/>
  <c r="BA69" i="8"/>
  <c r="BA71" i="8"/>
  <c r="BA72" i="8"/>
  <c r="BA70" i="8"/>
  <c r="BA68" i="8"/>
  <c r="BA73" i="8"/>
  <c r="BA74" i="8"/>
  <c r="BA76" i="8"/>
  <c r="BA75" i="8"/>
  <c r="BA78" i="8"/>
  <c r="BA80" i="8"/>
  <c r="BA77" i="8"/>
  <c r="BA82" i="8"/>
  <c r="BA79" i="8"/>
  <c r="BA83" i="8"/>
  <c r="BA84" i="8"/>
  <c r="BA81" i="8"/>
  <c r="BA86" i="8"/>
  <c r="BA85" i="8"/>
  <c r="BA89" i="8"/>
  <c r="BA88" i="8"/>
  <c r="BA87" i="8"/>
  <c r="BA92" i="8"/>
  <c r="BA90" i="8"/>
  <c r="BA91" i="8"/>
  <c r="BA94" i="8"/>
  <c r="BA93" i="8"/>
  <c r="BA96" i="8"/>
  <c r="BA95" i="8"/>
  <c r="BA97" i="8"/>
  <c r="BA98" i="8"/>
  <c r="BA100" i="8"/>
  <c r="BA99" i="8"/>
  <c r="BA102" i="8"/>
  <c r="BA101" i="8"/>
  <c r="BA103" i="8"/>
  <c r="BA104" i="8"/>
  <c r="BA110" i="8"/>
  <c r="BA105" i="8"/>
  <c r="BA106" i="8"/>
  <c r="BA107" i="8"/>
  <c r="BA108" i="8"/>
  <c r="BA109" i="8"/>
  <c r="BA112" i="8"/>
  <c r="BA113" i="8"/>
  <c r="BA114" i="8"/>
  <c r="BA111" i="8"/>
  <c r="BA117" i="8"/>
  <c r="BA115" i="8"/>
  <c r="CG124" i="22"/>
  <c r="CG12" i="22"/>
  <c r="CG14" i="22"/>
  <c r="CG15" i="22"/>
  <c r="CG13" i="22"/>
  <c r="CG16" i="22"/>
  <c r="CG17" i="22"/>
  <c r="CG18" i="22"/>
  <c r="CG20" i="22"/>
  <c r="CG19" i="22"/>
  <c r="CG24" i="22"/>
  <c r="CG21" i="22"/>
  <c r="CG26" i="22"/>
  <c r="CG22" i="22"/>
  <c r="CG25" i="22"/>
  <c r="CG23" i="22"/>
  <c r="CG29" i="22"/>
  <c r="CG27" i="22"/>
  <c r="CG30" i="22"/>
  <c r="CG28" i="22"/>
  <c r="CG31" i="22"/>
  <c r="CG34" i="22"/>
  <c r="CG32" i="22"/>
  <c r="CG33" i="22"/>
  <c r="CG37" i="22"/>
  <c r="CG36" i="22"/>
  <c r="CG35" i="22"/>
  <c r="CG38" i="22"/>
  <c r="CG39" i="22"/>
  <c r="CG40" i="22"/>
  <c r="CG41" i="22"/>
  <c r="CG42" i="22"/>
  <c r="CG44" i="22"/>
  <c r="CG43" i="22"/>
  <c r="CG47" i="22"/>
  <c r="CG45" i="22"/>
  <c r="CG46" i="22"/>
  <c r="CG49" i="22"/>
  <c r="CG52" i="22"/>
  <c r="CG48" i="22"/>
  <c r="CG50" i="22"/>
  <c r="CG51" i="22"/>
  <c r="CG55" i="22"/>
  <c r="CG56" i="22"/>
  <c r="CG54" i="22"/>
  <c r="CG53" i="22"/>
  <c r="CG58" i="22"/>
  <c r="CG57" i="22"/>
  <c r="CG59" i="22"/>
  <c r="CG60" i="22"/>
  <c r="CG62" i="22"/>
  <c r="CG61" i="22"/>
  <c r="CG63" i="22"/>
  <c r="CG65" i="22"/>
  <c r="CG64" i="22"/>
  <c r="CG66" i="22"/>
  <c r="CG69" i="22"/>
  <c r="CG67" i="22"/>
  <c r="CG68" i="22"/>
  <c r="CG74" i="22"/>
  <c r="CG70" i="22"/>
  <c r="CG71" i="22"/>
  <c r="CG73" i="22"/>
  <c r="CG72" i="22"/>
  <c r="CG77" i="22"/>
  <c r="CG75" i="22"/>
  <c r="CG76" i="22"/>
  <c r="CG81" i="22"/>
  <c r="CG78" i="22"/>
  <c r="CG80" i="22"/>
  <c r="CG79" i="22"/>
  <c r="CG83" i="22"/>
  <c r="CG82" i="22"/>
  <c r="CG85" i="22"/>
  <c r="CG84" i="22"/>
  <c r="CG86" i="22"/>
  <c r="CG87" i="22"/>
  <c r="CG93" i="22"/>
  <c r="CG89" i="22"/>
  <c r="CG88" i="22"/>
  <c r="CG90" i="22"/>
  <c r="CG91" i="22"/>
  <c r="CG92" i="22"/>
  <c r="CG94" i="22"/>
  <c r="CG95" i="22"/>
  <c r="CG98" i="22"/>
  <c r="CG102" i="22"/>
  <c r="CG96" i="22"/>
  <c r="CG97" i="22"/>
  <c r="CG100" i="22"/>
  <c r="CG99" i="22"/>
  <c r="CG101" i="22"/>
  <c r="CG103" i="22"/>
  <c r="CG104" i="22"/>
  <c r="CG106" i="22"/>
  <c r="CG105" i="22"/>
  <c r="CG108" i="22"/>
  <c r="CG107" i="22"/>
  <c r="CG110" i="22"/>
  <c r="CG111" i="22"/>
  <c r="CG112" i="22"/>
  <c r="CG109" i="22"/>
  <c r="CG116" i="22"/>
  <c r="CG113" i="22"/>
  <c r="CG114" i="22"/>
  <c r="CG119" i="22"/>
  <c r="BQ123" i="8"/>
  <c r="BQ119" i="8"/>
  <c r="BQ116" i="8"/>
  <c r="BQ115" i="8"/>
  <c r="BQ121" i="8"/>
  <c r="BQ117" i="8"/>
  <c r="BQ120" i="8"/>
  <c r="BA120" i="22"/>
  <c r="BY122" i="22"/>
  <c r="BI121" i="22"/>
  <c r="AN124" i="8"/>
  <c r="AO120" i="8" s="1"/>
  <c r="AM124" i="8"/>
  <c r="BA123" i="8"/>
  <c r="BA121" i="8"/>
  <c r="AO124" i="21"/>
  <c r="CH124" i="21" s="1"/>
  <c r="AO12" i="21"/>
  <c r="CH12" i="21" s="1"/>
  <c r="AO13" i="21"/>
  <c r="CH13" i="21" s="1"/>
  <c r="AO14" i="21"/>
  <c r="CH14" i="21" s="1"/>
  <c r="AO15" i="21"/>
  <c r="CH15" i="21" s="1"/>
  <c r="AO17" i="21"/>
  <c r="CH17" i="21" s="1"/>
  <c r="AO19" i="21"/>
  <c r="CH19" i="21" s="1"/>
  <c r="AO16" i="21"/>
  <c r="CH16" i="21" s="1"/>
  <c r="AO18" i="21"/>
  <c r="CH18" i="21" s="1"/>
  <c r="AO20" i="21"/>
  <c r="CH20" i="21" s="1"/>
  <c r="AO21" i="21"/>
  <c r="CH21" i="21" s="1"/>
  <c r="AO24" i="21"/>
  <c r="CH24" i="21" s="1"/>
  <c r="AO22" i="21"/>
  <c r="CH22" i="21" s="1"/>
  <c r="AO23" i="21"/>
  <c r="CH23" i="21" s="1"/>
  <c r="AO25" i="21"/>
  <c r="CH25" i="21" s="1"/>
  <c r="AO26" i="21"/>
  <c r="CH26" i="21" s="1"/>
  <c r="AO31" i="21"/>
  <c r="CH31" i="21" s="1"/>
  <c r="AO27" i="21"/>
  <c r="CH27" i="21" s="1"/>
  <c r="AO28" i="21"/>
  <c r="CH28" i="21" s="1"/>
  <c r="AO32" i="21"/>
  <c r="CH32" i="21" s="1"/>
  <c r="AO29" i="21"/>
  <c r="CH29" i="21" s="1"/>
  <c r="AO30" i="21"/>
  <c r="CH30" i="21" s="1"/>
  <c r="AO33" i="21"/>
  <c r="CH33" i="21" s="1"/>
  <c r="AO35" i="21"/>
  <c r="CH35" i="21" s="1"/>
  <c r="AO37" i="21"/>
  <c r="CH37" i="21" s="1"/>
  <c r="AO34" i="21"/>
  <c r="CH34" i="21" s="1"/>
  <c r="AO41" i="21"/>
  <c r="CH41" i="21" s="1"/>
  <c r="AO36" i="21"/>
  <c r="CH36" i="21" s="1"/>
  <c r="AO39" i="21"/>
  <c r="CH39" i="21" s="1"/>
  <c r="AO38" i="21"/>
  <c r="CH38" i="21" s="1"/>
  <c r="AO40" i="21"/>
  <c r="CH40" i="21" s="1"/>
  <c r="AO43" i="21"/>
  <c r="CH43" i="21" s="1"/>
  <c r="AO45" i="21"/>
  <c r="CH45" i="21" s="1"/>
  <c r="AO47" i="21"/>
  <c r="CH47" i="21" s="1"/>
  <c r="AO44" i="21"/>
  <c r="CH44" i="21" s="1"/>
  <c r="AO42" i="21"/>
  <c r="CH42" i="21" s="1"/>
  <c r="AO46" i="21"/>
  <c r="CH46" i="21" s="1"/>
  <c r="AO49" i="21"/>
  <c r="CH49" i="21" s="1"/>
  <c r="AO48" i="21"/>
  <c r="CH48" i="21" s="1"/>
  <c r="AO51" i="21"/>
  <c r="CH51" i="21" s="1"/>
  <c r="AO50" i="21"/>
  <c r="CH50" i="21" s="1"/>
  <c r="AO55" i="21"/>
  <c r="CH55" i="21" s="1"/>
  <c r="AO52" i="21"/>
  <c r="CH52" i="21" s="1"/>
  <c r="AO56" i="21"/>
  <c r="CH56" i="21" s="1"/>
  <c r="AO53" i="21"/>
  <c r="CH53" i="21" s="1"/>
  <c r="AO54" i="21"/>
  <c r="CH54" i="21" s="1"/>
  <c r="AO57" i="21"/>
  <c r="CH57" i="21" s="1"/>
  <c r="AO59" i="21"/>
  <c r="CH59" i="21" s="1"/>
  <c r="AO63" i="21"/>
  <c r="CH63" i="21" s="1"/>
  <c r="AO58" i="21"/>
  <c r="CH58" i="21" s="1"/>
  <c r="AO60" i="21"/>
  <c r="CH60" i="21" s="1"/>
  <c r="AO61" i="21"/>
  <c r="CH61" i="21" s="1"/>
  <c r="AO66" i="21"/>
  <c r="CH66" i="21" s="1"/>
  <c r="AO65" i="21"/>
  <c r="CH65" i="21" s="1"/>
  <c r="AO62" i="21"/>
  <c r="CH62" i="21" s="1"/>
  <c r="AO64" i="21"/>
  <c r="CH64" i="21" s="1"/>
  <c r="AO67" i="21"/>
  <c r="CH67" i="21" s="1"/>
  <c r="AO68" i="21"/>
  <c r="CH68" i="21" s="1"/>
  <c r="AO69" i="21"/>
  <c r="CH69" i="21" s="1"/>
  <c r="AO72" i="21"/>
  <c r="CH72" i="21" s="1"/>
  <c r="AO73" i="21"/>
  <c r="CH73" i="21" s="1"/>
  <c r="AO71" i="21"/>
  <c r="CH71" i="21" s="1"/>
  <c r="AO70" i="21"/>
  <c r="CH70" i="21" s="1"/>
  <c r="AO74" i="21"/>
  <c r="CH74" i="21" s="1"/>
  <c r="AO75" i="21"/>
  <c r="CH75" i="21" s="1"/>
  <c r="AO76" i="21"/>
  <c r="CH76" i="21" s="1"/>
  <c r="AO77" i="21"/>
  <c r="CH77" i="21" s="1"/>
  <c r="AO79" i="21"/>
  <c r="CH79" i="21" s="1"/>
  <c r="AO78" i="21"/>
  <c r="CH78" i="21" s="1"/>
  <c r="AO84" i="21"/>
  <c r="CH84" i="21" s="1"/>
  <c r="AO81" i="21"/>
  <c r="CH81" i="21" s="1"/>
  <c r="AO80" i="21"/>
  <c r="CH80" i="21" s="1"/>
  <c r="AO82" i="21"/>
  <c r="CH82" i="21" s="1"/>
  <c r="AO83" i="21"/>
  <c r="CH83" i="21" s="1"/>
  <c r="AO85" i="21"/>
  <c r="CH85" i="21" s="1"/>
  <c r="AO86" i="21"/>
  <c r="CH86" i="21" s="1"/>
  <c r="AO89" i="21"/>
  <c r="CH89" i="21" s="1"/>
  <c r="AO87" i="21"/>
  <c r="CH87" i="21" s="1"/>
  <c r="AO88" i="21"/>
  <c r="CH88" i="21" s="1"/>
  <c r="AO91" i="21"/>
  <c r="CH91" i="21" s="1"/>
  <c r="AO90" i="21"/>
  <c r="CH90" i="21" s="1"/>
  <c r="AO92" i="21"/>
  <c r="CH92" i="21" s="1"/>
  <c r="AO94" i="21"/>
  <c r="CH94" i="21" s="1"/>
  <c r="AO96" i="21"/>
  <c r="CH96" i="21" s="1"/>
  <c r="AO93" i="21"/>
  <c r="CH93" i="21" s="1"/>
  <c r="AO95" i="21"/>
  <c r="CH95" i="21" s="1"/>
  <c r="AO97" i="21"/>
  <c r="CH97" i="21" s="1"/>
  <c r="AO98" i="21"/>
  <c r="CH98" i="21" s="1"/>
  <c r="AO101" i="21"/>
  <c r="CH101" i="21" s="1"/>
  <c r="AO99" i="21"/>
  <c r="CH99" i="21" s="1"/>
  <c r="AO100" i="21"/>
  <c r="CH100" i="21" s="1"/>
  <c r="AO102" i="21"/>
  <c r="CH102" i="21" s="1"/>
  <c r="AO106" i="21"/>
  <c r="CH106" i="21" s="1"/>
  <c r="AO104" i="21"/>
  <c r="CH104" i="21" s="1"/>
  <c r="AO103" i="21"/>
  <c r="CH103" i="21" s="1"/>
  <c r="AO108" i="21"/>
  <c r="CH108" i="21" s="1"/>
  <c r="AO105" i="21"/>
  <c r="CH105" i="21" s="1"/>
  <c r="AO107" i="21"/>
  <c r="CH107" i="21" s="1"/>
  <c r="AO111" i="21"/>
  <c r="CH111" i="21" s="1"/>
  <c r="AO110" i="21"/>
  <c r="CH110" i="21" s="1"/>
  <c r="AO112" i="21"/>
  <c r="CH112" i="21" s="1"/>
  <c r="AO113" i="21"/>
  <c r="CH113" i="21" s="1"/>
  <c r="AO109" i="21"/>
  <c r="CH109" i="21" s="1"/>
  <c r="AO114" i="21"/>
  <c r="CH114" i="21" s="1"/>
  <c r="AO117" i="21"/>
  <c r="CH117" i="21" s="1"/>
  <c r="AO115" i="21"/>
  <c r="CH115" i="21" s="1"/>
  <c r="AO116" i="21"/>
  <c r="CH116" i="21" s="1"/>
  <c r="AO118" i="21"/>
  <c r="CH118" i="21" s="1"/>
  <c r="AO120" i="21"/>
  <c r="CH120" i="21" s="1"/>
  <c r="AO119" i="21"/>
  <c r="CH119" i="21" s="1"/>
  <c r="AO122" i="21"/>
  <c r="CH122" i="21" s="1"/>
  <c r="BY116" i="8"/>
  <c r="BI124" i="8"/>
  <c r="BI12" i="8"/>
  <c r="BI14" i="8"/>
  <c r="BI17" i="8"/>
  <c r="BI13" i="8"/>
  <c r="BI15" i="8"/>
  <c r="BI16" i="8"/>
  <c r="BI18" i="8"/>
  <c r="BI19" i="8"/>
  <c r="BI21" i="8"/>
  <c r="BI20" i="8"/>
  <c r="BI23" i="8"/>
  <c r="BI22" i="8"/>
  <c r="BI24" i="8"/>
  <c r="BI25" i="8"/>
  <c r="BI27" i="8"/>
  <c r="BI26" i="8"/>
  <c r="BI29" i="8"/>
  <c r="BI28" i="8"/>
  <c r="BI34" i="8"/>
  <c r="BI30" i="8"/>
  <c r="BI31" i="8"/>
  <c r="BI32" i="8"/>
  <c r="BI36" i="8"/>
  <c r="BI35" i="8"/>
  <c r="BI33" i="8"/>
  <c r="BI37" i="8"/>
  <c r="BI38" i="8"/>
  <c r="BI39" i="8"/>
  <c r="BI41" i="8"/>
  <c r="BI40" i="8"/>
  <c r="BI43" i="8"/>
  <c r="BI42" i="8"/>
  <c r="BI44" i="8"/>
  <c r="BI48" i="8"/>
  <c r="BI45" i="8"/>
  <c r="BI47" i="8"/>
  <c r="BI46" i="8"/>
  <c r="BI49" i="8"/>
  <c r="BI51" i="8"/>
  <c r="BI50" i="8"/>
  <c r="BI53" i="8"/>
  <c r="BI57" i="8"/>
  <c r="BI52" i="8"/>
  <c r="BI55" i="8"/>
  <c r="BI54" i="8"/>
  <c r="BI56" i="8"/>
  <c r="BI59" i="8"/>
  <c r="BI58" i="8"/>
  <c r="BI60" i="8"/>
  <c r="BI61" i="8"/>
  <c r="BI63" i="8"/>
  <c r="BI62" i="8"/>
  <c r="BI65" i="8"/>
  <c r="BI67" i="8"/>
  <c r="BI64" i="8"/>
  <c r="BI66" i="8"/>
  <c r="BI68" i="8"/>
  <c r="BI69" i="8"/>
  <c r="BI71" i="8"/>
  <c r="BI70" i="8"/>
  <c r="BI72" i="8"/>
  <c r="BI76" i="8"/>
  <c r="BI73" i="8"/>
  <c r="BI74" i="8"/>
  <c r="BI77" i="8"/>
  <c r="BI75" i="8"/>
  <c r="BI78" i="8"/>
  <c r="BI80" i="8"/>
  <c r="BI79" i="8"/>
  <c r="BI81" i="8"/>
  <c r="BI87" i="8"/>
  <c r="BI85" i="8"/>
  <c r="BI83" i="8"/>
  <c r="BI82" i="8"/>
  <c r="BI84" i="8"/>
  <c r="BI89" i="8"/>
  <c r="BI86" i="8"/>
  <c r="BI88" i="8"/>
  <c r="BI95" i="8"/>
  <c r="BI90" i="8"/>
  <c r="BI91" i="8"/>
  <c r="BI93" i="8"/>
  <c r="BI94" i="8"/>
  <c r="BI92" i="8"/>
  <c r="BI96" i="8"/>
  <c r="BI97" i="8"/>
  <c r="BI98" i="8"/>
  <c r="BI99" i="8"/>
  <c r="BI100" i="8"/>
  <c r="BI102" i="8"/>
  <c r="BI105" i="8"/>
  <c r="BI101" i="8"/>
  <c r="BI103" i="8"/>
  <c r="BI107" i="8"/>
  <c r="BI104" i="8"/>
  <c r="BI108" i="8"/>
  <c r="BI109" i="8"/>
  <c r="BI106" i="8"/>
  <c r="BI111" i="8"/>
  <c r="BI112" i="8"/>
  <c r="BI114" i="8"/>
  <c r="BI110" i="8"/>
  <c r="BI117" i="8"/>
  <c r="BI116" i="8"/>
  <c r="BI113" i="8"/>
  <c r="BI118" i="8"/>
  <c r="BQ122" i="8"/>
  <c r="BA122" i="22"/>
  <c r="BE124" i="8"/>
  <c r="BE12" i="8"/>
  <c r="BE13" i="8"/>
  <c r="BE14" i="8"/>
  <c r="BE16" i="8"/>
  <c r="BE18" i="8"/>
  <c r="BE17" i="8"/>
  <c r="BE15" i="8"/>
  <c r="BE21" i="8"/>
  <c r="BE20" i="8"/>
  <c r="BE19" i="8"/>
  <c r="BE22" i="8"/>
  <c r="BE24" i="8"/>
  <c r="BE23" i="8"/>
  <c r="BE25" i="8"/>
  <c r="BE26" i="8"/>
  <c r="BE32" i="8"/>
  <c r="BE28" i="8"/>
  <c r="BE27" i="8"/>
  <c r="BE29" i="8"/>
  <c r="BE30" i="8"/>
  <c r="BE31" i="8"/>
  <c r="BE34" i="8"/>
  <c r="BE36" i="8"/>
  <c r="BE33" i="8"/>
  <c r="BE35" i="8"/>
  <c r="BE37" i="8"/>
  <c r="BE40" i="8"/>
  <c r="BE39" i="8"/>
  <c r="BE38" i="8"/>
  <c r="BE41" i="8"/>
  <c r="BE43" i="8"/>
  <c r="BE44" i="8"/>
  <c r="BE42" i="8"/>
  <c r="BE48" i="8"/>
  <c r="BE46" i="8"/>
  <c r="BE45" i="8"/>
  <c r="BE47" i="8"/>
  <c r="BE50" i="8"/>
  <c r="BE49" i="8"/>
  <c r="BE54" i="8"/>
  <c r="BE52" i="8"/>
  <c r="BE51" i="8"/>
  <c r="BE53" i="8"/>
  <c r="BE56" i="8"/>
  <c r="BE58" i="8"/>
  <c r="BE60" i="8"/>
  <c r="BE59" i="8"/>
  <c r="BE55" i="8"/>
  <c r="BE57" i="8"/>
  <c r="BE61" i="8"/>
  <c r="BE62" i="8"/>
  <c r="BE63" i="8"/>
  <c r="BE66" i="8"/>
  <c r="BE64" i="8"/>
  <c r="BE65" i="8"/>
  <c r="BE68" i="8"/>
  <c r="BE67" i="8"/>
  <c r="BE69" i="8"/>
  <c r="BE72" i="8"/>
  <c r="BE70" i="8"/>
  <c r="BE71" i="8"/>
  <c r="BE73" i="8"/>
  <c r="BE74" i="8"/>
  <c r="BE75" i="8"/>
  <c r="BE76" i="8"/>
  <c r="BE78" i="8"/>
  <c r="BE77" i="8"/>
  <c r="BE79" i="8"/>
  <c r="BE80" i="8"/>
  <c r="BE81" i="8"/>
  <c r="BE82" i="8"/>
  <c r="BE84" i="8"/>
  <c r="BE83" i="8"/>
  <c r="BE86" i="8"/>
  <c r="BE85" i="8"/>
  <c r="BE87" i="8"/>
  <c r="BE88" i="8"/>
  <c r="BE90" i="8"/>
  <c r="BE91" i="8"/>
  <c r="BE92" i="8"/>
  <c r="BE89" i="8"/>
  <c r="BE93" i="8"/>
  <c r="BE94" i="8"/>
  <c r="BE95" i="8"/>
  <c r="BE97" i="8"/>
  <c r="BE98" i="8"/>
  <c r="BE96" i="8"/>
  <c r="BE99" i="8"/>
  <c r="BE100" i="8"/>
  <c r="BE102" i="8"/>
  <c r="BE105" i="8"/>
  <c r="BE103" i="8"/>
  <c r="BE101" i="8"/>
  <c r="BE104" i="8"/>
  <c r="BE107" i="8"/>
  <c r="BE106" i="8"/>
  <c r="BE109" i="8"/>
  <c r="BE108" i="8"/>
  <c r="BE110" i="8"/>
  <c r="BE112" i="8"/>
  <c r="BE111" i="8"/>
  <c r="BE113" i="8"/>
  <c r="BE114" i="8"/>
  <c r="CC124" i="8"/>
  <c r="CC12" i="8"/>
  <c r="CC14" i="8"/>
  <c r="CC13" i="8"/>
  <c r="CC15" i="8"/>
  <c r="CC16" i="8"/>
  <c r="CC20" i="8"/>
  <c r="CC17" i="8"/>
  <c r="CC19" i="8"/>
  <c r="CC18" i="8"/>
  <c r="CC22" i="8"/>
  <c r="CC21" i="8"/>
  <c r="CC24" i="8"/>
  <c r="CC23" i="8"/>
  <c r="CC25" i="8"/>
  <c r="CC26" i="8"/>
  <c r="CC27" i="8"/>
  <c r="CC28" i="8"/>
  <c r="CC29" i="8"/>
  <c r="CC31" i="8"/>
  <c r="CC30" i="8"/>
  <c r="CC32" i="8"/>
  <c r="CC33" i="8"/>
  <c r="CC34" i="8"/>
  <c r="CC38" i="8"/>
  <c r="CC35" i="8"/>
  <c r="CC36" i="8"/>
  <c r="CC40" i="8"/>
  <c r="CC39" i="8"/>
  <c r="CC37" i="8"/>
  <c r="CC41" i="8"/>
  <c r="CC42" i="8"/>
  <c r="CC43" i="8"/>
  <c r="CC44" i="8"/>
  <c r="CC45" i="8"/>
  <c r="CC47" i="8"/>
  <c r="CC46" i="8"/>
  <c r="CC48" i="8"/>
  <c r="CC49" i="8"/>
  <c r="CC50" i="8"/>
  <c r="CC52" i="8"/>
  <c r="CC51" i="8"/>
  <c r="CC54" i="8"/>
  <c r="CC53" i="8"/>
  <c r="CC57" i="8"/>
  <c r="CC58" i="8"/>
  <c r="CC55" i="8"/>
  <c r="CC56" i="8"/>
  <c r="CC59" i="8"/>
  <c r="CC61" i="8"/>
  <c r="CC60" i="8"/>
  <c r="CC62" i="8"/>
  <c r="CC63" i="8"/>
  <c r="CC65" i="8"/>
  <c r="CC66" i="8"/>
  <c r="CC67" i="8"/>
  <c r="CC64" i="8"/>
  <c r="CC68" i="8"/>
  <c r="CC70" i="8"/>
  <c r="CC69" i="8"/>
  <c r="CC71" i="8"/>
  <c r="CC74" i="8"/>
  <c r="CC72" i="8"/>
  <c r="CC73" i="8"/>
  <c r="CC77" i="8"/>
  <c r="CC75" i="8"/>
  <c r="CC76" i="8"/>
  <c r="CC79" i="8"/>
  <c r="CC80" i="8"/>
  <c r="CC78" i="8"/>
  <c r="CC83" i="8"/>
  <c r="CC81" i="8"/>
  <c r="CC85" i="8"/>
  <c r="CC82" i="8"/>
  <c r="CC84" i="8"/>
  <c r="CC87" i="8"/>
  <c r="CC86" i="8"/>
  <c r="CC89" i="8"/>
  <c r="CC88" i="8"/>
  <c r="CC90" i="8"/>
  <c r="CC91" i="8"/>
  <c r="CC93" i="8"/>
  <c r="CC92" i="8"/>
  <c r="CC97" i="8"/>
  <c r="CC94" i="8"/>
  <c r="CC95" i="8"/>
  <c r="CC96" i="8"/>
  <c r="CC98" i="8"/>
  <c r="CC100" i="8"/>
  <c r="CC99" i="8"/>
  <c r="CC102" i="8"/>
  <c r="CC101" i="8"/>
  <c r="CC106" i="8"/>
  <c r="CC104" i="8"/>
  <c r="CC105" i="8"/>
  <c r="CC103" i="8"/>
  <c r="CC107" i="8"/>
  <c r="CC108" i="8"/>
  <c r="CC110" i="8"/>
  <c r="CC109" i="8"/>
  <c r="CC111" i="8"/>
  <c r="CC112" i="8"/>
  <c r="CC113" i="8"/>
  <c r="CC119" i="8"/>
  <c r="BI124" i="22"/>
  <c r="BI12" i="22"/>
  <c r="BI13" i="22"/>
  <c r="BI14" i="22"/>
  <c r="BI18" i="22"/>
  <c r="BI15" i="22"/>
  <c r="BI16" i="22"/>
  <c r="BI17" i="22"/>
  <c r="BI21" i="22"/>
  <c r="BI19" i="22"/>
  <c r="BI23" i="22"/>
  <c r="BI20" i="22"/>
  <c r="BI22" i="22"/>
  <c r="BI25" i="22"/>
  <c r="BI26" i="22"/>
  <c r="BI24" i="22"/>
  <c r="BI27" i="22"/>
  <c r="BI28" i="22"/>
  <c r="BI30" i="22"/>
  <c r="BI29" i="22"/>
  <c r="BI32" i="22"/>
  <c r="BI31" i="22"/>
  <c r="BI35" i="22"/>
  <c r="BI33" i="22"/>
  <c r="BI34" i="22"/>
  <c r="BI36" i="22"/>
  <c r="BI37" i="22"/>
  <c r="BI40" i="22"/>
  <c r="BI38" i="22"/>
  <c r="BI39" i="22"/>
  <c r="BI41" i="22"/>
  <c r="BI42" i="22"/>
  <c r="BI43" i="22"/>
  <c r="BI44" i="22"/>
  <c r="BI45" i="22"/>
  <c r="BI46" i="22"/>
  <c r="BI47" i="22"/>
  <c r="BI48" i="22"/>
  <c r="BI54" i="22"/>
  <c r="BI50" i="22"/>
  <c r="BI49" i="22"/>
  <c r="BI53" i="22"/>
  <c r="BI55" i="22"/>
  <c r="BI51" i="22"/>
  <c r="BI52" i="22"/>
  <c r="BI56" i="22"/>
  <c r="BI57" i="22"/>
  <c r="BI59" i="22"/>
  <c r="BI58" i="22"/>
  <c r="BI61" i="22"/>
  <c r="BI64" i="22"/>
  <c r="BI60" i="22"/>
  <c r="BI62" i="22"/>
  <c r="BI63" i="22"/>
  <c r="BI65" i="22"/>
  <c r="BI66" i="22"/>
  <c r="BI70" i="22"/>
  <c r="BI68" i="22"/>
  <c r="BI72" i="22"/>
  <c r="BI67" i="22"/>
  <c r="BI69" i="22"/>
  <c r="BI71" i="22"/>
  <c r="BI74" i="22"/>
  <c r="BI73" i="22"/>
  <c r="BI75" i="22"/>
  <c r="BI76" i="22"/>
  <c r="BI77" i="22"/>
  <c r="BI78" i="22"/>
  <c r="BI81" i="22"/>
  <c r="BI79" i="22"/>
  <c r="BI80" i="22"/>
  <c r="BI84" i="22"/>
  <c r="BI82" i="22"/>
  <c r="BI86" i="22"/>
  <c r="BI83" i="22"/>
  <c r="BI85" i="22"/>
  <c r="BI89" i="22"/>
  <c r="BI87" i="22"/>
  <c r="BI88" i="22"/>
  <c r="BI92" i="22"/>
  <c r="BI90" i="22"/>
  <c r="BI91" i="22"/>
  <c r="BI93" i="22"/>
  <c r="BI94" i="22"/>
  <c r="BI95" i="22"/>
  <c r="BI96" i="22"/>
  <c r="BI98" i="22"/>
  <c r="BI97" i="22"/>
  <c r="BI99" i="22"/>
  <c r="BI100" i="22"/>
  <c r="BI101" i="22"/>
  <c r="BI102" i="22"/>
  <c r="BI103" i="22"/>
  <c r="BI104" i="22"/>
  <c r="BI107" i="22"/>
  <c r="BI105" i="22"/>
  <c r="BI106" i="22"/>
  <c r="BI108" i="22"/>
  <c r="BI109" i="22"/>
  <c r="BI110" i="22"/>
  <c r="BI111" i="22"/>
  <c r="BI112" i="22"/>
  <c r="BI114" i="22"/>
  <c r="BI115" i="22"/>
  <c r="BI113" i="22"/>
  <c r="BI117" i="22"/>
  <c r="BY122" i="8"/>
  <c r="BI123" i="8"/>
  <c r="BI121" i="8"/>
  <c r="AO123" i="21"/>
  <c r="CH123" i="21" s="1"/>
  <c r="BE123" i="8"/>
  <c r="BE119" i="8"/>
  <c r="AO119" i="22"/>
  <c r="BM123" i="8"/>
  <c r="BM119" i="8"/>
  <c r="BM121" i="8"/>
  <c r="AO124" i="19"/>
  <c r="CH124" i="19" s="1"/>
  <c r="AO12" i="19"/>
  <c r="CH12" i="19" s="1"/>
  <c r="AO13" i="19"/>
  <c r="AO15" i="19"/>
  <c r="CH15" i="19" s="1"/>
  <c r="AO14" i="19"/>
  <c r="CH14" i="19" s="1"/>
  <c r="AO17" i="19"/>
  <c r="CH17" i="19" s="1"/>
  <c r="AO18" i="19"/>
  <c r="CH18" i="19" s="1"/>
  <c r="AO20" i="19"/>
  <c r="CH20" i="19" s="1"/>
  <c r="AO16" i="19"/>
  <c r="CH16" i="19" s="1"/>
  <c r="AO19" i="19"/>
  <c r="CH19" i="19" s="1"/>
  <c r="AO23" i="19"/>
  <c r="CH23" i="19" s="1"/>
  <c r="AO22" i="19"/>
  <c r="CH22" i="19" s="1"/>
  <c r="AO21" i="19"/>
  <c r="CH21" i="19" s="1"/>
  <c r="AO24" i="19"/>
  <c r="CH24" i="19" s="1"/>
  <c r="AO26" i="19"/>
  <c r="CH26" i="19" s="1"/>
  <c r="AO25" i="19"/>
  <c r="CH25" i="19" s="1"/>
  <c r="AO28" i="19"/>
  <c r="CH28" i="19" s="1"/>
  <c r="AO27" i="19"/>
  <c r="CH27" i="19" s="1"/>
  <c r="AO30" i="19"/>
  <c r="CH30" i="19" s="1"/>
  <c r="AO31" i="19"/>
  <c r="CH31" i="19" s="1"/>
  <c r="AO33" i="19"/>
  <c r="CH33" i="19" s="1"/>
  <c r="AO29" i="19"/>
  <c r="CH29" i="19" s="1"/>
  <c r="AO36" i="19"/>
  <c r="CH36" i="19" s="1"/>
  <c r="AO32" i="19"/>
  <c r="CH32" i="19" s="1"/>
  <c r="AO34" i="19"/>
  <c r="CH34" i="19" s="1"/>
  <c r="AO35" i="19"/>
  <c r="CH35" i="19" s="1"/>
  <c r="AO38" i="19"/>
  <c r="CH38" i="19" s="1"/>
  <c r="AO37" i="19"/>
  <c r="CH37" i="19" s="1"/>
  <c r="AO39" i="19"/>
  <c r="CH39" i="19" s="1"/>
  <c r="AO42" i="19"/>
  <c r="CH42" i="19" s="1"/>
  <c r="AO41" i="19"/>
  <c r="CH41" i="19" s="1"/>
  <c r="AO40" i="19"/>
  <c r="CH40" i="19" s="1"/>
  <c r="AO43" i="19"/>
  <c r="CH43" i="19" s="1"/>
  <c r="AO45" i="19"/>
  <c r="CH45" i="19" s="1"/>
  <c r="AO44" i="19"/>
  <c r="CH44" i="19" s="1"/>
  <c r="AO46" i="19"/>
  <c r="CH46" i="19" s="1"/>
  <c r="AO47" i="19"/>
  <c r="CH47" i="19" s="1"/>
  <c r="AO48" i="19"/>
  <c r="CH48" i="19" s="1"/>
  <c r="AO51" i="19"/>
  <c r="CH51" i="19" s="1"/>
  <c r="AO49" i="19"/>
  <c r="CH49" i="19" s="1"/>
  <c r="AO50" i="19"/>
  <c r="CH50" i="19" s="1"/>
  <c r="AO52" i="19"/>
  <c r="CH52" i="19" s="1"/>
  <c r="AO53" i="19"/>
  <c r="CH53" i="19" s="1"/>
  <c r="AO54" i="19"/>
  <c r="CH54" i="19" s="1"/>
  <c r="AO55" i="19"/>
  <c r="CH55" i="19" s="1"/>
  <c r="AO56" i="19"/>
  <c r="CH56" i="19" s="1"/>
  <c r="AO57" i="19"/>
  <c r="CH57" i="19" s="1"/>
  <c r="AO58" i="19"/>
  <c r="CH58" i="19" s="1"/>
  <c r="AO59" i="19"/>
  <c r="CH59" i="19" s="1"/>
  <c r="AO63" i="19"/>
  <c r="CH63" i="19" s="1"/>
  <c r="AO61" i="19"/>
  <c r="CH61" i="19" s="1"/>
  <c r="AO64" i="19"/>
  <c r="CH64" i="19" s="1"/>
  <c r="AO60" i="19"/>
  <c r="CH60" i="19" s="1"/>
  <c r="AO66" i="19"/>
  <c r="CH66" i="19" s="1"/>
  <c r="AO62" i="19"/>
  <c r="CH62" i="19" s="1"/>
  <c r="AO65" i="19"/>
  <c r="CH65" i="19" s="1"/>
  <c r="AO68" i="19"/>
  <c r="CH68" i="19" s="1"/>
  <c r="AO67" i="19"/>
  <c r="CH67" i="19" s="1"/>
  <c r="AO69" i="19"/>
  <c r="CH69" i="19" s="1"/>
  <c r="AO70" i="19"/>
  <c r="CH70" i="19" s="1"/>
  <c r="AO71" i="19"/>
  <c r="CH71" i="19" s="1"/>
  <c r="AO73" i="19"/>
  <c r="CH73" i="19" s="1"/>
  <c r="AO72" i="19"/>
  <c r="CH72" i="19" s="1"/>
  <c r="AO75" i="19"/>
  <c r="CH75" i="19" s="1"/>
  <c r="AO77" i="19"/>
  <c r="CH77" i="19" s="1"/>
  <c r="AO76" i="19"/>
  <c r="CH76" i="19" s="1"/>
  <c r="AO74" i="19"/>
  <c r="CH74" i="19" s="1"/>
  <c r="AO78" i="19"/>
  <c r="CH78" i="19" s="1"/>
  <c r="AO80" i="19"/>
  <c r="CH80" i="19" s="1"/>
  <c r="AO79" i="19"/>
  <c r="CH79" i="19" s="1"/>
  <c r="AO81" i="19"/>
  <c r="CH81" i="19" s="1"/>
  <c r="AO82" i="19"/>
  <c r="CH82" i="19" s="1"/>
  <c r="AO83" i="19"/>
  <c r="CH83" i="19" s="1"/>
  <c r="AO84" i="19"/>
  <c r="CH84" i="19" s="1"/>
  <c r="AO85" i="19"/>
  <c r="CH85" i="19" s="1"/>
  <c r="AO90" i="19"/>
  <c r="CH90" i="19" s="1"/>
  <c r="AO86" i="19"/>
  <c r="CH86" i="19" s="1"/>
  <c r="AO87" i="19"/>
  <c r="CH87" i="19" s="1"/>
  <c r="AO89" i="19"/>
  <c r="CH89" i="19" s="1"/>
  <c r="AO88" i="19"/>
  <c r="CH88" i="19" s="1"/>
  <c r="AO92" i="19"/>
  <c r="CH92" i="19" s="1"/>
  <c r="AO91" i="19"/>
  <c r="CH91" i="19" s="1"/>
  <c r="AO94" i="19"/>
  <c r="CH94" i="19" s="1"/>
  <c r="AO93" i="19"/>
  <c r="CH93" i="19" s="1"/>
  <c r="AO96" i="19"/>
  <c r="CH96" i="19" s="1"/>
  <c r="AO95" i="19"/>
  <c r="CH95" i="19" s="1"/>
  <c r="AO98" i="19"/>
  <c r="CH98" i="19" s="1"/>
  <c r="AO97" i="19"/>
  <c r="CH97" i="19" s="1"/>
  <c r="AO101" i="19"/>
  <c r="CH101" i="19" s="1"/>
  <c r="AO99" i="19"/>
  <c r="CH99" i="19" s="1"/>
  <c r="AO100" i="19"/>
  <c r="CH100" i="19" s="1"/>
  <c r="AO102" i="19"/>
  <c r="CH102" i="19" s="1"/>
  <c r="AO103" i="19"/>
  <c r="CH103" i="19" s="1"/>
  <c r="AO105" i="19"/>
  <c r="CH105" i="19" s="1"/>
  <c r="AO104" i="19"/>
  <c r="CH104" i="19" s="1"/>
  <c r="AO106" i="19"/>
  <c r="CH106" i="19" s="1"/>
  <c r="AO107" i="19"/>
  <c r="CH107" i="19" s="1"/>
  <c r="AO108" i="19"/>
  <c r="CH108" i="19" s="1"/>
  <c r="AO109" i="19"/>
  <c r="CH109" i="19" s="1"/>
  <c r="AO110" i="19"/>
  <c r="CH110" i="19" s="1"/>
  <c r="AO111" i="19"/>
  <c r="CH111" i="19" s="1"/>
  <c r="AO112" i="19"/>
  <c r="CH112" i="19" s="1"/>
  <c r="AO113" i="19"/>
  <c r="CH113" i="19" s="1"/>
  <c r="AO114" i="19"/>
  <c r="CH114" i="19" s="1"/>
  <c r="AO115" i="19"/>
  <c r="CH115" i="19" s="1"/>
  <c r="AO117" i="19"/>
  <c r="CH117" i="19" s="1"/>
  <c r="AO116" i="19"/>
  <c r="CH116" i="19" s="1"/>
  <c r="AO122" i="19"/>
  <c r="CH122" i="19" s="1"/>
  <c r="AO119" i="19"/>
  <c r="CH119" i="19" s="1"/>
  <c r="AO121" i="19"/>
  <c r="CH121" i="19" s="1"/>
  <c r="AO118" i="19"/>
  <c r="CH118" i="19" s="1"/>
  <c r="BY124" i="8"/>
  <c r="BY12" i="8"/>
  <c r="BY14" i="8"/>
  <c r="BY13" i="8"/>
  <c r="BY15" i="8"/>
  <c r="BY18" i="8"/>
  <c r="BY20" i="8"/>
  <c r="BY16" i="8"/>
  <c r="BY17" i="8"/>
  <c r="BY19" i="8"/>
  <c r="BY22" i="8"/>
  <c r="BY21" i="8"/>
  <c r="BY23" i="8"/>
  <c r="BY26" i="8"/>
  <c r="BY24" i="8"/>
  <c r="BY27" i="8"/>
  <c r="BY25" i="8"/>
  <c r="BY28" i="8"/>
  <c r="BY30" i="8"/>
  <c r="BY29" i="8"/>
  <c r="BY32" i="8"/>
  <c r="BY31" i="8"/>
  <c r="BY33" i="8"/>
  <c r="BY34" i="8"/>
  <c r="BY35" i="8"/>
  <c r="BY40" i="8"/>
  <c r="BY36" i="8"/>
  <c r="BY38" i="8"/>
  <c r="BY37" i="8"/>
  <c r="BY39" i="8"/>
  <c r="BY45" i="8"/>
  <c r="BY42" i="8"/>
  <c r="BY43" i="8"/>
  <c r="BY41" i="8"/>
  <c r="BY44" i="8"/>
  <c r="BY48" i="8"/>
  <c r="BY46" i="8"/>
  <c r="BY47" i="8"/>
  <c r="BY49" i="8"/>
  <c r="BY51" i="8"/>
  <c r="BY50" i="8"/>
  <c r="BY53" i="8"/>
  <c r="BY52" i="8"/>
  <c r="BY54" i="8"/>
  <c r="BY55" i="8"/>
  <c r="BY56" i="8"/>
  <c r="BY57" i="8"/>
  <c r="BY58" i="8"/>
  <c r="BY61" i="8"/>
  <c r="BY60" i="8"/>
  <c r="BY59" i="8"/>
  <c r="BY62" i="8"/>
  <c r="BY65" i="8"/>
  <c r="BY64" i="8"/>
  <c r="BY63" i="8"/>
  <c r="BY67" i="8"/>
  <c r="BY70" i="8"/>
  <c r="BY66" i="8"/>
  <c r="BY69" i="8"/>
  <c r="BY68" i="8"/>
  <c r="BY72" i="8"/>
  <c r="BY73" i="8"/>
  <c r="BY74" i="8"/>
  <c r="BY71" i="8"/>
  <c r="BY75" i="8"/>
  <c r="BY76" i="8"/>
  <c r="BY77" i="8"/>
  <c r="BY78" i="8"/>
  <c r="BY79" i="8"/>
  <c r="BY81" i="8"/>
  <c r="BY80" i="8"/>
  <c r="BY82" i="8"/>
  <c r="BY86" i="8"/>
  <c r="BY83" i="8"/>
  <c r="BY84" i="8"/>
  <c r="BY85" i="8"/>
  <c r="BY88" i="8"/>
  <c r="BY87" i="8"/>
  <c r="BY90" i="8"/>
  <c r="BY89" i="8"/>
  <c r="BY92" i="8"/>
  <c r="BY93" i="8"/>
  <c r="BY91" i="8"/>
  <c r="BY94" i="8"/>
  <c r="BY95" i="8"/>
  <c r="BY97" i="8"/>
  <c r="BY98" i="8"/>
  <c r="BY96" i="8"/>
  <c r="BY102" i="8"/>
  <c r="BY99" i="8"/>
  <c r="BY101" i="8"/>
  <c r="BY100" i="8"/>
  <c r="BY103" i="8"/>
  <c r="BY104" i="8"/>
  <c r="BY105" i="8"/>
  <c r="BY106" i="8"/>
  <c r="BY110" i="8"/>
  <c r="BY107" i="8"/>
  <c r="BY109" i="8"/>
  <c r="BY108" i="8"/>
  <c r="BY111" i="8"/>
  <c r="BY113" i="8"/>
  <c r="BY112" i="8"/>
  <c r="BY115" i="8"/>
  <c r="BY114" i="8"/>
  <c r="BY117" i="8"/>
  <c r="CC123" i="8"/>
  <c r="CC121" i="8"/>
  <c r="CC115" i="8"/>
  <c r="CC116" i="8"/>
  <c r="CG123" i="8"/>
  <c r="CG121" i="8"/>
  <c r="CG117" i="8"/>
  <c r="CG115" i="8"/>
  <c r="CG119" i="8"/>
  <c r="BM114" i="8"/>
  <c r="AO123" i="19"/>
  <c r="CH123" i="19" s="1"/>
  <c r="BU124" i="8"/>
  <c r="BU12" i="8"/>
  <c r="BU15" i="8"/>
  <c r="BU14" i="8"/>
  <c r="BU13" i="8"/>
  <c r="BU16" i="8"/>
  <c r="BU18" i="8"/>
  <c r="BU17" i="8"/>
  <c r="BU20" i="8"/>
  <c r="BU19" i="8"/>
  <c r="BU23" i="8"/>
  <c r="BU21" i="8"/>
  <c r="BU25" i="8"/>
  <c r="BU22" i="8"/>
  <c r="BU24" i="8"/>
  <c r="BU26" i="8"/>
  <c r="BU30" i="8"/>
  <c r="BU27" i="8"/>
  <c r="BU32" i="8"/>
  <c r="BU28" i="8"/>
  <c r="BU29" i="8"/>
  <c r="BU33" i="8"/>
  <c r="BU34" i="8"/>
  <c r="BU31" i="8"/>
  <c r="BU36" i="8"/>
  <c r="BU35" i="8"/>
  <c r="BU39" i="8"/>
  <c r="BU41" i="8"/>
  <c r="BU38" i="8"/>
  <c r="BU37" i="8"/>
  <c r="BU40" i="8"/>
  <c r="BU42" i="8"/>
  <c r="BU45" i="8"/>
  <c r="BU43" i="8"/>
  <c r="BU44" i="8"/>
  <c r="BU46" i="8"/>
  <c r="BU48" i="8"/>
  <c r="BU47" i="8"/>
  <c r="BU50" i="8"/>
  <c r="BU49" i="8"/>
  <c r="BU51" i="8"/>
  <c r="BU53" i="8"/>
  <c r="BU52" i="8"/>
  <c r="BU55" i="8"/>
  <c r="BU56" i="8"/>
  <c r="BU54" i="8"/>
  <c r="BU57" i="8"/>
  <c r="BU62" i="8"/>
  <c r="BU58" i="8"/>
  <c r="BU59" i="8"/>
  <c r="BU60" i="8"/>
  <c r="BU61" i="8"/>
  <c r="BU63" i="8"/>
  <c r="BU64" i="8"/>
  <c r="BU69" i="8"/>
  <c r="BU65" i="8"/>
  <c r="BU66" i="8"/>
  <c r="BU67" i="8"/>
  <c r="BU68" i="8"/>
  <c r="BU70" i="8"/>
  <c r="BU71" i="8"/>
  <c r="BU72" i="8"/>
  <c r="BU73" i="8"/>
  <c r="BU77" i="8"/>
  <c r="BU74" i="8"/>
  <c r="BU75" i="8"/>
  <c r="BU76" i="8"/>
  <c r="BU79" i="8"/>
  <c r="BU78" i="8"/>
  <c r="BU80" i="8"/>
  <c r="BU81" i="8"/>
  <c r="BU85" i="8"/>
  <c r="BU82" i="8"/>
  <c r="BU83" i="8"/>
  <c r="BU86" i="8"/>
  <c r="BU84" i="8"/>
  <c r="BU87" i="8"/>
  <c r="BU89" i="8"/>
  <c r="BU88" i="8"/>
  <c r="BU93" i="8"/>
  <c r="BU91" i="8"/>
  <c r="BU90" i="8"/>
  <c r="BU98" i="8"/>
  <c r="BU92" i="8"/>
  <c r="BU95" i="8"/>
  <c r="BU94" i="8"/>
  <c r="BU96" i="8"/>
  <c r="BU97" i="8"/>
  <c r="BU99" i="8"/>
  <c r="BU101" i="8"/>
  <c r="BU100" i="8"/>
  <c r="BU102" i="8"/>
  <c r="BU103" i="8"/>
  <c r="BU104" i="8"/>
  <c r="BU105" i="8"/>
  <c r="BU106" i="8"/>
  <c r="BU107" i="8"/>
  <c r="BU110" i="8"/>
  <c r="BU108" i="8"/>
  <c r="BU111" i="8"/>
  <c r="BU109" i="8"/>
  <c r="BU115" i="8"/>
  <c r="BU112" i="8"/>
  <c r="BU114" i="8"/>
  <c r="BU113" i="8"/>
  <c r="BU117" i="8"/>
  <c r="BU121" i="8"/>
  <c r="CH13" i="19" l="1"/>
  <c r="CI13" i="19" s="1"/>
  <c r="AN5" i="19"/>
  <c r="AN6" i="19" s="1"/>
  <c r="AO123" i="8"/>
  <c r="AO118" i="8"/>
  <c r="CO118" i="8" s="1"/>
  <c r="CO120" i="22"/>
  <c r="CO123" i="22"/>
  <c r="CO119" i="22"/>
  <c r="CO122" i="22"/>
  <c r="CO121" i="22"/>
  <c r="CO120" i="8"/>
  <c r="CI99" i="19"/>
  <c r="CI104" i="19"/>
  <c r="CI98" i="19"/>
  <c r="CI105" i="19"/>
  <c r="CI103" i="19"/>
  <c r="CI91" i="19"/>
  <c r="CI95" i="19"/>
  <c r="CI100" i="19"/>
  <c r="CI94" i="19"/>
  <c r="CI85" i="19"/>
  <c r="CI74" i="19"/>
  <c r="CI69" i="19"/>
  <c r="CI61" i="19"/>
  <c r="CI53" i="19"/>
  <c r="CI44" i="19"/>
  <c r="CI38" i="19"/>
  <c r="CI30" i="19"/>
  <c r="CI23" i="19"/>
  <c r="CI98" i="21"/>
  <c r="CI91" i="21"/>
  <c r="CI80" i="21"/>
  <c r="CI74" i="21"/>
  <c r="CI64" i="21"/>
  <c r="CI59" i="21"/>
  <c r="CI51" i="21"/>
  <c r="CI43" i="21"/>
  <c r="CI35" i="21"/>
  <c r="CI26" i="21"/>
  <c r="CI16" i="21"/>
  <c r="CO114" i="22"/>
  <c r="CO103" i="22"/>
  <c r="CO94" i="22"/>
  <c r="CO89" i="22"/>
  <c r="CO80" i="22"/>
  <c r="CO72" i="22"/>
  <c r="CO68" i="22"/>
  <c r="CO57" i="22"/>
  <c r="CO46" i="22"/>
  <c r="CO40" i="22"/>
  <c r="CO32" i="22"/>
  <c r="CO24" i="22"/>
  <c r="CO18" i="22"/>
  <c r="CI84" i="19"/>
  <c r="CI76" i="19"/>
  <c r="CI67" i="19"/>
  <c r="CI63" i="19"/>
  <c r="CI52" i="19"/>
  <c r="CI45" i="19"/>
  <c r="CI35" i="19"/>
  <c r="CI27" i="19"/>
  <c r="CI19" i="19"/>
  <c r="CI12" i="19"/>
  <c r="CI103" i="21"/>
  <c r="CI97" i="21"/>
  <c r="CI88" i="21"/>
  <c r="CI81" i="21"/>
  <c r="CI70" i="21"/>
  <c r="CI62" i="21"/>
  <c r="CI57" i="21"/>
  <c r="CI48" i="21"/>
  <c r="CI40" i="21"/>
  <c r="CI33" i="21"/>
  <c r="CI25" i="21"/>
  <c r="CI19" i="21"/>
  <c r="CO111" i="22"/>
  <c r="CO106" i="22"/>
  <c r="CO95" i="22"/>
  <c r="CO87" i="22"/>
  <c r="CO78" i="22"/>
  <c r="CO70" i="22"/>
  <c r="CO61" i="22"/>
  <c r="CO54" i="22"/>
  <c r="CO44" i="22"/>
  <c r="CO41" i="22"/>
  <c r="CO31" i="22"/>
  <c r="CO26" i="22"/>
  <c r="CO16" i="22"/>
  <c r="CI118" i="19"/>
  <c r="CI123" i="19"/>
  <c r="CI122" i="19"/>
  <c r="CI120" i="19"/>
  <c r="CI119" i="19"/>
  <c r="CI115" i="19"/>
  <c r="CI112" i="19"/>
  <c r="CI109" i="19"/>
  <c r="CI116" i="19"/>
  <c r="CI108" i="19"/>
  <c r="CI117" i="19"/>
  <c r="CI114" i="19"/>
  <c r="CI113" i="19"/>
  <c r="CI110" i="19"/>
  <c r="CI107" i="19"/>
  <c r="CI111" i="19"/>
  <c r="CI124" i="19"/>
  <c r="CI121" i="19"/>
  <c r="CI101" i="19"/>
  <c r="CI92" i="19"/>
  <c r="CI83" i="19"/>
  <c r="CI77" i="19"/>
  <c r="CI68" i="19"/>
  <c r="CI59" i="19"/>
  <c r="CI50" i="19"/>
  <c r="CI43" i="19"/>
  <c r="CI34" i="19"/>
  <c r="CI28" i="19"/>
  <c r="CI16" i="19"/>
  <c r="CI104" i="21"/>
  <c r="CI95" i="21"/>
  <c r="CI87" i="21"/>
  <c r="CI84" i="21"/>
  <c r="CI71" i="21"/>
  <c r="CI65" i="21"/>
  <c r="CI54" i="21"/>
  <c r="CI49" i="21"/>
  <c r="CI38" i="21"/>
  <c r="CI30" i="21"/>
  <c r="CI23" i="21"/>
  <c r="CI17" i="21"/>
  <c r="CO115" i="22"/>
  <c r="CO109" i="22"/>
  <c r="CO102" i="22"/>
  <c r="CO93" i="22"/>
  <c r="CO85" i="22"/>
  <c r="CO77" i="22"/>
  <c r="CO75" i="22"/>
  <c r="CO62" i="22"/>
  <c r="CO55" i="22"/>
  <c r="CO47" i="22"/>
  <c r="CO37" i="22"/>
  <c r="CO30" i="22"/>
  <c r="CO23" i="22"/>
  <c r="CO12" i="22"/>
  <c r="CI106" i="19"/>
  <c r="CI97" i="19"/>
  <c r="CI88" i="19"/>
  <c r="CI82" i="19"/>
  <c r="CI75" i="19"/>
  <c r="CI65" i="19"/>
  <c r="CI58" i="19"/>
  <c r="CI49" i="19"/>
  <c r="CI40" i="19"/>
  <c r="CI32" i="19"/>
  <c r="CI25" i="19"/>
  <c r="CI20" i="19"/>
  <c r="CO123" i="8"/>
  <c r="CI106" i="21"/>
  <c r="CI93" i="21"/>
  <c r="CI89" i="21"/>
  <c r="CI78" i="21"/>
  <c r="CI73" i="21"/>
  <c r="CI66" i="21"/>
  <c r="CI53" i="21"/>
  <c r="CI46" i="21"/>
  <c r="CI39" i="21"/>
  <c r="CI29" i="21"/>
  <c r="CI22" i="21"/>
  <c r="CI15" i="21"/>
  <c r="AO124" i="8"/>
  <c r="CO124" i="8" s="1"/>
  <c r="AO12" i="8"/>
  <c r="CO12" i="8" s="1"/>
  <c r="AO15" i="8"/>
  <c r="CO15" i="8" s="1"/>
  <c r="AO14" i="8"/>
  <c r="CO14" i="8" s="1"/>
  <c r="AO13" i="8"/>
  <c r="CO13" i="8" s="1"/>
  <c r="AO19" i="8"/>
  <c r="CO19" i="8" s="1"/>
  <c r="AO16" i="8"/>
  <c r="CO16" i="8" s="1"/>
  <c r="AO17" i="8"/>
  <c r="CO17" i="8" s="1"/>
  <c r="AO20" i="8"/>
  <c r="CO20" i="8" s="1"/>
  <c r="AO21" i="8"/>
  <c r="CO21" i="8" s="1"/>
  <c r="AO18" i="8"/>
  <c r="CO18" i="8" s="1"/>
  <c r="AO23" i="8"/>
  <c r="CO23" i="8" s="1"/>
  <c r="AO22" i="8"/>
  <c r="CO22" i="8" s="1"/>
  <c r="AO24" i="8"/>
  <c r="CO24" i="8" s="1"/>
  <c r="AO25" i="8"/>
  <c r="CO25" i="8" s="1"/>
  <c r="AO26" i="8"/>
  <c r="CO26" i="8" s="1"/>
  <c r="AO27" i="8"/>
  <c r="CO27" i="8" s="1"/>
  <c r="AO31" i="8"/>
  <c r="CO31" i="8" s="1"/>
  <c r="AO28" i="8"/>
  <c r="CO28" i="8" s="1"/>
  <c r="AO30" i="8"/>
  <c r="CO30" i="8" s="1"/>
  <c r="AO29" i="8"/>
  <c r="CO29" i="8" s="1"/>
  <c r="AO33" i="8"/>
  <c r="CO33" i="8" s="1"/>
  <c r="AO32" i="8"/>
  <c r="CO32" i="8" s="1"/>
  <c r="AO35" i="8"/>
  <c r="CO35" i="8" s="1"/>
  <c r="AO36" i="8"/>
  <c r="CO36" i="8" s="1"/>
  <c r="AO37" i="8"/>
  <c r="CO37" i="8" s="1"/>
  <c r="AO38" i="8"/>
  <c r="CO38" i="8" s="1"/>
  <c r="AO34" i="8"/>
  <c r="CO34" i="8" s="1"/>
  <c r="AO39" i="8"/>
  <c r="CO39" i="8" s="1"/>
  <c r="AO40" i="8"/>
  <c r="CO40" i="8" s="1"/>
  <c r="AO41" i="8"/>
  <c r="CO41" i="8" s="1"/>
  <c r="AO43" i="8"/>
  <c r="CO43" i="8" s="1"/>
  <c r="AO42" i="8"/>
  <c r="CO42" i="8" s="1"/>
  <c r="AO44" i="8"/>
  <c r="CO44" i="8" s="1"/>
  <c r="AO45" i="8"/>
  <c r="CO45" i="8" s="1"/>
  <c r="AO47" i="8"/>
  <c r="CO47" i="8" s="1"/>
  <c r="AO46" i="8"/>
  <c r="CO46" i="8" s="1"/>
  <c r="AO52" i="8"/>
  <c r="CO52" i="8" s="1"/>
  <c r="AO48" i="8"/>
  <c r="CO48" i="8" s="1"/>
  <c r="AO49" i="8"/>
  <c r="CO49" i="8" s="1"/>
  <c r="AO50" i="8"/>
  <c r="CO50" i="8" s="1"/>
  <c r="AO54" i="8"/>
  <c r="CO54" i="8" s="1"/>
  <c r="AO51" i="8"/>
  <c r="CO51" i="8" s="1"/>
  <c r="AO56" i="8"/>
  <c r="CO56" i="8" s="1"/>
  <c r="AO53" i="8"/>
  <c r="CO53" i="8" s="1"/>
  <c r="AO57" i="8"/>
  <c r="CO57" i="8" s="1"/>
  <c r="AO55" i="8"/>
  <c r="CO55" i="8" s="1"/>
  <c r="AO59" i="8"/>
  <c r="CO59" i="8" s="1"/>
  <c r="AO58" i="8"/>
  <c r="CO58" i="8" s="1"/>
  <c r="AO60" i="8"/>
  <c r="CO60" i="8" s="1"/>
  <c r="AO61" i="8"/>
  <c r="CO61" i="8" s="1"/>
  <c r="AO63" i="8"/>
  <c r="CO63" i="8" s="1"/>
  <c r="AO62" i="8"/>
  <c r="CO62" i="8" s="1"/>
  <c r="AO64" i="8"/>
  <c r="CO64" i="8" s="1"/>
  <c r="AO65" i="8"/>
  <c r="CO65" i="8" s="1"/>
  <c r="AO66" i="8"/>
  <c r="CO66" i="8" s="1"/>
  <c r="AO67" i="8"/>
  <c r="CO67" i="8" s="1"/>
  <c r="AO69" i="8"/>
  <c r="CO69" i="8" s="1"/>
  <c r="AO68" i="8"/>
  <c r="CO68" i="8" s="1"/>
  <c r="AO71" i="8"/>
  <c r="CO71" i="8" s="1"/>
  <c r="AO70" i="8"/>
  <c r="CO70" i="8" s="1"/>
  <c r="AO72" i="8"/>
  <c r="CO72" i="8" s="1"/>
  <c r="AO75" i="8"/>
  <c r="CO75" i="8" s="1"/>
  <c r="AO73" i="8"/>
  <c r="CO73" i="8" s="1"/>
  <c r="AO76" i="8"/>
  <c r="CO76" i="8" s="1"/>
  <c r="AO74" i="8"/>
  <c r="CO74" i="8" s="1"/>
  <c r="AO78" i="8"/>
  <c r="CO78" i="8" s="1"/>
  <c r="AO77" i="8"/>
  <c r="CO77" i="8" s="1"/>
  <c r="AO81" i="8"/>
  <c r="CO81" i="8" s="1"/>
  <c r="AO80" i="8"/>
  <c r="CO80" i="8" s="1"/>
  <c r="AO79" i="8"/>
  <c r="CO79" i="8" s="1"/>
  <c r="AO83" i="8"/>
  <c r="CO83" i="8" s="1"/>
  <c r="AO82" i="8"/>
  <c r="CO82" i="8" s="1"/>
  <c r="AO85" i="8"/>
  <c r="CO85" i="8" s="1"/>
  <c r="AO84" i="8"/>
  <c r="CO84" i="8" s="1"/>
  <c r="AO88" i="8"/>
  <c r="CO88" i="8" s="1"/>
  <c r="AO86" i="8"/>
  <c r="CO86" i="8" s="1"/>
  <c r="AO87" i="8"/>
  <c r="CO87" i="8" s="1"/>
  <c r="AO89" i="8"/>
  <c r="CO89" i="8" s="1"/>
  <c r="AO90" i="8"/>
  <c r="CO90" i="8" s="1"/>
  <c r="AO91" i="8"/>
  <c r="CO91" i="8" s="1"/>
  <c r="AO92" i="8"/>
  <c r="CO92" i="8" s="1"/>
  <c r="AO94" i="8"/>
  <c r="CO94" i="8" s="1"/>
  <c r="AO93" i="8"/>
  <c r="CO93" i="8" s="1"/>
  <c r="AO96" i="8"/>
  <c r="CO96" i="8" s="1"/>
  <c r="AO97" i="8"/>
  <c r="CO97" i="8" s="1"/>
  <c r="AO95" i="8"/>
  <c r="CO95" i="8" s="1"/>
  <c r="AO98" i="8"/>
  <c r="CO98" i="8" s="1"/>
  <c r="AO100" i="8"/>
  <c r="CO100" i="8" s="1"/>
  <c r="AO99" i="8"/>
  <c r="CO99" i="8" s="1"/>
  <c r="AO102" i="8"/>
  <c r="CO102" i="8" s="1"/>
  <c r="AO101" i="8"/>
  <c r="CO101" i="8" s="1"/>
  <c r="AO103" i="8"/>
  <c r="CO103" i="8" s="1"/>
  <c r="AO105" i="8"/>
  <c r="CO105" i="8" s="1"/>
  <c r="AO104" i="8"/>
  <c r="CO104" i="8" s="1"/>
  <c r="AO106" i="8"/>
  <c r="CO106" i="8" s="1"/>
  <c r="AO107" i="8"/>
  <c r="CO107" i="8" s="1"/>
  <c r="AO108" i="8"/>
  <c r="CO108" i="8" s="1"/>
  <c r="AO109" i="8"/>
  <c r="CO109" i="8" s="1"/>
  <c r="AO110" i="8"/>
  <c r="CO110" i="8" s="1"/>
  <c r="AO112" i="8"/>
  <c r="CO112" i="8" s="1"/>
  <c r="AO116" i="8"/>
  <c r="CO116" i="8" s="1"/>
  <c r="AO111" i="8"/>
  <c r="CO111" i="8" s="1"/>
  <c r="AO114" i="8"/>
  <c r="CO114" i="8" s="1"/>
  <c r="AO113" i="8"/>
  <c r="CO113" i="8" s="1"/>
  <c r="AO121" i="8"/>
  <c r="CO121" i="8" s="1"/>
  <c r="AO115" i="8"/>
  <c r="CO115" i="8" s="1"/>
  <c r="AO119" i="8"/>
  <c r="CO119" i="8" s="1"/>
  <c r="AO117" i="8"/>
  <c r="CO117" i="8" s="1"/>
  <c r="CO117" i="22"/>
  <c r="CO112" i="22"/>
  <c r="CO101" i="22"/>
  <c r="CO92" i="22"/>
  <c r="CO83" i="22"/>
  <c r="CO76" i="22"/>
  <c r="CO69" i="22"/>
  <c r="CO63" i="22"/>
  <c r="CO52" i="22"/>
  <c r="CO48" i="22"/>
  <c r="CO38" i="22"/>
  <c r="CO27" i="22"/>
  <c r="CO20" i="22"/>
  <c r="CO13" i="22"/>
  <c r="CI89" i="19"/>
  <c r="CI81" i="19"/>
  <c r="CI72" i="19"/>
  <c r="CI62" i="19"/>
  <c r="CI57" i="19"/>
  <c r="CI51" i="19"/>
  <c r="CI41" i="19"/>
  <c r="CI36" i="19"/>
  <c r="CI26" i="19"/>
  <c r="CI18" i="19"/>
  <c r="CI102" i="21"/>
  <c r="CI96" i="21"/>
  <c r="CI86" i="21"/>
  <c r="CI79" i="21"/>
  <c r="CI72" i="21"/>
  <c r="CI61" i="21"/>
  <c r="CI56" i="21"/>
  <c r="CI42" i="21"/>
  <c r="CI36" i="21"/>
  <c r="CI32" i="21"/>
  <c r="CI24" i="21"/>
  <c r="CI14" i="21"/>
  <c r="CO118" i="22"/>
  <c r="CO107" i="22"/>
  <c r="CO99" i="22"/>
  <c r="CO96" i="22"/>
  <c r="CO81" i="22"/>
  <c r="CO82" i="22"/>
  <c r="CO67" i="22"/>
  <c r="CO60" i="22"/>
  <c r="CO53" i="22"/>
  <c r="CO42" i="22"/>
  <c r="CO36" i="22"/>
  <c r="CO29" i="22"/>
  <c r="CO19" i="22"/>
  <c r="CO14" i="22"/>
  <c r="CI87" i="19"/>
  <c r="CI79" i="19"/>
  <c r="CI73" i="19"/>
  <c r="CI66" i="19"/>
  <c r="CI56" i="19"/>
  <c r="CI48" i="19"/>
  <c r="CI42" i="19"/>
  <c r="CI29" i="19"/>
  <c r="CI24" i="19"/>
  <c r="CI17" i="19"/>
  <c r="CI100" i="21"/>
  <c r="CI94" i="21"/>
  <c r="CI85" i="21"/>
  <c r="CI77" i="21"/>
  <c r="CI69" i="21"/>
  <c r="CI60" i="21"/>
  <c r="CI52" i="21"/>
  <c r="CI44" i="21"/>
  <c r="CI41" i="21"/>
  <c r="CI28" i="21"/>
  <c r="CI21" i="21"/>
  <c r="CI13" i="21"/>
  <c r="CO116" i="22"/>
  <c r="CO108" i="22"/>
  <c r="CO97" i="22"/>
  <c r="CO91" i="22"/>
  <c r="CO86" i="22"/>
  <c r="CO74" i="22"/>
  <c r="CO64" i="22"/>
  <c r="CO59" i="22"/>
  <c r="CO50" i="22"/>
  <c r="CO43" i="22"/>
  <c r="CO35" i="22"/>
  <c r="CO28" i="22"/>
  <c r="CO21" i="22"/>
  <c r="CO124" i="22"/>
  <c r="CI96" i="19"/>
  <c r="CI86" i="19"/>
  <c r="CI80" i="19"/>
  <c r="CI71" i="19"/>
  <c r="CI60" i="19"/>
  <c r="CI55" i="19"/>
  <c r="CI47" i="19"/>
  <c r="CI39" i="19"/>
  <c r="CI33" i="19"/>
  <c r="CI21" i="19"/>
  <c r="CI14" i="19"/>
  <c r="CI124" i="21"/>
  <c r="CI121" i="21"/>
  <c r="CI107" i="21"/>
  <c r="CI119" i="21"/>
  <c r="CI114" i="21"/>
  <c r="CI109" i="21"/>
  <c r="CI116" i="21"/>
  <c r="CI118" i="21"/>
  <c r="CI110" i="21"/>
  <c r="CI123" i="21"/>
  <c r="CI111" i="21"/>
  <c r="CI115" i="21"/>
  <c r="CI112" i="21"/>
  <c r="CI117" i="21"/>
  <c r="CI108" i="21"/>
  <c r="CI122" i="21"/>
  <c r="CI120" i="21"/>
  <c r="CI113" i="21"/>
  <c r="CI99" i="21"/>
  <c r="CI92" i="21"/>
  <c r="CI83" i="21"/>
  <c r="CI76" i="21"/>
  <c r="CI68" i="21"/>
  <c r="CI58" i="21"/>
  <c r="CI55" i="21"/>
  <c r="CI47" i="21"/>
  <c r="CI34" i="21"/>
  <c r="CI27" i="21"/>
  <c r="CI20" i="21"/>
  <c r="CI12" i="21"/>
  <c r="CO113" i="22"/>
  <c r="CO105" i="22"/>
  <c r="CO100" i="22"/>
  <c r="CO90" i="22"/>
  <c r="CO84" i="22"/>
  <c r="CO73" i="22"/>
  <c r="CO66" i="22"/>
  <c r="CO56" i="22"/>
  <c r="CO49" i="22"/>
  <c r="CO45" i="22"/>
  <c r="CO34" i="22"/>
  <c r="CO25" i="22"/>
  <c r="CO17" i="22"/>
  <c r="CI102" i="19"/>
  <c r="CI93" i="19"/>
  <c r="CI90" i="19"/>
  <c r="CI78" i="19"/>
  <c r="CI70" i="19"/>
  <c r="CI64" i="19"/>
  <c r="CI54" i="19"/>
  <c r="CI46" i="19"/>
  <c r="CI37" i="19"/>
  <c r="CI31" i="19"/>
  <c r="CI22" i="19"/>
  <c r="CI15" i="19"/>
  <c r="CI105" i="21"/>
  <c r="CI101" i="21"/>
  <c r="CI90" i="21"/>
  <c r="CI82" i="21"/>
  <c r="CI75" i="21"/>
  <c r="CI67" i="21"/>
  <c r="CI63" i="21"/>
  <c r="CI50" i="21"/>
  <c r="CI45" i="21"/>
  <c r="CI37" i="21"/>
  <c r="CI31" i="21"/>
  <c r="CI18" i="21"/>
  <c r="CO110" i="22"/>
  <c r="CO104" i="22"/>
  <c r="CO98" i="22"/>
  <c r="CO88" i="22"/>
  <c r="CO79" i="22"/>
  <c r="CO71" i="22"/>
  <c r="CO65" i="22"/>
  <c r="CO58" i="22"/>
  <c r="CO51" i="22"/>
  <c r="CO39" i="22"/>
  <c r="CO33" i="22"/>
  <c r="CO22" i="22"/>
  <c r="CO15" i="22"/>
  <c r="AO122" i="8"/>
  <c r="CO122" i="8" s="1"/>
  <c r="CP104" i="22" l="1"/>
  <c r="CP39" i="22"/>
  <c r="CP42" i="22"/>
  <c r="CP66" i="22"/>
  <c r="CP74" i="22"/>
  <c r="CP34" i="22"/>
  <c r="CP100" i="22"/>
  <c r="CP79" i="22"/>
  <c r="CP45" i="22"/>
  <c r="CP105" i="22"/>
  <c r="CP15" i="22"/>
  <c r="CP71" i="22"/>
  <c r="CP105" i="8"/>
  <c r="CP19" i="22"/>
  <c r="CP22" i="22"/>
  <c r="CP88" i="22"/>
  <c r="CP49" i="22"/>
  <c r="CP59" i="22"/>
  <c r="CP103" i="8"/>
  <c r="CP50" i="22"/>
  <c r="CP81" i="22"/>
  <c r="CP33" i="22"/>
  <c r="CP98" i="22"/>
  <c r="CP56" i="22"/>
  <c r="CP64" i="22"/>
  <c r="CP51" i="22"/>
  <c r="CP73" i="22"/>
  <c r="CP21" i="22"/>
  <c r="CP58" i="22"/>
  <c r="CP17" i="22"/>
  <c r="CP84" i="22"/>
  <c r="CP28" i="22"/>
  <c r="CP65" i="22"/>
  <c r="CP25" i="22"/>
  <c r="CP90" i="22"/>
  <c r="CP35" i="22"/>
  <c r="CP97" i="22"/>
  <c r="CP96" i="8"/>
  <c r="CP99" i="8"/>
  <c r="CP106" i="8"/>
  <c r="CP98" i="8"/>
  <c r="CP104" i="8"/>
  <c r="CP97" i="8"/>
  <c r="CP86" i="8"/>
  <c r="CP101" i="8"/>
  <c r="CP93" i="8"/>
  <c r="CP102" i="8"/>
  <c r="CP91" i="22"/>
  <c r="CP43" i="22"/>
  <c r="CP36" i="22"/>
  <c r="CP86" i="22"/>
  <c r="CP29" i="22"/>
  <c r="CP96" i="22"/>
  <c r="CP48" i="22"/>
  <c r="CP95" i="8"/>
  <c r="CP89" i="8"/>
  <c r="CP79" i="8"/>
  <c r="CP75" i="8"/>
  <c r="CP65" i="8"/>
  <c r="CP55" i="8"/>
  <c r="CP48" i="8"/>
  <c r="CP41" i="8"/>
  <c r="CP32" i="8"/>
  <c r="CP25" i="8"/>
  <c r="CP16" i="8"/>
  <c r="CP12" i="22"/>
  <c r="CP77" i="22"/>
  <c r="CP26" i="22"/>
  <c r="CP87" i="22"/>
  <c r="H14" i="19"/>
  <c r="H16" i="19" s="1"/>
  <c r="CP46" i="22"/>
  <c r="CP99" i="22"/>
  <c r="CP52" i="22"/>
  <c r="CP87" i="8"/>
  <c r="CP80" i="8"/>
  <c r="CP72" i="8"/>
  <c r="CP64" i="8"/>
  <c r="CP57" i="8"/>
  <c r="CP52" i="8"/>
  <c r="CP40" i="8"/>
  <c r="CP33" i="8"/>
  <c r="CP24" i="8"/>
  <c r="CP19" i="8"/>
  <c r="CP23" i="22"/>
  <c r="CP85" i="22"/>
  <c r="CP31" i="22"/>
  <c r="CP95" i="22"/>
  <c r="CP57" i="22"/>
  <c r="CP124" i="22"/>
  <c r="CP121" i="22"/>
  <c r="CP109" i="22"/>
  <c r="CP117" i="22"/>
  <c r="CP122" i="22"/>
  <c r="CP120" i="22"/>
  <c r="CP115" i="22"/>
  <c r="CP113" i="22"/>
  <c r="CP108" i="22"/>
  <c r="CP123" i="22"/>
  <c r="CP114" i="22"/>
  <c r="CP116" i="22"/>
  <c r="CP112" i="22"/>
  <c r="CP118" i="22"/>
  <c r="CP111" i="22"/>
  <c r="CP119" i="22"/>
  <c r="CP107" i="22"/>
  <c r="CP110" i="22"/>
  <c r="CP63" i="22"/>
  <c r="CP81" i="8"/>
  <c r="CP70" i="8"/>
  <c r="CP62" i="8"/>
  <c r="CP53" i="8"/>
  <c r="CP46" i="8"/>
  <c r="CP39" i="8"/>
  <c r="CP29" i="8"/>
  <c r="CP22" i="8"/>
  <c r="CP13" i="8"/>
  <c r="CP30" i="22"/>
  <c r="CP93" i="22"/>
  <c r="CP41" i="22"/>
  <c r="CP106" i="22"/>
  <c r="CP68" i="22"/>
  <c r="CP53" i="22"/>
  <c r="CP69" i="22"/>
  <c r="CP88" i="8"/>
  <c r="CP77" i="8"/>
  <c r="CP71" i="8"/>
  <c r="CP63" i="8"/>
  <c r="CP56" i="8"/>
  <c r="CP47" i="8"/>
  <c r="CP34" i="8"/>
  <c r="CP30" i="8"/>
  <c r="CP23" i="8"/>
  <c r="CP14" i="8"/>
  <c r="CP37" i="22"/>
  <c r="CP102" i="22"/>
  <c r="CP44" i="22"/>
  <c r="CP72" i="22"/>
  <c r="CP60" i="22"/>
  <c r="CP13" i="22"/>
  <c r="CP76" i="22"/>
  <c r="CP94" i="8"/>
  <c r="CP84" i="8"/>
  <c r="CP78" i="8"/>
  <c r="CP68" i="8"/>
  <c r="CP61" i="8"/>
  <c r="CP51" i="8"/>
  <c r="CP45" i="8"/>
  <c r="CP38" i="8"/>
  <c r="CP28" i="8"/>
  <c r="CP18" i="8"/>
  <c r="CP15" i="8"/>
  <c r="CP47" i="22"/>
  <c r="CP54" i="22"/>
  <c r="CP18" i="22"/>
  <c r="CP80" i="22"/>
  <c r="CP67" i="22"/>
  <c r="CP20" i="22"/>
  <c r="CP83" i="22"/>
  <c r="CP92" i="8"/>
  <c r="CP85" i="8"/>
  <c r="CP74" i="8"/>
  <c r="CP69" i="8"/>
  <c r="CP60" i="8"/>
  <c r="CP54" i="8"/>
  <c r="CP44" i="8"/>
  <c r="CP37" i="8"/>
  <c r="CP31" i="8"/>
  <c r="CP21" i="8"/>
  <c r="CP12" i="8"/>
  <c r="CP55" i="22"/>
  <c r="CP61" i="22"/>
  <c r="CP24" i="22"/>
  <c r="CP89" i="22"/>
  <c r="H14" i="21"/>
  <c r="H16" i="21" s="1"/>
  <c r="CP14" i="22"/>
  <c r="CP82" i="22"/>
  <c r="CP27" i="22"/>
  <c r="CP92" i="22"/>
  <c r="CP112" i="8"/>
  <c r="CP122" i="8"/>
  <c r="CP124" i="8"/>
  <c r="CP108" i="8"/>
  <c r="CP109" i="8"/>
  <c r="CP113" i="8"/>
  <c r="CP117" i="8"/>
  <c r="CP120" i="8"/>
  <c r="CP123" i="8"/>
  <c r="CP118" i="8"/>
  <c r="CP110" i="8"/>
  <c r="CP111" i="8"/>
  <c r="CP114" i="8"/>
  <c r="CP107" i="8"/>
  <c r="CP116" i="8"/>
  <c r="CP115" i="8"/>
  <c r="CP121" i="8"/>
  <c r="CP119" i="8"/>
  <c r="CP100" i="8"/>
  <c r="CP91" i="8"/>
  <c r="CP82" i="8"/>
  <c r="CP76" i="8"/>
  <c r="CP67" i="8"/>
  <c r="CP58" i="8"/>
  <c r="CP50" i="8"/>
  <c r="CP42" i="8"/>
  <c r="CP36" i="8"/>
  <c r="CP27" i="8"/>
  <c r="CP20" i="8"/>
  <c r="CP62" i="22"/>
  <c r="CP70" i="22"/>
  <c r="CP32" i="22"/>
  <c r="CP94" i="22"/>
  <c r="CP38" i="22"/>
  <c r="CP101" i="22"/>
  <c r="CP90" i="8"/>
  <c r="CP83" i="8"/>
  <c r="CP73" i="8"/>
  <c r="CP66" i="8"/>
  <c r="CP59" i="8"/>
  <c r="CP49" i="8"/>
  <c r="CP43" i="8"/>
  <c r="CP35" i="8"/>
  <c r="CP26" i="8"/>
  <c r="CP17" i="8"/>
  <c r="CP75" i="22"/>
  <c r="CP16" i="22"/>
  <c r="CP78" i="22"/>
  <c r="CP40" i="22"/>
  <c r="CP103" i="22"/>
  <c r="H14" i="8" l="1"/>
  <c r="K22" i="19"/>
  <c r="K24" i="19" s="1"/>
  <c r="H32" i="19"/>
  <c r="H34" i="19" s="1"/>
  <c r="H35" i="19" s="1"/>
  <c r="K32" i="19"/>
  <c r="K34" i="19" s="1"/>
  <c r="K35" i="19" s="1"/>
  <c r="H22" i="19"/>
  <c r="H24" i="19" s="1"/>
  <c r="H14" i="22"/>
  <c r="H32" i="21"/>
  <c r="H34" i="21" s="1"/>
  <c r="H35" i="21" s="1"/>
  <c r="K22" i="21"/>
  <c r="K24" i="21" s="1"/>
  <c r="K32" i="21"/>
  <c r="K34" i="21" s="1"/>
  <c r="K35" i="21" s="1"/>
  <c r="H22" i="21"/>
  <c r="H24" i="21" s="1"/>
  <c r="L22" i="21"/>
  <c r="L24" i="21" s="1"/>
  <c r="Q6" i="7" l="1"/>
  <c r="Q8" i="7"/>
  <c r="Q9" i="7" s="1"/>
  <c r="CO47" i="19"/>
  <c r="CR47" i="19" s="1"/>
  <c r="CO110" i="19"/>
  <c r="CR110" i="19" s="1"/>
  <c r="CO123" i="19"/>
  <c r="CR123" i="19" s="1"/>
  <c r="CW123" i="19" s="1"/>
  <c r="CO21" i="19"/>
  <c r="CR21" i="19" s="1"/>
  <c r="CO39" i="19"/>
  <c r="CR39" i="19" s="1"/>
  <c r="CO57" i="19"/>
  <c r="CR57" i="19" s="1"/>
  <c r="CO63" i="19"/>
  <c r="CR63" i="19" s="1"/>
  <c r="CO87" i="19"/>
  <c r="CR87" i="19" s="1"/>
  <c r="CO74" i="19"/>
  <c r="CR74" i="19" s="1"/>
  <c r="CO99" i="19"/>
  <c r="CR99" i="19" s="1"/>
  <c r="CO48" i="19"/>
  <c r="CR48" i="19" s="1"/>
  <c r="CO97" i="19"/>
  <c r="CR97" i="19" s="1"/>
  <c r="CO71" i="19"/>
  <c r="CR71" i="19" s="1"/>
  <c r="CO13" i="19"/>
  <c r="CR13" i="19" s="1"/>
  <c r="CO111" i="19"/>
  <c r="CR111" i="19" s="1"/>
  <c r="CO45" i="19"/>
  <c r="CR45" i="19" s="1"/>
  <c r="CO42" i="19"/>
  <c r="CR42" i="19" s="1"/>
  <c r="CO117" i="19"/>
  <c r="CR117" i="19" s="1"/>
  <c r="CW117" i="19" s="1"/>
  <c r="CO58" i="19"/>
  <c r="CR58" i="19" s="1"/>
  <c r="CO79" i="19"/>
  <c r="CR79" i="19" s="1"/>
  <c r="CO35" i="19"/>
  <c r="CR35" i="19" s="1"/>
  <c r="CO116" i="19"/>
  <c r="CR116" i="19" s="1"/>
  <c r="CW116" i="19" s="1"/>
  <c r="CO113" i="19"/>
  <c r="CR113" i="19" s="1"/>
  <c r="CW113" i="19" s="1"/>
  <c r="CO51" i="19"/>
  <c r="CR51" i="19" s="1"/>
  <c r="CO43" i="19"/>
  <c r="CR43" i="19" s="1"/>
  <c r="CO40" i="19"/>
  <c r="CR40" i="19" s="1"/>
  <c r="CO52" i="19"/>
  <c r="CR52" i="19" s="1"/>
  <c r="CO81" i="19"/>
  <c r="CR81" i="19" s="1"/>
  <c r="CO118" i="19"/>
  <c r="CR118" i="19" s="1"/>
  <c r="CW118" i="19" s="1"/>
  <c r="CO59" i="19"/>
  <c r="CR59" i="19" s="1"/>
  <c r="CO96" i="19"/>
  <c r="CR96" i="19" s="1"/>
  <c r="CO94" i="19"/>
  <c r="CR94" i="19" s="1"/>
  <c r="CO121" i="19"/>
  <c r="CR121" i="19" s="1"/>
  <c r="CW121" i="19" s="1"/>
  <c r="CO100" i="19"/>
  <c r="CR100" i="19" s="1"/>
  <c r="CO91" i="19"/>
  <c r="CR91" i="19" s="1"/>
  <c r="CO30" i="19"/>
  <c r="CR30" i="19" s="1"/>
  <c r="CO17" i="19"/>
  <c r="CR17" i="19" s="1"/>
  <c r="CO80" i="19"/>
  <c r="CR80" i="19" s="1"/>
  <c r="CO112" i="19"/>
  <c r="CR112" i="19" s="1"/>
  <c r="CO27" i="19"/>
  <c r="CR27" i="19" s="1"/>
  <c r="CO73" i="19"/>
  <c r="CR73" i="19" s="1"/>
  <c r="CO49" i="19"/>
  <c r="CR49" i="19" s="1"/>
  <c r="CO83" i="19"/>
  <c r="CR83" i="19" s="1"/>
  <c r="CO93" i="19"/>
  <c r="CR93" i="19" s="1"/>
  <c r="CO101" i="19"/>
  <c r="CR101" i="19" s="1"/>
  <c r="CO54" i="19"/>
  <c r="CR54" i="19" s="1"/>
  <c r="CO95" i="19"/>
  <c r="CR95" i="19" s="1"/>
  <c r="CO69" i="19"/>
  <c r="CR69" i="19" s="1"/>
  <c r="CO33" i="19"/>
  <c r="CR33" i="19" s="1"/>
  <c r="CO86" i="19"/>
  <c r="CR86" i="19" s="1"/>
  <c r="CO20" i="19"/>
  <c r="CR20" i="19" s="1"/>
  <c r="CO77" i="19"/>
  <c r="CR77" i="19" s="1"/>
  <c r="CO122" i="19"/>
  <c r="CR122" i="19" s="1"/>
  <c r="CW122" i="19" s="1"/>
  <c r="CO29" i="19"/>
  <c r="CR29" i="19" s="1"/>
  <c r="CO22" i="19"/>
  <c r="CR22" i="19" s="1"/>
  <c r="CO28" i="19"/>
  <c r="CR28" i="19" s="1"/>
  <c r="CO65" i="19"/>
  <c r="CR65" i="19" s="1"/>
  <c r="CO41" i="19"/>
  <c r="CR41" i="19" s="1"/>
  <c r="CO109" i="19"/>
  <c r="CR109" i="19" s="1"/>
  <c r="CO75" i="19"/>
  <c r="CR75" i="19" s="1"/>
  <c r="CO84" i="19"/>
  <c r="CR84" i="19" s="1"/>
  <c r="CO103" i="19"/>
  <c r="CR103" i="19" s="1"/>
  <c r="CO107" i="19"/>
  <c r="CR107" i="19" s="1"/>
  <c r="CO104" i="19"/>
  <c r="CR104" i="19" s="1"/>
  <c r="CO85" i="19"/>
  <c r="CR85" i="19" s="1"/>
  <c r="CO124" i="19"/>
  <c r="CR124" i="19" s="1"/>
  <c r="CW124" i="19" s="1"/>
  <c r="CO44" i="19"/>
  <c r="CR44" i="19" s="1"/>
  <c r="CO108" i="19"/>
  <c r="CR108" i="19" s="1"/>
  <c r="CO55" i="19"/>
  <c r="CR55" i="19" s="1"/>
  <c r="CO50" i="19"/>
  <c r="CR50" i="19" s="1"/>
  <c r="CO92" i="19"/>
  <c r="CR92" i="19" s="1"/>
  <c r="CO25" i="19"/>
  <c r="CR25" i="19" s="1"/>
  <c r="CO70" i="19"/>
  <c r="CR70" i="19" s="1"/>
  <c r="CO98" i="19"/>
  <c r="CR98" i="19" s="1"/>
  <c r="CO90" i="19"/>
  <c r="CR90" i="19" s="1"/>
  <c r="CO23" i="19"/>
  <c r="CR23" i="19" s="1"/>
  <c r="CO19" i="19"/>
  <c r="CR19" i="19" s="1"/>
  <c r="CO12" i="19"/>
  <c r="CR12" i="19" s="1"/>
  <c r="CO66" i="19"/>
  <c r="CR66" i="19" s="1"/>
  <c r="CO46" i="19"/>
  <c r="CR46" i="19" s="1"/>
  <c r="CO120" i="19"/>
  <c r="CR120" i="19" s="1"/>
  <c r="CW120" i="19" s="1"/>
  <c r="CO76" i="19"/>
  <c r="CR76" i="19" s="1"/>
  <c r="CO64" i="19"/>
  <c r="CR64" i="19" s="1"/>
  <c r="CO36" i="19"/>
  <c r="CR36" i="19" s="1"/>
  <c r="CO60" i="19"/>
  <c r="CR60" i="19" s="1"/>
  <c r="CO106" i="19"/>
  <c r="CR106" i="19" s="1"/>
  <c r="CO16" i="19"/>
  <c r="CR16" i="19" s="1"/>
  <c r="CO115" i="19"/>
  <c r="CR115" i="19" s="1"/>
  <c r="CW115" i="19" s="1"/>
  <c r="CO62" i="19"/>
  <c r="CR62" i="19" s="1"/>
  <c r="CO26" i="19"/>
  <c r="CR26" i="19" s="1"/>
  <c r="CO68" i="19"/>
  <c r="CR68" i="19" s="1"/>
  <c r="CO18" i="19"/>
  <c r="CR18" i="19" s="1"/>
  <c r="CO114" i="19"/>
  <c r="CR114" i="19" s="1"/>
  <c r="CW114" i="19" s="1"/>
  <c r="CO89" i="19"/>
  <c r="CR89" i="19" s="1"/>
  <c r="CO102" i="19"/>
  <c r="CR102" i="19" s="1"/>
  <c r="CO67" i="19"/>
  <c r="CR67" i="19" s="1"/>
  <c r="CO32" i="19"/>
  <c r="CR32" i="19" s="1"/>
  <c r="CO105" i="19"/>
  <c r="CR105" i="19" s="1"/>
  <c r="CO38" i="19"/>
  <c r="CR38" i="19" s="1"/>
  <c r="CO72" i="19"/>
  <c r="CR72" i="19" s="1"/>
  <c r="CO119" i="19"/>
  <c r="CR119" i="19" s="1"/>
  <c r="CW119" i="19" s="1"/>
  <c r="CO31" i="19"/>
  <c r="CR31" i="19" s="1"/>
  <c r="CO24" i="19"/>
  <c r="CR24" i="19" s="1"/>
  <c r="CO61" i="19"/>
  <c r="CR61" i="19" s="1"/>
  <c r="CO78" i="19"/>
  <c r="CR78" i="19" s="1"/>
  <c r="CO82" i="19"/>
  <c r="CR82" i="19" s="1"/>
  <c r="CO88" i="19"/>
  <c r="CR88" i="19" s="1"/>
  <c r="CO15" i="19"/>
  <c r="CR15" i="19" s="1"/>
  <c r="CO53" i="19"/>
  <c r="CR53" i="19" s="1"/>
  <c r="CO14" i="19"/>
  <c r="CR14" i="19" s="1"/>
  <c r="CO37" i="19"/>
  <c r="CR37" i="19" s="1"/>
  <c r="CO56" i="19"/>
  <c r="CR56" i="19" s="1"/>
  <c r="CO34" i="19"/>
  <c r="CR34" i="19" s="1"/>
  <c r="L25" i="21"/>
  <c r="C32" i="21"/>
  <c r="D32" i="21" s="1"/>
  <c r="C28" i="21"/>
  <c r="K26" i="21" s="1"/>
  <c r="K28" i="21" s="1"/>
  <c r="K29" i="21" s="1"/>
  <c r="CX8" i="21" s="1"/>
  <c r="C28" i="19"/>
  <c r="K26" i="19" s="1"/>
  <c r="K28" i="19" s="1"/>
  <c r="K29" i="19" s="1"/>
  <c r="K25" i="19"/>
  <c r="W17" i="7" s="1"/>
  <c r="K25" i="21"/>
  <c r="CO26" i="21"/>
  <c r="CR26" i="21" s="1"/>
  <c r="CO94" i="21"/>
  <c r="CR94" i="21" s="1"/>
  <c r="CO70" i="21"/>
  <c r="CR70" i="21" s="1"/>
  <c r="CO51" i="21"/>
  <c r="CR51" i="21" s="1"/>
  <c r="CO90" i="21"/>
  <c r="CR90" i="21" s="1"/>
  <c r="CO114" i="21"/>
  <c r="CR114" i="21" s="1"/>
  <c r="CX114" i="21" s="1"/>
  <c r="CO116" i="21"/>
  <c r="CR116" i="21" s="1"/>
  <c r="CX116" i="21" s="1"/>
  <c r="CO32" i="21"/>
  <c r="CR32" i="21" s="1"/>
  <c r="CO83" i="21"/>
  <c r="CR83" i="21" s="1"/>
  <c r="CO104" i="21"/>
  <c r="CR104" i="21" s="1"/>
  <c r="CO110" i="21"/>
  <c r="CR110" i="21" s="1"/>
  <c r="CO84" i="21"/>
  <c r="CR84" i="21" s="1"/>
  <c r="CO20" i="21"/>
  <c r="CR20" i="21" s="1"/>
  <c r="CO96" i="21"/>
  <c r="CR96" i="21" s="1"/>
  <c r="CO49" i="21"/>
  <c r="CR49" i="21" s="1"/>
  <c r="CO120" i="21"/>
  <c r="CR120" i="21" s="1"/>
  <c r="CX120" i="21" s="1"/>
  <c r="CO64" i="21"/>
  <c r="CR64" i="21" s="1"/>
  <c r="CO47" i="21"/>
  <c r="CR47" i="21" s="1"/>
  <c r="CO30" i="21"/>
  <c r="CR30" i="21" s="1"/>
  <c r="CO115" i="21"/>
  <c r="CR115" i="21" s="1"/>
  <c r="CX115" i="21" s="1"/>
  <c r="CO97" i="21"/>
  <c r="CR97" i="21" s="1"/>
  <c r="CO15" i="21"/>
  <c r="CR15" i="21" s="1"/>
  <c r="CO66" i="21"/>
  <c r="CR66" i="21" s="1"/>
  <c r="CO28" i="21"/>
  <c r="CR28" i="21" s="1"/>
  <c r="CO89" i="21"/>
  <c r="CR89" i="21" s="1"/>
  <c r="CO40" i="21"/>
  <c r="CR40" i="21" s="1"/>
  <c r="CO113" i="21"/>
  <c r="CR113" i="21" s="1"/>
  <c r="CX113" i="21" s="1"/>
  <c r="CO60" i="21"/>
  <c r="CR60" i="21" s="1"/>
  <c r="CO99" i="21"/>
  <c r="CR99" i="21" s="1"/>
  <c r="CO65" i="21"/>
  <c r="CR65" i="21" s="1"/>
  <c r="CO121" i="21"/>
  <c r="CR121" i="21" s="1"/>
  <c r="CX121" i="21" s="1"/>
  <c r="CO12" i="21"/>
  <c r="CR12" i="21" s="1"/>
  <c r="CO54" i="21"/>
  <c r="CR54" i="21" s="1"/>
  <c r="CO17" i="21"/>
  <c r="CR17" i="21" s="1"/>
  <c r="CO24" i="21"/>
  <c r="CR24" i="21" s="1"/>
  <c r="CO42" i="21"/>
  <c r="CR42" i="21" s="1"/>
  <c r="CO75" i="21"/>
  <c r="CR75" i="21" s="1"/>
  <c r="CO21" i="21"/>
  <c r="CR21" i="21" s="1"/>
  <c r="CO117" i="21"/>
  <c r="CR117" i="21" s="1"/>
  <c r="CX117" i="21" s="1"/>
  <c r="CO38" i="21"/>
  <c r="CR38" i="21" s="1"/>
  <c r="CO105" i="21"/>
  <c r="CR105" i="21" s="1"/>
  <c r="CO35" i="21"/>
  <c r="CR35" i="21" s="1"/>
  <c r="CO72" i="21"/>
  <c r="CR72" i="21" s="1"/>
  <c r="CO27" i="21"/>
  <c r="CR27" i="21" s="1"/>
  <c r="CO13" i="21"/>
  <c r="CR13" i="21" s="1"/>
  <c r="CO79" i="21"/>
  <c r="CR79" i="21" s="1"/>
  <c r="CO80" i="21"/>
  <c r="CR80" i="21" s="1"/>
  <c r="CO119" i="21"/>
  <c r="CR119" i="21" s="1"/>
  <c r="CX119" i="21" s="1"/>
  <c r="CO50" i="21"/>
  <c r="CR50" i="21" s="1"/>
  <c r="CO108" i="21"/>
  <c r="CR108" i="21" s="1"/>
  <c r="CO48" i="21"/>
  <c r="CR48" i="21" s="1"/>
  <c r="CO19" i="21"/>
  <c r="CR19" i="21" s="1"/>
  <c r="CO103" i="21"/>
  <c r="CR103" i="21" s="1"/>
  <c r="CO58" i="21"/>
  <c r="CR58" i="21" s="1"/>
  <c r="CO33" i="21"/>
  <c r="CR33" i="21" s="1"/>
  <c r="CO112" i="21"/>
  <c r="CR112" i="21" s="1"/>
  <c r="CO63" i="21"/>
  <c r="CR63" i="21" s="1"/>
  <c r="CO77" i="21"/>
  <c r="CR77" i="21" s="1"/>
  <c r="CO124" i="21"/>
  <c r="CR124" i="21" s="1"/>
  <c r="CX124" i="21" s="1"/>
  <c r="CO61" i="21"/>
  <c r="CR61" i="21" s="1"/>
  <c r="CO82" i="21"/>
  <c r="CR82" i="21" s="1"/>
  <c r="CO37" i="21"/>
  <c r="CR37" i="21" s="1"/>
  <c r="CO85" i="21"/>
  <c r="CR85" i="21" s="1"/>
  <c r="CO52" i="21"/>
  <c r="CR52" i="21" s="1"/>
  <c r="CO29" i="21"/>
  <c r="CR29" i="21" s="1"/>
  <c r="CO118" i="21"/>
  <c r="CR118" i="21" s="1"/>
  <c r="CX118" i="21" s="1"/>
  <c r="CO45" i="21"/>
  <c r="CR45" i="21" s="1"/>
  <c r="CO122" i="21"/>
  <c r="CR122" i="21" s="1"/>
  <c r="CX122" i="21" s="1"/>
  <c r="CO69" i="21"/>
  <c r="CR69" i="21" s="1"/>
  <c r="CO109" i="21"/>
  <c r="CR109" i="21" s="1"/>
  <c r="CO34" i="21"/>
  <c r="CR34" i="21" s="1"/>
  <c r="CO53" i="21"/>
  <c r="CR53" i="21" s="1"/>
  <c r="CO111" i="21"/>
  <c r="CR111" i="21" s="1"/>
  <c r="CO31" i="21"/>
  <c r="CR31" i="21" s="1"/>
  <c r="CO100" i="21"/>
  <c r="CR100" i="21" s="1"/>
  <c r="CO14" i="21"/>
  <c r="CR14" i="21" s="1"/>
  <c r="CO36" i="21"/>
  <c r="CR36" i="21" s="1"/>
  <c r="CO44" i="21"/>
  <c r="CR44" i="21" s="1"/>
  <c r="CO18" i="21"/>
  <c r="CR18" i="21" s="1"/>
  <c r="CO73" i="21"/>
  <c r="CR73" i="21" s="1"/>
  <c r="CO43" i="21"/>
  <c r="CR43" i="21" s="1"/>
  <c r="CO93" i="21"/>
  <c r="CR93" i="21" s="1"/>
  <c r="CO91" i="21"/>
  <c r="CR91" i="21" s="1"/>
  <c r="CO56" i="21"/>
  <c r="CR56" i="21" s="1"/>
  <c r="CO87" i="21"/>
  <c r="CR87" i="21" s="1"/>
  <c r="CO67" i="21"/>
  <c r="CR67" i="21" s="1"/>
  <c r="CO78" i="21"/>
  <c r="CR78" i="21" s="1"/>
  <c r="CO102" i="21"/>
  <c r="CR102" i="21" s="1"/>
  <c r="CO59" i="21"/>
  <c r="CR59" i="21" s="1"/>
  <c r="CO88" i="21"/>
  <c r="CR88" i="21" s="1"/>
  <c r="CO62" i="21"/>
  <c r="CR62" i="21" s="1"/>
  <c r="CO123" i="21"/>
  <c r="CR123" i="21" s="1"/>
  <c r="CX123" i="21" s="1"/>
  <c r="CO76" i="21"/>
  <c r="CR76" i="21" s="1"/>
  <c r="CO71" i="21"/>
  <c r="CR71" i="21" s="1"/>
  <c r="CO22" i="21"/>
  <c r="CR22" i="21" s="1"/>
  <c r="CO81" i="21"/>
  <c r="CR81" i="21" s="1"/>
  <c r="CO55" i="21"/>
  <c r="CR55" i="21" s="1"/>
  <c r="CO74" i="21"/>
  <c r="CR74" i="21" s="1"/>
  <c r="CO86" i="21"/>
  <c r="CR86" i="21" s="1"/>
  <c r="CO95" i="21"/>
  <c r="CR95" i="21" s="1"/>
  <c r="CO46" i="21"/>
  <c r="CR46" i="21" s="1"/>
  <c r="CO107" i="21"/>
  <c r="CR107" i="21" s="1"/>
  <c r="CO57" i="21"/>
  <c r="CR57" i="21" s="1"/>
  <c r="CO41" i="21"/>
  <c r="CR41" i="21" s="1"/>
  <c r="CO39" i="21"/>
  <c r="CR39" i="21" s="1"/>
  <c r="CO98" i="21"/>
  <c r="CR98" i="21" s="1"/>
  <c r="CO106" i="21"/>
  <c r="CR106" i="21" s="1"/>
  <c r="CO68" i="21"/>
  <c r="CR68" i="21" s="1"/>
  <c r="CO16" i="21"/>
  <c r="CR16" i="21" s="1"/>
  <c r="CO101" i="21"/>
  <c r="CR101" i="21" s="1"/>
  <c r="CO25" i="21"/>
  <c r="CR25" i="21" s="1"/>
  <c r="CO92" i="21"/>
  <c r="CR92" i="21" s="1"/>
  <c r="CO23" i="21"/>
  <c r="CR23" i="21" s="1"/>
  <c r="H25" i="21"/>
  <c r="I46" i="21"/>
  <c r="C36" i="19"/>
  <c r="D36" i="19" s="1"/>
  <c r="H25" i="19"/>
  <c r="W18" i="7" s="1"/>
  <c r="I46" i="19"/>
  <c r="H26" i="19" l="1"/>
  <c r="H28" i="19" s="1"/>
  <c r="H29" i="19" s="1"/>
  <c r="CX112" i="21"/>
  <c r="CW112" i="19"/>
  <c r="CW111" i="19"/>
  <c r="CX111" i="21"/>
  <c r="CX109" i="21"/>
  <c r="CW108" i="19"/>
  <c r="CW109" i="19"/>
  <c r="CX110" i="21"/>
  <c r="CW110" i="19"/>
  <c r="CX108" i="21"/>
  <c r="H26" i="21"/>
  <c r="H28" i="21" s="1"/>
  <c r="H29" i="21" s="1"/>
  <c r="I48" i="19"/>
  <c r="I47" i="19" s="1"/>
  <c r="CX68" i="21"/>
  <c r="CX95" i="21"/>
  <c r="CX56" i="21"/>
  <c r="CX14" i="21"/>
  <c r="CX61" i="21"/>
  <c r="CX19" i="21"/>
  <c r="CX27" i="21"/>
  <c r="CX42" i="21"/>
  <c r="CX60" i="21"/>
  <c r="CX84" i="21"/>
  <c r="CX51" i="21"/>
  <c r="CW56" i="19"/>
  <c r="CW61" i="19"/>
  <c r="CW67" i="19"/>
  <c r="CW46" i="19"/>
  <c r="CW25" i="19"/>
  <c r="CW104" i="19"/>
  <c r="CW28" i="19"/>
  <c r="CW69" i="19"/>
  <c r="CW27" i="19"/>
  <c r="CW94" i="19"/>
  <c r="CW51" i="19"/>
  <c r="CW45" i="19"/>
  <c r="CW87" i="19"/>
  <c r="I48" i="21"/>
  <c r="CX106" i="21"/>
  <c r="CX86" i="21"/>
  <c r="CX62" i="21"/>
  <c r="CX91" i="21"/>
  <c r="CX100" i="21"/>
  <c r="CX45" i="21"/>
  <c r="CX48" i="21"/>
  <c r="CX72" i="21"/>
  <c r="CX24" i="21"/>
  <c r="CX30" i="21"/>
  <c r="CX70" i="21"/>
  <c r="CW37" i="19"/>
  <c r="CW24" i="19"/>
  <c r="CW102" i="19"/>
  <c r="CW16" i="19"/>
  <c r="CW66" i="19"/>
  <c r="CW92" i="19"/>
  <c r="W27" i="7"/>
  <c r="AB27" i="7" s="1"/>
  <c r="CW107" i="19"/>
  <c r="W22" i="7"/>
  <c r="AB22" i="7" s="1"/>
  <c r="CW22" i="19"/>
  <c r="CW95" i="19"/>
  <c r="CW96" i="19"/>
  <c r="CW63" i="19"/>
  <c r="CX98" i="21"/>
  <c r="CX88" i="21"/>
  <c r="CX93" i="21"/>
  <c r="CX31" i="21"/>
  <c r="CX77" i="21"/>
  <c r="CX35" i="21"/>
  <c r="CX17" i="21"/>
  <c r="CX40" i="21"/>
  <c r="CX47" i="21"/>
  <c r="CX104" i="21"/>
  <c r="CX94" i="21"/>
  <c r="CW14" i="19"/>
  <c r="CW31" i="19"/>
  <c r="CW89" i="19"/>
  <c r="CW106" i="19"/>
  <c r="CW12" i="19"/>
  <c r="CW50" i="19"/>
  <c r="CW103" i="19"/>
  <c r="CW29" i="19"/>
  <c r="CW54" i="19"/>
  <c r="CW80" i="19"/>
  <c r="CW59" i="19"/>
  <c r="W19" i="7"/>
  <c r="AB19" i="7" s="1"/>
  <c r="CW13" i="19"/>
  <c r="CW57" i="19"/>
  <c r="CX74" i="21"/>
  <c r="CX23" i="21"/>
  <c r="CX55" i="21"/>
  <c r="CX59" i="21"/>
  <c r="CX43" i="21"/>
  <c r="CX29" i="21"/>
  <c r="CX63" i="21"/>
  <c r="CX50" i="21"/>
  <c r="CX105" i="21"/>
  <c r="CX54" i="21"/>
  <c r="CX89" i="21"/>
  <c r="CX64" i="21"/>
  <c r="CX83" i="21"/>
  <c r="CX26" i="21"/>
  <c r="CW53" i="19"/>
  <c r="CW60" i="19"/>
  <c r="CW19" i="19"/>
  <c r="CW55" i="19"/>
  <c r="CW84" i="19"/>
  <c r="CW101" i="19"/>
  <c r="W21" i="7"/>
  <c r="AB21" i="7" s="1"/>
  <c r="CW17" i="19"/>
  <c r="CW35" i="19"/>
  <c r="CW71" i="19"/>
  <c r="CW39" i="19"/>
  <c r="CX39" i="21"/>
  <c r="CX92" i="21"/>
  <c r="CX41" i="21"/>
  <c r="CX81" i="21"/>
  <c r="CX102" i="21"/>
  <c r="CX73" i="21"/>
  <c r="CX53" i="21"/>
  <c r="CX52" i="21"/>
  <c r="CX38" i="21"/>
  <c r="CX12" i="21"/>
  <c r="CX28" i="21"/>
  <c r="CX32" i="21"/>
  <c r="CW84" i="21"/>
  <c r="CW27" i="21"/>
  <c r="CW13" i="21"/>
  <c r="CW61" i="21"/>
  <c r="CW105" i="21"/>
  <c r="CW59" i="21"/>
  <c r="CW115" i="21"/>
  <c r="CZ115" i="21" s="1"/>
  <c r="CK115" i="22" s="1"/>
  <c r="CW109" i="21"/>
  <c r="CW100" i="21"/>
  <c r="CW37" i="21"/>
  <c r="CW113" i="21"/>
  <c r="CZ113" i="21" s="1"/>
  <c r="CK113" i="22" s="1"/>
  <c r="CW51" i="21"/>
  <c r="CW92" i="21"/>
  <c r="CW43" i="21"/>
  <c r="CW33" i="21"/>
  <c r="CW62" i="21"/>
  <c r="CW103" i="21"/>
  <c r="CW20" i="21"/>
  <c r="CW46" i="21"/>
  <c r="CW110" i="21"/>
  <c r="CW22" i="21"/>
  <c r="CW55" i="21"/>
  <c r="CW106" i="21"/>
  <c r="CW85" i="21"/>
  <c r="CW98" i="21"/>
  <c r="CW122" i="21"/>
  <c r="CZ122" i="21" s="1"/>
  <c r="CK122" i="22" s="1"/>
  <c r="CW24" i="21"/>
  <c r="CW41" i="21"/>
  <c r="CW95" i="21"/>
  <c r="CW99" i="21"/>
  <c r="CW44" i="21"/>
  <c r="CW35" i="21"/>
  <c r="CW83" i="21"/>
  <c r="CW101" i="21"/>
  <c r="CW121" i="21"/>
  <c r="CZ121" i="21" s="1"/>
  <c r="CK121" i="22" s="1"/>
  <c r="CW53" i="21"/>
  <c r="CW64" i="21"/>
  <c r="CW114" i="21"/>
  <c r="CZ114" i="21" s="1"/>
  <c r="CK114" i="22" s="1"/>
  <c r="CW74" i="21"/>
  <c r="CW79" i="21"/>
  <c r="CW111" i="21"/>
  <c r="CW15" i="21"/>
  <c r="CW23" i="21"/>
  <c r="CW119" i="21"/>
  <c r="CZ119" i="21" s="1"/>
  <c r="CK119" i="22" s="1"/>
  <c r="CW28" i="21"/>
  <c r="CW14" i="21"/>
  <c r="CW26" i="21"/>
  <c r="CW40" i="21"/>
  <c r="CW116" i="21"/>
  <c r="CZ116" i="21" s="1"/>
  <c r="CK116" i="22" s="1"/>
  <c r="CW17" i="21"/>
  <c r="CW31" i="21"/>
  <c r="CW89" i="21"/>
  <c r="CW112" i="21"/>
  <c r="CW45" i="21"/>
  <c r="CW94" i="21"/>
  <c r="CW58" i="21"/>
  <c r="CW97" i="21"/>
  <c r="CW107" i="21"/>
  <c r="CW68" i="21"/>
  <c r="CW91" i="21"/>
  <c r="CW86" i="21"/>
  <c r="CW81" i="21"/>
  <c r="CW87" i="21"/>
  <c r="CW93" i="21"/>
  <c r="CW75" i="21"/>
  <c r="CW71" i="21"/>
  <c r="CW66" i="21"/>
  <c r="CW72" i="21"/>
  <c r="CW73" i="21"/>
  <c r="CW63" i="21"/>
  <c r="CW65" i="21"/>
  <c r="CW50" i="21"/>
  <c r="CW25" i="21"/>
  <c r="CW82" i="21"/>
  <c r="CW30" i="21"/>
  <c r="CW80" i="21"/>
  <c r="CW36" i="21"/>
  <c r="CW77" i="21"/>
  <c r="CW29" i="21"/>
  <c r="CW57" i="21"/>
  <c r="CW39" i="21"/>
  <c r="CW54" i="21"/>
  <c r="CW19" i="21"/>
  <c r="CW52" i="21"/>
  <c r="CW102" i="21"/>
  <c r="CW12" i="21"/>
  <c r="CW76" i="21"/>
  <c r="CW49" i="21"/>
  <c r="CW18" i="21"/>
  <c r="CW67" i="21"/>
  <c r="CW96" i="21"/>
  <c r="CW104" i="21"/>
  <c r="CW56" i="21"/>
  <c r="CW21" i="21"/>
  <c r="CW16" i="21"/>
  <c r="CW78" i="21"/>
  <c r="CW42" i="21"/>
  <c r="CW69" i="21"/>
  <c r="CW108" i="21"/>
  <c r="CW118" i="21"/>
  <c r="CZ118" i="21" s="1"/>
  <c r="CK118" i="22" s="1"/>
  <c r="CW88" i="21"/>
  <c r="CW60" i="21"/>
  <c r="CW123" i="21"/>
  <c r="CZ123" i="21" s="1"/>
  <c r="CK123" i="22" s="1"/>
  <c r="CW32" i="21"/>
  <c r="CW47" i="21"/>
  <c r="CW120" i="21"/>
  <c r="CZ120" i="21" s="1"/>
  <c r="CK120" i="22" s="1"/>
  <c r="CW48" i="21"/>
  <c r="CW124" i="21"/>
  <c r="CZ124" i="21" s="1"/>
  <c r="CK124" i="22" s="1"/>
  <c r="CL124" i="22" s="1"/>
  <c r="CM124" i="22" s="1"/>
  <c r="CW70" i="21"/>
  <c r="CW117" i="21"/>
  <c r="CZ117" i="21" s="1"/>
  <c r="CK117" i="22" s="1"/>
  <c r="CW38" i="21"/>
  <c r="CW90" i="21"/>
  <c r="CW34" i="21"/>
  <c r="W20" i="7"/>
  <c r="AB20" i="7" s="1"/>
  <c r="CW15" i="19"/>
  <c r="CW72" i="19"/>
  <c r="CW18" i="19"/>
  <c r="CW36" i="19"/>
  <c r="CW23" i="19"/>
  <c r="CW75" i="19"/>
  <c r="CW77" i="19"/>
  <c r="CW93" i="19"/>
  <c r="CW30" i="19"/>
  <c r="CW81" i="19"/>
  <c r="CW79" i="19"/>
  <c r="CW97" i="19"/>
  <c r="CW21" i="19"/>
  <c r="CX25" i="21"/>
  <c r="CX57" i="21"/>
  <c r="CX22" i="21"/>
  <c r="CX78" i="21"/>
  <c r="CX18" i="21"/>
  <c r="CX34" i="21"/>
  <c r="CX85" i="21"/>
  <c r="CX33" i="21"/>
  <c r="CX80" i="21"/>
  <c r="CX66" i="21"/>
  <c r="CX49" i="21"/>
  <c r="CW88" i="19"/>
  <c r="CW38" i="19"/>
  <c r="CW68" i="19"/>
  <c r="CW64" i="19"/>
  <c r="CW90" i="19"/>
  <c r="CW44" i="19"/>
  <c r="CW20" i="19"/>
  <c r="CW83" i="19"/>
  <c r="CW91" i="19"/>
  <c r="CW52" i="19"/>
  <c r="CW58" i="19"/>
  <c r="CW48" i="19"/>
  <c r="CX101" i="21"/>
  <c r="CX107" i="21"/>
  <c r="CX71" i="21"/>
  <c r="CX67" i="21"/>
  <c r="CX44" i="21"/>
  <c r="CX37" i="21"/>
  <c r="CX58" i="21"/>
  <c r="CX79" i="21"/>
  <c r="CX21" i="21"/>
  <c r="CX65" i="21"/>
  <c r="CX15" i="21"/>
  <c r="CX96" i="21"/>
  <c r="W26" i="7"/>
  <c r="AB26" i="7" s="1"/>
  <c r="CW82" i="19"/>
  <c r="CW105" i="19"/>
  <c r="CW26" i="19"/>
  <c r="CW76" i="19"/>
  <c r="CW98" i="19"/>
  <c r="CW41" i="19"/>
  <c r="CW86" i="19"/>
  <c r="CW49" i="19"/>
  <c r="CW100" i="19"/>
  <c r="CW40" i="19"/>
  <c r="CW99" i="19"/>
  <c r="CX16" i="21"/>
  <c r="CX46" i="21"/>
  <c r="CX76" i="21"/>
  <c r="CX87" i="21"/>
  <c r="CX36" i="21"/>
  <c r="CX69" i="21"/>
  <c r="CX82" i="21"/>
  <c r="CX103" i="21"/>
  <c r="CX13" i="21"/>
  <c r="CX75" i="21"/>
  <c r="CX99" i="21"/>
  <c r="CX97" i="21"/>
  <c r="CX20" i="21"/>
  <c r="CX90" i="21"/>
  <c r="CW34" i="19"/>
  <c r="CW78" i="19"/>
  <c r="W23" i="7"/>
  <c r="AB23" i="7" s="1"/>
  <c r="CW32" i="19"/>
  <c r="W25" i="7"/>
  <c r="AB25" i="7" s="1"/>
  <c r="CW62" i="19"/>
  <c r="CW70" i="19"/>
  <c r="CW85" i="19"/>
  <c r="CW65" i="19"/>
  <c r="CW33" i="19"/>
  <c r="CW73" i="19"/>
  <c r="CW43" i="19"/>
  <c r="CW42" i="19"/>
  <c r="W24" i="7"/>
  <c r="AB24" i="7" s="1"/>
  <c r="CW74" i="19"/>
  <c r="CW47" i="19"/>
  <c r="C31" i="19" l="1"/>
  <c r="CP42" i="19" s="1"/>
  <c r="CL118" i="22"/>
  <c r="CM118" i="22" s="1"/>
  <c r="C31" i="21"/>
  <c r="CP93" i="21" s="1"/>
  <c r="CY93" i="21" s="1"/>
  <c r="CZ93" i="21" s="1"/>
  <c r="CK93" i="22" s="1"/>
  <c r="CL120" i="22"/>
  <c r="CM120" i="22" s="1"/>
  <c r="CL122" i="22"/>
  <c r="CM122" i="22" s="1"/>
  <c r="CL116" i="22"/>
  <c r="CM116" i="22" s="1"/>
  <c r="CL123" i="22"/>
  <c r="CM123" i="22" s="1"/>
  <c r="CN123" i="22" s="1"/>
  <c r="CL117" i="22"/>
  <c r="CM117" i="22" s="1"/>
  <c r="CN125" i="22"/>
  <c r="CN124" i="22"/>
  <c r="CL119" i="22"/>
  <c r="CM119" i="22" s="1"/>
  <c r="CL121" i="22"/>
  <c r="CM121" i="22" s="1"/>
  <c r="CL113" i="22"/>
  <c r="CM113" i="22" s="1"/>
  <c r="I45" i="21"/>
  <c r="J48" i="21" s="1"/>
  <c r="CS109" i="21"/>
  <c r="CS101" i="21"/>
  <c r="CS119" i="21"/>
  <c r="CS23" i="21"/>
  <c r="CS98" i="21"/>
  <c r="CS76" i="21"/>
  <c r="CS66" i="21"/>
  <c r="CS72" i="21"/>
  <c r="CS28" i="21"/>
  <c r="CS107" i="21"/>
  <c r="CS77" i="21"/>
  <c r="CS78" i="21"/>
  <c r="CS13" i="21"/>
  <c r="CS67" i="21"/>
  <c r="CS51" i="21"/>
  <c r="CS75" i="21"/>
  <c r="CS38" i="21"/>
  <c r="CS16" i="21"/>
  <c r="CS83" i="21"/>
  <c r="CS41" i="21"/>
  <c r="CS117" i="21"/>
  <c r="CS106" i="21"/>
  <c r="CS21" i="21"/>
  <c r="CS33" i="21"/>
  <c r="CS110" i="21"/>
  <c r="CS15" i="21"/>
  <c r="CS121" i="21"/>
  <c r="CS86" i="21"/>
  <c r="I50" i="21"/>
  <c r="CS120" i="21"/>
  <c r="CS34" i="21"/>
  <c r="CS92" i="21"/>
  <c r="CS115" i="21"/>
  <c r="CS97" i="21"/>
  <c r="CS91" i="21"/>
  <c r="CS85" i="21"/>
  <c r="CS52" i="21"/>
  <c r="CS63" i="21"/>
  <c r="CS42" i="21"/>
  <c r="CS36" i="21"/>
  <c r="CS100" i="21"/>
  <c r="CS59" i="21"/>
  <c r="CS64" i="21"/>
  <c r="CS116" i="21"/>
  <c r="CS99" i="21"/>
  <c r="CS32" i="21"/>
  <c r="CS108" i="21"/>
  <c r="CS53" i="21"/>
  <c r="CS88" i="21"/>
  <c r="CS89" i="21"/>
  <c r="CS48" i="21"/>
  <c r="CS22" i="21"/>
  <c r="CS102" i="21"/>
  <c r="CS14" i="21"/>
  <c r="CS82" i="21"/>
  <c r="CS70" i="21"/>
  <c r="CS65" i="21"/>
  <c r="CS84" i="21"/>
  <c r="CS79" i="21"/>
  <c r="CS54" i="21"/>
  <c r="CS61" i="21"/>
  <c r="CS47" i="21"/>
  <c r="CS50" i="21"/>
  <c r="CS37" i="21"/>
  <c r="CS105" i="21"/>
  <c r="CS123" i="21"/>
  <c r="CS96" i="21"/>
  <c r="CS58" i="21"/>
  <c r="CS62" i="21"/>
  <c r="CS112" i="21"/>
  <c r="CS30" i="21"/>
  <c r="CS122" i="21"/>
  <c r="CS114" i="21"/>
  <c r="CS113" i="21"/>
  <c r="CS49" i="21"/>
  <c r="CS80" i="21"/>
  <c r="CS31" i="21"/>
  <c r="CS18" i="21"/>
  <c r="CS124" i="21"/>
  <c r="CS56" i="21"/>
  <c r="CS94" i="21"/>
  <c r="CS27" i="21"/>
  <c r="CS20" i="21"/>
  <c r="CS69" i="21"/>
  <c r="CS46" i="21"/>
  <c r="CS90" i="21"/>
  <c r="CS43" i="21"/>
  <c r="CS44" i="21"/>
  <c r="CS68" i="21"/>
  <c r="CS74" i="21"/>
  <c r="CS60" i="21"/>
  <c r="CS111" i="21"/>
  <c r="CS35" i="21"/>
  <c r="CS26" i="21"/>
  <c r="CS57" i="21"/>
  <c r="CS25" i="21"/>
  <c r="CS17" i="21"/>
  <c r="CS87" i="21"/>
  <c r="CS95" i="21"/>
  <c r="CS39" i="21"/>
  <c r="CS40" i="21"/>
  <c r="CS93" i="21"/>
  <c r="CS55" i="21"/>
  <c r="CS118" i="21"/>
  <c r="CS103" i="21"/>
  <c r="CS104" i="21"/>
  <c r="CS71" i="21"/>
  <c r="CS29" i="21"/>
  <c r="CS45" i="21"/>
  <c r="CS12" i="21"/>
  <c r="CS81" i="21"/>
  <c r="CS19" i="21"/>
  <c r="CS73" i="21"/>
  <c r="CS24" i="21"/>
  <c r="I52" i="21"/>
  <c r="I45" i="19"/>
  <c r="J47" i="19" s="1"/>
  <c r="CW8" i="19"/>
  <c r="W16" i="7"/>
  <c r="I50" i="19"/>
  <c r="N22" i="7"/>
  <c r="I52" i="19"/>
  <c r="CL115" i="22"/>
  <c r="CM115" i="22" s="1"/>
  <c r="CL114" i="22"/>
  <c r="CM114" i="22" s="1"/>
  <c r="I47" i="21"/>
  <c r="C33" i="19" l="1"/>
  <c r="CQ77" i="19" s="1"/>
  <c r="CP25" i="19"/>
  <c r="CX25" i="19" s="1"/>
  <c r="CP108" i="19"/>
  <c r="CX108" i="19" s="1"/>
  <c r="CP110" i="19"/>
  <c r="CX110" i="19" s="1"/>
  <c r="CP109" i="19"/>
  <c r="CX109" i="19" s="1"/>
  <c r="CP112" i="19"/>
  <c r="CX112" i="19" s="1"/>
  <c r="CP111" i="19"/>
  <c r="CX111" i="19" s="1"/>
  <c r="D31" i="19"/>
  <c r="CP27" i="19"/>
  <c r="CX27" i="19" s="1"/>
  <c r="CP67" i="19"/>
  <c r="CX67" i="19" s="1"/>
  <c r="CP104" i="19"/>
  <c r="CX104" i="19" s="1"/>
  <c r="CP94" i="19"/>
  <c r="CX94" i="19" s="1"/>
  <c r="CP61" i="19"/>
  <c r="CX61" i="19" s="1"/>
  <c r="CP28" i="19"/>
  <c r="CX28" i="19" s="1"/>
  <c r="CP56" i="19"/>
  <c r="CX56" i="19" s="1"/>
  <c r="CP69" i="19"/>
  <c r="CX69" i="19" s="1"/>
  <c r="CP37" i="19"/>
  <c r="CX37" i="19" s="1"/>
  <c r="CP29" i="19"/>
  <c r="CX29" i="19" s="1"/>
  <c r="CP13" i="19"/>
  <c r="CX13" i="19" s="1"/>
  <c r="CP24" i="19"/>
  <c r="CX24" i="19" s="1"/>
  <c r="CP87" i="19"/>
  <c r="CX87" i="19" s="1"/>
  <c r="CP95" i="19"/>
  <c r="CX95" i="19" s="1"/>
  <c r="CP106" i="19"/>
  <c r="CX106" i="19" s="1"/>
  <c r="CP92" i="19"/>
  <c r="CX92" i="19" s="1"/>
  <c r="CP14" i="19"/>
  <c r="CX14" i="19" s="1"/>
  <c r="CP55" i="19"/>
  <c r="CX55" i="19" s="1"/>
  <c r="CP102" i="19"/>
  <c r="CX102" i="19" s="1"/>
  <c r="CP96" i="19"/>
  <c r="CX96" i="19" s="1"/>
  <c r="CP16" i="19"/>
  <c r="CX16" i="19" s="1"/>
  <c r="CP31" i="19"/>
  <c r="CX31" i="19" s="1"/>
  <c r="CP50" i="19"/>
  <c r="CX50" i="19" s="1"/>
  <c r="CP107" i="19"/>
  <c r="CP80" i="19"/>
  <c r="CX80" i="19" s="1"/>
  <c r="CP63" i="19"/>
  <c r="CX63" i="19" s="1"/>
  <c r="CP22" i="19"/>
  <c r="X22" i="7" s="1"/>
  <c r="AC22" i="7" s="1"/>
  <c r="CP89" i="19"/>
  <c r="CX89" i="19" s="1"/>
  <c r="CP103" i="19"/>
  <c r="CX103" i="19" s="1"/>
  <c r="CP45" i="19"/>
  <c r="CX45" i="19" s="1"/>
  <c r="CP66" i="19"/>
  <c r="CX66" i="19" s="1"/>
  <c r="CP12" i="19"/>
  <c r="CX12" i="19" s="1"/>
  <c r="CP51" i="19"/>
  <c r="CX51" i="19" s="1"/>
  <c r="CP17" i="19"/>
  <c r="CX17" i="19" s="1"/>
  <c r="CP19" i="19"/>
  <c r="CX19" i="19" s="1"/>
  <c r="CP23" i="19"/>
  <c r="CX23" i="19" s="1"/>
  <c r="CP30" i="19"/>
  <c r="CX30" i="19" s="1"/>
  <c r="CP15" i="19"/>
  <c r="X20" i="7" s="1"/>
  <c r="AC20" i="7" s="1"/>
  <c r="CP21" i="19"/>
  <c r="CX21" i="19" s="1"/>
  <c r="CP20" i="19"/>
  <c r="CX20" i="19" s="1"/>
  <c r="CP18" i="19"/>
  <c r="CX18" i="19" s="1"/>
  <c r="CP34" i="19"/>
  <c r="CX34" i="19" s="1"/>
  <c r="CP26" i="19"/>
  <c r="CX26" i="19" s="1"/>
  <c r="CP54" i="19"/>
  <c r="CX54" i="19" s="1"/>
  <c r="CP60" i="19"/>
  <c r="CX60" i="19" s="1"/>
  <c r="CP101" i="19"/>
  <c r="CX101" i="19" s="1"/>
  <c r="CP75" i="19"/>
  <c r="CX75" i="19" s="1"/>
  <c r="CP79" i="19"/>
  <c r="CX79" i="19" s="1"/>
  <c r="CP90" i="19"/>
  <c r="CX90" i="19" s="1"/>
  <c r="CP33" i="19"/>
  <c r="CX33" i="19" s="1"/>
  <c r="CP91" i="19"/>
  <c r="CX91" i="19" s="1"/>
  <c r="CP86" i="19"/>
  <c r="CX86" i="19" s="1"/>
  <c r="CP99" i="19"/>
  <c r="CX99" i="19" s="1"/>
  <c r="CP78" i="19"/>
  <c r="CX78" i="19" s="1"/>
  <c r="CP70" i="19"/>
  <c r="CX70" i="19" s="1"/>
  <c r="CP47" i="19"/>
  <c r="CX47" i="19" s="1"/>
  <c r="CP77" i="19"/>
  <c r="CX77" i="19" s="1"/>
  <c r="CP49" i="19"/>
  <c r="CX49" i="19" s="1"/>
  <c r="CP85" i="19"/>
  <c r="CX85" i="19" s="1"/>
  <c r="CP57" i="19"/>
  <c r="CX57" i="19" s="1"/>
  <c r="CP53" i="19"/>
  <c r="CX53" i="19" s="1"/>
  <c r="CP39" i="19"/>
  <c r="CX39" i="19" s="1"/>
  <c r="CP88" i="19"/>
  <c r="CX88" i="19" s="1"/>
  <c r="CP72" i="19"/>
  <c r="CX72" i="19" s="1"/>
  <c r="CP38" i="19"/>
  <c r="CX38" i="19" s="1"/>
  <c r="CP44" i="19"/>
  <c r="CX44" i="19" s="1"/>
  <c r="CP52" i="19"/>
  <c r="CX52" i="19" s="1"/>
  <c r="CP76" i="19"/>
  <c r="CX76" i="19" s="1"/>
  <c r="CP32" i="19"/>
  <c r="CX32" i="19" s="1"/>
  <c r="CP43" i="19"/>
  <c r="CX43" i="19" s="1"/>
  <c r="CP93" i="19"/>
  <c r="CX93" i="19" s="1"/>
  <c r="CP97" i="19"/>
  <c r="CX97" i="19" s="1"/>
  <c r="CP98" i="19"/>
  <c r="CX98" i="19" s="1"/>
  <c r="CP68" i="19"/>
  <c r="CX68" i="19" s="1"/>
  <c r="CP58" i="19"/>
  <c r="CX58" i="19" s="1"/>
  <c r="CP100" i="19"/>
  <c r="CX100" i="19" s="1"/>
  <c r="CP65" i="19"/>
  <c r="CX65" i="19" s="1"/>
  <c r="CP35" i="19"/>
  <c r="CX35" i="19" s="1"/>
  <c r="CP36" i="19"/>
  <c r="CX36" i="19" s="1"/>
  <c r="CP83" i="19"/>
  <c r="CX83" i="19" s="1"/>
  <c r="X24" i="7"/>
  <c r="AC24" i="7" s="1"/>
  <c r="CX42" i="19"/>
  <c r="CP41" i="19"/>
  <c r="CX41" i="19" s="1"/>
  <c r="CP40" i="19"/>
  <c r="CX40" i="19" s="1"/>
  <c r="CP82" i="19"/>
  <c r="CP46" i="19"/>
  <c r="CX46" i="19" s="1"/>
  <c r="CP71" i="19"/>
  <c r="CX71" i="19" s="1"/>
  <c r="CP81" i="19"/>
  <c r="CX81" i="19" s="1"/>
  <c r="CP73" i="19"/>
  <c r="CX73" i="19" s="1"/>
  <c r="CP84" i="19"/>
  <c r="CX84" i="19" s="1"/>
  <c r="CP48" i="19"/>
  <c r="CX48" i="19" s="1"/>
  <c r="CP74" i="19"/>
  <c r="CX74" i="19" s="1"/>
  <c r="CP59" i="19"/>
  <c r="CX59" i="19" s="1"/>
  <c r="CP62" i="19"/>
  <c r="CP64" i="19"/>
  <c r="CX64" i="19" s="1"/>
  <c r="CP105" i="19"/>
  <c r="CX105" i="19" s="1"/>
  <c r="CP68" i="21"/>
  <c r="CY68" i="21" s="1"/>
  <c r="CZ68" i="21" s="1"/>
  <c r="CK68" i="22" s="1"/>
  <c r="CP95" i="21"/>
  <c r="CY95" i="21" s="1"/>
  <c r="CZ95" i="21" s="1"/>
  <c r="CK95" i="22" s="1"/>
  <c r="CP42" i="21"/>
  <c r="CY42" i="21" s="1"/>
  <c r="CZ42" i="21" s="1"/>
  <c r="CK42" i="22" s="1"/>
  <c r="CP14" i="21"/>
  <c r="CY14" i="21" s="1"/>
  <c r="CZ14" i="21" s="1"/>
  <c r="CK14" i="22" s="1"/>
  <c r="D31" i="21"/>
  <c r="CP106" i="21"/>
  <c r="CY106" i="21" s="1"/>
  <c r="CZ106" i="21" s="1"/>
  <c r="CK106" i="22" s="1"/>
  <c r="CP73" i="21"/>
  <c r="CY73" i="21" s="1"/>
  <c r="CZ73" i="21" s="1"/>
  <c r="CK73" i="22" s="1"/>
  <c r="CP60" i="21"/>
  <c r="CY60" i="21" s="1"/>
  <c r="CZ60" i="21" s="1"/>
  <c r="CK60" i="22" s="1"/>
  <c r="CP84" i="21"/>
  <c r="CY84" i="21" s="1"/>
  <c r="CZ84" i="21" s="1"/>
  <c r="CK84" i="22" s="1"/>
  <c r="CP99" i="21"/>
  <c r="CY99" i="21" s="1"/>
  <c r="CZ99" i="21" s="1"/>
  <c r="CK99" i="22" s="1"/>
  <c r="CP62" i="21"/>
  <c r="CY62" i="21" s="1"/>
  <c r="CZ62" i="21" s="1"/>
  <c r="CK62" i="22" s="1"/>
  <c r="CP48" i="21"/>
  <c r="CY48" i="21" s="1"/>
  <c r="CZ48" i="21" s="1"/>
  <c r="CK48" i="22" s="1"/>
  <c r="CP31" i="21"/>
  <c r="CY31" i="21" s="1"/>
  <c r="CZ31" i="21" s="1"/>
  <c r="CK31" i="22" s="1"/>
  <c r="CP37" i="21"/>
  <c r="CY37" i="21" s="1"/>
  <c r="CZ37" i="21" s="1"/>
  <c r="CK37" i="22" s="1"/>
  <c r="CP76" i="21"/>
  <c r="CY76" i="21" s="1"/>
  <c r="CZ76" i="21" s="1"/>
  <c r="CK76" i="22" s="1"/>
  <c r="CP58" i="21"/>
  <c r="CY58" i="21" s="1"/>
  <c r="CZ58" i="21" s="1"/>
  <c r="CK58" i="22" s="1"/>
  <c r="CP96" i="21"/>
  <c r="CY96" i="21" s="1"/>
  <c r="CZ96" i="21" s="1"/>
  <c r="CK96" i="22" s="1"/>
  <c r="CP72" i="21"/>
  <c r="CY72" i="21" s="1"/>
  <c r="CZ72" i="21" s="1"/>
  <c r="CK72" i="22" s="1"/>
  <c r="CP59" i="21"/>
  <c r="CY59" i="21" s="1"/>
  <c r="CZ59" i="21" s="1"/>
  <c r="CK59" i="22" s="1"/>
  <c r="CP32" i="21"/>
  <c r="CY32" i="21" s="1"/>
  <c r="CZ32" i="21" s="1"/>
  <c r="CK32" i="22" s="1"/>
  <c r="CP56" i="21"/>
  <c r="CY56" i="21" s="1"/>
  <c r="CZ56" i="21" s="1"/>
  <c r="CK56" i="22" s="1"/>
  <c r="CP51" i="21"/>
  <c r="CY51" i="21" s="1"/>
  <c r="CZ51" i="21" s="1"/>
  <c r="CK51" i="22" s="1"/>
  <c r="CP50" i="21"/>
  <c r="CY50" i="21" s="1"/>
  <c r="CZ50" i="21" s="1"/>
  <c r="CK50" i="22" s="1"/>
  <c r="CP57" i="21"/>
  <c r="CY57" i="21" s="1"/>
  <c r="CZ57" i="21" s="1"/>
  <c r="CK57" i="22" s="1"/>
  <c r="CP61" i="21"/>
  <c r="CY61" i="21" s="1"/>
  <c r="CZ61" i="21" s="1"/>
  <c r="CK61" i="22" s="1"/>
  <c r="CP18" i="21"/>
  <c r="CY18" i="21" s="1"/>
  <c r="CZ18" i="21" s="1"/>
  <c r="CK18" i="22" s="1"/>
  <c r="CP66" i="21"/>
  <c r="CY66" i="21" s="1"/>
  <c r="CZ66" i="21" s="1"/>
  <c r="CK66" i="22" s="1"/>
  <c r="CP97" i="21"/>
  <c r="CY97" i="21" s="1"/>
  <c r="CZ97" i="21" s="1"/>
  <c r="CK97" i="22" s="1"/>
  <c r="CP34" i="21"/>
  <c r="CY34" i="21" s="1"/>
  <c r="CZ34" i="21" s="1"/>
  <c r="CK34" i="22" s="1"/>
  <c r="CP98" i="21"/>
  <c r="CY98" i="21" s="1"/>
  <c r="CZ98" i="21" s="1"/>
  <c r="CK98" i="22" s="1"/>
  <c r="CP15" i="21"/>
  <c r="CY15" i="21" s="1"/>
  <c r="CZ15" i="21" s="1"/>
  <c r="CK15" i="22" s="1"/>
  <c r="CP77" i="21"/>
  <c r="CY77" i="21" s="1"/>
  <c r="CZ77" i="21" s="1"/>
  <c r="CK77" i="22" s="1"/>
  <c r="CP87" i="21"/>
  <c r="CY87" i="21" s="1"/>
  <c r="CZ87" i="21" s="1"/>
  <c r="CK87" i="22" s="1"/>
  <c r="CP19" i="21"/>
  <c r="CY19" i="21" s="1"/>
  <c r="CZ19" i="21" s="1"/>
  <c r="CK19" i="22" s="1"/>
  <c r="CP80" i="21"/>
  <c r="CY80" i="21" s="1"/>
  <c r="CZ80" i="21" s="1"/>
  <c r="CK80" i="22" s="1"/>
  <c r="CP64" i="21"/>
  <c r="CY64" i="21" s="1"/>
  <c r="CZ64" i="21" s="1"/>
  <c r="CK64" i="22" s="1"/>
  <c r="CP103" i="21"/>
  <c r="CY103" i="21" s="1"/>
  <c r="CZ103" i="21" s="1"/>
  <c r="CK103" i="22" s="1"/>
  <c r="C33" i="21"/>
  <c r="CQ16" i="21" s="1"/>
  <c r="CP49" i="21"/>
  <c r="CY49" i="21" s="1"/>
  <c r="CZ49" i="21" s="1"/>
  <c r="CK49" i="22" s="1"/>
  <c r="CP83" i="21"/>
  <c r="CY83" i="21" s="1"/>
  <c r="CZ83" i="21" s="1"/>
  <c r="CK83" i="22" s="1"/>
  <c r="CP71" i="21"/>
  <c r="CY71" i="21" s="1"/>
  <c r="CZ71" i="21" s="1"/>
  <c r="CK71" i="22" s="1"/>
  <c r="CP39" i="21"/>
  <c r="CY39" i="21" s="1"/>
  <c r="CZ39" i="21" s="1"/>
  <c r="CK39" i="22" s="1"/>
  <c r="CP54" i="21"/>
  <c r="CY54" i="21" s="1"/>
  <c r="CZ54" i="21" s="1"/>
  <c r="CK54" i="22" s="1"/>
  <c r="CP22" i="21"/>
  <c r="CY22" i="21" s="1"/>
  <c r="CZ22" i="21" s="1"/>
  <c r="CK22" i="22" s="1"/>
  <c r="CP13" i="21"/>
  <c r="CY13" i="21" s="1"/>
  <c r="CZ13" i="21" s="1"/>
  <c r="CK13" i="22" s="1"/>
  <c r="CL13" i="22" s="1"/>
  <c r="CM13" i="22" s="1"/>
  <c r="CP47" i="21"/>
  <c r="CY47" i="21" s="1"/>
  <c r="CZ47" i="21" s="1"/>
  <c r="CK47" i="22" s="1"/>
  <c r="CP91" i="21"/>
  <c r="CY91" i="21" s="1"/>
  <c r="CZ91" i="21" s="1"/>
  <c r="CK91" i="22" s="1"/>
  <c r="CP35" i="21"/>
  <c r="CY35" i="21" s="1"/>
  <c r="CZ35" i="21" s="1"/>
  <c r="CK35" i="22" s="1"/>
  <c r="CP88" i="21"/>
  <c r="CY88" i="21" s="1"/>
  <c r="CZ88" i="21" s="1"/>
  <c r="CK88" i="22" s="1"/>
  <c r="CP43" i="21"/>
  <c r="CY43" i="21" s="1"/>
  <c r="CZ43" i="21" s="1"/>
  <c r="CK43" i="22" s="1"/>
  <c r="CP104" i="21"/>
  <c r="CY104" i="21" s="1"/>
  <c r="CZ104" i="21" s="1"/>
  <c r="CK104" i="22" s="1"/>
  <c r="CP102" i="21"/>
  <c r="CY102" i="21" s="1"/>
  <c r="CZ102" i="21" s="1"/>
  <c r="CK102" i="22" s="1"/>
  <c r="CP70" i="21"/>
  <c r="CY70" i="21" s="1"/>
  <c r="CZ70" i="21" s="1"/>
  <c r="CK70" i="22" s="1"/>
  <c r="CP82" i="21"/>
  <c r="CY82" i="21" s="1"/>
  <c r="CZ82" i="21" s="1"/>
  <c r="CK82" i="22" s="1"/>
  <c r="CP52" i="21"/>
  <c r="CY52" i="21" s="1"/>
  <c r="CZ52" i="21" s="1"/>
  <c r="CK52" i="22" s="1"/>
  <c r="CP81" i="21"/>
  <c r="CY81" i="21" s="1"/>
  <c r="CZ81" i="21" s="1"/>
  <c r="CK81" i="22" s="1"/>
  <c r="CP74" i="21"/>
  <c r="CY74" i="21" s="1"/>
  <c r="CZ74" i="21" s="1"/>
  <c r="CK74" i="22" s="1"/>
  <c r="CP38" i="21"/>
  <c r="CY38" i="21" s="1"/>
  <c r="CZ38" i="21" s="1"/>
  <c r="CK38" i="22" s="1"/>
  <c r="CP85" i="21"/>
  <c r="CY85" i="21" s="1"/>
  <c r="CZ85" i="21" s="1"/>
  <c r="CK85" i="22" s="1"/>
  <c r="CP67" i="21"/>
  <c r="CY67" i="21" s="1"/>
  <c r="CZ67" i="21" s="1"/>
  <c r="CK67" i="22" s="1"/>
  <c r="CP79" i="21"/>
  <c r="CY79" i="21" s="1"/>
  <c r="CZ79" i="21" s="1"/>
  <c r="CK79" i="22" s="1"/>
  <c r="CP20" i="21"/>
  <c r="CY20" i="21" s="1"/>
  <c r="CZ20" i="21" s="1"/>
  <c r="CK20" i="22" s="1"/>
  <c r="CP100" i="21"/>
  <c r="CY100" i="21" s="1"/>
  <c r="CZ100" i="21" s="1"/>
  <c r="CK100" i="22" s="1"/>
  <c r="CP30" i="21"/>
  <c r="CY30" i="21" s="1"/>
  <c r="CZ30" i="21" s="1"/>
  <c r="CK30" i="22" s="1"/>
  <c r="CP105" i="21"/>
  <c r="CY105" i="21" s="1"/>
  <c r="CZ105" i="21" s="1"/>
  <c r="CK105" i="22" s="1"/>
  <c r="CP24" i="21"/>
  <c r="CY24" i="21" s="1"/>
  <c r="CZ24" i="21" s="1"/>
  <c r="CK24" i="22" s="1"/>
  <c r="CQ111" i="19"/>
  <c r="CQ108" i="19"/>
  <c r="CQ110" i="19"/>
  <c r="CQ109" i="19"/>
  <c r="CQ112" i="19"/>
  <c r="CP26" i="21"/>
  <c r="CY26" i="21" s="1"/>
  <c r="CZ26" i="21" s="1"/>
  <c r="CK26" i="22" s="1"/>
  <c r="CP112" i="21"/>
  <c r="CY112" i="21" s="1"/>
  <c r="CZ112" i="21" s="1"/>
  <c r="CK112" i="22" s="1"/>
  <c r="CL112" i="22" s="1"/>
  <c r="CM112" i="22" s="1"/>
  <c r="CN112" i="22" s="1"/>
  <c r="CP111" i="21"/>
  <c r="CY111" i="21" s="1"/>
  <c r="CZ111" i="21" s="1"/>
  <c r="CK111" i="22" s="1"/>
  <c r="CP108" i="21"/>
  <c r="CY108" i="21" s="1"/>
  <c r="CZ108" i="21" s="1"/>
  <c r="CK108" i="22" s="1"/>
  <c r="CP109" i="21"/>
  <c r="CY109" i="21" s="1"/>
  <c r="CZ109" i="21" s="1"/>
  <c r="CK109" i="22" s="1"/>
  <c r="CP110" i="21"/>
  <c r="CY110" i="21" s="1"/>
  <c r="CZ110" i="21" s="1"/>
  <c r="CK110" i="22" s="1"/>
  <c r="CP45" i="21"/>
  <c r="CY45" i="21" s="1"/>
  <c r="CZ45" i="21" s="1"/>
  <c r="CK45" i="22" s="1"/>
  <c r="CP78" i="21"/>
  <c r="CY78" i="21" s="1"/>
  <c r="CZ78" i="21" s="1"/>
  <c r="CK78" i="22" s="1"/>
  <c r="CP101" i="21"/>
  <c r="CY101" i="21" s="1"/>
  <c r="CZ101" i="21" s="1"/>
  <c r="CK101" i="22" s="1"/>
  <c r="CP94" i="21"/>
  <c r="CY94" i="21" s="1"/>
  <c r="CZ94" i="21" s="1"/>
  <c r="CK94" i="22" s="1"/>
  <c r="CL93" i="22" s="1"/>
  <c r="CM93" i="22" s="1"/>
  <c r="CP23" i="21"/>
  <c r="CY23" i="21" s="1"/>
  <c r="CZ23" i="21" s="1"/>
  <c r="CK23" i="22" s="1"/>
  <c r="CP21" i="21"/>
  <c r="CY21" i="21" s="1"/>
  <c r="CZ21" i="21" s="1"/>
  <c r="CK21" i="22" s="1"/>
  <c r="CP16" i="21"/>
  <c r="CY16" i="21" s="1"/>
  <c r="CZ16" i="21" s="1"/>
  <c r="CK16" i="22" s="1"/>
  <c r="CP29" i="21"/>
  <c r="CY29" i="21" s="1"/>
  <c r="CZ29" i="21" s="1"/>
  <c r="CK29" i="22" s="1"/>
  <c r="CP36" i="21"/>
  <c r="CY36" i="21" s="1"/>
  <c r="CZ36" i="21" s="1"/>
  <c r="CK36" i="22" s="1"/>
  <c r="CP25" i="21"/>
  <c r="CY25" i="21" s="1"/>
  <c r="CZ25" i="21" s="1"/>
  <c r="CK25" i="22" s="1"/>
  <c r="CP65" i="21"/>
  <c r="CY65" i="21" s="1"/>
  <c r="CZ65" i="21" s="1"/>
  <c r="CK65" i="22" s="1"/>
  <c r="CP69" i="21"/>
  <c r="CY69" i="21" s="1"/>
  <c r="CZ69" i="21" s="1"/>
  <c r="CK69" i="22" s="1"/>
  <c r="CP55" i="21"/>
  <c r="CY55" i="21" s="1"/>
  <c r="CZ55" i="21" s="1"/>
  <c r="CK55" i="22" s="1"/>
  <c r="CP28" i="21"/>
  <c r="CY28" i="21" s="1"/>
  <c r="CZ28" i="21" s="1"/>
  <c r="CK28" i="22" s="1"/>
  <c r="CP33" i="21"/>
  <c r="CY33" i="21" s="1"/>
  <c r="CZ33" i="21" s="1"/>
  <c r="CK33" i="22" s="1"/>
  <c r="CP75" i="21"/>
  <c r="CY75" i="21" s="1"/>
  <c r="CZ75" i="21" s="1"/>
  <c r="CK75" i="22" s="1"/>
  <c r="CP89" i="21"/>
  <c r="CY89" i="21" s="1"/>
  <c r="CZ89" i="21" s="1"/>
  <c r="CK89" i="22" s="1"/>
  <c r="CP44" i="21"/>
  <c r="CY44" i="21" s="1"/>
  <c r="CZ44" i="21" s="1"/>
  <c r="CK44" i="22" s="1"/>
  <c r="CP90" i="21"/>
  <c r="CY90" i="21" s="1"/>
  <c r="CZ90" i="21" s="1"/>
  <c r="CK90" i="22" s="1"/>
  <c r="CP41" i="21"/>
  <c r="CY41" i="21" s="1"/>
  <c r="CZ41" i="21" s="1"/>
  <c r="CK41" i="22" s="1"/>
  <c r="CP86" i="21"/>
  <c r="CY86" i="21" s="1"/>
  <c r="CZ86" i="21" s="1"/>
  <c r="CK86" i="22" s="1"/>
  <c r="CP53" i="21"/>
  <c r="CY53" i="21" s="1"/>
  <c r="CZ53" i="21" s="1"/>
  <c r="CK53" i="22" s="1"/>
  <c r="CP17" i="21"/>
  <c r="CY17" i="21" s="1"/>
  <c r="CZ17" i="21" s="1"/>
  <c r="CK17" i="22" s="1"/>
  <c r="CP63" i="21"/>
  <c r="CY63" i="21" s="1"/>
  <c r="CZ63" i="21" s="1"/>
  <c r="CK63" i="22" s="1"/>
  <c r="CP46" i="21"/>
  <c r="CY46" i="21" s="1"/>
  <c r="CZ46" i="21" s="1"/>
  <c r="CK46" i="22" s="1"/>
  <c r="CP40" i="21"/>
  <c r="CY40" i="21" s="1"/>
  <c r="CZ40" i="21" s="1"/>
  <c r="CK40" i="22" s="1"/>
  <c r="CP92" i="21"/>
  <c r="CY92" i="21" s="1"/>
  <c r="CZ92" i="21" s="1"/>
  <c r="CK92" i="22" s="1"/>
  <c r="CP107" i="21"/>
  <c r="CY107" i="21" s="1"/>
  <c r="CZ107" i="21" s="1"/>
  <c r="CK107" i="22" s="1"/>
  <c r="CP27" i="21"/>
  <c r="CY27" i="21" s="1"/>
  <c r="CZ27" i="21" s="1"/>
  <c r="CK27" i="22" s="1"/>
  <c r="CP12" i="21"/>
  <c r="CY12" i="21" s="1"/>
  <c r="CZ12" i="21" s="1"/>
  <c r="CK12" i="22" s="1"/>
  <c r="J47" i="21"/>
  <c r="CN117" i="22"/>
  <c r="CN115" i="22"/>
  <c r="CN116" i="22"/>
  <c r="CN121" i="22"/>
  <c r="J48" i="19"/>
  <c r="J52" i="21"/>
  <c r="CN120" i="22"/>
  <c r="CN122" i="22"/>
  <c r="CQ50" i="19"/>
  <c r="CQ14" i="19"/>
  <c r="CQ27" i="19"/>
  <c r="CQ90" i="19"/>
  <c r="CQ80" i="19"/>
  <c r="CQ40" i="19"/>
  <c r="CQ49" i="19"/>
  <c r="CQ93" i="19"/>
  <c r="CQ16" i="19"/>
  <c r="CQ44" i="19"/>
  <c r="CQ95" i="19"/>
  <c r="CQ100" i="19"/>
  <c r="CV48" i="19"/>
  <c r="CV89" i="19"/>
  <c r="CV92" i="19"/>
  <c r="CV24" i="19"/>
  <c r="CV36" i="19"/>
  <c r="CV61" i="19"/>
  <c r="CV100" i="19"/>
  <c r="CV94" i="19"/>
  <c r="CV119" i="19"/>
  <c r="CY119" i="19" s="1"/>
  <c r="CK119" i="8" s="1"/>
  <c r="CV50" i="19"/>
  <c r="CV81" i="19"/>
  <c r="CV16" i="19"/>
  <c r="CV120" i="19"/>
  <c r="CY120" i="19" s="1"/>
  <c r="CK120" i="8" s="1"/>
  <c r="CV93" i="19"/>
  <c r="CV60" i="19"/>
  <c r="CV32" i="19"/>
  <c r="CV68" i="19"/>
  <c r="CV97" i="19"/>
  <c r="CV107" i="19"/>
  <c r="CV21" i="19"/>
  <c r="CV122" i="19"/>
  <c r="CY122" i="19" s="1"/>
  <c r="CK122" i="8" s="1"/>
  <c r="CV86" i="19"/>
  <c r="CY86" i="19" s="1"/>
  <c r="CK86" i="8" s="1"/>
  <c r="CV71" i="19"/>
  <c r="CV88" i="19"/>
  <c r="CV22" i="19"/>
  <c r="CV12" i="19"/>
  <c r="CV58" i="19"/>
  <c r="CV76" i="19"/>
  <c r="CV98" i="19"/>
  <c r="CV57" i="19"/>
  <c r="CY57" i="19" s="1"/>
  <c r="CK57" i="8" s="1"/>
  <c r="CV30" i="19"/>
  <c r="CV33" i="19"/>
  <c r="CY33" i="19" s="1"/>
  <c r="CK33" i="8" s="1"/>
  <c r="CV110" i="19"/>
  <c r="CY110" i="19" s="1"/>
  <c r="CK110" i="8" s="1"/>
  <c r="CV55" i="19"/>
  <c r="CY55" i="19" s="1"/>
  <c r="CK55" i="8" s="1"/>
  <c r="CV67" i="19"/>
  <c r="CY67" i="19" s="1"/>
  <c r="CK67" i="8" s="1"/>
  <c r="CV62" i="19"/>
  <c r="CV35" i="19"/>
  <c r="CV123" i="19"/>
  <c r="CY123" i="19" s="1"/>
  <c r="CK123" i="8" s="1"/>
  <c r="CV23" i="19"/>
  <c r="CV66" i="19"/>
  <c r="CV91" i="19"/>
  <c r="CY91" i="19" s="1"/>
  <c r="CK91" i="8" s="1"/>
  <c r="CV85" i="19"/>
  <c r="CV28" i="19"/>
  <c r="CV52" i="19"/>
  <c r="CV75" i="19"/>
  <c r="CV59" i="19"/>
  <c r="CV26" i="19"/>
  <c r="CV111" i="19"/>
  <c r="CV116" i="19"/>
  <c r="CY116" i="19" s="1"/>
  <c r="CK116" i="8" s="1"/>
  <c r="CV113" i="19"/>
  <c r="CY113" i="19" s="1"/>
  <c r="CK113" i="8" s="1"/>
  <c r="CV69" i="19"/>
  <c r="CV108" i="19"/>
  <c r="CY108" i="19" s="1"/>
  <c r="CK108" i="8" s="1"/>
  <c r="CV63" i="19"/>
  <c r="CY63" i="19" s="1"/>
  <c r="CK63" i="8" s="1"/>
  <c r="CV15" i="19"/>
  <c r="CV104" i="19"/>
  <c r="CY104" i="19" s="1"/>
  <c r="CK104" i="8" s="1"/>
  <c r="CV96" i="19"/>
  <c r="CV70" i="19"/>
  <c r="CV51" i="19"/>
  <c r="CV105" i="19"/>
  <c r="CV39" i="19"/>
  <c r="CV124" i="19"/>
  <c r="CY124" i="19" s="1"/>
  <c r="CK124" i="8" s="1"/>
  <c r="CL124" i="8" s="1"/>
  <c r="CM124" i="8" s="1"/>
  <c r="CV17" i="19"/>
  <c r="CY17" i="19" s="1"/>
  <c r="CK17" i="8" s="1"/>
  <c r="CV103" i="19"/>
  <c r="CV102" i="19"/>
  <c r="CY102" i="19" s="1"/>
  <c r="CK102" i="8" s="1"/>
  <c r="CV40" i="19"/>
  <c r="CV121" i="19"/>
  <c r="CY121" i="19" s="1"/>
  <c r="CK121" i="8" s="1"/>
  <c r="CV118" i="19"/>
  <c r="CY118" i="19" s="1"/>
  <c r="CK118" i="8" s="1"/>
  <c r="CV14" i="19"/>
  <c r="CV19" i="19"/>
  <c r="CY19" i="19" s="1"/>
  <c r="CK19" i="8" s="1"/>
  <c r="CV65" i="19"/>
  <c r="CV44" i="19"/>
  <c r="CV101" i="19"/>
  <c r="CV20" i="19"/>
  <c r="CV13" i="19"/>
  <c r="CV41" i="19"/>
  <c r="CY41" i="19" s="1"/>
  <c r="CK41" i="8" s="1"/>
  <c r="CV54" i="19"/>
  <c r="CV18" i="19"/>
  <c r="CV72" i="19"/>
  <c r="CV77" i="19"/>
  <c r="CV87" i="19"/>
  <c r="CV29" i="19"/>
  <c r="CY29" i="19" s="1"/>
  <c r="CK29" i="8" s="1"/>
  <c r="CV79" i="19"/>
  <c r="CV45" i="19"/>
  <c r="CV37" i="19"/>
  <c r="CV114" i="19"/>
  <c r="CY114" i="19" s="1"/>
  <c r="CK114" i="8" s="1"/>
  <c r="CV31" i="19"/>
  <c r="CV112" i="19"/>
  <c r="CV38" i="19"/>
  <c r="CV64" i="19"/>
  <c r="CV80" i="19"/>
  <c r="CV82" i="19"/>
  <c r="CV78" i="19"/>
  <c r="CV106" i="19"/>
  <c r="CV46" i="19"/>
  <c r="CV83" i="19"/>
  <c r="CV84" i="19"/>
  <c r="CV56" i="19"/>
  <c r="CV90" i="19"/>
  <c r="CV27" i="19"/>
  <c r="CV47" i="19"/>
  <c r="CV73" i="19"/>
  <c r="CV99" i="19"/>
  <c r="CV49" i="19"/>
  <c r="CY49" i="19" s="1"/>
  <c r="CK49" i="8" s="1"/>
  <c r="CV115" i="19"/>
  <c r="CY115" i="19" s="1"/>
  <c r="CK115" i="8" s="1"/>
  <c r="CV53" i="19"/>
  <c r="CV43" i="19"/>
  <c r="CV25" i="19"/>
  <c r="CY25" i="19" s="1"/>
  <c r="CK25" i="8" s="1"/>
  <c r="CV109" i="19"/>
  <c r="CV34" i="19"/>
  <c r="CY34" i="19" s="1"/>
  <c r="CK34" i="8" s="1"/>
  <c r="CV117" i="19"/>
  <c r="CY117" i="19" s="1"/>
  <c r="CK117" i="8" s="1"/>
  <c r="CV42" i="19"/>
  <c r="CV95" i="19"/>
  <c r="CV74" i="19"/>
  <c r="I51" i="21"/>
  <c r="J51" i="21" s="1"/>
  <c r="J45" i="21"/>
  <c r="J46" i="21"/>
  <c r="I51" i="19"/>
  <c r="J51" i="19" s="1"/>
  <c r="J45" i="19"/>
  <c r="J46" i="19"/>
  <c r="CN119" i="22"/>
  <c r="CN114" i="22"/>
  <c r="CN118" i="22"/>
  <c r="J52" i="19"/>
  <c r="J50" i="21"/>
  <c r="CN113" i="22"/>
  <c r="J50" i="19"/>
  <c r="CY44" i="19" l="1"/>
  <c r="CK44" i="8" s="1"/>
  <c r="CY84" i="19"/>
  <c r="CK84" i="8" s="1"/>
  <c r="CY42" i="19"/>
  <c r="CK42" i="8" s="1"/>
  <c r="CY68" i="19"/>
  <c r="CK68" i="8" s="1"/>
  <c r="CQ107" i="19"/>
  <c r="CQ56" i="19"/>
  <c r="CQ92" i="19"/>
  <c r="CQ82" i="19"/>
  <c r="CQ105" i="19"/>
  <c r="CQ66" i="19"/>
  <c r="CQ30" i="19"/>
  <c r="CQ65" i="19"/>
  <c r="CQ79" i="19"/>
  <c r="CQ69" i="19"/>
  <c r="CQ39" i="19"/>
  <c r="CQ17" i="19"/>
  <c r="CQ38" i="19"/>
  <c r="CQ45" i="19"/>
  <c r="CQ101" i="19"/>
  <c r="CQ76" i="19"/>
  <c r="CQ43" i="19"/>
  <c r="CQ104" i="19"/>
  <c r="CQ68" i="19"/>
  <c r="CQ22" i="19"/>
  <c r="CQ46" i="19"/>
  <c r="CQ48" i="19"/>
  <c r="CQ87" i="19"/>
  <c r="CQ21" i="19"/>
  <c r="CQ72" i="19"/>
  <c r="CQ32" i="19"/>
  <c r="CQ42" i="19"/>
  <c r="CQ15" i="19"/>
  <c r="CQ78" i="19"/>
  <c r="CQ84" i="19"/>
  <c r="CQ25" i="19"/>
  <c r="CQ57" i="19"/>
  <c r="CQ29" i="19"/>
  <c r="CQ81" i="19"/>
  <c r="CQ94" i="19"/>
  <c r="CQ103" i="19"/>
  <c r="CQ20" i="19"/>
  <c r="CQ41" i="19"/>
  <c r="D33" i="19"/>
  <c r="CQ75" i="19"/>
  <c r="CQ88" i="19"/>
  <c r="CQ18" i="19"/>
  <c r="CQ52" i="19"/>
  <c r="CQ86" i="19"/>
  <c r="CQ51" i="19"/>
  <c r="CQ70" i="19"/>
  <c r="CQ35" i="19"/>
  <c r="CQ26" i="19"/>
  <c r="CQ60" i="19"/>
  <c r="CQ67" i="19"/>
  <c r="CQ12" i="19"/>
  <c r="CQ63" i="19"/>
  <c r="CQ71" i="19"/>
  <c r="CQ61" i="19"/>
  <c r="CQ31" i="19"/>
  <c r="CQ36" i="19"/>
  <c r="CQ64" i="19"/>
  <c r="CQ24" i="19"/>
  <c r="CQ23" i="19"/>
  <c r="CQ74" i="19"/>
  <c r="CQ19" i="19"/>
  <c r="CQ58" i="19"/>
  <c r="CQ59" i="19"/>
  <c r="CQ99" i="19"/>
  <c r="CQ37" i="19"/>
  <c r="CQ28" i="19"/>
  <c r="CQ55" i="19"/>
  <c r="CQ47" i="19"/>
  <c r="CQ96" i="19"/>
  <c r="CQ13" i="19"/>
  <c r="CQ97" i="19"/>
  <c r="CQ98" i="19"/>
  <c r="CQ85" i="19"/>
  <c r="CQ62" i="19"/>
  <c r="CQ54" i="19"/>
  <c r="CQ91" i="19"/>
  <c r="CQ89" i="19"/>
  <c r="CQ83" i="19"/>
  <c r="CQ73" i="19"/>
  <c r="CQ33" i="19"/>
  <c r="CQ53" i="19"/>
  <c r="CQ34" i="19"/>
  <c r="CQ102" i="19"/>
  <c r="CQ106" i="19"/>
  <c r="CY85" i="19"/>
  <c r="CK85" i="8" s="1"/>
  <c r="CY58" i="19"/>
  <c r="CK58" i="8" s="1"/>
  <c r="CL57" i="8" s="1"/>
  <c r="CM57" i="8" s="1"/>
  <c r="CY48" i="19"/>
  <c r="CK48" i="8" s="1"/>
  <c r="CY26" i="19"/>
  <c r="CK26" i="8" s="1"/>
  <c r="CL25" i="8" s="1"/>
  <c r="CM25" i="8" s="1"/>
  <c r="CY52" i="19"/>
  <c r="CK52" i="8" s="1"/>
  <c r="CY95" i="19"/>
  <c r="CK95" i="8" s="1"/>
  <c r="CY101" i="19"/>
  <c r="CK101" i="8" s="1"/>
  <c r="CL101" i="8" s="1"/>
  <c r="CM101" i="8" s="1"/>
  <c r="CL14" i="22"/>
  <c r="CM14" i="22" s="1"/>
  <c r="CY109" i="19"/>
  <c r="CK109" i="8" s="1"/>
  <c r="CL108" i="8" s="1"/>
  <c r="CM108" i="8" s="1"/>
  <c r="CY20" i="19"/>
  <c r="CK20" i="8" s="1"/>
  <c r="CY78" i="19"/>
  <c r="CK78" i="8" s="1"/>
  <c r="CY43" i="19"/>
  <c r="CK43" i="8" s="1"/>
  <c r="CY28" i="19"/>
  <c r="CK28" i="8" s="1"/>
  <c r="CL28" i="8" s="1"/>
  <c r="CM28" i="8" s="1"/>
  <c r="CY112" i="19"/>
  <c r="CK112" i="8" s="1"/>
  <c r="CL112" i="8" s="1"/>
  <c r="CM112" i="8" s="1"/>
  <c r="CY46" i="19"/>
  <c r="CK46" i="8" s="1"/>
  <c r="CY31" i="19"/>
  <c r="CK31" i="8" s="1"/>
  <c r="CY35" i="19"/>
  <c r="CK35" i="8" s="1"/>
  <c r="CL34" i="8" s="1"/>
  <c r="CM34" i="8" s="1"/>
  <c r="CY39" i="19"/>
  <c r="CK39" i="8" s="1"/>
  <c r="CY45" i="19"/>
  <c r="CK45" i="8" s="1"/>
  <c r="CL44" i="8" s="1"/>
  <c r="CM44" i="8" s="1"/>
  <c r="CQ110" i="21"/>
  <c r="X19" i="7"/>
  <c r="AC19" i="7" s="1"/>
  <c r="CQ108" i="21"/>
  <c r="CQ109" i="21"/>
  <c r="CQ112" i="21"/>
  <c r="CL12" i="22"/>
  <c r="CM12" i="22" s="1"/>
  <c r="CL18" i="22"/>
  <c r="CM18" i="22" s="1"/>
  <c r="CL30" i="22"/>
  <c r="CM30" i="22" s="1"/>
  <c r="CQ38" i="21"/>
  <c r="CQ91" i="21"/>
  <c r="CQ61" i="21"/>
  <c r="CQ54" i="21"/>
  <c r="CY111" i="19"/>
  <c r="CK111" i="8" s="1"/>
  <c r="CQ103" i="21"/>
  <c r="CQ69" i="21"/>
  <c r="CQ74" i="21"/>
  <c r="CQ65" i="21"/>
  <c r="CQ89" i="21"/>
  <c r="CQ55" i="21"/>
  <c r="CY69" i="19"/>
  <c r="CK69" i="8" s="1"/>
  <c r="CQ56" i="21"/>
  <c r="CQ49" i="21"/>
  <c r="CQ47" i="21"/>
  <c r="CQ53" i="21"/>
  <c r="CY37" i="19"/>
  <c r="CK37" i="8" s="1"/>
  <c r="CY14" i="19"/>
  <c r="CK14" i="8" s="1"/>
  <c r="CQ82" i="21"/>
  <c r="CQ68" i="21"/>
  <c r="CQ102" i="21"/>
  <c r="CQ106" i="21"/>
  <c r="CY18" i="19"/>
  <c r="CK18" i="8" s="1"/>
  <c r="CL17" i="8" s="1"/>
  <c r="CM17" i="8" s="1"/>
  <c r="CY80" i="19"/>
  <c r="CK80" i="8" s="1"/>
  <c r="CY51" i="19"/>
  <c r="CK51" i="8" s="1"/>
  <c r="CY27" i="19"/>
  <c r="CK27" i="8" s="1"/>
  <c r="CY96" i="19"/>
  <c r="CK96" i="8" s="1"/>
  <c r="CY94" i="19"/>
  <c r="CK94" i="8" s="1"/>
  <c r="CY23" i="19"/>
  <c r="CK23" i="8" s="1"/>
  <c r="CY100" i="19"/>
  <c r="CK100" i="8" s="1"/>
  <c r="CY54" i="19"/>
  <c r="CK54" i="8" s="1"/>
  <c r="CL54" i="8" s="1"/>
  <c r="CM54" i="8" s="1"/>
  <c r="CY76" i="19"/>
  <c r="CK76" i="8" s="1"/>
  <c r="CY24" i="19"/>
  <c r="CK24" i="8" s="1"/>
  <c r="CL24" i="8" s="1"/>
  <c r="CM24" i="8" s="1"/>
  <c r="CY89" i="19"/>
  <c r="CK89" i="8" s="1"/>
  <c r="CY74" i="19"/>
  <c r="CK74" i="8" s="1"/>
  <c r="CY40" i="19"/>
  <c r="CK40" i="8" s="1"/>
  <c r="CL40" i="8" s="1"/>
  <c r="CM40" i="8" s="1"/>
  <c r="CX22" i="19"/>
  <c r="CY22" i="19" s="1"/>
  <c r="CK22" i="8" s="1"/>
  <c r="CY65" i="19"/>
  <c r="CK65" i="8" s="1"/>
  <c r="CY59" i="19"/>
  <c r="CK59" i="8" s="1"/>
  <c r="CY61" i="19"/>
  <c r="CK61" i="8" s="1"/>
  <c r="CY66" i="19"/>
  <c r="CK66" i="8" s="1"/>
  <c r="CL66" i="8" s="1"/>
  <c r="CM66" i="8" s="1"/>
  <c r="CY88" i="19"/>
  <c r="CK88" i="8" s="1"/>
  <c r="X21" i="7"/>
  <c r="AC21" i="7" s="1"/>
  <c r="CQ99" i="21"/>
  <c r="CQ51" i="21"/>
  <c r="CQ87" i="21"/>
  <c r="CQ90" i="21"/>
  <c r="CQ107" i="21"/>
  <c r="CQ75" i="21"/>
  <c r="CQ101" i="21"/>
  <c r="CQ105" i="21"/>
  <c r="CQ76" i="21"/>
  <c r="CQ80" i="21"/>
  <c r="CQ67" i="21"/>
  <c r="CQ104" i="21"/>
  <c r="CQ88" i="21"/>
  <c r="CQ70" i="21"/>
  <c r="CQ72" i="21"/>
  <c r="CQ42" i="21"/>
  <c r="CQ95" i="21"/>
  <c r="CQ39" i="21"/>
  <c r="CY99" i="19"/>
  <c r="CK99" i="8" s="1"/>
  <c r="CL67" i="22"/>
  <c r="CM67" i="22" s="1"/>
  <c r="CL68" i="22"/>
  <c r="CM68" i="22" s="1"/>
  <c r="CY106" i="19"/>
  <c r="CK106" i="8" s="1"/>
  <c r="CY56" i="19"/>
  <c r="CK56" i="8" s="1"/>
  <c r="CL56" i="8" s="1"/>
  <c r="CM56" i="8" s="1"/>
  <c r="CY75" i="19"/>
  <c r="CK75" i="8" s="1"/>
  <c r="CY64" i="19"/>
  <c r="CK64" i="8" s="1"/>
  <c r="CL63" i="8" s="1"/>
  <c r="CM63" i="8" s="1"/>
  <c r="CY70" i="19"/>
  <c r="CK70" i="8" s="1"/>
  <c r="CY32" i="19"/>
  <c r="CK32" i="8" s="1"/>
  <c r="CL32" i="8" s="1"/>
  <c r="CM32" i="8" s="1"/>
  <c r="CY87" i="19"/>
  <c r="CK87" i="8" s="1"/>
  <c r="CY103" i="19"/>
  <c r="CK103" i="8" s="1"/>
  <c r="CL102" i="8" s="1"/>
  <c r="CM102" i="8" s="1"/>
  <c r="CY30" i="19"/>
  <c r="CK30" i="8" s="1"/>
  <c r="CY60" i="19"/>
  <c r="CK60" i="8" s="1"/>
  <c r="CY16" i="19"/>
  <c r="CK16" i="8" s="1"/>
  <c r="CL16" i="8" s="1"/>
  <c r="CM16" i="8" s="1"/>
  <c r="CY53" i="19"/>
  <c r="CK53" i="8" s="1"/>
  <c r="CY83" i="19"/>
  <c r="CK83" i="8" s="1"/>
  <c r="CL83" i="8" s="1"/>
  <c r="CM83" i="8" s="1"/>
  <c r="CY72" i="19"/>
  <c r="CK72" i="8" s="1"/>
  <c r="CY47" i="19"/>
  <c r="CK47" i="8" s="1"/>
  <c r="CY105" i="19"/>
  <c r="CK105" i="8" s="1"/>
  <c r="CY81" i="19"/>
  <c r="CK81" i="8" s="1"/>
  <c r="CY92" i="19"/>
  <c r="CK92" i="8" s="1"/>
  <c r="CL91" i="8" s="1"/>
  <c r="CM91" i="8" s="1"/>
  <c r="CY79" i="19"/>
  <c r="CK79" i="8" s="1"/>
  <c r="CY12" i="19"/>
  <c r="CK12" i="8" s="1"/>
  <c r="CY97" i="19"/>
  <c r="CK97" i="8" s="1"/>
  <c r="CY71" i="19"/>
  <c r="CK71" i="8" s="1"/>
  <c r="CY93" i="19"/>
  <c r="CK93" i="8" s="1"/>
  <c r="CY36" i="19"/>
  <c r="CK36" i="8" s="1"/>
  <c r="CY21" i="19"/>
  <c r="CK21" i="8" s="1"/>
  <c r="CY50" i="19"/>
  <c r="CK50" i="8" s="1"/>
  <c r="CX107" i="19"/>
  <c r="CY107" i="19" s="1"/>
  <c r="CK107" i="8" s="1"/>
  <c r="X27" i="7"/>
  <c r="AC27" i="7" s="1"/>
  <c r="CX15" i="19"/>
  <c r="CY15" i="19" s="1"/>
  <c r="CK15" i="8" s="1"/>
  <c r="CY77" i="19"/>
  <c r="CK77" i="8" s="1"/>
  <c r="CY38" i="19"/>
  <c r="CK38" i="8" s="1"/>
  <c r="CY98" i="19"/>
  <c r="CK98" i="8" s="1"/>
  <c r="CY90" i="19"/>
  <c r="CK90" i="8" s="1"/>
  <c r="CQ83" i="21"/>
  <c r="CQ84" i="21"/>
  <c r="CQ86" i="21"/>
  <c r="CQ100" i="21"/>
  <c r="CQ94" i="21"/>
  <c r="CQ45" i="21"/>
  <c r="CQ64" i="21"/>
  <c r="X23" i="7"/>
  <c r="AC23" i="7" s="1"/>
  <c r="CY73" i="19"/>
  <c r="CK73" i="8" s="1"/>
  <c r="CX62" i="19"/>
  <c r="CY62" i="19" s="1"/>
  <c r="CK62" i="8" s="1"/>
  <c r="X25" i="7"/>
  <c r="AC25" i="7" s="1"/>
  <c r="CX82" i="19"/>
  <c r="CY82" i="19" s="1"/>
  <c r="CK82" i="8" s="1"/>
  <c r="X26" i="7"/>
  <c r="AC26" i="7" s="1"/>
  <c r="CL15" i="22"/>
  <c r="CM15" i="22" s="1"/>
  <c r="CL17" i="22"/>
  <c r="CM17" i="22" s="1"/>
  <c r="CL31" i="22"/>
  <c r="CM31" i="22" s="1"/>
  <c r="CL24" i="22"/>
  <c r="CM24" i="22" s="1"/>
  <c r="CL83" i="22"/>
  <c r="CM83" i="22" s="1"/>
  <c r="CL19" i="22"/>
  <c r="CM19" i="22" s="1"/>
  <c r="CQ111" i="21"/>
  <c r="CL71" i="22"/>
  <c r="CM71" i="22" s="1"/>
  <c r="CQ60" i="21"/>
  <c r="CQ50" i="21"/>
  <c r="CQ96" i="21"/>
  <c r="CQ97" i="21"/>
  <c r="CQ57" i="21"/>
  <c r="CQ62" i="21"/>
  <c r="CQ98" i="21"/>
  <c r="CQ52" i="21"/>
  <c r="CQ58" i="21"/>
  <c r="CQ40" i="21"/>
  <c r="CQ43" i="21"/>
  <c r="CQ63" i="21"/>
  <c r="CQ73" i="21"/>
  <c r="CQ79" i="21"/>
  <c r="CQ44" i="21"/>
  <c r="CQ35" i="21"/>
  <c r="CQ36" i="21"/>
  <c r="CQ77" i="21"/>
  <c r="CQ81" i="21"/>
  <c r="CQ37" i="21"/>
  <c r="CQ66" i="21"/>
  <c r="CQ41" i="21"/>
  <c r="CQ78" i="21"/>
  <c r="CQ48" i="21"/>
  <c r="CQ46" i="21"/>
  <c r="CQ93" i="21"/>
  <c r="CQ92" i="21"/>
  <c r="CQ71" i="21"/>
  <c r="CQ85" i="21"/>
  <c r="CQ59" i="21"/>
  <c r="CL38" i="22"/>
  <c r="CM38" i="22" s="1"/>
  <c r="CY13" i="19"/>
  <c r="CK13" i="8" s="1"/>
  <c r="CL95" i="22"/>
  <c r="CM95" i="22" s="1"/>
  <c r="CL102" i="22"/>
  <c r="CM102" i="22" s="1"/>
  <c r="CL42" i="22"/>
  <c r="CM42" i="22" s="1"/>
  <c r="CL41" i="22"/>
  <c r="CM41" i="22" s="1"/>
  <c r="CL57" i="22"/>
  <c r="CM57" i="22" s="1"/>
  <c r="CL76" i="22"/>
  <c r="CM76" i="22" s="1"/>
  <c r="CQ14" i="21"/>
  <c r="CQ26" i="21"/>
  <c r="CQ34" i="21"/>
  <c r="CQ17" i="21"/>
  <c r="CQ22" i="21"/>
  <c r="D33" i="21"/>
  <c r="CL105" i="22"/>
  <c r="CM105" i="22" s="1"/>
  <c r="CQ20" i="21"/>
  <c r="CQ28" i="21"/>
  <c r="CL73" i="22"/>
  <c r="CM73" i="22" s="1"/>
  <c r="CL72" i="22"/>
  <c r="CM72" i="22" s="1"/>
  <c r="CL99" i="22"/>
  <c r="CM99" i="22" s="1"/>
  <c r="CL47" i="22"/>
  <c r="CM47" i="22" s="1"/>
  <c r="CL87" i="22"/>
  <c r="CM87" i="22" s="1"/>
  <c r="CL45" i="22"/>
  <c r="CM45" i="22" s="1"/>
  <c r="CQ21" i="21"/>
  <c r="CQ32" i="21"/>
  <c r="CQ25" i="21"/>
  <c r="CQ24" i="21"/>
  <c r="CQ12" i="21"/>
  <c r="CQ29" i="21"/>
  <c r="CQ33" i="21"/>
  <c r="CQ13" i="21"/>
  <c r="CL37" i="22"/>
  <c r="CM37" i="22" s="1"/>
  <c r="CQ30" i="21"/>
  <c r="CQ15" i="21"/>
  <c r="CQ31" i="21"/>
  <c r="CL51" i="22"/>
  <c r="CM51" i="22" s="1"/>
  <c r="CQ18" i="21"/>
  <c r="CQ27" i="21"/>
  <c r="CQ19" i="21"/>
  <c r="CL94" i="22"/>
  <c r="CM94" i="22" s="1"/>
  <c r="CL32" i="22"/>
  <c r="CM32" i="22" s="1"/>
  <c r="CL48" i="22"/>
  <c r="CM48" i="22" s="1"/>
  <c r="CL104" i="22"/>
  <c r="CM104" i="22" s="1"/>
  <c r="CL103" i="22"/>
  <c r="CM103" i="22" s="1"/>
  <c r="CL34" i="22"/>
  <c r="CM34" i="22" s="1"/>
  <c r="CL58" i="22"/>
  <c r="CM58" i="22" s="1"/>
  <c r="CL61" i="22"/>
  <c r="CM61" i="22" s="1"/>
  <c r="CL62" i="22"/>
  <c r="CM62" i="22" s="1"/>
  <c r="CL44" i="22"/>
  <c r="CM44" i="22" s="1"/>
  <c r="CL98" i="22"/>
  <c r="CM98" i="22" s="1"/>
  <c r="CL63" i="22"/>
  <c r="CM63" i="22" s="1"/>
  <c r="CQ23" i="21"/>
  <c r="CL97" i="22"/>
  <c r="CM97" i="22" s="1"/>
  <c r="CL70" i="22"/>
  <c r="CM70" i="22" s="1"/>
  <c r="CL39" i="22"/>
  <c r="CM39" i="22" s="1"/>
  <c r="CL43" i="22"/>
  <c r="CM43" i="22" s="1"/>
  <c r="CL80" i="22"/>
  <c r="CM80" i="22" s="1"/>
  <c r="CL65" i="22"/>
  <c r="CM65" i="22" s="1"/>
  <c r="CL50" i="22"/>
  <c r="CM50" i="22" s="1"/>
  <c r="CL75" i="22"/>
  <c r="CM75" i="22" s="1"/>
  <c r="CL90" i="22"/>
  <c r="CM90" i="22" s="1"/>
  <c r="CL59" i="22"/>
  <c r="CM59" i="22" s="1"/>
  <c r="CL77" i="22"/>
  <c r="CM77" i="22" s="1"/>
  <c r="CL49" i="22"/>
  <c r="CM49" i="22" s="1"/>
  <c r="CL56" i="22"/>
  <c r="CM56" i="22" s="1"/>
  <c r="CL60" i="22"/>
  <c r="CM60" i="22" s="1"/>
  <c r="CL91" i="22"/>
  <c r="CM91" i="22" s="1"/>
  <c r="CL82" i="22"/>
  <c r="CM82" i="22" s="1"/>
  <c r="CL96" i="22"/>
  <c r="CM96" i="22" s="1"/>
  <c r="CL84" i="22"/>
  <c r="CM84" i="22" s="1"/>
  <c r="CL81" i="22"/>
  <c r="CM81" i="22" s="1"/>
  <c r="CL79" i="22"/>
  <c r="CM79" i="22" s="1"/>
  <c r="CL35" i="22"/>
  <c r="CM35" i="22" s="1"/>
  <c r="CL86" i="22"/>
  <c r="CM86" i="22" s="1"/>
  <c r="CL54" i="22"/>
  <c r="CM54" i="22" s="1"/>
  <c r="CL55" i="22"/>
  <c r="CM55" i="22" s="1"/>
  <c r="CL52" i="22"/>
  <c r="CM52" i="22" s="1"/>
  <c r="CL88" i="22"/>
  <c r="CM88" i="22" s="1"/>
  <c r="CL23" i="22"/>
  <c r="CM23" i="22" s="1"/>
  <c r="CL22" i="22"/>
  <c r="CM22" i="22" s="1"/>
  <c r="CL28" i="22"/>
  <c r="CM28" i="22" s="1"/>
  <c r="CL66" i="22"/>
  <c r="CM66" i="22" s="1"/>
  <c r="CL21" i="22"/>
  <c r="CM21" i="22" s="1"/>
  <c r="CL25" i="22"/>
  <c r="CM25" i="22" s="1"/>
  <c r="CL92" i="22"/>
  <c r="CM92" i="22" s="1"/>
  <c r="CL78" i="22"/>
  <c r="CM78" i="22" s="1"/>
  <c r="CL26" i="22"/>
  <c r="CM26" i="22" s="1"/>
  <c r="CL20" i="22"/>
  <c r="CM20" i="22" s="1"/>
  <c r="CL16" i="22"/>
  <c r="CM16" i="22" s="1"/>
  <c r="CL29" i="22"/>
  <c r="CM29" i="22" s="1"/>
  <c r="CL111" i="22"/>
  <c r="CM111" i="22" s="1"/>
  <c r="CN111" i="22" s="1"/>
  <c r="CL107" i="22"/>
  <c r="CM107" i="22" s="1"/>
  <c r="CL101" i="22"/>
  <c r="CM101" i="22" s="1"/>
  <c r="CL100" i="22"/>
  <c r="CM100" i="22" s="1"/>
  <c r="CL110" i="22"/>
  <c r="CM110" i="22" s="1"/>
  <c r="CL109" i="22"/>
  <c r="CM109" i="22" s="1"/>
  <c r="CL108" i="22"/>
  <c r="CM108" i="22" s="1"/>
  <c r="CL53" i="22"/>
  <c r="CM53" i="22" s="1"/>
  <c r="CL64" i="22"/>
  <c r="CM64" i="22" s="1"/>
  <c r="CL36" i="22"/>
  <c r="CM36" i="22" s="1"/>
  <c r="CL69" i="22"/>
  <c r="CM69" i="22" s="1"/>
  <c r="CL40" i="22"/>
  <c r="CM40" i="22" s="1"/>
  <c r="CL85" i="22"/>
  <c r="CM85" i="22" s="1"/>
  <c r="CL106" i="22"/>
  <c r="CM106" i="22" s="1"/>
  <c r="CL46" i="22"/>
  <c r="CM46" i="22" s="1"/>
  <c r="CL89" i="22"/>
  <c r="CM89" i="22" s="1"/>
  <c r="CL33" i="22"/>
  <c r="CM33" i="22" s="1"/>
  <c r="CL74" i="22"/>
  <c r="CM74" i="22" s="1"/>
  <c r="CL27" i="22"/>
  <c r="CM27" i="22" s="1"/>
  <c r="CL19" i="8"/>
  <c r="CM19" i="8" s="1"/>
  <c r="I49" i="21"/>
  <c r="J49" i="21" s="1"/>
  <c r="CL117" i="8"/>
  <c r="CM117" i="8" s="1"/>
  <c r="CL118" i="8"/>
  <c r="CM118" i="8" s="1"/>
  <c r="CL67" i="8"/>
  <c r="CM67" i="8" s="1"/>
  <c r="CL121" i="8"/>
  <c r="CM121" i="8" s="1"/>
  <c r="I49" i="19"/>
  <c r="J49" i="19" s="1"/>
  <c r="CL116" i="8"/>
  <c r="CM116" i="8" s="1"/>
  <c r="CL119" i="8"/>
  <c r="CM119" i="8" s="1"/>
  <c r="CL123" i="8"/>
  <c r="CM123" i="8" s="1"/>
  <c r="CN123" i="8" s="1"/>
  <c r="CL41" i="8"/>
  <c r="CM41" i="8" s="1"/>
  <c r="CL113" i="8"/>
  <c r="CM113" i="8" s="1"/>
  <c r="CL48" i="8"/>
  <c r="CM48" i="8" s="1"/>
  <c r="CL115" i="8"/>
  <c r="CM115" i="8" s="1"/>
  <c r="CL33" i="8"/>
  <c r="CM33" i="8" s="1"/>
  <c r="CL114" i="8"/>
  <c r="CM114" i="8" s="1"/>
  <c r="CN124" i="8"/>
  <c r="CL122" i="8"/>
  <c r="CM122" i="8" s="1"/>
  <c r="CL120" i="8"/>
  <c r="CM120" i="8" s="1"/>
  <c r="CL95" i="8" l="1"/>
  <c r="CM95" i="8" s="1"/>
  <c r="CL84" i="8"/>
  <c r="CM84" i="8" s="1"/>
  <c r="CL42" i="8"/>
  <c r="CM42" i="8" s="1"/>
  <c r="CL68" i="8"/>
  <c r="CM68" i="8" s="1"/>
  <c r="CL85" i="8"/>
  <c r="CM85" i="8" s="1"/>
  <c r="CL26" i="8"/>
  <c r="CM26" i="8" s="1"/>
  <c r="CL47" i="8"/>
  <c r="CM47" i="8" s="1"/>
  <c r="CL51" i="8"/>
  <c r="CM51" i="8" s="1"/>
  <c r="CL58" i="8"/>
  <c r="CM58" i="8" s="1"/>
  <c r="CL94" i="8"/>
  <c r="CM94" i="8" s="1"/>
  <c r="CL100" i="8"/>
  <c r="CM100" i="8" s="1"/>
  <c r="CL109" i="8"/>
  <c r="CM109" i="8" s="1"/>
  <c r="CL20" i="8"/>
  <c r="CM20" i="8" s="1"/>
  <c r="CL77" i="8"/>
  <c r="CM77" i="8" s="1"/>
  <c r="CL43" i="8"/>
  <c r="CM43" i="8" s="1"/>
  <c r="CL30" i="8"/>
  <c r="CM30" i="8" s="1"/>
  <c r="CL111" i="8"/>
  <c r="CM111" i="8" s="1"/>
  <c r="CN111" i="8" s="1"/>
  <c r="CL45" i="8"/>
  <c r="CM45" i="8" s="1"/>
  <c r="CL35" i="8"/>
  <c r="CM35" i="8" s="1"/>
  <c r="CL18" i="8"/>
  <c r="CM18" i="8" s="1"/>
  <c r="CL14" i="8"/>
  <c r="CM14" i="8" s="1"/>
  <c r="CL27" i="8"/>
  <c r="CM27" i="8" s="1"/>
  <c r="CL13" i="8"/>
  <c r="CM13" i="8" s="1"/>
  <c r="CL110" i="8"/>
  <c r="CM110" i="8" s="1"/>
  <c r="CL69" i="8"/>
  <c r="CM69" i="8" s="1"/>
  <c r="CL22" i="8"/>
  <c r="CM22" i="8" s="1"/>
  <c r="CL39" i="8"/>
  <c r="CM39" i="8" s="1"/>
  <c r="CL37" i="8"/>
  <c r="CM37" i="8" s="1"/>
  <c r="CL99" i="8"/>
  <c r="CM99" i="8" s="1"/>
  <c r="CL88" i="8"/>
  <c r="CM88" i="8" s="1"/>
  <c r="CL79" i="8"/>
  <c r="CM79" i="8" s="1"/>
  <c r="CL80" i="8"/>
  <c r="CM80" i="8" s="1"/>
  <c r="CL53" i="8"/>
  <c r="CM53" i="8" s="1"/>
  <c r="CL74" i="8"/>
  <c r="CM74" i="8" s="1"/>
  <c r="CL15" i="8"/>
  <c r="CM15" i="8" s="1"/>
  <c r="CL96" i="8"/>
  <c r="CM96" i="8" s="1"/>
  <c r="CL23" i="8"/>
  <c r="CM23" i="8" s="1"/>
  <c r="CL21" i="8"/>
  <c r="CM21" i="8" s="1"/>
  <c r="CL73" i="8"/>
  <c r="CM73" i="8" s="1"/>
  <c r="CL50" i="8"/>
  <c r="CM50" i="8" s="1"/>
  <c r="CL93" i="8"/>
  <c r="CM93" i="8" s="1"/>
  <c r="CL89" i="8"/>
  <c r="CM89" i="8" s="1"/>
  <c r="CL60" i="8"/>
  <c r="CM60" i="8" s="1"/>
  <c r="CL65" i="8"/>
  <c r="CM65" i="8" s="1"/>
  <c r="CL64" i="8"/>
  <c r="CM64" i="8" s="1"/>
  <c r="CL87" i="8"/>
  <c r="CM87" i="8" s="1"/>
  <c r="CL46" i="8"/>
  <c r="CM46" i="8" s="1"/>
  <c r="CL31" i="8"/>
  <c r="CM31" i="8" s="1"/>
  <c r="CL103" i="8"/>
  <c r="CM103" i="8" s="1"/>
  <c r="CL55" i="8"/>
  <c r="CM55" i="8" s="1"/>
  <c r="CL75" i="8"/>
  <c r="CM75" i="8" s="1"/>
  <c r="CL52" i="8"/>
  <c r="CM52" i="8" s="1"/>
  <c r="CL86" i="8"/>
  <c r="CM86" i="8" s="1"/>
  <c r="CL105" i="8"/>
  <c r="CM105" i="8" s="1"/>
  <c r="CL29" i="8"/>
  <c r="CM29" i="8" s="1"/>
  <c r="CL70" i="8"/>
  <c r="CM70" i="8" s="1"/>
  <c r="CL92" i="8"/>
  <c r="CM92" i="8" s="1"/>
  <c r="CL59" i="8"/>
  <c r="CM59" i="8" s="1"/>
  <c r="CL104" i="8"/>
  <c r="CM104" i="8" s="1"/>
  <c r="CL97" i="8"/>
  <c r="CM97" i="8" s="1"/>
  <c r="CL78" i="8"/>
  <c r="CM78" i="8" s="1"/>
  <c r="CL90" i="8"/>
  <c r="CM90" i="8" s="1"/>
  <c r="CL49" i="8"/>
  <c r="CM49" i="8" s="1"/>
  <c r="CL98" i="8"/>
  <c r="CM98" i="8" s="1"/>
  <c r="CL36" i="8"/>
  <c r="CM36" i="8" s="1"/>
  <c r="CL72" i="8"/>
  <c r="CM72" i="8" s="1"/>
  <c r="CL76" i="8"/>
  <c r="CM76" i="8" s="1"/>
  <c r="CL71" i="8"/>
  <c r="CM71" i="8" s="1"/>
  <c r="CL107" i="8"/>
  <c r="CM107" i="8" s="1"/>
  <c r="CL106" i="8"/>
  <c r="CM106" i="8" s="1"/>
  <c r="CL38" i="8"/>
  <c r="CM38" i="8" s="1"/>
  <c r="CL82" i="8"/>
  <c r="CM82" i="8" s="1"/>
  <c r="CL81" i="8"/>
  <c r="CM81" i="8" s="1"/>
  <c r="CL62" i="8"/>
  <c r="CM62" i="8" s="1"/>
  <c r="CL61" i="8"/>
  <c r="CM61" i="8" s="1"/>
  <c r="CN110" i="22"/>
  <c r="CN108" i="22"/>
  <c r="CN106" i="22"/>
  <c r="CN109" i="22"/>
  <c r="CN107" i="22"/>
  <c r="CN61" i="22"/>
  <c r="CN102" i="22"/>
  <c r="CN96" i="22"/>
  <c r="CN58" i="22"/>
  <c r="CN52" i="22"/>
  <c r="CN90" i="22"/>
  <c r="CN50" i="22"/>
  <c r="CN81" i="22"/>
  <c r="CN95" i="22"/>
  <c r="CN56" i="22"/>
  <c r="CN76" i="22"/>
  <c r="CN98" i="22"/>
  <c r="CN57" i="22"/>
  <c r="CN71" i="22"/>
  <c r="CN62" i="22"/>
  <c r="CN99" i="22"/>
  <c r="CN55" i="22"/>
  <c r="CN92" i="22"/>
  <c r="CN101" i="22"/>
  <c r="CN68" i="22"/>
  <c r="CN69" i="22"/>
  <c r="CN73" i="22"/>
  <c r="CN60" i="22"/>
  <c r="CN78" i="22"/>
  <c r="CN85" i="22"/>
  <c r="CN79" i="22"/>
  <c r="CN86" i="22"/>
  <c r="CN100" i="22"/>
  <c r="CN93" i="22"/>
  <c r="CN59" i="22"/>
  <c r="CN80" i="22"/>
  <c r="CN63" i="22"/>
  <c r="CN94" i="22"/>
  <c r="CN104" i="22"/>
  <c r="CN36" i="22"/>
  <c r="CN34" i="22"/>
  <c r="CN67" i="22"/>
  <c r="CN77" i="22"/>
  <c r="CN37" i="22"/>
  <c r="CN48" i="22"/>
  <c r="CN88" i="22"/>
  <c r="CN75" i="22"/>
  <c r="CN13" i="22"/>
  <c r="CN45" i="22"/>
  <c r="CN25" i="22"/>
  <c r="CN35" i="22"/>
  <c r="CN40" i="22"/>
  <c r="CN38" i="22"/>
  <c r="CN39" i="22"/>
  <c r="CN44" i="22"/>
  <c r="CN89" i="22"/>
  <c r="CN105" i="22"/>
  <c r="CN41" i="22"/>
  <c r="CN43" i="22"/>
  <c r="CN47" i="22"/>
  <c r="CN74" i="22"/>
  <c r="CN103" i="22"/>
  <c r="CN83" i="22"/>
  <c r="CN22" i="22"/>
  <c r="CN46" i="22"/>
  <c r="CN64" i="22"/>
  <c r="CN42" i="22"/>
  <c r="CN51" i="22"/>
  <c r="CN97" i="22"/>
  <c r="CN54" i="22"/>
  <c r="CN49" i="22"/>
  <c r="CN66" i="22"/>
  <c r="CN91" i="22"/>
  <c r="CN27" i="22"/>
  <c r="CN24" i="22"/>
  <c r="CN23" i="22"/>
  <c r="CN20" i="22"/>
  <c r="CN16" i="22"/>
  <c r="CN26" i="22"/>
  <c r="CN30" i="22"/>
  <c r="CN33" i="22"/>
  <c r="CN29" i="22"/>
  <c r="CN17" i="22"/>
  <c r="CN31" i="22"/>
  <c r="CN12" i="22"/>
  <c r="CN21" i="22"/>
  <c r="CN19" i="22"/>
  <c r="CN18" i="22"/>
  <c r="CN15" i="22"/>
  <c r="CN32" i="22"/>
  <c r="CN28" i="22"/>
  <c r="CN72" i="22"/>
  <c r="CN84" i="22"/>
  <c r="CN70" i="22"/>
  <c r="CN87" i="22"/>
  <c r="CN53" i="22"/>
  <c r="CN82" i="22"/>
  <c r="CN65" i="22"/>
  <c r="CN14" i="22"/>
  <c r="CN122" i="8"/>
  <c r="CN116" i="8"/>
  <c r="CN112" i="8"/>
  <c r="CN115" i="8"/>
  <c r="CN119" i="8"/>
  <c r="CN114" i="8"/>
  <c r="CN113" i="8"/>
  <c r="CN117" i="8"/>
  <c r="CN121" i="8"/>
  <c r="CN120" i="8"/>
  <c r="CN118" i="8"/>
  <c r="CN109" i="8" l="1"/>
  <c r="CN108" i="8"/>
  <c r="CN110" i="8"/>
  <c r="CQ53" i="22"/>
  <c r="CQ18" i="22"/>
  <c r="CQ30" i="22"/>
  <c r="CQ66" i="22"/>
  <c r="CQ22" i="22"/>
  <c r="CQ13" i="22"/>
  <c r="CN82" i="8"/>
  <c r="CN107" i="8"/>
  <c r="CN23" i="8"/>
  <c r="CN102" i="8"/>
  <c r="CN88" i="8"/>
  <c r="CN84" i="8"/>
  <c r="CN44" i="8"/>
  <c r="CN103" i="8"/>
  <c r="CN97" i="8"/>
  <c r="CN87" i="8"/>
  <c r="CN98" i="8"/>
  <c r="CN94" i="8"/>
  <c r="CN86" i="8"/>
  <c r="CN96" i="8"/>
  <c r="CN64" i="8"/>
  <c r="CN83" i="8"/>
  <c r="CN104" i="8"/>
  <c r="CN91" i="8"/>
  <c r="CN14" i="8"/>
  <c r="CN105" i="8"/>
  <c r="CN99" i="8"/>
  <c r="CN85" i="8"/>
  <c r="CN92" i="8"/>
  <c r="CN100" i="8"/>
  <c r="CN79" i="8"/>
  <c r="CN93" i="8"/>
  <c r="CN95" i="8"/>
  <c r="CN90" i="8"/>
  <c r="CN89" i="8"/>
  <c r="CN101" i="8"/>
  <c r="CN106" i="8"/>
  <c r="CN49" i="8"/>
  <c r="CN75" i="8"/>
  <c r="CN66" i="8"/>
  <c r="CN71" i="8"/>
  <c r="CN63" i="8"/>
  <c r="CN18" i="8"/>
  <c r="CN39" i="8"/>
  <c r="CN73" i="8"/>
  <c r="CN67" i="8"/>
  <c r="CN76" i="8"/>
  <c r="CN72" i="8"/>
  <c r="CN65" i="8"/>
  <c r="CN50" i="8"/>
  <c r="CN70" i="8"/>
  <c r="CN62" i="8"/>
  <c r="CN16" i="8"/>
  <c r="CN68" i="8"/>
  <c r="CN81" i="8"/>
  <c r="CN78" i="8"/>
  <c r="CN52" i="8"/>
  <c r="CN80" i="8"/>
  <c r="CN40" i="8"/>
  <c r="CN69" i="8"/>
  <c r="CN74" i="8"/>
  <c r="CN53" i="8"/>
  <c r="CN43" i="8"/>
  <c r="CN77" i="8"/>
  <c r="CN30" i="8"/>
  <c r="CN32" i="8"/>
  <c r="CN36" i="8"/>
  <c r="CN27" i="8"/>
  <c r="CN20" i="8"/>
  <c r="CN55" i="8"/>
  <c r="CN12" i="8"/>
  <c r="CN48" i="8"/>
  <c r="CN37" i="8"/>
  <c r="CN57" i="8"/>
  <c r="CN28" i="8"/>
  <c r="CN26" i="8"/>
  <c r="CN58" i="8"/>
  <c r="CN31" i="8"/>
  <c r="CN47" i="8"/>
  <c r="CN21" i="8"/>
  <c r="CN38" i="8"/>
  <c r="CN34" i="8"/>
  <c r="CN22" i="8"/>
  <c r="CN24" i="8"/>
  <c r="CN33" i="8"/>
  <c r="CN29" i="8"/>
  <c r="CN51" i="8"/>
  <c r="CN25" i="8"/>
  <c r="CN46" i="8"/>
  <c r="CN56" i="8"/>
  <c r="CN17" i="8"/>
  <c r="CN13" i="8"/>
  <c r="CN19" i="8"/>
  <c r="CN61" i="8"/>
  <c r="CN41" i="8"/>
  <c r="CN15" i="8"/>
  <c r="CN35" i="8"/>
  <c r="CN42" i="8"/>
  <c r="CN60" i="8"/>
  <c r="CN59" i="8"/>
  <c r="CN54" i="8"/>
  <c r="CN45" i="8"/>
  <c r="CQ85" i="22"/>
  <c r="CQ43" i="22"/>
  <c r="CQ34" i="22"/>
  <c r="CQ109" i="22"/>
  <c r="CQ70" i="22"/>
  <c r="CQ103" i="22"/>
  <c r="CQ88" i="22"/>
  <c r="CQ108" i="22"/>
  <c r="CQ56" i="22"/>
  <c r="CQ118" i="22"/>
  <c r="CQ25" i="22"/>
  <c r="CQ80" i="22"/>
  <c r="CQ51" i="22"/>
  <c r="CQ47" i="22"/>
  <c r="CQ76" i="22"/>
  <c r="CQ17" i="22"/>
  <c r="CQ93" i="22"/>
  <c r="CQ94" i="22"/>
  <c r="CQ45" i="22"/>
  <c r="CQ82" i="22"/>
  <c r="CQ15" i="22"/>
  <c r="CQ33" i="22"/>
  <c r="CQ81" i="22"/>
  <c r="CQ91" i="22"/>
  <c r="CQ46" i="22"/>
  <c r="CQ114" i="22"/>
  <c r="CQ112" i="22"/>
  <c r="CQ24" i="22"/>
  <c r="CQ84" i="22"/>
  <c r="CQ95" i="22"/>
  <c r="CQ55" i="22"/>
  <c r="CQ113" i="22"/>
  <c r="CQ69" i="22"/>
  <c r="CQ98" i="22"/>
  <c r="CQ124" i="22"/>
  <c r="CQ65" i="22"/>
  <c r="CQ32" i="22"/>
  <c r="CQ29" i="22"/>
  <c r="CQ27" i="22"/>
  <c r="CQ64" i="22"/>
  <c r="CQ123" i="22"/>
  <c r="CQ50" i="22"/>
  <c r="CQ68" i="22"/>
  <c r="CQ96" i="22"/>
  <c r="CQ77" i="22"/>
  <c r="CQ41" i="22"/>
  <c r="CQ58" i="22"/>
  <c r="CQ40" i="22"/>
  <c r="CQ36" i="22"/>
  <c r="CQ38" i="22"/>
  <c r="CQ86" i="22"/>
  <c r="CQ72" i="22"/>
  <c r="CQ119" i="22"/>
  <c r="CQ39" i="22"/>
  <c r="CQ73" i="22"/>
  <c r="CQ61" i="22"/>
  <c r="CQ67" i="22"/>
  <c r="CQ12" i="22"/>
  <c r="H15" i="22" s="1"/>
  <c r="CQ105" i="22"/>
  <c r="CQ71" i="22"/>
  <c r="CQ52" i="22"/>
  <c r="CQ28" i="22"/>
  <c r="CQ42" i="22"/>
  <c r="CQ37" i="22"/>
  <c r="CQ20" i="22"/>
  <c r="CQ19" i="22"/>
  <c r="CQ97" i="22"/>
  <c r="CQ62" i="22"/>
  <c r="CQ122" i="22"/>
  <c r="CQ90" i="22"/>
  <c r="CQ78" i="22"/>
  <c r="CQ116" i="22"/>
  <c r="CQ49" i="22"/>
  <c r="CQ87" i="22"/>
  <c r="CQ26" i="22"/>
  <c r="CQ107" i="22"/>
  <c r="CQ60" i="22"/>
  <c r="CQ111" i="22"/>
  <c r="CQ115" i="22"/>
  <c r="CQ48" i="22"/>
  <c r="CQ54" i="22"/>
  <c r="CQ100" i="22"/>
  <c r="CQ99" i="22"/>
  <c r="CQ75" i="22"/>
  <c r="CQ110" i="22"/>
  <c r="CQ63" i="22"/>
  <c r="CQ83" i="22"/>
  <c r="CQ120" i="22"/>
  <c r="CQ16" i="22"/>
  <c r="CQ106" i="22"/>
  <c r="CQ102" i="22"/>
  <c r="CQ57" i="22"/>
  <c r="CQ125" i="22"/>
  <c r="CQ89" i="22"/>
  <c r="CQ92" i="22"/>
  <c r="CQ74" i="22"/>
  <c r="CQ101" i="22"/>
  <c r="CQ79" i="22"/>
  <c r="CQ104" i="22"/>
  <c r="CQ44" i="22"/>
  <c r="CQ117" i="22"/>
  <c r="CQ23" i="22"/>
  <c r="CQ21" i="22"/>
  <c r="CQ59" i="22"/>
  <c r="CQ35" i="22"/>
  <c r="CQ121" i="22"/>
  <c r="CQ31" i="22"/>
  <c r="CQ14" i="22"/>
  <c r="CQ50" i="8" l="1"/>
  <c r="CQ15" i="8"/>
  <c r="CQ25" i="8"/>
  <c r="CQ21" i="8"/>
  <c r="CQ48" i="8"/>
  <c r="CQ77" i="8"/>
  <c r="CQ72" i="8"/>
  <c r="CQ91" i="8"/>
  <c r="CQ66" i="8"/>
  <c r="CQ87" i="8"/>
  <c r="CQ93" i="8"/>
  <c r="CQ78" i="8"/>
  <c r="CQ96" i="8"/>
  <c r="CQ90" i="8"/>
  <c r="CQ16" i="8"/>
  <c r="CQ70" i="8"/>
  <c r="CQ40" i="8"/>
  <c r="CQ56" i="8"/>
  <c r="CQ86" i="8"/>
  <c r="CQ118" i="8"/>
  <c r="CQ116" i="8"/>
  <c r="CQ71" i="8"/>
  <c r="CQ105" i="8"/>
  <c r="CQ24" i="8"/>
  <c r="CQ54" i="8"/>
  <c r="CQ92" i="8"/>
  <c r="CQ117" i="8"/>
  <c r="CQ74" i="8"/>
  <c r="CQ69" i="8"/>
  <c r="CQ85" i="8"/>
  <c r="CQ114" i="8"/>
  <c r="CQ124" i="8"/>
  <c r="CQ17" i="8"/>
  <c r="CQ28" i="8"/>
  <c r="CQ82" i="8"/>
  <c r="CQ89" i="8"/>
  <c r="CQ14" i="8"/>
  <c r="CQ18" i="8"/>
  <c r="CQ13" i="8"/>
  <c r="CQ26" i="8"/>
  <c r="CQ108" i="8"/>
  <c r="CQ112" i="8"/>
  <c r="CQ95" i="8"/>
  <c r="CQ106" i="8"/>
  <c r="CQ36" i="8"/>
  <c r="CQ60" i="8"/>
  <c r="CQ88" i="8"/>
  <c r="CQ102" i="8"/>
  <c r="CQ35" i="8"/>
  <c r="CQ46" i="8"/>
  <c r="CQ38" i="8"/>
  <c r="CQ37" i="8"/>
  <c r="CQ33" i="8"/>
  <c r="CQ39" i="8"/>
  <c r="CQ41" i="8"/>
  <c r="CQ51" i="8"/>
  <c r="CQ47" i="8"/>
  <c r="CQ125" i="8"/>
  <c r="CQ43" i="8"/>
  <c r="CQ81" i="8"/>
  <c r="CQ76" i="8"/>
  <c r="CQ75" i="8"/>
  <c r="CQ79" i="8"/>
  <c r="CQ104" i="8"/>
  <c r="CQ97" i="8"/>
  <c r="CQ73" i="8"/>
  <c r="CQ65" i="8"/>
  <c r="CQ64" i="8"/>
  <c r="CQ94" i="8"/>
  <c r="CQ45" i="8"/>
  <c r="CQ61" i="8"/>
  <c r="CQ29" i="8"/>
  <c r="CQ31" i="8"/>
  <c r="CQ55" i="8"/>
  <c r="CQ53" i="8"/>
  <c r="CQ68" i="8"/>
  <c r="CQ67" i="8"/>
  <c r="CQ49" i="8"/>
  <c r="CQ100" i="8"/>
  <c r="CQ83" i="8"/>
  <c r="CQ103" i="8"/>
  <c r="CQ63" i="8"/>
  <c r="CQ109" i="8"/>
  <c r="CQ98" i="8"/>
  <c r="CQ23" i="8"/>
  <c r="CQ111" i="8"/>
  <c r="CQ115" i="8"/>
  <c r="CQ110" i="8"/>
  <c r="CQ22" i="8"/>
  <c r="CQ42" i="8"/>
  <c r="CQ34" i="8"/>
  <c r="CQ32" i="8"/>
  <c r="CQ59" i="8"/>
  <c r="CQ119" i="8"/>
  <c r="CQ30" i="8"/>
  <c r="CQ121" i="8"/>
  <c r="CQ120" i="8"/>
  <c r="CQ123" i="8"/>
  <c r="CQ27" i="8"/>
  <c r="CQ19" i="8"/>
  <c r="CQ62" i="8"/>
  <c r="CQ80" i="8"/>
  <c r="CQ107" i="8"/>
  <c r="CQ58" i="8"/>
  <c r="CQ101" i="8"/>
  <c r="CQ20" i="8"/>
  <c r="CQ84" i="8"/>
  <c r="CQ122" i="8"/>
  <c r="CQ113" i="8"/>
  <c r="CQ52" i="8"/>
  <c r="CQ99" i="8"/>
  <c r="CQ44" i="8"/>
  <c r="CQ57" i="8"/>
  <c r="CQ12" i="8"/>
  <c r="H15" i="8" s="1"/>
  <c r="H23" i="8" s="1"/>
  <c r="K23" i="22"/>
  <c r="J22" i="22"/>
  <c r="K22" i="22"/>
  <c r="H16" i="22"/>
  <c r="H16" i="8" l="1"/>
  <c r="K24" i="22"/>
  <c r="K26" i="22" s="1"/>
  <c r="K28" i="22" s="1"/>
  <c r="K29" i="22" s="1"/>
  <c r="H22" i="8" l="1"/>
  <c r="H24" i="8" s="1"/>
  <c r="P8" i="7" s="1"/>
  <c r="P9" i="7" s="1"/>
  <c r="K22" i="8"/>
  <c r="K24" i="8" s="1"/>
  <c r="K26" i="8" s="1"/>
  <c r="K28" i="8" s="1"/>
  <c r="K29" i="8" s="1"/>
  <c r="CW53" i="22"/>
  <c r="CZ53" i="22" s="1"/>
  <c r="CW39" i="22"/>
  <c r="CZ39" i="22" s="1"/>
  <c r="CW69" i="22"/>
  <c r="CZ69" i="22" s="1"/>
  <c r="CW80" i="22"/>
  <c r="CZ80" i="22" s="1"/>
  <c r="CW60" i="22"/>
  <c r="CZ60" i="22" s="1"/>
  <c r="CW51" i="22"/>
  <c r="CZ51" i="22" s="1"/>
  <c r="CW12" i="22"/>
  <c r="CZ12" i="22" s="1"/>
  <c r="CW66" i="22"/>
  <c r="CZ66" i="22" s="1"/>
  <c r="CW85" i="22"/>
  <c r="CZ85" i="22" s="1"/>
  <c r="CW96" i="22"/>
  <c r="CZ96" i="22" s="1"/>
  <c r="CW21" i="22"/>
  <c r="CZ21" i="22" s="1"/>
  <c r="CW13" i="22"/>
  <c r="CZ13" i="22" s="1"/>
  <c r="CW42" i="22"/>
  <c r="CZ42" i="22" s="1"/>
  <c r="CW61" i="22"/>
  <c r="CZ61" i="22" s="1"/>
  <c r="CW116" i="22"/>
  <c r="CZ116" i="22" s="1"/>
  <c r="CW84" i="22"/>
  <c r="CZ84" i="22" s="1"/>
  <c r="CW115" i="22"/>
  <c r="CZ115" i="22" s="1"/>
  <c r="CW37" i="22"/>
  <c r="CZ37" i="22" s="1"/>
  <c r="CW91" i="22"/>
  <c r="CZ91" i="22" s="1"/>
  <c r="CW65" i="22"/>
  <c r="CZ65" i="22" s="1"/>
  <c r="CW16" i="22"/>
  <c r="CZ16" i="22" s="1"/>
  <c r="CW32" i="22"/>
  <c r="CZ32" i="22" s="1"/>
  <c r="CW88" i="22"/>
  <c r="CZ88" i="22" s="1"/>
  <c r="CW70" i="22"/>
  <c r="CZ70" i="22" s="1"/>
  <c r="CW114" i="22"/>
  <c r="CZ114" i="22" s="1"/>
  <c r="CW89" i="22"/>
  <c r="CZ89" i="22" s="1"/>
  <c r="H22" i="22"/>
  <c r="H24" i="22" s="1"/>
  <c r="H25" i="22" s="1"/>
  <c r="CW59" i="22"/>
  <c r="CZ59" i="22" s="1"/>
  <c r="CW76" i="22"/>
  <c r="CZ76" i="22" s="1"/>
  <c r="CW103" i="22"/>
  <c r="CZ103" i="22" s="1"/>
  <c r="CW93" i="22"/>
  <c r="CZ93" i="22" s="1"/>
  <c r="CW56" i="22"/>
  <c r="CZ56" i="22" s="1"/>
  <c r="CW14" i="22"/>
  <c r="CZ14" i="22" s="1"/>
  <c r="CW104" i="22"/>
  <c r="CZ104" i="22" s="1"/>
  <c r="CW75" i="22"/>
  <c r="CZ75" i="22" s="1"/>
  <c r="CW30" i="22"/>
  <c r="CZ30" i="22" s="1"/>
  <c r="CW25" i="22"/>
  <c r="CZ25" i="22" s="1"/>
  <c r="CW22" i="22"/>
  <c r="CZ22" i="22" s="1"/>
  <c r="CW73" i="22"/>
  <c r="CZ73" i="22" s="1"/>
  <c r="CW102" i="22"/>
  <c r="CZ102" i="22" s="1"/>
  <c r="CW68" i="22"/>
  <c r="CZ68" i="22" s="1"/>
  <c r="CW63" i="22"/>
  <c r="CZ63" i="22" s="1"/>
  <c r="CW49" i="22"/>
  <c r="CZ49" i="22" s="1"/>
  <c r="CW67" i="22"/>
  <c r="CZ67" i="22" s="1"/>
  <c r="CW108" i="22"/>
  <c r="CZ108" i="22" s="1"/>
  <c r="CW117" i="22"/>
  <c r="CZ117" i="22" s="1"/>
  <c r="CW15" i="22"/>
  <c r="CZ15" i="22" s="1"/>
  <c r="CW44" i="22"/>
  <c r="CZ44" i="22" s="1"/>
  <c r="CW97" i="22"/>
  <c r="CZ97" i="22" s="1"/>
  <c r="CW121" i="22"/>
  <c r="CZ121" i="22" s="1"/>
  <c r="CW31" i="22"/>
  <c r="CZ31" i="22" s="1"/>
  <c r="CW35" i="22"/>
  <c r="CZ35" i="22" s="1"/>
  <c r="CW83" i="22"/>
  <c r="CZ83" i="22" s="1"/>
  <c r="CW78" i="22"/>
  <c r="CZ78" i="22" s="1"/>
  <c r="CW36" i="22"/>
  <c r="CZ36" i="22" s="1"/>
  <c r="CW82" i="22"/>
  <c r="CZ82" i="22" s="1"/>
  <c r="CW62" i="22"/>
  <c r="CZ62" i="22" s="1"/>
  <c r="CW40" i="22"/>
  <c r="CZ40" i="22" s="1"/>
  <c r="CW54" i="22"/>
  <c r="CZ54" i="22" s="1"/>
  <c r="CW23" i="22"/>
  <c r="CZ23" i="22" s="1"/>
  <c r="CW113" i="22"/>
  <c r="CZ113" i="22" s="1"/>
  <c r="CW105" i="22"/>
  <c r="CZ105" i="22" s="1"/>
  <c r="CW38" i="22"/>
  <c r="CZ38" i="22" s="1"/>
  <c r="CW64" i="22"/>
  <c r="CZ64" i="22" s="1"/>
  <c r="CW87" i="22"/>
  <c r="CZ87" i="22" s="1"/>
  <c r="CW95" i="22"/>
  <c r="CZ95" i="22" s="1"/>
  <c r="CW18" i="22"/>
  <c r="CZ18" i="22" s="1"/>
  <c r="CW52" i="22"/>
  <c r="CZ52" i="22" s="1"/>
  <c r="CW119" i="22"/>
  <c r="CZ119" i="22" s="1"/>
  <c r="CW29" i="22"/>
  <c r="CZ29" i="22" s="1"/>
  <c r="CW100" i="22"/>
  <c r="CZ100" i="22" s="1"/>
  <c r="CW50" i="22"/>
  <c r="CZ50" i="22" s="1"/>
  <c r="CW48" i="22"/>
  <c r="CZ48" i="22" s="1"/>
  <c r="CW46" i="22"/>
  <c r="CZ46" i="22" s="1"/>
  <c r="CW92" i="22"/>
  <c r="CZ92" i="22" s="1"/>
  <c r="CW34" i="22"/>
  <c r="CZ34" i="22" s="1"/>
  <c r="CW124" i="22"/>
  <c r="CZ124" i="22" s="1"/>
  <c r="CW106" i="22"/>
  <c r="CZ106" i="22" s="1"/>
  <c r="CW57" i="22"/>
  <c r="CZ57" i="22" s="1"/>
  <c r="CW58" i="22"/>
  <c r="CZ58" i="22" s="1"/>
  <c r="CW81" i="22"/>
  <c r="CZ81" i="22" s="1"/>
  <c r="CW26" i="22"/>
  <c r="CZ26" i="22" s="1"/>
  <c r="CW74" i="22"/>
  <c r="CZ74" i="22" s="1"/>
  <c r="CW19" i="22"/>
  <c r="CZ19" i="22" s="1"/>
  <c r="CW79" i="22"/>
  <c r="CZ79" i="22" s="1"/>
  <c r="CW94" i="22"/>
  <c r="CZ94" i="22" s="1"/>
  <c r="CW123" i="22"/>
  <c r="CZ123" i="22" s="1"/>
  <c r="K25" i="22"/>
  <c r="CW45" i="22"/>
  <c r="CZ45" i="22" s="1"/>
  <c r="CW33" i="22"/>
  <c r="CZ33" i="22" s="1"/>
  <c r="CW27" i="22"/>
  <c r="CZ27" i="22" s="1"/>
  <c r="CW72" i="22"/>
  <c r="CZ72" i="22" s="1"/>
  <c r="CW77" i="22"/>
  <c r="CZ77" i="22" s="1"/>
  <c r="CW107" i="22"/>
  <c r="CZ107" i="22" s="1"/>
  <c r="CW47" i="22"/>
  <c r="CZ47" i="22" s="1"/>
  <c r="CW86" i="22"/>
  <c r="CZ86" i="22" s="1"/>
  <c r="CW101" i="22"/>
  <c r="CZ101" i="22" s="1"/>
  <c r="CW90" i="22"/>
  <c r="CZ90" i="22" s="1"/>
  <c r="CW98" i="22"/>
  <c r="CZ98" i="22" s="1"/>
  <c r="CW28" i="22"/>
  <c r="CZ28" i="22" s="1"/>
  <c r="CW120" i="22"/>
  <c r="CZ120" i="22" s="1"/>
  <c r="CW122" i="22"/>
  <c r="CZ122" i="22" s="1"/>
  <c r="CW110" i="22"/>
  <c r="CZ110" i="22" s="1"/>
  <c r="CW24" i="22"/>
  <c r="CZ24" i="22" s="1"/>
  <c r="CW118" i="22"/>
  <c r="CZ118" i="22" s="1"/>
  <c r="CW109" i="22"/>
  <c r="CZ109" i="22" s="1"/>
  <c r="CW99" i="22"/>
  <c r="CZ99" i="22" s="1"/>
  <c r="CW112" i="22"/>
  <c r="CZ112" i="22" s="1"/>
  <c r="CW43" i="22"/>
  <c r="CZ43" i="22" s="1"/>
  <c r="CW20" i="22"/>
  <c r="CZ20" i="22" s="1"/>
  <c r="CW17" i="22"/>
  <c r="CZ17" i="22" s="1"/>
  <c r="CW71" i="22"/>
  <c r="CZ71" i="22" s="1"/>
  <c r="CW55" i="22"/>
  <c r="CZ55" i="22" s="1"/>
  <c r="CW111" i="22"/>
  <c r="CZ111" i="22" s="1"/>
  <c r="CW41" i="22"/>
  <c r="CZ41" i="22" s="1"/>
  <c r="I50" i="8" l="1"/>
  <c r="I52" i="8" s="1"/>
  <c r="R7" i="17"/>
  <c r="H25" i="8"/>
  <c r="CW23" i="8" s="1"/>
  <c r="K25" i="8"/>
  <c r="T20" i="17" s="1"/>
  <c r="U20" i="17" s="1"/>
  <c r="H26" i="8"/>
  <c r="H28" i="8" s="1"/>
  <c r="P6" i="7"/>
  <c r="I50" i="22"/>
  <c r="I52" i="22" s="1"/>
  <c r="H26" i="22"/>
  <c r="H28" i="22" s="1"/>
  <c r="C31" i="22" s="1"/>
  <c r="CX109" i="22" s="1"/>
  <c r="CY109" i="22" s="1"/>
  <c r="CW122" i="8" l="1"/>
  <c r="CW46" i="8"/>
  <c r="CW26" i="8"/>
  <c r="CW41" i="8"/>
  <c r="CW85" i="8"/>
  <c r="CW32" i="8"/>
  <c r="CW62" i="8"/>
  <c r="CW118" i="8"/>
  <c r="CW45" i="8"/>
  <c r="CW73" i="8"/>
  <c r="CW120" i="8"/>
  <c r="CW36" i="8"/>
  <c r="CW106" i="8"/>
  <c r="CW61" i="8"/>
  <c r="CW76" i="8"/>
  <c r="CW116" i="8"/>
  <c r="CW79" i="8"/>
  <c r="CW83" i="8"/>
  <c r="CW64" i="8"/>
  <c r="CW80" i="8"/>
  <c r="CW24" i="8"/>
  <c r="CW12" i="8"/>
  <c r="CW21" i="8"/>
  <c r="CW121" i="8"/>
  <c r="CW67" i="8"/>
  <c r="CW84" i="8"/>
  <c r="CW82" i="8"/>
  <c r="CW50" i="8"/>
  <c r="CW53" i="8"/>
  <c r="CW81" i="8"/>
  <c r="CW93" i="8"/>
  <c r="CW51" i="8"/>
  <c r="CW42" i="8"/>
  <c r="CW78" i="8"/>
  <c r="CW40" i="8"/>
  <c r="CW60" i="8"/>
  <c r="CW119" i="8"/>
  <c r="CW44" i="8"/>
  <c r="CW19" i="8"/>
  <c r="CW115" i="8"/>
  <c r="CW94" i="8"/>
  <c r="CW25" i="8"/>
  <c r="CW29" i="8"/>
  <c r="CW34" i="8"/>
  <c r="CW18" i="8"/>
  <c r="CW54" i="8"/>
  <c r="CW90" i="8"/>
  <c r="CW17" i="8"/>
  <c r="CW98" i="8"/>
  <c r="CW43" i="8"/>
  <c r="CW22" i="8"/>
  <c r="CW14" i="8"/>
  <c r="CW59" i="8"/>
  <c r="CW65" i="8"/>
  <c r="CW108" i="8"/>
  <c r="CW96" i="8"/>
  <c r="CW100" i="8"/>
  <c r="CW92" i="8"/>
  <c r="CW28" i="8"/>
  <c r="CW124" i="8"/>
  <c r="CW114" i="8"/>
  <c r="CW31" i="8"/>
  <c r="CW47" i="8"/>
  <c r="CW102" i="8"/>
  <c r="CW20" i="8"/>
  <c r="CW99" i="8"/>
  <c r="CW77" i="8"/>
  <c r="CW95" i="8"/>
  <c r="CW89" i="8"/>
  <c r="CW113" i="8"/>
  <c r="CW57" i="8"/>
  <c r="CW111" i="8"/>
  <c r="CW91" i="8"/>
  <c r="CW39" i="8"/>
  <c r="CW71" i="8"/>
  <c r="CW30" i="8"/>
  <c r="CW33" i="8"/>
  <c r="CW70" i="8"/>
  <c r="CW88" i="8"/>
  <c r="CW109" i="8"/>
  <c r="CW110" i="8"/>
  <c r="CW68" i="8"/>
  <c r="CW75" i="8"/>
  <c r="CW72" i="8"/>
  <c r="CW63" i="8"/>
  <c r="CW105" i="8"/>
  <c r="CW27" i="8"/>
  <c r="CW74" i="8"/>
  <c r="CW58" i="8"/>
  <c r="CW52" i="8"/>
  <c r="CW55" i="8"/>
  <c r="CW107" i="8"/>
  <c r="CW66" i="8"/>
  <c r="CW49" i="8"/>
  <c r="CW48" i="8"/>
  <c r="CW35" i="8"/>
  <c r="CW69" i="8"/>
  <c r="CW104" i="8"/>
  <c r="CW103" i="8"/>
  <c r="CW16" i="8"/>
  <c r="CW37" i="8"/>
  <c r="S18" i="7"/>
  <c r="CW56" i="8"/>
  <c r="CW117" i="8"/>
  <c r="CW38" i="8"/>
  <c r="CW97" i="8"/>
  <c r="CW86" i="8"/>
  <c r="CW123" i="8"/>
  <c r="CW101" i="8"/>
  <c r="CW87" i="8"/>
  <c r="CW112" i="8"/>
  <c r="CW13" i="8"/>
  <c r="CW15" i="8"/>
  <c r="S17" i="7"/>
  <c r="H29" i="8"/>
  <c r="CX103" i="8" s="1"/>
  <c r="CY103" i="8" s="1"/>
  <c r="C31" i="8"/>
  <c r="D31" i="8" s="1"/>
  <c r="CX112" i="22"/>
  <c r="CY112" i="22" s="1"/>
  <c r="CX108" i="22"/>
  <c r="CY108" i="22" s="1"/>
  <c r="CX110" i="22"/>
  <c r="CY110" i="22" s="1"/>
  <c r="CX111" i="22"/>
  <c r="CY111" i="22" s="1"/>
  <c r="H29" i="22"/>
  <c r="I54" i="22" s="1"/>
  <c r="CX13" i="8"/>
  <c r="CY13" i="8" s="1"/>
  <c r="CX20" i="8"/>
  <c r="CY20" i="8" s="1"/>
  <c r="CX14" i="8"/>
  <c r="CY14" i="8" s="1"/>
  <c r="CX15" i="8"/>
  <c r="CX16" i="8"/>
  <c r="CY16" i="8" s="1"/>
  <c r="I51" i="8"/>
  <c r="D31" i="22"/>
  <c r="C33" i="22"/>
  <c r="D33" i="22" s="1"/>
  <c r="CX70" i="22"/>
  <c r="CY70" i="22" s="1"/>
  <c r="CX19" i="22"/>
  <c r="CY19" i="22" s="1"/>
  <c r="CX23" i="22"/>
  <c r="CY23" i="22" s="1"/>
  <c r="CX60" i="22"/>
  <c r="CY60" i="22" s="1"/>
  <c r="CX43" i="22"/>
  <c r="CY43" i="22" s="1"/>
  <c r="CX22" i="22"/>
  <c r="CY22" i="22" s="1"/>
  <c r="CX17" i="22"/>
  <c r="CY17" i="22" s="1"/>
  <c r="CX68" i="22"/>
  <c r="CY68" i="22" s="1"/>
  <c r="CX61" i="22"/>
  <c r="CY61" i="22" s="1"/>
  <c r="CX55" i="22"/>
  <c r="CY55" i="22" s="1"/>
  <c r="CX46" i="22"/>
  <c r="CY46" i="22" s="1"/>
  <c r="CX13" i="22"/>
  <c r="CY13" i="22" s="1"/>
  <c r="CX74" i="22"/>
  <c r="CY74" i="22" s="1"/>
  <c r="CX92" i="22"/>
  <c r="CY92" i="22" s="1"/>
  <c r="CX86" i="22"/>
  <c r="CY86" i="22" s="1"/>
  <c r="CX37" i="22"/>
  <c r="CY37" i="22" s="1"/>
  <c r="CX101" i="22"/>
  <c r="CY101" i="22" s="1"/>
  <c r="CX82" i="22"/>
  <c r="CY82" i="22" s="1"/>
  <c r="CX35" i="22"/>
  <c r="CY35" i="22" s="1"/>
  <c r="CX83" i="22"/>
  <c r="CY83" i="22" s="1"/>
  <c r="CX78" i="22"/>
  <c r="CY78" i="22" s="1"/>
  <c r="CX88" i="22"/>
  <c r="CY88" i="22" s="1"/>
  <c r="CX107" i="22"/>
  <c r="CY107" i="22" s="1"/>
  <c r="CX104" i="22"/>
  <c r="CY104" i="22" s="1"/>
  <c r="CX65" i="22"/>
  <c r="CY65" i="22" s="1"/>
  <c r="CX64" i="22"/>
  <c r="CY64" i="22" s="1"/>
  <c r="CX97" i="22"/>
  <c r="CY97" i="22" s="1"/>
  <c r="CX73" i="22"/>
  <c r="CY73" i="22" s="1"/>
  <c r="CX95" i="22"/>
  <c r="CY95" i="22" s="1"/>
  <c r="CX52" i="22"/>
  <c r="CY52" i="22" s="1"/>
  <c r="CX85" i="22"/>
  <c r="CY85" i="22" s="1"/>
  <c r="CX34" i="22"/>
  <c r="CY34" i="22" s="1"/>
  <c r="CX15" i="22"/>
  <c r="CY15" i="22" s="1"/>
  <c r="CX16" i="22"/>
  <c r="CY16" i="22" s="1"/>
  <c r="CX79" i="22"/>
  <c r="CY79" i="22" s="1"/>
  <c r="CX62" i="22"/>
  <c r="CY62" i="22" s="1"/>
  <c r="CX54" i="22"/>
  <c r="CY54" i="22" s="1"/>
  <c r="CX12" i="22"/>
  <c r="CY12" i="22" s="1"/>
  <c r="CX18" i="22"/>
  <c r="CY18" i="22" s="1"/>
  <c r="CX29" i="22"/>
  <c r="CY29" i="22" s="1"/>
  <c r="CX51" i="22"/>
  <c r="CY51" i="22" s="1"/>
  <c r="CX33" i="22"/>
  <c r="CY33" i="22" s="1"/>
  <c r="CX106" i="22"/>
  <c r="CY106" i="22" s="1"/>
  <c r="CX67" i="22"/>
  <c r="CY67" i="22" s="1"/>
  <c r="CX42" i="22"/>
  <c r="CY42" i="22" s="1"/>
  <c r="CX98" i="22"/>
  <c r="CY98" i="22" s="1"/>
  <c r="CX105" i="22"/>
  <c r="CY105" i="22" s="1"/>
  <c r="CX39" i="22"/>
  <c r="CY39" i="22" s="1"/>
  <c r="CX38" i="22"/>
  <c r="CY38" i="22" s="1"/>
  <c r="CX103" i="22"/>
  <c r="CY103" i="22" s="1"/>
  <c r="CX47" i="22"/>
  <c r="CY47" i="22" s="1"/>
  <c r="CX100" i="22"/>
  <c r="CY100" i="22" s="1"/>
  <c r="CX80" i="22"/>
  <c r="CY80" i="22" s="1"/>
  <c r="CX56" i="22"/>
  <c r="CY56" i="22" s="1"/>
  <c r="CX31" i="22"/>
  <c r="CY31" i="22" s="1"/>
  <c r="CX99" i="22"/>
  <c r="CY99" i="22" s="1"/>
  <c r="CX40" i="22"/>
  <c r="CY40" i="22" s="1"/>
  <c r="CX53" i="22"/>
  <c r="CY53" i="22" s="1"/>
  <c r="CX77" i="22"/>
  <c r="CY77" i="22" s="1"/>
  <c r="CX96" i="22"/>
  <c r="CY96" i="22" s="1"/>
  <c r="CX27" i="22"/>
  <c r="CY27" i="22" s="1"/>
  <c r="CX84" i="22"/>
  <c r="CY84" i="22" s="1"/>
  <c r="CX50" i="22"/>
  <c r="CY50" i="22" s="1"/>
  <c r="CX91" i="22"/>
  <c r="CY91" i="22" s="1"/>
  <c r="CX28" i="22"/>
  <c r="CY28" i="22" s="1"/>
  <c r="CX58" i="22"/>
  <c r="CY58" i="22" s="1"/>
  <c r="CX93" i="22"/>
  <c r="CY93" i="22" s="1"/>
  <c r="CX81" i="22"/>
  <c r="CY81" i="22" s="1"/>
  <c r="CX30" i="22"/>
  <c r="CY30" i="22" s="1"/>
  <c r="CX44" i="22"/>
  <c r="CY44" i="22" s="1"/>
  <c r="CX76" i="22"/>
  <c r="CY76" i="22" s="1"/>
  <c r="CX87" i="22"/>
  <c r="CY87" i="22" s="1"/>
  <c r="CX32" i="22"/>
  <c r="CY32" i="22" s="1"/>
  <c r="CX45" i="22"/>
  <c r="CY45" i="22" s="1"/>
  <c r="CX102" i="22"/>
  <c r="CY102" i="22" s="1"/>
  <c r="CX24" i="22"/>
  <c r="CY24" i="22" s="1"/>
  <c r="CX66" i="22"/>
  <c r="CY66" i="22" s="1"/>
  <c r="CX94" i="22"/>
  <c r="CY94" i="22" s="1"/>
  <c r="CX41" i="22"/>
  <c r="CY41" i="22" s="1"/>
  <c r="CX57" i="22"/>
  <c r="CY57" i="22" s="1"/>
  <c r="CX36" i="22"/>
  <c r="CY36" i="22" s="1"/>
  <c r="CX25" i="22"/>
  <c r="CY25" i="22" s="1"/>
  <c r="CX89" i="22"/>
  <c r="CY89" i="22" s="1"/>
  <c r="CX20" i="22"/>
  <c r="CY20" i="22" s="1"/>
  <c r="CX75" i="22"/>
  <c r="CY75" i="22" s="1"/>
  <c r="CX90" i="22"/>
  <c r="CY90" i="22" s="1"/>
  <c r="CX14" i="22"/>
  <c r="CY14" i="22" s="1"/>
  <c r="CX71" i="22"/>
  <c r="CY71" i="22" s="1"/>
  <c r="CX69" i="22"/>
  <c r="CY69" i="22" s="1"/>
  <c r="CX72" i="22"/>
  <c r="CY72" i="22" s="1"/>
  <c r="CX48" i="22"/>
  <c r="CY48" i="22" s="1"/>
  <c r="CX21" i="22"/>
  <c r="CY21" i="22" s="1"/>
  <c r="CX26" i="22"/>
  <c r="CY26" i="22" s="1"/>
  <c r="CX59" i="22"/>
  <c r="CY59" i="22" s="1"/>
  <c r="CX63" i="22"/>
  <c r="CY63" i="22" s="1"/>
  <c r="CX49" i="22"/>
  <c r="CY49" i="22" s="1"/>
  <c r="I51" i="22"/>
  <c r="C33" i="8"/>
  <c r="D33" i="8" s="1"/>
  <c r="CX51" i="8"/>
  <c r="CY51" i="8" s="1"/>
  <c r="CX50" i="8"/>
  <c r="CY50" i="8" s="1"/>
  <c r="CX43" i="8"/>
  <c r="CY43" i="8" s="1"/>
  <c r="CX78" i="8"/>
  <c r="CY78" i="8" s="1"/>
  <c r="CX71" i="8"/>
  <c r="CY71" i="8" s="1"/>
  <c r="CX57" i="8"/>
  <c r="CY57" i="8" s="1"/>
  <c r="CX19" i="8" l="1"/>
  <c r="CY19" i="8" s="1"/>
  <c r="CX17" i="8"/>
  <c r="CX18" i="8"/>
  <c r="CY18" i="8" s="1"/>
  <c r="CX21" i="8"/>
  <c r="CY21" i="8" s="1"/>
  <c r="CX87" i="8"/>
  <c r="CY87" i="8" s="1"/>
  <c r="CX44" i="8"/>
  <c r="CY44" i="8" s="1"/>
  <c r="CX82" i="8"/>
  <c r="CZ25" i="8"/>
  <c r="CZ86" i="8"/>
  <c r="CZ83" i="8"/>
  <c r="CZ73" i="8"/>
  <c r="CX25" i="8"/>
  <c r="CY25" i="8" s="1"/>
  <c r="CZ55" i="8"/>
  <c r="CZ68" i="8"/>
  <c r="CZ82" i="8"/>
  <c r="S26" i="7" s="1"/>
  <c r="Z26" i="7" s="1"/>
  <c r="S16" i="7"/>
  <c r="CZ14" i="8"/>
  <c r="CZ60" i="8"/>
  <c r="CZ88" i="8"/>
  <c r="CZ69" i="8"/>
  <c r="CZ115" i="8"/>
  <c r="CZ109" i="8"/>
  <c r="CZ96" i="8"/>
  <c r="CX109" i="8"/>
  <c r="CY109" i="8" s="1"/>
  <c r="CX112" i="8"/>
  <c r="CY112" i="8" s="1"/>
  <c r="CX110" i="8"/>
  <c r="CY110" i="8" s="1"/>
  <c r="CX108" i="8"/>
  <c r="CY108" i="8" s="1"/>
  <c r="CX111" i="8"/>
  <c r="CY111" i="8" s="1"/>
  <c r="CZ124" i="8"/>
  <c r="CZ117" i="8"/>
  <c r="CZ43" i="8"/>
  <c r="CZ81" i="8"/>
  <c r="CZ80" i="8"/>
  <c r="CZ90" i="8"/>
  <c r="CZ77" i="8"/>
  <c r="CZ29" i="8"/>
  <c r="CZ121" i="8"/>
  <c r="CZ34" i="8"/>
  <c r="CZ120" i="8"/>
  <c r="CZ32" i="8"/>
  <c r="S23" i="7" s="1"/>
  <c r="Z23" i="7" s="1"/>
  <c r="CZ103" i="8"/>
  <c r="I56" i="8"/>
  <c r="CX74" i="8"/>
  <c r="CY74" i="8" s="1"/>
  <c r="CX58" i="8"/>
  <c r="CY58" i="8" s="1"/>
  <c r="CX80" i="8"/>
  <c r="CY80" i="8" s="1"/>
  <c r="CX60" i="8"/>
  <c r="CY60" i="8" s="1"/>
  <c r="CX32" i="8"/>
  <c r="T23" i="7" s="1"/>
  <c r="AA23" i="7" s="1"/>
  <c r="CX107" i="8"/>
  <c r="CY107" i="8" s="1"/>
  <c r="CX75" i="8"/>
  <c r="CY75" i="8" s="1"/>
  <c r="CX88" i="8"/>
  <c r="CY88" i="8" s="1"/>
  <c r="CX92" i="8"/>
  <c r="CY92" i="8" s="1"/>
  <c r="CX90" i="8"/>
  <c r="CY90" i="8" s="1"/>
  <c r="CX94" i="8"/>
  <c r="CY94" i="8" s="1"/>
  <c r="CZ28" i="8"/>
  <c r="CZ24" i="8"/>
  <c r="CZ122" i="8"/>
  <c r="CZ87" i="8"/>
  <c r="CZ118" i="8"/>
  <c r="CZ15" i="8"/>
  <c r="S20" i="7" s="1"/>
  <c r="Z20" i="7" s="1"/>
  <c r="CZ67" i="8"/>
  <c r="CZ70" i="8"/>
  <c r="CZ111" i="8"/>
  <c r="CZ44" i="8"/>
  <c r="CZ123" i="8"/>
  <c r="CZ113" i="8"/>
  <c r="CZ84" i="8"/>
  <c r="CZ107" i="8"/>
  <c r="S27" i="7" s="1"/>
  <c r="Z27" i="7" s="1"/>
  <c r="CZ40" i="8"/>
  <c r="CZ114" i="8"/>
  <c r="CZ104" i="8"/>
  <c r="S13" i="17"/>
  <c r="I49" i="8"/>
  <c r="J49" i="8" s="1"/>
  <c r="CX76" i="8"/>
  <c r="CY76" i="8" s="1"/>
  <c r="CX40" i="8"/>
  <c r="CY40" i="8" s="1"/>
  <c r="CX39" i="8"/>
  <c r="CY39" i="8" s="1"/>
  <c r="CX46" i="8"/>
  <c r="CY46" i="8" s="1"/>
  <c r="CX106" i="8"/>
  <c r="CY106" i="8" s="1"/>
  <c r="CX53" i="8"/>
  <c r="CY53" i="8" s="1"/>
  <c r="CX35" i="8"/>
  <c r="CY35" i="8" s="1"/>
  <c r="CX30" i="8"/>
  <c r="CY30" i="8" s="1"/>
  <c r="CX24" i="8"/>
  <c r="CY24" i="8" s="1"/>
  <c r="CX67" i="8"/>
  <c r="CY67" i="8" s="1"/>
  <c r="CZ17" i="8"/>
  <c r="S21" i="7" s="1"/>
  <c r="Z21" i="7" s="1"/>
  <c r="CZ99" i="8"/>
  <c r="CX65" i="8"/>
  <c r="CY65" i="8" s="1"/>
  <c r="CX66" i="8"/>
  <c r="CY66" i="8" s="1"/>
  <c r="CX42" i="8"/>
  <c r="CY42" i="8" s="1"/>
  <c r="CX29" i="8"/>
  <c r="CY29" i="8" s="1"/>
  <c r="I54" i="8"/>
  <c r="CX99" i="8"/>
  <c r="CY99" i="8" s="1"/>
  <c r="CX98" i="8"/>
  <c r="CY98" i="8" s="1"/>
  <c r="CX77" i="8"/>
  <c r="CY77" i="8" s="1"/>
  <c r="CX89" i="8"/>
  <c r="CY89" i="8" s="1"/>
  <c r="CX102" i="8"/>
  <c r="CY102" i="8" s="1"/>
  <c r="CX55" i="8"/>
  <c r="CY55" i="8" s="1"/>
  <c r="CZ78" i="8"/>
  <c r="CZ21" i="8"/>
  <c r="CX68" i="8"/>
  <c r="CY68" i="8" s="1"/>
  <c r="CZ66" i="8"/>
  <c r="CZ57" i="8"/>
  <c r="CZ31" i="8"/>
  <c r="CZ46" i="8"/>
  <c r="CZ42" i="8"/>
  <c r="S24" i="7" s="1"/>
  <c r="Z24" i="7" s="1"/>
  <c r="CZ89" i="8"/>
  <c r="CZ85" i="8"/>
  <c r="CZ110" i="8"/>
  <c r="CZ37" i="8"/>
  <c r="CZ100" i="8"/>
  <c r="CZ64" i="8"/>
  <c r="CZ50" i="8"/>
  <c r="CZ119" i="8"/>
  <c r="CZ97" i="8"/>
  <c r="CX79" i="8"/>
  <c r="CY79" i="8" s="1"/>
  <c r="CX37" i="8"/>
  <c r="CY37" i="8" s="1"/>
  <c r="CX54" i="8"/>
  <c r="CY54" i="8" s="1"/>
  <c r="CX34" i="8"/>
  <c r="CY34" i="8" s="1"/>
  <c r="CX69" i="8"/>
  <c r="CY69" i="8" s="1"/>
  <c r="CX85" i="8"/>
  <c r="CY85" i="8" s="1"/>
  <c r="CX73" i="8"/>
  <c r="CY73" i="8" s="1"/>
  <c r="CX105" i="8"/>
  <c r="CY105" i="8" s="1"/>
  <c r="CX49" i="8"/>
  <c r="CY49" i="8" s="1"/>
  <c r="CX81" i="8"/>
  <c r="CY81" i="8" s="1"/>
  <c r="CX48" i="8"/>
  <c r="CY48" i="8" s="1"/>
  <c r="CX95" i="8"/>
  <c r="CY95" i="8" s="1"/>
  <c r="CZ41" i="8"/>
  <c r="CZ108" i="8"/>
  <c r="CZ94" i="8"/>
  <c r="CZ45" i="8"/>
  <c r="CZ13" i="8"/>
  <c r="S19" i="7" s="1"/>
  <c r="Z19" i="7" s="1"/>
  <c r="CZ12" i="8"/>
  <c r="CZ19" i="8"/>
  <c r="CZ20" i="8"/>
  <c r="CZ27" i="8"/>
  <c r="CZ54" i="8"/>
  <c r="CZ33" i="8"/>
  <c r="CZ98" i="8"/>
  <c r="CZ105" i="8"/>
  <c r="CX31" i="8"/>
  <c r="CY31" i="8" s="1"/>
  <c r="CX52" i="8"/>
  <c r="CY52" i="8" s="1"/>
  <c r="N15" i="7"/>
  <c r="CX62" i="8"/>
  <c r="CX63" i="8"/>
  <c r="CY63" i="8" s="1"/>
  <c r="CX38" i="8"/>
  <c r="CY38" i="8" s="1"/>
  <c r="CX61" i="8"/>
  <c r="CY61" i="8" s="1"/>
  <c r="CX93" i="8"/>
  <c r="CY93" i="8" s="1"/>
  <c r="CX28" i="8"/>
  <c r="CY28" i="8" s="1"/>
  <c r="CX101" i="8"/>
  <c r="CY101" i="8" s="1"/>
  <c r="CX59" i="8"/>
  <c r="CY59" i="8" s="1"/>
  <c r="CX97" i="8"/>
  <c r="CY97" i="8" s="1"/>
  <c r="CZ62" i="8"/>
  <c r="CZ26" i="8"/>
  <c r="CZ76" i="8"/>
  <c r="CZ92" i="8"/>
  <c r="CZ59" i="8"/>
  <c r="CZ71" i="8"/>
  <c r="CZ22" i="8"/>
  <c r="S22" i="7" s="1"/>
  <c r="Z22" i="7" s="1"/>
  <c r="CZ72" i="8"/>
  <c r="CZ75" i="8"/>
  <c r="CZ49" i="8"/>
  <c r="CZ39" i="8"/>
  <c r="CZ48" i="8"/>
  <c r="CZ35" i="8"/>
  <c r="CZ116" i="8"/>
  <c r="CZ56" i="8"/>
  <c r="CZ38" i="8"/>
  <c r="CZ95" i="8"/>
  <c r="CZ79" i="8"/>
  <c r="CZ18" i="8"/>
  <c r="CZ106" i="8"/>
  <c r="CZ102" i="8"/>
  <c r="CX27" i="8"/>
  <c r="CY27" i="8" s="1"/>
  <c r="CX96" i="8"/>
  <c r="CY96" i="8" s="1"/>
  <c r="CX91" i="8"/>
  <c r="CY91" i="8" s="1"/>
  <c r="CX64" i="8"/>
  <c r="CY64" i="8" s="1"/>
  <c r="CX45" i="8"/>
  <c r="CY45" i="8" s="1"/>
  <c r="CX56" i="8"/>
  <c r="CY56" i="8" s="1"/>
  <c r="CX47" i="8"/>
  <c r="CY47" i="8" s="1"/>
  <c r="CX33" i="8"/>
  <c r="CY33" i="8" s="1"/>
  <c r="CX26" i="8"/>
  <c r="CY26" i="8" s="1"/>
  <c r="CX41" i="8"/>
  <c r="CY41" i="8" s="1"/>
  <c r="CX23" i="8"/>
  <c r="CY23" i="8" s="1"/>
  <c r="CZ16" i="8"/>
  <c r="CZ112" i="8"/>
  <c r="CZ63" i="8"/>
  <c r="CZ61" i="8"/>
  <c r="CZ58" i="8"/>
  <c r="CZ51" i="8"/>
  <c r="CZ52" i="8"/>
  <c r="CZ53" i="8"/>
  <c r="CZ74" i="8"/>
  <c r="CZ23" i="8"/>
  <c r="CZ91" i="8"/>
  <c r="CZ65" i="8"/>
  <c r="CZ47" i="8"/>
  <c r="CZ30" i="8"/>
  <c r="CZ36" i="8"/>
  <c r="CZ101" i="8"/>
  <c r="CZ93" i="8"/>
  <c r="T19" i="17"/>
  <c r="CX104" i="8"/>
  <c r="CY104" i="8" s="1"/>
  <c r="CX83" i="8"/>
  <c r="CY83" i="8" s="1"/>
  <c r="CX36" i="8"/>
  <c r="CY36" i="8" s="1"/>
  <c r="CX86" i="8"/>
  <c r="CY86" i="8" s="1"/>
  <c r="CX22" i="8"/>
  <c r="CY22" i="8" s="1"/>
  <c r="CX70" i="8"/>
  <c r="CY70" i="8" s="1"/>
  <c r="CX84" i="8"/>
  <c r="CY84" i="8" s="1"/>
  <c r="CX100" i="8"/>
  <c r="CY100" i="8" s="1"/>
  <c r="CX72" i="8"/>
  <c r="CY72" i="8" s="1"/>
  <c r="T19" i="7"/>
  <c r="AA19" i="7" s="1"/>
  <c r="I56" i="22"/>
  <c r="I49" i="22"/>
  <c r="J51" i="22" s="1"/>
  <c r="CY15" i="8"/>
  <c r="T20" i="7"/>
  <c r="AA20" i="7" s="1"/>
  <c r="CY17" i="8"/>
  <c r="T21" i="7"/>
  <c r="AA21" i="7" s="1"/>
  <c r="I53" i="22"/>
  <c r="CY82" i="8"/>
  <c r="T26" i="7"/>
  <c r="AA26" i="7" s="1"/>
  <c r="T24" i="7" l="1"/>
  <c r="AA24" i="7" s="1"/>
  <c r="CY32" i="8"/>
  <c r="U23" i="17"/>
  <c r="T23" i="17"/>
  <c r="U22" i="17"/>
  <c r="T30" i="17"/>
  <c r="T29" i="17"/>
  <c r="U30" i="17"/>
  <c r="J51" i="8"/>
  <c r="J50" i="8"/>
  <c r="J52" i="8"/>
  <c r="J54" i="8"/>
  <c r="T28" i="17"/>
  <c r="U28" i="17"/>
  <c r="T27" i="17"/>
  <c r="T27" i="7"/>
  <c r="AA27" i="7" s="1"/>
  <c r="U24" i="17"/>
  <c r="S25" i="7"/>
  <c r="Z25" i="7" s="1"/>
  <c r="T25" i="7"/>
  <c r="AA25" i="7" s="1"/>
  <c r="U26" i="17"/>
  <c r="I55" i="8"/>
  <c r="J55" i="8" s="1"/>
  <c r="J56" i="8"/>
  <c r="T25" i="17"/>
  <c r="T21" i="17"/>
  <c r="U21" i="17"/>
  <c r="U29" i="17"/>
  <c r="T26" i="17"/>
  <c r="T24" i="17"/>
  <c r="T22" i="17"/>
  <c r="CY62" i="8"/>
  <c r="U25" i="17" s="1"/>
  <c r="T22" i="7"/>
  <c r="AA22" i="7" s="1"/>
  <c r="U27" i="17"/>
  <c r="J50" i="22"/>
  <c r="I55" i="22"/>
  <c r="J55" i="22" s="1"/>
  <c r="J49" i="22"/>
  <c r="J53" i="22"/>
  <c r="J54" i="22"/>
  <c r="J56" i="22"/>
  <c r="J52" i="22"/>
  <c r="I53" i="8" l="1"/>
  <c r="J53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<sst xmlns="http://schemas.openxmlformats.org/spreadsheetml/2006/main" count="2677" uniqueCount="1069">
  <si>
    <t>성별</t>
    <phoneticPr fontId="1" type="noConversion"/>
  </si>
  <si>
    <t>나이</t>
    <phoneticPr fontId="1" type="noConversion"/>
  </si>
  <si>
    <t>보험기간</t>
    <phoneticPr fontId="1" type="noConversion"/>
  </si>
  <si>
    <t>납입기간</t>
    <phoneticPr fontId="1" type="noConversion"/>
  </si>
  <si>
    <t>납입방법</t>
    <phoneticPr fontId="1" type="noConversion"/>
  </si>
  <si>
    <t>적용이율(i)</t>
    <phoneticPr fontId="1" type="noConversion"/>
  </si>
  <si>
    <t>v</t>
    <phoneticPr fontId="1" type="noConversion"/>
  </si>
  <si>
    <t>X</t>
    <phoneticPr fontId="4" type="noConversion"/>
  </si>
  <si>
    <t>[기수표]</t>
    <phoneticPr fontId="1" type="noConversion"/>
  </si>
  <si>
    <t>q50%x</t>
    <phoneticPr fontId="1" type="noConversion"/>
  </si>
  <si>
    <t>해지율</t>
    <phoneticPr fontId="1" type="noConversion"/>
  </si>
  <si>
    <t>lx</t>
    <phoneticPr fontId="1" type="noConversion"/>
  </si>
  <si>
    <t>n</t>
    <phoneticPr fontId="1" type="noConversion"/>
  </si>
  <si>
    <t>v(n)</t>
    <phoneticPr fontId="1" type="noConversion"/>
  </si>
  <si>
    <t>v(n+0.5)</t>
    <phoneticPr fontId="1" type="noConversion"/>
  </si>
  <si>
    <t>v(n) = (1+i)^-n</t>
    <phoneticPr fontId="1" type="noConversion"/>
  </si>
  <si>
    <t>S</t>
    <phoneticPr fontId="1" type="noConversion"/>
  </si>
  <si>
    <t>Dx</t>
    <phoneticPr fontId="1" type="noConversion"/>
  </si>
  <si>
    <t>Nx</t>
    <phoneticPr fontId="1" type="noConversion"/>
  </si>
  <si>
    <t>m* = min(20,n)</t>
    <phoneticPr fontId="1" type="noConversion"/>
  </si>
  <si>
    <t>Nx+m-Nx+n</t>
    <phoneticPr fontId="1" type="noConversion"/>
  </si>
  <si>
    <t>기납입보험료</t>
    <phoneticPr fontId="1" type="noConversion"/>
  </si>
  <si>
    <t>월납기준</t>
    <phoneticPr fontId="1" type="noConversion"/>
  </si>
  <si>
    <t xml:space="preserve"> tW'(적용)</t>
    <phoneticPr fontId="1" type="noConversion"/>
  </si>
  <si>
    <t xml:space="preserve"> tW'(표준)</t>
    <phoneticPr fontId="1" type="noConversion"/>
  </si>
  <si>
    <t>M(T)x+t</t>
    <phoneticPr fontId="1" type="noConversion"/>
  </si>
  <si>
    <t>N'(1)(x+t,m)</t>
    <phoneticPr fontId="1" type="noConversion"/>
  </si>
  <si>
    <t>Nx+m**-Nx+n</t>
    <phoneticPr fontId="1" type="noConversion"/>
  </si>
  <si>
    <t>한도</t>
    <phoneticPr fontId="1" type="noConversion"/>
  </si>
  <si>
    <t>round</t>
    <phoneticPr fontId="1" type="noConversion"/>
  </si>
  <si>
    <t>[보험료 분석]</t>
  </si>
  <si>
    <t>영업보험료</t>
  </si>
  <si>
    <t>순보험료</t>
  </si>
  <si>
    <t>부가보험료</t>
  </si>
  <si>
    <t>저축보험료</t>
  </si>
  <si>
    <t>위험보험료</t>
  </si>
  <si>
    <t>신계약비</t>
  </si>
  <si>
    <t>유지비</t>
  </si>
  <si>
    <t>수금비</t>
  </si>
  <si>
    <t>종</t>
    <phoneticPr fontId="1" type="noConversion"/>
  </si>
  <si>
    <t xml:space="preserve"> tV</t>
    <phoneticPr fontId="1" type="noConversion"/>
  </si>
  <si>
    <t>단전기납</t>
    <phoneticPr fontId="1" type="noConversion"/>
  </si>
  <si>
    <t>Nx-Nx+n</t>
    <phoneticPr fontId="1" type="noConversion"/>
  </si>
  <si>
    <t>beta(P')</t>
    <phoneticPr fontId="1" type="noConversion"/>
  </si>
  <si>
    <t>표준체</t>
    <phoneticPr fontId="1" type="noConversion"/>
  </si>
  <si>
    <t>alpha(P')</t>
    <phoneticPr fontId="1" type="noConversion"/>
  </si>
  <si>
    <t>gamma(단전기납)</t>
    <phoneticPr fontId="1" type="noConversion"/>
  </si>
  <si>
    <t>위험률</t>
    <phoneticPr fontId="1" type="noConversion"/>
  </si>
  <si>
    <t>생존자(해지자 제외)</t>
    <phoneticPr fontId="1" type="noConversion"/>
  </si>
  <si>
    <t>납입자(해지자,납면자 제외)</t>
    <phoneticPr fontId="1" type="noConversion"/>
  </si>
  <si>
    <t>l#x</t>
    <phoneticPr fontId="1" type="noConversion"/>
  </si>
  <si>
    <t>D#x</t>
    <phoneticPr fontId="1" type="noConversion"/>
  </si>
  <si>
    <t>N#x</t>
    <phoneticPr fontId="1" type="noConversion"/>
  </si>
  <si>
    <t>qx</t>
    <phoneticPr fontId="1" type="noConversion"/>
  </si>
  <si>
    <t>Mx</t>
    <phoneticPr fontId="1" type="noConversion"/>
  </si>
  <si>
    <t>순보험료</t>
    <phoneticPr fontId="1" type="noConversion"/>
  </si>
  <si>
    <t>책임준비금</t>
    <phoneticPr fontId="1" type="noConversion"/>
  </si>
  <si>
    <t>해지환급금</t>
    <phoneticPr fontId="1" type="noConversion"/>
  </si>
  <si>
    <t>사망률</t>
    <phoneticPr fontId="1" type="noConversion"/>
  </si>
  <si>
    <t>실보험기간</t>
    <phoneticPr fontId="1" type="noConversion"/>
  </si>
  <si>
    <t>사망</t>
    <phoneticPr fontId="1" type="noConversion"/>
  </si>
  <si>
    <t>Cx</t>
    <phoneticPr fontId="1" type="noConversion"/>
  </si>
  <si>
    <t>S(값)</t>
    <phoneticPr fontId="1" type="noConversion"/>
  </si>
  <si>
    <t>분자</t>
    <phoneticPr fontId="1" type="noConversion"/>
  </si>
  <si>
    <t>분모</t>
    <phoneticPr fontId="1" type="noConversion"/>
  </si>
  <si>
    <t>순보험료</t>
    <phoneticPr fontId="1" type="noConversion"/>
  </si>
  <si>
    <t>영업p분자</t>
    <phoneticPr fontId="1" type="noConversion"/>
  </si>
  <si>
    <t>영업p분모</t>
    <phoneticPr fontId="1" type="noConversion"/>
  </si>
  <si>
    <t>월납</t>
    <phoneticPr fontId="1" type="noConversion"/>
  </si>
  <si>
    <t>비월납</t>
    <phoneticPr fontId="1" type="noConversion"/>
  </si>
  <si>
    <t>연납</t>
    <phoneticPr fontId="1" type="noConversion"/>
  </si>
  <si>
    <t>표준연납</t>
    <phoneticPr fontId="1" type="noConversion"/>
  </si>
  <si>
    <t>순보험료(+β')</t>
    <phoneticPr fontId="1" type="noConversion"/>
  </si>
  <si>
    <t>영업p</t>
    <phoneticPr fontId="1" type="noConversion"/>
  </si>
  <si>
    <t>영업p(round)</t>
    <phoneticPr fontId="1" type="noConversion"/>
  </si>
  <si>
    <t>2. 보험료 산출과정표</t>
    <phoneticPr fontId="1" type="noConversion"/>
  </si>
  <si>
    <t>나. 보험료</t>
    <phoneticPr fontId="1" type="noConversion"/>
  </si>
  <si>
    <t>가. 산출과정</t>
    <phoneticPr fontId="1" type="noConversion"/>
  </si>
  <si>
    <t>1. 가입기준 및 적용기초율</t>
    <phoneticPr fontId="1" type="noConversion"/>
  </si>
  <si>
    <t>1. 기입기준 및 적용기초율</t>
    <phoneticPr fontId="1" type="noConversion"/>
  </si>
  <si>
    <t>qx_50%</t>
    <phoneticPr fontId="1" type="noConversion"/>
  </si>
  <si>
    <t>qx</t>
    <phoneticPr fontId="1" type="noConversion"/>
  </si>
  <si>
    <t>기수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</si>
  <si>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</si>
  <si>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</si>
  <si>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</si>
  <si>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</si>
  <si>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</si>
  <si>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m</t>
    <phoneticPr fontId="1" type="noConversion"/>
  </si>
  <si>
    <t>보장급부합</t>
    <phoneticPr fontId="1" type="noConversion"/>
  </si>
  <si>
    <t>`</t>
    <phoneticPr fontId="1" type="noConversion"/>
  </si>
  <si>
    <t>alpha(S)</t>
    <phoneticPr fontId="1" type="noConversion"/>
  </si>
  <si>
    <t>50%장해납면포함여부</t>
    <phoneticPr fontId="1" type="noConversion"/>
  </si>
  <si>
    <t>Mx_SUM</t>
    <phoneticPr fontId="1" type="noConversion"/>
  </si>
  <si>
    <t>beta'(S)</t>
    <phoneticPr fontId="1" type="noConversion"/>
  </si>
  <si>
    <t>beta(S)</t>
    <phoneticPr fontId="1" type="noConversion"/>
  </si>
  <si>
    <t>1. 기입기준</t>
    <phoneticPr fontId="1" type="noConversion"/>
  </si>
  <si>
    <t>2. 적용사업비</t>
    <phoneticPr fontId="1" type="noConversion"/>
  </si>
  <si>
    <t>alpha(20P)</t>
    <phoneticPr fontId="1" type="noConversion"/>
  </si>
  <si>
    <t>영업보험료</t>
    <phoneticPr fontId="1" type="noConversion"/>
  </si>
  <si>
    <t>가입금액</t>
    <phoneticPr fontId="1" type="noConversion"/>
  </si>
  <si>
    <t>신계약비</t>
    <phoneticPr fontId="1" type="noConversion"/>
  </si>
  <si>
    <t>계약유지관리</t>
    <phoneticPr fontId="1" type="noConversion"/>
  </si>
  <si>
    <t>gamma</t>
    <phoneticPr fontId="1" type="noConversion"/>
  </si>
  <si>
    <t>가입금액(완납후)</t>
    <phoneticPr fontId="1" type="noConversion"/>
  </si>
  <si>
    <t>유지자</t>
    <phoneticPr fontId="1" type="noConversion"/>
  </si>
  <si>
    <t>납입자</t>
    <phoneticPr fontId="1" type="noConversion"/>
  </si>
  <si>
    <t>급부1</t>
    <phoneticPr fontId="1" type="noConversion"/>
  </si>
  <si>
    <t>급부2</t>
    <phoneticPr fontId="1" type="noConversion"/>
  </si>
  <si>
    <t>급부4</t>
    <phoneticPr fontId="1" type="noConversion"/>
  </si>
  <si>
    <t>급부5</t>
    <phoneticPr fontId="1" type="noConversion"/>
  </si>
  <si>
    <t>보장금액</t>
    <phoneticPr fontId="1" type="noConversion"/>
  </si>
  <si>
    <t>유지탈퇴</t>
    <phoneticPr fontId="1" type="noConversion"/>
  </si>
  <si>
    <t>납입탈퇴</t>
    <phoneticPr fontId="1" type="noConversion"/>
  </si>
  <si>
    <t>2.1 신계약비 세부</t>
    <phoneticPr fontId="1" type="noConversion"/>
  </si>
  <si>
    <t>기준</t>
    <phoneticPr fontId="1" type="noConversion"/>
  </si>
  <si>
    <t>납입기간(m)</t>
    <phoneticPr fontId="1" type="noConversion"/>
  </si>
  <si>
    <t>보장탈퇴</t>
    <phoneticPr fontId="1" type="noConversion"/>
  </si>
  <si>
    <t>[현가표]</t>
    <phoneticPr fontId="1" type="noConversion"/>
  </si>
  <si>
    <t>X</t>
    <phoneticPr fontId="1" type="noConversion"/>
  </si>
  <si>
    <t>3. 기수표 INPUT DATA</t>
    <phoneticPr fontId="1" type="noConversion"/>
  </si>
  <si>
    <t>YT</t>
    <phoneticPr fontId="1" type="noConversion"/>
  </si>
  <si>
    <t>NT</t>
    <phoneticPr fontId="1" type="noConversion"/>
  </si>
  <si>
    <t>wx</t>
    <phoneticPr fontId="1" type="noConversion"/>
  </si>
  <si>
    <t>q#x</t>
    <phoneticPr fontId="1" type="noConversion"/>
  </si>
  <si>
    <t>BT</t>
    <phoneticPr fontId="1" type="noConversion"/>
  </si>
  <si>
    <t>50%장해</t>
    <phoneticPr fontId="1" type="noConversion"/>
  </si>
  <si>
    <t>lxa</t>
  </si>
  <si>
    <t>qxa</t>
  </si>
  <si>
    <t>Cxa</t>
  </si>
  <si>
    <t>Mxa</t>
  </si>
  <si>
    <t>lxb</t>
  </si>
  <si>
    <t>qxb</t>
  </si>
  <si>
    <t>Cxb</t>
  </si>
  <si>
    <t>Mxb</t>
  </si>
  <si>
    <t>lxc</t>
  </si>
  <si>
    <t>qxc</t>
  </si>
  <si>
    <t>Cxc</t>
  </si>
  <si>
    <t>Mxc</t>
  </si>
  <si>
    <t>lxd</t>
  </si>
  <si>
    <t>qxd</t>
  </si>
  <si>
    <t>Cxd</t>
  </si>
  <si>
    <t>Mxd</t>
  </si>
  <si>
    <t>lxe</t>
  </si>
  <si>
    <t>qxe</t>
  </si>
  <si>
    <t>Cxe</t>
  </si>
  <si>
    <t>Mxe</t>
  </si>
  <si>
    <t>보장a</t>
  </si>
  <si>
    <t>보장b</t>
  </si>
  <si>
    <t>보장c</t>
  </si>
  <si>
    <t>보장d</t>
  </si>
  <si>
    <t>보장e</t>
  </si>
  <si>
    <t>t</t>
    <phoneticPr fontId="4" type="noConversion"/>
  </si>
  <si>
    <t>상각m</t>
    <phoneticPr fontId="1" type="noConversion"/>
  </si>
  <si>
    <t>[준비금 계산]</t>
    <phoneticPr fontId="1" type="noConversion"/>
  </si>
  <si>
    <t>조회용</t>
    <phoneticPr fontId="1" type="noConversion"/>
  </si>
  <si>
    <t>급부3</t>
    <phoneticPr fontId="1" type="noConversion"/>
  </si>
  <si>
    <t>alpha(pp)</t>
    <phoneticPr fontId="1" type="noConversion"/>
  </si>
  <si>
    <t>N#(x,m)</t>
    <phoneticPr fontId="1" type="noConversion"/>
  </si>
  <si>
    <t>alpha(pp)의 기준P</t>
    <phoneticPr fontId="1" type="noConversion"/>
  </si>
  <si>
    <t>SUM(Mx-Mx+n)</t>
    <phoneticPr fontId="1" type="noConversion"/>
  </si>
  <si>
    <t>[ 표준신계약비 ]</t>
    <phoneticPr fontId="1" type="noConversion"/>
  </si>
  <si>
    <t>적용</t>
    <phoneticPr fontId="1" type="noConversion"/>
  </si>
  <si>
    <t>표준</t>
    <phoneticPr fontId="1" type="noConversion"/>
  </si>
  <si>
    <t>기준보험료비례</t>
    <phoneticPr fontId="1" type="noConversion"/>
  </si>
  <si>
    <t>p'비례</t>
    <phoneticPr fontId="1" type="noConversion"/>
  </si>
  <si>
    <t>S비례</t>
    <phoneticPr fontId="1" type="noConversion"/>
  </si>
  <si>
    <t>f</t>
    <phoneticPr fontId="1" type="noConversion"/>
  </si>
  <si>
    <t>g</t>
    <phoneticPr fontId="1" type="noConversion"/>
  </si>
  <si>
    <t>lxf</t>
  </si>
  <si>
    <t>qxf</t>
  </si>
  <si>
    <t>Cxf</t>
  </si>
  <si>
    <t>Mxf</t>
  </si>
  <si>
    <t>lxg</t>
  </si>
  <si>
    <t>qxg</t>
  </si>
  <si>
    <t>Cxg</t>
  </si>
  <si>
    <t>Mxg</t>
  </si>
  <si>
    <t>보장f</t>
    <phoneticPr fontId="1" type="noConversion"/>
  </si>
  <si>
    <t>보장g</t>
    <phoneticPr fontId="1" type="noConversion"/>
  </si>
  <si>
    <t>급부6</t>
    <phoneticPr fontId="1" type="noConversion"/>
  </si>
  <si>
    <t>급부7</t>
    <phoneticPr fontId="1" type="noConversion"/>
  </si>
  <si>
    <t>[ 적용위험률(qx_table) ]</t>
    <phoneticPr fontId="1" type="noConversion"/>
  </si>
  <si>
    <t>qx_title</t>
    <phoneticPr fontId="1" type="noConversion"/>
  </si>
  <si>
    <t>qx_table</t>
    <phoneticPr fontId="1" type="noConversion"/>
  </si>
  <si>
    <t>사고자탈퇴</t>
    <phoneticPr fontId="1" type="noConversion"/>
  </si>
  <si>
    <t>사고자납면</t>
    <phoneticPr fontId="1" type="noConversion"/>
  </si>
  <si>
    <t>해지급부합</t>
    <phoneticPr fontId="1" type="noConversion"/>
  </si>
  <si>
    <t>급부합</t>
    <phoneticPr fontId="1" type="noConversion"/>
  </si>
  <si>
    <t>보험가입금액</t>
    <phoneticPr fontId="1" type="noConversion"/>
  </si>
  <si>
    <t>가. 무해지(연령*성별)</t>
    <phoneticPr fontId="1" type="noConversion"/>
  </si>
  <si>
    <t>나. 유해지(연령*성별)</t>
    <phoneticPr fontId="1" type="noConversion"/>
  </si>
  <si>
    <t>유해지</t>
    <phoneticPr fontId="1" type="noConversion"/>
  </si>
  <si>
    <t>무해지</t>
    <phoneticPr fontId="1" type="noConversion"/>
  </si>
  <si>
    <t>결과값</t>
    <phoneticPr fontId="1" type="noConversion"/>
  </si>
  <si>
    <t>값복사(실적용)</t>
    <phoneticPr fontId="1" type="noConversion"/>
  </si>
  <si>
    <t>구분</t>
    <phoneticPr fontId="1" type="noConversion"/>
  </si>
  <si>
    <t>적용이율</t>
    <phoneticPr fontId="1" type="noConversion"/>
  </si>
  <si>
    <t>상품코드(명)</t>
    <phoneticPr fontId="1" type="noConversion"/>
  </si>
  <si>
    <t>사망급부</t>
    <phoneticPr fontId="1" type="noConversion"/>
  </si>
  <si>
    <t>장해급부</t>
    <phoneticPr fontId="1" type="noConversion"/>
  </si>
  <si>
    <t>납입자(50%장해)</t>
    <phoneticPr fontId="1" type="noConversion"/>
  </si>
  <si>
    <t>C#x</t>
    <phoneticPr fontId="1" type="noConversion"/>
  </si>
  <si>
    <t>M#X</t>
    <phoneticPr fontId="1" type="noConversion"/>
  </si>
  <si>
    <t>급부a</t>
    <phoneticPr fontId="1" type="noConversion"/>
  </si>
  <si>
    <t>급부b</t>
    <phoneticPr fontId="1" type="noConversion"/>
  </si>
  <si>
    <t>급부c</t>
    <phoneticPr fontId="1" type="noConversion"/>
  </si>
  <si>
    <t>급부d</t>
    <phoneticPr fontId="1" type="noConversion"/>
  </si>
  <si>
    <t>급부e</t>
    <phoneticPr fontId="1" type="noConversion"/>
  </si>
  <si>
    <t>급부f</t>
    <phoneticPr fontId="1" type="noConversion"/>
  </si>
  <si>
    <t>급부g</t>
    <phoneticPr fontId="1" type="noConversion"/>
  </si>
  <si>
    <t>급부</t>
    <phoneticPr fontId="1" type="noConversion"/>
  </si>
  <si>
    <t>X(유지자탈퇴)</t>
    <phoneticPr fontId="1" type="noConversion"/>
  </si>
  <si>
    <t>상품종류</t>
    <phoneticPr fontId="1" type="noConversion"/>
  </si>
  <si>
    <t>유해지,무해지</t>
    <phoneticPr fontId="1" type="noConversion"/>
  </si>
  <si>
    <t>남(1),여(2)</t>
    <phoneticPr fontId="1" type="noConversion"/>
  </si>
  <si>
    <t>가입나이</t>
    <phoneticPr fontId="1" type="noConversion"/>
  </si>
  <si>
    <t>실납입기간</t>
    <phoneticPr fontId="1" type="noConversion"/>
  </si>
  <si>
    <t>월납(12)….연납(1)</t>
    <phoneticPr fontId="1" type="noConversion"/>
  </si>
  <si>
    <t>현가율</t>
    <phoneticPr fontId="1" type="noConversion"/>
  </si>
  <si>
    <t>반올림기준(P 1원당)</t>
    <phoneticPr fontId="1" type="noConversion"/>
  </si>
  <si>
    <t>보험기간(실)</t>
    <phoneticPr fontId="1" type="noConversion"/>
  </si>
  <si>
    <t>정기보험</t>
    <phoneticPr fontId="1" type="noConversion"/>
  </si>
  <si>
    <t>sex</t>
    <phoneticPr fontId="1" type="noConversion"/>
  </si>
  <si>
    <t>x</t>
    <phoneticPr fontId="1" type="noConversion"/>
  </si>
  <si>
    <t>mm</t>
    <phoneticPr fontId="1" type="noConversion"/>
  </si>
  <si>
    <t>i</t>
    <phoneticPr fontId="1" type="noConversion"/>
  </si>
  <si>
    <t>연기준순보험료</t>
    <phoneticPr fontId="1" type="noConversion"/>
  </si>
  <si>
    <t>JR</t>
    <phoneticPr fontId="1" type="noConversion"/>
  </si>
  <si>
    <t>면책기간</t>
    <phoneticPr fontId="1" type="noConversion"/>
  </si>
  <si>
    <t>-</t>
    <phoneticPr fontId="1" type="noConversion"/>
  </si>
  <si>
    <t>5. 보험가입금액</t>
    <phoneticPr fontId="1" type="noConversion"/>
  </si>
  <si>
    <t>6. 보험료(table) &amp; 준비금</t>
    <phoneticPr fontId="1" type="noConversion"/>
  </si>
  <si>
    <t>(실)보험기간</t>
    <phoneticPr fontId="1" type="noConversion"/>
  </si>
  <si>
    <t>년납</t>
    <phoneticPr fontId="1" type="noConversion"/>
  </si>
  <si>
    <t>년만기</t>
    <phoneticPr fontId="1" type="noConversion"/>
  </si>
  <si>
    <t>* 면책기간이 있는 경우 보장탈퇴에 0,1 대신 1/4, 5/4 ( 3개월면책인 경우) 입력</t>
    <phoneticPr fontId="1" type="noConversion"/>
  </si>
  <si>
    <t>MAIN</t>
    <phoneticPr fontId="1" type="noConversion"/>
  </si>
  <si>
    <t>상품A</t>
    <phoneticPr fontId="1" type="noConversion"/>
  </si>
  <si>
    <t>상품B</t>
    <phoneticPr fontId="1" type="noConversion"/>
  </si>
  <si>
    <t>상품유형</t>
    <phoneticPr fontId="1" type="noConversion"/>
  </si>
  <si>
    <t>YH</t>
    <phoneticPr fontId="1" type="noConversion"/>
  </si>
  <si>
    <t>YHA</t>
  </si>
  <si>
    <t>sexA</t>
  </si>
  <si>
    <t>xA</t>
  </si>
  <si>
    <t>nA</t>
  </si>
  <si>
    <t>mA</t>
  </si>
  <si>
    <t>mmA</t>
  </si>
  <si>
    <t>iA</t>
  </si>
  <si>
    <t>vA</t>
  </si>
  <si>
    <t>roundA</t>
  </si>
  <si>
    <t>YHB</t>
  </si>
  <si>
    <t>sexB</t>
  </si>
  <si>
    <t>xB</t>
  </si>
  <si>
    <t>mB</t>
  </si>
  <si>
    <t>mmB</t>
  </si>
  <si>
    <t>iB</t>
  </si>
  <si>
    <t>vB</t>
  </si>
  <si>
    <t>roundB</t>
  </si>
  <si>
    <t>YHD</t>
  </si>
  <si>
    <t>sexD</t>
  </si>
  <si>
    <t>xD</t>
  </si>
  <si>
    <t>nD</t>
  </si>
  <si>
    <t>mD</t>
  </si>
  <si>
    <t>mmD</t>
  </si>
  <si>
    <t>iD</t>
  </si>
  <si>
    <t>vD</t>
  </si>
  <si>
    <t>PP</t>
    <phoneticPr fontId="1" type="noConversion"/>
  </si>
  <si>
    <r>
      <t>순보험료(</t>
    </r>
    <r>
      <rPr>
        <sz val="11"/>
        <rFont val="Calibri"/>
        <family val="3"/>
        <charset val="161"/>
      </rPr>
      <t>β</t>
    </r>
    <r>
      <rPr>
        <sz val="9"/>
        <rFont val="맑은 고딕"/>
        <family val="3"/>
        <charset val="129"/>
      </rPr>
      <t>)</t>
    </r>
    <phoneticPr fontId="1" type="noConversion"/>
  </si>
  <si>
    <t>PB</t>
    <phoneticPr fontId="1" type="noConversion"/>
  </si>
  <si>
    <r>
      <t>연기준순보험료(</t>
    </r>
    <r>
      <rPr>
        <sz val="11"/>
        <rFont val="Calibri"/>
        <family val="3"/>
        <charset val="161"/>
      </rPr>
      <t>β</t>
    </r>
    <r>
      <rPr>
        <sz val="9"/>
        <rFont val="맑은 고딕"/>
        <family val="3"/>
        <charset val="129"/>
      </rPr>
      <t>)</t>
    </r>
    <phoneticPr fontId="1" type="noConversion"/>
  </si>
  <si>
    <t>NPB</t>
    <phoneticPr fontId="1" type="noConversion"/>
  </si>
  <si>
    <t>연기준영업보험료</t>
    <phoneticPr fontId="1" type="noConversion"/>
  </si>
  <si>
    <t>NPP</t>
    <phoneticPr fontId="1" type="noConversion"/>
  </si>
  <si>
    <t>기수표</t>
    <phoneticPr fontId="1" type="noConversion"/>
  </si>
  <si>
    <t>기수표A</t>
  </si>
  <si>
    <t>기수표B</t>
  </si>
  <si>
    <t>기수표D</t>
  </si>
  <si>
    <t>유지비</t>
    <phoneticPr fontId="1" type="noConversion"/>
  </si>
  <si>
    <t>수금비</t>
    <phoneticPr fontId="1" type="noConversion"/>
  </si>
  <si>
    <t>영업보험료비례</t>
    <phoneticPr fontId="1" type="noConversion"/>
  </si>
  <si>
    <t>가입금액비례</t>
    <phoneticPr fontId="1" type="noConversion"/>
  </si>
  <si>
    <t>GP</t>
  </si>
  <si>
    <t>NGP</t>
  </si>
  <si>
    <t>ALP_GP</t>
    <phoneticPr fontId="1" type="noConversion"/>
  </si>
  <si>
    <t>ALP_S</t>
    <phoneticPr fontId="1" type="noConversion"/>
  </si>
  <si>
    <t>BETA_GP</t>
    <phoneticPr fontId="1" type="noConversion"/>
  </si>
  <si>
    <t>BETA_S</t>
    <phoneticPr fontId="1" type="noConversion"/>
  </si>
  <si>
    <t>완납후(S비례)</t>
    <phoneticPr fontId="1" type="noConversion"/>
  </si>
  <si>
    <t>BETAH_S</t>
    <phoneticPr fontId="1" type="noConversion"/>
  </si>
  <si>
    <t>GAM</t>
    <phoneticPr fontId="1" type="noConversion"/>
  </si>
  <si>
    <t>표준,우량</t>
    <phoneticPr fontId="1" type="noConversion"/>
  </si>
  <si>
    <t>ALP_GPA</t>
  </si>
  <si>
    <t>ALP_GPB</t>
  </si>
  <si>
    <t>ALP_GPD</t>
  </si>
  <si>
    <t>순보험료 비례</t>
    <phoneticPr fontId="1" type="noConversion"/>
  </si>
  <si>
    <t>ALP_PP</t>
    <phoneticPr fontId="1" type="noConversion"/>
  </si>
  <si>
    <t>■ 이름관리</t>
    <phoneticPr fontId="1" type="noConversion"/>
  </si>
  <si>
    <t>MC</t>
  </si>
  <si>
    <t>MC</t>
    <phoneticPr fontId="1" type="noConversion"/>
  </si>
  <si>
    <t>a</t>
  </si>
  <si>
    <t>b</t>
  </si>
  <si>
    <t>c</t>
  </si>
  <si>
    <t>d</t>
  </si>
  <si>
    <t>e</t>
  </si>
  <si>
    <t>f</t>
  </si>
  <si>
    <t>g</t>
  </si>
  <si>
    <t>유지자(사망)</t>
  </si>
  <si>
    <t>급부a</t>
  </si>
  <si>
    <t>급부b</t>
  </si>
  <si>
    <t>급부c</t>
  </si>
  <si>
    <t>급부d</t>
  </si>
  <si>
    <t>급부e</t>
  </si>
  <si>
    <t>급부f</t>
  </si>
  <si>
    <t>급부g</t>
  </si>
  <si>
    <t>위험률</t>
  </si>
  <si>
    <t>급부</t>
  </si>
  <si>
    <t>YT</t>
  </si>
  <si>
    <t>유지탈퇴</t>
  </si>
  <si>
    <t>NT</t>
  </si>
  <si>
    <t>납입탈퇴</t>
  </si>
  <si>
    <t>BT</t>
  </si>
  <si>
    <t>보장탈퇴</t>
  </si>
  <si>
    <t>X(유지자탈퇴)</t>
  </si>
  <si>
    <t>면책기간</t>
  </si>
  <si>
    <t>QQ</t>
    <phoneticPr fontId="1" type="noConversion"/>
  </si>
  <si>
    <t>SS</t>
    <phoneticPr fontId="1" type="noConversion"/>
  </si>
  <si>
    <t>JRA</t>
  </si>
  <si>
    <t>PBA</t>
  </si>
  <si>
    <t>GPA</t>
  </si>
  <si>
    <t>NPBA</t>
  </si>
  <si>
    <t>NGPA</t>
  </si>
  <si>
    <t>ALP_SA</t>
  </si>
  <si>
    <t>ALP_PPA</t>
  </si>
  <si>
    <t>BETA_GPA</t>
  </si>
  <si>
    <t>BETA_SA</t>
  </si>
  <si>
    <t>BETAH_SA</t>
  </si>
  <si>
    <t>GAMA</t>
  </si>
  <si>
    <t>JRB</t>
  </si>
  <si>
    <t>NB</t>
  </si>
  <si>
    <t>PBB</t>
  </si>
  <si>
    <t>NPBB</t>
  </si>
  <si>
    <t>NGPB</t>
  </si>
  <si>
    <t>ALP_SB</t>
  </si>
  <si>
    <t>ALP_PPB</t>
  </si>
  <si>
    <t>BETA_GPB</t>
  </si>
  <si>
    <t>BETA_SB</t>
  </si>
  <si>
    <t>BETAH_SB</t>
  </si>
  <si>
    <t>GAMB</t>
  </si>
  <si>
    <t>JRD</t>
  </si>
  <si>
    <t>PBD</t>
  </si>
  <si>
    <t>GPD</t>
  </si>
  <si>
    <t>NPBD</t>
  </si>
  <si>
    <t>NGPD</t>
  </si>
  <si>
    <t>ALP_SD</t>
  </si>
  <si>
    <t>ALP_PPD</t>
  </si>
  <si>
    <t>BETA_GPD</t>
  </si>
  <si>
    <t>BETA_SD</t>
  </si>
  <si>
    <t>BETAH_SD</t>
  </si>
  <si>
    <t>GAMD</t>
  </si>
  <si>
    <t>SSA</t>
    <phoneticPr fontId="1" type="noConversion"/>
  </si>
  <si>
    <t>SSB</t>
    <phoneticPr fontId="1" type="noConversion"/>
  </si>
  <si>
    <t>SSD</t>
    <phoneticPr fontId="1" type="noConversion"/>
  </si>
  <si>
    <t>roundD</t>
    <phoneticPr fontId="1" type="noConversion"/>
  </si>
  <si>
    <t>QQa</t>
    <phoneticPr fontId="1" type="noConversion"/>
  </si>
  <si>
    <t>QQb</t>
    <phoneticPr fontId="1" type="noConversion"/>
  </si>
  <si>
    <t>SSa</t>
  </si>
  <si>
    <t>YTa</t>
  </si>
  <si>
    <t>BTa</t>
  </si>
  <si>
    <t>MCa</t>
  </si>
  <si>
    <t>SSb</t>
  </si>
  <si>
    <t>YTb</t>
  </si>
  <si>
    <t>BTb</t>
  </si>
  <si>
    <t>MCb</t>
  </si>
  <si>
    <t>SSc</t>
  </si>
  <si>
    <t>YTc</t>
  </si>
  <si>
    <t>BTc</t>
  </si>
  <si>
    <t>MCc</t>
  </si>
  <si>
    <t>SSg</t>
  </si>
  <si>
    <t>YTg</t>
  </si>
  <si>
    <t>BTg</t>
  </si>
  <si>
    <t>MCg</t>
  </si>
  <si>
    <t>QQd</t>
    <phoneticPr fontId="1" type="noConversion"/>
  </si>
  <si>
    <t>Qqe</t>
    <phoneticPr fontId="1" type="noConversion"/>
  </si>
  <si>
    <t>QQc</t>
    <phoneticPr fontId="1" type="noConversion"/>
  </si>
  <si>
    <t>QQf</t>
    <phoneticPr fontId="1" type="noConversion"/>
  </si>
  <si>
    <t>GTg</t>
    <phoneticPr fontId="1" type="noConversion"/>
  </si>
  <si>
    <t>NTc</t>
    <phoneticPr fontId="1" type="noConversion"/>
  </si>
  <si>
    <t>NTb</t>
    <phoneticPr fontId="1" type="noConversion"/>
  </si>
  <si>
    <t>NTa</t>
    <phoneticPr fontId="1" type="noConversion"/>
  </si>
  <si>
    <t>YTd</t>
    <phoneticPr fontId="1" type="noConversion"/>
  </si>
  <si>
    <t>YTe</t>
    <phoneticPr fontId="1" type="noConversion"/>
  </si>
  <si>
    <t>YTf</t>
    <phoneticPr fontId="1" type="noConversion"/>
  </si>
  <si>
    <t>SSd</t>
    <phoneticPr fontId="1" type="noConversion"/>
  </si>
  <si>
    <t>Sse</t>
    <phoneticPr fontId="1" type="noConversion"/>
  </si>
  <si>
    <t>SSf</t>
    <phoneticPr fontId="1" type="noConversion"/>
  </si>
  <si>
    <t>NTf</t>
    <phoneticPr fontId="1" type="noConversion"/>
  </si>
  <si>
    <t>NTd</t>
    <phoneticPr fontId="1" type="noConversion"/>
  </si>
  <si>
    <t>Nte</t>
    <phoneticPr fontId="1" type="noConversion"/>
  </si>
  <si>
    <t>MCd</t>
    <phoneticPr fontId="1" type="noConversion"/>
  </si>
  <si>
    <t>Mce</t>
    <phoneticPr fontId="1" type="noConversion"/>
  </si>
  <si>
    <t>MCf</t>
    <phoneticPr fontId="1" type="noConversion"/>
  </si>
  <si>
    <t>BTf</t>
    <phoneticPr fontId="1" type="noConversion"/>
  </si>
  <si>
    <t>QQg</t>
    <phoneticPr fontId="1" type="noConversion"/>
  </si>
  <si>
    <t>BTd</t>
    <phoneticPr fontId="1" type="noConversion"/>
  </si>
  <si>
    <t>Bte</t>
    <phoneticPr fontId="1" type="noConversion"/>
  </si>
  <si>
    <t>SM</t>
    <phoneticPr fontId="1" type="noConversion"/>
  </si>
  <si>
    <t>50J</t>
    <phoneticPr fontId="1" type="noConversion"/>
  </si>
  <si>
    <t>표준신계약비</t>
    <phoneticPr fontId="1" type="noConversion"/>
  </si>
  <si>
    <t>ALPA_STD</t>
    <phoneticPr fontId="1" type="noConversion"/>
  </si>
  <si>
    <t>ALPB_STD</t>
    <phoneticPr fontId="1" type="noConversion"/>
  </si>
  <si>
    <t>ALPD_STD</t>
    <phoneticPr fontId="1" type="noConversion"/>
  </si>
  <si>
    <t>표준연납순보험료</t>
    <phoneticPr fontId="1" type="noConversion"/>
  </si>
  <si>
    <t>NPA_STD</t>
    <phoneticPr fontId="1" type="noConversion"/>
  </si>
  <si>
    <t>NPB_STD</t>
    <phoneticPr fontId="1" type="noConversion"/>
  </si>
  <si>
    <t>NPD_STD</t>
    <phoneticPr fontId="1" type="noConversion"/>
  </si>
  <si>
    <t>QQSM</t>
  </si>
  <si>
    <t>SSSM</t>
  </si>
  <si>
    <t>YTSM</t>
  </si>
  <si>
    <t>NYSM</t>
  </si>
  <si>
    <t>QQ50J</t>
  </si>
  <si>
    <t>SS50J</t>
  </si>
  <si>
    <t>YT50J</t>
  </si>
  <si>
    <t>BT50J</t>
  </si>
  <si>
    <t>MC50J</t>
  </si>
  <si>
    <t>NT50J</t>
    <phoneticPr fontId="1" type="noConversion"/>
  </si>
  <si>
    <t>GPB</t>
    <phoneticPr fontId="1" type="noConversion"/>
  </si>
  <si>
    <t>PPA</t>
    <phoneticPr fontId="1" type="noConversion"/>
  </si>
  <si>
    <t>PPB</t>
    <phoneticPr fontId="1" type="noConversion"/>
  </si>
  <si>
    <t>PPD</t>
    <phoneticPr fontId="1" type="noConversion"/>
  </si>
  <si>
    <t>NPPA</t>
    <phoneticPr fontId="1" type="noConversion"/>
  </si>
  <si>
    <t>NPPB</t>
    <phoneticPr fontId="1" type="noConversion"/>
  </si>
  <si>
    <t>NPPD</t>
    <phoneticPr fontId="1" type="noConversion"/>
  </si>
  <si>
    <t>SA_STD</t>
    <phoneticPr fontId="1" type="noConversion"/>
  </si>
  <si>
    <t>SB_STD</t>
    <phoneticPr fontId="1" type="noConversion"/>
  </si>
  <si>
    <t>■ 정기보험(무배당) : 보험가입금액 산출용</t>
    <phoneticPr fontId="1" type="noConversion"/>
  </si>
  <si>
    <t>* 동일한 위험률이 유지에서 탈퇴되었으면 납입면제 및 보장에서 탈퇴되더라도 "0"으로 처리(2중탈퇴 방지)</t>
    <phoneticPr fontId="1" type="noConversion"/>
  </si>
  <si>
    <t>사망자</t>
    <phoneticPr fontId="1" type="noConversion"/>
  </si>
  <si>
    <t>50%장해자</t>
    <phoneticPr fontId="1" type="noConversion"/>
  </si>
  <si>
    <t>4. 유해지 : 유해지상품의 보험료 및 준비금 계산</t>
    <phoneticPr fontId="1" type="noConversion"/>
  </si>
  <si>
    <t>5. 정기보험 : 보험가입금액 계산을 위한 정기보험 순보험료 산출</t>
    <phoneticPr fontId="1" type="noConversion"/>
  </si>
  <si>
    <t>9. 이름관리 : 정의된 이름 정리</t>
    <phoneticPr fontId="1" type="noConversion"/>
  </si>
  <si>
    <t xml:space="preserve">ㅇ SHEET 구성 </t>
    <phoneticPr fontId="1" type="noConversion"/>
  </si>
  <si>
    <t xml:space="preserve">   다만,  보장탈퇴에 면책기간을 합하여 입력,면책기간이 3개월일 경우 +0.25 입력(0-&gt;0.25, 1-&gt;1.25)</t>
    <phoneticPr fontId="1" type="noConversion"/>
  </si>
  <si>
    <t>항목</t>
    <phoneticPr fontId="1" type="noConversion"/>
  </si>
  <si>
    <t>내용</t>
    <phoneticPr fontId="1" type="noConversion"/>
  </si>
  <si>
    <t>2. 보험가입금액 계산시 조건중 x,n,m은 상품별로 입력, 성별은 1(남자)로 매트로 내에서 세팅</t>
    <phoneticPr fontId="1" type="noConversion"/>
  </si>
  <si>
    <t>ㅇ INPUT</t>
    <phoneticPr fontId="1" type="noConversion"/>
  </si>
  <si>
    <t>3. 보장담보는 사망,50%장해 제외 7개까지 수용가능</t>
    <phoneticPr fontId="1" type="noConversion"/>
  </si>
  <si>
    <t>1. 보험료, 준비금 계산 SHEET</t>
    <phoneticPr fontId="1" type="noConversion"/>
  </si>
  <si>
    <r>
      <t xml:space="preserve">  </t>
    </r>
    <r>
      <rPr>
        <sz val="11"/>
        <color theme="1"/>
        <rFont val="맑은 고딕"/>
        <family val="3"/>
        <charset val="129"/>
      </rPr>
      <t xml:space="preserve">∙ </t>
    </r>
    <r>
      <rPr>
        <sz val="11"/>
        <color theme="1"/>
        <rFont val="맑은 고딕"/>
        <family val="2"/>
        <charset val="129"/>
        <scheme val="minor"/>
      </rPr>
      <t>중대질병 등 해당 담보가 최초1회에 한한 담보, 담보a,b,c까지만 로직반영, 담보d</t>
    </r>
    <r>
      <rPr>
        <sz val="11"/>
        <color theme="1"/>
        <rFont val="맑은 고딕"/>
        <family val="3"/>
        <charset val="129"/>
      </rPr>
      <t>∼g는 필요시 로직수정</t>
    </r>
    <phoneticPr fontId="1" type="noConversion"/>
  </si>
  <si>
    <t>ㅇ 무해지,저해지,정기</t>
    <phoneticPr fontId="1" type="noConversion"/>
  </si>
  <si>
    <t>2. 개별조건 보험료, 준비금 산출시 INPUT SHEET에서 조건 변경 필요(무해지,저해지,정기 모두 변경)</t>
    <phoneticPr fontId="1" type="noConversion"/>
  </si>
  <si>
    <t xml:space="preserve">ㅇ MAIN </t>
    <phoneticPr fontId="1" type="noConversion"/>
  </si>
  <si>
    <t>1. INPUT에서 불러온 가입조건 및 예정기초율로 무해지,저해지,정기보험 SHEET를 이용하여 계산한 보험료, 준비금, 해약환급금 조회</t>
    <phoneticPr fontId="1" type="noConversion"/>
  </si>
  <si>
    <t>2. 가입조건 변경시 무해지, 저해지, 정기보험 sheet 모두 변경</t>
    <phoneticPr fontId="1" type="noConversion"/>
  </si>
  <si>
    <t>8. 위험률 : 급부별 적용위험률 DATA</t>
    <phoneticPr fontId="1" type="noConversion"/>
  </si>
  <si>
    <t>7. 해지율 : 납입기간별 경과기간별 적용해지율 DATA</t>
    <phoneticPr fontId="1" type="noConversion"/>
  </si>
  <si>
    <t>3. 무해지 : 무해지상품의 보험료 및 준비금 계산</t>
    <phoneticPr fontId="1" type="noConversion"/>
  </si>
  <si>
    <t>1. 기초DATA(가입조건, 적용기초율)를 입력하는 SHEET로 첫열(D열)은 다건 실행시 실행건을 불러온 열이며, E열이후가 INPUT하는 열임</t>
    <phoneticPr fontId="1" type="noConversion"/>
  </si>
  <si>
    <t>- 유지탈퇴 : 해당담보 발생시 유지자에서 탈퇴(계약소멸= 사망, 중대질병 등)되는 계약은 1, 아니면 0</t>
    <phoneticPr fontId="1" type="noConversion"/>
  </si>
  <si>
    <t>4. 계약건의 탈퇴를 유지탈퇴, 납입탈퇴, 보장탈퇴로 구분하여 급부별로 입력 (기수표작성시 사용)</t>
    <phoneticPr fontId="1" type="noConversion"/>
  </si>
  <si>
    <t>- 납입탈퇴 : 계약은 유지되나 보험료납입이 면제(예: 50%장해 등)되는 경우 1, 아니면 0</t>
    <phoneticPr fontId="1" type="noConversion"/>
  </si>
  <si>
    <t xml:space="preserve">     ∙ 중대질병 등으로 유지탈퇴(계약소멸)되는 급부는 납면탈퇴가 아님(동일담보 2중탈퇴 방지)</t>
    <phoneticPr fontId="1" type="noConversion"/>
  </si>
  <si>
    <t>- 보장탈퇴 : 해당 급부발생후 계약은 유지는 되나 해당급부가 더 이상 지급되지 않으면 1, 아니면 0</t>
    <phoneticPr fontId="1" type="noConversion"/>
  </si>
  <si>
    <t>5. 입력된 급부별 위험률 명칭은 기수표 작성시 HLOOKUP을 이용하여 위험률SHEET의 해당담보 위험률을 불러옴</t>
    <phoneticPr fontId="1" type="noConversion"/>
  </si>
  <si>
    <t>3. 유지탈퇴, 납입탈퇴,보장탈퇴, 면책이 제대로 반영되었는지 체크필요</t>
    <phoneticPr fontId="1" type="noConversion"/>
  </si>
  <si>
    <t>4. 급부별 지급율은 기수표상 MX계산시 반영됨</t>
    <phoneticPr fontId="1" type="noConversion"/>
  </si>
  <si>
    <t>5. 면책급부금은 별도 열에 반영</t>
    <phoneticPr fontId="1" type="noConversion"/>
  </si>
  <si>
    <r>
      <t>6. 납기별 신계약비, 경과기간별 무/저해지환급률 입력시 "</t>
    </r>
    <r>
      <rPr>
        <sz val="11"/>
        <color theme="1"/>
        <rFont val="맑은 고딕"/>
        <family val="3"/>
        <charset val="129"/>
      </rPr>
      <t>∼년 이내","∼년 이상"등 확인 필요</t>
    </r>
    <phoneticPr fontId="1" type="noConversion"/>
  </si>
  <si>
    <t>구분                        SHEET명</t>
    <phoneticPr fontId="1" type="noConversion"/>
  </si>
  <si>
    <t>비고</t>
    <phoneticPr fontId="1" type="noConversion"/>
  </si>
  <si>
    <t>(매크로)가입금액계산</t>
    <phoneticPr fontId="1" type="noConversion"/>
  </si>
  <si>
    <t>IN) MAIN의 가입조건</t>
    <phoneticPr fontId="1" type="noConversion"/>
  </si>
  <si>
    <t>OUT) P,V,W,S</t>
    <phoneticPr fontId="1" type="noConversion"/>
  </si>
  <si>
    <t>OUT) 산출SHEET의 P,V,W,S</t>
    <phoneticPr fontId="1" type="noConversion"/>
  </si>
  <si>
    <t>IN) INPUT의 가입조건</t>
    <phoneticPr fontId="1" type="noConversion"/>
  </si>
  <si>
    <t>1. 다건 일괄계산(MACRO)</t>
    <phoneticPr fontId="1" type="noConversion"/>
  </si>
  <si>
    <t>2. 다건 계산결과 조회(값복사)</t>
    <phoneticPr fontId="1" type="noConversion"/>
  </si>
  <si>
    <t>OUT) 다건 P,V,W,S</t>
    <phoneticPr fontId="1" type="noConversion"/>
  </si>
  <si>
    <t>IN) 다건 계산 CASE</t>
    <phoneticPr fontId="1" type="noConversion"/>
  </si>
  <si>
    <t>(매크로) 다건계산</t>
    <phoneticPr fontId="1" type="noConversion"/>
  </si>
  <si>
    <t>■ 보험료&amp;준비금 산출 매뉴얼 및 사용시 유의사항</t>
    <phoneticPr fontId="1" type="noConversion"/>
  </si>
  <si>
    <t>1. INPUT:  가입조건별 예정기초율 및 기초DATA</t>
    <phoneticPr fontId="1" type="noConversion"/>
  </si>
  <si>
    <t>2. MAIN : 가입조건에 따른 보험가입금액, 보험료, 준비금등 조회</t>
    <phoneticPr fontId="1" type="noConversion"/>
  </si>
  <si>
    <t>6. OUTPUT : 일괄계산을 위해 계산기준(가입조건)입력 및 해당 보험료, 준비금의결과 값복사</t>
    <phoneticPr fontId="1" type="noConversion"/>
  </si>
  <si>
    <t>IN) 가입조건별 적용기초율 및 기초DATA</t>
    <phoneticPr fontId="1" type="noConversion"/>
  </si>
  <si>
    <t>ㅇ OUTPUT</t>
    <phoneticPr fontId="1" type="noConversion"/>
  </si>
  <si>
    <t>2.1 사업비 ADDRESS</t>
    <phoneticPr fontId="1" type="noConversion"/>
  </si>
  <si>
    <t>최초</t>
    <phoneticPr fontId="1" type="noConversion"/>
  </si>
  <si>
    <t>영업보험료</t>
    <phoneticPr fontId="1" type="noConversion"/>
  </si>
  <si>
    <t>가입금액</t>
    <phoneticPr fontId="1" type="noConversion"/>
  </si>
  <si>
    <t>신계약비</t>
    <phoneticPr fontId="1" type="noConversion"/>
  </si>
  <si>
    <t>납입중유지비</t>
    <phoneticPr fontId="1" type="noConversion"/>
  </si>
  <si>
    <t>납기</t>
    <phoneticPr fontId="1" type="noConversion"/>
  </si>
  <si>
    <t>사업비</t>
    <phoneticPr fontId="1" type="noConversion"/>
  </si>
  <si>
    <t>h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</si>
  <si>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</si>
  <si>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</si>
  <si>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</si>
  <si>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보장h</t>
    <phoneticPr fontId="1" type="noConversion"/>
  </si>
  <si>
    <t>보장i</t>
    <phoneticPr fontId="1" type="noConversion"/>
  </si>
  <si>
    <t>보장j</t>
    <phoneticPr fontId="1" type="noConversion"/>
  </si>
  <si>
    <t>보장k</t>
    <phoneticPr fontId="1" type="noConversion"/>
  </si>
  <si>
    <t>보장l</t>
    <phoneticPr fontId="1" type="noConversion"/>
  </si>
  <si>
    <t>lxh</t>
  </si>
  <si>
    <t>qxh</t>
  </si>
  <si>
    <t>Cxh</t>
  </si>
  <si>
    <t>Mxh</t>
  </si>
  <si>
    <t>lxi</t>
  </si>
  <si>
    <t>qxi</t>
  </si>
  <si>
    <t>Cxi</t>
  </si>
  <si>
    <t>Mxi</t>
  </si>
  <si>
    <t>lxj</t>
  </si>
  <si>
    <t>qxj</t>
  </si>
  <si>
    <t>Cxj</t>
  </si>
  <si>
    <t>Mxj</t>
  </si>
  <si>
    <t>lxk</t>
  </si>
  <si>
    <t>qxk</t>
  </si>
  <si>
    <t>Cxk</t>
  </si>
  <si>
    <t>Mxk</t>
  </si>
  <si>
    <t>lxl</t>
  </si>
  <si>
    <t>qxl</t>
  </si>
  <si>
    <t>Cxl</t>
  </si>
  <si>
    <t>Mxl</t>
  </si>
  <si>
    <t>beta(G)</t>
    <phoneticPr fontId="1" type="noConversion"/>
  </si>
  <si>
    <t>형태</t>
    <phoneticPr fontId="1" type="noConversion"/>
  </si>
  <si>
    <t>초회영업p</t>
    <phoneticPr fontId="1" type="noConversion"/>
  </si>
  <si>
    <t>급부8</t>
  </si>
  <si>
    <t>급부9</t>
  </si>
  <si>
    <t>급부10</t>
  </si>
  <si>
    <t>급부11</t>
  </si>
  <si>
    <t>급부12</t>
  </si>
  <si>
    <t>순보험료(Round)</t>
    <phoneticPr fontId="1" type="noConversion"/>
  </si>
  <si>
    <t>순보험료(년)</t>
    <phoneticPr fontId="1" type="noConversion"/>
  </si>
  <si>
    <t>순보험료(월)</t>
    <phoneticPr fontId="1" type="noConversion"/>
  </si>
  <si>
    <t>N'(m')(x+t,m)</t>
    <phoneticPr fontId="1" type="noConversion"/>
  </si>
  <si>
    <t>S값</t>
    <phoneticPr fontId="1" type="noConversion"/>
  </si>
  <si>
    <t xml:space="preserve">추가시 열 삽입후 추가 </t>
    <phoneticPr fontId="1" type="noConversion"/>
  </si>
  <si>
    <t>N(1)(x+t,m)</t>
    <phoneticPr fontId="1" type="noConversion"/>
  </si>
  <si>
    <t>N(m')(x+t,m)</t>
    <phoneticPr fontId="1" type="noConversion"/>
  </si>
  <si>
    <t>통합</t>
    <phoneticPr fontId="1" type="noConversion"/>
  </si>
  <si>
    <t>B*x+t</t>
    <phoneticPr fontId="1" type="noConversion"/>
  </si>
  <si>
    <t>N(x,m)</t>
    <phoneticPr fontId="1" type="noConversion"/>
  </si>
  <si>
    <t>FPI</t>
    <phoneticPr fontId="1" type="noConversion"/>
  </si>
  <si>
    <t>Dax</t>
    <phoneticPr fontId="1" type="noConversion"/>
  </si>
  <si>
    <t>기준연납</t>
    <phoneticPr fontId="1" type="noConversion"/>
  </si>
  <si>
    <t xml:space="preserve">ㅁ 상품별 기초DATA </t>
    <phoneticPr fontId="1" type="noConversion"/>
  </si>
  <si>
    <t>가장좋은샘플</t>
    <phoneticPr fontId="1" type="noConversion"/>
  </si>
  <si>
    <t>적용값</t>
    <phoneticPr fontId="1" type="noConversion"/>
  </si>
  <si>
    <t>INPUT TABLE</t>
    <phoneticPr fontId="1" type="noConversion"/>
  </si>
  <si>
    <t>상품코드</t>
    <phoneticPr fontId="1" type="noConversion"/>
  </si>
  <si>
    <t>상품명</t>
    <phoneticPr fontId="1" type="noConversion"/>
  </si>
  <si>
    <t>구좌기준</t>
    <phoneticPr fontId="1" type="noConversion"/>
  </si>
  <si>
    <t>보험가입금액(산출기준)</t>
    <phoneticPr fontId="1" type="noConversion"/>
  </si>
  <si>
    <t>연령</t>
    <phoneticPr fontId="1" type="noConversion"/>
  </si>
  <si>
    <t>위험률 명칭</t>
    <phoneticPr fontId="1" type="noConversion"/>
  </si>
  <si>
    <t>급부(사망)</t>
    <phoneticPr fontId="1" type="noConversion"/>
  </si>
  <si>
    <t>급부(50%장해)</t>
    <phoneticPr fontId="1" type="noConversion"/>
  </si>
  <si>
    <t>급부h</t>
    <phoneticPr fontId="1" type="noConversion"/>
  </si>
  <si>
    <t>급부i</t>
    <phoneticPr fontId="1" type="noConversion"/>
  </si>
  <si>
    <t>급부j</t>
    <phoneticPr fontId="1" type="noConversion"/>
  </si>
  <si>
    <t>급부k</t>
    <phoneticPr fontId="1" type="noConversion"/>
  </si>
  <si>
    <t>급부l</t>
    <phoneticPr fontId="1" type="noConversion"/>
  </si>
  <si>
    <t>기준보험료</t>
    <phoneticPr fontId="1" type="noConversion"/>
  </si>
  <si>
    <t>INPUT!D24:D25</t>
    <phoneticPr fontId="1" type="noConversion"/>
  </si>
  <si>
    <t>INPUT!D20:D23</t>
    <phoneticPr fontId="1" type="noConversion"/>
  </si>
  <si>
    <t>INPUT!D16:D19</t>
    <phoneticPr fontId="1" type="noConversion"/>
  </si>
  <si>
    <t>INPUT!D12:D15</t>
    <phoneticPr fontId="1" type="noConversion"/>
  </si>
  <si>
    <t>INPUT!D8:D11</t>
    <phoneticPr fontId="1" type="noConversion"/>
  </si>
  <si>
    <t>INPUT!E8:E11</t>
    <phoneticPr fontId="1" type="noConversion"/>
  </si>
  <si>
    <t>INPUT!E12:E15</t>
    <phoneticPr fontId="1" type="noConversion"/>
  </si>
  <si>
    <t>INPUT!E16:E19</t>
    <phoneticPr fontId="1" type="noConversion"/>
  </si>
  <si>
    <t>INPUT!E20:E23</t>
    <phoneticPr fontId="1" type="noConversion"/>
  </si>
  <si>
    <t>INPUT!E24:E25</t>
    <phoneticPr fontId="1" type="noConversion"/>
  </si>
  <si>
    <t>면책</t>
    <phoneticPr fontId="1" type="noConversion"/>
  </si>
  <si>
    <t>표준공제한도</t>
    <phoneticPr fontId="1" type="noConversion"/>
  </si>
  <si>
    <t>상품명("신한주니어큐브종합건강상해보험" 제외 후 기재)</t>
    <phoneticPr fontId="1" type="noConversion"/>
  </si>
  <si>
    <t>주계약</t>
    <phoneticPr fontId="1" type="noConversion"/>
  </si>
  <si>
    <t>무배당, 무해지</t>
    <phoneticPr fontId="1" type="noConversion"/>
  </si>
  <si>
    <t>qx_a50%</t>
  </si>
  <si>
    <t>qx_d50%</t>
  </si>
  <si>
    <t>qx_a100%</t>
  </si>
  <si>
    <t>qx_baby</t>
  </si>
  <si>
    <t>qx_ad50%</t>
  </si>
  <si>
    <t>일반암진단특약(무배당, 무해지)</t>
    <phoneticPr fontId="1" type="noConversion"/>
  </si>
  <si>
    <t>qx_am</t>
  </si>
  <si>
    <t>qx_ubamR</t>
  </si>
  <si>
    <t>qx_jlsamR</t>
  </si>
  <si>
    <t>qx_gitaamR</t>
  </si>
  <si>
    <t>qx_jzgssR</t>
  </si>
  <si>
    <t>qx_djjmnamR</t>
  </si>
  <si>
    <t>qx_bcsbgamR</t>
  </si>
  <si>
    <t>고액암진단특약(무배당, 무해지)</t>
    <phoneticPr fontId="1" type="noConversion"/>
  </si>
  <si>
    <t>qx_highamR</t>
  </si>
  <si>
    <t>남녀특정암진단특약(무배당, 무해지)</t>
    <phoneticPr fontId="1" type="noConversion"/>
  </si>
  <si>
    <t>소액암진단특약(무배당, 무해지)</t>
    <phoneticPr fontId="1" type="noConversion"/>
  </si>
  <si>
    <t>qx_jjram</t>
  </si>
  <si>
    <t>qx_gr</t>
  </si>
  <si>
    <t>주니어특정중대질병진단특약(무배당 무해지)</t>
    <phoneticPr fontId="1" type="noConversion"/>
  </si>
  <si>
    <t>qx_a50%</t>
    <phoneticPr fontId="3" type="noConversion"/>
  </si>
  <si>
    <t>qx_d50%</t>
    <phoneticPr fontId="3" type="noConversion"/>
  </si>
  <si>
    <t>qx_baby</t>
    <phoneticPr fontId="3" type="noConversion"/>
  </si>
  <si>
    <t>qx_mg</t>
    <phoneticPr fontId="3" type="noConversion"/>
  </si>
  <si>
    <t>qx_jdhhs</t>
    <phoneticPr fontId="3" type="noConversion"/>
  </si>
  <si>
    <t>qx_jjjsb</t>
    <phoneticPr fontId="3" type="noConversion"/>
  </si>
  <si>
    <t>qx_ysbrain</t>
    <phoneticPr fontId="3" type="noConversion"/>
  </si>
  <si>
    <t>qx_gawasaki</t>
    <phoneticPr fontId="3" type="noConversion"/>
  </si>
  <si>
    <t>qx_jjsggm</t>
  </si>
  <si>
    <t>주니어특정중대질병수술보장특약(무배당 무해지)</t>
    <phoneticPr fontId="1" type="noConversion"/>
  </si>
  <si>
    <t>qx_jhmsp</t>
  </si>
  <si>
    <t>qx_5djgi</t>
  </si>
  <si>
    <t>qx_ghsj</t>
  </si>
  <si>
    <t>qx_ysbrainS</t>
  </si>
  <si>
    <t>qx_a_openS</t>
    <phoneticPr fontId="3" type="noConversion"/>
  </si>
  <si>
    <t>뇌출혈진단특약(무배당 무해지)</t>
    <phoneticPr fontId="1" type="noConversion"/>
  </si>
  <si>
    <t>qx_brainC</t>
    <phoneticPr fontId="1" type="noConversion"/>
  </si>
  <si>
    <t>급성심근경색증진단특약(무배당 무해지)</t>
    <phoneticPr fontId="1" type="noConversion"/>
  </si>
  <si>
    <t>qx_gssg</t>
    <phoneticPr fontId="1" type="noConversion"/>
  </si>
  <si>
    <t>뇌혈관질환진단특약(무배당 무해지)</t>
    <phoneticPr fontId="1" type="noConversion"/>
  </si>
  <si>
    <t>qx_brainH1</t>
    <phoneticPr fontId="3" type="noConversion"/>
  </si>
  <si>
    <t>허혈성심장질환진단특약(무배당 무해지)</t>
    <phoneticPr fontId="1" type="noConversion"/>
  </si>
  <si>
    <t>qx_hhsj1</t>
    <phoneticPr fontId="1" type="noConversion"/>
  </si>
  <si>
    <t>첫날부터플러스입원보장특약(무배당 무해지)</t>
    <phoneticPr fontId="1" type="noConversion"/>
  </si>
  <si>
    <t>qx_daH180</t>
  </si>
  <si>
    <t>qx_highHda180</t>
  </si>
  <si>
    <t>qx_daICU60</t>
  </si>
  <si>
    <t>수술특약(무배당 무해지)</t>
    <phoneticPr fontId="1" type="noConversion"/>
  </si>
  <si>
    <t>qx_1jS</t>
  </si>
  <si>
    <t>qx_2jS</t>
  </si>
  <si>
    <t>qx_3jS</t>
  </si>
  <si>
    <t>qx_4jS</t>
  </si>
  <si>
    <t>qx_5jS</t>
  </si>
  <si>
    <t>수술플러스보장특약(무배당 무해지)</t>
    <phoneticPr fontId="1" type="noConversion"/>
  </si>
  <si>
    <t>6대질병보장특약(무배당 무해지)</t>
    <phoneticPr fontId="1" type="noConversion"/>
  </si>
  <si>
    <t>qx_amS</t>
  </si>
  <si>
    <t>qx_gitaamSR</t>
  </si>
  <si>
    <t>qx_gapamSR</t>
  </si>
  <si>
    <t>qx_jjramS</t>
  </si>
  <si>
    <t>qx_grS</t>
  </si>
  <si>
    <t>qx_brainCGgsS</t>
  </si>
  <si>
    <t>qx_sgpS</t>
    <phoneticPr fontId="3" type="noConversion"/>
  </si>
  <si>
    <t>추간판장애및컴퓨터과잉질환수술특약(무배당, 무해지)</t>
    <phoneticPr fontId="1" type="noConversion"/>
  </si>
  <si>
    <t>qx_diskS</t>
    <phoneticPr fontId="3" type="noConversion"/>
  </si>
  <si>
    <t>qx_VDTS</t>
    <phoneticPr fontId="3" type="noConversion"/>
  </si>
  <si>
    <t>골절깁스치료특약(무배당, 무해지)</t>
    <phoneticPr fontId="1" type="noConversion"/>
  </si>
  <si>
    <t>qx_agol</t>
  </si>
  <si>
    <t>qx_5agol</t>
  </si>
  <si>
    <t>qx_gips</t>
    <phoneticPr fontId="3" type="noConversion"/>
  </si>
  <si>
    <t>주니어특정질병입원특약(무배당)</t>
    <phoneticPr fontId="1" type="noConversion"/>
  </si>
  <si>
    <t>qx_tjH120</t>
    <phoneticPr fontId="3" type="noConversion"/>
  </si>
  <si>
    <t>피부질환수술특약(무배당</t>
    <phoneticPr fontId="1" type="noConversion"/>
  </si>
  <si>
    <t>qx_skinS</t>
    <phoneticPr fontId="3" type="noConversion"/>
  </si>
  <si>
    <t>첫날부터입원보장특약(무배당, 갱신형)</t>
    <phoneticPr fontId="1" type="noConversion"/>
  </si>
  <si>
    <t>수술특약(무배당 갱신형)</t>
    <phoneticPr fontId="1" type="noConversion"/>
  </si>
  <si>
    <t>첫날부터플러스입원보장특약(무배당 갱신형)</t>
    <phoneticPr fontId="1" type="noConversion"/>
  </si>
  <si>
    <t>변수</t>
    <phoneticPr fontId="1" type="noConversion"/>
  </si>
  <si>
    <t>위험률명</t>
    <phoneticPr fontId="1" type="noConversion"/>
  </si>
  <si>
    <t>공문번호</t>
    <phoneticPr fontId="1" type="noConversion"/>
  </si>
  <si>
    <t>날짜</t>
    <phoneticPr fontId="1" type="noConversion"/>
  </si>
  <si>
    <t>무배당 예정 재해장해 50%이상 발생률</t>
    <phoneticPr fontId="3" type="noConversion"/>
  </si>
  <si>
    <t>보험개발원 생명장기 제2023-2072호</t>
    <phoneticPr fontId="3" type="noConversion"/>
  </si>
  <si>
    <t>2023.12.06</t>
    <phoneticPr fontId="3" type="noConversion"/>
  </si>
  <si>
    <t>무배당 예정 질병장해 50%이상 발생률</t>
    <phoneticPr fontId="3" type="noConversion"/>
  </si>
  <si>
    <t>qx_a100%</t>
    <phoneticPr fontId="3" type="noConversion"/>
  </si>
  <si>
    <t>무배당 예정 경험3~100% 재해장해율</t>
    <phoneticPr fontId="3" type="noConversion"/>
  </si>
  <si>
    <t>보험개발원 생명장기 제2024-1009호</t>
    <phoneticPr fontId="3" type="noConversion"/>
  </si>
  <si>
    <t>2024.02.29</t>
    <phoneticPr fontId="3" type="noConversion"/>
  </si>
  <si>
    <t>태아보장계수</t>
    <phoneticPr fontId="3" type="noConversion"/>
  </si>
  <si>
    <t>보험개발원 생명장기 제2019-2529호</t>
    <phoneticPr fontId="3" type="noConversion"/>
  </si>
  <si>
    <t>2019.06.04</t>
    <phoneticPr fontId="3" type="noConversion"/>
  </si>
  <si>
    <t>qx_am</t>
    <phoneticPr fontId="3" type="noConversion"/>
  </si>
  <si>
    <t>무배당 예정 경험 암 발생률</t>
    <phoneticPr fontId="3" type="noConversion"/>
  </si>
  <si>
    <t>보험개발원 생명장기 제2024-0800호</t>
    <phoneticPr fontId="3" type="noConversion"/>
  </si>
  <si>
    <t>2024.02.21</t>
    <phoneticPr fontId="3" type="noConversion"/>
  </si>
  <si>
    <t>qx_ubamR</t>
    <phoneticPr fontId="3" type="noConversion"/>
  </si>
  <si>
    <t>예정 경험 유방암 발생비율</t>
    <phoneticPr fontId="3" type="noConversion"/>
  </si>
  <si>
    <t>보험개발원 생명장기 제2024-0881호</t>
    <phoneticPr fontId="3" type="noConversion"/>
  </si>
  <si>
    <t>2024.02.23</t>
    <phoneticPr fontId="3" type="noConversion"/>
  </si>
  <si>
    <t>qx_jlsamR</t>
    <phoneticPr fontId="3" type="noConversion"/>
  </si>
  <si>
    <t>예정 경험 전립선암 발생비율</t>
    <phoneticPr fontId="3" type="noConversion"/>
  </si>
  <si>
    <t>보험개발원 생명장기 제2024-0828호</t>
    <phoneticPr fontId="3" type="noConversion"/>
  </si>
  <si>
    <t>2024.02.22</t>
    <phoneticPr fontId="3" type="noConversion"/>
  </si>
  <si>
    <t>qx_gitaamR</t>
    <phoneticPr fontId="3" type="noConversion"/>
  </si>
  <si>
    <t>예정 경험 기타피부암 발생비율</t>
    <phoneticPr fontId="3" type="noConversion"/>
  </si>
  <si>
    <t>보험개발원 생명장기 제2024-0183호</t>
    <phoneticPr fontId="3" type="noConversion"/>
  </si>
  <si>
    <t>2024.01.18</t>
    <phoneticPr fontId="3" type="noConversion"/>
  </si>
  <si>
    <t>qx_jzgssR</t>
    <phoneticPr fontId="3" type="noConversion"/>
  </si>
  <si>
    <t>예정 중증 이외 갑상선암 발생비율</t>
    <phoneticPr fontId="3" type="noConversion"/>
  </si>
  <si>
    <t>보험개발원 생명장기 제2024-1011호</t>
    <phoneticPr fontId="3" type="noConversion"/>
  </si>
  <si>
    <t>qx_djjmnamR</t>
    <phoneticPr fontId="3" type="noConversion"/>
  </si>
  <si>
    <t>예정 경험 전체암 대비 대장암 중 대장점막내암 발생비율</t>
    <phoneticPr fontId="3" type="noConversion"/>
  </si>
  <si>
    <t>보험개발원 생명장기 제2024-1112호</t>
    <phoneticPr fontId="3" type="noConversion"/>
  </si>
  <si>
    <t>2024.03.04</t>
    <phoneticPr fontId="3" type="noConversion"/>
  </si>
  <si>
    <t>qx_bcsbgamR</t>
    <phoneticPr fontId="3" type="noConversion"/>
  </si>
  <si>
    <t>예정 경험 전체암 대비 방광암 중 비침습방광암 발생비율</t>
    <phoneticPr fontId="3" type="noConversion"/>
  </si>
  <si>
    <t>보험개발원 생명장기 제2024-1034호</t>
    <phoneticPr fontId="3" type="noConversion"/>
  </si>
  <si>
    <t>qx_highamR</t>
    <phoneticPr fontId="3" type="noConversion"/>
  </si>
  <si>
    <t>예정 경험 고액암 발생비율(췌장암 포함)</t>
    <phoneticPr fontId="3" type="noConversion"/>
  </si>
  <si>
    <t>2024.02.23</t>
  </si>
  <si>
    <t>qx_jjram</t>
    <phoneticPr fontId="3" type="noConversion"/>
  </si>
  <si>
    <t>무배당 예정 제자리암 발생률</t>
    <phoneticPr fontId="3" type="noConversion"/>
  </si>
  <si>
    <t>qx_gr</t>
    <phoneticPr fontId="3" type="noConversion"/>
  </si>
  <si>
    <t>무배당 예정 경계성종양 발생률</t>
    <phoneticPr fontId="3" type="noConversion"/>
  </si>
  <si>
    <t>무배당 예정 말기신부전증 발생률</t>
    <phoneticPr fontId="3" type="noConversion"/>
  </si>
  <si>
    <t>보험개발원 생명장기 제2024-874호</t>
    <phoneticPr fontId="3" type="noConversion"/>
  </si>
  <si>
    <t>무배당 예정 중대한 화상 및 부식 발생률</t>
    <phoneticPr fontId="3" type="noConversion"/>
  </si>
  <si>
    <t>보험개발원 생명장기 제2019-1336</t>
    <phoneticPr fontId="3" type="noConversion"/>
  </si>
  <si>
    <t>2019.02.28</t>
    <phoneticPr fontId="3" type="noConversion"/>
  </si>
  <si>
    <t>무배당 예정 중증재생불량성빈혈 발생률</t>
    <phoneticPr fontId="3" type="noConversion"/>
  </si>
  <si>
    <t>보험개발원 생명장기 제2024-780호</t>
    <phoneticPr fontId="3" type="noConversion"/>
  </si>
  <si>
    <t>2024.02.20</t>
    <phoneticPr fontId="3" type="noConversion"/>
  </si>
  <si>
    <t>무배당 예정 양성뇌종양 발생률(경계성종양 제외)</t>
    <phoneticPr fontId="3" type="noConversion"/>
  </si>
  <si>
    <t>보험개발원 생명장기 제2021-380호</t>
    <phoneticPr fontId="3" type="noConversion"/>
  </si>
  <si>
    <t>2021.03.12</t>
    <phoneticPr fontId="3" type="noConversion"/>
  </si>
  <si>
    <t>무배당 예정 심장합병증을 동반한 가와사키병 발생률</t>
    <phoneticPr fontId="3" type="noConversion"/>
  </si>
  <si>
    <t>보험개발원 생명장기 제2024-0405호</t>
    <phoneticPr fontId="3" type="noConversion"/>
  </si>
  <si>
    <t>2024.01.31</t>
    <phoneticPr fontId="3" type="noConversion"/>
  </si>
  <si>
    <t>qx_jjsggm</t>
    <phoneticPr fontId="3" type="noConversion"/>
  </si>
  <si>
    <t>무배당 예정 중증세균성수막염 발생률</t>
    <phoneticPr fontId="3" type="noConversion"/>
  </si>
  <si>
    <t>보험개발원 생명장기 제2024-1191호</t>
    <phoneticPr fontId="3" type="noConversion"/>
  </si>
  <si>
    <t>2024.03.08</t>
    <phoneticPr fontId="3" type="noConversion"/>
  </si>
  <si>
    <t>qx_jhmsp</t>
    <phoneticPr fontId="3" type="noConversion"/>
  </si>
  <si>
    <t>무배당 예정 조혈모세포이식 발생률</t>
    <phoneticPr fontId="3" type="noConversion"/>
  </si>
  <si>
    <t>보험개발원 생명장기 제2024-0938호</t>
    <phoneticPr fontId="3" type="noConversion"/>
  </si>
  <si>
    <t>2024.02.27</t>
    <phoneticPr fontId="3" type="noConversion"/>
  </si>
  <si>
    <t>qx_5djgi</t>
    <phoneticPr fontId="3" type="noConversion"/>
  </si>
  <si>
    <t>무배당 예정 5대장기이식수술 발생률</t>
    <phoneticPr fontId="3" type="noConversion"/>
  </si>
  <si>
    <t>보험개발원 생명장기 제2024-0621</t>
    <phoneticPr fontId="3" type="noConversion"/>
  </si>
  <si>
    <t>2024.02.14</t>
    <phoneticPr fontId="3" type="noConversion"/>
  </si>
  <si>
    <t>qx_ghsj</t>
    <phoneticPr fontId="3" type="noConversion"/>
  </si>
  <si>
    <t>무배당 예정 개흉심장수술 발생률</t>
    <phoneticPr fontId="3" type="noConversion"/>
  </si>
  <si>
    <t>보험개발원 생명장기 제2024-0430호</t>
    <phoneticPr fontId="3" type="noConversion"/>
  </si>
  <si>
    <t>2024.02.01</t>
    <phoneticPr fontId="3" type="noConversion"/>
  </si>
  <si>
    <t>qx_ysbrainS</t>
    <phoneticPr fontId="3" type="noConversion"/>
  </si>
  <si>
    <t>무배당 예정 양성뇌종양 수술률</t>
    <phoneticPr fontId="3" type="noConversion"/>
  </si>
  <si>
    <t>보험개발원 생명장기 제2024-1188호</t>
    <phoneticPr fontId="3" type="noConversion"/>
  </si>
  <si>
    <t>무배당 예정 재해로 인한 개두/개흉/개복 수술률</t>
    <phoneticPr fontId="3" type="noConversion"/>
  </si>
  <si>
    <t>서울보험계리법인 SAS 2024-130호</t>
    <phoneticPr fontId="3" type="noConversion"/>
  </si>
  <si>
    <t>202.03.06</t>
    <phoneticPr fontId="3" type="noConversion"/>
  </si>
  <si>
    <t>qx_brainC</t>
    <phoneticPr fontId="3" type="noConversion"/>
  </si>
  <si>
    <t>무배당 예정 뇌출혈 발생률</t>
    <phoneticPr fontId="3" type="noConversion"/>
  </si>
  <si>
    <t>qx_gssg</t>
    <phoneticPr fontId="3" type="noConversion"/>
  </si>
  <si>
    <t>무배당 예정 급성심근경색증 발생률</t>
    <phoneticPr fontId="3" type="noConversion"/>
  </si>
  <si>
    <t>qx_daH180</t>
    <phoneticPr fontId="3" type="noConversion"/>
  </si>
  <si>
    <t>무배당 예정 질병 및 재해 입원적용률(1일이상 180일한도)</t>
    <phoneticPr fontId="3" type="noConversion"/>
  </si>
  <si>
    <t>보험개발원 생명장기 제2024-1196호</t>
    <phoneticPr fontId="3" type="noConversion"/>
  </si>
  <si>
    <t>qx_highHda180</t>
    <phoneticPr fontId="3" type="noConversion"/>
  </si>
  <si>
    <t>무배당 예정 상급종합병원 질병 및 재해 입원적용률(1일이상 180일한도)</t>
    <phoneticPr fontId="3" type="noConversion"/>
  </si>
  <si>
    <t>qx_daICU60</t>
    <phoneticPr fontId="3" type="noConversion"/>
  </si>
  <si>
    <t>무배당 예정 질병 및 재해 중환자실(집중치료실,ICU)입원적용률(1일이상 60일한도)</t>
    <phoneticPr fontId="3" type="noConversion"/>
  </si>
  <si>
    <t>qx_hhsj1</t>
    <phoneticPr fontId="3" type="noConversion"/>
  </si>
  <si>
    <t>qx_1jS</t>
    <phoneticPr fontId="3" type="noConversion"/>
  </si>
  <si>
    <t>무배당 예정 경험 1종수술률</t>
    <phoneticPr fontId="3" type="noConversion"/>
  </si>
  <si>
    <t>보험개발원 생명장기 제2024-0900호</t>
    <phoneticPr fontId="3" type="noConversion"/>
  </si>
  <si>
    <t>무배당 예정 경험 2종수술률</t>
  </si>
  <si>
    <t>무배당 예정 경험 3종수술률</t>
  </si>
  <si>
    <t>무배당 예정 경험 4종수술률</t>
  </si>
  <si>
    <t>무배당 예정 경험 5종수술률</t>
  </si>
  <si>
    <t>qx_amS</t>
    <phoneticPr fontId="3" type="noConversion"/>
  </si>
  <si>
    <t>무배당 경험 암 수술률</t>
    <phoneticPr fontId="3" type="noConversion"/>
  </si>
  <si>
    <t>보험개발원 생명장기 제2024-873호</t>
    <phoneticPr fontId="3" type="noConversion"/>
  </si>
  <si>
    <t>qx_gitaamSR</t>
    <phoneticPr fontId="3" type="noConversion"/>
  </si>
  <si>
    <t>예정 기타피부암 수술비율</t>
    <phoneticPr fontId="3" type="noConversion"/>
  </si>
  <si>
    <t>보험개발원 생명장기 제2024-0014호</t>
    <phoneticPr fontId="3" type="noConversion"/>
  </si>
  <si>
    <t>2024.01.04</t>
    <phoneticPr fontId="3" type="noConversion"/>
  </si>
  <si>
    <t>qx_gapamSR</t>
    <phoneticPr fontId="3" type="noConversion"/>
  </si>
  <si>
    <t>예정 갑상선암 수술비율</t>
    <phoneticPr fontId="3" type="noConversion"/>
  </si>
  <si>
    <t>보험개발원 생명장기 제2024-929호</t>
    <phoneticPr fontId="3" type="noConversion"/>
  </si>
  <si>
    <t>qx_jjramS</t>
    <phoneticPr fontId="3" type="noConversion"/>
  </si>
  <si>
    <t>무배당 예정 제자리암 수술률</t>
    <phoneticPr fontId="3" type="noConversion"/>
  </si>
  <si>
    <t>qx_grS</t>
    <phoneticPr fontId="3" type="noConversion"/>
  </si>
  <si>
    <t>무배당 예정 경계성종양 수술률</t>
    <phoneticPr fontId="3" type="noConversion"/>
  </si>
  <si>
    <t>qx_brainCGgsS</t>
    <phoneticPr fontId="3" type="noConversion"/>
  </si>
  <si>
    <t>무배당 예정 뇌출혈 및 뇌경색증, 급성심근경색증 수술률</t>
    <phoneticPr fontId="3" type="noConversion"/>
  </si>
  <si>
    <t>무배당 예정 주요 신장, 간, 폐질환 수술률</t>
    <phoneticPr fontId="3" type="noConversion"/>
  </si>
  <si>
    <t>보험개발원 생명장기 제2021-0517호</t>
    <phoneticPr fontId="3" type="noConversion"/>
  </si>
  <si>
    <t>2021.03.24</t>
    <phoneticPr fontId="3" type="noConversion"/>
  </si>
  <si>
    <t>무배당 예정 디스크질병(추간판장애)수술률</t>
    <phoneticPr fontId="3" type="noConversion"/>
  </si>
  <si>
    <t>2021.03.30</t>
    <phoneticPr fontId="3" type="noConversion"/>
  </si>
  <si>
    <t>무배당 예정 컴퓨터과잉질환(VDT증후군)수술률</t>
    <phoneticPr fontId="3" type="noConversion"/>
  </si>
  <si>
    <t>보험개발원 생명장기 제2021-557호</t>
    <phoneticPr fontId="3" type="noConversion"/>
  </si>
  <si>
    <t>2021.03.29</t>
    <phoneticPr fontId="3" type="noConversion"/>
  </si>
  <si>
    <t>qx_agol</t>
    <phoneticPr fontId="3" type="noConversion"/>
  </si>
  <si>
    <t>무배당 예정 경험 재해골절 발생률(치아파절 제외)</t>
    <phoneticPr fontId="3" type="noConversion"/>
  </si>
  <si>
    <t>보험개발원 생명장기 제2024-0947호</t>
    <phoneticPr fontId="3" type="noConversion"/>
  </si>
  <si>
    <t>qx_5agol</t>
    <phoneticPr fontId="3" type="noConversion"/>
  </si>
  <si>
    <t>무배당 예정 경험 5대 재해골절발생률(비골의 골절 및 치아파절 제외)</t>
    <phoneticPr fontId="3" type="noConversion"/>
  </si>
  <si>
    <t>무배당 예정 깁스치료 발생률</t>
    <phoneticPr fontId="3" type="noConversion"/>
  </si>
  <si>
    <t>보험개발원 생명장기 제2021-0125호</t>
    <phoneticPr fontId="3" type="noConversion"/>
  </si>
  <si>
    <t>2021.01.27</t>
    <phoneticPr fontId="3" type="noConversion"/>
  </si>
  <si>
    <t>무배당 예정 특정질병 입원적용률(4일이상 120일한도)</t>
    <phoneticPr fontId="3" type="noConversion"/>
  </si>
  <si>
    <t>보험개발원 생명장기 제2021-180호</t>
    <phoneticPr fontId="3" type="noConversion"/>
  </si>
  <si>
    <t>2021.02.08</t>
    <phoneticPr fontId="3" type="noConversion"/>
  </si>
  <si>
    <t>무배당 예정 피부질환 수술률</t>
    <phoneticPr fontId="3" type="noConversion"/>
  </si>
  <si>
    <t>보험개발원 생명장기 제2021-567호</t>
    <phoneticPr fontId="3" type="noConversion"/>
  </si>
  <si>
    <t>파생변수</t>
    <phoneticPr fontId="3" type="noConversion"/>
  </si>
  <si>
    <t>qx_ad50%</t>
    <phoneticPr fontId="3" type="noConversion"/>
  </si>
  <si>
    <t>qx_a50% + qx_d50%</t>
    <phoneticPr fontId="3" type="noConversion"/>
  </si>
  <si>
    <t>재해장해 50%이상 발생률</t>
    <phoneticPr fontId="1" type="noConversion"/>
  </si>
  <si>
    <t>질병장해 50%이상 발생률</t>
    <phoneticPr fontId="1" type="noConversion"/>
  </si>
  <si>
    <t>qx_a50% + qx_d50%</t>
    <phoneticPr fontId="1" type="noConversion"/>
  </si>
  <si>
    <t>경험3~100% 재해장해율</t>
    <phoneticPr fontId="1" type="noConversion"/>
  </si>
  <si>
    <t>경험 암 발생률</t>
    <phoneticPr fontId="1" type="noConversion"/>
  </si>
  <si>
    <t>경험 유방암 발생비율</t>
    <phoneticPr fontId="1" type="noConversion"/>
  </si>
  <si>
    <t>경험 전립선암 발생비율</t>
    <phoneticPr fontId="1" type="noConversion"/>
  </si>
  <si>
    <t>경험 기타피부암 발생비율</t>
    <phoneticPr fontId="1" type="noConversion"/>
  </si>
  <si>
    <t>중증 이외 갑상선암 발생비율</t>
    <phoneticPr fontId="1" type="noConversion"/>
  </si>
  <si>
    <t>경험 전체암 대비 대장암 중 대장점막내암 발생비율</t>
    <phoneticPr fontId="1" type="noConversion"/>
  </si>
  <si>
    <t>경험 전체암 대비 방광암 중 비침습방광암 발생비율</t>
    <phoneticPr fontId="1" type="noConversion"/>
  </si>
  <si>
    <t>경험 고액암 발생비율(췌장암 포함)</t>
    <phoneticPr fontId="1" type="noConversion"/>
  </si>
  <si>
    <t>제자리암 발생률</t>
    <phoneticPr fontId="1" type="noConversion"/>
  </si>
  <si>
    <t>경계성종양 발생률</t>
    <phoneticPr fontId="1" type="noConversion"/>
  </si>
  <si>
    <t>말기신부전증 발생률</t>
    <phoneticPr fontId="1" type="noConversion"/>
  </si>
  <si>
    <t>중대한 화상 및 부식 발생률</t>
    <phoneticPr fontId="1" type="noConversion"/>
  </si>
  <si>
    <t xml:space="preserve"> 중증재생불량성빈혈 발생률</t>
    <phoneticPr fontId="1" type="noConversion"/>
  </si>
  <si>
    <t>양성뇌종양 발생률(경계성종양 제외)</t>
    <phoneticPr fontId="1" type="noConversion"/>
  </si>
  <si>
    <t>심장합병증을 동반한 가와사키병 발생률</t>
    <phoneticPr fontId="1" type="noConversion"/>
  </si>
  <si>
    <t>중증세균성수막염 발생률</t>
    <phoneticPr fontId="1" type="noConversion"/>
  </si>
  <si>
    <t>조혈모세포이식 발생률</t>
    <phoneticPr fontId="1" type="noConversion"/>
  </si>
  <si>
    <t>5대장기이식수술 발생률</t>
    <phoneticPr fontId="1" type="noConversion"/>
  </si>
  <si>
    <t>개흉심장수술 발생률</t>
    <phoneticPr fontId="1" type="noConversion"/>
  </si>
  <si>
    <t>양성뇌종양 수술률</t>
    <phoneticPr fontId="1" type="noConversion"/>
  </si>
  <si>
    <t xml:space="preserve"> 재해로 인한 개두/개흉/개복 수술률</t>
    <phoneticPr fontId="1" type="noConversion"/>
  </si>
  <si>
    <t>뇌출혈 발생률</t>
    <phoneticPr fontId="1" type="noConversion"/>
  </si>
  <si>
    <t>급성심근경색증 발생률</t>
    <phoneticPr fontId="1" type="noConversion"/>
  </si>
  <si>
    <t>질병 및 재해 입원적용률(1일이상 180일한도)</t>
    <phoneticPr fontId="1" type="noConversion"/>
  </si>
  <si>
    <t>상급종합병원 질병 및 재해 입원적용률(1일이상 180일한도)</t>
    <phoneticPr fontId="1" type="noConversion"/>
  </si>
  <si>
    <t>질병 및 재해 중환자실(집중치료실,ICU)입원적용률(1일이상 60일한도)</t>
    <phoneticPr fontId="1" type="noConversion"/>
  </si>
  <si>
    <t xml:space="preserve"> 경험 1종수술률</t>
    <phoneticPr fontId="1" type="noConversion"/>
  </si>
  <si>
    <t xml:space="preserve"> 경험 2종수술률</t>
    <phoneticPr fontId="1" type="noConversion"/>
  </si>
  <si>
    <t xml:space="preserve"> 경험 3종수술률</t>
    <phoneticPr fontId="1" type="noConversion"/>
  </si>
  <si>
    <t>경험 4종수술률</t>
    <phoneticPr fontId="1" type="noConversion"/>
  </si>
  <si>
    <t>경험 5종수술률</t>
    <phoneticPr fontId="1" type="noConversion"/>
  </si>
  <si>
    <t>경험 암 수술률</t>
    <phoneticPr fontId="1" type="noConversion"/>
  </si>
  <si>
    <t>기타피부암 수술비율</t>
    <phoneticPr fontId="1" type="noConversion"/>
  </si>
  <si>
    <t>갑상선암 수술비율</t>
    <phoneticPr fontId="1" type="noConversion"/>
  </si>
  <si>
    <t xml:space="preserve"> 제자리암 수술률</t>
    <phoneticPr fontId="1" type="noConversion"/>
  </si>
  <si>
    <t>경계성종양 수술률</t>
    <phoneticPr fontId="1" type="noConversion"/>
  </si>
  <si>
    <t>뇌출혈 및 뇌경색증, 급성심근경색증 수술률</t>
    <phoneticPr fontId="1" type="noConversion"/>
  </si>
  <si>
    <t>주요 신장, 간, 폐질환 수술률</t>
    <phoneticPr fontId="1" type="noConversion"/>
  </si>
  <si>
    <t>디스크질병(추간판장애)수술률</t>
    <phoneticPr fontId="1" type="noConversion"/>
  </si>
  <si>
    <t>컴퓨터과잉질환(VDT증후군)수술률</t>
    <phoneticPr fontId="1" type="noConversion"/>
  </si>
  <si>
    <t>경험 재해골절 발생률(치아파절 제외)</t>
    <phoneticPr fontId="1" type="noConversion"/>
  </si>
  <si>
    <t>경험 5대 재해골절발생률(비골의 골절 및 치아파절 제외)</t>
    <phoneticPr fontId="1" type="noConversion"/>
  </si>
  <si>
    <t>깁스치료 발생률</t>
    <phoneticPr fontId="1" type="noConversion"/>
  </si>
  <si>
    <t>특정질병 입원적용률(4일이상 120일한도)</t>
    <phoneticPr fontId="1" type="noConversion"/>
  </si>
  <si>
    <t>피부질환 수술률</t>
    <phoneticPr fontId="1" type="noConversion"/>
  </si>
  <si>
    <t>남자</t>
    <phoneticPr fontId="1" type="noConversion"/>
  </si>
  <si>
    <t>여자</t>
    <phoneticPr fontId="1" type="noConversion"/>
  </si>
  <si>
    <t>qx_ad50%</t>
    <phoneticPr fontId="1" type="noConversion"/>
  </si>
  <si>
    <t>qx_jzgssR</t>
    <phoneticPr fontId="1" type="noConversion"/>
  </si>
  <si>
    <t>qx_mg</t>
  </si>
  <si>
    <t>qx_jdhhs</t>
  </si>
  <si>
    <t>qx_jjjsb</t>
  </si>
  <si>
    <t>qx_gawasaki</t>
  </si>
  <si>
    <t>qx_a_openS</t>
  </si>
  <si>
    <t>qx_gssg</t>
  </si>
  <si>
    <t>qx_brainH1</t>
  </si>
  <si>
    <t>qx_daICU60</t>
    <phoneticPr fontId="1" type="noConversion"/>
  </si>
  <si>
    <t>qx_sgpS</t>
  </si>
  <si>
    <t>qx_diskS</t>
  </si>
  <si>
    <t>qx_VDTS</t>
  </si>
  <si>
    <t>qx_gips</t>
    <phoneticPr fontId="1" type="noConversion"/>
  </si>
  <si>
    <t>qx_gips</t>
  </si>
  <si>
    <t>qx_tjH120</t>
  </si>
  <si>
    <t>qx_skinS</t>
  </si>
  <si>
    <t>보험료 납입기간</t>
  </si>
  <si>
    <t>보험료 납입기간 후</t>
  </si>
  <si>
    <t>m</t>
  </si>
  <si>
    <t>min(30,납입기간)</t>
  </si>
  <si>
    <t>=IF(m&lt;=30,IFS($D4&gt;m,$B$10,$D4&lt;=m,HLOOKUP($E$3,해지율TABLE,MIN(30,D4)+2,FALSE)),IFS($D4&gt;m,$B$10,$D4=m,$B$9,$D4=m-1,$B$8,$D4=m-2,$B$7,$D4=m-3,$B$6,AND($D4&lt;m-3,$D4&gt;20),$B$5,AND($D4&lt;m-3,$D4&lt;=20),HLOOKUP($E$3,해지율TABLE,MIN(30,D4)+2,FALSE)))</t>
    <phoneticPr fontId="1" type="noConversion"/>
  </si>
  <si>
    <t>사업비 위치</t>
    <phoneticPr fontId="1" type="noConversion"/>
  </si>
  <si>
    <t>사업비 번호</t>
    <phoneticPr fontId="1" type="noConversion"/>
  </si>
  <si>
    <t>세부</t>
    <phoneticPr fontId="1" type="noConversion"/>
  </si>
  <si>
    <t>주계약</t>
  </si>
  <si>
    <t>태아형</t>
  </si>
  <si>
    <t>어린이형</t>
  </si>
  <si>
    <t>종속1</t>
  </si>
  <si>
    <t>종속2</t>
  </si>
  <si>
    <t>종속3</t>
  </si>
  <si>
    <t>종속4</t>
  </si>
  <si>
    <t>종속5</t>
  </si>
  <si>
    <t>종속6</t>
  </si>
  <si>
    <t>종속7</t>
  </si>
  <si>
    <t>종속8</t>
  </si>
  <si>
    <t>종속9</t>
  </si>
  <si>
    <t>세만기</t>
  </si>
  <si>
    <t>종속10</t>
  </si>
  <si>
    <t>종속11</t>
  </si>
  <si>
    <t>종속12</t>
  </si>
  <si>
    <t>종속13</t>
  </si>
  <si>
    <t>종속14</t>
  </si>
  <si>
    <t>종속15</t>
  </si>
  <si>
    <t>종속16</t>
  </si>
  <si>
    <t>종속17</t>
  </si>
  <si>
    <t>종속18</t>
  </si>
  <si>
    <t>종속19</t>
  </si>
  <si>
    <t>종속20</t>
  </si>
  <si>
    <t>최초계약</t>
  </si>
  <si>
    <t>종속21</t>
  </si>
  <si>
    <t>종속22</t>
  </si>
  <si>
    <t>주계약(무배당, 무해지)</t>
  </si>
  <si>
    <t>일반암진단특약(무배당, 무해지)</t>
  </si>
  <si>
    <t>고액암진단특약(무배당, 무해지)</t>
  </si>
  <si>
    <t>남녀특정암진단특약(무배당, 무해지)</t>
  </si>
  <si>
    <t>소액암진단특약(무배당, 무해지)</t>
  </si>
  <si>
    <t>주니어특정중대질병진단특약(무배당 무해지)</t>
  </si>
  <si>
    <t>주니어특정중대질병수술보장특약(무배당 무해지)</t>
  </si>
  <si>
    <t>뇌출혈진단특약(무배당 무해지)</t>
  </si>
  <si>
    <t>급성심근경색증진단특약(무배당 무해지)</t>
  </si>
  <si>
    <t>뇌혈관질환진단특약(무배당 무해지)</t>
  </si>
  <si>
    <t>허혈성심장질환진단특약(무배당 무해지)</t>
  </si>
  <si>
    <t>첫날부터플러스입원보장특약(무배당 무해지)</t>
  </si>
  <si>
    <t>수술특약(무배당 무해지)</t>
  </si>
  <si>
    <t>수술플러스보장특약(무배당 무해지)</t>
  </si>
  <si>
    <t>6대질병보장특약(무배당 무해지)</t>
  </si>
  <si>
    <t>추간판장애및컴퓨터과잉질환수술특약(무배당, 무해지)</t>
  </si>
  <si>
    <t>골절깁스치료특약(무배당, 무해지)</t>
  </si>
  <si>
    <t>주니어특정질병입원특약(무배당)</t>
  </si>
  <si>
    <t>피부질환수술특약(무배당</t>
  </si>
  <si>
    <t>첫날부터입원보장특약(무배당, 갱신형)</t>
  </si>
  <si>
    <t>수술특약(무배당 갱신형)</t>
  </si>
  <si>
    <t>첫날부터플러스입원보장특약(무배당 갱신형)</t>
  </si>
  <si>
    <t>α1  (최초 : 기준연납순보험료)</t>
    <phoneticPr fontId="1" type="noConversion"/>
  </si>
  <si>
    <t>α2  (최초 : 보험가입금액)</t>
    <phoneticPr fontId="1" type="noConversion"/>
  </si>
  <si>
    <t>무배당 예정 뇌혈관질환발생률</t>
    <phoneticPr fontId="3" type="noConversion"/>
  </si>
  <si>
    <t>보험개발원 생명장기 제2024-1336호</t>
    <phoneticPr fontId="3" type="noConversion"/>
  </si>
  <si>
    <t>2024.03.15</t>
    <phoneticPr fontId="3" type="noConversion"/>
  </si>
  <si>
    <t>무배당 예정 허혈심장질환 발생률</t>
    <phoneticPr fontId="3" type="noConversion"/>
  </si>
  <si>
    <t>보험개발원 생명장기 제2021-0567호</t>
    <phoneticPr fontId="3" type="noConversion"/>
  </si>
  <si>
    <t>qx_d100%</t>
    <phoneticPr fontId="3" type="noConversion"/>
  </si>
  <si>
    <t>무배당 예정 3~100%질병 장해율</t>
    <phoneticPr fontId="3" type="noConversion"/>
  </si>
  <si>
    <t>3~100%질병 장해율</t>
    <phoneticPr fontId="1" type="noConversion"/>
  </si>
  <si>
    <t>qx_d100%</t>
  </si>
  <si>
    <t>질병장해특약(무배당,해약환급금미지급형)</t>
    <phoneticPr fontId="1" type="noConversion"/>
  </si>
  <si>
    <r>
      <rPr>
        <sz val="11"/>
        <color theme="1"/>
        <rFont val="Calibri"/>
        <family val="2"/>
        <charset val="161"/>
      </rPr>
      <t>α</t>
    </r>
    <r>
      <rPr>
        <sz val="11"/>
        <color theme="1"/>
        <rFont val="맑은 고딕"/>
        <family val="2"/>
        <charset val="129"/>
        <scheme val="minor"/>
      </rPr>
      <t xml:space="preserve">1  </t>
    </r>
    <r>
      <rPr>
        <sz val="11"/>
        <color theme="1"/>
        <rFont val="맑은 고딕"/>
        <family val="2"/>
        <charset val="161"/>
        <scheme val="minor"/>
      </rPr>
      <t>(최초 : 기준연납순보험료)</t>
    </r>
    <phoneticPr fontId="1" type="noConversion"/>
  </si>
  <si>
    <r>
      <rPr>
        <sz val="11"/>
        <color theme="1"/>
        <rFont val="Calibri"/>
        <family val="2"/>
        <charset val="161"/>
      </rPr>
      <t>α2</t>
    </r>
    <r>
      <rPr>
        <sz val="11"/>
        <color theme="1"/>
        <rFont val="맑은 고딕"/>
        <family val="2"/>
        <charset val="161"/>
        <scheme val="minor"/>
      </rPr>
      <t xml:space="preserve">  (최초 : 보험가입금액)</t>
    </r>
    <phoneticPr fontId="1" type="noConversion"/>
  </si>
  <si>
    <r>
      <rPr>
        <sz val="11"/>
        <color theme="1"/>
        <rFont val="Calibri"/>
        <family val="2"/>
        <charset val="161"/>
      </rPr>
      <t>β</t>
    </r>
    <r>
      <rPr>
        <sz val="11"/>
        <color theme="1"/>
        <rFont val="Calibri"/>
        <family val="2"/>
      </rPr>
      <t>(</t>
    </r>
    <r>
      <rPr>
        <sz val="11"/>
        <color theme="1"/>
        <rFont val="맑은 고딕"/>
        <family val="2"/>
        <charset val="129"/>
      </rPr>
      <t>납입중</t>
    </r>
    <r>
      <rPr>
        <sz val="11"/>
        <color theme="1"/>
        <rFont val="Calibri"/>
        <family val="2"/>
      </rPr>
      <t>,</t>
    </r>
    <r>
      <rPr>
        <sz val="11"/>
        <color theme="1"/>
        <rFont val="Arial Unicode MS"/>
        <family val="2"/>
        <charset val="129"/>
      </rPr>
      <t xml:space="preserve"> </t>
    </r>
    <r>
      <rPr>
        <sz val="11"/>
        <color theme="1"/>
        <rFont val="맑은 고딕"/>
        <family val="2"/>
        <charset val="129"/>
      </rPr>
      <t>영업보험료)</t>
    </r>
    <phoneticPr fontId="1" type="noConversion"/>
  </si>
  <si>
    <r>
      <rPr>
        <sz val="11"/>
        <color theme="1"/>
        <rFont val="Calibri"/>
        <family val="2"/>
        <charset val="161"/>
      </rPr>
      <t>β</t>
    </r>
    <r>
      <rPr>
        <sz val="11"/>
        <color theme="1"/>
        <rFont val="Calibri"/>
        <family val="2"/>
      </rPr>
      <t>(</t>
    </r>
    <r>
      <rPr>
        <sz val="11"/>
        <color theme="1"/>
        <rFont val="맑은 고딕"/>
        <family val="2"/>
        <charset val="129"/>
      </rPr>
      <t>납입중</t>
    </r>
    <r>
      <rPr>
        <sz val="11"/>
        <color theme="1"/>
        <rFont val="Calibri"/>
        <family val="2"/>
      </rPr>
      <t xml:space="preserve">, </t>
    </r>
    <r>
      <rPr>
        <sz val="11"/>
        <color theme="1"/>
        <rFont val="맑은 고딕"/>
        <family val="2"/>
        <charset val="129"/>
      </rPr>
      <t>가입금액)</t>
    </r>
    <phoneticPr fontId="1" type="noConversion"/>
  </si>
  <si>
    <r>
      <rPr>
        <sz val="11"/>
        <color theme="1"/>
        <rFont val="Calibri"/>
        <family val="2"/>
        <charset val="161"/>
      </rPr>
      <t>β</t>
    </r>
    <r>
      <rPr>
        <sz val="11"/>
        <color theme="1"/>
        <rFont val="맑은 고딕"/>
        <family val="2"/>
        <charset val="161"/>
      </rPr>
      <t>'(납입후, 영업보험료)</t>
    </r>
    <phoneticPr fontId="1" type="noConversion"/>
  </si>
  <si>
    <r>
      <t>β'(</t>
    </r>
    <r>
      <rPr>
        <sz val="11"/>
        <color theme="1"/>
        <rFont val="맑은 고딕"/>
        <family val="2"/>
        <charset val="129"/>
      </rPr>
      <t>납입후</t>
    </r>
    <r>
      <rPr>
        <sz val="11"/>
        <color theme="1"/>
        <rFont val="Calibri"/>
        <family val="2"/>
      </rPr>
      <t xml:space="preserve">, </t>
    </r>
    <r>
      <rPr>
        <sz val="11"/>
        <color theme="1"/>
        <rFont val="맑은 고딕"/>
        <family val="2"/>
        <charset val="129"/>
      </rPr>
      <t>보험가입금액</t>
    </r>
    <r>
      <rPr>
        <sz val="11"/>
        <color theme="1"/>
        <rFont val="Calibri"/>
        <family val="2"/>
      </rPr>
      <t>)</t>
    </r>
    <phoneticPr fontId="1" type="noConversion"/>
  </si>
  <si>
    <r>
      <t>γ(</t>
    </r>
    <r>
      <rPr>
        <sz val="11"/>
        <color theme="1"/>
        <rFont val="돋움"/>
        <family val="2"/>
        <charset val="129"/>
      </rPr>
      <t>납입중,기타비용)</t>
    </r>
    <phoneticPr fontId="1" type="noConversion"/>
  </si>
  <si>
    <t>종속1</t>
    <phoneticPr fontId="1" type="noConversion"/>
  </si>
  <si>
    <t>종속2</t>
    <phoneticPr fontId="1" type="noConversion"/>
  </si>
  <si>
    <t>종속3</t>
    <phoneticPr fontId="1" type="noConversion"/>
  </si>
  <si>
    <t>종속4</t>
    <phoneticPr fontId="1" type="noConversion"/>
  </si>
  <si>
    <t>종속5</t>
    <phoneticPr fontId="1" type="noConversion"/>
  </si>
  <si>
    <t>종속6</t>
    <phoneticPr fontId="1" type="noConversion"/>
  </si>
  <si>
    <t>종속7</t>
    <phoneticPr fontId="1" type="noConversion"/>
  </si>
  <si>
    <t>종속8</t>
    <phoneticPr fontId="1" type="noConversion"/>
  </si>
  <si>
    <t>종속9</t>
    <phoneticPr fontId="1" type="noConversion"/>
  </si>
  <si>
    <t>종속10</t>
    <phoneticPr fontId="1" type="noConversion"/>
  </si>
  <si>
    <t>종속11</t>
    <phoneticPr fontId="1" type="noConversion"/>
  </si>
  <si>
    <t>종속12</t>
    <phoneticPr fontId="1" type="noConversion"/>
  </si>
  <si>
    <t>종속13</t>
    <phoneticPr fontId="1" type="noConversion"/>
  </si>
  <si>
    <t>종속14</t>
    <phoneticPr fontId="1" type="noConversion"/>
  </si>
  <si>
    <t>종속15</t>
    <phoneticPr fontId="1" type="noConversion"/>
  </si>
  <si>
    <t>종속16</t>
    <phoneticPr fontId="1" type="noConversion"/>
  </si>
  <si>
    <t>종속17</t>
    <phoneticPr fontId="1" type="noConversion"/>
  </si>
  <si>
    <t>종속18</t>
    <phoneticPr fontId="1" type="noConversion"/>
  </si>
  <si>
    <t>종속19</t>
    <phoneticPr fontId="1" type="noConversion"/>
  </si>
  <si>
    <t>종속20</t>
    <phoneticPr fontId="1" type="noConversion"/>
  </si>
  <si>
    <t>종속21</t>
    <phoneticPr fontId="1" type="noConversion"/>
  </si>
  <si>
    <t>종속22</t>
    <phoneticPr fontId="1" type="noConversion"/>
  </si>
  <si>
    <t>태아형</t>
    <phoneticPr fontId="1" type="noConversion"/>
  </si>
  <si>
    <t>어린이형</t>
    <phoneticPr fontId="1" type="noConversion"/>
  </si>
  <si>
    <t>세만기</t>
    <phoneticPr fontId="1" type="noConversion"/>
  </si>
  <si>
    <t>최초계약</t>
    <phoneticPr fontId="1" type="noConversion"/>
  </si>
  <si>
    <t>β(납입중, 영업보험료)</t>
    <phoneticPr fontId="1" type="noConversion"/>
  </si>
  <si>
    <t>β(납입중, 가입금액)</t>
    <phoneticPr fontId="1" type="noConversion"/>
  </si>
  <si>
    <t>β'(납입후, 영업보험료)</t>
    <phoneticPr fontId="1" type="noConversion"/>
  </si>
  <si>
    <t>β'(납입후, 보험가입금액)</t>
    <phoneticPr fontId="1" type="noConversion"/>
  </si>
  <si>
    <t>γ(납입중,기타비용)</t>
    <phoneticPr fontId="1" type="noConversion"/>
  </si>
  <si>
    <t>n 또는 type</t>
    <phoneticPr fontId="1" type="noConversion"/>
  </si>
  <si>
    <t>qx_tjH120</t>
    <phoneticPr fontId="1" type="noConversion"/>
  </si>
  <si>
    <t>경험사망위험률</t>
    <phoneticPr fontId="1" type="noConversion"/>
  </si>
  <si>
    <t>qx_3jS</t>
    <phoneticPr fontId="1" type="noConversion"/>
  </si>
  <si>
    <t>qx_4jS</t>
    <phoneticPr fontId="1" type="noConversion"/>
  </si>
  <si>
    <t>qx_5jS</t>
    <phoneticPr fontId="1" type="noConversion"/>
  </si>
  <si>
    <t>기준연납순보험료 n 설정</t>
    <phoneticPr fontId="1" type="noConversion"/>
  </si>
  <si>
    <t>경과기간</t>
    <phoneticPr fontId="1" type="noConversion"/>
  </si>
  <si>
    <t>qx_a100%</t>
    <phoneticPr fontId="1" type="noConversion"/>
  </si>
  <si>
    <t>S비율_일반형</t>
    <phoneticPr fontId="1" type="noConversion"/>
  </si>
  <si>
    <t>S비율_저해지</t>
    <phoneticPr fontId="1" type="noConversion"/>
  </si>
  <si>
    <t>유,전,기,갑,대,방 제외 암 발생률</t>
    <phoneticPr fontId="1" type="noConversion"/>
  </si>
  <si>
    <t>qx_am5</t>
  </si>
  <si>
    <t>qx_am5</t>
    <phoneticPr fontId="1" type="noConversion"/>
  </si>
  <si>
    <t>가입시점 태아 여부</t>
    <phoneticPr fontId="1" type="noConversion"/>
  </si>
  <si>
    <t>qx_am*(1-유방암-전립선암-기타피부암-갑상선암-대장암-방광암)</t>
    <phoneticPr fontId="3" type="noConversion"/>
  </si>
  <si>
    <t>qx_highamR</t>
    <phoneticPr fontId="1" type="noConversion"/>
  </si>
  <si>
    <t>qx_highamR * qx_am</t>
    <phoneticPr fontId="1" type="noConversion"/>
  </si>
  <si>
    <t>qx_higham</t>
  </si>
  <si>
    <t>qx_higham</t>
    <phoneticPr fontId="1" type="noConversion"/>
  </si>
  <si>
    <t>qx_am*(유방+전립)</t>
  </si>
  <si>
    <t>qx_am*(유방+전립)</t>
    <phoneticPr fontId="1" type="noConversion"/>
  </si>
  <si>
    <t>qx_am2</t>
  </si>
  <si>
    <t>qx_am2</t>
    <phoneticPr fontId="1" type="noConversion"/>
  </si>
  <si>
    <t>기타피부암발생률</t>
  </si>
  <si>
    <t>기타피부암발생률</t>
    <phoneticPr fontId="1" type="noConversion"/>
  </si>
  <si>
    <t>qx_gitaam</t>
    <phoneticPr fontId="1" type="noConversion"/>
  </si>
  <si>
    <t>중증 이외 갑상선암 발생률</t>
    <phoneticPr fontId="1" type="noConversion"/>
  </si>
  <si>
    <t>qx_jzgss</t>
    <phoneticPr fontId="1" type="noConversion"/>
  </si>
  <si>
    <t>경험 전체암 대비 대장암 중 대장점막내암 발생률</t>
    <phoneticPr fontId="1" type="noConversion"/>
  </si>
  <si>
    <t>qx_djjmnam</t>
  </si>
  <si>
    <t>qx_djjmnam</t>
    <phoneticPr fontId="1" type="noConversion"/>
  </si>
  <si>
    <t>qx_bcsbgamR</t>
    <phoneticPr fontId="1" type="noConversion"/>
  </si>
  <si>
    <t>qx_bcsbgam</t>
  </si>
  <si>
    <t>qx_bcsbgam</t>
    <phoneticPr fontId="1" type="noConversion"/>
  </si>
  <si>
    <t>경험 전체암 대비 방광암 중 비침습방광암 발생률</t>
    <phoneticPr fontId="1" type="noConversion"/>
  </si>
  <si>
    <t>Mx - Mx+n</t>
    <phoneticPr fontId="1" type="noConversion"/>
  </si>
  <si>
    <t>Nx+t - Nx+m</t>
    <phoneticPr fontId="1" type="noConversion"/>
  </si>
  <si>
    <t>유지자 기준의 NNx</t>
    <phoneticPr fontId="1" type="noConversion"/>
  </si>
  <si>
    <t>납입자 기준의 NNx</t>
    <phoneticPr fontId="1" type="noConversion"/>
  </si>
  <si>
    <t>유지자 기준의 NBx</t>
    <phoneticPr fontId="1" type="noConversion"/>
  </si>
  <si>
    <t>책임준비금</t>
  </si>
  <si>
    <t>납입보험료</t>
    <phoneticPr fontId="188" type="noConversion"/>
  </si>
  <si>
    <t>책임준비금</t>
    <phoneticPr fontId="188" type="noConversion"/>
  </si>
  <si>
    <t>해지환급금</t>
    <phoneticPr fontId="188" type="noConversion"/>
  </si>
  <si>
    <t>환급율</t>
    <phoneticPr fontId="188" type="noConversion"/>
  </si>
  <si>
    <t>납입보험료</t>
  </si>
  <si>
    <t>납입보험료</t>
    <phoneticPr fontId="1" type="noConversion"/>
  </si>
  <si>
    <t>해지환급금</t>
  </si>
  <si>
    <t>환급율</t>
  </si>
  <si>
    <t>qx1 여부</t>
  </si>
  <si>
    <t>qx1 여부</t>
    <phoneticPr fontId="1" type="noConversion"/>
  </si>
  <si>
    <t>해지</t>
  </si>
  <si>
    <t>유지자 중 해지자</t>
  </si>
  <si>
    <t>해지자현가</t>
  </si>
  <si>
    <t>해지자현가*100%환급금</t>
  </si>
  <si>
    <t>환급율</t>
    <phoneticPr fontId="1" type="noConversion"/>
  </si>
  <si>
    <t>∑tWx/2</t>
  </si>
  <si>
    <t>CWx * ∑tWx/2</t>
  </si>
  <si>
    <t>MWx_SUM</t>
    <phoneticPr fontId="1" type="noConversion"/>
  </si>
  <si>
    <t>W*x+t</t>
    <phoneticPr fontId="1" type="noConversion"/>
  </si>
  <si>
    <t>일반형</t>
    <phoneticPr fontId="1" type="noConversion"/>
  </si>
  <si>
    <t>뇌혈관질환발생률</t>
    <phoneticPr fontId="1" type="noConversion"/>
  </si>
  <si>
    <t>qx_brainH1</t>
    <phoneticPr fontId="1" type="noConversion"/>
  </si>
  <si>
    <t xml:space="preserve"> 허혈심장질환 발생률</t>
    <phoneticPr fontId="1" type="noConversion"/>
  </si>
  <si>
    <t>qx_jdhhs</t>
    <phoneticPr fontId="1" type="noConversion"/>
  </si>
  <si>
    <t>qx_mg</t>
    <phoneticPr fontId="1" type="noConversion"/>
  </si>
  <si>
    <t>qx_ysbrain</t>
    <phoneticPr fontId="1" type="noConversion"/>
  </si>
  <si>
    <t>qx_5djgi</t>
    <phoneticPr fontId="1" type="noConversion"/>
  </si>
  <si>
    <t>qx_ghsj</t>
    <phoneticPr fontId="1" type="noConversion"/>
  </si>
  <si>
    <t>qx_ysbrainS</t>
    <phoneticPr fontId="1" type="noConversion"/>
  </si>
  <si>
    <t>qx_hhsj1</t>
  </si>
  <si>
    <t>qx_d100%</t>
    <phoneticPr fontId="1" type="noConversion"/>
  </si>
  <si>
    <t>firstOX</t>
  </si>
  <si>
    <t>qx_daH180</t>
    <phoneticPr fontId="1" type="noConversion"/>
  </si>
  <si>
    <t>qx_highHda180</t>
    <phoneticPr fontId="1" type="noConversion"/>
  </si>
  <si>
    <t>qx_1jS</t>
    <phoneticPr fontId="1" type="noConversion"/>
  </si>
  <si>
    <t>qx_2jS</t>
    <phoneticPr fontId="1" type="noConversion"/>
  </si>
  <si>
    <t>qx_diskS</t>
    <phoneticPr fontId="1" type="noConversion"/>
  </si>
  <si>
    <t>qx_VDTS</t>
    <phoneticPr fontId="1" type="noConversion"/>
  </si>
  <si>
    <t>qx_S15</t>
    <phoneticPr fontId="1" type="noConversion"/>
  </si>
  <si>
    <t>경험1~5종수술률Ⅰ(연간1회한)</t>
    <phoneticPr fontId="1" type="noConversion"/>
  </si>
  <si>
    <t>qx_amSgxgx</t>
  </si>
  <si>
    <t>qx_ggjgamS</t>
  </si>
  <si>
    <t>qx_brgssgpS</t>
  </si>
  <si>
    <t>암수술률(기,갑제외)</t>
    <phoneticPr fontId="1" type="noConversion"/>
  </si>
  <si>
    <t>qx_amSgxgx</t>
    <phoneticPr fontId="1" type="noConversion"/>
  </si>
  <si>
    <t>기타피부암수술률</t>
    <phoneticPr fontId="1" type="noConversion"/>
  </si>
  <si>
    <t>qx_gitaamSSR</t>
    <phoneticPr fontId="1" type="noConversion"/>
  </si>
  <si>
    <t>갑상선암 수술률</t>
    <phoneticPr fontId="1" type="noConversion"/>
  </si>
  <si>
    <t>qx_gapamSSR</t>
    <phoneticPr fontId="1" type="noConversion"/>
  </si>
  <si>
    <t>기,갑,제,경 암수술률</t>
    <phoneticPr fontId="1" type="noConversion"/>
  </si>
  <si>
    <t>qx_ggjgamS</t>
    <phoneticPr fontId="1" type="noConversion"/>
  </si>
  <si>
    <t>뇌출혈 및 뇌경색증,급성심근경색증,신장,간,폐질환 수술률</t>
    <phoneticPr fontId="1" type="noConversion"/>
  </si>
  <si>
    <t>qx_brgssgpS</t>
    <phoneticPr fontId="1" type="noConversion"/>
  </si>
  <si>
    <t>2가지 경우가 존재하기 때문에 해당 변수 필요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</si>
</sst>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5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000"/>
    <numFmt numFmtId="177" formatCode="0.0%"/>
    <numFmt numFmtId="178" formatCode="#,##0.000000"/>
    <numFmt numFmtId="179" formatCode="0.0"/>
    <numFmt numFmtId="180" formatCode="0.00000"/>
    <numFmt numFmtId="181" formatCode="#,##0.0000"/>
    <numFmt numFmtId="182" formatCode="0.000%"/>
    <numFmt numFmtId="183" formatCode="0.0000000"/>
    <numFmt numFmtId="184" formatCode="_ * #,##0_ ;_ * \-#,##0_ ;_ * &quot;-&quot;_ ;_ @_ "/>
    <numFmt numFmtId="185" formatCode="#,##0_ "/>
    <numFmt numFmtId="186" formatCode="_-* #,##0\ _F_-;\-* #,##0\ _F_-;_-* &quot;-&quot;\ _F_-;_-@_-"/>
    <numFmt numFmtId="187" formatCode="_-* #,##0\ &quot;F&quot;_-;\-* #,##0\ &quot;F&quot;_-;_-* &quot;-&quot;\ &quot;F&quot;_-;_-@_-"/>
    <numFmt numFmtId="188" formatCode="_-* #,##0.00\ &quot;F&quot;_-;\-* #,##0.00\ &quot;F&quot;_-;_-* &quot;-&quot;??\ &quot;F&quot;_-;_-@_-"/>
    <numFmt numFmtId="189" formatCode="_([$€]* #,##0.00_);_([$€]* \(#,##0.00\);_([$€]* &quot;-&quot;??_);_(@_)"/>
    <numFmt numFmtId="190" formatCode="_(* #,##0.00_);_(* \(#,##0.00\);_(* &quot;-&quot;??_);_(@_)"/>
    <numFmt numFmtId="191" formatCode="_-[$€-2]* #,##0.00_-;\-[$€-2]* #,##0.00_-;_-[$€-2]* &quot;-&quot;??_-"/>
    <numFmt numFmtId="192" formatCode="#,##0.0"/>
    <numFmt numFmtId="193" formatCode="0.000000_ "/>
    <numFmt numFmtId="194" formatCode="0.0000000000"/>
    <numFmt numFmtId="195" formatCode="0&quot;년 이내&quot;"/>
    <numFmt numFmtId="196" formatCode="#,##0.0000000"/>
    <numFmt numFmtId="197" formatCode="#,##0.000"/>
    <numFmt numFmtId="198" formatCode="0.00000000"/>
    <numFmt numFmtId="199" formatCode="0.0000"/>
    <numFmt numFmtId="200" formatCode="0.000"/>
    <numFmt numFmtId="201" formatCode="0.000_ "/>
    <numFmt numFmtId="202" formatCode="0.00000000000"/>
    <numFmt numFmtId="203" formatCode="#,##0.0000000000_ "/>
    <numFmt numFmtId="204" formatCode="0.00000000_);[Red]\(0.00000000\)"/>
    <numFmt numFmtId="205" formatCode="_-* #,##0.0_-;\-* #,##0.0_-;_-* &quot;-&quot;_-;_-@_-"/>
    <numFmt numFmtId="206" formatCode="_-* #,##0.00_-;\-* #,##0.00_-;_-* &quot;-&quot;_-;_-@_-"/>
    <numFmt numFmtId="207" formatCode="_-* #,##0.0000_-;\-* #,##0.0000_-;_-* &quot;-&quot;_-;_-@_-"/>
    <numFmt numFmtId="208" formatCode="_-* #,##0.0000000_-;\-* #,##0.0000000_-;_-* &quot;-&quot;_-;_-@_-"/>
    <numFmt numFmtId="209" formatCode="_-* #,##0_-;\-* #,##0_-;_-* &quot;-&quot;??_-;_-@_-"/>
    <numFmt numFmtId="210" formatCode="0.000000_);[Red]\(0.000000\)"/>
    <numFmt numFmtId="211" formatCode="_-* #,##0.00000_-;\-* #,##0.00000_-;_-* &quot;-&quot;_-;_-@_-"/>
    <numFmt numFmtId="212" formatCode="_-* #,##0.000000_-;\-* #,##0.000000_-;_-* &quot;-&quot;_-;_-@_-"/>
    <numFmt numFmtId="213" formatCode="_-* #,##0.00000000_-;\-* #,##0.00000000_-;_-* &quot;-&quot;_-;_-@_-"/>
    <numFmt numFmtId="214" formatCode="#,##0.00000000"/>
    <numFmt numFmtId="215" formatCode="_-* #,##0.0000000_-;\-* #,##0.0000000_-;_-* &quot;-&quot;???????_-;_-@_-"/>
    <numFmt numFmtId="216" formatCode="_-* #,##0.000000000000_-;\-* #,##0.000000000000_-;_-* &quot;-&quot;_-;_-@_-"/>
    <numFmt numFmtId="217" formatCode="_-* #,##0.00000000_-;\-* #,##0.00000000_-;_-* &quot;-&quot;??_-;_-@_-"/>
    <numFmt numFmtId="218" formatCode="_-* #,##0.000000000_-;\-* #,##0.000000000_-;_-* &quot;-&quot;_-;_-@_-"/>
    <numFmt numFmtId="219" formatCode="_-* #,##0.00000000000_-;\-* #,##0.00000000000_-;_-* &quot;-&quot;_-;_-@_-"/>
    <numFmt numFmtId="220" formatCode="0_);[Red]\(0\)"/>
    <numFmt numFmtId="221" formatCode="0.00000_);[Red]\(0.00000\)"/>
    <numFmt numFmtId="222" formatCode="0.0000000_);[Red]\(0.0000000\)"/>
    <numFmt numFmtId="223" formatCode="0.0000_ "/>
    <numFmt numFmtId="224" formatCode="General&quot;세만기&quot;"/>
    <numFmt numFmtId="225" formatCode="&quot;갱신,납입&quot;General&quot;년&quot;"/>
    <numFmt numFmtId="226" formatCode="#,##0.00_ "/>
    <numFmt numFmtId="227" formatCode="0.000000000"/>
    <numFmt numFmtId="228" formatCode="0.0000%"/>
    <numFmt numFmtId="229" formatCode="_-* #,##0.0000000000000_-;\-* #,##0.0000000000000_-;_-* &quot;-&quot;_-;_-@_-"/>
    <numFmt numFmtId="230" formatCode="0.000000%"/>
    <numFmt numFmtId="231" formatCode="_-* #,##0.0000000000_-;\-* #,##0.0000000000_-;_-* &quot;-&quot;_-;_-@_-"/>
    <numFmt numFmtId="232" formatCode="0.00000_ "/>
    <numFmt numFmtId="233" formatCode="#,##0.00000"/>
    <numFmt numFmtId="234" formatCode="_-* #,##0.00000000000000_-;\-* #,##0.00000000000000_-;_-* &quot;-&quot;_-;_-@_-"/>
    <numFmt numFmtId="235" formatCode="_-* #,##0.000000000000000_-;\-* #,##0.000000000000000_-;_-* &quot;-&quot;_-;_-@_-"/>
    <numFmt numFmtId="236" formatCode="0.000000000_);[Red]\(0.000000000\)"/>
    <numFmt numFmtId="237" formatCode="0.0000000000000"/>
  </numFmts>
  <fonts count="18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바탕"/>
      <family val="1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indexed="8"/>
      <name val="돋움"/>
      <family val="3"/>
      <charset val="129"/>
    </font>
    <font>
      <sz val="11"/>
      <name val="맑은 고딕"/>
      <family val="2"/>
      <charset val="129"/>
      <scheme val="minor"/>
    </font>
    <font>
      <sz val="11"/>
      <name val="맑은 고딕"/>
      <family val="2"/>
      <charset val="129"/>
      <scheme val="major"/>
    </font>
    <font>
      <sz val="11"/>
      <color rgb="FFFF000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0"/>
      <name val="돋움"/>
      <family val="3"/>
      <charset val="129"/>
    </font>
    <font>
      <sz val="12"/>
      <name val="바탕체"/>
      <family val="1"/>
      <charset val="129"/>
    </font>
    <font>
      <sz val="12"/>
      <name val="Arial"/>
      <family val="2"/>
    </font>
    <font>
      <sz val="11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0"/>
      <color indexed="9"/>
      <name val="굴림체"/>
      <family val="3"/>
      <charset val="129"/>
    </font>
    <font>
      <sz val="10"/>
      <color theme="1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10"/>
      <color theme="0"/>
      <name val="맑은 고딕"/>
      <family val="3"/>
      <charset val="129"/>
      <scheme val="minor"/>
    </font>
    <font>
      <sz val="10"/>
      <color indexed="10"/>
      <name val="굴림체"/>
      <family val="3"/>
      <charset val="129"/>
    </font>
    <font>
      <b/>
      <sz val="10"/>
      <color indexed="52"/>
      <name val="굴림체"/>
      <family val="3"/>
      <charset val="129"/>
    </font>
    <font>
      <sz val="10"/>
      <color indexed="20"/>
      <name val="굴림체"/>
      <family val="3"/>
      <charset val="129"/>
    </font>
    <font>
      <sz val="11"/>
      <name val="바탕체"/>
      <family val="1"/>
      <charset val="129"/>
    </font>
    <font>
      <sz val="11"/>
      <name val="굴림체"/>
      <family val="3"/>
      <charset val="129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indexed="60"/>
      <name val="굴림체"/>
      <family val="3"/>
      <charset val="129"/>
    </font>
    <font>
      <i/>
      <sz val="10"/>
      <color indexed="23"/>
      <name val="굴림체"/>
      <family val="3"/>
      <charset val="129"/>
    </font>
    <font>
      <b/>
      <sz val="10"/>
      <color indexed="9"/>
      <name val="굴림체"/>
      <family val="3"/>
      <charset val="129"/>
    </font>
    <font>
      <sz val="10"/>
      <color indexed="52"/>
      <name val="굴림체"/>
      <family val="3"/>
      <charset val="129"/>
    </font>
    <font>
      <b/>
      <sz val="10"/>
      <color indexed="8"/>
      <name val="굴림체"/>
      <family val="3"/>
      <charset val="129"/>
    </font>
    <font>
      <sz val="10"/>
      <color indexed="62"/>
      <name val="굴림체"/>
      <family val="3"/>
      <charset val="129"/>
    </font>
    <font>
      <b/>
      <sz val="15"/>
      <color indexed="56"/>
      <name val="굴림체"/>
      <family val="3"/>
      <charset val="129"/>
    </font>
    <font>
      <b/>
      <sz val="13"/>
      <color indexed="56"/>
      <name val="굴림체"/>
      <family val="3"/>
      <charset val="129"/>
    </font>
    <font>
      <b/>
      <sz val="11"/>
      <color indexed="56"/>
      <name val="굴림체"/>
      <family val="3"/>
      <charset val="129"/>
    </font>
    <font>
      <b/>
      <sz val="18"/>
      <color indexed="56"/>
      <name val="맑은 고딕"/>
      <family val="3"/>
      <charset val="129"/>
    </font>
    <font>
      <sz val="10"/>
      <color indexed="17"/>
      <name val="굴림체"/>
      <family val="3"/>
      <charset val="129"/>
    </font>
    <font>
      <sz val="12"/>
      <name val="돋움"/>
      <family val="3"/>
      <charset val="129"/>
    </font>
    <font>
      <sz val="13"/>
      <name val="견고딕"/>
      <family val="1"/>
      <charset val="129"/>
    </font>
    <font>
      <b/>
      <sz val="10"/>
      <color indexed="63"/>
      <name val="굴림체"/>
      <family val="3"/>
      <charset val="129"/>
    </font>
    <font>
      <sz val="10"/>
      <color theme="1"/>
      <name val="돋움"/>
      <family val="3"/>
      <charset val="129"/>
    </font>
    <font>
      <sz val="11.5"/>
      <color theme="1"/>
      <name val="바탕체"/>
      <family val="1"/>
      <charset val="129"/>
    </font>
    <font>
      <sz val="9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Arial"/>
      <family val="2"/>
    </font>
    <font>
      <sz val="11"/>
      <color indexed="10"/>
      <name val="돋움"/>
      <family val="3"/>
      <charset val="129"/>
    </font>
    <font>
      <b/>
      <sz val="11"/>
      <color indexed="10"/>
      <name val="돋움"/>
      <family val="3"/>
      <charset val="129"/>
    </font>
    <font>
      <b/>
      <sz val="10"/>
      <color indexed="52"/>
      <name val="맑은 고딕"/>
      <family val="3"/>
      <charset val="129"/>
    </font>
    <font>
      <sz val="11"/>
      <color indexed="20"/>
      <name val="돋움"/>
      <family val="3"/>
      <charset val="129"/>
    </font>
    <font>
      <sz val="11"/>
      <color rgb="FF9C0006"/>
      <name val="맑은 고딕"/>
      <family val="3"/>
      <charset val="129"/>
      <scheme val="minor"/>
    </font>
    <font>
      <sz val="10"/>
      <color indexed="8"/>
      <name val="돋움"/>
      <family val="3"/>
      <charset val="129"/>
    </font>
    <font>
      <sz val="10"/>
      <color indexed="8"/>
      <name val="맑은 고딕"/>
      <family val="3"/>
      <charset val="129"/>
    </font>
    <font>
      <sz val="11"/>
      <color indexed="19"/>
      <name val="돋움"/>
      <family val="3"/>
      <charset val="129"/>
    </font>
    <font>
      <sz val="11"/>
      <color rgb="FF9C6500"/>
      <name val="맑은 고딕"/>
      <family val="3"/>
      <charset val="129"/>
      <scheme val="minor"/>
    </font>
    <font>
      <i/>
      <sz val="11"/>
      <color indexed="23"/>
      <name val="돋움"/>
      <family val="3"/>
      <charset val="129"/>
    </font>
    <font>
      <b/>
      <sz val="11"/>
      <color indexed="9"/>
      <name val="돋움"/>
      <family val="3"/>
      <charset val="129"/>
    </font>
    <font>
      <sz val="10"/>
      <name val="바탕"/>
      <family val="1"/>
      <charset val="129"/>
    </font>
    <font>
      <b/>
      <sz val="11"/>
      <color indexed="8"/>
      <name val="돋움"/>
      <family val="3"/>
      <charset val="129"/>
    </font>
    <font>
      <b/>
      <sz val="10"/>
      <color indexed="8"/>
      <name val="맑은 고딕"/>
      <family val="3"/>
      <charset val="129"/>
    </font>
    <font>
      <sz val="11"/>
      <color indexed="62"/>
      <name val="돋움"/>
      <family val="3"/>
      <charset val="129"/>
    </font>
    <font>
      <sz val="10"/>
      <color indexed="62"/>
      <name val="맑은 고딕"/>
      <family val="3"/>
      <charset val="129"/>
    </font>
    <font>
      <b/>
      <sz val="15"/>
      <color indexed="62"/>
      <name val="돋움"/>
      <family val="3"/>
      <charset val="129"/>
    </font>
    <font>
      <b/>
      <sz val="13"/>
      <color indexed="62"/>
      <name val="돋움"/>
      <family val="3"/>
      <charset val="129"/>
    </font>
    <font>
      <b/>
      <sz val="11"/>
      <color indexed="62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sz val="11"/>
      <color indexed="17"/>
      <name val="돋움"/>
      <family val="3"/>
      <charset val="129"/>
    </font>
    <font>
      <b/>
      <sz val="11"/>
      <color indexed="63"/>
      <name val="돋움"/>
      <family val="3"/>
      <charset val="129"/>
    </font>
    <font>
      <b/>
      <sz val="10"/>
      <color indexed="63"/>
      <name val="맑은 고딕"/>
      <family val="3"/>
      <charset val="129"/>
    </font>
    <font>
      <sz val="11"/>
      <color indexed="8"/>
      <name val="맑은 고딕"/>
      <family val="3"/>
      <charset val="129"/>
      <scheme val="minor"/>
    </font>
    <font>
      <sz val="10"/>
      <color indexed="8"/>
      <name val="Arial"/>
      <family val="2"/>
    </font>
    <font>
      <u/>
      <sz val="11"/>
      <color theme="10"/>
      <name val="맑은 고딕"/>
      <family val="3"/>
      <charset val="129"/>
    </font>
    <font>
      <sz val="10"/>
      <color theme="0"/>
      <name val="돋움"/>
      <family val="3"/>
      <charset val="129"/>
    </font>
    <font>
      <sz val="10"/>
      <color indexed="9"/>
      <name val="맑은 고딕"/>
      <family val="3"/>
      <charset val="129"/>
    </font>
    <font>
      <sz val="10"/>
      <color rgb="FFFF0000"/>
      <name val="돋움"/>
      <family val="3"/>
      <charset val="129"/>
    </font>
    <font>
      <sz val="10"/>
      <color indexed="10"/>
      <name val="맑은 고딕"/>
      <family val="3"/>
      <charset val="129"/>
    </font>
    <font>
      <b/>
      <sz val="10"/>
      <color rgb="FFFA7D00"/>
      <name val="돋움"/>
      <family val="3"/>
      <charset val="129"/>
    </font>
    <font>
      <sz val="10"/>
      <color rgb="FF9C0006"/>
      <name val="돋움"/>
      <family val="3"/>
      <charset val="129"/>
    </font>
    <font>
      <sz val="10"/>
      <color indexed="20"/>
      <name val="맑은 고딕"/>
      <family val="3"/>
      <charset val="129"/>
    </font>
    <font>
      <sz val="10"/>
      <color rgb="FF9C6500"/>
      <name val="돋움"/>
      <family val="3"/>
      <charset val="129"/>
    </font>
    <font>
      <sz val="10"/>
      <color indexed="60"/>
      <name val="맑은 고딕"/>
      <family val="3"/>
      <charset val="129"/>
    </font>
    <font>
      <i/>
      <sz val="10"/>
      <color rgb="FF7F7F7F"/>
      <name val="돋움"/>
      <family val="3"/>
      <charset val="129"/>
    </font>
    <font>
      <i/>
      <sz val="10"/>
      <color indexed="23"/>
      <name val="맑은 고딕"/>
      <family val="3"/>
      <charset val="129"/>
    </font>
    <font>
      <b/>
      <sz val="10"/>
      <color theme="0"/>
      <name val="돋움"/>
      <family val="3"/>
      <charset val="129"/>
    </font>
    <font>
      <b/>
      <sz val="10"/>
      <color indexed="9"/>
      <name val="맑은 고딕"/>
      <family val="3"/>
      <charset val="129"/>
    </font>
    <font>
      <sz val="10"/>
      <color rgb="FFFA7D00"/>
      <name val="돋움"/>
      <family val="3"/>
      <charset val="129"/>
    </font>
    <font>
      <sz val="10"/>
      <color indexed="52"/>
      <name val="맑은 고딕"/>
      <family val="3"/>
      <charset val="129"/>
    </font>
    <font>
      <b/>
      <sz val="10"/>
      <color theme="1"/>
      <name val="돋움"/>
      <family val="3"/>
      <charset val="129"/>
    </font>
    <font>
      <sz val="10"/>
      <color rgb="FF3F3F76"/>
      <name val="돋움"/>
      <family val="3"/>
      <charset val="129"/>
    </font>
    <font>
      <b/>
      <sz val="15"/>
      <color theme="3"/>
      <name val="돋움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theme="3"/>
      <name val="돋움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theme="3"/>
      <name val="돋움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sz val="10"/>
      <color rgb="FF006100"/>
      <name val="돋움"/>
      <family val="3"/>
      <charset val="129"/>
    </font>
    <font>
      <sz val="10"/>
      <color indexed="17"/>
      <name val="맑은 고딕"/>
      <family val="3"/>
      <charset val="129"/>
    </font>
    <font>
      <b/>
      <sz val="10"/>
      <color rgb="FF3F3F3F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rgb="FF006100"/>
      <name val="맑은 고딕"/>
      <family val="3"/>
      <charset val="129"/>
      <scheme val="minor"/>
    </font>
    <font>
      <sz val="10"/>
      <color theme="1"/>
      <name val="Arial"/>
      <family val="2"/>
      <charset val="129"/>
    </font>
    <font>
      <sz val="10"/>
      <color indexed="9"/>
      <name val="Arial"/>
      <family val="2"/>
    </font>
    <font>
      <sz val="11"/>
      <color indexed="9"/>
      <name val="맑은 고딕"/>
      <family val="3"/>
      <charset val="129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i/>
      <sz val="10"/>
      <color indexed="23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b/>
      <sz val="18"/>
      <color indexed="62"/>
      <name val="Cambria"/>
      <family val="1"/>
    </font>
    <font>
      <sz val="11"/>
      <color indexed="10"/>
      <name val="Calibri"/>
      <family val="2"/>
    </font>
    <font>
      <sz val="11"/>
      <color indexed="10"/>
      <name val="맑은 고딕"/>
      <family val="3"/>
      <charset val="129"/>
    </font>
    <font>
      <b/>
      <sz val="11"/>
      <color indexed="53"/>
      <name val="맑은 고딕"/>
      <family val="3"/>
      <charset val="129"/>
    </font>
    <font>
      <b/>
      <sz val="11"/>
      <color indexed="52"/>
      <name val="돋움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sz val="11"/>
      <color indexed="60"/>
      <name val="돋움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3"/>
      <name val="맑은 고딕"/>
      <family val="3"/>
      <charset val="129"/>
    </font>
    <font>
      <sz val="11"/>
      <color indexed="52"/>
      <name val="돋움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0.5"/>
      <name val="바탕체"/>
      <family val="1"/>
      <charset val="129"/>
    </font>
    <font>
      <sz val="11"/>
      <color rgb="FFFF0000"/>
      <name val="맑은 고딕"/>
      <family val="2"/>
      <charset val="129"/>
      <scheme val="minor"/>
    </font>
    <font>
      <u/>
      <sz val="11"/>
      <color theme="10"/>
      <name val="돋움"/>
      <family val="3"/>
      <charset val="129"/>
    </font>
    <font>
      <sz val="1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.5"/>
      <name val="바탕체"/>
      <family val="1"/>
      <charset val="129"/>
    </font>
    <font>
      <sz val="11.5"/>
      <color rgb="FFFF0000"/>
      <name val="바탕체"/>
      <family val="1"/>
      <charset val="129"/>
    </font>
    <font>
      <sz val="1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0"/>
      <name val="바탕체"/>
      <family val="1"/>
      <charset val="129"/>
    </font>
    <font>
      <sz val="10"/>
      <color rgb="FFFF0000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1.5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바탕체"/>
      <family val="1"/>
      <charset val="129"/>
    </font>
    <font>
      <b/>
      <sz val="10"/>
      <color theme="1"/>
      <name val="맑은 고딕"/>
      <family val="3"/>
      <charset val="129"/>
      <scheme val="minor"/>
    </font>
    <font>
      <sz val="11"/>
      <name val="Calibri"/>
      <family val="3"/>
      <charset val="161"/>
    </font>
    <font>
      <sz val="9"/>
      <name val="맑은 고딕"/>
      <family val="3"/>
      <charset val="129"/>
    </font>
    <font>
      <sz val="10"/>
      <color rgb="FF002060"/>
      <name val="맑은 고딕"/>
      <family val="3"/>
      <charset val="129"/>
      <scheme val="minor"/>
    </font>
    <font>
      <b/>
      <sz val="10"/>
      <color rgb="FF002060"/>
      <name val="맑은 고딕"/>
      <family val="3"/>
      <charset val="129"/>
      <scheme val="minor"/>
    </font>
    <font>
      <sz val="10"/>
      <color theme="1"/>
      <name val="바탕체"/>
      <family val="1"/>
      <charset val="129"/>
    </font>
    <font>
      <sz val="11"/>
      <color theme="1"/>
      <name val="맑은 고딕"/>
      <family val="2"/>
      <charset val="161"/>
      <scheme val="minor"/>
    </font>
    <font>
      <sz val="11"/>
      <color theme="1"/>
      <name val="Calibri"/>
      <family val="2"/>
      <charset val="161"/>
    </font>
    <font>
      <sz val="11"/>
      <color theme="1"/>
      <name val="맑은 고딕"/>
      <family val="2"/>
      <charset val="161"/>
    </font>
    <font>
      <sz val="11"/>
      <color theme="1"/>
      <name val="Calibri"/>
      <family val="2"/>
    </font>
    <font>
      <b/>
      <i/>
      <sz val="11"/>
      <color rgb="FFFF0000"/>
      <name val="맑은 고딕"/>
      <family val="3"/>
      <charset val="129"/>
      <scheme val="minor"/>
    </font>
    <font>
      <sz val="10"/>
      <color rgb="FFFFFF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b/>
      <i/>
      <sz val="11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b/>
      <sz val="11"/>
      <color rgb="FFFFFF00"/>
      <name val="맑은 고딕"/>
      <family val="3"/>
      <charset val="129"/>
    </font>
    <font>
      <sz val="8"/>
      <name val="굴림체"/>
      <family val="3"/>
      <charset val="129"/>
    </font>
  </fonts>
  <fills count="1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0"/>
      </patternFill>
    </fill>
    <fill>
      <patternFill patternType="solid">
        <fgColor indexed="15"/>
      </patternFill>
    </fill>
    <fill>
      <patternFill patternType="solid">
        <fgColor indexed="48"/>
        <bgColor indexed="48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25"/>
        <bgColor indexed="25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52"/>
        <bgColor indexed="52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7FFFF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680000"/>
        <bgColor indexed="64"/>
      </patternFill>
    </fill>
    <fill>
      <patternFill patternType="solid">
        <fgColor theme="8" tint="0.59999389629810485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8" tint="-0.249977111117893"/>
      </right>
      <top/>
      <bottom/>
      <diagonal/>
    </border>
    <border>
      <left/>
      <right/>
      <top/>
      <bottom style="thin">
        <color theme="8" tint="-0.249977111117893"/>
      </bottom>
      <diagonal/>
    </border>
    <border>
      <left/>
      <right style="thin">
        <color theme="8" tint="-0.249977111117893"/>
      </right>
      <top/>
      <bottom style="thin">
        <color theme="8" tint="-0.249977111117893"/>
      </bottom>
      <diagonal/>
    </border>
    <border>
      <left/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medium">
        <color indexed="24"/>
      </bottom>
      <diagonal/>
    </border>
    <border>
      <left/>
      <right/>
      <top/>
      <bottom style="double">
        <color indexed="5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5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8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theme="8" tint="-0.249977111117893"/>
      </bottom>
      <diagonal/>
    </border>
    <border>
      <left style="thin">
        <color indexed="64"/>
      </left>
      <right/>
      <top style="thin">
        <color theme="8" tint="-0.249977111117893"/>
      </top>
      <bottom/>
      <diagonal/>
    </border>
    <border>
      <left/>
      <right style="thin">
        <color indexed="64"/>
      </right>
      <top style="thin">
        <color theme="8" tint="-0.249977111117893"/>
      </top>
      <bottom/>
      <diagonal/>
    </border>
    <border>
      <left style="thin">
        <color indexed="64"/>
      </left>
      <right style="thin">
        <color theme="8" tint="-0.249977111117893"/>
      </right>
      <top/>
      <bottom/>
      <diagonal/>
    </border>
    <border>
      <left style="thin">
        <color indexed="64"/>
      </left>
      <right style="thin">
        <color theme="8" tint="-0.249977111117893"/>
      </right>
      <top/>
      <bottom style="thin">
        <color theme="8" tint="-0.249977111117893"/>
      </bottom>
      <diagonal/>
    </border>
    <border>
      <left style="thin">
        <color theme="8" tint="-0.249977111117893"/>
      </left>
      <right style="thin">
        <color indexed="64"/>
      </right>
      <top/>
      <bottom style="thin">
        <color theme="8" tint="-0.249977111117893"/>
      </bottom>
      <diagonal/>
    </border>
    <border>
      <left style="thin">
        <color indexed="64"/>
      </left>
      <right style="thin">
        <color theme="8" tint="-0.249977111117893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0A0000"/>
      </bottom>
      <diagonal/>
    </border>
  </borders>
  <cellStyleXfs count="1516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0" borderId="0"/>
    <xf numFmtId="41" fontId="5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5" fillId="0" borderId="0"/>
    <xf numFmtId="0" fontId="13" fillId="0" borderId="0">
      <alignment vertical="center"/>
    </xf>
    <xf numFmtId="41" fontId="5" fillId="0" borderId="0" applyFont="0" applyFill="0" applyBorder="0" applyAlignment="0" applyProtection="0"/>
    <xf numFmtId="0" fontId="5" fillId="0" borderId="0">
      <alignment vertical="center"/>
    </xf>
    <xf numFmtId="9" fontId="5" fillId="0" borderId="0" applyFont="0" applyFill="0" applyBorder="0" applyAlignment="0" applyProtection="0"/>
    <xf numFmtId="41" fontId="1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5" fillId="0" borderId="0"/>
    <xf numFmtId="0" fontId="16" fillId="0" borderId="0"/>
    <xf numFmtId="0" fontId="16" fillId="0" borderId="0"/>
    <xf numFmtId="185" fontId="15" fillId="0" borderId="0" applyNumberFormat="0">
      <alignment vertical="center"/>
    </xf>
    <xf numFmtId="0" fontId="19" fillId="5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186" fontId="23" fillId="0" borderId="0" applyFont="0" applyFill="0" applyBorder="0" applyAlignment="0" applyProtection="0"/>
    <xf numFmtId="43" fontId="22" fillId="0" borderId="0" applyFont="0" applyFill="0" applyBorder="0" applyAlignment="0" applyProtection="0"/>
    <xf numFmtId="187" fontId="23" fillId="0" borderId="0" applyFont="0" applyFill="0" applyBorder="0" applyAlignment="0" applyProtection="0"/>
    <xf numFmtId="188" fontId="23" fillId="0" borderId="0" applyFont="0" applyFill="0" applyBorder="0" applyAlignment="0" applyProtection="0"/>
    <xf numFmtId="189" fontId="16" fillId="0" borderId="0" applyFont="0" applyFill="0" applyBorder="0" applyAlignment="0" applyProtection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2" fillId="0" borderId="0"/>
    <xf numFmtId="0" fontId="12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1" fillId="0" borderId="0">
      <alignment vertical="center"/>
    </xf>
    <xf numFmtId="0" fontId="23" fillId="0" borderId="0"/>
    <xf numFmtId="9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/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23" borderId="14" applyNumberFormat="0" applyAlignment="0" applyProtection="0">
      <alignment vertical="center"/>
    </xf>
    <xf numFmtId="0" fontId="26" fillId="23" borderId="14" applyNumberFormat="0" applyAlignment="0" applyProtection="0">
      <alignment vertical="center"/>
    </xf>
    <xf numFmtId="0" fontId="26" fillId="23" borderId="14" applyNumberFormat="0" applyAlignment="0" applyProtection="0">
      <alignment vertical="center"/>
    </xf>
    <xf numFmtId="0" fontId="26" fillId="23" borderId="14" applyNumberFormat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19" fillId="24" borderId="15" applyNumberFormat="0" applyFont="0" applyAlignment="0" applyProtection="0">
      <alignment vertical="center"/>
    </xf>
    <xf numFmtId="0" fontId="19" fillId="24" borderId="15" applyNumberFormat="0" applyFont="0" applyAlignment="0" applyProtection="0">
      <alignment vertical="center"/>
    </xf>
    <xf numFmtId="0" fontId="19" fillId="24" borderId="15" applyNumberFormat="0" applyFont="0" applyAlignment="0" applyProtection="0">
      <alignment vertical="center"/>
    </xf>
    <xf numFmtId="0" fontId="19" fillId="24" borderId="15" applyNumberFormat="0" applyFont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15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/>
    <xf numFmtId="9" fontId="1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9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26" borderId="16" applyNumberFormat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1" fontId="29" fillId="0" borderId="0" applyFont="0" applyFill="0" applyBorder="0" applyAlignment="0" applyProtection="0"/>
    <xf numFmtId="41" fontId="29" fillId="0" borderId="0" applyFont="0" applyFill="0" applyBorder="0" applyAlignment="0" applyProtection="0"/>
    <xf numFmtId="41" fontId="2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21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2" fillId="0" borderId="0"/>
    <xf numFmtId="0" fontId="36" fillId="0" borderId="17" applyNumberFormat="0" applyFill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38" fillId="10" borderId="14" applyNumberFormat="0" applyAlignment="0" applyProtection="0">
      <alignment vertical="center"/>
    </xf>
    <xf numFmtId="0" fontId="38" fillId="10" borderId="14" applyNumberFormat="0" applyAlignment="0" applyProtection="0">
      <alignment vertical="center"/>
    </xf>
    <xf numFmtId="0" fontId="38" fillId="10" borderId="14" applyNumberFormat="0" applyAlignment="0" applyProtection="0">
      <alignment vertical="center"/>
    </xf>
    <xf numFmtId="0" fontId="38" fillId="10" borderId="14" applyNumberFormat="0" applyAlignment="0" applyProtection="0">
      <alignment vertical="center"/>
    </xf>
    <xf numFmtId="0" fontId="39" fillId="0" borderId="19" applyNumberFormat="0" applyFill="0" applyAlignment="0" applyProtection="0">
      <alignment vertical="center"/>
    </xf>
    <xf numFmtId="0" fontId="40" fillId="0" borderId="20" applyNumberFormat="0" applyFill="0" applyAlignment="0" applyProtection="0">
      <alignment vertical="center"/>
    </xf>
    <xf numFmtId="0" fontId="41" fillId="0" borderId="21" applyNumberFormat="0" applyFill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7" borderId="0" applyNumberFormat="0" applyBorder="0" applyAlignment="0" applyProtection="0">
      <alignment vertical="center"/>
    </xf>
    <xf numFmtId="0" fontId="44" fillId="0" borderId="0"/>
    <xf numFmtId="0" fontId="17" fillId="0" borderId="0"/>
    <xf numFmtId="0" fontId="45" fillId="0" borderId="0" applyNumberFormat="0" applyFill="0" applyBorder="0" applyProtection="0">
      <alignment horizontal="left" wrapText="1" readingOrder="1"/>
    </xf>
    <xf numFmtId="0" fontId="46" fillId="23" borderId="22" applyNumberFormat="0" applyAlignment="0" applyProtection="0">
      <alignment vertical="center"/>
    </xf>
    <xf numFmtId="0" fontId="46" fillId="23" borderId="22" applyNumberFormat="0" applyAlignment="0" applyProtection="0">
      <alignment vertical="center"/>
    </xf>
    <xf numFmtId="0" fontId="46" fillId="23" borderId="22" applyNumberFormat="0" applyAlignment="0" applyProtection="0">
      <alignment vertical="center"/>
    </xf>
    <xf numFmtId="0" fontId="46" fillId="23" borderId="22" applyNumberFormat="0" applyAlignment="0" applyProtection="0">
      <alignment vertical="center"/>
    </xf>
    <xf numFmtId="0" fontId="46" fillId="23" borderId="22" applyNumberFormat="0" applyAlignment="0" applyProtection="0">
      <alignment vertical="center"/>
    </xf>
    <xf numFmtId="0" fontId="46" fillId="23" borderId="22" applyNumberFormat="0" applyAlignment="0" applyProtection="0">
      <alignment vertical="center"/>
    </xf>
    <xf numFmtId="41" fontId="5" fillId="0" borderId="0" applyFont="0" applyFill="0" applyBorder="0" applyAlignment="0" applyProtection="0"/>
    <xf numFmtId="0" fontId="16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47" fillId="0" borderId="0">
      <alignment vertical="center"/>
    </xf>
    <xf numFmtId="0" fontId="5" fillId="0" borderId="0"/>
    <xf numFmtId="0" fontId="5" fillId="0" borderId="0"/>
    <xf numFmtId="0" fontId="5" fillId="0" borderId="0"/>
    <xf numFmtId="0" fontId="21" fillId="0" borderId="0">
      <alignment vertical="center"/>
    </xf>
    <xf numFmtId="0" fontId="5" fillId="0" borderId="0"/>
    <xf numFmtId="0" fontId="5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/>
    <xf numFmtId="0" fontId="29" fillId="0" borderId="0"/>
    <xf numFmtId="0" fontId="5" fillId="0" borderId="0"/>
    <xf numFmtId="0" fontId="28" fillId="0" borderId="0"/>
    <xf numFmtId="0" fontId="22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1" fillId="0" borderId="0">
      <alignment vertical="center"/>
    </xf>
    <xf numFmtId="0" fontId="5" fillId="0" borderId="0"/>
    <xf numFmtId="0" fontId="12" fillId="0" borderId="0">
      <alignment vertical="center"/>
    </xf>
    <xf numFmtId="0" fontId="5" fillId="0" borderId="0"/>
    <xf numFmtId="0" fontId="21" fillId="0" borderId="0">
      <alignment vertical="center"/>
    </xf>
    <xf numFmtId="0" fontId="5" fillId="0" borderId="0"/>
    <xf numFmtId="0" fontId="5" fillId="0" borderId="0"/>
    <xf numFmtId="0" fontId="15" fillId="0" borderId="0">
      <alignment vertical="center"/>
    </xf>
    <xf numFmtId="0" fontId="32" fillId="0" borderId="0">
      <alignment vertical="center"/>
    </xf>
    <xf numFmtId="0" fontId="29" fillId="0" borderId="0"/>
    <xf numFmtId="0" fontId="5" fillId="0" borderId="0">
      <alignment vertical="center"/>
    </xf>
    <xf numFmtId="0" fontId="15" fillId="0" borderId="0">
      <alignment vertical="center"/>
    </xf>
    <xf numFmtId="0" fontId="5" fillId="0" borderId="0"/>
    <xf numFmtId="0" fontId="2" fillId="0" borderId="0">
      <alignment vertical="center"/>
    </xf>
    <xf numFmtId="9" fontId="30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49" fillId="0" borderId="0" applyNumberFormat="0" applyFont="0" applyFill="0" applyBorder="0" applyAlignment="0" applyProtection="0"/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39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190" fontId="22" fillId="0" borderId="0" applyFont="0" applyFill="0" applyBorder="0" applyAlignment="0" applyProtection="0"/>
    <xf numFmtId="189" fontId="16" fillId="0" borderId="0" applyFont="0" applyFill="0" applyBorder="0" applyAlignment="0" applyProtection="0"/>
    <xf numFmtId="191" fontId="5" fillId="0" borderId="0" applyFont="0" applyFill="0" applyBorder="0" applyAlignment="0" applyProtection="0"/>
    <xf numFmtId="189" fontId="16" fillId="0" borderId="0" applyFont="0" applyFill="0" applyBorder="0" applyAlignment="0" applyProtection="0"/>
    <xf numFmtId="191" fontId="5" fillId="0" borderId="0" applyFont="0" applyFill="0" applyBorder="0" applyAlignment="0" applyProtection="0"/>
    <xf numFmtId="0" fontId="51" fillId="0" borderId="24" applyNumberFormat="0" applyAlignment="0" applyProtection="0">
      <alignment horizontal="left" vertical="center"/>
    </xf>
    <xf numFmtId="0" fontId="51" fillId="0" borderId="7">
      <alignment horizontal="left" vertical="center"/>
    </xf>
    <xf numFmtId="0" fontId="21" fillId="0" borderId="0">
      <alignment vertical="center"/>
    </xf>
    <xf numFmtId="0" fontId="21" fillId="0" borderId="0">
      <alignment vertical="center"/>
    </xf>
    <xf numFmtId="0" fontId="12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50" fillId="42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50" fillId="42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50" fillId="42" borderId="0" applyNumberFormat="0" applyBorder="0" applyAlignment="0" applyProtection="0">
      <alignment vertical="center"/>
    </xf>
    <xf numFmtId="0" fontId="50" fillId="42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43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50" fillId="43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50" fillId="43" borderId="0" applyNumberFormat="0" applyBorder="0" applyAlignment="0" applyProtection="0">
      <alignment vertical="center"/>
    </xf>
    <xf numFmtId="0" fontId="50" fillId="43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26" fillId="23" borderId="14" applyNumberFormat="0" applyAlignment="0" applyProtection="0">
      <alignment vertical="center"/>
    </xf>
    <xf numFmtId="0" fontId="26" fillId="23" borderId="14" applyNumberFormat="0" applyAlignment="0" applyProtection="0">
      <alignment vertical="center"/>
    </xf>
    <xf numFmtId="0" fontId="53" fillId="44" borderId="14" applyNumberFormat="0" applyAlignment="0" applyProtection="0">
      <alignment vertical="center"/>
    </xf>
    <xf numFmtId="0" fontId="53" fillId="44" borderId="14" applyNumberFormat="0" applyAlignment="0" applyProtection="0">
      <alignment vertical="center"/>
    </xf>
    <xf numFmtId="0" fontId="26" fillId="23" borderId="14" applyNumberFormat="0" applyAlignment="0" applyProtection="0">
      <alignment vertical="center"/>
    </xf>
    <xf numFmtId="0" fontId="54" fillId="23" borderId="14" applyNumberFormat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6" fillId="27" borderId="0" applyNumberFormat="0" applyBorder="0" applyAlignment="0" applyProtection="0">
      <alignment vertical="center"/>
    </xf>
    <xf numFmtId="0" fontId="2" fillId="29" borderId="23" applyNumberFormat="0" applyFont="0" applyAlignment="0" applyProtection="0">
      <alignment vertical="center"/>
    </xf>
    <xf numFmtId="0" fontId="2" fillId="29" borderId="23" applyNumberFormat="0" applyFont="0" applyAlignment="0" applyProtection="0">
      <alignment vertical="center"/>
    </xf>
    <xf numFmtId="0" fontId="57" fillId="29" borderId="23" applyNumberFormat="0" applyFont="0" applyAlignment="0" applyProtection="0">
      <alignment vertical="center"/>
    </xf>
    <xf numFmtId="0" fontId="57" fillId="29" borderId="23" applyNumberFormat="0" applyFont="0" applyAlignment="0" applyProtection="0">
      <alignment vertical="center"/>
    </xf>
    <xf numFmtId="0" fontId="19" fillId="24" borderId="15" applyNumberFormat="0" applyFont="0" applyAlignment="0" applyProtection="0">
      <alignment vertical="center"/>
    </xf>
    <xf numFmtId="0" fontId="19" fillId="24" borderId="15" applyNumberFormat="0" applyFont="0" applyAlignment="0" applyProtection="0">
      <alignment vertical="center"/>
    </xf>
    <xf numFmtId="0" fontId="16" fillId="25" borderId="15" applyNumberFormat="0" applyFont="0" applyAlignment="0" applyProtection="0">
      <alignment vertical="center"/>
    </xf>
    <xf numFmtId="0" fontId="16" fillId="25" borderId="15" applyNumberFormat="0" applyFont="0" applyAlignment="0" applyProtection="0">
      <alignment vertical="center"/>
    </xf>
    <xf numFmtId="0" fontId="19" fillId="24" borderId="15" applyNumberFormat="0" applyFont="0" applyAlignment="0" applyProtection="0">
      <alignment vertical="center"/>
    </xf>
    <xf numFmtId="0" fontId="58" fillId="24" borderId="15" applyNumberFormat="0" applyFont="0" applyAlignment="0" applyProtection="0">
      <alignment vertical="center"/>
    </xf>
    <xf numFmtId="0" fontId="2" fillId="29" borderId="23" applyNumberFormat="0" applyFont="0" applyAlignment="0" applyProtection="0">
      <alignment vertical="center"/>
    </xf>
    <xf numFmtId="0" fontId="2" fillId="29" borderId="23" applyNumberFormat="0" applyFont="0" applyAlignment="0" applyProtection="0">
      <alignment vertical="center"/>
    </xf>
    <xf numFmtId="0" fontId="2" fillId="29" borderId="23" applyNumberFormat="0" applyFont="0" applyAlignment="0" applyProtection="0">
      <alignment vertical="center"/>
    </xf>
    <xf numFmtId="0" fontId="2" fillId="29" borderId="23" applyNumberFormat="0" applyFont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31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57" fillId="0" borderId="0" applyFont="0" applyFill="0" applyBorder="0" applyAlignment="0" applyProtection="0">
      <alignment vertical="center"/>
    </xf>
    <xf numFmtId="9" fontId="57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57" fillId="0" borderId="0" applyFont="0" applyFill="0" applyBorder="0" applyAlignment="0" applyProtection="0">
      <alignment vertical="center"/>
    </xf>
    <xf numFmtId="9" fontId="57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12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58" fillId="0" borderId="0" applyFont="0" applyFill="0" applyBorder="0" applyAlignment="0" applyProtection="0">
      <alignment vertical="center"/>
    </xf>
    <xf numFmtId="9" fontId="16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5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60" fillId="28" borderId="0" applyNumberFormat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26" borderId="16" applyNumberFormat="0" applyAlignment="0" applyProtection="0">
      <alignment vertical="center"/>
    </xf>
    <xf numFmtId="0" fontId="35" fillId="26" borderId="16" applyNumberFormat="0" applyAlignment="0" applyProtection="0">
      <alignment vertical="center"/>
    </xf>
    <xf numFmtId="0" fontId="62" fillId="26" borderId="16" applyNumberFormat="0" applyAlignment="0" applyProtection="0">
      <alignment vertical="center"/>
    </xf>
    <xf numFmtId="0" fontId="35" fillId="26" borderId="16" applyNumberFormat="0" applyAlignment="0" applyProtection="0">
      <alignment vertical="center"/>
    </xf>
    <xf numFmtId="0" fontId="62" fillId="26" borderId="16" applyNumberFormat="0" applyAlignment="0" applyProtection="0">
      <alignment vertical="center"/>
    </xf>
    <xf numFmtId="0" fontId="62" fillId="26" borderId="16" applyNumberFormat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184" fontId="16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  <xf numFmtId="184" fontId="16" fillId="0" borderId="0" applyFont="0" applyFill="0" applyBorder="0" applyAlignment="0" applyProtection="0"/>
    <xf numFmtId="41" fontId="32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63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30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29" fillId="0" borderId="0" applyFont="0" applyFill="0" applyBorder="0" applyAlignment="0" applyProtection="0"/>
    <xf numFmtId="41" fontId="58" fillId="0" borderId="0" applyFont="0" applyFill="0" applyBorder="0" applyAlignment="0" applyProtection="0">
      <alignment vertical="center"/>
    </xf>
    <xf numFmtId="184" fontId="16" fillId="0" borderId="0" applyFont="0" applyFill="0" applyBorder="0" applyAlignment="0" applyProtection="0"/>
    <xf numFmtId="41" fontId="49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52" fillId="0" borderId="25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52" fillId="0" borderId="25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52" fillId="0" borderId="25" applyNumberFormat="0" applyFill="0" applyAlignment="0" applyProtection="0">
      <alignment vertical="center"/>
    </xf>
    <xf numFmtId="0" fontId="52" fillId="0" borderId="25" applyNumberFormat="0" applyFill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64" fillId="0" borderId="26" applyNumberFormat="0" applyFill="0" applyAlignment="0" applyProtection="0">
      <alignment vertical="center"/>
    </xf>
    <xf numFmtId="0" fontId="64" fillId="0" borderId="26" applyNumberFormat="0" applyFill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65" fillId="0" borderId="18" applyNumberFormat="0" applyFill="0" applyAlignment="0" applyProtection="0">
      <alignment vertical="center"/>
    </xf>
    <xf numFmtId="0" fontId="38" fillId="10" borderId="14" applyNumberFormat="0" applyAlignment="0" applyProtection="0">
      <alignment vertical="center"/>
    </xf>
    <xf numFmtId="0" fontId="38" fillId="10" borderId="14" applyNumberFormat="0" applyAlignment="0" applyProtection="0">
      <alignment vertical="center"/>
    </xf>
    <xf numFmtId="0" fontId="66" fillId="12" borderId="14" applyNumberFormat="0" applyAlignment="0" applyProtection="0">
      <alignment vertical="center"/>
    </xf>
    <xf numFmtId="0" fontId="66" fillId="12" borderId="14" applyNumberFormat="0" applyAlignment="0" applyProtection="0">
      <alignment vertical="center"/>
    </xf>
    <xf numFmtId="0" fontId="38" fillId="10" borderId="14" applyNumberFormat="0" applyAlignment="0" applyProtection="0">
      <alignment vertical="center"/>
    </xf>
    <xf numFmtId="0" fontId="67" fillId="10" borderId="14" applyNumberFormat="0" applyAlignment="0" applyProtection="0">
      <alignment vertical="center"/>
    </xf>
    <xf numFmtId="0" fontId="68" fillId="0" borderId="27" applyNumberFormat="0" applyFill="0" applyAlignment="0" applyProtection="0">
      <alignment vertical="center"/>
    </xf>
    <xf numFmtId="0" fontId="39" fillId="0" borderId="19" applyNumberFormat="0" applyFill="0" applyAlignment="0" applyProtection="0">
      <alignment vertical="center"/>
    </xf>
    <xf numFmtId="0" fontId="68" fillId="0" borderId="27" applyNumberFormat="0" applyFill="0" applyAlignment="0" applyProtection="0">
      <alignment vertical="center"/>
    </xf>
    <xf numFmtId="0" fontId="39" fillId="0" borderId="19" applyNumberFormat="0" applyFill="0" applyAlignment="0" applyProtection="0">
      <alignment vertical="center"/>
    </xf>
    <xf numFmtId="0" fontId="68" fillId="0" borderId="27" applyNumberFormat="0" applyFill="0" applyAlignment="0" applyProtection="0">
      <alignment vertical="center"/>
    </xf>
    <xf numFmtId="0" fontId="68" fillId="0" borderId="27" applyNumberFormat="0" applyFill="0" applyAlignment="0" applyProtection="0">
      <alignment vertical="center"/>
    </xf>
    <xf numFmtId="0" fontId="69" fillId="0" borderId="28" applyNumberFormat="0" applyFill="0" applyAlignment="0" applyProtection="0">
      <alignment vertical="center"/>
    </xf>
    <xf numFmtId="0" fontId="40" fillId="0" borderId="20" applyNumberFormat="0" applyFill="0" applyAlignment="0" applyProtection="0">
      <alignment vertical="center"/>
    </xf>
    <xf numFmtId="0" fontId="69" fillId="0" borderId="28" applyNumberFormat="0" applyFill="0" applyAlignment="0" applyProtection="0">
      <alignment vertical="center"/>
    </xf>
    <xf numFmtId="0" fontId="40" fillId="0" borderId="20" applyNumberFormat="0" applyFill="0" applyAlignment="0" applyProtection="0">
      <alignment vertical="center"/>
    </xf>
    <xf numFmtId="0" fontId="69" fillId="0" borderId="28" applyNumberFormat="0" applyFill="0" applyAlignment="0" applyProtection="0">
      <alignment vertical="center"/>
    </xf>
    <xf numFmtId="0" fontId="69" fillId="0" borderId="28" applyNumberFormat="0" applyFill="0" applyAlignment="0" applyProtection="0">
      <alignment vertical="center"/>
    </xf>
    <xf numFmtId="0" fontId="70" fillId="0" borderId="29" applyNumberFormat="0" applyFill="0" applyAlignment="0" applyProtection="0">
      <alignment vertical="center"/>
    </xf>
    <xf numFmtId="0" fontId="41" fillId="0" borderId="21" applyNumberFormat="0" applyFill="0" applyAlignment="0" applyProtection="0">
      <alignment vertical="center"/>
    </xf>
    <xf numFmtId="0" fontId="70" fillId="0" borderId="29" applyNumberFormat="0" applyFill="0" applyAlignment="0" applyProtection="0">
      <alignment vertical="center"/>
    </xf>
    <xf numFmtId="0" fontId="41" fillId="0" borderId="21" applyNumberFormat="0" applyFill="0" applyAlignment="0" applyProtection="0">
      <alignment vertical="center"/>
    </xf>
    <xf numFmtId="0" fontId="70" fillId="0" borderId="29" applyNumberFormat="0" applyFill="0" applyAlignment="0" applyProtection="0">
      <alignment vertical="center"/>
    </xf>
    <xf numFmtId="0" fontId="70" fillId="0" borderId="29" applyNumberFormat="0" applyFill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43" fillId="7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43" fillId="7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72" fillId="9" borderId="0" applyNumberFormat="0" applyBorder="0" applyAlignment="0" applyProtection="0">
      <alignment vertical="center"/>
    </xf>
    <xf numFmtId="0" fontId="46" fillId="23" borderId="22" applyNumberFormat="0" applyAlignment="0" applyProtection="0">
      <alignment vertical="center"/>
    </xf>
    <xf numFmtId="0" fontId="46" fillId="23" borderId="22" applyNumberFormat="0" applyAlignment="0" applyProtection="0">
      <alignment vertical="center"/>
    </xf>
    <xf numFmtId="0" fontId="73" fillId="44" borderId="22" applyNumberFormat="0" applyAlignment="0" applyProtection="0">
      <alignment vertical="center"/>
    </xf>
    <xf numFmtId="0" fontId="73" fillId="44" borderId="22" applyNumberFormat="0" applyAlignment="0" applyProtection="0">
      <alignment vertical="center"/>
    </xf>
    <xf numFmtId="0" fontId="46" fillId="23" borderId="22" applyNumberFormat="0" applyAlignment="0" applyProtection="0">
      <alignment vertical="center"/>
    </xf>
    <xf numFmtId="0" fontId="74" fillId="23" borderId="22" applyNumberFormat="0" applyAlignment="0" applyProtection="0">
      <alignment vertical="center"/>
    </xf>
    <xf numFmtId="42" fontId="12" fillId="0" borderId="0" applyFont="0" applyFill="0" applyBorder="0" applyAlignment="0" applyProtection="0">
      <alignment vertical="center"/>
    </xf>
    <xf numFmtId="42" fontId="49" fillId="0" borderId="0" applyFont="0" applyFill="0" applyBorder="0" applyAlignment="0" applyProtection="0">
      <alignment vertical="center"/>
    </xf>
    <xf numFmtId="42" fontId="30" fillId="0" borderId="0" applyFont="0" applyFill="0" applyBorder="0" applyAlignment="0" applyProtection="0">
      <alignment vertical="center"/>
    </xf>
    <xf numFmtId="42" fontId="30" fillId="0" borderId="0" applyFont="0" applyFill="0" applyBorder="0" applyAlignment="0" applyProtection="0">
      <alignment vertical="center"/>
    </xf>
    <xf numFmtId="42" fontId="12" fillId="0" borderId="0" applyFont="0" applyFill="0" applyBorder="0" applyAlignment="0" applyProtection="0">
      <alignment vertical="center"/>
    </xf>
    <xf numFmtId="42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5" fillId="0" borderId="0">
      <alignment vertical="center"/>
    </xf>
    <xf numFmtId="0" fontId="47" fillId="0" borderId="0">
      <alignment vertical="center"/>
    </xf>
    <xf numFmtId="0" fontId="3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32" fillId="0" borderId="0">
      <alignment vertical="center"/>
    </xf>
    <xf numFmtId="0" fontId="12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/>
    <xf numFmtId="0" fontId="12" fillId="0" borderId="0">
      <alignment vertical="center"/>
    </xf>
    <xf numFmtId="0" fontId="31" fillId="0" borderId="0">
      <alignment vertical="center"/>
    </xf>
    <xf numFmtId="0" fontId="5" fillId="0" borderId="0"/>
    <xf numFmtId="0" fontId="31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12" fillId="0" borderId="0">
      <alignment vertical="center"/>
    </xf>
    <xf numFmtId="0" fontId="12" fillId="0" borderId="0"/>
    <xf numFmtId="0" fontId="5" fillId="0" borderId="0">
      <alignment vertical="center"/>
    </xf>
    <xf numFmtId="0" fontId="15" fillId="0" borderId="0">
      <alignment vertical="center"/>
    </xf>
    <xf numFmtId="0" fontId="5" fillId="0" borderId="0"/>
    <xf numFmtId="0" fontId="12" fillId="0" borderId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12" fillId="0" borderId="0">
      <alignment vertical="center"/>
    </xf>
    <xf numFmtId="0" fontId="63" fillId="0" borderId="0"/>
    <xf numFmtId="0" fontId="12" fillId="0" borderId="0">
      <alignment vertical="center"/>
    </xf>
    <xf numFmtId="0" fontId="75" fillId="0" borderId="0">
      <alignment vertical="center"/>
    </xf>
    <xf numFmtId="0" fontId="5" fillId="0" borderId="0"/>
    <xf numFmtId="0" fontId="5" fillId="0" borderId="0"/>
    <xf numFmtId="0" fontId="12" fillId="0" borderId="0">
      <alignment vertical="center"/>
    </xf>
    <xf numFmtId="0" fontId="12" fillId="0" borderId="0">
      <alignment vertical="center"/>
    </xf>
    <xf numFmtId="0" fontId="75" fillId="0" borderId="0">
      <alignment vertical="center"/>
    </xf>
    <xf numFmtId="0" fontId="12" fillId="0" borderId="0">
      <alignment vertical="center"/>
    </xf>
    <xf numFmtId="0" fontId="75" fillId="0" borderId="0">
      <alignment vertical="center"/>
    </xf>
    <xf numFmtId="0" fontId="12" fillId="0" borderId="0">
      <alignment vertical="center"/>
    </xf>
    <xf numFmtId="0" fontId="75" fillId="0" borderId="0">
      <alignment vertical="center"/>
    </xf>
    <xf numFmtId="0" fontId="31" fillId="0" borderId="0">
      <alignment vertical="center"/>
    </xf>
    <xf numFmtId="0" fontId="12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2" fillId="0" borderId="0">
      <alignment vertical="center"/>
    </xf>
    <xf numFmtId="0" fontId="12" fillId="0" borderId="0">
      <alignment vertical="center"/>
    </xf>
    <xf numFmtId="0" fontId="31" fillId="0" borderId="0">
      <alignment vertical="center"/>
    </xf>
    <xf numFmtId="0" fontId="5" fillId="0" borderId="0"/>
    <xf numFmtId="0" fontId="14" fillId="0" borderId="0">
      <alignment vertical="center"/>
    </xf>
    <xf numFmtId="0" fontId="2" fillId="0" borderId="0">
      <alignment vertical="center"/>
    </xf>
    <xf numFmtId="0" fontId="63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8" fillId="0" borderId="0"/>
    <xf numFmtId="0" fontId="76" fillId="0" borderId="0"/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/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3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32" fillId="0" borderId="0">
      <alignment vertical="center"/>
    </xf>
    <xf numFmtId="0" fontId="47" fillId="0" borderId="0">
      <alignment vertical="center"/>
    </xf>
    <xf numFmtId="0" fontId="12" fillId="0" borderId="0">
      <alignment vertical="center"/>
    </xf>
    <xf numFmtId="0" fontId="3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6" fillId="0" borderId="0"/>
    <xf numFmtId="0" fontId="57" fillId="0" borderId="0">
      <alignment vertical="center"/>
    </xf>
    <xf numFmtId="0" fontId="5" fillId="0" borderId="0"/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6" fillId="0" borderId="0"/>
    <xf numFmtId="0" fontId="32" fillId="0" borderId="0">
      <alignment vertical="center"/>
    </xf>
    <xf numFmtId="0" fontId="5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6" fillId="0" borderId="0"/>
    <xf numFmtId="0" fontId="32" fillId="0" borderId="0">
      <alignment vertical="center"/>
    </xf>
    <xf numFmtId="0" fontId="12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28" fillId="0" borderId="0"/>
    <xf numFmtId="0" fontId="13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>
      <alignment vertical="center"/>
    </xf>
    <xf numFmtId="0" fontId="3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2" fillId="0" borderId="0">
      <alignment vertical="center"/>
    </xf>
    <xf numFmtId="0" fontId="49" fillId="0" borderId="0">
      <alignment vertical="center"/>
    </xf>
    <xf numFmtId="0" fontId="12" fillId="0" borderId="0">
      <alignment vertical="center"/>
    </xf>
    <xf numFmtId="0" fontId="3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2" fillId="0" borderId="0">
      <alignment vertical="center"/>
    </xf>
    <xf numFmtId="0" fontId="12" fillId="0" borderId="0"/>
    <xf numFmtId="0" fontId="5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7" fillId="0" borderId="0">
      <alignment vertical="center"/>
    </xf>
    <xf numFmtId="0" fontId="5" fillId="0" borderId="0"/>
    <xf numFmtId="0" fontId="47" fillId="0" borderId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47" fillId="30" borderId="0" applyNumberFormat="0" applyBorder="0" applyAlignment="0" applyProtection="0">
      <alignment vertical="center"/>
    </xf>
    <xf numFmtId="0" fontId="58" fillId="5" borderId="0" applyNumberFormat="0" applyBorder="0" applyAlignment="0" applyProtection="0">
      <alignment vertical="center"/>
    </xf>
    <xf numFmtId="0" fontId="47" fillId="32" borderId="0" applyNumberFormat="0" applyBorder="0" applyAlignment="0" applyProtection="0">
      <alignment vertical="center"/>
    </xf>
    <xf numFmtId="0" fontId="58" fillId="6" borderId="0" applyNumberFormat="0" applyBorder="0" applyAlignment="0" applyProtection="0">
      <alignment vertical="center"/>
    </xf>
    <xf numFmtId="0" fontId="47" fillId="34" borderId="0" applyNumberFormat="0" applyBorder="0" applyAlignment="0" applyProtection="0">
      <alignment vertical="center"/>
    </xf>
    <xf numFmtId="0" fontId="58" fillId="7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58" fillId="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58" fillId="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58" fillId="10" borderId="0" applyNumberFormat="0" applyBorder="0" applyAlignment="0" applyProtection="0">
      <alignment vertical="center"/>
    </xf>
    <xf numFmtId="0" fontId="47" fillId="31" borderId="0" applyNumberFormat="0" applyBorder="0" applyAlignment="0" applyProtection="0">
      <alignment vertical="center"/>
    </xf>
    <xf numFmtId="0" fontId="58" fillId="11" borderId="0" applyNumberFormat="0" applyBorder="0" applyAlignment="0" applyProtection="0">
      <alignment vertical="center"/>
    </xf>
    <xf numFmtId="0" fontId="47" fillId="33" borderId="0" applyNumberFormat="0" applyBorder="0" applyAlignment="0" applyProtection="0">
      <alignment vertical="center"/>
    </xf>
    <xf numFmtId="0" fontId="58" fillId="12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58" fillId="13" borderId="0" applyNumberFormat="0" applyBorder="0" applyAlignment="0" applyProtection="0">
      <alignment vertical="center"/>
    </xf>
    <xf numFmtId="0" fontId="47" fillId="37" borderId="0" applyNumberFormat="0" applyBorder="0" applyAlignment="0" applyProtection="0">
      <alignment vertical="center"/>
    </xf>
    <xf numFmtId="0" fontId="58" fillId="8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58" fillId="11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58" fillId="14" borderId="0" applyNumberFormat="0" applyBorder="0" applyAlignment="0" applyProtection="0">
      <alignment vertical="center"/>
    </xf>
    <xf numFmtId="0" fontId="78" fillId="50" borderId="0" applyNumberFormat="0" applyBorder="0" applyAlignment="0" applyProtection="0">
      <alignment vertical="center"/>
    </xf>
    <xf numFmtId="0" fontId="79" fillId="15" borderId="0" applyNumberFormat="0" applyBorder="0" applyAlignment="0" applyProtection="0">
      <alignment vertical="center"/>
    </xf>
    <xf numFmtId="0" fontId="78" fillId="52" borderId="0" applyNumberFormat="0" applyBorder="0" applyAlignment="0" applyProtection="0">
      <alignment vertical="center"/>
    </xf>
    <xf numFmtId="0" fontId="79" fillId="12" borderId="0" applyNumberFormat="0" applyBorder="0" applyAlignment="0" applyProtection="0">
      <alignment vertical="center"/>
    </xf>
    <xf numFmtId="0" fontId="78" fillId="53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78" fillId="55" borderId="0" applyNumberFormat="0" applyBorder="0" applyAlignment="0" applyProtection="0">
      <alignment vertical="center"/>
    </xf>
    <xf numFmtId="0" fontId="79" fillId="16" borderId="0" applyNumberFormat="0" applyBorder="0" applyAlignment="0" applyProtection="0">
      <alignment vertical="center"/>
    </xf>
    <xf numFmtId="0" fontId="78" fillId="57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8" fillId="59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191" fontId="5" fillId="0" borderId="0" applyFont="0" applyFill="0" applyBorder="0" applyAlignment="0" applyProtection="0">
      <alignment vertical="center"/>
    </xf>
    <xf numFmtId="0" fontId="5" fillId="0" borderId="0"/>
    <xf numFmtId="0" fontId="78" fillId="49" borderId="0" applyNumberFormat="0" applyBorder="0" applyAlignment="0" applyProtection="0">
      <alignment vertical="center"/>
    </xf>
    <xf numFmtId="0" fontId="79" fillId="19" borderId="0" applyNumberFormat="0" applyBorder="0" applyAlignment="0" applyProtection="0">
      <alignment vertical="center"/>
    </xf>
    <xf numFmtId="0" fontId="78" fillId="51" borderId="0" applyNumberFormat="0" applyBorder="0" applyAlignment="0" applyProtection="0">
      <alignment vertical="center"/>
    </xf>
    <xf numFmtId="0" fontId="79" fillId="20" borderId="0" applyNumberFormat="0" applyBorder="0" applyAlignment="0" applyProtection="0">
      <alignment vertical="center"/>
    </xf>
    <xf numFmtId="0" fontId="78" fillId="4" borderId="0" applyNumberFormat="0" applyBorder="0" applyAlignment="0" applyProtection="0">
      <alignment vertical="center"/>
    </xf>
    <xf numFmtId="0" fontId="78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78" fillId="54" borderId="0" applyNumberFormat="0" applyBorder="0" applyAlignment="0" applyProtection="0">
      <alignment vertical="center"/>
    </xf>
    <xf numFmtId="0" fontId="79" fillId="16" borderId="0" applyNumberFormat="0" applyBorder="0" applyAlignment="0" applyProtection="0">
      <alignment vertical="center"/>
    </xf>
    <xf numFmtId="0" fontId="78" fillId="56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8" fillId="58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47" borderId="33" applyNumberFormat="0" applyAlignment="0" applyProtection="0">
      <alignment vertical="center"/>
    </xf>
    <xf numFmtId="0" fontId="26" fillId="23" borderId="14" applyNumberFormat="0" applyAlignment="0" applyProtection="0">
      <alignment vertical="center"/>
    </xf>
    <xf numFmtId="0" fontId="83" fillId="27" borderId="0" applyNumberFormat="0" applyBorder="0" applyAlignment="0" applyProtection="0">
      <alignment vertical="center"/>
    </xf>
    <xf numFmtId="0" fontId="84" fillId="6" borderId="0" applyNumberFormat="0" applyBorder="0" applyAlignment="0" applyProtection="0">
      <alignment vertical="center"/>
    </xf>
    <xf numFmtId="0" fontId="19" fillId="24" borderId="15" applyNumberFormat="0" applyFont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/>
    <xf numFmtId="9" fontId="49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9" fontId="57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57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/>
    <xf numFmtId="9" fontId="32" fillId="0" borderId="0" applyFont="0" applyFill="0" applyBorder="0" applyAlignment="0" applyProtection="0">
      <alignment vertical="center"/>
    </xf>
    <xf numFmtId="9" fontId="58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57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7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31" fillId="0" borderId="0" applyFont="0" applyFill="0" applyBorder="0" applyAlignment="0" applyProtection="0">
      <alignment vertical="center"/>
    </xf>
    <xf numFmtId="0" fontId="85" fillId="28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center"/>
    </xf>
    <xf numFmtId="0" fontId="89" fillId="48" borderId="36" applyNumberFormat="0" applyAlignment="0" applyProtection="0">
      <alignment vertical="center"/>
    </xf>
    <xf numFmtId="0" fontId="90" fillId="26" borderId="16" applyNumberFormat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/>
    <xf numFmtId="41" fontId="57" fillId="0" borderId="0" applyFont="0" applyFill="0" applyBorder="0" applyAlignment="0" applyProtection="0">
      <alignment vertical="center"/>
    </xf>
    <xf numFmtId="41" fontId="57" fillId="0" borderId="0" applyFont="0" applyFill="0" applyBorder="0" applyAlignment="0" applyProtection="0">
      <alignment vertical="center"/>
    </xf>
    <xf numFmtId="41" fontId="57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32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49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/>
    <xf numFmtId="41" fontId="5" fillId="0" borderId="0" applyFont="0" applyFill="0" applyBorder="0" applyAlignment="0" applyProtection="0"/>
    <xf numFmtId="190" fontId="12" fillId="0" borderId="0" applyFont="0" applyFill="0" applyBorder="0" applyAlignment="0" applyProtection="0"/>
    <xf numFmtId="190" fontId="12" fillId="0" borderId="0" applyFont="0" applyFill="0" applyBorder="0" applyAlignment="0" applyProtection="0"/>
    <xf numFmtId="0" fontId="91" fillId="0" borderId="35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3" fillId="0" borderId="37" applyNumberFormat="0" applyFill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94" fillId="46" borderId="33" applyNumberFormat="0" applyAlignment="0" applyProtection="0">
      <alignment vertical="center"/>
    </xf>
    <xf numFmtId="0" fontId="38" fillId="10" borderId="14" applyNumberFormat="0" applyAlignment="0" applyProtection="0">
      <alignment vertical="center"/>
    </xf>
    <xf numFmtId="0" fontId="95" fillId="0" borderId="30" applyNumberFormat="0" applyFill="0" applyAlignment="0" applyProtection="0">
      <alignment vertical="center"/>
    </xf>
    <xf numFmtId="0" fontId="96" fillId="0" borderId="19" applyNumberFormat="0" applyFill="0" applyAlignment="0" applyProtection="0">
      <alignment vertical="center"/>
    </xf>
    <xf numFmtId="0" fontId="97" fillId="0" borderId="31" applyNumberFormat="0" applyFill="0" applyAlignment="0" applyProtection="0">
      <alignment vertical="center"/>
    </xf>
    <xf numFmtId="0" fontId="98" fillId="0" borderId="20" applyNumberFormat="0" applyFill="0" applyAlignment="0" applyProtection="0">
      <alignment vertical="center"/>
    </xf>
    <xf numFmtId="0" fontId="99" fillId="0" borderId="32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0" borderId="0" applyNumberFormat="0" applyFill="0" applyBorder="0" applyAlignment="0" applyProtection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2" fillId="45" borderId="0" applyNumberFormat="0" applyBorder="0" applyAlignment="0" applyProtection="0">
      <alignment vertical="center"/>
    </xf>
    <xf numFmtId="0" fontId="103" fillId="7" borderId="0" applyNumberFormat="0" applyBorder="0" applyAlignment="0" applyProtection="0">
      <alignment vertical="center"/>
    </xf>
    <xf numFmtId="0" fontId="104" fillId="47" borderId="34" applyNumberFormat="0" applyAlignment="0" applyProtection="0">
      <alignment vertical="center"/>
    </xf>
    <xf numFmtId="0" fontId="46" fillId="23" borderId="22" applyNumberFormat="0" applyAlignment="0" applyProtection="0">
      <alignment vertical="center"/>
    </xf>
    <xf numFmtId="0" fontId="12" fillId="0" borderId="0">
      <alignment vertical="center"/>
    </xf>
    <xf numFmtId="0" fontId="32" fillId="0" borderId="0">
      <alignment vertical="center"/>
    </xf>
    <xf numFmtId="0" fontId="47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1" fillId="0" borderId="0">
      <alignment vertical="center"/>
    </xf>
    <xf numFmtId="0" fontId="12" fillId="0" borderId="0">
      <alignment vertical="center"/>
    </xf>
    <xf numFmtId="0" fontId="63" fillId="0" borderId="0"/>
    <xf numFmtId="0" fontId="5" fillId="0" borderId="0"/>
    <xf numFmtId="0" fontId="12" fillId="0" borderId="0"/>
    <xf numFmtId="0" fontId="12" fillId="0" borderId="0"/>
    <xf numFmtId="0" fontId="12" fillId="0" borderId="0"/>
    <xf numFmtId="0" fontId="15" fillId="0" borderId="0">
      <alignment vertical="center"/>
    </xf>
    <xf numFmtId="0" fontId="4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1" fillId="0" borderId="0">
      <alignment vertical="center"/>
    </xf>
    <xf numFmtId="0" fontId="28" fillId="0" borderId="0"/>
    <xf numFmtId="0" fontId="63" fillId="0" borderId="0"/>
    <xf numFmtId="0" fontId="12" fillId="0" borderId="0">
      <alignment vertical="center"/>
    </xf>
    <xf numFmtId="0" fontId="12" fillId="0" borderId="0">
      <alignment vertical="center"/>
    </xf>
    <xf numFmtId="0" fontId="28" fillId="0" borderId="0"/>
    <xf numFmtId="0" fontId="47" fillId="0" borderId="0">
      <alignment vertical="center"/>
    </xf>
    <xf numFmtId="0" fontId="47" fillId="0" borderId="0">
      <alignment vertical="center"/>
    </xf>
    <xf numFmtId="0" fontId="1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7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5" fillId="0" borderId="0"/>
    <xf numFmtId="0" fontId="12" fillId="0" borderId="0"/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06" fillId="45" borderId="0" applyNumberFormat="0" applyBorder="0" applyAlignment="0" applyProtection="0">
      <alignment vertical="center"/>
    </xf>
    <xf numFmtId="0" fontId="107" fillId="0" borderId="0">
      <alignment vertical="center"/>
    </xf>
    <xf numFmtId="0" fontId="105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105" fillId="0" borderId="0" applyFont="0" applyFill="0" applyBorder="0" applyAlignment="0" applyProtection="0">
      <alignment vertical="center"/>
    </xf>
    <xf numFmtId="9" fontId="105" fillId="0" borderId="0" applyFont="0" applyFill="0" applyBorder="0" applyAlignment="0" applyProtection="0">
      <alignment vertical="center"/>
    </xf>
    <xf numFmtId="0" fontId="5" fillId="29" borderId="23" applyNumberFormat="0" applyFont="0" applyAlignment="0" applyProtection="0">
      <alignment vertical="center"/>
    </xf>
    <xf numFmtId="0" fontId="76" fillId="60" borderId="0" applyNumberFormat="0" applyBorder="0" applyAlignment="0" applyProtection="0"/>
    <xf numFmtId="0" fontId="76" fillId="12" borderId="0" applyNumberFormat="0" applyBorder="0" applyAlignment="0" applyProtection="0"/>
    <xf numFmtId="0" fontId="76" fillId="24" borderId="0" applyNumberFormat="0" applyBorder="0" applyAlignment="0" applyProtection="0"/>
    <xf numFmtId="0" fontId="76" fillId="44" borderId="0" applyNumberFormat="0" applyBorder="0" applyAlignment="0" applyProtection="0"/>
    <xf numFmtId="0" fontId="76" fillId="11" borderId="0" applyNumberFormat="0" applyBorder="0" applyAlignment="0" applyProtection="0"/>
    <xf numFmtId="0" fontId="76" fillId="6" borderId="0" applyNumberFormat="0" applyBorder="0" applyAlignment="0" applyProtection="0"/>
    <xf numFmtId="0" fontId="30" fillId="6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30" fillId="60" borderId="0" applyNumberFormat="0" applyBorder="0" applyAlignment="0" applyProtection="0">
      <alignment vertical="center"/>
    </xf>
    <xf numFmtId="0" fontId="30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30" fillId="12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44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30" fillId="44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76" fillId="43" borderId="0" applyNumberFormat="0" applyBorder="0" applyAlignment="0" applyProtection="0"/>
    <xf numFmtId="0" fontId="76" fillId="12" borderId="0" applyNumberFormat="0" applyBorder="0" applyAlignment="0" applyProtection="0"/>
    <xf numFmtId="0" fontId="76" fillId="21" borderId="0" applyNumberFormat="0" applyBorder="0" applyAlignment="0" applyProtection="0"/>
    <xf numFmtId="0" fontId="76" fillId="23" borderId="0" applyNumberFormat="0" applyBorder="0" applyAlignment="0" applyProtection="0"/>
    <xf numFmtId="0" fontId="76" fillId="43" borderId="0" applyNumberFormat="0" applyBorder="0" applyAlignment="0" applyProtection="0"/>
    <xf numFmtId="0" fontId="76" fillId="10" borderId="0" applyNumberFormat="0" applyBorder="0" applyAlignment="0" applyProtection="0"/>
    <xf numFmtId="0" fontId="30" fillId="4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30" fillId="43" borderId="0" applyNumberFormat="0" applyBorder="0" applyAlignment="0" applyProtection="0">
      <alignment vertical="center"/>
    </xf>
    <xf numFmtId="0" fontId="30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30" fillId="12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43" borderId="0" applyNumberFormat="0" applyBorder="0" applyAlignment="0" applyProtection="0">
      <alignment vertical="center"/>
    </xf>
    <xf numFmtId="0" fontId="8" fillId="61" borderId="0" applyNumberFormat="0" applyBorder="0" applyAlignment="0" applyProtection="0">
      <alignment vertical="center"/>
    </xf>
    <xf numFmtId="0" fontId="30" fillId="43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108" fillId="43" borderId="0" applyNumberFormat="0" applyBorder="0" applyAlignment="0" applyProtection="0"/>
    <xf numFmtId="0" fontId="108" fillId="12" borderId="0" applyNumberFormat="0" applyBorder="0" applyAlignment="0" applyProtection="0"/>
    <xf numFmtId="0" fontId="108" fillId="21" borderId="0" applyNumberFormat="0" applyBorder="0" applyAlignment="0" applyProtection="0"/>
    <xf numFmtId="0" fontId="108" fillId="23" borderId="0" applyNumberFormat="0" applyBorder="0" applyAlignment="0" applyProtection="0"/>
    <xf numFmtId="0" fontId="108" fillId="43" borderId="0" applyNumberFormat="0" applyBorder="0" applyAlignment="0" applyProtection="0"/>
    <xf numFmtId="0" fontId="108" fillId="10" borderId="0" applyNumberFormat="0" applyBorder="0" applyAlignment="0" applyProtection="0"/>
    <xf numFmtId="0" fontId="109" fillId="43" borderId="0" applyNumberFormat="0" applyBorder="0" applyAlignment="0" applyProtection="0">
      <alignment vertical="center"/>
    </xf>
    <xf numFmtId="0" fontId="50" fillId="4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12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109" fillId="12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109" fillId="23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109" fillId="23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109" fillId="43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109" fillId="10" borderId="0" applyNumberFormat="0" applyBorder="0" applyAlignment="0" applyProtection="0">
      <alignment vertical="center"/>
    </xf>
    <xf numFmtId="0" fontId="110" fillId="62" borderId="0" applyNumberFormat="0" applyBorder="0" applyAlignment="0" applyProtection="0"/>
    <xf numFmtId="0" fontId="111" fillId="63" borderId="0" applyNumberFormat="0" applyBorder="0" applyAlignment="0" applyProtection="0"/>
    <xf numFmtId="0" fontId="111" fillId="64" borderId="0" applyNumberFormat="0" applyBorder="0" applyAlignment="0" applyProtection="0"/>
    <xf numFmtId="0" fontId="110" fillId="65" borderId="0" applyNumberFormat="0" applyBorder="0" applyAlignment="0" applyProtection="0"/>
    <xf numFmtId="0" fontId="110" fillId="66" borderId="0" applyNumberFormat="0" applyBorder="0" applyAlignment="0" applyProtection="0"/>
    <xf numFmtId="0" fontId="111" fillId="67" borderId="0" applyNumberFormat="0" applyBorder="0" applyAlignment="0" applyProtection="0"/>
    <xf numFmtId="0" fontId="111" fillId="68" borderId="0" applyNumberFormat="0" applyBorder="0" applyAlignment="0" applyProtection="0"/>
    <xf numFmtId="0" fontId="110" fillId="69" borderId="0" applyNumberFormat="0" applyBorder="0" applyAlignment="0" applyProtection="0"/>
    <xf numFmtId="0" fontId="110" fillId="69" borderId="0" applyNumberFormat="0" applyBorder="0" applyAlignment="0" applyProtection="0"/>
    <xf numFmtId="0" fontId="111" fillId="70" borderId="0" applyNumberFormat="0" applyBorder="0" applyAlignment="0" applyProtection="0"/>
    <xf numFmtId="0" fontId="111" fillId="71" borderId="0" applyNumberFormat="0" applyBorder="0" applyAlignment="0" applyProtection="0"/>
    <xf numFmtId="0" fontId="110" fillId="72" borderId="0" applyNumberFormat="0" applyBorder="0" applyAlignment="0" applyProtection="0"/>
    <xf numFmtId="0" fontId="110" fillId="73" borderId="0" applyNumberFormat="0" applyBorder="0" applyAlignment="0" applyProtection="0"/>
    <xf numFmtId="0" fontId="111" fillId="71" borderId="0" applyNumberFormat="0" applyBorder="0" applyAlignment="0" applyProtection="0"/>
    <xf numFmtId="0" fontId="111" fillId="72" borderId="0" applyNumberFormat="0" applyBorder="0" applyAlignment="0" applyProtection="0"/>
    <xf numFmtId="0" fontId="110" fillId="72" borderId="0" applyNumberFormat="0" applyBorder="0" applyAlignment="0" applyProtection="0"/>
    <xf numFmtId="0" fontId="110" fillId="74" borderId="0" applyNumberFormat="0" applyBorder="0" applyAlignment="0" applyProtection="0"/>
    <xf numFmtId="0" fontId="111" fillId="63" borderId="0" applyNumberFormat="0" applyBorder="0" applyAlignment="0" applyProtection="0"/>
    <xf numFmtId="0" fontId="111" fillId="64" borderId="0" applyNumberFormat="0" applyBorder="0" applyAlignment="0" applyProtection="0"/>
    <xf numFmtId="0" fontId="110" fillId="64" borderId="0" applyNumberFormat="0" applyBorder="0" applyAlignment="0" applyProtection="0"/>
    <xf numFmtId="0" fontId="110" fillId="75" borderId="0" applyNumberFormat="0" applyBorder="0" applyAlignment="0" applyProtection="0"/>
    <xf numFmtId="0" fontId="111" fillId="76" borderId="0" applyNumberFormat="0" applyBorder="0" applyAlignment="0" applyProtection="0"/>
    <xf numFmtId="0" fontId="111" fillId="68" borderId="0" applyNumberFormat="0" applyBorder="0" applyAlignment="0" applyProtection="0"/>
    <xf numFmtId="0" fontId="110" fillId="77" borderId="0" applyNumberFormat="0" applyBorder="0" applyAlignment="0" applyProtection="0"/>
    <xf numFmtId="0" fontId="112" fillId="68" borderId="0" applyNumberFormat="0" applyBorder="0" applyAlignment="0" applyProtection="0"/>
    <xf numFmtId="0" fontId="113" fillId="78" borderId="14" applyNumberFormat="0" applyAlignment="0" applyProtection="0"/>
    <xf numFmtId="0" fontId="114" fillId="69" borderId="16" applyNumberFormat="0" applyAlignment="0" applyProtection="0"/>
    <xf numFmtId="41" fontId="76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115" fillId="79" borderId="0" applyNumberFormat="0" applyBorder="0" applyAlignment="0" applyProtection="0"/>
    <xf numFmtId="0" fontId="115" fillId="80" borderId="0" applyNumberFormat="0" applyBorder="0" applyAlignment="0" applyProtection="0"/>
    <xf numFmtId="0" fontId="115" fillId="81" borderId="0" applyNumberFormat="0" applyBorder="0" applyAlignment="0" applyProtection="0"/>
    <xf numFmtId="0" fontId="116" fillId="0" borderId="0" applyNumberFormat="0" applyFill="0" applyBorder="0" applyAlignment="0" applyProtection="0"/>
    <xf numFmtId="0" fontId="117" fillId="82" borderId="0" applyNumberFormat="0" applyBorder="0" applyAlignment="0" applyProtection="0"/>
    <xf numFmtId="0" fontId="118" fillId="0" borderId="38" applyNumberFormat="0" applyFill="0" applyAlignment="0" applyProtection="0"/>
    <xf numFmtId="0" fontId="119" fillId="0" borderId="20" applyNumberFormat="0" applyFill="0" applyAlignment="0" applyProtection="0"/>
    <xf numFmtId="0" fontId="120" fillId="0" borderId="39" applyNumberFormat="0" applyFill="0" applyAlignment="0" applyProtection="0"/>
    <xf numFmtId="0" fontId="120" fillId="0" borderId="0" applyNumberFormat="0" applyFill="0" applyBorder="0" applyAlignment="0" applyProtection="0"/>
    <xf numFmtId="0" fontId="121" fillId="77" borderId="14" applyNumberFormat="0" applyAlignment="0" applyProtection="0"/>
    <xf numFmtId="0" fontId="122" fillId="0" borderId="40" applyNumberFormat="0" applyFill="0" applyAlignment="0" applyProtection="0"/>
    <xf numFmtId="0" fontId="123" fillId="77" borderId="0" applyNumberFormat="0" applyBorder="0" applyAlignment="0" applyProtection="0"/>
    <xf numFmtId="0" fontId="22" fillId="76" borderId="15" applyNumberFormat="0" applyFont="0" applyAlignment="0" applyProtection="0"/>
    <xf numFmtId="0" fontId="124" fillId="78" borderId="22" applyNumberFormat="0" applyAlignment="0" applyProtection="0"/>
    <xf numFmtId="9" fontId="76" fillId="0" borderId="0" applyFont="0" applyFill="0" applyBorder="0" applyAlignment="0" applyProtection="0">
      <alignment vertical="center"/>
    </xf>
    <xf numFmtId="9" fontId="76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76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4" fontId="125" fillId="25" borderId="41" applyNumberFormat="0" applyProtection="0">
      <alignment vertical="center"/>
    </xf>
    <xf numFmtId="4" fontId="126" fillId="25" borderId="41" applyNumberFormat="0" applyProtection="0">
      <alignment vertical="center"/>
    </xf>
    <xf numFmtId="4" fontId="125" fillId="25" borderId="41" applyNumberFormat="0" applyProtection="0">
      <alignment horizontal="left" vertical="center" indent="1"/>
    </xf>
    <xf numFmtId="0" fontId="125" fillId="25" borderId="41" applyNumberFormat="0" applyProtection="0">
      <alignment horizontal="left" vertical="top" indent="1"/>
    </xf>
    <xf numFmtId="4" fontId="125" fillId="60" borderId="0" applyNumberFormat="0" applyProtection="0">
      <alignment horizontal="left" vertical="center" indent="1"/>
    </xf>
    <xf numFmtId="4" fontId="76" fillId="6" borderId="41" applyNumberFormat="0" applyProtection="0">
      <alignment horizontal="right" vertical="center"/>
    </xf>
    <xf numFmtId="4" fontId="76" fillId="12" borderId="41" applyNumberFormat="0" applyProtection="0">
      <alignment horizontal="right" vertical="center"/>
    </xf>
    <xf numFmtId="4" fontId="76" fillId="20" borderId="41" applyNumberFormat="0" applyProtection="0">
      <alignment horizontal="right" vertical="center"/>
    </xf>
    <xf numFmtId="4" fontId="76" fillId="14" borderId="41" applyNumberFormat="0" applyProtection="0">
      <alignment horizontal="right" vertical="center"/>
    </xf>
    <xf numFmtId="4" fontId="76" fillId="18" borderId="41" applyNumberFormat="0" applyProtection="0">
      <alignment horizontal="right" vertical="center"/>
    </xf>
    <xf numFmtId="4" fontId="76" fillId="22" borderId="41" applyNumberFormat="0" applyProtection="0">
      <alignment horizontal="right" vertical="center"/>
    </xf>
    <xf numFmtId="4" fontId="76" fillId="21" borderId="41" applyNumberFormat="0" applyProtection="0">
      <alignment horizontal="right" vertical="center"/>
    </xf>
    <xf numFmtId="4" fontId="76" fillId="83" borderId="41" applyNumberFormat="0" applyProtection="0">
      <alignment horizontal="right" vertical="center"/>
    </xf>
    <xf numFmtId="4" fontId="76" fillId="13" borderId="41" applyNumberFormat="0" applyProtection="0">
      <alignment horizontal="right" vertical="center"/>
    </xf>
    <xf numFmtId="4" fontId="125" fillId="84" borderId="42" applyNumberFormat="0" applyProtection="0">
      <alignment horizontal="left" vertical="center" indent="1"/>
    </xf>
    <xf numFmtId="4" fontId="76" fillId="85" borderId="0" applyNumberFormat="0" applyProtection="0">
      <alignment horizontal="left" vertical="center" indent="1"/>
    </xf>
    <xf numFmtId="4" fontId="127" fillId="43" borderId="0" applyNumberFormat="0" applyProtection="0">
      <alignment horizontal="left" vertical="center" indent="1"/>
    </xf>
    <xf numFmtId="4" fontId="76" fillId="60" borderId="41" applyNumberFormat="0" applyProtection="0">
      <alignment horizontal="right" vertical="center"/>
    </xf>
    <xf numFmtId="4" fontId="76" fillId="85" borderId="0" applyNumberFormat="0" applyProtection="0">
      <alignment horizontal="left" vertical="center" indent="1"/>
    </xf>
    <xf numFmtId="4" fontId="76" fillId="60" borderId="0" applyNumberFormat="0" applyProtection="0">
      <alignment horizontal="left" vertical="center" indent="1"/>
    </xf>
    <xf numFmtId="0" fontId="22" fillId="43" borderId="41" applyNumberFormat="0" applyProtection="0">
      <alignment horizontal="left" vertical="center" indent="1"/>
    </xf>
    <xf numFmtId="0" fontId="22" fillId="43" borderId="41" applyNumberFormat="0" applyProtection="0">
      <alignment horizontal="left" vertical="top" indent="1"/>
    </xf>
    <xf numFmtId="0" fontId="22" fillId="60" borderId="41" applyNumberFormat="0" applyProtection="0">
      <alignment horizontal="left" vertical="center" indent="1"/>
    </xf>
    <xf numFmtId="0" fontId="22" fillId="60" borderId="41" applyNumberFormat="0" applyProtection="0">
      <alignment horizontal="left" vertical="top" indent="1"/>
    </xf>
    <xf numFmtId="0" fontId="22" fillId="11" borderId="41" applyNumberFormat="0" applyProtection="0">
      <alignment horizontal="left" vertical="center" indent="1"/>
    </xf>
    <xf numFmtId="0" fontId="22" fillId="11" borderId="41" applyNumberFormat="0" applyProtection="0">
      <alignment horizontal="left" vertical="top" indent="1"/>
    </xf>
    <xf numFmtId="0" fontId="22" fillId="85" borderId="41" applyNumberFormat="0" applyProtection="0">
      <alignment horizontal="left" vertical="center" indent="1"/>
    </xf>
    <xf numFmtId="0" fontId="22" fillId="85" borderId="41" applyNumberFormat="0" applyProtection="0">
      <alignment horizontal="left" vertical="top" indent="1"/>
    </xf>
    <xf numFmtId="0" fontId="22" fillId="44" borderId="3" applyNumberFormat="0">
      <protection locked="0"/>
    </xf>
    <xf numFmtId="4" fontId="76" fillId="24" borderId="41" applyNumberFormat="0" applyProtection="0">
      <alignment vertical="center"/>
    </xf>
    <xf numFmtId="4" fontId="128" fillId="24" borderId="41" applyNumberFormat="0" applyProtection="0">
      <alignment vertical="center"/>
    </xf>
    <xf numFmtId="4" fontId="76" fillId="24" borderId="41" applyNumberFormat="0" applyProtection="0">
      <alignment horizontal="left" vertical="center" indent="1"/>
    </xf>
    <xf numFmtId="0" fontId="76" fillId="24" borderId="41" applyNumberFormat="0" applyProtection="0">
      <alignment horizontal="left" vertical="top" indent="1"/>
    </xf>
    <xf numFmtId="4" fontId="76" fillId="85" borderId="41" applyNumberFormat="0" applyProtection="0">
      <alignment horizontal="right" vertical="center"/>
    </xf>
    <xf numFmtId="4" fontId="128" fillId="85" borderId="41" applyNumberFormat="0" applyProtection="0">
      <alignment horizontal="right" vertical="center"/>
    </xf>
    <xf numFmtId="4" fontId="76" fillId="60" borderId="41" applyNumberFormat="0" applyProtection="0">
      <alignment horizontal="left" vertical="center" indent="1"/>
    </xf>
    <xf numFmtId="0" fontId="76" fillId="60" borderId="41" applyNumberFormat="0" applyProtection="0">
      <alignment horizontal="left" vertical="top" indent="1"/>
    </xf>
    <xf numFmtId="4" fontId="129" fillId="61" borderId="0" applyNumberFormat="0" applyProtection="0">
      <alignment horizontal="left" vertical="center" indent="1"/>
    </xf>
    <xf numFmtId="4" fontId="130" fillId="85" borderId="41" applyNumberFormat="0" applyProtection="0">
      <alignment horizontal="right" vertical="center"/>
    </xf>
    <xf numFmtId="0" fontId="131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0" fontId="115" fillId="0" borderId="43" applyNumberFormat="0" applyFill="0" applyAlignment="0" applyProtection="0"/>
    <xf numFmtId="0" fontId="132" fillId="0" borderId="0" applyNumberFormat="0" applyFill="0" applyBorder="0" applyAlignment="0" applyProtection="0"/>
    <xf numFmtId="0" fontId="109" fillId="17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109" fillId="17" borderId="0" applyNumberFormat="0" applyBorder="0" applyAlignment="0" applyProtection="0">
      <alignment vertical="center"/>
    </xf>
    <xf numFmtId="0" fontId="109" fillId="20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109" fillId="20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109" fillId="21" borderId="0" applyNumberFormat="0" applyBorder="0" applyAlignment="0" applyProtection="0">
      <alignment vertical="center"/>
    </xf>
    <xf numFmtId="0" fontId="109" fillId="86" borderId="0" applyNumberFormat="0" applyBorder="0" applyAlignment="0" applyProtection="0">
      <alignment vertical="center"/>
    </xf>
    <xf numFmtId="0" fontId="50" fillId="43" borderId="0" applyNumberFormat="0" applyBorder="0" applyAlignment="0" applyProtection="0">
      <alignment vertical="center"/>
    </xf>
    <xf numFmtId="0" fontId="109" fillId="86" borderId="0" applyNumberFormat="0" applyBorder="0" applyAlignment="0" applyProtection="0">
      <alignment vertical="center"/>
    </xf>
    <xf numFmtId="0" fontId="109" fillId="17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109" fillId="17" borderId="0" applyNumberFormat="0" applyBorder="0" applyAlignment="0" applyProtection="0">
      <alignment vertical="center"/>
    </xf>
    <xf numFmtId="0" fontId="109" fillId="14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109" fillId="14" borderId="0" applyNumberFormat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16" borderId="14" applyNumberFormat="0" applyAlignment="0" applyProtection="0">
      <alignment vertical="center"/>
    </xf>
    <xf numFmtId="0" fontId="26" fillId="23" borderId="14" applyNumberFormat="0" applyAlignment="0" applyProtection="0">
      <alignment vertical="center"/>
    </xf>
    <xf numFmtId="0" fontId="135" fillId="44" borderId="14" applyNumberFormat="0" applyAlignment="0" applyProtection="0">
      <alignment vertical="center"/>
    </xf>
    <xf numFmtId="0" fontId="26" fillId="23" borderId="14" applyNumberFormat="0" applyAlignment="0" applyProtection="0">
      <alignment vertical="center"/>
    </xf>
    <xf numFmtId="0" fontId="134" fillId="16" borderId="14" applyNumberFormat="0" applyAlignment="0" applyProtection="0">
      <alignment vertical="center"/>
    </xf>
    <xf numFmtId="0" fontId="136" fillId="16" borderId="0" applyNumberFormat="0" applyBorder="0" applyAlignment="0" applyProtection="0">
      <alignment vertical="center"/>
    </xf>
    <xf numFmtId="0" fontId="55" fillId="6" borderId="0" applyNumberFormat="0" applyBorder="0" applyAlignment="0" applyProtection="0">
      <alignment vertical="center"/>
    </xf>
    <xf numFmtId="0" fontId="56" fillId="27" borderId="0" applyNumberFormat="0" applyBorder="0" applyAlignment="0" applyProtection="0">
      <alignment vertical="center"/>
    </xf>
    <xf numFmtId="0" fontId="136" fillId="16" borderId="0" applyNumberFormat="0" applyBorder="0" applyAlignment="0" applyProtection="0">
      <alignment vertical="center"/>
    </xf>
    <xf numFmtId="0" fontId="56" fillId="27" borderId="0" applyNumberFormat="0" applyBorder="0" applyAlignment="0" applyProtection="0">
      <alignment vertical="center"/>
    </xf>
    <xf numFmtId="0" fontId="5" fillId="24" borderId="15" applyNumberFormat="0" applyFont="0" applyAlignment="0" applyProtection="0">
      <alignment vertical="center"/>
    </xf>
    <xf numFmtId="0" fontId="19" fillId="24" borderId="15" applyNumberFormat="0" applyFont="0" applyAlignment="0" applyProtection="0">
      <alignment vertical="center"/>
    </xf>
    <xf numFmtId="0" fontId="5" fillId="24" borderId="44" applyNumberFormat="0" applyFont="0" applyAlignment="0" applyProtection="0">
      <alignment vertical="center"/>
    </xf>
    <xf numFmtId="0" fontId="19" fillId="24" borderId="15" applyNumberFormat="0" applyFont="0" applyAlignment="0" applyProtection="0">
      <alignment vertical="center"/>
    </xf>
    <xf numFmtId="0" fontId="5" fillId="24" borderId="15" applyNumberFormat="0" applyFont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28" fillId="0" borderId="0" applyFont="0" applyFill="0" applyBorder="0" applyAlignment="0" applyProtection="0"/>
    <xf numFmtId="9" fontId="1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/>
    <xf numFmtId="9" fontId="31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12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9" fontId="76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9" fontId="76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2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58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32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5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58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9" fontId="76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0" fontId="137" fillId="10" borderId="0" applyNumberFormat="0" applyBorder="0" applyAlignment="0" applyProtection="0">
      <alignment vertical="center"/>
    </xf>
    <xf numFmtId="0" fontId="138" fillId="10" borderId="0" applyNumberFormat="0" applyBorder="0" applyAlignment="0" applyProtection="0">
      <alignment vertical="center"/>
    </xf>
    <xf numFmtId="0" fontId="60" fillId="28" borderId="0" applyNumberFormat="0" applyBorder="0" applyAlignment="0" applyProtection="0">
      <alignment vertical="center"/>
    </xf>
    <xf numFmtId="0" fontId="137" fillId="10" borderId="0" applyNumberFormat="0" applyBorder="0" applyAlignment="0" applyProtection="0">
      <alignment vertical="center"/>
    </xf>
    <xf numFmtId="0" fontId="60" fillId="28" borderId="0" applyNumberFormat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40" fillId="26" borderId="16" applyNumberFormat="0" applyAlignment="0" applyProtection="0">
      <alignment vertical="center"/>
    </xf>
    <xf numFmtId="0" fontId="62" fillId="26" borderId="16" applyNumberFormat="0" applyAlignment="0" applyProtection="0">
      <alignment vertical="center"/>
    </xf>
    <xf numFmtId="0" fontId="140" fillId="26" borderId="16" applyNumberFormat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1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192" fontId="5" fillId="0" borderId="0" applyFont="0" applyFill="0" applyBorder="0" applyAlignment="0" applyProtection="0">
      <alignment vertical="center"/>
    </xf>
    <xf numFmtId="41" fontId="29" fillId="0" borderId="0" applyFont="0" applyFill="0" applyBorder="0" applyAlignment="0" applyProtection="0"/>
    <xf numFmtId="192" fontId="5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192" fontId="5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29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15" fillId="0" borderId="0" applyFont="0" applyFill="0" applyBorder="0" applyAlignment="0" applyProtection="0">
      <alignment vertical="center"/>
    </xf>
    <xf numFmtId="41" fontId="29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5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30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30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58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/>
    <xf numFmtId="41" fontId="32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76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184" fontId="16" fillId="0" borderId="0" applyFont="0" applyFill="0" applyBorder="0" applyAlignment="0" applyProtection="0"/>
    <xf numFmtId="41" fontId="30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141" fillId="0" borderId="40" applyNumberFormat="0" applyFill="0" applyAlignment="0" applyProtection="0">
      <alignment vertical="center"/>
    </xf>
    <xf numFmtId="0" fontId="142" fillId="0" borderId="17" applyNumberFormat="0" applyFill="0" applyAlignment="0" applyProtection="0">
      <alignment vertical="center"/>
    </xf>
    <xf numFmtId="0" fontId="141" fillId="0" borderId="40" applyNumberFormat="0" applyFill="0" applyAlignment="0" applyProtection="0">
      <alignment vertical="center"/>
    </xf>
    <xf numFmtId="0" fontId="143" fillId="0" borderId="45" applyNumberFormat="0" applyFill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64" fillId="0" borderId="18" applyNumberFormat="0" applyFill="0" applyAlignment="0" applyProtection="0">
      <alignment vertical="center"/>
    </xf>
    <xf numFmtId="0" fontId="37" fillId="0" borderId="18" applyNumberFormat="0" applyFill="0" applyAlignment="0" applyProtection="0">
      <alignment vertical="center"/>
    </xf>
    <xf numFmtId="0" fontId="143" fillId="0" borderId="45" applyNumberFormat="0" applyFill="0" applyAlignment="0" applyProtection="0">
      <alignment vertical="center"/>
    </xf>
    <xf numFmtId="0" fontId="144" fillId="10" borderId="14" applyNumberFormat="0" applyAlignment="0" applyProtection="0">
      <alignment vertical="center"/>
    </xf>
    <xf numFmtId="0" fontId="38" fillId="10" borderId="14" applyNumberFormat="0" applyAlignment="0" applyProtection="0">
      <alignment vertical="center"/>
    </xf>
    <xf numFmtId="0" fontId="66" fillId="10" borderId="14" applyNumberFormat="0" applyAlignment="0" applyProtection="0">
      <alignment vertical="center"/>
    </xf>
    <xf numFmtId="0" fontId="38" fillId="10" borderId="14" applyNumberFormat="0" applyAlignment="0" applyProtection="0">
      <alignment vertical="center"/>
    </xf>
    <xf numFmtId="0" fontId="144" fillId="10" borderId="14" applyNumberFormat="0" applyAlignment="0" applyProtection="0">
      <alignment vertical="center"/>
    </xf>
    <xf numFmtId="0" fontId="145" fillId="0" borderId="46" applyNumberFormat="0" applyFill="0" applyAlignment="0" applyProtection="0">
      <alignment vertical="center"/>
    </xf>
    <xf numFmtId="0" fontId="68" fillId="0" borderId="19" applyNumberFormat="0" applyFill="0" applyAlignment="0" applyProtection="0">
      <alignment vertical="center"/>
    </xf>
    <xf numFmtId="0" fontId="145" fillId="0" borderId="46" applyNumberFormat="0" applyFill="0" applyAlignment="0" applyProtection="0">
      <alignment vertical="center"/>
    </xf>
    <xf numFmtId="0" fontId="146" fillId="0" borderId="47" applyNumberFormat="0" applyFill="0" applyAlignment="0" applyProtection="0">
      <alignment vertical="center"/>
    </xf>
    <xf numFmtId="0" fontId="69" fillId="0" borderId="20" applyNumberFormat="0" applyFill="0" applyAlignment="0" applyProtection="0">
      <alignment vertical="center"/>
    </xf>
    <xf numFmtId="0" fontId="146" fillId="0" borderId="47" applyNumberFormat="0" applyFill="0" applyAlignment="0" applyProtection="0">
      <alignment vertical="center"/>
    </xf>
    <xf numFmtId="0" fontId="147" fillId="0" borderId="48" applyNumberFormat="0" applyFill="0" applyAlignment="0" applyProtection="0">
      <alignment vertical="center"/>
    </xf>
    <xf numFmtId="0" fontId="70" fillId="0" borderId="48" applyNumberFormat="0" applyFill="0" applyAlignment="0" applyProtection="0">
      <alignment vertical="center"/>
    </xf>
    <xf numFmtId="0" fontId="147" fillId="0" borderId="48" applyNumberFormat="0" applyFill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>
      <alignment vertical="center"/>
    </xf>
    <xf numFmtId="0" fontId="147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48" fillId="83" borderId="0" applyNumberFormat="0" applyBorder="0" applyAlignment="0" applyProtection="0">
      <alignment vertical="center"/>
    </xf>
    <xf numFmtId="0" fontId="43" fillId="7" borderId="0" applyNumberFormat="0" applyBorder="0" applyAlignment="0" applyProtection="0">
      <alignment vertical="center"/>
    </xf>
    <xf numFmtId="0" fontId="72" fillId="7" borderId="0" applyNumberFormat="0" applyBorder="0" applyAlignment="0" applyProtection="0">
      <alignment vertical="center"/>
    </xf>
    <xf numFmtId="0" fontId="106" fillId="45" borderId="0" applyNumberFormat="0" applyBorder="0" applyAlignment="0" applyProtection="0">
      <alignment vertical="center"/>
    </xf>
    <xf numFmtId="0" fontId="148" fillId="83" borderId="0" applyNumberFormat="0" applyBorder="0" applyAlignment="0" applyProtection="0">
      <alignment vertical="center"/>
    </xf>
    <xf numFmtId="0" fontId="46" fillId="23" borderId="22" applyNumberFormat="0" applyAlignment="0" applyProtection="0">
      <alignment vertical="center"/>
    </xf>
    <xf numFmtId="0" fontId="149" fillId="16" borderId="22" applyNumberFormat="0" applyAlignment="0" applyProtection="0">
      <alignment vertical="center"/>
    </xf>
    <xf numFmtId="0" fontId="46" fillId="23" borderId="22" applyNumberFormat="0" applyAlignment="0" applyProtection="0">
      <alignment vertical="center"/>
    </xf>
    <xf numFmtId="0" fontId="73" fillId="44" borderId="22" applyNumberFormat="0" applyAlignment="0" applyProtection="0">
      <alignment vertical="center"/>
    </xf>
    <xf numFmtId="0" fontId="46" fillId="23" borderId="22" applyNumberFormat="0" applyAlignment="0" applyProtection="0">
      <alignment vertical="center"/>
    </xf>
    <xf numFmtId="0" fontId="46" fillId="23" borderId="22" applyNumberFormat="0" applyAlignment="0" applyProtection="0">
      <alignment vertical="center"/>
    </xf>
    <xf numFmtId="0" fontId="149" fillId="16" borderId="22" applyNumberFormat="0" applyAlignment="0" applyProtection="0">
      <alignment vertical="center"/>
    </xf>
    <xf numFmtId="42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5" fillId="0" borderId="0">
      <alignment vertical="center"/>
    </xf>
    <xf numFmtId="0" fontId="5" fillId="0" borderId="0"/>
    <xf numFmtId="0" fontId="12" fillId="0" borderId="0">
      <alignment vertical="center"/>
    </xf>
    <xf numFmtId="0" fontId="5" fillId="0" borderId="0"/>
    <xf numFmtId="0" fontId="5" fillId="0" borderId="0"/>
    <xf numFmtId="0" fontId="21" fillId="0" borderId="0">
      <alignment vertical="center"/>
    </xf>
    <xf numFmtId="0" fontId="12" fillId="0" borderId="0">
      <alignment vertical="center"/>
    </xf>
    <xf numFmtId="0" fontId="5" fillId="0" borderId="0"/>
    <xf numFmtId="0" fontId="15" fillId="0" borderId="0">
      <alignment vertical="center"/>
    </xf>
    <xf numFmtId="0" fontId="12" fillId="0" borderId="0">
      <alignment vertical="center"/>
    </xf>
    <xf numFmtId="0" fontId="31" fillId="0" borderId="0">
      <alignment vertical="center"/>
    </xf>
    <xf numFmtId="0" fontId="5" fillId="0" borderId="0"/>
    <xf numFmtId="0" fontId="5" fillId="0" borderId="0"/>
    <xf numFmtId="0" fontId="5" fillId="0" borderId="0"/>
    <xf numFmtId="0" fontId="12" fillId="0" borderId="0">
      <alignment vertical="center"/>
    </xf>
    <xf numFmtId="0" fontId="16" fillId="0" borderId="0"/>
    <xf numFmtId="0" fontId="5" fillId="0" borderId="0">
      <alignment vertical="center"/>
    </xf>
    <xf numFmtId="0" fontId="12" fillId="0" borderId="0">
      <alignment vertical="center"/>
    </xf>
    <xf numFmtId="0" fontId="5" fillId="0" borderId="0"/>
    <xf numFmtId="0" fontId="22" fillId="0" borderId="0"/>
    <xf numFmtId="0" fontId="32" fillId="0" borderId="0">
      <alignment vertical="center"/>
    </xf>
    <xf numFmtId="0" fontId="5" fillId="0" borderId="0">
      <alignment vertical="center"/>
    </xf>
    <xf numFmtId="0" fontId="28" fillId="0" borderId="0"/>
    <xf numFmtId="0" fontId="12" fillId="0" borderId="0">
      <alignment vertical="center"/>
    </xf>
    <xf numFmtId="0" fontId="12" fillId="0" borderId="0">
      <alignment vertical="center"/>
    </xf>
    <xf numFmtId="0" fontId="31" fillId="0" borderId="0">
      <alignment vertical="center"/>
    </xf>
    <xf numFmtId="0" fontId="5" fillId="0" borderId="0">
      <alignment vertical="center"/>
    </xf>
    <xf numFmtId="0" fontId="21" fillId="0" borderId="0">
      <alignment vertical="center"/>
    </xf>
    <xf numFmtId="0" fontId="5" fillId="0" borderId="0"/>
    <xf numFmtId="0" fontId="21" fillId="0" borderId="0">
      <alignment vertical="center"/>
    </xf>
    <xf numFmtId="0" fontId="21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15" fillId="0" borderId="0">
      <alignment vertical="center"/>
    </xf>
    <xf numFmtId="0" fontId="29" fillId="0" borderId="0"/>
    <xf numFmtId="0" fontId="15" fillId="0" borderId="0">
      <alignment vertical="center"/>
    </xf>
    <xf numFmtId="0" fontId="47" fillId="0" borderId="0">
      <alignment vertical="center"/>
    </xf>
    <xf numFmtId="0" fontId="1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0" fontId="153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/>
  </cellStyleXfs>
  <cellXfs count="683">
    <xf numFmtId="0" fontId="0" fillId="0" borderId="0" xfId="0">
      <alignment vertical="center"/>
    </xf>
    <xf numFmtId="176" fontId="7" fillId="0" borderId="4" xfId="0" applyNumberFormat="1" applyFont="1" applyBorder="1" applyAlignment="1">
      <alignment horizontal="center" vertical="center"/>
    </xf>
    <xf numFmtId="176" fontId="7" fillId="0" borderId="5" xfId="0" applyNumberFormat="1" applyFont="1" applyBorder="1" applyAlignment="1">
      <alignment horizontal="center" vertical="center"/>
    </xf>
    <xf numFmtId="176" fontId="7" fillId="0" borderId="6" xfId="0" applyNumberFormat="1" applyFont="1" applyBorder="1" applyAlignment="1">
      <alignment horizontal="center" vertical="center"/>
    </xf>
    <xf numFmtId="3" fontId="7" fillId="0" borderId="4" xfId="0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3" fontId="7" fillId="0" borderId="6" xfId="0" applyNumberFormat="1" applyFont="1" applyBorder="1" applyAlignment="1">
      <alignment horizontal="center" vertical="center"/>
    </xf>
    <xf numFmtId="3" fontId="7" fillId="0" borderId="13" xfId="0" applyNumberFormat="1" applyFont="1" applyBorder="1" applyAlignment="1">
      <alignment horizontal="center" vertical="center"/>
    </xf>
    <xf numFmtId="4" fontId="7" fillId="0" borderId="5" xfId="0" applyNumberFormat="1" applyFont="1" applyBorder="1" applyAlignment="1">
      <alignment horizontal="center" vertical="center"/>
    </xf>
    <xf numFmtId="4" fontId="7" fillId="0" borderId="6" xfId="0" applyNumberFormat="1" applyFont="1" applyBorder="1" applyAlignment="1">
      <alignment horizontal="center" vertical="center"/>
    </xf>
    <xf numFmtId="178" fontId="7" fillId="0" borderId="5" xfId="0" applyNumberFormat="1" applyFont="1" applyBorder="1" applyAlignment="1">
      <alignment horizontal="center" vertical="center"/>
    </xf>
    <xf numFmtId="183" fontId="7" fillId="0" borderId="4" xfId="0" applyNumberFormat="1" applyFont="1" applyBorder="1" applyAlignment="1">
      <alignment horizontal="center" vertical="center"/>
    </xf>
    <xf numFmtId="183" fontId="7" fillId="0" borderId="5" xfId="0" applyNumberFormat="1" applyFont="1" applyBorder="1" applyAlignment="1">
      <alignment horizontal="center" vertical="center"/>
    </xf>
    <xf numFmtId="0" fontId="9" fillId="0" borderId="0" xfId="0" applyFont="1">
      <alignment vertical="center"/>
    </xf>
    <xf numFmtId="0" fontId="18" fillId="0" borderId="0" xfId="0" applyFont="1">
      <alignment vertical="center"/>
    </xf>
    <xf numFmtId="3" fontId="18" fillId="0" borderId="0" xfId="0" applyNumberFormat="1" applyFont="1">
      <alignment vertical="center"/>
    </xf>
    <xf numFmtId="3" fontId="9" fillId="0" borderId="0" xfId="0" applyNumberFormat="1" applyFont="1">
      <alignment vertical="center"/>
    </xf>
    <xf numFmtId="0" fontId="150" fillId="0" borderId="0" xfId="0" applyFont="1">
      <alignment vertical="center"/>
    </xf>
    <xf numFmtId="0" fontId="9" fillId="0" borderId="3" xfId="0" applyFont="1" applyBorder="1">
      <alignment vertical="center"/>
    </xf>
    <xf numFmtId="3" fontId="9" fillId="0" borderId="0" xfId="0" applyNumberFormat="1" applyFont="1" applyAlignment="1">
      <alignment horizontal="right" vertical="center"/>
    </xf>
    <xf numFmtId="0" fontId="7" fillId="0" borderId="5" xfId="0" applyFont="1" applyBorder="1" applyAlignment="1">
      <alignment horizontal="center" vertical="center"/>
    </xf>
    <xf numFmtId="3" fontId="151" fillId="0" borderId="0" xfId="0" applyNumberFormat="1" applyFont="1">
      <alignment vertical="center"/>
    </xf>
    <xf numFmtId="3" fontId="9" fillId="0" borderId="3" xfId="0" applyNumberFormat="1" applyFont="1" applyBorder="1">
      <alignment vertical="center"/>
    </xf>
    <xf numFmtId="179" fontId="9" fillId="0" borderId="3" xfId="0" applyNumberFormat="1" applyFont="1" applyBorder="1">
      <alignment vertical="center"/>
    </xf>
    <xf numFmtId="0" fontId="9" fillId="0" borderId="9" xfId="0" applyFont="1" applyBorder="1">
      <alignment vertical="center"/>
    </xf>
    <xf numFmtId="3" fontId="9" fillId="0" borderId="9" xfId="0" applyNumberFormat="1" applyFont="1" applyBorder="1">
      <alignment vertical="center"/>
    </xf>
    <xf numFmtId="177" fontId="9" fillId="0" borderId="12" xfId="1" applyNumberFormat="1" applyFont="1" applyFill="1" applyBorder="1">
      <alignment vertical="center"/>
    </xf>
    <xf numFmtId="0" fontId="9" fillId="0" borderId="0" xfId="0" applyFont="1" applyAlignment="1">
      <alignment horizontal="center" vertical="center"/>
    </xf>
    <xf numFmtId="3" fontId="9" fillId="0" borderId="11" xfId="0" applyNumberFormat="1" applyFont="1" applyBorder="1">
      <alignment vertical="center"/>
    </xf>
    <xf numFmtId="177" fontId="9" fillId="0" borderId="8" xfId="1" applyNumberFormat="1" applyFont="1" applyFill="1" applyBorder="1">
      <alignment vertical="center"/>
    </xf>
    <xf numFmtId="177" fontId="9" fillId="0" borderId="10" xfId="1" applyNumberFormat="1" applyFont="1" applyFill="1" applyBorder="1">
      <alignment vertical="center"/>
    </xf>
    <xf numFmtId="0" fontId="9" fillId="0" borderId="5" xfId="0" applyFont="1" applyBorder="1">
      <alignment vertical="center"/>
    </xf>
    <xf numFmtId="3" fontId="9" fillId="0" borderId="5" xfId="0" applyNumberFormat="1" applyFont="1" applyBorder="1">
      <alignment vertical="center"/>
    </xf>
    <xf numFmtId="178" fontId="9" fillId="0" borderId="0" xfId="0" applyNumberFormat="1" applyFont="1">
      <alignment vertical="center"/>
    </xf>
    <xf numFmtId="0" fontId="9" fillId="87" borderId="3" xfId="0" applyFont="1" applyFill="1" applyBorder="1">
      <alignment vertical="center"/>
    </xf>
    <xf numFmtId="176" fontId="7" fillId="2" borderId="3" xfId="3" applyNumberFormat="1" applyFont="1" applyFill="1" applyBorder="1" applyAlignment="1">
      <alignment horizontal="center" vertical="center"/>
    </xf>
    <xf numFmtId="176" fontId="10" fillId="2" borderId="3" xfId="3" applyNumberFormat="1" applyFont="1" applyFill="1" applyBorder="1" applyAlignment="1">
      <alignment horizontal="center" vertical="center"/>
    </xf>
    <xf numFmtId="0" fontId="48" fillId="0" borderId="3" xfId="202" applyFont="1" applyBorder="1" applyAlignment="1">
      <alignment horizontal="center" vertical="center"/>
    </xf>
    <xf numFmtId="0" fontId="9" fillId="89" borderId="3" xfId="0" applyFont="1" applyFill="1" applyBorder="1">
      <alignment vertical="center"/>
    </xf>
    <xf numFmtId="0" fontId="9" fillId="89" borderId="0" xfId="0" applyFont="1" applyFill="1">
      <alignment vertical="center"/>
    </xf>
    <xf numFmtId="176" fontId="11" fillId="3" borderId="3" xfId="3" applyNumberFormat="1" applyFont="1" applyFill="1" applyBorder="1" applyAlignment="1">
      <alignment horizontal="center" vertical="center"/>
    </xf>
    <xf numFmtId="0" fontId="9" fillId="0" borderId="3" xfId="0" quotePrefix="1" applyFont="1" applyBorder="1">
      <alignment vertical="center"/>
    </xf>
    <xf numFmtId="0" fontId="7" fillId="0" borderId="51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12" fillId="0" borderId="0" xfId="0" applyFont="1">
      <alignment vertical="center"/>
    </xf>
    <xf numFmtId="41" fontId="9" fillId="0" borderId="3" xfId="4" applyFont="1" applyBorder="1">
      <alignment vertical="center"/>
    </xf>
    <xf numFmtId="0" fontId="9" fillId="0" borderId="2" xfId="0" applyFont="1" applyBorder="1">
      <alignment vertical="center"/>
    </xf>
    <xf numFmtId="0" fontId="32" fillId="0" borderId="0" xfId="0" applyFont="1">
      <alignment vertical="center"/>
    </xf>
    <xf numFmtId="0" fontId="154" fillId="0" borderId="0" xfId="0" applyFont="1">
      <alignment vertical="center"/>
    </xf>
    <xf numFmtId="0" fontId="156" fillId="0" borderId="0" xfId="0" applyFont="1">
      <alignment vertical="center"/>
    </xf>
    <xf numFmtId="179" fontId="9" fillId="0" borderId="0" xfId="0" applyNumberFormat="1" applyFont="1">
      <alignment vertical="center"/>
    </xf>
    <xf numFmtId="0" fontId="9" fillId="87" borderId="55" xfId="0" applyFont="1" applyFill="1" applyBorder="1">
      <alignment vertical="center"/>
    </xf>
    <xf numFmtId="0" fontId="9" fillId="87" borderId="56" xfId="0" applyFont="1" applyFill="1" applyBorder="1">
      <alignment vertical="center"/>
    </xf>
    <xf numFmtId="0" fontId="9" fillId="87" borderId="59" xfId="0" applyFont="1" applyFill="1" applyBorder="1">
      <alignment vertical="center"/>
    </xf>
    <xf numFmtId="0" fontId="9" fillId="87" borderId="53" xfId="0" applyFont="1" applyFill="1" applyBorder="1">
      <alignment vertical="center"/>
    </xf>
    <xf numFmtId="0" fontId="9" fillId="87" borderId="60" xfId="0" applyFont="1" applyFill="1" applyBorder="1">
      <alignment vertical="center"/>
    </xf>
    <xf numFmtId="0" fontId="9" fillId="87" borderId="61" xfId="0" applyFont="1" applyFill="1" applyBorder="1">
      <alignment vertical="center"/>
    </xf>
    <xf numFmtId="0" fontId="9" fillId="87" borderId="62" xfId="0" applyFont="1" applyFill="1" applyBorder="1">
      <alignment vertical="center"/>
    </xf>
    <xf numFmtId="0" fontId="9" fillId="87" borderId="54" xfId="0" applyFont="1" applyFill="1" applyBorder="1">
      <alignment vertical="center"/>
    </xf>
    <xf numFmtId="41" fontId="157" fillId="0" borderId="0" xfId="1510" applyFont="1" applyFill="1" applyBorder="1" applyAlignment="1">
      <alignment horizontal="center" vertical="center"/>
    </xf>
    <xf numFmtId="41" fontId="157" fillId="0" borderId="0" xfId="1510" applyFont="1" applyFill="1" applyBorder="1">
      <alignment vertical="center"/>
    </xf>
    <xf numFmtId="41" fontId="158" fillId="0" borderId="0" xfId="1510" applyFont="1" applyFill="1" applyBorder="1">
      <alignment vertical="center"/>
    </xf>
    <xf numFmtId="176" fontId="7" fillId="2" borderId="4" xfId="3" applyNumberFormat="1" applyFont="1" applyFill="1" applyBorder="1" applyAlignment="1">
      <alignment horizontal="center" vertical="center"/>
    </xf>
    <xf numFmtId="176" fontId="7" fillId="2" borderId="5" xfId="3" applyNumberFormat="1" applyFont="1" applyFill="1" applyBorder="1" applyAlignment="1">
      <alignment horizontal="center" vertical="center"/>
    </xf>
    <xf numFmtId="176" fontId="7" fillId="2" borderId="6" xfId="3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3" fontId="9" fillId="0" borderId="3" xfId="0" applyNumberFormat="1" applyFont="1" applyBorder="1" applyAlignment="1">
      <alignment horizontal="center" vertical="center"/>
    </xf>
    <xf numFmtId="0" fontId="9" fillId="90" borderId="3" xfId="0" applyFont="1" applyFill="1" applyBorder="1" applyAlignment="1">
      <alignment horizontal="center" vertical="center"/>
    </xf>
    <xf numFmtId="0" fontId="9" fillId="90" borderId="6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92" fontId="7" fillId="0" borderId="5" xfId="0" applyNumberFormat="1" applyFont="1" applyBorder="1" applyAlignment="1">
      <alignment horizontal="center" vertical="center"/>
    </xf>
    <xf numFmtId="0" fontId="154" fillId="0" borderId="0" xfId="1515" applyFont="1" applyAlignment="1">
      <alignment horizontal="center" vertical="center"/>
    </xf>
    <xf numFmtId="183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right" vertical="center"/>
    </xf>
    <xf numFmtId="0" fontId="9" fillId="87" borderId="57" xfId="0" applyFont="1" applyFill="1" applyBorder="1" applyAlignment="1">
      <alignment horizontal="center" vertical="center"/>
    </xf>
    <xf numFmtId="0" fontId="9" fillId="87" borderId="58" xfId="0" applyFont="1" applyFill="1" applyBorder="1" applyAlignment="1">
      <alignment horizontal="center" vertical="center"/>
    </xf>
    <xf numFmtId="0" fontId="159" fillId="0" borderId="0" xfId="0" applyFont="1">
      <alignment vertical="center"/>
    </xf>
    <xf numFmtId="0" fontId="105" fillId="0" borderId="0" xfId="0" applyFont="1">
      <alignment vertical="center"/>
    </xf>
    <xf numFmtId="3" fontId="159" fillId="0" borderId="0" xfId="0" applyNumberFormat="1" applyFont="1" applyAlignment="1">
      <alignment horizontal="right" vertical="center"/>
    </xf>
    <xf numFmtId="3" fontId="159" fillId="0" borderId="0" xfId="0" applyNumberFormat="1" applyFont="1">
      <alignment vertical="center"/>
    </xf>
    <xf numFmtId="3" fontId="154" fillId="0" borderId="0" xfId="0" applyNumberFormat="1" applyFont="1">
      <alignment vertical="center"/>
    </xf>
    <xf numFmtId="3" fontId="161" fillId="0" borderId="0" xfId="0" applyNumberFormat="1" applyFont="1">
      <alignment vertical="center"/>
    </xf>
    <xf numFmtId="0" fontId="105" fillId="0" borderId="3" xfId="0" applyFont="1" applyBorder="1">
      <alignment vertical="center"/>
    </xf>
    <xf numFmtId="0" fontId="105" fillId="0" borderId="1" xfId="0" applyFont="1" applyBorder="1">
      <alignment vertical="center"/>
    </xf>
    <xf numFmtId="0" fontId="105" fillId="0" borderId="2" xfId="0" applyFont="1" applyBorder="1">
      <alignment vertical="center"/>
    </xf>
    <xf numFmtId="0" fontId="105" fillId="0" borderId="3" xfId="0" applyFont="1" applyBorder="1" applyAlignment="1">
      <alignment horizontal="center" vertical="center"/>
    </xf>
    <xf numFmtId="9" fontId="105" fillId="0" borderId="3" xfId="1" applyFont="1" applyBorder="1">
      <alignment vertical="center"/>
    </xf>
    <xf numFmtId="0" fontId="105" fillId="0" borderId="0" xfId="0" applyFont="1" applyAlignment="1">
      <alignment horizontal="center" vertical="center"/>
    </xf>
    <xf numFmtId="176" fontId="9" fillId="0" borderId="0" xfId="0" applyNumberFormat="1" applyFont="1">
      <alignment vertical="center"/>
    </xf>
    <xf numFmtId="0" fontId="105" fillId="91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96" fontId="7" fillId="0" borderId="5" xfId="0" applyNumberFormat="1" applyFont="1" applyBorder="1" applyAlignment="1">
      <alignment horizontal="center" vertical="center"/>
    </xf>
    <xf numFmtId="0" fontId="9" fillId="92" borderId="3" xfId="0" applyFont="1" applyFill="1" applyBorder="1" applyAlignment="1">
      <alignment horizontal="center" vertical="center"/>
    </xf>
    <xf numFmtId="0" fontId="9" fillId="2" borderId="3" xfId="0" applyFont="1" applyFill="1" applyBorder="1">
      <alignment vertical="center"/>
    </xf>
    <xf numFmtId="3" fontId="9" fillId="0" borderId="6" xfId="0" applyNumberFormat="1" applyFont="1" applyBorder="1">
      <alignment vertical="center"/>
    </xf>
    <xf numFmtId="0" fontId="9" fillId="0" borderId="6" xfId="0" applyFont="1" applyBorder="1">
      <alignment vertical="center"/>
    </xf>
    <xf numFmtId="176" fontId="7" fillId="0" borderId="0" xfId="3" applyNumberFormat="1" applyFont="1" applyFill="1" applyBorder="1" applyAlignment="1">
      <alignment horizontal="center" vertical="center"/>
    </xf>
    <xf numFmtId="183" fontId="7" fillId="0" borderId="0" xfId="0" applyNumberFormat="1" applyFont="1" applyAlignment="1">
      <alignment horizontal="center" vertical="center"/>
    </xf>
    <xf numFmtId="176" fontId="11" fillId="2" borderId="3" xfId="3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4" fontId="9" fillId="0" borderId="13" xfId="0" applyNumberFormat="1" applyFont="1" applyBorder="1">
      <alignment vertical="center"/>
    </xf>
    <xf numFmtId="0" fontId="163" fillId="0" borderId="0" xfId="0" applyFont="1">
      <alignment vertical="center"/>
    </xf>
    <xf numFmtId="0" fontId="105" fillId="3" borderId="3" xfId="0" applyFont="1" applyFill="1" applyBorder="1" applyAlignment="1">
      <alignment horizontal="center" vertical="center"/>
    </xf>
    <xf numFmtId="198" fontId="9" fillId="0" borderId="3" xfId="0" applyNumberFormat="1" applyFont="1" applyBorder="1">
      <alignment vertical="center"/>
    </xf>
    <xf numFmtId="0" fontId="160" fillId="0" borderId="3" xfId="0" applyFont="1" applyBorder="1" applyAlignment="1">
      <alignment horizontal="center" vertical="center"/>
    </xf>
    <xf numFmtId="0" fontId="159" fillId="93" borderId="3" xfId="0" applyFont="1" applyFill="1" applyBorder="1" applyAlignment="1">
      <alignment horizontal="center" vertical="center"/>
    </xf>
    <xf numFmtId="195" fontId="105" fillId="0" borderId="3" xfId="0" applyNumberFormat="1" applyFont="1" applyBorder="1" applyAlignment="1">
      <alignment horizontal="center" vertical="center"/>
    </xf>
    <xf numFmtId="0" fontId="105" fillId="0" borderId="4" xfId="0" applyFont="1" applyBorder="1" applyAlignment="1">
      <alignment horizontal="center" vertical="center"/>
    </xf>
    <xf numFmtId="0" fontId="105" fillId="0" borderId="5" xfId="0" applyFont="1" applyBorder="1" applyAlignment="1">
      <alignment horizontal="center" vertical="center"/>
    </xf>
    <xf numFmtId="0" fontId="105" fillId="0" borderId="6" xfId="0" applyFont="1" applyBorder="1" applyAlignment="1">
      <alignment horizontal="center" vertical="center"/>
    </xf>
    <xf numFmtId="9" fontId="152" fillId="0" borderId="3" xfId="0" applyNumberFormat="1" applyFont="1" applyBorder="1">
      <alignment vertical="center"/>
    </xf>
    <xf numFmtId="0" fontId="152" fillId="0" borderId="3" xfId="0" applyFont="1" applyBorder="1">
      <alignment vertical="center"/>
    </xf>
    <xf numFmtId="10" fontId="152" fillId="0" borderId="3" xfId="0" applyNumberFormat="1" applyFont="1" applyBorder="1">
      <alignment vertical="center"/>
    </xf>
    <xf numFmtId="0" fontId="159" fillId="0" borderId="3" xfId="0" applyFont="1" applyBorder="1">
      <alignment vertical="center"/>
    </xf>
    <xf numFmtId="10" fontId="160" fillId="0" borderId="3" xfId="0" applyNumberFormat="1" applyFont="1" applyBorder="1">
      <alignment vertical="center"/>
    </xf>
    <xf numFmtId="3" fontId="159" fillId="0" borderId="3" xfId="0" applyNumberFormat="1" applyFont="1" applyBorder="1">
      <alignment vertical="center"/>
    </xf>
    <xf numFmtId="3" fontId="162" fillId="0" borderId="3" xfId="0" applyNumberFormat="1" applyFont="1" applyBorder="1">
      <alignment vertical="center"/>
    </xf>
    <xf numFmtId="0" fontId="12" fillId="0" borderId="3" xfId="0" applyFont="1" applyBorder="1">
      <alignment vertical="center"/>
    </xf>
    <xf numFmtId="3" fontId="12" fillId="0" borderId="0" xfId="0" applyNumberFormat="1" applyFont="1">
      <alignment vertical="center"/>
    </xf>
    <xf numFmtId="0" fontId="12" fillId="0" borderId="3" xfId="0" quotePrefix="1" applyFont="1" applyBorder="1">
      <alignment vertical="center"/>
    </xf>
    <xf numFmtId="177" fontId="12" fillId="0" borderId="3" xfId="0" applyNumberFormat="1" applyFont="1" applyBorder="1">
      <alignment vertical="center"/>
    </xf>
    <xf numFmtId="0" fontId="9" fillId="93" borderId="3" xfId="0" applyFont="1" applyFill="1" applyBorder="1" applyAlignment="1">
      <alignment horizontal="center" vertical="center"/>
    </xf>
    <xf numFmtId="0" fontId="9" fillId="93" borderId="6" xfId="0" applyFont="1" applyFill="1" applyBorder="1" applyAlignment="1">
      <alignment horizontal="center" vertical="center"/>
    </xf>
    <xf numFmtId="0" fontId="9" fillId="93" borderId="3" xfId="0" applyFont="1" applyFill="1" applyBorder="1">
      <alignment vertical="center"/>
    </xf>
    <xf numFmtId="192" fontId="9" fillId="0" borderId="3" xfId="0" applyNumberFormat="1" applyFont="1" applyBorder="1">
      <alignment vertical="center"/>
    </xf>
    <xf numFmtId="199" fontId="9" fillId="0" borderId="0" xfId="0" applyNumberFormat="1" applyFont="1">
      <alignment vertical="center"/>
    </xf>
    <xf numFmtId="199" fontId="7" fillId="0" borderId="5" xfId="0" applyNumberFormat="1" applyFont="1" applyBorder="1" applyAlignment="1">
      <alignment horizontal="center" vertical="center"/>
    </xf>
    <xf numFmtId="200" fontId="9" fillId="0" borderId="0" xfId="0" applyNumberFormat="1" applyFont="1">
      <alignment vertical="center"/>
    </xf>
    <xf numFmtId="200" fontId="7" fillId="0" borderId="5" xfId="0" applyNumberFormat="1" applyFont="1" applyBorder="1" applyAlignment="1">
      <alignment horizontal="center" vertical="center"/>
    </xf>
    <xf numFmtId="2" fontId="9" fillId="0" borderId="0" xfId="0" applyNumberFormat="1" applyFont="1">
      <alignment vertical="center"/>
    </xf>
    <xf numFmtId="2" fontId="7" fillId="0" borderId="5" xfId="0" applyNumberFormat="1" applyFont="1" applyBorder="1" applyAlignment="1">
      <alignment horizontal="center" vertical="center"/>
    </xf>
    <xf numFmtId="179" fontId="11" fillId="3" borderId="3" xfId="3" applyNumberFormat="1" applyFont="1" applyFill="1" applyBorder="1" applyAlignment="1">
      <alignment horizontal="center" vertical="center"/>
    </xf>
    <xf numFmtId="179" fontId="7" fillId="0" borderId="5" xfId="0" applyNumberFormat="1" applyFont="1" applyBorder="1" applyAlignment="1">
      <alignment horizontal="center" vertical="center"/>
    </xf>
    <xf numFmtId="1" fontId="9" fillId="0" borderId="0" xfId="0" applyNumberFormat="1" applyFont="1">
      <alignment vertical="center"/>
    </xf>
    <xf numFmtId="2" fontId="7" fillId="2" borderId="3" xfId="3" applyNumberFormat="1" applyFont="1" applyFill="1" applyBorder="1" applyAlignment="1">
      <alignment horizontal="center" vertical="center"/>
    </xf>
    <xf numFmtId="200" fontId="7" fillId="2" borderId="3" xfId="3" applyNumberFormat="1" applyFont="1" applyFill="1" applyBorder="1" applyAlignment="1">
      <alignment horizontal="center" vertical="center"/>
    </xf>
    <xf numFmtId="201" fontId="9" fillId="0" borderId="0" xfId="0" applyNumberFormat="1" applyFont="1">
      <alignment vertical="center"/>
    </xf>
    <xf numFmtId="197" fontId="7" fillId="0" borderId="13" xfId="0" applyNumberFormat="1" applyFont="1" applyBorder="1" applyAlignment="1">
      <alignment horizontal="center" vertical="center"/>
    </xf>
    <xf numFmtId="200" fontId="9" fillId="0" borderId="3" xfId="0" applyNumberFormat="1" applyFont="1" applyBorder="1">
      <alignment vertical="center"/>
    </xf>
    <xf numFmtId="194" fontId="164" fillId="0" borderId="0" xfId="1510" applyNumberFormat="1" applyFont="1" applyFill="1" applyBorder="1" applyAlignment="1">
      <alignment horizontal="right" vertical="center"/>
    </xf>
    <xf numFmtId="0" fontId="165" fillId="0" borderId="0" xfId="0" applyFont="1">
      <alignment vertical="center"/>
    </xf>
    <xf numFmtId="0" fontId="105" fillId="0" borderId="3" xfId="1" applyNumberFormat="1" applyFont="1" applyBorder="1">
      <alignment vertical="center"/>
    </xf>
    <xf numFmtId="0" fontId="105" fillId="3" borderId="24" xfId="0" applyFont="1" applyFill="1" applyBorder="1">
      <alignment vertical="center"/>
    </xf>
    <xf numFmtId="0" fontId="105" fillId="3" borderId="63" xfId="0" applyFont="1" applyFill="1" applyBorder="1">
      <alignment vertical="center"/>
    </xf>
    <xf numFmtId="0" fontId="166" fillId="3" borderId="64" xfId="0" applyFont="1" applyFill="1" applyBorder="1">
      <alignment vertical="center"/>
    </xf>
    <xf numFmtId="9" fontId="152" fillId="0" borderId="3" xfId="1" applyFont="1" applyFill="1" applyBorder="1">
      <alignment vertical="center"/>
    </xf>
    <xf numFmtId="49" fontId="7" fillId="2" borderId="3" xfId="3" applyNumberFormat="1" applyFont="1" applyFill="1" applyBorder="1" applyAlignment="1">
      <alignment horizontal="center" vertical="center"/>
    </xf>
    <xf numFmtId="0" fontId="7" fillId="2" borderId="3" xfId="3" applyNumberFormat="1" applyFont="1" applyFill="1" applyBorder="1" applyAlignment="1">
      <alignment horizontal="center" vertical="center"/>
    </xf>
    <xf numFmtId="0" fontId="9" fillId="92" borderId="3" xfId="0" applyFont="1" applyFill="1" applyBorder="1">
      <alignment vertical="center"/>
    </xf>
    <xf numFmtId="200" fontId="9" fillId="0" borderId="0" xfId="0" applyNumberFormat="1" applyFont="1" applyAlignment="1">
      <alignment horizontal="center" vertical="center"/>
    </xf>
    <xf numFmtId="199" fontId="9" fillId="0" borderId="0" xfId="0" applyNumberFormat="1" applyFont="1" applyAlignment="1">
      <alignment horizontal="center" vertical="center"/>
    </xf>
    <xf numFmtId="199" fontId="7" fillId="2" borderId="3" xfId="3" applyNumberFormat="1" applyFont="1" applyFill="1" applyBorder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97" fontId="9" fillId="0" borderId="5" xfId="0" applyNumberFormat="1" applyFont="1" applyBorder="1" applyAlignment="1">
      <alignment horizontal="center" vertical="center"/>
    </xf>
    <xf numFmtId="2" fontId="7" fillId="0" borderId="13" xfId="0" applyNumberFormat="1" applyFont="1" applyBorder="1" applyAlignment="1">
      <alignment horizontal="center" vertical="center"/>
    </xf>
    <xf numFmtId="0" fontId="155" fillId="88" borderId="66" xfId="0" applyFont="1" applyFill="1" applyBorder="1" applyAlignment="1">
      <alignment horizontal="center" vertical="center"/>
    </xf>
    <xf numFmtId="0" fontId="155" fillId="88" borderId="68" xfId="0" applyFont="1" applyFill="1" applyBorder="1" applyAlignment="1">
      <alignment horizontal="center" vertical="center"/>
    </xf>
    <xf numFmtId="41" fontId="105" fillId="0" borderId="3" xfId="4" applyFont="1" applyBorder="1">
      <alignment vertical="center"/>
    </xf>
    <xf numFmtId="0" fontId="105" fillId="0" borderId="72" xfId="0" applyFont="1" applyBorder="1" applyAlignment="1">
      <alignment horizontal="center" vertical="center"/>
    </xf>
    <xf numFmtId="0" fontId="105" fillId="0" borderId="73" xfId="0" applyFont="1" applyBorder="1" applyAlignment="1">
      <alignment horizontal="center" vertical="center"/>
    </xf>
    <xf numFmtId="0" fontId="105" fillId="0" borderId="76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159" fillId="0" borderId="6" xfId="0" applyFont="1" applyBorder="1">
      <alignment vertical="center"/>
    </xf>
    <xf numFmtId="41" fontId="0" fillId="0" borderId="3" xfId="4" applyFont="1" applyBorder="1">
      <alignment vertical="center"/>
    </xf>
    <xf numFmtId="0" fontId="160" fillId="0" borderId="0" xfId="0" applyFont="1" applyAlignment="1">
      <alignment horizontal="center" vertical="center"/>
    </xf>
    <xf numFmtId="0" fontId="105" fillId="93" borderId="3" xfId="0" applyFont="1" applyFill="1" applyBorder="1" applyAlignment="1">
      <alignment horizontal="center" vertical="center"/>
    </xf>
    <xf numFmtId="9" fontId="105" fillId="0" borderId="0" xfId="1" applyFont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>
      <alignment vertical="center"/>
    </xf>
    <xf numFmtId="0" fontId="105" fillId="0" borderId="0" xfId="1" applyNumberFormat="1" applyFont="1" applyBorder="1">
      <alignment vertical="center"/>
    </xf>
    <xf numFmtId="10" fontId="152" fillId="0" borderId="0" xfId="0" applyNumberFormat="1" applyFont="1">
      <alignment vertical="center"/>
    </xf>
    <xf numFmtId="177" fontId="152" fillId="0" borderId="3" xfId="0" applyNumberFormat="1" applyFont="1" applyBorder="1">
      <alignment vertical="center"/>
    </xf>
    <xf numFmtId="41" fontId="159" fillId="0" borderId="3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192" fontId="7" fillId="2" borderId="3" xfId="3" applyNumberFormat="1" applyFont="1" applyFill="1" applyBorder="1" applyAlignment="1">
      <alignment horizontal="center" vertical="center"/>
    </xf>
    <xf numFmtId="183" fontId="159" fillId="0" borderId="3" xfId="0" applyNumberFormat="1" applyFont="1" applyBorder="1">
      <alignment vertical="center"/>
    </xf>
    <xf numFmtId="0" fontId="105" fillId="0" borderId="51" xfId="0" applyFont="1" applyBorder="1">
      <alignment vertical="center"/>
    </xf>
    <xf numFmtId="0" fontId="105" fillId="0" borderId="52" xfId="0" applyFont="1" applyBorder="1">
      <alignment vertical="center"/>
    </xf>
    <xf numFmtId="0" fontId="105" fillId="0" borderId="74" xfId="0" applyFont="1" applyBorder="1">
      <alignment vertical="center"/>
    </xf>
    <xf numFmtId="0" fontId="105" fillId="0" borderId="54" xfId="0" applyFont="1" applyBorder="1">
      <alignment vertical="center"/>
    </xf>
    <xf numFmtId="41" fontId="105" fillId="0" borderId="0" xfId="0" applyNumberFormat="1" applyFont="1">
      <alignment vertical="center"/>
    </xf>
    <xf numFmtId="0" fontId="48" fillId="0" borderId="0" xfId="202" applyFont="1" applyAlignment="1">
      <alignment horizontal="center" vertical="center"/>
    </xf>
    <xf numFmtId="195" fontId="105" fillId="0" borderId="0" xfId="0" applyNumberFormat="1" applyFont="1" applyAlignment="1">
      <alignment horizontal="center" vertical="center"/>
    </xf>
    <xf numFmtId="41" fontId="105" fillId="0" borderId="3" xfId="0" applyNumberFormat="1" applyFont="1" applyBorder="1" applyAlignment="1">
      <alignment horizontal="center" vertical="center"/>
    </xf>
    <xf numFmtId="41" fontId="105" fillId="0" borderId="72" xfId="0" applyNumberFormat="1" applyFont="1" applyBorder="1" applyAlignment="1">
      <alignment horizontal="center" vertical="center"/>
    </xf>
    <xf numFmtId="198" fontId="105" fillId="0" borderId="75" xfId="0" applyNumberFormat="1" applyFont="1" applyBorder="1">
      <alignment vertical="center"/>
    </xf>
    <xf numFmtId="41" fontId="105" fillId="0" borderId="76" xfId="0" applyNumberFormat="1" applyFont="1" applyBorder="1" applyAlignment="1">
      <alignment horizontal="center" vertical="center"/>
    </xf>
    <xf numFmtId="198" fontId="105" fillId="0" borderId="77" xfId="0" applyNumberFormat="1" applyFont="1" applyBorder="1">
      <alignment vertical="center"/>
    </xf>
    <xf numFmtId="41" fontId="105" fillId="94" borderId="3" xfId="4" applyFont="1" applyFill="1" applyBorder="1">
      <alignment vertical="center"/>
    </xf>
    <xf numFmtId="177" fontId="105" fillId="0" borderId="3" xfId="1" applyNumberFormat="1" applyFont="1" applyBorder="1" applyAlignment="1">
      <alignment horizontal="center" vertical="center"/>
    </xf>
    <xf numFmtId="10" fontId="9" fillId="89" borderId="3" xfId="1" applyNumberFormat="1" applyFont="1" applyFill="1" applyBorder="1">
      <alignment vertical="center"/>
    </xf>
    <xf numFmtId="41" fontId="9" fillId="89" borderId="3" xfId="0" applyNumberFormat="1" applyFont="1" applyFill="1" applyBorder="1">
      <alignment vertical="center"/>
    </xf>
    <xf numFmtId="202" fontId="105" fillId="0" borderId="3" xfId="0" applyNumberFormat="1" applyFont="1" applyBorder="1">
      <alignment vertical="center"/>
    </xf>
    <xf numFmtId="202" fontId="105" fillId="0" borderId="76" xfId="0" applyNumberFormat="1" applyFont="1" applyBorder="1">
      <alignment vertical="center"/>
    </xf>
    <xf numFmtId="0" fontId="0" fillId="0" borderId="6" xfId="0" applyBorder="1" applyAlignment="1">
      <alignment horizontal="center" vertical="center"/>
    </xf>
    <xf numFmtId="41" fontId="0" fillId="0" borderId="0" xfId="4" applyFont="1">
      <alignment vertical="center"/>
    </xf>
    <xf numFmtId="41" fontId="169" fillId="0" borderId="3" xfId="4" applyFont="1" applyBorder="1" applyAlignment="1">
      <alignment horizontal="center" vertical="center"/>
    </xf>
    <xf numFmtId="0" fontId="170" fillId="0" borderId="0" xfId="0" applyFont="1">
      <alignment vertical="center"/>
    </xf>
    <xf numFmtId="0" fontId="170" fillId="0" borderId="0" xfId="0" applyFont="1" applyAlignment="1">
      <alignment horizontal="left" vertical="center"/>
    </xf>
    <xf numFmtId="198" fontId="150" fillId="0" borderId="3" xfId="0" applyNumberFormat="1" applyFont="1" applyBorder="1">
      <alignment vertical="center"/>
    </xf>
    <xf numFmtId="0" fontId="12" fillId="0" borderId="5" xfId="0" applyFont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2" fillId="0" borderId="6" xfId="0" applyFont="1" applyBorder="1">
      <alignment vertical="center"/>
    </xf>
    <xf numFmtId="0" fontId="9" fillId="0" borderId="4" xfId="0" applyFont="1" applyBorder="1">
      <alignment vertical="center"/>
    </xf>
    <xf numFmtId="0" fontId="0" fillId="0" borderId="5" xfId="0" applyBorder="1" applyAlignment="1">
      <alignment horizontal="center" vertical="center"/>
    </xf>
    <xf numFmtId="197" fontId="7" fillId="0" borderId="5" xfId="0" applyNumberFormat="1" applyFont="1" applyBorder="1" applyAlignment="1">
      <alignment horizontal="center" vertical="center"/>
    </xf>
    <xf numFmtId="181" fontId="7" fillId="0" borderId="5" xfId="0" applyNumberFormat="1" applyFont="1" applyBorder="1" applyAlignment="1">
      <alignment horizontal="center" vertical="center"/>
    </xf>
    <xf numFmtId="0" fontId="168" fillId="0" borderId="6" xfId="0" applyFont="1" applyBorder="1">
      <alignment vertical="center"/>
    </xf>
    <xf numFmtId="0" fontId="168" fillId="0" borderId="6" xfId="0" applyFont="1" applyBorder="1" applyAlignment="1">
      <alignment horizontal="center" vertical="center"/>
    </xf>
    <xf numFmtId="198" fontId="150" fillId="0" borderId="2" xfId="0" applyNumberFormat="1" applyFont="1" applyBorder="1">
      <alignment vertical="center"/>
    </xf>
    <xf numFmtId="203" fontId="9" fillId="0" borderId="0" xfId="0" applyNumberFormat="1" applyFont="1">
      <alignment vertical="center"/>
    </xf>
    <xf numFmtId="179" fontId="105" fillId="0" borderId="3" xfId="0" applyNumberFormat="1" applyFont="1" applyBorder="1" applyAlignment="1">
      <alignment horizontal="center" vertical="center"/>
    </xf>
    <xf numFmtId="0" fontId="0" fillId="0" borderId="3" xfId="0" applyBorder="1" applyAlignment="1">
      <alignment vertical="center" wrapText="1"/>
    </xf>
    <xf numFmtId="0" fontId="0" fillId="0" borderId="3" xfId="0" quotePrefix="1" applyBorder="1">
      <alignment vertical="center"/>
    </xf>
    <xf numFmtId="0" fontId="0" fillId="0" borderId="3" xfId="0" quotePrefix="1" applyBorder="1" applyAlignment="1">
      <alignment vertical="center" wrapText="1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52" xfId="0" applyBorder="1">
      <alignment vertical="center"/>
    </xf>
    <xf numFmtId="0" fontId="0" fillId="0" borderId="54" xfId="0" applyBorder="1">
      <alignment vertical="center"/>
    </xf>
    <xf numFmtId="0" fontId="105" fillId="0" borderId="5" xfId="0" applyFont="1" applyBorder="1">
      <alignment vertical="center"/>
    </xf>
    <xf numFmtId="9" fontId="105" fillId="0" borderId="0" xfId="0" quotePrefix="1" applyNumberFormat="1" applyFont="1">
      <alignment vertical="center"/>
    </xf>
    <xf numFmtId="9" fontId="105" fillId="0" borderId="3" xfId="0" quotePrefix="1" applyNumberFormat="1" applyFont="1" applyBorder="1">
      <alignment vertical="center"/>
    </xf>
    <xf numFmtId="41" fontId="12" fillId="0" borderId="3" xfId="4" applyFont="1" applyBorder="1">
      <alignment vertical="center"/>
    </xf>
    <xf numFmtId="205" fontId="9" fillId="0" borderId="3" xfId="4" applyNumberFormat="1" applyFont="1" applyBorder="1">
      <alignment vertical="center"/>
    </xf>
    <xf numFmtId="205" fontId="9" fillId="0" borderId="0" xfId="4" applyNumberFormat="1" applyFont="1">
      <alignment vertical="center"/>
    </xf>
    <xf numFmtId="207" fontId="9" fillId="0" borderId="3" xfId="4" applyNumberFormat="1" applyFont="1" applyBorder="1">
      <alignment vertical="center"/>
    </xf>
    <xf numFmtId="176" fontId="7" fillId="3" borderId="5" xfId="0" applyNumberFormat="1" applyFont="1" applyFill="1" applyBorder="1" applyAlignment="1">
      <alignment horizontal="center" vertical="center"/>
    </xf>
    <xf numFmtId="4" fontId="7" fillId="3" borderId="5" xfId="0" applyNumberFormat="1" applyFont="1" applyFill="1" applyBorder="1" applyAlignment="1">
      <alignment horizontal="center" vertical="center"/>
    </xf>
    <xf numFmtId="178" fontId="7" fillId="3" borderId="5" xfId="0" applyNumberFormat="1" applyFont="1" applyFill="1" applyBorder="1" applyAlignment="1">
      <alignment horizontal="center" vertical="center"/>
    </xf>
    <xf numFmtId="181" fontId="7" fillId="3" borderId="5" xfId="0" applyNumberFormat="1" applyFont="1" applyFill="1" applyBorder="1" applyAlignment="1">
      <alignment horizontal="center" vertical="center"/>
    </xf>
    <xf numFmtId="196" fontId="7" fillId="3" borderId="5" xfId="0" applyNumberFormat="1" applyFont="1" applyFill="1" applyBorder="1" applyAlignment="1">
      <alignment horizontal="center" vertical="center"/>
    </xf>
    <xf numFmtId="3" fontId="7" fillId="3" borderId="5" xfId="0" applyNumberFormat="1" applyFont="1" applyFill="1" applyBorder="1" applyAlignment="1">
      <alignment horizontal="center" vertical="center"/>
    </xf>
    <xf numFmtId="192" fontId="7" fillId="3" borderId="5" xfId="0" applyNumberFormat="1" applyFont="1" applyFill="1" applyBorder="1" applyAlignment="1">
      <alignment horizontal="center" vertical="center"/>
    </xf>
    <xf numFmtId="197" fontId="7" fillId="3" borderId="5" xfId="0" applyNumberFormat="1" applyFont="1" applyFill="1" applyBorder="1" applyAlignment="1">
      <alignment horizontal="center" vertical="center"/>
    </xf>
    <xf numFmtId="3" fontId="9" fillId="3" borderId="5" xfId="0" applyNumberFormat="1" applyFont="1" applyFill="1" applyBorder="1">
      <alignment vertical="center"/>
    </xf>
    <xf numFmtId="0" fontId="9" fillId="3" borderId="5" xfId="0" applyFont="1" applyFill="1" applyBorder="1">
      <alignment vertical="center"/>
    </xf>
    <xf numFmtId="206" fontId="9" fillId="0" borderId="0" xfId="4" applyNumberFormat="1" applyFont="1">
      <alignment vertical="center"/>
    </xf>
    <xf numFmtId="193" fontId="9" fillId="0" borderId="0" xfId="0" applyNumberFormat="1" applyFont="1">
      <alignment vertical="center"/>
    </xf>
    <xf numFmtId="41" fontId="105" fillId="0" borderId="3" xfId="4" applyFont="1" applyBorder="1" applyAlignment="1">
      <alignment horizontal="center" vertical="center"/>
    </xf>
    <xf numFmtId="208" fontId="9" fillId="0" borderId="3" xfId="4" applyNumberFormat="1" applyFont="1" applyBorder="1">
      <alignment vertical="center"/>
    </xf>
    <xf numFmtId="10" fontId="12" fillId="0" borderId="3" xfId="0" applyNumberFormat="1" applyFont="1" applyBorder="1">
      <alignment vertical="center"/>
    </xf>
    <xf numFmtId="198" fontId="9" fillId="0" borderId="0" xfId="0" applyNumberFormat="1" applyFont="1">
      <alignment vertical="center"/>
    </xf>
    <xf numFmtId="176" fontId="174" fillId="96" borderId="4" xfId="3" applyNumberFormat="1" applyFont="1" applyFill="1" applyBorder="1" applyAlignment="1">
      <alignment horizontal="center" vertical="center"/>
    </xf>
    <xf numFmtId="0" fontId="174" fillId="96" borderId="79" xfId="0" applyFont="1" applyFill="1" applyBorder="1" applyAlignment="1">
      <alignment horizontal="center" vertical="center"/>
    </xf>
    <xf numFmtId="210" fontId="0" fillId="0" borderId="0" xfId="0" applyNumberFormat="1">
      <alignment vertical="center"/>
    </xf>
    <xf numFmtId="0" fontId="12" fillId="3" borderId="3" xfId="0" applyFont="1" applyFill="1" applyBorder="1">
      <alignment vertical="center"/>
    </xf>
    <xf numFmtId="211" fontId="9" fillId="0" borderId="3" xfId="4" applyNumberFormat="1" applyFont="1" applyBorder="1">
      <alignment vertical="center"/>
    </xf>
    <xf numFmtId="211" fontId="150" fillId="0" borderId="3" xfId="4" applyNumberFormat="1" applyFont="1" applyBorder="1">
      <alignment vertical="center"/>
    </xf>
    <xf numFmtId="212" fontId="150" fillId="0" borderId="3" xfId="4" applyNumberFormat="1" applyFont="1" applyBorder="1">
      <alignment vertical="center"/>
    </xf>
    <xf numFmtId="213" fontId="9" fillId="0" borderId="3" xfId="4" applyNumberFormat="1" applyFont="1" applyBorder="1">
      <alignment vertical="center"/>
    </xf>
    <xf numFmtId="206" fontId="18" fillId="97" borderId="3" xfId="4" applyNumberFormat="1" applyFont="1" applyFill="1" applyBorder="1">
      <alignment vertical="center"/>
    </xf>
    <xf numFmtId="208" fontId="18" fillId="0" borderId="3" xfId="4" applyNumberFormat="1" applyFont="1" applyBorder="1">
      <alignment vertical="center"/>
    </xf>
    <xf numFmtId="198" fontId="7" fillId="0" borderId="5" xfId="0" applyNumberFormat="1" applyFont="1" applyBorder="1" applyAlignment="1">
      <alignment horizontal="center" vertical="center"/>
    </xf>
    <xf numFmtId="205" fontId="105" fillId="0" borderId="3" xfId="4" applyNumberFormat="1" applyFont="1" applyBorder="1" applyAlignment="1">
      <alignment horizontal="center" vertical="center"/>
    </xf>
    <xf numFmtId="178" fontId="9" fillId="0" borderId="5" xfId="0" applyNumberFormat="1" applyFont="1" applyBorder="1">
      <alignment vertical="center"/>
    </xf>
    <xf numFmtId="178" fontId="9" fillId="3" borderId="5" xfId="0" applyNumberFormat="1" applyFont="1" applyFill="1" applyBorder="1">
      <alignment vertical="center"/>
    </xf>
    <xf numFmtId="212" fontId="12" fillId="0" borderId="3" xfId="4" applyNumberFormat="1" applyFont="1" applyBorder="1">
      <alignment vertical="center"/>
    </xf>
    <xf numFmtId="214" fontId="9" fillId="0" borderId="5" xfId="0" applyNumberFormat="1" applyFont="1" applyBorder="1">
      <alignment vertical="center"/>
    </xf>
    <xf numFmtId="0" fontId="9" fillId="98" borderId="3" xfId="0" applyFont="1" applyFill="1" applyBorder="1" applyAlignment="1">
      <alignment horizontal="center" vertical="center"/>
    </xf>
    <xf numFmtId="41" fontId="159" fillId="0" borderId="3" xfId="4" applyFont="1" applyBorder="1">
      <alignment vertical="center"/>
    </xf>
    <xf numFmtId="209" fontId="9" fillId="0" borderId="0" xfId="0" applyNumberFormat="1" applyFont="1">
      <alignment vertical="center"/>
    </xf>
    <xf numFmtId="210" fontId="0" fillId="98" borderId="0" xfId="0" applyNumberFormat="1" applyFill="1">
      <alignment vertical="center"/>
    </xf>
    <xf numFmtId="210" fontId="32" fillId="0" borderId="0" xfId="0" applyNumberFormat="1" applyFont="1">
      <alignment vertical="center"/>
    </xf>
    <xf numFmtId="180" fontId="7" fillId="0" borderId="5" xfId="0" applyNumberFormat="1" applyFont="1" applyBorder="1" applyAlignment="1">
      <alignment horizontal="center" vertical="center"/>
    </xf>
    <xf numFmtId="41" fontId="164" fillId="0" borderId="0" xfId="1510" applyFont="1" applyFill="1" applyBorder="1" applyAlignment="1">
      <alignment horizontal="right" vertical="center"/>
    </xf>
    <xf numFmtId="0" fontId="18" fillId="0" borderId="0" xfId="0" applyFont="1" applyAlignment="1">
      <alignment horizontal="right" vertical="center"/>
    </xf>
    <xf numFmtId="211" fontId="18" fillId="0" borderId="0" xfId="4" applyNumberFormat="1" applyFont="1" applyFill="1" applyBorder="1" applyAlignment="1">
      <alignment horizontal="right" vertical="center"/>
    </xf>
    <xf numFmtId="41" fontId="9" fillId="0" borderId="0" xfId="4" applyFont="1" applyFill="1" applyBorder="1">
      <alignment vertical="center"/>
    </xf>
    <xf numFmtId="210" fontId="0" fillId="0" borderId="5" xfId="0" applyNumberFormat="1" applyBorder="1">
      <alignment vertical="center"/>
    </xf>
    <xf numFmtId="210" fontId="0" fillId="0" borderId="67" xfId="0" applyNumberFormat="1" applyBorder="1">
      <alignment vertical="center"/>
    </xf>
    <xf numFmtId="210" fontId="0" fillId="98" borderId="5" xfId="0" applyNumberFormat="1" applyFill="1" applyBorder="1">
      <alignment vertical="center"/>
    </xf>
    <xf numFmtId="210" fontId="0" fillId="98" borderId="67" xfId="0" applyNumberFormat="1" applyFill="1" applyBorder="1">
      <alignment vertical="center"/>
    </xf>
    <xf numFmtId="0" fontId="0" fillId="0" borderId="69" xfId="0" applyBorder="1">
      <alignment vertical="center"/>
    </xf>
    <xf numFmtId="204" fontId="0" fillId="0" borderId="69" xfId="0" applyNumberFormat="1" applyBorder="1">
      <alignment vertical="center"/>
    </xf>
    <xf numFmtId="210" fontId="0" fillId="0" borderId="69" xfId="0" applyNumberFormat="1" applyBorder="1">
      <alignment vertical="center"/>
    </xf>
    <xf numFmtId="0" fontId="32" fillId="0" borderId="69" xfId="0" applyFont="1" applyBorder="1" applyAlignment="1">
      <alignment horizontal="right" vertical="center"/>
    </xf>
    <xf numFmtId="0" fontId="32" fillId="0" borderId="70" xfId="0" applyFont="1" applyBorder="1" applyAlignment="1">
      <alignment horizontal="right" vertical="center"/>
    </xf>
    <xf numFmtId="176" fontId="174" fillId="96" borderId="78" xfId="3" applyNumberFormat="1" applyFont="1" applyFill="1" applyBorder="1" applyAlignment="1">
      <alignment horizontal="center" vertical="center"/>
    </xf>
    <xf numFmtId="0" fontId="32" fillId="3" borderId="0" xfId="0" applyFont="1" applyFill="1">
      <alignment vertical="center"/>
    </xf>
    <xf numFmtId="41" fontId="173" fillId="96" borderId="65" xfId="4" applyFont="1" applyFill="1" applyBorder="1" applyAlignment="1">
      <alignment horizontal="right" vertical="center"/>
    </xf>
    <xf numFmtId="41" fontId="173" fillId="96" borderId="66" xfId="4" applyFont="1" applyFill="1" applyBorder="1" applyAlignment="1">
      <alignment horizontal="right" vertical="center"/>
    </xf>
    <xf numFmtId="41" fontId="0" fillId="0" borderId="66" xfId="4" applyFont="1" applyBorder="1" applyAlignment="1">
      <alignment horizontal="right" vertical="center"/>
    </xf>
    <xf numFmtId="41" fontId="0" fillId="98" borderId="66" xfId="4" applyFont="1" applyFill="1" applyBorder="1" applyAlignment="1">
      <alignment horizontal="right" vertical="center"/>
    </xf>
    <xf numFmtId="41" fontId="0" fillId="0" borderId="68" xfId="4" applyFont="1" applyBorder="1" applyAlignment="1">
      <alignment horizontal="right" vertical="center"/>
    </xf>
    <xf numFmtId="185" fontId="0" fillId="0" borderId="66" xfId="4" applyNumberFormat="1" applyFont="1" applyBorder="1" applyAlignment="1">
      <alignment horizontal="right" vertical="center"/>
    </xf>
    <xf numFmtId="41" fontId="173" fillId="96" borderId="82" xfId="4" applyFont="1" applyFill="1" applyBorder="1" applyAlignment="1">
      <alignment horizontal="center" vertical="center"/>
    </xf>
    <xf numFmtId="178" fontId="150" fillId="0" borderId="3" xfId="0" applyNumberFormat="1" applyFont="1" applyBorder="1">
      <alignment vertical="center"/>
    </xf>
    <xf numFmtId="213" fontId="18" fillId="0" borderId="3" xfId="4" applyNumberFormat="1" applyFont="1" applyBorder="1">
      <alignment vertical="center"/>
    </xf>
    <xf numFmtId="215" fontId="9" fillId="0" borderId="0" xfId="0" applyNumberFormat="1" applyFont="1">
      <alignment vertical="center"/>
    </xf>
    <xf numFmtId="216" fontId="9" fillId="0" borderId="3" xfId="4" applyNumberFormat="1" applyFont="1" applyBorder="1">
      <alignment vertical="center"/>
    </xf>
    <xf numFmtId="0" fontId="18" fillId="92" borderId="3" xfId="0" applyFont="1" applyFill="1" applyBorder="1" applyAlignment="1">
      <alignment horizontal="center" vertical="center"/>
    </xf>
    <xf numFmtId="0" fontId="7" fillId="99" borderId="3" xfId="10" applyFont="1" applyFill="1" applyBorder="1" applyAlignment="1">
      <alignment horizontal="center" vertical="center"/>
    </xf>
    <xf numFmtId="0" fontId="9" fillId="98" borderId="0" xfId="0" applyFont="1" applyFill="1">
      <alignment vertical="center"/>
    </xf>
    <xf numFmtId="0" fontId="9" fillId="92" borderId="74" xfId="0" applyFont="1" applyFill="1" applyBorder="1" applyAlignment="1">
      <alignment horizontal="center" vertical="center"/>
    </xf>
    <xf numFmtId="213" fontId="150" fillId="94" borderId="3" xfId="4" applyNumberFormat="1" applyFont="1" applyFill="1" applyBorder="1">
      <alignment vertical="center"/>
    </xf>
    <xf numFmtId="10" fontId="7" fillId="0" borderId="5" xfId="1" applyNumberFormat="1" applyFont="1" applyBorder="1" applyAlignment="1">
      <alignment horizontal="center" vertical="center"/>
    </xf>
    <xf numFmtId="10" fontId="9" fillId="0" borderId="0" xfId="1" applyNumberFormat="1" applyFont="1">
      <alignment vertical="center"/>
    </xf>
    <xf numFmtId="194" fontId="9" fillId="0" borderId="0" xfId="0" applyNumberFormat="1" applyFont="1">
      <alignment vertical="center"/>
    </xf>
    <xf numFmtId="208" fontId="9" fillId="0" borderId="0" xfId="0" applyNumberFormat="1" applyFont="1">
      <alignment vertical="center"/>
    </xf>
    <xf numFmtId="212" fontId="9" fillId="0" borderId="3" xfId="4" applyNumberFormat="1" applyFont="1" applyBorder="1">
      <alignment vertical="center"/>
    </xf>
    <xf numFmtId="218" fontId="9" fillId="0" borderId="3" xfId="4" applyNumberFormat="1" applyFont="1" applyBorder="1">
      <alignment vertical="center"/>
    </xf>
    <xf numFmtId="41" fontId="105" fillId="0" borderId="0" xfId="4" applyFont="1" applyFill="1" applyBorder="1">
      <alignment vertical="center"/>
    </xf>
    <xf numFmtId="41" fontId="169" fillId="0" borderId="0" xfId="4" applyFont="1" applyFill="1" applyBorder="1" applyAlignment="1">
      <alignment horizontal="center" vertical="center"/>
    </xf>
    <xf numFmtId="0" fontId="105" fillId="0" borderId="0" xfId="0" applyFont="1" applyAlignment="1">
      <alignment horizontal="right" vertical="center"/>
    </xf>
    <xf numFmtId="206" fontId="9" fillId="0" borderId="0" xfId="4" applyNumberFormat="1" applyFont="1" applyFill="1" applyBorder="1">
      <alignment vertical="center"/>
    </xf>
    <xf numFmtId="3" fontId="9" fillId="0" borderId="0" xfId="0" applyNumberFormat="1" applyFont="1" applyAlignment="1">
      <alignment horizontal="center" vertical="center"/>
    </xf>
    <xf numFmtId="205" fontId="9" fillId="0" borderId="0" xfId="4" applyNumberFormat="1" applyFont="1" applyFill="1" applyBorder="1">
      <alignment vertical="center"/>
    </xf>
    <xf numFmtId="211" fontId="9" fillId="0" borderId="0" xfId="4" applyNumberFormat="1" applyFont="1" applyFill="1" applyBorder="1">
      <alignment vertical="center"/>
    </xf>
    <xf numFmtId="213" fontId="9" fillId="0" borderId="0" xfId="4" applyNumberFormat="1" applyFont="1" applyFill="1" applyBorder="1">
      <alignment vertical="center"/>
    </xf>
    <xf numFmtId="213" fontId="150" fillId="0" borderId="0" xfId="4" applyNumberFormat="1" applyFont="1" applyFill="1" applyBorder="1">
      <alignment vertical="center"/>
    </xf>
    <xf numFmtId="207" fontId="9" fillId="0" borderId="0" xfId="4" applyNumberFormat="1" applyFont="1" applyFill="1" applyBorder="1">
      <alignment vertical="center"/>
    </xf>
    <xf numFmtId="0" fontId="9" fillId="98" borderId="3" xfId="0" applyFont="1" applyFill="1" applyBorder="1">
      <alignment vertical="center"/>
    </xf>
    <xf numFmtId="0" fontId="9" fillId="98" borderId="84" xfId="0" applyFont="1" applyFill="1" applyBorder="1">
      <alignment vertical="center"/>
    </xf>
    <xf numFmtId="0" fontId="9" fillId="98" borderId="49" xfId="0" applyFont="1" applyFill="1" applyBorder="1">
      <alignment vertical="center"/>
    </xf>
    <xf numFmtId="219" fontId="9" fillId="0" borderId="3" xfId="4" applyNumberFormat="1" applyFont="1" applyBorder="1">
      <alignment vertical="center"/>
    </xf>
    <xf numFmtId="219" fontId="150" fillId="94" borderId="3" xfId="4" applyNumberFormat="1" applyFont="1" applyFill="1" applyBorder="1">
      <alignment vertical="center"/>
    </xf>
    <xf numFmtId="213" fontId="9" fillId="98" borderId="3" xfId="4" applyNumberFormat="1" applyFont="1" applyFill="1" applyBorder="1">
      <alignment vertical="center"/>
    </xf>
    <xf numFmtId="216" fontId="150" fillId="94" borderId="3" xfId="4" applyNumberFormat="1" applyFont="1" applyFill="1" applyBorder="1">
      <alignment vertical="center"/>
    </xf>
    <xf numFmtId="0" fontId="159" fillId="94" borderId="3" xfId="0" applyFont="1" applyFill="1" applyBorder="1" applyAlignment="1">
      <alignment horizontal="center" vertical="center"/>
    </xf>
    <xf numFmtId="41" fontId="159" fillId="94" borderId="3" xfId="4" applyFont="1" applyFill="1" applyBorder="1">
      <alignment vertical="center"/>
    </xf>
    <xf numFmtId="41" fontId="175" fillId="94" borderId="3" xfId="4" applyFont="1" applyFill="1" applyBorder="1" applyAlignment="1">
      <alignment horizontal="center" vertical="center"/>
    </xf>
    <xf numFmtId="41" fontId="105" fillId="98" borderId="3" xfId="4" applyFont="1" applyFill="1" applyBorder="1">
      <alignment vertical="center"/>
    </xf>
    <xf numFmtId="41" fontId="159" fillId="98" borderId="3" xfId="4" applyFont="1" applyFill="1" applyBorder="1">
      <alignment vertical="center"/>
    </xf>
    <xf numFmtId="209" fontId="159" fillId="98" borderId="3" xfId="4" applyNumberFormat="1" applyFont="1" applyFill="1" applyBorder="1">
      <alignment vertical="center"/>
    </xf>
    <xf numFmtId="0" fontId="105" fillId="98" borderId="0" xfId="0" applyFont="1" applyFill="1">
      <alignment vertical="center"/>
    </xf>
    <xf numFmtId="41" fontId="18" fillId="0" borderId="3" xfId="4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41" fontId="170" fillId="0" borderId="0" xfId="4" applyFont="1" applyFill="1" applyBorder="1">
      <alignment vertical="center"/>
    </xf>
    <xf numFmtId="217" fontId="9" fillId="0" borderId="0" xfId="0" applyNumberFormat="1" applyFont="1">
      <alignment vertical="center"/>
    </xf>
    <xf numFmtId="0" fontId="152" fillId="0" borderId="0" xfId="0" applyFont="1">
      <alignment vertical="center"/>
    </xf>
    <xf numFmtId="0" fontId="0" fillId="90" borderId="1" xfId="0" applyFill="1" applyBorder="1">
      <alignment vertical="center"/>
    </xf>
    <xf numFmtId="0" fontId="0" fillId="90" borderId="7" xfId="0" applyFill="1" applyBorder="1">
      <alignment vertical="center"/>
    </xf>
    <xf numFmtId="0" fontId="0" fillId="90" borderId="3" xfId="0" applyFill="1" applyBorder="1" applyAlignment="1">
      <alignment horizontal="center" vertical="center"/>
    </xf>
    <xf numFmtId="0" fontId="0" fillId="2" borderId="7" xfId="0" applyFill="1" applyBorder="1">
      <alignment vertical="center"/>
    </xf>
    <xf numFmtId="0" fontId="0" fillId="90" borderId="4" xfId="0" applyFill="1" applyBorder="1" applyAlignment="1">
      <alignment horizontal="center" vertical="center"/>
    </xf>
    <xf numFmtId="41" fontId="0" fillId="90" borderId="85" xfId="0" applyNumberFormat="1" applyFill="1" applyBorder="1">
      <alignment vertical="center"/>
    </xf>
    <xf numFmtId="0" fontId="0" fillId="2" borderId="3" xfId="0" applyFill="1" applyBorder="1">
      <alignment vertical="center"/>
    </xf>
    <xf numFmtId="0" fontId="0" fillId="90" borderId="6" xfId="0" applyFill="1" applyBorder="1" applyAlignment="1">
      <alignment horizontal="center" vertical="center"/>
    </xf>
    <xf numFmtId="10" fontId="0" fillId="0" borderId="2" xfId="1" applyNumberFormat="1" applyFont="1" applyBorder="1">
      <alignment vertical="center"/>
    </xf>
    <xf numFmtId="41" fontId="0" fillId="0" borderId="2" xfId="4" applyFont="1" applyBorder="1">
      <alignment vertical="center"/>
    </xf>
    <xf numFmtId="41" fontId="0" fillId="0" borderId="52" xfId="4" applyFont="1" applyBorder="1">
      <alignment vertical="center"/>
    </xf>
    <xf numFmtId="41" fontId="0" fillId="0" borderId="4" xfId="4" applyFont="1" applyBorder="1">
      <alignment vertical="center"/>
    </xf>
    <xf numFmtId="9" fontId="0" fillId="0" borderId="0" xfId="1" applyFont="1">
      <alignment vertical="center"/>
    </xf>
    <xf numFmtId="9" fontId="0" fillId="0" borderId="72" xfId="1" applyFont="1" applyBorder="1">
      <alignment vertical="center"/>
    </xf>
    <xf numFmtId="9" fontId="0" fillId="0" borderId="3" xfId="1" applyFont="1" applyBorder="1">
      <alignment vertical="center"/>
    </xf>
    <xf numFmtId="9" fontId="0" fillId="0" borderId="76" xfId="1" applyFont="1" applyBorder="1">
      <alignment vertical="center"/>
    </xf>
    <xf numFmtId="177" fontId="0" fillId="0" borderId="3" xfId="1" applyNumberFormat="1" applyFont="1" applyBorder="1">
      <alignment vertical="center"/>
    </xf>
    <xf numFmtId="177" fontId="0" fillId="0" borderId="0" xfId="1" applyNumberFormat="1" applyFont="1">
      <alignment vertical="center"/>
    </xf>
    <xf numFmtId="41" fontId="0" fillId="0" borderId="6" xfId="4" applyFont="1" applyBorder="1">
      <alignment vertical="center"/>
    </xf>
    <xf numFmtId="0" fontId="0" fillId="90" borderId="72" xfId="0" applyFill="1" applyBorder="1" applyAlignment="1">
      <alignment horizontal="center" vertical="center"/>
    </xf>
    <xf numFmtId="0" fontId="0" fillId="0" borderId="72" xfId="1" applyNumberFormat="1" applyFont="1" applyBorder="1" applyAlignment="1">
      <alignment horizontal="right" vertical="center"/>
    </xf>
    <xf numFmtId="0" fontId="0" fillId="0" borderId="72" xfId="0" applyBorder="1" applyAlignment="1">
      <alignment horizontal="right" vertical="center"/>
    </xf>
    <xf numFmtId="0" fontId="0" fillId="0" borderId="3" xfId="1" applyNumberFormat="1" applyFon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90" borderId="76" xfId="0" applyFill="1" applyBorder="1" applyAlignment="1">
      <alignment horizontal="center" vertical="center"/>
    </xf>
    <xf numFmtId="0" fontId="0" fillId="0" borderId="76" xfId="1" applyNumberFormat="1" applyFont="1" applyBorder="1" applyAlignment="1">
      <alignment horizontal="right" vertical="center"/>
    </xf>
    <xf numFmtId="0" fontId="0" fillId="0" borderId="76" xfId="0" applyBorder="1" applyAlignment="1">
      <alignment horizontal="right" vertical="center"/>
    </xf>
    <xf numFmtId="0" fontId="0" fillId="0" borderId="72" xfId="0" applyBorder="1">
      <alignment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4" xfId="1" applyNumberFormat="1" applyFont="1" applyBorder="1" applyAlignment="1">
      <alignment horizontal="right" vertical="center"/>
    </xf>
    <xf numFmtId="223" fontId="0" fillId="0" borderId="3" xfId="1" applyNumberFormat="1" applyFont="1" applyBorder="1">
      <alignment vertical="center"/>
    </xf>
    <xf numFmtId="0" fontId="105" fillId="0" borderId="3" xfId="0" quotePrefix="1" applyFont="1" applyBorder="1">
      <alignment vertical="center"/>
    </xf>
    <xf numFmtId="223" fontId="152" fillId="0" borderId="3" xfId="0" applyNumberFormat="1" applyFont="1" applyBorder="1">
      <alignment vertical="center"/>
    </xf>
    <xf numFmtId="223" fontId="0" fillId="0" borderId="76" xfId="1" applyNumberFormat="1" applyFont="1" applyBorder="1">
      <alignment vertical="center"/>
    </xf>
    <xf numFmtId="1" fontId="0" fillId="0" borderId="3" xfId="0" applyNumberFormat="1" applyBorder="1" applyAlignment="1">
      <alignment horizontal="right" vertical="center"/>
    </xf>
    <xf numFmtId="9" fontId="105" fillId="0" borderId="3" xfId="0" applyNumberFormat="1" applyFont="1" applyBorder="1">
      <alignment vertical="center"/>
    </xf>
    <xf numFmtId="0" fontId="105" fillId="101" borderId="3" xfId="0" applyFont="1" applyFill="1" applyBorder="1" applyAlignment="1">
      <alignment horizontal="center" vertical="center"/>
    </xf>
    <xf numFmtId="0" fontId="159" fillId="101" borderId="3" xfId="0" applyFont="1" applyFill="1" applyBorder="1" applyAlignment="1">
      <alignment horizontal="center" vertical="center"/>
    </xf>
    <xf numFmtId="0" fontId="105" fillId="101" borderId="3" xfId="0" applyFont="1" applyFill="1" applyBorder="1">
      <alignment vertical="center"/>
    </xf>
    <xf numFmtId="0" fontId="180" fillId="0" borderId="0" xfId="0" applyFont="1">
      <alignment vertical="center"/>
    </xf>
    <xf numFmtId="0" fontId="174" fillId="96" borderId="92" xfId="0" applyFont="1" applyFill="1" applyBorder="1" applyAlignment="1">
      <alignment horizontal="center" vertical="center"/>
    </xf>
    <xf numFmtId="0" fontId="12" fillId="100" borderId="3" xfId="0" applyFont="1" applyFill="1" applyBorder="1">
      <alignment vertical="center"/>
    </xf>
    <xf numFmtId="0" fontId="12" fillId="100" borderId="0" xfId="0" applyFont="1" applyFill="1">
      <alignment vertical="center"/>
    </xf>
    <xf numFmtId="0" fontId="12" fillId="2" borderId="3" xfId="0" applyFont="1" applyFill="1" applyBorder="1">
      <alignment vertical="center"/>
    </xf>
    <xf numFmtId="0" fontId="155" fillId="88" borderId="4" xfId="0" applyFont="1" applyFill="1" applyBorder="1" applyAlignment="1">
      <alignment horizontal="center" vertical="center"/>
    </xf>
    <xf numFmtId="0" fontId="155" fillId="100" borderId="4" xfId="0" applyFont="1" applyFill="1" applyBorder="1" applyAlignment="1">
      <alignment horizontal="center" vertical="center"/>
    </xf>
    <xf numFmtId="0" fontId="155" fillId="100" borderId="0" xfId="0" applyFont="1" applyFill="1" applyAlignment="1">
      <alignment horizontal="center" vertical="center"/>
    </xf>
    <xf numFmtId="0" fontId="155" fillId="2" borderId="4" xfId="0" applyFont="1" applyFill="1" applyBorder="1" applyAlignment="1">
      <alignment horizontal="center" vertical="center"/>
    </xf>
    <xf numFmtId="0" fontId="155" fillId="88" borderId="65" xfId="0" applyFont="1" applyFill="1" applyBorder="1" applyAlignment="1">
      <alignment horizontal="center" vertical="center"/>
    </xf>
    <xf numFmtId="10" fontId="155" fillId="100" borderId="93" xfId="1" applyNumberFormat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10" fontId="155" fillId="2" borderId="93" xfId="1" applyNumberFormat="1" applyFont="1" applyFill="1" applyBorder="1" applyAlignment="1">
      <alignment horizontal="center" vertical="center"/>
    </xf>
    <xf numFmtId="10" fontId="155" fillId="100" borderId="67" xfId="1" applyNumberFormat="1" applyFont="1" applyFill="1" applyBorder="1" applyAlignment="1">
      <alignment horizontal="center" vertical="center"/>
    </xf>
    <xf numFmtId="10" fontId="155" fillId="100" borderId="0" xfId="1" applyNumberFormat="1" applyFont="1" applyFill="1" applyBorder="1" applyAlignment="1">
      <alignment horizontal="center" vertical="center"/>
    </xf>
    <xf numFmtId="10" fontId="155" fillId="2" borderId="67" xfId="1" applyNumberFormat="1" applyFont="1" applyFill="1" applyBorder="1" applyAlignment="1">
      <alignment horizontal="center" vertical="center"/>
    </xf>
    <xf numFmtId="10" fontId="155" fillId="100" borderId="70" xfId="1" applyNumberFormat="1" applyFont="1" applyFill="1" applyBorder="1" applyAlignment="1">
      <alignment horizontal="center" vertical="center"/>
    </xf>
    <xf numFmtId="10" fontId="155" fillId="2" borderId="70" xfId="1" applyNumberFormat="1" applyFont="1" applyFill="1" applyBorder="1" applyAlignment="1">
      <alignment horizontal="center" vertical="center"/>
    </xf>
    <xf numFmtId="0" fontId="105" fillId="103" borderId="0" xfId="0" applyFont="1" applyFill="1">
      <alignment vertical="center"/>
    </xf>
    <xf numFmtId="0" fontId="105" fillId="0" borderId="88" xfId="0" applyFont="1" applyBorder="1">
      <alignment vertical="center"/>
    </xf>
    <xf numFmtId="0" fontId="183" fillId="3" borderId="0" xfId="0" applyFont="1" applyFill="1">
      <alignment vertical="center"/>
    </xf>
    <xf numFmtId="0" fontId="184" fillId="104" borderId="3" xfId="0" applyFont="1" applyFill="1" applyBorder="1" applyAlignment="1">
      <alignment horizontal="center" vertical="center" wrapText="1"/>
    </xf>
    <xf numFmtId="0" fontId="184" fillId="106" borderId="0" xfId="0" applyFont="1" applyFill="1">
      <alignment vertical="center"/>
    </xf>
    <xf numFmtId="0" fontId="0" fillId="103" borderId="0" xfId="0" applyFill="1" applyAlignment="1">
      <alignment horizontal="left" vertical="center"/>
    </xf>
    <xf numFmtId="0" fontId="0" fillId="103" borderId="0" xfId="0" applyFill="1" applyAlignment="1">
      <alignment horizontal="right" vertical="center"/>
    </xf>
    <xf numFmtId="0" fontId="0" fillId="0" borderId="0" xfId="0" applyAlignment="1">
      <alignment horizontal="left" vertical="center"/>
    </xf>
    <xf numFmtId="220" fontId="0" fillId="0" borderId="0" xfId="0" applyNumberFormat="1" applyAlignment="1">
      <alignment horizontal="right" vertical="center"/>
    </xf>
    <xf numFmtId="0" fontId="0" fillId="0" borderId="13" xfId="0" applyBorder="1">
      <alignment vertical="center"/>
    </xf>
    <xf numFmtId="0" fontId="0" fillId="0" borderId="53" xfId="0" applyBorder="1">
      <alignment vertical="center"/>
    </xf>
    <xf numFmtId="224" fontId="0" fillId="0" borderId="0" xfId="0" applyNumberFormat="1">
      <alignment vertical="center"/>
    </xf>
    <xf numFmtId="224" fontId="0" fillId="0" borderId="53" xfId="0" applyNumberFormat="1" applyBorder="1">
      <alignment vertical="center"/>
    </xf>
    <xf numFmtId="224" fontId="0" fillId="0" borderId="13" xfId="0" applyNumberFormat="1" applyBorder="1">
      <alignment vertical="center"/>
    </xf>
    <xf numFmtId="224" fontId="0" fillId="0" borderId="5" xfId="0" applyNumberFormat="1" applyBorder="1">
      <alignment vertical="center"/>
    </xf>
    <xf numFmtId="225" fontId="0" fillId="0" borderId="0" xfId="0" applyNumberFormat="1">
      <alignment vertical="center"/>
    </xf>
    <xf numFmtId="225" fontId="0" fillId="0" borderId="53" xfId="0" applyNumberFormat="1" applyBorder="1">
      <alignment vertical="center"/>
    </xf>
    <xf numFmtId="177" fontId="0" fillId="0" borderId="13" xfId="1" applyNumberFormat="1" applyFont="1" applyBorder="1">
      <alignment vertical="center"/>
    </xf>
    <xf numFmtId="177" fontId="0" fillId="0" borderId="53" xfId="1" applyNumberFormat="1" applyFont="1" applyBorder="1" applyAlignment="1">
      <alignment vertical="center"/>
    </xf>
    <xf numFmtId="177" fontId="0" fillId="0" borderId="13" xfId="1" applyNumberFormat="1" applyFont="1" applyBorder="1" applyAlignment="1">
      <alignment vertical="center"/>
    </xf>
    <xf numFmtId="177" fontId="0" fillId="0" borderId="0" xfId="1" applyNumberFormat="1" applyFont="1" applyBorder="1">
      <alignment vertical="center"/>
    </xf>
    <xf numFmtId="177" fontId="0" fillId="0" borderId="53" xfId="1" applyNumberFormat="1" applyFont="1" applyBorder="1">
      <alignment vertical="center"/>
    </xf>
    <xf numFmtId="177" fontId="0" fillId="0" borderId="5" xfId="1" applyNumberFormat="1" applyFont="1" applyBorder="1">
      <alignment vertical="center"/>
    </xf>
    <xf numFmtId="222" fontId="0" fillId="0" borderId="13" xfId="1" applyNumberFormat="1" applyFont="1" applyBorder="1">
      <alignment vertical="center"/>
    </xf>
    <xf numFmtId="222" fontId="0" fillId="0" borderId="53" xfId="1" applyNumberFormat="1" applyFont="1" applyBorder="1">
      <alignment vertical="center"/>
    </xf>
    <xf numFmtId="222" fontId="0" fillId="0" borderId="0" xfId="0" applyNumberFormat="1">
      <alignment vertical="center"/>
    </xf>
    <xf numFmtId="222" fontId="0" fillId="0" borderId="53" xfId="0" applyNumberFormat="1" applyBorder="1">
      <alignment vertical="center"/>
    </xf>
    <xf numFmtId="222" fontId="0" fillId="0" borderId="5" xfId="0" applyNumberFormat="1" applyBorder="1">
      <alignment vertical="center"/>
    </xf>
    <xf numFmtId="177" fontId="0" fillId="0" borderId="0" xfId="1" applyNumberFormat="1" applyFont="1" applyFill="1" applyBorder="1">
      <alignment vertical="center"/>
    </xf>
    <xf numFmtId="177" fontId="0" fillId="0" borderId="53" xfId="1" applyNumberFormat="1" applyFont="1" applyFill="1" applyBorder="1">
      <alignment vertical="center"/>
    </xf>
    <xf numFmtId="177" fontId="0" fillId="0" borderId="74" xfId="1" applyNumberFormat="1" applyFont="1" applyBorder="1">
      <alignment vertical="center"/>
    </xf>
    <xf numFmtId="177" fontId="0" fillId="0" borderId="54" xfId="1" applyNumberFormat="1" applyFont="1" applyBorder="1">
      <alignment vertical="center"/>
    </xf>
    <xf numFmtId="177" fontId="0" fillId="0" borderId="83" xfId="1" applyNumberFormat="1" applyFont="1" applyBorder="1">
      <alignment vertical="center"/>
    </xf>
    <xf numFmtId="177" fontId="0" fillId="0" borderId="6" xfId="1" applyNumberFormat="1" applyFont="1" applyBorder="1">
      <alignment vertical="center"/>
    </xf>
    <xf numFmtId="41" fontId="0" fillId="0" borderId="3" xfId="4" applyFont="1" applyBorder="1" applyAlignment="1">
      <alignment horizontal="right" vertical="center"/>
    </xf>
    <xf numFmtId="41" fontId="105" fillId="3" borderId="3" xfId="4" applyFont="1" applyFill="1" applyBorder="1">
      <alignment vertical="center"/>
    </xf>
    <xf numFmtId="0" fontId="0" fillId="0" borderId="69" xfId="0" applyBorder="1" applyAlignment="1">
      <alignment horizontal="right" vertical="center"/>
    </xf>
    <xf numFmtId="41" fontId="105" fillId="0" borderId="6" xfId="4" applyFont="1" applyBorder="1">
      <alignment vertical="center"/>
    </xf>
    <xf numFmtId="0" fontId="159" fillId="102" borderId="3" xfId="0" applyFont="1" applyFill="1" applyBorder="1">
      <alignment vertical="center"/>
    </xf>
    <xf numFmtId="41" fontId="159" fillId="102" borderId="3" xfId="0" applyNumberFormat="1" applyFont="1" applyFill="1" applyBorder="1">
      <alignment vertical="center"/>
    </xf>
    <xf numFmtId="41" fontId="159" fillId="102" borderId="3" xfId="4" applyFont="1" applyFill="1" applyBorder="1">
      <alignment vertical="center"/>
    </xf>
    <xf numFmtId="0" fontId="159" fillId="102" borderId="82" xfId="0" applyFont="1" applyFill="1" applyBorder="1">
      <alignment vertical="center"/>
    </xf>
    <xf numFmtId="41" fontId="105" fillId="94" borderId="1" xfId="4" applyFont="1" applyFill="1" applyBorder="1">
      <alignment vertical="center"/>
    </xf>
    <xf numFmtId="41" fontId="159" fillId="94" borderId="1" xfId="4" applyFont="1" applyFill="1" applyBorder="1">
      <alignment vertical="center"/>
    </xf>
    <xf numFmtId="41" fontId="175" fillId="94" borderId="1" xfId="4" applyFont="1" applyFill="1" applyBorder="1" applyAlignment="1">
      <alignment horizontal="center" vertical="center"/>
    </xf>
    <xf numFmtId="0" fontId="159" fillId="94" borderId="4" xfId="0" applyFont="1" applyFill="1" applyBorder="1" applyAlignment="1">
      <alignment horizontal="center" vertical="center"/>
    </xf>
    <xf numFmtId="0" fontId="182" fillId="104" borderId="100" xfId="0" applyFont="1" applyFill="1" applyBorder="1">
      <alignment vertical="center"/>
    </xf>
    <xf numFmtId="41" fontId="182" fillId="104" borderId="100" xfId="0" applyNumberFormat="1" applyFont="1" applyFill="1" applyBorder="1">
      <alignment vertical="center"/>
    </xf>
    <xf numFmtId="43" fontId="9" fillId="0" borderId="0" xfId="0" applyNumberFormat="1" applyFont="1">
      <alignment vertical="center"/>
    </xf>
    <xf numFmtId="221" fontId="0" fillId="0" borderId="3" xfId="4" applyNumberFormat="1" applyFont="1" applyBorder="1">
      <alignment vertical="center"/>
    </xf>
    <xf numFmtId="221" fontId="0" fillId="0" borderId="6" xfId="4" applyNumberFormat="1" applyFont="1" applyBorder="1">
      <alignment vertical="center"/>
    </xf>
    <xf numFmtId="221" fontId="0" fillId="0" borderId="0" xfId="0" applyNumberFormat="1">
      <alignment vertical="center"/>
    </xf>
    <xf numFmtId="226" fontId="9" fillId="0" borderId="0" xfId="0" applyNumberFormat="1" applyFont="1">
      <alignment vertical="center"/>
    </xf>
    <xf numFmtId="227" fontId="7" fillId="0" borderId="5" xfId="0" applyNumberFormat="1" applyFont="1" applyBorder="1" applyAlignment="1">
      <alignment horizontal="center" vertical="center"/>
    </xf>
    <xf numFmtId="219" fontId="9" fillId="102" borderId="3" xfId="4" applyNumberFormat="1" applyFont="1" applyFill="1" applyBorder="1">
      <alignment vertical="center"/>
    </xf>
    <xf numFmtId="220" fontId="0" fillId="0" borderId="6" xfId="4" applyNumberFormat="1" applyFont="1" applyBorder="1">
      <alignment vertical="center"/>
    </xf>
    <xf numFmtId="220" fontId="0" fillId="0" borderId="0" xfId="0" applyNumberFormat="1">
      <alignment vertical="center"/>
    </xf>
    <xf numFmtId="220" fontId="0" fillId="0" borderId="3" xfId="4" applyNumberFormat="1" applyFont="1" applyBorder="1">
      <alignment vertical="center"/>
    </xf>
    <xf numFmtId="183" fontId="9" fillId="0" borderId="0" xfId="0" applyNumberFormat="1" applyFont="1">
      <alignment vertical="center"/>
    </xf>
    <xf numFmtId="228" fontId="0" fillId="0" borderId="3" xfId="1" applyNumberFormat="1" applyFont="1" applyBorder="1">
      <alignment vertical="center"/>
    </xf>
    <xf numFmtId="182" fontId="152" fillId="0" borderId="3" xfId="0" applyNumberFormat="1" applyFont="1" applyBorder="1">
      <alignment vertical="center"/>
    </xf>
    <xf numFmtId="229" fontId="9" fillId="0" borderId="3" xfId="4" applyNumberFormat="1" applyFont="1" applyBorder="1">
      <alignment vertical="center"/>
    </xf>
    <xf numFmtId="230" fontId="152" fillId="0" borderId="3" xfId="0" applyNumberFormat="1" applyFont="1" applyBorder="1">
      <alignment vertical="center"/>
    </xf>
    <xf numFmtId="209" fontId="105" fillId="0" borderId="0" xfId="0" applyNumberFormat="1" applyFont="1">
      <alignment vertical="center"/>
    </xf>
    <xf numFmtId="207" fontId="18" fillId="0" borderId="3" xfId="4" applyNumberFormat="1" applyFont="1" applyFill="1" applyBorder="1" applyAlignment="1">
      <alignment horizontal="right" vertical="center"/>
    </xf>
    <xf numFmtId="205" fontId="18" fillId="0" borderId="3" xfId="4" applyNumberFormat="1" applyFont="1" applyBorder="1" applyAlignment="1">
      <alignment horizontal="right" vertical="center"/>
    </xf>
    <xf numFmtId="205" fontId="18" fillId="0" borderId="3" xfId="4" applyNumberFormat="1" applyFont="1" applyFill="1" applyBorder="1" applyAlignment="1">
      <alignment horizontal="right" vertical="center"/>
    </xf>
    <xf numFmtId="207" fontId="18" fillId="97" borderId="3" xfId="4" applyNumberFormat="1" applyFont="1" applyFill="1" applyBorder="1">
      <alignment vertical="center"/>
    </xf>
    <xf numFmtId="211" fontId="18" fillId="97" borderId="3" xfId="4" applyNumberFormat="1" applyFont="1" applyFill="1" applyBorder="1">
      <alignment vertical="center"/>
    </xf>
    <xf numFmtId="41" fontId="105" fillId="0" borderId="3" xfId="4" applyFont="1" applyFill="1" applyBorder="1">
      <alignment vertical="center"/>
    </xf>
    <xf numFmtId="0" fontId="181" fillId="108" borderId="3" xfId="0" applyFont="1" applyFill="1" applyBorder="1">
      <alignment vertical="center"/>
    </xf>
    <xf numFmtId="0" fontId="182" fillId="108" borderId="3" xfId="0" applyFont="1" applyFill="1" applyBorder="1">
      <alignment vertical="center"/>
    </xf>
    <xf numFmtId="176" fontId="174" fillId="105" borderId="4" xfId="3" applyNumberFormat="1" applyFont="1" applyFill="1" applyBorder="1" applyAlignment="1">
      <alignment horizontal="center" vertical="center"/>
    </xf>
    <xf numFmtId="0" fontId="174" fillId="105" borderId="79" xfId="0" applyFont="1" applyFill="1" applyBorder="1" applyAlignment="1">
      <alignment horizontal="center" vertical="center"/>
    </xf>
    <xf numFmtId="41" fontId="0" fillId="90" borderId="85" xfId="0" applyNumberFormat="1" applyFill="1" applyBorder="1" applyAlignment="1">
      <alignment vertical="center" wrapText="1"/>
    </xf>
    <xf numFmtId="0" fontId="9" fillId="87" borderId="3" xfId="0" applyFont="1" applyFill="1" applyBorder="1" applyAlignment="1">
      <alignment horizontal="center" vertical="center"/>
    </xf>
    <xf numFmtId="176" fontId="11" fillId="87" borderId="3" xfId="3" applyNumberFormat="1" applyFont="1" applyFill="1" applyBorder="1" applyAlignment="1">
      <alignment horizontal="center" vertical="center"/>
    </xf>
    <xf numFmtId="176" fontId="7" fillId="87" borderId="3" xfId="3" applyNumberFormat="1" applyFont="1" applyFill="1" applyBorder="1" applyAlignment="1">
      <alignment horizontal="center" vertical="center"/>
    </xf>
    <xf numFmtId="176" fontId="10" fillId="87" borderId="3" xfId="3" applyNumberFormat="1" applyFont="1" applyFill="1" applyBorder="1" applyAlignment="1">
      <alignment horizontal="center" vertical="center"/>
    </xf>
    <xf numFmtId="200" fontId="7" fillId="87" borderId="3" xfId="3" applyNumberFormat="1" applyFont="1" applyFill="1" applyBorder="1" applyAlignment="1">
      <alignment horizontal="center" vertical="center"/>
    </xf>
    <xf numFmtId="49" fontId="7" fillId="87" borderId="3" xfId="3" applyNumberFormat="1" applyFont="1" applyFill="1" applyBorder="1" applyAlignment="1">
      <alignment horizontal="center" vertical="center"/>
    </xf>
    <xf numFmtId="41" fontId="12" fillId="0" borderId="3" xfId="0" applyNumberFormat="1" applyFont="1" applyBorder="1">
      <alignment vertical="center"/>
    </xf>
    <xf numFmtId="213" fontId="9" fillId="3" borderId="3" xfId="4" applyNumberFormat="1" applyFont="1" applyFill="1" applyBorder="1">
      <alignment vertical="center"/>
    </xf>
    <xf numFmtId="213" fontId="9" fillId="0" borderId="3" xfId="4" applyNumberFormat="1" applyFont="1" applyFill="1" applyBorder="1">
      <alignment vertical="center"/>
    </xf>
    <xf numFmtId="41" fontId="9" fillId="0" borderId="0" xfId="4" applyFont="1">
      <alignment vertical="center"/>
    </xf>
    <xf numFmtId="177" fontId="9" fillId="0" borderId="0" xfId="1" applyNumberFormat="1" applyFont="1">
      <alignment vertical="center"/>
    </xf>
    <xf numFmtId="0" fontId="9" fillId="2" borderId="2" xfId="0" applyFont="1" applyFill="1" applyBorder="1" applyAlignment="1">
      <alignment horizontal="left" vertical="center"/>
    </xf>
    <xf numFmtId="0" fontId="18" fillId="92" borderId="1" xfId="0" applyFont="1" applyFill="1" applyBorder="1" applyAlignment="1">
      <alignment horizontal="center" vertical="center"/>
    </xf>
    <xf numFmtId="231" fontId="150" fillId="94" borderId="3" xfId="4" applyNumberFormat="1" applyFont="1" applyFill="1" applyBorder="1">
      <alignment vertical="center"/>
    </xf>
    <xf numFmtId="9" fontId="0" fillId="0" borderId="13" xfId="1" applyFont="1" applyBorder="1">
      <alignment vertical="center"/>
    </xf>
    <xf numFmtId="1" fontId="182" fillId="104" borderId="100" xfId="0" applyNumberFormat="1" applyFont="1" applyFill="1" applyBorder="1">
      <alignment vertical="center"/>
    </xf>
    <xf numFmtId="0" fontId="0" fillId="0" borderId="6" xfId="4" applyNumberFormat="1" applyFont="1" applyBorder="1">
      <alignment vertical="center"/>
    </xf>
    <xf numFmtId="0" fontId="0" fillId="0" borderId="3" xfId="4" applyNumberFormat="1" applyFont="1" applyBorder="1">
      <alignment vertical="center"/>
    </xf>
    <xf numFmtId="0" fontId="7" fillId="3" borderId="5" xfId="0" applyFont="1" applyFill="1" applyBorder="1" applyAlignment="1">
      <alignment horizontal="center" vertical="center"/>
    </xf>
    <xf numFmtId="10" fontId="7" fillId="3" borderId="5" xfId="1" applyNumberFormat="1" applyFont="1" applyFill="1" applyBorder="1" applyAlignment="1">
      <alignment horizontal="center" vertical="center"/>
    </xf>
    <xf numFmtId="198" fontId="7" fillId="3" borderId="5" xfId="0" applyNumberFormat="1" applyFont="1" applyFill="1" applyBorder="1" applyAlignment="1">
      <alignment horizontal="center" vertical="center"/>
    </xf>
    <xf numFmtId="2" fontId="7" fillId="3" borderId="5" xfId="0" applyNumberFormat="1" applyFont="1" applyFill="1" applyBorder="1" applyAlignment="1">
      <alignment horizontal="center" vertical="center"/>
    </xf>
    <xf numFmtId="200" fontId="7" fillId="3" borderId="5" xfId="0" applyNumberFormat="1" applyFont="1" applyFill="1" applyBorder="1" applyAlignment="1">
      <alignment horizontal="center" vertical="center"/>
    </xf>
    <xf numFmtId="199" fontId="7" fillId="3" borderId="5" xfId="0" applyNumberFormat="1" applyFont="1" applyFill="1" applyBorder="1" applyAlignment="1">
      <alignment horizontal="center" vertical="center"/>
    </xf>
    <xf numFmtId="180" fontId="7" fillId="3" borderId="5" xfId="0" applyNumberFormat="1" applyFont="1" applyFill="1" applyBorder="1" applyAlignment="1">
      <alignment horizontal="center" vertical="center"/>
    </xf>
    <xf numFmtId="4" fontId="9" fillId="3" borderId="13" xfId="0" applyNumberFormat="1" applyFont="1" applyFill="1" applyBorder="1">
      <alignment vertical="center"/>
    </xf>
    <xf numFmtId="197" fontId="9" fillId="3" borderId="5" xfId="0" applyNumberFormat="1" applyFont="1" applyFill="1" applyBorder="1" applyAlignment="1">
      <alignment horizontal="center" vertical="center"/>
    </xf>
    <xf numFmtId="10" fontId="0" fillId="0" borderId="2" xfId="1" applyNumberFormat="1" applyFont="1" applyFill="1" applyBorder="1">
      <alignment vertical="center"/>
    </xf>
    <xf numFmtId="41" fontId="0" fillId="0" borderId="52" xfId="4" applyFont="1" applyFill="1" applyBorder="1">
      <alignment vertical="center"/>
    </xf>
    <xf numFmtId="9" fontId="0" fillId="0" borderId="72" xfId="1" applyFont="1" applyFill="1" applyBorder="1">
      <alignment vertical="center"/>
    </xf>
    <xf numFmtId="9" fontId="0" fillId="0" borderId="3" xfId="1" applyFont="1" applyFill="1" applyBorder="1">
      <alignment vertical="center"/>
    </xf>
    <xf numFmtId="9" fontId="0" fillId="0" borderId="76" xfId="1" applyFont="1" applyFill="1" applyBorder="1">
      <alignment vertical="center"/>
    </xf>
    <xf numFmtId="41" fontId="0" fillId="0" borderId="6" xfId="4" applyFont="1" applyFill="1" applyBorder="1">
      <alignment vertical="center"/>
    </xf>
    <xf numFmtId="41" fontId="0" fillId="0" borderId="3" xfId="4" applyFont="1" applyFill="1" applyBorder="1">
      <alignment vertical="center"/>
    </xf>
    <xf numFmtId="221" fontId="0" fillId="0" borderId="6" xfId="4" applyNumberFormat="1" applyFont="1" applyFill="1" applyBorder="1">
      <alignment vertical="center"/>
    </xf>
    <xf numFmtId="220" fontId="0" fillId="0" borderId="6" xfId="4" applyNumberFormat="1" applyFont="1" applyFill="1" applyBorder="1">
      <alignment vertical="center"/>
    </xf>
    <xf numFmtId="0" fontId="0" fillId="0" borderId="6" xfId="4" applyNumberFormat="1" applyFont="1" applyFill="1" applyBorder="1">
      <alignment vertical="center"/>
    </xf>
    <xf numFmtId="0" fontId="0" fillId="0" borderId="72" xfId="1" applyNumberFormat="1" applyFont="1" applyFill="1" applyBorder="1" applyAlignment="1">
      <alignment horizontal="right" vertical="center"/>
    </xf>
    <xf numFmtId="0" fontId="0" fillId="0" borderId="3" xfId="1" applyNumberFormat="1" applyFont="1" applyFill="1" applyBorder="1" applyAlignment="1">
      <alignment horizontal="right" vertical="center"/>
    </xf>
    <xf numFmtId="0" fontId="0" fillId="0" borderId="4" xfId="1" applyNumberFormat="1" applyFont="1" applyFill="1" applyBorder="1" applyAlignment="1">
      <alignment horizontal="right" vertical="center"/>
    </xf>
    <xf numFmtId="0" fontId="0" fillId="0" borderId="76" xfId="1" applyNumberFormat="1" applyFont="1" applyFill="1" applyBorder="1" applyAlignment="1">
      <alignment horizontal="right" vertical="center"/>
    </xf>
    <xf numFmtId="0" fontId="0" fillId="0" borderId="76" xfId="0" applyBorder="1">
      <alignment vertical="center"/>
    </xf>
    <xf numFmtId="41" fontId="105" fillId="0" borderId="6" xfId="4" applyFont="1" applyBorder="1" applyAlignment="1">
      <alignment horizontal="center" vertical="center"/>
    </xf>
    <xf numFmtId="232" fontId="152" fillId="0" borderId="3" xfId="0" applyNumberFormat="1" applyFont="1" applyBorder="1">
      <alignment vertical="center"/>
    </xf>
    <xf numFmtId="233" fontId="7" fillId="0" borderId="5" xfId="0" applyNumberFormat="1" applyFont="1" applyBorder="1" applyAlignment="1">
      <alignment horizontal="center" vertical="center"/>
    </xf>
    <xf numFmtId="41" fontId="182" fillId="104" borderId="100" xfId="4" applyFont="1" applyFill="1" applyBorder="1">
      <alignment vertical="center"/>
    </xf>
    <xf numFmtId="182" fontId="12" fillId="0" borderId="3" xfId="1" applyNumberFormat="1" applyFont="1" applyBorder="1">
      <alignment vertical="center"/>
    </xf>
    <xf numFmtId="235" fontId="9" fillId="98" borderId="3" xfId="4" applyNumberFormat="1" applyFont="1" applyFill="1" applyBorder="1">
      <alignment vertical="center"/>
    </xf>
    <xf numFmtId="234" fontId="9" fillId="0" borderId="3" xfId="4" applyNumberFormat="1" applyFont="1" applyBorder="1">
      <alignment vertical="center"/>
    </xf>
    <xf numFmtId="177" fontId="0" fillId="0" borderId="83" xfId="1" applyNumberFormat="1" applyFont="1" applyFill="1" applyBorder="1">
      <alignment vertical="center"/>
    </xf>
    <xf numFmtId="198" fontId="105" fillId="0" borderId="0" xfId="0" applyNumberFormat="1" applyFont="1">
      <alignment vertical="center"/>
    </xf>
    <xf numFmtId="41" fontId="12" fillId="0" borderId="13" xfId="0" applyNumberFormat="1" applyFont="1" applyBorder="1">
      <alignment vertical="center"/>
    </xf>
    <xf numFmtId="204" fontId="105" fillId="0" borderId="0" xfId="0" applyNumberFormat="1" applyFont="1">
      <alignment vertical="center"/>
    </xf>
    <xf numFmtId="41" fontId="9" fillId="89" borderId="3" xfId="4" applyFont="1" applyFill="1" applyBorder="1">
      <alignment vertical="center"/>
    </xf>
    <xf numFmtId="207" fontId="18" fillId="0" borderId="3" xfId="4" applyNumberFormat="1" applyFont="1" applyBorder="1">
      <alignment vertical="center"/>
    </xf>
    <xf numFmtId="0" fontId="150" fillId="102" borderId="3" xfId="0" applyFont="1" applyFill="1" applyBorder="1" applyAlignment="1">
      <alignment horizontal="center" vertical="center" wrapText="1"/>
    </xf>
    <xf numFmtId="0" fontId="0" fillId="102" borderId="7" xfId="0" applyFill="1" applyBorder="1">
      <alignment vertical="center"/>
    </xf>
    <xf numFmtId="0" fontId="0" fillId="102" borderId="3" xfId="0" applyFill="1" applyBorder="1">
      <alignment vertical="center"/>
    </xf>
    <xf numFmtId="0" fontId="9" fillId="90" borderId="2" xfId="0" applyFont="1" applyFill="1" applyBorder="1" applyAlignment="1">
      <alignment horizontal="center" vertical="center"/>
    </xf>
    <xf numFmtId="0" fontId="9" fillId="90" borderId="2" xfId="0" applyFont="1" applyFill="1" applyBorder="1" applyAlignment="1">
      <alignment horizontal="left" vertical="center"/>
    </xf>
    <xf numFmtId="2" fontId="7" fillId="90" borderId="3" xfId="3" applyNumberFormat="1" applyFont="1" applyFill="1" applyBorder="1" applyAlignment="1">
      <alignment horizontal="center" vertical="center"/>
    </xf>
    <xf numFmtId="177" fontId="7" fillId="0" borderId="13" xfId="1" applyNumberFormat="1" applyFont="1" applyBorder="1" applyAlignment="1">
      <alignment horizontal="center" vertical="center"/>
    </xf>
    <xf numFmtId="236" fontId="9" fillId="0" borderId="0" xfId="0" applyNumberFormat="1" applyFont="1" applyAlignment="1">
      <alignment horizontal="center" vertical="center"/>
    </xf>
    <xf numFmtId="183" fontId="9" fillId="0" borderId="0" xfId="0" applyNumberFormat="1" applyFont="1" applyAlignment="1">
      <alignment horizontal="center" vertical="center"/>
    </xf>
    <xf numFmtId="237" fontId="9" fillId="0" borderId="3" xfId="0" applyNumberFormat="1" applyFont="1" applyBorder="1">
      <alignment vertical="center"/>
    </xf>
    <xf numFmtId="9" fontId="18" fillId="0" borderId="72" xfId="1" applyFont="1" applyFill="1" applyBorder="1">
      <alignment vertical="center"/>
    </xf>
    <xf numFmtId="9" fontId="18" fillId="0" borderId="3" xfId="1" applyFont="1" applyFill="1" applyBorder="1">
      <alignment vertical="center"/>
    </xf>
    <xf numFmtId="9" fontId="18" fillId="0" borderId="76" xfId="1" applyFont="1" applyFill="1" applyBorder="1">
      <alignment vertical="center"/>
    </xf>
    <xf numFmtId="10" fontId="7" fillId="0" borderId="13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187" fillId="107" borderId="24" xfId="0" applyFont="1" applyFill="1" applyBorder="1" applyAlignment="1">
      <alignment horizontal="center" vertical="center" wrapText="1"/>
    </xf>
    <xf numFmtId="0" fontId="187" fillId="107" borderId="92" xfId="0" applyFont="1" applyFill="1" applyBorder="1" applyAlignment="1">
      <alignment horizontal="center" vertical="center" wrapText="1"/>
    </xf>
    <xf numFmtId="0" fontId="187" fillId="107" borderId="101" xfId="0" applyFont="1" applyFill="1" applyBorder="1" applyAlignment="1">
      <alignment horizontal="center" vertical="center" wrapText="1"/>
    </xf>
    <xf numFmtId="0" fontId="187" fillId="107" borderId="102" xfId="0" applyFont="1" applyFill="1" applyBorder="1" applyAlignment="1">
      <alignment horizontal="center" vertical="center" wrapText="1"/>
    </xf>
    <xf numFmtId="0" fontId="178" fillId="101" borderId="94" xfId="0" applyFont="1" applyFill="1" applyBorder="1" applyAlignment="1">
      <alignment horizontal="center" vertical="center" wrapText="1"/>
    </xf>
    <xf numFmtId="0" fontId="178" fillId="101" borderId="50" xfId="0" applyFont="1" applyFill="1" applyBorder="1" applyAlignment="1">
      <alignment horizontal="center" vertical="center" wrapText="1"/>
    </xf>
    <xf numFmtId="0" fontId="178" fillId="102" borderId="84" xfId="0" applyFont="1" applyFill="1" applyBorder="1" applyAlignment="1">
      <alignment horizontal="center" vertical="center" wrapText="1"/>
    </xf>
    <xf numFmtId="0" fontId="178" fillId="102" borderId="49" xfId="0" applyFont="1" applyFill="1" applyBorder="1" applyAlignment="1">
      <alignment horizontal="center" vertical="center" wrapText="1"/>
    </xf>
    <xf numFmtId="0" fontId="177" fillId="102" borderId="94" xfId="0" applyFont="1" applyFill="1" applyBorder="1" applyAlignment="1">
      <alignment horizontal="center" vertical="center"/>
    </xf>
    <xf numFmtId="0" fontId="0" fillId="102" borderId="50" xfId="0" applyFill="1" applyBorder="1" applyAlignment="1">
      <alignment horizontal="center" vertical="center"/>
    </xf>
    <xf numFmtId="0" fontId="177" fillId="95" borderId="0" xfId="0" applyFont="1" applyFill="1" applyAlignment="1">
      <alignment horizontal="center" vertical="center"/>
    </xf>
    <xf numFmtId="0" fontId="0" fillId="95" borderId="0" xfId="0" applyFill="1" applyAlignment="1">
      <alignment horizontal="center" vertical="center"/>
    </xf>
    <xf numFmtId="0" fontId="14" fillId="90" borderId="5" xfId="0" applyFont="1" applyFill="1" applyBorder="1" applyAlignment="1">
      <alignment horizontal="center" vertical="center" wrapText="1"/>
    </xf>
    <xf numFmtId="0" fontId="14" fillId="90" borderId="6" xfId="0" applyFont="1" applyFill="1" applyBorder="1" applyAlignment="1">
      <alignment horizontal="center" vertical="center" wrapText="1"/>
    </xf>
    <xf numFmtId="0" fontId="0" fillId="90" borderId="71" xfId="0" applyFill="1" applyBorder="1" applyAlignment="1">
      <alignment horizontal="center" vertical="center"/>
    </xf>
    <xf numFmtId="0" fontId="0" fillId="90" borderId="86" xfId="0" applyFill="1" applyBorder="1" applyAlignment="1">
      <alignment horizontal="center" vertical="center"/>
    </xf>
    <xf numFmtId="0" fontId="0" fillId="90" borderId="89" xfId="0" applyFill="1" applyBorder="1" applyAlignment="1">
      <alignment horizontal="center" vertical="center"/>
    </xf>
    <xf numFmtId="0" fontId="0" fillId="90" borderId="87" xfId="0" applyFill="1" applyBorder="1" applyAlignment="1">
      <alignment horizontal="center" vertical="center"/>
    </xf>
    <xf numFmtId="0" fontId="0" fillId="90" borderId="6" xfId="0" applyFill="1" applyBorder="1" applyAlignment="1">
      <alignment horizontal="center" vertical="center"/>
    </xf>
    <xf numFmtId="0" fontId="0" fillId="90" borderId="3" xfId="0" applyFill="1" applyBorder="1" applyAlignment="1">
      <alignment horizontal="center" vertical="center"/>
    </xf>
    <xf numFmtId="0" fontId="0" fillId="90" borderId="4" xfId="0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76" fillId="100" borderId="84" xfId="0" applyFont="1" applyFill="1" applyBorder="1" applyAlignment="1">
      <alignment horizontal="center" vertical="center" wrapText="1"/>
    </xf>
    <xf numFmtId="0" fontId="176" fillId="100" borderId="49" xfId="0" applyFont="1" applyFill="1" applyBorder="1" applyAlignment="1">
      <alignment horizontal="center" vertical="center" wrapText="1"/>
    </xf>
    <xf numFmtId="0" fontId="184" fillId="104" borderId="51" xfId="0" applyFont="1" applyFill="1" applyBorder="1" applyAlignment="1">
      <alignment horizontal="center" vertical="center"/>
    </xf>
    <xf numFmtId="0" fontId="184" fillId="104" borderId="99" xfId="0" applyFont="1" applyFill="1" applyBorder="1" applyAlignment="1">
      <alignment horizontal="center" vertical="center"/>
    </xf>
    <xf numFmtId="0" fontId="184" fillId="104" borderId="52" xfId="0" applyFont="1" applyFill="1" applyBorder="1" applyAlignment="1">
      <alignment horizontal="center" vertical="center"/>
    </xf>
    <xf numFmtId="0" fontId="176" fillId="100" borderId="94" xfId="0" applyFont="1" applyFill="1" applyBorder="1" applyAlignment="1">
      <alignment horizontal="center" vertical="center" wrapText="1"/>
    </xf>
    <xf numFmtId="0" fontId="176" fillId="100" borderId="50" xfId="0" applyFont="1" applyFill="1" applyBorder="1" applyAlignment="1">
      <alignment horizontal="center" vertical="center" wrapText="1"/>
    </xf>
    <xf numFmtId="9" fontId="178" fillId="105" borderId="84" xfId="1" applyFont="1" applyFill="1" applyBorder="1" applyAlignment="1">
      <alignment horizontal="center" vertical="center" wrapText="1"/>
    </xf>
    <xf numFmtId="9" fontId="178" fillId="105" borderId="49" xfId="1" applyFont="1" applyFill="1" applyBorder="1" applyAlignment="1">
      <alignment horizontal="center" vertical="center" wrapText="1"/>
    </xf>
    <xf numFmtId="177" fontId="177" fillId="95" borderId="87" xfId="1" applyNumberFormat="1" applyFont="1" applyFill="1" applyBorder="1" applyAlignment="1">
      <alignment horizontal="center" vertical="center"/>
    </xf>
    <xf numFmtId="177" fontId="0" fillId="95" borderId="69" xfId="1" applyNumberFormat="1" applyFont="1" applyFill="1" applyBorder="1" applyAlignment="1">
      <alignment horizontal="center" vertical="center"/>
    </xf>
    <xf numFmtId="0" fontId="0" fillId="90" borderId="5" xfId="0" applyFill="1" applyBorder="1" applyAlignment="1">
      <alignment horizontal="center" vertical="center"/>
    </xf>
    <xf numFmtId="177" fontId="176" fillId="100" borderId="84" xfId="1" applyNumberFormat="1" applyFont="1" applyFill="1" applyBorder="1" applyAlignment="1">
      <alignment horizontal="center" vertical="center" wrapText="1"/>
    </xf>
    <xf numFmtId="177" fontId="176" fillId="100" borderId="95" xfId="1" applyNumberFormat="1" applyFont="1" applyFill="1" applyBorder="1" applyAlignment="1">
      <alignment horizontal="center" vertical="center" wrapText="1"/>
    </xf>
    <xf numFmtId="0" fontId="176" fillId="94" borderId="96" xfId="0" applyFont="1" applyFill="1" applyBorder="1" applyAlignment="1">
      <alignment horizontal="center" vertical="center" wrapText="1"/>
    </xf>
    <xf numFmtId="0" fontId="176" fillId="94" borderId="53" xfId="0" applyFont="1" applyFill="1" applyBorder="1" applyAlignment="1">
      <alignment horizontal="center" vertical="center" wrapText="1"/>
    </xf>
    <xf numFmtId="177" fontId="178" fillId="105" borderId="96" xfId="1" applyNumberFormat="1" applyFont="1" applyFill="1" applyBorder="1" applyAlignment="1">
      <alignment horizontal="center" vertical="center" wrapText="1"/>
    </xf>
    <xf numFmtId="177" fontId="178" fillId="105" borderId="53" xfId="1" applyNumberFormat="1" applyFont="1" applyFill="1" applyBorder="1" applyAlignment="1">
      <alignment horizontal="center" vertical="center" wrapText="1"/>
    </xf>
    <xf numFmtId="0" fontId="178" fillId="101" borderId="97" xfId="0" applyFont="1" applyFill="1" applyBorder="1" applyAlignment="1">
      <alignment horizontal="center" vertical="center" wrapText="1"/>
    </xf>
    <xf numFmtId="177" fontId="178" fillId="102" borderId="98" xfId="1" applyNumberFormat="1" applyFont="1" applyFill="1" applyBorder="1" applyAlignment="1">
      <alignment horizontal="center" vertical="center" wrapText="1"/>
    </xf>
    <xf numFmtId="177" fontId="178" fillId="102" borderId="91" xfId="1" applyNumberFormat="1" applyFont="1" applyFill="1" applyBorder="1" applyAlignment="1">
      <alignment horizontal="center" vertical="center" wrapText="1"/>
    </xf>
    <xf numFmtId="0" fontId="177" fillId="102" borderId="66" xfId="0" applyFont="1" applyFill="1" applyBorder="1" applyAlignment="1">
      <alignment horizontal="center" vertical="center"/>
    </xf>
    <xf numFmtId="0" fontId="0" fillId="102" borderId="6" xfId="0" applyFill="1" applyBorder="1" applyAlignment="1">
      <alignment horizontal="center" vertical="center"/>
    </xf>
    <xf numFmtId="0" fontId="14" fillId="90" borderId="3" xfId="0" applyFont="1" applyFill="1" applyBorder="1" applyAlignment="1">
      <alignment horizontal="center" vertical="center" wrapText="1"/>
    </xf>
    <xf numFmtId="0" fontId="105" fillId="0" borderId="103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195" fontId="105" fillId="0" borderId="4" xfId="0" applyNumberFormat="1" applyFont="1" applyBorder="1" applyAlignment="1">
      <alignment horizontal="center" vertical="center"/>
    </xf>
    <xf numFmtId="195" fontId="105" fillId="0" borderId="5" xfId="0" applyNumberFormat="1" applyFont="1" applyBorder="1" applyAlignment="1">
      <alignment horizontal="center" vertical="center"/>
    </xf>
    <xf numFmtId="195" fontId="105" fillId="0" borderId="6" xfId="0" applyNumberFormat="1" applyFont="1" applyBorder="1" applyAlignment="1">
      <alignment horizontal="center" vertical="center"/>
    </xf>
    <xf numFmtId="10" fontId="105" fillId="0" borderId="3" xfId="0" applyNumberFormat="1" applyFont="1" applyBorder="1" applyAlignment="1">
      <alignment horizontal="center" vertical="center" wrapText="1"/>
    </xf>
    <xf numFmtId="0" fontId="105" fillId="0" borderId="3" xfId="0" applyFont="1" applyBorder="1" applyAlignment="1">
      <alignment horizontal="center" vertical="center" wrapText="1"/>
    </xf>
    <xf numFmtId="0" fontId="105" fillId="0" borderId="1" xfId="0" applyFont="1" applyBorder="1" applyAlignment="1">
      <alignment horizontal="center" vertical="center"/>
    </xf>
    <xf numFmtId="0" fontId="105" fillId="0" borderId="2" xfId="0" applyFont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 vertical="center"/>
    </xf>
    <xf numFmtId="3" fontId="9" fillId="0" borderId="5" xfId="0" applyNumberFormat="1" applyFont="1" applyBorder="1" applyAlignment="1">
      <alignment horizontal="center" vertical="center"/>
    </xf>
    <xf numFmtId="3" fontId="9" fillId="0" borderId="6" xfId="0" applyNumberFormat="1" applyFont="1" applyBorder="1" applyAlignment="1">
      <alignment horizontal="center" vertical="center"/>
    </xf>
    <xf numFmtId="0" fontId="167" fillId="3" borderId="1" xfId="0" applyFont="1" applyFill="1" applyBorder="1" applyAlignment="1">
      <alignment horizontal="center" vertical="center"/>
    </xf>
    <xf numFmtId="0" fontId="167" fillId="3" borderId="7" xfId="0" applyFont="1" applyFill="1" applyBorder="1" applyAlignment="1">
      <alignment horizontal="center" vertical="center"/>
    </xf>
    <xf numFmtId="0" fontId="167" fillId="3" borderId="2" xfId="0" applyFont="1" applyFill="1" applyBorder="1" applyAlignment="1">
      <alignment horizontal="center" vertical="center"/>
    </xf>
    <xf numFmtId="176" fontId="7" fillId="2" borderId="1" xfId="3" applyNumberFormat="1" applyFont="1" applyFill="1" applyBorder="1" applyAlignment="1">
      <alignment horizontal="center" vertical="center"/>
    </xf>
    <xf numFmtId="176" fontId="7" fillId="2" borderId="7" xfId="3" applyNumberFormat="1" applyFont="1" applyFill="1" applyBorder="1" applyAlignment="1">
      <alignment horizontal="center" vertical="center"/>
    </xf>
    <xf numFmtId="176" fontId="7" fillId="2" borderId="2" xfId="3" applyNumberFormat="1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98" borderId="1" xfId="0" applyFont="1" applyFill="1" applyBorder="1" applyAlignment="1">
      <alignment horizontal="center" vertical="center"/>
    </xf>
    <xf numFmtId="0" fontId="9" fillId="98" borderId="7" xfId="0" applyFont="1" applyFill="1" applyBorder="1" applyAlignment="1">
      <alignment horizontal="center" vertical="center"/>
    </xf>
    <xf numFmtId="0" fontId="9" fillId="98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87" borderId="4" xfId="0" applyFont="1" applyFill="1" applyBorder="1" applyAlignment="1">
      <alignment horizontal="center" vertical="center"/>
    </xf>
    <xf numFmtId="0" fontId="6" fillId="87" borderId="5" xfId="0" applyFont="1" applyFill="1" applyBorder="1" applyAlignment="1">
      <alignment horizontal="center" vertical="center"/>
    </xf>
    <xf numFmtId="0" fontId="6" fillId="87" borderId="6" xfId="0" applyFont="1" applyFill="1" applyBorder="1" applyAlignment="1">
      <alignment horizontal="center" vertical="center"/>
    </xf>
    <xf numFmtId="0" fontId="9" fillId="92" borderId="74" xfId="0" applyFont="1" applyFill="1" applyBorder="1" applyAlignment="1">
      <alignment horizontal="center" vertical="center"/>
    </xf>
    <xf numFmtId="0" fontId="9" fillId="92" borderId="83" xfId="0" applyFont="1" applyFill="1" applyBorder="1" applyAlignment="1">
      <alignment horizontal="center" vertical="center"/>
    </xf>
    <xf numFmtId="0" fontId="9" fillId="92" borderId="54" xfId="0" applyFont="1" applyFill="1" applyBorder="1" applyAlignment="1">
      <alignment horizontal="center" vertical="center"/>
    </xf>
    <xf numFmtId="0" fontId="9" fillId="87" borderId="3" xfId="0" applyFont="1" applyFill="1" applyBorder="1" applyAlignment="1">
      <alignment horizontal="center" vertical="center"/>
    </xf>
    <xf numFmtId="0" fontId="7" fillId="87" borderId="1" xfId="0" applyFont="1" applyFill="1" applyBorder="1" applyAlignment="1">
      <alignment horizontal="center" vertical="center"/>
    </xf>
    <xf numFmtId="0" fontId="7" fillId="87" borderId="7" xfId="0" applyFont="1" applyFill="1" applyBorder="1" applyAlignment="1">
      <alignment horizontal="center" vertical="center"/>
    </xf>
    <xf numFmtId="0" fontId="7" fillId="87" borderId="2" xfId="0" applyFont="1" applyFill="1" applyBorder="1" applyAlignment="1">
      <alignment horizontal="center" vertical="center"/>
    </xf>
    <xf numFmtId="0" fontId="9" fillId="87" borderId="1" xfId="0" applyFont="1" applyFill="1" applyBorder="1" applyAlignment="1">
      <alignment horizontal="center" vertical="center"/>
    </xf>
    <xf numFmtId="0" fontId="9" fillId="87" borderId="7" xfId="0" applyFont="1" applyFill="1" applyBorder="1" applyAlignment="1">
      <alignment horizontal="center" vertical="center"/>
    </xf>
    <xf numFmtId="0" fontId="9" fillId="87" borderId="2" xfId="0" applyFont="1" applyFill="1" applyBorder="1" applyAlignment="1">
      <alignment horizontal="center" vertical="center"/>
    </xf>
    <xf numFmtId="0" fontId="167" fillId="3" borderId="1" xfId="0" applyFont="1" applyFill="1" applyBorder="1" applyAlignment="1">
      <alignment horizontal="left" vertical="center"/>
    </xf>
    <xf numFmtId="0" fontId="167" fillId="3" borderId="7" xfId="0" applyFont="1" applyFill="1" applyBorder="1" applyAlignment="1">
      <alignment horizontal="left" vertical="center"/>
    </xf>
    <xf numFmtId="0" fontId="167" fillId="3" borderId="2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center" vertical="center"/>
    </xf>
    <xf numFmtId="0" fontId="174" fillId="109" borderId="90" xfId="0" applyFont="1" applyFill="1" applyBorder="1" applyAlignment="1">
      <alignment horizontal="center" vertical="center"/>
    </xf>
    <xf numFmtId="0" fontId="174" fillId="109" borderId="91" xfId="0" applyFont="1" applyFill="1" applyBorder="1" applyAlignment="1">
      <alignment horizontal="center" vertical="center"/>
    </xf>
    <xf numFmtId="0" fontId="174" fillId="109" borderId="90" xfId="0" applyFont="1" applyFill="1" applyBorder="1" applyAlignment="1">
      <alignment horizontal="center" vertical="center" wrapText="1"/>
    </xf>
    <xf numFmtId="0" fontId="174" fillId="109" borderId="91" xfId="0" applyFont="1" applyFill="1" applyBorder="1" applyAlignment="1">
      <alignment horizontal="center" vertical="center" wrapText="1"/>
    </xf>
    <xf numFmtId="0" fontId="32" fillId="3" borderId="0" xfId="0" applyFont="1" applyFill="1" applyAlignment="1">
      <alignment horizontal="center" vertical="center" wrapText="1"/>
    </xf>
    <xf numFmtId="0" fontId="174" fillId="96" borderId="90" xfId="0" applyFont="1" applyFill="1" applyBorder="1" applyAlignment="1">
      <alignment horizontal="center" vertical="center" wrapText="1"/>
    </xf>
    <xf numFmtId="0" fontId="174" fillId="96" borderId="91" xfId="0" applyFont="1" applyFill="1" applyBorder="1" applyAlignment="1">
      <alignment horizontal="center" vertical="center" wrapText="1"/>
    </xf>
    <xf numFmtId="0" fontId="174" fillId="96" borderId="90" xfId="0" applyFont="1" applyFill="1" applyBorder="1" applyAlignment="1">
      <alignment horizontal="center" vertical="center"/>
    </xf>
    <xf numFmtId="0" fontId="174" fillId="96" borderId="91" xfId="0" applyFont="1" applyFill="1" applyBorder="1" applyAlignment="1">
      <alignment horizontal="center" vertical="center"/>
    </xf>
    <xf numFmtId="0" fontId="174" fillId="105" borderId="90" xfId="0" applyFont="1" applyFill="1" applyBorder="1" applyAlignment="1">
      <alignment horizontal="center" vertical="center"/>
    </xf>
    <xf numFmtId="0" fontId="174" fillId="105" borderId="91" xfId="0" applyFont="1" applyFill="1" applyBorder="1" applyAlignment="1">
      <alignment horizontal="center" vertical="center"/>
    </xf>
    <xf numFmtId="0" fontId="174" fillId="105" borderId="90" xfId="0" applyFont="1" applyFill="1" applyBorder="1" applyAlignment="1">
      <alignment horizontal="center" vertical="center" wrapText="1"/>
    </xf>
    <xf numFmtId="0" fontId="174" fillId="105" borderId="91" xfId="0" applyFont="1" applyFill="1" applyBorder="1" applyAlignment="1">
      <alignment horizontal="center" vertical="center" wrapText="1"/>
    </xf>
    <xf numFmtId="0" fontId="0" fillId="0" borderId="80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10" fontId="105" fillId="0" borderId="3" xfId="0" applyNumberFormat="1" applyFont="1" applyBorder="1" applyAlignment="1">
      <alignment horizontal="center" vertical="center"/>
    </xf>
    <xf numFmtId="0" fontId="105" fillId="0" borderId="3" xfId="0" applyFont="1" applyBorder="1" applyAlignment="1">
      <alignment horizontal="center" vertical="center"/>
    </xf>
    <xf numFmtId="0" fontId="105" fillId="0" borderId="65" xfId="0" applyFont="1" applyBorder="1" applyAlignment="1">
      <alignment horizontal="center" vertical="center"/>
    </xf>
    <xf numFmtId="0" fontId="105" fillId="0" borderId="66" xfId="0" applyFont="1" applyBorder="1" applyAlignment="1">
      <alignment horizontal="center" vertical="center"/>
    </xf>
    <xf numFmtId="0" fontId="105" fillId="0" borderId="68" xfId="0" applyFont="1" applyBorder="1" applyAlignment="1">
      <alignment horizontal="center" vertical="center"/>
    </xf>
    <xf numFmtId="178" fontId="9" fillId="0" borderId="5" xfId="0" applyNumberFormat="1" applyFont="1" applyFill="1" applyBorder="1">
      <alignment vertical="center"/>
    </xf>
    <xf numFmtId="0" fontId="9" fillId="0" borderId="5" xfId="0" applyFont="1" applyFill="1" applyBorder="1">
      <alignment vertical="center"/>
    </xf>
    <xf numFmtId="3" fontId="9" fillId="0" borderId="5" xfId="0" applyNumberFormat="1" applyFont="1" applyFill="1" applyBorder="1">
      <alignment vertical="center"/>
    </xf>
    <xf numFmtId="0" fontId="9" fillId="0" borderId="0" xfId="0" applyFont="1" applyFill="1">
      <alignment vertical="center"/>
    </xf>
    <xf numFmtId="0" fontId="9" fillId="0" borderId="0" xfId="0" applyFont="1" applyFill="1" applyAlignment="1">
      <alignment horizontal="center" vertical="center"/>
    </xf>
    <xf numFmtId="4" fontId="7" fillId="0" borderId="5" xfId="0" applyNumberFormat="1" applyFont="1" applyFill="1" applyBorder="1" applyAlignment="1">
      <alignment horizontal="center" vertical="center"/>
    </xf>
    <xf numFmtId="4" fontId="7" fillId="0" borderId="6" xfId="0" applyNumberFormat="1" applyFont="1" applyFill="1" applyBorder="1" applyAlignment="1">
      <alignment horizontal="center" vertical="center"/>
    </xf>
    <xf numFmtId="3" fontId="9" fillId="0" borderId="0" xfId="0" applyNumberFormat="1" applyFont="1" applyFill="1">
      <alignment vertical="center"/>
    </xf>
    <xf numFmtId="0" fontId="0" fillId="0" borderId="0" xfId="0" applyFill="1">
      <alignment vertical="center"/>
    </xf>
    <xf numFmtId="0" fontId="0" fillId="0" borderId="51" xfId="0" applyFill="1" applyBorder="1" applyAlignment="1">
      <alignment horizontal="center" vertical="center"/>
    </xf>
    <xf numFmtId="0" fontId="0" fillId="0" borderId="99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13" xfId="0" applyFill="1" applyBorder="1">
      <alignment vertical="center"/>
    </xf>
    <xf numFmtId="224" fontId="0" fillId="0" borderId="0" xfId="0" applyNumberFormat="1" applyFill="1">
      <alignment vertical="center"/>
    </xf>
    <xf numFmtId="224" fontId="0" fillId="0" borderId="53" xfId="0" applyNumberFormat="1" applyFill="1" applyBorder="1">
      <alignment vertical="center"/>
    </xf>
    <xf numFmtId="177" fontId="0" fillId="0" borderId="13" xfId="1" applyNumberFormat="1" applyFont="1" applyFill="1" applyBorder="1" applyAlignment="1">
      <alignment vertical="center"/>
    </xf>
    <xf numFmtId="222" fontId="0" fillId="0" borderId="13" xfId="1" applyNumberFormat="1" applyFont="1" applyFill="1" applyBorder="1">
      <alignment vertical="center"/>
    </xf>
    <xf numFmtId="222" fontId="0" fillId="0" borderId="0" xfId="0" applyNumberFormat="1" applyFill="1">
      <alignment vertical="center"/>
    </xf>
    <xf numFmtId="177" fontId="0" fillId="0" borderId="13" xfId="1" applyNumberFormat="1" applyFont="1" applyFill="1" applyBorder="1">
      <alignment vertical="center"/>
    </xf>
    <xf numFmtId="222" fontId="0" fillId="0" borderId="53" xfId="0" applyNumberFormat="1" applyFill="1" applyBorder="1">
      <alignment vertical="center"/>
    </xf>
    <xf numFmtId="177" fontId="0" fillId="0" borderId="74" xfId="1" applyNumberFormat="1" applyFont="1" applyFill="1" applyBorder="1">
      <alignment vertical="center"/>
    </xf>
    <xf numFmtId="177" fontId="0" fillId="0" borderId="54" xfId="1" applyNumberFormat="1" applyFont="1" applyFill="1" applyBorder="1">
      <alignment vertical="center"/>
    </xf>
    <xf numFmtId="0" fontId="0" fillId="105" borderId="0" xfId="0" applyFill="1">
      <alignment vertical="center"/>
    </xf>
    <xf numFmtId="0" fontId="159" fillId="0" borderId="6" xfId="0" applyFont="1" applyFill="1" applyBorder="1">
      <alignment vertical="center"/>
    </xf>
  </cellXfs>
  <cellStyles count="1516">
    <cellStyle name="_x000a_386grabber=M" xfId="205" xr:uid="{00000000-0005-0000-0000-000000000000}"/>
    <cellStyle name="??&amp;O?&amp;H?_x0008__x000f__x0007_?_x0007__x0001__x0001_" xfId="18" xr:uid="{00000000-0005-0000-0000-000001000000}"/>
    <cellStyle name="??&amp;O?&amp;H?_x0008_??_x0007__x0001__x0001_" xfId="19" xr:uid="{00000000-0005-0000-0000-000002000000}"/>
    <cellStyle name="1-1" xfId="20" xr:uid="{00000000-0005-0000-0000-000003000000}"/>
    <cellStyle name="20% - Accent1" xfId="1075" xr:uid="{00000000-0005-0000-0000-000004000000}"/>
    <cellStyle name="20% - Accent2" xfId="1076" xr:uid="{00000000-0005-0000-0000-000005000000}"/>
    <cellStyle name="20% - Accent3" xfId="1077" xr:uid="{00000000-0005-0000-0000-000006000000}"/>
    <cellStyle name="20% - Accent4" xfId="1078" xr:uid="{00000000-0005-0000-0000-000007000000}"/>
    <cellStyle name="20% - Accent5" xfId="1079" xr:uid="{00000000-0005-0000-0000-000008000000}"/>
    <cellStyle name="20% - Accent6" xfId="1080" xr:uid="{00000000-0005-0000-0000-000009000000}"/>
    <cellStyle name="20% - 강조색1 10" xfId="206" xr:uid="{00000000-0005-0000-0000-00000A000000}"/>
    <cellStyle name="20% - 강조색1 11" xfId="207" xr:uid="{00000000-0005-0000-0000-00000B000000}"/>
    <cellStyle name="20% - 강조색1 2" xfId="21" xr:uid="{00000000-0005-0000-0000-00000C000000}"/>
    <cellStyle name="20% - 강조색1 2 2" xfId="208" xr:uid="{00000000-0005-0000-0000-00000D000000}"/>
    <cellStyle name="20% - 강조색1 2 2 2" xfId="1081" xr:uid="{00000000-0005-0000-0000-00000E000000}"/>
    <cellStyle name="20% - 강조색1 2 2 3" xfId="1082" xr:uid="{00000000-0005-0000-0000-00000F000000}"/>
    <cellStyle name="20% - 강조색1 2 2 4" xfId="879" xr:uid="{00000000-0005-0000-0000-000010000000}"/>
    <cellStyle name="20% - 강조색1 2 3" xfId="209" xr:uid="{00000000-0005-0000-0000-000011000000}"/>
    <cellStyle name="20% - 강조색1 2 4" xfId="210" xr:uid="{00000000-0005-0000-0000-000012000000}"/>
    <cellStyle name="20% - 강조색1 2 4 2" xfId="1083" xr:uid="{00000000-0005-0000-0000-000013000000}"/>
    <cellStyle name="20% - 강조색1 3" xfId="211" xr:uid="{00000000-0005-0000-0000-000014000000}"/>
    <cellStyle name="20% - 강조색1 3 2" xfId="212" xr:uid="{00000000-0005-0000-0000-000015000000}"/>
    <cellStyle name="20% - 강조색1 4" xfId="213" xr:uid="{00000000-0005-0000-0000-000016000000}"/>
    <cellStyle name="20% - 강조색1 4 2" xfId="880" xr:uid="{00000000-0005-0000-0000-000017000000}"/>
    <cellStyle name="20% - 강조색1 5" xfId="214" xr:uid="{00000000-0005-0000-0000-000018000000}"/>
    <cellStyle name="20% - 강조색1 6" xfId="215" xr:uid="{00000000-0005-0000-0000-000019000000}"/>
    <cellStyle name="20% - 강조색1 7" xfId="216" xr:uid="{00000000-0005-0000-0000-00001A000000}"/>
    <cellStyle name="20% - 강조색1 8" xfId="217" xr:uid="{00000000-0005-0000-0000-00001B000000}"/>
    <cellStyle name="20% - 강조색1 9" xfId="218" xr:uid="{00000000-0005-0000-0000-00001C000000}"/>
    <cellStyle name="20% - 강조색2 10" xfId="219" xr:uid="{00000000-0005-0000-0000-00001D000000}"/>
    <cellStyle name="20% - 강조색2 11" xfId="220" xr:uid="{00000000-0005-0000-0000-00001E000000}"/>
    <cellStyle name="20% - 강조색2 2" xfId="22" xr:uid="{00000000-0005-0000-0000-00001F000000}"/>
    <cellStyle name="20% - 강조색2 2 2" xfId="221" xr:uid="{00000000-0005-0000-0000-000020000000}"/>
    <cellStyle name="20% - 강조색2 2 2 2" xfId="1084" xr:uid="{00000000-0005-0000-0000-000021000000}"/>
    <cellStyle name="20% - 강조색2 2 2 3" xfId="1085" xr:uid="{00000000-0005-0000-0000-000022000000}"/>
    <cellStyle name="20% - 강조색2 2 2 4" xfId="881" xr:uid="{00000000-0005-0000-0000-000023000000}"/>
    <cellStyle name="20% - 강조색2 2 3" xfId="222" xr:uid="{00000000-0005-0000-0000-000024000000}"/>
    <cellStyle name="20% - 강조색2 2 4" xfId="223" xr:uid="{00000000-0005-0000-0000-000025000000}"/>
    <cellStyle name="20% - 강조색2 2 4 2" xfId="1086" xr:uid="{00000000-0005-0000-0000-000026000000}"/>
    <cellStyle name="20% - 강조색2 3" xfId="224" xr:uid="{00000000-0005-0000-0000-000027000000}"/>
    <cellStyle name="20% - 강조색2 3 2" xfId="225" xr:uid="{00000000-0005-0000-0000-000028000000}"/>
    <cellStyle name="20% - 강조색2 4" xfId="226" xr:uid="{00000000-0005-0000-0000-000029000000}"/>
    <cellStyle name="20% - 강조색2 4 2" xfId="882" xr:uid="{00000000-0005-0000-0000-00002A000000}"/>
    <cellStyle name="20% - 강조색2 5" xfId="227" xr:uid="{00000000-0005-0000-0000-00002B000000}"/>
    <cellStyle name="20% - 강조색2 6" xfId="228" xr:uid="{00000000-0005-0000-0000-00002C000000}"/>
    <cellStyle name="20% - 강조색2 7" xfId="229" xr:uid="{00000000-0005-0000-0000-00002D000000}"/>
    <cellStyle name="20% - 강조색2 8" xfId="230" xr:uid="{00000000-0005-0000-0000-00002E000000}"/>
    <cellStyle name="20% - 강조색2 9" xfId="231" xr:uid="{00000000-0005-0000-0000-00002F000000}"/>
    <cellStyle name="20% - 강조색3 10" xfId="232" xr:uid="{00000000-0005-0000-0000-000030000000}"/>
    <cellStyle name="20% - 강조색3 11" xfId="233" xr:uid="{00000000-0005-0000-0000-000031000000}"/>
    <cellStyle name="20% - 강조색3 2" xfId="23" xr:uid="{00000000-0005-0000-0000-000032000000}"/>
    <cellStyle name="20% - 강조색3 2 2" xfId="234" xr:uid="{00000000-0005-0000-0000-000033000000}"/>
    <cellStyle name="20% - 강조색3 2 2 2" xfId="1087" xr:uid="{00000000-0005-0000-0000-000034000000}"/>
    <cellStyle name="20% - 강조색3 2 2 3" xfId="1088" xr:uid="{00000000-0005-0000-0000-000035000000}"/>
    <cellStyle name="20% - 강조색3 2 2 4" xfId="883" xr:uid="{00000000-0005-0000-0000-000036000000}"/>
    <cellStyle name="20% - 강조색3 2 3" xfId="235" xr:uid="{00000000-0005-0000-0000-000037000000}"/>
    <cellStyle name="20% - 강조색3 2 4" xfId="236" xr:uid="{00000000-0005-0000-0000-000038000000}"/>
    <cellStyle name="20% - 강조색3 2 4 2" xfId="1089" xr:uid="{00000000-0005-0000-0000-000039000000}"/>
    <cellStyle name="20% - 강조색3 3" xfId="237" xr:uid="{00000000-0005-0000-0000-00003A000000}"/>
    <cellStyle name="20% - 강조색3 3 2" xfId="238" xr:uid="{00000000-0005-0000-0000-00003B000000}"/>
    <cellStyle name="20% - 강조색3 4" xfId="239" xr:uid="{00000000-0005-0000-0000-00003C000000}"/>
    <cellStyle name="20% - 강조색3 4 2" xfId="884" xr:uid="{00000000-0005-0000-0000-00003D000000}"/>
    <cellStyle name="20% - 강조색3 5" xfId="240" xr:uid="{00000000-0005-0000-0000-00003E000000}"/>
    <cellStyle name="20% - 강조색3 6" xfId="241" xr:uid="{00000000-0005-0000-0000-00003F000000}"/>
    <cellStyle name="20% - 강조색3 7" xfId="242" xr:uid="{00000000-0005-0000-0000-000040000000}"/>
    <cellStyle name="20% - 강조색3 8" xfId="243" xr:uid="{00000000-0005-0000-0000-000041000000}"/>
    <cellStyle name="20% - 강조색3 9" xfId="244" xr:uid="{00000000-0005-0000-0000-000042000000}"/>
    <cellStyle name="20% - 강조색4 10" xfId="245" xr:uid="{00000000-0005-0000-0000-000043000000}"/>
    <cellStyle name="20% - 강조색4 11" xfId="246" xr:uid="{00000000-0005-0000-0000-000044000000}"/>
    <cellStyle name="20% - 강조색4 2" xfId="24" xr:uid="{00000000-0005-0000-0000-000045000000}"/>
    <cellStyle name="20% - 강조색4 2 2" xfId="247" xr:uid="{00000000-0005-0000-0000-000046000000}"/>
    <cellStyle name="20% - 강조색4 2 2 2" xfId="1090" xr:uid="{00000000-0005-0000-0000-000047000000}"/>
    <cellStyle name="20% - 강조색4 2 2 3" xfId="1091" xr:uid="{00000000-0005-0000-0000-000048000000}"/>
    <cellStyle name="20% - 강조색4 2 2 4" xfId="885" xr:uid="{00000000-0005-0000-0000-000049000000}"/>
    <cellStyle name="20% - 강조색4 2 3" xfId="248" xr:uid="{00000000-0005-0000-0000-00004A000000}"/>
    <cellStyle name="20% - 강조색4 2 4" xfId="249" xr:uid="{00000000-0005-0000-0000-00004B000000}"/>
    <cellStyle name="20% - 강조색4 2 4 2" xfId="1092" xr:uid="{00000000-0005-0000-0000-00004C000000}"/>
    <cellStyle name="20% - 강조색4 3" xfId="250" xr:uid="{00000000-0005-0000-0000-00004D000000}"/>
    <cellStyle name="20% - 강조색4 3 2" xfId="251" xr:uid="{00000000-0005-0000-0000-00004E000000}"/>
    <cellStyle name="20% - 강조색4 4" xfId="252" xr:uid="{00000000-0005-0000-0000-00004F000000}"/>
    <cellStyle name="20% - 강조색4 4 2" xfId="886" xr:uid="{00000000-0005-0000-0000-000050000000}"/>
    <cellStyle name="20% - 강조색4 5" xfId="253" xr:uid="{00000000-0005-0000-0000-000051000000}"/>
    <cellStyle name="20% - 강조색4 6" xfId="254" xr:uid="{00000000-0005-0000-0000-000052000000}"/>
    <cellStyle name="20% - 강조색4 7" xfId="255" xr:uid="{00000000-0005-0000-0000-000053000000}"/>
    <cellStyle name="20% - 강조색4 8" xfId="256" xr:uid="{00000000-0005-0000-0000-000054000000}"/>
    <cellStyle name="20% - 강조색4 9" xfId="257" xr:uid="{00000000-0005-0000-0000-000055000000}"/>
    <cellStyle name="20% - 강조색5 10" xfId="258" xr:uid="{00000000-0005-0000-0000-000056000000}"/>
    <cellStyle name="20% - 강조색5 11" xfId="259" xr:uid="{00000000-0005-0000-0000-000057000000}"/>
    <cellStyle name="20% - 강조색5 2" xfId="25" xr:uid="{00000000-0005-0000-0000-000058000000}"/>
    <cellStyle name="20% - 강조색5 2 2" xfId="260" xr:uid="{00000000-0005-0000-0000-000059000000}"/>
    <cellStyle name="20% - 강조색5 2 2 2" xfId="1093" xr:uid="{00000000-0005-0000-0000-00005A000000}"/>
    <cellStyle name="20% - 강조색5 2 2 3" xfId="1094" xr:uid="{00000000-0005-0000-0000-00005B000000}"/>
    <cellStyle name="20% - 강조색5 2 2 4" xfId="887" xr:uid="{00000000-0005-0000-0000-00005C000000}"/>
    <cellStyle name="20% - 강조색5 2 3" xfId="261" xr:uid="{00000000-0005-0000-0000-00005D000000}"/>
    <cellStyle name="20% - 강조색5 2 4" xfId="262" xr:uid="{00000000-0005-0000-0000-00005E000000}"/>
    <cellStyle name="20% - 강조색5 2 4 2" xfId="1095" xr:uid="{00000000-0005-0000-0000-00005F000000}"/>
    <cellStyle name="20% - 강조색5 3" xfId="263" xr:uid="{00000000-0005-0000-0000-000060000000}"/>
    <cellStyle name="20% - 강조색5 3 2" xfId="264" xr:uid="{00000000-0005-0000-0000-000061000000}"/>
    <cellStyle name="20% - 강조색5 4" xfId="265" xr:uid="{00000000-0005-0000-0000-000062000000}"/>
    <cellStyle name="20% - 강조색5 4 2" xfId="888" xr:uid="{00000000-0005-0000-0000-000063000000}"/>
    <cellStyle name="20% - 강조색5 5" xfId="266" xr:uid="{00000000-0005-0000-0000-000064000000}"/>
    <cellStyle name="20% - 강조색5 6" xfId="267" xr:uid="{00000000-0005-0000-0000-000065000000}"/>
    <cellStyle name="20% - 강조색5 7" xfId="268" xr:uid="{00000000-0005-0000-0000-000066000000}"/>
    <cellStyle name="20% - 강조색5 8" xfId="269" xr:uid="{00000000-0005-0000-0000-000067000000}"/>
    <cellStyle name="20% - 강조색5 9" xfId="270" xr:uid="{00000000-0005-0000-0000-000068000000}"/>
    <cellStyle name="20% - 강조색6 10" xfId="271" xr:uid="{00000000-0005-0000-0000-000069000000}"/>
    <cellStyle name="20% - 강조색6 11" xfId="272" xr:uid="{00000000-0005-0000-0000-00006A000000}"/>
    <cellStyle name="20% - 강조색6 2" xfId="26" xr:uid="{00000000-0005-0000-0000-00006B000000}"/>
    <cellStyle name="20% - 강조색6 2 2" xfId="273" xr:uid="{00000000-0005-0000-0000-00006C000000}"/>
    <cellStyle name="20% - 강조색6 2 2 2" xfId="1096" xr:uid="{00000000-0005-0000-0000-00006D000000}"/>
    <cellStyle name="20% - 강조색6 2 2 3" xfId="1097" xr:uid="{00000000-0005-0000-0000-00006E000000}"/>
    <cellStyle name="20% - 강조색6 2 2 4" xfId="889" xr:uid="{00000000-0005-0000-0000-00006F000000}"/>
    <cellStyle name="20% - 강조색6 2 3" xfId="274" xr:uid="{00000000-0005-0000-0000-000070000000}"/>
    <cellStyle name="20% - 강조색6 2 4" xfId="275" xr:uid="{00000000-0005-0000-0000-000071000000}"/>
    <cellStyle name="20% - 강조색6 2 4 2" xfId="1098" xr:uid="{00000000-0005-0000-0000-000072000000}"/>
    <cellStyle name="20% - 강조색6 3" xfId="276" xr:uid="{00000000-0005-0000-0000-000073000000}"/>
    <cellStyle name="20% - 강조색6 3 2" xfId="277" xr:uid="{00000000-0005-0000-0000-000074000000}"/>
    <cellStyle name="20% - 강조색6 4" xfId="278" xr:uid="{00000000-0005-0000-0000-000075000000}"/>
    <cellStyle name="20% - 강조색6 4 2" xfId="890" xr:uid="{00000000-0005-0000-0000-000076000000}"/>
    <cellStyle name="20% - 강조색6 5" xfId="279" xr:uid="{00000000-0005-0000-0000-000077000000}"/>
    <cellStyle name="20% - 강조색6 6" xfId="280" xr:uid="{00000000-0005-0000-0000-000078000000}"/>
    <cellStyle name="20% - 강조색6 7" xfId="281" xr:uid="{00000000-0005-0000-0000-000079000000}"/>
    <cellStyle name="20% - 강조색6 8" xfId="282" xr:uid="{00000000-0005-0000-0000-00007A000000}"/>
    <cellStyle name="20% - 강조색6 9" xfId="283" xr:uid="{00000000-0005-0000-0000-00007B000000}"/>
    <cellStyle name="40% - Accent1" xfId="1099" xr:uid="{00000000-0005-0000-0000-00007C000000}"/>
    <cellStyle name="40% - Accent2" xfId="1100" xr:uid="{00000000-0005-0000-0000-00007D000000}"/>
    <cellStyle name="40% - Accent3" xfId="1101" xr:uid="{00000000-0005-0000-0000-00007E000000}"/>
    <cellStyle name="40% - Accent4" xfId="1102" xr:uid="{00000000-0005-0000-0000-00007F000000}"/>
    <cellStyle name="40% - Accent5" xfId="1103" xr:uid="{00000000-0005-0000-0000-000080000000}"/>
    <cellStyle name="40% - Accent6" xfId="1104" xr:uid="{00000000-0005-0000-0000-000081000000}"/>
    <cellStyle name="40% - 강조색1 10" xfId="284" xr:uid="{00000000-0005-0000-0000-000082000000}"/>
    <cellStyle name="40% - 강조색1 11" xfId="285" xr:uid="{00000000-0005-0000-0000-000083000000}"/>
    <cellStyle name="40% - 강조색1 2" xfId="27" xr:uid="{00000000-0005-0000-0000-000084000000}"/>
    <cellStyle name="40% - 강조색1 2 2" xfId="286" xr:uid="{00000000-0005-0000-0000-000085000000}"/>
    <cellStyle name="40% - 강조색1 2 2 2" xfId="1105" xr:uid="{00000000-0005-0000-0000-000086000000}"/>
    <cellStyle name="40% - 강조색1 2 2 3" xfId="1106" xr:uid="{00000000-0005-0000-0000-000087000000}"/>
    <cellStyle name="40% - 강조색1 2 2 4" xfId="891" xr:uid="{00000000-0005-0000-0000-000088000000}"/>
    <cellStyle name="40% - 강조색1 2 3" xfId="287" xr:uid="{00000000-0005-0000-0000-000089000000}"/>
    <cellStyle name="40% - 강조색1 2 4" xfId="288" xr:uid="{00000000-0005-0000-0000-00008A000000}"/>
    <cellStyle name="40% - 강조색1 2 4 2" xfId="1107" xr:uid="{00000000-0005-0000-0000-00008B000000}"/>
    <cellStyle name="40% - 강조색1 3" xfId="289" xr:uid="{00000000-0005-0000-0000-00008C000000}"/>
    <cellStyle name="40% - 강조색1 3 2" xfId="290" xr:uid="{00000000-0005-0000-0000-00008D000000}"/>
    <cellStyle name="40% - 강조색1 4" xfId="291" xr:uid="{00000000-0005-0000-0000-00008E000000}"/>
    <cellStyle name="40% - 강조색1 4 2" xfId="892" xr:uid="{00000000-0005-0000-0000-00008F000000}"/>
    <cellStyle name="40% - 강조색1 5" xfId="292" xr:uid="{00000000-0005-0000-0000-000090000000}"/>
    <cellStyle name="40% - 강조색1 6" xfId="293" xr:uid="{00000000-0005-0000-0000-000091000000}"/>
    <cellStyle name="40% - 강조색1 7" xfId="294" xr:uid="{00000000-0005-0000-0000-000092000000}"/>
    <cellStyle name="40% - 강조색1 8" xfId="295" xr:uid="{00000000-0005-0000-0000-000093000000}"/>
    <cellStyle name="40% - 강조색1 9" xfId="296" xr:uid="{00000000-0005-0000-0000-000094000000}"/>
    <cellStyle name="40% - 강조색2 10" xfId="297" xr:uid="{00000000-0005-0000-0000-000095000000}"/>
    <cellStyle name="40% - 강조색2 11" xfId="298" xr:uid="{00000000-0005-0000-0000-000096000000}"/>
    <cellStyle name="40% - 강조색2 2" xfId="28" xr:uid="{00000000-0005-0000-0000-000097000000}"/>
    <cellStyle name="40% - 강조색2 2 2" xfId="299" xr:uid="{00000000-0005-0000-0000-000098000000}"/>
    <cellStyle name="40% - 강조색2 2 2 2" xfId="1108" xr:uid="{00000000-0005-0000-0000-000099000000}"/>
    <cellStyle name="40% - 강조색2 2 2 3" xfId="1109" xr:uid="{00000000-0005-0000-0000-00009A000000}"/>
    <cellStyle name="40% - 강조색2 2 2 4" xfId="893" xr:uid="{00000000-0005-0000-0000-00009B000000}"/>
    <cellStyle name="40% - 강조색2 2 3" xfId="300" xr:uid="{00000000-0005-0000-0000-00009C000000}"/>
    <cellStyle name="40% - 강조색2 2 4" xfId="301" xr:uid="{00000000-0005-0000-0000-00009D000000}"/>
    <cellStyle name="40% - 강조색2 2 4 2" xfId="1110" xr:uid="{00000000-0005-0000-0000-00009E000000}"/>
    <cellStyle name="40% - 강조색2 3" xfId="302" xr:uid="{00000000-0005-0000-0000-00009F000000}"/>
    <cellStyle name="40% - 강조색2 3 2" xfId="303" xr:uid="{00000000-0005-0000-0000-0000A0000000}"/>
    <cellStyle name="40% - 강조색2 4" xfId="304" xr:uid="{00000000-0005-0000-0000-0000A1000000}"/>
    <cellStyle name="40% - 강조색2 4 2" xfId="894" xr:uid="{00000000-0005-0000-0000-0000A2000000}"/>
    <cellStyle name="40% - 강조색2 5" xfId="305" xr:uid="{00000000-0005-0000-0000-0000A3000000}"/>
    <cellStyle name="40% - 강조색2 6" xfId="306" xr:uid="{00000000-0005-0000-0000-0000A4000000}"/>
    <cellStyle name="40% - 강조색2 7" xfId="307" xr:uid="{00000000-0005-0000-0000-0000A5000000}"/>
    <cellStyle name="40% - 강조색2 8" xfId="308" xr:uid="{00000000-0005-0000-0000-0000A6000000}"/>
    <cellStyle name="40% - 강조색2 9" xfId="309" xr:uid="{00000000-0005-0000-0000-0000A7000000}"/>
    <cellStyle name="40% - 강조색3 10" xfId="310" xr:uid="{00000000-0005-0000-0000-0000A8000000}"/>
    <cellStyle name="40% - 강조색3 11" xfId="311" xr:uid="{00000000-0005-0000-0000-0000A9000000}"/>
    <cellStyle name="40% - 강조색3 2" xfId="29" xr:uid="{00000000-0005-0000-0000-0000AA000000}"/>
    <cellStyle name="40% - 강조색3 2 2" xfId="312" xr:uid="{00000000-0005-0000-0000-0000AB000000}"/>
    <cellStyle name="40% - 강조색3 2 2 2" xfId="1111" xr:uid="{00000000-0005-0000-0000-0000AC000000}"/>
    <cellStyle name="40% - 강조색3 2 2 3" xfId="1112" xr:uid="{00000000-0005-0000-0000-0000AD000000}"/>
    <cellStyle name="40% - 강조색3 2 2 4" xfId="895" xr:uid="{00000000-0005-0000-0000-0000AE000000}"/>
    <cellStyle name="40% - 강조색3 2 3" xfId="313" xr:uid="{00000000-0005-0000-0000-0000AF000000}"/>
    <cellStyle name="40% - 강조색3 2 4" xfId="314" xr:uid="{00000000-0005-0000-0000-0000B0000000}"/>
    <cellStyle name="40% - 강조색3 2 4 2" xfId="1113" xr:uid="{00000000-0005-0000-0000-0000B1000000}"/>
    <cellStyle name="40% - 강조색3 3" xfId="315" xr:uid="{00000000-0005-0000-0000-0000B2000000}"/>
    <cellStyle name="40% - 강조색3 3 2" xfId="316" xr:uid="{00000000-0005-0000-0000-0000B3000000}"/>
    <cellStyle name="40% - 강조색3 4" xfId="317" xr:uid="{00000000-0005-0000-0000-0000B4000000}"/>
    <cellStyle name="40% - 강조색3 4 2" xfId="896" xr:uid="{00000000-0005-0000-0000-0000B5000000}"/>
    <cellStyle name="40% - 강조색3 5" xfId="318" xr:uid="{00000000-0005-0000-0000-0000B6000000}"/>
    <cellStyle name="40% - 강조색3 6" xfId="319" xr:uid="{00000000-0005-0000-0000-0000B7000000}"/>
    <cellStyle name="40% - 강조색3 7" xfId="320" xr:uid="{00000000-0005-0000-0000-0000B8000000}"/>
    <cellStyle name="40% - 강조색3 8" xfId="321" xr:uid="{00000000-0005-0000-0000-0000B9000000}"/>
    <cellStyle name="40% - 강조색3 9" xfId="322" xr:uid="{00000000-0005-0000-0000-0000BA000000}"/>
    <cellStyle name="40% - 강조색4 10" xfId="323" xr:uid="{00000000-0005-0000-0000-0000BB000000}"/>
    <cellStyle name="40% - 강조색4 11" xfId="324" xr:uid="{00000000-0005-0000-0000-0000BC000000}"/>
    <cellStyle name="40% - 강조색4 2" xfId="30" xr:uid="{00000000-0005-0000-0000-0000BD000000}"/>
    <cellStyle name="40% - 강조색4 2 2" xfId="325" xr:uid="{00000000-0005-0000-0000-0000BE000000}"/>
    <cellStyle name="40% - 강조색4 2 2 2" xfId="1114" xr:uid="{00000000-0005-0000-0000-0000BF000000}"/>
    <cellStyle name="40% - 강조색4 2 2 3" xfId="1115" xr:uid="{00000000-0005-0000-0000-0000C0000000}"/>
    <cellStyle name="40% - 강조색4 2 2 4" xfId="897" xr:uid="{00000000-0005-0000-0000-0000C1000000}"/>
    <cellStyle name="40% - 강조색4 2 3" xfId="326" xr:uid="{00000000-0005-0000-0000-0000C2000000}"/>
    <cellStyle name="40% - 강조색4 2 4" xfId="327" xr:uid="{00000000-0005-0000-0000-0000C3000000}"/>
    <cellStyle name="40% - 강조색4 2 4 2" xfId="1116" xr:uid="{00000000-0005-0000-0000-0000C4000000}"/>
    <cellStyle name="40% - 강조색4 3" xfId="328" xr:uid="{00000000-0005-0000-0000-0000C5000000}"/>
    <cellStyle name="40% - 강조색4 3 2" xfId="329" xr:uid="{00000000-0005-0000-0000-0000C6000000}"/>
    <cellStyle name="40% - 강조색4 4" xfId="330" xr:uid="{00000000-0005-0000-0000-0000C7000000}"/>
    <cellStyle name="40% - 강조색4 4 2" xfId="898" xr:uid="{00000000-0005-0000-0000-0000C8000000}"/>
    <cellStyle name="40% - 강조색4 5" xfId="331" xr:uid="{00000000-0005-0000-0000-0000C9000000}"/>
    <cellStyle name="40% - 강조색4 6" xfId="332" xr:uid="{00000000-0005-0000-0000-0000CA000000}"/>
    <cellStyle name="40% - 강조색4 7" xfId="333" xr:uid="{00000000-0005-0000-0000-0000CB000000}"/>
    <cellStyle name="40% - 강조색4 8" xfId="334" xr:uid="{00000000-0005-0000-0000-0000CC000000}"/>
    <cellStyle name="40% - 강조색4 9" xfId="335" xr:uid="{00000000-0005-0000-0000-0000CD000000}"/>
    <cellStyle name="40% - 강조색5 10" xfId="336" xr:uid="{00000000-0005-0000-0000-0000CE000000}"/>
    <cellStyle name="40% - 강조색5 11" xfId="337" xr:uid="{00000000-0005-0000-0000-0000CF000000}"/>
    <cellStyle name="40% - 강조색5 2" xfId="31" xr:uid="{00000000-0005-0000-0000-0000D0000000}"/>
    <cellStyle name="40% - 강조색5 2 2" xfId="338" xr:uid="{00000000-0005-0000-0000-0000D1000000}"/>
    <cellStyle name="40% - 강조색5 2 2 2" xfId="1117" xr:uid="{00000000-0005-0000-0000-0000D2000000}"/>
    <cellStyle name="40% - 강조색5 2 2 3" xfId="1118" xr:uid="{00000000-0005-0000-0000-0000D3000000}"/>
    <cellStyle name="40% - 강조색5 2 2 4" xfId="899" xr:uid="{00000000-0005-0000-0000-0000D4000000}"/>
    <cellStyle name="40% - 강조색5 2 3" xfId="339" xr:uid="{00000000-0005-0000-0000-0000D5000000}"/>
    <cellStyle name="40% - 강조색5 2 4" xfId="340" xr:uid="{00000000-0005-0000-0000-0000D6000000}"/>
    <cellStyle name="40% - 강조색5 2 4 2" xfId="1119" xr:uid="{00000000-0005-0000-0000-0000D7000000}"/>
    <cellStyle name="40% - 강조색5 3" xfId="341" xr:uid="{00000000-0005-0000-0000-0000D8000000}"/>
    <cellStyle name="40% - 강조색5 3 2" xfId="342" xr:uid="{00000000-0005-0000-0000-0000D9000000}"/>
    <cellStyle name="40% - 강조색5 4" xfId="343" xr:uid="{00000000-0005-0000-0000-0000DA000000}"/>
    <cellStyle name="40% - 강조색5 4 2" xfId="900" xr:uid="{00000000-0005-0000-0000-0000DB000000}"/>
    <cellStyle name="40% - 강조색5 5" xfId="344" xr:uid="{00000000-0005-0000-0000-0000DC000000}"/>
    <cellStyle name="40% - 강조색5 6" xfId="345" xr:uid="{00000000-0005-0000-0000-0000DD000000}"/>
    <cellStyle name="40% - 강조색5 7" xfId="346" xr:uid="{00000000-0005-0000-0000-0000DE000000}"/>
    <cellStyle name="40% - 강조색5 8" xfId="347" xr:uid="{00000000-0005-0000-0000-0000DF000000}"/>
    <cellStyle name="40% - 강조색5 9" xfId="348" xr:uid="{00000000-0005-0000-0000-0000E0000000}"/>
    <cellStyle name="40% - 강조색6 10" xfId="349" xr:uid="{00000000-0005-0000-0000-0000E1000000}"/>
    <cellStyle name="40% - 강조색6 11" xfId="350" xr:uid="{00000000-0005-0000-0000-0000E2000000}"/>
    <cellStyle name="40% - 강조색6 2" xfId="32" xr:uid="{00000000-0005-0000-0000-0000E3000000}"/>
    <cellStyle name="40% - 강조색6 2 2" xfId="351" xr:uid="{00000000-0005-0000-0000-0000E4000000}"/>
    <cellStyle name="40% - 강조색6 2 2 2" xfId="1120" xr:uid="{00000000-0005-0000-0000-0000E5000000}"/>
    <cellStyle name="40% - 강조색6 2 2 3" xfId="1121" xr:uid="{00000000-0005-0000-0000-0000E6000000}"/>
    <cellStyle name="40% - 강조색6 2 2 4" xfId="901" xr:uid="{00000000-0005-0000-0000-0000E7000000}"/>
    <cellStyle name="40% - 강조색6 2 3" xfId="352" xr:uid="{00000000-0005-0000-0000-0000E8000000}"/>
    <cellStyle name="40% - 강조색6 2 4" xfId="353" xr:uid="{00000000-0005-0000-0000-0000E9000000}"/>
    <cellStyle name="40% - 강조색6 2 4 2" xfId="1122" xr:uid="{00000000-0005-0000-0000-0000EA000000}"/>
    <cellStyle name="40% - 강조색6 3" xfId="354" xr:uid="{00000000-0005-0000-0000-0000EB000000}"/>
    <cellStyle name="40% - 강조색6 3 2" xfId="355" xr:uid="{00000000-0005-0000-0000-0000EC000000}"/>
    <cellStyle name="40% - 강조색6 4" xfId="356" xr:uid="{00000000-0005-0000-0000-0000ED000000}"/>
    <cellStyle name="40% - 강조색6 4 2" xfId="902" xr:uid="{00000000-0005-0000-0000-0000EE000000}"/>
    <cellStyle name="40% - 강조색6 5" xfId="357" xr:uid="{00000000-0005-0000-0000-0000EF000000}"/>
    <cellStyle name="40% - 강조색6 6" xfId="358" xr:uid="{00000000-0005-0000-0000-0000F0000000}"/>
    <cellStyle name="40% - 강조색6 7" xfId="359" xr:uid="{00000000-0005-0000-0000-0000F1000000}"/>
    <cellStyle name="40% - 강조색6 8" xfId="360" xr:uid="{00000000-0005-0000-0000-0000F2000000}"/>
    <cellStyle name="40% - 강조색6 9" xfId="361" xr:uid="{00000000-0005-0000-0000-0000F3000000}"/>
    <cellStyle name="60% - Accent1" xfId="1123" xr:uid="{00000000-0005-0000-0000-0000F4000000}"/>
    <cellStyle name="60% - Accent2" xfId="1124" xr:uid="{00000000-0005-0000-0000-0000F5000000}"/>
    <cellStyle name="60% - Accent3" xfId="1125" xr:uid="{00000000-0005-0000-0000-0000F6000000}"/>
    <cellStyle name="60% - Accent4" xfId="1126" xr:uid="{00000000-0005-0000-0000-0000F7000000}"/>
    <cellStyle name="60% - Accent5" xfId="1127" xr:uid="{00000000-0005-0000-0000-0000F8000000}"/>
    <cellStyle name="60% - Accent6" xfId="1128" xr:uid="{00000000-0005-0000-0000-0000F9000000}"/>
    <cellStyle name="60% - 강조색1 2" xfId="33" xr:uid="{00000000-0005-0000-0000-0000FA000000}"/>
    <cellStyle name="60% - 강조색1 2 2" xfId="362" xr:uid="{00000000-0005-0000-0000-0000FB000000}"/>
    <cellStyle name="60% - 강조색1 2 2 2" xfId="1129" xr:uid="{00000000-0005-0000-0000-0000FC000000}"/>
    <cellStyle name="60% - 강조색1 2 2 3" xfId="1130" xr:uid="{00000000-0005-0000-0000-0000FD000000}"/>
    <cellStyle name="60% - 강조색1 2 2 4" xfId="903" xr:uid="{00000000-0005-0000-0000-0000FE000000}"/>
    <cellStyle name="60% - 강조색1 2 3" xfId="363" xr:uid="{00000000-0005-0000-0000-0000FF000000}"/>
    <cellStyle name="60% - 강조색1 2 4" xfId="364" xr:uid="{00000000-0005-0000-0000-000000010000}"/>
    <cellStyle name="60% - 강조색1 2 4 2" xfId="1131" xr:uid="{00000000-0005-0000-0000-000001010000}"/>
    <cellStyle name="60% - 강조색1 3" xfId="365" xr:uid="{00000000-0005-0000-0000-000002010000}"/>
    <cellStyle name="60% - 강조색1 3 2" xfId="366" xr:uid="{00000000-0005-0000-0000-000003010000}"/>
    <cellStyle name="60% - 강조색1 4" xfId="367" xr:uid="{00000000-0005-0000-0000-000004010000}"/>
    <cellStyle name="60% - 강조색1 4 2" xfId="904" xr:uid="{00000000-0005-0000-0000-000005010000}"/>
    <cellStyle name="60% - 강조색2 2" xfId="34" xr:uid="{00000000-0005-0000-0000-000006010000}"/>
    <cellStyle name="60% - 강조색2 2 2" xfId="368" xr:uid="{00000000-0005-0000-0000-000007010000}"/>
    <cellStyle name="60% - 강조색2 2 2 2" xfId="1132" xr:uid="{00000000-0005-0000-0000-000008010000}"/>
    <cellStyle name="60% - 강조색2 2 2 3" xfId="1133" xr:uid="{00000000-0005-0000-0000-000009010000}"/>
    <cellStyle name="60% - 강조색2 2 2 4" xfId="905" xr:uid="{00000000-0005-0000-0000-00000A010000}"/>
    <cellStyle name="60% - 강조색2 2 3" xfId="369" xr:uid="{00000000-0005-0000-0000-00000B010000}"/>
    <cellStyle name="60% - 강조색2 2 4" xfId="370" xr:uid="{00000000-0005-0000-0000-00000C010000}"/>
    <cellStyle name="60% - 강조색2 2 4 2" xfId="1134" xr:uid="{00000000-0005-0000-0000-00000D010000}"/>
    <cellStyle name="60% - 강조색2 3" xfId="371" xr:uid="{00000000-0005-0000-0000-00000E010000}"/>
    <cellStyle name="60% - 강조색2 3 2" xfId="372" xr:uid="{00000000-0005-0000-0000-00000F010000}"/>
    <cellStyle name="60% - 강조색2 4" xfId="373" xr:uid="{00000000-0005-0000-0000-000010010000}"/>
    <cellStyle name="60% - 강조색2 4 2" xfId="906" xr:uid="{00000000-0005-0000-0000-000011010000}"/>
    <cellStyle name="60% - 강조색3 2" xfId="35" xr:uid="{00000000-0005-0000-0000-000012010000}"/>
    <cellStyle name="60% - 강조색3 2 2" xfId="374" xr:uid="{00000000-0005-0000-0000-000013010000}"/>
    <cellStyle name="60% - 강조색3 2 2 2" xfId="1135" xr:uid="{00000000-0005-0000-0000-000014010000}"/>
    <cellStyle name="60% - 강조색3 2 2 3" xfId="1136" xr:uid="{00000000-0005-0000-0000-000015010000}"/>
    <cellStyle name="60% - 강조색3 2 2 4" xfId="907" xr:uid="{00000000-0005-0000-0000-000016010000}"/>
    <cellStyle name="60% - 강조색3 2 3" xfId="375" xr:uid="{00000000-0005-0000-0000-000017010000}"/>
    <cellStyle name="60% - 강조색3 2 4" xfId="376" xr:uid="{00000000-0005-0000-0000-000018010000}"/>
    <cellStyle name="60% - 강조색3 2 4 2" xfId="1137" xr:uid="{00000000-0005-0000-0000-000019010000}"/>
    <cellStyle name="60% - 강조색3 3" xfId="377" xr:uid="{00000000-0005-0000-0000-00001A010000}"/>
    <cellStyle name="60% - 강조색3 3 2" xfId="378" xr:uid="{00000000-0005-0000-0000-00001B010000}"/>
    <cellStyle name="60% - 강조색3 4" xfId="379" xr:uid="{00000000-0005-0000-0000-00001C010000}"/>
    <cellStyle name="60% - 강조색3 4 2" xfId="908" xr:uid="{00000000-0005-0000-0000-00001D010000}"/>
    <cellStyle name="60% - 강조색4 2" xfId="36" xr:uid="{00000000-0005-0000-0000-00001E010000}"/>
    <cellStyle name="60% - 강조색4 2 2" xfId="380" xr:uid="{00000000-0005-0000-0000-00001F010000}"/>
    <cellStyle name="60% - 강조색4 2 2 2" xfId="1138" xr:uid="{00000000-0005-0000-0000-000020010000}"/>
    <cellStyle name="60% - 강조색4 2 2 3" xfId="1139" xr:uid="{00000000-0005-0000-0000-000021010000}"/>
    <cellStyle name="60% - 강조색4 2 2 4" xfId="909" xr:uid="{00000000-0005-0000-0000-000022010000}"/>
    <cellStyle name="60% - 강조색4 2 3" xfId="381" xr:uid="{00000000-0005-0000-0000-000023010000}"/>
    <cellStyle name="60% - 강조색4 2 4" xfId="382" xr:uid="{00000000-0005-0000-0000-000024010000}"/>
    <cellStyle name="60% - 강조색4 2 4 2" xfId="1140" xr:uid="{00000000-0005-0000-0000-000025010000}"/>
    <cellStyle name="60% - 강조색4 3" xfId="383" xr:uid="{00000000-0005-0000-0000-000026010000}"/>
    <cellStyle name="60% - 강조색4 3 2" xfId="384" xr:uid="{00000000-0005-0000-0000-000027010000}"/>
    <cellStyle name="60% - 강조색4 4" xfId="385" xr:uid="{00000000-0005-0000-0000-000028010000}"/>
    <cellStyle name="60% - 강조색4 4 2" xfId="910" xr:uid="{00000000-0005-0000-0000-000029010000}"/>
    <cellStyle name="60% - 강조색5 2" xfId="37" xr:uid="{00000000-0005-0000-0000-00002A010000}"/>
    <cellStyle name="60% - 강조색5 2 2" xfId="386" xr:uid="{00000000-0005-0000-0000-00002B010000}"/>
    <cellStyle name="60% - 강조색5 2 2 2" xfId="1141" xr:uid="{00000000-0005-0000-0000-00002C010000}"/>
    <cellStyle name="60% - 강조색5 2 2 3" xfId="1142" xr:uid="{00000000-0005-0000-0000-00002D010000}"/>
    <cellStyle name="60% - 강조색5 2 2 4" xfId="911" xr:uid="{00000000-0005-0000-0000-00002E010000}"/>
    <cellStyle name="60% - 강조색5 2 3" xfId="387" xr:uid="{00000000-0005-0000-0000-00002F010000}"/>
    <cellStyle name="60% - 강조색5 2 4" xfId="388" xr:uid="{00000000-0005-0000-0000-000030010000}"/>
    <cellStyle name="60% - 강조색5 2 4 2" xfId="1143" xr:uid="{00000000-0005-0000-0000-000031010000}"/>
    <cellStyle name="60% - 강조색5 3" xfId="389" xr:uid="{00000000-0005-0000-0000-000032010000}"/>
    <cellStyle name="60% - 강조색5 3 2" xfId="390" xr:uid="{00000000-0005-0000-0000-000033010000}"/>
    <cellStyle name="60% - 강조색5 4" xfId="391" xr:uid="{00000000-0005-0000-0000-000034010000}"/>
    <cellStyle name="60% - 강조색5 4 2" xfId="912" xr:uid="{00000000-0005-0000-0000-000035010000}"/>
    <cellStyle name="60% - 강조색6 2" xfId="38" xr:uid="{00000000-0005-0000-0000-000036010000}"/>
    <cellStyle name="60% - 강조색6 2 2" xfId="392" xr:uid="{00000000-0005-0000-0000-000037010000}"/>
    <cellStyle name="60% - 강조색6 2 2 2" xfId="1144" xr:uid="{00000000-0005-0000-0000-000038010000}"/>
    <cellStyle name="60% - 강조색6 2 2 3" xfId="1145" xr:uid="{00000000-0005-0000-0000-000039010000}"/>
    <cellStyle name="60% - 강조색6 2 2 4" xfId="913" xr:uid="{00000000-0005-0000-0000-00003A010000}"/>
    <cellStyle name="60% - 강조색6 2 3" xfId="393" xr:uid="{00000000-0005-0000-0000-00003B010000}"/>
    <cellStyle name="60% - 강조색6 2 4" xfId="394" xr:uid="{00000000-0005-0000-0000-00003C010000}"/>
    <cellStyle name="60% - 강조색6 2 4 2" xfId="1146" xr:uid="{00000000-0005-0000-0000-00003D010000}"/>
    <cellStyle name="60% - 강조색6 3" xfId="395" xr:uid="{00000000-0005-0000-0000-00003E010000}"/>
    <cellStyle name="60% - 강조색6 3 2" xfId="396" xr:uid="{00000000-0005-0000-0000-00003F010000}"/>
    <cellStyle name="60% - 강조색6 4" xfId="397" xr:uid="{00000000-0005-0000-0000-000040010000}"/>
    <cellStyle name="60% - 강조색6 4 2" xfId="914" xr:uid="{00000000-0005-0000-0000-000041010000}"/>
    <cellStyle name="Accent1" xfId="1147" xr:uid="{00000000-0005-0000-0000-000042010000}"/>
    <cellStyle name="Accent1 - 20%" xfId="1148" xr:uid="{00000000-0005-0000-0000-000043010000}"/>
    <cellStyle name="Accent1 - 40%" xfId="1149" xr:uid="{00000000-0005-0000-0000-000044010000}"/>
    <cellStyle name="Accent1 - 60%" xfId="1150" xr:uid="{00000000-0005-0000-0000-000045010000}"/>
    <cellStyle name="Accent2" xfId="1151" xr:uid="{00000000-0005-0000-0000-000046010000}"/>
    <cellStyle name="Accent2 - 20%" xfId="1152" xr:uid="{00000000-0005-0000-0000-000047010000}"/>
    <cellStyle name="Accent2 - 40%" xfId="1153" xr:uid="{00000000-0005-0000-0000-000048010000}"/>
    <cellStyle name="Accent2 - 60%" xfId="1154" xr:uid="{00000000-0005-0000-0000-000049010000}"/>
    <cellStyle name="Accent3" xfId="1155" xr:uid="{00000000-0005-0000-0000-00004A010000}"/>
    <cellStyle name="Accent3 - 20%" xfId="1156" xr:uid="{00000000-0005-0000-0000-00004B010000}"/>
    <cellStyle name="Accent3 - 40%" xfId="1157" xr:uid="{00000000-0005-0000-0000-00004C010000}"/>
    <cellStyle name="Accent3 - 60%" xfId="1158" xr:uid="{00000000-0005-0000-0000-00004D010000}"/>
    <cellStyle name="Accent4" xfId="1159" xr:uid="{00000000-0005-0000-0000-00004E010000}"/>
    <cellStyle name="Accent4 - 20%" xfId="1160" xr:uid="{00000000-0005-0000-0000-00004F010000}"/>
    <cellStyle name="Accent4 - 40%" xfId="1161" xr:uid="{00000000-0005-0000-0000-000050010000}"/>
    <cellStyle name="Accent4 - 60%" xfId="1162" xr:uid="{00000000-0005-0000-0000-000051010000}"/>
    <cellStyle name="Accent5" xfId="1163" xr:uid="{00000000-0005-0000-0000-000052010000}"/>
    <cellStyle name="Accent5 - 20%" xfId="1164" xr:uid="{00000000-0005-0000-0000-000053010000}"/>
    <cellStyle name="Accent5 - 40%" xfId="1165" xr:uid="{00000000-0005-0000-0000-000054010000}"/>
    <cellStyle name="Accent5 - 60%" xfId="1166" xr:uid="{00000000-0005-0000-0000-000055010000}"/>
    <cellStyle name="Accent6" xfId="1167" xr:uid="{00000000-0005-0000-0000-000056010000}"/>
    <cellStyle name="Accent6 - 20%" xfId="1168" xr:uid="{00000000-0005-0000-0000-000057010000}"/>
    <cellStyle name="Accent6 - 40%" xfId="1169" xr:uid="{00000000-0005-0000-0000-000058010000}"/>
    <cellStyle name="Accent6 - 60%" xfId="1170" xr:uid="{00000000-0005-0000-0000-000059010000}"/>
    <cellStyle name="Bad" xfId="1171" xr:uid="{00000000-0005-0000-0000-00005A010000}"/>
    <cellStyle name="Calculation" xfId="1172" xr:uid="{00000000-0005-0000-0000-00005B010000}"/>
    <cellStyle name="Check Cell" xfId="1173" xr:uid="{00000000-0005-0000-0000-00005C010000}"/>
    <cellStyle name="Comma [0] 2" xfId="39" xr:uid="{00000000-0005-0000-0000-00005D010000}"/>
    <cellStyle name="Comma [0] 2 2" xfId="40" xr:uid="{00000000-0005-0000-0000-00005E010000}"/>
    <cellStyle name="Comma [0] 2 2 2" xfId="1176" xr:uid="{00000000-0005-0000-0000-00005F010000}"/>
    <cellStyle name="Comma [0] 2 2 3" xfId="1175" xr:uid="{00000000-0005-0000-0000-000060010000}"/>
    <cellStyle name="Comma [0] 2 3" xfId="1177" xr:uid="{00000000-0005-0000-0000-000061010000}"/>
    <cellStyle name="Comma [0] 2 4" xfId="1174" xr:uid="{00000000-0005-0000-0000-000062010000}"/>
    <cellStyle name="Comma [0] 3" xfId="41" xr:uid="{00000000-0005-0000-0000-000063010000}"/>
    <cellStyle name="Comma [0] 4" xfId="42" xr:uid="{00000000-0005-0000-0000-000064010000}"/>
    <cellStyle name="Comma [0] 4 2" xfId="43" xr:uid="{00000000-0005-0000-0000-000065010000}"/>
    <cellStyle name="Comma [0] 4 2 2" xfId="1180" xr:uid="{00000000-0005-0000-0000-000066010000}"/>
    <cellStyle name="Comma [0] 4 2 3" xfId="1179" xr:uid="{00000000-0005-0000-0000-000067010000}"/>
    <cellStyle name="Comma [0] 4 3" xfId="44" xr:uid="{00000000-0005-0000-0000-000068010000}"/>
    <cellStyle name="Comma [0] 4 3 2" xfId="1182" xr:uid="{00000000-0005-0000-0000-000069010000}"/>
    <cellStyle name="Comma [0] 4 3 3" xfId="1181" xr:uid="{00000000-0005-0000-0000-00006A010000}"/>
    <cellStyle name="Comma [0] 4 4" xfId="1183" xr:uid="{00000000-0005-0000-0000-00006B010000}"/>
    <cellStyle name="Comma [0] 4 5" xfId="1178" xr:uid="{00000000-0005-0000-0000-00006C010000}"/>
    <cellStyle name="Comma [0]_MATERAL2" xfId="45" xr:uid="{00000000-0005-0000-0000-00006D010000}"/>
    <cellStyle name="Comma 2" xfId="46" xr:uid="{00000000-0005-0000-0000-00006E010000}"/>
    <cellStyle name="Comma_Cardiac Surgery" xfId="398" xr:uid="{00000000-0005-0000-0000-00006F010000}"/>
    <cellStyle name="Currency [0]_MATERAL2" xfId="47" xr:uid="{00000000-0005-0000-0000-000070010000}"/>
    <cellStyle name="Currency_MATERAL2" xfId="48" xr:uid="{00000000-0005-0000-0000-000071010000}"/>
    <cellStyle name="Emphasis 1" xfId="1184" xr:uid="{00000000-0005-0000-0000-000072010000}"/>
    <cellStyle name="Emphasis 2" xfId="1185" xr:uid="{00000000-0005-0000-0000-000073010000}"/>
    <cellStyle name="Emphasis 3" xfId="1186" xr:uid="{00000000-0005-0000-0000-000074010000}"/>
    <cellStyle name="Euro" xfId="49" xr:uid="{00000000-0005-0000-0000-000075010000}"/>
    <cellStyle name="Euro 2" xfId="399" xr:uid="{00000000-0005-0000-0000-000076010000}"/>
    <cellStyle name="Euro 2 2" xfId="400" xr:uid="{00000000-0005-0000-0000-000077010000}"/>
    <cellStyle name="Euro 3" xfId="401" xr:uid="{00000000-0005-0000-0000-000078010000}"/>
    <cellStyle name="Euro 3 2" xfId="915" xr:uid="{00000000-0005-0000-0000-000079010000}"/>
    <cellStyle name="Euro 4" xfId="402" xr:uid="{00000000-0005-0000-0000-00007A010000}"/>
    <cellStyle name="Explanatory Text" xfId="1187" xr:uid="{00000000-0005-0000-0000-00007B010000}"/>
    <cellStyle name="Good" xfId="1188" xr:uid="{00000000-0005-0000-0000-00007C010000}"/>
    <cellStyle name="Header1" xfId="403" xr:uid="{00000000-0005-0000-0000-00007D010000}"/>
    <cellStyle name="Header2" xfId="404" xr:uid="{00000000-0005-0000-0000-00007E010000}"/>
    <cellStyle name="Heading 1" xfId="1189" xr:uid="{00000000-0005-0000-0000-00007F010000}"/>
    <cellStyle name="Heading 2" xfId="1190" xr:uid="{00000000-0005-0000-0000-000080010000}"/>
    <cellStyle name="Heading 3" xfId="1191" xr:uid="{00000000-0005-0000-0000-000081010000}"/>
    <cellStyle name="Heading 4" xfId="1192" xr:uid="{00000000-0005-0000-0000-000082010000}"/>
    <cellStyle name="Input" xfId="1193" xr:uid="{00000000-0005-0000-0000-000083010000}"/>
    <cellStyle name="Linked Cell" xfId="1194" xr:uid="{00000000-0005-0000-0000-000084010000}"/>
    <cellStyle name="Neutral" xfId="1195" xr:uid="{00000000-0005-0000-0000-000085010000}"/>
    <cellStyle name="Normal 2" xfId="50" xr:uid="{00000000-0005-0000-0000-000086010000}"/>
    <cellStyle name="Normal 2 2" xfId="51" xr:uid="{00000000-0005-0000-0000-000087010000}"/>
    <cellStyle name="Normal 2 2 2" xfId="405" xr:uid="{00000000-0005-0000-0000-000088010000}"/>
    <cellStyle name="Normal 2 2 3" xfId="406" xr:uid="{00000000-0005-0000-0000-000089010000}"/>
    <cellStyle name="Normal 2 2 4" xfId="407" xr:uid="{00000000-0005-0000-0000-00008A010000}"/>
    <cellStyle name="Normal 2 3" xfId="52" xr:uid="{00000000-0005-0000-0000-00008B010000}"/>
    <cellStyle name="Normal 2 3 2" xfId="408" xr:uid="{00000000-0005-0000-0000-00008C010000}"/>
    <cellStyle name="Normal 2 4" xfId="409" xr:uid="{00000000-0005-0000-0000-00008D010000}"/>
    <cellStyle name="Normal 2 5" xfId="410" xr:uid="{00000000-0005-0000-0000-00008E010000}"/>
    <cellStyle name="Normal 2 5 2" xfId="916" xr:uid="{00000000-0005-0000-0000-00008F010000}"/>
    <cellStyle name="Normal 2 6" xfId="1065" xr:uid="{00000000-0005-0000-0000-000090010000}"/>
    <cellStyle name="Normal 3" xfId="53" xr:uid="{00000000-0005-0000-0000-000091010000}"/>
    <cellStyle name="Normal 4" xfId="54" xr:uid="{00000000-0005-0000-0000-000092010000}"/>
    <cellStyle name="Normal 5" xfId="55" xr:uid="{00000000-0005-0000-0000-000093010000}"/>
    <cellStyle name="Normal 5 2" xfId="56" xr:uid="{00000000-0005-0000-0000-000094010000}"/>
    <cellStyle name="Normal 5 2 2" xfId="57" xr:uid="{00000000-0005-0000-0000-000095010000}"/>
    <cellStyle name="Normal 5 2 3" xfId="58" xr:uid="{00000000-0005-0000-0000-000096010000}"/>
    <cellStyle name="Normal 5 3" xfId="59" xr:uid="{00000000-0005-0000-0000-000097010000}"/>
    <cellStyle name="Normal 5 4" xfId="60" xr:uid="{00000000-0005-0000-0000-000098010000}"/>
    <cellStyle name="Normal 5 5" xfId="61" xr:uid="{00000000-0005-0000-0000-000099010000}"/>
    <cellStyle name="Normal 6" xfId="62" xr:uid="{00000000-0005-0000-0000-00009A010000}"/>
    <cellStyle name="Normal_Certs Q2" xfId="63" xr:uid="{00000000-0005-0000-0000-00009B010000}"/>
    <cellStyle name="Note" xfId="1196" xr:uid="{00000000-0005-0000-0000-00009C010000}"/>
    <cellStyle name="Output" xfId="1197" xr:uid="{00000000-0005-0000-0000-00009D010000}"/>
    <cellStyle name="Percent 2" xfId="64" xr:uid="{00000000-0005-0000-0000-00009E010000}"/>
    <cellStyle name="Percent 2 2" xfId="65" xr:uid="{00000000-0005-0000-0000-00009F010000}"/>
    <cellStyle name="Percent 2 2 2" xfId="1200" xr:uid="{00000000-0005-0000-0000-0000A0010000}"/>
    <cellStyle name="Percent 2 2 3" xfId="1199" xr:uid="{00000000-0005-0000-0000-0000A1010000}"/>
    <cellStyle name="Percent 2 3" xfId="1201" xr:uid="{00000000-0005-0000-0000-0000A2010000}"/>
    <cellStyle name="Percent 2 4" xfId="1198" xr:uid="{00000000-0005-0000-0000-0000A3010000}"/>
    <cellStyle name="Percent 3" xfId="66" xr:uid="{00000000-0005-0000-0000-0000A4010000}"/>
    <cellStyle name="Percent 4" xfId="67" xr:uid="{00000000-0005-0000-0000-0000A5010000}"/>
    <cellStyle name="Percent 4 2" xfId="1203" xr:uid="{00000000-0005-0000-0000-0000A6010000}"/>
    <cellStyle name="Percent 4 3" xfId="1202" xr:uid="{00000000-0005-0000-0000-0000A7010000}"/>
    <cellStyle name="Percent 5" xfId="68" xr:uid="{00000000-0005-0000-0000-0000A8010000}"/>
    <cellStyle name="Percent 5 2" xfId="69" xr:uid="{00000000-0005-0000-0000-0000A9010000}"/>
    <cellStyle name="Percent 5 2 2" xfId="1206" xr:uid="{00000000-0005-0000-0000-0000AA010000}"/>
    <cellStyle name="Percent 5 2 3" xfId="1205" xr:uid="{00000000-0005-0000-0000-0000AB010000}"/>
    <cellStyle name="Percent 5 3" xfId="70" xr:uid="{00000000-0005-0000-0000-0000AC010000}"/>
    <cellStyle name="Percent 5 3 2" xfId="1208" xr:uid="{00000000-0005-0000-0000-0000AD010000}"/>
    <cellStyle name="Percent 5 3 3" xfId="1207" xr:uid="{00000000-0005-0000-0000-0000AE010000}"/>
    <cellStyle name="Percent 5 4" xfId="1209" xr:uid="{00000000-0005-0000-0000-0000AF010000}"/>
    <cellStyle name="Percent 5 5" xfId="1204" xr:uid="{00000000-0005-0000-0000-0000B0010000}"/>
    <cellStyle name="Percent 6" xfId="71" xr:uid="{00000000-0005-0000-0000-0000B1010000}"/>
    <cellStyle name="Percent 6 2" xfId="1211" xr:uid="{00000000-0005-0000-0000-0000B2010000}"/>
    <cellStyle name="Percent 6 3" xfId="1210" xr:uid="{00000000-0005-0000-0000-0000B3010000}"/>
    <cellStyle name="SAPBEXaggData" xfId="1212" xr:uid="{00000000-0005-0000-0000-0000B4010000}"/>
    <cellStyle name="SAPBEXaggDataEmph" xfId="1213" xr:uid="{00000000-0005-0000-0000-0000B5010000}"/>
    <cellStyle name="SAPBEXaggItem" xfId="1214" xr:uid="{00000000-0005-0000-0000-0000B6010000}"/>
    <cellStyle name="SAPBEXaggItemX" xfId="1215" xr:uid="{00000000-0005-0000-0000-0000B7010000}"/>
    <cellStyle name="SAPBEXchaText" xfId="1216" xr:uid="{00000000-0005-0000-0000-0000B8010000}"/>
    <cellStyle name="SAPBEXexcBad7" xfId="1217" xr:uid="{00000000-0005-0000-0000-0000B9010000}"/>
    <cellStyle name="SAPBEXexcBad8" xfId="1218" xr:uid="{00000000-0005-0000-0000-0000BA010000}"/>
    <cellStyle name="SAPBEXexcBad9" xfId="1219" xr:uid="{00000000-0005-0000-0000-0000BB010000}"/>
    <cellStyle name="SAPBEXexcCritical4" xfId="1220" xr:uid="{00000000-0005-0000-0000-0000BC010000}"/>
    <cellStyle name="SAPBEXexcCritical5" xfId="1221" xr:uid="{00000000-0005-0000-0000-0000BD010000}"/>
    <cellStyle name="SAPBEXexcCritical6" xfId="1222" xr:uid="{00000000-0005-0000-0000-0000BE010000}"/>
    <cellStyle name="SAPBEXexcGood1" xfId="1223" xr:uid="{00000000-0005-0000-0000-0000BF010000}"/>
    <cellStyle name="SAPBEXexcGood2" xfId="1224" xr:uid="{00000000-0005-0000-0000-0000C0010000}"/>
    <cellStyle name="SAPBEXexcGood3" xfId="1225" xr:uid="{00000000-0005-0000-0000-0000C1010000}"/>
    <cellStyle name="SAPBEXfilterDrill" xfId="1226" xr:uid="{00000000-0005-0000-0000-0000C2010000}"/>
    <cellStyle name="SAPBEXfilterItem" xfId="1227" xr:uid="{00000000-0005-0000-0000-0000C3010000}"/>
    <cellStyle name="SAPBEXfilterText" xfId="1228" xr:uid="{00000000-0005-0000-0000-0000C4010000}"/>
    <cellStyle name="SAPBEXformats" xfId="1229" xr:uid="{00000000-0005-0000-0000-0000C5010000}"/>
    <cellStyle name="SAPBEXheaderItem" xfId="1230" xr:uid="{00000000-0005-0000-0000-0000C6010000}"/>
    <cellStyle name="SAPBEXheaderText" xfId="1231" xr:uid="{00000000-0005-0000-0000-0000C7010000}"/>
    <cellStyle name="SAPBEXHLevel0" xfId="1232" xr:uid="{00000000-0005-0000-0000-0000C8010000}"/>
    <cellStyle name="SAPBEXHLevel0X" xfId="1233" xr:uid="{00000000-0005-0000-0000-0000C9010000}"/>
    <cellStyle name="SAPBEXHLevel1" xfId="1234" xr:uid="{00000000-0005-0000-0000-0000CA010000}"/>
    <cellStyle name="SAPBEXHLevel1X" xfId="1235" xr:uid="{00000000-0005-0000-0000-0000CB010000}"/>
    <cellStyle name="SAPBEXHLevel2" xfId="1236" xr:uid="{00000000-0005-0000-0000-0000CC010000}"/>
    <cellStyle name="SAPBEXHLevel2X" xfId="1237" xr:uid="{00000000-0005-0000-0000-0000CD010000}"/>
    <cellStyle name="SAPBEXHLevel3" xfId="1238" xr:uid="{00000000-0005-0000-0000-0000CE010000}"/>
    <cellStyle name="SAPBEXHLevel3X" xfId="1239" xr:uid="{00000000-0005-0000-0000-0000CF010000}"/>
    <cellStyle name="SAPBEXinputData" xfId="1240" xr:uid="{00000000-0005-0000-0000-0000D0010000}"/>
    <cellStyle name="SAPBEXresData" xfId="1241" xr:uid="{00000000-0005-0000-0000-0000D1010000}"/>
    <cellStyle name="SAPBEXresDataEmph" xfId="1242" xr:uid="{00000000-0005-0000-0000-0000D2010000}"/>
    <cellStyle name="SAPBEXresItem" xfId="1243" xr:uid="{00000000-0005-0000-0000-0000D3010000}"/>
    <cellStyle name="SAPBEXresItemX" xfId="1244" xr:uid="{00000000-0005-0000-0000-0000D4010000}"/>
    <cellStyle name="SAPBEXstdData" xfId="1245" xr:uid="{00000000-0005-0000-0000-0000D5010000}"/>
    <cellStyle name="SAPBEXstdDataEmph" xfId="1246" xr:uid="{00000000-0005-0000-0000-0000D6010000}"/>
    <cellStyle name="SAPBEXstdItem" xfId="1247" xr:uid="{00000000-0005-0000-0000-0000D7010000}"/>
    <cellStyle name="SAPBEXstdItemX" xfId="1248" xr:uid="{00000000-0005-0000-0000-0000D8010000}"/>
    <cellStyle name="SAPBEXtitle" xfId="1249" xr:uid="{00000000-0005-0000-0000-0000D9010000}"/>
    <cellStyle name="SAPBEXundefined" xfId="1250" xr:uid="{00000000-0005-0000-0000-0000DA010000}"/>
    <cellStyle name="Sheet Title" xfId="1251" xr:uid="{00000000-0005-0000-0000-0000DB010000}"/>
    <cellStyle name="Title" xfId="1252" xr:uid="{00000000-0005-0000-0000-0000DC010000}"/>
    <cellStyle name="Total" xfId="1253" xr:uid="{00000000-0005-0000-0000-0000DD010000}"/>
    <cellStyle name="Warning Text" xfId="1254" xr:uid="{00000000-0005-0000-0000-0000DE010000}"/>
    <cellStyle name="강조색1 2" xfId="72" xr:uid="{00000000-0005-0000-0000-0000DF010000}"/>
    <cellStyle name="강조색1 2 2" xfId="411" xr:uid="{00000000-0005-0000-0000-0000E0010000}"/>
    <cellStyle name="강조색1 2 2 2" xfId="1255" xr:uid="{00000000-0005-0000-0000-0000E1010000}"/>
    <cellStyle name="강조색1 2 2 3" xfId="1256" xr:uid="{00000000-0005-0000-0000-0000E2010000}"/>
    <cellStyle name="강조색1 2 2 4" xfId="917" xr:uid="{00000000-0005-0000-0000-0000E3010000}"/>
    <cellStyle name="강조색1 2 3" xfId="412" xr:uid="{00000000-0005-0000-0000-0000E4010000}"/>
    <cellStyle name="강조색1 2 4" xfId="413" xr:uid="{00000000-0005-0000-0000-0000E5010000}"/>
    <cellStyle name="강조색1 2 4 2" xfId="1257" xr:uid="{00000000-0005-0000-0000-0000E6010000}"/>
    <cellStyle name="강조색1 3" xfId="414" xr:uid="{00000000-0005-0000-0000-0000E7010000}"/>
    <cellStyle name="강조색1 3 2" xfId="415" xr:uid="{00000000-0005-0000-0000-0000E8010000}"/>
    <cellStyle name="강조색1 4" xfId="416" xr:uid="{00000000-0005-0000-0000-0000E9010000}"/>
    <cellStyle name="강조색1 4 2" xfId="918" xr:uid="{00000000-0005-0000-0000-0000EA010000}"/>
    <cellStyle name="강조색2 2" xfId="73" xr:uid="{00000000-0005-0000-0000-0000EB010000}"/>
    <cellStyle name="강조색2 2 2" xfId="417" xr:uid="{00000000-0005-0000-0000-0000EC010000}"/>
    <cellStyle name="강조색2 2 2 2" xfId="1258" xr:uid="{00000000-0005-0000-0000-0000ED010000}"/>
    <cellStyle name="강조색2 2 2 3" xfId="1259" xr:uid="{00000000-0005-0000-0000-0000EE010000}"/>
    <cellStyle name="강조색2 2 2 4" xfId="919" xr:uid="{00000000-0005-0000-0000-0000EF010000}"/>
    <cellStyle name="강조색2 2 3" xfId="418" xr:uid="{00000000-0005-0000-0000-0000F0010000}"/>
    <cellStyle name="강조색2 2 4" xfId="419" xr:uid="{00000000-0005-0000-0000-0000F1010000}"/>
    <cellStyle name="강조색2 2 4 2" xfId="1260" xr:uid="{00000000-0005-0000-0000-0000F2010000}"/>
    <cellStyle name="강조색2 3" xfId="420" xr:uid="{00000000-0005-0000-0000-0000F3010000}"/>
    <cellStyle name="강조색2 3 2" xfId="421" xr:uid="{00000000-0005-0000-0000-0000F4010000}"/>
    <cellStyle name="강조색2 4" xfId="422" xr:uid="{00000000-0005-0000-0000-0000F5010000}"/>
    <cellStyle name="강조색2 4 2" xfId="920" xr:uid="{00000000-0005-0000-0000-0000F6010000}"/>
    <cellStyle name="강조색3 2" xfId="74" xr:uid="{00000000-0005-0000-0000-0000F7010000}"/>
    <cellStyle name="강조색3 2 2" xfId="75" xr:uid="{00000000-0005-0000-0000-0000F8010000}"/>
    <cellStyle name="강조색3 2 2 2" xfId="423" xr:uid="{00000000-0005-0000-0000-0000F9010000}"/>
    <cellStyle name="강조색3 2 2 2 2" xfId="1261" xr:uid="{00000000-0005-0000-0000-0000FA010000}"/>
    <cellStyle name="강조색3 2 2 2 3" xfId="921" xr:uid="{00000000-0005-0000-0000-0000FB010000}"/>
    <cellStyle name="강조색3 2 2 3" xfId="1262" xr:uid="{00000000-0005-0000-0000-0000FC010000}"/>
    <cellStyle name="강조색3 2 2 4" xfId="1263" xr:uid="{00000000-0005-0000-0000-0000FD010000}"/>
    <cellStyle name="강조색3 2 3" xfId="424" xr:uid="{00000000-0005-0000-0000-0000FE010000}"/>
    <cellStyle name="강조색3 2 3 2" xfId="425" xr:uid="{00000000-0005-0000-0000-0000FF010000}"/>
    <cellStyle name="강조색3 2 3 2 2" xfId="923" xr:uid="{00000000-0005-0000-0000-000000020000}"/>
    <cellStyle name="강조색3 2 3 3" xfId="922" xr:uid="{00000000-0005-0000-0000-000001020000}"/>
    <cellStyle name="강조색3 2 4" xfId="426" xr:uid="{00000000-0005-0000-0000-000002020000}"/>
    <cellStyle name="강조색3 2 4 2" xfId="924" xr:uid="{00000000-0005-0000-0000-000003020000}"/>
    <cellStyle name="강조색3 2 5" xfId="1264" xr:uid="{00000000-0005-0000-0000-000004020000}"/>
    <cellStyle name="강조색3 3" xfId="427" xr:uid="{00000000-0005-0000-0000-000005020000}"/>
    <cellStyle name="강조색3 3 2" xfId="428" xr:uid="{00000000-0005-0000-0000-000006020000}"/>
    <cellStyle name="강조색3 4" xfId="429" xr:uid="{00000000-0005-0000-0000-000007020000}"/>
    <cellStyle name="강조색3 4 2" xfId="925" xr:uid="{00000000-0005-0000-0000-000008020000}"/>
    <cellStyle name="강조색4 2" xfId="76" xr:uid="{00000000-0005-0000-0000-000009020000}"/>
    <cellStyle name="강조색4 2 2" xfId="430" xr:uid="{00000000-0005-0000-0000-00000A020000}"/>
    <cellStyle name="강조색4 2 2 2" xfId="1265" xr:uid="{00000000-0005-0000-0000-00000B020000}"/>
    <cellStyle name="강조색4 2 2 3" xfId="1266" xr:uid="{00000000-0005-0000-0000-00000C020000}"/>
    <cellStyle name="강조색4 2 2 4" xfId="926" xr:uid="{00000000-0005-0000-0000-00000D020000}"/>
    <cellStyle name="강조색4 2 3" xfId="431" xr:uid="{00000000-0005-0000-0000-00000E020000}"/>
    <cellStyle name="강조색4 2 4" xfId="432" xr:uid="{00000000-0005-0000-0000-00000F020000}"/>
    <cellStyle name="강조색4 2 4 2" xfId="1267" xr:uid="{00000000-0005-0000-0000-000010020000}"/>
    <cellStyle name="강조색4 3" xfId="433" xr:uid="{00000000-0005-0000-0000-000011020000}"/>
    <cellStyle name="강조색4 3 2" xfId="434" xr:uid="{00000000-0005-0000-0000-000012020000}"/>
    <cellStyle name="강조색4 4" xfId="435" xr:uid="{00000000-0005-0000-0000-000013020000}"/>
    <cellStyle name="강조색4 4 2" xfId="927" xr:uid="{00000000-0005-0000-0000-000014020000}"/>
    <cellStyle name="강조색5 2" xfId="77" xr:uid="{00000000-0005-0000-0000-000015020000}"/>
    <cellStyle name="강조색5 2 2" xfId="436" xr:uid="{00000000-0005-0000-0000-000016020000}"/>
    <cellStyle name="강조색5 2 2 2" xfId="1268" xr:uid="{00000000-0005-0000-0000-000017020000}"/>
    <cellStyle name="강조색5 2 2 3" xfId="1269" xr:uid="{00000000-0005-0000-0000-000018020000}"/>
    <cellStyle name="강조색5 2 2 4" xfId="928" xr:uid="{00000000-0005-0000-0000-000019020000}"/>
    <cellStyle name="강조색5 2 3" xfId="437" xr:uid="{00000000-0005-0000-0000-00001A020000}"/>
    <cellStyle name="강조색5 2 4" xfId="438" xr:uid="{00000000-0005-0000-0000-00001B020000}"/>
    <cellStyle name="강조색5 2 4 2" xfId="1270" xr:uid="{00000000-0005-0000-0000-00001C020000}"/>
    <cellStyle name="강조색5 3" xfId="439" xr:uid="{00000000-0005-0000-0000-00001D020000}"/>
    <cellStyle name="강조색5 3 2" xfId="440" xr:uid="{00000000-0005-0000-0000-00001E020000}"/>
    <cellStyle name="강조색5 4" xfId="441" xr:uid="{00000000-0005-0000-0000-00001F020000}"/>
    <cellStyle name="강조색5 4 2" xfId="929" xr:uid="{00000000-0005-0000-0000-000020020000}"/>
    <cellStyle name="강조색6 2" xfId="78" xr:uid="{00000000-0005-0000-0000-000021020000}"/>
    <cellStyle name="강조색6 2 2" xfId="442" xr:uid="{00000000-0005-0000-0000-000022020000}"/>
    <cellStyle name="강조색6 2 2 2" xfId="1271" xr:uid="{00000000-0005-0000-0000-000023020000}"/>
    <cellStyle name="강조색6 2 2 3" xfId="1272" xr:uid="{00000000-0005-0000-0000-000024020000}"/>
    <cellStyle name="강조색6 2 2 4" xfId="930" xr:uid="{00000000-0005-0000-0000-000025020000}"/>
    <cellStyle name="강조색6 2 3" xfId="443" xr:uid="{00000000-0005-0000-0000-000026020000}"/>
    <cellStyle name="강조색6 2 4" xfId="444" xr:uid="{00000000-0005-0000-0000-000027020000}"/>
    <cellStyle name="강조색6 2 4 2" xfId="1273" xr:uid="{00000000-0005-0000-0000-000028020000}"/>
    <cellStyle name="강조색6 3" xfId="445" xr:uid="{00000000-0005-0000-0000-000029020000}"/>
    <cellStyle name="강조색6 3 2" xfId="446" xr:uid="{00000000-0005-0000-0000-00002A020000}"/>
    <cellStyle name="강조색6 4" xfId="447" xr:uid="{00000000-0005-0000-0000-00002B020000}"/>
    <cellStyle name="강조색6 4 2" xfId="931" xr:uid="{00000000-0005-0000-0000-00002C020000}"/>
    <cellStyle name="경고문 2" xfId="79" xr:uid="{00000000-0005-0000-0000-00002D020000}"/>
    <cellStyle name="경고문 2 2" xfId="448" xr:uid="{00000000-0005-0000-0000-00002E020000}"/>
    <cellStyle name="경고문 2 2 2" xfId="1274" xr:uid="{00000000-0005-0000-0000-00002F020000}"/>
    <cellStyle name="경고문 2 2 3" xfId="1275" xr:uid="{00000000-0005-0000-0000-000030020000}"/>
    <cellStyle name="경고문 2 2 4" xfId="932" xr:uid="{00000000-0005-0000-0000-000031020000}"/>
    <cellStyle name="경고문 2 3" xfId="449" xr:uid="{00000000-0005-0000-0000-000032020000}"/>
    <cellStyle name="경고문 2 4" xfId="450" xr:uid="{00000000-0005-0000-0000-000033020000}"/>
    <cellStyle name="경고문 2 4 2" xfId="1276" xr:uid="{00000000-0005-0000-0000-000034020000}"/>
    <cellStyle name="경고문 3" xfId="451" xr:uid="{00000000-0005-0000-0000-000035020000}"/>
    <cellStyle name="경고문 3 2" xfId="452" xr:uid="{00000000-0005-0000-0000-000036020000}"/>
    <cellStyle name="경고문 4" xfId="453" xr:uid="{00000000-0005-0000-0000-000037020000}"/>
    <cellStyle name="경고문 4 2" xfId="933" xr:uid="{00000000-0005-0000-0000-000038020000}"/>
    <cellStyle name="계산 2" xfId="80" xr:uid="{00000000-0005-0000-0000-000039020000}"/>
    <cellStyle name="계산 2 2" xfId="81" xr:uid="{00000000-0005-0000-0000-00003A020000}"/>
    <cellStyle name="계산 2 2 2" xfId="1277" xr:uid="{00000000-0005-0000-0000-00003B020000}"/>
    <cellStyle name="계산 2 2 3" xfId="1278" xr:uid="{00000000-0005-0000-0000-00003C020000}"/>
    <cellStyle name="계산 2 2 4" xfId="1279" xr:uid="{00000000-0005-0000-0000-00003D020000}"/>
    <cellStyle name="계산 2 2 5" xfId="934" xr:uid="{00000000-0005-0000-0000-00003E020000}"/>
    <cellStyle name="계산 2 3" xfId="82" xr:uid="{00000000-0005-0000-0000-00003F020000}"/>
    <cellStyle name="계산 2 3 2" xfId="454" xr:uid="{00000000-0005-0000-0000-000040020000}"/>
    <cellStyle name="계산 2 4" xfId="83" xr:uid="{00000000-0005-0000-0000-000041020000}"/>
    <cellStyle name="계산 2 5" xfId="1280" xr:uid="{00000000-0005-0000-0000-000042020000}"/>
    <cellStyle name="계산 2 6" xfId="1281" xr:uid="{00000000-0005-0000-0000-000043020000}"/>
    <cellStyle name="계산 3" xfId="455" xr:uid="{00000000-0005-0000-0000-000044020000}"/>
    <cellStyle name="계산 3 2" xfId="456" xr:uid="{00000000-0005-0000-0000-000045020000}"/>
    <cellStyle name="계산 3 2 2" xfId="935" xr:uid="{00000000-0005-0000-0000-000046020000}"/>
    <cellStyle name="계산 4" xfId="457" xr:uid="{00000000-0005-0000-0000-000047020000}"/>
    <cellStyle name="계산 4 2" xfId="458" xr:uid="{00000000-0005-0000-0000-000048020000}"/>
    <cellStyle name="계산 5" xfId="459" xr:uid="{00000000-0005-0000-0000-000049020000}"/>
    <cellStyle name="나쁨 2" xfId="84" xr:uid="{00000000-0005-0000-0000-00004A020000}"/>
    <cellStyle name="나쁨 2 2" xfId="460" xr:uid="{00000000-0005-0000-0000-00004B020000}"/>
    <cellStyle name="나쁨 2 2 2" xfId="1282" xr:uid="{00000000-0005-0000-0000-00004C020000}"/>
    <cellStyle name="나쁨 2 2 3" xfId="1283" xr:uid="{00000000-0005-0000-0000-00004D020000}"/>
    <cellStyle name="나쁨 2 2 4" xfId="936" xr:uid="{00000000-0005-0000-0000-00004E020000}"/>
    <cellStyle name="나쁨 2 3" xfId="461" xr:uid="{00000000-0005-0000-0000-00004F020000}"/>
    <cellStyle name="나쁨 2 4" xfId="462" xr:uid="{00000000-0005-0000-0000-000050020000}"/>
    <cellStyle name="나쁨 2 4 2" xfId="1284" xr:uid="{00000000-0005-0000-0000-000051020000}"/>
    <cellStyle name="나쁨 2 5" xfId="1285" xr:uid="{00000000-0005-0000-0000-000052020000}"/>
    <cellStyle name="나쁨 3" xfId="463" xr:uid="{00000000-0005-0000-0000-000053020000}"/>
    <cellStyle name="나쁨 3 2" xfId="464" xr:uid="{00000000-0005-0000-0000-000054020000}"/>
    <cellStyle name="나쁨 3 2 2" xfId="1286" xr:uid="{00000000-0005-0000-0000-000055020000}"/>
    <cellStyle name="나쁨 4" xfId="465" xr:uid="{00000000-0005-0000-0000-000056020000}"/>
    <cellStyle name="나쁨 4 2" xfId="937" xr:uid="{00000000-0005-0000-0000-000057020000}"/>
    <cellStyle name="나쁨 5" xfId="466" xr:uid="{00000000-0005-0000-0000-000058020000}"/>
    <cellStyle name="메모 10" xfId="467" xr:uid="{00000000-0005-0000-0000-000059020000}"/>
    <cellStyle name="메모 11" xfId="468" xr:uid="{00000000-0005-0000-0000-00005A020000}"/>
    <cellStyle name="메모 2" xfId="85" xr:uid="{00000000-0005-0000-0000-00005B020000}"/>
    <cellStyle name="메모 2 2" xfId="86" xr:uid="{00000000-0005-0000-0000-00005C020000}"/>
    <cellStyle name="메모 2 2 2" xfId="469" xr:uid="{00000000-0005-0000-0000-00005D020000}"/>
    <cellStyle name="메모 2 2 2 2" xfId="1287" xr:uid="{00000000-0005-0000-0000-00005E020000}"/>
    <cellStyle name="메모 2 2 3" xfId="470" xr:uid="{00000000-0005-0000-0000-00005F020000}"/>
    <cellStyle name="메모 2 2 3 2" xfId="1288" xr:uid="{00000000-0005-0000-0000-000060020000}"/>
    <cellStyle name="메모 2 2 4" xfId="1289" xr:uid="{00000000-0005-0000-0000-000061020000}"/>
    <cellStyle name="메모 2 3" xfId="87" xr:uid="{00000000-0005-0000-0000-000062020000}"/>
    <cellStyle name="메모 2 3 2" xfId="471" xr:uid="{00000000-0005-0000-0000-000063020000}"/>
    <cellStyle name="메모 2 4" xfId="88" xr:uid="{00000000-0005-0000-0000-000064020000}"/>
    <cellStyle name="메모 2 5" xfId="1290" xr:uid="{00000000-0005-0000-0000-000065020000}"/>
    <cellStyle name="메모 2 6" xfId="1291" xr:uid="{00000000-0005-0000-0000-000066020000}"/>
    <cellStyle name="메모 3" xfId="472" xr:uid="{00000000-0005-0000-0000-000067020000}"/>
    <cellStyle name="메모 3 2" xfId="473" xr:uid="{00000000-0005-0000-0000-000068020000}"/>
    <cellStyle name="메모 3 2 2" xfId="938" xr:uid="{00000000-0005-0000-0000-000069020000}"/>
    <cellStyle name="메모 4" xfId="474" xr:uid="{00000000-0005-0000-0000-00006A020000}"/>
    <cellStyle name="메모 4 2" xfId="475" xr:uid="{00000000-0005-0000-0000-00006B020000}"/>
    <cellStyle name="메모 5" xfId="476" xr:uid="{00000000-0005-0000-0000-00006C020000}"/>
    <cellStyle name="메모 6" xfId="477" xr:uid="{00000000-0005-0000-0000-00006D020000}"/>
    <cellStyle name="메모 6 2" xfId="1074" xr:uid="{00000000-0005-0000-0000-00006E020000}"/>
    <cellStyle name="메모 7" xfId="478" xr:uid="{00000000-0005-0000-0000-00006F020000}"/>
    <cellStyle name="메모 8" xfId="479" xr:uid="{00000000-0005-0000-0000-000070020000}"/>
    <cellStyle name="메모 9" xfId="480" xr:uid="{00000000-0005-0000-0000-000071020000}"/>
    <cellStyle name="백분율" xfId="1" builtinId="5"/>
    <cellStyle name="백분율 10" xfId="481" xr:uid="{00000000-0005-0000-0000-000073020000}"/>
    <cellStyle name="백분율 10 2" xfId="1292" xr:uid="{00000000-0005-0000-0000-000074020000}"/>
    <cellStyle name="백분율 10 3" xfId="1293" xr:uid="{00000000-0005-0000-0000-000075020000}"/>
    <cellStyle name="백분율 10 4" xfId="1294" xr:uid="{00000000-0005-0000-0000-000076020000}"/>
    <cellStyle name="백분율 10 5" xfId="939" xr:uid="{00000000-0005-0000-0000-000077020000}"/>
    <cellStyle name="백분율 11" xfId="482" xr:uid="{00000000-0005-0000-0000-000078020000}"/>
    <cellStyle name="백분율 11 2" xfId="1295" xr:uid="{00000000-0005-0000-0000-000079020000}"/>
    <cellStyle name="백분율 11 3" xfId="940" xr:uid="{00000000-0005-0000-0000-00007A020000}"/>
    <cellStyle name="백분율 12" xfId="483" xr:uid="{00000000-0005-0000-0000-00007B020000}"/>
    <cellStyle name="백분율 12 2" xfId="1297" xr:uid="{00000000-0005-0000-0000-00007C020000}"/>
    <cellStyle name="백분율 12 3" xfId="1296" xr:uid="{00000000-0005-0000-0000-00007D020000}"/>
    <cellStyle name="백분율 13" xfId="484" xr:uid="{00000000-0005-0000-0000-00007E020000}"/>
    <cellStyle name="백분율 13 2" xfId="485" xr:uid="{00000000-0005-0000-0000-00007F020000}"/>
    <cellStyle name="백분율 13 3" xfId="1298" xr:uid="{00000000-0005-0000-0000-000080020000}"/>
    <cellStyle name="백분율 14" xfId="486" xr:uid="{00000000-0005-0000-0000-000081020000}"/>
    <cellStyle name="백분율 14 2" xfId="1299" xr:uid="{00000000-0005-0000-0000-000082020000}"/>
    <cellStyle name="백분율 15" xfId="1300" xr:uid="{00000000-0005-0000-0000-000083020000}"/>
    <cellStyle name="백분율 16" xfId="1301" xr:uid="{00000000-0005-0000-0000-000084020000}"/>
    <cellStyle name="백분율 2" xfId="89" xr:uid="{00000000-0005-0000-0000-000085020000}"/>
    <cellStyle name="백분율 2 10" xfId="487" xr:uid="{00000000-0005-0000-0000-000086020000}"/>
    <cellStyle name="백분율 2 10 2" xfId="1302" xr:uid="{00000000-0005-0000-0000-000087020000}"/>
    <cellStyle name="백분율 2 2" xfId="90" xr:uid="{00000000-0005-0000-0000-000088020000}"/>
    <cellStyle name="백분율 2 2 2" xfId="91" xr:uid="{00000000-0005-0000-0000-000089020000}"/>
    <cellStyle name="백분율 2 2 2 2" xfId="203" xr:uid="{00000000-0005-0000-0000-00008A020000}"/>
    <cellStyle name="백분율 2 2 2 2 2" xfId="488" xr:uid="{00000000-0005-0000-0000-00008B020000}"/>
    <cellStyle name="백분율 2 2 2 2 2 5" xfId="1511" xr:uid="{00000000-0005-0000-0000-00008C020000}"/>
    <cellStyle name="백분율 2 2 2 2 3" xfId="489" xr:uid="{00000000-0005-0000-0000-00008D020000}"/>
    <cellStyle name="백분율 2 2 2 2 4" xfId="941" xr:uid="{00000000-0005-0000-0000-00008E020000}"/>
    <cellStyle name="백분율 2 2 2 3" xfId="490" xr:uid="{00000000-0005-0000-0000-00008F020000}"/>
    <cellStyle name="백분율 2 2 2 3 2" xfId="491" xr:uid="{00000000-0005-0000-0000-000090020000}"/>
    <cellStyle name="백분율 2 2 2 3 3" xfId="492" xr:uid="{00000000-0005-0000-0000-000091020000}"/>
    <cellStyle name="백분율 2 2 2 3 4" xfId="1303" xr:uid="{00000000-0005-0000-0000-000092020000}"/>
    <cellStyle name="백분율 2 2 2 4" xfId="493" xr:uid="{00000000-0005-0000-0000-000093020000}"/>
    <cellStyle name="백분율 2 2 3" xfId="16" xr:uid="{00000000-0005-0000-0000-000094020000}"/>
    <cellStyle name="백분율 2 2 3 2" xfId="1304" xr:uid="{00000000-0005-0000-0000-000095020000}"/>
    <cellStyle name="백분율 2 2 4" xfId="494" xr:uid="{00000000-0005-0000-0000-000096020000}"/>
    <cellStyle name="백분율 2 2 4 2" xfId="1305" xr:uid="{00000000-0005-0000-0000-000097020000}"/>
    <cellStyle name="백분율 2 2 5" xfId="495" xr:uid="{00000000-0005-0000-0000-000098020000}"/>
    <cellStyle name="백분율 2 3" xfId="14" xr:uid="{00000000-0005-0000-0000-000099020000}"/>
    <cellStyle name="백분율 2 3 2" xfId="92" xr:uid="{00000000-0005-0000-0000-00009A020000}"/>
    <cellStyle name="백분율 2 3 2 2" xfId="496" xr:uid="{00000000-0005-0000-0000-00009B020000}"/>
    <cellStyle name="백분율 2 3 2 2 2" xfId="942" xr:uid="{00000000-0005-0000-0000-00009C020000}"/>
    <cellStyle name="백분율 2 3 3" xfId="497" xr:uid="{00000000-0005-0000-0000-00009D020000}"/>
    <cellStyle name="백분율 2 3 3 2" xfId="1306" xr:uid="{00000000-0005-0000-0000-00009E020000}"/>
    <cellStyle name="백분율 2 3 4" xfId="498" xr:uid="{00000000-0005-0000-0000-00009F020000}"/>
    <cellStyle name="백분율 2 3 4 2" xfId="1307" xr:uid="{00000000-0005-0000-0000-0000A0020000}"/>
    <cellStyle name="백분율 2 4" xfId="93" xr:uid="{00000000-0005-0000-0000-0000A1020000}"/>
    <cellStyle name="백분율 2 4 2" xfId="94" xr:uid="{00000000-0005-0000-0000-0000A2020000}"/>
    <cellStyle name="백분율 2 4 2 2" xfId="499" xr:uid="{00000000-0005-0000-0000-0000A3020000}"/>
    <cellStyle name="백분율 2 4 2 2 2" xfId="500" xr:uid="{00000000-0005-0000-0000-0000A4020000}"/>
    <cellStyle name="백분율 2 4 2 2 3" xfId="501" xr:uid="{00000000-0005-0000-0000-0000A5020000}"/>
    <cellStyle name="백분율 2 4 2 2 4" xfId="1308" xr:uid="{00000000-0005-0000-0000-0000A6020000}"/>
    <cellStyle name="백분율 2 4 2 2 5" xfId="943" xr:uid="{00000000-0005-0000-0000-0000A7020000}"/>
    <cellStyle name="백분율 2 4 2 3" xfId="502" xr:uid="{00000000-0005-0000-0000-0000A8020000}"/>
    <cellStyle name="백분율 2 4 3" xfId="503" xr:uid="{00000000-0005-0000-0000-0000A9020000}"/>
    <cellStyle name="백분율 2 4 3 2" xfId="504" xr:uid="{00000000-0005-0000-0000-0000AA020000}"/>
    <cellStyle name="백분율 2 4 3 3" xfId="505" xr:uid="{00000000-0005-0000-0000-0000AB020000}"/>
    <cellStyle name="백분율 2 4 3 4" xfId="1309" xr:uid="{00000000-0005-0000-0000-0000AC020000}"/>
    <cellStyle name="백분율 2 4 3 5" xfId="944" xr:uid="{00000000-0005-0000-0000-0000AD020000}"/>
    <cellStyle name="백분율 2 4 4" xfId="506" xr:uid="{00000000-0005-0000-0000-0000AE020000}"/>
    <cellStyle name="백분율 2 4 4 2" xfId="507" xr:uid="{00000000-0005-0000-0000-0000AF020000}"/>
    <cellStyle name="백분율 2 4 4 3" xfId="508" xr:uid="{00000000-0005-0000-0000-0000B0020000}"/>
    <cellStyle name="백분율 2 4 4 4" xfId="1310" xr:uid="{00000000-0005-0000-0000-0000B1020000}"/>
    <cellStyle name="백분율 2 4 5" xfId="509" xr:uid="{00000000-0005-0000-0000-0000B2020000}"/>
    <cellStyle name="백분율 2 4 5 2" xfId="510" xr:uid="{00000000-0005-0000-0000-0000B3020000}"/>
    <cellStyle name="백분율 2 4 5 3" xfId="511" xr:uid="{00000000-0005-0000-0000-0000B4020000}"/>
    <cellStyle name="백분율 2 4 6" xfId="512" xr:uid="{00000000-0005-0000-0000-0000B5020000}"/>
    <cellStyle name="백분율 2 5" xfId="95" xr:uid="{00000000-0005-0000-0000-0000B6020000}"/>
    <cellStyle name="백분율 2 5 2" xfId="513" xr:uid="{00000000-0005-0000-0000-0000B7020000}"/>
    <cellStyle name="백분율 2 5 2 2" xfId="514" xr:uid="{00000000-0005-0000-0000-0000B8020000}"/>
    <cellStyle name="백분율 2 5 2 2 2" xfId="1311" xr:uid="{00000000-0005-0000-0000-0000B9020000}"/>
    <cellStyle name="백분율 2 5 2 3" xfId="515" xr:uid="{00000000-0005-0000-0000-0000BA020000}"/>
    <cellStyle name="백분율 2 5 2 4" xfId="945" xr:uid="{00000000-0005-0000-0000-0000BB020000}"/>
    <cellStyle name="백분율 2 5 3" xfId="516" xr:uid="{00000000-0005-0000-0000-0000BC020000}"/>
    <cellStyle name="백분율 2 5 4" xfId="517" xr:uid="{00000000-0005-0000-0000-0000BD020000}"/>
    <cellStyle name="백분율 2 6" xfId="96" xr:uid="{00000000-0005-0000-0000-0000BE020000}"/>
    <cellStyle name="백분율 2 6 2" xfId="97" xr:uid="{00000000-0005-0000-0000-0000BF020000}"/>
    <cellStyle name="백분율 2 6 2 2" xfId="518" xr:uid="{00000000-0005-0000-0000-0000C0020000}"/>
    <cellStyle name="백분율 2 6 2 3" xfId="519" xr:uid="{00000000-0005-0000-0000-0000C1020000}"/>
    <cellStyle name="백분율 2 6 2 4" xfId="1312" xr:uid="{00000000-0005-0000-0000-0000C2020000}"/>
    <cellStyle name="백분율 2 6 2 5" xfId="946" xr:uid="{00000000-0005-0000-0000-0000C3020000}"/>
    <cellStyle name="백분율 2 6 3" xfId="1313" xr:uid="{00000000-0005-0000-0000-0000C4020000}"/>
    <cellStyle name="백분율 2 6 4" xfId="1314" xr:uid="{00000000-0005-0000-0000-0000C5020000}"/>
    <cellStyle name="백분율 2 7" xfId="98" xr:uid="{00000000-0005-0000-0000-0000C6020000}"/>
    <cellStyle name="백분율 2 7 2" xfId="520" xr:uid="{00000000-0005-0000-0000-0000C7020000}"/>
    <cellStyle name="백분율 2 7 2 2" xfId="521" xr:uid="{00000000-0005-0000-0000-0000C8020000}"/>
    <cellStyle name="백분율 2 7 2 3" xfId="522" xr:uid="{00000000-0005-0000-0000-0000C9020000}"/>
    <cellStyle name="백분율 2 7 2 4" xfId="1315" xr:uid="{00000000-0005-0000-0000-0000CA020000}"/>
    <cellStyle name="백분율 2 7 3" xfId="1316" xr:uid="{00000000-0005-0000-0000-0000CB020000}"/>
    <cellStyle name="백분율 2 8" xfId="99" xr:uid="{00000000-0005-0000-0000-0000CC020000}"/>
    <cellStyle name="백분율 2 8 2" xfId="1317" xr:uid="{00000000-0005-0000-0000-0000CD020000}"/>
    <cellStyle name="백분율 2 8 3" xfId="947" xr:uid="{00000000-0005-0000-0000-0000CE020000}"/>
    <cellStyle name="백분율 2 9" xfId="523" xr:uid="{00000000-0005-0000-0000-0000CF020000}"/>
    <cellStyle name="백분율 2 9 2" xfId="1318" xr:uid="{00000000-0005-0000-0000-0000D0020000}"/>
    <cellStyle name="백분율 3" xfId="100" xr:uid="{00000000-0005-0000-0000-0000D1020000}"/>
    <cellStyle name="백분율 3 2" xfId="101" xr:uid="{00000000-0005-0000-0000-0000D2020000}"/>
    <cellStyle name="백분율 3 2 2" xfId="102" xr:uid="{00000000-0005-0000-0000-0000D3020000}"/>
    <cellStyle name="백분율 3 2 2 2" xfId="524" xr:uid="{00000000-0005-0000-0000-0000D4020000}"/>
    <cellStyle name="백분율 3 2 2 2 2" xfId="1319" xr:uid="{00000000-0005-0000-0000-0000D5020000}"/>
    <cellStyle name="백분율 3 2 2 3" xfId="1320" xr:uid="{00000000-0005-0000-0000-0000D6020000}"/>
    <cellStyle name="백분율 3 2 2 4" xfId="948" xr:uid="{00000000-0005-0000-0000-0000D7020000}"/>
    <cellStyle name="백분율 3 2 3" xfId="525" xr:uid="{00000000-0005-0000-0000-0000D8020000}"/>
    <cellStyle name="백분율 3 2 3 2" xfId="1321" xr:uid="{00000000-0005-0000-0000-0000D9020000}"/>
    <cellStyle name="백분율 3 2 3 3" xfId="949" xr:uid="{00000000-0005-0000-0000-0000DA020000}"/>
    <cellStyle name="백분율 3 2 4" xfId="526" xr:uid="{00000000-0005-0000-0000-0000DB020000}"/>
    <cellStyle name="백분율 3 2 4 2" xfId="950" xr:uid="{00000000-0005-0000-0000-0000DC020000}"/>
    <cellStyle name="백분율 3 2 5" xfId="527" xr:uid="{00000000-0005-0000-0000-0000DD020000}"/>
    <cellStyle name="백분율 3 2 5 2" xfId="1322" xr:uid="{00000000-0005-0000-0000-0000DE020000}"/>
    <cellStyle name="백분율 3 2 6" xfId="1323" xr:uid="{00000000-0005-0000-0000-0000DF020000}"/>
    <cellStyle name="백분율 3 3" xfId="103" xr:uid="{00000000-0005-0000-0000-0000E0020000}"/>
    <cellStyle name="백분율 3 3 2" xfId="528" xr:uid="{00000000-0005-0000-0000-0000E1020000}"/>
    <cellStyle name="백분율 3 3 2 2" xfId="529" xr:uid="{00000000-0005-0000-0000-0000E2020000}"/>
    <cellStyle name="백분율 3 3 2 2 2" xfId="1324" xr:uid="{00000000-0005-0000-0000-0000E3020000}"/>
    <cellStyle name="백분율 3 3 2 3" xfId="1325" xr:uid="{00000000-0005-0000-0000-0000E4020000}"/>
    <cellStyle name="백분율 3 3 2 4" xfId="951" xr:uid="{00000000-0005-0000-0000-0000E5020000}"/>
    <cellStyle name="백분율 3 3 3" xfId="530" xr:uid="{00000000-0005-0000-0000-0000E6020000}"/>
    <cellStyle name="백분율 3 3 3 2" xfId="952" xr:uid="{00000000-0005-0000-0000-0000E7020000}"/>
    <cellStyle name="백분율 3 3 4" xfId="531" xr:uid="{00000000-0005-0000-0000-0000E8020000}"/>
    <cellStyle name="백분율 3 4" xfId="104" xr:uid="{00000000-0005-0000-0000-0000E9020000}"/>
    <cellStyle name="백분율 3 4 2" xfId="532" xr:uid="{00000000-0005-0000-0000-0000EA020000}"/>
    <cellStyle name="백분율 3 4 2 2" xfId="1326" xr:uid="{00000000-0005-0000-0000-0000EB020000}"/>
    <cellStyle name="백분율 3 4 2 3" xfId="953" xr:uid="{00000000-0005-0000-0000-0000EC020000}"/>
    <cellStyle name="백분율 3 4 3" xfId="533" xr:uid="{00000000-0005-0000-0000-0000ED020000}"/>
    <cellStyle name="백분율 3 4 3 2" xfId="954" xr:uid="{00000000-0005-0000-0000-0000EE020000}"/>
    <cellStyle name="백분율 3 4 4" xfId="534" xr:uid="{00000000-0005-0000-0000-0000EF020000}"/>
    <cellStyle name="백분율 3 5" xfId="535" xr:uid="{00000000-0005-0000-0000-0000F0020000}"/>
    <cellStyle name="백분율 3 5 2" xfId="536" xr:uid="{00000000-0005-0000-0000-0000F1020000}"/>
    <cellStyle name="백분율 3 5 2 2" xfId="956" xr:uid="{00000000-0005-0000-0000-0000F2020000}"/>
    <cellStyle name="백분율 3 5 3" xfId="1327" xr:uid="{00000000-0005-0000-0000-0000F3020000}"/>
    <cellStyle name="백분율 3 5 4" xfId="955" xr:uid="{00000000-0005-0000-0000-0000F4020000}"/>
    <cellStyle name="백분율 3 6" xfId="537" xr:uid="{00000000-0005-0000-0000-0000F5020000}"/>
    <cellStyle name="백분율 3 6 2" xfId="538" xr:uid="{00000000-0005-0000-0000-0000F6020000}"/>
    <cellStyle name="백분율 3 6 2 2" xfId="1328" xr:uid="{00000000-0005-0000-0000-0000F7020000}"/>
    <cellStyle name="백분율 3 6 3" xfId="957" xr:uid="{00000000-0005-0000-0000-0000F8020000}"/>
    <cellStyle name="백분율 3 7" xfId="539" xr:uid="{00000000-0005-0000-0000-0000F9020000}"/>
    <cellStyle name="백분율 3 7 2" xfId="1329" xr:uid="{00000000-0005-0000-0000-0000FA020000}"/>
    <cellStyle name="백분율 3 7 3" xfId="958" xr:uid="{00000000-0005-0000-0000-0000FB020000}"/>
    <cellStyle name="백분율 3 8" xfId="540" xr:uid="{00000000-0005-0000-0000-0000FC020000}"/>
    <cellStyle name="백분율 3 8 2" xfId="959" xr:uid="{00000000-0005-0000-0000-0000FD020000}"/>
    <cellStyle name="백분율 3 9" xfId="541" xr:uid="{00000000-0005-0000-0000-0000FE020000}"/>
    <cellStyle name="백분율 4" xfId="105" xr:uid="{00000000-0005-0000-0000-0000FF020000}"/>
    <cellStyle name="백분율 4 2" xfId="106" xr:uid="{00000000-0005-0000-0000-000000030000}"/>
    <cellStyle name="백분율 4 2 2" xfId="542" xr:uid="{00000000-0005-0000-0000-000001030000}"/>
    <cellStyle name="백분율 4 2 2 2" xfId="1330" xr:uid="{00000000-0005-0000-0000-000002030000}"/>
    <cellStyle name="백분율 4 2 2 3" xfId="960" xr:uid="{00000000-0005-0000-0000-000003030000}"/>
    <cellStyle name="백분율 4 2 3" xfId="543" xr:uid="{00000000-0005-0000-0000-000004030000}"/>
    <cellStyle name="백분율 4 2 3 2" xfId="1331" xr:uid="{00000000-0005-0000-0000-000005030000}"/>
    <cellStyle name="백분율 4 2 4" xfId="544" xr:uid="{00000000-0005-0000-0000-000006030000}"/>
    <cellStyle name="백분율 4 2 5" xfId="1332" xr:uid="{00000000-0005-0000-0000-000007030000}"/>
    <cellStyle name="백분율 4 3" xfId="545" xr:uid="{00000000-0005-0000-0000-000008030000}"/>
    <cellStyle name="백분율 4 3 2" xfId="546" xr:uid="{00000000-0005-0000-0000-000009030000}"/>
    <cellStyle name="백분율 4 3 2 2" xfId="961" xr:uid="{00000000-0005-0000-0000-00000A030000}"/>
    <cellStyle name="백분율 4 3 3" xfId="547" xr:uid="{00000000-0005-0000-0000-00000B030000}"/>
    <cellStyle name="백분율 4 3 4" xfId="548" xr:uid="{00000000-0005-0000-0000-00000C030000}"/>
    <cellStyle name="백분율 4 4" xfId="549" xr:uid="{00000000-0005-0000-0000-00000D030000}"/>
    <cellStyle name="백분율 4 4 2" xfId="550" xr:uid="{00000000-0005-0000-0000-00000E030000}"/>
    <cellStyle name="백분율 4 4 2 2" xfId="1333" xr:uid="{00000000-0005-0000-0000-00000F030000}"/>
    <cellStyle name="백분율 4 4 2 3" xfId="963" xr:uid="{00000000-0005-0000-0000-000010030000}"/>
    <cellStyle name="백분율 4 4 3" xfId="1334" xr:uid="{00000000-0005-0000-0000-000011030000}"/>
    <cellStyle name="백분율 4 4 4" xfId="962" xr:uid="{00000000-0005-0000-0000-000012030000}"/>
    <cellStyle name="백분율 4 5" xfId="551" xr:uid="{00000000-0005-0000-0000-000013030000}"/>
    <cellStyle name="백분율 4 5 2" xfId="552" xr:uid="{00000000-0005-0000-0000-000014030000}"/>
    <cellStyle name="백분율 4 5 2 2" xfId="1335" xr:uid="{00000000-0005-0000-0000-000015030000}"/>
    <cellStyle name="백분율 4 5 3" xfId="1073" xr:uid="{00000000-0005-0000-0000-000016030000}"/>
    <cellStyle name="백분율 4 6" xfId="553" xr:uid="{00000000-0005-0000-0000-000017030000}"/>
    <cellStyle name="백분율 4 6 2" xfId="1336" xr:uid="{00000000-0005-0000-0000-000018030000}"/>
    <cellStyle name="백분율 4 7" xfId="554" xr:uid="{00000000-0005-0000-0000-000019030000}"/>
    <cellStyle name="백분율 4 7 2" xfId="1337" xr:uid="{00000000-0005-0000-0000-00001A030000}"/>
    <cellStyle name="백분율 5" xfId="107" xr:uid="{00000000-0005-0000-0000-00001B030000}"/>
    <cellStyle name="백분율 5 2" xfId="555" xr:uid="{00000000-0005-0000-0000-00001C030000}"/>
    <cellStyle name="백분율 5 2 2" xfId="556" xr:uid="{00000000-0005-0000-0000-00001D030000}"/>
    <cellStyle name="백분율 5 2 2 2" xfId="1338" xr:uid="{00000000-0005-0000-0000-00001E030000}"/>
    <cellStyle name="백분율 5 2 3" xfId="557" xr:uid="{00000000-0005-0000-0000-00001F030000}"/>
    <cellStyle name="백분율 5 2 4" xfId="964" xr:uid="{00000000-0005-0000-0000-000020030000}"/>
    <cellStyle name="백분율 5 3" xfId="558" xr:uid="{00000000-0005-0000-0000-000021030000}"/>
    <cellStyle name="백분율 5 3 2" xfId="559" xr:uid="{00000000-0005-0000-0000-000022030000}"/>
    <cellStyle name="백분율 5 3 2 2" xfId="1339" xr:uid="{00000000-0005-0000-0000-000023030000}"/>
    <cellStyle name="백분율 5 3 2 3" xfId="966" xr:uid="{00000000-0005-0000-0000-000024030000}"/>
    <cellStyle name="백분율 5 3 3" xfId="1340" xr:uid="{00000000-0005-0000-0000-000025030000}"/>
    <cellStyle name="백분율 5 3 4" xfId="965" xr:uid="{00000000-0005-0000-0000-000026030000}"/>
    <cellStyle name="백분율 5 4" xfId="560" xr:uid="{00000000-0005-0000-0000-000027030000}"/>
    <cellStyle name="백분율 5 4 2" xfId="1341" xr:uid="{00000000-0005-0000-0000-000028030000}"/>
    <cellStyle name="백분율 5 5" xfId="561" xr:uid="{00000000-0005-0000-0000-000029030000}"/>
    <cellStyle name="백분율 5 5 2" xfId="967" xr:uid="{00000000-0005-0000-0000-00002A030000}"/>
    <cellStyle name="백분율 5 6" xfId="562" xr:uid="{00000000-0005-0000-0000-00002B030000}"/>
    <cellStyle name="백분율 5 7" xfId="1342" xr:uid="{00000000-0005-0000-0000-00002C030000}"/>
    <cellStyle name="백분율 6" xfId="108" xr:uid="{00000000-0005-0000-0000-00002D030000}"/>
    <cellStyle name="백분율 6 2" xfId="109" xr:uid="{00000000-0005-0000-0000-00002E030000}"/>
    <cellStyle name="백분율 6 2 2" xfId="563" xr:uid="{00000000-0005-0000-0000-00002F030000}"/>
    <cellStyle name="백분율 6 2 2 2" xfId="968" xr:uid="{00000000-0005-0000-0000-000030030000}"/>
    <cellStyle name="백분율 6 2 2 2 3" xfId="564" xr:uid="{00000000-0005-0000-0000-000031030000}"/>
    <cellStyle name="백분율 6 2 2 2 3 2" xfId="1343" xr:uid="{00000000-0005-0000-0000-000032030000}"/>
    <cellStyle name="백분율 6 2 2 2 3 3" xfId="1344" xr:uid="{00000000-0005-0000-0000-000033030000}"/>
    <cellStyle name="백분율 6 2 3" xfId="565" xr:uid="{00000000-0005-0000-0000-000034030000}"/>
    <cellStyle name="백분율 6 2 4" xfId="566" xr:uid="{00000000-0005-0000-0000-000035030000}"/>
    <cellStyle name="백분율 6 3" xfId="567" xr:uid="{00000000-0005-0000-0000-000036030000}"/>
    <cellStyle name="백분율 6 3 2" xfId="1345" xr:uid="{00000000-0005-0000-0000-000037030000}"/>
    <cellStyle name="백분율 6 3 3" xfId="969" xr:uid="{00000000-0005-0000-0000-000038030000}"/>
    <cellStyle name="백분율 6 4" xfId="568" xr:uid="{00000000-0005-0000-0000-000039030000}"/>
    <cellStyle name="백분율 6 4 2" xfId="1346" xr:uid="{00000000-0005-0000-0000-00003A030000}"/>
    <cellStyle name="백분율 6 4 3" xfId="970" xr:uid="{00000000-0005-0000-0000-00003B030000}"/>
    <cellStyle name="백분율 6 5" xfId="569" xr:uid="{00000000-0005-0000-0000-00003C030000}"/>
    <cellStyle name="백분율 6 6" xfId="570" xr:uid="{00000000-0005-0000-0000-00003D030000}"/>
    <cellStyle name="백분율 7" xfId="110" xr:uid="{00000000-0005-0000-0000-00003E030000}"/>
    <cellStyle name="백분율 7 2" xfId="571" xr:uid="{00000000-0005-0000-0000-00003F030000}"/>
    <cellStyle name="백분율 7 2 2" xfId="572" xr:uid="{00000000-0005-0000-0000-000040030000}"/>
    <cellStyle name="백분율 7 2 3" xfId="573" xr:uid="{00000000-0005-0000-0000-000041030000}"/>
    <cellStyle name="백분율 7 3" xfId="574" xr:uid="{00000000-0005-0000-0000-000042030000}"/>
    <cellStyle name="백분율 7 3 2" xfId="1347" xr:uid="{00000000-0005-0000-0000-000043030000}"/>
    <cellStyle name="백분율 7 3 3" xfId="971" xr:uid="{00000000-0005-0000-0000-000044030000}"/>
    <cellStyle name="백분율 7 4" xfId="575" xr:uid="{00000000-0005-0000-0000-000045030000}"/>
    <cellStyle name="백분율 7 5" xfId="576" xr:uid="{00000000-0005-0000-0000-000046030000}"/>
    <cellStyle name="백분율 7 6" xfId="1067" xr:uid="{00000000-0005-0000-0000-000047030000}"/>
    <cellStyle name="백분율 8" xfId="111" xr:uid="{00000000-0005-0000-0000-000048030000}"/>
    <cellStyle name="백분율 8 2" xfId="577" xr:uid="{00000000-0005-0000-0000-000049030000}"/>
    <cellStyle name="백분율 8 2 2" xfId="1348" xr:uid="{00000000-0005-0000-0000-00004A030000}"/>
    <cellStyle name="백분율 8 2 3" xfId="1349" xr:uid="{00000000-0005-0000-0000-00004B030000}"/>
    <cellStyle name="백분율 8 2 4" xfId="973" xr:uid="{00000000-0005-0000-0000-00004C030000}"/>
    <cellStyle name="백분율 8 3" xfId="578" xr:uid="{00000000-0005-0000-0000-00004D030000}"/>
    <cellStyle name="백분율 8 3 2" xfId="1350" xr:uid="{00000000-0005-0000-0000-00004E030000}"/>
    <cellStyle name="백분율 8 3 3" xfId="974" xr:uid="{00000000-0005-0000-0000-00004F030000}"/>
    <cellStyle name="백분율 8 4" xfId="579" xr:uid="{00000000-0005-0000-0000-000050030000}"/>
    <cellStyle name="백분율 8 4 2" xfId="1351" xr:uid="{00000000-0005-0000-0000-000051030000}"/>
    <cellStyle name="백분율 8 5" xfId="1352" xr:uid="{00000000-0005-0000-0000-000052030000}"/>
    <cellStyle name="백분율 8 6" xfId="972" xr:uid="{00000000-0005-0000-0000-000053030000}"/>
    <cellStyle name="백분율 9" xfId="112" xr:uid="{00000000-0005-0000-0000-000054030000}"/>
    <cellStyle name="백분율 9 2" xfId="1353" xr:uid="{00000000-0005-0000-0000-000055030000}"/>
    <cellStyle name="백분율 9 3" xfId="1354" xr:uid="{00000000-0005-0000-0000-000056030000}"/>
    <cellStyle name="백분율 9 4" xfId="1355" xr:uid="{00000000-0005-0000-0000-000057030000}"/>
    <cellStyle name="백분율 9 5" xfId="975" xr:uid="{00000000-0005-0000-0000-000058030000}"/>
    <cellStyle name="보통 2" xfId="113" xr:uid="{00000000-0005-0000-0000-000059030000}"/>
    <cellStyle name="보통 2 2" xfId="580" xr:uid="{00000000-0005-0000-0000-00005A030000}"/>
    <cellStyle name="보통 2 2 2" xfId="1356" xr:uid="{00000000-0005-0000-0000-00005B030000}"/>
    <cellStyle name="보통 2 2 3" xfId="1357" xr:uid="{00000000-0005-0000-0000-00005C030000}"/>
    <cellStyle name="보통 2 2 4" xfId="976" xr:uid="{00000000-0005-0000-0000-00005D030000}"/>
    <cellStyle name="보통 2 3" xfId="581" xr:uid="{00000000-0005-0000-0000-00005E030000}"/>
    <cellStyle name="보통 2 4" xfId="582" xr:uid="{00000000-0005-0000-0000-00005F030000}"/>
    <cellStyle name="보통 2 4 2" xfId="1358" xr:uid="{00000000-0005-0000-0000-000060030000}"/>
    <cellStyle name="보통 2 5" xfId="1359" xr:uid="{00000000-0005-0000-0000-000061030000}"/>
    <cellStyle name="보통 3" xfId="583" xr:uid="{00000000-0005-0000-0000-000062030000}"/>
    <cellStyle name="보통 3 2" xfId="584" xr:uid="{00000000-0005-0000-0000-000063030000}"/>
    <cellStyle name="보통 3 2 2" xfId="1360" xr:uid="{00000000-0005-0000-0000-000064030000}"/>
    <cellStyle name="보통 4" xfId="585" xr:uid="{00000000-0005-0000-0000-000065030000}"/>
    <cellStyle name="보통 4 2" xfId="977" xr:uid="{00000000-0005-0000-0000-000066030000}"/>
    <cellStyle name="보통 5" xfId="586" xr:uid="{00000000-0005-0000-0000-000067030000}"/>
    <cellStyle name="설명 텍스트 2" xfId="114" xr:uid="{00000000-0005-0000-0000-000068030000}"/>
    <cellStyle name="설명 텍스트 2 2" xfId="587" xr:uid="{00000000-0005-0000-0000-000069030000}"/>
    <cellStyle name="설명 텍스트 2 2 2" xfId="1361" xr:uid="{00000000-0005-0000-0000-00006A030000}"/>
    <cellStyle name="설명 텍스트 2 2 3" xfId="1362" xr:uid="{00000000-0005-0000-0000-00006B030000}"/>
    <cellStyle name="설명 텍스트 2 2 4" xfId="978" xr:uid="{00000000-0005-0000-0000-00006C030000}"/>
    <cellStyle name="설명 텍스트 2 3" xfId="588" xr:uid="{00000000-0005-0000-0000-00006D030000}"/>
    <cellStyle name="설명 텍스트 2 4" xfId="589" xr:uid="{00000000-0005-0000-0000-00006E030000}"/>
    <cellStyle name="설명 텍스트 2 4 2" xfId="1363" xr:uid="{00000000-0005-0000-0000-00006F030000}"/>
    <cellStyle name="설명 텍스트 3" xfId="590" xr:uid="{00000000-0005-0000-0000-000070030000}"/>
    <cellStyle name="설명 텍스트 3 2" xfId="591" xr:uid="{00000000-0005-0000-0000-000071030000}"/>
    <cellStyle name="설명 텍스트 4" xfId="592" xr:uid="{00000000-0005-0000-0000-000072030000}"/>
    <cellStyle name="설명 텍스트 4 2" xfId="979" xr:uid="{00000000-0005-0000-0000-000073030000}"/>
    <cellStyle name="셀 확인 2" xfId="115" xr:uid="{00000000-0005-0000-0000-000074030000}"/>
    <cellStyle name="셀 확인 2 2" xfId="593" xr:uid="{00000000-0005-0000-0000-000075030000}"/>
    <cellStyle name="셀 확인 2 2 2" xfId="1364" xr:uid="{00000000-0005-0000-0000-000076030000}"/>
    <cellStyle name="셀 확인 2 2 3" xfId="1365" xr:uid="{00000000-0005-0000-0000-000077030000}"/>
    <cellStyle name="셀 확인 2 2 4" xfId="980" xr:uid="{00000000-0005-0000-0000-000078030000}"/>
    <cellStyle name="셀 확인 2 3" xfId="594" xr:uid="{00000000-0005-0000-0000-000079030000}"/>
    <cellStyle name="셀 확인 2 4" xfId="595" xr:uid="{00000000-0005-0000-0000-00007A030000}"/>
    <cellStyle name="셀 확인 2 4 2" xfId="1366" xr:uid="{00000000-0005-0000-0000-00007B030000}"/>
    <cellStyle name="셀 확인 3" xfId="596" xr:uid="{00000000-0005-0000-0000-00007C030000}"/>
    <cellStyle name="셀 확인 3 2" xfId="597" xr:uid="{00000000-0005-0000-0000-00007D030000}"/>
    <cellStyle name="셀 확인 4" xfId="598" xr:uid="{00000000-0005-0000-0000-00007E030000}"/>
    <cellStyle name="셀 확인 4 2" xfId="981" xr:uid="{00000000-0005-0000-0000-00007F030000}"/>
    <cellStyle name="쉼표 [0]" xfId="4" builtinId="6"/>
    <cellStyle name="쉼표 [0] 10" xfId="599" xr:uid="{00000000-0005-0000-0000-000081030000}"/>
    <cellStyle name="쉼표 [0] 10 2" xfId="600" xr:uid="{00000000-0005-0000-0000-000082030000}"/>
    <cellStyle name="쉼표 [0] 10 2 2" xfId="1367" xr:uid="{00000000-0005-0000-0000-000083030000}"/>
    <cellStyle name="쉼표 [0] 10 3" xfId="601" xr:uid="{00000000-0005-0000-0000-000084030000}"/>
    <cellStyle name="쉼표 [0] 10 3 2" xfId="1368" xr:uid="{00000000-0005-0000-0000-000085030000}"/>
    <cellStyle name="쉼표 [0] 10 4" xfId="1369" xr:uid="{00000000-0005-0000-0000-000086030000}"/>
    <cellStyle name="쉼표 [0] 11" xfId="602" xr:uid="{00000000-0005-0000-0000-000087030000}"/>
    <cellStyle name="쉼표 [0] 11 2" xfId="603" xr:uid="{00000000-0005-0000-0000-000088030000}"/>
    <cellStyle name="쉼표 [0] 11 2 2" xfId="1370" xr:uid="{00000000-0005-0000-0000-000089030000}"/>
    <cellStyle name="쉼표 [0] 11 3" xfId="604" xr:uid="{00000000-0005-0000-0000-00008A030000}"/>
    <cellStyle name="쉼표 [0] 11 3 2" xfId="1371" xr:uid="{00000000-0005-0000-0000-00008B030000}"/>
    <cellStyle name="쉼표 [0] 12" xfId="605" xr:uid="{00000000-0005-0000-0000-00008C030000}"/>
    <cellStyle name="쉼표 [0] 12 2" xfId="1372" xr:uid="{00000000-0005-0000-0000-00008D030000}"/>
    <cellStyle name="쉼표 [0] 13" xfId="606" xr:uid="{00000000-0005-0000-0000-00008E030000}"/>
    <cellStyle name="쉼표 [0] 14" xfId="607" xr:uid="{00000000-0005-0000-0000-00008F030000}"/>
    <cellStyle name="쉼표 [0] 15" xfId="608" xr:uid="{00000000-0005-0000-0000-000090030000}"/>
    <cellStyle name="쉼표 [0] 16" xfId="204" xr:uid="{00000000-0005-0000-0000-000091030000}"/>
    <cellStyle name="쉼표 [0] 16 2" xfId="1510" xr:uid="{00000000-0005-0000-0000-000092030000}"/>
    <cellStyle name="쉼표 [0] 2" xfId="3" xr:uid="{00000000-0005-0000-0000-000093030000}"/>
    <cellStyle name="쉼표 [0] 2 10" xfId="609" xr:uid="{00000000-0005-0000-0000-000094030000}"/>
    <cellStyle name="쉼표 [0] 2 2" xfId="15" xr:uid="{00000000-0005-0000-0000-000095030000}"/>
    <cellStyle name="쉼표 [0] 2 2 2" xfId="12" xr:uid="{00000000-0005-0000-0000-000096030000}"/>
    <cellStyle name="쉼표 [0] 2 2 2 2" xfId="610" xr:uid="{00000000-0005-0000-0000-000097030000}"/>
    <cellStyle name="쉼표 [0] 2 2 2 2 2" xfId="1373" xr:uid="{00000000-0005-0000-0000-000098030000}"/>
    <cellStyle name="쉼표 [0] 2 2 2 3" xfId="1374" xr:uid="{00000000-0005-0000-0000-000099030000}"/>
    <cellStyle name="쉼표 [0] 2 2 3" xfId="611" xr:uid="{00000000-0005-0000-0000-00009A030000}"/>
    <cellStyle name="쉼표 [0] 2 2 3 2" xfId="1375" xr:uid="{00000000-0005-0000-0000-00009B030000}"/>
    <cellStyle name="쉼표 [0] 2 2 3 3" xfId="983" xr:uid="{00000000-0005-0000-0000-00009C030000}"/>
    <cellStyle name="쉼표 [0] 2 2 4" xfId="612" xr:uid="{00000000-0005-0000-0000-00009D030000}"/>
    <cellStyle name="쉼표 [0] 2 2 4 2" xfId="984" xr:uid="{00000000-0005-0000-0000-00009E030000}"/>
    <cellStyle name="쉼표 [0] 2 2 5" xfId="613" xr:uid="{00000000-0005-0000-0000-00009F030000}"/>
    <cellStyle name="쉼표 [0] 2 2 6" xfId="982" xr:uid="{00000000-0005-0000-0000-0000A0030000}"/>
    <cellStyle name="쉼표 [0] 2 3" xfId="116" xr:uid="{00000000-0005-0000-0000-0000A1030000}"/>
    <cellStyle name="쉼표 [0] 2 3 2" xfId="614" xr:uid="{00000000-0005-0000-0000-0000A2030000}"/>
    <cellStyle name="쉼표 [0] 2 3 2 2" xfId="615" xr:uid="{00000000-0005-0000-0000-0000A3030000}"/>
    <cellStyle name="쉼표 [0] 2 3 2 2 2" xfId="1376" xr:uid="{00000000-0005-0000-0000-0000A4030000}"/>
    <cellStyle name="쉼표 [0] 2 3 3" xfId="616" xr:uid="{00000000-0005-0000-0000-0000A5030000}"/>
    <cellStyle name="쉼표 [0] 2 3 3 2" xfId="1377" xr:uid="{00000000-0005-0000-0000-0000A6030000}"/>
    <cellStyle name="쉼표 [0] 2 4" xfId="117" xr:uid="{00000000-0005-0000-0000-0000A7030000}"/>
    <cellStyle name="쉼표 [0] 2 4 2" xfId="118" xr:uid="{00000000-0005-0000-0000-0000A8030000}"/>
    <cellStyle name="쉼표 [0] 2 4 2 2" xfId="1378" xr:uid="{00000000-0005-0000-0000-0000A9030000}"/>
    <cellStyle name="쉼표 [0] 2 4 2 3" xfId="1379" xr:uid="{00000000-0005-0000-0000-0000AA030000}"/>
    <cellStyle name="쉼표 [0] 2 4 2 4" xfId="985" xr:uid="{00000000-0005-0000-0000-0000AB030000}"/>
    <cellStyle name="쉼표 [0] 2 4 3" xfId="617" xr:uid="{00000000-0005-0000-0000-0000AC030000}"/>
    <cellStyle name="쉼표 [0] 2 4 3 2" xfId="1380" xr:uid="{00000000-0005-0000-0000-0000AD030000}"/>
    <cellStyle name="쉼표 [0] 2 4 3 3" xfId="986" xr:uid="{00000000-0005-0000-0000-0000AE030000}"/>
    <cellStyle name="쉼표 [0] 2 4 4" xfId="1381" xr:uid="{00000000-0005-0000-0000-0000AF030000}"/>
    <cellStyle name="쉼표 [0] 2 5" xfId="618" xr:uid="{00000000-0005-0000-0000-0000B0030000}"/>
    <cellStyle name="쉼표 [0] 2 5 2" xfId="1382" xr:uid="{00000000-0005-0000-0000-0000B1030000}"/>
    <cellStyle name="쉼표 [0] 2 5 3" xfId="987" xr:uid="{00000000-0005-0000-0000-0000B2030000}"/>
    <cellStyle name="쉼표 [0] 2 6" xfId="619" xr:uid="{00000000-0005-0000-0000-0000B3030000}"/>
    <cellStyle name="쉼표 [0] 2 7" xfId="620" xr:uid="{00000000-0005-0000-0000-0000B4030000}"/>
    <cellStyle name="쉼표 [0] 2 7 2" xfId="1383" xr:uid="{00000000-0005-0000-0000-0000B5030000}"/>
    <cellStyle name="쉼표 [0] 2 8" xfId="621" xr:uid="{00000000-0005-0000-0000-0000B6030000}"/>
    <cellStyle name="쉼표 [0] 2 9" xfId="622" xr:uid="{00000000-0005-0000-0000-0000B7030000}"/>
    <cellStyle name="쉼표 [0] 3" xfId="6" xr:uid="{00000000-0005-0000-0000-0000B8030000}"/>
    <cellStyle name="쉼표 [0] 3 2" xfId="119" xr:uid="{00000000-0005-0000-0000-0000B9030000}"/>
    <cellStyle name="쉼표 [0] 3 2 2" xfId="120" xr:uid="{00000000-0005-0000-0000-0000BA030000}"/>
    <cellStyle name="쉼표 [0] 3 2 2 2" xfId="1385" xr:uid="{00000000-0005-0000-0000-0000BB030000}"/>
    <cellStyle name="쉼표 [0] 3 2 2 3" xfId="1386" xr:uid="{00000000-0005-0000-0000-0000BC030000}"/>
    <cellStyle name="쉼표 [0] 3 2 2 4" xfId="1384" xr:uid="{00000000-0005-0000-0000-0000BD030000}"/>
    <cellStyle name="쉼표 [0] 3 2 3" xfId="623" xr:uid="{00000000-0005-0000-0000-0000BE030000}"/>
    <cellStyle name="쉼표 [0] 3 2 3 2" xfId="1387" xr:uid="{00000000-0005-0000-0000-0000BF030000}"/>
    <cellStyle name="쉼표 [0] 3 2 4" xfId="1388" xr:uid="{00000000-0005-0000-0000-0000C0030000}"/>
    <cellStyle name="쉼표 [0] 3 2 5" xfId="1389" xr:uid="{00000000-0005-0000-0000-0000C1030000}"/>
    <cellStyle name="쉼표 [0] 3 3" xfId="121" xr:uid="{00000000-0005-0000-0000-0000C2030000}"/>
    <cellStyle name="쉼표 [0] 3 3 2" xfId="624" xr:uid="{00000000-0005-0000-0000-0000C3030000}"/>
    <cellStyle name="쉼표 [0] 3 3 2 2" xfId="1390" xr:uid="{00000000-0005-0000-0000-0000C4030000}"/>
    <cellStyle name="쉼표 [0] 3 3 2 3" xfId="1391" xr:uid="{00000000-0005-0000-0000-0000C5030000}"/>
    <cellStyle name="쉼표 [0] 3 3 2 4" xfId="989" xr:uid="{00000000-0005-0000-0000-0000C6030000}"/>
    <cellStyle name="쉼표 [0] 3 3 3" xfId="625" xr:uid="{00000000-0005-0000-0000-0000C7030000}"/>
    <cellStyle name="쉼표 [0] 3 3 3 2" xfId="990" xr:uid="{00000000-0005-0000-0000-0000C8030000}"/>
    <cellStyle name="쉼표 [0] 3 3 4" xfId="1392" xr:uid="{00000000-0005-0000-0000-0000C9030000}"/>
    <cellStyle name="쉼표 [0] 3 3 5" xfId="988" xr:uid="{00000000-0005-0000-0000-0000CA030000}"/>
    <cellStyle name="쉼표 [0] 3 4" xfId="122" xr:uid="{00000000-0005-0000-0000-0000CB030000}"/>
    <cellStyle name="쉼표 [0] 3 4 2" xfId="1393" xr:uid="{00000000-0005-0000-0000-0000CC030000}"/>
    <cellStyle name="쉼표 [0] 3 4 3" xfId="1394" xr:uid="{00000000-0005-0000-0000-0000CD030000}"/>
    <cellStyle name="쉼표 [0] 3 5" xfId="626" xr:uid="{00000000-0005-0000-0000-0000CE030000}"/>
    <cellStyle name="쉼표 [0] 3 5 2" xfId="1395" xr:uid="{00000000-0005-0000-0000-0000CF030000}"/>
    <cellStyle name="쉼표 [0] 3 6" xfId="627" xr:uid="{00000000-0005-0000-0000-0000D0030000}"/>
    <cellStyle name="쉼표 [0] 3 6 2" xfId="1396" xr:uid="{00000000-0005-0000-0000-0000D1030000}"/>
    <cellStyle name="쉼표 [0] 3 7" xfId="628" xr:uid="{00000000-0005-0000-0000-0000D2030000}"/>
    <cellStyle name="쉼표 [0] 3 8" xfId="1397" xr:uid="{00000000-0005-0000-0000-0000D3030000}"/>
    <cellStyle name="쉼표 [0] 4" xfId="123" xr:uid="{00000000-0005-0000-0000-0000D4030000}"/>
    <cellStyle name="쉼표 [0] 4 2" xfId="124" xr:uid="{00000000-0005-0000-0000-0000D5030000}"/>
    <cellStyle name="쉼표 [0] 4 2 2" xfId="629" xr:uid="{00000000-0005-0000-0000-0000D6030000}"/>
    <cellStyle name="쉼표 [0] 4 2 2 2" xfId="1399" xr:uid="{00000000-0005-0000-0000-0000D7030000}"/>
    <cellStyle name="쉼표 [0] 4 2 2 3" xfId="1398" xr:uid="{00000000-0005-0000-0000-0000D8030000}"/>
    <cellStyle name="쉼표 [0] 4 2 3" xfId="1400" xr:uid="{00000000-0005-0000-0000-0000D9030000}"/>
    <cellStyle name="쉼표 [0] 4 2 4" xfId="1401" xr:uid="{00000000-0005-0000-0000-0000DA030000}"/>
    <cellStyle name="쉼표 [0] 4 2 5" xfId="991" xr:uid="{00000000-0005-0000-0000-0000DB030000}"/>
    <cellStyle name="쉼표 [0] 4 3" xfId="630" xr:uid="{00000000-0005-0000-0000-0000DC030000}"/>
    <cellStyle name="쉼표 [0] 4 3 2" xfId="631" xr:uid="{00000000-0005-0000-0000-0000DD030000}"/>
    <cellStyle name="쉼표 [0] 4 3 2 2" xfId="1402" xr:uid="{00000000-0005-0000-0000-0000DE030000}"/>
    <cellStyle name="쉼표 [0] 4 4" xfId="632" xr:uid="{00000000-0005-0000-0000-0000DF030000}"/>
    <cellStyle name="쉼표 [0] 4 4 2" xfId="1403" xr:uid="{00000000-0005-0000-0000-0000E0030000}"/>
    <cellStyle name="쉼표 [0] 4 5" xfId="633" xr:uid="{00000000-0005-0000-0000-0000E1030000}"/>
    <cellStyle name="쉼표 [0] 4 5 2" xfId="1404" xr:uid="{00000000-0005-0000-0000-0000E2030000}"/>
    <cellStyle name="쉼표 [0] 5" xfId="125" xr:uid="{00000000-0005-0000-0000-0000E3030000}"/>
    <cellStyle name="쉼표 [0] 5 2" xfId="634" xr:uid="{00000000-0005-0000-0000-0000E4030000}"/>
    <cellStyle name="쉼표 [0] 5 2 2" xfId="635" xr:uid="{00000000-0005-0000-0000-0000E5030000}"/>
    <cellStyle name="쉼표 [0] 5 2 2 2" xfId="994" xr:uid="{00000000-0005-0000-0000-0000E6030000}"/>
    <cellStyle name="쉼표 [0] 5 2 3" xfId="1405" xr:uid="{00000000-0005-0000-0000-0000E7030000}"/>
    <cellStyle name="쉼표 [0] 5 2 4" xfId="1406" xr:uid="{00000000-0005-0000-0000-0000E8030000}"/>
    <cellStyle name="쉼표 [0] 5 2 5" xfId="993" xr:uid="{00000000-0005-0000-0000-0000E9030000}"/>
    <cellStyle name="쉼표 [0] 5 3" xfId="636" xr:uid="{00000000-0005-0000-0000-0000EA030000}"/>
    <cellStyle name="쉼표 [0] 5 3 2" xfId="637" xr:uid="{00000000-0005-0000-0000-0000EB030000}"/>
    <cellStyle name="쉼표 [0] 5 3 3" xfId="995" xr:uid="{00000000-0005-0000-0000-0000EC030000}"/>
    <cellStyle name="쉼표 [0] 5 4" xfId="638" xr:uid="{00000000-0005-0000-0000-0000ED030000}"/>
    <cellStyle name="쉼표 [0] 5 4 2" xfId="1407" xr:uid="{00000000-0005-0000-0000-0000EE030000}"/>
    <cellStyle name="쉼표 [0] 5 4 3" xfId="996" xr:uid="{00000000-0005-0000-0000-0000EF030000}"/>
    <cellStyle name="쉼표 [0] 5 5" xfId="639" xr:uid="{00000000-0005-0000-0000-0000F0030000}"/>
    <cellStyle name="쉼표 [0] 5 6" xfId="1072" xr:uid="{00000000-0005-0000-0000-0000F1030000}"/>
    <cellStyle name="쉼표 [0] 5 7" xfId="992" xr:uid="{00000000-0005-0000-0000-0000F2030000}"/>
    <cellStyle name="쉼표 [0] 6" xfId="126" xr:uid="{00000000-0005-0000-0000-0000F3030000}"/>
    <cellStyle name="쉼표 [0] 6 2" xfId="127" xr:uid="{00000000-0005-0000-0000-0000F4030000}"/>
    <cellStyle name="쉼표 [0] 6 2 2" xfId="640" xr:uid="{00000000-0005-0000-0000-0000F5030000}"/>
    <cellStyle name="쉼표 [0] 6 2 2 2" xfId="1408" xr:uid="{00000000-0005-0000-0000-0000F6030000}"/>
    <cellStyle name="쉼표 [0] 6 2 2 3" xfId="997" xr:uid="{00000000-0005-0000-0000-0000F7030000}"/>
    <cellStyle name="쉼표 [0] 6 2 3" xfId="641" xr:uid="{00000000-0005-0000-0000-0000F8030000}"/>
    <cellStyle name="쉼표 [0] 6 2 4" xfId="642" xr:uid="{00000000-0005-0000-0000-0000F9030000}"/>
    <cellStyle name="쉼표 [0] 6 3" xfId="643" xr:uid="{00000000-0005-0000-0000-0000FA030000}"/>
    <cellStyle name="쉼표 [0] 6 3 2" xfId="1409" xr:uid="{00000000-0005-0000-0000-0000FB030000}"/>
    <cellStyle name="쉼표 [0] 6 3 3" xfId="998" xr:uid="{00000000-0005-0000-0000-0000FC030000}"/>
    <cellStyle name="쉼표 [0] 6 4" xfId="644" xr:uid="{00000000-0005-0000-0000-0000FD030000}"/>
    <cellStyle name="쉼표 [0] 6 4 2" xfId="1410" xr:uid="{00000000-0005-0000-0000-0000FE030000}"/>
    <cellStyle name="쉼표 [0] 6 5" xfId="645" xr:uid="{00000000-0005-0000-0000-0000FF030000}"/>
    <cellStyle name="쉼표 [0] 6 6" xfId="646" xr:uid="{00000000-0005-0000-0000-000000040000}"/>
    <cellStyle name="쉼표 [0] 6 7" xfId="1411" xr:uid="{00000000-0005-0000-0000-000001040000}"/>
    <cellStyle name="쉼표 [0] 7" xfId="128" xr:uid="{00000000-0005-0000-0000-000002040000}"/>
    <cellStyle name="쉼표 [0] 7 2" xfId="647" xr:uid="{00000000-0005-0000-0000-000003040000}"/>
    <cellStyle name="쉼표 [0] 7 2 2" xfId="1412" xr:uid="{00000000-0005-0000-0000-000004040000}"/>
    <cellStyle name="쉼표 [0] 7 2 3" xfId="999" xr:uid="{00000000-0005-0000-0000-000005040000}"/>
    <cellStyle name="쉼표 [0] 7 3" xfId="648" xr:uid="{00000000-0005-0000-0000-000006040000}"/>
    <cellStyle name="쉼표 [0] 7 3 2" xfId="1413" xr:uid="{00000000-0005-0000-0000-000007040000}"/>
    <cellStyle name="쉼표 [0] 7 3 3" xfId="1000" xr:uid="{00000000-0005-0000-0000-000008040000}"/>
    <cellStyle name="쉼표 [0] 7 4" xfId="649" xr:uid="{00000000-0005-0000-0000-000009040000}"/>
    <cellStyle name="쉼표 [0] 7 4 2" xfId="1414" xr:uid="{00000000-0005-0000-0000-00000A040000}"/>
    <cellStyle name="쉼표 [0] 7 5" xfId="1415" xr:uid="{00000000-0005-0000-0000-00000B040000}"/>
    <cellStyle name="쉼표 [0] 8" xfId="129" xr:uid="{00000000-0005-0000-0000-00000C040000}"/>
    <cellStyle name="쉼표 [0] 8 2" xfId="650" xr:uid="{00000000-0005-0000-0000-00000D040000}"/>
    <cellStyle name="쉼표 [0] 8 2 2" xfId="1416" xr:uid="{00000000-0005-0000-0000-00000E040000}"/>
    <cellStyle name="쉼표 [0] 8 2 3" xfId="1417" xr:uid="{00000000-0005-0000-0000-00000F040000}"/>
    <cellStyle name="쉼표 [0] 8 2 4" xfId="1002" xr:uid="{00000000-0005-0000-0000-000010040000}"/>
    <cellStyle name="쉼표 [0] 8 3" xfId="1418" xr:uid="{00000000-0005-0000-0000-000011040000}"/>
    <cellStyle name="쉼표 [0] 8 4" xfId="1419" xr:uid="{00000000-0005-0000-0000-000012040000}"/>
    <cellStyle name="쉼표 [0] 8 5" xfId="1420" xr:uid="{00000000-0005-0000-0000-000013040000}"/>
    <cellStyle name="쉼표 [0] 8 6" xfId="1001" xr:uid="{00000000-0005-0000-0000-000014040000}"/>
    <cellStyle name="쉼표 [0] 9" xfId="130" xr:uid="{00000000-0005-0000-0000-000015040000}"/>
    <cellStyle name="쉼표 [0] 9 2" xfId="1421" xr:uid="{00000000-0005-0000-0000-000016040000}"/>
    <cellStyle name="쉼표 [0] 9 2 2" xfId="1422" xr:uid="{00000000-0005-0000-0000-000017040000}"/>
    <cellStyle name="쉼표 [0] 9 3" xfId="1423" xr:uid="{00000000-0005-0000-0000-000018040000}"/>
    <cellStyle name="쉼표 [0] 9 4" xfId="1424" xr:uid="{00000000-0005-0000-0000-000019040000}"/>
    <cellStyle name="쉼표 2" xfId="131" xr:uid="{00000000-0005-0000-0000-00001A040000}"/>
    <cellStyle name="쉼표 2 2" xfId="1425" xr:uid="{00000000-0005-0000-0000-00001B040000}"/>
    <cellStyle name="쉼표 2 3" xfId="1003" xr:uid="{00000000-0005-0000-0000-00001C040000}"/>
    <cellStyle name="쉼표 3" xfId="132" xr:uid="{00000000-0005-0000-0000-00001D040000}"/>
    <cellStyle name="쉼표 3 2" xfId="1426" xr:uid="{00000000-0005-0000-0000-00001E040000}"/>
    <cellStyle name="쉼표 3 3" xfId="1004" xr:uid="{00000000-0005-0000-0000-00001F040000}"/>
    <cellStyle name="스타일 1" xfId="133" xr:uid="{00000000-0005-0000-0000-000020040000}"/>
    <cellStyle name="연결된 셀 2" xfId="134" xr:uid="{00000000-0005-0000-0000-000021040000}"/>
    <cellStyle name="연결된 셀 2 2" xfId="651" xr:uid="{00000000-0005-0000-0000-000022040000}"/>
    <cellStyle name="연결된 셀 2 2 2" xfId="1427" xr:uid="{00000000-0005-0000-0000-000023040000}"/>
    <cellStyle name="연결된 셀 2 2 3" xfId="1428" xr:uid="{00000000-0005-0000-0000-000024040000}"/>
    <cellStyle name="연결된 셀 2 2 4" xfId="1005" xr:uid="{00000000-0005-0000-0000-000025040000}"/>
    <cellStyle name="연결된 셀 2 3" xfId="652" xr:uid="{00000000-0005-0000-0000-000026040000}"/>
    <cellStyle name="연결된 셀 2 4" xfId="653" xr:uid="{00000000-0005-0000-0000-000027040000}"/>
    <cellStyle name="연결된 셀 2 4 2" xfId="1429" xr:uid="{00000000-0005-0000-0000-000028040000}"/>
    <cellStyle name="연결된 셀 3" xfId="654" xr:uid="{00000000-0005-0000-0000-000029040000}"/>
    <cellStyle name="연결된 셀 3 2" xfId="655" xr:uid="{00000000-0005-0000-0000-00002A040000}"/>
    <cellStyle name="연결된 셀 4" xfId="656" xr:uid="{00000000-0005-0000-0000-00002B040000}"/>
    <cellStyle name="연결된 셀 4 2" xfId="1006" xr:uid="{00000000-0005-0000-0000-00002C040000}"/>
    <cellStyle name="요약 2" xfId="135" xr:uid="{00000000-0005-0000-0000-00002D040000}"/>
    <cellStyle name="요약 2 2" xfId="136" xr:uid="{00000000-0005-0000-0000-00002E040000}"/>
    <cellStyle name="요약 2 2 2" xfId="1430" xr:uid="{00000000-0005-0000-0000-00002F040000}"/>
    <cellStyle name="요약 2 2 3" xfId="1431" xr:uid="{00000000-0005-0000-0000-000030040000}"/>
    <cellStyle name="요약 2 2 4" xfId="1432" xr:uid="{00000000-0005-0000-0000-000031040000}"/>
    <cellStyle name="요약 2 2 5" xfId="1007" xr:uid="{00000000-0005-0000-0000-000032040000}"/>
    <cellStyle name="요약 2 3" xfId="137" xr:uid="{00000000-0005-0000-0000-000033040000}"/>
    <cellStyle name="요약 2 3 2" xfId="657" xr:uid="{00000000-0005-0000-0000-000034040000}"/>
    <cellStyle name="요약 2 4" xfId="138" xr:uid="{00000000-0005-0000-0000-000035040000}"/>
    <cellStyle name="요약 2 5" xfId="139" xr:uid="{00000000-0005-0000-0000-000036040000}"/>
    <cellStyle name="요약 2 6" xfId="1433" xr:uid="{00000000-0005-0000-0000-000037040000}"/>
    <cellStyle name="요약 2 7" xfId="1434" xr:uid="{00000000-0005-0000-0000-000038040000}"/>
    <cellStyle name="요약 3" xfId="658" xr:uid="{00000000-0005-0000-0000-000039040000}"/>
    <cellStyle name="요약 3 2" xfId="659" xr:uid="{00000000-0005-0000-0000-00003A040000}"/>
    <cellStyle name="요약 3 2 2" xfId="1008" xr:uid="{00000000-0005-0000-0000-00003B040000}"/>
    <cellStyle name="요약 4" xfId="660" xr:uid="{00000000-0005-0000-0000-00003C040000}"/>
    <cellStyle name="요약 4 2" xfId="661" xr:uid="{00000000-0005-0000-0000-00003D040000}"/>
    <cellStyle name="요약 5" xfId="662" xr:uid="{00000000-0005-0000-0000-00003E040000}"/>
    <cellStyle name="입력 2" xfId="140" xr:uid="{00000000-0005-0000-0000-00003F040000}"/>
    <cellStyle name="입력 2 2" xfId="141" xr:uid="{00000000-0005-0000-0000-000040040000}"/>
    <cellStyle name="입력 2 2 2" xfId="1435" xr:uid="{00000000-0005-0000-0000-000041040000}"/>
    <cellStyle name="입력 2 2 3" xfId="1436" xr:uid="{00000000-0005-0000-0000-000042040000}"/>
    <cellStyle name="입력 2 2 4" xfId="1437" xr:uid="{00000000-0005-0000-0000-000043040000}"/>
    <cellStyle name="입력 2 2 5" xfId="1009" xr:uid="{00000000-0005-0000-0000-000044040000}"/>
    <cellStyle name="입력 2 3" xfId="142" xr:uid="{00000000-0005-0000-0000-000045040000}"/>
    <cellStyle name="입력 2 3 2" xfId="663" xr:uid="{00000000-0005-0000-0000-000046040000}"/>
    <cellStyle name="입력 2 4" xfId="143" xr:uid="{00000000-0005-0000-0000-000047040000}"/>
    <cellStyle name="입력 2 5" xfId="1438" xr:uid="{00000000-0005-0000-0000-000048040000}"/>
    <cellStyle name="입력 2 6" xfId="1439" xr:uid="{00000000-0005-0000-0000-000049040000}"/>
    <cellStyle name="입력 3" xfId="664" xr:uid="{00000000-0005-0000-0000-00004A040000}"/>
    <cellStyle name="입력 3 2" xfId="665" xr:uid="{00000000-0005-0000-0000-00004B040000}"/>
    <cellStyle name="입력 3 2 2" xfId="1010" xr:uid="{00000000-0005-0000-0000-00004C040000}"/>
    <cellStyle name="입력 4" xfId="666" xr:uid="{00000000-0005-0000-0000-00004D040000}"/>
    <cellStyle name="입력 4 2" xfId="667" xr:uid="{00000000-0005-0000-0000-00004E040000}"/>
    <cellStyle name="입력 5" xfId="668" xr:uid="{00000000-0005-0000-0000-00004F040000}"/>
    <cellStyle name="제목 1 2" xfId="144" xr:uid="{00000000-0005-0000-0000-000050040000}"/>
    <cellStyle name="제목 1 2 2" xfId="669" xr:uid="{00000000-0005-0000-0000-000051040000}"/>
    <cellStyle name="제목 1 2 2 2" xfId="1440" xr:uid="{00000000-0005-0000-0000-000052040000}"/>
    <cellStyle name="제목 1 2 2 3" xfId="1441" xr:uid="{00000000-0005-0000-0000-000053040000}"/>
    <cellStyle name="제목 1 2 2 4" xfId="1011" xr:uid="{00000000-0005-0000-0000-000054040000}"/>
    <cellStyle name="제목 1 2 3" xfId="670" xr:uid="{00000000-0005-0000-0000-000055040000}"/>
    <cellStyle name="제목 1 2 4" xfId="671" xr:uid="{00000000-0005-0000-0000-000056040000}"/>
    <cellStyle name="제목 1 2 4 2" xfId="1442" xr:uid="{00000000-0005-0000-0000-000057040000}"/>
    <cellStyle name="제목 1 3" xfId="672" xr:uid="{00000000-0005-0000-0000-000058040000}"/>
    <cellStyle name="제목 1 3 2" xfId="673" xr:uid="{00000000-0005-0000-0000-000059040000}"/>
    <cellStyle name="제목 1 4" xfId="674" xr:uid="{00000000-0005-0000-0000-00005A040000}"/>
    <cellStyle name="제목 1 4 2" xfId="1012" xr:uid="{00000000-0005-0000-0000-00005B040000}"/>
    <cellStyle name="제목 2 2" xfId="145" xr:uid="{00000000-0005-0000-0000-00005C040000}"/>
    <cellStyle name="제목 2 2 2" xfId="675" xr:uid="{00000000-0005-0000-0000-00005D040000}"/>
    <cellStyle name="제목 2 2 2 2" xfId="1443" xr:uid="{00000000-0005-0000-0000-00005E040000}"/>
    <cellStyle name="제목 2 2 2 3" xfId="1444" xr:uid="{00000000-0005-0000-0000-00005F040000}"/>
    <cellStyle name="제목 2 2 2 4" xfId="1013" xr:uid="{00000000-0005-0000-0000-000060040000}"/>
    <cellStyle name="제목 2 2 3" xfId="676" xr:uid="{00000000-0005-0000-0000-000061040000}"/>
    <cellStyle name="제목 2 2 4" xfId="677" xr:uid="{00000000-0005-0000-0000-000062040000}"/>
    <cellStyle name="제목 2 2 4 2" xfId="1445" xr:uid="{00000000-0005-0000-0000-000063040000}"/>
    <cellStyle name="제목 2 3" xfId="678" xr:uid="{00000000-0005-0000-0000-000064040000}"/>
    <cellStyle name="제목 2 3 2" xfId="679" xr:uid="{00000000-0005-0000-0000-000065040000}"/>
    <cellStyle name="제목 2 4" xfId="680" xr:uid="{00000000-0005-0000-0000-000066040000}"/>
    <cellStyle name="제목 2 4 2" xfId="1014" xr:uid="{00000000-0005-0000-0000-000067040000}"/>
    <cellStyle name="제목 3 2" xfId="146" xr:uid="{00000000-0005-0000-0000-000068040000}"/>
    <cellStyle name="제목 3 2 2" xfId="681" xr:uid="{00000000-0005-0000-0000-000069040000}"/>
    <cellStyle name="제목 3 2 2 2" xfId="1446" xr:uid="{00000000-0005-0000-0000-00006A040000}"/>
    <cellStyle name="제목 3 2 2 3" xfId="1447" xr:uid="{00000000-0005-0000-0000-00006B040000}"/>
    <cellStyle name="제목 3 2 2 4" xfId="1015" xr:uid="{00000000-0005-0000-0000-00006C040000}"/>
    <cellStyle name="제목 3 2 3" xfId="682" xr:uid="{00000000-0005-0000-0000-00006D040000}"/>
    <cellStyle name="제목 3 2 4" xfId="683" xr:uid="{00000000-0005-0000-0000-00006E040000}"/>
    <cellStyle name="제목 3 2 4 2" xfId="1448" xr:uid="{00000000-0005-0000-0000-00006F040000}"/>
    <cellStyle name="제목 3 3" xfId="684" xr:uid="{00000000-0005-0000-0000-000070040000}"/>
    <cellStyle name="제목 3 3 2" xfId="685" xr:uid="{00000000-0005-0000-0000-000071040000}"/>
    <cellStyle name="제목 3 4" xfId="686" xr:uid="{00000000-0005-0000-0000-000072040000}"/>
    <cellStyle name="제목 3 4 2" xfId="1016" xr:uid="{00000000-0005-0000-0000-000073040000}"/>
    <cellStyle name="제목 4 2" xfId="147" xr:uid="{00000000-0005-0000-0000-000074040000}"/>
    <cellStyle name="제목 4 2 2" xfId="687" xr:uid="{00000000-0005-0000-0000-000075040000}"/>
    <cellStyle name="제목 4 2 2 2" xfId="1449" xr:uid="{00000000-0005-0000-0000-000076040000}"/>
    <cellStyle name="제목 4 2 2 3" xfId="1450" xr:uid="{00000000-0005-0000-0000-000077040000}"/>
    <cellStyle name="제목 4 2 2 4" xfId="1017" xr:uid="{00000000-0005-0000-0000-000078040000}"/>
    <cellStyle name="제목 4 2 3" xfId="688" xr:uid="{00000000-0005-0000-0000-000079040000}"/>
    <cellStyle name="제목 4 2 4" xfId="689" xr:uid="{00000000-0005-0000-0000-00007A040000}"/>
    <cellStyle name="제목 4 2 4 2" xfId="1451" xr:uid="{00000000-0005-0000-0000-00007B040000}"/>
    <cellStyle name="제목 4 3" xfId="690" xr:uid="{00000000-0005-0000-0000-00007C040000}"/>
    <cellStyle name="제목 4 3 2" xfId="691" xr:uid="{00000000-0005-0000-0000-00007D040000}"/>
    <cellStyle name="제목 4 4" xfId="692" xr:uid="{00000000-0005-0000-0000-00007E040000}"/>
    <cellStyle name="제목 4 4 2" xfId="1018" xr:uid="{00000000-0005-0000-0000-00007F040000}"/>
    <cellStyle name="제목 5" xfId="148" xr:uid="{00000000-0005-0000-0000-000080040000}"/>
    <cellStyle name="제목 5 2" xfId="693" xr:uid="{00000000-0005-0000-0000-000081040000}"/>
    <cellStyle name="제목 5 2 2" xfId="1452" xr:uid="{00000000-0005-0000-0000-000082040000}"/>
    <cellStyle name="제목 5 2 3" xfId="1019" xr:uid="{00000000-0005-0000-0000-000083040000}"/>
    <cellStyle name="제목 5 3" xfId="694" xr:uid="{00000000-0005-0000-0000-000084040000}"/>
    <cellStyle name="제목 5 3 2" xfId="1453" xr:uid="{00000000-0005-0000-0000-000085040000}"/>
    <cellStyle name="제목 5 4" xfId="695" xr:uid="{00000000-0005-0000-0000-000086040000}"/>
    <cellStyle name="제목 6" xfId="696" xr:uid="{00000000-0005-0000-0000-000087040000}"/>
    <cellStyle name="제목 6 2" xfId="697" xr:uid="{00000000-0005-0000-0000-000088040000}"/>
    <cellStyle name="제목 7" xfId="698" xr:uid="{00000000-0005-0000-0000-000089040000}"/>
    <cellStyle name="좋음 2" xfId="149" xr:uid="{00000000-0005-0000-0000-00008A040000}"/>
    <cellStyle name="좋음 2 2" xfId="699" xr:uid="{00000000-0005-0000-0000-00008B040000}"/>
    <cellStyle name="좋음 2 2 2" xfId="1454" xr:uid="{00000000-0005-0000-0000-00008C040000}"/>
    <cellStyle name="좋음 2 2 3" xfId="1455" xr:uid="{00000000-0005-0000-0000-00008D040000}"/>
    <cellStyle name="좋음 2 2 4" xfId="1456" xr:uid="{00000000-0005-0000-0000-00008E040000}"/>
    <cellStyle name="좋음 2 2 5" xfId="1020" xr:uid="{00000000-0005-0000-0000-00008F040000}"/>
    <cellStyle name="좋음 2 3" xfId="700" xr:uid="{00000000-0005-0000-0000-000090040000}"/>
    <cellStyle name="좋음 2 3 2" xfId="1457" xr:uid="{00000000-0005-0000-0000-000091040000}"/>
    <cellStyle name="좋음 2 4" xfId="701" xr:uid="{00000000-0005-0000-0000-000092040000}"/>
    <cellStyle name="좋음 2 4 2" xfId="1458" xr:uid="{00000000-0005-0000-0000-000093040000}"/>
    <cellStyle name="좋음 3" xfId="702" xr:uid="{00000000-0005-0000-0000-000094040000}"/>
    <cellStyle name="좋음 3 2" xfId="703" xr:uid="{00000000-0005-0000-0000-000095040000}"/>
    <cellStyle name="좋음 4" xfId="704" xr:uid="{00000000-0005-0000-0000-000096040000}"/>
    <cellStyle name="좋음 4 2" xfId="1021" xr:uid="{00000000-0005-0000-0000-000097040000}"/>
    <cellStyle name="좋음 5" xfId="1064" xr:uid="{00000000-0005-0000-0000-000098040000}"/>
    <cellStyle name="지정되지 않음" xfId="150" xr:uid="{00000000-0005-0000-0000-000099040000}"/>
    <cellStyle name="지정되지 않음 2" xfId="151" xr:uid="{00000000-0005-0000-0000-00009A040000}"/>
    <cellStyle name="쪽번호" xfId="152" xr:uid="{00000000-0005-0000-0000-00009B040000}"/>
    <cellStyle name="출력 2" xfId="153" xr:uid="{00000000-0005-0000-0000-00009C040000}"/>
    <cellStyle name="출력 2 2" xfId="154" xr:uid="{00000000-0005-0000-0000-00009D040000}"/>
    <cellStyle name="출력 2 2 2" xfId="155" xr:uid="{00000000-0005-0000-0000-00009E040000}"/>
    <cellStyle name="출력 2 2 2 2" xfId="1459" xr:uid="{00000000-0005-0000-0000-00009F040000}"/>
    <cellStyle name="출력 2 2 2 3" xfId="1460" xr:uid="{00000000-0005-0000-0000-0000A0040000}"/>
    <cellStyle name="출력 2 2 3" xfId="1461" xr:uid="{00000000-0005-0000-0000-0000A1040000}"/>
    <cellStyle name="출력 2 2 4" xfId="1462" xr:uid="{00000000-0005-0000-0000-0000A2040000}"/>
    <cellStyle name="출력 2 3" xfId="156" xr:uid="{00000000-0005-0000-0000-0000A3040000}"/>
    <cellStyle name="출력 2 3 2" xfId="1463" xr:uid="{00000000-0005-0000-0000-0000A4040000}"/>
    <cellStyle name="출력 2 3 3" xfId="1022" xr:uid="{00000000-0005-0000-0000-0000A5040000}"/>
    <cellStyle name="출력 2 4" xfId="157" xr:uid="{00000000-0005-0000-0000-0000A6040000}"/>
    <cellStyle name="출력 2 4 2" xfId="705" xr:uid="{00000000-0005-0000-0000-0000A7040000}"/>
    <cellStyle name="출력 2 5" xfId="158" xr:uid="{00000000-0005-0000-0000-0000A8040000}"/>
    <cellStyle name="출력 2 6" xfId="1464" xr:uid="{00000000-0005-0000-0000-0000A9040000}"/>
    <cellStyle name="출력 2 7" xfId="1465" xr:uid="{00000000-0005-0000-0000-0000AA040000}"/>
    <cellStyle name="출력 3" xfId="706" xr:uid="{00000000-0005-0000-0000-0000AB040000}"/>
    <cellStyle name="출력 3 2" xfId="707" xr:uid="{00000000-0005-0000-0000-0000AC040000}"/>
    <cellStyle name="출력 3 2 2" xfId="1023" xr:uid="{00000000-0005-0000-0000-0000AD040000}"/>
    <cellStyle name="출력 4" xfId="708" xr:uid="{00000000-0005-0000-0000-0000AE040000}"/>
    <cellStyle name="출력 4 2" xfId="709" xr:uid="{00000000-0005-0000-0000-0000AF040000}"/>
    <cellStyle name="출력 5" xfId="710" xr:uid="{00000000-0005-0000-0000-0000B0040000}"/>
    <cellStyle name="콤마 [0]" xfId="159" xr:uid="{00000000-0005-0000-0000-0000B1040000}"/>
    <cellStyle name="콤마_10.14 ~ 10.18 응시반 " xfId="160" xr:uid="{00000000-0005-0000-0000-0000B2040000}"/>
    <cellStyle name="통화 [0] 2" xfId="711" xr:uid="{00000000-0005-0000-0000-0000B3040000}"/>
    <cellStyle name="통화 [0] 2 2" xfId="712" xr:uid="{00000000-0005-0000-0000-0000B4040000}"/>
    <cellStyle name="통화 [0] 2 2 2" xfId="1466" xr:uid="{00000000-0005-0000-0000-0000B5040000}"/>
    <cellStyle name="통화 [0] 2 3" xfId="713" xr:uid="{00000000-0005-0000-0000-0000B6040000}"/>
    <cellStyle name="통화 [0] 3" xfId="714" xr:uid="{00000000-0005-0000-0000-0000B7040000}"/>
    <cellStyle name="통화 [0] 4" xfId="715" xr:uid="{00000000-0005-0000-0000-0000B8040000}"/>
    <cellStyle name="통화 [0] 5" xfId="716" xr:uid="{00000000-0005-0000-0000-0000B9040000}"/>
    <cellStyle name="표준" xfId="0" builtinId="0"/>
    <cellStyle name="표준 10" xfId="161" xr:uid="{00000000-0005-0000-0000-0000BB040000}"/>
    <cellStyle name="표준 10 10" xfId="1513" xr:uid="{00000000-0005-0000-0000-0000BC040000}"/>
    <cellStyle name="표준 10 2" xfId="162" xr:uid="{00000000-0005-0000-0000-0000BD040000}"/>
    <cellStyle name="표준 10 2 10" xfId="1514" xr:uid="{00000000-0005-0000-0000-0000BE040000}"/>
    <cellStyle name="표준 10 2 2 2 3" xfId="717" xr:uid="{00000000-0005-0000-0000-0000BF040000}"/>
    <cellStyle name="표준 10 3" xfId="163" xr:uid="{00000000-0005-0000-0000-0000C0040000}"/>
    <cellStyle name="표준 10 4" xfId="164" xr:uid="{00000000-0005-0000-0000-0000C1040000}"/>
    <cellStyle name="표준 10 4 2" xfId="1467" xr:uid="{00000000-0005-0000-0000-0000C2040000}"/>
    <cellStyle name="표준 10 4 3" xfId="1468" xr:uid="{00000000-0005-0000-0000-0000C3040000}"/>
    <cellStyle name="표준 10 5" xfId="718" xr:uid="{00000000-0005-0000-0000-0000C4040000}"/>
    <cellStyle name="표준 10 6" xfId="719" xr:uid="{00000000-0005-0000-0000-0000C5040000}"/>
    <cellStyle name="표준 10 7" xfId="720" xr:uid="{00000000-0005-0000-0000-0000C6040000}"/>
    <cellStyle name="표준 10 8" xfId="721" xr:uid="{00000000-0005-0000-0000-0000C7040000}"/>
    <cellStyle name="표준 10 9" xfId="1069" xr:uid="{00000000-0005-0000-0000-0000C8040000}"/>
    <cellStyle name="표준 11" xfId="165" xr:uid="{00000000-0005-0000-0000-0000C9040000}"/>
    <cellStyle name="표준 11 2" xfId="722" xr:uid="{00000000-0005-0000-0000-0000CA040000}"/>
    <cellStyle name="표준 11 3" xfId="13" xr:uid="{00000000-0005-0000-0000-0000CB040000}"/>
    <cellStyle name="표준 11 4" xfId="723" xr:uid="{00000000-0005-0000-0000-0000CC040000}"/>
    <cellStyle name="표준 11 4 2" xfId="1024" xr:uid="{00000000-0005-0000-0000-0000CD040000}"/>
    <cellStyle name="표준 11 5" xfId="1068" xr:uid="{00000000-0005-0000-0000-0000CE040000}"/>
    <cellStyle name="표준 12" xfId="17" xr:uid="{00000000-0005-0000-0000-0000CF040000}"/>
    <cellStyle name="표준 12 2" xfId="724" xr:uid="{00000000-0005-0000-0000-0000D0040000}"/>
    <cellStyle name="표준 12 3" xfId="725" xr:uid="{00000000-0005-0000-0000-0000D1040000}"/>
    <cellStyle name="표준 12 3 2" xfId="1025" xr:uid="{00000000-0005-0000-0000-0000D2040000}"/>
    <cellStyle name="표준 13" xfId="166" xr:uid="{00000000-0005-0000-0000-0000D3040000}"/>
    <cellStyle name="표준 13 2" xfId="726" xr:uid="{00000000-0005-0000-0000-0000D4040000}"/>
    <cellStyle name="표준 13 3" xfId="727" xr:uid="{00000000-0005-0000-0000-0000D5040000}"/>
    <cellStyle name="표준 13 3 2" xfId="1026" xr:uid="{00000000-0005-0000-0000-0000D6040000}"/>
    <cellStyle name="표준 14" xfId="167" xr:uid="{00000000-0005-0000-0000-0000D7040000}"/>
    <cellStyle name="표준 14 2" xfId="728" xr:uid="{00000000-0005-0000-0000-0000D8040000}"/>
    <cellStyle name="표준 14 2 2" xfId="1027" xr:uid="{00000000-0005-0000-0000-0000D9040000}"/>
    <cellStyle name="표준 14 3" xfId="729" xr:uid="{00000000-0005-0000-0000-0000DA040000}"/>
    <cellStyle name="표준 14 3 2" xfId="1469" xr:uid="{00000000-0005-0000-0000-0000DB040000}"/>
    <cellStyle name="표준 14 4" xfId="1470" xr:uid="{00000000-0005-0000-0000-0000DC040000}"/>
    <cellStyle name="표준 15" xfId="168" xr:uid="{00000000-0005-0000-0000-0000DD040000}"/>
    <cellStyle name="표준 15 2" xfId="730" xr:uid="{00000000-0005-0000-0000-0000DE040000}"/>
    <cellStyle name="표준 15 2 2" xfId="1471" xr:uid="{00000000-0005-0000-0000-0000DF040000}"/>
    <cellStyle name="표준 15 2 3" xfId="1028" xr:uid="{00000000-0005-0000-0000-0000E0040000}"/>
    <cellStyle name="표준 16" xfId="169" xr:uid="{00000000-0005-0000-0000-0000E1040000}"/>
    <cellStyle name="표준 16 2" xfId="170" xr:uid="{00000000-0005-0000-0000-0000E2040000}"/>
    <cellStyle name="표준 16 2 2" xfId="1472" xr:uid="{00000000-0005-0000-0000-0000E3040000}"/>
    <cellStyle name="표준 16 2 3" xfId="1029" xr:uid="{00000000-0005-0000-0000-0000E4040000}"/>
    <cellStyle name="표준 16 3" xfId="1473" xr:uid="{00000000-0005-0000-0000-0000E5040000}"/>
    <cellStyle name="표준 17" xfId="171" xr:uid="{00000000-0005-0000-0000-0000E6040000}"/>
    <cellStyle name="표준 17 2" xfId="731" xr:uid="{00000000-0005-0000-0000-0000E7040000}"/>
    <cellStyle name="표준 18" xfId="172" xr:uid="{00000000-0005-0000-0000-0000E8040000}"/>
    <cellStyle name="표준 18 2" xfId="173" xr:uid="{00000000-0005-0000-0000-0000E9040000}"/>
    <cellStyle name="표준 18 2 2" xfId="732" xr:uid="{00000000-0005-0000-0000-0000EA040000}"/>
    <cellStyle name="표준 18 2 3" xfId="733" xr:uid="{00000000-0005-0000-0000-0000EB040000}"/>
    <cellStyle name="표준 18 2 4" xfId="734" xr:uid="{00000000-0005-0000-0000-0000EC040000}"/>
    <cellStyle name="표준 18 2 5" xfId="1071" xr:uid="{00000000-0005-0000-0000-0000ED040000}"/>
    <cellStyle name="표준 18 3" xfId="735" xr:uid="{00000000-0005-0000-0000-0000EE040000}"/>
    <cellStyle name="표준 18 4" xfId="736" xr:uid="{00000000-0005-0000-0000-0000EF040000}"/>
    <cellStyle name="표준 18 4 2" xfId="1030" xr:uid="{00000000-0005-0000-0000-0000F0040000}"/>
    <cellStyle name="표준 18 5" xfId="737" xr:uid="{00000000-0005-0000-0000-0000F1040000}"/>
    <cellStyle name="표준 18 6" xfId="1070" xr:uid="{00000000-0005-0000-0000-0000F2040000}"/>
    <cellStyle name="표준 19" xfId="174" xr:uid="{00000000-0005-0000-0000-0000F3040000}"/>
    <cellStyle name="표준 19 2" xfId="738" xr:uid="{00000000-0005-0000-0000-0000F4040000}"/>
    <cellStyle name="표준 19 2 2" xfId="1474" xr:uid="{00000000-0005-0000-0000-0000F5040000}"/>
    <cellStyle name="표준 19 3" xfId="739" xr:uid="{00000000-0005-0000-0000-0000F6040000}"/>
    <cellStyle name="표준 2" xfId="10" xr:uid="{00000000-0005-0000-0000-0000F7040000}"/>
    <cellStyle name="표준 2 10" xfId="5" xr:uid="{00000000-0005-0000-0000-0000F8040000}"/>
    <cellStyle name="표준 2 10 2" xfId="1507" xr:uid="{00000000-0005-0000-0000-0000F9040000}"/>
    <cellStyle name="표준 2 11" xfId="740" xr:uid="{00000000-0005-0000-0000-0000FA040000}"/>
    <cellStyle name="표준 2 2" xfId="9" xr:uid="{00000000-0005-0000-0000-0000FB040000}"/>
    <cellStyle name="표준 2 2 2" xfId="175" xr:uid="{00000000-0005-0000-0000-0000FC040000}"/>
    <cellStyle name="표준 2 2 2 2" xfId="741" xr:uid="{00000000-0005-0000-0000-0000FD040000}"/>
    <cellStyle name="표준 2 2 2 2 2" xfId="742" xr:uid="{00000000-0005-0000-0000-0000FE040000}"/>
    <cellStyle name="표준 2 2 2 2 3" xfId="1031" xr:uid="{00000000-0005-0000-0000-0000FF040000}"/>
    <cellStyle name="표준 2 2 2 3" xfId="743" xr:uid="{00000000-0005-0000-0000-000000050000}"/>
    <cellStyle name="표준 2 2 2 3 2" xfId="1032" xr:uid="{00000000-0005-0000-0000-000001050000}"/>
    <cellStyle name="표준 2 2 2 4" xfId="744" xr:uid="{00000000-0005-0000-0000-000002050000}"/>
    <cellStyle name="표준 2 2 2 4 2" xfId="1033" xr:uid="{00000000-0005-0000-0000-000003050000}"/>
    <cellStyle name="표준 2 2 2 5" xfId="745" xr:uid="{00000000-0005-0000-0000-000004050000}"/>
    <cellStyle name="표준 2 2 3" xfId="746" xr:uid="{00000000-0005-0000-0000-000005050000}"/>
    <cellStyle name="표준 2 2 3 2" xfId="747" xr:uid="{00000000-0005-0000-0000-000006050000}"/>
    <cellStyle name="표준 2 2 3 2 2" xfId="1475" xr:uid="{00000000-0005-0000-0000-000007050000}"/>
    <cellStyle name="표준 2 2 3 3" xfId="1034" xr:uid="{00000000-0005-0000-0000-000008050000}"/>
    <cellStyle name="표준 2 2 4" xfId="748" xr:uid="{00000000-0005-0000-0000-000009050000}"/>
    <cellStyle name="표준 2 2 4 2" xfId="1035" xr:uid="{00000000-0005-0000-0000-00000A050000}"/>
    <cellStyle name="표준 2 2 5" xfId="749" xr:uid="{00000000-0005-0000-0000-00000B050000}"/>
    <cellStyle name="표준 2 2 6" xfId="750" xr:uid="{00000000-0005-0000-0000-00000C050000}"/>
    <cellStyle name="표준 2 2 6 2" xfId="751" xr:uid="{00000000-0005-0000-0000-00000D050000}"/>
    <cellStyle name="표준 2 2 7" xfId="752" xr:uid="{00000000-0005-0000-0000-00000E050000}"/>
    <cellStyle name="표준 2 3" xfId="176" xr:uid="{00000000-0005-0000-0000-00000F050000}"/>
    <cellStyle name="표준 2 3 2" xfId="753" xr:uid="{00000000-0005-0000-0000-000010050000}"/>
    <cellStyle name="표준 2 3 2 2" xfId="754" xr:uid="{00000000-0005-0000-0000-000011050000}"/>
    <cellStyle name="표준 2 3 2 2 2" xfId="1476" xr:uid="{00000000-0005-0000-0000-000012050000}"/>
    <cellStyle name="표준 2 3 3" xfId="755" xr:uid="{00000000-0005-0000-0000-000013050000}"/>
    <cellStyle name="표준 2 3 3 2" xfId="1036" xr:uid="{00000000-0005-0000-0000-000014050000}"/>
    <cellStyle name="표준 2 3 4" xfId="756" xr:uid="{00000000-0005-0000-0000-000015050000}"/>
    <cellStyle name="표준 2 4" xfId="177" xr:uid="{00000000-0005-0000-0000-000016050000}"/>
    <cellStyle name="표준 2 4 2" xfId="757" xr:uid="{00000000-0005-0000-0000-000017050000}"/>
    <cellStyle name="표준 2 4 2 2" xfId="1477" xr:uid="{00000000-0005-0000-0000-000018050000}"/>
    <cellStyle name="표준 2 4 2 3" xfId="1037" xr:uid="{00000000-0005-0000-0000-000019050000}"/>
    <cellStyle name="표준 2 4 3" xfId="758" xr:uid="{00000000-0005-0000-0000-00001A050000}"/>
    <cellStyle name="표준 2 4 3 2" xfId="1478" xr:uid="{00000000-0005-0000-0000-00001B050000}"/>
    <cellStyle name="표준 2 4 4" xfId="1479" xr:uid="{00000000-0005-0000-0000-00001C050000}"/>
    <cellStyle name="표준 2 5" xfId="178" xr:uid="{00000000-0005-0000-0000-00001D050000}"/>
    <cellStyle name="표준 2 5 2" xfId="179" xr:uid="{00000000-0005-0000-0000-00001E050000}"/>
    <cellStyle name="표준 2 5 2 2" xfId="759" xr:uid="{00000000-0005-0000-0000-00001F050000}"/>
    <cellStyle name="표준 2 5 2 3" xfId="1480" xr:uid="{00000000-0005-0000-0000-000020050000}"/>
    <cellStyle name="표준 2 5 3" xfId="760" xr:uid="{00000000-0005-0000-0000-000021050000}"/>
    <cellStyle name="표준 2 5 3 2" xfId="1038" xr:uid="{00000000-0005-0000-0000-000022050000}"/>
    <cellStyle name="표준 2 5 4" xfId="761" xr:uid="{00000000-0005-0000-0000-000023050000}"/>
    <cellStyle name="표준 2 6" xfId="180" xr:uid="{00000000-0005-0000-0000-000024050000}"/>
    <cellStyle name="표준 2 6 2" xfId="762" xr:uid="{00000000-0005-0000-0000-000025050000}"/>
    <cellStyle name="표준 2 6 2 2" xfId="1039" xr:uid="{00000000-0005-0000-0000-000026050000}"/>
    <cellStyle name="표준 2 6 3" xfId="763" xr:uid="{00000000-0005-0000-0000-000027050000}"/>
    <cellStyle name="표준 2 7" xfId="181" xr:uid="{00000000-0005-0000-0000-000028050000}"/>
    <cellStyle name="표준 2 7 2" xfId="764" xr:uid="{00000000-0005-0000-0000-000029050000}"/>
    <cellStyle name="표준 2 7 2 2" xfId="1040" xr:uid="{00000000-0005-0000-0000-00002A050000}"/>
    <cellStyle name="표준 2 8" xfId="765" xr:uid="{00000000-0005-0000-0000-00002B050000}"/>
    <cellStyle name="표준 2 8 2" xfId="1041" xr:uid="{00000000-0005-0000-0000-00002C050000}"/>
    <cellStyle name="표준 2 9" xfId="766" xr:uid="{00000000-0005-0000-0000-00002D050000}"/>
    <cellStyle name="표준 20" xfId="767" xr:uid="{00000000-0005-0000-0000-00002E050000}"/>
    <cellStyle name="표준 21" xfId="768" xr:uid="{00000000-0005-0000-0000-00002F050000}"/>
    <cellStyle name="표준 21 2" xfId="1481" xr:uid="{00000000-0005-0000-0000-000030050000}"/>
    <cellStyle name="표준 21 3" xfId="1482" xr:uid="{00000000-0005-0000-0000-000031050000}"/>
    <cellStyle name="표준 22" xfId="769" xr:uid="{00000000-0005-0000-0000-000032050000}"/>
    <cellStyle name="표준 22 2" xfId="1483" xr:uid="{00000000-0005-0000-0000-000033050000}"/>
    <cellStyle name="표준 23" xfId="770" xr:uid="{00000000-0005-0000-0000-000034050000}"/>
    <cellStyle name="표준 24" xfId="771" xr:uid="{00000000-0005-0000-0000-000035050000}"/>
    <cellStyle name="표준 24 2" xfId="1484" xr:uid="{00000000-0005-0000-0000-000036050000}"/>
    <cellStyle name="표준 25" xfId="772" xr:uid="{00000000-0005-0000-0000-000037050000}"/>
    <cellStyle name="표준 26" xfId="773" xr:uid="{00000000-0005-0000-0000-000038050000}"/>
    <cellStyle name="표준 27" xfId="774" xr:uid="{00000000-0005-0000-0000-000039050000}"/>
    <cellStyle name="표준 27 2" xfId="1042" xr:uid="{00000000-0005-0000-0000-00003A050000}"/>
    <cellStyle name="표준 28" xfId="202" xr:uid="{00000000-0005-0000-0000-00003B050000}"/>
    <cellStyle name="표준 28 2" xfId="1485" xr:uid="{00000000-0005-0000-0000-00003C050000}"/>
    <cellStyle name="표준 28 2 2" xfId="1509" xr:uid="{00000000-0005-0000-0000-00003D050000}"/>
    <cellStyle name="표준 28 3" xfId="1043" xr:uid="{00000000-0005-0000-0000-00003E050000}"/>
    <cellStyle name="표준 28 3 2" xfId="1508" xr:uid="{00000000-0005-0000-0000-00003F050000}"/>
    <cellStyle name="표준 29" xfId="775" xr:uid="{00000000-0005-0000-0000-000040050000}"/>
    <cellStyle name="표준 3" xfId="7" xr:uid="{00000000-0005-0000-0000-000041050000}"/>
    <cellStyle name="표준 3 10" xfId="776" xr:uid="{00000000-0005-0000-0000-000042050000}"/>
    <cellStyle name="표준 3 10 2" xfId="777" xr:uid="{00000000-0005-0000-0000-000043050000}"/>
    <cellStyle name="표준 3 10 3" xfId="1066" xr:uid="{00000000-0005-0000-0000-000044050000}"/>
    <cellStyle name="표준 3 2" xfId="182" xr:uid="{00000000-0005-0000-0000-000045050000}"/>
    <cellStyle name="표준 3 2 2" xfId="778" xr:uid="{00000000-0005-0000-0000-000046050000}"/>
    <cellStyle name="표준 3 2 2 2" xfId="779" xr:uid="{00000000-0005-0000-0000-000047050000}"/>
    <cellStyle name="표준 3 2 2 2 2" xfId="1045" xr:uid="{00000000-0005-0000-0000-000048050000}"/>
    <cellStyle name="표준 3 2 2 3" xfId="1044" xr:uid="{00000000-0005-0000-0000-000049050000}"/>
    <cellStyle name="표준 3 2 3" xfId="780" xr:uid="{00000000-0005-0000-0000-00004A050000}"/>
    <cellStyle name="표준 3 2 4" xfId="781" xr:uid="{00000000-0005-0000-0000-00004B050000}"/>
    <cellStyle name="표준 3 2 5" xfId="782" xr:uid="{00000000-0005-0000-0000-00004C050000}"/>
    <cellStyle name="표준 3 2 6" xfId="783" xr:uid="{00000000-0005-0000-0000-00004D050000}"/>
    <cellStyle name="표준 3 3" xfId="183" xr:uid="{00000000-0005-0000-0000-00004E050000}"/>
    <cellStyle name="표준 3 3 2" xfId="784" xr:uid="{00000000-0005-0000-0000-00004F050000}"/>
    <cellStyle name="표준 3 3 2 2" xfId="785" xr:uid="{00000000-0005-0000-0000-000050050000}"/>
    <cellStyle name="표준 3 3 2 2 2" xfId="1486" xr:uid="{00000000-0005-0000-0000-000051050000}"/>
    <cellStyle name="표준 3 3 3" xfId="786" xr:uid="{00000000-0005-0000-0000-000052050000}"/>
    <cellStyle name="표준 3 3 4" xfId="787" xr:uid="{00000000-0005-0000-0000-000053050000}"/>
    <cellStyle name="표준 3 3 4 2" xfId="1487" xr:uid="{00000000-0005-0000-0000-000054050000}"/>
    <cellStyle name="표준 3 3 5" xfId="788" xr:uid="{00000000-0005-0000-0000-000055050000}"/>
    <cellStyle name="표준 3 3 5 2" xfId="1488" xr:uid="{00000000-0005-0000-0000-000056050000}"/>
    <cellStyle name="표준 3 4" xfId="789" xr:uid="{00000000-0005-0000-0000-000057050000}"/>
    <cellStyle name="표준 3 4 2" xfId="790" xr:uid="{00000000-0005-0000-0000-000058050000}"/>
    <cellStyle name="표준 3 4 2 2" xfId="1489" xr:uid="{00000000-0005-0000-0000-000059050000}"/>
    <cellStyle name="표준 3 4 3" xfId="791" xr:uid="{00000000-0005-0000-0000-00005A050000}"/>
    <cellStyle name="표준 3 4 3 2" xfId="1046" xr:uid="{00000000-0005-0000-0000-00005B050000}"/>
    <cellStyle name="표준 3 4 4" xfId="792" xr:uid="{00000000-0005-0000-0000-00005C050000}"/>
    <cellStyle name="표준 3 4 4 2" xfId="1047" xr:uid="{00000000-0005-0000-0000-00005D050000}"/>
    <cellStyle name="표준 3 4 5" xfId="793" xr:uid="{00000000-0005-0000-0000-00005E050000}"/>
    <cellStyle name="표준 3 5" xfId="794" xr:uid="{00000000-0005-0000-0000-00005F050000}"/>
    <cellStyle name="표준 3 5 2" xfId="795" xr:uid="{00000000-0005-0000-0000-000060050000}"/>
    <cellStyle name="표준 3 6" xfId="796" xr:uid="{00000000-0005-0000-0000-000061050000}"/>
    <cellStyle name="표준 3 6 2" xfId="797" xr:uid="{00000000-0005-0000-0000-000062050000}"/>
    <cellStyle name="표준 3 6 2 2" xfId="1490" xr:uid="{00000000-0005-0000-0000-000063050000}"/>
    <cellStyle name="표준 3 7" xfId="798" xr:uid="{00000000-0005-0000-0000-000064050000}"/>
    <cellStyle name="표준 3 7 2" xfId="799" xr:uid="{00000000-0005-0000-0000-000065050000}"/>
    <cellStyle name="표준 3 7 3" xfId="1048" xr:uid="{00000000-0005-0000-0000-000066050000}"/>
    <cellStyle name="표준 3 8" xfId="800" xr:uid="{00000000-0005-0000-0000-000067050000}"/>
    <cellStyle name="표준 3 9" xfId="801" xr:uid="{00000000-0005-0000-0000-000068050000}"/>
    <cellStyle name="표준 3 9 2" xfId="1049" xr:uid="{00000000-0005-0000-0000-000069050000}"/>
    <cellStyle name="표준 3_재해사망" xfId="802" xr:uid="{00000000-0005-0000-0000-00006A050000}"/>
    <cellStyle name="표준 30" xfId="803" xr:uid="{00000000-0005-0000-0000-00006B050000}"/>
    <cellStyle name="표준 31" xfId="804" xr:uid="{00000000-0005-0000-0000-00006C050000}"/>
    <cellStyle name="표준 31 2" xfId="805" xr:uid="{00000000-0005-0000-0000-00006D050000}"/>
    <cellStyle name="표준 31 3" xfId="806" xr:uid="{00000000-0005-0000-0000-00006E050000}"/>
    <cellStyle name="표준 32" xfId="807" xr:uid="{00000000-0005-0000-0000-00006F050000}"/>
    <cellStyle name="표준 32 2" xfId="808" xr:uid="{00000000-0005-0000-0000-000070050000}"/>
    <cellStyle name="표준 32 3" xfId="809" xr:uid="{00000000-0005-0000-0000-000071050000}"/>
    <cellStyle name="표준 33" xfId="810" xr:uid="{00000000-0005-0000-0000-000072050000}"/>
    <cellStyle name="표준 34" xfId="811" xr:uid="{00000000-0005-0000-0000-000073050000}"/>
    <cellStyle name="표준 35" xfId="812" xr:uid="{00000000-0005-0000-0000-000074050000}"/>
    <cellStyle name="표준 36" xfId="813" xr:uid="{00000000-0005-0000-0000-000075050000}"/>
    <cellStyle name="표준 37" xfId="814" xr:uid="{00000000-0005-0000-0000-000076050000}"/>
    <cellStyle name="표준 38" xfId="815" xr:uid="{00000000-0005-0000-0000-000077050000}"/>
    <cellStyle name="표준 39" xfId="816" xr:uid="{00000000-0005-0000-0000-000078050000}"/>
    <cellStyle name="표준 4" xfId="184" xr:uid="{00000000-0005-0000-0000-000079050000}"/>
    <cellStyle name="표준 4 2" xfId="185" xr:uid="{00000000-0005-0000-0000-00007A050000}"/>
    <cellStyle name="표준 4 2 2" xfId="817" xr:uid="{00000000-0005-0000-0000-00007B050000}"/>
    <cellStyle name="표준 4 2 2 2" xfId="1051" xr:uid="{00000000-0005-0000-0000-00007C050000}"/>
    <cellStyle name="표준 4 2 3" xfId="818" xr:uid="{00000000-0005-0000-0000-00007D050000}"/>
    <cellStyle name="표준 4 2 4" xfId="1050" xr:uid="{00000000-0005-0000-0000-00007E050000}"/>
    <cellStyle name="표준 4 3" xfId="186" xr:uid="{00000000-0005-0000-0000-00007F050000}"/>
    <cellStyle name="표준 4 3 2" xfId="819" xr:uid="{00000000-0005-0000-0000-000080050000}"/>
    <cellStyle name="표준 4 3 2 2" xfId="1491" xr:uid="{00000000-0005-0000-0000-000081050000}"/>
    <cellStyle name="표준 4 3 3" xfId="820" xr:uid="{00000000-0005-0000-0000-000082050000}"/>
    <cellStyle name="표준 4 3 4" xfId="1052" xr:uid="{00000000-0005-0000-0000-000083050000}"/>
    <cellStyle name="표준 4 4" xfId="187" xr:uid="{00000000-0005-0000-0000-000084050000}"/>
    <cellStyle name="표준 4 4 2" xfId="821" xr:uid="{00000000-0005-0000-0000-000085050000}"/>
    <cellStyle name="표준 4 4 2 2" xfId="1054" xr:uid="{00000000-0005-0000-0000-000086050000}"/>
    <cellStyle name="표준 4 4 3" xfId="1492" xr:uid="{00000000-0005-0000-0000-000087050000}"/>
    <cellStyle name="표준 4 4 4" xfId="1053" xr:uid="{00000000-0005-0000-0000-000088050000}"/>
    <cellStyle name="표준 4 5" xfId="188" xr:uid="{00000000-0005-0000-0000-000089050000}"/>
    <cellStyle name="표준 4 5 2" xfId="822" xr:uid="{00000000-0005-0000-0000-00008A050000}"/>
    <cellStyle name="표준 4 5 3" xfId="1055" xr:uid="{00000000-0005-0000-0000-00008B050000}"/>
    <cellStyle name="표준 4 6" xfId="823" xr:uid="{00000000-0005-0000-0000-00008C050000}"/>
    <cellStyle name="표준 4 6 2" xfId="1493" xr:uid="{00000000-0005-0000-0000-00008D050000}"/>
    <cellStyle name="표준 4 6 3" xfId="1056" xr:uid="{00000000-0005-0000-0000-00008E050000}"/>
    <cellStyle name="표준 4 7" xfId="824" xr:uid="{00000000-0005-0000-0000-00008F050000}"/>
    <cellStyle name="표준 4 8" xfId="825" xr:uid="{00000000-0005-0000-0000-000090050000}"/>
    <cellStyle name="표준 4 8 2" xfId="1494" xr:uid="{00000000-0005-0000-0000-000091050000}"/>
    <cellStyle name="표준 40" xfId="826" xr:uid="{00000000-0005-0000-0000-000092050000}"/>
    <cellStyle name="표준 41" xfId="827" xr:uid="{00000000-0005-0000-0000-000093050000}"/>
    <cellStyle name="표준 42" xfId="828" xr:uid="{00000000-0005-0000-0000-000094050000}"/>
    <cellStyle name="표준 43" xfId="829" xr:uid="{00000000-0005-0000-0000-000095050000}"/>
    <cellStyle name="표준 44" xfId="830" xr:uid="{00000000-0005-0000-0000-000096050000}"/>
    <cellStyle name="표준 45" xfId="831" xr:uid="{00000000-0005-0000-0000-000097050000}"/>
    <cellStyle name="표준 46" xfId="832" xr:uid="{00000000-0005-0000-0000-000098050000}"/>
    <cellStyle name="표준 47" xfId="833" xr:uid="{00000000-0005-0000-0000-000099050000}"/>
    <cellStyle name="표준 48" xfId="834" xr:uid="{00000000-0005-0000-0000-00009A050000}"/>
    <cellStyle name="표준 49" xfId="835" xr:uid="{00000000-0005-0000-0000-00009B050000}"/>
    <cellStyle name="표준 5" xfId="2" xr:uid="{00000000-0005-0000-0000-00009C050000}"/>
    <cellStyle name="표준 5 2" xfId="11" xr:uid="{00000000-0005-0000-0000-00009D050000}"/>
    <cellStyle name="표준 5 2 2" xfId="189" xr:uid="{00000000-0005-0000-0000-00009E050000}"/>
    <cellStyle name="표준 5 2 2 2" xfId="1495" xr:uid="{00000000-0005-0000-0000-00009F050000}"/>
    <cellStyle name="표준 5 2 2 3" xfId="1058" xr:uid="{00000000-0005-0000-0000-0000A0050000}"/>
    <cellStyle name="표준 5 2 3" xfId="836" xr:uid="{00000000-0005-0000-0000-0000A1050000}"/>
    <cellStyle name="표준 5 2 4" xfId="1057" xr:uid="{00000000-0005-0000-0000-0000A2050000}"/>
    <cellStyle name="표준 5 3" xfId="190" xr:uid="{00000000-0005-0000-0000-0000A3050000}"/>
    <cellStyle name="표준 5 3 2" xfId="1496" xr:uid="{00000000-0005-0000-0000-0000A4050000}"/>
    <cellStyle name="표준 5 3 3" xfId="1059" xr:uid="{00000000-0005-0000-0000-0000A5050000}"/>
    <cellStyle name="표준 5 4" xfId="837" xr:uid="{00000000-0005-0000-0000-0000A6050000}"/>
    <cellStyle name="표준 5 4 2" xfId="1497" xr:uid="{00000000-0005-0000-0000-0000A7050000}"/>
    <cellStyle name="표준 5 5" xfId="838" xr:uid="{00000000-0005-0000-0000-0000A8050000}"/>
    <cellStyle name="표준 50" xfId="839" xr:uid="{00000000-0005-0000-0000-0000A9050000}"/>
    <cellStyle name="표준 51" xfId="840" xr:uid="{00000000-0005-0000-0000-0000AA050000}"/>
    <cellStyle name="표준 52" xfId="841" xr:uid="{00000000-0005-0000-0000-0000AB050000}"/>
    <cellStyle name="표준 53" xfId="842" xr:uid="{00000000-0005-0000-0000-0000AC050000}"/>
    <cellStyle name="표준 54" xfId="843" xr:uid="{00000000-0005-0000-0000-0000AD050000}"/>
    <cellStyle name="표준 55" xfId="844" xr:uid="{00000000-0005-0000-0000-0000AE050000}"/>
    <cellStyle name="표준 56" xfId="845" xr:uid="{00000000-0005-0000-0000-0000AF050000}"/>
    <cellStyle name="표준 57" xfId="846" xr:uid="{00000000-0005-0000-0000-0000B0050000}"/>
    <cellStyle name="표준 58" xfId="847" xr:uid="{00000000-0005-0000-0000-0000B1050000}"/>
    <cellStyle name="표준 59" xfId="848" xr:uid="{00000000-0005-0000-0000-0000B2050000}"/>
    <cellStyle name="표준 6" xfId="191" xr:uid="{00000000-0005-0000-0000-0000B3050000}"/>
    <cellStyle name="표준 6 2" xfId="192" xr:uid="{00000000-0005-0000-0000-0000B4050000}"/>
    <cellStyle name="표준 6 2 2" xfId="849" xr:uid="{00000000-0005-0000-0000-0000B5050000}"/>
    <cellStyle name="표준 6 2 3" xfId="850" xr:uid="{00000000-0005-0000-0000-0000B6050000}"/>
    <cellStyle name="표준 6 3" xfId="193" xr:uid="{00000000-0005-0000-0000-0000B7050000}"/>
    <cellStyle name="표준 6 3 2" xfId="851" xr:uid="{00000000-0005-0000-0000-0000B8050000}"/>
    <cellStyle name="표준 6 3 2 2" xfId="1498" xr:uid="{00000000-0005-0000-0000-0000B9050000}"/>
    <cellStyle name="표준 6 3 3" xfId="1060" xr:uid="{00000000-0005-0000-0000-0000BA050000}"/>
    <cellStyle name="표준 6 4" xfId="852" xr:uid="{00000000-0005-0000-0000-0000BB050000}"/>
    <cellStyle name="표준 6 4 2" xfId="853" xr:uid="{00000000-0005-0000-0000-0000BC050000}"/>
    <cellStyle name="표준 6 4 3" xfId="1499" xr:uid="{00000000-0005-0000-0000-0000BD050000}"/>
    <cellStyle name="표준 6 4 4" xfId="1061" xr:uid="{00000000-0005-0000-0000-0000BE050000}"/>
    <cellStyle name="표준 60" xfId="854" xr:uid="{00000000-0005-0000-0000-0000BF050000}"/>
    <cellStyle name="표준 61" xfId="855" xr:uid="{00000000-0005-0000-0000-0000C0050000}"/>
    <cellStyle name="표준 62" xfId="856" xr:uid="{00000000-0005-0000-0000-0000C1050000}"/>
    <cellStyle name="표준 63" xfId="857" xr:uid="{00000000-0005-0000-0000-0000C2050000}"/>
    <cellStyle name="표준 7" xfId="194" xr:uid="{00000000-0005-0000-0000-0000C3050000}"/>
    <cellStyle name="표준 7 2" xfId="195" xr:uid="{00000000-0005-0000-0000-0000C4050000}"/>
    <cellStyle name="표준 7 2 2" xfId="858" xr:uid="{00000000-0005-0000-0000-0000C5050000}"/>
    <cellStyle name="표준 7 2 3" xfId="859" xr:uid="{00000000-0005-0000-0000-0000C6050000}"/>
    <cellStyle name="표준 7 3" xfId="860" xr:uid="{00000000-0005-0000-0000-0000C7050000}"/>
    <cellStyle name="표준 7 3 2" xfId="1500" xr:uid="{00000000-0005-0000-0000-0000C8050000}"/>
    <cellStyle name="표준 8" xfId="196" xr:uid="{00000000-0005-0000-0000-0000C9050000}"/>
    <cellStyle name="표준 8 2" xfId="197" xr:uid="{00000000-0005-0000-0000-0000CA050000}"/>
    <cellStyle name="표준 8 2 2" xfId="198" xr:uid="{00000000-0005-0000-0000-0000CB050000}"/>
    <cellStyle name="표준 8 2 3" xfId="861" xr:uid="{00000000-0005-0000-0000-0000CC050000}"/>
    <cellStyle name="표준 8 2 4" xfId="862" xr:uid="{00000000-0005-0000-0000-0000CD050000}"/>
    <cellStyle name="표준 8 3" xfId="199" xr:uid="{00000000-0005-0000-0000-0000CE050000}"/>
    <cellStyle name="표준 8 3 2" xfId="863" xr:uid="{00000000-0005-0000-0000-0000CF050000}"/>
    <cellStyle name="표준 8 3 2 2" xfId="1501" xr:uid="{00000000-0005-0000-0000-0000D0050000}"/>
    <cellStyle name="표준 8 3 3" xfId="864" xr:uid="{00000000-0005-0000-0000-0000D1050000}"/>
    <cellStyle name="표준 8 4" xfId="865" xr:uid="{00000000-0005-0000-0000-0000D2050000}"/>
    <cellStyle name="표준 8 4 2" xfId="1502" xr:uid="{00000000-0005-0000-0000-0000D3050000}"/>
    <cellStyle name="표준 8 5" xfId="866" xr:uid="{00000000-0005-0000-0000-0000D4050000}"/>
    <cellStyle name="표준 8 5 2" xfId="1503" xr:uid="{00000000-0005-0000-0000-0000D5050000}"/>
    <cellStyle name="표준 8 6" xfId="867" xr:uid="{00000000-0005-0000-0000-0000D6050000}"/>
    <cellStyle name="표준 8 7" xfId="868" xr:uid="{00000000-0005-0000-0000-0000D7050000}"/>
    <cellStyle name="표준 8 7 2" xfId="1504" xr:uid="{00000000-0005-0000-0000-0000D8050000}"/>
    <cellStyle name="표준 8 8" xfId="869" xr:uid="{00000000-0005-0000-0000-0000D9050000}"/>
    <cellStyle name="표준 8 8 2" xfId="870" xr:uid="{00000000-0005-0000-0000-0000DA050000}"/>
    <cellStyle name="표준 9" xfId="8" xr:uid="{00000000-0005-0000-0000-0000DB050000}"/>
    <cellStyle name="표준 9 2" xfId="200" xr:uid="{00000000-0005-0000-0000-0000DC050000}"/>
    <cellStyle name="표준 9 2 2" xfId="871" xr:uid="{00000000-0005-0000-0000-0000DD050000}"/>
    <cellStyle name="표준 9 2 2 2" xfId="1505" xr:uid="{00000000-0005-0000-0000-0000DE050000}"/>
    <cellStyle name="표준 9 2 2 3" xfId="1062" xr:uid="{00000000-0005-0000-0000-0000DF050000}"/>
    <cellStyle name="표준 9 2 3" xfId="1506" xr:uid="{00000000-0005-0000-0000-0000E0050000}"/>
    <cellStyle name="표준 9 3" xfId="201" xr:uid="{00000000-0005-0000-0000-0000E1050000}"/>
    <cellStyle name="표준 9 3 2" xfId="872" xr:uid="{00000000-0005-0000-0000-0000E2050000}"/>
    <cellStyle name="표준 9 3 3" xfId="1063" xr:uid="{00000000-0005-0000-0000-0000E3050000}"/>
    <cellStyle name="표준 9 4" xfId="873" xr:uid="{00000000-0005-0000-0000-0000E4050000}"/>
    <cellStyle name="표준_요액체크(CI보장특약)" xfId="1515" xr:uid="{00000000-0005-0000-0000-0000E5050000}"/>
    <cellStyle name="하이퍼링크 2" xfId="874" xr:uid="{00000000-0005-0000-0000-0000E6050000}"/>
    <cellStyle name="하이퍼링크 2 2" xfId="875" xr:uid="{00000000-0005-0000-0000-0000E7050000}"/>
    <cellStyle name="하이퍼링크 3" xfId="876" xr:uid="{00000000-0005-0000-0000-0000E8050000}"/>
    <cellStyle name="하이퍼링크 3 2" xfId="877" xr:uid="{00000000-0005-0000-0000-0000E9050000}"/>
    <cellStyle name="하이퍼링크 4" xfId="878" xr:uid="{00000000-0005-0000-0000-0000EA050000}"/>
    <cellStyle name="하이퍼링크 5" xfId="1512" xr:uid="{00000000-0005-0000-0000-0000EB050000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3300"/>
      <color rgb="FF680000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55756</xdr:colOff>
      <xdr:row>0</xdr:row>
      <xdr:rowOff>0</xdr:rowOff>
    </xdr:from>
    <xdr:to>
      <xdr:col>5</xdr:col>
      <xdr:colOff>650488</xdr:colOff>
      <xdr:row>2</xdr:row>
      <xdr:rowOff>19998</xdr:rowOff>
    </xdr:to>
    <xdr:sp macro="" textlink="">
      <xdr:nvSpPr>
        <xdr:cNvPr id="2" name="화살표: 오른쪽 1">
          <a:extLst>
            <a:ext uri="{FF2B5EF4-FFF2-40B4-BE49-F238E27FC236}">
              <a16:creationId xmlns:a16="http://schemas.microsoft.com/office/drawing/2014/main" id="{08DBA27B-BBE6-4CF1-B810-43843C37046B}"/>
            </a:ext>
          </a:extLst>
        </xdr:cNvPr>
        <xdr:cNvSpPr/>
      </xdr:nvSpPr>
      <xdr:spPr>
        <a:xfrm>
          <a:off x="4924936" y="0"/>
          <a:ext cx="594732" cy="484818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678367</xdr:colOff>
      <xdr:row>0</xdr:row>
      <xdr:rowOff>65049</xdr:rowOff>
    </xdr:from>
    <xdr:to>
      <xdr:col>8</xdr:col>
      <xdr:colOff>213732</xdr:colOff>
      <xdr:row>1</xdr:row>
      <xdr:rowOff>157976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3112ACC2-4F9E-4CD0-B3EC-4931E285A990}"/>
            </a:ext>
          </a:extLst>
        </xdr:cNvPr>
        <xdr:cNvSpPr/>
      </xdr:nvSpPr>
      <xdr:spPr>
        <a:xfrm>
          <a:off x="5547547" y="65049"/>
          <a:ext cx="1874705" cy="336767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ko-KR" altLang="en-US" sz="1400"/>
            <a:t>여기서부터 입력</a:t>
          </a:r>
          <a:endParaRPr lang="en-US" altLang="ko-KR" sz="1400"/>
        </a:p>
        <a:p>
          <a:pPr algn="l"/>
          <a:endParaRPr lang="ko-KR" altLang="en-US" sz="1400"/>
        </a:p>
      </xdr:txBody>
    </xdr:sp>
    <xdr:clientData/>
  </xdr:twoCellAnchor>
  <xdr:twoCellAnchor editAs="oneCell">
    <xdr:from>
      <xdr:col>6</xdr:col>
      <xdr:colOff>0</xdr:colOff>
      <xdr:row>110</xdr:row>
      <xdr:rowOff>0</xdr:rowOff>
    </xdr:from>
    <xdr:to>
      <xdr:col>11</xdr:col>
      <xdr:colOff>225262</xdr:colOff>
      <xdr:row>121</xdr:row>
      <xdr:rowOff>182285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4EDFF8D8-B938-A19D-8D20-A5FF9CB6CE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29893" y="25608643"/>
          <a:ext cx="4933333" cy="2580952"/>
        </a:xfrm>
        <a:prstGeom prst="rect">
          <a:avLst/>
        </a:prstGeom>
      </xdr:spPr>
    </xdr:pic>
    <xdr:clientData/>
  </xdr:twoCellAnchor>
  <xdr:twoCellAnchor editAs="oneCell">
    <xdr:from>
      <xdr:col>11</xdr:col>
      <xdr:colOff>680357</xdr:colOff>
      <xdr:row>109</xdr:row>
      <xdr:rowOff>176892</xdr:rowOff>
    </xdr:from>
    <xdr:to>
      <xdr:col>17</xdr:col>
      <xdr:colOff>667489</xdr:colOff>
      <xdr:row>121</xdr:row>
      <xdr:rowOff>130036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ACFC8B5-C763-900F-DA80-ECDFFF305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18321" y="25567821"/>
          <a:ext cx="4973334" cy="2565715"/>
        </a:xfrm>
        <a:prstGeom prst="rect">
          <a:avLst/>
        </a:prstGeom>
      </xdr:spPr>
    </xdr:pic>
    <xdr:clientData/>
  </xdr:twoCellAnchor>
  <xdr:twoCellAnchor>
    <xdr:from>
      <xdr:col>1</xdr:col>
      <xdr:colOff>394608</xdr:colOff>
      <xdr:row>20</xdr:row>
      <xdr:rowOff>132261</xdr:rowOff>
    </xdr:from>
    <xdr:to>
      <xdr:col>2</xdr:col>
      <xdr:colOff>17416</xdr:colOff>
      <xdr:row>117</xdr:row>
      <xdr:rowOff>163289</xdr:rowOff>
    </xdr:to>
    <xdr:cxnSp macro="">
      <xdr:nvCxnSpPr>
        <xdr:cNvPr id="7" name="연결선: 꺾임 6">
          <a:extLst>
            <a:ext uri="{FF2B5EF4-FFF2-40B4-BE49-F238E27FC236}">
              <a16:creationId xmlns:a16="http://schemas.microsoft.com/office/drawing/2014/main" id="{00DDEBE9-1EBE-491C-38A2-E3A31A729920}"/>
            </a:ext>
          </a:extLst>
        </xdr:cNvPr>
        <xdr:cNvCxnSpPr/>
      </xdr:nvCxnSpPr>
      <xdr:spPr>
        <a:xfrm rot="5400000">
          <a:off x="-9987645" y="16324764"/>
          <a:ext cx="21353421" cy="588915"/>
        </a:xfrm>
        <a:prstGeom prst="bentConnector3">
          <a:avLst>
            <a:gd name="adj1" fmla="val -155"/>
          </a:avLst>
        </a:prstGeom>
        <a:ln w="76200" cap="flat" cmpd="sng" algn="ctr">
          <a:solidFill>
            <a:schemeClr val="accent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394607</xdr:colOff>
      <xdr:row>117</xdr:row>
      <xdr:rowOff>40821</xdr:rowOff>
    </xdr:from>
    <xdr:to>
      <xdr:col>5</xdr:col>
      <xdr:colOff>898072</xdr:colOff>
      <xdr:row>117</xdr:row>
      <xdr:rowOff>54428</xdr:rowOff>
    </xdr:to>
    <xdr:cxnSp macro="">
      <xdr:nvCxnSpPr>
        <xdr:cNvPr id="18" name="직선 화살표 연결선 17">
          <a:extLst>
            <a:ext uri="{FF2B5EF4-FFF2-40B4-BE49-F238E27FC236}">
              <a16:creationId xmlns:a16="http://schemas.microsoft.com/office/drawing/2014/main" id="{35961051-4F8C-BFEF-D012-1F6E7A8B96F3}"/>
            </a:ext>
          </a:extLst>
        </xdr:cNvPr>
        <xdr:cNvCxnSpPr/>
      </xdr:nvCxnSpPr>
      <xdr:spPr>
        <a:xfrm flipV="1">
          <a:off x="394607" y="27173464"/>
          <a:ext cx="4640036" cy="13607"/>
        </a:xfrm>
        <a:prstGeom prst="straightConnector1">
          <a:avLst/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79532</xdr:colOff>
      <xdr:row>20</xdr:row>
      <xdr:rowOff>95248</xdr:rowOff>
    </xdr:from>
    <xdr:to>
      <xdr:col>1</xdr:col>
      <xdr:colOff>10948</xdr:colOff>
      <xdr:row>42</xdr:row>
      <xdr:rowOff>115725</xdr:rowOff>
    </xdr:to>
    <xdr:cxnSp macro="">
      <xdr:nvCxnSpPr>
        <xdr:cNvPr id="2" name="연결선: 꺾임 1">
          <a:extLst>
            <a:ext uri="{FF2B5EF4-FFF2-40B4-BE49-F238E27FC236}">
              <a16:creationId xmlns:a16="http://schemas.microsoft.com/office/drawing/2014/main" id="{8BCD6EB0-AFED-4C94-8AE1-BA14D74834AA}"/>
            </a:ext>
          </a:extLst>
        </xdr:cNvPr>
        <xdr:cNvCxnSpPr/>
      </xdr:nvCxnSpPr>
      <xdr:spPr>
        <a:xfrm rot="5400000">
          <a:off x="-1899765" y="6372701"/>
          <a:ext cx="4556759" cy="598166"/>
        </a:xfrm>
        <a:prstGeom prst="bentConnector3">
          <a:avLst>
            <a:gd name="adj1" fmla="val 0"/>
          </a:avLst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96611</xdr:colOff>
      <xdr:row>4</xdr:row>
      <xdr:rowOff>87358</xdr:rowOff>
    </xdr:from>
    <xdr:to>
      <xdr:col>20</xdr:col>
      <xdr:colOff>-1</xdr:colOff>
      <xdr:row>6</xdr:row>
      <xdr:rowOff>206216</xdr:rowOff>
    </xdr:to>
    <xdr:sp macro="[0]!가입금액계산" textlink="">
      <xdr:nvSpPr>
        <xdr:cNvPr id="2" name="직사각형 1" descr="가입금액계산">
          <a:extLst>
            <a:ext uri="{FF2B5EF4-FFF2-40B4-BE49-F238E27FC236}">
              <a16:creationId xmlns:a16="http://schemas.microsoft.com/office/drawing/2014/main" id="{92A4BEAE-20C0-4FD7-8AD3-A45B30365F37}"/>
            </a:ext>
          </a:extLst>
        </xdr:cNvPr>
        <xdr:cNvSpPr/>
      </xdr:nvSpPr>
      <xdr:spPr>
        <a:xfrm>
          <a:off x="18108386" y="1039858"/>
          <a:ext cx="1084488" cy="499858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가입금액계산</a:t>
          </a:r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96611</xdr:colOff>
      <xdr:row>4</xdr:row>
      <xdr:rowOff>87358</xdr:rowOff>
    </xdr:from>
    <xdr:to>
      <xdr:col>20</xdr:col>
      <xdr:colOff>-1</xdr:colOff>
      <xdr:row>6</xdr:row>
      <xdr:rowOff>206216</xdr:rowOff>
    </xdr:to>
    <xdr:sp macro="[0]!가입금액계산" textlink="">
      <xdr:nvSpPr>
        <xdr:cNvPr id="5" name="직사각형 4" descr="가입금액계산">
          <a:extLst>
            <a:ext uri="{FF2B5EF4-FFF2-40B4-BE49-F238E27FC236}">
              <a16:creationId xmlns:a16="http://schemas.microsoft.com/office/drawing/2014/main" id="{B2BE5133-FB3C-4726-802C-640F807858F5}"/>
            </a:ext>
          </a:extLst>
        </xdr:cNvPr>
        <xdr:cNvSpPr/>
      </xdr:nvSpPr>
      <xdr:spPr>
        <a:xfrm>
          <a:off x="18108386" y="1039858"/>
          <a:ext cx="1084488" cy="499858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가입금액계산</a:t>
          </a:r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MMIT\Documents\9.&#49345;&#54408;&#44160;&#51613;\AIA&#49373;&#47749;\20240306_AIA&#49373;&#47749;&#50836;&#50984;&#52404;&#53356;_v3(1-21).xlsm" TargetMode="External"/><Relationship Id="rId1" Type="http://schemas.openxmlformats.org/officeDocument/2006/relationships/externalLinkPath" Target="/Users/SUMMIT/Documents/9.&#49345;&#54408;&#44160;&#51613;/AIA&#49373;&#47749;/20240306_AIA&#49373;&#47749;&#50836;&#50984;&#52404;&#53356;_v3(1-21)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MMIT\Downloads\202301020_&#49373;&#47749;&#48372;&#54744;&#50836;&#50984;&#52404;&#53356;.xlsm" TargetMode="External"/><Relationship Id="rId1" Type="http://schemas.openxmlformats.org/officeDocument/2006/relationships/externalLinkPath" Target="/Users/SUMMIT/Downloads/202301020_&#49373;&#47749;&#48372;&#54744;&#50836;&#50984;&#52404;&#53356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INPUT"/>
      <sheetName val="MAIN"/>
      <sheetName val="유해지"/>
      <sheetName val="정기보험"/>
      <sheetName val="해지율"/>
      <sheetName val="위험률"/>
      <sheetName val="위험률명"/>
      <sheetName val="상품_위험률 매칭"/>
      <sheetName val="Sheet2"/>
      <sheetName val="qx_ajcc4"/>
      <sheetName val="qx_amTime"/>
      <sheetName val="이름관리"/>
      <sheetName val="TEST"/>
      <sheetName val="TEST1"/>
    </sheetNames>
    <sheetDataSet>
      <sheetData sheetId="0" refreshError="1"/>
      <sheetData sheetId="1" refreshError="1"/>
      <sheetData sheetId="2">
        <row r="5">
          <cell r="C5">
            <v>23</v>
          </cell>
        </row>
        <row r="7">
          <cell r="C7">
            <v>2</v>
          </cell>
          <cell r="I7">
            <v>0</v>
          </cell>
        </row>
        <row r="8">
          <cell r="C8">
            <v>1</v>
          </cell>
        </row>
        <row r="9">
          <cell r="C9">
            <v>0</v>
          </cell>
        </row>
        <row r="12">
          <cell r="C12">
            <v>0</v>
          </cell>
        </row>
        <row r="13">
          <cell r="C13">
            <v>12</v>
          </cell>
        </row>
        <row r="14">
          <cell r="C14">
            <v>0</v>
          </cell>
        </row>
        <row r="16">
          <cell r="C16">
            <v>0</v>
          </cell>
        </row>
        <row r="31"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</row>
        <row r="32"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</row>
        <row r="33"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</row>
        <row r="34">
          <cell r="D34">
            <v>0</v>
          </cell>
          <cell r="E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</row>
        <row r="35"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</row>
      </sheetData>
      <sheetData sheetId="3">
        <row r="20">
          <cell r="C20">
            <v>0</v>
          </cell>
        </row>
        <row r="28">
          <cell r="H28" t="e">
            <v>#DIV/0!</v>
          </cell>
        </row>
      </sheetData>
      <sheetData sheetId="4">
        <row r="6">
          <cell r="T6" t="str">
            <v>qx</v>
          </cell>
          <cell r="U6" t="str">
            <v>qx_50%</v>
          </cell>
          <cell r="W6" t="str">
            <v>Dx</v>
          </cell>
          <cell r="X6" t="str">
            <v>Nx</v>
          </cell>
          <cell r="Z6" t="str">
            <v>D#x</v>
          </cell>
          <cell r="AA6" t="str">
            <v>N#x</v>
          </cell>
          <cell r="AB6" t="str">
            <v>qx</v>
          </cell>
          <cell r="AD6" t="str">
            <v>Mx</v>
          </cell>
        </row>
        <row r="7">
          <cell r="S7">
            <v>0</v>
          </cell>
          <cell r="T7">
            <v>1.66E-3</v>
          </cell>
          <cell r="U7">
            <v>0</v>
          </cell>
          <cell r="V7">
            <v>100000</v>
          </cell>
          <cell r="W7">
            <v>100000</v>
          </cell>
          <cell r="X7">
            <v>8788061.9062598124</v>
          </cell>
          <cell r="Y7">
            <v>100000</v>
          </cell>
          <cell r="Z7">
            <v>100000</v>
          </cell>
          <cell r="AA7">
            <v>8788061.9062598124</v>
          </cell>
          <cell r="AB7">
            <v>1.66E-3</v>
          </cell>
          <cell r="AC7">
            <v>166</v>
          </cell>
          <cell r="AD7">
            <v>99999.999999999971</v>
          </cell>
        </row>
        <row r="8">
          <cell r="C8">
            <v>1</v>
          </cell>
          <cell r="S8">
            <v>1</v>
          </cell>
          <cell r="T8">
            <v>1.0300000000000001E-3</v>
          </cell>
          <cell r="U8">
            <v>0</v>
          </cell>
          <cell r="V8">
            <v>99834</v>
          </cell>
          <cell r="W8">
            <v>99834</v>
          </cell>
          <cell r="X8">
            <v>8688061.9062598124</v>
          </cell>
          <cell r="Y8">
            <v>99834</v>
          </cell>
          <cell r="Z8">
            <v>99834</v>
          </cell>
          <cell r="AA8">
            <v>8688061.9062598124</v>
          </cell>
          <cell r="AB8">
            <v>1.0300000000000001E-3</v>
          </cell>
          <cell r="AC8">
            <v>102.82902000000001</v>
          </cell>
          <cell r="AD8">
            <v>99833.999999999971</v>
          </cell>
        </row>
        <row r="9">
          <cell r="C9">
            <v>0</v>
          </cell>
          <cell r="S9">
            <v>2</v>
          </cell>
          <cell r="T9">
            <v>5.1000000000000004E-4</v>
          </cell>
          <cell r="U9">
            <v>0</v>
          </cell>
          <cell r="V9">
            <v>99731.170979999995</v>
          </cell>
          <cell r="W9">
            <v>99731.170979999995</v>
          </cell>
          <cell r="X9">
            <v>8588227.9062598124</v>
          </cell>
          <cell r="Y9">
            <v>99731.170979999995</v>
          </cell>
          <cell r="Z9">
            <v>99731.170979999995</v>
          </cell>
          <cell r="AA9">
            <v>8588227.9062598124</v>
          </cell>
          <cell r="AB9">
            <v>5.1000000000000004E-4</v>
          </cell>
          <cell r="AC9">
            <v>50.862897199800003</v>
          </cell>
          <cell r="AD9">
            <v>99731.170979999966</v>
          </cell>
        </row>
        <row r="10">
          <cell r="C10">
            <v>0</v>
          </cell>
          <cell r="S10">
            <v>3</v>
          </cell>
          <cell r="T10">
            <v>1.7000000000000001E-4</v>
          </cell>
          <cell r="U10">
            <v>0</v>
          </cell>
          <cell r="V10">
            <v>99680.308082800198</v>
          </cell>
          <cell r="W10">
            <v>99680.308082800198</v>
          </cell>
          <cell r="X10">
            <v>8488496.7352798115</v>
          </cell>
          <cell r="Y10">
            <v>99680.308082800198</v>
          </cell>
          <cell r="Z10">
            <v>99680.308082800198</v>
          </cell>
          <cell r="AA10">
            <v>8488496.7352798115</v>
          </cell>
          <cell r="AB10">
            <v>1.7000000000000001E-4</v>
          </cell>
          <cell r="AC10">
            <v>16.945652374076033</v>
          </cell>
          <cell r="AD10">
            <v>99680.308082800169</v>
          </cell>
        </row>
        <row r="11">
          <cell r="C11">
            <v>0</v>
          </cell>
          <cell r="S11">
            <v>4</v>
          </cell>
          <cell r="T11">
            <v>3.0000000000000001E-5</v>
          </cell>
          <cell r="U11">
            <v>0</v>
          </cell>
          <cell r="V11">
            <v>99663.362430426117</v>
          </cell>
          <cell r="W11">
            <v>99663.362430426117</v>
          </cell>
          <cell r="X11">
            <v>8388816.4271970075</v>
          </cell>
          <cell r="Y11">
            <v>99663.362430426117</v>
          </cell>
          <cell r="Z11">
            <v>99663.362430426117</v>
          </cell>
          <cell r="AA11">
            <v>8388816.4271970075</v>
          </cell>
          <cell r="AB11">
            <v>3.0000000000000001E-5</v>
          </cell>
          <cell r="AC11">
            <v>2.9899008729127834</v>
          </cell>
          <cell r="AD11">
            <v>99663.362430426088</v>
          </cell>
        </row>
        <row r="12">
          <cell r="C12">
            <v>12</v>
          </cell>
          <cell r="S12">
            <v>5</v>
          </cell>
          <cell r="T12">
            <v>1.0000000000000001E-5</v>
          </cell>
          <cell r="U12">
            <v>0</v>
          </cell>
          <cell r="V12">
            <v>99660.372529553206</v>
          </cell>
          <cell r="W12">
            <v>99660.372529553206</v>
          </cell>
          <cell r="X12">
            <v>8289153.0647665802</v>
          </cell>
          <cell r="Y12">
            <v>99660.372529553206</v>
          </cell>
          <cell r="Z12">
            <v>99660.372529553206</v>
          </cell>
          <cell r="AA12">
            <v>8289153.0647665802</v>
          </cell>
          <cell r="AB12">
            <v>1.0000000000000001E-5</v>
          </cell>
          <cell r="AC12">
            <v>0.99660372529553209</v>
          </cell>
          <cell r="AD12">
            <v>99660.372529553177</v>
          </cell>
        </row>
        <row r="13">
          <cell r="S13">
            <v>6</v>
          </cell>
          <cell r="T13">
            <v>3.0000000000000001E-5</v>
          </cell>
          <cell r="U13">
            <v>0</v>
          </cell>
          <cell r="V13">
            <v>99659.375925827917</v>
          </cell>
          <cell r="W13">
            <v>99659.375925827917</v>
          </cell>
          <cell r="X13">
            <v>8189492.6922370261</v>
          </cell>
          <cell r="Y13">
            <v>99659.375925827917</v>
          </cell>
          <cell r="Z13">
            <v>99659.375925827917</v>
          </cell>
          <cell r="AA13">
            <v>8189492.6922370261</v>
          </cell>
          <cell r="AB13">
            <v>3.0000000000000001E-5</v>
          </cell>
          <cell r="AC13">
            <v>2.9897812777748376</v>
          </cell>
          <cell r="AD13">
            <v>99659.375925827888</v>
          </cell>
        </row>
        <row r="14">
          <cell r="S14">
            <v>7</v>
          </cell>
          <cell r="T14">
            <v>4.0000000000000003E-5</v>
          </cell>
          <cell r="U14">
            <v>0</v>
          </cell>
          <cell r="V14">
            <v>99656.386144550139</v>
          </cell>
          <cell r="W14">
            <v>99656.386144550139</v>
          </cell>
          <cell r="X14">
            <v>8089833.3163111992</v>
          </cell>
          <cell r="Y14">
            <v>99656.386144550139</v>
          </cell>
          <cell r="Z14">
            <v>99656.386144550139</v>
          </cell>
          <cell r="AA14">
            <v>8089833.3163111992</v>
          </cell>
          <cell r="AB14">
            <v>4.0000000000000003E-5</v>
          </cell>
          <cell r="AC14">
            <v>3.9862554457820059</v>
          </cell>
          <cell r="AD14">
            <v>99656.38614455011</v>
          </cell>
        </row>
        <row r="15">
          <cell r="S15">
            <v>8</v>
          </cell>
          <cell r="T15">
            <v>4.0000000000000003E-5</v>
          </cell>
          <cell r="U15">
            <v>0</v>
          </cell>
          <cell r="V15">
            <v>99652.399889104359</v>
          </cell>
          <cell r="W15">
            <v>99652.399889104359</v>
          </cell>
          <cell r="X15">
            <v>7990176.9301666487</v>
          </cell>
          <cell r="Y15">
            <v>99652.399889104359</v>
          </cell>
          <cell r="Z15">
            <v>99652.399889104359</v>
          </cell>
          <cell r="AA15">
            <v>7990176.9301666487</v>
          </cell>
          <cell r="AB15">
            <v>4.0000000000000003E-5</v>
          </cell>
          <cell r="AC15">
            <v>3.9860959955641748</v>
          </cell>
          <cell r="AD15">
            <v>99652.39988910433</v>
          </cell>
        </row>
        <row r="16">
          <cell r="S16">
            <v>9</v>
          </cell>
          <cell r="T16">
            <v>4.0000000000000003E-5</v>
          </cell>
          <cell r="U16">
            <v>0</v>
          </cell>
          <cell r="V16">
            <v>99648.41379310879</v>
          </cell>
          <cell r="W16">
            <v>99648.41379310879</v>
          </cell>
          <cell r="X16">
            <v>7890524.5302775446</v>
          </cell>
          <cell r="Y16">
            <v>99648.41379310879</v>
          </cell>
          <cell r="Z16">
            <v>99648.41379310879</v>
          </cell>
          <cell r="AA16">
            <v>7890524.5302775446</v>
          </cell>
          <cell r="AB16">
            <v>4.0000000000000003E-5</v>
          </cell>
          <cell r="AC16">
            <v>3.9859365517243521</v>
          </cell>
          <cell r="AD16">
            <v>99648.413793108761</v>
          </cell>
        </row>
        <row r="17">
          <cell r="S17">
            <v>10</v>
          </cell>
          <cell r="T17">
            <v>5.0000000000000002E-5</v>
          </cell>
          <cell r="U17">
            <v>0</v>
          </cell>
          <cell r="V17">
            <v>99644.427856557057</v>
          </cell>
          <cell r="W17">
            <v>99644.427856557057</v>
          </cell>
          <cell r="X17">
            <v>7790876.1164844353</v>
          </cell>
          <cell r="Y17">
            <v>99644.427856557057</v>
          </cell>
          <cell r="Z17">
            <v>99644.427856557057</v>
          </cell>
          <cell r="AA17">
            <v>7790876.1164844353</v>
          </cell>
          <cell r="AB17">
            <v>5.0000000000000002E-5</v>
          </cell>
          <cell r="AC17">
            <v>4.9822213928278529</v>
          </cell>
          <cell r="AD17">
            <v>99644.427856557042</v>
          </cell>
        </row>
        <row r="18">
          <cell r="S18">
            <v>11</v>
          </cell>
          <cell r="T18">
            <v>6.0000000000000002E-5</v>
          </cell>
          <cell r="U18">
            <v>0</v>
          </cell>
          <cell r="V18">
            <v>99639.445635164229</v>
          </cell>
          <cell r="W18">
            <v>99639.445635164229</v>
          </cell>
          <cell r="X18">
            <v>7691231.6886278782</v>
          </cell>
          <cell r="Y18">
            <v>99639.445635164229</v>
          </cell>
          <cell r="Z18">
            <v>99639.445635164229</v>
          </cell>
          <cell r="AA18">
            <v>7691231.6886278782</v>
          </cell>
          <cell r="AB18">
            <v>6.0000000000000002E-5</v>
          </cell>
          <cell r="AC18">
            <v>5.9783667381098535</v>
          </cell>
          <cell r="AD18">
            <v>99639.445635164215</v>
          </cell>
        </row>
        <row r="19">
          <cell r="S19">
            <v>12</v>
          </cell>
          <cell r="T19">
            <v>6.9999999999999994E-5</v>
          </cell>
          <cell r="U19">
            <v>0</v>
          </cell>
          <cell r="V19">
            <v>99633.467268426131</v>
          </cell>
          <cell r="W19">
            <v>99633.467268426131</v>
          </cell>
          <cell r="X19">
            <v>7591592.242992714</v>
          </cell>
          <cell r="Y19">
            <v>99633.467268426131</v>
          </cell>
          <cell r="Z19">
            <v>99633.467268426131</v>
          </cell>
          <cell r="AA19">
            <v>7591592.242992714</v>
          </cell>
          <cell r="AB19">
            <v>6.9999999999999994E-5</v>
          </cell>
          <cell r="AC19">
            <v>6.9743427087898286</v>
          </cell>
          <cell r="AD19">
            <v>99633.467268426102</v>
          </cell>
        </row>
        <row r="20">
          <cell r="S20">
            <v>13</v>
          </cell>
          <cell r="T20">
            <v>1E-4</v>
          </cell>
          <cell r="U20">
            <v>0</v>
          </cell>
          <cell r="V20">
            <v>99626.492925717335</v>
          </cell>
          <cell r="W20">
            <v>99626.492925717335</v>
          </cell>
          <cell r="X20">
            <v>7491958.7757242881</v>
          </cell>
          <cell r="Y20">
            <v>99626.492925717335</v>
          </cell>
          <cell r="Z20">
            <v>99626.492925717335</v>
          </cell>
          <cell r="AA20">
            <v>7491958.7757242881</v>
          </cell>
          <cell r="AB20">
            <v>1E-4</v>
          </cell>
          <cell r="AC20">
            <v>9.9626492925717347</v>
          </cell>
          <cell r="AD20">
            <v>99626.492925717306</v>
          </cell>
        </row>
        <row r="21">
          <cell r="S21">
            <v>14</v>
          </cell>
          <cell r="T21">
            <v>1.2999999999999999E-4</v>
          </cell>
          <cell r="U21">
            <v>0</v>
          </cell>
          <cell r="V21">
            <v>99616.530276424761</v>
          </cell>
          <cell r="W21">
            <v>99616.530276424761</v>
          </cell>
          <cell r="X21">
            <v>7392332.2827985715</v>
          </cell>
          <cell r="Y21">
            <v>99616.530276424761</v>
          </cell>
          <cell r="Z21">
            <v>99616.530276424761</v>
          </cell>
          <cell r="AA21">
            <v>7392332.2827985715</v>
          </cell>
          <cell r="AB21">
            <v>1.2999999999999999E-4</v>
          </cell>
          <cell r="AC21">
            <v>12.950148935935218</v>
          </cell>
          <cell r="AD21">
            <v>99616.530276424746</v>
          </cell>
        </row>
        <row r="22">
          <cell r="S22">
            <v>15</v>
          </cell>
          <cell r="T22">
            <v>1.6000000000000001E-4</v>
          </cell>
          <cell r="U22">
            <v>0</v>
          </cell>
          <cell r="V22">
            <v>99603.580127488836</v>
          </cell>
          <cell r="W22">
            <v>99603.580127488836</v>
          </cell>
          <cell r="X22">
            <v>7292715.7525221454</v>
          </cell>
          <cell r="Y22">
            <v>99603.580127488836</v>
          </cell>
          <cell r="Z22">
            <v>99603.580127488836</v>
          </cell>
          <cell r="AA22">
            <v>7292715.7525221454</v>
          </cell>
          <cell r="AB22">
            <v>1.6000000000000001E-4</v>
          </cell>
          <cell r="AC22">
            <v>15.936572820398215</v>
          </cell>
          <cell r="AD22">
            <v>99603.580127488807</v>
          </cell>
        </row>
        <row r="23">
          <cell r="S23">
            <v>16</v>
          </cell>
          <cell r="T23">
            <v>1.9000000000000001E-4</v>
          </cell>
          <cell r="U23">
            <v>0</v>
          </cell>
          <cell r="V23">
            <v>99587.643554668437</v>
          </cell>
          <cell r="W23">
            <v>99587.643554668437</v>
          </cell>
          <cell r="X23">
            <v>7193112.1723946575</v>
          </cell>
          <cell r="Y23">
            <v>99587.643554668437</v>
          </cell>
          <cell r="Z23">
            <v>99587.643554668437</v>
          </cell>
          <cell r="AA23">
            <v>7193112.1723946575</v>
          </cell>
          <cell r="AB23">
            <v>1.9000000000000001E-4</v>
          </cell>
          <cell r="AC23">
            <v>18.921652275387004</v>
          </cell>
          <cell r="AD23">
            <v>99587.643554668408</v>
          </cell>
        </row>
        <row r="24">
          <cell r="S24">
            <v>17</v>
          </cell>
          <cell r="T24">
            <v>2.2000000000000001E-4</v>
          </cell>
          <cell r="U24">
            <v>0</v>
          </cell>
          <cell r="V24">
            <v>99568.721902393052</v>
          </cell>
          <cell r="W24">
            <v>99568.721902393052</v>
          </cell>
          <cell r="X24">
            <v>7093524.5288399886</v>
          </cell>
          <cell r="Y24">
            <v>99568.721902393052</v>
          </cell>
          <cell r="Z24">
            <v>99568.721902393052</v>
          </cell>
          <cell r="AA24">
            <v>7093524.5288399886</v>
          </cell>
          <cell r="AB24">
            <v>2.2000000000000001E-4</v>
          </cell>
          <cell r="AC24">
            <v>21.905118818526471</v>
          </cell>
          <cell r="AD24">
            <v>99568.721902393023</v>
          </cell>
        </row>
        <row r="25">
          <cell r="S25">
            <v>18</v>
          </cell>
          <cell r="T25">
            <v>2.5000000000000001E-4</v>
          </cell>
          <cell r="U25">
            <v>0</v>
          </cell>
          <cell r="V25">
            <v>99546.816783574526</v>
          </cell>
          <cell r="W25">
            <v>99546.816783574526</v>
          </cell>
          <cell r="X25">
            <v>6993955.8069375958</v>
          </cell>
          <cell r="Y25">
            <v>99546.816783574526</v>
          </cell>
          <cell r="Z25">
            <v>99546.816783574526</v>
          </cell>
          <cell r="AA25">
            <v>6993955.8069375958</v>
          </cell>
          <cell r="AB25">
            <v>2.5000000000000001E-4</v>
          </cell>
          <cell r="AC25">
            <v>24.886704195893632</v>
          </cell>
          <cell r="AD25">
            <v>99546.816783574497</v>
          </cell>
        </row>
        <row r="26">
          <cell r="S26">
            <v>19</v>
          </cell>
          <cell r="T26">
            <v>2.7999999999999998E-4</v>
          </cell>
          <cell r="U26">
            <v>0</v>
          </cell>
          <cell r="V26">
            <v>99521.930079378639</v>
          </cell>
          <cell r="W26">
            <v>99521.930079378639</v>
          </cell>
          <cell r="X26">
            <v>6894408.9901540214</v>
          </cell>
          <cell r="Y26">
            <v>99521.930079378639</v>
          </cell>
          <cell r="Z26">
            <v>99521.930079378639</v>
          </cell>
          <cell r="AA26">
            <v>6894408.9901540214</v>
          </cell>
          <cell r="AB26">
            <v>2.7999999999999998E-4</v>
          </cell>
          <cell r="AC26">
            <v>27.866140422226017</v>
          </cell>
          <cell r="AD26">
            <v>99521.930079378595</v>
          </cell>
        </row>
        <row r="27">
          <cell r="S27">
            <v>20</v>
          </cell>
          <cell r="T27">
            <v>3.1E-4</v>
          </cell>
          <cell r="U27">
            <v>0</v>
          </cell>
          <cell r="V27">
            <v>99494.063938956417</v>
          </cell>
          <cell r="W27">
            <v>99494.063938956417</v>
          </cell>
          <cell r="X27">
            <v>6794887.0600746423</v>
          </cell>
          <cell r="Y27">
            <v>99494.063938956417</v>
          </cell>
          <cell r="Z27">
            <v>99494.063938956417</v>
          </cell>
          <cell r="AA27">
            <v>6794887.0600746423</v>
          </cell>
          <cell r="AB27">
            <v>3.1E-4</v>
          </cell>
          <cell r="AC27">
            <v>30.84315982107649</v>
          </cell>
          <cell r="AD27">
            <v>99494.063938956373</v>
          </cell>
        </row>
        <row r="28">
          <cell r="S28">
            <v>21</v>
          </cell>
          <cell r="T28">
            <v>3.4000000000000002E-4</v>
          </cell>
          <cell r="U28">
            <v>0</v>
          </cell>
          <cell r="V28">
            <v>99463.220779135343</v>
          </cell>
          <cell r="W28">
            <v>99463.220779135343</v>
          </cell>
          <cell r="X28">
            <v>6695392.9961356856</v>
          </cell>
          <cell r="Y28">
            <v>99463.220779135343</v>
          </cell>
          <cell r="Z28">
            <v>99463.220779135343</v>
          </cell>
          <cell r="AA28">
            <v>6695392.9961356856</v>
          </cell>
          <cell r="AB28">
            <v>3.4000000000000002E-4</v>
          </cell>
          <cell r="AC28">
            <v>33.817495064906019</v>
          </cell>
          <cell r="AD28">
            <v>99463.220779135299</v>
          </cell>
        </row>
        <row r="29">
          <cell r="S29">
            <v>22</v>
          </cell>
          <cell r="T29">
            <v>3.6000000000000002E-4</v>
          </cell>
          <cell r="U29">
            <v>0</v>
          </cell>
          <cell r="V29">
            <v>99429.403284070431</v>
          </cell>
          <cell r="W29">
            <v>99429.403284070431</v>
          </cell>
          <cell r="X29">
            <v>6595929.7753565507</v>
          </cell>
          <cell r="Y29">
            <v>99429.403284070431</v>
          </cell>
          <cell r="Z29">
            <v>99429.403284070431</v>
          </cell>
          <cell r="AA29">
            <v>6595929.7753565507</v>
          </cell>
          <cell r="AB29">
            <v>3.6000000000000002E-4</v>
          </cell>
          <cell r="AC29">
            <v>35.794585182265358</v>
          </cell>
          <cell r="AD29">
            <v>99429.403284070388</v>
          </cell>
        </row>
        <row r="30">
          <cell r="S30">
            <v>23</v>
          </cell>
          <cell r="T30">
            <v>3.8999999999999999E-4</v>
          </cell>
          <cell r="U30">
            <v>0</v>
          </cell>
          <cell r="V30">
            <v>99393.608698888158</v>
          </cell>
          <cell r="W30">
            <v>99393.608698888158</v>
          </cell>
          <cell r="X30">
            <v>6496500.3720724806</v>
          </cell>
          <cell r="Y30">
            <v>99393.608698888158</v>
          </cell>
          <cell r="Z30">
            <v>99393.608698888158</v>
          </cell>
          <cell r="AA30">
            <v>6496500.3720724806</v>
          </cell>
          <cell r="AB30">
            <v>3.8999999999999999E-4</v>
          </cell>
          <cell r="AC30">
            <v>38.763507392566382</v>
          </cell>
          <cell r="AD30">
            <v>99393.608698888129</v>
          </cell>
        </row>
        <row r="31">
          <cell r="S31">
            <v>24</v>
          </cell>
          <cell r="T31">
            <v>4.0999999999999999E-4</v>
          </cell>
          <cell r="U31">
            <v>0</v>
          </cell>
          <cell r="V31">
            <v>99354.845191495595</v>
          </cell>
          <cell r="W31">
            <v>99354.845191495595</v>
          </cell>
          <cell r="X31">
            <v>6397106.7633735929</v>
          </cell>
          <cell r="Y31">
            <v>99354.845191495595</v>
          </cell>
          <cell r="Z31">
            <v>99354.845191495595</v>
          </cell>
          <cell r="AA31">
            <v>6397106.7633735929</v>
          </cell>
          <cell r="AB31">
            <v>4.0999999999999999E-4</v>
          </cell>
          <cell r="AC31">
            <v>40.735486528513192</v>
          </cell>
          <cell r="AD31">
            <v>99354.845191495566</v>
          </cell>
        </row>
        <row r="32">
          <cell r="S32">
            <v>25</v>
          </cell>
          <cell r="T32">
            <v>4.2999999999999999E-4</v>
          </cell>
          <cell r="U32">
            <v>0</v>
          </cell>
          <cell r="V32">
            <v>99314.109704967079</v>
          </cell>
          <cell r="W32">
            <v>99314.109704967079</v>
          </cell>
          <cell r="X32">
            <v>6297751.9181820964</v>
          </cell>
          <cell r="Y32">
            <v>99314.109704967079</v>
          </cell>
          <cell r="Z32">
            <v>99314.109704967079</v>
          </cell>
          <cell r="AA32">
            <v>6297751.9181820964</v>
          </cell>
          <cell r="AB32">
            <v>4.2999999999999999E-4</v>
          </cell>
          <cell r="AC32">
            <v>42.705067173135845</v>
          </cell>
          <cell r="AD32">
            <v>99314.10970496705</v>
          </cell>
        </row>
        <row r="33">
          <cell r="S33">
            <v>26</v>
          </cell>
          <cell r="T33">
            <v>4.4000000000000002E-4</v>
          </cell>
          <cell r="U33">
            <v>0</v>
          </cell>
          <cell r="V33">
            <v>99271.404637793938</v>
          </cell>
          <cell r="W33">
            <v>99271.404637793938</v>
          </cell>
          <cell r="X33">
            <v>6198437.8084771289</v>
          </cell>
          <cell r="Y33">
            <v>99271.404637793938</v>
          </cell>
          <cell r="Z33">
            <v>99271.404637793938</v>
          </cell>
          <cell r="AA33">
            <v>6198437.8084771289</v>
          </cell>
          <cell r="AB33">
            <v>4.4000000000000002E-4</v>
          </cell>
          <cell r="AC33">
            <v>43.679418040629336</v>
          </cell>
          <cell r="AD33">
            <v>99271.404637793908</v>
          </cell>
        </row>
        <row r="34">
          <cell r="S34">
            <v>27</v>
          </cell>
          <cell r="T34">
            <v>4.6000000000000001E-4</v>
          </cell>
          <cell r="U34">
            <v>0</v>
          </cell>
          <cell r="V34">
            <v>99227.725219753309</v>
          </cell>
          <cell r="W34">
            <v>99227.725219753309</v>
          </cell>
          <cell r="X34">
            <v>6099166.4038393348</v>
          </cell>
          <cell r="Y34">
            <v>99227.725219753309</v>
          </cell>
          <cell r="Z34">
            <v>99227.725219753309</v>
          </cell>
          <cell r="AA34">
            <v>6099166.4038393348</v>
          </cell>
          <cell r="AB34">
            <v>4.6000000000000001E-4</v>
          </cell>
          <cell r="AC34">
            <v>45.644753601086521</v>
          </cell>
          <cell r="AD34">
            <v>99227.72521975328</v>
          </cell>
        </row>
        <row r="35">
          <cell r="S35">
            <v>28</v>
          </cell>
          <cell r="T35">
            <v>4.8000000000000001E-4</v>
          </cell>
          <cell r="U35">
            <v>0</v>
          </cell>
          <cell r="V35">
            <v>99182.080466152227</v>
          </cell>
          <cell r="W35">
            <v>99182.080466152227</v>
          </cell>
          <cell r="X35">
            <v>5999938.6786195803</v>
          </cell>
          <cell r="Y35">
            <v>99182.080466152227</v>
          </cell>
          <cell r="Z35">
            <v>99182.080466152227</v>
          </cell>
          <cell r="AA35">
            <v>5999938.6786195803</v>
          </cell>
          <cell r="AB35">
            <v>4.8000000000000001E-4</v>
          </cell>
          <cell r="AC35">
            <v>47.60739862375307</v>
          </cell>
          <cell r="AD35">
            <v>99182.080466152198</v>
          </cell>
        </row>
        <row r="36">
          <cell r="S36">
            <v>29</v>
          </cell>
          <cell r="T36">
            <v>5.0000000000000001E-4</v>
          </cell>
          <cell r="U36">
            <v>0</v>
          </cell>
          <cell r="V36">
            <v>99134.473067528466</v>
          </cell>
          <cell r="W36">
            <v>99134.473067528466</v>
          </cell>
          <cell r="X36">
            <v>5900756.5981534291</v>
          </cell>
          <cell r="Y36">
            <v>99134.473067528466</v>
          </cell>
          <cell r="Z36">
            <v>99134.473067528466</v>
          </cell>
          <cell r="AA36">
            <v>5900756.5981534291</v>
          </cell>
          <cell r="AB36">
            <v>5.0000000000000001E-4</v>
          </cell>
          <cell r="AC36">
            <v>49.567236533764238</v>
          </cell>
          <cell r="AD36">
            <v>99134.473067528437</v>
          </cell>
        </row>
        <row r="37">
          <cell r="S37">
            <v>30</v>
          </cell>
          <cell r="T37">
            <v>5.1000000000000004E-4</v>
          </cell>
          <cell r="U37">
            <v>0</v>
          </cell>
          <cell r="V37">
            <v>99084.905830994714</v>
          </cell>
          <cell r="W37">
            <v>99084.905830994714</v>
          </cell>
          <cell r="X37">
            <v>5801622.1250859005</v>
          </cell>
          <cell r="Y37">
            <v>99084.905830994714</v>
          </cell>
          <cell r="Z37">
            <v>99084.905830994714</v>
          </cell>
          <cell r="AA37">
            <v>5801622.1250859005</v>
          </cell>
          <cell r="AB37">
            <v>5.1000000000000004E-4</v>
          </cell>
          <cell r="AC37">
            <v>50.533301973807305</v>
          </cell>
          <cell r="AD37">
            <v>99084.905830994685</v>
          </cell>
        </row>
        <row r="38">
          <cell r="S38">
            <v>31</v>
          </cell>
          <cell r="T38">
            <v>5.2999999999999998E-4</v>
          </cell>
          <cell r="U38">
            <v>0</v>
          </cell>
          <cell r="V38">
            <v>99034.372529020911</v>
          </cell>
          <cell r="W38">
            <v>99034.372529020911</v>
          </cell>
          <cell r="X38">
            <v>5702537.2192549063</v>
          </cell>
          <cell r="Y38">
            <v>99034.372529020911</v>
          </cell>
          <cell r="Z38">
            <v>99034.372529020911</v>
          </cell>
          <cell r="AA38">
            <v>5702537.2192549063</v>
          </cell>
          <cell r="AB38">
            <v>5.2999999999999998E-4</v>
          </cell>
          <cell r="AC38">
            <v>52.488217440381078</v>
          </cell>
          <cell r="AD38">
            <v>99034.372529020868</v>
          </cell>
        </row>
        <row r="39">
          <cell r="S39">
            <v>32</v>
          </cell>
          <cell r="T39">
            <v>5.4000000000000001E-4</v>
          </cell>
          <cell r="U39">
            <v>0</v>
          </cell>
          <cell r="V39">
            <v>98981.884311580521</v>
          </cell>
          <cell r="W39">
            <v>98981.884311580521</v>
          </cell>
          <cell r="X39">
            <v>5603502.8467258858</v>
          </cell>
          <cell r="Y39">
            <v>98981.884311580521</v>
          </cell>
          <cell r="Z39">
            <v>98981.884311580521</v>
          </cell>
          <cell r="AA39">
            <v>5603502.8467258858</v>
          </cell>
          <cell r="AB39">
            <v>5.4000000000000001E-4</v>
          </cell>
          <cell r="AC39">
            <v>53.450217528253482</v>
          </cell>
          <cell r="AD39">
            <v>98981.884311580492</v>
          </cell>
        </row>
        <row r="40">
          <cell r="S40">
            <v>33</v>
          </cell>
          <cell r="T40">
            <v>5.5999999999999995E-4</v>
          </cell>
          <cell r="U40">
            <v>0</v>
          </cell>
          <cell r="V40">
            <v>98928.434094052267</v>
          </cell>
          <cell r="W40">
            <v>98928.434094052267</v>
          </cell>
          <cell r="X40">
            <v>5504520.9624143047</v>
          </cell>
          <cell r="Y40">
            <v>98928.434094052267</v>
          </cell>
          <cell r="Z40">
            <v>98928.434094052267</v>
          </cell>
          <cell r="AA40">
            <v>5504520.9624143047</v>
          </cell>
          <cell r="AB40">
            <v>5.5999999999999995E-4</v>
          </cell>
          <cell r="AC40">
            <v>55.399923092669262</v>
          </cell>
          <cell r="AD40">
            <v>98928.434094052238</v>
          </cell>
        </row>
        <row r="41">
          <cell r="S41">
            <v>34</v>
          </cell>
          <cell r="T41">
            <v>5.6999999999999998E-4</v>
          </cell>
          <cell r="U41">
            <v>0</v>
          </cell>
          <cell r="V41">
            <v>98873.034170959596</v>
          </cell>
          <cell r="W41">
            <v>98873.034170959596</v>
          </cell>
          <cell r="X41">
            <v>5405592.528320252</v>
          </cell>
          <cell r="Y41">
            <v>98873.034170959596</v>
          </cell>
          <cell r="Z41">
            <v>98873.034170959596</v>
          </cell>
          <cell r="AA41">
            <v>5405592.528320252</v>
          </cell>
          <cell r="AB41">
            <v>5.6999999999999998E-4</v>
          </cell>
          <cell r="AC41">
            <v>56.35762947744697</v>
          </cell>
          <cell r="AD41">
            <v>98873.034170959567</v>
          </cell>
        </row>
        <row r="42">
          <cell r="S42">
            <v>35</v>
          </cell>
          <cell r="T42">
            <v>5.9000000000000003E-4</v>
          </cell>
          <cell r="U42">
            <v>0</v>
          </cell>
          <cell r="V42">
            <v>98816.676541482157</v>
          </cell>
          <cell r="W42">
            <v>98816.676541482157</v>
          </cell>
          <cell r="X42">
            <v>5306719.4941492928</v>
          </cell>
          <cell r="Y42">
            <v>98816.676541482157</v>
          </cell>
          <cell r="Z42">
            <v>98816.676541482157</v>
          </cell>
          <cell r="AA42">
            <v>5306719.4941492928</v>
          </cell>
          <cell r="AB42">
            <v>5.9000000000000003E-4</v>
          </cell>
          <cell r="AC42">
            <v>58.301839159474476</v>
          </cell>
          <cell r="AD42">
            <v>98816.676541482113</v>
          </cell>
        </row>
        <row r="43">
          <cell r="S43">
            <v>36</v>
          </cell>
          <cell r="T43">
            <v>5.9999999999999995E-4</v>
          </cell>
          <cell r="U43">
            <v>0</v>
          </cell>
          <cell r="V43">
            <v>98758.37470232269</v>
          </cell>
          <cell r="W43">
            <v>98758.37470232269</v>
          </cell>
          <cell r="X43">
            <v>5207902.8176078107</v>
          </cell>
          <cell r="Y43">
            <v>98758.37470232269</v>
          </cell>
          <cell r="Z43">
            <v>98758.37470232269</v>
          </cell>
          <cell r="AA43">
            <v>5207902.8176078107</v>
          </cell>
          <cell r="AB43">
            <v>5.9999999999999995E-4</v>
          </cell>
          <cell r="AC43">
            <v>59.255024821393611</v>
          </cell>
          <cell r="AD43">
            <v>98758.374702322646</v>
          </cell>
        </row>
        <row r="44">
          <cell r="S44">
            <v>37</v>
          </cell>
          <cell r="T44">
            <v>6.2E-4</v>
          </cell>
          <cell r="U44">
            <v>0</v>
          </cell>
          <cell r="V44">
            <v>98699.119677501294</v>
          </cell>
          <cell r="W44">
            <v>98699.119677501294</v>
          </cell>
          <cell r="X44">
            <v>5109144.4429054875</v>
          </cell>
          <cell r="Y44">
            <v>98699.119677501294</v>
          </cell>
          <cell r="Z44">
            <v>98699.119677501294</v>
          </cell>
          <cell r="AA44">
            <v>5109144.4429054875</v>
          </cell>
          <cell r="AB44">
            <v>6.2E-4</v>
          </cell>
          <cell r="AC44">
            <v>61.193454200050802</v>
          </cell>
          <cell r="AD44">
            <v>98699.11967750125</v>
          </cell>
        </row>
        <row r="45">
          <cell r="S45">
            <v>38</v>
          </cell>
          <cell r="T45">
            <v>6.3000000000000003E-4</v>
          </cell>
          <cell r="U45">
            <v>0</v>
          </cell>
          <cell r="V45">
            <v>98637.926223301241</v>
          </cell>
          <cell r="W45">
            <v>98637.926223301241</v>
          </cell>
          <cell r="X45">
            <v>5010445.3232279858</v>
          </cell>
          <cell r="Y45">
            <v>98637.926223301241</v>
          </cell>
          <cell r="Z45">
            <v>98637.926223301241</v>
          </cell>
          <cell r="AA45">
            <v>5010445.3232279858</v>
          </cell>
          <cell r="AB45">
            <v>6.3000000000000003E-4</v>
          </cell>
          <cell r="AC45">
            <v>62.141893520679787</v>
          </cell>
          <cell r="AD45">
            <v>98637.926223301198</v>
          </cell>
        </row>
        <row r="46">
          <cell r="S46">
            <v>39</v>
          </cell>
          <cell r="T46">
            <v>6.3000000000000003E-4</v>
          </cell>
          <cell r="U46">
            <v>0</v>
          </cell>
          <cell r="V46">
            <v>98575.784329780567</v>
          </cell>
          <cell r="W46">
            <v>98575.784329780567</v>
          </cell>
          <cell r="X46">
            <v>4911807.3970046835</v>
          </cell>
          <cell r="Y46">
            <v>98575.784329780567</v>
          </cell>
          <cell r="Z46">
            <v>98575.784329780567</v>
          </cell>
          <cell r="AA46">
            <v>4911807.3970046835</v>
          </cell>
          <cell r="AB46">
            <v>6.3000000000000003E-4</v>
          </cell>
          <cell r="AC46">
            <v>62.10274412776176</v>
          </cell>
          <cell r="AD46">
            <v>98575.784329780523</v>
          </cell>
        </row>
        <row r="47">
          <cell r="S47">
            <v>40</v>
          </cell>
          <cell r="T47">
            <v>6.3000000000000003E-4</v>
          </cell>
          <cell r="U47">
            <v>0</v>
          </cell>
          <cell r="V47">
            <v>98513.681585652797</v>
          </cell>
          <cell r="W47">
            <v>98513.681585652797</v>
          </cell>
          <cell r="X47">
            <v>4813231.6126749041</v>
          </cell>
          <cell r="Y47">
            <v>98513.681585652797</v>
          </cell>
          <cell r="Z47">
            <v>98513.681585652797</v>
          </cell>
          <cell r="AA47">
            <v>4813231.6126749041</v>
          </cell>
          <cell r="AB47">
            <v>6.3000000000000003E-4</v>
          </cell>
          <cell r="AC47">
            <v>62.063619398961265</v>
          </cell>
          <cell r="AD47">
            <v>98513.681585652768</v>
          </cell>
        </row>
        <row r="48">
          <cell r="S48">
            <v>41</v>
          </cell>
          <cell r="T48">
            <v>6.4000000000000005E-4</v>
          </cell>
          <cell r="U48">
            <v>0</v>
          </cell>
          <cell r="V48">
            <v>98451.617966253834</v>
          </cell>
          <cell r="W48">
            <v>98451.617966253834</v>
          </cell>
          <cell r="X48">
            <v>4714717.9310892504</v>
          </cell>
          <cell r="Y48">
            <v>98451.617966253834</v>
          </cell>
          <cell r="Z48">
            <v>98451.617966253834</v>
          </cell>
          <cell r="AA48">
            <v>4714717.9310892504</v>
          </cell>
          <cell r="AB48">
            <v>6.4000000000000005E-4</v>
          </cell>
          <cell r="AC48">
            <v>63.009035498402461</v>
          </cell>
          <cell r="AD48">
            <v>98451.617966253805</v>
          </cell>
        </row>
        <row r="49">
          <cell r="S49">
            <v>42</v>
          </cell>
          <cell r="T49">
            <v>6.7000000000000002E-4</v>
          </cell>
          <cell r="U49">
            <v>0</v>
          </cell>
          <cell r="V49">
            <v>98388.608930755436</v>
          </cell>
          <cell r="W49">
            <v>98388.608930755436</v>
          </cell>
          <cell r="X49">
            <v>4616266.3131229961</v>
          </cell>
          <cell r="Y49">
            <v>98388.608930755436</v>
          </cell>
          <cell r="Z49">
            <v>98388.608930755436</v>
          </cell>
          <cell r="AA49">
            <v>4616266.3131229961</v>
          </cell>
          <cell r="AB49">
            <v>6.7000000000000002E-4</v>
          </cell>
          <cell r="AC49">
            <v>65.920367983606141</v>
          </cell>
          <cell r="AD49">
            <v>98388.608930755407</v>
          </cell>
        </row>
        <row r="50">
          <cell r="S50">
            <v>43</v>
          </cell>
          <cell r="T50">
            <v>7.2999999999999996E-4</v>
          </cell>
          <cell r="U50">
            <v>0</v>
          </cell>
          <cell r="V50">
            <v>98322.688562771829</v>
          </cell>
          <cell r="W50">
            <v>98322.688562771829</v>
          </cell>
          <cell r="X50">
            <v>4517877.7041922407</v>
          </cell>
          <cell r="Y50">
            <v>98322.688562771829</v>
          </cell>
          <cell r="Z50">
            <v>98322.688562771829</v>
          </cell>
          <cell r="AA50">
            <v>4517877.7041922407</v>
          </cell>
          <cell r="AB50">
            <v>7.2999999999999996E-4</v>
          </cell>
          <cell r="AC50">
            <v>71.775562650823431</v>
          </cell>
          <cell r="AD50">
            <v>98322.6885627718</v>
          </cell>
        </row>
        <row r="51">
          <cell r="S51">
            <v>44</v>
          </cell>
          <cell r="T51">
            <v>8.0999999999999996E-4</v>
          </cell>
          <cell r="U51">
            <v>0</v>
          </cell>
          <cell r="V51">
            <v>98250.913000121</v>
          </cell>
          <cell r="W51">
            <v>98250.913000121</v>
          </cell>
          <cell r="X51">
            <v>4419555.0156294694</v>
          </cell>
          <cell r="Y51">
            <v>98250.913000121</v>
          </cell>
          <cell r="Z51">
            <v>98250.913000121</v>
          </cell>
          <cell r="AA51">
            <v>4419555.0156294694</v>
          </cell>
          <cell r="AB51">
            <v>8.0999999999999996E-4</v>
          </cell>
          <cell r="AC51">
            <v>79.583239530098012</v>
          </cell>
          <cell r="AD51">
            <v>98250.913000120971</v>
          </cell>
        </row>
        <row r="52">
          <cell r="S52">
            <v>45</v>
          </cell>
          <cell r="T52">
            <v>8.8999999999999995E-4</v>
          </cell>
          <cell r="U52">
            <v>0</v>
          </cell>
          <cell r="V52">
            <v>98171.329760590903</v>
          </cell>
          <cell r="W52">
            <v>98171.329760590903</v>
          </cell>
          <cell r="X52">
            <v>4321304.1026293477</v>
          </cell>
          <cell r="Y52">
            <v>98171.329760590903</v>
          </cell>
          <cell r="Z52">
            <v>98171.329760590903</v>
          </cell>
          <cell r="AA52">
            <v>4321304.1026293477</v>
          </cell>
          <cell r="AB52">
            <v>8.8999999999999995E-4</v>
          </cell>
          <cell r="AC52">
            <v>87.372483486925901</v>
          </cell>
          <cell r="AD52">
            <v>98171.329760590874</v>
          </cell>
        </row>
        <row r="53">
          <cell r="S53">
            <v>46</v>
          </cell>
          <cell r="T53">
            <v>9.7999999999999997E-4</v>
          </cell>
          <cell r="U53">
            <v>0</v>
          </cell>
          <cell r="V53">
            <v>98083.957277103982</v>
          </cell>
          <cell r="W53">
            <v>98083.957277103982</v>
          </cell>
          <cell r="X53">
            <v>4223132.772868759</v>
          </cell>
          <cell r="Y53">
            <v>98083.957277103982</v>
          </cell>
          <cell r="Z53">
            <v>98083.957277103982</v>
          </cell>
          <cell r="AA53">
            <v>4223132.772868759</v>
          </cell>
          <cell r="AB53">
            <v>9.7999999999999997E-4</v>
          </cell>
          <cell r="AC53">
            <v>96.122278131561899</v>
          </cell>
          <cell r="AD53">
            <v>98083.957277103953</v>
          </cell>
        </row>
        <row r="54">
          <cell r="S54">
            <v>47</v>
          </cell>
          <cell r="T54">
            <v>1.08E-3</v>
          </cell>
          <cell r="U54">
            <v>0</v>
          </cell>
          <cell r="V54">
            <v>97987.834998972423</v>
          </cell>
          <cell r="W54">
            <v>97987.834998972423</v>
          </cell>
          <cell r="X54">
            <v>4125048.8155916561</v>
          </cell>
          <cell r="Y54">
            <v>97987.834998972423</v>
          </cell>
          <cell r="Z54">
            <v>97987.834998972423</v>
          </cell>
          <cell r="AA54">
            <v>4125048.8155916561</v>
          </cell>
          <cell r="AB54">
            <v>1.08E-3</v>
          </cell>
          <cell r="AC54">
            <v>105.82686179889022</v>
          </cell>
          <cell r="AD54">
            <v>97987.834998972379</v>
          </cell>
        </row>
        <row r="55">
          <cell r="S55">
            <v>48</v>
          </cell>
          <cell r="T55">
            <v>1.1900000000000001E-3</v>
          </cell>
          <cell r="U55">
            <v>0</v>
          </cell>
          <cell r="V55">
            <v>97882.008137173529</v>
          </cell>
          <cell r="W55">
            <v>97882.008137173529</v>
          </cell>
          <cell r="X55">
            <v>4027060.9805926839</v>
          </cell>
          <cell r="Y55">
            <v>97882.008137173529</v>
          </cell>
          <cell r="Z55">
            <v>97882.008137173529</v>
          </cell>
          <cell r="AA55">
            <v>4027060.9805926839</v>
          </cell>
          <cell r="AB55">
            <v>1.1900000000000001E-3</v>
          </cell>
          <cell r="AC55">
            <v>116.47958968323651</v>
          </cell>
          <cell r="AD55">
            <v>97882.0081371735</v>
          </cell>
        </row>
        <row r="56">
          <cell r="S56">
            <v>49</v>
          </cell>
          <cell r="T56">
            <v>1.32E-3</v>
          </cell>
          <cell r="U56">
            <v>0</v>
          </cell>
          <cell r="V56">
            <v>97765.528547490292</v>
          </cell>
          <cell r="W56">
            <v>97765.528547490292</v>
          </cell>
          <cell r="X56">
            <v>3929178.9724555104</v>
          </cell>
          <cell r="Y56">
            <v>97765.528547490292</v>
          </cell>
          <cell r="Z56">
            <v>97765.528547490292</v>
          </cell>
          <cell r="AA56">
            <v>3929178.9724555104</v>
          </cell>
          <cell r="AB56">
            <v>1.32E-3</v>
          </cell>
          <cell r="AC56">
            <v>129.05049768268719</v>
          </cell>
          <cell r="AD56">
            <v>97765.528547490263</v>
          </cell>
        </row>
        <row r="57">
          <cell r="S57">
            <v>50</v>
          </cell>
          <cell r="T57">
            <v>1.4499999999999999E-3</v>
          </cell>
          <cell r="U57">
            <v>0</v>
          </cell>
          <cell r="V57">
            <v>97636.4780498076</v>
          </cell>
          <cell r="W57">
            <v>97636.4780498076</v>
          </cell>
          <cell r="X57">
            <v>3831413.4439080195</v>
          </cell>
          <cell r="Y57">
            <v>97636.4780498076</v>
          </cell>
          <cell r="Z57">
            <v>97636.4780498076</v>
          </cell>
          <cell r="AA57">
            <v>3831413.4439080195</v>
          </cell>
          <cell r="AB57">
            <v>1.4499999999999999E-3</v>
          </cell>
          <cell r="AC57">
            <v>141.572893172221</v>
          </cell>
          <cell r="AD57">
            <v>97636.478049807571</v>
          </cell>
        </row>
        <row r="58">
          <cell r="S58">
            <v>51</v>
          </cell>
          <cell r="T58">
            <v>1.58E-3</v>
          </cell>
          <cell r="U58">
            <v>0</v>
          </cell>
          <cell r="V58">
            <v>97494.905156635388</v>
          </cell>
          <cell r="W58">
            <v>97494.905156635388</v>
          </cell>
          <cell r="X58">
            <v>3733776.9658582117</v>
          </cell>
          <cell r="Y58">
            <v>97494.905156635388</v>
          </cell>
          <cell r="Z58">
            <v>97494.905156635388</v>
          </cell>
          <cell r="AA58">
            <v>3733776.9658582117</v>
          </cell>
          <cell r="AB58">
            <v>1.58E-3</v>
          </cell>
          <cell r="AC58">
            <v>154.0419501474839</v>
          </cell>
          <cell r="AD58">
            <v>97494.905156635345</v>
          </cell>
        </row>
        <row r="59">
          <cell r="S59">
            <v>52</v>
          </cell>
          <cell r="T59">
            <v>1.72E-3</v>
          </cell>
          <cell r="U59">
            <v>0</v>
          </cell>
          <cell r="V59">
            <v>97340.863206487906</v>
          </cell>
          <cell r="W59">
            <v>97340.863206487906</v>
          </cell>
          <cell r="X59">
            <v>3636282.0607015765</v>
          </cell>
          <cell r="Y59">
            <v>97340.863206487906</v>
          </cell>
          <cell r="Z59">
            <v>97340.863206487906</v>
          </cell>
          <cell r="AA59">
            <v>3636282.0607015765</v>
          </cell>
          <cell r="AB59">
            <v>1.72E-3</v>
          </cell>
          <cell r="AC59">
            <v>167.4262847151592</v>
          </cell>
          <cell r="AD59">
            <v>97340.863206487862</v>
          </cell>
        </row>
        <row r="60">
          <cell r="S60">
            <v>53</v>
          </cell>
          <cell r="T60">
            <v>1.8600000000000001E-3</v>
          </cell>
          <cell r="U60">
            <v>0</v>
          </cell>
          <cell r="V60">
            <v>97173.436921772736</v>
          </cell>
          <cell r="W60">
            <v>97173.436921772736</v>
          </cell>
          <cell r="X60">
            <v>3538941.1974950884</v>
          </cell>
          <cell r="Y60">
            <v>97173.436921772736</v>
          </cell>
          <cell r="Z60">
            <v>97173.436921772736</v>
          </cell>
          <cell r="AA60">
            <v>3538941.1974950884</v>
          </cell>
          <cell r="AB60">
            <v>1.8600000000000001E-3</v>
          </cell>
          <cell r="AC60">
            <v>180.7425926744973</v>
          </cell>
          <cell r="AD60">
            <v>97173.436921772707</v>
          </cell>
        </row>
        <row r="61">
          <cell r="S61">
            <v>54</v>
          </cell>
          <cell r="T61">
            <v>2.0100000000000001E-3</v>
          </cell>
          <cell r="U61">
            <v>0</v>
          </cell>
          <cell r="V61">
            <v>96992.694329098245</v>
          </cell>
          <cell r="W61">
            <v>96992.694329098245</v>
          </cell>
          <cell r="X61">
            <v>3441767.7605733159</v>
          </cell>
          <cell r="Y61">
            <v>96992.694329098245</v>
          </cell>
          <cell r="Z61">
            <v>96992.694329098245</v>
          </cell>
          <cell r="AA61">
            <v>3441767.7605733159</v>
          </cell>
          <cell r="AB61">
            <v>2.0100000000000001E-3</v>
          </cell>
          <cell r="AC61">
            <v>194.95531560148748</v>
          </cell>
          <cell r="AD61">
            <v>96992.694329098216</v>
          </cell>
        </row>
        <row r="62">
          <cell r="S62">
            <v>55</v>
          </cell>
          <cell r="T62">
            <v>2.16E-3</v>
          </cell>
          <cell r="U62">
            <v>0</v>
          </cell>
          <cell r="V62">
            <v>96797.739013496757</v>
          </cell>
          <cell r="W62">
            <v>96797.739013496757</v>
          </cell>
          <cell r="X62">
            <v>3344775.066244218</v>
          </cell>
          <cell r="Y62">
            <v>96797.739013496757</v>
          </cell>
          <cell r="Z62">
            <v>96797.739013496757</v>
          </cell>
          <cell r="AA62">
            <v>3344775.066244218</v>
          </cell>
          <cell r="AB62">
            <v>2.16E-3</v>
          </cell>
          <cell r="AC62">
            <v>209.08311626915301</v>
          </cell>
          <cell r="AD62">
            <v>96797.739013496728</v>
          </cell>
        </row>
        <row r="63">
          <cell r="S63">
            <v>56</v>
          </cell>
          <cell r="T63">
            <v>2.33E-3</v>
          </cell>
          <cell r="U63">
            <v>0</v>
          </cell>
          <cell r="V63">
            <v>96588.655897227596</v>
          </cell>
          <cell r="W63">
            <v>96588.655897227596</v>
          </cell>
          <cell r="X63">
            <v>3247977.3272307208</v>
          </cell>
          <cell r="Y63">
            <v>96588.655897227596</v>
          </cell>
          <cell r="Z63">
            <v>96588.655897227596</v>
          </cell>
          <cell r="AA63">
            <v>3247977.3272307208</v>
          </cell>
          <cell r="AB63">
            <v>2.33E-3</v>
          </cell>
          <cell r="AC63">
            <v>225.05156824054029</v>
          </cell>
          <cell r="AD63">
            <v>96588.655897227567</v>
          </cell>
        </row>
        <row r="64">
          <cell r="S64">
            <v>57</v>
          </cell>
          <cell r="T64">
            <v>2.5600000000000002E-3</v>
          </cell>
          <cell r="U64">
            <v>0</v>
          </cell>
          <cell r="V64">
            <v>96363.604328987058</v>
          </cell>
          <cell r="W64">
            <v>96363.604328987058</v>
          </cell>
          <cell r="X64">
            <v>3151388.6713334941</v>
          </cell>
          <cell r="Y64">
            <v>96363.604328987058</v>
          </cell>
          <cell r="Z64">
            <v>96363.604328987058</v>
          </cell>
          <cell r="AA64">
            <v>3151388.6713334941</v>
          </cell>
          <cell r="AB64">
            <v>2.5600000000000002E-3</v>
          </cell>
          <cell r="AC64">
            <v>246.69082708220688</v>
          </cell>
          <cell r="AD64">
            <v>96363.604328987029</v>
          </cell>
        </row>
        <row r="65">
          <cell r="S65">
            <v>58</v>
          </cell>
          <cell r="T65">
            <v>2.8500000000000001E-3</v>
          </cell>
          <cell r="U65">
            <v>0</v>
          </cell>
          <cell r="V65">
            <v>96116.913501904855</v>
          </cell>
          <cell r="W65">
            <v>96116.913501904855</v>
          </cell>
          <cell r="X65">
            <v>3055025.0670045069</v>
          </cell>
          <cell r="Y65">
            <v>96116.913501904855</v>
          </cell>
          <cell r="Z65">
            <v>96116.913501904855</v>
          </cell>
          <cell r="AA65">
            <v>3055025.0670045069</v>
          </cell>
          <cell r="AB65">
            <v>2.8500000000000001E-3</v>
          </cell>
          <cell r="AC65">
            <v>273.93320348042886</v>
          </cell>
          <cell r="AD65">
            <v>96116.913501904826</v>
          </cell>
        </row>
        <row r="66">
          <cell r="S66">
            <v>59</v>
          </cell>
          <cell r="T66">
            <v>3.2000000000000002E-3</v>
          </cell>
          <cell r="U66">
            <v>0</v>
          </cell>
          <cell r="V66">
            <v>95842.980298424431</v>
          </cell>
          <cell r="W66">
            <v>95842.980298424431</v>
          </cell>
          <cell r="X66">
            <v>2958908.1535026026</v>
          </cell>
          <cell r="Y66">
            <v>95842.980298424431</v>
          </cell>
          <cell r="Z66">
            <v>95842.980298424431</v>
          </cell>
          <cell r="AA66">
            <v>2958908.1535026026</v>
          </cell>
          <cell r="AB66">
            <v>3.2000000000000002E-3</v>
          </cell>
          <cell r="AC66">
            <v>306.6975369549582</v>
          </cell>
          <cell r="AD66">
            <v>95842.980298424402</v>
          </cell>
        </row>
        <row r="67">
          <cell r="S67">
            <v>60</v>
          </cell>
          <cell r="T67">
            <v>3.5699999999999998E-3</v>
          </cell>
          <cell r="U67">
            <v>0</v>
          </cell>
          <cell r="V67">
            <v>95536.282761469469</v>
          </cell>
          <cell r="W67">
            <v>95536.282761469469</v>
          </cell>
          <cell r="X67">
            <v>2863065.1732041785</v>
          </cell>
          <cell r="Y67">
            <v>95536.282761469469</v>
          </cell>
          <cell r="Z67">
            <v>95536.282761469469</v>
          </cell>
          <cell r="AA67">
            <v>2863065.1732041785</v>
          </cell>
          <cell r="AB67">
            <v>3.5699999999999998E-3</v>
          </cell>
          <cell r="AC67">
            <v>341.06452945844597</v>
          </cell>
          <cell r="AD67">
            <v>95536.28276146944</v>
          </cell>
        </row>
        <row r="68">
          <cell r="S68">
            <v>61</v>
          </cell>
          <cell r="T68">
            <v>3.9500000000000004E-3</v>
          </cell>
          <cell r="U68">
            <v>0</v>
          </cell>
          <cell r="V68">
            <v>95195.21823201103</v>
          </cell>
          <cell r="W68">
            <v>95195.21823201103</v>
          </cell>
          <cell r="X68">
            <v>2767528.890442709</v>
          </cell>
          <cell r="Y68">
            <v>95195.21823201103</v>
          </cell>
          <cell r="Z68">
            <v>95195.21823201103</v>
          </cell>
          <cell r="AA68">
            <v>2767528.890442709</v>
          </cell>
          <cell r="AB68">
            <v>3.9500000000000004E-3</v>
          </cell>
          <cell r="AC68">
            <v>376.02111201644362</v>
          </cell>
          <cell r="AD68">
            <v>95195.218232010986</v>
          </cell>
        </row>
        <row r="69">
          <cell r="S69">
            <v>62</v>
          </cell>
          <cell r="T69">
            <v>4.3600000000000002E-3</v>
          </cell>
          <cell r="U69">
            <v>0</v>
          </cell>
          <cell r="V69">
            <v>94819.197119994584</v>
          </cell>
          <cell r="W69">
            <v>94819.197119994584</v>
          </cell>
          <cell r="X69">
            <v>2672333.672210698</v>
          </cell>
          <cell r="Y69">
            <v>94819.197119994584</v>
          </cell>
          <cell r="Z69">
            <v>94819.197119994584</v>
          </cell>
          <cell r="AA69">
            <v>2672333.672210698</v>
          </cell>
          <cell r="AB69">
            <v>4.3600000000000002E-3</v>
          </cell>
          <cell r="AC69">
            <v>413.41169944317642</v>
          </cell>
          <cell r="AD69">
            <v>94819.19711999454</v>
          </cell>
        </row>
        <row r="70">
          <cell r="S70">
            <v>63</v>
          </cell>
          <cell r="T70">
            <v>4.8199999999999996E-3</v>
          </cell>
          <cell r="U70">
            <v>0</v>
          </cell>
          <cell r="V70">
            <v>94405.785420551401</v>
          </cell>
          <cell r="W70">
            <v>94405.785420551401</v>
          </cell>
          <cell r="X70">
            <v>2577514.4750907035</v>
          </cell>
          <cell r="Y70">
            <v>94405.785420551401</v>
          </cell>
          <cell r="Z70">
            <v>94405.785420551401</v>
          </cell>
          <cell r="AA70">
            <v>2577514.4750907035</v>
          </cell>
          <cell r="AB70">
            <v>4.8199999999999996E-3</v>
          </cell>
          <cell r="AC70">
            <v>455.03588572705775</v>
          </cell>
          <cell r="AD70">
            <v>94405.785420551372</v>
          </cell>
        </row>
        <row r="71">
          <cell r="S71">
            <v>64</v>
          </cell>
          <cell r="T71">
            <v>5.3E-3</v>
          </cell>
          <cell r="U71">
            <v>0</v>
          </cell>
          <cell r="V71">
            <v>93950.749534824339</v>
          </cell>
          <cell r="W71">
            <v>93950.749534824339</v>
          </cell>
          <cell r="X71">
            <v>2483108.6896701516</v>
          </cell>
          <cell r="Y71">
            <v>93950.749534824339</v>
          </cell>
          <cell r="Z71">
            <v>93950.749534824339</v>
          </cell>
          <cell r="AA71">
            <v>2483108.6896701516</v>
          </cell>
          <cell r="AB71">
            <v>5.3E-3</v>
          </cell>
          <cell r="AC71">
            <v>497.93897253456902</v>
          </cell>
          <cell r="AD71">
            <v>93950.74953482431</v>
          </cell>
        </row>
        <row r="72">
          <cell r="S72">
            <v>65</v>
          </cell>
          <cell r="T72">
            <v>5.7999999999999996E-3</v>
          </cell>
          <cell r="U72">
            <v>0</v>
          </cell>
          <cell r="V72">
            <v>93452.810562289771</v>
          </cell>
          <cell r="W72">
            <v>93452.810562289771</v>
          </cell>
          <cell r="X72">
            <v>2389157.9401353272</v>
          </cell>
          <cell r="Y72">
            <v>93452.810562289771</v>
          </cell>
          <cell r="Z72">
            <v>93452.810562289771</v>
          </cell>
          <cell r="AA72">
            <v>2389157.9401353272</v>
          </cell>
          <cell r="AB72">
            <v>5.7999999999999996E-3</v>
          </cell>
          <cell r="AC72">
            <v>542.02630126128065</v>
          </cell>
          <cell r="AD72">
            <v>93452.810562289742</v>
          </cell>
        </row>
        <row r="73">
          <cell r="S73">
            <v>66</v>
          </cell>
          <cell r="T73">
            <v>6.3299999999999997E-3</v>
          </cell>
          <cell r="U73">
            <v>0</v>
          </cell>
          <cell r="V73">
            <v>92910.784261028486</v>
          </cell>
          <cell r="W73">
            <v>92910.784261028486</v>
          </cell>
          <cell r="X73">
            <v>2295705.1295730378</v>
          </cell>
          <cell r="Y73">
            <v>92910.784261028486</v>
          </cell>
          <cell r="Z73">
            <v>92910.784261028486</v>
          </cell>
          <cell r="AA73">
            <v>2295705.1295730378</v>
          </cell>
          <cell r="AB73">
            <v>6.3299999999999997E-3</v>
          </cell>
          <cell r="AC73">
            <v>588.12526437231031</v>
          </cell>
          <cell r="AD73">
            <v>92910.784261028457</v>
          </cell>
        </row>
        <row r="74">
          <cell r="S74">
            <v>67</v>
          </cell>
          <cell r="T74">
            <v>6.9100000000000003E-3</v>
          </cell>
          <cell r="U74">
            <v>0</v>
          </cell>
          <cell r="V74">
            <v>92322.658996656188</v>
          </cell>
          <cell r="W74">
            <v>92322.658996656188</v>
          </cell>
          <cell r="X74">
            <v>2202794.3453120091</v>
          </cell>
          <cell r="Y74">
            <v>92322.658996656188</v>
          </cell>
          <cell r="Z74">
            <v>92322.658996656188</v>
          </cell>
          <cell r="AA74">
            <v>2202794.3453120091</v>
          </cell>
          <cell r="AB74">
            <v>6.9100000000000003E-3</v>
          </cell>
          <cell r="AC74">
            <v>637.94957366689425</v>
          </cell>
          <cell r="AD74">
            <v>92322.658996656144</v>
          </cell>
        </row>
        <row r="75">
          <cell r="S75">
            <v>68</v>
          </cell>
          <cell r="T75">
            <v>7.5799999999999999E-3</v>
          </cell>
          <cell r="U75">
            <v>0</v>
          </cell>
          <cell r="V75">
            <v>91684.709422989297</v>
          </cell>
          <cell r="W75">
            <v>91684.709422989297</v>
          </cell>
          <cell r="X75">
            <v>2110471.686315353</v>
          </cell>
          <cell r="Y75">
            <v>91684.709422989297</v>
          </cell>
          <cell r="Z75">
            <v>91684.709422989297</v>
          </cell>
          <cell r="AA75">
            <v>2110471.686315353</v>
          </cell>
          <cell r="AB75">
            <v>7.5799999999999999E-3</v>
          </cell>
          <cell r="AC75">
            <v>694.97009742625892</v>
          </cell>
          <cell r="AD75">
            <v>91684.709422989254</v>
          </cell>
        </row>
        <row r="76">
          <cell r="S76">
            <v>69</v>
          </cell>
          <cell r="T76">
            <v>8.2799999999999992E-3</v>
          </cell>
          <cell r="U76">
            <v>0</v>
          </cell>
          <cell r="V76">
            <v>90989.73932556303</v>
          </cell>
          <cell r="W76">
            <v>90989.73932556303</v>
          </cell>
          <cell r="X76">
            <v>2018786.9768923637</v>
          </cell>
          <cell r="Y76">
            <v>90989.73932556303</v>
          </cell>
          <cell r="Z76">
            <v>90989.73932556303</v>
          </cell>
          <cell r="AA76">
            <v>2018786.9768923637</v>
          </cell>
          <cell r="AB76">
            <v>8.2799999999999992E-3</v>
          </cell>
          <cell r="AC76">
            <v>753.39504161566185</v>
          </cell>
          <cell r="AD76">
            <v>90989.739325563001</v>
          </cell>
        </row>
        <row r="77">
          <cell r="S77">
            <v>70</v>
          </cell>
          <cell r="T77">
            <v>8.9999999999999993E-3</v>
          </cell>
          <cell r="U77">
            <v>0</v>
          </cell>
          <cell r="V77">
            <v>90236.344283947372</v>
          </cell>
          <cell r="W77">
            <v>90236.344283947372</v>
          </cell>
          <cell r="X77">
            <v>1927797.2375668006</v>
          </cell>
          <cell r="Y77">
            <v>90236.344283947372</v>
          </cell>
          <cell r="Z77">
            <v>90236.344283947372</v>
          </cell>
          <cell r="AA77">
            <v>1927797.2375668006</v>
          </cell>
          <cell r="AB77">
            <v>8.9999999999999993E-3</v>
          </cell>
          <cell r="AC77">
            <v>812.12709855552623</v>
          </cell>
          <cell r="AD77">
            <v>90236.344283947343</v>
          </cell>
        </row>
        <row r="78">
          <cell r="S78">
            <v>71</v>
          </cell>
          <cell r="T78">
            <v>9.8200000000000006E-3</v>
          </cell>
          <cell r="U78">
            <v>0</v>
          </cell>
          <cell r="V78">
            <v>89424.217185391841</v>
          </cell>
          <cell r="W78">
            <v>89424.217185391841</v>
          </cell>
          <cell r="X78">
            <v>1837560.8932828531</v>
          </cell>
          <cell r="Y78">
            <v>89424.217185391841</v>
          </cell>
          <cell r="Z78">
            <v>89424.217185391841</v>
          </cell>
          <cell r="AA78">
            <v>1837560.8932828531</v>
          </cell>
          <cell r="AB78">
            <v>9.8200000000000006E-3</v>
          </cell>
          <cell r="AC78">
            <v>878.14581276054798</v>
          </cell>
          <cell r="AD78">
            <v>89424.217185391812</v>
          </cell>
        </row>
        <row r="79">
          <cell r="S79">
            <v>72</v>
          </cell>
          <cell r="T79">
            <v>1.0829999999999999E-2</v>
          </cell>
          <cell r="U79">
            <v>0</v>
          </cell>
          <cell r="V79">
            <v>88546.071372631282</v>
          </cell>
          <cell r="W79">
            <v>88546.071372631282</v>
          </cell>
          <cell r="X79">
            <v>1748136.6760974613</v>
          </cell>
          <cell r="Y79">
            <v>88546.071372631282</v>
          </cell>
          <cell r="Z79">
            <v>88546.071372631282</v>
          </cell>
          <cell r="AA79">
            <v>1748136.6760974613</v>
          </cell>
          <cell r="AB79">
            <v>1.0829999999999999E-2</v>
          </cell>
          <cell r="AC79">
            <v>958.95395296559673</v>
          </cell>
          <cell r="AD79">
            <v>88546.071372631268</v>
          </cell>
        </row>
        <row r="80">
          <cell r="S80">
            <v>73</v>
          </cell>
          <cell r="T80">
            <v>1.21E-2</v>
          </cell>
          <cell r="U80">
            <v>0</v>
          </cell>
          <cell r="V80">
            <v>87587.117419665679</v>
          </cell>
          <cell r="W80">
            <v>87587.117419665679</v>
          </cell>
          <cell r="X80">
            <v>1659590.6047248298</v>
          </cell>
          <cell r="Y80">
            <v>87587.117419665679</v>
          </cell>
          <cell r="Z80">
            <v>87587.117419665679</v>
          </cell>
          <cell r="AA80">
            <v>1659590.6047248298</v>
          </cell>
          <cell r="AB80">
            <v>1.21E-2</v>
          </cell>
          <cell r="AC80">
            <v>1059.8041207779547</v>
          </cell>
          <cell r="AD80">
            <v>87587.117419665665</v>
          </cell>
        </row>
        <row r="81">
          <cell r="S81">
            <v>74</v>
          </cell>
          <cell r="T81">
            <v>1.353E-2</v>
          </cell>
          <cell r="U81">
            <v>0</v>
          </cell>
          <cell r="V81">
            <v>86527.313298887719</v>
          </cell>
          <cell r="W81">
            <v>86527.313298887719</v>
          </cell>
          <cell r="X81">
            <v>1572003.4873051641</v>
          </cell>
          <cell r="Y81">
            <v>86527.313298887719</v>
          </cell>
          <cell r="Z81">
            <v>86527.313298887719</v>
          </cell>
          <cell r="AA81">
            <v>1572003.4873051641</v>
          </cell>
          <cell r="AB81">
            <v>1.353E-2</v>
          </cell>
          <cell r="AC81">
            <v>1170.7145489339509</v>
          </cell>
          <cell r="AD81">
            <v>86527.313298887719</v>
          </cell>
        </row>
        <row r="82">
          <cell r="S82">
            <v>75</v>
          </cell>
          <cell r="T82">
            <v>1.504E-2</v>
          </cell>
          <cell r="U82">
            <v>0</v>
          </cell>
          <cell r="V82">
            <v>85356.598749953759</v>
          </cell>
          <cell r="W82">
            <v>85356.598749953759</v>
          </cell>
          <cell r="X82">
            <v>1485476.1740062768</v>
          </cell>
          <cell r="Y82">
            <v>85356.598749953759</v>
          </cell>
          <cell r="Z82">
            <v>85356.598749953759</v>
          </cell>
          <cell r="AA82">
            <v>1485476.1740062768</v>
          </cell>
          <cell r="AB82">
            <v>1.504E-2</v>
          </cell>
          <cell r="AC82">
            <v>1283.7632451993045</v>
          </cell>
          <cell r="AD82">
            <v>85356.598749953759</v>
          </cell>
        </row>
        <row r="83">
          <cell r="S83">
            <v>76</v>
          </cell>
          <cell r="T83">
            <v>1.668E-2</v>
          </cell>
          <cell r="U83">
            <v>0</v>
          </cell>
          <cell r="V83">
            <v>84072.835504754446</v>
          </cell>
          <cell r="W83">
            <v>84072.835504754446</v>
          </cell>
          <cell r="X83">
            <v>1400119.5752563227</v>
          </cell>
          <cell r="Y83">
            <v>84072.835504754446</v>
          </cell>
          <cell r="Z83">
            <v>84072.835504754446</v>
          </cell>
          <cell r="AA83">
            <v>1400119.5752563227</v>
          </cell>
          <cell r="AB83">
            <v>1.668E-2</v>
          </cell>
          <cell r="AC83">
            <v>1402.3348962193043</v>
          </cell>
          <cell r="AD83">
            <v>84072.835504754446</v>
          </cell>
        </row>
        <row r="84">
          <cell r="S84">
            <v>77</v>
          </cell>
          <cell r="T84">
            <v>1.8599999999999998E-2</v>
          </cell>
          <cell r="U84">
            <v>0</v>
          </cell>
          <cell r="V84">
            <v>82670.500608535134</v>
          </cell>
          <cell r="W84">
            <v>82670.500608535134</v>
          </cell>
          <cell r="X84">
            <v>1316046.7397515683</v>
          </cell>
          <cell r="Y84">
            <v>82670.500608535134</v>
          </cell>
          <cell r="Z84">
            <v>82670.500608535134</v>
          </cell>
          <cell r="AA84">
            <v>1316046.7397515683</v>
          </cell>
          <cell r="AB84">
            <v>1.8599999999999998E-2</v>
          </cell>
          <cell r="AC84">
            <v>1537.6713113187534</v>
          </cell>
          <cell r="AD84">
            <v>82670.500608535134</v>
          </cell>
        </row>
        <row r="85">
          <cell r="S85">
            <v>78</v>
          </cell>
          <cell r="T85">
            <v>2.0899999999999998E-2</v>
          </cell>
          <cell r="U85">
            <v>0</v>
          </cell>
          <cell r="V85">
            <v>81132.829297216391</v>
          </cell>
          <cell r="W85">
            <v>81132.829297216391</v>
          </cell>
          <cell r="X85">
            <v>1233376.2391430333</v>
          </cell>
          <cell r="Y85">
            <v>81132.829297216391</v>
          </cell>
          <cell r="Z85">
            <v>81132.829297216391</v>
          </cell>
          <cell r="AA85">
            <v>1233376.2391430333</v>
          </cell>
          <cell r="AB85">
            <v>2.0899999999999998E-2</v>
          </cell>
          <cell r="AC85">
            <v>1695.6761323118224</v>
          </cell>
          <cell r="AD85">
            <v>81132.829297216391</v>
          </cell>
        </row>
        <row r="86">
          <cell r="S86">
            <v>79</v>
          </cell>
          <cell r="T86">
            <v>2.3439999999999999E-2</v>
          </cell>
          <cell r="U86">
            <v>0</v>
          </cell>
          <cell r="V86">
            <v>79437.153164904565</v>
          </cell>
          <cell r="W86">
            <v>79437.153164904565</v>
          </cell>
          <cell r="X86">
            <v>1152243.4098458169</v>
          </cell>
          <cell r="Y86">
            <v>79437.153164904565</v>
          </cell>
          <cell r="Z86">
            <v>79437.153164904565</v>
          </cell>
          <cell r="AA86">
            <v>1152243.4098458169</v>
          </cell>
          <cell r="AB86">
            <v>2.3439999999999999E-2</v>
          </cell>
          <cell r="AC86">
            <v>1862.0068701853629</v>
          </cell>
          <cell r="AD86">
            <v>79437.153164904579</v>
          </cell>
        </row>
        <row r="87">
          <cell r="S87">
            <v>80</v>
          </cell>
          <cell r="T87">
            <v>2.6100000000000002E-2</v>
          </cell>
          <cell r="U87">
            <v>0</v>
          </cell>
          <cell r="V87">
            <v>77575.146294719205</v>
          </cell>
          <cell r="W87">
            <v>77575.146294719205</v>
          </cell>
          <cell r="X87">
            <v>1072806.2566809123</v>
          </cell>
          <cell r="Y87">
            <v>77575.146294719205</v>
          </cell>
          <cell r="Z87">
            <v>77575.146294719205</v>
          </cell>
          <cell r="AA87">
            <v>1072806.2566809123</v>
          </cell>
          <cell r="AB87">
            <v>2.6100000000000002E-2</v>
          </cell>
          <cell r="AC87">
            <v>2024.7113182921714</v>
          </cell>
          <cell r="AD87">
            <v>77575.146294719219</v>
          </cell>
        </row>
        <row r="88">
          <cell r="S88">
            <v>81</v>
          </cell>
          <cell r="T88">
            <v>2.8920000000000001E-2</v>
          </cell>
          <cell r="U88">
            <v>0</v>
          </cell>
          <cell r="V88">
            <v>75550.43497642703</v>
          </cell>
          <cell r="W88">
            <v>75550.43497642703</v>
          </cell>
          <cell r="X88">
            <v>995231.1103861928</v>
          </cell>
          <cell r="Y88">
            <v>75550.43497642703</v>
          </cell>
          <cell r="Z88">
            <v>75550.43497642703</v>
          </cell>
          <cell r="AA88">
            <v>995231.1103861928</v>
          </cell>
          <cell r="AB88">
            <v>2.8920000000000001E-2</v>
          </cell>
          <cell r="AC88">
            <v>2184.9185795182698</v>
          </cell>
          <cell r="AD88">
            <v>75550.434976427045</v>
          </cell>
        </row>
        <row r="89">
          <cell r="S89">
            <v>82</v>
          </cell>
          <cell r="T89">
            <v>3.209E-2</v>
          </cell>
          <cell r="U89">
            <v>0</v>
          </cell>
          <cell r="V89">
            <v>73365.516396908759</v>
          </cell>
          <cell r="W89">
            <v>73365.516396908759</v>
          </cell>
          <cell r="X89">
            <v>919680.67540976591</v>
          </cell>
          <cell r="Y89">
            <v>73365.516396908759</v>
          </cell>
          <cell r="Z89">
            <v>73365.516396908759</v>
          </cell>
          <cell r="AA89">
            <v>919680.67540976591</v>
          </cell>
          <cell r="AB89">
            <v>3.209E-2</v>
          </cell>
          <cell r="AC89">
            <v>2354.2994211768023</v>
          </cell>
          <cell r="AD89">
            <v>73365.516396908773</v>
          </cell>
        </row>
        <row r="90">
          <cell r="S90">
            <v>83</v>
          </cell>
          <cell r="T90">
            <v>3.5729999999999998E-2</v>
          </cell>
          <cell r="U90">
            <v>0</v>
          </cell>
          <cell r="V90">
            <v>71011.216975731964</v>
          </cell>
          <cell r="W90">
            <v>71011.216975731964</v>
          </cell>
          <cell r="X90">
            <v>846315.15901285713</v>
          </cell>
          <cell r="Y90">
            <v>71011.216975731964</v>
          </cell>
          <cell r="Z90">
            <v>71011.216975731964</v>
          </cell>
          <cell r="AA90">
            <v>846315.15901285713</v>
          </cell>
          <cell r="AB90">
            <v>3.5729999999999998E-2</v>
          </cell>
          <cell r="AC90">
            <v>2537.2307825429029</v>
          </cell>
          <cell r="AD90">
            <v>71011.216975731993</v>
          </cell>
        </row>
        <row r="91">
          <cell r="S91">
            <v>84</v>
          </cell>
          <cell r="T91">
            <v>3.9669999999999997E-2</v>
          </cell>
          <cell r="U91">
            <v>0</v>
          </cell>
          <cell r="V91">
            <v>68473.986193189063</v>
          </cell>
          <cell r="W91">
            <v>68473.986193189063</v>
          </cell>
          <cell r="X91">
            <v>775303.94203712512</v>
          </cell>
          <cell r="Y91">
            <v>68473.986193189063</v>
          </cell>
          <cell r="Z91">
            <v>68473.986193189063</v>
          </cell>
          <cell r="AA91">
            <v>775303.94203712512</v>
          </cell>
          <cell r="AB91">
            <v>3.9669999999999997E-2</v>
          </cell>
          <cell r="AC91">
            <v>2716.3630322838098</v>
          </cell>
          <cell r="AD91">
            <v>68473.986193189077</v>
          </cell>
        </row>
        <row r="92">
          <cell r="S92">
            <v>85</v>
          </cell>
          <cell r="T92">
            <v>4.3770000000000003E-2</v>
          </cell>
          <cell r="U92">
            <v>0</v>
          </cell>
          <cell r="V92">
            <v>65757.623160905248</v>
          </cell>
          <cell r="W92">
            <v>65757.623160905248</v>
          </cell>
          <cell r="X92">
            <v>706829.95584393595</v>
          </cell>
          <cell r="Y92">
            <v>65757.623160905248</v>
          </cell>
          <cell r="Z92">
            <v>65757.623160905248</v>
          </cell>
          <cell r="AA92">
            <v>706829.95584393595</v>
          </cell>
          <cell r="AB92">
            <v>4.3770000000000003E-2</v>
          </cell>
          <cell r="AC92">
            <v>2878.211165752823</v>
          </cell>
          <cell r="AD92">
            <v>65757.623160905277</v>
          </cell>
        </row>
        <row r="93">
          <cell r="S93">
            <v>86</v>
          </cell>
          <cell r="T93">
            <v>4.811E-2</v>
          </cell>
          <cell r="U93">
            <v>0</v>
          </cell>
          <cell r="V93">
            <v>62879.411995152426</v>
          </cell>
          <cell r="W93">
            <v>62879.411995152426</v>
          </cell>
          <cell r="X93">
            <v>641072.33268303075</v>
          </cell>
          <cell r="Y93">
            <v>62879.411995152426</v>
          </cell>
          <cell r="Z93">
            <v>62879.411995152426</v>
          </cell>
          <cell r="AA93">
            <v>641072.33268303075</v>
          </cell>
          <cell r="AB93">
            <v>4.811E-2</v>
          </cell>
          <cell r="AC93">
            <v>3025.1285110867834</v>
          </cell>
          <cell r="AD93">
            <v>62879.411995152448</v>
          </cell>
        </row>
        <row r="94">
          <cell r="S94">
            <v>87</v>
          </cell>
          <cell r="T94">
            <v>5.2999999999999999E-2</v>
          </cell>
          <cell r="U94">
            <v>0</v>
          </cell>
          <cell r="V94">
            <v>59854.283484065643</v>
          </cell>
          <cell r="W94">
            <v>59854.283484065643</v>
          </cell>
          <cell r="X94">
            <v>578192.92068787827</v>
          </cell>
          <cell r="Y94">
            <v>59854.283484065643</v>
          </cell>
          <cell r="Z94">
            <v>59854.283484065643</v>
          </cell>
          <cell r="AA94">
            <v>578192.92068787827</v>
          </cell>
          <cell r="AB94">
            <v>5.2999999999999999E-2</v>
          </cell>
          <cell r="AC94">
            <v>3172.2770246554792</v>
          </cell>
          <cell r="AD94">
            <v>59854.283484065672</v>
          </cell>
        </row>
        <row r="95">
          <cell r="S95">
            <v>88</v>
          </cell>
          <cell r="T95">
            <v>5.8630000000000002E-2</v>
          </cell>
          <cell r="U95">
            <v>0</v>
          </cell>
          <cell r="V95">
            <v>56682.006459410164</v>
          </cell>
          <cell r="W95">
            <v>56682.006459410164</v>
          </cell>
          <cell r="X95">
            <v>518338.63720381248</v>
          </cell>
          <cell r="Y95">
            <v>56682.006459410164</v>
          </cell>
          <cell r="Z95">
            <v>56682.006459410164</v>
          </cell>
          <cell r="AA95">
            <v>518338.63720381248</v>
          </cell>
          <cell r="AB95">
            <v>5.8630000000000002E-2</v>
          </cell>
          <cell r="AC95">
            <v>3323.2660387152182</v>
          </cell>
          <cell r="AD95">
            <v>56682.006459410186</v>
          </cell>
        </row>
        <row r="96">
          <cell r="S96">
            <v>89</v>
          </cell>
          <cell r="T96">
            <v>6.4759999999999998E-2</v>
          </cell>
          <cell r="U96">
            <v>0</v>
          </cell>
          <cell r="V96">
            <v>53358.74042069495</v>
          </cell>
          <cell r="W96">
            <v>53358.74042069495</v>
          </cell>
          <cell r="X96">
            <v>461656.63074440241</v>
          </cell>
          <cell r="Y96">
            <v>53358.74042069495</v>
          </cell>
          <cell r="Z96">
            <v>53358.74042069495</v>
          </cell>
          <cell r="AA96">
            <v>461656.63074440241</v>
          </cell>
          <cell r="AB96">
            <v>6.4759999999999998E-2</v>
          </cell>
          <cell r="AC96">
            <v>3455.5120296442051</v>
          </cell>
          <cell r="AD96">
            <v>53358.740420694972</v>
          </cell>
        </row>
        <row r="97">
          <cell r="S97">
            <v>90</v>
          </cell>
          <cell r="T97">
            <v>7.1139999999999995E-2</v>
          </cell>
          <cell r="U97">
            <v>0</v>
          </cell>
          <cell r="V97">
            <v>49903.228391050747</v>
          </cell>
          <cell r="W97">
            <v>49903.228391050747</v>
          </cell>
          <cell r="X97">
            <v>408297.89032370748</v>
          </cell>
          <cell r="Y97">
            <v>49903.228391050747</v>
          </cell>
          <cell r="Z97">
            <v>49903.228391050747</v>
          </cell>
          <cell r="AA97">
            <v>408297.89032370748</v>
          </cell>
          <cell r="AB97">
            <v>7.1139999999999995E-2</v>
          </cell>
          <cell r="AC97">
            <v>3550.1156677393496</v>
          </cell>
          <cell r="AD97">
            <v>49903.228391050754</v>
          </cell>
        </row>
        <row r="98">
          <cell r="S98">
            <v>91</v>
          </cell>
          <cell r="T98">
            <v>7.7799999999999994E-2</v>
          </cell>
          <cell r="U98">
            <v>0</v>
          </cell>
          <cell r="V98">
            <v>46353.112723311395</v>
          </cell>
          <cell r="W98">
            <v>46353.112723311395</v>
          </cell>
          <cell r="X98">
            <v>358394.66193265672</v>
          </cell>
          <cell r="Y98">
            <v>46353.112723311395</v>
          </cell>
          <cell r="Z98">
            <v>46353.112723311395</v>
          </cell>
          <cell r="AA98">
            <v>358394.66193265672</v>
          </cell>
          <cell r="AB98">
            <v>7.7799999999999994E-2</v>
          </cell>
          <cell r="AC98">
            <v>3606.2721698736264</v>
          </cell>
          <cell r="AD98">
            <v>46353.112723311409</v>
          </cell>
        </row>
        <row r="99">
          <cell r="S99">
            <v>92</v>
          </cell>
          <cell r="T99">
            <v>8.5099999999999995E-2</v>
          </cell>
          <cell r="U99">
            <v>0</v>
          </cell>
          <cell r="V99">
            <v>42746.840553437767</v>
          </cell>
          <cell r="W99">
            <v>42746.840553437767</v>
          </cell>
          <cell r="X99">
            <v>312041.54920934536</v>
          </cell>
          <cell r="Y99">
            <v>42746.840553437767</v>
          </cell>
          <cell r="Z99">
            <v>42746.840553437767</v>
          </cell>
          <cell r="AA99">
            <v>312041.54920934536</v>
          </cell>
          <cell r="AB99">
            <v>8.5099999999999995E-2</v>
          </cell>
          <cell r="AC99">
            <v>3637.7561310975539</v>
          </cell>
          <cell r="AD99">
            <v>42746.840553437782</v>
          </cell>
        </row>
        <row r="100">
          <cell r="S100">
            <v>93</v>
          </cell>
          <cell r="T100">
            <v>9.3280000000000002E-2</v>
          </cell>
          <cell r="U100">
            <v>0</v>
          </cell>
          <cell r="V100">
            <v>39109.084422340216</v>
          </cell>
          <cell r="W100">
            <v>39109.084422340216</v>
          </cell>
          <cell r="X100">
            <v>269294.70865590766</v>
          </cell>
          <cell r="Y100">
            <v>39109.084422340216</v>
          </cell>
          <cell r="Z100">
            <v>39109.084422340216</v>
          </cell>
          <cell r="AA100">
            <v>269294.70865590766</v>
          </cell>
          <cell r="AB100">
            <v>9.3280000000000002E-2</v>
          </cell>
          <cell r="AC100">
            <v>3648.0953949158957</v>
          </cell>
          <cell r="AD100">
            <v>39109.084422340224</v>
          </cell>
        </row>
        <row r="101">
          <cell r="S101">
            <v>94</v>
          </cell>
          <cell r="T101">
            <v>0.10199999999999999</v>
          </cell>
          <cell r="U101">
            <v>0</v>
          </cell>
          <cell r="V101">
            <v>35460.989027424323</v>
          </cell>
          <cell r="W101">
            <v>35460.989027424323</v>
          </cell>
          <cell r="X101">
            <v>230185.62423356745</v>
          </cell>
          <cell r="Y101">
            <v>35460.989027424323</v>
          </cell>
          <cell r="Z101">
            <v>35460.989027424323</v>
          </cell>
          <cell r="AA101">
            <v>230185.62423356745</v>
          </cell>
          <cell r="AB101">
            <v>0.10199999999999999</v>
          </cell>
          <cell r="AC101">
            <v>3617.0208807972808</v>
          </cell>
          <cell r="AD101">
            <v>35460.989027424323</v>
          </cell>
        </row>
        <row r="102">
          <cell r="S102">
            <v>95</v>
          </cell>
          <cell r="T102">
            <v>0.111</v>
          </cell>
          <cell r="U102">
            <v>0</v>
          </cell>
          <cell r="V102">
            <v>31843.968146627041</v>
          </cell>
          <cell r="W102">
            <v>31843.968146627041</v>
          </cell>
          <cell r="X102">
            <v>194724.63520614317</v>
          </cell>
          <cell r="Y102">
            <v>31843.968146627041</v>
          </cell>
          <cell r="Z102">
            <v>31843.968146627041</v>
          </cell>
          <cell r="AA102">
            <v>194724.63520614317</v>
          </cell>
          <cell r="AB102">
            <v>0.111</v>
          </cell>
          <cell r="AC102">
            <v>3534.6804642756015</v>
          </cell>
          <cell r="AD102">
            <v>31843.968146627041</v>
          </cell>
        </row>
        <row r="103">
          <cell r="S103">
            <v>96</v>
          </cell>
          <cell r="T103">
            <v>0.12049</v>
          </cell>
          <cell r="U103">
            <v>0</v>
          </cell>
          <cell r="V103">
            <v>28309.287682351442</v>
          </cell>
          <cell r="W103">
            <v>28309.287682351442</v>
          </cell>
          <cell r="X103">
            <v>162880.6670595161</v>
          </cell>
          <cell r="Y103">
            <v>28309.287682351442</v>
          </cell>
          <cell r="Z103">
            <v>28309.287682351442</v>
          </cell>
          <cell r="AA103">
            <v>162880.6670595161</v>
          </cell>
          <cell r="AB103">
            <v>0.12049</v>
          </cell>
          <cell r="AC103">
            <v>3410.9860728465251</v>
          </cell>
          <cell r="AD103">
            <v>28309.287682351445</v>
          </cell>
        </row>
        <row r="104">
          <cell r="S104">
            <v>97</v>
          </cell>
          <cell r="T104">
            <v>0.13100999999999999</v>
          </cell>
          <cell r="U104">
            <v>0</v>
          </cell>
          <cell r="V104">
            <v>24898.301609504917</v>
          </cell>
          <cell r="W104">
            <v>24898.301609504917</v>
          </cell>
          <cell r="X104">
            <v>134571.37937716465</v>
          </cell>
          <cell r="Y104">
            <v>24898.301609504917</v>
          </cell>
          <cell r="Z104">
            <v>24898.301609504917</v>
          </cell>
          <cell r="AA104">
            <v>134571.37937716465</v>
          </cell>
          <cell r="AB104">
            <v>0.13100999999999999</v>
          </cell>
          <cell r="AC104">
            <v>3261.9264938612387</v>
          </cell>
          <cell r="AD104">
            <v>24898.301609504917</v>
          </cell>
        </row>
        <row r="105">
          <cell r="S105">
            <v>98</v>
          </cell>
          <cell r="T105">
            <v>0.14297000000000001</v>
          </cell>
          <cell r="U105">
            <v>0</v>
          </cell>
          <cell r="V105">
            <v>21636.375115643677</v>
          </cell>
          <cell r="W105">
            <v>21636.375115643677</v>
          </cell>
          <cell r="X105">
            <v>109673.07776765975</v>
          </cell>
          <cell r="Y105">
            <v>21636.375115643677</v>
          </cell>
          <cell r="Z105">
            <v>21636.375115643677</v>
          </cell>
          <cell r="AA105">
            <v>109673.07776765975</v>
          </cell>
          <cell r="AB105">
            <v>0.14297000000000001</v>
          </cell>
          <cell r="AC105">
            <v>3093.3525502835769</v>
          </cell>
          <cell r="AD105">
            <v>21636.375115643681</v>
          </cell>
        </row>
        <row r="106">
          <cell r="S106">
            <v>99</v>
          </cell>
          <cell r="T106">
            <v>0.15584999999999999</v>
          </cell>
          <cell r="U106">
            <v>0</v>
          </cell>
          <cell r="V106">
            <v>18543.022565360101</v>
          </cell>
          <cell r="W106">
            <v>18543.022565360101</v>
          </cell>
          <cell r="X106">
            <v>88036.702652016058</v>
          </cell>
          <cell r="Y106">
            <v>18543.022565360101</v>
          </cell>
          <cell r="Z106">
            <v>18543.022565360101</v>
          </cell>
          <cell r="AA106">
            <v>88036.702652016058</v>
          </cell>
          <cell r="AB106">
            <v>0.15584999999999999</v>
          </cell>
          <cell r="AC106">
            <v>2889.9300668113715</v>
          </cell>
          <cell r="AD106">
            <v>18543.022565360105</v>
          </cell>
        </row>
        <row r="107">
          <cell r="S107">
            <v>100</v>
          </cell>
          <cell r="T107">
            <v>0.16919000000000001</v>
          </cell>
          <cell r="U107">
            <v>0</v>
          </cell>
          <cell r="V107">
            <v>15653.092498548729</v>
          </cell>
          <cell r="W107">
            <v>15653.092498548729</v>
          </cell>
          <cell r="X107">
            <v>69493.680086655935</v>
          </cell>
          <cell r="Y107">
            <v>15653.092498548729</v>
          </cell>
          <cell r="Z107">
            <v>15653.092498548729</v>
          </cell>
          <cell r="AA107">
            <v>69493.680086655935</v>
          </cell>
          <cell r="AB107">
            <v>0.16919000000000001</v>
          </cell>
          <cell r="AC107">
            <v>2648.3467198294597</v>
          </cell>
          <cell r="AD107">
            <v>15653.092498548731</v>
          </cell>
        </row>
        <row r="108">
          <cell r="S108">
            <v>101</v>
          </cell>
          <cell r="T108">
            <v>0.18315000000000001</v>
          </cell>
          <cell r="U108">
            <v>0</v>
          </cell>
          <cell r="V108">
            <v>13004.745778719271</v>
          </cell>
          <cell r="W108">
            <v>13004.745778719271</v>
          </cell>
          <cell r="X108">
            <v>53840.587588107206</v>
          </cell>
          <cell r="Y108">
            <v>13004.745778719271</v>
          </cell>
          <cell r="Z108">
            <v>13004.745778719271</v>
          </cell>
          <cell r="AA108">
            <v>53840.587588107206</v>
          </cell>
          <cell r="AB108">
            <v>0.18315000000000001</v>
          </cell>
          <cell r="AC108">
            <v>2381.8191893724347</v>
          </cell>
          <cell r="AD108">
            <v>13004.745778719269</v>
          </cell>
        </row>
        <row r="109">
          <cell r="S109">
            <v>102</v>
          </cell>
          <cell r="T109">
            <v>0.19843</v>
          </cell>
          <cell r="U109">
            <v>0</v>
          </cell>
          <cell r="V109">
            <v>10622.926589346836</v>
          </cell>
          <cell r="W109">
            <v>10622.926589346836</v>
          </cell>
          <cell r="X109">
            <v>40835.841809387937</v>
          </cell>
          <cell r="Y109">
            <v>10622.926589346836</v>
          </cell>
          <cell r="Z109">
            <v>10622.926589346836</v>
          </cell>
          <cell r="AA109">
            <v>40835.841809387937</v>
          </cell>
          <cell r="AB109">
            <v>0.19843</v>
          </cell>
          <cell r="AC109">
            <v>2107.9073231240927</v>
          </cell>
          <cell r="AD109">
            <v>10622.926589346835</v>
          </cell>
        </row>
        <row r="110">
          <cell r="S110">
            <v>103</v>
          </cell>
          <cell r="T110">
            <v>0.21557000000000001</v>
          </cell>
          <cell r="U110">
            <v>0</v>
          </cell>
          <cell r="V110">
            <v>8515.0192662227437</v>
          </cell>
          <cell r="W110">
            <v>8515.0192662227437</v>
          </cell>
          <cell r="X110">
            <v>30212.915220041112</v>
          </cell>
          <cell r="Y110">
            <v>8515.0192662227437</v>
          </cell>
          <cell r="Z110">
            <v>8515.0192662227437</v>
          </cell>
          <cell r="AA110">
            <v>30212.915220041112</v>
          </cell>
          <cell r="AB110">
            <v>0.21557000000000001</v>
          </cell>
          <cell r="AC110">
            <v>1835.5827032196369</v>
          </cell>
          <cell r="AD110">
            <v>8515.0192662227437</v>
          </cell>
        </row>
        <row r="111">
          <cell r="S111">
            <v>104</v>
          </cell>
          <cell r="T111">
            <v>0.22536</v>
          </cell>
          <cell r="U111">
            <v>0</v>
          </cell>
          <cell r="V111">
            <v>6679.4365630031061</v>
          </cell>
          <cell r="W111">
            <v>6679.4365630031061</v>
          </cell>
          <cell r="X111">
            <v>21697.895953818366</v>
          </cell>
          <cell r="Y111">
            <v>6679.4365630031061</v>
          </cell>
          <cell r="Z111">
            <v>6679.4365630031061</v>
          </cell>
          <cell r="AA111">
            <v>21697.895953818366</v>
          </cell>
          <cell r="AB111">
            <v>0.22536</v>
          </cell>
          <cell r="AC111">
            <v>1505.2778238383801</v>
          </cell>
          <cell r="AD111">
            <v>6679.4365630031061</v>
          </cell>
        </row>
        <row r="112">
          <cell r="S112">
            <v>105</v>
          </cell>
          <cell r="T112">
            <v>0.23369000000000001</v>
          </cell>
          <cell r="U112">
            <v>0</v>
          </cell>
          <cell r="V112">
            <v>5174.1587391647263</v>
          </cell>
          <cell r="W112">
            <v>5174.1587391647263</v>
          </cell>
          <cell r="X112">
            <v>15018.459390815255</v>
          </cell>
          <cell r="Y112">
            <v>5174.1587391647263</v>
          </cell>
          <cell r="Z112">
            <v>5174.1587391647263</v>
          </cell>
          <cell r="AA112">
            <v>15018.459390815255</v>
          </cell>
          <cell r="AB112">
            <v>0.23369000000000001</v>
          </cell>
          <cell r="AC112">
            <v>1209.149155755405</v>
          </cell>
          <cell r="AD112">
            <v>5174.1587391647254</v>
          </cell>
        </row>
        <row r="113">
          <cell r="S113">
            <v>106</v>
          </cell>
          <cell r="T113">
            <v>0.26767000000000002</v>
          </cell>
          <cell r="U113">
            <v>0</v>
          </cell>
          <cell r="V113">
            <v>3965.0095834093217</v>
          </cell>
          <cell r="W113">
            <v>3965.0095834093217</v>
          </cell>
          <cell r="X113">
            <v>9844.3006516505284</v>
          </cell>
          <cell r="Y113">
            <v>3965.0095834093217</v>
          </cell>
          <cell r="Z113">
            <v>3965.0095834093217</v>
          </cell>
          <cell r="AA113">
            <v>9844.3006516505284</v>
          </cell>
          <cell r="AB113">
            <v>0.26767000000000002</v>
          </cell>
          <cell r="AC113">
            <v>1061.3141151911732</v>
          </cell>
          <cell r="AD113">
            <v>3965.0095834093217</v>
          </cell>
        </row>
        <row r="114">
          <cell r="S114">
            <v>107</v>
          </cell>
          <cell r="T114">
            <v>0.35926999999999998</v>
          </cell>
          <cell r="U114">
            <v>0</v>
          </cell>
          <cell r="V114">
            <v>2903.6954682181481</v>
          </cell>
          <cell r="W114">
            <v>2903.6954682181481</v>
          </cell>
          <cell r="X114">
            <v>5879.2910682412066</v>
          </cell>
          <cell r="Y114">
            <v>2903.6954682181481</v>
          </cell>
          <cell r="Z114">
            <v>2903.6954682181481</v>
          </cell>
          <cell r="AA114">
            <v>5879.2910682412066</v>
          </cell>
          <cell r="AB114">
            <v>0.35926999999999998</v>
          </cell>
          <cell r="AC114">
            <v>1043.2106708667341</v>
          </cell>
          <cell r="AD114">
            <v>2903.6954682181477</v>
          </cell>
        </row>
        <row r="115">
          <cell r="S115">
            <v>108</v>
          </cell>
          <cell r="T115">
            <v>0.52276</v>
          </cell>
          <cell r="U115">
            <v>0</v>
          </cell>
          <cell r="V115">
            <v>1860.484797351414</v>
          </cell>
          <cell r="W115">
            <v>1860.484797351414</v>
          </cell>
          <cell r="X115">
            <v>2975.595600023059</v>
          </cell>
          <cell r="Y115">
            <v>1860.484797351414</v>
          </cell>
          <cell r="Z115">
            <v>1860.484797351414</v>
          </cell>
          <cell r="AA115">
            <v>2975.595600023059</v>
          </cell>
          <cell r="AB115">
            <v>0.52276</v>
          </cell>
          <cell r="AC115">
            <v>972.58703266342525</v>
          </cell>
          <cell r="AD115">
            <v>1860.4847973514138</v>
          </cell>
        </row>
        <row r="116">
          <cell r="S116">
            <v>109</v>
          </cell>
          <cell r="T116">
            <v>0.74409999999999998</v>
          </cell>
          <cell r="U116">
            <v>0</v>
          </cell>
          <cell r="V116">
            <v>887.8977646879888</v>
          </cell>
          <cell r="W116">
            <v>887.8977646879888</v>
          </cell>
          <cell r="X116">
            <v>1115.1108026716452</v>
          </cell>
          <cell r="Y116">
            <v>887.8977646879888</v>
          </cell>
          <cell r="Z116">
            <v>887.8977646879888</v>
          </cell>
          <cell r="AA116">
            <v>1115.1108026716452</v>
          </cell>
          <cell r="AB116">
            <v>0.74409999999999998</v>
          </cell>
          <cell r="AC116">
            <v>660.68472670433243</v>
          </cell>
          <cell r="AD116">
            <v>887.8977646879888</v>
          </cell>
        </row>
        <row r="117">
          <cell r="S117">
            <v>110</v>
          </cell>
          <cell r="T117">
            <v>1</v>
          </cell>
          <cell r="U117">
            <v>0</v>
          </cell>
          <cell r="V117">
            <v>227.21303798365633</v>
          </cell>
          <cell r="W117">
            <v>227.21303798365633</v>
          </cell>
          <cell r="X117">
            <v>227.21303798365633</v>
          </cell>
          <cell r="Y117">
            <v>227.21303798365633</v>
          </cell>
          <cell r="Z117">
            <v>227.21303798365633</v>
          </cell>
          <cell r="AA117">
            <v>227.21303798365633</v>
          </cell>
          <cell r="AB117">
            <v>1</v>
          </cell>
          <cell r="AC117">
            <v>227.21303798365633</v>
          </cell>
          <cell r="AD117">
            <v>227.21303798365633</v>
          </cell>
        </row>
        <row r="118">
          <cell r="S118">
            <v>111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</row>
        <row r="119">
          <cell r="S119">
            <v>112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</row>
      </sheetData>
      <sheetData sheetId="5">
        <row r="3">
          <cell r="G3" t="str">
            <v>k</v>
          </cell>
          <cell r="H3">
            <v>5</v>
          </cell>
          <cell r="I3">
            <v>7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</row>
        <row r="4">
          <cell r="G4">
            <v>0</v>
          </cell>
          <cell r="H4">
            <v>7.17E-2</v>
          </cell>
          <cell r="I4">
            <v>7.17E-2</v>
          </cell>
          <cell r="J4">
            <v>7.17E-2</v>
          </cell>
          <cell r="K4">
            <v>7.17E-2</v>
          </cell>
          <cell r="L4">
            <v>7.17E-2</v>
          </cell>
          <cell r="M4">
            <v>7.17E-2</v>
          </cell>
          <cell r="N4">
            <v>7.17E-2</v>
          </cell>
          <cell r="O4">
            <v>7.17E-2</v>
          </cell>
          <cell r="P4">
            <v>7.17E-2</v>
          </cell>
          <cell r="Q4">
            <v>7.17E-2</v>
          </cell>
          <cell r="R4">
            <v>7.17E-2</v>
          </cell>
          <cell r="S4">
            <v>7.17E-2</v>
          </cell>
          <cell r="T4">
            <v>7.9699999999999993E-2</v>
          </cell>
          <cell r="U4">
            <v>7.9699999999999993E-2</v>
          </cell>
          <cell r="V4">
            <v>7.9699999999999993E-2</v>
          </cell>
          <cell r="W4">
            <v>7.9699999999999993E-2</v>
          </cell>
          <cell r="X4">
            <v>7.9699999999999993E-2</v>
          </cell>
          <cell r="Y4">
            <v>7.9699999999999993E-2</v>
          </cell>
          <cell r="Z4">
            <v>7.9699999999999993E-2</v>
          </cell>
          <cell r="AA4">
            <v>7.9699999999999993E-2</v>
          </cell>
          <cell r="AB4">
            <v>7.9699999999999993E-2</v>
          </cell>
          <cell r="AC4">
            <v>7.9699999999999993E-2</v>
          </cell>
          <cell r="AD4">
            <v>7.9699999999999993E-2</v>
          </cell>
          <cell r="AE4">
            <v>7.9699999999999993E-2</v>
          </cell>
        </row>
        <row r="5">
          <cell r="G5">
            <v>1</v>
          </cell>
          <cell r="H5">
            <v>0.15909999999999999</v>
          </cell>
          <cell r="I5">
            <v>0.15909999999999999</v>
          </cell>
          <cell r="J5">
            <v>0.15909999999999999</v>
          </cell>
          <cell r="K5">
            <v>0.15909999999999999</v>
          </cell>
          <cell r="L5">
            <v>0.15909999999999999</v>
          </cell>
          <cell r="M5">
            <v>0.15909999999999999</v>
          </cell>
          <cell r="N5">
            <v>0.15909999999999999</v>
          </cell>
          <cell r="O5">
            <v>0.15909999999999999</v>
          </cell>
          <cell r="P5">
            <v>0.15909999999999999</v>
          </cell>
          <cell r="Q5">
            <v>0.15909999999999999</v>
          </cell>
          <cell r="R5">
            <v>0.15909999999999999</v>
          </cell>
          <cell r="S5">
            <v>0.15909999999999999</v>
          </cell>
          <cell r="T5">
            <v>0.16700000000000001</v>
          </cell>
          <cell r="U5">
            <v>0.16700000000000001</v>
          </cell>
          <cell r="V5">
            <v>0.16700000000000001</v>
          </cell>
          <cell r="W5">
            <v>0.16700000000000001</v>
          </cell>
          <cell r="X5">
            <v>0.16700000000000001</v>
          </cell>
          <cell r="Y5">
            <v>0.16700000000000001</v>
          </cell>
          <cell r="Z5">
            <v>0.16700000000000001</v>
          </cell>
          <cell r="AA5">
            <v>0.16700000000000001</v>
          </cell>
          <cell r="AB5">
            <v>0.16700000000000001</v>
          </cell>
          <cell r="AC5">
            <v>0.16700000000000001</v>
          </cell>
          <cell r="AD5">
            <v>0.16700000000000001</v>
          </cell>
          <cell r="AE5">
            <v>0.16700000000000001</v>
          </cell>
        </row>
        <row r="6">
          <cell r="G6">
            <v>2</v>
          </cell>
          <cell r="H6">
            <v>8.8999999999999999E-3</v>
          </cell>
          <cell r="I6">
            <v>8.8599999999999998E-2</v>
          </cell>
          <cell r="J6">
            <v>8.8599999999999998E-2</v>
          </cell>
          <cell r="K6">
            <v>8.8599999999999998E-2</v>
          </cell>
          <cell r="L6">
            <v>8.8599999999999998E-2</v>
          </cell>
          <cell r="M6">
            <v>8.8599999999999998E-2</v>
          </cell>
          <cell r="N6">
            <v>8.8599999999999998E-2</v>
          </cell>
          <cell r="O6">
            <v>8.8599999999999998E-2</v>
          </cell>
          <cell r="P6">
            <v>8.8599999999999998E-2</v>
          </cell>
          <cell r="Q6">
            <v>8.8599999999999998E-2</v>
          </cell>
          <cell r="R6">
            <v>8.8599999999999998E-2</v>
          </cell>
          <cell r="S6">
            <v>8.8599999999999998E-2</v>
          </cell>
          <cell r="T6">
            <v>0.11700000000000001</v>
          </cell>
          <cell r="U6">
            <v>0.11700000000000001</v>
          </cell>
          <cell r="V6">
            <v>0.11700000000000001</v>
          </cell>
          <cell r="W6">
            <v>0.11700000000000001</v>
          </cell>
          <cell r="X6">
            <v>0.11700000000000001</v>
          </cell>
          <cell r="Y6">
            <v>0.11700000000000001</v>
          </cell>
          <cell r="Z6">
            <v>0.11700000000000001</v>
          </cell>
          <cell r="AA6">
            <v>0.11700000000000001</v>
          </cell>
          <cell r="AB6">
            <v>0.11700000000000001</v>
          </cell>
          <cell r="AC6">
            <v>0.11700000000000001</v>
          </cell>
          <cell r="AD6">
            <v>0.11700000000000001</v>
          </cell>
          <cell r="AE6">
            <v>0.11700000000000001</v>
          </cell>
        </row>
        <row r="7">
          <cell r="G7">
            <v>3</v>
          </cell>
          <cell r="H7">
            <v>0</v>
          </cell>
          <cell r="I7">
            <v>6.9900000000000004E-2</v>
          </cell>
          <cell r="J7">
            <v>6.9900000000000004E-2</v>
          </cell>
          <cell r="K7">
            <v>6.9900000000000004E-2</v>
          </cell>
          <cell r="L7">
            <v>6.9900000000000004E-2</v>
          </cell>
          <cell r="M7">
            <v>6.9900000000000004E-2</v>
          </cell>
          <cell r="N7">
            <v>6.9900000000000004E-2</v>
          </cell>
          <cell r="O7">
            <v>6.9900000000000004E-2</v>
          </cell>
          <cell r="P7">
            <v>6.9900000000000004E-2</v>
          </cell>
          <cell r="Q7">
            <v>6.9900000000000004E-2</v>
          </cell>
          <cell r="R7">
            <v>6.9900000000000004E-2</v>
          </cell>
          <cell r="S7">
            <v>6.9900000000000004E-2</v>
          </cell>
          <cell r="T7">
            <v>6.9900000000000004E-2</v>
          </cell>
          <cell r="U7">
            <v>6.9900000000000004E-2</v>
          </cell>
          <cell r="V7">
            <v>6.9900000000000004E-2</v>
          </cell>
          <cell r="W7">
            <v>6.9900000000000004E-2</v>
          </cell>
          <cell r="X7">
            <v>6.9900000000000004E-2</v>
          </cell>
          <cell r="Y7">
            <v>6.9900000000000004E-2</v>
          </cell>
          <cell r="Z7">
            <v>6.9900000000000004E-2</v>
          </cell>
          <cell r="AA7">
            <v>6.9900000000000004E-2</v>
          </cell>
          <cell r="AB7">
            <v>6.9900000000000004E-2</v>
          </cell>
          <cell r="AC7">
            <v>6.9900000000000004E-2</v>
          </cell>
          <cell r="AD7">
            <v>6.9900000000000004E-2</v>
          </cell>
          <cell r="AE7">
            <v>6.9900000000000004E-2</v>
          </cell>
        </row>
        <row r="8">
          <cell r="G8">
            <v>4</v>
          </cell>
          <cell r="H8">
            <v>0</v>
          </cell>
          <cell r="I8">
            <v>6.1000000000000004E-3</v>
          </cell>
          <cell r="J8">
            <v>6.1199999999999997E-2</v>
          </cell>
          <cell r="K8">
            <v>6.1199999999999997E-2</v>
          </cell>
          <cell r="L8">
            <v>6.1199999999999997E-2</v>
          </cell>
          <cell r="M8">
            <v>6.1199999999999997E-2</v>
          </cell>
          <cell r="N8">
            <v>6.1199999999999997E-2</v>
          </cell>
          <cell r="O8">
            <v>6.1199999999999997E-2</v>
          </cell>
          <cell r="P8">
            <v>6.1199999999999997E-2</v>
          </cell>
          <cell r="Q8">
            <v>6.1199999999999997E-2</v>
          </cell>
          <cell r="R8">
            <v>6.1199999999999997E-2</v>
          </cell>
          <cell r="S8">
            <v>6.1199999999999997E-2</v>
          </cell>
          <cell r="T8">
            <v>6.1199999999999997E-2</v>
          </cell>
          <cell r="U8">
            <v>6.1199999999999997E-2</v>
          </cell>
          <cell r="V8">
            <v>6.1199999999999997E-2</v>
          </cell>
          <cell r="W8">
            <v>6.1199999999999997E-2</v>
          </cell>
          <cell r="X8">
            <v>6.1199999999999997E-2</v>
          </cell>
          <cell r="Y8">
            <v>6.1199999999999997E-2</v>
          </cell>
          <cell r="Z8">
            <v>6.1199999999999997E-2</v>
          </cell>
          <cell r="AA8">
            <v>6.1199999999999997E-2</v>
          </cell>
          <cell r="AB8">
            <v>6.1199999999999997E-2</v>
          </cell>
          <cell r="AC8">
            <v>6.1199999999999997E-2</v>
          </cell>
          <cell r="AD8">
            <v>6.1199999999999997E-2</v>
          </cell>
          <cell r="AE8">
            <v>6.1199999999999997E-2</v>
          </cell>
        </row>
        <row r="9">
          <cell r="G9">
            <v>5</v>
          </cell>
          <cell r="H9">
            <v>0.19919999999999999</v>
          </cell>
          <cell r="I9">
            <v>0</v>
          </cell>
          <cell r="J9">
            <v>5.3699999999999998E-2</v>
          </cell>
          <cell r="K9">
            <v>5.3699999999999998E-2</v>
          </cell>
          <cell r="L9">
            <v>5.3699999999999998E-2</v>
          </cell>
          <cell r="M9">
            <v>5.3699999999999998E-2</v>
          </cell>
          <cell r="N9">
            <v>5.3699999999999998E-2</v>
          </cell>
          <cell r="O9">
            <v>5.3699999999999998E-2</v>
          </cell>
          <cell r="P9">
            <v>5.3699999999999998E-2</v>
          </cell>
          <cell r="Q9">
            <v>5.3699999999999998E-2</v>
          </cell>
          <cell r="R9">
            <v>5.3699999999999998E-2</v>
          </cell>
          <cell r="S9">
            <v>5.3699999999999998E-2</v>
          </cell>
          <cell r="T9">
            <v>5.3699999999999998E-2</v>
          </cell>
          <cell r="U9">
            <v>5.3699999999999998E-2</v>
          </cell>
          <cell r="V9">
            <v>5.3699999999999998E-2</v>
          </cell>
          <cell r="W9">
            <v>5.3699999999999998E-2</v>
          </cell>
          <cell r="X9">
            <v>5.3699999999999998E-2</v>
          </cell>
          <cell r="Y9">
            <v>5.3699999999999998E-2</v>
          </cell>
          <cell r="Z9">
            <v>5.3699999999999998E-2</v>
          </cell>
          <cell r="AA9">
            <v>5.3699999999999998E-2</v>
          </cell>
          <cell r="AB9">
            <v>5.3699999999999998E-2</v>
          </cell>
          <cell r="AC9">
            <v>5.3699999999999998E-2</v>
          </cell>
          <cell r="AD9">
            <v>5.3699999999999998E-2</v>
          </cell>
          <cell r="AE9">
            <v>5.3699999999999998E-2</v>
          </cell>
        </row>
        <row r="10">
          <cell r="G10">
            <v>6</v>
          </cell>
          <cell r="H10">
            <v>4.4999999999999997E-3</v>
          </cell>
          <cell r="I10">
            <v>0</v>
          </cell>
          <cell r="J10">
            <v>4.7100000000000003E-2</v>
          </cell>
          <cell r="K10">
            <v>4.7100000000000003E-2</v>
          </cell>
          <cell r="L10">
            <v>4.7100000000000003E-2</v>
          </cell>
          <cell r="M10">
            <v>4.7100000000000003E-2</v>
          </cell>
          <cell r="N10">
            <v>4.7100000000000003E-2</v>
          </cell>
          <cell r="O10">
            <v>4.7100000000000003E-2</v>
          </cell>
          <cell r="P10">
            <v>4.7100000000000003E-2</v>
          </cell>
          <cell r="Q10">
            <v>4.7100000000000003E-2</v>
          </cell>
          <cell r="R10">
            <v>4.7100000000000003E-2</v>
          </cell>
          <cell r="S10">
            <v>4.7100000000000003E-2</v>
          </cell>
          <cell r="T10">
            <v>4.7100000000000003E-2</v>
          </cell>
          <cell r="U10">
            <v>4.7100000000000003E-2</v>
          </cell>
          <cell r="V10">
            <v>4.7100000000000003E-2</v>
          </cell>
          <cell r="W10">
            <v>4.7100000000000003E-2</v>
          </cell>
          <cell r="X10">
            <v>4.7100000000000003E-2</v>
          </cell>
          <cell r="Y10">
            <v>4.7100000000000003E-2</v>
          </cell>
          <cell r="Z10">
            <v>4.7100000000000003E-2</v>
          </cell>
          <cell r="AA10">
            <v>4.7100000000000003E-2</v>
          </cell>
          <cell r="AB10">
            <v>4.7100000000000003E-2</v>
          </cell>
          <cell r="AC10">
            <v>4.7100000000000003E-2</v>
          </cell>
          <cell r="AD10">
            <v>4.7100000000000003E-2</v>
          </cell>
          <cell r="AE10">
            <v>4.7100000000000003E-2</v>
          </cell>
        </row>
        <row r="11">
          <cell r="G11">
            <v>7</v>
          </cell>
          <cell r="H11">
            <v>4.4999999999999997E-3</v>
          </cell>
          <cell r="I11">
            <v>0.15140000000000001</v>
          </cell>
          <cell r="J11">
            <v>4.1000000000000003E-3</v>
          </cell>
          <cell r="K11">
            <v>4.1300000000000003E-2</v>
          </cell>
          <cell r="L11">
            <v>4.1300000000000003E-2</v>
          </cell>
          <cell r="M11">
            <v>4.1300000000000003E-2</v>
          </cell>
          <cell r="N11">
            <v>4.1300000000000003E-2</v>
          </cell>
          <cell r="O11">
            <v>4.1300000000000003E-2</v>
          </cell>
          <cell r="P11">
            <v>4.1300000000000003E-2</v>
          </cell>
          <cell r="Q11">
            <v>4.1300000000000003E-2</v>
          </cell>
          <cell r="R11">
            <v>4.1300000000000003E-2</v>
          </cell>
          <cell r="S11">
            <v>4.1300000000000003E-2</v>
          </cell>
          <cell r="T11">
            <v>4.1300000000000003E-2</v>
          </cell>
          <cell r="U11">
            <v>4.1300000000000003E-2</v>
          </cell>
          <cell r="V11">
            <v>4.1300000000000003E-2</v>
          </cell>
          <cell r="W11">
            <v>4.1300000000000003E-2</v>
          </cell>
          <cell r="X11">
            <v>4.1300000000000003E-2</v>
          </cell>
          <cell r="Y11">
            <v>4.1300000000000003E-2</v>
          </cell>
          <cell r="Z11">
            <v>4.1300000000000003E-2</v>
          </cell>
          <cell r="AA11">
            <v>4.1300000000000003E-2</v>
          </cell>
          <cell r="AB11">
            <v>4.1300000000000003E-2</v>
          </cell>
          <cell r="AC11">
            <v>4.1300000000000003E-2</v>
          </cell>
          <cell r="AD11">
            <v>4.1300000000000003E-2</v>
          </cell>
          <cell r="AE11">
            <v>4.1300000000000003E-2</v>
          </cell>
        </row>
        <row r="12">
          <cell r="G12">
            <v>8</v>
          </cell>
          <cell r="H12">
            <v>4.4999999999999997E-3</v>
          </cell>
          <cell r="I12">
            <v>4.4999999999999997E-3</v>
          </cell>
          <cell r="J12">
            <v>0</v>
          </cell>
          <cell r="K12">
            <v>4.1000000000000003E-3</v>
          </cell>
          <cell r="L12">
            <v>3.6200000000000003E-2</v>
          </cell>
          <cell r="M12">
            <v>3.6200000000000003E-2</v>
          </cell>
          <cell r="N12">
            <v>3.6200000000000003E-2</v>
          </cell>
          <cell r="O12">
            <v>3.6200000000000003E-2</v>
          </cell>
          <cell r="P12">
            <v>3.6200000000000003E-2</v>
          </cell>
          <cell r="Q12">
            <v>3.6200000000000003E-2</v>
          </cell>
          <cell r="R12">
            <v>3.6200000000000003E-2</v>
          </cell>
          <cell r="S12">
            <v>3.6200000000000003E-2</v>
          </cell>
          <cell r="T12">
            <v>3.6200000000000003E-2</v>
          </cell>
          <cell r="U12">
            <v>3.6200000000000003E-2</v>
          </cell>
          <cell r="V12">
            <v>3.6200000000000003E-2</v>
          </cell>
          <cell r="W12">
            <v>3.6200000000000003E-2</v>
          </cell>
          <cell r="X12">
            <v>3.6200000000000003E-2</v>
          </cell>
          <cell r="Y12">
            <v>3.6200000000000003E-2</v>
          </cell>
          <cell r="Z12">
            <v>3.6200000000000003E-2</v>
          </cell>
          <cell r="AA12">
            <v>3.6200000000000003E-2</v>
          </cell>
          <cell r="AB12">
            <v>3.6200000000000003E-2</v>
          </cell>
          <cell r="AC12">
            <v>3.6200000000000003E-2</v>
          </cell>
          <cell r="AD12">
            <v>3.6200000000000003E-2</v>
          </cell>
          <cell r="AE12">
            <v>3.6200000000000003E-2</v>
          </cell>
        </row>
        <row r="13">
          <cell r="G13">
            <v>9</v>
          </cell>
          <cell r="H13">
            <v>4.4999999999999997E-3</v>
          </cell>
          <cell r="I13">
            <v>4.4999999999999997E-3</v>
          </cell>
          <cell r="J13">
            <v>0</v>
          </cell>
          <cell r="K13">
            <v>0</v>
          </cell>
          <cell r="L13">
            <v>4.1000000000000003E-3</v>
          </cell>
          <cell r="M13">
            <v>3.1699999999999999E-2</v>
          </cell>
          <cell r="N13">
            <v>3.1699999999999999E-2</v>
          </cell>
          <cell r="O13">
            <v>3.1699999999999999E-2</v>
          </cell>
          <cell r="P13">
            <v>3.1699999999999999E-2</v>
          </cell>
          <cell r="Q13">
            <v>3.1699999999999999E-2</v>
          </cell>
          <cell r="R13">
            <v>3.1699999999999999E-2</v>
          </cell>
          <cell r="S13">
            <v>3.1699999999999999E-2</v>
          </cell>
          <cell r="T13">
            <v>3.1699999999999999E-2</v>
          </cell>
          <cell r="U13">
            <v>3.1699999999999999E-2</v>
          </cell>
          <cell r="V13">
            <v>3.1699999999999999E-2</v>
          </cell>
          <cell r="W13">
            <v>3.1699999999999999E-2</v>
          </cell>
          <cell r="X13">
            <v>3.1699999999999999E-2</v>
          </cell>
          <cell r="Y13">
            <v>3.1699999999999999E-2</v>
          </cell>
          <cell r="Z13">
            <v>3.1699999999999999E-2</v>
          </cell>
          <cell r="AA13">
            <v>3.1699999999999999E-2</v>
          </cell>
          <cell r="AB13">
            <v>3.1699999999999999E-2</v>
          </cell>
          <cell r="AC13">
            <v>3.1699999999999999E-2</v>
          </cell>
          <cell r="AD13">
            <v>3.1699999999999999E-2</v>
          </cell>
          <cell r="AE13">
            <v>3.1699999999999999E-2</v>
          </cell>
        </row>
        <row r="14">
          <cell r="G14">
            <v>10</v>
          </cell>
          <cell r="H14">
            <v>4.4999999999999997E-3</v>
          </cell>
          <cell r="I14">
            <v>4.4999999999999997E-3</v>
          </cell>
          <cell r="J14">
            <v>0.10539999999999999</v>
          </cell>
          <cell r="K14">
            <v>0</v>
          </cell>
          <cell r="L14">
            <v>0</v>
          </cell>
          <cell r="M14">
            <v>4.1000000000000003E-3</v>
          </cell>
          <cell r="N14">
            <v>2.7799999999999998E-2</v>
          </cell>
          <cell r="O14">
            <v>2.7799999999999998E-2</v>
          </cell>
          <cell r="P14">
            <v>2.7799999999999998E-2</v>
          </cell>
          <cell r="Q14">
            <v>2.7799999999999998E-2</v>
          </cell>
          <cell r="R14">
            <v>2.7799999999999998E-2</v>
          </cell>
          <cell r="S14">
            <v>2.7799999999999998E-2</v>
          </cell>
          <cell r="T14">
            <v>2.7799999999999998E-2</v>
          </cell>
          <cell r="U14">
            <v>2.7799999999999998E-2</v>
          </cell>
          <cell r="V14">
            <v>2.7799999999999998E-2</v>
          </cell>
          <cell r="W14">
            <v>2.7799999999999998E-2</v>
          </cell>
          <cell r="X14">
            <v>2.7799999999999998E-2</v>
          </cell>
          <cell r="Y14">
            <v>2.7799999999999998E-2</v>
          </cell>
          <cell r="Z14">
            <v>2.7799999999999998E-2</v>
          </cell>
          <cell r="AA14">
            <v>2.7799999999999998E-2</v>
          </cell>
          <cell r="AB14">
            <v>2.7799999999999998E-2</v>
          </cell>
          <cell r="AC14">
            <v>2.7799999999999998E-2</v>
          </cell>
          <cell r="AD14">
            <v>2.7799999999999998E-2</v>
          </cell>
          <cell r="AE14">
            <v>2.7799999999999998E-2</v>
          </cell>
        </row>
        <row r="15">
          <cell r="G15">
            <v>11</v>
          </cell>
          <cell r="H15">
            <v>4.4999999999999997E-3</v>
          </cell>
          <cell r="I15">
            <v>4.4999999999999997E-3</v>
          </cell>
          <cell r="J15">
            <v>4.4999999999999997E-3</v>
          </cell>
          <cell r="K15">
            <v>0.10539999999999999</v>
          </cell>
          <cell r="L15">
            <v>0</v>
          </cell>
          <cell r="M15">
            <v>0</v>
          </cell>
          <cell r="N15">
            <v>4.1000000000000003E-3</v>
          </cell>
          <cell r="O15">
            <v>2.4400000000000002E-2</v>
          </cell>
          <cell r="P15">
            <v>2.4400000000000002E-2</v>
          </cell>
          <cell r="Q15">
            <v>2.4400000000000002E-2</v>
          </cell>
          <cell r="R15">
            <v>2.4400000000000002E-2</v>
          </cell>
          <cell r="S15">
            <v>2.4400000000000002E-2</v>
          </cell>
          <cell r="T15">
            <v>2.4400000000000002E-2</v>
          </cell>
          <cell r="U15">
            <v>2.4400000000000002E-2</v>
          </cell>
          <cell r="V15">
            <v>2.4400000000000002E-2</v>
          </cell>
          <cell r="W15">
            <v>2.4400000000000002E-2</v>
          </cell>
          <cell r="X15">
            <v>2.4400000000000002E-2</v>
          </cell>
          <cell r="Y15">
            <v>2.4400000000000002E-2</v>
          </cell>
          <cell r="Z15">
            <v>2.4400000000000002E-2</v>
          </cell>
          <cell r="AA15">
            <v>2.4400000000000002E-2</v>
          </cell>
          <cell r="AB15">
            <v>2.4400000000000002E-2</v>
          </cell>
          <cell r="AC15">
            <v>2.4400000000000002E-2</v>
          </cell>
          <cell r="AD15">
            <v>2.4400000000000002E-2</v>
          </cell>
          <cell r="AE15">
            <v>2.4400000000000002E-2</v>
          </cell>
        </row>
        <row r="16">
          <cell r="G16">
            <v>12</v>
          </cell>
          <cell r="H16">
            <v>4.4999999999999997E-3</v>
          </cell>
          <cell r="I16">
            <v>4.4999999999999997E-3</v>
          </cell>
          <cell r="J16">
            <v>4.4999999999999997E-3</v>
          </cell>
          <cell r="K16">
            <v>4.4999999999999997E-3</v>
          </cell>
          <cell r="L16">
            <v>0.10539999999999999</v>
          </cell>
          <cell r="M16">
            <v>0</v>
          </cell>
          <cell r="N16">
            <v>0</v>
          </cell>
          <cell r="O16">
            <v>2.0999999999999999E-3</v>
          </cell>
          <cell r="P16">
            <v>2.1399999999999999E-2</v>
          </cell>
          <cell r="Q16">
            <v>2.1399999999999999E-2</v>
          </cell>
          <cell r="R16">
            <v>2.1399999999999999E-2</v>
          </cell>
          <cell r="S16">
            <v>2.1399999999999999E-2</v>
          </cell>
          <cell r="T16">
            <v>2.1399999999999999E-2</v>
          </cell>
          <cell r="U16">
            <v>2.1399999999999999E-2</v>
          </cell>
          <cell r="V16">
            <v>2.1399999999999999E-2</v>
          </cell>
          <cell r="W16">
            <v>2.1399999999999999E-2</v>
          </cell>
          <cell r="X16">
            <v>2.1399999999999999E-2</v>
          </cell>
          <cell r="Y16">
            <v>2.1399999999999999E-2</v>
          </cell>
          <cell r="Z16">
            <v>2.1399999999999999E-2</v>
          </cell>
          <cell r="AA16">
            <v>2.1399999999999999E-2</v>
          </cell>
          <cell r="AB16">
            <v>2.1399999999999999E-2</v>
          </cell>
          <cell r="AC16">
            <v>2.1399999999999999E-2</v>
          </cell>
          <cell r="AD16">
            <v>2.1399999999999999E-2</v>
          </cell>
          <cell r="AE16">
            <v>2.1399999999999999E-2</v>
          </cell>
        </row>
        <row r="17">
          <cell r="G17">
            <v>13</v>
          </cell>
          <cell r="H17">
            <v>4.4999999999999997E-3</v>
          </cell>
          <cell r="I17">
            <v>4.4999999999999997E-3</v>
          </cell>
          <cell r="J17">
            <v>4.4999999999999997E-3</v>
          </cell>
          <cell r="K17">
            <v>4.4999999999999997E-3</v>
          </cell>
          <cell r="L17">
            <v>4.4999999999999997E-3</v>
          </cell>
          <cell r="M17">
            <v>0.10539999999999999</v>
          </cell>
          <cell r="N17">
            <v>0</v>
          </cell>
          <cell r="O17">
            <v>0</v>
          </cell>
          <cell r="P17">
            <v>2.0999999999999999E-3</v>
          </cell>
          <cell r="Q17">
            <v>1.8700000000000001E-2</v>
          </cell>
          <cell r="R17">
            <v>1.8700000000000001E-2</v>
          </cell>
          <cell r="S17">
            <v>1.8700000000000001E-2</v>
          </cell>
          <cell r="T17">
            <v>1.8700000000000001E-2</v>
          </cell>
          <cell r="U17">
            <v>1.8700000000000001E-2</v>
          </cell>
          <cell r="V17">
            <v>1.8700000000000001E-2</v>
          </cell>
          <cell r="W17">
            <v>1.8700000000000001E-2</v>
          </cell>
          <cell r="X17">
            <v>1.8700000000000001E-2</v>
          </cell>
          <cell r="Y17">
            <v>1.8700000000000001E-2</v>
          </cell>
          <cell r="Z17">
            <v>1.8700000000000001E-2</v>
          </cell>
          <cell r="AA17">
            <v>1.8700000000000001E-2</v>
          </cell>
          <cell r="AB17">
            <v>1.8700000000000001E-2</v>
          </cell>
          <cell r="AC17">
            <v>1.8700000000000001E-2</v>
          </cell>
          <cell r="AD17">
            <v>1.8700000000000001E-2</v>
          </cell>
          <cell r="AE17">
            <v>1.8700000000000001E-2</v>
          </cell>
        </row>
        <row r="18">
          <cell r="G18">
            <v>14</v>
          </cell>
          <cell r="H18">
            <v>4.4999999999999997E-3</v>
          </cell>
          <cell r="I18">
            <v>4.4999999999999997E-3</v>
          </cell>
          <cell r="J18">
            <v>4.4999999999999997E-3</v>
          </cell>
          <cell r="K18">
            <v>4.4999999999999997E-3</v>
          </cell>
          <cell r="L18">
            <v>4.4999999999999997E-3</v>
          </cell>
          <cell r="M18">
            <v>4.4999999999999997E-3</v>
          </cell>
          <cell r="N18">
            <v>0.10539999999999999</v>
          </cell>
          <cell r="O18">
            <v>0</v>
          </cell>
          <cell r="P18">
            <v>0</v>
          </cell>
          <cell r="Q18">
            <v>2.0999999999999999E-3</v>
          </cell>
          <cell r="R18">
            <v>1.6400000000000001E-2</v>
          </cell>
          <cell r="S18">
            <v>1.6400000000000001E-2</v>
          </cell>
          <cell r="T18">
            <v>1.6400000000000001E-2</v>
          </cell>
          <cell r="U18">
            <v>1.6400000000000001E-2</v>
          </cell>
          <cell r="V18">
            <v>1.6400000000000001E-2</v>
          </cell>
          <cell r="W18">
            <v>1.6400000000000001E-2</v>
          </cell>
          <cell r="X18">
            <v>1.6400000000000001E-2</v>
          </cell>
          <cell r="Y18">
            <v>1.6400000000000001E-2</v>
          </cell>
          <cell r="Z18">
            <v>1.6400000000000001E-2</v>
          </cell>
          <cell r="AA18">
            <v>1.6400000000000001E-2</v>
          </cell>
          <cell r="AB18">
            <v>1.6400000000000001E-2</v>
          </cell>
          <cell r="AC18">
            <v>1.6400000000000001E-2</v>
          </cell>
          <cell r="AD18">
            <v>1.6400000000000001E-2</v>
          </cell>
          <cell r="AE18">
            <v>1.6400000000000001E-2</v>
          </cell>
        </row>
        <row r="19">
          <cell r="G19">
            <v>15</v>
          </cell>
          <cell r="H19">
            <v>4.4999999999999997E-3</v>
          </cell>
          <cell r="I19">
            <v>4.4999999999999997E-3</v>
          </cell>
          <cell r="J19">
            <v>4.4999999999999997E-3</v>
          </cell>
          <cell r="K19">
            <v>4.4999999999999997E-3</v>
          </cell>
          <cell r="L19">
            <v>4.4999999999999997E-3</v>
          </cell>
          <cell r="M19">
            <v>4.4999999999999997E-3</v>
          </cell>
          <cell r="N19">
            <v>4.4999999999999997E-3</v>
          </cell>
          <cell r="O19">
            <v>5.7700000000000001E-2</v>
          </cell>
          <cell r="P19">
            <v>0</v>
          </cell>
          <cell r="Q19">
            <v>0</v>
          </cell>
          <cell r="R19">
            <v>2.0999999999999999E-3</v>
          </cell>
          <cell r="S19">
            <v>1.44E-2</v>
          </cell>
          <cell r="T19">
            <v>1.44E-2</v>
          </cell>
          <cell r="U19">
            <v>1.44E-2</v>
          </cell>
          <cell r="V19">
            <v>1.44E-2</v>
          </cell>
          <cell r="W19">
            <v>1.44E-2</v>
          </cell>
          <cell r="X19">
            <v>1.44E-2</v>
          </cell>
          <cell r="Y19">
            <v>1.44E-2</v>
          </cell>
          <cell r="Z19">
            <v>1.44E-2</v>
          </cell>
          <cell r="AA19">
            <v>1.44E-2</v>
          </cell>
          <cell r="AB19">
            <v>1.44E-2</v>
          </cell>
          <cell r="AC19">
            <v>1.44E-2</v>
          </cell>
          <cell r="AD19">
            <v>1.44E-2</v>
          </cell>
          <cell r="AE19">
            <v>1.44E-2</v>
          </cell>
        </row>
        <row r="20">
          <cell r="G20">
            <v>16</v>
          </cell>
          <cell r="H20">
            <v>4.4999999999999997E-3</v>
          </cell>
          <cell r="I20">
            <v>4.4999999999999997E-3</v>
          </cell>
          <cell r="J20">
            <v>4.4999999999999997E-3</v>
          </cell>
          <cell r="K20">
            <v>4.4999999999999997E-3</v>
          </cell>
          <cell r="L20">
            <v>4.4999999999999997E-3</v>
          </cell>
          <cell r="M20">
            <v>4.4999999999999997E-3</v>
          </cell>
          <cell r="N20">
            <v>4.4999999999999997E-3</v>
          </cell>
          <cell r="O20">
            <v>4.4999999999999997E-3</v>
          </cell>
          <cell r="P20">
            <v>5.7700000000000001E-2</v>
          </cell>
          <cell r="Q20">
            <v>0</v>
          </cell>
          <cell r="R20">
            <v>0</v>
          </cell>
          <cell r="S20">
            <v>2.0999999999999999E-3</v>
          </cell>
          <cell r="T20">
            <v>1.26E-2</v>
          </cell>
          <cell r="U20">
            <v>1.26E-2</v>
          </cell>
          <cell r="V20">
            <v>1.26E-2</v>
          </cell>
          <cell r="W20">
            <v>1.26E-2</v>
          </cell>
          <cell r="X20">
            <v>1.26E-2</v>
          </cell>
          <cell r="Y20">
            <v>1.26E-2</v>
          </cell>
          <cell r="Z20">
            <v>1.26E-2</v>
          </cell>
          <cell r="AA20">
            <v>1.26E-2</v>
          </cell>
          <cell r="AB20">
            <v>1.26E-2</v>
          </cell>
          <cell r="AC20">
            <v>1.26E-2</v>
          </cell>
          <cell r="AD20">
            <v>1.26E-2</v>
          </cell>
          <cell r="AE20">
            <v>1.26E-2</v>
          </cell>
        </row>
        <row r="21">
          <cell r="G21">
            <v>17</v>
          </cell>
          <cell r="H21">
            <v>4.4999999999999997E-3</v>
          </cell>
          <cell r="I21">
            <v>4.4999999999999997E-3</v>
          </cell>
          <cell r="J21">
            <v>4.4999999999999997E-3</v>
          </cell>
          <cell r="K21">
            <v>4.4999999999999997E-3</v>
          </cell>
          <cell r="L21">
            <v>4.4999999999999997E-3</v>
          </cell>
          <cell r="M21">
            <v>4.4999999999999997E-3</v>
          </cell>
          <cell r="N21">
            <v>4.4999999999999997E-3</v>
          </cell>
          <cell r="O21">
            <v>4.4999999999999997E-3</v>
          </cell>
          <cell r="P21">
            <v>4.4999999999999997E-3</v>
          </cell>
          <cell r="Q21">
            <v>5.7700000000000001E-2</v>
          </cell>
          <cell r="R21">
            <v>0</v>
          </cell>
          <cell r="S21">
            <v>0</v>
          </cell>
          <cell r="T21">
            <v>1.1000000000000001E-3</v>
          </cell>
          <cell r="U21">
            <v>1.11E-2</v>
          </cell>
          <cell r="V21">
            <v>1.11E-2</v>
          </cell>
          <cell r="W21">
            <v>1.11E-2</v>
          </cell>
          <cell r="X21">
            <v>1.11E-2</v>
          </cell>
          <cell r="Y21">
            <v>1.11E-2</v>
          </cell>
          <cell r="Z21">
            <v>1.11E-2</v>
          </cell>
          <cell r="AA21">
            <v>1.11E-2</v>
          </cell>
          <cell r="AB21">
            <v>1.11E-2</v>
          </cell>
          <cell r="AC21">
            <v>1.11E-2</v>
          </cell>
          <cell r="AD21">
            <v>1.11E-2</v>
          </cell>
          <cell r="AE21">
            <v>1.11E-2</v>
          </cell>
        </row>
        <row r="22">
          <cell r="G22">
            <v>18</v>
          </cell>
          <cell r="H22">
            <v>4.4999999999999997E-3</v>
          </cell>
          <cell r="I22">
            <v>4.4999999999999997E-3</v>
          </cell>
          <cell r="J22">
            <v>4.4999999999999997E-3</v>
          </cell>
          <cell r="K22">
            <v>4.4999999999999997E-3</v>
          </cell>
          <cell r="L22">
            <v>4.4999999999999997E-3</v>
          </cell>
          <cell r="M22">
            <v>4.4999999999999997E-3</v>
          </cell>
          <cell r="N22">
            <v>4.4999999999999997E-3</v>
          </cell>
          <cell r="O22">
            <v>4.4999999999999997E-3</v>
          </cell>
          <cell r="P22">
            <v>4.4999999999999997E-3</v>
          </cell>
          <cell r="Q22">
            <v>4.4999999999999997E-3</v>
          </cell>
          <cell r="R22">
            <v>5.7700000000000001E-2</v>
          </cell>
          <cell r="S22">
            <v>0</v>
          </cell>
          <cell r="T22">
            <v>0</v>
          </cell>
          <cell r="U22">
            <v>1.1000000000000001E-3</v>
          </cell>
          <cell r="V22">
            <v>9.7000000000000003E-3</v>
          </cell>
          <cell r="W22">
            <v>9.7000000000000003E-3</v>
          </cell>
          <cell r="X22">
            <v>9.7000000000000003E-3</v>
          </cell>
          <cell r="Y22">
            <v>9.7000000000000003E-3</v>
          </cell>
          <cell r="Z22">
            <v>9.7000000000000003E-3</v>
          </cell>
          <cell r="AA22">
            <v>9.7000000000000003E-3</v>
          </cell>
          <cell r="AB22">
            <v>9.7000000000000003E-3</v>
          </cell>
          <cell r="AC22">
            <v>9.7000000000000003E-3</v>
          </cell>
          <cell r="AD22">
            <v>9.7000000000000003E-3</v>
          </cell>
          <cell r="AE22">
            <v>9.7000000000000003E-3</v>
          </cell>
        </row>
        <row r="23">
          <cell r="G23">
            <v>19</v>
          </cell>
          <cell r="H23">
            <v>4.4999999999999997E-3</v>
          </cell>
          <cell r="I23">
            <v>4.4999999999999997E-3</v>
          </cell>
          <cell r="J23">
            <v>4.4999999999999997E-3</v>
          </cell>
          <cell r="K23">
            <v>4.4999999999999997E-3</v>
          </cell>
          <cell r="L23">
            <v>4.4999999999999997E-3</v>
          </cell>
          <cell r="M23">
            <v>4.4999999999999997E-3</v>
          </cell>
          <cell r="N23">
            <v>4.4999999999999997E-3</v>
          </cell>
          <cell r="O23">
            <v>4.4999999999999997E-3</v>
          </cell>
          <cell r="P23">
            <v>4.4999999999999997E-3</v>
          </cell>
          <cell r="Q23">
            <v>4.4999999999999997E-3</v>
          </cell>
          <cell r="R23">
            <v>4.4999999999999997E-3</v>
          </cell>
          <cell r="S23">
            <v>5.7700000000000001E-2</v>
          </cell>
          <cell r="T23">
            <v>0</v>
          </cell>
          <cell r="U23">
            <v>0</v>
          </cell>
          <cell r="V23">
            <v>1.1000000000000001E-3</v>
          </cell>
          <cell r="W23">
            <v>8.5000000000000006E-3</v>
          </cell>
          <cell r="X23">
            <v>8.5000000000000006E-3</v>
          </cell>
          <cell r="Y23">
            <v>8.5000000000000006E-3</v>
          </cell>
          <cell r="Z23">
            <v>8.5000000000000006E-3</v>
          </cell>
          <cell r="AA23">
            <v>8.5000000000000006E-3</v>
          </cell>
          <cell r="AB23">
            <v>8.5000000000000006E-3</v>
          </cell>
          <cell r="AC23">
            <v>8.5000000000000006E-3</v>
          </cell>
          <cell r="AD23">
            <v>8.5000000000000006E-3</v>
          </cell>
          <cell r="AE23">
            <v>8.5000000000000006E-3</v>
          </cell>
        </row>
        <row r="24">
          <cell r="G24">
            <v>20</v>
          </cell>
          <cell r="H24">
            <v>4.4999999999999997E-3</v>
          </cell>
          <cell r="I24">
            <v>4.4999999999999997E-3</v>
          </cell>
          <cell r="J24">
            <v>4.4999999999999997E-3</v>
          </cell>
          <cell r="K24">
            <v>4.4999999999999997E-3</v>
          </cell>
          <cell r="L24">
            <v>4.4999999999999997E-3</v>
          </cell>
          <cell r="M24">
            <v>4.4999999999999997E-3</v>
          </cell>
          <cell r="N24">
            <v>4.4999999999999997E-3</v>
          </cell>
          <cell r="O24">
            <v>4.4999999999999997E-3</v>
          </cell>
          <cell r="P24">
            <v>4.4999999999999997E-3</v>
          </cell>
          <cell r="Q24">
            <v>4.4999999999999997E-3</v>
          </cell>
          <cell r="R24">
            <v>4.4999999999999997E-3</v>
          </cell>
          <cell r="S24">
            <v>4.4999999999999997E-3</v>
          </cell>
          <cell r="T24">
            <v>3.2300000000000002E-2</v>
          </cell>
          <cell r="U24">
            <v>0</v>
          </cell>
          <cell r="V24">
            <v>0</v>
          </cell>
          <cell r="W24">
            <v>1.1000000000000001E-3</v>
          </cell>
          <cell r="X24">
            <v>8.5000000000000006E-3</v>
          </cell>
          <cell r="Y24">
            <v>8.5000000000000006E-3</v>
          </cell>
          <cell r="Z24">
            <v>8.5000000000000006E-3</v>
          </cell>
          <cell r="AA24">
            <v>8.5000000000000006E-3</v>
          </cell>
          <cell r="AB24">
            <v>8.5000000000000006E-3</v>
          </cell>
          <cell r="AC24">
            <v>8.5000000000000006E-3</v>
          </cell>
          <cell r="AD24">
            <v>8.5000000000000006E-3</v>
          </cell>
          <cell r="AE24">
            <v>8.5000000000000006E-3</v>
          </cell>
        </row>
        <row r="25">
          <cell r="G25">
            <v>21</v>
          </cell>
          <cell r="H25">
            <v>4.4999999999999997E-3</v>
          </cell>
          <cell r="I25">
            <v>4.4999999999999997E-3</v>
          </cell>
          <cell r="J25">
            <v>4.4999999999999997E-3</v>
          </cell>
          <cell r="K25">
            <v>4.4999999999999997E-3</v>
          </cell>
          <cell r="L25">
            <v>4.4999999999999997E-3</v>
          </cell>
          <cell r="M25">
            <v>4.4999999999999997E-3</v>
          </cell>
          <cell r="N25">
            <v>4.4999999999999997E-3</v>
          </cell>
          <cell r="O25">
            <v>4.4999999999999997E-3</v>
          </cell>
          <cell r="P25">
            <v>4.4999999999999997E-3</v>
          </cell>
          <cell r="Q25">
            <v>4.4999999999999997E-3</v>
          </cell>
          <cell r="R25">
            <v>4.4999999999999997E-3</v>
          </cell>
          <cell r="S25">
            <v>4.4999999999999997E-3</v>
          </cell>
          <cell r="T25">
            <v>4.4999999999999997E-3</v>
          </cell>
          <cell r="U25">
            <v>3.2300000000000002E-2</v>
          </cell>
          <cell r="V25">
            <v>0</v>
          </cell>
          <cell r="W25">
            <v>0</v>
          </cell>
          <cell r="X25">
            <v>1.1000000000000001E-3</v>
          </cell>
          <cell r="Y25">
            <v>8.5000000000000006E-3</v>
          </cell>
          <cell r="Z25">
            <v>8.5000000000000006E-3</v>
          </cell>
          <cell r="AA25">
            <v>8.5000000000000006E-3</v>
          </cell>
          <cell r="AB25">
            <v>8.5000000000000006E-3</v>
          </cell>
          <cell r="AC25">
            <v>8.5000000000000006E-3</v>
          </cell>
          <cell r="AD25">
            <v>8.5000000000000006E-3</v>
          </cell>
          <cell r="AE25">
            <v>8.5000000000000006E-3</v>
          </cell>
        </row>
        <row r="26">
          <cell r="G26">
            <v>22</v>
          </cell>
          <cell r="H26">
            <v>4.4999999999999997E-3</v>
          </cell>
          <cell r="I26">
            <v>4.4999999999999997E-3</v>
          </cell>
          <cell r="J26">
            <v>4.4999999999999997E-3</v>
          </cell>
          <cell r="K26">
            <v>4.4999999999999997E-3</v>
          </cell>
          <cell r="L26">
            <v>4.4999999999999997E-3</v>
          </cell>
          <cell r="M26">
            <v>4.4999999999999997E-3</v>
          </cell>
          <cell r="N26">
            <v>4.4999999999999997E-3</v>
          </cell>
          <cell r="O26">
            <v>4.4999999999999997E-3</v>
          </cell>
          <cell r="P26">
            <v>4.4999999999999997E-3</v>
          </cell>
          <cell r="Q26">
            <v>4.4999999999999997E-3</v>
          </cell>
          <cell r="R26">
            <v>4.4999999999999997E-3</v>
          </cell>
          <cell r="S26">
            <v>4.4999999999999997E-3</v>
          </cell>
          <cell r="T26">
            <v>4.4999999999999997E-3</v>
          </cell>
          <cell r="U26">
            <v>4.4999999999999997E-3</v>
          </cell>
          <cell r="V26">
            <v>3.2300000000000002E-2</v>
          </cell>
          <cell r="W26">
            <v>0</v>
          </cell>
          <cell r="X26">
            <v>0</v>
          </cell>
          <cell r="Y26">
            <v>1.1000000000000001E-3</v>
          </cell>
          <cell r="Z26">
            <v>8.5000000000000006E-3</v>
          </cell>
          <cell r="AA26">
            <v>8.5000000000000006E-3</v>
          </cell>
          <cell r="AB26">
            <v>8.5000000000000006E-3</v>
          </cell>
          <cell r="AC26">
            <v>8.5000000000000006E-3</v>
          </cell>
          <cell r="AD26">
            <v>8.5000000000000006E-3</v>
          </cell>
          <cell r="AE26">
            <v>8.5000000000000006E-3</v>
          </cell>
        </row>
        <row r="27">
          <cell r="G27">
            <v>23</v>
          </cell>
          <cell r="H27">
            <v>4.4999999999999997E-3</v>
          </cell>
          <cell r="I27">
            <v>4.4999999999999997E-3</v>
          </cell>
          <cell r="J27">
            <v>4.4999999999999997E-3</v>
          </cell>
          <cell r="K27">
            <v>4.4999999999999997E-3</v>
          </cell>
          <cell r="L27">
            <v>4.4999999999999997E-3</v>
          </cell>
          <cell r="M27">
            <v>4.4999999999999997E-3</v>
          </cell>
          <cell r="N27">
            <v>4.4999999999999997E-3</v>
          </cell>
          <cell r="O27">
            <v>4.4999999999999997E-3</v>
          </cell>
          <cell r="P27">
            <v>4.4999999999999997E-3</v>
          </cell>
          <cell r="Q27">
            <v>4.4999999999999997E-3</v>
          </cell>
          <cell r="R27">
            <v>4.4999999999999997E-3</v>
          </cell>
          <cell r="S27">
            <v>4.4999999999999997E-3</v>
          </cell>
          <cell r="T27">
            <v>4.4999999999999997E-3</v>
          </cell>
          <cell r="U27">
            <v>4.4999999999999997E-3</v>
          </cell>
          <cell r="V27">
            <v>4.4999999999999997E-3</v>
          </cell>
          <cell r="W27">
            <v>3.2300000000000002E-2</v>
          </cell>
          <cell r="X27">
            <v>0</v>
          </cell>
          <cell r="Y27">
            <v>0</v>
          </cell>
          <cell r="Z27">
            <v>1.1000000000000001E-3</v>
          </cell>
          <cell r="AA27">
            <v>8.5000000000000006E-3</v>
          </cell>
          <cell r="AB27">
            <v>8.5000000000000006E-3</v>
          </cell>
          <cell r="AC27">
            <v>8.5000000000000006E-3</v>
          </cell>
          <cell r="AD27">
            <v>8.5000000000000006E-3</v>
          </cell>
          <cell r="AE27">
            <v>8.5000000000000006E-3</v>
          </cell>
        </row>
        <row r="28">
          <cell r="G28">
            <v>24</v>
          </cell>
          <cell r="H28">
            <v>4.4999999999999997E-3</v>
          </cell>
          <cell r="I28">
            <v>4.4999999999999997E-3</v>
          </cell>
          <cell r="J28">
            <v>4.4999999999999997E-3</v>
          </cell>
          <cell r="K28">
            <v>4.4999999999999997E-3</v>
          </cell>
          <cell r="L28">
            <v>4.4999999999999997E-3</v>
          </cell>
          <cell r="M28">
            <v>4.4999999999999997E-3</v>
          </cell>
          <cell r="N28">
            <v>4.4999999999999997E-3</v>
          </cell>
          <cell r="O28">
            <v>4.4999999999999997E-3</v>
          </cell>
          <cell r="P28">
            <v>4.4999999999999997E-3</v>
          </cell>
          <cell r="Q28">
            <v>4.4999999999999997E-3</v>
          </cell>
          <cell r="R28">
            <v>4.4999999999999997E-3</v>
          </cell>
          <cell r="S28">
            <v>4.4999999999999997E-3</v>
          </cell>
          <cell r="T28">
            <v>4.4999999999999997E-3</v>
          </cell>
          <cell r="U28">
            <v>4.4999999999999997E-3</v>
          </cell>
          <cell r="V28">
            <v>4.4999999999999997E-3</v>
          </cell>
          <cell r="W28">
            <v>4.4999999999999997E-3</v>
          </cell>
          <cell r="X28">
            <v>3.2300000000000002E-2</v>
          </cell>
          <cell r="Y28">
            <v>0</v>
          </cell>
          <cell r="Z28">
            <v>0</v>
          </cell>
          <cell r="AA28">
            <v>1.1000000000000001E-3</v>
          </cell>
          <cell r="AB28">
            <v>8.5000000000000006E-3</v>
          </cell>
          <cell r="AC28">
            <v>8.5000000000000006E-3</v>
          </cell>
          <cell r="AD28">
            <v>8.5000000000000006E-3</v>
          </cell>
          <cell r="AE28">
            <v>8.5000000000000006E-3</v>
          </cell>
        </row>
        <row r="29">
          <cell r="G29">
            <v>25</v>
          </cell>
          <cell r="H29">
            <v>4.4999999999999997E-3</v>
          </cell>
          <cell r="I29">
            <v>4.4999999999999997E-3</v>
          </cell>
          <cell r="J29">
            <v>4.4999999999999997E-3</v>
          </cell>
          <cell r="K29">
            <v>4.4999999999999997E-3</v>
          </cell>
          <cell r="L29">
            <v>4.4999999999999997E-3</v>
          </cell>
          <cell r="M29">
            <v>4.4999999999999997E-3</v>
          </cell>
          <cell r="N29">
            <v>4.4999999999999997E-3</v>
          </cell>
          <cell r="O29">
            <v>4.4999999999999997E-3</v>
          </cell>
          <cell r="P29">
            <v>4.4999999999999997E-3</v>
          </cell>
          <cell r="Q29">
            <v>4.4999999999999997E-3</v>
          </cell>
          <cell r="R29">
            <v>4.4999999999999997E-3</v>
          </cell>
          <cell r="S29">
            <v>4.4999999999999997E-3</v>
          </cell>
          <cell r="T29">
            <v>4.4999999999999997E-3</v>
          </cell>
          <cell r="U29">
            <v>4.4999999999999997E-3</v>
          </cell>
          <cell r="V29">
            <v>4.4999999999999997E-3</v>
          </cell>
          <cell r="W29">
            <v>4.4999999999999997E-3</v>
          </cell>
          <cell r="X29">
            <v>4.4999999999999997E-3</v>
          </cell>
          <cell r="Y29">
            <v>3.2300000000000002E-2</v>
          </cell>
          <cell r="Z29">
            <v>0</v>
          </cell>
          <cell r="AA29">
            <v>0</v>
          </cell>
          <cell r="AB29">
            <v>1.1000000000000001E-3</v>
          </cell>
          <cell r="AC29">
            <v>8.5000000000000006E-3</v>
          </cell>
          <cell r="AD29">
            <v>8.5000000000000006E-3</v>
          </cell>
          <cell r="AE29">
            <v>8.5000000000000006E-3</v>
          </cell>
        </row>
        <row r="30">
          <cell r="G30">
            <v>26</v>
          </cell>
          <cell r="H30">
            <v>4.4999999999999997E-3</v>
          </cell>
          <cell r="I30">
            <v>4.4999999999999997E-3</v>
          </cell>
          <cell r="J30">
            <v>4.4999999999999997E-3</v>
          </cell>
          <cell r="K30">
            <v>4.4999999999999997E-3</v>
          </cell>
          <cell r="L30">
            <v>4.4999999999999997E-3</v>
          </cell>
          <cell r="M30">
            <v>4.4999999999999997E-3</v>
          </cell>
          <cell r="N30">
            <v>4.4999999999999997E-3</v>
          </cell>
          <cell r="O30">
            <v>4.4999999999999997E-3</v>
          </cell>
          <cell r="P30">
            <v>4.4999999999999997E-3</v>
          </cell>
          <cell r="Q30">
            <v>4.4999999999999997E-3</v>
          </cell>
          <cell r="R30">
            <v>4.4999999999999997E-3</v>
          </cell>
          <cell r="S30">
            <v>4.4999999999999997E-3</v>
          </cell>
          <cell r="T30">
            <v>4.4999999999999997E-3</v>
          </cell>
          <cell r="U30">
            <v>4.4999999999999997E-3</v>
          </cell>
          <cell r="V30">
            <v>4.4999999999999997E-3</v>
          </cell>
          <cell r="W30">
            <v>4.4999999999999997E-3</v>
          </cell>
          <cell r="X30">
            <v>4.4999999999999997E-3</v>
          </cell>
          <cell r="Y30">
            <v>4.4999999999999997E-3</v>
          </cell>
          <cell r="Z30">
            <v>3.2300000000000002E-2</v>
          </cell>
          <cell r="AA30">
            <v>0</v>
          </cell>
          <cell r="AB30">
            <v>0</v>
          </cell>
          <cell r="AC30">
            <v>1.1000000000000001E-3</v>
          </cell>
          <cell r="AD30">
            <v>8.5000000000000006E-3</v>
          </cell>
          <cell r="AE30">
            <v>8.5000000000000006E-3</v>
          </cell>
        </row>
        <row r="31">
          <cell r="G31">
            <v>27</v>
          </cell>
          <cell r="H31">
            <v>4.4999999999999997E-3</v>
          </cell>
          <cell r="I31">
            <v>4.4999999999999997E-3</v>
          </cell>
          <cell r="J31">
            <v>4.4999999999999997E-3</v>
          </cell>
          <cell r="K31">
            <v>4.4999999999999997E-3</v>
          </cell>
          <cell r="L31">
            <v>4.4999999999999997E-3</v>
          </cell>
          <cell r="M31">
            <v>4.4999999999999997E-3</v>
          </cell>
          <cell r="N31">
            <v>4.4999999999999997E-3</v>
          </cell>
          <cell r="O31">
            <v>4.4999999999999997E-3</v>
          </cell>
          <cell r="P31">
            <v>4.4999999999999997E-3</v>
          </cell>
          <cell r="Q31">
            <v>4.4999999999999997E-3</v>
          </cell>
          <cell r="R31">
            <v>4.4999999999999997E-3</v>
          </cell>
          <cell r="S31">
            <v>4.4999999999999997E-3</v>
          </cell>
          <cell r="T31">
            <v>4.4999999999999997E-3</v>
          </cell>
          <cell r="U31">
            <v>4.4999999999999997E-3</v>
          </cell>
          <cell r="V31">
            <v>4.4999999999999997E-3</v>
          </cell>
          <cell r="W31">
            <v>4.4999999999999997E-3</v>
          </cell>
          <cell r="X31">
            <v>4.4999999999999997E-3</v>
          </cell>
          <cell r="Y31">
            <v>4.4999999999999997E-3</v>
          </cell>
          <cell r="Z31">
            <v>4.4999999999999997E-3</v>
          </cell>
          <cell r="AA31">
            <v>3.2300000000000002E-2</v>
          </cell>
          <cell r="AB31">
            <v>0</v>
          </cell>
          <cell r="AC31">
            <v>0</v>
          </cell>
          <cell r="AD31">
            <v>8.9999999999999998E-4</v>
          </cell>
          <cell r="AE31">
            <v>8.5000000000000006E-3</v>
          </cell>
        </row>
        <row r="32">
          <cell r="G32">
            <v>28</v>
          </cell>
          <cell r="H32">
            <v>4.4999999999999997E-3</v>
          </cell>
          <cell r="I32">
            <v>4.4999999999999997E-3</v>
          </cell>
          <cell r="J32">
            <v>4.4999999999999997E-3</v>
          </cell>
          <cell r="K32">
            <v>4.4999999999999997E-3</v>
          </cell>
          <cell r="L32">
            <v>4.4999999999999997E-3</v>
          </cell>
          <cell r="M32">
            <v>4.4999999999999997E-3</v>
          </cell>
          <cell r="N32">
            <v>4.4999999999999997E-3</v>
          </cell>
          <cell r="O32">
            <v>4.4999999999999997E-3</v>
          </cell>
          <cell r="P32">
            <v>4.4999999999999997E-3</v>
          </cell>
          <cell r="Q32">
            <v>4.4999999999999997E-3</v>
          </cell>
          <cell r="R32">
            <v>4.4999999999999997E-3</v>
          </cell>
          <cell r="S32">
            <v>4.4999999999999997E-3</v>
          </cell>
          <cell r="T32">
            <v>4.4999999999999997E-3</v>
          </cell>
          <cell r="U32">
            <v>4.4999999999999997E-3</v>
          </cell>
          <cell r="V32">
            <v>4.4999999999999997E-3</v>
          </cell>
          <cell r="W32">
            <v>4.4999999999999997E-3</v>
          </cell>
          <cell r="X32">
            <v>4.4999999999999997E-3</v>
          </cell>
          <cell r="Y32">
            <v>4.4999999999999997E-3</v>
          </cell>
          <cell r="Z32">
            <v>4.4999999999999997E-3</v>
          </cell>
          <cell r="AA32">
            <v>4.4999999999999997E-3</v>
          </cell>
          <cell r="AB32">
            <v>3.2300000000000002E-2</v>
          </cell>
          <cell r="AC32">
            <v>0</v>
          </cell>
          <cell r="AD32">
            <v>0</v>
          </cell>
          <cell r="AE32">
            <v>8.9999999999999998E-4</v>
          </cell>
        </row>
        <row r="33">
          <cell r="G33">
            <v>29</v>
          </cell>
          <cell r="H33">
            <v>4.4999999999999997E-3</v>
          </cell>
          <cell r="I33">
            <v>4.4999999999999997E-3</v>
          </cell>
          <cell r="J33">
            <v>4.4999999999999997E-3</v>
          </cell>
          <cell r="K33">
            <v>4.4999999999999997E-3</v>
          </cell>
          <cell r="L33">
            <v>4.4999999999999997E-3</v>
          </cell>
          <cell r="M33">
            <v>4.4999999999999997E-3</v>
          </cell>
          <cell r="N33">
            <v>4.4999999999999997E-3</v>
          </cell>
          <cell r="O33">
            <v>4.4999999999999997E-3</v>
          </cell>
          <cell r="P33">
            <v>4.4999999999999997E-3</v>
          </cell>
          <cell r="Q33">
            <v>4.4999999999999997E-3</v>
          </cell>
          <cell r="R33">
            <v>4.4999999999999997E-3</v>
          </cell>
          <cell r="S33">
            <v>4.4999999999999997E-3</v>
          </cell>
          <cell r="T33">
            <v>4.4999999999999997E-3</v>
          </cell>
          <cell r="U33">
            <v>4.4999999999999997E-3</v>
          </cell>
          <cell r="V33">
            <v>4.4999999999999997E-3</v>
          </cell>
          <cell r="W33">
            <v>4.4999999999999997E-3</v>
          </cell>
          <cell r="X33">
            <v>4.4999999999999997E-3</v>
          </cell>
          <cell r="Y33">
            <v>4.4999999999999997E-3</v>
          </cell>
          <cell r="Z33">
            <v>4.4999999999999997E-3</v>
          </cell>
          <cell r="AA33">
            <v>4.4999999999999997E-3</v>
          </cell>
          <cell r="AB33">
            <v>4.4999999999999997E-3</v>
          </cell>
          <cell r="AC33">
            <v>3.2300000000000002E-2</v>
          </cell>
          <cell r="AD33">
            <v>0</v>
          </cell>
          <cell r="AE33">
            <v>0</v>
          </cell>
        </row>
        <row r="34">
          <cell r="G34">
            <v>30</v>
          </cell>
          <cell r="H34">
            <v>4.4999999999999997E-3</v>
          </cell>
          <cell r="I34">
            <v>4.4999999999999997E-3</v>
          </cell>
          <cell r="J34">
            <v>4.4999999999999997E-3</v>
          </cell>
          <cell r="K34">
            <v>4.4999999999999997E-3</v>
          </cell>
          <cell r="L34">
            <v>4.4999999999999997E-3</v>
          </cell>
          <cell r="M34">
            <v>4.4999999999999997E-3</v>
          </cell>
          <cell r="N34">
            <v>4.4999999999999997E-3</v>
          </cell>
          <cell r="O34">
            <v>4.4999999999999997E-3</v>
          </cell>
          <cell r="P34">
            <v>4.4999999999999997E-3</v>
          </cell>
          <cell r="Q34">
            <v>4.4999999999999997E-3</v>
          </cell>
          <cell r="R34">
            <v>4.4999999999999997E-3</v>
          </cell>
          <cell r="S34">
            <v>4.4999999999999997E-3</v>
          </cell>
          <cell r="T34">
            <v>4.4999999999999997E-3</v>
          </cell>
          <cell r="U34">
            <v>4.4999999999999997E-3</v>
          </cell>
          <cell r="V34">
            <v>4.4999999999999997E-3</v>
          </cell>
          <cell r="W34">
            <v>4.4999999999999997E-3</v>
          </cell>
          <cell r="X34">
            <v>4.4999999999999997E-3</v>
          </cell>
          <cell r="Y34">
            <v>4.4999999999999997E-3</v>
          </cell>
          <cell r="Z34">
            <v>4.4999999999999997E-3</v>
          </cell>
          <cell r="AA34">
            <v>4.4999999999999997E-3</v>
          </cell>
          <cell r="AB34">
            <v>4.4999999999999997E-3</v>
          </cell>
          <cell r="AC34">
            <v>4.4999999999999997E-3</v>
          </cell>
          <cell r="AD34">
            <v>2.8899999999999999E-2</v>
          </cell>
          <cell r="AE34">
            <v>0</v>
          </cell>
        </row>
        <row r="35">
          <cell r="G35">
            <v>31</v>
          </cell>
          <cell r="H35">
            <v>4.4999999999999997E-3</v>
          </cell>
          <cell r="I35">
            <v>4.4999999999999997E-3</v>
          </cell>
          <cell r="J35">
            <v>4.4999999999999997E-3</v>
          </cell>
          <cell r="K35">
            <v>4.4999999999999997E-3</v>
          </cell>
          <cell r="L35">
            <v>4.4999999999999997E-3</v>
          </cell>
          <cell r="M35">
            <v>4.4999999999999997E-3</v>
          </cell>
          <cell r="N35">
            <v>4.4999999999999997E-3</v>
          </cell>
          <cell r="O35">
            <v>4.4999999999999997E-3</v>
          </cell>
          <cell r="P35">
            <v>4.4999999999999997E-3</v>
          </cell>
          <cell r="Q35">
            <v>4.4999999999999997E-3</v>
          </cell>
          <cell r="R35">
            <v>4.4999999999999997E-3</v>
          </cell>
          <cell r="S35">
            <v>4.4999999999999997E-3</v>
          </cell>
          <cell r="T35">
            <v>4.4999999999999997E-3</v>
          </cell>
          <cell r="U35">
            <v>4.4999999999999997E-3</v>
          </cell>
          <cell r="V35">
            <v>4.4999999999999997E-3</v>
          </cell>
          <cell r="W35">
            <v>4.4999999999999997E-3</v>
          </cell>
          <cell r="X35">
            <v>4.4999999999999997E-3</v>
          </cell>
          <cell r="Y35">
            <v>4.4999999999999997E-3</v>
          </cell>
          <cell r="Z35">
            <v>4.4999999999999997E-3</v>
          </cell>
          <cell r="AA35">
            <v>4.4999999999999997E-3</v>
          </cell>
          <cell r="AB35">
            <v>4.4999999999999997E-3</v>
          </cell>
          <cell r="AC35">
            <v>4.4999999999999997E-3</v>
          </cell>
          <cell r="AD35">
            <v>4.4999999999999997E-3</v>
          </cell>
          <cell r="AE35">
            <v>2.8899999999999999E-2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INPUT"/>
      <sheetName val="OUTPUT"/>
      <sheetName val="MAIN"/>
      <sheetName val="무해지"/>
      <sheetName val="유해지"/>
      <sheetName val="정기보험"/>
      <sheetName val="해지율"/>
      <sheetName val="위험률"/>
      <sheetName val="이름관리"/>
      <sheetName val="Sheet1"/>
      <sheetName val="TEST"/>
      <sheetName val="TEST1"/>
    </sheetNames>
    <sheetDataSet>
      <sheetData sheetId="0" refreshError="1"/>
      <sheetData sheetId="1" refreshError="1"/>
      <sheetData sheetId="2" refreshError="1"/>
      <sheetData sheetId="3">
        <row r="7">
          <cell r="I7" t="e">
            <v>#REF!</v>
          </cell>
        </row>
        <row r="13">
          <cell r="I13">
            <v>3.5000000000000003E-2</v>
          </cell>
        </row>
        <row r="16">
          <cell r="C16">
            <v>6</v>
          </cell>
        </row>
        <row r="44">
          <cell r="H44">
            <v>0</v>
          </cell>
        </row>
        <row r="45">
          <cell r="H45">
            <v>0</v>
          </cell>
        </row>
        <row r="49">
          <cell r="I49">
            <v>0</v>
          </cell>
        </row>
      </sheetData>
      <sheetData sheetId="4">
        <row r="34">
          <cell r="C34">
            <v>0.11381233513717202</v>
          </cell>
        </row>
      </sheetData>
      <sheetData sheetId="5">
        <row r="34">
          <cell r="C34">
            <v>0.15254248689350677</v>
          </cell>
        </row>
      </sheetData>
      <sheetData sheetId="6">
        <row r="6">
          <cell r="T6" t="str">
            <v>qx</v>
          </cell>
        </row>
      </sheetData>
      <sheetData sheetId="7">
        <row r="3">
          <cell r="G3" t="str">
            <v>k</v>
          </cell>
        </row>
      </sheetData>
      <sheetData sheetId="8">
        <row r="6">
          <cell r="B6" t="str">
            <v>X</v>
          </cell>
          <cell r="C6" t="str">
            <v>qx</v>
          </cell>
          <cell r="D6" t="str">
            <v>qx</v>
          </cell>
          <cell r="E6" t="str">
            <v>qx_d50%</v>
          </cell>
          <cell r="F6" t="str">
            <v>qx_d50%</v>
          </cell>
          <cell r="G6" t="str">
            <v>qx_a50%</v>
          </cell>
          <cell r="H6" t="str">
            <v>qx_a50%</v>
          </cell>
          <cell r="I6" t="str">
            <v>qx_50%</v>
          </cell>
          <cell r="J6" t="str">
            <v>qx_50%</v>
          </cell>
          <cell r="K6" t="str">
            <v>qx_amh</v>
          </cell>
          <cell r="L6" t="str">
            <v>qx_amh</v>
          </cell>
          <cell r="M6" t="str">
            <v>qx_ah</v>
          </cell>
          <cell r="N6" t="str">
            <v>qx_ah</v>
          </cell>
          <cell r="O6" t="str">
            <v>qx_jjah</v>
          </cell>
          <cell r="P6" t="str">
            <v>qx_jjah</v>
          </cell>
          <cell r="Q6" t="str">
            <v>qx_ggah</v>
          </cell>
          <cell r="R6" t="str">
            <v>qx_ggah</v>
          </cell>
          <cell r="S6" t="str">
            <v>qx_gtah</v>
          </cell>
          <cell r="T6" t="str">
            <v>qx_gtah</v>
          </cell>
          <cell r="U6" t="str">
            <v>qx_gsah</v>
          </cell>
          <cell r="V6" t="str">
            <v>qx_gsah</v>
          </cell>
          <cell r="W6" t="str">
            <v>qx_djah</v>
          </cell>
          <cell r="X6" t="str">
            <v>qx_djah</v>
          </cell>
          <cell r="Y6" t="str">
            <v>qx_bbah</v>
          </cell>
          <cell r="Z6" t="str">
            <v>qx_bbah</v>
          </cell>
          <cell r="AA6" t="str">
            <v>qx_jhs</v>
          </cell>
          <cell r="AB6" t="str">
            <v>qx_jhs</v>
          </cell>
          <cell r="AC6" t="str">
            <v>qx_ib</v>
          </cell>
          <cell r="AD6" t="str">
            <v>qx_ib</v>
          </cell>
          <cell r="AE6" t="str">
            <v>qx_gscr</v>
          </cell>
          <cell r="AF6" t="str">
            <v>qx_gscr</v>
          </cell>
          <cell r="AG6" t="str">
            <v>qx_csjh</v>
          </cell>
          <cell r="AH6" t="str">
            <v>qx_csjh</v>
          </cell>
          <cell r="AI6" t="str">
            <v>qx_jhgj</v>
          </cell>
          <cell r="AJ6" t="str">
            <v>qx_jhgj</v>
          </cell>
          <cell r="AK6" t="str">
            <v>qx_jh5g</v>
          </cell>
          <cell r="AL6" t="str">
            <v>qx_jh5g</v>
          </cell>
          <cell r="AM6" t="str">
            <v>qx_4dss</v>
          </cell>
          <cell r="AN6" t="str">
            <v>qx_4dss</v>
          </cell>
          <cell r="AO6" t="str">
            <v>qx_3dss</v>
          </cell>
          <cell r="AP6" t="str">
            <v>qx_3dss</v>
          </cell>
        </row>
        <row r="7">
          <cell r="B7">
            <v>0</v>
          </cell>
          <cell r="C7">
            <v>3.3800000000000002E-3</v>
          </cell>
          <cell r="D7">
            <v>2.8999999999999998E-3</v>
          </cell>
          <cell r="E7">
            <v>1.76E-4</v>
          </cell>
          <cell r="F7">
            <v>1.3799999999999999E-4</v>
          </cell>
          <cell r="G7">
            <v>1.2E-5</v>
          </cell>
          <cell r="H7">
            <v>5.0000000000000004E-6</v>
          </cell>
          <cell r="I7">
            <v>1.8799999999999999E-4</v>
          </cell>
          <cell r="J7">
            <v>1.4300000000000001E-4</v>
          </cell>
          <cell r="K7">
            <v>3.7753000000000002E-2</v>
          </cell>
          <cell r="L7">
            <v>1.8176000000000001E-2</v>
          </cell>
          <cell r="M7">
            <v>3.7753000000000002E-2</v>
          </cell>
          <cell r="N7">
            <v>1.8176000000000001E-2</v>
          </cell>
          <cell r="O7">
            <v>0</v>
          </cell>
          <cell r="P7">
            <v>0</v>
          </cell>
          <cell r="Q7">
            <v>1.818E-3</v>
          </cell>
          <cell r="R7">
            <v>1.4090000000000001E-3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6.4999999999999994E-5</v>
          </cell>
          <cell r="AB7">
            <v>1.5999999999999999E-5</v>
          </cell>
          <cell r="AC7">
            <v>3.7378999999999998</v>
          </cell>
          <cell r="AD7">
            <v>2.9372590000000001</v>
          </cell>
          <cell r="AE7">
            <v>4.2940000000000001E-3</v>
          </cell>
          <cell r="AF7">
            <v>3.5249999999999999E-3</v>
          </cell>
          <cell r="AG7">
            <v>1.9400000000000001E-5</v>
          </cell>
          <cell r="AH7">
            <v>6.800000000000001E-6</v>
          </cell>
          <cell r="AI7">
            <v>4.3030000000000004E-3</v>
          </cell>
          <cell r="AJ7">
            <v>4.0109999999999998E-3</v>
          </cell>
          <cell r="AK7">
            <v>1.5120000000000001E-3</v>
          </cell>
          <cell r="AL7">
            <v>1.134E-3</v>
          </cell>
        </row>
        <row r="8">
          <cell r="B8">
            <v>1</v>
          </cell>
          <cell r="C8">
            <v>2.7999999999999998E-4</v>
          </cell>
          <cell r="D8">
            <v>2.5000000000000001E-4</v>
          </cell>
          <cell r="E8">
            <v>5.7000000000000003E-5</v>
          </cell>
          <cell r="F8">
            <v>3.1000000000000001E-5</v>
          </cell>
          <cell r="G8">
            <v>1.2E-5</v>
          </cell>
          <cell r="H8">
            <v>5.0000000000000004E-6</v>
          </cell>
          <cell r="I8">
            <v>6.8999999999999997E-5</v>
          </cell>
          <cell r="J8">
            <v>3.6000000000000001E-5</v>
          </cell>
          <cell r="K8">
            <v>3.9189000000000002E-2</v>
          </cell>
          <cell r="L8">
            <v>2.0518000000000002E-2</v>
          </cell>
          <cell r="M8">
            <v>3.9182000000000002E-2</v>
          </cell>
          <cell r="N8">
            <v>2.0518000000000002E-2</v>
          </cell>
          <cell r="O8">
            <v>0</v>
          </cell>
          <cell r="P8">
            <v>0</v>
          </cell>
          <cell r="Q8">
            <v>1.83E-3</v>
          </cell>
          <cell r="R8">
            <v>1.2819999999999999E-3</v>
          </cell>
          <cell r="S8">
            <v>5.0000000000000004E-6</v>
          </cell>
          <cell r="T8">
            <v>0</v>
          </cell>
          <cell r="U8">
            <v>1.9999999999999999E-6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6.6000000000000005E-5</v>
          </cell>
          <cell r="AB8">
            <v>2.5999999999999998E-5</v>
          </cell>
          <cell r="AC8">
            <v>3.1921379999999999</v>
          </cell>
          <cell r="AD8">
            <v>2.6391100000000001</v>
          </cell>
          <cell r="AE8">
            <v>7.6210000000000002E-3</v>
          </cell>
          <cell r="AF8">
            <v>5.5069999999999997E-3</v>
          </cell>
          <cell r="AG8">
            <v>1.9400000000000001E-5</v>
          </cell>
          <cell r="AH8">
            <v>6.800000000000001E-6</v>
          </cell>
          <cell r="AI8">
            <v>8.0289999999999997E-3</v>
          </cell>
          <cell r="AJ8">
            <v>7.352E-3</v>
          </cell>
          <cell r="AK8">
            <v>1.3179999999999999E-3</v>
          </cell>
          <cell r="AL8">
            <v>1.0369999999999999E-3</v>
          </cell>
        </row>
        <row r="9">
          <cell r="B9">
            <v>2</v>
          </cell>
          <cell r="C9">
            <v>2.1000000000000001E-4</v>
          </cell>
          <cell r="D9">
            <v>1.7000000000000001E-4</v>
          </cell>
          <cell r="E9">
            <v>5.5000000000000002E-5</v>
          </cell>
          <cell r="F9">
            <v>3.0000000000000001E-5</v>
          </cell>
          <cell r="G9">
            <v>1.2E-5</v>
          </cell>
          <cell r="H9">
            <v>5.0000000000000004E-6</v>
          </cell>
          <cell r="I9">
            <v>6.7000000000000002E-5</v>
          </cell>
          <cell r="J9">
            <v>3.5000000000000004E-5</v>
          </cell>
          <cell r="K9">
            <v>4.0625000000000001E-2</v>
          </cell>
          <cell r="L9">
            <v>2.2860999999999999E-2</v>
          </cell>
          <cell r="M9">
            <v>4.0611000000000001E-2</v>
          </cell>
          <cell r="N9">
            <v>2.2860999999999999E-2</v>
          </cell>
          <cell r="O9">
            <v>0</v>
          </cell>
          <cell r="P9">
            <v>0</v>
          </cell>
          <cell r="Q9">
            <v>1.8420000000000001E-3</v>
          </cell>
          <cell r="R9">
            <v>1.1559999999999999E-3</v>
          </cell>
          <cell r="S9">
            <v>9.0000000000000002E-6</v>
          </cell>
          <cell r="T9">
            <v>0</v>
          </cell>
          <cell r="U9">
            <v>5.0000000000000004E-6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6.6000000000000005E-5</v>
          </cell>
          <cell r="AB9">
            <v>3.3000000000000003E-5</v>
          </cell>
          <cell r="AC9">
            <v>2.6463749999999999</v>
          </cell>
          <cell r="AD9">
            <v>2.3409620000000002</v>
          </cell>
          <cell r="AE9">
            <v>1.0973E-2</v>
          </cell>
          <cell r="AF9">
            <v>7.3860000000000002E-3</v>
          </cell>
          <cell r="AG9">
            <v>1.9400000000000001E-5</v>
          </cell>
          <cell r="AH9">
            <v>6.800000000000001E-6</v>
          </cell>
          <cell r="AI9">
            <v>1.1768000000000001E-2</v>
          </cell>
          <cell r="AJ9">
            <v>1.0465E-2</v>
          </cell>
          <cell r="AK9">
            <v>1.158E-3</v>
          </cell>
          <cell r="AL9">
            <v>9.4799999999999995E-4</v>
          </cell>
        </row>
        <row r="10">
          <cell r="B10">
            <v>3</v>
          </cell>
          <cell r="C10">
            <v>1.4999999999999999E-4</v>
          </cell>
          <cell r="D10">
            <v>1.2E-4</v>
          </cell>
          <cell r="E10">
            <v>5.1E-5</v>
          </cell>
          <cell r="F10">
            <v>2.8E-5</v>
          </cell>
          <cell r="G10">
            <v>1.2E-5</v>
          </cell>
          <cell r="H10">
            <v>5.0000000000000004E-6</v>
          </cell>
          <cell r="I10">
            <v>6.3E-5</v>
          </cell>
          <cell r="J10">
            <v>3.3000000000000003E-5</v>
          </cell>
          <cell r="K10">
            <v>4.0126000000000002E-2</v>
          </cell>
          <cell r="L10">
            <v>2.3112000000000001E-2</v>
          </cell>
          <cell r="M10">
            <v>4.0103E-2</v>
          </cell>
          <cell r="N10">
            <v>2.3112000000000001E-2</v>
          </cell>
          <cell r="O10">
            <v>0</v>
          </cell>
          <cell r="P10">
            <v>0</v>
          </cell>
          <cell r="Q10">
            <v>1.722E-3</v>
          </cell>
          <cell r="R10">
            <v>1.0820000000000001E-3</v>
          </cell>
          <cell r="S10">
            <v>1.4E-5</v>
          </cell>
          <cell r="T10">
            <v>0</v>
          </cell>
          <cell r="U10">
            <v>9.0000000000000002E-6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6.2000000000000003E-5</v>
          </cell>
          <cell r="AB10">
            <v>3.6000000000000001E-5</v>
          </cell>
          <cell r="AC10">
            <v>2.1942569999999999</v>
          </cell>
          <cell r="AD10">
            <v>2.0264769999999999</v>
          </cell>
          <cell r="AE10">
            <v>1.4333E-2</v>
          </cell>
          <cell r="AF10">
            <v>9.1439999999999994E-3</v>
          </cell>
          <cell r="AG10">
            <v>1.9400000000000001E-5</v>
          </cell>
          <cell r="AH10">
            <v>6.800000000000001E-6</v>
          </cell>
          <cell r="AI10">
            <v>1.5429E-2</v>
          </cell>
          <cell r="AJ10">
            <v>1.3269E-2</v>
          </cell>
          <cell r="AK10">
            <v>1.0460000000000001E-3</v>
          </cell>
          <cell r="AL10">
            <v>8.7000000000000001E-4</v>
          </cell>
        </row>
        <row r="11">
          <cell r="B11">
            <v>4</v>
          </cell>
          <cell r="C11">
            <v>1.3999999999999999E-4</v>
          </cell>
          <cell r="D11">
            <v>1.1E-4</v>
          </cell>
          <cell r="E11">
            <v>4.8000000000000001E-5</v>
          </cell>
          <cell r="F11">
            <v>2.6999999999999999E-5</v>
          </cell>
          <cell r="G11">
            <v>1.2E-5</v>
          </cell>
          <cell r="H11">
            <v>5.0000000000000004E-6</v>
          </cell>
          <cell r="I11">
            <v>6.0000000000000002E-5</v>
          </cell>
          <cell r="J11">
            <v>3.1999999999999999E-5</v>
          </cell>
          <cell r="K11">
            <v>3.7691000000000002E-2</v>
          </cell>
          <cell r="L11">
            <v>2.1271000000000002E-2</v>
          </cell>
          <cell r="M11">
            <v>3.7657000000000003E-2</v>
          </cell>
          <cell r="N11">
            <v>2.1270000000000001E-2</v>
          </cell>
          <cell r="O11">
            <v>0</v>
          </cell>
          <cell r="P11">
            <v>0</v>
          </cell>
          <cell r="Q11">
            <v>1.4679999999999999E-3</v>
          </cell>
          <cell r="R11">
            <v>1.06E-3</v>
          </cell>
          <cell r="S11">
            <v>1.8E-5</v>
          </cell>
          <cell r="T11">
            <v>0</v>
          </cell>
          <cell r="U11">
            <v>1.5999999999999999E-5</v>
          </cell>
          <cell r="V11">
            <v>9.9999999999999995E-7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5.3999999999999998E-5</v>
          </cell>
          <cell r="AB11">
            <v>3.3000000000000003E-5</v>
          </cell>
          <cell r="AC11">
            <v>1.8357829999999999</v>
          </cell>
          <cell r="AD11">
            <v>1.695657</v>
          </cell>
          <cell r="AE11">
            <v>1.7704999999999999E-2</v>
          </cell>
          <cell r="AF11">
            <v>1.0768E-2</v>
          </cell>
          <cell r="AG11">
            <v>1.9400000000000001E-5</v>
          </cell>
          <cell r="AH11">
            <v>6.800000000000001E-6</v>
          </cell>
          <cell r="AI11">
            <v>1.9015000000000001E-2</v>
          </cell>
          <cell r="AJ11">
            <v>1.5740000000000001E-2</v>
          </cell>
          <cell r="AK11">
            <v>9.8400000000000007E-4</v>
          </cell>
          <cell r="AL11">
            <v>8.0400000000000003E-4</v>
          </cell>
        </row>
        <row r="12">
          <cell r="B12">
            <v>5</v>
          </cell>
          <cell r="C12">
            <v>1.2999999999999999E-4</v>
          </cell>
          <cell r="D12">
            <v>9.0000000000000006E-5</v>
          </cell>
          <cell r="E12">
            <v>4.3999999999999999E-5</v>
          </cell>
          <cell r="F12">
            <v>2.5000000000000001E-5</v>
          </cell>
          <cell r="G12">
            <v>1.2E-5</v>
          </cell>
          <cell r="H12">
            <v>5.0000000000000004E-6</v>
          </cell>
          <cell r="I12">
            <v>5.5999999999999999E-5</v>
          </cell>
          <cell r="J12">
            <v>3.0000000000000001E-5</v>
          </cell>
          <cell r="K12">
            <v>3.5256000000000003E-2</v>
          </cell>
          <cell r="L12">
            <v>1.9431E-2</v>
          </cell>
          <cell r="M12">
            <v>3.5209999999999998E-2</v>
          </cell>
          <cell r="N12">
            <v>1.9429999999999999E-2</v>
          </cell>
          <cell r="O12">
            <v>0</v>
          </cell>
          <cell r="P12">
            <v>0</v>
          </cell>
          <cell r="Q12">
            <v>1.2149999999999999E-3</v>
          </cell>
          <cell r="R12">
            <v>1.0380000000000001E-3</v>
          </cell>
          <cell r="S12">
            <v>2.3E-5</v>
          </cell>
          <cell r="T12">
            <v>0</v>
          </cell>
          <cell r="U12">
            <v>2.3E-5</v>
          </cell>
          <cell r="V12">
            <v>9.9999999999999995E-7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4.5000000000000003E-5</v>
          </cell>
          <cell r="AB12">
            <v>2.6999999999999999E-5</v>
          </cell>
          <cell r="AC12">
            <v>1.4773099999999999</v>
          </cell>
          <cell r="AD12">
            <v>1.3648359999999999</v>
          </cell>
          <cell r="AE12">
            <v>2.1144E-2</v>
          </cell>
          <cell r="AF12">
            <v>1.2215E-2</v>
          </cell>
          <cell r="AG12">
            <v>1.9400000000000001E-5</v>
          </cell>
          <cell r="AH12">
            <v>6.800000000000001E-6</v>
          </cell>
          <cell r="AI12">
            <v>2.2745000000000001E-2</v>
          </cell>
          <cell r="AJ12">
            <v>1.7878999999999999E-2</v>
          </cell>
          <cell r="AK12">
            <v>9.7599999999999998E-4</v>
          </cell>
          <cell r="AL12">
            <v>7.5299999999999998E-4</v>
          </cell>
        </row>
        <row r="13">
          <cell r="B13">
            <v>6</v>
          </cell>
          <cell r="C13">
            <v>1.1E-4</v>
          </cell>
          <cell r="D13">
            <v>6.9999999999999994E-5</v>
          </cell>
          <cell r="E13">
            <v>4.1E-5</v>
          </cell>
          <cell r="F13">
            <v>2.3E-5</v>
          </cell>
          <cell r="G13">
            <v>1.2E-5</v>
          </cell>
          <cell r="H13">
            <v>5.0000000000000004E-6</v>
          </cell>
          <cell r="I13">
            <v>5.3000000000000001E-5</v>
          </cell>
          <cell r="J13">
            <v>2.8E-5</v>
          </cell>
          <cell r="K13">
            <v>3.2820000000000002E-2</v>
          </cell>
          <cell r="L13">
            <v>1.7590000000000001E-2</v>
          </cell>
          <cell r="M13">
            <v>3.2764999999999996E-2</v>
          </cell>
          <cell r="N13">
            <v>1.7587000000000002E-2</v>
          </cell>
          <cell r="O13">
            <v>0</v>
          </cell>
          <cell r="P13">
            <v>1.9999999999999999E-6</v>
          </cell>
          <cell r="Q13">
            <v>9.6199999999999996E-4</v>
          </cell>
          <cell r="R13">
            <v>1.016E-3</v>
          </cell>
          <cell r="S13">
            <v>2.4000000000000001E-5</v>
          </cell>
          <cell r="T13">
            <v>1.9999999999999999E-6</v>
          </cell>
          <cell r="U13">
            <v>3.0000000000000001E-5</v>
          </cell>
          <cell r="V13">
            <v>9.9999999999999995E-7</v>
          </cell>
          <cell r="W13">
            <v>0</v>
          </cell>
          <cell r="X13">
            <v>0</v>
          </cell>
          <cell r="Y13">
            <v>9.9999999999999995E-7</v>
          </cell>
          <cell r="Z13">
            <v>0</v>
          </cell>
          <cell r="AA13">
            <v>3.4999999999999997E-5</v>
          </cell>
          <cell r="AB13">
            <v>2.0000000000000002E-5</v>
          </cell>
          <cell r="AC13">
            <v>1.1188359999999999</v>
          </cell>
          <cell r="AD13">
            <v>1.034016</v>
          </cell>
          <cell r="AE13">
            <v>2.4743000000000001E-2</v>
          </cell>
          <cell r="AF13">
            <v>1.3410999999999999E-2</v>
          </cell>
          <cell r="AG13">
            <v>1.9400000000000001E-5</v>
          </cell>
          <cell r="AH13">
            <v>6.800000000000001E-6</v>
          </cell>
          <cell r="AI13">
            <v>2.6984999999999999E-2</v>
          </cell>
          <cell r="AJ13">
            <v>1.9694E-2</v>
          </cell>
          <cell r="AK13">
            <v>1.0269999999999999E-3</v>
          </cell>
          <cell r="AL13">
            <v>7.2199999999999999E-4</v>
          </cell>
        </row>
        <row r="14">
          <cell r="B14">
            <v>7</v>
          </cell>
          <cell r="C14">
            <v>1.1E-4</v>
          </cell>
          <cell r="D14">
            <v>6.0000000000000002E-5</v>
          </cell>
          <cell r="E14">
            <v>3.8000000000000002E-5</v>
          </cell>
          <cell r="F14">
            <v>2.1999999999999999E-5</v>
          </cell>
          <cell r="G14">
            <v>1.2E-5</v>
          </cell>
          <cell r="H14">
            <v>5.0000000000000004E-6</v>
          </cell>
          <cell r="I14">
            <v>5.0000000000000002E-5</v>
          </cell>
          <cell r="J14">
            <v>2.6999999999999999E-5</v>
          </cell>
          <cell r="K14">
            <v>3.0384999999999999E-2</v>
          </cell>
          <cell r="L14">
            <v>1.575E-2</v>
          </cell>
          <cell r="M14">
            <v>3.032E-2</v>
          </cell>
          <cell r="N14">
            <v>1.5745000000000002E-2</v>
          </cell>
          <cell r="O14">
            <v>0</v>
          </cell>
          <cell r="P14">
            <v>3.0000000000000001E-6</v>
          </cell>
          <cell r="Q14">
            <v>7.0899999999999999E-4</v>
          </cell>
          <cell r="R14">
            <v>9.9400000000000009E-4</v>
          </cell>
          <cell r="S14">
            <v>2.5000000000000001E-5</v>
          </cell>
          <cell r="T14">
            <v>3.0000000000000001E-6</v>
          </cell>
          <cell r="U14">
            <v>3.6999999999999998E-5</v>
          </cell>
          <cell r="V14">
            <v>1.9999999999999999E-6</v>
          </cell>
          <cell r="W14">
            <v>9.9999999999999995E-7</v>
          </cell>
          <cell r="X14">
            <v>0</v>
          </cell>
          <cell r="Y14">
            <v>1.9999999999999999E-6</v>
          </cell>
          <cell r="Z14">
            <v>0</v>
          </cell>
          <cell r="AA14">
            <v>2.6999999999999999E-5</v>
          </cell>
          <cell r="AB14">
            <v>1.5E-5</v>
          </cell>
          <cell r="AC14">
            <v>0.76036199999999998</v>
          </cell>
          <cell r="AD14">
            <v>0.70319600000000004</v>
          </cell>
          <cell r="AE14">
            <v>2.8584999999999999E-2</v>
          </cell>
          <cell r="AF14">
            <v>1.4291E-2</v>
          </cell>
          <cell r="AG14">
            <v>1.9400000000000001E-5</v>
          </cell>
          <cell r="AH14">
            <v>6.800000000000001E-6</v>
          </cell>
          <cell r="AI14">
            <v>3.2072000000000003E-2</v>
          </cell>
          <cell r="AJ14">
            <v>2.1197000000000001E-2</v>
          </cell>
          <cell r="AK14">
            <v>1.14E-3</v>
          </cell>
          <cell r="AL14">
            <v>7.18E-4</v>
          </cell>
        </row>
        <row r="15">
          <cell r="B15">
            <v>8</v>
          </cell>
          <cell r="C15">
            <v>8.0000000000000007E-5</v>
          </cell>
          <cell r="D15">
            <v>6.0000000000000002E-5</v>
          </cell>
          <cell r="E15">
            <v>3.4999999999999997E-5</v>
          </cell>
          <cell r="F15">
            <v>2.0999999999999999E-5</v>
          </cell>
          <cell r="G15">
            <v>1.2E-5</v>
          </cell>
          <cell r="H15">
            <v>5.0000000000000004E-6</v>
          </cell>
          <cell r="I15">
            <v>4.6999999999999997E-5</v>
          </cell>
          <cell r="J15">
            <v>2.5999999999999998E-5</v>
          </cell>
          <cell r="K15">
            <v>2.8504999999999999E-2</v>
          </cell>
          <cell r="L15">
            <v>1.5786999999999999E-2</v>
          </cell>
          <cell r="M15">
            <v>2.8399999999999998E-2</v>
          </cell>
          <cell r="N15">
            <v>1.5753999999999997E-2</v>
          </cell>
          <cell r="O15">
            <v>0</v>
          </cell>
          <cell r="P15">
            <v>5.0000000000000004E-6</v>
          </cell>
          <cell r="Q15">
            <v>7.5299999999999998E-4</v>
          </cell>
          <cell r="R15">
            <v>1.016E-3</v>
          </cell>
          <cell r="S15">
            <v>2.6999999999999999E-5</v>
          </cell>
          <cell r="T15">
            <v>5.0000000000000004E-6</v>
          </cell>
          <cell r="U15">
            <v>7.3999999999999996E-5</v>
          </cell>
          <cell r="V15">
            <v>2.8E-5</v>
          </cell>
          <cell r="W15">
            <v>9.9999999999999995E-7</v>
          </cell>
          <cell r="X15">
            <v>0</v>
          </cell>
          <cell r="Y15">
            <v>3.0000000000000001E-6</v>
          </cell>
          <cell r="Z15">
            <v>0</v>
          </cell>
          <cell r="AA15">
            <v>2.0999999999999999E-5</v>
          </cell>
          <cell r="AB15">
            <v>1.2E-5</v>
          </cell>
          <cell r="AC15">
            <v>0.71259399999999995</v>
          </cell>
          <cell r="AD15">
            <v>0.64469900000000002</v>
          </cell>
          <cell r="AE15">
            <v>3.2966000000000002E-2</v>
          </cell>
          <cell r="AF15">
            <v>1.4866000000000001E-2</v>
          </cell>
          <cell r="AG15">
            <v>1.9400000000000001E-5</v>
          </cell>
          <cell r="AH15">
            <v>6.800000000000001E-6</v>
          </cell>
          <cell r="AI15">
            <v>3.8545999999999997E-2</v>
          </cell>
          <cell r="AJ15">
            <v>2.2484000000000001E-2</v>
          </cell>
          <cell r="AK15">
            <v>1.3240000000000001E-3</v>
          </cell>
          <cell r="AL15">
            <v>7.45E-4</v>
          </cell>
        </row>
        <row r="16">
          <cell r="B16">
            <v>9</v>
          </cell>
          <cell r="C16">
            <v>8.0000000000000007E-5</v>
          </cell>
          <cell r="D16">
            <v>6.0000000000000002E-5</v>
          </cell>
          <cell r="E16">
            <v>3.1000000000000001E-5</v>
          </cell>
          <cell r="F16">
            <v>2.0000000000000002E-5</v>
          </cell>
          <cell r="G16">
            <v>1.2E-5</v>
          </cell>
          <cell r="H16">
            <v>5.0000000000000004E-6</v>
          </cell>
          <cell r="I16">
            <v>4.3000000000000002E-5</v>
          </cell>
          <cell r="J16">
            <v>2.5000000000000001E-5</v>
          </cell>
          <cell r="K16">
            <v>2.6626E-2</v>
          </cell>
          <cell r="L16">
            <v>1.5824000000000001E-2</v>
          </cell>
          <cell r="M16">
            <v>2.6481999999999999E-2</v>
          </cell>
          <cell r="N16">
            <v>1.5764E-2</v>
          </cell>
          <cell r="O16">
            <v>0</v>
          </cell>
          <cell r="P16">
            <v>6.0000000000000002E-6</v>
          </cell>
          <cell r="Q16">
            <v>7.9699999999999997E-4</v>
          </cell>
          <cell r="R16">
            <v>1.039E-3</v>
          </cell>
          <cell r="S16">
            <v>2.8E-5</v>
          </cell>
          <cell r="T16">
            <v>6.0000000000000002E-6</v>
          </cell>
          <cell r="U16">
            <v>1.11E-4</v>
          </cell>
          <cell r="V16">
            <v>5.3000000000000001E-5</v>
          </cell>
          <cell r="W16">
            <v>9.9999999999999995E-7</v>
          </cell>
          <cell r="X16">
            <v>9.9999999999999995E-7</v>
          </cell>
          <cell r="Y16">
            <v>3.9999999999999998E-6</v>
          </cell>
          <cell r="Z16">
            <v>0</v>
          </cell>
          <cell r="AA16">
            <v>1.7E-5</v>
          </cell>
          <cell r="AB16">
            <v>1.2E-5</v>
          </cell>
          <cell r="AC16">
            <v>0.66482600000000003</v>
          </cell>
          <cell r="AD16">
            <v>0.586202</v>
          </cell>
          <cell r="AE16">
            <v>3.7837999999999997E-2</v>
          </cell>
          <cell r="AF16">
            <v>1.5178000000000001E-2</v>
          </cell>
          <cell r="AG16">
            <v>1.9400000000000001E-5</v>
          </cell>
          <cell r="AH16">
            <v>6.800000000000001E-6</v>
          </cell>
          <cell r="AI16">
            <v>4.6254000000000003E-2</v>
          </cell>
          <cell r="AJ16">
            <v>2.3581000000000001E-2</v>
          </cell>
          <cell r="AK16">
            <v>1.572E-3</v>
          </cell>
          <cell r="AL16">
            <v>7.9900000000000001E-4</v>
          </cell>
        </row>
        <row r="17">
          <cell r="B17">
            <v>10</v>
          </cell>
          <cell r="C17">
            <v>8.0000000000000007E-5</v>
          </cell>
          <cell r="D17">
            <v>5.0000000000000002E-5</v>
          </cell>
          <cell r="E17">
            <v>2.6999999999999999E-5</v>
          </cell>
          <cell r="F17">
            <v>1.8E-5</v>
          </cell>
          <cell r="G17">
            <v>1.2E-5</v>
          </cell>
          <cell r="H17">
            <v>5.0000000000000004E-6</v>
          </cell>
          <cell r="I17">
            <v>3.8999999999999999E-5</v>
          </cell>
          <cell r="J17">
            <v>2.3E-5</v>
          </cell>
          <cell r="K17">
            <v>2.4746000000000001E-2</v>
          </cell>
          <cell r="L17">
            <v>1.5859999999999999E-2</v>
          </cell>
          <cell r="M17">
            <v>2.4562E-2</v>
          </cell>
          <cell r="N17">
            <v>1.5771999999999998E-2</v>
          </cell>
          <cell r="O17">
            <v>9.9999999999999995E-7</v>
          </cell>
          <cell r="P17">
            <v>7.9999999999999996E-6</v>
          </cell>
          <cell r="Q17">
            <v>8.4099999999999995E-4</v>
          </cell>
          <cell r="R17">
            <v>1.062E-3</v>
          </cell>
          <cell r="S17">
            <v>3.0000000000000001E-5</v>
          </cell>
          <cell r="T17">
            <v>7.9999999999999996E-6</v>
          </cell>
          <cell r="U17">
            <v>1.4799999999999999E-4</v>
          </cell>
          <cell r="V17">
            <v>7.8999999999999996E-5</v>
          </cell>
          <cell r="W17">
            <v>9.9999999999999995E-7</v>
          </cell>
          <cell r="X17">
            <v>9.9999999999999995E-7</v>
          </cell>
          <cell r="Y17">
            <v>5.0000000000000004E-6</v>
          </cell>
          <cell r="Z17">
            <v>0</v>
          </cell>
          <cell r="AA17">
            <v>1.5E-5</v>
          </cell>
          <cell r="AB17">
            <v>1.2999999999999999E-5</v>
          </cell>
          <cell r="AC17">
            <v>0.61705699999999997</v>
          </cell>
          <cell r="AD17">
            <v>0.52770600000000001</v>
          </cell>
          <cell r="AE17">
            <v>4.2521000000000003E-2</v>
          </cell>
          <cell r="AF17">
            <v>1.525E-2</v>
          </cell>
          <cell r="AG17">
            <v>1.9400000000000001E-5</v>
          </cell>
          <cell r="AH17">
            <v>6.800000000000001E-6</v>
          </cell>
          <cell r="AI17">
            <v>5.3946000000000001E-2</v>
          </cell>
          <cell r="AJ17">
            <v>2.4372000000000001E-2</v>
          </cell>
          <cell r="AK17">
            <v>1.8489999999999999E-3</v>
          </cell>
          <cell r="AL17">
            <v>8.6600000000000002E-4</v>
          </cell>
        </row>
        <row r="18">
          <cell r="B18">
            <v>11</v>
          </cell>
          <cell r="C18">
            <v>8.0000000000000007E-5</v>
          </cell>
          <cell r="D18">
            <v>6.0000000000000002E-5</v>
          </cell>
          <cell r="E18">
            <v>2.6999999999999999E-5</v>
          </cell>
          <cell r="F18">
            <v>1.7E-5</v>
          </cell>
          <cell r="G18">
            <v>1.2E-5</v>
          </cell>
          <cell r="H18">
            <v>5.0000000000000004E-6</v>
          </cell>
          <cell r="I18">
            <v>3.8999999999999999E-5</v>
          </cell>
          <cell r="J18">
            <v>2.1999999999999999E-5</v>
          </cell>
          <cell r="K18">
            <v>2.2866000000000001E-2</v>
          </cell>
          <cell r="L18">
            <v>1.5897000000000001E-2</v>
          </cell>
          <cell r="M18">
            <v>2.2642000000000002E-2</v>
          </cell>
          <cell r="N18">
            <v>1.5781E-2</v>
          </cell>
          <cell r="O18">
            <v>9.9999999999999995E-7</v>
          </cell>
          <cell r="P18">
            <v>9.0000000000000002E-6</v>
          </cell>
          <cell r="Q18">
            <v>8.8500000000000004E-4</v>
          </cell>
          <cell r="R18">
            <v>1.0839999999999999E-3</v>
          </cell>
          <cell r="S18">
            <v>3.1000000000000001E-5</v>
          </cell>
          <cell r="T18">
            <v>1.0000000000000001E-5</v>
          </cell>
          <cell r="U18">
            <v>1.85E-4</v>
          </cell>
          <cell r="V18">
            <v>1.05E-4</v>
          </cell>
          <cell r="W18">
            <v>1.9999999999999999E-6</v>
          </cell>
          <cell r="X18">
            <v>9.9999999999999995E-7</v>
          </cell>
          <cell r="Y18">
            <v>6.0000000000000002E-6</v>
          </cell>
          <cell r="Z18">
            <v>0</v>
          </cell>
          <cell r="AA18">
            <v>1.2999999999999999E-5</v>
          </cell>
          <cell r="AB18">
            <v>1.2999999999999999E-5</v>
          </cell>
          <cell r="AC18">
            <v>0.56928900000000004</v>
          </cell>
          <cell r="AD18">
            <v>0.46920899999999999</v>
          </cell>
          <cell r="AE18">
            <v>4.5920000000000002E-2</v>
          </cell>
          <cell r="AF18">
            <v>1.5065E-2</v>
          </cell>
          <cell r="AG18">
            <v>1.9400000000000001E-5</v>
          </cell>
          <cell r="AH18">
            <v>6.800000000000001E-6</v>
          </cell>
          <cell r="AI18">
            <v>5.9719000000000001E-2</v>
          </cell>
          <cell r="AJ18">
            <v>2.4617E-2</v>
          </cell>
          <cell r="AK18">
            <v>2.104E-3</v>
          </cell>
          <cell r="AL18">
            <v>9.2599999999999996E-4</v>
          </cell>
        </row>
        <row r="19">
          <cell r="B19">
            <v>12</v>
          </cell>
          <cell r="C19">
            <v>1E-4</v>
          </cell>
          <cell r="D19">
            <v>6.0000000000000002E-5</v>
          </cell>
          <cell r="E19">
            <v>2.5999999999999998E-5</v>
          </cell>
          <cell r="F19">
            <v>1.7E-5</v>
          </cell>
          <cell r="G19">
            <v>1.2E-5</v>
          </cell>
          <cell r="H19">
            <v>5.0000000000000004E-6</v>
          </cell>
          <cell r="I19">
            <v>3.8000000000000002E-5</v>
          </cell>
          <cell r="J19">
            <v>2.1999999999999999E-5</v>
          </cell>
          <cell r="K19">
            <v>2.0986999999999999E-2</v>
          </cell>
          <cell r="L19">
            <v>1.5934E-2</v>
          </cell>
          <cell r="M19">
            <v>2.0723000000000002E-2</v>
          </cell>
          <cell r="N19">
            <v>1.5790999999999999E-2</v>
          </cell>
          <cell r="O19">
            <v>9.9999999999999995E-7</v>
          </cell>
          <cell r="P19">
            <v>1.1E-5</v>
          </cell>
          <cell r="Q19">
            <v>9.2900000000000003E-4</v>
          </cell>
          <cell r="R19">
            <v>1.1069999999999999E-3</v>
          </cell>
          <cell r="S19">
            <v>3.3000000000000003E-5</v>
          </cell>
          <cell r="T19">
            <v>1.1E-5</v>
          </cell>
          <cell r="U19">
            <v>2.22E-4</v>
          </cell>
          <cell r="V19">
            <v>1.3100000000000001E-4</v>
          </cell>
          <cell r="W19">
            <v>1.9999999999999999E-6</v>
          </cell>
          <cell r="X19">
            <v>9.9999999999999995E-7</v>
          </cell>
          <cell r="Y19">
            <v>6.9999999999999999E-6</v>
          </cell>
          <cell r="Z19">
            <v>0</v>
          </cell>
          <cell r="AA19">
            <v>1.2E-5</v>
          </cell>
          <cell r="AB19">
            <v>1.2999999999999999E-5</v>
          </cell>
          <cell r="AC19">
            <v>0.52151999999999998</v>
          </cell>
          <cell r="AD19">
            <v>0.41071200000000002</v>
          </cell>
          <cell r="AE19">
            <v>4.7063000000000001E-2</v>
          </cell>
          <cell r="AF19">
            <v>1.4559000000000001E-2</v>
          </cell>
          <cell r="AG19">
            <v>1.9400000000000001E-5</v>
          </cell>
          <cell r="AH19">
            <v>6.800000000000001E-6</v>
          </cell>
          <cell r="AI19">
            <v>6.1941000000000003E-2</v>
          </cell>
          <cell r="AJ19">
            <v>2.4053000000000001E-2</v>
          </cell>
          <cell r="AK19">
            <v>2.3010000000000001E-3</v>
          </cell>
          <cell r="AL19">
            <v>9.6599999999999995E-4</v>
          </cell>
        </row>
        <row r="20">
          <cell r="B20">
            <v>13</v>
          </cell>
          <cell r="C20">
            <v>1.2999999999999999E-4</v>
          </cell>
          <cell r="D20">
            <v>9.0000000000000006E-5</v>
          </cell>
          <cell r="E20">
            <v>2.5000000000000001E-5</v>
          </cell>
          <cell r="F20">
            <v>1.7E-5</v>
          </cell>
          <cell r="G20">
            <v>1.2E-5</v>
          </cell>
          <cell r="H20">
            <v>5.0000000000000004E-6</v>
          </cell>
          <cell r="I20">
            <v>3.7000000000000005E-5</v>
          </cell>
          <cell r="J20">
            <v>2.1999999999999999E-5</v>
          </cell>
          <cell r="K20">
            <v>2.0957E-2</v>
          </cell>
          <cell r="L20">
            <v>1.6552000000000001E-2</v>
          </cell>
          <cell r="M20">
            <v>2.0675000000000002E-2</v>
          </cell>
          <cell r="N20">
            <v>1.6173E-2</v>
          </cell>
          <cell r="O20">
            <v>9.9999999999999995E-7</v>
          </cell>
          <cell r="P20">
            <v>1.2E-5</v>
          </cell>
          <cell r="Q20">
            <v>9.2100000000000005E-4</v>
          </cell>
          <cell r="R20">
            <v>1.119E-3</v>
          </cell>
          <cell r="S20">
            <v>3.4E-5</v>
          </cell>
          <cell r="T20">
            <v>1.2999999999999999E-5</v>
          </cell>
          <cell r="U20">
            <v>2.3800000000000001E-4</v>
          </cell>
          <cell r="V20">
            <v>3.6499999999999998E-4</v>
          </cell>
          <cell r="W20">
            <v>1.9999999999999999E-6</v>
          </cell>
          <cell r="X20">
            <v>9.9999999999999995E-7</v>
          </cell>
          <cell r="Y20">
            <v>7.9999999999999996E-6</v>
          </cell>
          <cell r="Z20">
            <v>0</v>
          </cell>
          <cell r="AA20">
            <v>1.2E-5</v>
          </cell>
          <cell r="AB20">
            <v>1.2999999999999999E-5</v>
          </cell>
          <cell r="AC20">
            <v>0.555365</v>
          </cell>
          <cell r="AD20">
            <v>0.41714499999999999</v>
          </cell>
          <cell r="AE20">
            <v>4.5510000000000002E-2</v>
          </cell>
          <cell r="AF20">
            <v>1.3646E-2</v>
          </cell>
          <cell r="AG20">
            <v>1.9400000000000001E-5</v>
          </cell>
          <cell r="AH20">
            <v>6.800000000000001E-6</v>
          </cell>
          <cell r="AI20">
            <v>5.9920000000000001E-2</v>
          </cell>
          <cell r="AJ20">
            <v>2.2483E-2</v>
          </cell>
          <cell r="AK20">
            <v>2.4350000000000001E-3</v>
          </cell>
          <cell r="AL20">
            <v>9.7999999999999997E-4</v>
          </cell>
        </row>
        <row r="21">
          <cell r="B21">
            <v>14</v>
          </cell>
          <cell r="C21">
            <v>1.8000000000000001E-4</v>
          </cell>
          <cell r="D21">
            <v>1.2E-4</v>
          </cell>
          <cell r="E21">
            <v>2.3E-5</v>
          </cell>
          <cell r="F21">
            <v>1.7E-5</v>
          </cell>
          <cell r="G21">
            <v>1.2E-5</v>
          </cell>
          <cell r="H21">
            <v>5.0000000000000004E-6</v>
          </cell>
          <cell r="I21">
            <v>3.4999999999999997E-5</v>
          </cell>
          <cell r="J21">
            <v>2.1999999999999999E-5</v>
          </cell>
          <cell r="K21">
            <v>2.0927999999999999E-2</v>
          </cell>
          <cell r="L21">
            <v>1.7170000000000001E-2</v>
          </cell>
          <cell r="M21">
            <v>2.0627E-2</v>
          </cell>
          <cell r="N21">
            <v>1.6553999999999999E-2</v>
          </cell>
          <cell r="O21">
            <v>9.9999999999999995E-7</v>
          </cell>
          <cell r="P21">
            <v>1.4E-5</v>
          </cell>
          <cell r="Q21">
            <v>9.1299999999999997E-4</v>
          </cell>
          <cell r="R21">
            <v>1.1310000000000001E-3</v>
          </cell>
          <cell r="S21">
            <v>3.6000000000000001E-5</v>
          </cell>
          <cell r="T21">
            <v>1.5E-5</v>
          </cell>
          <cell r="U21">
            <v>2.5399999999999999E-4</v>
          </cell>
          <cell r="V21">
            <v>5.9999999999999995E-4</v>
          </cell>
          <cell r="W21">
            <v>1.9999999999999999E-6</v>
          </cell>
          <cell r="X21">
            <v>9.9999999999999995E-7</v>
          </cell>
          <cell r="Y21">
            <v>9.0000000000000002E-6</v>
          </cell>
          <cell r="Z21">
            <v>0</v>
          </cell>
          <cell r="AA21">
            <v>1.2E-5</v>
          </cell>
          <cell r="AB21">
            <v>1.2E-5</v>
          </cell>
          <cell r="AC21">
            <v>0.58920899999999998</v>
          </cell>
          <cell r="AD21">
            <v>0.42357699999999998</v>
          </cell>
          <cell r="AE21">
            <v>4.1657E-2</v>
          </cell>
          <cell r="AF21">
            <v>1.2349000000000001E-2</v>
          </cell>
          <cell r="AG21">
            <v>1.9400000000000001E-5</v>
          </cell>
          <cell r="AH21">
            <v>6.800000000000001E-6</v>
          </cell>
          <cell r="AI21">
            <v>5.4330000000000003E-2</v>
          </cell>
          <cell r="AJ21">
            <v>2.001E-2</v>
          </cell>
          <cell r="AK21">
            <v>2.5209999999999998E-3</v>
          </cell>
          <cell r="AL21">
            <v>9.7499999999999996E-4</v>
          </cell>
        </row>
        <row r="22">
          <cell r="B22">
            <v>15</v>
          </cell>
          <cell r="C22">
            <v>2.3000000000000001E-4</v>
          </cell>
          <cell r="D22">
            <v>1.3999999999999999E-4</v>
          </cell>
          <cell r="E22">
            <v>2.1999999999999999E-5</v>
          </cell>
          <cell r="F22">
            <v>1.7E-5</v>
          </cell>
          <cell r="G22">
            <v>3.0000000000000001E-5</v>
          </cell>
          <cell r="H22">
            <v>7.9999999999999996E-6</v>
          </cell>
          <cell r="I22">
            <v>5.2000000000000004E-5</v>
          </cell>
          <cell r="J22">
            <v>2.4999999999999998E-5</v>
          </cell>
          <cell r="K22">
            <v>2.0882999999999999E-2</v>
          </cell>
          <cell r="L22">
            <v>1.7718000000000001E-2</v>
          </cell>
          <cell r="M22">
            <v>2.0560999999999999E-2</v>
          </cell>
          <cell r="N22">
            <v>1.6865000000000002E-2</v>
          </cell>
          <cell r="O22">
            <v>3.0000000000000001E-6</v>
          </cell>
          <cell r="P22">
            <v>9.2E-5</v>
          </cell>
          <cell r="Q22">
            <v>9.0499999999999999E-4</v>
          </cell>
          <cell r="R22">
            <v>1.1429999999999999E-3</v>
          </cell>
          <cell r="S22">
            <v>3.6999999999999998E-5</v>
          </cell>
          <cell r="T22">
            <v>1.9000000000000001E-5</v>
          </cell>
          <cell r="U22">
            <v>2.7E-4</v>
          </cell>
          <cell r="V22">
            <v>8.3199999999999995E-4</v>
          </cell>
          <cell r="W22">
            <v>3.9999999999999998E-6</v>
          </cell>
          <cell r="X22">
            <v>1.9999999999999999E-6</v>
          </cell>
          <cell r="Y22">
            <v>1.1E-5</v>
          </cell>
          <cell r="Z22">
            <v>0</v>
          </cell>
          <cell r="AA22">
            <v>1.2999999999999999E-5</v>
          </cell>
          <cell r="AB22">
            <v>1.1E-5</v>
          </cell>
          <cell r="AC22">
            <v>0.62305299999999997</v>
          </cell>
          <cell r="AD22">
            <v>0.43001</v>
          </cell>
          <cell r="AE22">
            <v>3.6577999999999999E-2</v>
          </cell>
          <cell r="AF22">
            <v>1.0877E-2</v>
          </cell>
          <cell r="AG22">
            <v>1.9400000000000001E-5</v>
          </cell>
          <cell r="AH22">
            <v>6.800000000000001E-6</v>
          </cell>
          <cell r="AI22">
            <v>4.6844999999999998E-2</v>
          </cell>
          <cell r="AJ22">
            <v>1.7115999999999999E-2</v>
          </cell>
          <cell r="AK22">
            <v>2.5720000000000001E-3</v>
          </cell>
          <cell r="AL22">
            <v>9.6199999999999996E-4</v>
          </cell>
          <cell r="AM22">
            <v>2.2420000000000001E-3</v>
          </cell>
          <cell r="AN22">
            <v>3.1599999999999998E-4</v>
          </cell>
          <cell r="AO22" t="str">
            <v>0.000083</v>
          </cell>
          <cell r="AP22">
            <v>7.3999999999999996E-5</v>
          </cell>
        </row>
        <row r="23">
          <cell r="B23">
            <v>16</v>
          </cell>
          <cell r="C23">
            <v>2.7999999999999998E-4</v>
          </cell>
          <cell r="D23">
            <v>1.8000000000000001E-4</v>
          </cell>
          <cell r="E23">
            <v>2.0999999999999999E-5</v>
          </cell>
          <cell r="F23">
            <v>1.7E-5</v>
          </cell>
          <cell r="G23">
            <v>3.0000000000000001E-5</v>
          </cell>
          <cell r="H23">
            <v>7.9999999999999996E-6</v>
          </cell>
          <cell r="I23">
            <v>5.1E-5</v>
          </cell>
          <cell r="J23">
            <v>2.4999999999999998E-5</v>
          </cell>
          <cell r="K23">
            <v>2.0820000000000002E-2</v>
          </cell>
          <cell r="L23">
            <v>1.8187999999999999E-2</v>
          </cell>
          <cell r="M23">
            <v>2.0473999999999999E-2</v>
          </cell>
          <cell r="N23">
            <v>1.7099999999999997E-2</v>
          </cell>
          <cell r="O23">
            <v>6.0000000000000002E-6</v>
          </cell>
          <cell r="P23">
            <v>2.4800000000000001E-4</v>
          </cell>
          <cell r="Q23">
            <v>8.9700000000000001E-4</v>
          </cell>
          <cell r="R23">
            <v>1.1559999999999999E-3</v>
          </cell>
          <cell r="S23">
            <v>3.8000000000000002E-5</v>
          </cell>
          <cell r="T23">
            <v>2.5999999999999998E-5</v>
          </cell>
          <cell r="U23">
            <v>2.8499999999999999E-4</v>
          </cell>
          <cell r="V23">
            <v>1.057E-3</v>
          </cell>
          <cell r="W23">
            <v>7.9999999999999996E-6</v>
          </cell>
          <cell r="X23">
            <v>3.9999999999999998E-6</v>
          </cell>
          <cell r="Y23">
            <v>1.5E-5</v>
          </cell>
          <cell r="Z23">
            <v>9.9999999999999995E-7</v>
          </cell>
          <cell r="AA23">
            <v>1.2999999999999999E-5</v>
          </cell>
          <cell r="AB23">
            <v>1.0000000000000001E-5</v>
          </cell>
          <cell r="AC23">
            <v>0.65689799999999998</v>
          </cell>
          <cell r="AD23">
            <v>0.436442</v>
          </cell>
          <cell r="AE23">
            <v>3.1532999999999999E-2</v>
          </cell>
          <cell r="AF23">
            <v>9.4929999999999997E-3</v>
          </cell>
          <cell r="AG23">
            <v>1.9400000000000001E-5</v>
          </cell>
          <cell r="AH23">
            <v>6.800000000000001E-6</v>
          </cell>
          <cell r="AI23">
            <v>3.9440999999999997E-2</v>
          </cell>
          <cell r="AJ23">
            <v>1.44E-2</v>
          </cell>
          <cell r="AK23">
            <v>2.591E-3</v>
          </cell>
          <cell r="AL23">
            <v>9.5200000000000005E-4</v>
          </cell>
          <cell r="AM23">
            <v>2.7829999999999999E-3</v>
          </cell>
          <cell r="AN23">
            <v>3.4699999999999998E-4</v>
          </cell>
          <cell r="AO23">
            <v>1.07E-4</v>
          </cell>
          <cell r="AP23">
            <v>1.17E-4</v>
          </cell>
        </row>
        <row r="24">
          <cell r="B24">
            <v>17</v>
          </cell>
          <cell r="C24">
            <v>3.1E-4</v>
          </cell>
          <cell r="D24">
            <v>2.0000000000000001E-4</v>
          </cell>
          <cell r="E24">
            <v>2.0000000000000002E-5</v>
          </cell>
          <cell r="F24">
            <v>1.7E-5</v>
          </cell>
          <cell r="G24">
            <v>3.0000000000000001E-5</v>
          </cell>
          <cell r="H24">
            <v>7.9999999999999996E-6</v>
          </cell>
          <cell r="I24">
            <v>5.0000000000000002E-5</v>
          </cell>
          <cell r="J24">
            <v>2.4999999999999998E-5</v>
          </cell>
          <cell r="K24">
            <v>2.0759E-2</v>
          </cell>
          <cell r="L24">
            <v>1.865E-2</v>
          </cell>
          <cell r="M24">
            <v>2.0388999999999997E-2</v>
          </cell>
          <cell r="N24">
            <v>1.7332E-2</v>
          </cell>
          <cell r="O24">
            <v>1.0000000000000001E-5</v>
          </cell>
          <cell r="P24">
            <v>4.0299999999999998E-4</v>
          </cell>
          <cell r="Q24">
            <v>8.8800000000000001E-4</v>
          </cell>
          <cell r="R24">
            <v>1.168E-3</v>
          </cell>
          <cell r="S24">
            <v>3.8999999999999999E-5</v>
          </cell>
          <cell r="T24">
            <v>3.1999999999999999E-5</v>
          </cell>
          <cell r="U24">
            <v>3.01E-4</v>
          </cell>
          <cell r="V24">
            <v>1.2780000000000001E-3</v>
          </cell>
          <cell r="W24">
            <v>1.2E-5</v>
          </cell>
          <cell r="X24">
            <v>6.0000000000000002E-6</v>
          </cell>
          <cell r="Y24">
            <v>1.8E-5</v>
          </cell>
          <cell r="Z24">
            <v>1.9999999999999999E-6</v>
          </cell>
          <cell r="AA24">
            <v>1.5E-5</v>
          </cell>
          <cell r="AB24">
            <v>9.0000000000000002E-6</v>
          </cell>
          <cell r="AC24">
            <v>0.69074199999999997</v>
          </cell>
          <cell r="AD24">
            <v>0.44287399999999999</v>
          </cell>
          <cell r="AE24">
            <v>2.7361E-2</v>
          </cell>
          <cell r="AF24">
            <v>8.3899999999999999E-3</v>
          </cell>
          <cell r="AG24">
            <v>1.9400000000000001E-5</v>
          </cell>
          <cell r="AH24">
            <v>6.800000000000001E-6</v>
          </cell>
          <cell r="AI24">
            <v>3.3434999999999999E-2</v>
          </cell>
          <cell r="AJ24">
            <v>1.2295E-2</v>
          </cell>
          <cell r="AK24">
            <v>2.578E-3</v>
          </cell>
          <cell r="AL24">
            <v>9.5600000000000004E-4</v>
          </cell>
          <cell r="AM24">
            <v>3.0820000000000001E-3</v>
          </cell>
          <cell r="AN24">
            <v>3.68E-4</v>
          </cell>
          <cell r="AO24">
            <v>1.3100000000000001E-4</v>
          </cell>
          <cell r="AP24">
            <v>1.65E-4</v>
          </cell>
        </row>
        <row r="25">
          <cell r="B25">
            <v>18</v>
          </cell>
          <cell r="C25">
            <v>3.2000000000000003E-4</v>
          </cell>
          <cell r="D25">
            <v>2.0000000000000001E-4</v>
          </cell>
          <cell r="E25">
            <v>1.8E-5</v>
          </cell>
          <cell r="F25">
            <v>1.5999999999999999E-5</v>
          </cell>
          <cell r="G25">
            <v>3.0000000000000001E-5</v>
          </cell>
          <cell r="H25">
            <v>7.9999999999999996E-6</v>
          </cell>
          <cell r="I25">
            <v>4.8000000000000001E-5</v>
          </cell>
          <cell r="J25">
            <v>2.4000000000000001E-5</v>
          </cell>
          <cell r="K25">
            <v>2.0320000000000001E-2</v>
          </cell>
          <cell r="L25">
            <v>1.8360999999999999E-2</v>
          </cell>
          <cell r="M25">
            <v>1.9854000000000004E-2</v>
          </cell>
          <cell r="N25">
            <v>1.6471E-2</v>
          </cell>
          <cell r="O25">
            <v>1.2999999999999999E-5</v>
          </cell>
          <cell r="P25">
            <v>5.5900000000000004E-4</v>
          </cell>
          <cell r="Q25">
            <v>9.8400000000000007E-4</v>
          </cell>
          <cell r="R25">
            <v>1.3940000000000001E-3</v>
          </cell>
          <cell r="S25">
            <v>4.0000000000000003E-5</v>
          </cell>
          <cell r="T25">
            <v>3.8999999999999999E-5</v>
          </cell>
          <cell r="U25">
            <v>3.8900000000000002E-4</v>
          </cell>
          <cell r="V25">
            <v>1.841E-3</v>
          </cell>
          <cell r="W25">
            <v>1.5999999999999999E-5</v>
          </cell>
          <cell r="X25">
            <v>7.9999999999999996E-6</v>
          </cell>
          <cell r="Y25">
            <v>2.0999999999999999E-5</v>
          </cell>
          <cell r="Z25">
            <v>1.9999999999999999E-6</v>
          </cell>
          <cell r="AA25">
            <v>1.5999999999999999E-5</v>
          </cell>
          <cell r="AB25">
            <v>9.0000000000000002E-6</v>
          </cell>
          <cell r="AC25">
            <v>0.77344000000000002</v>
          </cell>
          <cell r="AD25">
            <v>0.47034599999999999</v>
          </cell>
          <cell r="AE25">
            <v>2.4115000000000001E-2</v>
          </cell>
          <cell r="AF25">
            <v>7.5929999999999999E-3</v>
          </cell>
          <cell r="AG25">
            <v>1.9400000000000001E-5</v>
          </cell>
          <cell r="AH25">
            <v>6.800000000000001E-6</v>
          </cell>
          <cell r="AI25">
            <v>2.8931999999999999E-2</v>
          </cell>
          <cell r="AJ25">
            <v>1.0865E-2</v>
          </cell>
          <cell r="AK25">
            <v>2.5219999999999999E-3</v>
          </cell>
          <cell r="AL25">
            <v>9.7499999999999996E-4</v>
          </cell>
          <cell r="AM25">
            <v>3.032E-3</v>
          </cell>
          <cell r="AN25">
            <v>3.7300000000000001E-4</v>
          </cell>
          <cell r="AO25">
            <v>1.56E-4</v>
          </cell>
          <cell r="AP25">
            <v>2.1699999999999999E-4</v>
          </cell>
        </row>
        <row r="26">
          <cell r="B26">
            <v>19</v>
          </cell>
          <cell r="C26">
            <v>3.3E-4</v>
          </cell>
          <cell r="D26">
            <v>1.8000000000000001E-4</v>
          </cell>
          <cell r="E26">
            <v>1.7E-5</v>
          </cell>
          <cell r="F26">
            <v>1.5999999999999999E-5</v>
          </cell>
          <cell r="G26">
            <v>3.0000000000000001E-5</v>
          </cell>
          <cell r="H26">
            <v>7.9999999999999996E-6</v>
          </cell>
          <cell r="I26">
            <v>4.7000000000000004E-5</v>
          </cell>
          <cell r="J26">
            <v>2.4000000000000001E-5</v>
          </cell>
          <cell r="K26">
            <v>1.9883000000000001E-2</v>
          </cell>
          <cell r="L26">
            <v>1.8075000000000001E-2</v>
          </cell>
          <cell r="M26">
            <v>1.932E-2</v>
          </cell>
          <cell r="N26">
            <v>1.5624000000000002E-2</v>
          </cell>
          <cell r="O26">
            <v>1.7E-5</v>
          </cell>
          <cell r="P26">
            <v>7.1400000000000001E-4</v>
          </cell>
          <cell r="Q26">
            <v>1.08E-3</v>
          </cell>
          <cell r="R26">
            <v>1.621E-3</v>
          </cell>
          <cell r="S26">
            <v>4.1E-5</v>
          </cell>
          <cell r="T26">
            <v>4.5000000000000003E-5</v>
          </cell>
          <cell r="U26">
            <v>4.7800000000000002E-4</v>
          </cell>
          <cell r="V26">
            <v>2.3930000000000002E-3</v>
          </cell>
          <cell r="W26">
            <v>1.9000000000000001E-5</v>
          </cell>
          <cell r="X26">
            <v>1.0000000000000001E-5</v>
          </cell>
          <cell r="Y26">
            <v>2.5000000000000001E-5</v>
          </cell>
          <cell r="Z26">
            <v>3.0000000000000001E-6</v>
          </cell>
          <cell r="AA26">
            <v>1.7E-5</v>
          </cell>
          <cell r="AB26">
            <v>9.0000000000000002E-6</v>
          </cell>
          <cell r="AC26">
            <v>0.85613799999999995</v>
          </cell>
          <cell r="AD26">
            <v>0.49781799999999998</v>
          </cell>
          <cell r="AE26">
            <v>2.1434999999999999E-2</v>
          </cell>
          <cell r="AF26">
            <v>7.0200000000000002E-3</v>
          </cell>
          <cell r="AG26">
            <v>1.9400000000000001E-5</v>
          </cell>
          <cell r="AH26">
            <v>6.800000000000001E-6</v>
          </cell>
          <cell r="AI26">
            <v>2.5366E-2</v>
          </cell>
          <cell r="AJ26">
            <v>9.9279999999999993E-3</v>
          </cell>
          <cell r="AK26">
            <v>2.4250000000000001E-3</v>
          </cell>
          <cell r="AL26">
            <v>1.005E-3</v>
          </cell>
          <cell r="AM26">
            <v>2.7569999999999999E-3</v>
          </cell>
          <cell r="AN26">
            <v>3.6900000000000002E-4</v>
          </cell>
          <cell r="AO26">
            <v>1.8100000000000001E-4</v>
          </cell>
          <cell r="AP26">
            <v>2.7500000000000002E-4</v>
          </cell>
        </row>
        <row r="27">
          <cell r="B27">
            <v>20</v>
          </cell>
          <cell r="C27">
            <v>3.3E-4</v>
          </cell>
          <cell r="D27">
            <v>1.6000000000000001E-4</v>
          </cell>
          <cell r="E27">
            <v>1.5999999999999999E-5</v>
          </cell>
          <cell r="F27">
            <v>1.5999999999999999E-5</v>
          </cell>
          <cell r="G27">
            <v>5.5999999999999999E-5</v>
          </cell>
          <cell r="H27">
            <v>1.7E-5</v>
          </cell>
          <cell r="I27">
            <v>7.2000000000000002E-5</v>
          </cell>
          <cell r="J27">
            <v>3.3000000000000003E-5</v>
          </cell>
          <cell r="K27">
            <v>1.9446999999999999E-2</v>
          </cell>
          <cell r="L27">
            <v>1.7791999999999999E-2</v>
          </cell>
          <cell r="M27">
            <v>1.8787999999999999E-2</v>
          </cell>
          <cell r="N27">
            <v>1.4787999999999997E-2</v>
          </cell>
          <cell r="O27">
            <v>2.0000000000000002E-5</v>
          </cell>
          <cell r="P27">
            <v>8.7000000000000001E-4</v>
          </cell>
          <cell r="Q27">
            <v>1.176E-3</v>
          </cell>
          <cell r="R27">
            <v>1.848E-3</v>
          </cell>
          <cell r="S27">
            <v>4.1999999999999998E-5</v>
          </cell>
          <cell r="T27">
            <v>5.1999999999999997E-5</v>
          </cell>
          <cell r="U27">
            <v>5.6599999999999999E-4</v>
          </cell>
          <cell r="V27">
            <v>2.9369999999999999E-3</v>
          </cell>
          <cell r="W27">
            <v>2.3E-5</v>
          </cell>
          <cell r="X27">
            <v>1.1E-5</v>
          </cell>
          <cell r="Y27">
            <v>2.8E-5</v>
          </cell>
          <cell r="Z27">
            <v>3.9999999999999998E-6</v>
          </cell>
          <cell r="AA27">
            <v>1.9000000000000001E-5</v>
          </cell>
          <cell r="AB27">
            <v>1.0000000000000001E-5</v>
          </cell>
          <cell r="AC27">
            <v>0.93883499999999998</v>
          </cell>
          <cell r="AD27">
            <v>0.52529000000000003</v>
          </cell>
          <cell r="AE27">
            <v>1.9196999999999999E-2</v>
          </cell>
          <cell r="AF27">
            <v>6.6100000000000004E-3</v>
          </cell>
          <cell r="AG27">
            <v>1.9400000000000001E-5</v>
          </cell>
          <cell r="AH27">
            <v>6.800000000000001E-6</v>
          </cell>
          <cell r="AI27">
            <v>2.2495999999999999E-2</v>
          </cell>
          <cell r="AJ27">
            <v>9.3259999999999992E-3</v>
          </cell>
          <cell r="AK27">
            <v>2.3089999999999999E-3</v>
          </cell>
          <cell r="AL27">
            <v>1.0430000000000001E-3</v>
          </cell>
          <cell r="AM27">
            <v>2.369E-3</v>
          </cell>
          <cell r="AN27">
            <v>3.59E-4</v>
          </cell>
          <cell r="AO27">
            <v>2.1000000000000001E-4</v>
          </cell>
          <cell r="AP27">
            <v>3.39E-4</v>
          </cell>
        </row>
        <row r="28">
          <cell r="B28">
            <v>21</v>
          </cell>
          <cell r="C28">
            <v>3.5E-4</v>
          </cell>
          <cell r="D28">
            <v>1.4999999999999999E-4</v>
          </cell>
          <cell r="E28">
            <v>1.4E-5</v>
          </cell>
          <cell r="F28">
            <v>1.5999999999999999E-5</v>
          </cell>
          <cell r="G28">
            <v>5.5999999999999999E-5</v>
          </cell>
          <cell r="H28">
            <v>1.7E-5</v>
          </cell>
          <cell r="I28">
            <v>6.9999999999999994E-5</v>
          </cell>
          <cell r="J28">
            <v>3.3000000000000003E-5</v>
          </cell>
          <cell r="K28">
            <v>1.9012000000000001E-2</v>
          </cell>
          <cell r="L28">
            <v>1.7510999999999999E-2</v>
          </cell>
          <cell r="M28">
            <v>1.8257000000000002E-2</v>
          </cell>
          <cell r="N28">
            <v>1.3963999999999999E-2</v>
          </cell>
          <cell r="O28">
            <v>2.4000000000000001E-5</v>
          </cell>
          <cell r="P28">
            <v>1.0250000000000001E-3</v>
          </cell>
          <cell r="Q28">
            <v>1.2719999999999999E-3</v>
          </cell>
          <cell r="R28">
            <v>2.075E-3</v>
          </cell>
          <cell r="S28">
            <v>4.3000000000000002E-5</v>
          </cell>
          <cell r="T28">
            <v>5.8E-5</v>
          </cell>
          <cell r="U28">
            <v>6.5399999999999996E-4</v>
          </cell>
          <cell r="V28">
            <v>3.4710000000000001E-3</v>
          </cell>
          <cell r="W28">
            <v>2.6999999999999999E-5</v>
          </cell>
          <cell r="X28">
            <v>1.4E-5</v>
          </cell>
          <cell r="Y28">
            <v>3.1000000000000001E-5</v>
          </cell>
          <cell r="Z28">
            <v>3.9999999999999998E-6</v>
          </cell>
          <cell r="AA28">
            <v>2.0000000000000002E-5</v>
          </cell>
          <cell r="AB28">
            <v>1.0000000000000001E-5</v>
          </cell>
          <cell r="AC28">
            <v>1.021533</v>
          </cell>
          <cell r="AD28">
            <v>0.55276199999999998</v>
          </cell>
          <cell r="AE28">
            <v>1.7350999999999998E-2</v>
          </cell>
          <cell r="AF28">
            <v>6.3140000000000002E-3</v>
          </cell>
          <cell r="AG28">
            <v>1.9400000000000001E-5</v>
          </cell>
          <cell r="AH28">
            <v>6.800000000000001E-6</v>
          </cell>
          <cell r="AI28">
            <v>2.0164000000000001E-2</v>
          </cell>
          <cell r="AJ28">
            <v>8.9200000000000008E-3</v>
          </cell>
          <cell r="AK28">
            <v>2.2009999999999998E-3</v>
          </cell>
          <cell r="AL28">
            <v>1.0839999999999999E-3</v>
          </cell>
          <cell r="AM28">
            <v>1.9959999999999999E-3</v>
          </cell>
          <cell r="AN28">
            <v>3.5300000000000002E-4</v>
          </cell>
          <cell r="AO28">
            <v>2.4600000000000002E-4</v>
          </cell>
          <cell r="AP28">
            <v>4.08E-4</v>
          </cell>
        </row>
        <row r="29">
          <cell r="B29">
            <v>22</v>
          </cell>
          <cell r="C29">
            <v>3.8999999999999999E-4</v>
          </cell>
          <cell r="D29">
            <v>1.6000000000000001E-4</v>
          </cell>
          <cell r="E29">
            <v>1.2999999999999999E-5</v>
          </cell>
          <cell r="F29">
            <v>1.5999999999999999E-5</v>
          </cell>
          <cell r="G29">
            <v>5.5999999999999999E-5</v>
          </cell>
          <cell r="H29">
            <v>1.7E-5</v>
          </cell>
          <cell r="I29">
            <v>6.8999999999999997E-5</v>
          </cell>
          <cell r="J29">
            <v>3.3000000000000003E-5</v>
          </cell>
          <cell r="K29">
            <v>1.8578999999999998E-2</v>
          </cell>
          <cell r="L29">
            <v>1.7231E-2</v>
          </cell>
          <cell r="M29">
            <v>1.7727999999999997E-2</v>
          </cell>
          <cell r="N29">
            <v>1.3147999999999998E-2</v>
          </cell>
          <cell r="O29">
            <v>2.6999999999999999E-5</v>
          </cell>
          <cell r="P29">
            <v>1.181E-3</v>
          </cell>
          <cell r="Q29">
            <v>1.3669999999999999E-3</v>
          </cell>
          <cell r="R29">
            <v>2.3019999999999998E-3</v>
          </cell>
          <cell r="S29">
            <v>4.3000000000000002E-5</v>
          </cell>
          <cell r="T29">
            <v>6.3999999999999997E-5</v>
          </cell>
          <cell r="U29">
            <v>7.4200000000000004E-4</v>
          </cell>
          <cell r="V29">
            <v>3.9960000000000004E-3</v>
          </cell>
          <cell r="W29">
            <v>3.1000000000000001E-5</v>
          </cell>
          <cell r="X29">
            <v>1.8E-5</v>
          </cell>
          <cell r="Y29">
            <v>3.4999999999999997E-5</v>
          </cell>
          <cell r="Z29">
            <v>5.0000000000000004E-6</v>
          </cell>
          <cell r="AA29">
            <v>2.0999999999999999E-5</v>
          </cell>
          <cell r="AB29">
            <v>1.1E-5</v>
          </cell>
          <cell r="AC29">
            <v>1.104231</v>
          </cell>
          <cell r="AD29">
            <v>0.58023400000000003</v>
          </cell>
          <cell r="AE29">
            <v>1.5935999999999999E-2</v>
          </cell>
          <cell r="AF29">
            <v>6.123E-3</v>
          </cell>
          <cell r="AG29">
            <v>1.9400000000000001E-5</v>
          </cell>
          <cell r="AH29">
            <v>6.800000000000001E-6</v>
          </cell>
          <cell r="AI29">
            <v>1.8374000000000001E-2</v>
          </cell>
          <cell r="AJ29">
            <v>8.6549999999999995E-3</v>
          </cell>
          <cell r="AK29">
            <v>2.1199999999999999E-3</v>
          </cell>
          <cell r="AL29">
            <v>1.1280000000000001E-3</v>
          </cell>
          <cell r="AM29">
            <v>1.714E-3</v>
          </cell>
          <cell r="AN29">
            <v>3.5500000000000001E-4</v>
          </cell>
          <cell r="AO29">
            <v>2.92E-4</v>
          </cell>
          <cell r="AP29">
            <v>4.84E-4</v>
          </cell>
        </row>
        <row r="30">
          <cell r="B30">
            <v>23</v>
          </cell>
          <cell r="C30">
            <v>4.2999999999999999E-4</v>
          </cell>
          <cell r="D30">
            <v>1.7000000000000001E-4</v>
          </cell>
          <cell r="E30">
            <v>1.2999999999999999E-5</v>
          </cell>
          <cell r="F30">
            <v>1.5999999999999999E-5</v>
          </cell>
          <cell r="G30">
            <v>5.5999999999999999E-5</v>
          </cell>
          <cell r="H30">
            <v>1.7E-5</v>
          </cell>
          <cell r="I30">
            <v>6.8999999999999997E-5</v>
          </cell>
          <cell r="J30">
            <v>3.3000000000000003E-5</v>
          </cell>
          <cell r="K30">
            <v>1.8942000000000001E-2</v>
          </cell>
          <cell r="L30">
            <v>1.9380000000000001E-2</v>
          </cell>
          <cell r="M30">
            <v>1.7823000000000002E-2</v>
          </cell>
          <cell r="N30">
            <v>1.4951000000000001E-2</v>
          </cell>
          <cell r="O30">
            <v>3.1000000000000001E-5</v>
          </cell>
          <cell r="P30">
            <v>1.3370000000000001E-3</v>
          </cell>
          <cell r="Q30">
            <v>1.477E-3</v>
          </cell>
          <cell r="R30">
            <v>2.4030000000000002E-3</v>
          </cell>
          <cell r="S30">
            <v>4.3999999999999999E-5</v>
          </cell>
          <cell r="T30">
            <v>6.9999999999999994E-5</v>
          </cell>
          <cell r="U30">
            <v>1.003E-3</v>
          </cell>
          <cell r="V30">
            <v>4.3369999999999997E-3</v>
          </cell>
          <cell r="W30">
            <v>3.4999999999999997E-5</v>
          </cell>
          <cell r="X30">
            <v>1.7E-5</v>
          </cell>
          <cell r="Y30">
            <v>3.6999999999999998E-5</v>
          </cell>
          <cell r="Z30">
            <v>5.0000000000000004E-6</v>
          </cell>
          <cell r="AA30">
            <v>2.1999999999999999E-5</v>
          </cell>
          <cell r="AB30">
            <v>1.1E-5</v>
          </cell>
          <cell r="AC30">
            <v>1.0667450000000001</v>
          </cell>
          <cell r="AD30">
            <v>0.63724899999999995</v>
          </cell>
          <cell r="AE30">
            <v>1.5028E-2</v>
          </cell>
          <cell r="AF30">
            <v>6.0629999999999998E-3</v>
          </cell>
          <cell r="AG30">
            <v>1.9400000000000001E-5</v>
          </cell>
          <cell r="AH30">
            <v>6.800000000000001E-6</v>
          </cell>
          <cell r="AI30">
            <v>1.7214E-2</v>
          </cell>
          <cell r="AJ30">
            <v>8.5590000000000006E-3</v>
          </cell>
          <cell r="AK30">
            <v>2.0709999999999999E-3</v>
          </cell>
          <cell r="AL30">
            <v>1.178E-3</v>
          </cell>
          <cell r="AM30">
            <v>1.536E-3</v>
          </cell>
          <cell r="AN30">
            <v>3.6200000000000002E-4</v>
          </cell>
          <cell r="AO30">
            <v>3.5E-4</v>
          </cell>
          <cell r="AP30">
            <v>5.6499999999999996E-4</v>
          </cell>
        </row>
        <row r="31">
          <cell r="B31">
            <v>24</v>
          </cell>
          <cell r="C31">
            <v>4.6999999999999999E-4</v>
          </cell>
          <cell r="D31">
            <v>2.0000000000000001E-4</v>
          </cell>
          <cell r="E31">
            <v>1.2E-5</v>
          </cell>
          <cell r="F31">
            <v>1.5999999999999999E-5</v>
          </cell>
          <cell r="G31">
            <v>5.5999999999999999E-5</v>
          </cell>
          <cell r="H31">
            <v>1.7E-5</v>
          </cell>
          <cell r="I31">
            <v>6.7999999999999999E-5</v>
          </cell>
          <cell r="J31">
            <v>3.3000000000000003E-5</v>
          </cell>
          <cell r="K31">
            <v>1.9306E-2</v>
          </cell>
          <cell r="L31">
            <v>2.1492000000000001E-2</v>
          </cell>
          <cell r="M31">
            <v>1.7923000000000005E-2</v>
          </cell>
          <cell r="N31">
            <v>1.6719000000000001E-2</v>
          </cell>
          <cell r="O31">
            <v>3.4999999999999997E-5</v>
          </cell>
          <cell r="P31">
            <v>1.4920000000000001E-3</v>
          </cell>
          <cell r="Q31">
            <v>1.5870000000000001E-3</v>
          </cell>
          <cell r="R31">
            <v>2.5040000000000001E-3</v>
          </cell>
          <cell r="S31">
            <v>4.5000000000000003E-5</v>
          </cell>
          <cell r="T31">
            <v>7.6000000000000004E-5</v>
          </cell>
          <cell r="U31">
            <v>1.261E-3</v>
          </cell>
          <cell r="V31">
            <v>4.6719999999999999E-3</v>
          </cell>
          <cell r="W31">
            <v>3.6999999999999998E-5</v>
          </cell>
          <cell r="X31">
            <v>1.9000000000000001E-5</v>
          </cell>
          <cell r="Y31">
            <v>4.0000000000000003E-5</v>
          </cell>
          <cell r="Z31">
            <v>6.0000000000000002E-6</v>
          </cell>
          <cell r="AA31">
            <v>2.3E-5</v>
          </cell>
          <cell r="AB31">
            <v>1.2E-5</v>
          </cell>
          <cell r="AC31">
            <v>1.0292600000000001</v>
          </cell>
          <cell r="AD31">
            <v>0.69426500000000002</v>
          </cell>
          <cell r="AE31">
            <v>1.4615E-2</v>
          </cell>
          <cell r="AF31">
            <v>6.1370000000000001E-3</v>
          </cell>
          <cell r="AG31">
            <v>1.9400000000000001E-5</v>
          </cell>
          <cell r="AH31">
            <v>6.800000000000001E-6</v>
          </cell>
          <cell r="AI31">
            <v>1.6695000000000002E-2</v>
          </cell>
          <cell r="AJ31">
            <v>8.6610000000000003E-3</v>
          </cell>
          <cell r="AK31">
            <v>2.0449999999999999E-3</v>
          </cell>
          <cell r="AL31">
            <v>1.2329999999999999E-3</v>
          </cell>
          <cell r="AM31">
            <v>1.4159999999999999E-3</v>
          </cell>
          <cell r="AN31">
            <v>3.77E-4</v>
          </cell>
          <cell r="AO31">
            <v>4.1800000000000002E-4</v>
          </cell>
          <cell r="AP31">
            <v>6.4999999999999997E-4</v>
          </cell>
        </row>
        <row r="32">
          <cell r="B32">
            <v>25</v>
          </cell>
          <cell r="C32">
            <v>5.1000000000000004E-4</v>
          </cell>
          <cell r="D32">
            <v>2.3000000000000001E-4</v>
          </cell>
          <cell r="E32">
            <v>1.2E-5</v>
          </cell>
          <cell r="F32">
            <v>1.5999999999999999E-5</v>
          </cell>
          <cell r="G32">
            <v>5.5999999999999999E-5</v>
          </cell>
          <cell r="H32">
            <v>1.7E-5</v>
          </cell>
          <cell r="I32">
            <v>6.7999999999999999E-5</v>
          </cell>
          <cell r="J32">
            <v>3.3000000000000003E-5</v>
          </cell>
          <cell r="K32">
            <v>1.9623999999999999E-2</v>
          </cell>
          <cell r="L32">
            <v>2.3618E-2</v>
          </cell>
          <cell r="M32">
            <v>1.7972999999999996E-2</v>
          </cell>
          <cell r="N32">
            <v>1.8494999999999998E-2</v>
          </cell>
          <cell r="O32">
            <v>4.6E-5</v>
          </cell>
          <cell r="P32">
            <v>1.7409999999999999E-3</v>
          </cell>
          <cell r="Q32">
            <v>1.6949999999999999E-3</v>
          </cell>
          <cell r="R32">
            <v>2.598E-3</v>
          </cell>
          <cell r="S32">
            <v>5.0000000000000002E-5</v>
          </cell>
          <cell r="T32">
            <v>7.7000000000000001E-5</v>
          </cell>
          <cell r="U32">
            <v>1.516E-3</v>
          </cell>
          <cell r="V32">
            <v>5.0109999999999998E-3</v>
          </cell>
          <cell r="W32">
            <v>4.3000000000000002E-5</v>
          </cell>
          <cell r="X32">
            <v>2.5999999999999998E-5</v>
          </cell>
          <cell r="Y32">
            <v>4.1999999999999998E-5</v>
          </cell>
          <cell r="Z32">
            <v>9.0000000000000002E-6</v>
          </cell>
          <cell r="AA32">
            <v>2.3E-5</v>
          </cell>
          <cell r="AB32">
            <v>1.2E-5</v>
          </cell>
          <cell r="AC32">
            <v>0.99177499999999996</v>
          </cell>
          <cell r="AD32">
            <v>0.75128099999999998</v>
          </cell>
          <cell r="AE32">
            <v>1.4508E-2</v>
          </cell>
          <cell r="AF32">
            <v>6.2870000000000001E-3</v>
          </cell>
          <cell r="AG32">
            <v>1.9400000000000001E-5</v>
          </cell>
          <cell r="AH32">
            <v>6.800000000000001E-6</v>
          </cell>
          <cell r="AI32">
            <v>1.6582E-2</v>
          </cell>
          <cell r="AJ32">
            <v>8.8839999999999995E-3</v>
          </cell>
          <cell r="AK32">
            <v>2.032E-3</v>
          </cell>
          <cell r="AL32">
            <v>1.2880000000000001E-3</v>
          </cell>
          <cell r="AM32">
            <v>1.3309999999999999E-3</v>
          </cell>
          <cell r="AN32">
            <v>3.9399999999999998E-4</v>
          </cell>
          <cell r="AO32">
            <v>4.9399999999999997E-4</v>
          </cell>
          <cell r="AP32">
            <v>7.4100000000000001E-4</v>
          </cell>
        </row>
        <row r="33">
          <cell r="B33">
            <v>26</v>
          </cell>
          <cell r="C33">
            <v>5.1999999999999995E-4</v>
          </cell>
          <cell r="D33">
            <v>2.4000000000000001E-4</v>
          </cell>
          <cell r="E33">
            <v>1.2E-5</v>
          </cell>
          <cell r="F33">
            <v>1.5999999999999999E-5</v>
          </cell>
          <cell r="G33">
            <v>5.5999999999999999E-5</v>
          </cell>
          <cell r="H33">
            <v>1.7E-5</v>
          </cell>
          <cell r="I33">
            <v>6.7999999999999999E-5</v>
          </cell>
          <cell r="J33">
            <v>3.3000000000000003E-5</v>
          </cell>
          <cell r="K33">
            <v>1.9897000000000001E-2</v>
          </cell>
          <cell r="L33">
            <v>2.5770999999999999E-2</v>
          </cell>
          <cell r="M33">
            <v>1.7981E-2</v>
          </cell>
          <cell r="N33">
            <v>2.0284000000000003E-2</v>
          </cell>
          <cell r="O33">
            <v>6.6000000000000005E-5</v>
          </cell>
          <cell r="P33">
            <v>2.0799999999999998E-3</v>
          </cell>
          <cell r="Q33">
            <v>1.802E-3</v>
          </cell>
          <cell r="R33">
            <v>2.6840000000000002E-3</v>
          </cell>
          <cell r="S33">
            <v>5.8999999999999998E-5</v>
          </cell>
          <cell r="T33">
            <v>7.4999999999999993E-5</v>
          </cell>
          <cell r="U33">
            <v>1.7650000000000001E-3</v>
          </cell>
          <cell r="V33">
            <v>5.3579999999999999E-3</v>
          </cell>
          <cell r="W33">
            <v>5.0000000000000002E-5</v>
          </cell>
          <cell r="X33">
            <v>3.8000000000000002E-5</v>
          </cell>
          <cell r="Y33">
            <v>4.1999999999999998E-5</v>
          </cell>
          <cell r="Z33">
            <v>1.5999999999999999E-5</v>
          </cell>
          <cell r="AA33">
            <v>2.3E-5</v>
          </cell>
          <cell r="AB33">
            <v>1.2999999999999999E-5</v>
          </cell>
          <cell r="AC33">
            <v>0.95428900000000005</v>
          </cell>
          <cell r="AD33">
            <v>0.80829600000000001</v>
          </cell>
          <cell r="AE33">
            <v>1.4511E-2</v>
          </cell>
          <cell r="AF33">
            <v>6.4409999999999997E-3</v>
          </cell>
          <cell r="AG33">
            <v>1.9400000000000001E-5</v>
          </cell>
          <cell r="AH33">
            <v>6.800000000000001E-6</v>
          </cell>
          <cell r="AI33">
            <v>1.6643999999999999E-2</v>
          </cell>
          <cell r="AJ33">
            <v>9.1500000000000001E-3</v>
          </cell>
          <cell r="AK33">
            <v>2.0240000000000002E-3</v>
          </cell>
          <cell r="AL33">
            <v>1.333E-3</v>
          </cell>
          <cell r="AM33">
            <v>1.2620000000000001E-3</v>
          </cell>
          <cell r="AN33">
            <v>4.1100000000000002E-4</v>
          </cell>
          <cell r="AO33">
            <v>5.7899999999999998E-4</v>
          </cell>
          <cell r="AP33">
            <v>8.3900000000000001E-4</v>
          </cell>
        </row>
        <row r="34">
          <cell r="B34">
            <v>27</v>
          </cell>
          <cell r="C34">
            <v>5.2999999999999998E-4</v>
          </cell>
          <cell r="D34">
            <v>2.5000000000000001E-4</v>
          </cell>
          <cell r="E34">
            <v>1.2999999999999999E-5</v>
          </cell>
          <cell r="F34">
            <v>1.7E-5</v>
          </cell>
          <cell r="G34">
            <v>5.5999999999999999E-5</v>
          </cell>
          <cell r="H34">
            <v>1.7E-5</v>
          </cell>
          <cell r="I34">
            <v>6.8999999999999997E-5</v>
          </cell>
          <cell r="J34">
            <v>3.4E-5</v>
          </cell>
          <cell r="K34">
            <v>2.0166E-2</v>
          </cell>
          <cell r="L34">
            <v>2.7907000000000001E-2</v>
          </cell>
          <cell r="M34">
            <v>1.7991E-2</v>
          </cell>
          <cell r="N34">
            <v>2.2059000000000002E-2</v>
          </cell>
          <cell r="O34">
            <v>8.6000000000000003E-5</v>
          </cell>
          <cell r="P34">
            <v>2.415E-3</v>
          </cell>
          <cell r="Q34">
            <v>1.908E-3</v>
          </cell>
          <cell r="R34">
            <v>2.7680000000000001E-3</v>
          </cell>
          <cell r="S34">
            <v>6.7000000000000002E-5</v>
          </cell>
          <cell r="T34">
            <v>7.2999999999999999E-5</v>
          </cell>
          <cell r="U34">
            <v>2.0110000000000002E-3</v>
          </cell>
          <cell r="V34">
            <v>5.7010000000000003E-3</v>
          </cell>
          <cell r="W34">
            <v>5.5000000000000002E-5</v>
          </cell>
          <cell r="X34">
            <v>5.1E-5</v>
          </cell>
          <cell r="Y34">
            <v>4.1999999999999998E-5</v>
          </cell>
          <cell r="Z34">
            <v>2.3E-5</v>
          </cell>
          <cell r="AA34">
            <v>2.3E-5</v>
          </cell>
          <cell r="AB34">
            <v>1.2E-5</v>
          </cell>
          <cell r="AC34">
            <v>0.91680399999999995</v>
          </cell>
          <cell r="AD34">
            <v>0.86531199999999997</v>
          </cell>
          <cell r="AE34">
            <v>1.4517E-2</v>
          </cell>
          <cell r="AF34">
            <v>6.5539999999999999E-3</v>
          </cell>
          <cell r="AG34">
            <v>1.9400000000000001E-5</v>
          </cell>
          <cell r="AH34">
            <v>6.800000000000001E-6</v>
          </cell>
          <cell r="AI34">
            <v>1.6761000000000002E-2</v>
          </cell>
          <cell r="AJ34">
            <v>9.417E-3</v>
          </cell>
          <cell r="AK34">
            <v>2.0140000000000002E-3</v>
          </cell>
          <cell r="AL34">
            <v>1.3619999999999999E-3</v>
          </cell>
          <cell r="AM34">
            <v>1.201E-3</v>
          </cell>
          <cell r="AN34">
            <v>4.2400000000000001E-4</v>
          </cell>
          <cell r="AO34">
            <v>6.7400000000000001E-4</v>
          </cell>
          <cell r="AP34">
            <v>9.4899999999999997E-4</v>
          </cell>
        </row>
        <row r="35">
          <cell r="B35">
            <v>28</v>
          </cell>
          <cell r="C35">
            <v>5.4000000000000001E-4</v>
          </cell>
          <cell r="D35">
            <v>2.5999999999999998E-4</v>
          </cell>
          <cell r="E35">
            <v>1.4E-5</v>
          </cell>
          <cell r="F35">
            <v>1.7E-5</v>
          </cell>
          <cell r="G35">
            <v>5.5999999999999999E-5</v>
          </cell>
          <cell r="H35">
            <v>1.7E-5</v>
          </cell>
          <cell r="I35">
            <v>6.9999999999999994E-5</v>
          </cell>
          <cell r="J35">
            <v>3.4E-5</v>
          </cell>
          <cell r="K35">
            <v>2.2408999999999998E-2</v>
          </cell>
          <cell r="L35">
            <v>3.4571999999999999E-2</v>
          </cell>
          <cell r="M35">
            <v>1.9672000000000002E-2</v>
          </cell>
          <cell r="N35">
            <v>2.7006999999999996E-2</v>
          </cell>
          <cell r="O35">
            <v>1.05E-4</v>
          </cell>
          <cell r="P35">
            <v>2.745E-3</v>
          </cell>
          <cell r="Q35">
            <v>1.9989999999999999E-3</v>
          </cell>
          <cell r="R35">
            <v>2.591E-3</v>
          </cell>
          <cell r="S35">
            <v>7.4999999999999993E-5</v>
          </cell>
          <cell r="T35">
            <v>7.1000000000000005E-5</v>
          </cell>
          <cell r="U35">
            <v>2.5600000000000002E-3</v>
          </cell>
          <cell r="V35">
            <v>7.4000000000000003E-3</v>
          </cell>
          <cell r="W35">
            <v>6.2000000000000003E-5</v>
          </cell>
          <cell r="X35">
            <v>6.3999999999999997E-5</v>
          </cell>
          <cell r="Y35">
            <v>4.0000000000000003E-5</v>
          </cell>
          <cell r="Z35">
            <v>3.0000000000000001E-5</v>
          </cell>
          <cell r="AA35">
            <v>2.0999999999999999E-5</v>
          </cell>
          <cell r="AB35">
            <v>1.2E-5</v>
          </cell>
          <cell r="AC35">
            <v>0.93834200000000001</v>
          </cell>
          <cell r="AD35">
            <v>0.93850500000000003</v>
          </cell>
          <cell r="AE35">
            <v>1.453E-2</v>
          </cell>
          <cell r="AF35">
            <v>6.6189999999999999E-3</v>
          </cell>
          <cell r="AG35">
            <v>1.9400000000000001E-5</v>
          </cell>
          <cell r="AH35">
            <v>6.800000000000001E-6</v>
          </cell>
          <cell r="AI35">
            <v>1.6951999999999998E-2</v>
          </cell>
          <cell r="AJ35">
            <v>9.6849999999999992E-3</v>
          </cell>
          <cell r="AK35">
            <v>2.0010000000000002E-3</v>
          </cell>
          <cell r="AL35">
            <v>1.369E-3</v>
          </cell>
          <cell r="AM35">
            <v>1.15E-3</v>
          </cell>
          <cell r="AN35">
            <v>4.4799999999999999E-4</v>
          </cell>
          <cell r="AO35">
            <v>7.8299999999999995E-4</v>
          </cell>
          <cell r="AP35">
            <v>1.075E-3</v>
          </cell>
        </row>
        <row r="36">
          <cell r="B36">
            <v>29</v>
          </cell>
          <cell r="C36">
            <v>5.5000000000000003E-4</v>
          </cell>
          <cell r="D36">
            <v>2.7999999999999998E-4</v>
          </cell>
          <cell r="E36">
            <v>1.5999999999999999E-5</v>
          </cell>
          <cell r="F36">
            <v>1.7E-5</v>
          </cell>
          <cell r="G36">
            <v>5.5999999999999999E-5</v>
          </cell>
          <cell r="H36">
            <v>1.7E-5</v>
          </cell>
          <cell r="I36">
            <v>7.2000000000000002E-5</v>
          </cell>
          <cell r="J36">
            <v>3.4E-5</v>
          </cell>
          <cell r="K36">
            <v>2.4625000000000001E-2</v>
          </cell>
          <cell r="L36">
            <v>4.1182999999999997E-2</v>
          </cell>
          <cell r="M36">
            <v>2.1332000000000004E-2</v>
          </cell>
          <cell r="N36">
            <v>3.1916E-2</v>
          </cell>
          <cell r="O36">
            <v>1.25E-4</v>
          </cell>
          <cell r="P36">
            <v>3.0720000000000001E-3</v>
          </cell>
          <cell r="Q36">
            <v>2.0890000000000001E-3</v>
          </cell>
          <cell r="R36">
            <v>2.415E-3</v>
          </cell>
          <cell r="S36">
            <v>8.2999999999999998E-5</v>
          </cell>
          <cell r="T36">
            <v>6.8999999999999997E-5</v>
          </cell>
          <cell r="U36">
            <v>3.1020000000000002E-3</v>
          </cell>
          <cell r="V36">
            <v>9.0849999999999993E-3</v>
          </cell>
          <cell r="W36">
            <v>6.7999999999999999E-5</v>
          </cell>
          <cell r="X36">
            <v>7.6000000000000004E-5</v>
          </cell>
          <cell r="Y36">
            <v>4.0000000000000003E-5</v>
          </cell>
          <cell r="Z36">
            <v>3.6999999999999998E-5</v>
          </cell>
          <cell r="AA36">
            <v>1.9000000000000001E-5</v>
          </cell>
          <cell r="AB36">
            <v>1.1E-5</v>
          </cell>
          <cell r="AC36">
            <v>0.95988099999999998</v>
          </cell>
          <cell r="AD36">
            <v>1.011698</v>
          </cell>
          <cell r="AE36">
            <v>1.4599000000000001E-2</v>
          </cell>
          <cell r="AF36">
            <v>6.6530000000000001E-3</v>
          </cell>
          <cell r="AG36">
            <v>1.9400000000000001E-5</v>
          </cell>
          <cell r="AH36">
            <v>6.800000000000001E-6</v>
          </cell>
          <cell r="AI36">
            <v>1.7271999999999999E-2</v>
          </cell>
          <cell r="AJ36">
            <v>9.9729999999999992E-3</v>
          </cell>
          <cell r="AK36">
            <v>1.9870000000000001E-3</v>
          </cell>
          <cell r="AL36">
            <v>1.3569999999999999E-3</v>
          </cell>
          <cell r="AM36">
            <v>1.111E-3</v>
          </cell>
          <cell r="AN36">
            <v>4.7100000000000001E-4</v>
          </cell>
          <cell r="AO36">
            <v>9.0499999999999999E-4</v>
          </cell>
          <cell r="AP36">
            <v>1.2149999999999999E-3</v>
          </cell>
        </row>
        <row r="37">
          <cell r="B37">
            <v>30</v>
          </cell>
          <cell r="C37">
            <v>5.5999999999999995E-4</v>
          </cell>
          <cell r="D37">
            <v>3.1E-4</v>
          </cell>
          <cell r="E37">
            <v>1.7E-5</v>
          </cell>
          <cell r="F37">
            <v>1.8E-5</v>
          </cell>
          <cell r="G37">
            <v>6.7999999999999999E-5</v>
          </cell>
          <cell r="H37">
            <v>1.2999999999999999E-5</v>
          </cell>
          <cell r="I37">
            <v>8.5000000000000006E-5</v>
          </cell>
          <cell r="J37">
            <v>3.1000000000000001E-5</v>
          </cell>
          <cell r="K37">
            <v>2.6811999999999999E-2</v>
          </cell>
          <cell r="L37">
            <v>4.7735E-2</v>
          </cell>
          <cell r="M37">
            <v>2.2969E-2</v>
          </cell>
          <cell r="N37">
            <v>3.6781000000000001E-2</v>
          </cell>
          <cell r="O37">
            <v>1.45E-4</v>
          </cell>
          <cell r="P37">
            <v>3.3960000000000001E-3</v>
          </cell>
          <cell r="Q37">
            <v>2.1800000000000001E-3</v>
          </cell>
          <cell r="R37">
            <v>2.2420000000000001E-3</v>
          </cell>
          <cell r="S37">
            <v>9.1000000000000003E-5</v>
          </cell>
          <cell r="T37">
            <v>6.7000000000000002E-5</v>
          </cell>
          <cell r="U37">
            <v>3.6380000000000002E-3</v>
          </cell>
          <cell r="V37">
            <v>1.0756E-2</v>
          </cell>
          <cell r="W37">
            <v>7.3999999999999996E-5</v>
          </cell>
          <cell r="X37">
            <v>8.7999999999999998E-5</v>
          </cell>
          <cell r="Y37">
            <v>4.0000000000000003E-5</v>
          </cell>
          <cell r="Z37">
            <v>4.3000000000000002E-5</v>
          </cell>
          <cell r="AA37">
            <v>1.7E-5</v>
          </cell>
          <cell r="AB37">
            <v>9.0000000000000002E-6</v>
          </cell>
          <cell r="AC37">
            <v>0.98141900000000004</v>
          </cell>
          <cell r="AD37">
            <v>1.084891</v>
          </cell>
          <cell r="AE37">
            <v>1.4708000000000001E-2</v>
          </cell>
          <cell r="AF37">
            <v>6.6779999999999999E-3</v>
          </cell>
          <cell r="AG37">
            <v>1.9400000000000001E-5</v>
          </cell>
          <cell r="AH37">
            <v>6.800000000000001E-6</v>
          </cell>
          <cell r="AI37">
            <v>1.7666999999999999E-2</v>
          </cell>
          <cell r="AJ37">
            <v>1.0278000000000001E-2</v>
          </cell>
          <cell r="AK37">
            <v>1.9750000000000002E-3</v>
          </cell>
          <cell r="AL37">
            <v>1.3389999999999999E-3</v>
          </cell>
          <cell r="AM37">
            <v>1.0790000000000001E-3</v>
          </cell>
          <cell r="AN37">
            <v>4.95E-4</v>
          </cell>
          <cell r="AO37">
            <v>1.0330000000000001E-3</v>
          </cell>
          <cell r="AP37">
            <v>1.358E-3</v>
          </cell>
        </row>
        <row r="38">
          <cell r="B38">
            <v>31</v>
          </cell>
          <cell r="C38">
            <v>5.6999999999999998E-4</v>
          </cell>
          <cell r="D38">
            <v>3.3E-4</v>
          </cell>
          <cell r="E38">
            <v>1.8E-5</v>
          </cell>
          <cell r="F38">
            <v>1.8E-5</v>
          </cell>
          <cell r="G38">
            <v>6.7999999999999999E-5</v>
          </cell>
          <cell r="H38">
            <v>1.2999999999999999E-5</v>
          </cell>
          <cell r="I38">
            <v>8.6000000000000003E-5</v>
          </cell>
          <cell r="J38">
            <v>3.1000000000000001E-5</v>
          </cell>
          <cell r="K38">
            <v>2.8969999999999999E-2</v>
          </cell>
          <cell r="L38">
            <v>5.4232000000000002E-2</v>
          </cell>
          <cell r="M38">
            <v>2.4585000000000003E-2</v>
          </cell>
          <cell r="N38">
            <v>4.1603999999999995E-2</v>
          </cell>
          <cell r="O38">
            <v>1.64E-4</v>
          </cell>
          <cell r="P38">
            <v>3.7139999999999999E-3</v>
          </cell>
          <cell r="Q38">
            <v>2.2690000000000002E-3</v>
          </cell>
          <cell r="R38">
            <v>2.0690000000000001E-3</v>
          </cell>
          <cell r="S38">
            <v>9.8999999999999994E-5</v>
          </cell>
          <cell r="T38">
            <v>6.4999999999999994E-5</v>
          </cell>
          <cell r="U38">
            <v>4.1660000000000004E-3</v>
          </cell>
          <cell r="V38">
            <v>1.2413E-2</v>
          </cell>
          <cell r="W38">
            <v>8.0000000000000007E-5</v>
          </cell>
          <cell r="X38">
            <v>1E-4</v>
          </cell>
          <cell r="Y38">
            <v>4.0000000000000003E-5</v>
          </cell>
          <cell r="Z38">
            <v>5.0000000000000002E-5</v>
          </cell>
          <cell r="AA38">
            <v>1.5E-5</v>
          </cell>
          <cell r="AB38">
            <v>7.9999999999999996E-6</v>
          </cell>
          <cell r="AC38">
            <v>1.002958</v>
          </cell>
          <cell r="AD38">
            <v>1.1580839999999999</v>
          </cell>
          <cell r="AE38">
            <v>1.4841E-2</v>
          </cell>
          <cell r="AF38">
            <v>6.718E-3</v>
          </cell>
          <cell r="AG38">
            <v>1.9400000000000001E-5</v>
          </cell>
          <cell r="AH38">
            <v>6.800000000000001E-6</v>
          </cell>
          <cell r="AI38">
            <v>1.8079999999999999E-2</v>
          </cell>
          <cell r="AJ38">
            <v>1.0599000000000001E-2</v>
          </cell>
          <cell r="AK38">
            <v>1.97E-3</v>
          </cell>
          <cell r="AL38">
            <v>1.3290000000000001E-3</v>
          </cell>
          <cell r="AM38">
            <v>1.0529999999999999E-3</v>
          </cell>
          <cell r="AN38">
            <v>5.1900000000000004E-4</v>
          </cell>
          <cell r="AO38">
            <v>1.1590000000000001E-3</v>
          </cell>
          <cell r="AP38">
            <v>1.4890000000000001E-3</v>
          </cell>
        </row>
        <row r="39">
          <cell r="B39">
            <v>32</v>
          </cell>
          <cell r="C39">
            <v>5.8E-4</v>
          </cell>
          <cell r="D39">
            <v>3.5E-4</v>
          </cell>
          <cell r="E39">
            <v>2.0000000000000002E-5</v>
          </cell>
          <cell r="F39">
            <v>2.0000000000000002E-5</v>
          </cell>
          <cell r="G39">
            <v>6.7999999999999999E-5</v>
          </cell>
          <cell r="H39">
            <v>1.2999999999999999E-5</v>
          </cell>
          <cell r="I39">
            <v>8.7999999999999998E-5</v>
          </cell>
          <cell r="J39">
            <v>3.3000000000000003E-5</v>
          </cell>
          <cell r="K39">
            <v>3.1099999999999999E-2</v>
          </cell>
          <cell r="L39">
            <v>6.0672999999999998E-2</v>
          </cell>
          <cell r="M39">
            <v>2.6178E-2</v>
          </cell>
          <cell r="N39">
            <v>4.6384999999999996E-2</v>
          </cell>
          <cell r="O39">
            <v>1.8200000000000001E-4</v>
          </cell>
          <cell r="P39">
            <v>4.0289999999999996E-3</v>
          </cell>
          <cell r="Q39">
            <v>2.3579999999999999E-3</v>
          </cell>
          <cell r="R39">
            <v>1.9E-3</v>
          </cell>
          <cell r="S39">
            <v>1.07E-4</v>
          </cell>
          <cell r="T39">
            <v>6.3E-5</v>
          </cell>
          <cell r="U39">
            <v>4.6880000000000003E-3</v>
          </cell>
          <cell r="V39">
            <v>1.4055E-2</v>
          </cell>
          <cell r="W39">
            <v>8.7000000000000001E-5</v>
          </cell>
          <cell r="X39">
            <v>1.13E-4</v>
          </cell>
          <cell r="Y39">
            <v>4.0000000000000003E-5</v>
          </cell>
          <cell r="Z39">
            <v>5.7000000000000003E-5</v>
          </cell>
          <cell r="AA39">
            <v>1.2999999999999999E-5</v>
          </cell>
          <cell r="AB39">
            <v>7.9999999999999996E-6</v>
          </cell>
          <cell r="AC39">
            <v>1.0244960000000001</v>
          </cell>
          <cell r="AD39">
            <v>1.231277</v>
          </cell>
          <cell r="AE39">
            <v>1.4997E-2</v>
          </cell>
          <cell r="AF39">
            <v>6.7939999999999997E-3</v>
          </cell>
          <cell r="AG39">
            <v>1.9400000000000001E-5</v>
          </cell>
          <cell r="AH39">
            <v>6.800000000000001E-6</v>
          </cell>
          <cell r="AI39">
            <v>1.8475999999999999E-2</v>
          </cell>
          <cell r="AJ39">
            <v>1.0939000000000001E-2</v>
          </cell>
          <cell r="AK39">
            <v>1.9740000000000001E-3</v>
          </cell>
          <cell r="AL39">
            <v>1.34E-3</v>
          </cell>
          <cell r="AM39">
            <v>1.029E-3</v>
          </cell>
          <cell r="AN39">
            <v>5.44E-4</v>
          </cell>
          <cell r="AO39">
            <v>1.2780000000000001E-3</v>
          </cell>
          <cell r="AP39">
            <v>1.5950000000000001E-3</v>
          </cell>
        </row>
        <row r="40">
          <cell r="B40">
            <v>33</v>
          </cell>
          <cell r="C40">
            <v>5.9000000000000003E-4</v>
          </cell>
          <cell r="D40">
            <v>3.6999999999999999E-4</v>
          </cell>
          <cell r="E40">
            <v>2.0999999999999999E-5</v>
          </cell>
          <cell r="F40">
            <v>2.0999999999999999E-5</v>
          </cell>
          <cell r="G40">
            <v>6.7999999999999999E-5</v>
          </cell>
          <cell r="H40">
            <v>1.2999999999999999E-5</v>
          </cell>
          <cell r="I40">
            <v>8.8999999999999995E-5</v>
          </cell>
          <cell r="J40">
            <v>3.4E-5</v>
          </cell>
          <cell r="K40">
            <v>3.3694000000000002E-2</v>
          </cell>
          <cell r="L40">
            <v>6.7297999999999997E-2</v>
          </cell>
          <cell r="M40">
            <v>2.8616000000000006E-2</v>
          </cell>
          <cell r="N40">
            <v>5.3054999999999991E-2</v>
          </cell>
          <cell r="O40">
            <v>2.02E-4</v>
          </cell>
          <cell r="P40">
            <v>4.339E-3</v>
          </cell>
          <cell r="Q40">
            <v>2.1979999999999999E-3</v>
          </cell>
          <cell r="R40">
            <v>2.0200000000000001E-3</v>
          </cell>
          <cell r="S40">
            <v>1.15E-4</v>
          </cell>
          <cell r="T40">
            <v>6.0000000000000002E-5</v>
          </cell>
          <cell r="U40">
            <v>4.8320000000000004E-3</v>
          </cell>
          <cell r="V40">
            <v>1.3995E-2</v>
          </cell>
          <cell r="W40">
            <v>9.2999999999999997E-5</v>
          </cell>
          <cell r="X40">
            <v>1.25E-4</v>
          </cell>
          <cell r="Y40">
            <v>3.8000000000000002E-5</v>
          </cell>
          <cell r="Z40">
            <v>6.3E-5</v>
          </cell>
          <cell r="AA40">
            <v>1.2999999999999999E-5</v>
          </cell>
          <cell r="AB40">
            <v>7.9999999999999996E-6</v>
          </cell>
          <cell r="AC40">
            <v>1.0373680000000001</v>
          </cell>
          <cell r="AD40">
            <v>1.2103759999999999</v>
          </cell>
          <cell r="AE40">
            <v>1.5178000000000001E-2</v>
          </cell>
          <cell r="AF40">
            <v>6.9100000000000003E-3</v>
          </cell>
          <cell r="AG40">
            <v>1.9400000000000001E-5</v>
          </cell>
          <cell r="AH40">
            <v>6.800000000000001E-6</v>
          </cell>
          <cell r="AI40">
            <v>1.8848E-2</v>
          </cell>
          <cell r="AJ40">
            <v>1.1303000000000001E-2</v>
          </cell>
          <cell r="AK40">
            <v>1.9889999999999999E-3</v>
          </cell>
          <cell r="AL40">
            <v>1.3760000000000001E-3</v>
          </cell>
          <cell r="AM40">
            <v>1.016E-3</v>
          </cell>
          <cell r="AN40">
            <v>5.5900000000000004E-4</v>
          </cell>
          <cell r="AO40">
            <v>1.392E-3</v>
          </cell>
          <cell r="AP40">
            <v>1.671E-3</v>
          </cell>
        </row>
        <row r="41">
          <cell r="B41">
            <v>34</v>
          </cell>
          <cell r="C41">
            <v>5.9999999999999995E-4</v>
          </cell>
          <cell r="D41">
            <v>3.8000000000000002E-4</v>
          </cell>
          <cell r="E41">
            <v>2.1999999999999999E-5</v>
          </cell>
          <cell r="F41">
            <v>2.1999999999999999E-5</v>
          </cell>
          <cell r="G41">
            <v>6.7999999999999999E-5</v>
          </cell>
          <cell r="H41">
            <v>1.2999999999999999E-5</v>
          </cell>
          <cell r="I41">
            <v>8.9999999999999992E-5</v>
          </cell>
          <cell r="J41">
            <v>3.4999999999999997E-5</v>
          </cell>
          <cell r="K41">
            <v>3.6254000000000002E-2</v>
          </cell>
          <cell r="L41">
            <v>7.3862999999999998E-2</v>
          </cell>
          <cell r="M41">
            <v>3.1021000000000007E-2</v>
          </cell>
          <cell r="N41">
            <v>5.9661999999999993E-2</v>
          </cell>
          <cell r="O41">
            <v>2.2100000000000001E-4</v>
          </cell>
          <cell r="P41">
            <v>4.646E-3</v>
          </cell>
          <cell r="Q41">
            <v>2.0379999999999999E-3</v>
          </cell>
          <cell r="R41">
            <v>2.1380000000000001E-3</v>
          </cell>
          <cell r="S41">
            <v>1.2300000000000001E-4</v>
          </cell>
          <cell r="T41">
            <v>5.8E-5</v>
          </cell>
          <cell r="U41">
            <v>4.973E-3</v>
          </cell>
          <cell r="V41">
            <v>1.3936E-2</v>
          </cell>
          <cell r="W41">
            <v>9.8999999999999994E-5</v>
          </cell>
          <cell r="X41">
            <v>1.37E-4</v>
          </cell>
          <cell r="Y41">
            <v>3.8000000000000002E-5</v>
          </cell>
          <cell r="Z41">
            <v>6.9999999999999994E-5</v>
          </cell>
          <cell r="AA41">
            <v>1.2999999999999999E-5</v>
          </cell>
          <cell r="AB41">
            <v>9.0000000000000002E-6</v>
          </cell>
          <cell r="AC41">
            <v>1.0502389999999999</v>
          </cell>
          <cell r="AD41">
            <v>1.1894750000000001</v>
          </cell>
          <cell r="AE41">
            <v>1.5387E-2</v>
          </cell>
          <cell r="AF41">
            <v>7.0559999999999998E-3</v>
          </cell>
          <cell r="AG41">
            <v>1.9400000000000001E-5</v>
          </cell>
          <cell r="AH41">
            <v>6.800000000000001E-6</v>
          </cell>
          <cell r="AI41">
            <v>1.9213000000000001E-2</v>
          </cell>
          <cell r="AJ41">
            <v>1.1689E-2</v>
          </cell>
          <cell r="AK41">
            <v>2.013E-3</v>
          </cell>
          <cell r="AL41">
            <v>1.4319999999999999E-3</v>
          </cell>
          <cell r="AM41">
            <v>1.0020000000000001E-3</v>
          </cell>
          <cell r="AN41">
            <v>5.7200000000000003E-4</v>
          </cell>
          <cell r="AO41">
            <v>1.503E-3</v>
          </cell>
          <cell r="AP41">
            <v>1.7240000000000001E-3</v>
          </cell>
        </row>
        <row r="42">
          <cell r="B42">
            <v>35</v>
          </cell>
          <cell r="C42">
            <v>6.2E-4</v>
          </cell>
          <cell r="D42">
            <v>4.0000000000000002E-4</v>
          </cell>
          <cell r="E42">
            <v>2.5999999999999998E-5</v>
          </cell>
          <cell r="F42">
            <v>2.5000000000000001E-5</v>
          </cell>
          <cell r="G42">
            <v>6.7999999999999999E-5</v>
          </cell>
          <cell r="H42">
            <v>1.2999999999999999E-5</v>
          </cell>
          <cell r="I42">
            <v>9.3999999999999994E-5</v>
          </cell>
          <cell r="J42">
            <v>3.8000000000000002E-5</v>
          </cell>
          <cell r="K42">
            <v>3.8785E-2</v>
          </cell>
          <cell r="L42">
            <v>7.9981999999999998E-2</v>
          </cell>
          <cell r="M42">
            <v>3.3367999999999995E-2</v>
          </cell>
          <cell r="N42">
            <v>6.5876999999999991E-2</v>
          </cell>
          <cell r="O42">
            <v>2.52E-4</v>
          </cell>
          <cell r="P42">
            <v>5.0200000000000002E-3</v>
          </cell>
          <cell r="Q42">
            <v>1.879E-3</v>
          </cell>
          <cell r="R42">
            <v>2.2560000000000002E-3</v>
          </cell>
          <cell r="S42">
            <v>1.35E-4</v>
          </cell>
          <cell r="T42">
            <v>6.2000000000000003E-5</v>
          </cell>
          <cell r="U42">
            <v>5.1130000000000004E-3</v>
          </cell>
          <cell r="V42">
            <v>1.3809999999999999E-2</v>
          </cell>
          <cell r="W42">
            <v>1.11E-4</v>
          </cell>
          <cell r="X42">
            <v>1.56E-4</v>
          </cell>
          <cell r="Y42">
            <v>5.8E-5</v>
          </cell>
          <cell r="Z42">
            <v>7.7000000000000001E-5</v>
          </cell>
          <cell r="AA42">
            <v>1.2999999999999999E-5</v>
          </cell>
          <cell r="AB42">
            <v>1.0000000000000001E-5</v>
          </cell>
          <cell r="AC42">
            <v>1.0631109999999999</v>
          </cell>
          <cell r="AD42">
            <v>1.168574</v>
          </cell>
          <cell r="AE42">
            <v>1.5613E-2</v>
          </cell>
          <cell r="AF42">
            <v>7.2249999999999997E-3</v>
          </cell>
          <cell r="AG42">
            <v>1.9400000000000001E-5</v>
          </cell>
          <cell r="AH42">
            <v>6.800000000000001E-6</v>
          </cell>
          <cell r="AI42">
            <v>1.9581000000000001E-2</v>
          </cell>
          <cell r="AJ42">
            <v>1.2087000000000001E-2</v>
          </cell>
          <cell r="AK42">
            <v>2.0439999999999998E-3</v>
          </cell>
          <cell r="AL42">
            <v>1.498E-3</v>
          </cell>
          <cell r="AM42">
            <v>9.9599999999999992E-4</v>
          </cell>
          <cell r="AN42">
            <v>5.8799999999999998E-4</v>
          </cell>
          <cell r="AO42">
            <v>1.6069999999999999E-3</v>
          </cell>
          <cell r="AP42">
            <v>1.761E-3</v>
          </cell>
        </row>
        <row r="43">
          <cell r="B43">
            <v>36</v>
          </cell>
          <cell r="C43">
            <v>6.4999999999999997E-4</v>
          </cell>
          <cell r="D43">
            <v>4.0999999999999999E-4</v>
          </cell>
          <cell r="E43">
            <v>3.3000000000000003E-5</v>
          </cell>
          <cell r="F43">
            <v>2.9E-5</v>
          </cell>
          <cell r="G43">
            <v>6.7999999999999999E-5</v>
          </cell>
          <cell r="H43">
            <v>1.2999999999999999E-5</v>
          </cell>
          <cell r="I43">
            <v>1.01E-4</v>
          </cell>
          <cell r="J43">
            <v>4.1999999999999998E-5</v>
          </cell>
          <cell r="K43">
            <v>4.1288999999999999E-2</v>
          </cell>
          <cell r="L43">
            <v>8.5555000000000006E-2</v>
          </cell>
          <cell r="M43">
            <v>3.5659000000000003E-2</v>
          </cell>
          <cell r="N43">
            <v>7.1598999999999996E-2</v>
          </cell>
          <cell r="O43">
            <v>2.9500000000000001E-4</v>
          </cell>
          <cell r="P43">
            <v>5.4580000000000002E-3</v>
          </cell>
          <cell r="Q43">
            <v>1.72E-3</v>
          </cell>
          <cell r="R43">
            <v>2.3709999999999998E-3</v>
          </cell>
          <cell r="S43">
            <v>1.5100000000000001E-4</v>
          </cell>
          <cell r="T43">
            <v>7.1000000000000005E-5</v>
          </cell>
          <cell r="U43">
            <v>5.2529999999999999E-3</v>
          </cell>
          <cell r="V43">
            <v>1.3615E-2</v>
          </cell>
          <cell r="W43">
            <v>1.2899999999999999E-4</v>
          </cell>
          <cell r="X43">
            <v>1.83E-4</v>
          </cell>
          <cell r="Y43">
            <v>9.7E-5</v>
          </cell>
          <cell r="Z43">
            <v>8.7000000000000001E-5</v>
          </cell>
          <cell r="AA43">
            <v>1.4E-5</v>
          </cell>
          <cell r="AB43">
            <v>1.1E-5</v>
          </cell>
          <cell r="AC43">
            <v>1.0759829999999999</v>
          </cell>
          <cell r="AD43">
            <v>1.1476729999999999</v>
          </cell>
          <cell r="AE43">
            <v>1.5841999999999998E-2</v>
          </cell>
          <cell r="AF43">
            <v>7.4120000000000002E-3</v>
          </cell>
          <cell r="AG43">
            <v>1.9400000000000001E-5</v>
          </cell>
          <cell r="AH43">
            <v>6.800000000000001E-6</v>
          </cell>
          <cell r="AI43">
            <v>1.9970999999999999E-2</v>
          </cell>
          <cell r="AJ43">
            <v>1.2485E-2</v>
          </cell>
          <cell r="AK43">
            <v>2.0799999999999998E-3</v>
          </cell>
          <cell r="AL43">
            <v>1.5679999999999999E-3</v>
          </cell>
          <cell r="AM43">
            <v>1.005E-3</v>
          </cell>
          <cell r="AN43">
            <v>6.0800000000000003E-4</v>
          </cell>
          <cell r="AO43">
            <v>1.6930000000000001E-3</v>
          </cell>
          <cell r="AP43">
            <v>1.7910000000000001E-3</v>
          </cell>
        </row>
        <row r="44">
          <cell r="B44">
            <v>37</v>
          </cell>
          <cell r="C44">
            <v>6.9999999999999999E-4</v>
          </cell>
          <cell r="D44">
            <v>4.4000000000000002E-4</v>
          </cell>
          <cell r="E44">
            <v>3.8000000000000002E-5</v>
          </cell>
          <cell r="F44">
            <v>3.4E-5</v>
          </cell>
          <cell r="G44">
            <v>6.7999999999999999E-5</v>
          </cell>
          <cell r="H44">
            <v>1.2999999999999999E-5</v>
          </cell>
          <cell r="I44">
            <v>1.06E-4</v>
          </cell>
          <cell r="J44">
            <v>4.6999999999999997E-5</v>
          </cell>
          <cell r="K44">
            <v>4.3761000000000001E-2</v>
          </cell>
          <cell r="L44">
            <v>9.0937000000000004E-2</v>
          </cell>
          <cell r="M44">
            <v>3.7919000000000001E-2</v>
          </cell>
          <cell r="N44">
            <v>7.7132000000000006E-2</v>
          </cell>
          <cell r="O44">
            <v>3.3799999999999998E-4</v>
          </cell>
          <cell r="P44">
            <v>5.8910000000000004E-3</v>
          </cell>
          <cell r="Q44">
            <v>1.562E-3</v>
          </cell>
          <cell r="R44">
            <v>2.4840000000000001E-3</v>
          </cell>
          <cell r="S44">
            <v>1.6799999999999999E-4</v>
          </cell>
          <cell r="T44">
            <v>7.7999999999999999E-5</v>
          </cell>
          <cell r="U44">
            <v>5.3889999999999997E-3</v>
          </cell>
          <cell r="V44">
            <v>1.3422E-2</v>
          </cell>
          <cell r="W44">
            <v>1.4899999999999999E-4</v>
          </cell>
          <cell r="X44">
            <v>2.1000000000000001E-4</v>
          </cell>
          <cell r="Y44">
            <v>1.36E-4</v>
          </cell>
          <cell r="Z44">
            <v>9.5000000000000005E-5</v>
          </cell>
          <cell r="AA44">
            <v>1.5E-5</v>
          </cell>
          <cell r="AB44">
            <v>1.1E-5</v>
          </cell>
          <cell r="AC44">
            <v>1.0888549999999999</v>
          </cell>
          <cell r="AD44">
            <v>1.1267720000000001</v>
          </cell>
          <cell r="AE44">
            <v>1.6067999999999999E-2</v>
          </cell>
          <cell r="AF44">
            <v>7.6189999999999999E-3</v>
          </cell>
          <cell r="AG44">
            <v>1.9400000000000001E-5</v>
          </cell>
          <cell r="AH44">
            <v>6.800000000000001E-6</v>
          </cell>
          <cell r="AI44">
            <v>2.0399E-2</v>
          </cell>
          <cell r="AJ44">
            <v>1.2874E-2</v>
          </cell>
          <cell r="AK44">
            <v>2.1210000000000001E-3</v>
          </cell>
          <cell r="AL44">
            <v>1.634E-3</v>
          </cell>
          <cell r="AM44">
            <v>1.0399999999999999E-3</v>
          </cell>
          <cell r="AN44">
            <v>6.3599999999999996E-4</v>
          </cell>
          <cell r="AO44">
            <v>1.7539999999999999E-3</v>
          </cell>
          <cell r="AP44">
            <v>1.8159999999999999E-3</v>
          </cell>
        </row>
        <row r="45">
          <cell r="B45">
            <v>38</v>
          </cell>
          <cell r="C45">
            <v>7.6999999999999996E-4</v>
          </cell>
          <cell r="D45">
            <v>4.6000000000000001E-4</v>
          </cell>
          <cell r="E45">
            <v>4.3999999999999999E-5</v>
          </cell>
          <cell r="F45">
            <v>3.8000000000000002E-5</v>
          </cell>
          <cell r="G45">
            <v>6.7999999999999999E-5</v>
          </cell>
          <cell r="H45">
            <v>1.2999999999999999E-5</v>
          </cell>
          <cell r="I45">
            <v>1.12E-4</v>
          </cell>
          <cell r="J45">
            <v>5.1E-5</v>
          </cell>
          <cell r="K45">
            <v>4.9286000000000003E-2</v>
          </cell>
          <cell r="L45">
            <v>0.102634</v>
          </cell>
          <cell r="M45">
            <v>4.3507000000000004E-2</v>
          </cell>
          <cell r="N45">
            <v>8.8080999999999993E-2</v>
          </cell>
          <cell r="O45">
            <v>3.8000000000000002E-4</v>
          </cell>
          <cell r="P45">
            <v>6.3179999999999998E-3</v>
          </cell>
          <cell r="Q45">
            <v>1.516E-3</v>
          </cell>
          <cell r="R45">
            <v>2.6259999999999999E-3</v>
          </cell>
          <cell r="S45">
            <v>1.85E-4</v>
          </cell>
          <cell r="T45">
            <v>8.7000000000000001E-5</v>
          </cell>
          <cell r="U45">
            <v>5.2519999999999997E-3</v>
          </cell>
          <cell r="V45">
            <v>1.4128E-2</v>
          </cell>
          <cell r="W45">
            <v>1.6699999999999999E-4</v>
          </cell>
          <cell r="X45">
            <v>2.3499999999999999E-4</v>
          </cell>
          <cell r="Y45">
            <v>1.75E-4</v>
          </cell>
          <cell r="Z45">
            <v>1.03E-4</v>
          </cell>
          <cell r="AA45">
            <v>1.7E-5</v>
          </cell>
          <cell r="AB45">
            <v>1.2E-5</v>
          </cell>
          <cell r="AC45">
            <v>1.0983689999999999</v>
          </cell>
          <cell r="AD45">
            <v>1.1484760000000001</v>
          </cell>
          <cell r="AE45">
            <v>1.6288E-2</v>
          </cell>
          <cell r="AF45">
            <v>7.8370000000000002E-3</v>
          </cell>
          <cell r="AG45">
            <v>1.9400000000000001E-5</v>
          </cell>
          <cell r="AH45">
            <v>6.800000000000001E-6</v>
          </cell>
          <cell r="AI45">
            <v>2.0882000000000001E-2</v>
          </cell>
          <cell r="AJ45">
            <v>1.3247E-2</v>
          </cell>
          <cell r="AK45">
            <v>2.1679999999999998E-3</v>
          </cell>
          <cell r="AL45">
            <v>1.699E-3</v>
          </cell>
          <cell r="AM45">
            <v>1.0950000000000001E-3</v>
          </cell>
          <cell r="AN45">
            <v>6.9099999999999999E-4</v>
          </cell>
          <cell r="AO45">
            <v>1.781E-3</v>
          </cell>
          <cell r="AP45">
            <v>1.836E-3</v>
          </cell>
        </row>
        <row r="46">
          <cell r="B46">
            <v>39</v>
          </cell>
          <cell r="C46">
            <v>8.3000000000000001E-4</v>
          </cell>
          <cell r="D46">
            <v>4.6999999999999999E-4</v>
          </cell>
          <cell r="E46">
            <v>5.1E-5</v>
          </cell>
          <cell r="F46">
            <v>4.3999999999999999E-5</v>
          </cell>
          <cell r="G46">
            <v>6.7999999999999999E-5</v>
          </cell>
          <cell r="H46">
            <v>1.2999999999999999E-5</v>
          </cell>
          <cell r="I46">
            <v>1.1899999999999999E-4</v>
          </cell>
          <cell r="J46">
            <v>5.6999999999999996E-5</v>
          </cell>
          <cell r="K46">
            <v>5.4739999999999997E-2</v>
          </cell>
          <cell r="L46">
            <v>0.113951</v>
          </cell>
          <cell r="M46">
            <v>4.9022999999999997E-2</v>
          </cell>
          <cell r="N46">
            <v>9.8679000000000003E-2</v>
          </cell>
          <cell r="O46">
            <v>4.2200000000000001E-4</v>
          </cell>
          <cell r="P46">
            <v>6.7390000000000002E-3</v>
          </cell>
          <cell r="Q46">
            <v>1.4710000000000001E-3</v>
          </cell>
          <cell r="R46">
            <v>2.7669999999999999E-3</v>
          </cell>
          <cell r="S46">
            <v>2.0100000000000001E-4</v>
          </cell>
          <cell r="T46">
            <v>9.3999999999999994E-5</v>
          </cell>
          <cell r="U46">
            <v>5.117E-3</v>
          </cell>
          <cell r="V46">
            <v>1.4808E-2</v>
          </cell>
          <cell r="W46">
            <v>1.8599999999999999E-4</v>
          </cell>
          <cell r="X46">
            <v>2.5900000000000001E-4</v>
          </cell>
          <cell r="Y46">
            <v>2.13E-4</v>
          </cell>
          <cell r="Z46">
            <v>1.11E-4</v>
          </cell>
          <cell r="AA46">
            <v>1.8E-5</v>
          </cell>
          <cell r="AB46">
            <v>1.2E-5</v>
          </cell>
          <cell r="AC46">
            <v>1.1078840000000001</v>
          </cell>
          <cell r="AD46">
            <v>1.17018</v>
          </cell>
          <cell r="AE46">
            <v>1.6506E-2</v>
          </cell>
          <cell r="AF46">
            <v>8.0680000000000005E-3</v>
          </cell>
          <cell r="AG46">
            <v>1.9400000000000001E-5</v>
          </cell>
          <cell r="AH46">
            <v>6.800000000000001E-6</v>
          </cell>
          <cell r="AI46">
            <v>2.1412E-2</v>
          </cell>
          <cell r="AJ46">
            <v>1.3610000000000001E-2</v>
          </cell>
          <cell r="AK46">
            <v>2.2200000000000002E-3</v>
          </cell>
          <cell r="AL46">
            <v>1.763E-3</v>
          </cell>
          <cell r="AM46">
            <v>1.173E-3</v>
          </cell>
          <cell r="AN46">
            <v>7.5699999999999997E-4</v>
          </cell>
          <cell r="AO46">
            <v>1.7799999999999999E-3</v>
          </cell>
          <cell r="AP46">
            <v>1.8500000000000001E-3</v>
          </cell>
        </row>
        <row r="47">
          <cell r="B47">
            <v>40</v>
          </cell>
          <cell r="C47">
            <v>8.8999999999999995E-4</v>
          </cell>
          <cell r="D47">
            <v>4.8999999999999998E-4</v>
          </cell>
          <cell r="E47">
            <v>5.7000000000000003E-5</v>
          </cell>
          <cell r="F47">
            <v>4.8999999999999998E-5</v>
          </cell>
          <cell r="G47">
            <v>1.1400000000000001E-4</v>
          </cell>
          <cell r="H47">
            <v>2.1999999999999999E-5</v>
          </cell>
          <cell r="I47">
            <v>1.7100000000000001E-4</v>
          </cell>
          <cell r="J47">
            <v>7.0999999999999991E-5</v>
          </cell>
          <cell r="K47">
            <v>6.0123000000000003E-2</v>
          </cell>
          <cell r="L47">
            <v>0.124887</v>
          </cell>
          <cell r="M47">
            <v>5.4469999999999998E-2</v>
          </cell>
          <cell r="N47">
            <v>0.10892299999999999</v>
          </cell>
          <cell r="O47">
            <v>4.64E-4</v>
          </cell>
          <cell r="P47">
            <v>7.1549999999999999E-3</v>
          </cell>
          <cell r="Q47">
            <v>1.426E-3</v>
          </cell>
          <cell r="R47">
            <v>2.905E-3</v>
          </cell>
          <cell r="S47">
            <v>2.1699999999999999E-4</v>
          </cell>
          <cell r="T47">
            <v>1.02E-4</v>
          </cell>
          <cell r="U47">
            <v>4.9829999999999996E-3</v>
          </cell>
          <cell r="V47">
            <v>1.5462E-2</v>
          </cell>
          <cell r="W47">
            <v>2.03E-4</v>
          </cell>
          <cell r="X47">
            <v>2.8200000000000002E-4</v>
          </cell>
          <cell r="Y47">
            <v>2.5000000000000001E-4</v>
          </cell>
          <cell r="Z47">
            <v>1.18E-4</v>
          </cell>
          <cell r="AA47">
            <v>2.0000000000000002E-5</v>
          </cell>
          <cell r="AB47">
            <v>1.2E-5</v>
          </cell>
          <cell r="AC47">
            <v>1.1173979999999999</v>
          </cell>
          <cell r="AD47">
            <v>1.1918839999999999</v>
          </cell>
          <cell r="AE47">
            <v>1.6726000000000001E-2</v>
          </cell>
          <cell r="AF47">
            <v>8.3260000000000001E-3</v>
          </cell>
          <cell r="AG47">
            <v>1.9400000000000001E-5</v>
          </cell>
          <cell r="AH47">
            <v>6.800000000000001E-6</v>
          </cell>
          <cell r="AI47">
            <v>2.1950000000000001E-2</v>
          </cell>
          <cell r="AJ47">
            <v>1.3975E-2</v>
          </cell>
          <cell r="AK47">
            <v>2.2769999999999999E-3</v>
          </cell>
          <cell r="AL47">
            <v>1.8270000000000001E-3</v>
          </cell>
          <cell r="AM47">
            <v>1.2639999999999999E-3</v>
          </cell>
          <cell r="AN47">
            <v>8.3100000000000003E-4</v>
          </cell>
          <cell r="AO47">
            <v>1.7650000000000001E-3</v>
          </cell>
          <cell r="AP47">
            <v>1.859E-3</v>
          </cell>
        </row>
        <row r="48">
          <cell r="B48">
            <v>41</v>
          </cell>
          <cell r="C48">
            <v>9.3999999999999997E-4</v>
          </cell>
          <cell r="D48">
            <v>5.1000000000000004E-4</v>
          </cell>
          <cell r="E48">
            <v>6.3999999999999997E-5</v>
          </cell>
          <cell r="F48">
            <v>5.5999999999999999E-5</v>
          </cell>
          <cell r="G48">
            <v>1.1400000000000001E-4</v>
          </cell>
          <cell r="H48">
            <v>2.1999999999999999E-5</v>
          </cell>
          <cell r="I48">
            <v>1.7799999999999999E-4</v>
          </cell>
          <cell r="J48">
            <v>7.7999999999999999E-5</v>
          </cell>
          <cell r="K48">
            <v>6.5437999999999996E-2</v>
          </cell>
          <cell r="L48">
            <v>0.13544300000000001</v>
          </cell>
          <cell r="M48">
            <v>5.9846000000000003E-2</v>
          </cell>
          <cell r="N48">
            <v>0.11881400000000002</v>
          </cell>
          <cell r="O48">
            <v>5.0600000000000005E-4</v>
          </cell>
          <cell r="P48">
            <v>7.5649999999999997E-3</v>
          </cell>
          <cell r="Q48">
            <v>1.3810000000000001E-3</v>
          </cell>
          <cell r="R48">
            <v>3.0409999999999999E-3</v>
          </cell>
          <cell r="S48">
            <v>2.32E-4</v>
          </cell>
          <cell r="T48">
            <v>1.0900000000000001E-4</v>
          </cell>
          <cell r="U48">
            <v>4.8500000000000001E-3</v>
          </cell>
          <cell r="V48">
            <v>1.6088999999999999E-2</v>
          </cell>
          <cell r="W48">
            <v>2.22E-4</v>
          </cell>
          <cell r="X48">
            <v>3.0499999999999999E-4</v>
          </cell>
          <cell r="Y48">
            <v>2.8800000000000001E-4</v>
          </cell>
          <cell r="Z48">
            <v>1.26E-4</v>
          </cell>
          <cell r="AA48">
            <v>2.1999999999999999E-5</v>
          </cell>
          <cell r="AB48">
            <v>1.2E-5</v>
          </cell>
          <cell r="AC48">
            <v>1.1269119999999999</v>
          </cell>
          <cell r="AD48">
            <v>1.213589</v>
          </cell>
          <cell r="AE48">
            <v>1.6957E-2</v>
          </cell>
          <cell r="AF48">
            <v>8.6370000000000006E-3</v>
          </cell>
          <cell r="AG48">
            <v>1.9400000000000001E-5</v>
          </cell>
          <cell r="AH48">
            <v>6.800000000000001E-6</v>
          </cell>
          <cell r="AI48">
            <v>2.2440000000000002E-2</v>
          </cell>
          <cell r="AJ48">
            <v>1.4367E-2</v>
          </cell>
          <cell r="AK48">
            <v>2.3340000000000001E-3</v>
          </cell>
          <cell r="AL48">
            <v>1.8890000000000001E-3</v>
          </cell>
          <cell r="AM48">
            <v>1.3569999999999999E-3</v>
          </cell>
          <cell r="AN48">
            <v>9.1100000000000003E-4</v>
          </cell>
          <cell r="AO48">
            <v>1.756E-3</v>
          </cell>
          <cell r="AP48">
            <v>1.8649999999999999E-3</v>
          </cell>
        </row>
        <row r="49">
          <cell r="B49">
            <v>42</v>
          </cell>
          <cell r="C49">
            <v>9.8999999999999999E-4</v>
          </cell>
          <cell r="D49">
            <v>5.2999999999999998E-4</v>
          </cell>
          <cell r="E49">
            <v>7.2000000000000002E-5</v>
          </cell>
          <cell r="F49">
            <v>6.2000000000000003E-5</v>
          </cell>
          <cell r="G49">
            <v>1.1400000000000001E-4</v>
          </cell>
          <cell r="H49">
            <v>2.1999999999999999E-5</v>
          </cell>
          <cell r="I49">
            <v>1.8600000000000002E-4</v>
          </cell>
          <cell r="J49">
            <v>8.4000000000000009E-5</v>
          </cell>
          <cell r="K49">
            <v>7.0681999999999995E-2</v>
          </cell>
          <cell r="L49">
            <v>0.145617</v>
          </cell>
          <cell r="M49">
            <v>6.5151999999999988E-2</v>
          </cell>
          <cell r="N49">
            <v>0.12835099999999999</v>
          </cell>
          <cell r="O49">
            <v>5.4799999999999998E-4</v>
          </cell>
          <cell r="P49">
            <v>7.9690000000000004E-3</v>
          </cell>
          <cell r="Q49">
            <v>1.335E-3</v>
          </cell>
          <cell r="R49">
            <v>3.1749999999999999E-3</v>
          </cell>
          <cell r="S49">
            <v>2.4899999999999998E-4</v>
          </cell>
          <cell r="T49">
            <v>1.16E-4</v>
          </cell>
          <cell r="U49">
            <v>4.718E-3</v>
          </cell>
          <cell r="V49">
            <v>1.669E-2</v>
          </cell>
          <cell r="W49">
            <v>2.3900000000000001E-4</v>
          </cell>
          <cell r="X49">
            <v>3.2699999999999998E-4</v>
          </cell>
          <cell r="Y49">
            <v>3.2400000000000001E-4</v>
          </cell>
          <cell r="Z49">
            <v>1.3300000000000001E-4</v>
          </cell>
          <cell r="AA49">
            <v>2.3E-5</v>
          </cell>
          <cell r="AB49">
            <v>1.2E-5</v>
          </cell>
          <cell r="AC49">
            <v>1.1364270000000001</v>
          </cell>
          <cell r="AD49">
            <v>1.235293</v>
          </cell>
          <cell r="AE49">
            <v>1.7205999999999999E-2</v>
          </cell>
          <cell r="AF49">
            <v>9.0299999999999998E-3</v>
          </cell>
          <cell r="AG49">
            <v>1.9400000000000001E-5</v>
          </cell>
          <cell r="AH49">
            <v>6.800000000000001E-6</v>
          </cell>
          <cell r="AI49">
            <v>2.2832000000000002E-2</v>
          </cell>
          <cell r="AJ49">
            <v>1.4806E-2</v>
          </cell>
          <cell r="AK49">
            <v>2.3930000000000002E-3</v>
          </cell>
          <cell r="AL49">
            <v>1.9499999999999999E-3</v>
          </cell>
          <cell r="AM49">
            <v>1.449E-3</v>
          </cell>
          <cell r="AN49">
            <v>9.9599999999999992E-4</v>
          </cell>
          <cell r="AO49">
            <v>1.766E-3</v>
          </cell>
          <cell r="AP49">
            <v>1.8680000000000001E-3</v>
          </cell>
        </row>
        <row r="50">
          <cell r="B50">
            <v>43</v>
          </cell>
          <cell r="C50">
            <v>1.0399999999999999E-3</v>
          </cell>
          <cell r="D50">
            <v>5.5000000000000003E-4</v>
          </cell>
          <cell r="E50">
            <v>7.8999999999999996E-5</v>
          </cell>
          <cell r="F50">
            <v>6.9999999999999994E-5</v>
          </cell>
          <cell r="G50">
            <v>1.1400000000000001E-4</v>
          </cell>
          <cell r="H50">
            <v>2.1999999999999999E-5</v>
          </cell>
          <cell r="I50">
            <v>1.93E-4</v>
          </cell>
          <cell r="J50">
            <v>9.1999999999999987E-5</v>
          </cell>
          <cell r="K50">
            <v>7.8395000000000006E-2</v>
          </cell>
          <cell r="L50">
            <v>0.15390799999999999</v>
          </cell>
          <cell r="M50">
            <v>7.2724000000000011E-2</v>
          </cell>
          <cell r="N50">
            <v>0.13744999999999999</v>
          </cell>
          <cell r="O50">
            <v>5.9000000000000003E-4</v>
          </cell>
          <cell r="P50">
            <v>8.3660000000000002E-3</v>
          </cell>
          <cell r="Q50">
            <v>1.3439999999999999E-3</v>
          </cell>
          <cell r="R50">
            <v>3.2560000000000002E-3</v>
          </cell>
          <cell r="S50">
            <v>2.6400000000000002E-4</v>
          </cell>
          <cell r="T50">
            <v>1.2300000000000001E-4</v>
          </cell>
          <cell r="U50">
            <v>4.79E-3</v>
          </cell>
          <cell r="V50">
            <v>1.5848000000000001E-2</v>
          </cell>
          <cell r="W50">
            <v>2.5700000000000001E-4</v>
          </cell>
          <cell r="X50">
            <v>3.48E-4</v>
          </cell>
          <cell r="Y50">
            <v>3.6000000000000002E-4</v>
          </cell>
          <cell r="Z50">
            <v>1.3899999999999999E-4</v>
          </cell>
          <cell r="AA50">
            <v>2.3E-5</v>
          </cell>
          <cell r="AB50">
            <v>1.2E-5</v>
          </cell>
          <cell r="AC50">
            <v>1.1668179999999999</v>
          </cell>
          <cell r="AD50">
            <v>1.340743</v>
          </cell>
          <cell r="AE50">
            <v>1.7481E-2</v>
          </cell>
          <cell r="AF50">
            <v>9.4990000000000005E-3</v>
          </cell>
          <cell r="AG50">
            <v>1.9400000000000001E-5</v>
          </cell>
          <cell r="AH50">
            <v>6.800000000000001E-6</v>
          </cell>
          <cell r="AI50">
            <v>2.3102999999999999E-2</v>
          </cell>
          <cell r="AJ50">
            <v>1.5259E-2</v>
          </cell>
          <cell r="AK50">
            <v>2.4489999999999998E-3</v>
          </cell>
          <cell r="AL50">
            <v>2.0040000000000001E-3</v>
          </cell>
          <cell r="AM50">
            <v>1.565E-3</v>
          </cell>
          <cell r="AN50">
            <v>1.0579999999999999E-3</v>
          </cell>
          <cell r="AO50">
            <v>1.797E-3</v>
          </cell>
          <cell r="AP50">
            <v>1.867E-3</v>
          </cell>
        </row>
        <row r="51">
          <cell r="B51">
            <v>44</v>
          </cell>
          <cell r="C51">
            <v>1.1100000000000001E-3</v>
          </cell>
          <cell r="D51">
            <v>5.8E-4</v>
          </cell>
          <cell r="E51">
            <v>8.7000000000000001E-5</v>
          </cell>
          <cell r="F51">
            <v>7.8999999999999996E-5</v>
          </cell>
          <cell r="G51">
            <v>1.1400000000000001E-4</v>
          </cell>
          <cell r="H51">
            <v>2.1999999999999999E-5</v>
          </cell>
          <cell r="I51">
            <v>2.0100000000000001E-4</v>
          </cell>
          <cell r="J51">
            <v>1.0099999999999999E-4</v>
          </cell>
          <cell r="K51">
            <v>8.6007E-2</v>
          </cell>
          <cell r="L51">
            <v>0.16186500000000001</v>
          </cell>
          <cell r="M51">
            <v>8.0198000000000005E-2</v>
          </cell>
          <cell r="N51">
            <v>0.14619499999999999</v>
          </cell>
          <cell r="O51">
            <v>6.3100000000000005E-4</v>
          </cell>
          <cell r="P51">
            <v>8.7589999999999994E-3</v>
          </cell>
          <cell r="Q51">
            <v>1.353E-3</v>
          </cell>
          <cell r="R51">
            <v>3.3370000000000001E-3</v>
          </cell>
          <cell r="S51">
            <v>2.7900000000000001E-4</v>
          </cell>
          <cell r="T51">
            <v>1.2999999999999999E-4</v>
          </cell>
          <cell r="U51">
            <v>4.8599999999999997E-3</v>
          </cell>
          <cell r="V51">
            <v>1.5025E-2</v>
          </cell>
          <cell r="W51">
            <v>2.7399999999999999E-4</v>
          </cell>
          <cell r="X51">
            <v>3.6900000000000002E-4</v>
          </cell>
          <cell r="Y51">
            <v>3.9599999999999998E-4</v>
          </cell>
          <cell r="Z51">
            <v>1.46E-4</v>
          </cell>
          <cell r="AA51">
            <v>2.3E-5</v>
          </cell>
          <cell r="AB51">
            <v>1.2999999999999999E-5</v>
          </cell>
          <cell r="AC51">
            <v>1.1972100000000001</v>
          </cell>
          <cell r="AD51">
            <v>1.446194</v>
          </cell>
          <cell r="AE51">
            <v>1.7777999999999999E-2</v>
          </cell>
          <cell r="AF51">
            <v>1.0033E-2</v>
          </cell>
          <cell r="AG51">
            <v>1.9400000000000001E-5</v>
          </cell>
          <cell r="AH51">
            <v>6.800000000000001E-6</v>
          </cell>
          <cell r="AI51">
            <v>2.3272000000000001E-2</v>
          </cell>
          <cell r="AJ51">
            <v>1.5716999999999998E-2</v>
          </cell>
          <cell r="AK51">
            <v>2.5040000000000001E-3</v>
          </cell>
          <cell r="AL51">
            <v>2.0530000000000001E-3</v>
          </cell>
          <cell r="AM51">
            <v>1.686E-3</v>
          </cell>
          <cell r="AN51">
            <v>1.1199999999999999E-3</v>
          </cell>
          <cell r="AO51">
            <v>1.8439999999999999E-3</v>
          </cell>
          <cell r="AP51">
            <v>1.861E-3</v>
          </cell>
        </row>
        <row r="52">
          <cell r="B52">
            <v>45</v>
          </cell>
          <cell r="C52">
            <v>1.1900000000000001E-3</v>
          </cell>
          <cell r="D52">
            <v>6.3000000000000003E-4</v>
          </cell>
          <cell r="E52">
            <v>1E-4</v>
          </cell>
          <cell r="F52">
            <v>9.5000000000000005E-5</v>
          </cell>
          <cell r="G52">
            <v>1.1400000000000001E-4</v>
          </cell>
          <cell r="H52">
            <v>2.1999999999999999E-5</v>
          </cell>
          <cell r="I52">
            <v>2.14E-4</v>
          </cell>
          <cell r="J52">
            <v>1.17E-4</v>
          </cell>
          <cell r="K52">
            <v>9.3844999999999998E-2</v>
          </cell>
          <cell r="L52">
            <v>0.170649</v>
          </cell>
          <cell r="M52">
            <v>8.7807999999999997E-2</v>
          </cell>
          <cell r="N52">
            <v>0.15562800000000002</v>
          </cell>
          <cell r="O52">
            <v>7.0399999999999998E-4</v>
          </cell>
          <cell r="P52">
            <v>8.8950000000000001E-3</v>
          </cell>
          <cell r="Q52">
            <v>1.3649999999999999E-3</v>
          </cell>
          <cell r="R52">
            <v>3.4150000000000001E-3</v>
          </cell>
          <cell r="S52">
            <v>3.0299999999999999E-4</v>
          </cell>
          <cell r="T52">
            <v>1.54E-4</v>
          </cell>
          <cell r="U52">
            <v>4.9459999999999999E-3</v>
          </cell>
          <cell r="V52">
            <v>1.4318000000000001E-2</v>
          </cell>
          <cell r="W52">
            <v>3.0499999999999999E-4</v>
          </cell>
          <cell r="X52">
            <v>3.9100000000000002E-4</v>
          </cell>
          <cell r="Y52">
            <v>4.8299999999999998E-4</v>
          </cell>
          <cell r="Z52">
            <v>1.5799999999999999E-4</v>
          </cell>
          <cell r="AA52">
            <v>2.3E-5</v>
          </cell>
          <cell r="AB52">
            <v>1.2999999999999999E-5</v>
          </cell>
          <cell r="AC52">
            <v>1.2276009999999999</v>
          </cell>
          <cell r="AD52">
            <v>1.551644</v>
          </cell>
          <cell r="AE52">
            <v>1.8081E-2</v>
          </cell>
          <cell r="AF52">
            <v>1.0644000000000001E-2</v>
          </cell>
          <cell r="AG52">
            <v>1.9400000000000001E-5</v>
          </cell>
          <cell r="AH52">
            <v>6.800000000000001E-6</v>
          </cell>
          <cell r="AI52">
            <v>2.3397999999999999E-2</v>
          </cell>
          <cell r="AJ52">
            <v>1.6257000000000001E-2</v>
          </cell>
          <cell r="AK52">
            <v>2.5630000000000002E-3</v>
          </cell>
          <cell r="AL52">
            <v>2.1059999999999998E-3</v>
          </cell>
          <cell r="AM52">
            <v>1.81E-3</v>
          </cell>
          <cell r="AN52">
            <v>1.1850000000000001E-3</v>
          </cell>
          <cell r="AO52">
            <v>1.9009999999999999E-3</v>
          </cell>
          <cell r="AP52">
            <v>1.8550000000000001E-3</v>
          </cell>
        </row>
        <row r="53">
          <cell r="B53">
            <v>46</v>
          </cell>
          <cell r="C53">
            <v>1.2800000000000001E-3</v>
          </cell>
          <cell r="D53">
            <v>6.9999999999999999E-4</v>
          </cell>
          <cell r="E53">
            <v>1.2E-4</v>
          </cell>
          <cell r="F53">
            <v>1.17E-4</v>
          </cell>
          <cell r="G53">
            <v>1.1400000000000001E-4</v>
          </cell>
          <cell r="H53">
            <v>2.1999999999999999E-5</v>
          </cell>
          <cell r="I53">
            <v>2.34E-4</v>
          </cell>
          <cell r="J53">
            <v>1.3899999999999999E-4</v>
          </cell>
          <cell r="K53">
            <v>0.101992</v>
          </cell>
          <cell r="L53">
            <v>0.18046799999999999</v>
          </cell>
          <cell r="M53">
            <v>9.5633999999999997E-2</v>
          </cell>
          <cell r="N53">
            <v>0.16596699999999998</v>
          </cell>
          <cell r="O53">
            <v>8.0900000000000004E-4</v>
          </cell>
          <cell r="P53">
            <v>8.7790000000000003E-3</v>
          </cell>
          <cell r="Q53">
            <v>1.3780000000000001E-3</v>
          </cell>
          <cell r="R53">
            <v>3.4910000000000002E-3</v>
          </cell>
          <cell r="S53">
            <v>3.3700000000000001E-4</v>
          </cell>
          <cell r="T53">
            <v>1.9599999999999999E-4</v>
          </cell>
          <cell r="U53">
            <v>5.0499999999999998E-3</v>
          </cell>
          <cell r="V53">
            <v>1.3714E-2</v>
          </cell>
          <cell r="W53">
            <v>3.5E-4</v>
          </cell>
          <cell r="X53">
            <v>4.17E-4</v>
          </cell>
          <cell r="Y53">
            <v>6.2100000000000002E-4</v>
          </cell>
          <cell r="Z53">
            <v>1.74E-4</v>
          </cell>
          <cell r="AA53">
            <v>2.1999999999999999E-5</v>
          </cell>
          <cell r="AB53">
            <v>1.4E-5</v>
          </cell>
          <cell r="AC53">
            <v>1.2579929999999999</v>
          </cell>
          <cell r="AD53">
            <v>1.657095</v>
          </cell>
          <cell r="AE53">
            <v>1.8366E-2</v>
          </cell>
          <cell r="AF53">
            <v>1.1369000000000001E-2</v>
          </cell>
          <cell r="AG53">
            <v>1.9400000000000001E-5</v>
          </cell>
          <cell r="AH53">
            <v>6.800000000000001E-6</v>
          </cell>
          <cell r="AI53">
            <v>2.3557999999999999E-2</v>
          </cell>
          <cell r="AJ53">
            <v>1.7014000000000001E-2</v>
          </cell>
          <cell r="AK53">
            <v>2.6350000000000002E-3</v>
          </cell>
          <cell r="AL53">
            <v>2.1800000000000001E-3</v>
          </cell>
          <cell r="AM53">
            <v>1.9400000000000001E-3</v>
          </cell>
          <cell r="AN53">
            <v>1.2539999999999999E-3</v>
          </cell>
          <cell r="AO53">
            <v>1.9580000000000001E-3</v>
          </cell>
          <cell r="AP53">
            <v>1.8569999999999999E-3</v>
          </cell>
        </row>
        <row r="54">
          <cell r="B54">
            <v>47</v>
          </cell>
          <cell r="C54">
            <v>1.39E-3</v>
          </cell>
          <cell r="D54">
            <v>7.7999999999999999E-4</v>
          </cell>
          <cell r="E54">
            <v>1.3999999999999999E-4</v>
          </cell>
          <cell r="F54">
            <v>1.4200000000000001E-4</v>
          </cell>
          <cell r="G54">
            <v>1.1400000000000001E-4</v>
          </cell>
          <cell r="H54">
            <v>2.1999999999999999E-5</v>
          </cell>
          <cell r="I54">
            <v>2.5399999999999999E-4</v>
          </cell>
          <cell r="J54">
            <v>1.64E-4</v>
          </cell>
          <cell r="K54">
            <v>0.110152</v>
          </cell>
          <cell r="L54">
            <v>0.19023599999999999</v>
          </cell>
          <cell r="M54">
            <v>0.103474</v>
          </cell>
          <cell r="N54">
            <v>0.17625099999999999</v>
          </cell>
          <cell r="O54">
            <v>9.1399999999999999E-4</v>
          </cell>
          <cell r="P54">
            <v>8.6630000000000006E-3</v>
          </cell>
          <cell r="Q54">
            <v>1.3910000000000001E-3</v>
          </cell>
          <cell r="R54">
            <v>3.5660000000000002E-3</v>
          </cell>
          <cell r="S54">
            <v>3.6999999999999999E-4</v>
          </cell>
          <cell r="T54">
            <v>2.3800000000000001E-4</v>
          </cell>
          <cell r="U54">
            <v>5.1529999999999996E-3</v>
          </cell>
          <cell r="V54">
            <v>1.3114000000000001E-2</v>
          </cell>
          <cell r="W54">
            <v>3.9500000000000001E-4</v>
          </cell>
          <cell r="X54">
            <v>4.4200000000000001E-4</v>
          </cell>
          <cell r="Y54">
            <v>7.6000000000000004E-4</v>
          </cell>
          <cell r="Z54">
            <v>1.9100000000000001E-4</v>
          </cell>
          <cell r="AA54">
            <v>2.1999999999999999E-5</v>
          </cell>
          <cell r="AB54">
            <v>1.4E-5</v>
          </cell>
          <cell r="AC54">
            <v>1.288384</v>
          </cell>
          <cell r="AD54">
            <v>1.762545</v>
          </cell>
          <cell r="AE54">
            <v>1.8615E-2</v>
          </cell>
          <cell r="AF54">
            <v>1.2256E-2</v>
          </cell>
          <cell r="AG54">
            <v>1.9400000000000001E-5</v>
          </cell>
          <cell r="AH54">
            <v>6.800000000000001E-6</v>
          </cell>
          <cell r="AI54">
            <v>2.3807999999999999E-2</v>
          </cell>
          <cell r="AJ54">
            <v>1.8121999999999999E-2</v>
          </cell>
          <cell r="AK54">
            <v>2.728E-3</v>
          </cell>
          <cell r="AL54">
            <v>2.2899999999999999E-3</v>
          </cell>
          <cell r="AM54">
            <v>2.0769999999999999E-3</v>
          </cell>
          <cell r="AN54">
            <v>1.3270000000000001E-3</v>
          </cell>
          <cell r="AO54">
            <v>2.0110000000000002E-3</v>
          </cell>
          <cell r="AP54">
            <v>1.8749999999999999E-3</v>
          </cell>
        </row>
        <row r="55">
          <cell r="B55">
            <v>48</v>
          </cell>
          <cell r="C55">
            <v>1.5200000000000001E-3</v>
          </cell>
          <cell r="D55">
            <v>8.4000000000000003E-4</v>
          </cell>
          <cell r="E55">
            <v>1.63E-4</v>
          </cell>
          <cell r="F55">
            <v>1.66E-4</v>
          </cell>
          <cell r="G55">
            <v>1.1400000000000001E-4</v>
          </cell>
          <cell r="H55">
            <v>2.1999999999999999E-5</v>
          </cell>
          <cell r="I55">
            <v>2.7700000000000001E-4</v>
          </cell>
          <cell r="J55">
            <v>1.8799999999999999E-4</v>
          </cell>
          <cell r="K55">
            <v>0.12642800000000001</v>
          </cell>
          <cell r="L55">
            <v>0.19971900000000001</v>
          </cell>
          <cell r="M55">
            <v>0.11940900000000003</v>
          </cell>
          <cell r="N55">
            <v>0.18579299999999999</v>
          </cell>
          <cell r="O55">
            <v>1.0189999999999999E-3</v>
          </cell>
          <cell r="P55">
            <v>8.5489999999999993E-3</v>
          </cell>
          <cell r="Q55">
            <v>1.5020000000000001E-3</v>
          </cell>
          <cell r="R55">
            <v>3.4770000000000001E-3</v>
          </cell>
          <cell r="S55">
            <v>4.0400000000000001E-4</v>
          </cell>
          <cell r="T55">
            <v>2.7999999999999998E-4</v>
          </cell>
          <cell r="U55">
            <v>5.2760000000000003E-3</v>
          </cell>
          <cell r="V55">
            <v>1.2971E-2</v>
          </cell>
          <cell r="W55">
            <v>4.3899999999999999E-4</v>
          </cell>
          <cell r="X55">
            <v>4.6799999999999999E-4</v>
          </cell>
          <cell r="Y55">
            <v>8.9999999999999998E-4</v>
          </cell>
          <cell r="Z55">
            <v>2.0699999999999999E-4</v>
          </cell>
          <cell r="AA55">
            <v>2.3E-5</v>
          </cell>
          <cell r="AB55">
            <v>1.5E-5</v>
          </cell>
          <cell r="AC55">
            <v>1.3735660000000001</v>
          </cell>
          <cell r="AD55">
            <v>1.962188</v>
          </cell>
          <cell r="AE55">
            <v>1.8821999999999998E-2</v>
          </cell>
          <cell r="AF55">
            <v>1.3342E-2</v>
          </cell>
          <cell r="AG55">
            <v>1.9400000000000001E-5</v>
          </cell>
          <cell r="AH55">
            <v>6.800000000000001E-6</v>
          </cell>
          <cell r="AI55">
            <v>2.4167999999999999E-2</v>
          </cell>
          <cell r="AJ55">
            <v>1.9657999999999998E-2</v>
          </cell>
          <cell r="AK55">
            <v>2.8449999999999999E-3</v>
          </cell>
          <cell r="AL55">
            <v>2.4399999999999999E-3</v>
          </cell>
          <cell r="AM55">
            <v>2.202E-3</v>
          </cell>
          <cell r="AN55">
            <v>1.421E-3</v>
          </cell>
          <cell r="AO55">
            <v>2.0569999999999998E-3</v>
          </cell>
          <cell r="AP55">
            <v>1.91E-3</v>
          </cell>
        </row>
        <row r="56">
          <cell r="B56">
            <v>49</v>
          </cell>
          <cell r="C56">
            <v>1.6800000000000001E-3</v>
          </cell>
          <cell r="D56">
            <v>8.9999999999999998E-4</v>
          </cell>
          <cell r="E56">
            <v>1.85E-4</v>
          </cell>
          <cell r="F56">
            <v>1.94E-4</v>
          </cell>
          <cell r="G56">
            <v>1.1400000000000001E-4</v>
          </cell>
          <cell r="H56">
            <v>2.1999999999999999E-5</v>
          </cell>
          <cell r="I56">
            <v>2.99E-4</v>
          </cell>
          <cell r="J56">
            <v>2.1599999999999999E-4</v>
          </cell>
          <cell r="K56">
            <v>0.14272699999999999</v>
          </cell>
          <cell r="L56">
            <v>0.20915</v>
          </cell>
          <cell r="M56">
            <v>0.13536499999999999</v>
          </cell>
          <cell r="N56">
            <v>0.19528200000000001</v>
          </cell>
          <cell r="O56">
            <v>1.124E-3</v>
          </cell>
          <cell r="P56">
            <v>8.4360000000000008E-3</v>
          </cell>
          <cell r="Q56">
            <v>1.614E-3</v>
          </cell>
          <cell r="R56">
            <v>3.3890000000000001E-3</v>
          </cell>
          <cell r="S56">
            <v>4.3800000000000002E-4</v>
          </cell>
          <cell r="T56">
            <v>3.2200000000000002E-4</v>
          </cell>
          <cell r="U56">
            <v>5.4000000000000003E-3</v>
          </cell>
          <cell r="V56">
            <v>1.2829E-2</v>
          </cell>
          <cell r="W56">
            <v>4.8500000000000003E-4</v>
          </cell>
          <cell r="X56">
            <v>4.9299999999999995E-4</v>
          </cell>
          <cell r="Y56">
            <v>1.039E-3</v>
          </cell>
          <cell r="Z56">
            <v>2.24E-4</v>
          </cell>
          <cell r="AA56">
            <v>2.5000000000000001E-5</v>
          </cell>
          <cell r="AB56">
            <v>1.5E-5</v>
          </cell>
          <cell r="AC56">
            <v>1.4587490000000001</v>
          </cell>
          <cell r="AD56">
            <v>2.1618309999999998</v>
          </cell>
          <cell r="AE56">
            <v>1.8997E-2</v>
          </cell>
          <cell r="AF56">
            <v>1.4607E-2</v>
          </cell>
          <cell r="AG56">
            <v>1.9400000000000001E-5</v>
          </cell>
          <cell r="AH56">
            <v>6.800000000000001E-6</v>
          </cell>
          <cell r="AI56">
            <v>2.4614E-2</v>
          </cell>
          <cell r="AJ56">
            <v>2.1565999999999998E-2</v>
          </cell>
          <cell r="AK56">
            <v>2.9849999999999998E-3</v>
          </cell>
          <cell r="AL56">
            <v>2.6259999999999999E-3</v>
          </cell>
          <cell r="AM56">
            <v>2.3289999999999999E-3</v>
          </cell>
          <cell r="AN56">
            <v>1.5200000000000001E-3</v>
          </cell>
          <cell r="AO56">
            <v>2.0990000000000002E-3</v>
          </cell>
          <cell r="AP56">
            <v>1.9599999999999999E-3</v>
          </cell>
        </row>
        <row r="57">
          <cell r="B57">
            <v>50</v>
          </cell>
          <cell r="C57">
            <v>1.8500000000000001E-3</v>
          </cell>
          <cell r="D57">
            <v>9.5E-4</v>
          </cell>
          <cell r="E57">
            <v>2.0799999999999999E-4</v>
          </cell>
          <cell r="F57">
            <v>2.24E-4</v>
          </cell>
          <cell r="G57">
            <v>1.92E-4</v>
          </cell>
          <cell r="H57">
            <v>5.1999999999999997E-5</v>
          </cell>
          <cell r="I57">
            <v>3.9999999999999996E-4</v>
          </cell>
          <cell r="J57">
            <v>2.7599999999999999E-4</v>
          </cell>
          <cell r="K57">
            <v>0.159049</v>
          </cell>
          <cell r="L57">
            <v>0.218528</v>
          </cell>
          <cell r="M57">
            <v>0.15134699999999998</v>
          </cell>
          <cell r="N57">
            <v>0.20472000000000001</v>
          </cell>
          <cell r="O57">
            <v>1.23E-3</v>
          </cell>
          <cell r="P57">
            <v>8.3219999999999995E-3</v>
          </cell>
          <cell r="Q57">
            <v>1.7260000000000001E-3</v>
          </cell>
          <cell r="R57">
            <v>3.3010000000000001E-3</v>
          </cell>
          <cell r="S57">
            <v>4.7100000000000001E-4</v>
          </cell>
          <cell r="T57">
            <v>3.6299999999999999E-4</v>
          </cell>
          <cell r="U57">
            <v>5.5230000000000001E-3</v>
          </cell>
          <cell r="V57">
            <v>1.2687E-2</v>
          </cell>
          <cell r="W57">
            <v>5.2999999999999998E-4</v>
          </cell>
          <cell r="X57">
            <v>5.1800000000000001E-4</v>
          </cell>
          <cell r="Y57">
            <v>1.178E-3</v>
          </cell>
          <cell r="Z57">
            <v>2.4000000000000001E-4</v>
          </cell>
          <cell r="AA57">
            <v>2.5999999999999998E-5</v>
          </cell>
          <cell r="AB57">
            <v>1.5999999999999999E-5</v>
          </cell>
          <cell r="AC57">
            <v>1.5439309999999999</v>
          </cell>
          <cell r="AD57">
            <v>2.3614730000000002</v>
          </cell>
          <cell r="AE57">
            <v>1.915E-2</v>
          </cell>
          <cell r="AF57">
            <v>1.5963999999999999E-2</v>
          </cell>
          <cell r="AG57">
            <v>1.9400000000000001E-5</v>
          </cell>
          <cell r="AH57">
            <v>6.800000000000001E-6</v>
          </cell>
          <cell r="AI57">
            <v>2.5099E-2</v>
          </cell>
          <cell r="AJ57">
            <v>2.3663E-2</v>
          </cell>
          <cell r="AK57">
            <v>3.1359999999999999E-3</v>
          </cell>
          <cell r="AL57">
            <v>2.8340000000000001E-3</v>
          </cell>
          <cell r="AM57">
            <v>2.4620000000000002E-3</v>
          </cell>
          <cell r="AN57">
            <v>1.6230000000000001E-3</v>
          </cell>
          <cell r="AO57">
            <v>2.1419999999999998E-3</v>
          </cell>
          <cell r="AP57">
            <v>2.0179999999999998E-3</v>
          </cell>
        </row>
        <row r="58">
          <cell r="B58">
            <v>51</v>
          </cell>
          <cell r="C58">
            <v>2.0200000000000001E-3</v>
          </cell>
          <cell r="D58">
            <v>1E-3</v>
          </cell>
          <cell r="E58">
            <v>2.34E-4</v>
          </cell>
          <cell r="F58">
            <v>2.5599999999999999E-4</v>
          </cell>
          <cell r="G58">
            <v>1.92E-4</v>
          </cell>
          <cell r="H58">
            <v>5.1999999999999997E-5</v>
          </cell>
          <cell r="I58">
            <v>4.26E-4</v>
          </cell>
          <cell r="J58">
            <v>3.0800000000000001E-4</v>
          </cell>
          <cell r="K58">
            <v>0.17539199999999999</v>
          </cell>
          <cell r="L58">
            <v>0.227855</v>
          </cell>
          <cell r="M58">
            <v>0.16734699999999997</v>
          </cell>
          <cell r="N58">
            <v>0.21410400000000002</v>
          </cell>
          <cell r="O58">
            <v>1.3359999999999999E-3</v>
          </cell>
          <cell r="P58">
            <v>8.2109999999999995E-3</v>
          </cell>
          <cell r="Q58">
            <v>1.838E-3</v>
          </cell>
          <cell r="R58">
            <v>3.215E-3</v>
          </cell>
          <cell r="S58">
            <v>5.0500000000000002E-4</v>
          </cell>
          <cell r="T58">
            <v>4.0499999999999998E-4</v>
          </cell>
          <cell r="U58">
            <v>5.6470000000000001E-3</v>
          </cell>
          <cell r="V58">
            <v>1.2546E-2</v>
          </cell>
          <cell r="W58">
            <v>5.7499999999999999E-4</v>
          </cell>
          <cell r="X58">
            <v>5.4299999999999997E-4</v>
          </cell>
          <cell r="Y58">
            <v>1.3179999999999999E-3</v>
          </cell>
          <cell r="Z58">
            <v>2.5700000000000001E-4</v>
          </cell>
          <cell r="AA58">
            <v>2.8E-5</v>
          </cell>
          <cell r="AB58">
            <v>1.5999999999999999E-5</v>
          </cell>
          <cell r="AC58">
            <v>1.629113</v>
          </cell>
          <cell r="AD58">
            <v>2.5611160000000002</v>
          </cell>
          <cell r="AE58">
            <v>1.9293000000000001E-2</v>
          </cell>
          <cell r="AF58">
            <v>1.7311E-2</v>
          </cell>
          <cell r="AG58">
            <v>1.9400000000000001E-5</v>
          </cell>
          <cell r="AH58">
            <v>6.800000000000001E-6</v>
          </cell>
          <cell r="AI58">
            <v>2.5561E-2</v>
          </cell>
          <cell r="AJ58">
            <v>2.5725999999999999E-2</v>
          </cell>
          <cell r="AK58">
            <v>3.2850000000000002E-3</v>
          </cell>
          <cell r="AL58">
            <v>3.0560000000000001E-3</v>
          </cell>
          <cell r="AM58">
            <v>2.6080000000000001E-3</v>
          </cell>
          <cell r="AN58">
            <v>1.7279999999999999E-3</v>
          </cell>
          <cell r="AO58">
            <v>2.196E-3</v>
          </cell>
          <cell r="AP58">
            <v>2.0790000000000001E-3</v>
          </cell>
        </row>
        <row r="59">
          <cell r="B59">
            <v>52</v>
          </cell>
          <cell r="C59">
            <v>2.2000000000000001E-3</v>
          </cell>
          <cell r="D59">
            <v>1.0499999999999999E-3</v>
          </cell>
          <cell r="E59">
            <v>2.61E-4</v>
          </cell>
          <cell r="F59">
            <v>2.9300000000000002E-4</v>
          </cell>
          <cell r="G59">
            <v>1.92E-4</v>
          </cell>
          <cell r="H59">
            <v>5.1999999999999997E-5</v>
          </cell>
          <cell r="I59">
            <v>4.5300000000000001E-4</v>
          </cell>
          <cell r="J59">
            <v>3.4500000000000004E-4</v>
          </cell>
          <cell r="K59">
            <v>0.19175700000000001</v>
          </cell>
          <cell r="L59">
            <v>0.23712900000000001</v>
          </cell>
          <cell r="M59">
            <v>0.183368</v>
          </cell>
          <cell r="N59">
            <v>0.223438</v>
          </cell>
          <cell r="O59">
            <v>1.441E-3</v>
          </cell>
          <cell r="P59">
            <v>8.0990000000000003E-3</v>
          </cell>
          <cell r="Q59">
            <v>1.9499999999999999E-3</v>
          </cell>
          <cell r="R59">
            <v>3.1289999999999998E-3</v>
          </cell>
          <cell r="S59">
            <v>5.3899999999999998E-4</v>
          </cell>
          <cell r="T59">
            <v>4.4499999999999997E-4</v>
          </cell>
          <cell r="U59">
            <v>5.7710000000000001E-3</v>
          </cell>
          <cell r="V59">
            <v>1.2406E-2</v>
          </cell>
          <cell r="W59">
            <v>6.2100000000000002E-4</v>
          </cell>
          <cell r="X59">
            <v>5.6800000000000004E-4</v>
          </cell>
          <cell r="Y59">
            <v>1.4580000000000001E-3</v>
          </cell>
          <cell r="Z59">
            <v>2.72E-4</v>
          </cell>
          <cell r="AA59">
            <v>2.9E-5</v>
          </cell>
          <cell r="AB59">
            <v>1.7E-5</v>
          </cell>
          <cell r="AC59">
            <v>1.7142949999999999</v>
          </cell>
          <cell r="AD59">
            <v>2.7607590000000002</v>
          </cell>
          <cell r="AE59">
            <v>1.9432000000000001E-2</v>
          </cell>
          <cell r="AF59">
            <v>1.8577E-2</v>
          </cell>
          <cell r="AG59">
            <v>1.9400000000000001E-5</v>
          </cell>
          <cell r="AH59">
            <v>6.800000000000001E-6</v>
          </cell>
          <cell r="AI59">
            <v>2.5957000000000001E-2</v>
          </cell>
          <cell r="AJ59">
            <v>2.7602000000000002E-2</v>
          </cell>
          <cell r="AK59">
            <v>3.4229999999999998E-3</v>
          </cell>
          <cell r="AL59">
            <v>3.2880000000000001E-3</v>
          </cell>
          <cell r="AM59">
            <v>2.7729999999999999E-3</v>
          </cell>
          <cell r="AN59">
            <v>1.8339999999999999E-3</v>
          </cell>
          <cell r="AO59">
            <v>2.2699999999999999E-3</v>
          </cell>
          <cell r="AP59">
            <v>2.1380000000000001E-3</v>
          </cell>
        </row>
        <row r="60">
          <cell r="B60">
            <v>53</v>
          </cell>
          <cell r="C60">
            <v>2.3600000000000001E-3</v>
          </cell>
          <cell r="D60">
            <v>1.1100000000000001E-3</v>
          </cell>
          <cell r="E60">
            <v>2.9100000000000003E-4</v>
          </cell>
          <cell r="F60">
            <v>3.3199999999999999E-4</v>
          </cell>
          <cell r="G60">
            <v>1.92E-4</v>
          </cell>
          <cell r="H60">
            <v>5.1999999999999997E-5</v>
          </cell>
          <cell r="I60">
            <v>4.8300000000000003E-4</v>
          </cell>
          <cell r="J60">
            <v>3.8400000000000001E-4</v>
          </cell>
          <cell r="K60">
            <v>0.21509</v>
          </cell>
          <cell r="L60">
            <v>0.24149899999999999</v>
          </cell>
          <cell r="M60">
            <v>0.20649000000000003</v>
          </cell>
          <cell r="N60">
            <v>0.22745299999999999</v>
          </cell>
          <cell r="O60">
            <v>1.547E-3</v>
          </cell>
          <cell r="P60">
            <v>7.9880000000000003E-3</v>
          </cell>
          <cell r="Q60">
            <v>2.2650000000000001E-3</v>
          </cell>
          <cell r="R60">
            <v>3.2269999999999998E-3</v>
          </cell>
          <cell r="S60">
            <v>5.7200000000000003E-4</v>
          </cell>
          <cell r="T60">
            <v>4.8700000000000002E-4</v>
          </cell>
          <cell r="U60">
            <v>5.764E-3</v>
          </cell>
          <cell r="V60">
            <v>1.2677000000000001E-2</v>
          </cell>
          <cell r="W60">
            <v>6.6600000000000003E-4</v>
          </cell>
          <cell r="X60">
            <v>5.9299999999999999E-4</v>
          </cell>
          <cell r="Y60">
            <v>1.598E-3</v>
          </cell>
          <cell r="Z60">
            <v>2.8899999999999998E-4</v>
          </cell>
          <cell r="AA60">
            <v>3.0000000000000001E-5</v>
          </cell>
          <cell r="AB60">
            <v>1.8E-5</v>
          </cell>
          <cell r="AC60">
            <v>1.8286420000000001</v>
          </cell>
          <cell r="AD60">
            <v>2.8996089999999999</v>
          </cell>
          <cell r="AE60">
            <v>1.9571000000000002E-2</v>
          </cell>
          <cell r="AF60">
            <v>1.9786000000000002E-2</v>
          </cell>
          <cell r="AG60">
            <v>1.9400000000000001E-5</v>
          </cell>
          <cell r="AH60">
            <v>6.800000000000001E-6</v>
          </cell>
          <cell r="AI60">
            <v>2.6284999999999999E-2</v>
          </cell>
          <cell r="AJ60">
            <v>2.9281999999999999E-2</v>
          </cell>
          <cell r="AK60">
            <v>3.5469999999999998E-3</v>
          </cell>
          <cell r="AL60">
            <v>3.5260000000000001E-3</v>
          </cell>
          <cell r="AM60">
            <v>2.9529999999999999E-3</v>
          </cell>
          <cell r="AN60">
            <v>1.949E-3</v>
          </cell>
          <cell r="AO60">
            <v>2.3640000000000002E-3</v>
          </cell>
          <cell r="AP60">
            <v>2.1949999999999999E-3</v>
          </cell>
        </row>
        <row r="61">
          <cell r="B61">
            <v>54</v>
          </cell>
          <cell r="C61">
            <v>2.5300000000000001E-3</v>
          </cell>
          <cell r="D61">
            <v>1.1900000000000001E-3</v>
          </cell>
          <cell r="E61">
            <v>3.2400000000000001E-4</v>
          </cell>
          <cell r="F61">
            <v>3.7599999999999998E-4</v>
          </cell>
          <cell r="G61">
            <v>1.92E-4</v>
          </cell>
          <cell r="H61">
            <v>5.1999999999999997E-5</v>
          </cell>
          <cell r="I61">
            <v>5.1599999999999997E-4</v>
          </cell>
          <cell r="J61">
            <v>4.28E-4</v>
          </cell>
          <cell r="K61">
            <v>0.238454</v>
          </cell>
          <cell r="L61">
            <v>0.24584300000000001</v>
          </cell>
          <cell r="M61">
            <v>0.22963900000000001</v>
          </cell>
          <cell r="N61">
            <v>0.23144900000000002</v>
          </cell>
          <cell r="O61">
            <v>1.6540000000000001E-3</v>
          </cell>
          <cell r="P61">
            <v>7.8790000000000006E-3</v>
          </cell>
          <cell r="Q61">
            <v>2.581E-3</v>
          </cell>
          <cell r="R61">
            <v>3.323E-3</v>
          </cell>
          <cell r="S61">
            <v>6.0700000000000001E-4</v>
          </cell>
          <cell r="T61">
            <v>5.2700000000000002E-4</v>
          </cell>
          <cell r="U61">
            <v>5.7580000000000001E-3</v>
          </cell>
          <cell r="V61">
            <v>1.2945999999999999E-2</v>
          </cell>
          <cell r="W61">
            <v>7.1100000000000004E-4</v>
          </cell>
          <cell r="X61">
            <v>6.1700000000000004E-4</v>
          </cell>
          <cell r="Y61">
            <v>1.7390000000000001E-3</v>
          </cell>
          <cell r="Z61">
            <v>3.0400000000000002E-4</v>
          </cell>
          <cell r="AA61">
            <v>3.0000000000000001E-5</v>
          </cell>
          <cell r="AB61">
            <v>1.9000000000000001E-5</v>
          </cell>
          <cell r="AC61">
            <v>1.9429879999999999</v>
          </cell>
          <cell r="AD61">
            <v>3.0384600000000002</v>
          </cell>
          <cell r="AE61">
            <v>1.9708E-2</v>
          </cell>
          <cell r="AF61">
            <v>2.0965999999999999E-2</v>
          </cell>
          <cell r="AG61">
            <v>1.9400000000000001E-5</v>
          </cell>
          <cell r="AH61">
            <v>6.800000000000001E-6</v>
          </cell>
          <cell r="AI61">
            <v>2.6563E-2</v>
          </cell>
          <cell r="AJ61">
            <v>3.0831999999999998E-2</v>
          </cell>
          <cell r="AK61">
            <v>3.6619999999999999E-3</v>
          </cell>
          <cell r="AL61">
            <v>3.7720000000000002E-3</v>
          </cell>
          <cell r="AM61">
            <v>3.1549999999999998E-3</v>
          </cell>
          <cell r="AN61">
            <v>2.0669999999999998E-3</v>
          </cell>
          <cell r="AO61">
            <v>2.4759999999999999E-3</v>
          </cell>
          <cell r="AP61">
            <v>2.2539999999999999E-3</v>
          </cell>
        </row>
        <row r="62">
          <cell r="B62">
            <v>55</v>
          </cell>
          <cell r="C62">
            <v>2.7399999999999998E-3</v>
          </cell>
          <cell r="D62">
            <v>1.2700000000000001E-3</v>
          </cell>
          <cell r="E62">
            <v>3.7300000000000001E-4</v>
          </cell>
          <cell r="F62">
            <v>4.3300000000000001E-4</v>
          </cell>
          <cell r="G62">
            <v>1.92E-4</v>
          </cell>
          <cell r="H62">
            <v>5.1999999999999997E-5</v>
          </cell>
          <cell r="I62">
            <v>5.6499999999999996E-4</v>
          </cell>
          <cell r="J62">
            <v>4.8500000000000003E-4</v>
          </cell>
          <cell r="K62">
            <v>0.26208999999999999</v>
          </cell>
          <cell r="L62">
            <v>0.25182900000000003</v>
          </cell>
          <cell r="M62">
            <v>0.25279400000000002</v>
          </cell>
          <cell r="N62">
            <v>0.236982</v>
          </cell>
          <cell r="O62">
            <v>1.8339999999999999E-3</v>
          </cell>
          <cell r="P62">
            <v>7.7530000000000003E-3</v>
          </cell>
          <cell r="Q62">
            <v>2.898E-3</v>
          </cell>
          <cell r="R62">
            <v>3.4169999999999999E-3</v>
          </cell>
          <cell r="S62">
            <v>6.9800000000000005E-4</v>
          </cell>
          <cell r="T62">
            <v>5.6400000000000005E-4</v>
          </cell>
          <cell r="U62">
            <v>5.757E-3</v>
          </cell>
          <cell r="V62">
            <v>1.3303000000000001E-2</v>
          </cell>
          <cell r="W62">
            <v>7.7800000000000005E-4</v>
          </cell>
          <cell r="X62">
            <v>6.5099999999999999E-4</v>
          </cell>
          <cell r="Y62">
            <v>2.0630000000000002E-3</v>
          </cell>
          <cell r="Z62">
            <v>3.2899999999999997E-4</v>
          </cell>
          <cell r="AA62">
            <v>3.0000000000000001E-5</v>
          </cell>
          <cell r="AB62">
            <v>2.0000000000000002E-5</v>
          </cell>
          <cell r="AC62">
            <v>2.0573350000000001</v>
          </cell>
          <cell r="AD62">
            <v>3.1773099999999999</v>
          </cell>
          <cell r="AE62">
            <v>1.9833E-2</v>
          </cell>
          <cell r="AF62">
            <v>2.2065999999999999E-2</v>
          </cell>
          <cell r="AG62">
            <v>1.9400000000000001E-5</v>
          </cell>
          <cell r="AH62">
            <v>6.800000000000001E-6</v>
          </cell>
          <cell r="AI62">
            <v>2.6796E-2</v>
          </cell>
          <cell r="AJ62">
            <v>3.2272000000000002E-2</v>
          </cell>
          <cell r="AK62">
            <v>3.7720000000000002E-3</v>
          </cell>
          <cell r="AL62">
            <v>4.0330000000000001E-3</v>
          </cell>
          <cell r="AM62">
            <v>3.3639999999999998E-3</v>
          </cell>
          <cell r="AN62">
            <v>2.186E-3</v>
          </cell>
          <cell r="AO62">
            <v>2.6029999999999998E-3</v>
          </cell>
          <cell r="AP62">
            <v>2.3110000000000001E-3</v>
          </cell>
        </row>
        <row r="63">
          <cell r="B63">
            <v>56</v>
          </cell>
          <cell r="C63">
            <v>3.0100000000000001E-3</v>
          </cell>
          <cell r="D63">
            <v>1.3699999999999999E-3</v>
          </cell>
          <cell r="E63">
            <v>4.4099999999999999E-4</v>
          </cell>
          <cell r="F63">
            <v>5.0600000000000005E-4</v>
          </cell>
          <cell r="G63">
            <v>1.92E-4</v>
          </cell>
          <cell r="H63">
            <v>5.1999999999999997E-5</v>
          </cell>
          <cell r="I63">
            <v>6.3299999999999999E-4</v>
          </cell>
          <cell r="J63">
            <v>5.5800000000000001E-4</v>
          </cell>
          <cell r="K63">
            <v>0.28605999999999998</v>
          </cell>
          <cell r="L63">
            <v>0.25955600000000001</v>
          </cell>
          <cell r="M63">
            <v>0.276009</v>
          </cell>
          <cell r="N63">
            <v>0.244148</v>
          </cell>
          <cell r="O63">
            <v>2.088E-3</v>
          </cell>
          <cell r="P63">
            <v>7.6109999999999997E-3</v>
          </cell>
          <cell r="Q63">
            <v>3.215E-3</v>
          </cell>
          <cell r="R63">
            <v>3.509E-3</v>
          </cell>
          <cell r="S63">
            <v>8.4699999999999999E-4</v>
          </cell>
          <cell r="T63">
            <v>5.9800000000000001E-4</v>
          </cell>
          <cell r="U63">
            <v>5.7619999999999998E-3</v>
          </cell>
          <cell r="V63">
            <v>1.3750999999999999E-2</v>
          </cell>
          <cell r="W63">
            <v>8.6799999999999996E-4</v>
          </cell>
          <cell r="X63">
            <v>6.96E-4</v>
          </cell>
          <cell r="Y63">
            <v>2.5739999999999999E-3</v>
          </cell>
          <cell r="Z63">
            <v>3.6299999999999999E-4</v>
          </cell>
          <cell r="AA63">
            <v>3.0000000000000001E-5</v>
          </cell>
          <cell r="AB63">
            <v>2.0000000000000002E-5</v>
          </cell>
          <cell r="AC63">
            <v>2.1716820000000001</v>
          </cell>
          <cell r="AD63">
            <v>3.3161610000000001</v>
          </cell>
          <cell r="AE63">
            <v>1.9927E-2</v>
          </cell>
          <cell r="AF63">
            <v>2.2984000000000001E-2</v>
          </cell>
          <cell r="AG63">
            <v>1.9400000000000001E-5</v>
          </cell>
          <cell r="AH63">
            <v>6.800000000000001E-6</v>
          </cell>
          <cell r="AI63">
            <v>2.6974000000000001E-2</v>
          </cell>
          <cell r="AJ63">
            <v>3.3598000000000003E-2</v>
          </cell>
          <cell r="AK63">
            <v>3.885E-3</v>
          </cell>
          <cell r="AL63">
            <v>4.3270000000000001E-3</v>
          </cell>
          <cell r="AM63">
            <v>3.5599999999999998E-3</v>
          </cell>
          <cell r="AN63">
            <v>2.3140000000000001E-3</v>
          </cell>
          <cell r="AO63">
            <v>2.7439999999999999E-3</v>
          </cell>
          <cell r="AP63">
            <v>2.3640000000000002E-3</v>
          </cell>
        </row>
        <row r="64">
          <cell r="B64">
            <v>57</v>
          </cell>
          <cell r="C64">
            <v>3.3500000000000001E-3</v>
          </cell>
          <cell r="D64">
            <v>1.48E-3</v>
          </cell>
          <cell r="E64">
            <v>5.1500000000000005E-4</v>
          </cell>
          <cell r="F64">
            <v>5.8500000000000002E-4</v>
          </cell>
          <cell r="G64">
            <v>1.92E-4</v>
          </cell>
          <cell r="H64">
            <v>5.1999999999999997E-5</v>
          </cell>
          <cell r="I64">
            <v>7.0700000000000005E-4</v>
          </cell>
          <cell r="J64">
            <v>6.3699999999999998E-4</v>
          </cell>
          <cell r="K64">
            <v>0.31014599999999998</v>
          </cell>
          <cell r="L64">
            <v>0.26739000000000002</v>
          </cell>
          <cell r="M64">
            <v>0.29933599999999999</v>
          </cell>
          <cell r="N64">
            <v>0.251413</v>
          </cell>
          <cell r="O64">
            <v>2.343E-3</v>
          </cell>
          <cell r="P64">
            <v>7.4720000000000003E-3</v>
          </cell>
          <cell r="Q64">
            <v>3.532E-3</v>
          </cell>
          <cell r="R64">
            <v>3.5999999999999999E-3</v>
          </cell>
          <cell r="S64">
            <v>9.9799999999999997E-4</v>
          </cell>
          <cell r="T64">
            <v>6.3299999999999999E-4</v>
          </cell>
          <cell r="U64">
            <v>5.7660000000000003E-3</v>
          </cell>
          <cell r="V64">
            <v>1.4206999999999999E-2</v>
          </cell>
          <cell r="W64">
            <v>9.5799999999999998E-4</v>
          </cell>
          <cell r="X64">
            <v>7.3999999999999999E-4</v>
          </cell>
          <cell r="Y64">
            <v>3.088E-3</v>
          </cell>
          <cell r="Z64">
            <v>3.97E-4</v>
          </cell>
          <cell r="AA64">
            <v>3.0000000000000001E-5</v>
          </cell>
          <cell r="AB64">
            <v>2.0999999999999999E-5</v>
          </cell>
          <cell r="AC64">
            <v>2.2860279999999999</v>
          </cell>
          <cell r="AD64">
            <v>3.4550109999999998</v>
          </cell>
          <cell r="AE64">
            <v>1.9970999999999999E-2</v>
          </cell>
          <cell r="AF64">
            <v>2.3616999999999999E-2</v>
          </cell>
          <cell r="AG64">
            <v>1.9400000000000001E-5</v>
          </cell>
          <cell r="AH64">
            <v>6.800000000000001E-6</v>
          </cell>
          <cell r="AI64">
            <v>2.7081000000000001E-2</v>
          </cell>
          <cell r="AJ64">
            <v>3.4785000000000003E-2</v>
          </cell>
          <cell r="AK64">
            <v>4.0039999999999997E-3</v>
          </cell>
          <cell r="AL64">
            <v>4.6680000000000003E-3</v>
          </cell>
          <cell r="AM64">
            <v>3.7320000000000001E-3</v>
          </cell>
          <cell r="AN64">
            <v>2.4499999999999999E-3</v>
          </cell>
          <cell r="AO64">
            <v>2.9020000000000001E-3</v>
          </cell>
          <cell r="AP64">
            <v>2.4099999999999998E-3</v>
          </cell>
        </row>
        <row r="65">
          <cell r="B65">
            <v>58</v>
          </cell>
          <cell r="C65">
            <v>3.7399999999999998E-3</v>
          </cell>
          <cell r="D65">
            <v>1.6000000000000001E-3</v>
          </cell>
          <cell r="E65">
            <v>5.9400000000000002E-4</v>
          </cell>
          <cell r="F65">
            <v>6.6200000000000005E-4</v>
          </cell>
          <cell r="G65">
            <v>1.92E-4</v>
          </cell>
          <cell r="H65">
            <v>5.1999999999999997E-5</v>
          </cell>
          <cell r="I65">
            <v>7.8600000000000002E-4</v>
          </cell>
          <cell r="J65">
            <v>7.1400000000000001E-4</v>
          </cell>
          <cell r="K65">
            <v>0.33921600000000002</v>
          </cell>
          <cell r="L65">
            <v>0.27501399999999998</v>
          </cell>
          <cell r="M65">
            <v>0.32791799999999999</v>
          </cell>
          <cell r="N65">
            <v>0.259546</v>
          </cell>
          <cell r="O65">
            <v>2.5990000000000002E-3</v>
          </cell>
          <cell r="P65">
            <v>7.3330000000000001E-3</v>
          </cell>
          <cell r="Q65">
            <v>3.888E-3</v>
          </cell>
          <cell r="R65">
            <v>3.4299999999999999E-3</v>
          </cell>
          <cell r="S65">
            <v>1.1479999999999999E-3</v>
          </cell>
          <cell r="T65">
            <v>6.6799999999999997E-4</v>
          </cell>
          <cell r="U65">
            <v>5.4980000000000003E-3</v>
          </cell>
          <cell r="V65">
            <v>1.3582E-2</v>
          </cell>
          <cell r="W65">
            <v>1.049E-3</v>
          </cell>
          <cell r="X65">
            <v>7.8600000000000002E-4</v>
          </cell>
          <cell r="Y65">
            <v>3.6029999999999999E-3</v>
          </cell>
          <cell r="Z65">
            <v>4.3199999999999998E-4</v>
          </cell>
          <cell r="AA65">
            <v>2.9E-5</v>
          </cell>
          <cell r="AB65">
            <v>2.0999999999999999E-5</v>
          </cell>
          <cell r="AC65">
            <v>2.39724</v>
          </cell>
          <cell r="AD65">
            <v>3.5513309999999998</v>
          </cell>
          <cell r="AE65">
            <v>1.9952000000000001E-2</v>
          </cell>
          <cell r="AF65">
            <v>2.3911999999999999E-2</v>
          </cell>
          <cell r="AG65">
            <v>1.9400000000000001E-5</v>
          </cell>
          <cell r="AH65">
            <v>6.800000000000001E-6</v>
          </cell>
          <cell r="AI65">
            <v>2.7088999999999998E-2</v>
          </cell>
          <cell r="AJ65">
            <v>3.5791000000000003E-2</v>
          </cell>
          <cell r="AK65">
            <v>4.1240000000000001E-3</v>
          </cell>
          <cell r="AL65">
            <v>5.0559999999999997E-3</v>
          </cell>
          <cell r="AM65">
            <v>3.9119999999999997E-3</v>
          </cell>
          <cell r="AN65">
            <v>2.594E-3</v>
          </cell>
          <cell r="AO65">
            <v>3.0790000000000001E-3</v>
          </cell>
          <cell r="AP65">
            <v>2.447E-3</v>
          </cell>
        </row>
        <row r="66">
          <cell r="B66">
            <v>59</v>
          </cell>
          <cell r="C66">
            <v>4.1399999999999996E-3</v>
          </cell>
          <cell r="D66">
            <v>1.74E-3</v>
          </cell>
          <cell r="E66">
            <v>6.8099999999999996E-4</v>
          </cell>
          <cell r="F66">
            <v>7.3899999999999997E-4</v>
          </cell>
          <cell r="G66">
            <v>1.92E-4</v>
          </cell>
          <cell r="H66">
            <v>5.1999999999999997E-5</v>
          </cell>
          <cell r="I66">
            <v>8.7299999999999997E-4</v>
          </cell>
          <cell r="J66">
            <v>7.9099999999999993E-4</v>
          </cell>
          <cell r="K66">
            <v>0.36842599999999998</v>
          </cell>
          <cell r="L66">
            <v>0.28273799999999999</v>
          </cell>
          <cell r="M66">
            <v>0.35663499999999998</v>
          </cell>
          <cell r="N66">
            <v>0.26779200000000003</v>
          </cell>
          <cell r="O66">
            <v>2.8549999999999999E-3</v>
          </cell>
          <cell r="P66">
            <v>7.195E-3</v>
          </cell>
          <cell r="Q66">
            <v>4.2440000000000004E-3</v>
          </cell>
          <cell r="R66">
            <v>3.261E-3</v>
          </cell>
          <cell r="S66">
            <v>1.2999999999999999E-3</v>
          </cell>
          <cell r="T66">
            <v>7.0399999999999998E-4</v>
          </cell>
          <cell r="U66">
            <v>5.2290000000000001E-3</v>
          </cell>
          <cell r="V66">
            <v>1.2940999999999999E-2</v>
          </cell>
          <cell r="W66">
            <v>1.139E-3</v>
          </cell>
          <cell r="X66">
            <v>8.3299999999999997E-4</v>
          </cell>
          <cell r="Y66">
            <v>4.1229999999999999E-3</v>
          </cell>
          <cell r="Z66">
            <v>4.6799999999999999E-4</v>
          </cell>
          <cell r="AA66">
            <v>2.8E-5</v>
          </cell>
          <cell r="AB66">
            <v>2.0000000000000002E-5</v>
          </cell>
          <cell r="AC66">
            <v>2.5084520000000001</v>
          </cell>
          <cell r="AD66">
            <v>3.6476500000000001</v>
          </cell>
          <cell r="AE66">
            <v>1.9879000000000001E-2</v>
          </cell>
          <cell r="AF66">
            <v>2.3910000000000001E-2</v>
          </cell>
          <cell r="AG66">
            <v>1.9400000000000001E-5</v>
          </cell>
          <cell r="AH66">
            <v>6.800000000000001E-6</v>
          </cell>
          <cell r="AI66">
            <v>2.7007E-2</v>
          </cell>
          <cell r="AJ66">
            <v>3.6623999999999997E-2</v>
          </cell>
          <cell r="AK66">
            <v>4.241E-3</v>
          </cell>
          <cell r="AL66">
            <v>5.483E-3</v>
          </cell>
          <cell r="AM66">
            <v>4.0660000000000002E-3</v>
          </cell>
          <cell r="AN66">
            <v>2.7469999999999999E-3</v>
          </cell>
          <cell r="AO66">
            <v>3.2720000000000002E-3</v>
          </cell>
          <cell r="AP66">
            <v>2.4750000000000002E-3</v>
          </cell>
        </row>
        <row r="67">
          <cell r="B67">
            <v>60</v>
          </cell>
          <cell r="C67">
            <v>4.5500000000000002E-3</v>
          </cell>
          <cell r="D67">
            <v>1.8600000000000001E-3</v>
          </cell>
          <cell r="E67">
            <v>7.7099999999999998E-4</v>
          </cell>
          <cell r="F67">
            <v>8.1599999999999999E-4</v>
          </cell>
          <cell r="G67">
            <v>2.4699999999999999E-4</v>
          </cell>
          <cell r="H67">
            <v>7.8999999999999996E-5</v>
          </cell>
          <cell r="I67">
            <v>1.018E-3</v>
          </cell>
          <cell r="J67">
            <v>8.9499999999999996E-4</v>
          </cell>
          <cell r="K67">
            <v>0.39777699999999999</v>
          </cell>
          <cell r="L67">
            <v>0.29056100000000001</v>
          </cell>
          <cell r="M67">
            <v>0.38549299999999997</v>
          </cell>
          <cell r="N67">
            <v>0.27615200000000001</v>
          </cell>
          <cell r="O67">
            <v>3.1110000000000001E-3</v>
          </cell>
          <cell r="P67">
            <v>7.0590000000000002E-3</v>
          </cell>
          <cell r="Q67">
            <v>4.6010000000000001E-3</v>
          </cell>
          <cell r="R67">
            <v>3.094E-3</v>
          </cell>
          <cell r="S67">
            <v>1.4530000000000001E-3</v>
          </cell>
          <cell r="T67">
            <v>7.4100000000000001E-4</v>
          </cell>
          <cell r="U67">
            <v>4.9579999999999997E-3</v>
          </cell>
          <cell r="V67">
            <v>1.2284E-2</v>
          </cell>
          <cell r="W67">
            <v>1.23E-3</v>
          </cell>
          <cell r="X67">
            <v>8.8000000000000003E-4</v>
          </cell>
          <cell r="Y67">
            <v>4.6430000000000004E-3</v>
          </cell>
          <cell r="Z67">
            <v>5.04E-4</v>
          </cell>
          <cell r="AA67">
            <v>2.6999999999999999E-5</v>
          </cell>
          <cell r="AB67">
            <v>1.9000000000000001E-5</v>
          </cell>
          <cell r="AC67">
            <v>2.6196640000000002</v>
          </cell>
          <cell r="AD67">
            <v>3.74397</v>
          </cell>
          <cell r="AE67">
            <v>1.9781E-2</v>
          </cell>
          <cell r="AF67">
            <v>2.3741999999999999E-2</v>
          </cell>
          <cell r="AG67">
            <v>1.9400000000000001E-5</v>
          </cell>
          <cell r="AH67">
            <v>6.800000000000001E-6</v>
          </cell>
          <cell r="AI67">
            <v>2.6896E-2</v>
          </cell>
          <cell r="AJ67">
            <v>3.7388999999999999E-2</v>
          </cell>
          <cell r="AK67">
            <v>4.372E-3</v>
          </cell>
          <cell r="AL67">
            <v>5.953E-3</v>
          </cell>
          <cell r="AM67">
            <v>4.2209999999999999E-3</v>
          </cell>
          <cell r="AN67">
            <v>2.9060000000000002E-3</v>
          </cell>
          <cell r="AO67">
            <v>3.48E-3</v>
          </cell>
          <cell r="AP67">
            <v>2.5010000000000002E-3</v>
          </cell>
        </row>
        <row r="68">
          <cell r="B68">
            <v>61</v>
          </cell>
          <cell r="C68">
            <v>4.9699999999999996E-3</v>
          </cell>
          <cell r="D68">
            <v>1.98E-3</v>
          </cell>
          <cell r="E68">
            <v>8.5599999999999999E-4</v>
          </cell>
          <cell r="F68">
            <v>8.9300000000000002E-4</v>
          </cell>
          <cell r="G68">
            <v>2.4699999999999999E-4</v>
          </cell>
          <cell r="H68">
            <v>7.8999999999999996E-5</v>
          </cell>
          <cell r="I68">
            <v>1.103E-3</v>
          </cell>
          <cell r="J68">
            <v>9.7199999999999999E-4</v>
          </cell>
          <cell r="K68">
            <v>0.42726900000000001</v>
          </cell>
          <cell r="L68">
            <v>0.29848400000000003</v>
          </cell>
          <cell r="M68">
            <v>0.41448799999999997</v>
          </cell>
          <cell r="N68">
            <v>0.28462399999999999</v>
          </cell>
          <cell r="O68">
            <v>3.3649999999999999E-3</v>
          </cell>
          <cell r="P68">
            <v>6.9760000000000004E-3</v>
          </cell>
          <cell r="Q68">
            <v>4.9540000000000001E-3</v>
          </cell>
          <cell r="R68">
            <v>2.9529999999999999E-3</v>
          </cell>
          <cell r="S68">
            <v>1.6050000000000001E-3</v>
          </cell>
          <cell r="T68">
            <v>7.7800000000000005E-4</v>
          </cell>
          <cell r="U68">
            <v>4.6860000000000001E-3</v>
          </cell>
          <cell r="V68">
            <v>1.1612000000000001E-2</v>
          </cell>
          <cell r="W68">
            <v>1.322E-3</v>
          </cell>
          <cell r="X68">
            <v>9.2900000000000003E-4</v>
          </cell>
          <cell r="Y68">
            <v>5.1679999999999999E-3</v>
          </cell>
          <cell r="Z68">
            <v>5.4100000000000003E-4</v>
          </cell>
          <cell r="AA68">
            <v>2.5999999999999998E-5</v>
          </cell>
          <cell r="AB68">
            <v>1.9000000000000001E-5</v>
          </cell>
          <cell r="AC68">
            <v>2.7308750000000002</v>
          </cell>
          <cell r="AD68">
            <v>3.8402889999999998</v>
          </cell>
          <cell r="AE68">
            <v>1.9699000000000001E-2</v>
          </cell>
          <cell r="AF68">
            <v>2.3557000000000002E-2</v>
          </cell>
          <cell r="AG68">
            <v>1.9400000000000001E-5</v>
          </cell>
          <cell r="AH68">
            <v>6.800000000000001E-6</v>
          </cell>
          <cell r="AI68">
            <v>2.6845000000000001E-2</v>
          </cell>
          <cell r="AJ68">
            <v>3.8226000000000003E-2</v>
          </cell>
          <cell r="AK68">
            <v>4.542E-3</v>
          </cell>
          <cell r="AL68">
            <v>6.4840000000000002E-3</v>
          </cell>
          <cell r="AM68">
            <v>4.4180000000000001E-3</v>
          </cell>
          <cell r="AN68">
            <v>3.0720000000000001E-3</v>
          </cell>
          <cell r="AO68">
            <v>3.7030000000000001E-3</v>
          </cell>
          <cell r="AP68">
            <v>2.5360000000000001E-3</v>
          </cell>
        </row>
        <row r="69">
          <cell r="B69">
            <v>62</v>
          </cell>
          <cell r="C69">
            <v>5.4200000000000003E-3</v>
          </cell>
          <cell r="D69">
            <v>2.1199999999999999E-3</v>
          </cell>
          <cell r="E69">
            <v>9.41E-4</v>
          </cell>
          <cell r="F69">
            <v>9.7000000000000005E-4</v>
          </cell>
          <cell r="G69">
            <v>2.4699999999999999E-4</v>
          </cell>
          <cell r="H69">
            <v>7.8999999999999996E-5</v>
          </cell>
          <cell r="I69">
            <v>1.188E-3</v>
          </cell>
          <cell r="J69">
            <v>1.049E-3</v>
          </cell>
          <cell r="K69">
            <v>0.456901</v>
          </cell>
          <cell r="L69">
            <v>0.30650699999999997</v>
          </cell>
          <cell r="M69">
            <v>0.44362099999999999</v>
          </cell>
          <cell r="N69">
            <v>0.29321199999999997</v>
          </cell>
          <cell r="O69">
            <v>3.6180000000000001E-3</v>
          </cell>
          <cell r="P69">
            <v>6.8950000000000001E-3</v>
          </cell>
          <cell r="Q69">
            <v>5.3070000000000001E-3</v>
          </cell>
          <cell r="R69">
            <v>2.8110000000000001E-3</v>
          </cell>
          <cell r="S69">
            <v>1.7589999999999999E-3</v>
          </cell>
          <cell r="T69">
            <v>8.1599999999999999E-4</v>
          </cell>
          <cell r="U69">
            <v>4.4130000000000003E-3</v>
          </cell>
          <cell r="V69">
            <v>1.0923E-2</v>
          </cell>
          <cell r="W69">
            <v>1.4139999999999999E-3</v>
          </cell>
          <cell r="X69">
            <v>9.77E-4</v>
          </cell>
          <cell r="Y69">
            <v>5.6940000000000003E-3</v>
          </cell>
          <cell r="Z69">
            <v>5.7899999999999998E-4</v>
          </cell>
          <cell r="AA69">
            <v>2.5000000000000001E-5</v>
          </cell>
          <cell r="AB69">
            <v>1.9000000000000001E-5</v>
          </cell>
          <cell r="AC69">
            <v>2.8420869999999998</v>
          </cell>
          <cell r="AD69">
            <v>3.9366080000000001</v>
          </cell>
          <cell r="AE69">
            <v>1.9661000000000001E-2</v>
          </cell>
          <cell r="AF69">
            <v>2.3449999999999999E-2</v>
          </cell>
          <cell r="AG69">
            <v>1.9400000000000001E-5</v>
          </cell>
          <cell r="AH69">
            <v>6.800000000000001E-6</v>
          </cell>
          <cell r="AI69">
            <v>2.6922000000000001E-2</v>
          </cell>
          <cell r="AJ69">
            <v>3.9241999999999999E-2</v>
          </cell>
          <cell r="AK69">
            <v>4.7759999999999999E-3</v>
          </cell>
          <cell r="AL69">
            <v>7.0980000000000001E-3</v>
          </cell>
          <cell r="AM69">
            <v>4.6930000000000001E-3</v>
          </cell>
          <cell r="AN69">
            <v>3.2460000000000002E-3</v>
          </cell>
          <cell r="AO69">
            <v>3.9439999999999996E-3</v>
          </cell>
          <cell r="AP69">
            <v>2.5860000000000002E-3</v>
          </cell>
        </row>
        <row r="70">
          <cell r="B70">
            <v>63</v>
          </cell>
          <cell r="C70">
            <v>5.9500000000000004E-3</v>
          </cell>
          <cell r="D70">
            <v>2.2799999999999999E-3</v>
          </cell>
          <cell r="E70">
            <v>1.0300000000000001E-3</v>
          </cell>
          <cell r="F70">
            <v>1.0150000000000001E-3</v>
          </cell>
          <cell r="G70">
            <v>2.4699999999999999E-4</v>
          </cell>
          <cell r="H70">
            <v>7.8999999999999996E-5</v>
          </cell>
          <cell r="I70">
            <v>1.2770000000000001E-3</v>
          </cell>
          <cell r="J70">
            <v>1.0940000000000001E-3</v>
          </cell>
          <cell r="K70">
            <v>0.49577199999999999</v>
          </cell>
          <cell r="L70">
            <v>0.314606</v>
          </cell>
          <cell r="M70">
            <v>0.48157499999999998</v>
          </cell>
          <cell r="N70">
            <v>0.30107800000000001</v>
          </cell>
          <cell r="O70">
            <v>3.872E-3</v>
          </cell>
          <cell r="P70">
            <v>6.8120000000000003E-3</v>
          </cell>
          <cell r="Q70">
            <v>5.7689999999999998E-3</v>
          </cell>
          <cell r="R70">
            <v>2.8700000000000002E-3</v>
          </cell>
          <cell r="S70">
            <v>1.9139999999999999E-3</v>
          </cell>
          <cell r="T70">
            <v>8.5400000000000005E-4</v>
          </cell>
          <cell r="U70">
            <v>4.5539999999999999E-3</v>
          </cell>
          <cell r="V70">
            <v>1.103E-2</v>
          </cell>
          <cell r="W70">
            <v>1.506E-3</v>
          </cell>
          <cell r="X70">
            <v>1.0269999999999999E-3</v>
          </cell>
          <cell r="Y70">
            <v>6.2230000000000002E-3</v>
          </cell>
          <cell r="Z70">
            <v>6.1700000000000004E-4</v>
          </cell>
          <cell r="AA70">
            <v>2.5000000000000001E-5</v>
          </cell>
          <cell r="AB70">
            <v>2.0000000000000002E-5</v>
          </cell>
          <cell r="AC70">
            <v>3.0257670000000001</v>
          </cell>
          <cell r="AD70">
            <v>4.0550980000000001</v>
          </cell>
          <cell r="AE70">
            <v>1.9678000000000001E-2</v>
          </cell>
          <cell r="AF70">
            <v>2.3432000000000001E-2</v>
          </cell>
          <cell r="AG70">
            <v>1.9400000000000001E-5</v>
          </cell>
          <cell r="AH70">
            <v>6.800000000000001E-6</v>
          </cell>
          <cell r="AI70">
            <v>2.7147000000000001E-2</v>
          </cell>
          <cell r="AJ70">
            <v>4.0460999999999997E-2</v>
          </cell>
          <cell r="AK70">
            <v>5.0689999999999997E-3</v>
          </cell>
          <cell r="AL70">
            <v>7.796E-3</v>
          </cell>
          <cell r="AM70">
            <v>5.0520000000000001E-3</v>
          </cell>
          <cell r="AN70">
            <v>3.4280000000000001E-3</v>
          </cell>
          <cell r="AO70">
            <v>4.2100000000000002E-3</v>
          </cell>
          <cell r="AP70">
            <v>2.65E-3</v>
          </cell>
        </row>
        <row r="71">
          <cell r="B71">
            <v>64</v>
          </cell>
          <cell r="C71">
            <v>6.5399999999999998E-3</v>
          </cell>
          <cell r="D71">
            <v>2.48E-3</v>
          </cell>
          <cell r="E71">
            <v>1.1249999999999999E-3</v>
          </cell>
          <cell r="F71">
            <v>1.0610000000000001E-3</v>
          </cell>
          <cell r="G71">
            <v>2.4699999999999999E-4</v>
          </cell>
          <cell r="H71">
            <v>7.8999999999999996E-5</v>
          </cell>
          <cell r="I71">
            <v>1.372E-3</v>
          </cell>
          <cell r="J71">
            <v>1.1400000000000002E-3</v>
          </cell>
          <cell r="K71">
            <v>0.53483000000000003</v>
          </cell>
          <cell r="L71">
            <v>0.32280399999999998</v>
          </cell>
          <cell r="M71">
            <v>0.51971099999999992</v>
          </cell>
          <cell r="N71">
            <v>0.30904200000000004</v>
          </cell>
          <cell r="O71">
            <v>4.1260000000000003E-3</v>
          </cell>
          <cell r="P71">
            <v>6.7299999999999999E-3</v>
          </cell>
          <cell r="Q71">
            <v>6.2290000000000002E-3</v>
          </cell>
          <cell r="R71">
            <v>2.9299999999999999E-3</v>
          </cell>
          <cell r="S71">
            <v>2.0690000000000001E-3</v>
          </cell>
          <cell r="T71">
            <v>8.9300000000000002E-4</v>
          </cell>
          <cell r="U71">
            <v>4.6959999999999997E-3</v>
          </cell>
          <cell r="V71">
            <v>1.1136E-2</v>
          </cell>
          <cell r="W71">
            <v>1.6000000000000001E-3</v>
          </cell>
          <cell r="X71">
            <v>1.077E-3</v>
          </cell>
          <cell r="Y71">
            <v>6.7539999999999996E-3</v>
          </cell>
          <cell r="Z71">
            <v>6.5600000000000001E-4</v>
          </cell>
          <cell r="AA71">
            <v>2.5999999999999998E-5</v>
          </cell>
          <cell r="AB71">
            <v>2.0999999999999999E-5</v>
          </cell>
          <cell r="AC71">
            <v>3.2094459999999998</v>
          </cell>
          <cell r="AD71">
            <v>4.1735870000000004</v>
          </cell>
          <cell r="AE71">
            <v>1.9736E-2</v>
          </cell>
          <cell r="AF71">
            <v>2.3460999999999999E-2</v>
          </cell>
          <cell r="AG71">
            <v>1.9400000000000001E-5</v>
          </cell>
          <cell r="AH71">
            <v>6.800000000000001E-6</v>
          </cell>
          <cell r="AI71">
            <v>2.7491999999999999E-2</v>
          </cell>
          <cell r="AJ71">
            <v>4.1840000000000002E-2</v>
          </cell>
          <cell r="AK71">
            <v>5.4120000000000001E-3</v>
          </cell>
          <cell r="AL71">
            <v>8.5699999999999995E-3</v>
          </cell>
          <cell r="AM71">
            <v>5.4900000000000001E-3</v>
          </cell>
          <cell r="AN71">
            <v>3.6189999999999998E-3</v>
          </cell>
          <cell r="AO71">
            <v>4.4990000000000004E-3</v>
          </cell>
          <cell r="AP71">
            <v>2.725E-3</v>
          </cell>
        </row>
        <row r="72">
          <cell r="B72">
            <v>65</v>
          </cell>
          <cell r="C72">
            <v>7.1599999999999997E-3</v>
          </cell>
          <cell r="D72">
            <v>2.7100000000000002E-3</v>
          </cell>
          <cell r="E72">
            <v>1.2099999999999999E-3</v>
          </cell>
          <cell r="F72">
            <v>1.101E-3</v>
          </cell>
          <cell r="G72">
            <v>2.4699999999999999E-4</v>
          </cell>
          <cell r="H72">
            <v>7.8999999999999996E-5</v>
          </cell>
          <cell r="I72">
            <v>1.457E-3</v>
          </cell>
          <cell r="J72">
            <v>1.1800000000000001E-3</v>
          </cell>
          <cell r="K72">
            <v>0.57251799999999997</v>
          </cell>
          <cell r="L72">
            <v>0.33089000000000002</v>
          </cell>
          <cell r="M72">
            <v>0.55647299999999988</v>
          </cell>
          <cell r="N72">
            <v>0.31677</v>
          </cell>
          <cell r="O72">
            <v>4.4089999999999997E-3</v>
          </cell>
          <cell r="P72">
            <v>6.5120000000000004E-3</v>
          </cell>
          <cell r="Q72">
            <v>6.6899999999999998E-3</v>
          </cell>
          <cell r="R72">
            <v>2.99E-3</v>
          </cell>
          <cell r="S72">
            <v>2.3180000000000002E-3</v>
          </cell>
          <cell r="T72">
            <v>1.0219999999999999E-3</v>
          </cell>
          <cell r="U72">
            <v>4.8260000000000004E-3</v>
          </cell>
          <cell r="V72">
            <v>1.1235E-2</v>
          </cell>
          <cell r="W72">
            <v>1.73E-3</v>
          </cell>
          <cell r="X72">
            <v>1.1479999999999999E-3</v>
          </cell>
          <cell r="Y72">
            <v>7.1710000000000003E-3</v>
          </cell>
          <cell r="Z72">
            <v>7.1500000000000003E-4</v>
          </cell>
          <cell r="AA72">
            <v>2.6999999999999999E-5</v>
          </cell>
          <cell r="AB72">
            <v>2.3E-5</v>
          </cell>
          <cell r="AC72">
            <v>3.3931260000000001</v>
          </cell>
          <cell r="AD72">
            <v>4.2920759999999998</v>
          </cell>
          <cell r="AE72">
            <v>1.9813999999999998E-2</v>
          </cell>
          <cell r="AF72">
            <v>2.3514E-2</v>
          </cell>
          <cell r="AG72">
            <v>1.9400000000000001E-5</v>
          </cell>
          <cell r="AH72">
            <v>6.800000000000001E-6</v>
          </cell>
          <cell r="AI72">
            <v>2.7890999999999999E-2</v>
          </cell>
          <cell r="AJ72">
            <v>4.3316E-2</v>
          </cell>
          <cell r="AK72">
            <v>5.8129999999999996E-3</v>
          </cell>
          <cell r="AL72">
            <v>9.4149999999999998E-3</v>
          </cell>
          <cell r="AM72">
            <v>5.9680000000000002E-3</v>
          </cell>
          <cell r="AN72">
            <v>3.813E-3</v>
          </cell>
          <cell r="AO72">
            <v>4.7949999999999998E-3</v>
          </cell>
          <cell r="AP72">
            <v>2.8149999999999998E-3</v>
          </cell>
        </row>
        <row r="73">
          <cell r="B73">
            <v>66</v>
          </cell>
          <cell r="C73">
            <v>7.8300000000000002E-3</v>
          </cell>
          <cell r="D73">
            <v>3.0200000000000001E-3</v>
          </cell>
          <cell r="E73">
            <v>1.2899999999999999E-3</v>
          </cell>
          <cell r="F73">
            <v>1.134E-3</v>
          </cell>
          <cell r="G73">
            <v>2.4699999999999999E-4</v>
          </cell>
          <cell r="H73">
            <v>7.8999999999999996E-5</v>
          </cell>
          <cell r="I73">
            <v>1.537E-3</v>
          </cell>
          <cell r="J73">
            <v>1.2130000000000001E-3</v>
          </cell>
          <cell r="K73">
            <v>0.60852899999999999</v>
          </cell>
          <cell r="L73">
            <v>0.33885199999999999</v>
          </cell>
          <cell r="M73">
            <v>0.59156000000000009</v>
          </cell>
          <cell r="N73">
            <v>0.32424799999999998</v>
          </cell>
          <cell r="O73">
            <v>4.7210000000000004E-3</v>
          </cell>
          <cell r="P73">
            <v>6.1590000000000004E-3</v>
          </cell>
          <cell r="Q73">
            <v>7.1520000000000004E-3</v>
          </cell>
          <cell r="R73">
            <v>3.0500000000000002E-3</v>
          </cell>
          <cell r="S73">
            <v>2.6589999999999999E-3</v>
          </cell>
          <cell r="T73">
            <v>1.2440000000000001E-3</v>
          </cell>
          <cell r="U73">
            <v>4.9410000000000001E-3</v>
          </cell>
          <cell r="V73">
            <v>1.1327E-2</v>
          </cell>
          <cell r="W73">
            <v>1.8959999999999999E-3</v>
          </cell>
          <cell r="X73">
            <v>1.238E-3</v>
          </cell>
          <cell r="Y73">
            <v>7.4729999999999996E-3</v>
          </cell>
          <cell r="Z73">
            <v>7.9500000000000003E-4</v>
          </cell>
          <cell r="AA73">
            <v>2.8E-5</v>
          </cell>
          <cell r="AB73">
            <v>2.5000000000000001E-5</v>
          </cell>
          <cell r="AC73">
            <v>3.5768059999999999</v>
          </cell>
          <cell r="AD73">
            <v>4.4105660000000002</v>
          </cell>
          <cell r="AE73">
            <v>1.9886000000000001E-2</v>
          </cell>
          <cell r="AF73">
            <v>2.3559E-2</v>
          </cell>
          <cell r="AG73">
            <v>1.9400000000000001E-5</v>
          </cell>
          <cell r="AH73">
            <v>6.800000000000001E-6</v>
          </cell>
          <cell r="AI73">
            <v>2.8274000000000001E-2</v>
          </cell>
          <cell r="AJ73">
            <v>4.4822000000000001E-2</v>
          </cell>
          <cell r="AK73">
            <v>6.3E-3</v>
          </cell>
          <cell r="AL73">
            <v>1.035E-2</v>
          </cell>
          <cell r="AM73">
            <v>6.4390000000000003E-3</v>
          </cell>
          <cell r="AN73">
            <v>4.0080000000000003E-3</v>
          </cell>
          <cell r="AO73">
            <v>5.0759999999999998E-3</v>
          </cell>
          <cell r="AP73">
            <v>2.9290000000000002E-3</v>
          </cell>
        </row>
        <row r="74">
          <cell r="B74">
            <v>67</v>
          </cell>
          <cell r="C74">
            <v>8.5599999999999999E-3</v>
          </cell>
          <cell r="D74">
            <v>3.4199999999999999E-3</v>
          </cell>
          <cell r="E74">
            <v>2.2790000000000002E-3</v>
          </cell>
          <cell r="F74">
            <v>2.7070000000000002E-3</v>
          </cell>
          <cell r="G74">
            <v>2.4699999999999999E-4</v>
          </cell>
          <cell r="H74">
            <v>7.8999999999999996E-5</v>
          </cell>
          <cell r="I74">
            <v>2.526E-3</v>
          </cell>
          <cell r="J74">
            <v>2.7860000000000003E-3</v>
          </cell>
          <cell r="K74">
            <v>0.644316</v>
          </cell>
          <cell r="L74">
            <v>0.34689999999999999</v>
          </cell>
          <cell r="M74">
            <v>0.62643100000000007</v>
          </cell>
          <cell r="N74">
            <v>0.33180599999999999</v>
          </cell>
          <cell r="O74">
            <v>5.0350000000000004E-3</v>
          </cell>
          <cell r="P74">
            <v>5.8060000000000004E-3</v>
          </cell>
          <cell r="Q74">
            <v>7.6119999999999998E-3</v>
          </cell>
          <cell r="R74">
            <v>3.1089999999999998E-3</v>
          </cell>
          <cell r="S74">
            <v>2.9970000000000001E-3</v>
          </cell>
          <cell r="T74">
            <v>1.469E-3</v>
          </cell>
          <cell r="U74">
            <v>5.0559999999999997E-3</v>
          </cell>
          <cell r="V74">
            <v>1.1419E-2</v>
          </cell>
          <cell r="W74">
            <v>2.0600000000000002E-3</v>
          </cell>
          <cell r="X74">
            <v>1.33E-3</v>
          </cell>
          <cell r="Y74">
            <v>7.7720000000000003E-3</v>
          </cell>
          <cell r="Z74">
            <v>8.7600000000000004E-4</v>
          </cell>
          <cell r="AA74">
            <v>2.8E-5</v>
          </cell>
          <cell r="AB74">
            <v>2.5999999999999998E-5</v>
          </cell>
          <cell r="AC74">
            <v>3.7604850000000001</v>
          </cell>
          <cell r="AD74">
            <v>4.5290549999999996</v>
          </cell>
          <cell r="AE74">
            <v>1.9932999999999999E-2</v>
          </cell>
          <cell r="AF74">
            <v>2.3574999999999999E-2</v>
          </cell>
          <cell r="AG74">
            <v>1.9400000000000001E-5</v>
          </cell>
          <cell r="AH74">
            <v>6.800000000000001E-6</v>
          </cell>
          <cell r="AI74">
            <v>2.8649000000000001E-2</v>
          </cell>
          <cell r="AJ74">
            <v>4.632E-2</v>
          </cell>
          <cell r="AK74">
            <v>6.9090000000000002E-3</v>
          </cell>
          <cell r="AL74">
            <v>1.1402000000000001E-2</v>
          </cell>
          <cell r="AM74">
            <v>6.8690000000000001E-3</v>
          </cell>
          <cell r="AN74">
            <v>4.1989999999999996E-3</v>
          </cell>
          <cell r="AO74">
            <v>5.3249999999999999E-3</v>
          </cell>
          <cell r="AP74">
            <v>3.078E-3</v>
          </cell>
        </row>
        <row r="75">
          <cell r="B75">
            <v>68</v>
          </cell>
          <cell r="C75">
            <v>9.5300000000000003E-3</v>
          </cell>
          <cell r="D75">
            <v>3.9399999999999999E-3</v>
          </cell>
          <cell r="E75">
            <v>2.4520000000000002E-3</v>
          </cell>
          <cell r="F75">
            <v>2.9090000000000001E-3</v>
          </cell>
          <cell r="G75">
            <v>2.4699999999999999E-4</v>
          </cell>
          <cell r="H75">
            <v>7.8999999999999996E-5</v>
          </cell>
          <cell r="I75">
            <v>2.699E-3</v>
          </cell>
          <cell r="J75">
            <v>2.9880000000000002E-3</v>
          </cell>
          <cell r="K75">
            <v>0.68537499999999996</v>
          </cell>
          <cell r="L75">
            <v>0.36141200000000001</v>
          </cell>
          <cell r="M75">
            <v>0.66652699999999998</v>
          </cell>
          <cell r="N75">
            <v>0.34663900000000003</v>
          </cell>
          <cell r="O75">
            <v>5.3470000000000002E-3</v>
          </cell>
          <cell r="P75">
            <v>5.4520000000000002E-3</v>
          </cell>
          <cell r="Q75">
            <v>8.0630000000000007E-3</v>
          </cell>
          <cell r="R75">
            <v>4.0899999999999999E-3</v>
          </cell>
          <cell r="S75">
            <v>3.333E-3</v>
          </cell>
          <cell r="T75">
            <v>1.6969999999999999E-3</v>
          </cell>
          <cell r="U75">
            <v>5.2220000000000001E-3</v>
          </cell>
          <cell r="V75">
            <v>1.0696000000000001E-2</v>
          </cell>
          <cell r="W75">
            <v>2.2230000000000001E-3</v>
          </cell>
          <cell r="X75">
            <v>1.4220000000000001E-3</v>
          </cell>
          <cell r="Y75">
            <v>8.0700000000000008E-3</v>
          </cell>
          <cell r="Z75">
            <v>9.5799999999999998E-4</v>
          </cell>
          <cell r="AA75">
            <v>2.6999999999999999E-5</v>
          </cell>
          <cell r="AB75">
            <v>2.6999999999999999E-5</v>
          </cell>
          <cell r="AC75">
            <v>3.955838</v>
          </cell>
          <cell r="AD75">
            <v>4.6670369999999997</v>
          </cell>
          <cell r="AE75">
            <v>1.9931000000000001E-2</v>
          </cell>
          <cell r="AF75">
            <v>2.3560000000000001E-2</v>
          </cell>
          <cell r="AG75">
            <v>1.9400000000000001E-5</v>
          </cell>
          <cell r="AH75">
            <v>6.800000000000001E-6</v>
          </cell>
          <cell r="AI75">
            <v>2.9118999999999999E-2</v>
          </cell>
          <cell r="AJ75">
            <v>4.7733999999999999E-2</v>
          </cell>
          <cell r="AK75">
            <v>7.6519999999999999E-3</v>
          </cell>
          <cell r="AL75">
            <v>1.2571000000000001E-2</v>
          </cell>
          <cell r="AM75">
            <v>7.3330000000000001E-3</v>
          </cell>
          <cell r="AN75">
            <v>4.4070000000000003E-3</v>
          </cell>
          <cell r="AO75">
            <v>5.5310000000000003E-3</v>
          </cell>
          <cell r="AP75">
            <v>3.2699999999999999E-3</v>
          </cell>
        </row>
        <row r="76">
          <cell r="B76">
            <v>69</v>
          </cell>
          <cell r="C76">
            <v>1.086E-2</v>
          </cell>
          <cell r="D76">
            <v>4.5700000000000003E-3</v>
          </cell>
          <cell r="E76">
            <v>2.6389999999999999E-3</v>
          </cell>
          <cell r="F76">
            <v>3.0330000000000001E-3</v>
          </cell>
          <cell r="G76">
            <v>2.4699999999999999E-4</v>
          </cell>
          <cell r="H76">
            <v>7.8999999999999996E-5</v>
          </cell>
          <cell r="I76">
            <v>2.8859999999999997E-3</v>
          </cell>
          <cell r="J76">
            <v>3.1120000000000002E-3</v>
          </cell>
          <cell r="K76">
            <v>0.72617600000000004</v>
          </cell>
          <cell r="L76">
            <v>0.376114</v>
          </cell>
          <cell r="M76">
            <v>0.70637000000000005</v>
          </cell>
          <cell r="N76">
            <v>0.36166700000000002</v>
          </cell>
          <cell r="O76">
            <v>5.6600000000000001E-3</v>
          </cell>
          <cell r="P76">
            <v>5.0990000000000002E-3</v>
          </cell>
          <cell r="Q76">
            <v>8.5140000000000007E-3</v>
          </cell>
          <cell r="R76">
            <v>5.071E-3</v>
          </cell>
          <cell r="S76">
            <v>3.6679999999999998E-3</v>
          </cell>
          <cell r="T76">
            <v>1.9300000000000001E-3</v>
          </cell>
          <cell r="U76">
            <v>5.3870000000000003E-3</v>
          </cell>
          <cell r="V76">
            <v>9.9590000000000008E-3</v>
          </cell>
          <cell r="W76">
            <v>2.3860000000000001E-3</v>
          </cell>
          <cell r="X76">
            <v>1.516E-3</v>
          </cell>
          <cell r="Y76">
            <v>8.3649999999999992E-3</v>
          </cell>
          <cell r="Z76">
            <v>1.042E-3</v>
          </cell>
          <cell r="AA76">
            <v>2.5000000000000001E-5</v>
          </cell>
          <cell r="AB76">
            <v>2.8E-5</v>
          </cell>
          <cell r="AC76">
            <v>4.1511899999999997</v>
          </cell>
          <cell r="AD76">
            <v>4.8050199999999998</v>
          </cell>
          <cell r="AE76">
            <v>1.9887999999999999E-2</v>
          </cell>
          <cell r="AF76">
            <v>2.3524E-2</v>
          </cell>
          <cell r="AG76">
            <v>1.9400000000000001E-5</v>
          </cell>
          <cell r="AH76">
            <v>6.800000000000001E-6</v>
          </cell>
          <cell r="AI76">
            <v>2.9821E-2</v>
          </cell>
          <cell r="AJ76">
            <v>4.9082000000000001E-2</v>
          </cell>
          <cell r="AK76">
            <v>8.5159999999999993E-3</v>
          </cell>
          <cell r="AL76">
            <v>1.3845E-2</v>
          </cell>
          <cell r="AM76">
            <v>7.7730000000000004E-3</v>
          </cell>
          <cell r="AN76">
            <v>4.6150000000000002E-3</v>
          </cell>
          <cell r="AO76">
            <v>5.7019999999999996E-3</v>
          </cell>
          <cell r="AP76">
            <v>3.5010000000000002E-3</v>
          </cell>
        </row>
        <row r="77">
          <cell r="B77">
            <v>70</v>
          </cell>
          <cell r="C77">
            <v>1.248E-2</v>
          </cell>
          <cell r="D77">
            <v>5.2500000000000003E-3</v>
          </cell>
          <cell r="E77">
            <v>2.843E-3</v>
          </cell>
          <cell r="F77">
            <v>3.166E-3</v>
          </cell>
          <cell r="G77">
            <v>2.9500000000000001E-4</v>
          </cell>
          <cell r="H77">
            <v>1.13E-4</v>
          </cell>
          <cell r="I77">
            <v>3.1380000000000002E-3</v>
          </cell>
          <cell r="J77">
            <v>3.2789999999999998E-3</v>
          </cell>
          <cell r="K77">
            <v>0.76671900000000004</v>
          </cell>
          <cell r="L77">
            <v>0.39100400000000002</v>
          </cell>
          <cell r="M77">
            <v>0.74596099999999999</v>
          </cell>
          <cell r="N77">
            <v>0.37689100000000003</v>
          </cell>
          <cell r="O77">
            <v>5.9740000000000001E-3</v>
          </cell>
          <cell r="P77">
            <v>4.7460000000000002E-3</v>
          </cell>
          <cell r="Q77">
            <v>8.9650000000000007E-3</v>
          </cell>
          <cell r="R77">
            <v>6.051E-3</v>
          </cell>
          <cell r="S77">
            <v>4.0000000000000001E-3</v>
          </cell>
          <cell r="T77">
            <v>2.1649999999999998E-3</v>
          </cell>
          <cell r="U77">
            <v>5.5519999999999996E-3</v>
          </cell>
          <cell r="V77">
            <v>9.2099999999999994E-3</v>
          </cell>
          <cell r="W77">
            <v>2.5479999999999999E-3</v>
          </cell>
          <cell r="X77">
            <v>1.6119999999999999E-3</v>
          </cell>
          <cell r="Y77">
            <v>8.6580000000000008E-3</v>
          </cell>
          <cell r="Z77">
            <v>1.126E-3</v>
          </cell>
          <cell r="AA77">
            <v>2.3E-5</v>
          </cell>
          <cell r="AB77">
            <v>2.9E-5</v>
          </cell>
          <cell r="AC77">
            <v>4.3465429999999996</v>
          </cell>
          <cell r="AD77">
            <v>4.943003</v>
          </cell>
          <cell r="AE77">
            <v>1.9859999999999999E-2</v>
          </cell>
          <cell r="AF77">
            <v>2.3470999999999999E-2</v>
          </cell>
          <cell r="AG77">
            <v>1.9400000000000001E-5</v>
          </cell>
          <cell r="AH77">
            <v>6.800000000000001E-6</v>
          </cell>
          <cell r="AI77">
            <v>3.0841E-2</v>
          </cell>
          <cell r="AJ77">
            <v>5.0538E-2</v>
          </cell>
          <cell r="AK77">
            <v>9.4680000000000007E-3</v>
          </cell>
          <cell r="AL77">
            <v>1.5225000000000001E-2</v>
          </cell>
          <cell r="AM77">
            <v>8.1980000000000004E-3</v>
          </cell>
          <cell r="AN77">
            <v>4.8209999999999998E-3</v>
          </cell>
          <cell r="AO77">
            <v>5.862E-3</v>
          </cell>
          <cell r="AP77">
            <v>3.7520000000000001E-3</v>
          </cell>
        </row>
        <row r="78">
          <cell r="B78">
            <v>71</v>
          </cell>
          <cell r="C78">
            <v>1.4420000000000001E-2</v>
          </cell>
          <cell r="D78">
            <v>6.0400000000000002E-3</v>
          </cell>
          <cell r="E78">
            <v>3.0639999999999999E-3</v>
          </cell>
          <cell r="F78">
            <v>3.307E-3</v>
          </cell>
          <cell r="G78">
            <v>2.9500000000000001E-4</v>
          </cell>
          <cell r="H78">
            <v>1.13E-4</v>
          </cell>
          <cell r="I78">
            <v>3.359E-3</v>
          </cell>
          <cell r="J78">
            <v>3.4199999999999999E-3</v>
          </cell>
          <cell r="K78">
            <v>0.80945</v>
          </cell>
          <cell r="L78">
            <v>0.40286899999999998</v>
          </cell>
          <cell r="M78">
            <v>0.78768199999999999</v>
          </cell>
          <cell r="N78">
            <v>0.389206</v>
          </cell>
          <cell r="O78">
            <v>6.2859999999999999E-3</v>
          </cell>
          <cell r="P78">
            <v>4.3930000000000002E-3</v>
          </cell>
          <cell r="Q78">
            <v>9.4160000000000008E-3</v>
          </cell>
          <cell r="R78">
            <v>7.0309999999999999E-3</v>
          </cell>
          <cell r="S78">
            <v>4.3429999999999996E-3</v>
          </cell>
          <cell r="T78">
            <v>2.385E-3</v>
          </cell>
          <cell r="U78">
            <v>5.7320000000000001E-3</v>
          </cell>
          <cell r="V78">
            <v>8.3800000000000003E-3</v>
          </cell>
          <cell r="W78">
            <v>2.7160000000000001E-3</v>
          </cell>
          <cell r="X78">
            <v>1.696E-3</v>
          </cell>
          <cell r="Y78">
            <v>8.9770000000000006E-3</v>
          </cell>
          <cell r="Z78">
            <v>1.2019999999999999E-3</v>
          </cell>
          <cell r="AA78">
            <v>2.1999999999999999E-5</v>
          </cell>
          <cell r="AB78">
            <v>3.0000000000000001E-5</v>
          </cell>
          <cell r="AC78">
            <v>4.5418950000000002</v>
          </cell>
          <cell r="AD78">
            <v>5.0809850000000001</v>
          </cell>
          <cell r="AE78">
            <v>1.9937E-2</v>
          </cell>
          <cell r="AF78">
            <v>2.3401999999999999E-2</v>
          </cell>
          <cell r="AG78">
            <v>1.9400000000000001E-5</v>
          </cell>
          <cell r="AH78">
            <v>6.800000000000001E-6</v>
          </cell>
          <cell r="AI78">
            <v>3.2177999999999998E-2</v>
          </cell>
          <cell r="AJ78">
            <v>5.2394999999999997E-2</v>
          </cell>
          <cell r="AK78">
            <v>1.0485E-2</v>
          </cell>
          <cell r="AL78">
            <v>1.6736999999999998E-2</v>
          </cell>
          <cell r="AM78">
            <v>8.6130000000000009E-3</v>
          </cell>
          <cell r="AN78">
            <v>5.025E-3</v>
          </cell>
          <cell r="AO78">
            <v>6.0410000000000004E-3</v>
          </cell>
          <cell r="AP78">
            <v>4.0039999999999997E-3</v>
          </cell>
        </row>
        <row r="79">
          <cell r="B79">
            <v>72</v>
          </cell>
          <cell r="C79">
            <v>1.6650000000000002E-2</v>
          </cell>
          <cell r="D79">
            <v>6.9899999999999997E-3</v>
          </cell>
          <cell r="E79">
            <v>4.4510000000000001E-3</v>
          </cell>
          <cell r="F79">
            <v>4.3819999999999996E-3</v>
          </cell>
          <cell r="G79">
            <v>2.9500000000000001E-4</v>
          </cell>
          <cell r="H79">
            <v>1.13E-4</v>
          </cell>
          <cell r="I79">
            <v>4.7460000000000002E-3</v>
          </cell>
          <cell r="J79">
            <v>4.4949999999999999E-3</v>
          </cell>
          <cell r="K79">
            <v>0.852182</v>
          </cell>
          <cell r="L79">
            <v>0.41473500000000002</v>
          </cell>
          <cell r="M79">
            <v>0.82940200000000008</v>
          </cell>
          <cell r="N79">
            <v>0.40152200000000005</v>
          </cell>
          <cell r="O79">
            <v>6.5989999999999998E-3</v>
          </cell>
          <cell r="P79">
            <v>4.0400000000000002E-3</v>
          </cell>
          <cell r="Q79">
            <v>9.8670000000000008E-3</v>
          </cell>
          <cell r="R79">
            <v>8.012E-3</v>
          </cell>
          <cell r="S79">
            <v>4.6860000000000001E-3</v>
          </cell>
          <cell r="T79">
            <v>2.6059999999999998E-3</v>
          </cell>
          <cell r="U79">
            <v>5.9129999999999999E-3</v>
          </cell>
          <cell r="V79">
            <v>7.5500000000000003E-3</v>
          </cell>
          <cell r="W79">
            <v>2.885E-3</v>
          </cell>
          <cell r="X79">
            <v>1.779E-3</v>
          </cell>
          <cell r="Y79">
            <v>9.2960000000000004E-3</v>
          </cell>
          <cell r="Z79">
            <v>1.2780000000000001E-3</v>
          </cell>
          <cell r="AA79">
            <v>2.1999999999999999E-5</v>
          </cell>
          <cell r="AB79">
            <v>3.0000000000000001E-5</v>
          </cell>
          <cell r="AC79">
            <v>4.737247</v>
          </cell>
          <cell r="AD79">
            <v>5.2189680000000003</v>
          </cell>
          <cell r="AE79">
            <v>2.0199000000000002E-2</v>
          </cell>
          <cell r="AF79">
            <v>2.3314999999999999E-2</v>
          </cell>
          <cell r="AG79">
            <v>1.9400000000000001E-5</v>
          </cell>
          <cell r="AH79">
            <v>6.800000000000001E-6</v>
          </cell>
          <cell r="AI79">
            <v>3.3749000000000001E-2</v>
          </cell>
          <cell r="AJ79">
            <v>5.4926000000000003E-2</v>
          </cell>
          <cell r="AK79">
            <v>1.1565000000000001E-2</v>
          </cell>
          <cell r="AL79">
            <v>1.8429000000000001E-2</v>
          </cell>
          <cell r="AM79">
            <v>9.0159999999999997E-3</v>
          </cell>
          <cell r="AN79">
            <v>5.2209999999999999E-3</v>
          </cell>
          <cell r="AO79">
            <v>6.2659999999999999E-3</v>
          </cell>
          <cell r="AP79">
            <v>4.2430000000000002E-3</v>
          </cell>
        </row>
        <row r="80">
          <cell r="B80">
            <v>73</v>
          </cell>
          <cell r="C80">
            <v>1.9050000000000001E-2</v>
          </cell>
          <cell r="D80">
            <v>8.2299999999999995E-3</v>
          </cell>
          <cell r="E80">
            <v>4.888E-3</v>
          </cell>
          <cell r="F80">
            <v>4.5979999999999997E-3</v>
          </cell>
          <cell r="G80">
            <v>2.9500000000000001E-4</v>
          </cell>
          <cell r="H80">
            <v>1.13E-4</v>
          </cell>
          <cell r="I80">
            <v>5.1830000000000001E-3</v>
          </cell>
          <cell r="J80">
            <v>4.7109999999999999E-3</v>
          </cell>
          <cell r="K80">
            <v>0.84088600000000002</v>
          </cell>
          <cell r="L80">
            <v>0.41580099999999998</v>
          </cell>
          <cell r="M80">
            <v>0.81826500000000002</v>
          </cell>
          <cell r="N80">
            <v>0.40244899999999995</v>
          </cell>
          <cell r="O80">
            <v>6.9119999999999997E-3</v>
          </cell>
          <cell r="P80">
            <v>3.6870000000000002E-3</v>
          </cell>
          <cell r="Q80">
            <v>1.1557E-2</v>
          </cell>
          <cell r="R80">
            <v>7.9089999999999994E-3</v>
          </cell>
          <cell r="S80">
            <v>5.0299999999999997E-3</v>
          </cell>
          <cell r="T80">
            <v>2.8249999999999998E-3</v>
          </cell>
          <cell r="U80">
            <v>4.9230000000000003E-3</v>
          </cell>
          <cell r="V80">
            <v>7.3109999999999998E-3</v>
          </cell>
          <cell r="W80">
            <v>3.0539999999999999E-3</v>
          </cell>
          <cell r="X80">
            <v>1.8619999999999999E-3</v>
          </cell>
          <cell r="Y80">
            <v>9.6139999999999993E-3</v>
          </cell>
          <cell r="Z80">
            <v>1.354E-3</v>
          </cell>
          <cell r="AA80">
            <v>2.5000000000000001E-5</v>
          </cell>
          <cell r="AB80">
            <v>3.0000000000000001E-5</v>
          </cell>
          <cell r="AC80">
            <v>4.8353120000000001</v>
          </cell>
          <cell r="AD80">
            <v>5.5633929999999996</v>
          </cell>
          <cell r="AE80">
            <v>2.0663000000000001E-2</v>
          </cell>
          <cell r="AF80">
            <v>2.3175999999999999E-2</v>
          </cell>
          <cell r="AG80">
            <v>1.9400000000000001E-5</v>
          </cell>
          <cell r="AH80">
            <v>6.800000000000001E-6</v>
          </cell>
          <cell r="AI80">
            <v>3.5307999999999999E-2</v>
          </cell>
          <cell r="AJ80">
            <v>5.8134999999999999E-2</v>
          </cell>
          <cell r="AK80">
            <v>1.2644000000000001E-2</v>
          </cell>
          <cell r="AL80">
            <v>2.0253E-2</v>
          </cell>
          <cell r="AM80">
            <v>9.0200000000000002E-3</v>
          </cell>
          <cell r="AN80">
            <v>5.3930000000000002E-3</v>
          </cell>
          <cell r="AO80">
            <v>6.5550000000000001E-3</v>
          </cell>
          <cell r="AP80">
            <v>4.4739999999999997E-3</v>
          </cell>
        </row>
        <row r="81">
          <cell r="B81">
            <v>74</v>
          </cell>
          <cell r="C81">
            <v>2.1669999999999998E-2</v>
          </cell>
          <cell r="D81">
            <v>9.6399999999999993E-3</v>
          </cell>
          <cell r="E81">
            <v>5.3660000000000001E-3</v>
          </cell>
          <cell r="F81">
            <v>4.8349999999999999E-3</v>
          </cell>
          <cell r="G81">
            <v>2.9500000000000001E-4</v>
          </cell>
          <cell r="H81">
            <v>1.13E-4</v>
          </cell>
          <cell r="I81">
            <v>5.6610000000000002E-3</v>
          </cell>
          <cell r="J81">
            <v>4.9480000000000001E-3</v>
          </cell>
          <cell r="K81">
            <v>0.829592</v>
          </cell>
          <cell r="L81">
            <v>0.41686800000000002</v>
          </cell>
          <cell r="M81">
            <v>0.8071290000000001</v>
          </cell>
          <cell r="N81">
            <v>0.40337500000000004</v>
          </cell>
          <cell r="O81">
            <v>7.2249999999999997E-3</v>
          </cell>
          <cell r="P81">
            <v>3.333E-3</v>
          </cell>
          <cell r="Q81">
            <v>1.3246000000000001E-2</v>
          </cell>
          <cell r="R81">
            <v>7.8059999999999996E-3</v>
          </cell>
          <cell r="S81">
            <v>5.3730000000000002E-3</v>
          </cell>
          <cell r="T81">
            <v>3.0460000000000001E-3</v>
          </cell>
          <cell r="U81">
            <v>3.934E-3</v>
          </cell>
          <cell r="V81">
            <v>7.071E-3</v>
          </cell>
          <cell r="W81">
            <v>3.2230000000000002E-3</v>
          </cell>
          <cell r="X81">
            <v>1.9449999999999999E-3</v>
          </cell>
          <cell r="Y81">
            <v>9.9330000000000009E-3</v>
          </cell>
          <cell r="Z81">
            <v>1.431E-3</v>
          </cell>
          <cell r="AA81">
            <v>2.9E-5</v>
          </cell>
          <cell r="AB81">
            <v>3.0000000000000001E-5</v>
          </cell>
          <cell r="AC81">
            <v>4.9333780000000003</v>
          </cell>
          <cell r="AD81">
            <v>5.9078179999999998</v>
          </cell>
          <cell r="AE81">
            <v>2.1295999999999999E-2</v>
          </cell>
          <cell r="AF81">
            <v>2.2988000000000001E-2</v>
          </cell>
          <cell r="AG81">
            <v>1.9400000000000001E-5</v>
          </cell>
          <cell r="AH81">
            <v>6.800000000000001E-6</v>
          </cell>
          <cell r="AI81">
            <v>3.6757999999999999E-2</v>
          </cell>
          <cell r="AJ81">
            <v>6.1918000000000001E-2</v>
          </cell>
          <cell r="AK81">
            <v>1.3726E-2</v>
          </cell>
          <cell r="AL81">
            <v>2.2193999999999998E-2</v>
          </cell>
          <cell r="AM81">
            <v>8.9809999999999994E-3</v>
          </cell>
          <cell r="AN81">
            <v>5.5659999999999998E-3</v>
          </cell>
          <cell r="AO81">
            <v>6.8970000000000004E-3</v>
          </cell>
          <cell r="AP81">
            <v>4.705E-3</v>
          </cell>
        </row>
        <row r="82">
          <cell r="B82">
            <v>75</v>
          </cell>
          <cell r="C82">
            <v>2.4340000000000001E-2</v>
          </cell>
          <cell r="D82">
            <v>1.1089999999999999E-2</v>
          </cell>
          <cell r="E82">
            <v>5.8939999999999999E-3</v>
          </cell>
          <cell r="F82">
            <v>5.091E-3</v>
          </cell>
          <cell r="G82">
            <v>2.9500000000000001E-4</v>
          </cell>
          <cell r="H82">
            <v>1.13E-4</v>
          </cell>
          <cell r="I82">
            <v>6.1890000000000001E-3</v>
          </cell>
          <cell r="J82">
            <v>5.2040000000000003E-3</v>
          </cell>
          <cell r="K82">
            <v>0.81829700000000005</v>
          </cell>
          <cell r="L82">
            <v>0.41793400000000003</v>
          </cell>
          <cell r="M82">
            <v>0.79482300000000006</v>
          </cell>
          <cell r="N82">
            <v>0.40401400000000004</v>
          </cell>
          <cell r="O82">
            <v>7.2110000000000004E-3</v>
          </cell>
          <cell r="P82">
            <v>3.15E-3</v>
          </cell>
          <cell r="Q82">
            <v>1.4936E-2</v>
          </cell>
          <cell r="R82">
            <v>7.7039999999999999E-3</v>
          </cell>
          <cell r="S82">
            <v>5.8599999999999998E-3</v>
          </cell>
          <cell r="T82">
            <v>3.356E-3</v>
          </cell>
          <cell r="U82">
            <v>2.944E-3</v>
          </cell>
          <cell r="V82">
            <v>6.8310000000000003E-3</v>
          </cell>
          <cell r="W82">
            <v>4.2370000000000003E-3</v>
          </cell>
          <cell r="X82">
            <v>2.0110000000000002E-3</v>
          </cell>
          <cell r="Y82">
            <v>1.0433E-2</v>
          </cell>
          <cell r="Z82">
            <v>1.722E-3</v>
          </cell>
          <cell r="AA82">
            <v>3.4E-5</v>
          </cell>
          <cell r="AB82">
            <v>2.9E-5</v>
          </cell>
          <cell r="AC82">
            <v>5.0314430000000003</v>
          </cell>
          <cell r="AD82">
            <v>6.252243</v>
          </cell>
          <cell r="AE82">
            <v>2.2054000000000001E-2</v>
          </cell>
          <cell r="AF82">
            <v>2.2825999999999999E-2</v>
          </cell>
          <cell r="AG82">
            <v>1.9400000000000001E-5</v>
          </cell>
          <cell r="AH82">
            <v>6.800000000000001E-6</v>
          </cell>
          <cell r="AI82">
            <v>3.8327E-2</v>
          </cell>
          <cell r="AJ82">
            <v>6.6235000000000002E-2</v>
          </cell>
          <cell r="AK82">
            <v>1.4952999999999999E-2</v>
          </cell>
          <cell r="AL82">
            <v>2.4351000000000001E-2</v>
          </cell>
          <cell r="AM82">
            <v>8.9200000000000008E-3</v>
          </cell>
          <cell r="AN82">
            <v>5.7210000000000004E-3</v>
          </cell>
          <cell r="AO82">
            <v>7.2490000000000002E-3</v>
          </cell>
          <cell r="AP82">
            <v>4.921E-3</v>
          </cell>
        </row>
        <row r="83">
          <cell r="B83">
            <v>76</v>
          </cell>
          <cell r="C83">
            <v>2.69E-2</v>
          </cell>
          <cell r="D83">
            <v>1.273E-2</v>
          </cell>
          <cell r="E83">
            <v>7.6519999999999999E-3</v>
          </cell>
          <cell r="F83">
            <v>6.2440000000000004E-3</v>
          </cell>
          <cell r="G83">
            <v>2.9500000000000001E-4</v>
          </cell>
          <cell r="H83">
            <v>1.13E-4</v>
          </cell>
          <cell r="I83">
            <v>7.9469999999999992E-3</v>
          </cell>
          <cell r="J83">
            <v>6.3570000000000007E-3</v>
          </cell>
          <cell r="K83">
            <v>0.807002</v>
          </cell>
          <cell r="L83">
            <v>0.41900100000000001</v>
          </cell>
          <cell r="M83">
            <v>0.78134800000000004</v>
          </cell>
          <cell r="N83">
            <v>0.40436400000000006</v>
          </cell>
          <cell r="O83">
            <v>6.8719999999999996E-3</v>
          </cell>
          <cell r="P83">
            <v>3.1359999999999999E-3</v>
          </cell>
          <cell r="Q83">
            <v>1.6625000000000001E-2</v>
          </cell>
          <cell r="R83">
            <v>7.6010000000000001E-3</v>
          </cell>
          <cell r="S83">
            <v>6.4900000000000001E-3</v>
          </cell>
          <cell r="T83">
            <v>3.7580000000000001E-3</v>
          </cell>
          <cell r="U83">
            <v>1.9530000000000001E-3</v>
          </cell>
          <cell r="V83">
            <v>6.5909999999999996E-3</v>
          </cell>
          <cell r="W83">
            <v>6.097E-3</v>
          </cell>
          <cell r="X83">
            <v>2.0590000000000001E-3</v>
          </cell>
          <cell r="Y83">
            <v>1.1114000000000001E-2</v>
          </cell>
          <cell r="Z83">
            <v>2.2290000000000001E-3</v>
          </cell>
          <cell r="AA83">
            <v>3.8000000000000002E-5</v>
          </cell>
          <cell r="AB83">
            <v>2.8E-5</v>
          </cell>
          <cell r="AC83">
            <v>5.1295080000000004</v>
          </cell>
          <cell r="AD83">
            <v>6.5966680000000002</v>
          </cell>
          <cell r="AE83">
            <v>2.2901999999999999E-2</v>
          </cell>
          <cell r="AF83">
            <v>2.2815999999999999E-2</v>
          </cell>
          <cell r="AG83">
            <v>1.9400000000000001E-5</v>
          </cell>
          <cell r="AH83">
            <v>6.800000000000001E-6</v>
          </cell>
          <cell r="AI83">
            <v>4.0651E-2</v>
          </cell>
          <cell r="AJ83">
            <v>7.1417999999999995E-2</v>
          </cell>
          <cell r="AK83">
            <v>1.6693E-2</v>
          </cell>
          <cell r="AL83">
            <v>2.7074000000000001E-2</v>
          </cell>
          <cell r="AM83">
            <v>9.1669999999999998E-3</v>
          </cell>
          <cell r="AN83">
            <v>5.8349999999999999E-3</v>
          </cell>
          <cell r="AO83">
            <v>7.5490000000000002E-3</v>
          </cell>
          <cell r="AP83">
            <v>5.1000000000000004E-3</v>
          </cell>
        </row>
        <row r="84">
          <cell r="B84">
            <v>77</v>
          </cell>
          <cell r="C84">
            <v>2.954E-2</v>
          </cell>
          <cell r="D84">
            <v>1.417E-2</v>
          </cell>
          <cell r="E84">
            <v>1.0012999999999999E-2</v>
          </cell>
          <cell r="F84">
            <v>7.6899999999999998E-3</v>
          </cell>
          <cell r="G84">
            <v>2.9500000000000001E-4</v>
          </cell>
          <cell r="H84">
            <v>1.13E-4</v>
          </cell>
          <cell r="I84">
            <v>1.0307999999999999E-2</v>
          </cell>
          <cell r="J84">
            <v>7.803E-3</v>
          </cell>
          <cell r="K84">
            <v>0.79570700000000005</v>
          </cell>
          <cell r="L84">
            <v>0.42006700000000002</v>
          </cell>
          <cell r="M84">
            <v>0.76787100000000008</v>
          </cell>
          <cell r="N84">
            <v>0.40471099999999999</v>
          </cell>
          <cell r="O84">
            <v>6.5310000000000003E-3</v>
          </cell>
          <cell r="P84">
            <v>3.1220000000000002E-3</v>
          </cell>
          <cell r="Q84">
            <v>1.8315000000000001E-2</v>
          </cell>
          <cell r="R84">
            <v>7.4989999999999996E-3</v>
          </cell>
          <cell r="S84">
            <v>7.1209999999999997E-3</v>
          </cell>
          <cell r="T84">
            <v>4.1590000000000004E-3</v>
          </cell>
          <cell r="U84">
            <v>9.6400000000000001E-4</v>
          </cell>
          <cell r="V84">
            <v>6.352E-3</v>
          </cell>
          <cell r="W84">
            <v>7.9559999999999995E-3</v>
          </cell>
          <cell r="X84">
            <v>2.1080000000000001E-3</v>
          </cell>
          <cell r="Y84">
            <v>1.1795E-2</v>
          </cell>
          <cell r="Z84">
            <v>2.7369999999999998E-3</v>
          </cell>
          <cell r="AA84">
            <v>4.0000000000000003E-5</v>
          </cell>
          <cell r="AB84">
            <v>2.6999999999999999E-5</v>
          </cell>
          <cell r="AC84">
            <v>5.2275729999999996</v>
          </cell>
          <cell r="AD84">
            <v>6.9410930000000004</v>
          </cell>
          <cell r="AE84">
            <v>2.3834999999999999E-2</v>
          </cell>
          <cell r="AF84">
            <v>2.3071000000000001E-2</v>
          </cell>
          <cell r="AG84">
            <v>1.9400000000000001E-5</v>
          </cell>
          <cell r="AH84">
            <v>6.800000000000001E-6</v>
          </cell>
          <cell r="AI84">
            <v>4.4158000000000003E-2</v>
          </cell>
          <cell r="AJ84">
            <v>7.7650999999999998E-2</v>
          </cell>
          <cell r="AK84">
            <v>1.9192000000000001E-2</v>
          </cell>
          <cell r="AL84">
            <v>3.0581000000000001E-2</v>
          </cell>
          <cell r="AM84">
            <v>9.4579999999999994E-3</v>
          </cell>
          <cell r="AN84">
            <v>5.8690000000000001E-3</v>
          </cell>
          <cell r="AO84">
            <v>7.7450000000000001E-3</v>
          </cell>
          <cell r="AP84">
            <v>5.2199999999999998E-3</v>
          </cell>
        </row>
        <row r="85">
          <cell r="B85">
            <v>78</v>
          </cell>
          <cell r="C85">
            <v>3.2500000000000001E-2</v>
          </cell>
          <cell r="D85">
            <v>1.54E-2</v>
          </cell>
          <cell r="E85">
            <v>1.3181999999999999E-2</v>
          </cell>
          <cell r="F85">
            <v>9.502E-3</v>
          </cell>
          <cell r="G85">
            <v>2.9500000000000001E-4</v>
          </cell>
          <cell r="H85">
            <v>1.13E-4</v>
          </cell>
          <cell r="I85">
            <v>1.3476999999999999E-2</v>
          </cell>
          <cell r="J85">
            <v>9.6150000000000003E-3</v>
          </cell>
          <cell r="K85">
            <v>0.837148</v>
          </cell>
          <cell r="L85">
            <v>0.43956600000000001</v>
          </cell>
          <cell r="M85">
            <v>0.80620099999999995</v>
          </cell>
          <cell r="N85">
            <v>0.42336800000000002</v>
          </cell>
          <cell r="O85">
            <v>6.1910000000000003E-3</v>
          </cell>
          <cell r="P85">
            <v>3.1089999999999998E-3</v>
          </cell>
          <cell r="Q85">
            <v>2.2882E-2</v>
          </cell>
          <cell r="R85">
            <v>7.1840000000000003E-3</v>
          </cell>
          <cell r="S85">
            <v>7.7510000000000001E-3</v>
          </cell>
          <cell r="T85">
            <v>4.561E-3</v>
          </cell>
          <cell r="U85">
            <v>9.0399999999999996E-4</v>
          </cell>
          <cell r="V85">
            <v>6.2370000000000004E-3</v>
          </cell>
          <cell r="W85">
            <v>9.8160000000000001E-3</v>
          </cell>
          <cell r="X85">
            <v>2.1559999999999999E-3</v>
          </cell>
          <cell r="Y85">
            <v>1.2475999999999999E-2</v>
          </cell>
          <cell r="Z85">
            <v>3.2439999999999999E-3</v>
          </cell>
          <cell r="AA85">
            <v>3.8999999999999999E-5</v>
          </cell>
          <cell r="AB85">
            <v>2.6999999999999999E-5</v>
          </cell>
          <cell r="AC85">
            <v>5.6522269999999999</v>
          </cell>
          <cell r="AD85">
            <v>7.8151970000000004</v>
          </cell>
          <cell r="AE85">
            <v>2.4811E-2</v>
          </cell>
          <cell r="AF85">
            <v>2.3644999999999999E-2</v>
          </cell>
          <cell r="AG85">
            <v>1.9400000000000001E-5</v>
          </cell>
          <cell r="AH85">
            <v>6.800000000000001E-6</v>
          </cell>
          <cell r="AI85">
            <v>4.8646000000000002E-2</v>
          </cell>
          <cell r="AJ85">
            <v>8.4570000000000006E-2</v>
          </cell>
          <cell r="AK85">
            <v>2.2304000000000001E-2</v>
          </cell>
          <cell r="AL85">
            <v>3.4668999999999998E-2</v>
          </cell>
          <cell r="AM85">
            <v>9.8289999999999992E-3</v>
          </cell>
          <cell r="AN85">
            <v>5.8069999999999997E-3</v>
          </cell>
          <cell r="AO85">
            <v>7.8329999999999997E-3</v>
          </cell>
          <cell r="AP85">
            <v>5.28E-3</v>
          </cell>
        </row>
        <row r="86">
          <cell r="B86">
            <v>79</v>
          </cell>
          <cell r="C86">
            <v>3.6080000000000001E-2</v>
          </cell>
          <cell r="D86">
            <v>1.67E-2</v>
          </cell>
          <cell r="E86">
            <v>1.7440000000000001E-2</v>
          </cell>
          <cell r="F86">
            <v>1.1776999999999999E-2</v>
          </cell>
          <cell r="G86">
            <v>2.9500000000000001E-4</v>
          </cell>
          <cell r="H86">
            <v>1.13E-4</v>
          </cell>
          <cell r="I86">
            <v>1.7735000000000001E-2</v>
          </cell>
          <cell r="J86">
            <v>1.189E-2</v>
          </cell>
          <cell r="K86">
            <v>0.87858800000000004</v>
          </cell>
          <cell r="L86">
            <v>0.45906400000000003</v>
          </cell>
          <cell r="M86">
            <v>0.84452800000000006</v>
          </cell>
          <cell r="N86">
            <v>0.442023</v>
          </cell>
          <cell r="O86">
            <v>5.8520000000000004E-3</v>
          </cell>
          <cell r="P86">
            <v>3.0950000000000001E-3</v>
          </cell>
          <cell r="Q86">
            <v>2.7449999999999999E-2</v>
          </cell>
          <cell r="R86">
            <v>6.8690000000000001E-3</v>
          </cell>
          <cell r="S86">
            <v>8.3820000000000006E-3</v>
          </cell>
          <cell r="T86">
            <v>4.9620000000000003E-3</v>
          </cell>
          <cell r="U86">
            <v>8.4500000000000005E-4</v>
          </cell>
          <cell r="V86">
            <v>6.123E-3</v>
          </cell>
          <cell r="W86">
            <v>1.1676000000000001E-2</v>
          </cell>
          <cell r="X86">
            <v>2.2049999999999999E-3</v>
          </cell>
          <cell r="Y86">
            <v>1.3157E-2</v>
          </cell>
          <cell r="Z86">
            <v>3.751E-3</v>
          </cell>
          <cell r="AA86">
            <v>3.6999999999999998E-5</v>
          </cell>
          <cell r="AB86">
            <v>2.5999999999999998E-5</v>
          </cell>
          <cell r="AC86">
            <v>6.0768810000000002</v>
          </cell>
          <cell r="AD86">
            <v>8.6893010000000004</v>
          </cell>
          <cell r="AE86">
            <v>2.5836000000000001E-2</v>
          </cell>
          <cell r="AF86">
            <v>2.4493000000000001E-2</v>
          </cell>
          <cell r="AG86">
            <v>1.9400000000000001E-5</v>
          </cell>
          <cell r="AH86">
            <v>6.800000000000001E-6</v>
          </cell>
          <cell r="AI86">
            <v>5.3321E-2</v>
          </cell>
          <cell r="AJ86">
            <v>9.1247999999999996E-2</v>
          </cell>
          <cell r="AK86">
            <v>2.5506000000000001E-2</v>
          </cell>
          <cell r="AL86">
            <v>3.8720999999999998E-2</v>
          </cell>
          <cell r="AM86">
            <v>1.0272E-2</v>
          </cell>
          <cell r="AN86">
            <v>5.6639999999999998E-3</v>
          </cell>
          <cell r="AO86">
            <v>7.8320000000000004E-3</v>
          </cell>
          <cell r="AP86">
            <v>5.2880000000000002E-3</v>
          </cell>
        </row>
        <row r="87">
          <cell r="B87">
            <v>80</v>
          </cell>
          <cell r="C87">
            <v>4.0079999999999998E-2</v>
          </cell>
          <cell r="D87">
            <v>1.8339999999999999E-2</v>
          </cell>
          <cell r="E87">
            <v>2.3153E-2</v>
          </cell>
          <cell r="F87">
            <v>1.4624E-2</v>
          </cell>
          <cell r="G87">
            <v>3.0600000000000001E-4</v>
          </cell>
          <cell r="H87">
            <v>1.9000000000000001E-4</v>
          </cell>
          <cell r="I87">
            <v>2.3459000000000001E-2</v>
          </cell>
          <cell r="J87">
            <v>1.4813999999999999E-2</v>
          </cell>
          <cell r="K87">
            <v>0.92002899999999999</v>
          </cell>
          <cell r="L87">
            <v>0.47856300000000002</v>
          </cell>
          <cell r="M87">
            <v>0.88285599999999997</v>
          </cell>
          <cell r="N87">
            <v>0.46067900000000001</v>
          </cell>
          <cell r="O87">
            <v>5.5120000000000004E-3</v>
          </cell>
          <cell r="P87">
            <v>3.0820000000000001E-3</v>
          </cell>
          <cell r="Q87">
            <v>3.2017999999999998E-2</v>
          </cell>
          <cell r="R87">
            <v>6.5539999999999999E-3</v>
          </cell>
          <cell r="S87">
            <v>9.0130000000000002E-3</v>
          </cell>
          <cell r="T87">
            <v>5.3639999999999998E-3</v>
          </cell>
          <cell r="U87">
            <v>7.8600000000000002E-4</v>
          </cell>
          <cell r="V87">
            <v>6.0080000000000003E-3</v>
          </cell>
          <cell r="W87">
            <v>1.3535999999999999E-2</v>
          </cell>
          <cell r="X87">
            <v>2.2529999999999998E-3</v>
          </cell>
          <cell r="Y87">
            <v>1.3838E-2</v>
          </cell>
          <cell r="Z87">
            <v>4.2589999999999998E-3</v>
          </cell>
          <cell r="AA87">
            <v>3.4E-5</v>
          </cell>
          <cell r="AB87">
            <v>2.5000000000000001E-5</v>
          </cell>
          <cell r="AC87">
            <v>6.5015349999999996</v>
          </cell>
          <cell r="AD87">
            <v>9.5634060000000005</v>
          </cell>
          <cell r="AE87">
            <v>2.7001000000000001E-2</v>
          </cell>
          <cell r="AF87">
            <v>2.5481E-2</v>
          </cell>
          <cell r="AG87">
            <v>1.9400000000000001E-5</v>
          </cell>
          <cell r="AH87">
            <v>6.800000000000001E-6</v>
          </cell>
          <cell r="AI87">
            <v>5.7188000000000003E-2</v>
          </cell>
          <cell r="AJ87">
            <v>9.6519999999999995E-2</v>
          </cell>
          <cell r="AK87">
            <v>2.8135E-2</v>
          </cell>
          <cell r="AL87">
            <v>4.1974999999999998E-2</v>
          </cell>
          <cell r="AM87">
            <v>1.0699E-2</v>
          </cell>
          <cell r="AN87">
            <v>5.4749999999999998E-3</v>
          </cell>
          <cell r="AO87">
            <v>7.7580000000000001E-3</v>
          </cell>
          <cell r="AP87">
            <v>5.2490000000000002E-3</v>
          </cell>
        </row>
        <row r="88">
          <cell r="B88">
            <v>81</v>
          </cell>
          <cell r="C88">
            <v>4.4060000000000002E-2</v>
          </cell>
          <cell r="D88">
            <v>2.0910000000000002E-2</v>
          </cell>
          <cell r="E88">
            <v>2.9189E-2</v>
          </cell>
          <cell r="F88">
            <v>1.7703E-2</v>
          </cell>
          <cell r="G88">
            <v>3.0600000000000001E-4</v>
          </cell>
          <cell r="H88">
            <v>1.9000000000000001E-4</v>
          </cell>
          <cell r="I88">
            <v>2.9495E-2</v>
          </cell>
          <cell r="J88">
            <v>1.7892999999999999E-2</v>
          </cell>
          <cell r="K88">
            <v>0.96147000000000005</v>
          </cell>
          <cell r="L88">
            <v>0.49806</v>
          </cell>
          <cell r="M88">
            <v>0.92118700000000009</v>
          </cell>
          <cell r="N88">
            <v>0.47933500000000001</v>
          </cell>
          <cell r="O88">
            <v>5.1720000000000004E-3</v>
          </cell>
          <cell r="P88">
            <v>3.0669999999999998E-3</v>
          </cell>
          <cell r="Q88">
            <v>3.2017999999999998E-2</v>
          </cell>
          <cell r="R88">
            <v>6.5539999999999999E-3</v>
          </cell>
          <cell r="S88">
            <v>9.6439999999999998E-3</v>
          </cell>
          <cell r="T88">
            <v>5.7650000000000002E-3</v>
          </cell>
          <cell r="U88">
            <v>7.2499999999999995E-4</v>
          </cell>
          <cell r="V88">
            <v>5.8929999999999998E-3</v>
          </cell>
          <cell r="W88">
            <v>1.5395000000000001E-2</v>
          </cell>
          <cell r="X88">
            <v>2.3010000000000001E-3</v>
          </cell>
          <cell r="Y88">
            <v>1.4519000000000001E-2</v>
          </cell>
          <cell r="Z88">
            <v>4.7660000000000003E-3</v>
          </cell>
          <cell r="AA88">
            <v>3.1999999999999999E-5</v>
          </cell>
          <cell r="AB88">
            <v>2.5000000000000001E-5</v>
          </cell>
          <cell r="AC88">
            <v>6.9261879999999998</v>
          </cell>
          <cell r="AD88">
            <v>10.43751</v>
          </cell>
          <cell r="AE88">
            <v>2.8580999999999999E-2</v>
          </cell>
          <cell r="AF88">
            <v>2.6461999999999999E-2</v>
          </cell>
          <cell r="AG88">
            <v>1.9400000000000001E-5</v>
          </cell>
          <cell r="AH88">
            <v>6.800000000000001E-6</v>
          </cell>
          <cell r="AI88">
            <v>5.9561000000000003E-2</v>
          </cell>
          <cell r="AJ88">
            <v>9.9666000000000005E-2</v>
          </cell>
          <cell r="AK88">
            <v>2.9741E-2</v>
          </cell>
          <cell r="AL88">
            <v>4.3936999999999997E-2</v>
          </cell>
          <cell r="AM88">
            <v>1.0957E-2</v>
          </cell>
          <cell r="AN88">
            <v>5.2779999999999997E-3</v>
          </cell>
          <cell r="AO88">
            <v>7.6010000000000001E-3</v>
          </cell>
          <cell r="AP88">
            <v>5.1520000000000003E-3</v>
          </cell>
        </row>
        <row r="89">
          <cell r="B89">
            <v>82</v>
          </cell>
          <cell r="C89">
            <v>4.836E-2</v>
          </cell>
          <cell r="D89">
            <v>2.427E-2</v>
          </cell>
          <cell r="E89">
            <v>3.7310000000000003E-2</v>
          </cell>
          <cell r="F89">
            <v>2.1576999999999999E-2</v>
          </cell>
          <cell r="G89">
            <v>3.0600000000000001E-4</v>
          </cell>
          <cell r="H89">
            <v>1.9000000000000001E-4</v>
          </cell>
          <cell r="I89">
            <v>3.7616000000000004E-2</v>
          </cell>
          <cell r="J89">
            <v>2.1766999999999998E-2</v>
          </cell>
          <cell r="K89">
            <v>1.0029110000000001</v>
          </cell>
          <cell r="L89">
            <v>0.51755799999999996</v>
          </cell>
          <cell r="M89">
            <v>0.95951600000000004</v>
          </cell>
          <cell r="N89">
            <v>0.49799000000000004</v>
          </cell>
          <cell r="O89">
            <v>4.8320000000000004E-3</v>
          </cell>
          <cell r="P89">
            <v>3.0539999999999999E-3</v>
          </cell>
          <cell r="Q89">
            <v>3.2017999999999998E-2</v>
          </cell>
          <cell r="R89">
            <v>6.5539999999999999E-3</v>
          </cell>
          <cell r="S89">
            <v>1.0274E-2</v>
          </cell>
          <cell r="T89">
            <v>6.1659999999999996E-3</v>
          </cell>
          <cell r="U89">
            <v>6.6600000000000003E-4</v>
          </cell>
          <cell r="V89">
            <v>5.7790000000000003E-3</v>
          </cell>
          <cell r="W89">
            <v>1.7255E-2</v>
          </cell>
          <cell r="X89">
            <v>2.3500000000000001E-3</v>
          </cell>
          <cell r="Y89">
            <v>1.52E-2</v>
          </cell>
          <cell r="Z89">
            <v>5.2729999999999999E-3</v>
          </cell>
          <cell r="AA89">
            <v>3.3000000000000003E-5</v>
          </cell>
          <cell r="AB89">
            <v>2.4000000000000001E-5</v>
          </cell>
          <cell r="AC89">
            <v>7.3508420000000001</v>
          </cell>
          <cell r="AD89">
            <v>11.311615</v>
          </cell>
          <cell r="AE89">
            <v>3.0754E-2</v>
          </cell>
          <cell r="AF89">
            <v>2.7324000000000001E-2</v>
          </cell>
          <cell r="AG89">
            <v>1.9400000000000001E-5</v>
          </cell>
          <cell r="AH89">
            <v>6.800000000000001E-6</v>
          </cell>
          <cell r="AI89">
            <v>6.0406000000000001E-2</v>
          </cell>
          <cell r="AJ89">
            <v>0.100768</v>
          </cell>
          <cell r="AK89">
            <v>3.0311999999999999E-2</v>
          </cell>
          <cell r="AL89">
            <v>4.4628000000000001E-2</v>
          </cell>
          <cell r="AM89">
            <v>1.093E-2</v>
          </cell>
          <cell r="AN89">
            <v>5.1000000000000004E-3</v>
          </cell>
          <cell r="AO89">
            <v>7.3470000000000002E-3</v>
          </cell>
          <cell r="AP89">
            <v>4.9820000000000003E-3</v>
          </cell>
        </row>
        <row r="90">
          <cell r="B90">
            <v>83</v>
          </cell>
          <cell r="C90">
            <v>5.3749999999999999E-2</v>
          </cell>
          <cell r="D90">
            <v>2.8410000000000001E-2</v>
          </cell>
          <cell r="E90">
            <v>4.8233999999999999E-2</v>
          </cell>
          <cell r="F90">
            <v>2.6450000000000001E-2</v>
          </cell>
          <cell r="G90">
            <v>3.0600000000000001E-4</v>
          </cell>
          <cell r="H90">
            <v>1.9000000000000001E-4</v>
          </cell>
          <cell r="I90">
            <v>4.854E-2</v>
          </cell>
          <cell r="J90">
            <v>2.664E-2</v>
          </cell>
          <cell r="K90">
            <v>1.0412220000000001</v>
          </cell>
          <cell r="L90">
            <v>0.53649599999999997</v>
          </cell>
          <cell r="M90">
            <v>0.99616100000000019</v>
          </cell>
          <cell r="N90">
            <v>0.51499100000000009</v>
          </cell>
          <cell r="O90">
            <v>4.6059999999999999E-3</v>
          </cell>
          <cell r="P90">
            <v>3.1670000000000001E-3</v>
          </cell>
          <cell r="Q90">
            <v>3.2017999999999998E-2</v>
          </cell>
          <cell r="R90">
            <v>6.5539999999999999E-3</v>
          </cell>
          <cell r="S90">
            <v>1.0120000000000001E-2</v>
          </cell>
          <cell r="T90">
            <v>7.0949999999999997E-3</v>
          </cell>
          <cell r="U90">
            <v>6.8999999999999997E-4</v>
          </cell>
          <cell r="V90">
            <v>5.5389999999999997E-3</v>
          </cell>
          <cell r="W90">
            <v>1.7919999999999998E-2</v>
          </cell>
          <cell r="X90">
            <v>2.2309999999999999E-3</v>
          </cell>
          <cell r="Y90">
            <v>1.6330999999999998E-2</v>
          </cell>
          <cell r="Z90">
            <v>6.6400000000000001E-3</v>
          </cell>
          <cell r="AA90">
            <v>3.6999999999999998E-5</v>
          </cell>
          <cell r="AB90">
            <v>2.4000000000000001E-5</v>
          </cell>
          <cell r="AC90">
            <v>7.7820020000000003</v>
          </cell>
          <cell r="AD90">
            <v>11.498187</v>
          </cell>
          <cell r="AE90">
            <v>3.3397000000000003E-2</v>
          </cell>
          <cell r="AF90">
            <v>2.8017E-2</v>
          </cell>
          <cell r="AG90">
            <v>1.9400000000000001E-5</v>
          </cell>
          <cell r="AH90">
            <v>6.800000000000001E-6</v>
          </cell>
          <cell r="AI90">
            <v>6.0292999999999999E-2</v>
          </cell>
          <cell r="AJ90">
            <v>0.100614</v>
          </cell>
          <cell r="AK90">
            <v>3.0235000000000001E-2</v>
          </cell>
          <cell r="AL90">
            <v>4.4533000000000003E-2</v>
          </cell>
          <cell r="AM90">
            <v>1.0616E-2</v>
          </cell>
          <cell r="AN90">
            <v>4.9509999999999997E-3</v>
          </cell>
          <cell r="AO90">
            <v>7.012E-3</v>
          </cell>
          <cell r="AP90">
            <v>4.751E-3</v>
          </cell>
        </row>
        <row r="91">
          <cell r="B91">
            <v>84</v>
          </cell>
          <cell r="C91">
            <v>6.0769999999999998E-2</v>
          </cell>
          <cell r="D91">
            <v>3.363E-2</v>
          </cell>
          <cell r="E91">
            <v>6.2928999999999999E-2</v>
          </cell>
          <cell r="F91">
            <v>3.2575E-2</v>
          </cell>
          <cell r="G91">
            <v>3.0600000000000001E-4</v>
          </cell>
          <cell r="H91">
            <v>1.9000000000000001E-4</v>
          </cell>
          <cell r="I91">
            <v>6.3235E-2</v>
          </cell>
          <cell r="J91">
            <v>3.2765000000000002E-2</v>
          </cell>
          <cell r="K91">
            <v>1.0795319999999999</v>
          </cell>
          <cell r="L91">
            <v>0.55543299999999995</v>
          </cell>
          <cell r="M91">
            <v>1.0328059999999999</v>
          </cell>
          <cell r="N91">
            <v>0.53199099999999988</v>
          </cell>
          <cell r="O91">
            <v>4.3810000000000003E-3</v>
          </cell>
          <cell r="P91">
            <v>3.2799999999999999E-3</v>
          </cell>
          <cell r="Q91">
            <v>3.2017999999999998E-2</v>
          </cell>
          <cell r="R91">
            <v>6.5539999999999999E-3</v>
          </cell>
          <cell r="S91">
            <v>9.9649999999999999E-3</v>
          </cell>
          <cell r="T91">
            <v>8.0230000000000006E-3</v>
          </cell>
          <cell r="U91">
            <v>7.1299999999999998E-4</v>
          </cell>
          <cell r="V91">
            <v>5.2989999999999999E-3</v>
          </cell>
          <cell r="W91">
            <v>1.8585999999999998E-2</v>
          </cell>
          <cell r="X91">
            <v>2.1129999999999999E-3</v>
          </cell>
          <cell r="Y91">
            <v>1.7461999999999998E-2</v>
          </cell>
          <cell r="Z91">
            <v>8.0070000000000002E-3</v>
          </cell>
          <cell r="AA91">
            <v>4.1999999999999998E-5</v>
          </cell>
          <cell r="AB91">
            <v>2.5000000000000001E-5</v>
          </cell>
          <cell r="AC91">
            <v>8.2131620000000005</v>
          </cell>
          <cell r="AD91">
            <v>11.684760000000001</v>
          </cell>
          <cell r="AE91">
            <v>3.6080000000000001E-2</v>
          </cell>
          <cell r="AF91">
            <v>2.8532999999999999E-2</v>
          </cell>
          <cell r="AG91">
            <v>1.9400000000000001E-5</v>
          </cell>
          <cell r="AH91">
            <v>6.800000000000001E-6</v>
          </cell>
          <cell r="AI91">
            <v>5.9970000000000002E-2</v>
          </cell>
          <cell r="AJ91">
            <v>0.10016899999999999</v>
          </cell>
          <cell r="AK91">
            <v>3.0015E-2</v>
          </cell>
          <cell r="AL91">
            <v>4.4260000000000001E-2</v>
          </cell>
          <cell r="AM91">
            <v>1.0137999999999999E-2</v>
          </cell>
          <cell r="AN91">
            <v>4.8329999999999996E-3</v>
          </cell>
          <cell r="AO91">
            <v>6.6490000000000004E-3</v>
          </cell>
          <cell r="AP91">
            <v>4.4970000000000001E-3</v>
          </cell>
        </row>
        <row r="92">
          <cell r="B92">
            <v>85</v>
          </cell>
          <cell r="C92">
            <v>6.9470000000000004E-2</v>
          </cell>
          <cell r="D92">
            <v>4.0140000000000002E-2</v>
          </cell>
          <cell r="E92">
            <v>7.6032000000000002E-2</v>
          </cell>
          <cell r="F92">
            <v>3.7464999999999998E-2</v>
          </cell>
          <cell r="G92">
            <v>3.0600000000000001E-4</v>
          </cell>
          <cell r="H92">
            <v>1.9000000000000001E-4</v>
          </cell>
          <cell r="I92">
            <v>7.6338000000000003E-2</v>
          </cell>
          <cell r="J92">
            <v>3.7655000000000001E-2</v>
          </cell>
          <cell r="K92">
            <v>1.1178429999999999</v>
          </cell>
          <cell r="L92">
            <v>0.57437000000000005</v>
          </cell>
          <cell r="M92">
            <v>1.0694489999999999</v>
          </cell>
          <cell r="N92">
            <v>0.54899299999999995</v>
          </cell>
          <cell r="O92">
            <v>4.1549999999999998E-3</v>
          </cell>
          <cell r="P92">
            <v>3.3939999999999999E-3</v>
          </cell>
          <cell r="Q92">
            <v>3.2017999999999998E-2</v>
          </cell>
          <cell r="R92">
            <v>6.5539999999999999E-3</v>
          </cell>
          <cell r="S92">
            <v>9.8110000000000003E-3</v>
          </cell>
          <cell r="T92">
            <v>8.9510000000000006E-3</v>
          </cell>
          <cell r="U92">
            <v>7.3700000000000002E-4</v>
          </cell>
          <cell r="V92">
            <v>5.0590000000000001E-3</v>
          </cell>
          <cell r="W92">
            <v>1.9251999999999998E-2</v>
          </cell>
          <cell r="X92">
            <v>1.993E-3</v>
          </cell>
          <cell r="Y92">
            <v>1.8593999999999999E-2</v>
          </cell>
          <cell r="Z92">
            <v>9.3740000000000004E-3</v>
          </cell>
          <cell r="AA92">
            <v>4.8000000000000001E-5</v>
          </cell>
          <cell r="AB92">
            <v>2.5000000000000001E-5</v>
          </cell>
          <cell r="AC92">
            <v>8.6443220000000007</v>
          </cell>
          <cell r="AD92">
            <v>11.871332000000001</v>
          </cell>
          <cell r="AE92">
            <v>3.8268000000000003E-2</v>
          </cell>
          <cell r="AF92">
            <v>2.8861999999999999E-2</v>
          </cell>
          <cell r="AG92">
            <v>1.9400000000000001E-5</v>
          </cell>
          <cell r="AH92">
            <v>6.800000000000001E-6</v>
          </cell>
          <cell r="AI92">
            <v>5.9804999999999997E-2</v>
          </cell>
          <cell r="AJ92">
            <v>9.9942000000000003E-2</v>
          </cell>
          <cell r="AK92">
            <v>2.9902999999999999E-2</v>
          </cell>
          <cell r="AL92">
            <v>4.4119999999999999E-2</v>
          </cell>
          <cell r="AM92">
            <v>9.6699999999999998E-3</v>
          </cell>
          <cell r="AN92">
            <v>4.7520000000000001E-3</v>
          </cell>
          <cell r="AO92">
            <v>6.3420000000000004E-3</v>
          </cell>
          <cell r="AP92">
            <v>4.28E-3</v>
          </cell>
        </row>
        <row r="93">
          <cell r="B93">
            <v>86</v>
          </cell>
          <cell r="C93">
            <v>7.9390000000000002E-2</v>
          </cell>
          <cell r="D93">
            <v>4.777E-2</v>
          </cell>
          <cell r="E93">
            <v>9.1450000000000004E-2</v>
          </cell>
          <cell r="F93">
            <v>4.3068000000000002E-2</v>
          </cell>
          <cell r="G93">
            <v>3.0600000000000001E-4</v>
          </cell>
          <cell r="H93">
            <v>1.9000000000000001E-4</v>
          </cell>
          <cell r="I93">
            <v>9.1756000000000004E-2</v>
          </cell>
          <cell r="J93">
            <v>4.3258000000000005E-2</v>
          </cell>
          <cell r="K93">
            <v>1.1178429999999999</v>
          </cell>
          <cell r="L93">
            <v>0.57437000000000005</v>
          </cell>
          <cell r="M93">
            <v>1.0694489999999999</v>
          </cell>
          <cell r="N93">
            <v>0.54899299999999995</v>
          </cell>
          <cell r="O93">
            <v>4.1549999999999998E-3</v>
          </cell>
          <cell r="P93">
            <v>3.3939999999999999E-3</v>
          </cell>
          <cell r="Q93">
            <v>3.2017999999999998E-2</v>
          </cell>
          <cell r="R93">
            <v>6.5539999999999999E-3</v>
          </cell>
          <cell r="S93">
            <v>9.8110000000000003E-3</v>
          </cell>
          <cell r="T93">
            <v>8.9510000000000006E-3</v>
          </cell>
          <cell r="U93">
            <v>7.3700000000000002E-4</v>
          </cell>
          <cell r="V93">
            <v>5.0590000000000001E-3</v>
          </cell>
          <cell r="W93">
            <v>1.9251999999999998E-2</v>
          </cell>
          <cell r="X93">
            <v>1.993E-3</v>
          </cell>
          <cell r="Y93">
            <v>1.8593999999999999E-2</v>
          </cell>
          <cell r="Z93">
            <v>9.3740000000000004E-3</v>
          </cell>
          <cell r="AA93">
            <v>5.1E-5</v>
          </cell>
          <cell r="AB93">
            <v>2.5000000000000001E-5</v>
          </cell>
          <cell r="AC93">
            <v>9.0754819999999992</v>
          </cell>
          <cell r="AD93">
            <v>12.057904000000001</v>
          </cell>
          <cell r="AE93">
            <v>3.8268000000000003E-2</v>
          </cell>
          <cell r="AF93">
            <v>2.8861999999999999E-2</v>
          </cell>
          <cell r="AG93">
            <v>1.9400000000000001E-5</v>
          </cell>
          <cell r="AH93">
            <v>6.800000000000001E-6</v>
          </cell>
          <cell r="AI93">
            <v>5.9804999999999997E-2</v>
          </cell>
          <cell r="AJ93">
            <v>9.9942000000000003E-2</v>
          </cell>
          <cell r="AK93">
            <v>2.9902999999999999E-2</v>
          </cell>
          <cell r="AL93">
            <v>4.4119999999999999E-2</v>
          </cell>
          <cell r="AM93">
            <v>9.358E-3</v>
          </cell>
          <cell r="AN93">
            <v>4.7109999999999999E-3</v>
          </cell>
          <cell r="AO93">
            <v>6.1510000000000002E-3</v>
          </cell>
          <cell r="AP93">
            <v>4.1450000000000002E-3</v>
          </cell>
        </row>
        <row r="94">
          <cell r="B94">
            <v>87</v>
          </cell>
          <cell r="C94">
            <v>8.9849999999999999E-2</v>
          </cell>
          <cell r="D94">
            <v>5.5120000000000002E-2</v>
          </cell>
          <cell r="E94">
            <v>0.10942399999999999</v>
          </cell>
          <cell r="F94">
            <v>4.9472000000000002E-2</v>
          </cell>
          <cell r="G94">
            <v>3.0600000000000001E-4</v>
          </cell>
          <cell r="H94">
            <v>1.9000000000000001E-4</v>
          </cell>
          <cell r="I94">
            <v>0.10972999999999999</v>
          </cell>
          <cell r="J94">
            <v>4.9662000000000005E-2</v>
          </cell>
          <cell r="K94">
            <v>1.1178429999999999</v>
          </cell>
          <cell r="L94">
            <v>0.57437000000000005</v>
          </cell>
          <cell r="M94">
            <v>1.0694489999999999</v>
          </cell>
          <cell r="N94">
            <v>0.54899299999999995</v>
          </cell>
          <cell r="O94">
            <v>4.1549999999999998E-3</v>
          </cell>
          <cell r="P94">
            <v>3.3939999999999999E-3</v>
          </cell>
          <cell r="Q94">
            <v>3.2017999999999998E-2</v>
          </cell>
          <cell r="R94">
            <v>6.5539999999999999E-3</v>
          </cell>
          <cell r="S94">
            <v>9.8110000000000003E-3</v>
          </cell>
          <cell r="T94">
            <v>8.9510000000000006E-3</v>
          </cell>
          <cell r="U94">
            <v>7.3700000000000002E-4</v>
          </cell>
          <cell r="V94">
            <v>5.0590000000000001E-3</v>
          </cell>
          <cell r="W94">
            <v>1.9251999999999998E-2</v>
          </cell>
          <cell r="X94">
            <v>1.993E-3</v>
          </cell>
          <cell r="Y94">
            <v>1.8593999999999999E-2</v>
          </cell>
          <cell r="Z94">
            <v>9.3740000000000004E-3</v>
          </cell>
          <cell r="AA94">
            <v>5.1999999999999997E-5</v>
          </cell>
          <cell r="AB94">
            <v>2.5000000000000001E-5</v>
          </cell>
          <cell r="AC94">
            <v>9.5066419999999994</v>
          </cell>
          <cell r="AD94">
            <v>12.244477</v>
          </cell>
          <cell r="AE94">
            <v>3.8268000000000003E-2</v>
          </cell>
          <cell r="AF94">
            <v>2.8861999999999999E-2</v>
          </cell>
          <cell r="AG94">
            <v>1.9400000000000001E-5</v>
          </cell>
          <cell r="AH94">
            <v>6.800000000000001E-6</v>
          </cell>
          <cell r="AI94">
            <v>5.9804999999999997E-2</v>
          </cell>
          <cell r="AJ94">
            <v>9.9942000000000003E-2</v>
          </cell>
          <cell r="AK94">
            <v>2.9902999999999999E-2</v>
          </cell>
          <cell r="AL94">
            <v>4.4119999999999999E-2</v>
          </cell>
          <cell r="AM94">
            <v>9.2420000000000002E-3</v>
          </cell>
          <cell r="AN94">
            <v>4.6959999999999997E-3</v>
          </cell>
          <cell r="AO94">
            <v>6.0819999999999997E-3</v>
          </cell>
          <cell r="AP94">
            <v>4.0959999999999998E-3</v>
          </cell>
        </row>
        <row r="95">
          <cell r="B95">
            <v>88</v>
          </cell>
          <cell r="C95">
            <v>0.10008</v>
          </cell>
          <cell r="D95">
            <v>6.3570000000000002E-2</v>
          </cell>
          <cell r="E95">
            <v>0.130109</v>
          </cell>
          <cell r="F95">
            <v>5.6785000000000002E-2</v>
          </cell>
          <cell r="G95">
            <v>3.0600000000000001E-4</v>
          </cell>
          <cell r="H95">
            <v>1.9000000000000001E-4</v>
          </cell>
          <cell r="I95">
            <v>0.130415</v>
          </cell>
          <cell r="J95">
            <v>5.6975000000000005E-2</v>
          </cell>
          <cell r="K95">
            <v>1.1178429999999999</v>
          </cell>
          <cell r="L95">
            <v>0.57437000000000005</v>
          </cell>
          <cell r="M95">
            <v>1.0694489999999999</v>
          </cell>
          <cell r="N95">
            <v>0.54899299999999995</v>
          </cell>
          <cell r="O95">
            <v>4.1549999999999998E-3</v>
          </cell>
          <cell r="P95">
            <v>3.3939999999999999E-3</v>
          </cell>
          <cell r="Q95">
            <v>3.2017999999999998E-2</v>
          </cell>
          <cell r="R95">
            <v>6.5539999999999999E-3</v>
          </cell>
          <cell r="S95">
            <v>9.8110000000000003E-3</v>
          </cell>
          <cell r="T95">
            <v>8.9510000000000006E-3</v>
          </cell>
          <cell r="U95">
            <v>7.3700000000000002E-4</v>
          </cell>
          <cell r="V95">
            <v>5.0590000000000001E-3</v>
          </cell>
          <cell r="W95">
            <v>1.9251999999999998E-2</v>
          </cell>
          <cell r="X95">
            <v>1.993E-3</v>
          </cell>
          <cell r="Y95">
            <v>1.8593999999999999E-2</v>
          </cell>
          <cell r="Z95">
            <v>9.3740000000000004E-3</v>
          </cell>
          <cell r="AA95">
            <v>5.1999999999999997E-5</v>
          </cell>
          <cell r="AB95">
            <v>2.5000000000000001E-5</v>
          </cell>
          <cell r="AC95">
            <v>9.3786799999999992</v>
          </cell>
          <cell r="AD95">
            <v>11.848288</v>
          </cell>
          <cell r="AE95">
            <v>3.8268000000000003E-2</v>
          </cell>
          <cell r="AF95">
            <v>2.8861999999999999E-2</v>
          </cell>
          <cell r="AG95">
            <v>1.9400000000000001E-5</v>
          </cell>
          <cell r="AH95">
            <v>6.800000000000001E-6</v>
          </cell>
          <cell r="AI95">
            <v>5.9804999999999997E-2</v>
          </cell>
          <cell r="AJ95">
            <v>9.9942000000000003E-2</v>
          </cell>
          <cell r="AK95">
            <v>2.9902999999999999E-2</v>
          </cell>
          <cell r="AL95">
            <v>4.4119999999999999E-2</v>
          </cell>
          <cell r="AM95">
            <v>9.2549999999999993E-3</v>
          </cell>
          <cell r="AN95">
            <v>4.6979999999999999E-3</v>
          </cell>
          <cell r="AO95">
            <v>6.0910000000000001E-3</v>
          </cell>
          <cell r="AP95">
            <v>4.1019999999999997E-3</v>
          </cell>
        </row>
        <row r="96">
          <cell r="B96">
            <v>89</v>
          </cell>
          <cell r="C96">
            <v>0.11011</v>
          </cell>
          <cell r="D96">
            <v>7.3249999999999996E-2</v>
          </cell>
          <cell r="E96">
            <v>0.15362799999999999</v>
          </cell>
          <cell r="F96">
            <v>6.5117999999999995E-2</v>
          </cell>
          <cell r="G96">
            <v>3.0600000000000001E-4</v>
          </cell>
          <cell r="H96">
            <v>1.9000000000000001E-4</v>
          </cell>
          <cell r="I96">
            <v>0.15393399999999999</v>
          </cell>
          <cell r="J96">
            <v>6.5307999999999991E-2</v>
          </cell>
          <cell r="K96">
            <v>1.1178429999999999</v>
          </cell>
          <cell r="L96">
            <v>0.57437000000000005</v>
          </cell>
          <cell r="M96">
            <v>1.0694489999999999</v>
          </cell>
          <cell r="N96">
            <v>0.54899299999999995</v>
          </cell>
          <cell r="O96">
            <v>4.1549999999999998E-3</v>
          </cell>
          <cell r="P96">
            <v>3.3939999999999999E-3</v>
          </cell>
          <cell r="Q96">
            <v>3.2017999999999998E-2</v>
          </cell>
          <cell r="R96">
            <v>6.5539999999999999E-3</v>
          </cell>
          <cell r="S96">
            <v>9.8110000000000003E-3</v>
          </cell>
          <cell r="T96">
            <v>8.9510000000000006E-3</v>
          </cell>
          <cell r="U96">
            <v>7.3700000000000002E-4</v>
          </cell>
          <cell r="V96">
            <v>5.0590000000000001E-3</v>
          </cell>
          <cell r="W96">
            <v>1.9251999999999998E-2</v>
          </cell>
          <cell r="X96">
            <v>1.993E-3</v>
          </cell>
          <cell r="Y96">
            <v>1.8593999999999999E-2</v>
          </cell>
          <cell r="Z96">
            <v>9.3740000000000004E-3</v>
          </cell>
          <cell r="AA96">
            <v>5.1999999999999997E-5</v>
          </cell>
          <cell r="AB96">
            <v>2.5000000000000001E-5</v>
          </cell>
          <cell r="AC96">
            <v>9.2507180000000009</v>
          </cell>
          <cell r="AD96">
            <v>11.4521</v>
          </cell>
          <cell r="AE96">
            <v>3.8268000000000003E-2</v>
          </cell>
          <cell r="AF96">
            <v>2.8861999999999999E-2</v>
          </cell>
          <cell r="AG96">
            <v>1.9400000000000001E-5</v>
          </cell>
          <cell r="AH96">
            <v>6.800000000000001E-6</v>
          </cell>
          <cell r="AI96">
            <v>5.9804999999999997E-2</v>
          </cell>
          <cell r="AJ96">
            <v>9.9942000000000003E-2</v>
          </cell>
          <cell r="AK96">
            <v>2.9902999999999999E-2</v>
          </cell>
          <cell r="AL96">
            <v>4.4119999999999999E-2</v>
          </cell>
          <cell r="AM96">
            <v>9.2940000000000002E-3</v>
          </cell>
          <cell r="AN96">
            <v>4.705E-3</v>
          </cell>
          <cell r="AO96">
            <v>6.117E-3</v>
          </cell>
          <cell r="AP96">
            <v>4.1209999999999997E-3</v>
          </cell>
        </row>
        <row r="97">
          <cell r="B97">
            <v>90</v>
          </cell>
          <cell r="C97">
            <v>0.12298000000000001</v>
          </cell>
          <cell r="D97">
            <v>8.4349999999999994E-2</v>
          </cell>
          <cell r="E97">
            <v>0.18008099999999999</v>
          </cell>
          <cell r="F97">
            <v>7.4593999999999994E-2</v>
          </cell>
          <cell r="G97">
            <v>3.0600000000000001E-4</v>
          </cell>
          <cell r="H97">
            <v>1.9000000000000001E-4</v>
          </cell>
          <cell r="I97">
            <v>0.18038699999999999</v>
          </cell>
          <cell r="J97">
            <v>7.4783999999999989E-2</v>
          </cell>
          <cell r="K97">
            <v>1.1178429999999999</v>
          </cell>
          <cell r="L97">
            <v>0.57437000000000005</v>
          </cell>
          <cell r="M97">
            <v>1.0694489999999999</v>
          </cell>
          <cell r="N97">
            <v>0.54899299999999995</v>
          </cell>
          <cell r="O97">
            <v>4.1549999999999998E-3</v>
          </cell>
          <cell r="P97">
            <v>3.3939999999999999E-3</v>
          </cell>
          <cell r="Q97">
            <v>3.2017999999999998E-2</v>
          </cell>
          <cell r="R97">
            <v>6.5539999999999999E-3</v>
          </cell>
          <cell r="S97">
            <v>9.8110000000000003E-3</v>
          </cell>
          <cell r="T97">
            <v>8.9510000000000006E-3</v>
          </cell>
          <cell r="U97">
            <v>7.3700000000000002E-4</v>
          </cell>
          <cell r="V97">
            <v>5.0590000000000001E-3</v>
          </cell>
          <cell r="W97">
            <v>1.9251999999999998E-2</v>
          </cell>
          <cell r="X97">
            <v>1.993E-3</v>
          </cell>
          <cell r="Y97">
            <v>1.8593999999999999E-2</v>
          </cell>
          <cell r="Z97">
            <v>9.3740000000000004E-3</v>
          </cell>
          <cell r="AA97">
            <v>5.1E-5</v>
          </cell>
          <cell r="AB97">
            <v>2.5000000000000001E-5</v>
          </cell>
          <cell r="AC97">
            <v>9.1227560000000008</v>
          </cell>
          <cell r="AD97">
            <v>11.055911</v>
          </cell>
          <cell r="AE97">
            <v>3.8268000000000003E-2</v>
          </cell>
          <cell r="AF97">
            <v>2.8861999999999999E-2</v>
          </cell>
          <cell r="AG97">
            <v>1.9400000000000001E-5</v>
          </cell>
          <cell r="AH97">
            <v>6.800000000000001E-6</v>
          </cell>
          <cell r="AI97">
            <v>5.9804999999999997E-2</v>
          </cell>
          <cell r="AJ97">
            <v>9.9942000000000003E-2</v>
          </cell>
          <cell r="AK97">
            <v>2.9902999999999999E-2</v>
          </cell>
          <cell r="AL97">
            <v>4.4119999999999999E-2</v>
          </cell>
          <cell r="AM97">
            <v>9.3120000000000008E-3</v>
          </cell>
          <cell r="AN97">
            <v>4.7089999999999996E-3</v>
          </cell>
          <cell r="AO97">
            <v>6.13E-3</v>
          </cell>
          <cell r="AP97">
            <v>4.13E-3</v>
          </cell>
        </row>
        <row r="98">
          <cell r="B98">
            <v>91</v>
          </cell>
          <cell r="C98">
            <v>0.13724</v>
          </cell>
          <cell r="D98">
            <v>9.7009999999999999E-2</v>
          </cell>
          <cell r="E98">
            <v>0.209591</v>
          </cell>
          <cell r="F98">
            <v>8.5347999999999993E-2</v>
          </cell>
          <cell r="G98">
            <v>3.0600000000000001E-4</v>
          </cell>
          <cell r="H98">
            <v>1.9000000000000001E-4</v>
          </cell>
          <cell r="I98">
            <v>0.209897</v>
          </cell>
          <cell r="J98">
            <v>8.5537999999999989E-2</v>
          </cell>
          <cell r="K98">
            <v>1.1178429999999999</v>
          </cell>
          <cell r="L98">
            <v>0.57437000000000005</v>
          </cell>
          <cell r="M98">
            <v>1.0694489999999999</v>
          </cell>
          <cell r="N98">
            <v>0.54899299999999995</v>
          </cell>
          <cell r="O98">
            <v>4.1549999999999998E-3</v>
          </cell>
          <cell r="P98">
            <v>3.3939999999999999E-3</v>
          </cell>
          <cell r="Q98">
            <v>3.2017999999999998E-2</v>
          </cell>
          <cell r="R98">
            <v>6.5539999999999999E-3</v>
          </cell>
          <cell r="S98">
            <v>9.8110000000000003E-3</v>
          </cell>
          <cell r="T98">
            <v>8.9510000000000006E-3</v>
          </cell>
          <cell r="U98">
            <v>7.3700000000000002E-4</v>
          </cell>
          <cell r="V98">
            <v>5.0590000000000001E-3</v>
          </cell>
          <cell r="W98">
            <v>1.9251999999999998E-2</v>
          </cell>
          <cell r="X98">
            <v>1.993E-3</v>
          </cell>
          <cell r="Y98">
            <v>1.8593999999999999E-2</v>
          </cell>
          <cell r="Z98">
            <v>9.3740000000000004E-3</v>
          </cell>
          <cell r="AA98">
            <v>5.1E-5</v>
          </cell>
          <cell r="AB98">
            <v>2.5000000000000001E-5</v>
          </cell>
          <cell r="AC98">
            <v>9.1227560000000008</v>
          </cell>
          <cell r="AD98">
            <v>11.055911</v>
          </cell>
          <cell r="AE98">
            <v>3.8268000000000003E-2</v>
          </cell>
          <cell r="AF98">
            <v>2.8861999999999999E-2</v>
          </cell>
          <cell r="AG98">
            <v>1.9400000000000001E-5</v>
          </cell>
          <cell r="AH98">
            <v>6.800000000000001E-6</v>
          </cell>
          <cell r="AI98">
            <v>5.9804999999999997E-2</v>
          </cell>
          <cell r="AJ98">
            <v>9.9942000000000003E-2</v>
          </cell>
          <cell r="AK98">
            <v>2.9902999999999999E-2</v>
          </cell>
          <cell r="AL98">
            <v>4.4119999999999999E-2</v>
          </cell>
          <cell r="AM98">
            <v>9.3120000000000008E-3</v>
          </cell>
          <cell r="AN98">
            <v>4.7089999999999996E-3</v>
          </cell>
          <cell r="AO98">
            <v>6.13E-3</v>
          </cell>
          <cell r="AP98">
            <v>4.13E-3</v>
          </cell>
        </row>
        <row r="99">
          <cell r="B99">
            <v>92</v>
          </cell>
          <cell r="C99">
            <v>0.15231</v>
          </cell>
          <cell r="D99">
            <v>0.11146</v>
          </cell>
          <cell r="E99">
            <v>0.242345</v>
          </cell>
          <cell r="F99">
            <v>9.7532999999999995E-2</v>
          </cell>
          <cell r="G99">
            <v>3.0600000000000001E-4</v>
          </cell>
          <cell r="H99">
            <v>1.9000000000000001E-4</v>
          </cell>
          <cell r="I99">
            <v>0.24265100000000001</v>
          </cell>
          <cell r="J99">
            <v>9.772299999999999E-2</v>
          </cell>
          <cell r="K99">
            <v>1.1178429999999999</v>
          </cell>
          <cell r="L99">
            <v>0.57437000000000005</v>
          </cell>
          <cell r="M99">
            <v>1.0694489999999999</v>
          </cell>
          <cell r="N99">
            <v>0.54899299999999995</v>
          </cell>
          <cell r="O99">
            <v>4.1549999999999998E-3</v>
          </cell>
          <cell r="P99">
            <v>3.3939999999999999E-3</v>
          </cell>
          <cell r="Q99">
            <v>3.2017999999999998E-2</v>
          </cell>
          <cell r="R99">
            <v>6.5539999999999999E-3</v>
          </cell>
          <cell r="S99">
            <v>9.8110000000000003E-3</v>
          </cell>
          <cell r="T99">
            <v>8.9510000000000006E-3</v>
          </cell>
          <cell r="U99">
            <v>7.3700000000000002E-4</v>
          </cell>
          <cell r="V99">
            <v>5.0590000000000001E-3</v>
          </cell>
          <cell r="W99">
            <v>1.9251999999999998E-2</v>
          </cell>
          <cell r="X99">
            <v>1.993E-3</v>
          </cell>
          <cell r="Y99">
            <v>1.8593999999999999E-2</v>
          </cell>
          <cell r="Z99">
            <v>9.3740000000000004E-3</v>
          </cell>
          <cell r="AA99">
            <v>5.1E-5</v>
          </cell>
          <cell r="AB99">
            <v>2.5000000000000001E-5</v>
          </cell>
          <cell r="AC99">
            <v>9.1227560000000008</v>
          </cell>
          <cell r="AD99">
            <v>11.055911</v>
          </cell>
          <cell r="AE99">
            <v>3.8268000000000003E-2</v>
          </cell>
          <cell r="AF99">
            <v>2.8861999999999999E-2</v>
          </cell>
          <cell r="AG99">
            <v>1.9400000000000001E-5</v>
          </cell>
          <cell r="AH99">
            <v>6.800000000000001E-6</v>
          </cell>
          <cell r="AI99">
            <v>5.9804999999999997E-2</v>
          </cell>
          <cell r="AJ99">
            <v>9.9942000000000003E-2</v>
          </cell>
          <cell r="AK99">
            <v>2.9902999999999999E-2</v>
          </cell>
          <cell r="AL99">
            <v>4.4119999999999999E-2</v>
          </cell>
          <cell r="AM99">
            <v>9.3120000000000008E-3</v>
          </cell>
          <cell r="AN99">
            <v>4.7089999999999996E-3</v>
          </cell>
          <cell r="AO99">
            <v>6.13E-3</v>
          </cell>
          <cell r="AP99">
            <v>4.13E-3</v>
          </cell>
        </row>
        <row r="100">
          <cell r="B100">
            <v>93</v>
          </cell>
          <cell r="C100">
            <v>0.16858000000000001</v>
          </cell>
          <cell r="D100">
            <v>0.12789</v>
          </cell>
          <cell r="E100">
            <v>0.27865600000000001</v>
          </cell>
          <cell r="F100">
            <v>0.111307</v>
          </cell>
          <cell r="G100">
            <v>3.0600000000000001E-4</v>
          </cell>
          <cell r="H100">
            <v>1.9000000000000001E-4</v>
          </cell>
          <cell r="I100">
            <v>0.27896199999999999</v>
          </cell>
          <cell r="J100">
            <v>0.111497</v>
          </cell>
          <cell r="K100">
            <v>1.1178429999999999</v>
          </cell>
          <cell r="L100">
            <v>0.57437000000000005</v>
          </cell>
          <cell r="M100">
            <v>1.0694489999999999</v>
          </cell>
          <cell r="N100">
            <v>0.54899299999999995</v>
          </cell>
          <cell r="O100">
            <v>4.1549999999999998E-3</v>
          </cell>
          <cell r="P100">
            <v>3.3939999999999999E-3</v>
          </cell>
          <cell r="Q100">
            <v>3.2017999999999998E-2</v>
          </cell>
          <cell r="R100">
            <v>6.5539999999999999E-3</v>
          </cell>
          <cell r="S100">
            <v>9.8110000000000003E-3</v>
          </cell>
          <cell r="T100">
            <v>8.9510000000000006E-3</v>
          </cell>
          <cell r="U100">
            <v>7.3700000000000002E-4</v>
          </cell>
          <cell r="V100">
            <v>5.0590000000000001E-3</v>
          </cell>
          <cell r="W100">
            <v>1.9251999999999998E-2</v>
          </cell>
          <cell r="X100">
            <v>1.993E-3</v>
          </cell>
          <cell r="Y100">
            <v>1.8593999999999999E-2</v>
          </cell>
          <cell r="Z100">
            <v>9.3740000000000004E-3</v>
          </cell>
          <cell r="AA100">
            <v>5.1E-5</v>
          </cell>
          <cell r="AB100">
            <v>2.5000000000000001E-5</v>
          </cell>
          <cell r="AC100">
            <v>9.1227560000000008</v>
          </cell>
          <cell r="AD100">
            <v>11.055911</v>
          </cell>
          <cell r="AE100">
            <v>3.8268000000000003E-2</v>
          </cell>
          <cell r="AF100">
            <v>2.8861999999999999E-2</v>
          </cell>
          <cell r="AG100">
            <v>1.9400000000000001E-5</v>
          </cell>
          <cell r="AH100">
            <v>6.800000000000001E-6</v>
          </cell>
          <cell r="AI100">
            <v>5.9804999999999997E-2</v>
          </cell>
          <cell r="AJ100">
            <v>9.9942000000000003E-2</v>
          </cell>
          <cell r="AK100">
            <v>2.9902999999999999E-2</v>
          </cell>
          <cell r="AL100">
            <v>4.4119999999999999E-2</v>
          </cell>
          <cell r="AM100">
            <v>9.3120000000000008E-3</v>
          </cell>
          <cell r="AN100">
            <v>4.7089999999999996E-3</v>
          </cell>
          <cell r="AO100">
            <v>6.13E-3</v>
          </cell>
          <cell r="AP100">
            <v>4.13E-3</v>
          </cell>
        </row>
        <row r="101">
          <cell r="B101">
            <v>94</v>
          </cell>
          <cell r="C101">
            <v>0.18640999999999999</v>
          </cell>
          <cell r="D101">
            <v>0.14651</v>
          </cell>
          <cell r="E101">
            <v>0.31900699999999999</v>
          </cell>
          <cell r="F101">
            <v>0.126833</v>
          </cell>
          <cell r="G101">
            <v>3.0600000000000001E-4</v>
          </cell>
          <cell r="H101">
            <v>1.9000000000000001E-4</v>
          </cell>
          <cell r="I101">
            <v>0.31931299999999996</v>
          </cell>
          <cell r="J101">
            <v>0.127023</v>
          </cell>
          <cell r="K101">
            <v>1.1178429999999999</v>
          </cell>
          <cell r="L101">
            <v>0.57437000000000005</v>
          </cell>
          <cell r="M101">
            <v>1.0694489999999999</v>
          </cell>
          <cell r="N101">
            <v>0.54899299999999995</v>
          </cell>
          <cell r="O101">
            <v>4.1549999999999998E-3</v>
          </cell>
          <cell r="P101">
            <v>3.3939999999999999E-3</v>
          </cell>
          <cell r="Q101">
            <v>3.2017999999999998E-2</v>
          </cell>
          <cell r="R101">
            <v>6.5539999999999999E-3</v>
          </cell>
          <cell r="S101">
            <v>9.8110000000000003E-3</v>
          </cell>
          <cell r="T101">
            <v>8.9510000000000006E-3</v>
          </cell>
          <cell r="U101">
            <v>7.3700000000000002E-4</v>
          </cell>
          <cell r="V101">
            <v>5.0590000000000001E-3</v>
          </cell>
          <cell r="W101">
            <v>1.9251999999999998E-2</v>
          </cell>
          <cell r="X101">
            <v>1.993E-3</v>
          </cell>
          <cell r="Y101">
            <v>1.8593999999999999E-2</v>
          </cell>
          <cell r="Z101">
            <v>9.3740000000000004E-3</v>
          </cell>
          <cell r="AA101">
            <v>5.1E-5</v>
          </cell>
          <cell r="AB101">
            <v>2.5000000000000001E-5</v>
          </cell>
          <cell r="AC101">
            <v>9.1227560000000008</v>
          </cell>
          <cell r="AD101">
            <v>11.055911</v>
          </cell>
          <cell r="AE101">
            <v>3.8268000000000003E-2</v>
          </cell>
          <cell r="AF101">
            <v>2.8861999999999999E-2</v>
          </cell>
          <cell r="AG101">
            <v>1.9400000000000001E-5</v>
          </cell>
          <cell r="AH101">
            <v>6.800000000000001E-6</v>
          </cell>
          <cell r="AI101">
            <v>5.9804999999999997E-2</v>
          </cell>
          <cell r="AJ101">
            <v>9.9942000000000003E-2</v>
          </cell>
          <cell r="AK101">
            <v>2.9902999999999999E-2</v>
          </cell>
          <cell r="AL101">
            <v>4.4119999999999999E-2</v>
          </cell>
          <cell r="AM101">
            <v>9.3120000000000008E-3</v>
          </cell>
          <cell r="AN101">
            <v>4.7089999999999996E-3</v>
          </cell>
          <cell r="AO101">
            <v>6.13E-3</v>
          </cell>
          <cell r="AP101">
            <v>4.13E-3</v>
          </cell>
        </row>
        <row r="102">
          <cell r="B102">
            <v>95</v>
          </cell>
          <cell r="C102">
            <v>0.20594000000000001</v>
          </cell>
          <cell r="D102">
            <v>0.16755</v>
          </cell>
          <cell r="E102">
            <v>0.36411399999999999</v>
          </cell>
          <cell r="F102">
            <v>0.14423800000000001</v>
          </cell>
          <cell r="G102">
            <v>3.0600000000000001E-4</v>
          </cell>
          <cell r="H102">
            <v>1.9000000000000001E-4</v>
          </cell>
          <cell r="I102">
            <v>0.36441999999999997</v>
          </cell>
          <cell r="J102">
            <v>0.144428</v>
          </cell>
          <cell r="K102">
            <v>1.1178429999999999</v>
          </cell>
          <cell r="L102">
            <v>0.57437000000000005</v>
          </cell>
          <cell r="M102">
            <v>1.0694489999999999</v>
          </cell>
          <cell r="N102">
            <v>0.54899299999999995</v>
          </cell>
          <cell r="O102">
            <v>4.1549999999999998E-3</v>
          </cell>
          <cell r="P102">
            <v>3.3939999999999999E-3</v>
          </cell>
          <cell r="Q102">
            <v>3.2017999999999998E-2</v>
          </cell>
          <cell r="R102">
            <v>6.5539999999999999E-3</v>
          </cell>
          <cell r="S102">
            <v>9.8110000000000003E-3</v>
          </cell>
          <cell r="T102">
            <v>8.9510000000000006E-3</v>
          </cell>
          <cell r="U102">
            <v>7.3700000000000002E-4</v>
          </cell>
          <cell r="V102">
            <v>5.0590000000000001E-3</v>
          </cell>
          <cell r="W102">
            <v>1.9251999999999998E-2</v>
          </cell>
          <cell r="X102">
            <v>1.993E-3</v>
          </cell>
          <cell r="Y102">
            <v>1.8593999999999999E-2</v>
          </cell>
          <cell r="Z102">
            <v>9.3740000000000004E-3</v>
          </cell>
          <cell r="AA102">
            <v>5.1E-5</v>
          </cell>
          <cell r="AB102">
            <v>2.5000000000000001E-5</v>
          </cell>
          <cell r="AC102">
            <v>9.1227560000000008</v>
          </cell>
          <cell r="AD102">
            <v>11.055911</v>
          </cell>
          <cell r="AE102">
            <v>3.8268000000000003E-2</v>
          </cell>
          <cell r="AF102">
            <v>2.8861999999999999E-2</v>
          </cell>
          <cell r="AG102">
            <v>1.9400000000000001E-5</v>
          </cell>
          <cell r="AH102">
            <v>6.800000000000001E-6</v>
          </cell>
          <cell r="AI102">
            <v>5.9804999999999997E-2</v>
          </cell>
          <cell r="AJ102">
            <v>9.9942000000000003E-2</v>
          </cell>
          <cell r="AK102">
            <v>2.9902999999999999E-2</v>
          </cell>
          <cell r="AL102">
            <v>4.4119999999999999E-2</v>
          </cell>
          <cell r="AM102">
            <v>9.3120000000000008E-3</v>
          </cell>
          <cell r="AN102">
            <v>4.7089999999999996E-3</v>
          </cell>
          <cell r="AO102">
            <v>6.13E-3</v>
          </cell>
          <cell r="AP102">
            <v>4.13E-3</v>
          </cell>
        </row>
        <row r="103">
          <cell r="B103">
            <v>96</v>
          </cell>
          <cell r="C103">
            <v>0.22728999999999999</v>
          </cell>
          <cell r="D103">
            <v>0.19123000000000001</v>
          </cell>
          <cell r="E103">
            <v>0.414296</v>
          </cell>
          <cell r="F103">
            <v>0.163329</v>
          </cell>
          <cell r="G103">
            <v>3.0600000000000001E-4</v>
          </cell>
          <cell r="H103">
            <v>1.9000000000000001E-4</v>
          </cell>
          <cell r="I103">
            <v>0.41460199999999997</v>
          </cell>
          <cell r="J103">
            <v>0.163519</v>
          </cell>
          <cell r="K103">
            <v>1.1178429999999999</v>
          </cell>
          <cell r="L103">
            <v>0.57437000000000005</v>
          </cell>
          <cell r="M103">
            <v>1.0694489999999999</v>
          </cell>
          <cell r="N103">
            <v>0.54899299999999995</v>
          </cell>
          <cell r="O103">
            <v>4.1549999999999998E-3</v>
          </cell>
          <cell r="P103">
            <v>3.3939999999999999E-3</v>
          </cell>
          <cell r="Q103">
            <v>3.2017999999999998E-2</v>
          </cell>
          <cell r="R103">
            <v>6.5539999999999999E-3</v>
          </cell>
          <cell r="S103">
            <v>9.8110000000000003E-3</v>
          </cell>
          <cell r="T103">
            <v>8.9510000000000006E-3</v>
          </cell>
          <cell r="U103">
            <v>7.3700000000000002E-4</v>
          </cell>
          <cell r="V103">
            <v>5.0590000000000001E-3</v>
          </cell>
          <cell r="W103">
            <v>1.9251999999999998E-2</v>
          </cell>
          <cell r="X103">
            <v>1.993E-3</v>
          </cell>
          <cell r="Y103">
            <v>1.8593999999999999E-2</v>
          </cell>
          <cell r="Z103">
            <v>9.3740000000000004E-3</v>
          </cell>
          <cell r="AA103">
            <v>5.1E-5</v>
          </cell>
          <cell r="AB103">
            <v>2.5000000000000001E-5</v>
          </cell>
          <cell r="AC103">
            <v>9.1227560000000008</v>
          </cell>
          <cell r="AD103">
            <v>11.055911</v>
          </cell>
          <cell r="AE103">
            <v>3.8268000000000003E-2</v>
          </cell>
          <cell r="AF103">
            <v>2.8861999999999999E-2</v>
          </cell>
          <cell r="AG103">
            <v>1.9400000000000001E-5</v>
          </cell>
          <cell r="AH103">
            <v>6.800000000000001E-6</v>
          </cell>
          <cell r="AI103">
            <v>5.9804999999999997E-2</v>
          </cell>
          <cell r="AJ103">
            <v>9.9942000000000003E-2</v>
          </cell>
          <cell r="AK103">
            <v>2.9902999999999999E-2</v>
          </cell>
          <cell r="AL103">
            <v>4.4119999999999999E-2</v>
          </cell>
          <cell r="AM103">
            <v>9.3120000000000008E-3</v>
          </cell>
          <cell r="AN103">
            <v>4.7089999999999996E-3</v>
          </cell>
          <cell r="AO103">
            <v>6.13E-3</v>
          </cell>
          <cell r="AP103">
            <v>4.13E-3</v>
          </cell>
        </row>
        <row r="104">
          <cell r="B104">
            <v>97</v>
          </cell>
          <cell r="C104">
            <v>0.25054999999999999</v>
          </cell>
          <cell r="D104">
            <v>0.21401000000000001</v>
          </cell>
          <cell r="E104">
            <v>0.45728400000000002</v>
          </cell>
          <cell r="F104">
            <v>0.18490799999999999</v>
          </cell>
          <cell r="G104">
            <v>3.0600000000000001E-4</v>
          </cell>
          <cell r="H104">
            <v>1.9000000000000001E-4</v>
          </cell>
          <cell r="I104">
            <v>0.45759</v>
          </cell>
          <cell r="J104">
            <v>0.18509799999999998</v>
          </cell>
          <cell r="K104">
            <v>1.1178429999999999</v>
          </cell>
          <cell r="L104">
            <v>0.57437000000000005</v>
          </cell>
          <cell r="M104">
            <v>1.0694489999999999</v>
          </cell>
          <cell r="N104">
            <v>0.54899299999999995</v>
          </cell>
          <cell r="O104">
            <v>4.1549999999999998E-3</v>
          </cell>
          <cell r="P104">
            <v>3.3939999999999999E-3</v>
          </cell>
          <cell r="Q104">
            <v>3.2017999999999998E-2</v>
          </cell>
          <cell r="R104">
            <v>6.5539999999999999E-3</v>
          </cell>
          <cell r="S104">
            <v>9.8110000000000003E-3</v>
          </cell>
          <cell r="T104">
            <v>8.9510000000000006E-3</v>
          </cell>
          <cell r="U104">
            <v>7.3700000000000002E-4</v>
          </cell>
          <cell r="V104">
            <v>5.0590000000000001E-3</v>
          </cell>
          <cell r="W104">
            <v>1.9251999999999998E-2</v>
          </cell>
          <cell r="X104">
            <v>1.993E-3</v>
          </cell>
          <cell r="Y104">
            <v>1.8593999999999999E-2</v>
          </cell>
          <cell r="Z104">
            <v>9.3740000000000004E-3</v>
          </cell>
          <cell r="AA104">
            <v>5.1E-5</v>
          </cell>
          <cell r="AB104">
            <v>2.5000000000000001E-5</v>
          </cell>
          <cell r="AC104">
            <v>9.1227560000000008</v>
          </cell>
          <cell r="AD104">
            <v>11.055911</v>
          </cell>
          <cell r="AE104">
            <v>3.8268000000000003E-2</v>
          </cell>
          <cell r="AF104">
            <v>2.8861999999999999E-2</v>
          </cell>
          <cell r="AG104">
            <v>1.9400000000000001E-5</v>
          </cell>
          <cell r="AH104">
            <v>6.800000000000001E-6</v>
          </cell>
          <cell r="AI104">
            <v>5.9804999999999997E-2</v>
          </cell>
          <cell r="AJ104">
            <v>9.9942000000000003E-2</v>
          </cell>
          <cell r="AK104">
            <v>2.9902999999999999E-2</v>
          </cell>
          <cell r="AL104">
            <v>4.4119999999999999E-2</v>
          </cell>
          <cell r="AM104">
            <v>9.3120000000000008E-3</v>
          </cell>
          <cell r="AN104">
            <v>4.7089999999999996E-3</v>
          </cell>
          <cell r="AO104">
            <v>6.13E-3</v>
          </cell>
          <cell r="AP104">
            <v>4.13E-3</v>
          </cell>
        </row>
        <row r="105">
          <cell r="B105">
            <v>98</v>
          </cell>
          <cell r="C105">
            <v>0.27585999999999999</v>
          </cell>
          <cell r="D105">
            <v>0.23679</v>
          </cell>
          <cell r="E105">
            <v>0.47092099999999998</v>
          </cell>
          <cell r="F105">
            <v>0.20940900000000001</v>
          </cell>
          <cell r="G105">
            <v>3.0600000000000001E-4</v>
          </cell>
          <cell r="H105">
            <v>1.9000000000000001E-4</v>
          </cell>
          <cell r="I105">
            <v>0.47122699999999995</v>
          </cell>
          <cell r="J105">
            <v>0.20959900000000001</v>
          </cell>
          <cell r="K105">
            <v>1.1178429999999999</v>
          </cell>
          <cell r="L105">
            <v>0.57437000000000005</v>
          </cell>
          <cell r="M105">
            <v>1.0694489999999999</v>
          </cell>
          <cell r="N105">
            <v>0.54899299999999995</v>
          </cell>
          <cell r="O105">
            <v>4.1549999999999998E-3</v>
          </cell>
          <cell r="P105">
            <v>3.3939999999999999E-3</v>
          </cell>
          <cell r="Q105">
            <v>3.2017999999999998E-2</v>
          </cell>
          <cell r="R105">
            <v>6.5539999999999999E-3</v>
          </cell>
          <cell r="S105">
            <v>9.8110000000000003E-3</v>
          </cell>
          <cell r="T105">
            <v>8.9510000000000006E-3</v>
          </cell>
          <cell r="U105">
            <v>7.3700000000000002E-4</v>
          </cell>
          <cell r="V105">
            <v>5.0590000000000001E-3</v>
          </cell>
          <cell r="W105">
            <v>1.9251999999999998E-2</v>
          </cell>
          <cell r="X105">
            <v>1.993E-3</v>
          </cell>
          <cell r="Y105">
            <v>1.8593999999999999E-2</v>
          </cell>
          <cell r="Z105">
            <v>9.3740000000000004E-3</v>
          </cell>
          <cell r="AA105">
            <v>5.1E-5</v>
          </cell>
          <cell r="AB105">
            <v>2.5000000000000001E-5</v>
          </cell>
          <cell r="AC105">
            <v>9.1227560000000008</v>
          </cell>
          <cell r="AD105">
            <v>11.055911</v>
          </cell>
          <cell r="AE105">
            <v>3.8268000000000003E-2</v>
          </cell>
          <cell r="AF105">
            <v>2.8861999999999999E-2</v>
          </cell>
          <cell r="AG105">
            <v>1.9400000000000001E-5</v>
          </cell>
          <cell r="AH105">
            <v>6.800000000000001E-6</v>
          </cell>
          <cell r="AI105">
            <v>5.9804999999999997E-2</v>
          </cell>
          <cell r="AJ105">
            <v>9.9942000000000003E-2</v>
          </cell>
          <cell r="AK105">
            <v>2.9902999999999999E-2</v>
          </cell>
          <cell r="AL105">
            <v>4.4119999999999999E-2</v>
          </cell>
          <cell r="AM105">
            <v>9.3120000000000008E-3</v>
          </cell>
          <cell r="AN105">
            <v>4.7089999999999996E-3</v>
          </cell>
          <cell r="AO105">
            <v>6.13E-3</v>
          </cell>
          <cell r="AP105">
            <v>4.13E-3</v>
          </cell>
        </row>
        <row r="106">
          <cell r="B106">
            <v>99</v>
          </cell>
          <cell r="C106">
            <v>0.30327999999999999</v>
          </cell>
          <cell r="D106">
            <v>0.2616</v>
          </cell>
          <cell r="E106">
            <v>0.48455799999999999</v>
          </cell>
          <cell r="F106">
            <v>0.237368</v>
          </cell>
          <cell r="G106">
            <v>3.0600000000000001E-4</v>
          </cell>
          <cell r="H106">
            <v>1.9000000000000001E-4</v>
          </cell>
          <cell r="I106">
            <v>0.48486399999999996</v>
          </cell>
          <cell r="J106">
            <v>0.23755799999999999</v>
          </cell>
          <cell r="K106">
            <v>1.1178429999999999</v>
          </cell>
          <cell r="L106">
            <v>0.57437000000000005</v>
          </cell>
          <cell r="M106">
            <v>1.0694489999999999</v>
          </cell>
          <cell r="N106">
            <v>0.54899299999999995</v>
          </cell>
          <cell r="O106">
            <v>4.1549999999999998E-3</v>
          </cell>
          <cell r="P106">
            <v>3.3939999999999999E-3</v>
          </cell>
          <cell r="Q106">
            <v>3.2017999999999998E-2</v>
          </cell>
          <cell r="R106">
            <v>6.5539999999999999E-3</v>
          </cell>
          <cell r="S106">
            <v>9.8110000000000003E-3</v>
          </cell>
          <cell r="T106">
            <v>8.9510000000000006E-3</v>
          </cell>
          <cell r="U106">
            <v>7.3700000000000002E-4</v>
          </cell>
          <cell r="V106">
            <v>5.0590000000000001E-3</v>
          </cell>
          <cell r="W106">
            <v>1.9251999999999998E-2</v>
          </cell>
          <cell r="X106">
            <v>1.993E-3</v>
          </cell>
          <cell r="Y106">
            <v>1.8593999999999999E-2</v>
          </cell>
          <cell r="Z106">
            <v>9.3740000000000004E-3</v>
          </cell>
          <cell r="AA106">
            <v>5.1E-5</v>
          </cell>
          <cell r="AB106">
            <v>2.5000000000000001E-5</v>
          </cell>
          <cell r="AC106">
            <v>9.1227560000000008</v>
          </cell>
          <cell r="AD106">
            <v>11.055911</v>
          </cell>
          <cell r="AE106">
            <v>3.8268000000000003E-2</v>
          </cell>
          <cell r="AF106">
            <v>2.8861999999999999E-2</v>
          </cell>
          <cell r="AG106">
            <v>1.9400000000000001E-5</v>
          </cell>
          <cell r="AH106">
            <v>6.800000000000001E-6</v>
          </cell>
          <cell r="AI106">
            <v>5.9804999999999997E-2</v>
          </cell>
          <cell r="AJ106">
            <v>9.9942000000000003E-2</v>
          </cell>
          <cell r="AK106">
            <v>2.9902999999999999E-2</v>
          </cell>
          <cell r="AL106">
            <v>4.4119999999999999E-2</v>
          </cell>
          <cell r="AM106">
            <v>9.3120000000000008E-3</v>
          </cell>
          <cell r="AN106">
            <v>4.7089999999999996E-3</v>
          </cell>
          <cell r="AO106">
            <v>6.13E-3</v>
          </cell>
          <cell r="AP106">
            <v>4.13E-3</v>
          </cell>
        </row>
        <row r="107">
          <cell r="B107">
            <v>100</v>
          </cell>
          <cell r="C107">
            <v>0.33291999999999999</v>
          </cell>
          <cell r="D107">
            <v>0.28860000000000002</v>
          </cell>
          <cell r="E107">
            <v>0.49819400000000003</v>
          </cell>
          <cell r="F107">
            <v>0.26946100000000001</v>
          </cell>
          <cell r="G107">
            <v>3.0600000000000001E-4</v>
          </cell>
          <cell r="H107">
            <v>1.9000000000000001E-4</v>
          </cell>
          <cell r="I107">
            <v>0.4985</v>
          </cell>
          <cell r="J107">
            <v>0.26965100000000003</v>
          </cell>
          <cell r="K107">
            <v>1.1178429999999999</v>
          </cell>
          <cell r="L107">
            <v>0.57437000000000005</v>
          </cell>
          <cell r="M107">
            <v>1.0694489999999999</v>
          </cell>
          <cell r="N107">
            <v>0.54899299999999995</v>
          </cell>
          <cell r="O107">
            <v>4.1549999999999998E-3</v>
          </cell>
          <cell r="P107">
            <v>3.3939999999999999E-3</v>
          </cell>
          <cell r="Q107">
            <v>3.2017999999999998E-2</v>
          </cell>
          <cell r="R107">
            <v>6.5539999999999999E-3</v>
          </cell>
          <cell r="S107">
            <v>9.8110000000000003E-3</v>
          </cell>
          <cell r="T107">
            <v>8.9510000000000006E-3</v>
          </cell>
          <cell r="U107">
            <v>7.3700000000000002E-4</v>
          </cell>
          <cell r="V107">
            <v>5.0590000000000001E-3</v>
          </cell>
          <cell r="W107">
            <v>1.9251999999999998E-2</v>
          </cell>
          <cell r="X107">
            <v>1.993E-3</v>
          </cell>
          <cell r="Y107">
            <v>1.8593999999999999E-2</v>
          </cell>
          <cell r="Z107">
            <v>9.3740000000000004E-3</v>
          </cell>
          <cell r="AA107">
            <v>5.1E-5</v>
          </cell>
          <cell r="AB107">
            <v>2.5000000000000001E-5</v>
          </cell>
          <cell r="AC107">
            <v>9.1227560000000008</v>
          </cell>
          <cell r="AD107">
            <v>11.055911</v>
          </cell>
          <cell r="AE107">
            <v>3.8268000000000003E-2</v>
          </cell>
          <cell r="AF107">
            <v>2.8861999999999999E-2</v>
          </cell>
          <cell r="AG107">
            <v>1.9400000000000001E-5</v>
          </cell>
          <cell r="AH107">
            <v>6.800000000000001E-6</v>
          </cell>
          <cell r="AI107">
            <v>5.9804999999999997E-2</v>
          </cell>
          <cell r="AJ107">
            <v>9.9942000000000003E-2</v>
          </cell>
          <cell r="AK107">
            <v>2.9902999999999999E-2</v>
          </cell>
          <cell r="AL107">
            <v>4.4119999999999999E-2</v>
          </cell>
          <cell r="AM107">
            <v>9.3120000000000008E-3</v>
          </cell>
          <cell r="AN107">
            <v>4.7089999999999996E-3</v>
          </cell>
          <cell r="AO107">
            <v>6.13E-3</v>
          </cell>
          <cell r="AP107">
            <v>4.13E-3</v>
          </cell>
        </row>
        <row r="108">
          <cell r="B108">
            <v>101</v>
          </cell>
          <cell r="C108">
            <v>0.36485000000000001</v>
          </cell>
          <cell r="D108">
            <v>0.31780000000000003</v>
          </cell>
          <cell r="E108">
            <v>0.51183100000000004</v>
          </cell>
          <cell r="F108">
            <v>0.30650899999999998</v>
          </cell>
          <cell r="G108">
            <v>3.0600000000000001E-4</v>
          </cell>
          <cell r="H108">
            <v>1.9000000000000001E-4</v>
          </cell>
          <cell r="I108">
            <v>0.51213700000000006</v>
          </cell>
          <cell r="J108">
            <v>0.306699</v>
          </cell>
          <cell r="K108">
            <v>1.1178429999999999</v>
          </cell>
          <cell r="L108">
            <v>0.57437000000000005</v>
          </cell>
          <cell r="M108">
            <v>1.0694489999999999</v>
          </cell>
          <cell r="N108">
            <v>0.54899299999999995</v>
          </cell>
          <cell r="O108">
            <v>4.1549999999999998E-3</v>
          </cell>
          <cell r="P108">
            <v>3.3939999999999999E-3</v>
          </cell>
          <cell r="Q108">
            <v>3.2017999999999998E-2</v>
          </cell>
          <cell r="R108">
            <v>6.5539999999999999E-3</v>
          </cell>
          <cell r="S108">
            <v>9.8110000000000003E-3</v>
          </cell>
          <cell r="T108">
            <v>8.9510000000000006E-3</v>
          </cell>
          <cell r="U108">
            <v>7.3700000000000002E-4</v>
          </cell>
          <cell r="V108">
            <v>5.0590000000000001E-3</v>
          </cell>
          <cell r="W108">
            <v>1.9251999999999998E-2</v>
          </cell>
          <cell r="X108">
            <v>1.993E-3</v>
          </cell>
          <cell r="Y108">
            <v>1.8593999999999999E-2</v>
          </cell>
          <cell r="Z108">
            <v>9.3740000000000004E-3</v>
          </cell>
          <cell r="AA108">
            <v>5.1E-5</v>
          </cell>
          <cell r="AB108">
            <v>2.5000000000000001E-5</v>
          </cell>
          <cell r="AC108">
            <v>9.1227560000000008</v>
          </cell>
          <cell r="AD108">
            <v>11.055911</v>
          </cell>
          <cell r="AE108">
            <v>3.8268000000000003E-2</v>
          </cell>
          <cell r="AF108">
            <v>2.8861999999999999E-2</v>
          </cell>
          <cell r="AG108">
            <v>1.9400000000000001E-5</v>
          </cell>
          <cell r="AH108">
            <v>6.800000000000001E-6</v>
          </cell>
          <cell r="AI108">
            <v>5.9804999999999997E-2</v>
          </cell>
          <cell r="AJ108">
            <v>9.9942000000000003E-2</v>
          </cell>
          <cell r="AK108">
            <v>2.9902999999999999E-2</v>
          </cell>
          <cell r="AL108">
            <v>4.4119999999999999E-2</v>
          </cell>
          <cell r="AM108">
            <v>9.3120000000000008E-3</v>
          </cell>
          <cell r="AN108">
            <v>4.7089999999999996E-3</v>
          </cell>
          <cell r="AO108">
            <v>6.13E-3</v>
          </cell>
          <cell r="AP108">
            <v>4.13E-3</v>
          </cell>
        </row>
        <row r="109">
          <cell r="B109">
            <v>102</v>
          </cell>
          <cell r="C109">
            <v>0.39909</v>
          </cell>
          <cell r="D109">
            <v>0.34931000000000001</v>
          </cell>
          <cell r="E109">
            <v>0.52546800000000005</v>
          </cell>
          <cell r="F109">
            <v>0.34954099999999999</v>
          </cell>
          <cell r="G109">
            <v>3.0600000000000001E-4</v>
          </cell>
          <cell r="H109">
            <v>1.9000000000000001E-4</v>
          </cell>
          <cell r="I109">
            <v>0.52577400000000007</v>
          </cell>
          <cell r="J109">
            <v>0.34973100000000001</v>
          </cell>
          <cell r="K109">
            <v>1.1178429999999999</v>
          </cell>
          <cell r="L109">
            <v>0.57437000000000005</v>
          </cell>
          <cell r="M109">
            <v>1.0694489999999999</v>
          </cell>
          <cell r="N109">
            <v>0.54899299999999995</v>
          </cell>
          <cell r="O109">
            <v>4.1549999999999998E-3</v>
          </cell>
          <cell r="P109">
            <v>3.3939999999999999E-3</v>
          </cell>
          <cell r="Q109">
            <v>3.2017999999999998E-2</v>
          </cell>
          <cell r="R109">
            <v>6.5539999999999999E-3</v>
          </cell>
          <cell r="S109">
            <v>9.8110000000000003E-3</v>
          </cell>
          <cell r="T109">
            <v>8.9510000000000006E-3</v>
          </cell>
          <cell r="U109">
            <v>7.3700000000000002E-4</v>
          </cell>
          <cell r="V109">
            <v>5.0590000000000001E-3</v>
          </cell>
          <cell r="W109">
            <v>1.9251999999999998E-2</v>
          </cell>
          <cell r="X109">
            <v>1.993E-3</v>
          </cell>
          <cell r="Y109">
            <v>1.8593999999999999E-2</v>
          </cell>
          <cell r="Z109">
            <v>9.3740000000000004E-3</v>
          </cell>
          <cell r="AA109">
            <v>5.1E-5</v>
          </cell>
          <cell r="AB109">
            <v>2.5000000000000001E-5</v>
          </cell>
          <cell r="AC109">
            <v>9.1227560000000008</v>
          </cell>
          <cell r="AD109">
            <v>11.055911</v>
          </cell>
          <cell r="AE109">
            <v>3.8268000000000003E-2</v>
          </cell>
          <cell r="AF109">
            <v>2.8861999999999999E-2</v>
          </cell>
          <cell r="AG109">
            <v>1.9400000000000001E-5</v>
          </cell>
          <cell r="AH109">
            <v>6.800000000000001E-6</v>
          </cell>
          <cell r="AI109">
            <v>5.9804999999999997E-2</v>
          </cell>
          <cell r="AJ109">
            <v>9.9942000000000003E-2</v>
          </cell>
          <cell r="AK109">
            <v>2.9902999999999999E-2</v>
          </cell>
          <cell r="AL109">
            <v>4.4119999999999999E-2</v>
          </cell>
          <cell r="AM109">
            <v>9.3120000000000008E-3</v>
          </cell>
          <cell r="AN109">
            <v>4.7089999999999996E-3</v>
          </cell>
          <cell r="AO109">
            <v>6.13E-3</v>
          </cell>
          <cell r="AP109">
            <v>4.13E-3</v>
          </cell>
        </row>
        <row r="110">
          <cell r="B110">
            <v>103</v>
          </cell>
          <cell r="C110">
            <v>0.43565999999999999</v>
          </cell>
          <cell r="D110">
            <v>0.38314999999999999</v>
          </cell>
          <cell r="E110">
            <v>0.531165</v>
          </cell>
          <cell r="F110">
            <v>0.39982699999999999</v>
          </cell>
          <cell r="G110">
            <v>3.0600000000000001E-4</v>
          </cell>
          <cell r="H110">
            <v>1.9000000000000001E-4</v>
          </cell>
          <cell r="I110">
            <v>0.53147100000000003</v>
          </cell>
          <cell r="J110">
            <v>0.40001700000000001</v>
          </cell>
          <cell r="K110">
            <v>1.1178429999999999</v>
          </cell>
          <cell r="L110">
            <v>0.57437000000000005</v>
          </cell>
          <cell r="M110">
            <v>1.0694489999999999</v>
          </cell>
          <cell r="N110">
            <v>0.54899299999999995</v>
          </cell>
          <cell r="O110">
            <v>4.1549999999999998E-3</v>
          </cell>
          <cell r="P110">
            <v>3.3939999999999999E-3</v>
          </cell>
          <cell r="Q110">
            <v>3.2017999999999998E-2</v>
          </cell>
          <cell r="R110">
            <v>6.5539999999999999E-3</v>
          </cell>
          <cell r="S110">
            <v>9.8110000000000003E-3</v>
          </cell>
          <cell r="T110">
            <v>8.9510000000000006E-3</v>
          </cell>
          <cell r="U110">
            <v>7.3700000000000002E-4</v>
          </cell>
          <cell r="V110">
            <v>5.0590000000000001E-3</v>
          </cell>
          <cell r="W110">
            <v>1.9251999999999998E-2</v>
          </cell>
          <cell r="X110">
            <v>1.993E-3</v>
          </cell>
          <cell r="Y110">
            <v>1.8593999999999999E-2</v>
          </cell>
          <cell r="Z110">
            <v>9.3740000000000004E-3</v>
          </cell>
          <cell r="AA110">
            <v>5.1E-5</v>
          </cell>
          <cell r="AB110">
            <v>2.5000000000000001E-5</v>
          </cell>
          <cell r="AC110">
            <v>9.1227560000000008</v>
          </cell>
          <cell r="AD110">
            <v>11.055911</v>
          </cell>
          <cell r="AE110">
            <v>3.8268000000000003E-2</v>
          </cell>
          <cell r="AF110">
            <v>2.8861999999999999E-2</v>
          </cell>
          <cell r="AG110">
            <v>1.9400000000000001E-5</v>
          </cell>
          <cell r="AH110">
            <v>6.800000000000001E-6</v>
          </cell>
          <cell r="AI110">
            <v>5.9804999999999997E-2</v>
          </cell>
          <cell r="AJ110">
            <v>9.9942000000000003E-2</v>
          </cell>
          <cell r="AK110">
            <v>2.9902999999999999E-2</v>
          </cell>
          <cell r="AL110">
            <v>4.4119999999999999E-2</v>
          </cell>
          <cell r="AM110">
            <v>9.3120000000000008E-3</v>
          </cell>
          <cell r="AN110">
            <v>4.7089999999999996E-3</v>
          </cell>
          <cell r="AO110">
            <v>6.13E-3</v>
          </cell>
          <cell r="AP110">
            <v>4.13E-3</v>
          </cell>
        </row>
        <row r="111">
          <cell r="B111">
            <v>104</v>
          </cell>
          <cell r="C111">
            <v>0.47450999999999999</v>
          </cell>
          <cell r="D111">
            <v>0.41931000000000002</v>
          </cell>
          <cell r="E111">
            <v>0.53686199999999995</v>
          </cell>
          <cell r="F111">
            <v>0.45112999999999998</v>
          </cell>
          <cell r="G111">
            <v>3.0600000000000001E-4</v>
          </cell>
          <cell r="H111">
            <v>1.9000000000000001E-4</v>
          </cell>
          <cell r="I111">
            <v>0.53716799999999998</v>
          </cell>
          <cell r="J111">
            <v>0.45132</v>
          </cell>
          <cell r="K111">
            <v>1.1178429999999999</v>
          </cell>
          <cell r="L111">
            <v>0.57437000000000005</v>
          </cell>
          <cell r="M111">
            <v>1.0694489999999999</v>
          </cell>
          <cell r="N111">
            <v>0.54899299999999995</v>
          </cell>
          <cell r="O111">
            <v>4.1549999999999998E-3</v>
          </cell>
          <cell r="P111">
            <v>3.3939999999999999E-3</v>
          </cell>
          <cell r="Q111">
            <v>3.2017999999999998E-2</v>
          </cell>
          <cell r="R111">
            <v>6.5539999999999999E-3</v>
          </cell>
          <cell r="S111">
            <v>9.8110000000000003E-3</v>
          </cell>
          <cell r="T111">
            <v>8.9510000000000006E-3</v>
          </cell>
          <cell r="U111">
            <v>7.3700000000000002E-4</v>
          </cell>
          <cell r="V111">
            <v>5.0590000000000001E-3</v>
          </cell>
          <cell r="W111">
            <v>1.9251999999999998E-2</v>
          </cell>
          <cell r="X111">
            <v>1.993E-3</v>
          </cell>
          <cell r="Y111">
            <v>1.8593999999999999E-2</v>
          </cell>
          <cell r="Z111">
            <v>9.3740000000000004E-3</v>
          </cell>
          <cell r="AA111">
            <v>5.1E-5</v>
          </cell>
          <cell r="AB111">
            <v>2.5000000000000001E-5</v>
          </cell>
          <cell r="AC111">
            <v>9.1227560000000008</v>
          </cell>
          <cell r="AD111">
            <v>11.055911</v>
          </cell>
          <cell r="AE111">
            <v>3.8268000000000003E-2</v>
          </cell>
          <cell r="AF111">
            <v>2.8861999999999999E-2</v>
          </cell>
          <cell r="AG111">
            <v>1.9400000000000001E-5</v>
          </cell>
          <cell r="AH111">
            <v>6.800000000000001E-6</v>
          </cell>
          <cell r="AI111">
            <v>5.9804999999999997E-2</v>
          </cell>
          <cell r="AJ111">
            <v>9.9942000000000003E-2</v>
          </cell>
          <cell r="AK111">
            <v>2.9902999999999999E-2</v>
          </cell>
          <cell r="AL111">
            <v>4.4119999999999999E-2</v>
          </cell>
          <cell r="AM111">
            <v>9.3120000000000008E-3</v>
          </cell>
          <cell r="AN111">
            <v>4.7089999999999996E-3</v>
          </cell>
          <cell r="AO111">
            <v>6.13E-3</v>
          </cell>
          <cell r="AP111">
            <v>4.13E-3</v>
          </cell>
        </row>
        <row r="112">
          <cell r="B112">
            <v>105</v>
          </cell>
          <cell r="C112">
            <v>0.51554999999999995</v>
          </cell>
          <cell r="D112">
            <v>0.45776</v>
          </cell>
          <cell r="E112">
            <v>0.54256000000000004</v>
          </cell>
          <cell r="F112">
            <v>0.50192499999999995</v>
          </cell>
          <cell r="G112">
            <v>3.0600000000000001E-4</v>
          </cell>
          <cell r="H112">
            <v>1.9000000000000001E-4</v>
          </cell>
          <cell r="I112">
            <v>0.54286600000000007</v>
          </cell>
          <cell r="J112">
            <v>0.50211499999999998</v>
          </cell>
          <cell r="K112">
            <v>1.1178429999999999</v>
          </cell>
          <cell r="L112">
            <v>0.57437000000000005</v>
          </cell>
          <cell r="M112">
            <v>1.0694489999999999</v>
          </cell>
          <cell r="N112">
            <v>0.54899299999999995</v>
          </cell>
          <cell r="O112">
            <v>4.1549999999999998E-3</v>
          </cell>
          <cell r="P112">
            <v>3.3939999999999999E-3</v>
          </cell>
          <cell r="Q112">
            <v>3.2017999999999998E-2</v>
          </cell>
          <cell r="R112">
            <v>6.5539999999999999E-3</v>
          </cell>
          <cell r="S112">
            <v>9.8110000000000003E-3</v>
          </cell>
          <cell r="T112">
            <v>8.9510000000000006E-3</v>
          </cell>
          <cell r="U112">
            <v>7.3700000000000002E-4</v>
          </cell>
          <cell r="V112">
            <v>5.0590000000000001E-3</v>
          </cell>
          <cell r="W112">
            <v>1.9251999999999998E-2</v>
          </cell>
          <cell r="X112">
            <v>1.993E-3</v>
          </cell>
          <cell r="Y112">
            <v>1.8593999999999999E-2</v>
          </cell>
          <cell r="Z112">
            <v>9.3740000000000004E-3</v>
          </cell>
          <cell r="AA112">
            <v>5.1E-5</v>
          </cell>
          <cell r="AB112">
            <v>2.5000000000000001E-5</v>
          </cell>
          <cell r="AC112">
            <v>9.1227560000000008</v>
          </cell>
          <cell r="AD112">
            <v>11.055911</v>
          </cell>
          <cell r="AE112">
            <v>3.8268000000000003E-2</v>
          </cell>
          <cell r="AF112">
            <v>2.8861999999999999E-2</v>
          </cell>
          <cell r="AG112">
            <v>1.9400000000000001E-5</v>
          </cell>
          <cell r="AH112">
            <v>6.800000000000001E-6</v>
          </cell>
          <cell r="AI112">
            <v>5.9804999999999997E-2</v>
          </cell>
          <cell r="AJ112">
            <v>9.9942000000000003E-2</v>
          </cell>
          <cell r="AK112">
            <v>2.9902999999999999E-2</v>
          </cell>
          <cell r="AL112">
            <v>4.4119999999999999E-2</v>
          </cell>
          <cell r="AM112">
            <v>9.3120000000000008E-3</v>
          </cell>
          <cell r="AN112">
            <v>4.7089999999999996E-3</v>
          </cell>
          <cell r="AO112">
            <v>6.13E-3</v>
          </cell>
          <cell r="AP112">
            <v>4.13E-3</v>
          </cell>
        </row>
        <row r="113">
          <cell r="B113">
            <v>106</v>
          </cell>
          <cell r="C113">
            <v>0.55864999999999998</v>
          </cell>
          <cell r="D113">
            <v>0.49837999999999999</v>
          </cell>
          <cell r="E113">
            <v>0.54825699999999999</v>
          </cell>
          <cell r="F113">
            <v>0.55271999999999999</v>
          </cell>
          <cell r="G113">
            <v>3.0600000000000001E-4</v>
          </cell>
          <cell r="H113">
            <v>1.9000000000000001E-4</v>
          </cell>
          <cell r="I113">
            <v>0.54856300000000002</v>
          </cell>
          <cell r="J113">
            <v>0.55291000000000001</v>
          </cell>
          <cell r="K113">
            <v>1.1178429999999999</v>
          </cell>
          <cell r="L113">
            <v>0.57437000000000005</v>
          </cell>
          <cell r="M113">
            <v>1.0694489999999999</v>
          </cell>
          <cell r="N113">
            <v>0.54899299999999995</v>
          </cell>
          <cell r="O113">
            <v>4.1549999999999998E-3</v>
          </cell>
          <cell r="P113">
            <v>3.3939999999999999E-3</v>
          </cell>
          <cell r="Q113">
            <v>3.2017999999999998E-2</v>
          </cell>
          <cell r="R113">
            <v>6.5539999999999999E-3</v>
          </cell>
          <cell r="S113">
            <v>9.8110000000000003E-3</v>
          </cell>
          <cell r="T113">
            <v>8.9510000000000006E-3</v>
          </cell>
          <cell r="U113">
            <v>7.3700000000000002E-4</v>
          </cell>
          <cell r="V113">
            <v>5.0590000000000001E-3</v>
          </cell>
          <cell r="W113">
            <v>1.9251999999999998E-2</v>
          </cell>
          <cell r="X113">
            <v>1.993E-3</v>
          </cell>
          <cell r="Y113">
            <v>1.8593999999999999E-2</v>
          </cell>
          <cell r="Z113">
            <v>9.3740000000000004E-3</v>
          </cell>
          <cell r="AA113">
            <v>5.1E-5</v>
          </cell>
          <cell r="AB113">
            <v>2.5000000000000001E-5</v>
          </cell>
          <cell r="AC113">
            <v>9.1227560000000008</v>
          </cell>
          <cell r="AD113">
            <v>11.055911</v>
          </cell>
          <cell r="AE113">
            <v>3.8268000000000003E-2</v>
          </cell>
          <cell r="AF113">
            <v>2.8861999999999999E-2</v>
          </cell>
          <cell r="AG113">
            <v>1.9400000000000001E-5</v>
          </cell>
          <cell r="AH113">
            <v>6.800000000000001E-6</v>
          </cell>
          <cell r="AI113">
            <v>5.9804999999999997E-2</v>
          </cell>
          <cell r="AJ113">
            <v>9.9942000000000003E-2</v>
          </cell>
          <cell r="AK113">
            <v>2.9902999999999999E-2</v>
          </cell>
          <cell r="AL113">
            <v>4.4119999999999999E-2</v>
          </cell>
          <cell r="AM113">
            <v>9.3120000000000008E-3</v>
          </cell>
          <cell r="AN113">
            <v>4.7089999999999996E-3</v>
          </cell>
          <cell r="AO113">
            <v>6.13E-3</v>
          </cell>
          <cell r="AP113">
            <v>4.13E-3</v>
          </cell>
        </row>
        <row r="114">
          <cell r="B114">
            <v>107</v>
          </cell>
          <cell r="C114">
            <v>0.60360999999999998</v>
          </cell>
          <cell r="D114">
            <v>0.54103000000000001</v>
          </cell>
          <cell r="E114">
            <v>0.55248799999999998</v>
          </cell>
          <cell r="F114">
            <v>0.60351399999999999</v>
          </cell>
          <cell r="G114">
            <v>3.0600000000000001E-4</v>
          </cell>
          <cell r="H114">
            <v>1.9000000000000001E-4</v>
          </cell>
          <cell r="I114">
            <v>0.55279400000000001</v>
          </cell>
          <cell r="J114">
            <v>0.60370400000000002</v>
          </cell>
          <cell r="K114">
            <v>1.1178429999999999</v>
          </cell>
          <cell r="L114">
            <v>0.57437000000000005</v>
          </cell>
          <cell r="M114">
            <v>1.0694489999999999</v>
          </cell>
          <cell r="N114">
            <v>0.54899299999999995</v>
          </cell>
          <cell r="O114">
            <v>4.1549999999999998E-3</v>
          </cell>
          <cell r="P114">
            <v>3.3939999999999999E-3</v>
          </cell>
          <cell r="Q114">
            <v>3.2017999999999998E-2</v>
          </cell>
          <cell r="R114">
            <v>6.5539999999999999E-3</v>
          </cell>
          <cell r="S114">
            <v>9.8110000000000003E-3</v>
          </cell>
          <cell r="T114">
            <v>8.9510000000000006E-3</v>
          </cell>
          <cell r="U114">
            <v>7.3700000000000002E-4</v>
          </cell>
          <cell r="V114">
            <v>5.0590000000000001E-3</v>
          </cell>
          <cell r="W114">
            <v>1.9251999999999998E-2</v>
          </cell>
          <cell r="X114">
            <v>1.993E-3</v>
          </cell>
          <cell r="Y114">
            <v>1.8593999999999999E-2</v>
          </cell>
          <cell r="Z114">
            <v>9.3740000000000004E-3</v>
          </cell>
          <cell r="AA114">
            <v>5.1E-5</v>
          </cell>
          <cell r="AB114">
            <v>2.5000000000000001E-5</v>
          </cell>
          <cell r="AC114">
            <v>9.1227560000000008</v>
          </cell>
          <cell r="AD114">
            <v>11.055911</v>
          </cell>
          <cell r="AE114">
            <v>3.8268000000000003E-2</v>
          </cell>
          <cell r="AF114">
            <v>2.8861999999999999E-2</v>
          </cell>
          <cell r="AG114">
            <v>1.9400000000000001E-5</v>
          </cell>
          <cell r="AH114">
            <v>6.800000000000001E-6</v>
          </cell>
          <cell r="AI114">
            <v>5.9804999999999997E-2</v>
          </cell>
          <cell r="AJ114">
            <v>9.9942000000000003E-2</v>
          </cell>
          <cell r="AK114">
            <v>2.9902999999999999E-2</v>
          </cell>
          <cell r="AL114">
            <v>4.4119999999999999E-2</v>
          </cell>
          <cell r="AM114">
            <v>9.3120000000000008E-3</v>
          </cell>
          <cell r="AN114">
            <v>4.7089999999999996E-3</v>
          </cell>
          <cell r="AO114">
            <v>6.13E-3</v>
          </cell>
          <cell r="AP114">
            <v>4.13E-3</v>
          </cell>
        </row>
        <row r="115">
          <cell r="B115">
            <v>108</v>
          </cell>
          <cell r="C115">
            <v>0.65010999999999997</v>
          </cell>
          <cell r="D115">
            <v>0.58545999999999998</v>
          </cell>
          <cell r="E115">
            <v>0.55525199999999997</v>
          </cell>
          <cell r="F115">
            <v>0.63357600000000003</v>
          </cell>
          <cell r="G115">
            <v>3.0600000000000001E-4</v>
          </cell>
          <cell r="H115">
            <v>1.9000000000000001E-4</v>
          </cell>
          <cell r="I115">
            <v>0.555558</v>
          </cell>
          <cell r="J115">
            <v>0.63376600000000005</v>
          </cell>
          <cell r="K115">
            <v>1.1178429999999999</v>
          </cell>
          <cell r="L115">
            <v>0.57437000000000005</v>
          </cell>
          <cell r="M115">
            <v>1.0694489999999999</v>
          </cell>
          <cell r="N115">
            <v>0.54899299999999995</v>
          </cell>
          <cell r="O115">
            <v>4.1549999999999998E-3</v>
          </cell>
          <cell r="P115">
            <v>3.3939999999999999E-3</v>
          </cell>
          <cell r="Q115">
            <v>3.2017999999999998E-2</v>
          </cell>
          <cell r="R115">
            <v>6.5539999999999999E-3</v>
          </cell>
          <cell r="S115">
            <v>9.8110000000000003E-3</v>
          </cell>
          <cell r="T115">
            <v>8.9510000000000006E-3</v>
          </cell>
          <cell r="U115">
            <v>7.3700000000000002E-4</v>
          </cell>
          <cell r="V115">
            <v>5.0590000000000001E-3</v>
          </cell>
          <cell r="W115">
            <v>1.9251999999999998E-2</v>
          </cell>
          <cell r="X115">
            <v>1.993E-3</v>
          </cell>
          <cell r="Y115">
            <v>1.8593999999999999E-2</v>
          </cell>
          <cell r="Z115">
            <v>9.3740000000000004E-3</v>
          </cell>
          <cell r="AA115">
            <v>5.1E-5</v>
          </cell>
          <cell r="AB115">
            <v>2.5000000000000001E-5</v>
          </cell>
          <cell r="AC115">
            <v>9.1227560000000008</v>
          </cell>
          <cell r="AD115">
            <v>11.055911</v>
          </cell>
          <cell r="AE115">
            <v>3.8268000000000003E-2</v>
          </cell>
          <cell r="AF115">
            <v>2.8861999999999999E-2</v>
          </cell>
          <cell r="AG115">
            <v>1.9400000000000001E-5</v>
          </cell>
          <cell r="AH115">
            <v>6.800000000000001E-6</v>
          </cell>
          <cell r="AI115">
            <v>5.9804999999999997E-2</v>
          </cell>
          <cell r="AJ115">
            <v>9.9942000000000003E-2</v>
          </cell>
          <cell r="AK115">
            <v>2.9902999999999999E-2</v>
          </cell>
          <cell r="AL115">
            <v>4.4119999999999999E-2</v>
          </cell>
          <cell r="AM115">
            <v>9.3120000000000008E-3</v>
          </cell>
          <cell r="AN115">
            <v>4.7089999999999996E-3</v>
          </cell>
          <cell r="AO115">
            <v>6.13E-3</v>
          </cell>
          <cell r="AP115">
            <v>4.13E-3</v>
          </cell>
        </row>
        <row r="116">
          <cell r="B116">
            <v>109</v>
          </cell>
          <cell r="C116">
            <v>0.69784000000000002</v>
          </cell>
          <cell r="D116">
            <v>0.63139000000000001</v>
          </cell>
          <cell r="E116">
            <v>0.55801599999999996</v>
          </cell>
          <cell r="F116">
            <v>0.64290599999999998</v>
          </cell>
          <cell r="G116">
            <v>3.0600000000000001E-4</v>
          </cell>
          <cell r="H116">
            <v>1.9000000000000001E-4</v>
          </cell>
          <cell r="I116">
            <v>0.55832199999999998</v>
          </cell>
          <cell r="J116">
            <v>0.643096</v>
          </cell>
          <cell r="K116">
            <v>1.1178429999999999</v>
          </cell>
          <cell r="L116">
            <v>0.57437000000000005</v>
          </cell>
          <cell r="M116">
            <v>1.0694489999999999</v>
          </cell>
          <cell r="N116">
            <v>0.54899299999999995</v>
          </cell>
          <cell r="O116">
            <v>4.1549999999999998E-3</v>
          </cell>
          <cell r="P116">
            <v>3.3939999999999999E-3</v>
          </cell>
          <cell r="Q116">
            <v>3.2017999999999998E-2</v>
          </cell>
          <cell r="R116">
            <v>6.5539999999999999E-3</v>
          </cell>
          <cell r="S116">
            <v>9.8110000000000003E-3</v>
          </cell>
          <cell r="T116">
            <v>8.9510000000000006E-3</v>
          </cell>
          <cell r="U116">
            <v>7.3700000000000002E-4</v>
          </cell>
          <cell r="V116">
            <v>5.0590000000000001E-3</v>
          </cell>
          <cell r="W116">
            <v>1.9251999999999998E-2</v>
          </cell>
          <cell r="X116">
            <v>1.993E-3</v>
          </cell>
          <cell r="Y116">
            <v>1.8593999999999999E-2</v>
          </cell>
          <cell r="Z116">
            <v>9.3740000000000004E-3</v>
          </cell>
          <cell r="AA116">
            <v>5.1E-5</v>
          </cell>
          <cell r="AB116">
            <v>2.5000000000000001E-5</v>
          </cell>
          <cell r="AC116">
            <v>9.1227560000000008</v>
          </cell>
          <cell r="AD116">
            <v>11.055911</v>
          </cell>
          <cell r="AE116">
            <v>3.8268000000000003E-2</v>
          </cell>
          <cell r="AF116">
            <v>2.8861999999999999E-2</v>
          </cell>
          <cell r="AG116">
            <v>1.9400000000000001E-5</v>
          </cell>
          <cell r="AH116">
            <v>6.800000000000001E-6</v>
          </cell>
          <cell r="AI116">
            <v>5.9804999999999997E-2</v>
          </cell>
          <cell r="AJ116">
            <v>9.9942000000000003E-2</v>
          </cell>
          <cell r="AK116">
            <v>2.9902999999999999E-2</v>
          </cell>
          <cell r="AL116">
            <v>4.4119999999999999E-2</v>
          </cell>
          <cell r="AM116">
            <v>9.3120000000000008E-3</v>
          </cell>
          <cell r="AN116">
            <v>4.7089999999999996E-3</v>
          </cell>
          <cell r="AO116">
            <v>6.13E-3</v>
          </cell>
          <cell r="AP116">
            <v>4.13E-3</v>
          </cell>
        </row>
        <row r="117">
          <cell r="B117">
            <v>110</v>
          </cell>
          <cell r="C117">
            <v>1</v>
          </cell>
          <cell r="D117">
            <v>0.67840999999999996</v>
          </cell>
          <cell r="F117">
            <v>0.65223500000000001</v>
          </cell>
          <cell r="H117">
            <v>1.9000000000000001E-4</v>
          </cell>
          <cell r="J117">
            <v>0</v>
          </cell>
          <cell r="L117">
            <v>0.57437000000000005</v>
          </cell>
          <cell r="M117">
            <v>0</v>
          </cell>
          <cell r="N117">
            <v>0.54899299999999995</v>
          </cell>
          <cell r="P117">
            <v>3.3939999999999999E-3</v>
          </cell>
          <cell r="R117">
            <v>6.5539999999999999E-3</v>
          </cell>
          <cell r="T117">
            <v>8.9510000000000006E-3</v>
          </cell>
          <cell r="V117">
            <v>5.0590000000000001E-3</v>
          </cell>
          <cell r="X117">
            <v>1.993E-3</v>
          </cell>
          <cell r="Z117">
            <v>9.3740000000000004E-3</v>
          </cell>
          <cell r="AB117">
            <v>2.5000000000000001E-5</v>
          </cell>
          <cell r="AD117">
            <v>11.055911</v>
          </cell>
          <cell r="AE117">
            <v>3.8268000000000003E-2</v>
          </cell>
          <cell r="AF117">
            <v>2.8861999999999999E-2</v>
          </cell>
          <cell r="AG117">
            <v>1.9400000000000001E-5</v>
          </cell>
          <cell r="AH117">
            <v>6.800000000000001E-6</v>
          </cell>
          <cell r="AJ117">
            <v>9.9942000000000003E-2</v>
          </cell>
          <cell r="AL117">
            <v>4.4119999999999999E-2</v>
          </cell>
          <cell r="AN117">
            <v>4.7089999999999996E-3</v>
          </cell>
          <cell r="AP117">
            <v>4.13E-3</v>
          </cell>
        </row>
        <row r="118">
          <cell r="B118">
            <v>111</v>
          </cell>
          <cell r="D118">
            <v>0.72531000000000001</v>
          </cell>
          <cell r="F118">
            <v>0.66156499999999996</v>
          </cell>
          <cell r="H118">
            <v>1.9000000000000001E-4</v>
          </cell>
          <cell r="J118">
            <v>0</v>
          </cell>
          <cell r="L118">
            <v>0.57437000000000005</v>
          </cell>
          <cell r="M118">
            <v>0</v>
          </cell>
          <cell r="N118">
            <v>0.54899299999999995</v>
          </cell>
          <cell r="P118">
            <v>3.3939999999999999E-3</v>
          </cell>
          <cell r="R118">
            <v>6.5539999999999999E-3</v>
          </cell>
          <cell r="T118">
            <v>8.9510000000000006E-3</v>
          </cell>
          <cell r="V118">
            <v>5.0590000000000001E-3</v>
          </cell>
          <cell r="X118">
            <v>1.993E-3</v>
          </cell>
          <cell r="Z118">
            <v>9.3740000000000004E-3</v>
          </cell>
          <cell r="AB118">
            <v>2.5000000000000001E-5</v>
          </cell>
          <cell r="AD118">
            <v>11.055911</v>
          </cell>
          <cell r="AE118">
            <v>3.8268000000000003E-2</v>
          </cell>
          <cell r="AF118">
            <v>2.8861999999999999E-2</v>
          </cell>
          <cell r="AG118">
            <v>1.9400000000000001E-5</v>
          </cell>
          <cell r="AH118">
            <v>6.800000000000001E-6</v>
          </cell>
          <cell r="AJ118">
            <v>9.9942000000000003E-2</v>
          </cell>
          <cell r="AL118">
            <v>4.4119999999999999E-2</v>
          </cell>
          <cell r="AN118">
            <v>4.7089999999999996E-3</v>
          </cell>
          <cell r="AP118">
            <v>4.13E-3</v>
          </cell>
        </row>
        <row r="119">
          <cell r="B119">
            <v>112</v>
          </cell>
          <cell r="D119">
            <v>1</v>
          </cell>
          <cell r="M119">
            <v>0</v>
          </cell>
          <cell r="N119">
            <v>0</v>
          </cell>
          <cell r="AE119">
            <v>3.8268000000000003E-2</v>
          </cell>
          <cell r="AF119">
            <v>2.8861999999999999E-2</v>
          </cell>
          <cell r="AG119">
            <v>1.9400000000000001E-5</v>
          </cell>
          <cell r="AH119">
            <v>6.800000000000001E-6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59E4-05BE-4D60-811E-6441E7A48400}">
  <sheetPr codeName="Sheet12"/>
  <dimension ref="B2:D35"/>
  <sheetViews>
    <sheetView workbookViewId="0"/>
  </sheetViews>
  <sheetFormatPr defaultRowHeight="17.399999999999999"/>
  <cols>
    <col min="1" max="1" width="4.59765625" customWidth="1"/>
    <col min="2" max="2" width="16.3984375" customWidth="1"/>
    <col min="3" max="3" width="86.69921875" customWidth="1"/>
    <col min="4" max="4" width="24.19921875" customWidth="1"/>
  </cols>
  <sheetData>
    <row r="2" spans="2:4">
      <c r="B2" t="s">
        <v>481</v>
      </c>
    </row>
    <row r="4" spans="2:4">
      <c r="B4" s="168" t="s">
        <v>443</v>
      </c>
      <c r="C4" s="168" t="s">
        <v>444</v>
      </c>
      <c r="D4" s="168" t="s">
        <v>470</v>
      </c>
    </row>
    <row r="5" spans="2:4">
      <c r="B5" s="537" t="s">
        <v>441</v>
      </c>
      <c r="C5" s="215" t="s">
        <v>482</v>
      </c>
      <c r="D5" s="218"/>
    </row>
    <row r="6" spans="2:4">
      <c r="B6" s="538"/>
      <c r="C6" s="215" t="s">
        <v>483</v>
      </c>
      <c r="D6" s="218" t="s">
        <v>471</v>
      </c>
    </row>
    <row r="7" spans="2:4">
      <c r="B7" s="538"/>
      <c r="C7" s="215" t="s">
        <v>457</v>
      </c>
      <c r="D7" s="218"/>
    </row>
    <row r="8" spans="2:4">
      <c r="B8" s="538"/>
      <c r="C8" s="215" t="s">
        <v>438</v>
      </c>
      <c r="D8" s="218"/>
    </row>
    <row r="9" spans="2:4">
      <c r="B9" s="538"/>
      <c r="C9" s="215" t="s">
        <v>439</v>
      </c>
      <c r="D9" s="218"/>
    </row>
    <row r="10" spans="2:4" ht="18.600000000000001" customHeight="1">
      <c r="B10" s="538"/>
      <c r="C10" s="215" t="s">
        <v>484</v>
      </c>
      <c r="D10" s="218" t="s">
        <v>480</v>
      </c>
    </row>
    <row r="11" spans="2:4">
      <c r="B11" s="538"/>
      <c r="C11" s="215" t="s">
        <v>456</v>
      </c>
      <c r="D11" s="218"/>
    </row>
    <row r="12" spans="2:4" ht="18.600000000000001" customHeight="1">
      <c r="B12" s="538"/>
      <c r="C12" s="215" t="s">
        <v>455</v>
      </c>
      <c r="D12" s="218"/>
    </row>
    <row r="13" spans="2:4" ht="18.600000000000001" customHeight="1">
      <c r="B13" s="538"/>
      <c r="C13" s="215" t="s">
        <v>440</v>
      </c>
      <c r="D13" s="218"/>
    </row>
    <row r="14" spans="2:4" ht="30.6" customHeight="1">
      <c r="B14" s="537" t="s">
        <v>446</v>
      </c>
      <c r="C14" s="215" t="s">
        <v>458</v>
      </c>
      <c r="D14" s="540" t="s">
        <v>485</v>
      </c>
    </row>
    <row r="15" spans="2:4" ht="18.600000000000001" customHeight="1">
      <c r="B15" s="538"/>
      <c r="C15" s="215" t="s">
        <v>445</v>
      </c>
      <c r="D15" s="541"/>
    </row>
    <row r="16" spans="2:4" ht="18.600000000000001" customHeight="1">
      <c r="B16" s="538"/>
      <c r="C16" s="162" t="s">
        <v>447</v>
      </c>
      <c r="D16" s="541"/>
    </row>
    <row r="17" spans="2:4" ht="18.600000000000001" customHeight="1">
      <c r="B17" s="538"/>
      <c r="C17" s="162" t="s">
        <v>460</v>
      </c>
      <c r="D17" s="541"/>
    </row>
    <row r="18" spans="2:4" ht="24" customHeight="1">
      <c r="B18" s="538"/>
      <c r="C18" s="217" t="s">
        <v>459</v>
      </c>
      <c r="D18" s="541"/>
    </row>
    <row r="19" spans="2:4" ht="18.600000000000001" customHeight="1">
      <c r="B19" s="538"/>
      <c r="C19" s="216" t="s">
        <v>461</v>
      </c>
      <c r="D19" s="541"/>
    </row>
    <row r="20" spans="2:4" ht="18.600000000000001" customHeight="1">
      <c r="B20" s="538"/>
      <c r="C20" s="162" t="s">
        <v>462</v>
      </c>
      <c r="D20" s="541"/>
    </row>
    <row r="21" spans="2:4" ht="18.600000000000001" customHeight="1">
      <c r="B21" s="538"/>
      <c r="C21" s="216" t="s">
        <v>463</v>
      </c>
      <c r="D21" s="541"/>
    </row>
    <row r="22" spans="2:4">
      <c r="B22" s="538"/>
      <c r="C22" s="162" t="s">
        <v>449</v>
      </c>
      <c r="D22" s="541"/>
    </row>
    <row r="23" spans="2:4">
      <c r="B23" s="538"/>
      <c r="C23" s="162" t="s">
        <v>442</v>
      </c>
      <c r="D23" s="541"/>
    </row>
    <row r="24" spans="2:4" ht="34.799999999999997">
      <c r="B24" s="538"/>
      <c r="C24" s="217" t="s">
        <v>464</v>
      </c>
      <c r="D24" s="541"/>
    </row>
    <row r="25" spans="2:4">
      <c r="B25" s="538"/>
      <c r="C25" s="217" t="s">
        <v>468</v>
      </c>
      <c r="D25" s="541"/>
    </row>
    <row r="26" spans="2:4">
      <c r="B26" s="539"/>
      <c r="C26" s="216"/>
      <c r="D26" s="542"/>
    </row>
    <row r="27" spans="2:4" ht="34.799999999999997">
      <c r="B27" s="537" t="s">
        <v>452</v>
      </c>
      <c r="C27" s="215" t="s">
        <v>453</v>
      </c>
      <c r="D27" s="219" t="s">
        <v>475</v>
      </c>
    </row>
    <row r="28" spans="2:4">
      <c r="B28" s="538"/>
      <c r="C28" s="162" t="s">
        <v>454</v>
      </c>
      <c r="D28" s="220" t="s">
        <v>474</v>
      </c>
    </row>
    <row r="29" spans="2:4" ht="21.6" customHeight="1">
      <c r="B29" s="540" t="s">
        <v>450</v>
      </c>
      <c r="C29" s="162" t="s">
        <v>448</v>
      </c>
      <c r="D29" s="537" t="s">
        <v>472</v>
      </c>
    </row>
    <row r="30" spans="2:4">
      <c r="B30" s="541"/>
      <c r="C30" s="162" t="s">
        <v>451</v>
      </c>
      <c r="D30" s="538"/>
    </row>
    <row r="31" spans="2:4">
      <c r="B31" s="541"/>
      <c r="C31" s="162" t="s">
        <v>465</v>
      </c>
      <c r="D31" s="538" t="s">
        <v>473</v>
      </c>
    </row>
    <row r="32" spans="2:4">
      <c r="B32" s="541"/>
      <c r="C32" s="162" t="s">
        <v>466</v>
      </c>
      <c r="D32" s="538"/>
    </row>
    <row r="33" spans="2:4">
      <c r="B33" s="541"/>
      <c r="C33" s="162" t="s">
        <v>467</v>
      </c>
      <c r="D33" s="539"/>
    </row>
    <row r="34" spans="2:4">
      <c r="B34" s="219" t="s">
        <v>486</v>
      </c>
      <c r="C34" s="162" t="s">
        <v>476</v>
      </c>
      <c r="D34" s="222" t="s">
        <v>479</v>
      </c>
    </row>
    <row r="35" spans="2:4">
      <c r="B35" s="221"/>
      <c r="C35" s="204" t="s">
        <v>477</v>
      </c>
      <c r="D35" s="223" t="s">
        <v>478</v>
      </c>
    </row>
  </sheetData>
  <mergeCells count="7">
    <mergeCell ref="B5:B13"/>
    <mergeCell ref="B14:B26"/>
    <mergeCell ref="B27:B28"/>
    <mergeCell ref="B29:B33"/>
    <mergeCell ref="D14:D26"/>
    <mergeCell ref="D29:D30"/>
    <mergeCell ref="D31:D33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6BCFF-D796-4784-8931-F054F7802CC6}">
  <sheetPr codeName="Sheet15"/>
  <dimension ref="A1:BK168"/>
  <sheetViews>
    <sheetView tabSelected="1" topLeftCell="B104" zoomScale="70" zoomScaleNormal="70" workbookViewId="0">
      <selection activeCell="H132" sqref="H132"/>
    </sheetView>
  </sheetViews>
  <sheetFormatPr defaultRowHeight="17.399999999999999"/>
  <cols>
    <col min="1" max="1" width="9.69921875" hidden="1" customWidth="1"/>
    <col min="2" max="2" width="12.69921875" customWidth="1"/>
    <col min="3" max="3" width="13.19921875" customWidth="1"/>
    <col min="4" max="4" width="16.59765625" customWidth="1"/>
    <col min="5" max="5" width="11.69921875" customWidth="1"/>
    <col min="6" max="6" width="13" bestFit="1" customWidth="1"/>
    <col min="7" max="7" width="15.5" customWidth="1"/>
    <col min="8" max="8" width="10.8984375" bestFit="1" customWidth="1"/>
    <col min="9" max="9" width="13.59765625" bestFit="1" customWidth="1"/>
    <col min="10" max="10" width="10.8984375" bestFit="1" customWidth="1"/>
    <col min="11" max="12" width="10.8984375" style="667" bestFit="1" customWidth="1"/>
    <col min="13" max="13" width="10.8984375" style="662" bestFit="1" customWidth="1"/>
    <col min="14" max="14" width="11" bestFit="1" customWidth="1"/>
    <col min="15" max="17" width="10.8984375" bestFit="1" customWidth="1"/>
    <col min="18" max="18" width="11.59765625" bestFit="1" customWidth="1"/>
    <col min="19" max="19" width="10.09765625" customWidth="1"/>
    <col min="20" max="20" width="11.19921875" bestFit="1" customWidth="1"/>
    <col min="21" max="22" width="10.8984375" bestFit="1" customWidth="1"/>
    <col min="23" max="24" width="11.09765625" customWidth="1"/>
    <col min="25" max="25" width="11.19921875" bestFit="1" customWidth="1"/>
    <col min="26" max="26" width="11.59765625" customWidth="1"/>
    <col min="27" max="28" width="10.8984375" bestFit="1" customWidth="1"/>
    <col min="29" max="29" width="10.09765625" customWidth="1"/>
    <col min="31" max="31" width="10.69921875" bestFit="1" customWidth="1"/>
    <col min="32" max="32" width="9.69921875" customWidth="1"/>
    <col min="33" max="33" width="9.59765625" customWidth="1"/>
    <col min="35" max="35" width="9.69921875" customWidth="1"/>
    <col min="36" max="36" width="10" customWidth="1"/>
    <col min="38" max="38" width="9.8984375" customWidth="1"/>
    <col min="39" max="39" width="10.09765625" customWidth="1"/>
    <col min="41" max="42" width="9.8984375" customWidth="1"/>
    <col min="55" max="55" width="11.5" bestFit="1" customWidth="1"/>
    <col min="56" max="57" width="12.59765625" bestFit="1" customWidth="1"/>
    <col min="58" max="58" width="10.19921875" customWidth="1"/>
    <col min="59" max="60" width="12.59765625" bestFit="1" customWidth="1"/>
  </cols>
  <sheetData>
    <row r="1" spans="1:28" ht="19.2">
      <c r="C1" s="141" t="s">
        <v>546</v>
      </c>
      <c r="K1"/>
      <c r="L1"/>
      <c r="M1"/>
    </row>
    <row r="2" spans="1:28">
      <c r="A2" s="334" t="s">
        <v>547</v>
      </c>
      <c r="K2"/>
      <c r="L2"/>
      <c r="M2"/>
    </row>
    <row r="3" spans="1:28">
      <c r="A3" s="49">
        <v>4</v>
      </c>
      <c r="C3" s="335"/>
      <c r="D3" s="336"/>
      <c r="E3" s="337" t="s">
        <v>548</v>
      </c>
      <c r="F3" s="524" t="s">
        <v>549</v>
      </c>
      <c r="G3" s="524"/>
      <c r="H3" s="524"/>
      <c r="I3" s="524"/>
      <c r="J3" s="524"/>
      <c r="K3" s="524"/>
      <c r="L3" s="524"/>
      <c r="M3" s="524"/>
      <c r="N3" s="524"/>
      <c r="O3" s="524"/>
      <c r="P3" s="524"/>
      <c r="Q3" s="524"/>
      <c r="R3" s="524"/>
      <c r="S3" s="524"/>
      <c r="T3" s="524"/>
      <c r="U3" s="524"/>
      <c r="V3" s="524"/>
      <c r="W3" s="524"/>
      <c r="X3" s="338"/>
      <c r="Y3" s="338"/>
      <c r="Z3" s="338"/>
      <c r="AA3" s="338"/>
      <c r="AB3" s="338"/>
    </row>
    <row r="4" spans="1:28">
      <c r="C4" s="563" t="s">
        <v>550</v>
      </c>
      <c r="D4" s="562"/>
      <c r="E4" s="340">
        <v>4</v>
      </c>
      <c r="F4" s="525">
        <v>1</v>
      </c>
      <c r="G4" s="525">
        <v>2</v>
      </c>
      <c r="H4" s="525">
        <v>3</v>
      </c>
      <c r="I4" s="525">
        <v>4</v>
      </c>
      <c r="J4" s="525">
        <v>5</v>
      </c>
      <c r="K4" s="525">
        <v>6</v>
      </c>
      <c r="L4" s="525">
        <v>7</v>
      </c>
      <c r="M4" s="525">
        <v>8</v>
      </c>
      <c r="N4" s="525">
        <v>9</v>
      </c>
      <c r="O4" s="525">
        <v>10</v>
      </c>
      <c r="P4" s="525">
        <v>11</v>
      </c>
      <c r="Q4" s="525">
        <v>12</v>
      </c>
      <c r="R4" s="525">
        <v>13</v>
      </c>
      <c r="S4" s="525">
        <v>14</v>
      </c>
      <c r="T4" s="525">
        <v>15</v>
      </c>
      <c r="U4" s="525">
        <v>16</v>
      </c>
      <c r="V4" s="525">
        <v>17</v>
      </c>
      <c r="W4" s="525">
        <v>18</v>
      </c>
      <c r="X4" s="341">
        <v>19</v>
      </c>
      <c r="Y4" s="341">
        <v>20</v>
      </c>
      <c r="Z4" s="341">
        <v>21</v>
      </c>
      <c r="AA4" s="341">
        <v>22</v>
      </c>
      <c r="AB4" s="341">
        <v>23</v>
      </c>
    </row>
    <row r="5" spans="1:28" ht="87">
      <c r="B5">
        <v>1</v>
      </c>
      <c r="C5" s="563" t="s">
        <v>551</v>
      </c>
      <c r="D5" s="561"/>
      <c r="E5" s="467" t="str">
        <f ca="1">+OFFSET($E5,,$E$4)</f>
        <v>남녀특정암진단특약(무배당, 무해지)</v>
      </c>
      <c r="F5" s="523" t="s">
        <v>901</v>
      </c>
      <c r="G5" s="523" t="s">
        <v>902</v>
      </c>
      <c r="H5" s="523" t="s">
        <v>903</v>
      </c>
      <c r="I5" s="523" t="s">
        <v>904</v>
      </c>
      <c r="J5" s="523" t="s">
        <v>905</v>
      </c>
      <c r="K5" s="523" t="s">
        <v>906</v>
      </c>
      <c r="L5" s="523" t="s">
        <v>907</v>
      </c>
      <c r="M5" s="523" t="s">
        <v>908</v>
      </c>
      <c r="N5" s="523" t="s">
        <v>909</v>
      </c>
      <c r="O5" s="523" t="s">
        <v>910</v>
      </c>
      <c r="P5" s="523" t="s">
        <v>911</v>
      </c>
      <c r="Q5" s="523" t="s">
        <v>934</v>
      </c>
      <c r="R5" s="523" t="s">
        <v>912</v>
      </c>
      <c r="S5" s="523" t="s">
        <v>913</v>
      </c>
      <c r="T5" s="523" t="s">
        <v>914</v>
      </c>
      <c r="U5" s="523" t="s">
        <v>915</v>
      </c>
      <c r="V5" s="523" t="s">
        <v>916</v>
      </c>
      <c r="W5" s="523" t="s">
        <v>917</v>
      </c>
      <c r="X5" s="396" t="s">
        <v>918</v>
      </c>
      <c r="Y5" s="396" t="s">
        <v>919</v>
      </c>
      <c r="Z5" s="396" t="s">
        <v>920</v>
      </c>
      <c r="AA5" s="396" t="s">
        <v>921</v>
      </c>
      <c r="AB5" s="396" t="s">
        <v>922</v>
      </c>
    </row>
    <row r="6" spans="1:28">
      <c r="B6">
        <f>B5+1</f>
        <v>2</v>
      </c>
      <c r="C6" s="563" t="s">
        <v>196</v>
      </c>
      <c r="D6" s="561"/>
      <c r="E6" s="343">
        <f ca="1">+OFFSET($E6,,$E$4)</f>
        <v>2.2499999999999999E-2</v>
      </c>
      <c r="F6" s="343">
        <v>2.2499999999999999E-2</v>
      </c>
      <c r="G6" s="343">
        <v>2.2499999999999999E-2</v>
      </c>
      <c r="H6" s="343">
        <v>2.2499999999999999E-2</v>
      </c>
      <c r="I6" s="343">
        <v>2.2499999999999999E-2</v>
      </c>
      <c r="J6" s="343">
        <v>2.2499999999999999E-2</v>
      </c>
      <c r="K6" s="343">
        <v>2.2499999999999999E-2</v>
      </c>
      <c r="L6" s="343">
        <v>2.2499999999999999E-2</v>
      </c>
      <c r="M6" s="495">
        <v>2.2499999999999999E-2</v>
      </c>
      <c r="N6" s="495">
        <v>2.2499999999999999E-2</v>
      </c>
      <c r="O6" s="495">
        <v>2.2499999999999999E-2</v>
      </c>
      <c r="P6" s="495">
        <v>2.2499999999999999E-2</v>
      </c>
      <c r="Q6" s="343">
        <v>2.2499999999999999E-2</v>
      </c>
      <c r="R6" s="343">
        <v>2.2499999999999999E-2</v>
      </c>
      <c r="S6" s="343">
        <v>2.2499999999999999E-2</v>
      </c>
      <c r="T6" s="343">
        <v>2.2499999999999999E-2</v>
      </c>
      <c r="U6" s="343">
        <v>2.2499999999999999E-2</v>
      </c>
      <c r="V6" s="343">
        <v>2.2499999999999999E-2</v>
      </c>
      <c r="W6" s="343">
        <v>2.2499999999999999E-2</v>
      </c>
      <c r="X6" s="343">
        <v>2.2499999999999999E-2</v>
      </c>
      <c r="Y6" s="343">
        <v>2.2499999999999999E-2</v>
      </c>
      <c r="Z6" s="343">
        <v>2.2499999999999999E-2</v>
      </c>
      <c r="AA6" s="343">
        <v>2.2499999999999999E-2</v>
      </c>
      <c r="AB6" s="343">
        <v>2.2499999999999999E-2</v>
      </c>
    </row>
    <row r="7" spans="1:28" ht="18" thickBot="1">
      <c r="B7">
        <f t="shared" ref="B7:B74" si="0">B6+1</f>
        <v>3</v>
      </c>
      <c r="C7" s="563" t="s">
        <v>552</v>
      </c>
      <c r="D7" s="578"/>
      <c r="E7" s="344">
        <f ca="1">+OFFSET($E7,,$E$4)</f>
        <v>10000000</v>
      </c>
      <c r="F7" s="345">
        <v>1000000</v>
      </c>
      <c r="G7" s="345">
        <v>1000000</v>
      </c>
      <c r="H7" s="345">
        <v>1000000</v>
      </c>
      <c r="I7" s="345">
        <v>10000000</v>
      </c>
      <c r="J7" s="345">
        <v>1000000</v>
      </c>
      <c r="K7" s="345">
        <v>1000000</v>
      </c>
      <c r="L7" s="345">
        <v>1000000</v>
      </c>
      <c r="M7" s="496">
        <v>1000000</v>
      </c>
      <c r="N7" s="496">
        <v>1000000</v>
      </c>
      <c r="O7" s="496">
        <v>1000000</v>
      </c>
      <c r="P7" s="496">
        <v>1000000</v>
      </c>
      <c r="Q7" s="345">
        <v>1000000</v>
      </c>
      <c r="R7" s="345">
        <v>1000000</v>
      </c>
      <c r="S7" s="345">
        <v>1000000</v>
      </c>
      <c r="T7" s="345">
        <v>1000000</v>
      </c>
      <c r="U7" s="345">
        <v>1000000</v>
      </c>
      <c r="V7" s="345">
        <v>1000000</v>
      </c>
      <c r="W7" s="345">
        <v>1000000</v>
      </c>
      <c r="X7" s="346">
        <v>1000000</v>
      </c>
      <c r="Y7" s="346">
        <v>1000000</v>
      </c>
      <c r="Z7" s="346">
        <v>1000000</v>
      </c>
      <c r="AA7" s="346">
        <v>1000000</v>
      </c>
      <c r="AB7" s="346">
        <v>1000000</v>
      </c>
    </row>
    <row r="8" spans="1:28" s="347" customFormat="1" ht="33" customHeight="1">
      <c r="B8">
        <f t="shared" si="0"/>
        <v>4</v>
      </c>
      <c r="C8" s="579" t="s">
        <v>935</v>
      </c>
      <c r="D8" s="580"/>
      <c r="E8" s="348">
        <f ca="1">+OFFSET($E8,,$E$4)</f>
        <v>0.8</v>
      </c>
      <c r="F8" s="348">
        <f ca="1">OFFSET($F$128,$B8-1,MATCH(F$4,$128:$128,0)-6+cost_location)</f>
        <v>0.8</v>
      </c>
      <c r="G8" s="348">
        <f ca="1">OFFSET($F$128,$B8-1,MATCH(G$4,$128:$128,0)-6+cost_location)</f>
        <v>0.8</v>
      </c>
      <c r="H8" s="348">
        <f ca="1">OFFSET($F$128,$B8-1,MATCH(H$4,$128:$128,0)-6+cost_location)</f>
        <v>0.8</v>
      </c>
      <c r="I8" s="348">
        <f ca="1">OFFSET($F$128,$B8-1,MATCH(I$4,$128:$128,0)-6+cost_location)</f>
        <v>0.8</v>
      </c>
      <c r="J8" s="348">
        <f ca="1">OFFSET($F$128,$B8-1,MATCH(J$4,$128:$128,0)-6+cost_location)</f>
        <v>0.78</v>
      </c>
      <c r="K8" s="348">
        <f ca="1">OFFSET($F$128,$B8-1,MATCH(K$4,$128:$128,0)-6+cost_location)</f>
        <v>0.8</v>
      </c>
      <c r="L8" s="348">
        <f ca="1">OFFSET($F$128,$B8-1,MATCH(L$4,$128:$128,0)-6+cost_location)</f>
        <v>0.8</v>
      </c>
      <c r="M8" s="533">
        <f ca="1">OFFSET($F$128,$B8-1,MATCH(M$4,$128:$128,0)-6+cost_location)</f>
        <v>0.8</v>
      </c>
      <c r="N8" s="497">
        <f ca="1">OFFSET($F$128,$B8-1,MATCH(N$4,$128:$128,0)-6+cost_location)</f>
        <v>0.8</v>
      </c>
      <c r="O8" s="497">
        <f ca="1">OFFSET($F$128,$B8-1,MATCH(O$4,$128:$128,0)-6+cost_location)</f>
        <v>0.8</v>
      </c>
      <c r="P8" s="497">
        <f ca="1">OFFSET($F$128,$B8-1,MATCH(P$4,$128:$128,0)-6+cost_location)</f>
        <v>0.8</v>
      </c>
      <c r="Q8" s="348">
        <f ca="1">OFFSET($F$128,$B8-1,MATCH(Q$4,$128:$128,0)-6+cost_location)</f>
        <v>0.8</v>
      </c>
      <c r="R8" s="348">
        <f ca="1">OFFSET($F$128,$B8-1,MATCH(R$4,$128:$128,0)-6+cost_location)</f>
        <v>0.8</v>
      </c>
      <c r="S8" s="348">
        <f ca="1">OFFSET($F$128,$B8-1,MATCH(S$4,$128:$128,0)-6+cost_location)</f>
        <v>0.8</v>
      </c>
      <c r="T8" s="348">
        <f ca="1">OFFSET($F$128,$B8-1,MATCH(T$4,$128:$128,0)-6+cost_location)</f>
        <v>0.8</v>
      </c>
      <c r="U8" s="348">
        <f ca="1">OFFSET($F$128,$B8-1,MATCH(U$4,$128:$128,0)-6+cost_location)</f>
        <v>0.8</v>
      </c>
      <c r="V8" s="348">
        <f ca="1">OFFSET($F$128,$B8-1,MATCH(V$4,$128:$128,0)-6+cost_location)</f>
        <v>0.8</v>
      </c>
      <c r="W8" s="348">
        <f ca="1">OFFSET($F$128,$B8-1,MATCH(W$4,$128:$128,0)-6+cost_location)</f>
        <v>0.8</v>
      </c>
      <c r="X8" s="348">
        <f ca="1">OFFSET($F$128,$B8-1,MATCH(X$4,$128:$128,0)-6+cost_location)</f>
        <v>0.8</v>
      </c>
      <c r="Y8" s="348">
        <f ca="1">OFFSET($F$128,$B8-1,MATCH(Y$4,$128:$128,0)-6+cost_location)</f>
        <v>0.8</v>
      </c>
      <c r="Z8" s="348">
        <f ca="1">OFFSET($F$128,$B8-1,MATCH(Z$4,$128:$128,0)-6+cost_location)</f>
        <v>0</v>
      </c>
      <c r="AA8" s="348">
        <f ca="1">OFFSET($F$128,$B8-1,MATCH(AA$4,$128:$128,0)-6+cost_location)</f>
        <v>0</v>
      </c>
      <c r="AB8" s="348">
        <f ca="1">OFFSET($F$128,$B8-1,MATCH(AB$4,$128:$128,0)-6+cost_location)</f>
        <v>0</v>
      </c>
    </row>
    <row r="9" spans="1:28" s="347" customFormat="1">
      <c r="B9">
        <f t="shared" si="0"/>
        <v>5</v>
      </c>
      <c r="C9" s="581" t="s">
        <v>936</v>
      </c>
      <c r="D9" s="582"/>
      <c r="E9" s="349">
        <f t="shared" ref="E9:E21" ca="1" si="1">+OFFSET($E9,,$E$4)</f>
        <v>0</v>
      </c>
      <c r="F9" s="349">
        <f ca="1">OFFSET($F$128,$B9-1,MATCH(F$4,$128:$128,0)-6+cost_location)</f>
        <v>5.0000000000000001E-4</v>
      </c>
      <c r="G9" s="349">
        <f ca="1">OFFSET($F$128,$B9-1,MATCH(G$4,$128:$128,0)-6+cost_location)</f>
        <v>8.0000000000000004E-4</v>
      </c>
      <c r="H9" s="349">
        <f ca="1">OFFSET($F$128,$B9-1,MATCH(H$4,$128:$128,0)-6+cost_location)</f>
        <v>2.5000000000000001E-4</v>
      </c>
      <c r="I9" s="349">
        <f ca="1">OFFSET($F$128,$B9-1,MATCH(I$4,$128:$128,0)-6+cost_location)</f>
        <v>0</v>
      </c>
      <c r="J9" s="349">
        <f ca="1">OFFSET($F$128,$B9-1,MATCH(J$4,$128:$128,0)-6+cost_location)</f>
        <v>0</v>
      </c>
      <c r="K9" s="349">
        <f ca="1">OFFSET($F$128,$B9-1,MATCH(K$4,$128:$128,0)-6+cost_location)</f>
        <v>4.4999999999999999E-4</v>
      </c>
      <c r="L9" s="349">
        <f ca="1">OFFSET($F$128,$B9-1,MATCH(L$4,$128:$128,0)-6+cost_location)</f>
        <v>4.4999999999999999E-4</v>
      </c>
      <c r="M9" s="534">
        <f ca="1">OFFSET($F$128,$B9-1,MATCH(M$4,$128:$128,0)-6+cost_location)</f>
        <v>4.0000000000000002E-4</v>
      </c>
      <c r="N9" s="498">
        <f ca="1">OFFSET($F$128,$B9-1,MATCH(N$4,$128:$128,0)-6+cost_location)</f>
        <v>5.9999999999999995E-4</v>
      </c>
      <c r="O9" s="498">
        <f ca="1">OFFSET($F$128,$B9-1,MATCH(O$4,$128:$128,0)-6+cost_location)</f>
        <v>1E-3</v>
      </c>
      <c r="P9" s="498">
        <f ca="1">OFFSET($F$128,$B9-1,MATCH(P$4,$128:$128,0)-6+cost_location)</f>
        <v>2.9999999999999997E-4</v>
      </c>
      <c r="Q9" s="349">
        <f ca="1">OFFSET($F$128,$B9-1,MATCH(Q$4,$128:$128,0)-6+cost_location)</f>
        <v>2.0000000000000001E-4</v>
      </c>
      <c r="R9" s="349">
        <f ca="1">OFFSET($F$128,$B9-1,MATCH(R$4,$128:$128,0)-6+cost_location)</f>
        <v>5.0000000000000001E-4</v>
      </c>
      <c r="S9" s="349">
        <f ca="1">OFFSET($F$128,$B9-1,MATCH(S$4,$128:$128,0)-6+cost_location)</f>
        <v>1.8E-3</v>
      </c>
      <c r="T9" s="349">
        <f ca="1">OFFSET($F$128,$B9-1,MATCH(T$4,$128:$128,0)-6+cost_location)</f>
        <v>8.0000000000000004E-4</v>
      </c>
      <c r="U9" s="349">
        <f ca="1">OFFSET($F$128,$B9-1,MATCH(U$4,$128:$128,0)-6+cost_location)</f>
        <v>1E-4</v>
      </c>
      <c r="V9" s="349">
        <f ca="1">OFFSET($F$128,$B9-1,MATCH(V$4,$128:$128,0)-6+cost_location)</f>
        <v>5.0000000000000001E-4</v>
      </c>
      <c r="W9" s="349">
        <f ca="1">OFFSET($F$128,$B9-1,MATCH(W$4,$128:$128,0)-6+cost_location)</f>
        <v>5.0000000000000001E-4</v>
      </c>
      <c r="X9" s="349">
        <f ca="1">OFFSET($F$128,$B9-1,MATCH(X$4,$128:$128,0)-6+cost_location)</f>
        <v>0</v>
      </c>
      <c r="Y9" s="349">
        <f ca="1">OFFSET($F$128,$B9-1,MATCH(Y$4,$128:$128,0)-6+cost_location)</f>
        <v>2.0000000000000001E-4</v>
      </c>
      <c r="Z9" s="349">
        <f ca="1">OFFSET($F$128,$B9-1,MATCH(Z$4,$128:$128,0)-6+cost_location)</f>
        <v>0</v>
      </c>
      <c r="AA9" s="349">
        <f ca="1">OFFSET($F$128,$B9-1,MATCH(AA$4,$128:$128,0)-6+cost_location)</f>
        <v>0</v>
      </c>
      <c r="AB9" s="349">
        <f ca="1">OFFSET($F$128,$B9-1,MATCH(AB$4,$128:$128,0)-6+cost_location)</f>
        <v>0</v>
      </c>
    </row>
    <row r="10" spans="1:28" s="347" customFormat="1" ht="33.75" customHeight="1">
      <c r="B10">
        <f t="shared" si="0"/>
        <v>6</v>
      </c>
      <c r="C10" s="583" t="s">
        <v>937</v>
      </c>
      <c r="D10" s="584"/>
      <c r="E10" s="366">
        <f t="shared" ca="1" si="1"/>
        <v>0.35</v>
      </c>
      <c r="F10" s="366">
        <f ca="1">OFFSET($F$128,$B10-1,MATCH(F$4,$128:$128,0)-6+cost_location)</f>
        <v>0.27</v>
      </c>
      <c r="G10" s="366">
        <f ca="1">OFFSET($F$128,$B10-1,MATCH(G$4,$128:$128,0)-6+cost_location)</f>
        <v>0.35</v>
      </c>
      <c r="H10" s="349">
        <f ca="1">OFFSET($F$128,$B10-1,MATCH(H$4,$128:$128,0)-6+cost_location)</f>
        <v>0.25</v>
      </c>
      <c r="I10" s="349">
        <f ca="1">OFFSET($F$128,$B10-1,MATCH(I$4,$128:$128,0)-6+cost_location)</f>
        <v>0.35</v>
      </c>
      <c r="J10" s="349">
        <f ca="1">OFFSET($F$128,$B10-1,MATCH(J$4,$128:$128,0)-6+cost_location)</f>
        <v>0.25</v>
      </c>
      <c r="K10" s="349">
        <f ca="1">OFFSET($F$128,$B10-1,MATCH(K$4,$128:$128,0)-6+cost_location)</f>
        <v>0.37</v>
      </c>
      <c r="L10" s="349">
        <f ca="1">OFFSET($F$128,$B10-1,MATCH(L$4,$128:$128,0)-6+cost_location)</f>
        <v>0.37</v>
      </c>
      <c r="M10" s="534">
        <f ca="1">OFFSET($F$128,$B10-1,MATCH(M$4,$128:$128,0)-6+cost_location)</f>
        <v>0.25</v>
      </c>
      <c r="N10" s="498">
        <f ca="1">OFFSET($F$128,$B10-1,MATCH(N$4,$128:$128,0)-6+cost_location)</f>
        <v>0.25</v>
      </c>
      <c r="O10" s="498">
        <f ca="1">OFFSET($F$128,$B10-1,MATCH(O$4,$128:$128,0)-6+cost_location)</f>
        <v>0.14499999999999999</v>
      </c>
      <c r="P10" s="498">
        <f ca="1">OFFSET($F$128,$B10-1,MATCH(P$4,$128:$128,0)-6+cost_location)</f>
        <v>0.125</v>
      </c>
      <c r="Q10" s="349">
        <f ca="1">OFFSET($F$128,$B10-1,MATCH(Q$4,$128:$128,0)-6+cost_location)</f>
        <v>0.25</v>
      </c>
      <c r="R10" s="349">
        <f ca="1">OFFSET($F$128,$B10-1,MATCH(R$4,$128:$128,0)-6+cost_location)</f>
        <v>0.34</v>
      </c>
      <c r="S10" s="349">
        <f ca="1">OFFSET($F$128,$B10-1,MATCH(S$4,$128:$128,0)-6+cost_location)</f>
        <v>0.27</v>
      </c>
      <c r="T10" s="349">
        <f ca="1">OFFSET($F$128,$B10-1,MATCH(T$4,$128:$128,0)-6+cost_location)</f>
        <v>0.25</v>
      </c>
      <c r="U10" s="349">
        <f ca="1">OFFSET($F$128,$B10-1,MATCH(U$4,$128:$128,0)-6+cost_location)</f>
        <v>0.23</v>
      </c>
      <c r="V10" s="349">
        <f ca="1">OFFSET($F$128,$B10-1,MATCH(V$4,$128:$128,0)-6+cost_location)</f>
        <v>0.3</v>
      </c>
      <c r="W10" s="349">
        <f ca="1">OFFSET($F$128,$B10-1,MATCH(W$4,$128:$128,0)-6+cost_location)</f>
        <v>0.32</v>
      </c>
      <c r="X10" s="349">
        <f ca="1">OFFSET($F$128,$B10-1,MATCH(X$4,$128:$128,0)-6+cost_location)</f>
        <v>0.38</v>
      </c>
      <c r="Y10" s="349">
        <f ca="1">OFFSET($F$128,$B10-1,MATCH(Y$4,$128:$128,0)-6+cost_location)</f>
        <v>0.4</v>
      </c>
      <c r="Z10" s="349">
        <f ca="1">OFFSET($F$128,$B10-1,MATCH(Z$4,$128:$128,0)-6+cost_location)</f>
        <v>0.4</v>
      </c>
      <c r="AA10" s="349">
        <f ca="1">OFFSET($F$128,$B10-1,MATCH(AA$4,$128:$128,0)-6+cost_location)</f>
        <v>0.15</v>
      </c>
      <c r="AB10" s="349">
        <f ca="1">OFFSET($F$128,$B10-1,MATCH(AB$4,$128:$128,0)-6+cost_location)</f>
        <v>0.4</v>
      </c>
    </row>
    <row r="11" spans="1:28" s="347" customFormat="1" ht="21" customHeight="1" thickBot="1">
      <c r="B11">
        <f t="shared" si="0"/>
        <v>7</v>
      </c>
      <c r="C11" s="547" t="s">
        <v>938</v>
      </c>
      <c r="D11" s="585"/>
      <c r="E11" s="366">
        <f t="shared" ca="1" si="1"/>
        <v>9.9999999999999995E-7</v>
      </c>
      <c r="F11" s="366">
        <f ca="1">OFFSET($F$128,$B11-1,MATCH(F$4,$128:$128,0)-6+cost_location)</f>
        <v>2.0000000000000001E-4</v>
      </c>
      <c r="G11" s="366">
        <f ca="1">OFFSET($F$128,$B11-1,MATCH(G$4,$128:$128,0)-6+cost_location)</f>
        <v>5.0000000000000002E-5</v>
      </c>
      <c r="H11" s="349">
        <f ca="1">OFFSET($F$128,$B11-1,MATCH(H$4,$128:$128,0)-6+cost_location)</f>
        <v>5.0000000000000002E-5</v>
      </c>
      <c r="I11" s="349">
        <f ca="1">OFFSET($F$128,$B11-1,MATCH(I$4,$128:$128,0)-6+cost_location)</f>
        <v>9.9999999999999995E-7</v>
      </c>
      <c r="J11" s="349">
        <f ca="1">OFFSET($F$128,$B11-1,MATCH(J$4,$128:$128,0)-6+cost_location)</f>
        <v>7.0000000000000007E-5</v>
      </c>
      <c r="K11" s="349">
        <f ca="1">OFFSET($F$128,$B11-1,MATCH(K$4,$128:$128,0)-6+cost_location)</f>
        <v>2.0000000000000002E-5</v>
      </c>
      <c r="L11" s="349">
        <f ca="1">OFFSET($F$128,$B11-1,MATCH(L$4,$128:$128,0)-6+cost_location)</f>
        <v>2.0000000000000002E-5</v>
      </c>
      <c r="M11" s="534">
        <f ca="1">OFFSET($F$128,$B11-1,MATCH(M$4,$128:$128,0)-6+cost_location)</f>
        <v>2.9999999999999997E-5</v>
      </c>
      <c r="N11" s="498">
        <f ca="1">OFFSET($F$128,$B11-1,MATCH(N$4,$128:$128,0)-6+cost_location)</f>
        <v>1E-4</v>
      </c>
      <c r="O11" s="498">
        <f ca="1">OFFSET($F$128,$B11-1,MATCH(O$4,$128:$128,0)-6+cost_location)</f>
        <v>1E-4</v>
      </c>
      <c r="P11" s="498">
        <f ca="1">OFFSET($F$128,$B11-1,MATCH(P$4,$128:$128,0)-6+cost_location)</f>
        <v>1E-4</v>
      </c>
      <c r="Q11" s="349">
        <f ca="1">OFFSET($F$128,$B11-1,MATCH(Q$4,$128:$128,0)-6+cost_location)</f>
        <v>0</v>
      </c>
      <c r="R11" s="349">
        <f ca="1">OFFSET($F$128,$B11-1,MATCH(R$4,$128:$128,0)-6+cost_location)</f>
        <v>2.0000000000000001E-4</v>
      </c>
      <c r="S11" s="349">
        <f ca="1">OFFSET($F$128,$B11-1,MATCH(S$4,$128:$128,0)-6+cost_location)</f>
        <v>2.0000000000000001E-4</v>
      </c>
      <c r="T11" s="349">
        <f ca="1">OFFSET($F$128,$B11-1,MATCH(T$4,$128:$128,0)-6+cost_location)</f>
        <v>4.0000000000000002E-4</v>
      </c>
      <c r="U11" s="349">
        <f ca="1">OFFSET($F$128,$B11-1,MATCH(U$4,$128:$128,0)-6+cost_location)</f>
        <v>1E-4</v>
      </c>
      <c r="V11" s="349">
        <f ca="1">OFFSET($F$128,$B11-1,MATCH(V$4,$128:$128,0)-6+cost_location)</f>
        <v>2.9999999999999997E-4</v>
      </c>
      <c r="W11" s="349">
        <f ca="1">OFFSET($F$128,$B11-1,MATCH(W$4,$128:$128,0)-6+cost_location)</f>
        <v>5.0000000000000001E-4</v>
      </c>
      <c r="X11" s="349">
        <f ca="1">OFFSET($F$128,$B11-1,MATCH(X$4,$128:$128,0)-6+cost_location)</f>
        <v>0</v>
      </c>
      <c r="Y11" s="349">
        <f ca="1">OFFSET($F$128,$B11-1,MATCH(Y$4,$128:$128,0)-6+cost_location)</f>
        <v>0</v>
      </c>
      <c r="Z11" s="349">
        <f ca="1">OFFSET($F$128,$B11-1,MATCH(Z$4,$128:$128,0)-6+cost_location)</f>
        <v>0</v>
      </c>
      <c r="AA11" s="452">
        <f ca="1">OFFSET($F$128,$B11-1,MATCH(AA$4,$128:$128,0)-6+cost_location)</f>
        <v>2.0000000000000001E-4</v>
      </c>
      <c r="AB11" s="349">
        <f ca="1">OFFSET($F$128,$B11-1,MATCH(AB$4,$128:$128,0)-6+cost_location)</f>
        <v>0</v>
      </c>
    </row>
    <row r="12" spans="1:28" s="347" customFormat="1">
      <c r="B12">
        <f t="shared" si="0"/>
        <v>8</v>
      </c>
      <c r="C12" s="586" t="s">
        <v>939</v>
      </c>
      <c r="D12" s="587"/>
      <c r="E12" s="366">
        <f t="shared" ca="1" si="1"/>
        <v>0</v>
      </c>
      <c r="F12" s="366">
        <f ca="1">OFFSET($F$128,$B12-1,MATCH(F$4,$128:$128,0)-6+cost_location)</f>
        <v>0</v>
      </c>
      <c r="G12" s="366">
        <f ca="1">OFFSET($F$128,$B12-1,MATCH(G$4,$128:$128,0)-6+cost_location)</f>
        <v>0</v>
      </c>
      <c r="H12" s="349">
        <f ca="1">OFFSET($F$128,$B12-1,MATCH(H$4,$128:$128,0)-6+cost_location)</f>
        <v>0</v>
      </c>
      <c r="I12" s="349">
        <f ca="1">OFFSET($F$128,$B12-1,MATCH(I$4,$128:$128,0)-6+cost_location)</f>
        <v>0</v>
      </c>
      <c r="J12" s="349">
        <f ca="1">OFFSET($F$128,$B12-1,MATCH(J$4,$128:$128,0)-6+cost_location)</f>
        <v>0</v>
      </c>
      <c r="K12" s="349">
        <f ca="1">OFFSET($F$128,$B12-1,MATCH(K$4,$128:$128,0)-6+cost_location)</f>
        <v>0</v>
      </c>
      <c r="L12" s="349">
        <f ca="1">OFFSET($F$128,$B12-1,MATCH(L$4,$128:$128,0)-6+cost_location)</f>
        <v>0</v>
      </c>
      <c r="M12" s="534">
        <f ca="1">OFFSET($F$128,$B12-1,MATCH(M$4,$128:$128,0)-6+cost_location)</f>
        <v>0</v>
      </c>
      <c r="N12" s="498">
        <f ca="1">OFFSET($F$128,$B12-1,MATCH(N$4,$128:$128,0)-6+cost_location)</f>
        <v>0</v>
      </c>
      <c r="O12" s="498">
        <f ca="1">OFFSET($F$128,$B12-1,MATCH(O$4,$128:$128,0)-6+cost_location)</f>
        <v>0</v>
      </c>
      <c r="P12" s="498">
        <f ca="1">OFFSET($F$128,$B12-1,MATCH(P$4,$128:$128,0)-6+cost_location)</f>
        <v>0</v>
      </c>
      <c r="Q12" s="349">
        <f ca="1">OFFSET($F$128,$B12-1,MATCH(Q$4,$128:$128,0)-6+cost_location)</f>
        <v>0</v>
      </c>
      <c r="R12" s="349">
        <f ca="1">OFFSET($F$128,$B12-1,MATCH(R$4,$128:$128,0)-6+cost_location)</f>
        <v>0</v>
      </c>
      <c r="S12" s="349">
        <f ca="1">OFFSET($F$128,$B12-1,MATCH(S$4,$128:$128,0)-6+cost_location)</f>
        <v>0</v>
      </c>
      <c r="T12" s="349">
        <f ca="1">OFFSET($F$128,$B12-1,MATCH(T$4,$128:$128,0)-6+cost_location)</f>
        <v>0</v>
      </c>
      <c r="U12" s="349">
        <f ca="1">OFFSET($F$128,$B12-1,MATCH(U$4,$128:$128,0)-6+cost_location)</f>
        <v>0</v>
      </c>
      <c r="V12" s="349">
        <f ca="1">OFFSET($F$128,$B12-1,MATCH(V$4,$128:$128,0)-6+cost_location)</f>
        <v>0</v>
      </c>
      <c r="W12" s="349">
        <f ca="1">OFFSET($F$128,$B12-1,MATCH(W$4,$128:$128,0)-6+cost_location)</f>
        <v>0</v>
      </c>
      <c r="X12" s="349">
        <f ca="1">OFFSET($F$128,$B12-1,MATCH(X$4,$128:$128,0)-6+cost_location)</f>
        <v>0</v>
      </c>
      <c r="Y12" s="349">
        <f ca="1">OFFSET($F$128,$B12-1,MATCH(Y$4,$128:$128,0)-6+cost_location)</f>
        <v>0</v>
      </c>
      <c r="Z12" s="349">
        <f ca="1">OFFSET($F$128,$B12-1,MATCH(Z$4,$128:$128,0)-6+cost_location)</f>
        <v>0</v>
      </c>
      <c r="AA12" s="349">
        <f ca="1">OFFSET($F$128,$B12-1,MATCH(AA$4,$128:$128,0)-6+cost_location)</f>
        <v>0</v>
      </c>
      <c r="AB12" s="349">
        <f ca="1">OFFSET($F$128,$B12-1,MATCH(AB$4,$128:$128,0)-6+cost_location)</f>
        <v>0</v>
      </c>
    </row>
    <row r="13" spans="1:28" s="347" customFormat="1" ht="18" thickBot="1">
      <c r="B13">
        <f t="shared" si="0"/>
        <v>9</v>
      </c>
      <c r="C13" s="588" t="s">
        <v>940</v>
      </c>
      <c r="D13" s="589"/>
      <c r="E13" s="369">
        <f t="shared" ca="1" si="1"/>
        <v>9.9999999999999995E-7</v>
      </c>
      <c r="F13" s="366">
        <f ca="1">OFFSET($F$128,$B13-1,MATCH(F$4,$128:$128,0)-6+cost_location)</f>
        <v>0</v>
      </c>
      <c r="G13" s="366">
        <f ca="1">OFFSET($F$128,$B13-1,MATCH(G$4,$128:$128,0)-6+cost_location)</f>
        <v>0</v>
      </c>
      <c r="H13" s="350">
        <f ca="1">OFFSET($F$128,$B13-1,MATCH(H$4,$128:$128,0)-6+cost_location)</f>
        <v>0</v>
      </c>
      <c r="I13" s="350">
        <f ca="1">OFFSET($F$128,$B13-1,MATCH(I$4,$128:$128,0)-6+cost_location)</f>
        <v>9.9999999999999995E-7</v>
      </c>
      <c r="J13" s="350">
        <f ca="1">OFFSET($F$128,$B13-1,MATCH(J$4,$128:$128,0)-6+cost_location)</f>
        <v>0</v>
      </c>
      <c r="K13" s="350">
        <f ca="1">OFFSET($F$128,$B13-1,MATCH(K$4,$128:$128,0)-6+cost_location)</f>
        <v>0</v>
      </c>
      <c r="L13" s="350">
        <f ca="1">OFFSET($F$128,$B13-1,MATCH(L$4,$128:$128,0)-6+cost_location)</f>
        <v>0</v>
      </c>
      <c r="M13" s="535">
        <f ca="1">OFFSET($F$128,$B13-1,MATCH(M$4,$128:$128,0)-6+cost_location)</f>
        <v>0</v>
      </c>
      <c r="N13" s="499">
        <f ca="1">OFFSET($F$128,$B13-1,MATCH(N$4,$128:$128,0)-6+cost_location)</f>
        <v>0</v>
      </c>
      <c r="O13" s="499">
        <f ca="1">OFFSET($F$128,$B13-1,MATCH(O$4,$128:$128,0)-6+cost_location)</f>
        <v>0</v>
      </c>
      <c r="P13" s="499">
        <f ca="1">OFFSET($F$128,$B13-1,MATCH(P$4,$128:$128,0)-6+cost_location)</f>
        <v>0</v>
      </c>
      <c r="Q13" s="350">
        <f ca="1">OFFSET($F$128,$B13-1,MATCH(Q$4,$128:$128,0)-6+cost_location)</f>
        <v>0</v>
      </c>
      <c r="R13" s="350">
        <f ca="1">OFFSET($F$128,$B13-1,MATCH(R$4,$128:$128,0)-6+cost_location)</f>
        <v>0</v>
      </c>
      <c r="S13" s="350">
        <f ca="1">OFFSET($F$128,$B13-1,MATCH(S$4,$128:$128,0)-6+cost_location)</f>
        <v>0</v>
      </c>
      <c r="T13" s="350">
        <f ca="1">OFFSET($F$128,$B13-1,MATCH(T$4,$128:$128,0)-6+cost_location)</f>
        <v>0</v>
      </c>
      <c r="U13" s="350">
        <f ca="1">OFFSET($F$128,$B13-1,MATCH(U$4,$128:$128,0)-6+cost_location)</f>
        <v>0</v>
      </c>
      <c r="V13" s="350">
        <f ca="1">OFFSET($F$128,$B13-1,MATCH(V$4,$128:$128,0)-6+cost_location)</f>
        <v>0</v>
      </c>
      <c r="W13" s="350">
        <f ca="1">OFFSET($F$128,$B13-1,MATCH(W$4,$128:$128,0)-6+cost_location)</f>
        <v>0</v>
      </c>
      <c r="X13" s="350">
        <f ca="1">OFFSET($F$128,$B13-1,MATCH(X$4,$128:$128,0)-6+cost_location)</f>
        <v>0</v>
      </c>
      <c r="Y13" s="350">
        <f ca="1">OFFSET($F$128,$B13-1,MATCH(Y$4,$128:$128,0)-6+cost_location)</f>
        <v>0</v>
      </c>
      <c r="Z13" s="350">
        <f ca="1">OFFSET($F$128,$B13-1,MATCH(Z$4,$128:$128,0)-6+cost_location)</f>
        <v>0</v>
      </c>
      <c r="AA13" s="350">
        <f ca="1">OFFSET($F$128,$B13-1,MATCH(AA$4,$128:$128,0)-6+cost_location)</f>
        <v>0</v>
      </c>
      <c r="AB13" s="350">
        <f ca="1">OFFSET($F$128,$B13-1,MATCH(AB$4,$128:$128,0)-6+cost_location)</f>
        <v>0</v>
      </c>
    </row>
    <row r="14" spans="1:28" s="347" customFormat="1" ht="17.399999999999999" customHeight="1" thickBot="1">
      <c r="B14">
        <f>B13+1</f>
        <v>10</v>
      </c>
      <c r="C14" s="576" t="s">
        <v>941</v>
      </c>
      <c r="D14" s="577"/>
      <c r="E14" s="349">
        <f t="shared" ca="1" si="1"/>
        <v>2.5000000000000001E-2</v>
      </c>
      <c r="F14" s="349">
        <f ca="1">OFFSET($F$128,$B14-1,MATCH(F$4,$128:$128,0)-6+cost_location)</f>
        <v>2.5000000000000001E-2</v>
      </c>
      <c r="G14" s="349">
        <f ca="1">OFFSET($F$128,$B14-1,MATCH(G$4,$128:$128,0)-6+cost_location)</f>
        <v>2.5000000000000001E-2</v>
      </c>
      <c r="H14" s="349">
        <f ca="1">OFFSET($F$128,$B14-1,MATCH(H$4,$128:$128,0)-6+cost_location)</f>
        <v>2.5000000000000001E-2</v>
      </c>
      <c r="I14" s="349">
        <f ca="1">OFFSET($F$128,$B14-1,MATCH(I$4,$128:$128,0)-6+cost_location)</f>
        <v>2.5000000000000001E-2</v>
      </c>
      <c r="J14" s="351">
        <f ca="1">OFFSET($F$128,$B14-1,MATCH(J$4,$128:$128,0)-6+cost_location)</f>
        <v>2.5000000000000001E-2</v>
      </c>
      <c r="K14" s="349">
        <f ca="1">OFFSET($F$128,$B14-1,MATCH(K$4,$128:$128,0)-6+cost_location)</f>
        <v>2.5000000000000001E-2</v>
      </c>
      <c r="L14" s="349">
        <f ca="1">OFFSET($F$128,$B14-1,MATCH(L$4,$128:$128,0)-6+cost_location)</f>
        <v>2.5000000000000001E-2</v>
      </c>
      <c r="M14" s="534">
        <f ca="1">OFFSET($F$128,$B14-1,MATCH(M$4,$128:$128,0)-6+cost_location)</f>
        <v>2.5000000000000001E-2</v>
      </c>
      <c r="N14" s="498">
        <f ca="1">OFFSET($F$128,$B14-1,MATCH(N$4,$128:$128,0)-6+cost_location)</f>
        <v>2.5000000000000001E-2</v>
      </c>
      <c r="O14" s="498">
        <f ca="1">OFFSET($F$128,$B14-1,MATCH(O$4,$128:$128,0)-6+cost_location)</f>
        <v>2.5000000000000001E-2</v>
      </c>
      <c r="P14" s="498">
        <f ca="1">OFFSET($F$128,$B14-1,MATCH(P$4,$128:$128,0)-6+cost_location)</f>
        <v>2.5000000000000001E-2</v>
      </c>
      <c r="Q14" s="349">
        <f ca="1">OFFSET($F$128,$B14-1,MATCH(Q$4,$128:$128,0)-6+cost_location)</f>
        <v>2.5000000000000001E-2</v>
      </c>
      <c r="R14" s="349">
        <f ca="1">OFFSET($F$128,$B14-1,MATCH(R$4,$128:$128,0)-6+cost_location)</f>
        <v>2.5000000000000001E-2</v>
      </c>
      <c r="S14" s="349">
        <f ca="1">OFFSET($F$128,$B14-1,MATCH(S$4,$128:$128,0)-6+cost_location)</f>
        <v>2.5000000000000001E-2</v>
      </c>
      <c r="T14" s="349">
        <f ca="1">OFFSET($F$128,$B14-1,MATCH(T$4,$128:$128,0)-6+cost_location)</f>
        <v>2.5000000000000001E-2</v>
      </c>
      <c r="U14" s="349">
        <f ca="1">OFFSET($F$128,$B14-1,MATCH(U$4,$128:$128,0)-6+cost_location)</f>
        <v>2.5000000000000001E-2</v>
      </c>
      <c r="V14" s="349">
        <f ca="1">OFFSET($F$128,$B14-1,MATCH(V$4,$128:$128,0)-6+cost_location)</f>
        <v>2.5000000000000001E-2</v>
      </c>
      <c r="W14" s="349">
        <f ca="1">OFFSET($F$128,$B14-1,MATCH(W$4,$128:$128,0)-6+cost_location)</f>
        <v>2.5000000000000001E-2</v>
      </c>
      <c r="X14" s="349">
        <f ca="1">OFFSET($F$128,$B14-1,MATCH(X$4,$128:$128,0)-6+cost_location)</f>
        <v>2.5000000000000001E-2</v>
      </c>
      <c r="Y14" s="349">
        <f ca="1">OFFSET($F$128,$B14-1,MATCH(Y$4,$128:$128,0)-6+cost_location)</f>
        <v>2.5000000000000001E-2</v>
      </c>
      <c r="Z14" s="349">
        <f ca="1">OFFSET($F$128,$B14-1,MATCH(Z$4,$128:$128,0)-6+cost_location)</f>
        <v>2.5000000000000001E-2</v>
      </c>
      <c r="AA14" s="349">
        <f ca="1">OFFSET($F$128,$B14-1,MATCH(AA$4,$128:$128,0)-6+cost_location)</f>
        <v>2.5000000000000001E-2</v>
      </c>
      <c r="AB14" s="349">
        <f ca="1">OFFSET($F$128,$B14-1,MATCH(AB$4,$128:$128,0)-6+cost_location)</f>
        <v>2.5000000000000001E-2</v>
      </c>
    </row>
    <row r="15" spans="1:28">
      <c r="B15">
        <f>B14+1</f>
        <v>11</v>
      </c>
      <c r="C15" s="556" t="s">
        <v>553</v>
      </c>
      <c r="D15" s="342" t="s">
        <v>554</v>
      </c>
      <c r="E15" s="353">
        <f t="shared" ca="1" si="1"/>
        <v>0</v>
      </c>
      <c r="F15" s="353">
        <f ca="1">OFFSET($F$128,$B15-1,MATCH(F$4,$128:$128,0)-6+cost_location)</f>
        <v>7</v>
      </c>
      <c r="G15" s="353">
        <f ca="1">OFFSET($F$128,$B15-1,MATCH(G$4,$128:$128,0)-6+cost_location)</f>
        <v>0</v>
      </c>
      <c r="H15" s="353">
        <f ca="1">OFFSET($F$128,$B15-1,MATCH(H$4,$128:$128,0)-6+cost_location)</f>
        <v>0</v>
      </c>
      <c r="I15" s="353">
        <f ca="1">OFFSET($F$128,$B15-1,MATCH(I$4,$128:$128,0)-6+cost_location)</f>
        <v>0</v>
      </c>
      <c r="J15" s="353">
        <f ca="1">OFFSET($F$128,$B15-1,MATCH(J$4,$128:$128,0)-6+cost_location)</f>
        <v>0</v>
      </c>
      <c r="K15" s="353">
        <f ca="1">OFFSET($F$128,$B15-1,MATCH(K$4,$128:$128,0)-6+cost_location)</f>
        <v>0</v>
      </c>
      <c r="L15" s="353">
        <f ca="1">OFFSET($F$128,$B15-1,MATCH(L$4,$128:$128,0)-6+cost_location)</f>
        <v>0</v>
      </c>
      <c r="M15" s="500">
        <f ca="1">OFFSET($F$128,$B15-1,MATCH(M$4,$128:$128,0)-6+cost_location)</f>
        <v>0</v>
      </c>
      <c r="N15" s="500">
        <f ca="1">OFFSET($F$128,$B15-1,MATCH(N$4,$128:$128,0)-6+cost_location)</f>
        <v>0</v>
      </c>
      <c r="O15" s="500">
        <f ca="1">OFFSET($F$128,$B15-1,MATCH(O$4,$128:$128,0)-6+cost_location)</f>
        <v>0</v>
      </c>
      <c r="P15" s="500">
        <f ca="1">OFFSET($F$128,$B15-1,MATCH(P$4,$128:$128,0)-6+cost_location)</f>
        <v>0</v>
      </c>
      <c r="Q15" s="353">
        <f ca="1">OFFSET($F$128,$B15-1,MATCH(Q$4,$128:$128,0)-6+cost_location)</f>
        <v>0</v>
      </c>
      <c r="R15" s="353">
        <f ca="1">OFFSET($F$128,$B15-1,MATCH(R$4,$128:$128,0)-6+cost_location)</f>
        <v>0</v>
      </c>
      <c r="S15" s="353">
        <f ca="1">OFFSET($F$128,$B15-1,MATCH(S$4,$128:$128,0)-6+cost_location)</f>
        <v>0</v>
      </c>
      <c r="T15" s="353">
        <f ca="1">OFFSET($F$128,$B15-1,MATCH(T$4,$128:$128,0)-6+cost_location)</f>
        <v>0</v>
      </c>
      <c r="U15" s="353">
        <f ca="1">OFFSET($F$128,$B15-1,MATCH(U$4,$128:$128,0)-6+cost_location)</f>
        <v>0</v>
      </c>
      <c r="V15" s="353">
        <f ca="1">OFFSET($F$128,$B15-1,MATCH(V$4,$128:$128,0)-6+cost_location)</f>
        <v>0</v>
      </c>
      <c r="W15" s="353">
        <f ca="1">OFFSET($F$128,$B15-1,MATCH(W$4,$128:$128,0)-6+cost_location)</f>
        <v>0</v>
      </c>
      <c r="X15" s="353">
        <f ca="1">OFFSET($F$128,$B15-1,MATCH(X$4,$128:$128,0)-6+cost_location)</f>
        <v>8</v>
      </c>
      <c r="Y15" s="353">
        <f ca="1">OFFSET($F$128,$B15-1,MATCH(Y$4,$128:$128,0)-6+cost_location)</f>
        <v>0</v>
      </c>
      <c r="Z15" s="353">
        <f ca="1">OFFSET($F$128,$B15-1,MATCH(Z$4,$128:$128,0)-6+cost_location)</f>
        <v>0</v>
      </c>
      <c r="AA15" s="353">
        <f ca="1">OFFSET($F$128,$B15-1,MATCH(AA$4,$128:$128,0)-6+cost_location)</f>
        <v>0</v>
      </c>
      <c r="AB15" s="353">
        <f ca="1">OFFSET($F$128,$B15-1,MATCH(AB$4,$128:$128,0)-6+cost_location)</f>
        <v>0</v>
      </c>
    </row>
    <row r="16" spans="1:28">
      <c r="B16">
        <f t="shared" si="0"/>
        <v>12</v>
      </c>
      <c r="C16" s="590"/>
      <c r="D16" s="337" t="s">
        <v>2</v>
      </c>
      <c r="E16" s="164">
        <f t="shared" ca="1" si="1"/>
        <v>0</v>
      </c>
      <c r="F16" s="164">
        <f ca="1">OFFSET($F$128,$B16-1,MATCH(F$4,$128:$128,0)-6+cost_location)</f>
        <v>30</v>
      </c>
      <c r="G16" s="164">
        <f ca="1">OFFSET($F$128,$B16-1,MATCH(G$4,$128:$128,0)-6+cost_location)</f>
        <v>0</v>
      </c>
      <c r="H16" s="164">
        <f ca="1">OFFSET($F$128,$B16-1,MATCH(H$4,$128:$128,0)-6+cost_location)</f>
        <v>0</v>
      </c>
      <c r="I16" s="164">
        <f ca="1">OFFSET($F$128,$B16-1,MATCH(I$4,$128:$128,0)-6+cost_location)</f>
        <v>0</v>
      </c>
      <c r="J16" s="164">
        <f ca="1">OFFSET($F$128,$B16-1,MATCH(J$4,$128:$128,0)-6+cost_location)</f>
        <v>0</v>
      </c>
      <c r="K16" s="164">
        <f ca="1">OFFSET($F$128,$B16-1,MATCH(K$4,$128:$128,0)-6+cost_location)</f>
        <v>0</v>
      </c>
      <c r="L16" s="164">
        <f ca="1">OFFSET($F$128,$B16-1,MATCH(L$4,$128:$128,0)-6+cost_location)</f>
        <v>0</v>
      </c>
      <c r="M16" s="501">
        <f ca="1">OFFSET($F$128,$B16-1,MATCH(M$4,$128:$128,0)-6+cost_location)</f>
        <v>0</v>
      </c>
      <c r="N16" s="501">
        <f ca="1">OFFSET($F$128,$B16-1,MATCH(N$4,$128:$128,0)-6+cost_location)</f>
        <v>0</v>
      </c>
      <c r="O16" s="501">
        <f ca="1">OFFSET($F$128,$B16-1,MATCH(O$4,$128:$128,0)-6+cost_location)</f>
        <v>0</v>
      </c>
      <c r="P16" s="501">
        <f ca="1">OFFSET($F$128,$B16-1,MATCH(P$4,$128:$128,0)-6+cost_location)</f>
        <v>0</v>
      </c>
      <c r="Q16" s="164">
        <f ca="1">OFFSET($F$128,$B16-1,MATCH(Q$4,$128:$128,0)-6+cost_location)</f>
        <v>0</v>
      </c>
      <c r="R16" s="164">
        <f ca="1">OFFSET($F$128,$B16-1,MATCH(R$4,$128:$128,0)-6+cost_location)</f>
        <v>0</v>
      </c>
      <c r="S16" s="164">
        <f ca="1">OFFSET($F$128,$B16-1,MATCH(S$4,$128:$128,0)-6+cost_location)</f>
        <v>0</v>
      </c>
      <c r="T16" s="164">
        <f ca="1">OFFSET($F$128,$B16-1,MATCH(T$4,$128:$128,0)-6+cost_location)</f>
        <v>0</v>
      </c>
      <c r="U16" s="164">
        <f ca="1">OFFSET($F$128,$B16-1,MATCH(U$4,$128:$128,0)-6+cost_location)</f>
        <v>0</v>
      </c>
      <c r="V16" s="164">
        <f ca="1">OFFSET($F$128,$B16-1,MATCH(V$4,$128:$128,0)-6+cost_location)</f>
        <v>0</v>
      </c>
      <c r="W16" s="164">
        <f ca="1">OFFSET($F$128,$B16-1,MATCH(W$4,$128:$128,0)-6+cost_location)</f>
        <v>0</v>
      </c>
      <c r="X16" s="164">
        <f ca="1">OFFSET($F$128,$B16-1,MATCH(X$4,$128:$128,0)-6+cost_location)</f>
        <v>22</v>
      </c>
      <c r="Y16" s="164">
        <f ca="1">OFFSET($F$128,$B16-1,MATCH(Y$4,$128:$128,0)-6+cost_location)</f>
        <v>0</v>
      </c>
      <c r="Z16" s="164">
        <f ca="1">OFFSET($F$128,$B16-1,MATCH(Z$4,$128:$128,0)-6+cost_location)</f>
        <v>0</v>
      </c>
      <c r="AA16" s="164">
        <f ca="1">OFFSET($F$128,$B16-1,MATCH(AA$4,$128:$128,0)-6+cost_location)</f>
        <v>0</v>
      </c>
      <c r="AB16" s="164">
        <f ca="1">OFFSET($F$128,$B16-1,MATCH(AB$4,$128:$128,0)-6+cost_location)</f>
        <v>0</v>
      </c>
    </row>
    <row r="17" spans="2:28">
      <c r="B17">
        <f t="shared" si="0"/>
        <v>13</v>
      </c>
      <c r="C17" s="590"/>
      <c r="D17" s="337" t="s">
        <v>3</v>
      </c>
      <c r="E17" s="164">
        <f t="shared" ca="1" si="1"/>
        <v>0</v>
      </c>
      <c r="F17" s="164">
        <f ca="1">OFFSET($F$128,$B17-1,MATCH(F$4,$128:$128,0)-6+cost_location)</f>
        <v>60</v>
      </c>
      <c r="G17" s="164">
        <f ca="1">OFFSET($F$128,$B17-1,MATCH(G$4,$128:$128,0)-6+cost_location)</f>
        <v>0</v>
      </c>
      <c r="H17" s="164">
        <f ca="1">OFFSET($F$128,$B17-1,MATCH(H$4,$128:$128,0)-6+cost_location)</f>
        <v>0</v>
      </c>
      <c r="I17" s="164">
        <f ca="1">OFFSET($F$128,$B17-1,MATCH(I$4,$128:$128,0)-6+cost_location)</f>
        <v>0</v>
      </c>
      <c r="J17" s="164">
        <f ca="1">OFFSET($F$128,$B17-1,MATCH(J$4,$128:$128,0)-6+cost_location)</f>
        <v>0</v>
      </c>
      <c r="K17" s="164">
        <f ca="1">OFFSET($F$128,$B17-1,MATCH(K$4,$128:$128,0)-6+cost_location)</f>
        <v>0</v>
      </c>
      <c r="L17" s="164">
        <f ca="1">OFFSET($F$128,$B17-1,MATCH(L$4,$128:$128,0)-6+cost_location)</f>
        <v>0</v>
      </c>
      <c r="M17" s="501">
        <f ca="1">OFFSET($F$128,$B17-1,MATCH(M$4,$128:$128,0)-6+cost_location)</f>
        <v>0</v>
      </c>
      <c r="N17" s="501">
        <f ca="1">OFFSET($F$128,$B17-1,MATCH(N$4,$128:$128,0)-6+cost_location)</f>
        <v>0</v>
      </c>
      <c r="O17" s="501">
        <f ca="1">OFFSET($F$128,$B17-1,MATCH(O$4,$128:$128,0)-6+cost_location)</f>
        <v>0</v>
      </c>
      <c r="P17" s="501">
        <f ca="1">OFFSET($F$128,$B17-1,MATCH(P$4,$128:$128,0)-6+cost_location)</f>
        <v>0</v>
      </c>
      <c r="Q17" s="164">
        <f ca="1">OFFSET($F$128,$B17-1,MATCH(Q$4,$128:$128,0)-6+cost_location)</f>
        <v>0</v>
      </c>
      <c r="R17" s="164">
        <f ca="1">OFFSET($F$128,$B17-1,MATCH(R$4,$128:$128,0)-6+cost_location)</f>
        <v>0</v>
      </c>
      <c r="S17" s="164">
        <f ca="1">OFFSET($F$128,$B17-1,MATCH(S$4,$128:$128,0)-6+cost_location)</f>
        <v>0</v>
      </c>
      <c r="T17" s="164">
        <f ca="1">OFFSET($F$128,$B17-1,MATCH(T$4,$128:$128,0)-6+cost_location)</f>
        <v>0</v>
      </c>
      <c r="U17" s="164">
        <f ca="1">OFFSET($F$128,$B17-1,MATCH(U$4,$128:$128,0)-6+cost_location)</f>
        <v>0</v>
      </c>
      <c r="V17" s="164">
        <f ca="1">OFFSET($F$128,$B17-1,MATCH(V$4,$128:$128,0)-6+cost_location)</f>
        <v>0</v>
      </c>
      <c r="W17" s="164">
        <f ca="1">OFFSET($F$128,$B17-1,MATCH(W$4,$128:$128,0)-6+cost_location)</f>
        <v>0</v>
      </c>
      <c r="X17" s="164">
        <f ca="1">OFFSET($F$128,$B17-1,MATCH(X$4,$128:$128,0)-6+cost_location)</f>
        <v>92</v>
      </c>
      <c r="Y17" s="164">
        <f ca="1">OFFSET($F$128,$B17-1,MATCH(Y$4,$128:$128,0)-6+cost_location)</f>
        <v>0</v>
      </c>
      <c r="Z17" s="164">
        <f ca="1">OFFSET($F$128,$B17-1,MATCH(Z$4,$128:$128,0)-6+cost_location)</f>
        <v>0</v>
      </c>
      <c r="AA17" s="164">
        <f ca="1">OFFSET($F$128,$B17-1,MATCH(AA$4,$128:$128,0)-6+cost_location)</f>
        <v>0</v>
      </c>
      <c r="AB17" s="164">
        <f ca="1">OFFSET($F$128,$B17-1,MATCH(AB$4,$128:$128,0)-6+cost_location)</f>
        <v>0</v>
      </c>
    </row>
    <row r="18" spans="2:28" s="444" customFormat="1" ht="18" thickBot="1">
      <c r="B18">
        <f t="shared" si="0"/>
        <v>14</v>
      </c>
      <c r="C18" s="545" t="s">
        <v>982</v>
      </c>
      <c r="D18" s="546"/>
      <c r="E18" s="442">
        <f t="shared" ca="1" si="1"/>
        <v>1.49E-2</v>
      </c>
      <c r="F18" s="442">
        <f ca="1">OFFSET($F$128,$B18-1,MATCH(F$4,$128:$128,0)-6+cost_location)</f>
        <v>6.2399999999999997E-2</v>
      </c>
      <c r="G18" s="442">
        <f ca="1">OFFSET($F$128,$B18-1,MATCH(G$4,$128:$128,0)-6+cost_location)</f>
        <v>0.74039999999999995</v>
      </c>
      <c r="H18" s="442">
        <f ca="1">OFFSET($F$128,$B18-1,MATCH(H$4,$128:$128,0)-6+cost_location)</f>
        <v>0.13880000000000001</v>
      </c>
      <c r="I18" s="442">
        <f ca="1">OFFSET($F$128,$B18-1,MATCH(I$4,$128:$128,0)-6+cost_location)</f>
        <v>1.49E-2</v>
      </c>
      <c r="J18" s="443">
        <f ca="1">OFFSET($F$128,$B18-1,MATCH(J$4,$128:$128,0)-6+cost_location)</f>
        <v>0.2412</v>
      </c>
      <c r="K18" s="443">
        <f ca="1">OFFSET($F$128,$B18-1,MATCH(K$4,$128:$128,0)-6+cost_location)</f>
        <v>0.12790000000000001</v>
      </c>
      <c r="L18" s="443">
        <f ca="1">OFFSET($F$128,$B18-1,MATCH(L$4,$128:$128,0)-6+cost_location)</f>
        <v>0.11899999999999999</v>
      </c>
      <c r="M18" s="502">
        <f ca="1">OFFSET($F$128,$B18-1,MATCH(M$4,$128:$128,0)-6+cost_location)</f>
        <v>8.6999999999999994E-2</v>
      </c>
      <c r="N18" s="502">
        <f ca="1">OFFSET($F$128,$B18-1,MATCH(N$4,$128:$128,0)-6+cost_location)</f>
        <v>8.6999999999999994E-2</v>
      </c>
      <c r="O18" s="502">
        <f ca="1">OFFSET($F$128,$B18-1,MATCH(O$4,$128:$128,0)-6+cost_location)</f>
        <v>0.67390000000000005</v>
      </c>
      <c r="P18" s="502">
        <f ca="1">OFFSET($F$128,$B18-1,MATCH(P$4,$128:$128,0)-6+cost_location)</f>
        <v>0.58160000000000001</v>
      </c>
      <c r="Q18" s="443">
        <f ca="1">OFFSET($F$128,$B18-1,MATCH(Q$4,$128:$128,0)-6+cost_location)</f>
        <v>0.1666</v>
      </c>
      <c r="R18" s="443">
        <f ca="1">OFFSET($F$128,$B18-1,MATCH(R$4,$128:$128,0)-6+cost_location)</f>
        <v>0.91449999999999998</v>
      </c>
      <c r="S18" s="443">
        <f ca="1">OFFSET($F$128,$B18-1,MATCH(S$4,$128:$128,0)-6+cost_location)</f>
        <v>0.56330000000000002</v>
      </c>
      <c r="T18" s="443">
        <f ca="1">OFFSET($F$128,$B18-1,MATCH(T$4,$128:$128,0)-6+cost_location)</f>
        <v>0.68269999999999997</v>
      </c>
      <c r="U18" s="443">
        <f ca="1">OFFSET($F$128,$B18-1,MATCH(U$4,$128:$128,0)-6+cost_location)</f>
        <v>0.15720000000000001</v>
      </c>
      <c r="V18" s="443">
        <f ca="1">OFFSET($F$128,$B18-1,MATCH(V$4,$128:$128,0)-6+cost_location)</f>
        <v>0.1653</v>
      </c>
      <c r="W18" s="443">
        <f ca="1">OFFSET($F$128,$B18-1,MATCH(W$4,$128:$128,0)-6+cost_location)</f>
        <v>0.3221</v>
      </c>
      <c r="X18" s="443">
        <f ca="1">OFFSET($F$128,$B18-1,MATCH(X$4,$128:$128,0)-6+cost_location)</f>
        <v>3.0499999999999999E-2</v>
      </c>
      <c r="Y18" s="443">
        <f ca="1">OFFSET($F$128,$B18-1,MATCH(Y$4,$128:$128,0)-6+cost_location)</f>
        <v>12.75</v>
      </c>
      <c r="Z18" s="443">
        <f ca="1">OFFSET($F$128,$B18-1,MATCH(Z$4,$128:$128,0)-6+cost_location)</f>
        <v>2.125</v>
      </c>
      <c r="AA18" s="443">
        <f ca="1">OFFSET($F$128,$B18-1,MATCH(AA$4,$128:$128,0)-6+cost_location)</f>
        <v>0</v>
      </c>
      <c r="AB18" s="443">
        <f ca="1">OFFSET($F$128,$B18-1,MATCH(AB$4,$128:$128,0)-6+cost_location)</f>
        <v>2.375</v>
      </c>
    </row>
    <row r="19" spans="2:28" s="449" customFormat="1" ht="18" thickBot="1">
      <c r="B19">
        <f t="shared" si="0"/>
        <v>15</v>
      </c>
      <c r="C19" s="543" t="s">
        <v>979</v>
      </c>
      <c r="D19" s="544"/>
      <c r="E19" s="450">
        <f t="shared" ca="1" si="1"/>
        <v>20</v>
      </c>
      <c r="F19" s="448">
        <f ca="1">OFFSET($F$128,$B19-1,MATCH(F$4,$128:$128,0)-6+cost_location)</f>
        <v>20</v>
      </c>
      <c r="G19" s="448">
        <f ca="1">OFFSET($F$128,$B19-1,MATCH(G$4,$128:$128,0)-6+cost_location)</f>
        <v>20</v>
      </c>
      <c r="H19" s="448">
        <f ca="1">OFFSET($F$128,$B19-1,MATCH(H$4,$128:$128,0)-6+cost_location)</f>
        <v>20</v>
      </c>
      <c r="I19" s="448">
        <f ca="1">OFFSET($F$128,$B19-1,MATCH(I$4,$128:$128,0)-6+cost_location)</f>
        <v>20</v>
      </c>
      <c r="J19" s="448">
        <f ca="1">OFFSET($F$128,$B19-1,MATCH(J$4,$128:$128,0)-6+cost_location)</f>
        <v>20</v>
      </c>
      <c r="K19" s="448">
        <f ca="1">OFFSET($F$128,$B19-1,MATCH(K$4,$128:$128,0)-6+cost_location)</f>
        <v>20</v>
      </c>
      <c r="L19" s="448">
        <f ca="1">OFFSET($F$128,$B19-1,MATCH(L$4,$128:$128,0)-6+cost_location)</f>
        <v>20</v>
      </c>
      <c r="M19" s="503">
        <f ca="1">OFFSET($F$128,$B19-1,MATCH(M$4,$128:$128,0)-6+cost_location)</f>
        <v>20</v>
      </c>
      <c r="N19" s="503">
        <f ca="1">OFFSET($F$128,$B19-1,MATCH(N$4,$128:$128,0)-6+cost_location)</f>
        <v>20</v>
      </c>
      <c r="O19" s="503">
        <f ca="1">OFFSET($F$128,$B19-1,MATCH(O$4,$128:$128,0)-6+cost_location)</f>
        <v>20</v>
      </c>
      <c r="P19" s="503">
        <f ca="1">OFFSET($F$128,$B19-1,MATCH(P$4,$128:$128,0)-6+cost_location)</f>
        <v>20</v>
      </c>
      <c r="Q19" s="448">
        <f ca="1">OFFSET($F$128,$B19-1,MATCH(Q$4,$128:$128,0)-6+cost_location)</f>
        <v>20</v>
      </c>
      <c r="R19" s="448">
        <f ca="1">OFFSET($F$128,$B19-1,MATCH(R$4,$128:$128,0)-6+cost_location)</f>
        <v>20</v>
      </c>
      <c r="S19" s="448">
        <f ca="1">OFFSET($F$128,$B19-1,MATCH(S$4,$128:$128,0)-6+cost_location)</f>
        <v>20</v>
      </c>
      <c r="T19" s="448">
        <f ca="1">OFFSET($F$128,$B19-1,MATCH(T$4,$128:$128,0)-6+cost_location)</f>
        <v>20</v>
      </c>
      <c r="U19" s="448">
        <f ca="1">OFFSET($F$128,$B19-1,MATCH(U$4,$128:$128,0)-6+cost_location)</f>
        <v>20</v>
      </c>
      <c r="V19" s="448">
        <f ca="1">OFFSET($F$128,$B19-1,MATCH(V$4,$128:$128,0)-6+cost_location)</f>
        <v>20</v>
      </c>
      <c r="W19" s="448">
        <f ca="1">OFFSET($F$128,$B19-1,MATCH(W$4,$128:$128,0)-6+cost_location)</f>
        <v>20</v>
      </c>
      <c r="X19" s="448">
        <f ca="1">OFFSET($F$128,$B19-1,MATCH(X$4,$128:$128,0)-6+cost_location)</f>
        <v>20</v>
      </c>
      <c r="Y19" s="448">
        <f ca="1">OFFSET($F$128,$B19-1,MATCH(Y$4,$128:$128,0)-6+cost_location)</f>
        <v>20</v>
      </c>
      <c r="Z19" s="448">
        <f ca="1">OFFSET($F$128,$B19-1,MATCH(Z$4,$128:$128,0)-6+cost_location)</f>
        <v>20</v>
      </c>
      <c r="AA19" s="448">
        <f ca="1">OFFSET($F$128,$B19-1,MATCH(AA$4,$128:$128,0)-6+cost_location)</f>
        <v>20</v>
      </c>
      <c r="AB19" s="448">
        <f ca="1">OFFSET($F$128,$B19-1,MATCH(AB$4,$128:$128,0)-6+cost_location)</f>
        <v>20</v>
      </c>
    </row>
    <row r="20" spans="2:28" s="444" customFormat="1" ht="18" thickBot="1">
      <c r="B20">
        <f t="shared" si="0"/>
        <v>16</v>
      </c>
      <c r="C20" s="543" t="s">
        <v>983</v>
      </c>
      <c r="D20" s="544"/>
      <c r="E20" s="442">
        <f t="shared" ca="1" si="1"/>
        <v>0.96870000000000001</v>
      </c>
      <c r="F20" s="443">
        <f ca="1">OFFSET($F$128,$B20-1,MATCH(F$4,$128:$128,0)-6+cost_location)</f>
        <v>4.58E-2</v>
      </c>
      <c r="G20" s="443">
        <f ca="1">OFFSET($F$128,$B20-1,MATCH(G$4,$128:$128,0)-6+cost_location)</f>
        <v>0.50829999999999997</v>
      </c>
      <c r="H20" s="443">
        <f ca="1">OFFSET($F$128,$B20-1,MATCH(H$4,$128:$128,0)-6+cost_location)</f>
        <v>0.1007</v>
      </c>
      <c r="I20" s="443">
        <f ca="1">OFFSET($F$128,$B20-1,MATCH(I$4,$128:$128,0)-6+cost_location)</f>
        <v>0.96870000000000001</v>
      </c>
      <c r="J20" s="443">
        <f ca="1">OFFSET($F$128,$B20-1,MATCH(J$4,$128:$128,0)-6+cost_location)</f>
        <v>0.1653</v>
      </c>
      <c r="K20" s="443">
        <f ca="1">OFFSET($F$128,$B20-1,MATCH(K$4,$128:$128,0)-6+cost_location)</f>
        <v>8.6999999999999994E-2</v>
      </c>
      <c r="L20" s="443">
        <f ca="1">OFFSET($F$128,$B20-1,MATCH(L$4,$128:$128,0)-6+cost_location)</f>
        <v>9.4600000000000004E-2</v>
      </c>
      <c r="M20" s="502">
        <f ca="1">OFFSET($F$128,$B20-1,MATCH(M$4,$128:$128,0)-6+cost_location)</f>
        <v>6.08E-2</v>
      </c>
      <c r="N20" s="502">
        <f ca="1">OFFSET($F$128,$B20-1,MATCH(N$4,$128:$128,0)-6+cost_location)</f>
        <v>6.08E-2</v>
      </c>
      <c r="O20" s="502">
        <f ca="1">OFFSET($F$128,$B20-1,MATCH(O$4,$128:$128,0)-6+cost_location)</f>
        <v>0.45079999999999998</v>
      </c>
      <c r="P20" s="502">
        <f ca="1">OFFSET($F$128,$B20-1,MATCH(P$4,$128:$128,0)-6+cost_location)</f>
        <v>0.379</v>
      </c>
      <c r="Q20" s="443">
        <f ca="1">OFFSET($F$128,$B20-1,MATCH(Q$4,$128:$128,0)-6+cost_location)</f>
        <v>0.90169999999999995</v>
      </c>
      <c r="R20" s="443">
        <f ca="1">OFFSET($F$128,$B20-1,MATCH(R$4,$128:$128,0)-6+cost_location)</f>
        <v>0.6381</v>
      </c>
      <c r="S20" s="443">
        <f ca="1">OFFSET($F$128,$B20-1,MATCH(S$4,$128:$128,0)-6+cost_location)</f>
        <v>0.40760000000000002</v>
      </c>
      <c r="T20" s="443">
        <f ca="1">OFFSET($F$128,$B20-1,MATCH(T$4,$128:$128,0)-6+cost_location)</f>
        <v>0.50990000000000002</v>
      </c>
      <c r="U20" s="443">
        <f ca="1">OFFSET($F$128,$B20-1,MATCH(U$4,$128:$128,0)-6+cost_location)</f>
        <v>0.1076</v>
      </c>
      <c r="V20" s="443">
        <f ca="1">OFFSET($F$128,$B20-1,MATCH(V$4,$128:$128,0)-6+cost_location)</f>
        <v>0.1232</v>
      </c>
      <c r="W20" s="443">
        <f ca="1">OFFSET($F$128,$B20-1,MATCH(W$4,$128:$128,0)-6+cost_location)</f>
        <v>0.28089999999999998</v>
      </c>
      <c r="X20" s="443"/>
      <c r="Y20" s="443"/>
      <c r="Z20" s="443"/>
      <c r="AA20" s="443"/>
      <c r="AB20" s="443"/>
    </row>
    <row r="21" spans="2:28" ht="18" thickBot="1">
      <c r="C21" s="543" t="s">
        <v>1024</v>
      </c>
      <c r="D21" s="544"/>
      <c r="E21" s="485">
        <f t="shared" ca="1" si="1"/>
        <v>1</v>
      </c>
      <c r="F21" s="484">
        <v>0</v>
      </c>
      <c r="G21" s="484">
        <v>1</v>
      </c>
      <c r="H21" s="484">
        <v>1</v>
      </c>
      <c r="I21" s="484">
        <v>1</v>
      </c>
      <c r="J21" s="484">
        <v>0</v>
      </c>
      <c r="K21" s="484">
        <v>0</v>
      </c>
      <c r="L21" s="484">
        <v>0</v>
      </c>
      <c r="M21" s="504">
        <v>1</v>
      </c>
      <c r="N21" s="504">
        <v>1</v>
      </c>
      <c r="O21" s="504">
        <v>1</v>
      </c>
      <c r="P21" s="504">
        <v>1</v>
      </c>
      <c r="Q21" s="484">
        <v>0</v>
      </c>
      <c r="R21" s="484">
        <v>0</v>
      </c>
      <c r="S21" s="484">
        <v>0</v>
      </c>
      <c r="T21" s="484">
        <v>0</v>
      </c>
      <c r="U21" s="484">
        <v>0</v>
      </c>
      <c r="V21" s="484">
        <v>0</v>
      </c>
      <c r="W21" s="484">
        <v>0</v>
      </c>
      <c r="X21" s="484"/>
      <c r="Y21" s="484"/>
      <c r="Z21" s="484"/>
      <c r="AA21" s="484"/>
      <c r="AB21" s="484"/>
    </row>
    <row r="22" spans="2:28">
      <c r="B22">
        <f>B20+1</f>
        <v>17</v>
      </c>
      <c r="C22" s="557" t="s">
        <v>436</v>
      </c>
      <c r="D22" s="354" t="s">
        <v>555</v>
      </c>
      <c r="E22" s="355">
        <f t="shared" ref="E22:E97" ca="1" si="2">+OFFSET($E22,,$E$4)</f>
        <v>0</v>
      </c>
      <c r="F22" s="355"/>
      <c r="G22" s="355"/>
      <c r="H22" s="356"/>
      <c r="I22" s="356"/>
      <c r="J22" s="356"/>
      <c r="K22" s="356"/>
      <c r="L22" s="356"/>
      <c r="M22" s="356"/>
      <c r="N22" s="505"/>
      <c r="O22" s="505"/>
      <c r="P22" s="505"/>
      <c r="Q22" s="356"/>
      <c r="R22" s="356"/>
      <c r="S22" s="356"/>
      <c r="T22" s="356"/>
      <c r="U22" s="356"/>
      <c r="V22" s="356"/>
      <c r="W22" s="356"/>
      <c r="X22" s="356"/>
      <c r="Y22" s="356"/>
      <c r="Z22" s="356"/>
      <c r="AA22" s="356"/>
      <c r="AB22" s="356"/>
    </row>
    <row r="23" spans="2:28">
      <c r="B23">
        <f t="shared" si="0"/>
        <v>18</v>
      </c>
      <c r="C23" s="558"/>
      <c r="D23" s="337" t="s">
        <v>556</v>
      </c>
      <c r="E23" s="357">
        <f t="shared" ca="1" si="2"/>
        <v>0</v>
      </c>
      <c r="F23" s="357"/>
      <c r="G23" s="357"/>
      <c r="H23" s="358"/>
      <c r="I23" s="358"/>
      <c r="J23" s="358"/>
      <c r="K23" s="358"/>
      <c r="L23" s="358"/>
      <c r="M23" s="358"/>
      <c r="N23" s="506"/>
      <c r="O23" s="506"/>
      <c r="P23" s="506"/>
      <c r="Q23" s="357"/>
      <c r="R23" s="358"/>
      <c r="S23" s="358"/>
      <c r="T23" s="358"/>
      <c r="U23" s="358"/>
      <c r="V23" s="358"/>
      <c r="W23" s="358"/>
      <c r="X23" s="358"/>
      <c r="Y23" s="358"/>
      <c r="Z23" s="358"/>
      <c r="AA23" s="358"/>
      <c r="AB23" s="358"/>
    </row>
    <row r="24" spans="2:28">
      <c r="B24">
        <f t="shared" si="0"/>
        <v>19</v>
      </c>
      <c r="C24" s="558"/>
      <c r="D24" s="337" t="s">
        <v>112</v>
      </c>
      <c r="E24" s="357">
        <f t="shared" ca="1" si="2"/>
        <v>0</v>
      </c>
      <c r="F24" s="357"/>
      <c r="G24" s="357"/>
      <c r="H24" s="358"/>
      <c r="I24" s="358"/>
      <c r="J24" s="358"/>
      <c r="K24" s="358"/>
      <c r="L24" s="358"/>
      <c r="M24" s="358"/>
      <c r="N24" s="506"/>
      <c r="O24" s="506"/>
      <c r="P24" s="506"/>
      <c r="Q24" s="357"/>
      <c r="R24" s="358"/>
      <c r="S24" s="358"/>
      <c r="T24" s="358"/>
      <c r="U24" s="358"/>
      <c r="V24" s="358"/>
      <c r="W24" s="358"/>
      <c r="X24" s="358"/>
      <c r="Y24" s="358"/>
      <c r="Z24" s="358"/>
      <c r="AA24" s="358"/>
      <c r="AB24" s="358"/>
    </row>
    <row r="25" spans="2:28">
      <c r="B25">
        <f t="shared" si="0"/>
        <v>20</v>
      </c>
      <c r="C25" s="559"/>
      <c r="D25" s="339" t="s">
        <v>113</v>
      </c>
      <c r="E25" s="365">
        <f t="shared" ca="1" si="2"/>
        <v>0</v>
      </c>
      <c r="F25" s="365"/>
      <c r="G25" s="365"/>
      <c r="H25" s="363"/>
      <c r="I25" s="363"/>
      <c r="J25" s="363"/>
      <c r="K25" s="363"/>
      <c r="L25" s="363"/>
      <c r="M25" s="363"/>
      <c r="N25" s="507"/>
      <c r="O25" s="507"/>
      <c r="P25" s="507"/>
      <c r="Q25" s="365"/>
      <c r="R25" s="363"/>
      <c r="S25" s="363"/>
      <c r="T25" s="363"/>
      <c r="U25" s="363"/>
      <c r="V25" s="363"/>
      <c r="W25" s="363"/>
      <c r="X25" s="363"/>
      <c r="Y25" s="363"/>
      <c r="Z25" s="363"/>
      <c r="AA25" s="363"/>
      <c r="AB25" s="363"/>
    </row>
    <row r="26" spans="2:28">
      <c r="B26">
        <f t="shared" si="0"/>
        <v>21</v>
      </c>
      <c r="C26" s="559"/>
      <c r="D26" s="339" t="s">
        <v>117</v>
      </c>
      <c r="E26" s="365">
        <f t="shared" ca="1" si="2"/>
        <v>0</v>
      </c>
      <c r="F26" s="365"/>
      <c r="G26" s="365"/>
      <c r="H26" s="363"/>
      <c r="I26" s="363"/>
      <c r="J26" s="363"/>
      <c r="K26" s="363"/>
      <c r="L26" s="363"/>
      <c r="M26" s="363"/>
      <c r="N26" s="507"/>
      <c r="O26" s="507"/>
      <c r="P26" s="507"/>
      <c r="Q26" s="365"/>
      <c r="R26" s="363"/>
      <c r="S26" s="363"/>
      <c r="T26" s="363"/>
      <c r="U26" s="363"/>
      <c r="V26" s="363"/>
      <c r="W26" s="363"/>
      <c r="X26" s="363"/>
      <c r="Y26" s="363"/>
      <c r="Z26" s="363"/>
      <c r="AA26" s="363"/>
      <c r="AB26" s="363"/>
    </row>
    <row r="27" spans="2:28" ht="18" thickBot="1">
      <c r="B27">
        <f t="shared" si="0"/>
        <v>22</v>
      </c>
      <c r="C27" s="560"/>
      <c r="D27" s="359" t="s">
        <v>574</v>
      </c>
      <c r="E27" s="360">
        <f t="shared" ca="1" si="2"/>
        <v>0</v>
      </c>
      <c r="F27" s="360"/>
      <c r="G27" s="360"/>
      <c r="H27" s="361"/>
      <c r="I27" s="361"/>
      <c r="J27" s="361"/>
      <c r="K27" s="361"/>
      <c r="L27" s="361"/>
      <c r="M27" s="361"/>
      <c r="N27" s="508"/>
      <c r="O27" s="508"/>
      <c r="P27" s="508"/>
      <c r="Q27" s="360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61"/>
    </row>
    <row r="28" spans="2:28">
      <c r="B28">
        <f t="shared" si="0"/>
        <v>23</v>
      </c>
      <c r="C28" s="557" t="s">
        <v>126</v>
      </c>
      <c r="D28" s="354" t="s">
        <v>555</v>
      </c>
      <c r="E28" s="356" t="str">
        <f t="shared" ca="1" si="2"/>
        <v>qx_ad50%</v>
      </c>
      <c r="F28" s="356" t="s">
        <v>583</v>
      </c>
      <c r="G28" s="356" t="s">
        <v>583</v>
      </c>
      <c r="H28" s="356" t="s">
        <v>583</v>
      </c>
      <c r="I28" s="356" t="s">
        <v>583</v>
      </c>
      <c r="J28" s="356" t="s">
        <v>583</v>
      </c>
      <c r="K28" s="356" t="s">
        <v>583</v>
      </c>
      <c r="L28" s="356" t="s">
        <v>583</v>
      </c>
      <c r="M28" s="356" t="s">
        <v>583</v>
      </c>
      <c r="N28" s="356" t="s">
        <v>583</v>
      </c>
      <c r="O28" s="356" t="s">
        <v>583</v>
      </c>
      <c r="P28" s="356" t="s">
        <v>583</v>
      </c>
      <c r="Q28" s="356" t="s">
        <v>583</v>
      </c>
      <c r="R28" s="356" t="s">
        <v>583</v>
      </c>
      <c r="S28" s="356" t="s">
        <v>583</v>
      </c>
      <c r="T28" s="356" t="s">
        <v>583</v>
      </c>
      <c r="U28" s="356" t="s">
        <v>583</v>
      </c>
      <c r="V28" s="356" t="s">
        <v>583</v>
      </c>
      <c r="W28" s="356" t="s">
        <v>583</v>
      </c>
      <c r="X28" s="356" t="s">
        <v>849</v>
      </c>
      <c r="Y28" s="356" t="s">
        <v>849</v>
      </c>
      <c r="Z28" s="356" t="s">
        <v>583</v>
      </c>
      <c r="AA28" s="356" t="s">
        <v>583</v>
      </c>
      <c r="AB28" s="356" t="s">
        <v>583</v>
      </c>
    </row>
    <row r="29" spans="2:28">
      <c r="B29">
        <f t="shared" si="0"/>
        <v>24</v>
      </c>
      <c r="C29" s="558"/>
      <c r="D29" s="337" t="s">
        <v>557</v>
      </c>
      <c r="E29" s="358">
        <f t="shared" ca="1" si="2"/>
        <v>0</v>
      </c>
      <c r="F29" s="358">
        <v>0</v>
      </c>
      <c r="G29" s="358">
        <v>0</v>
      </c>
      <c r="H29" s="358">
        <v>0</v>
      </c>
      <c r="I29" s="358">
        <v>0</v>
      </c>
      <c r="J29" s="358">
        <v>0</v>
      </c>
      <c r="K29" s="358">
        <v>0</v>
      </c>
      <c r="L29" s="358">
        <v>0</v>
      </c>
      <c r="M29" s="358">
        <v>0</v>
      </c>
      <c r="N29" s="358">
        <v>0</v>
      </c>
      <c r="O29" s="358">
        <v>0</v>
      </c>
      <c r="P29" s="358">
        <v>0</v>
      </c>
      <c r="Q29" s="358">
        <v>0</v>
      </c>
      <c r="R29" s="358">
        <v>0</v>
      </c>
      <c r="S29" s="358">
        <v>0</v>
      </c>
      <c r="T29" s="358">
        <v>0</v>
      </c>
      <c r="U29" s="358">
        <v>0</v>
      </c>
      <c r="V29" s="358">
        <v>0</v>
      </c>
      <c r="W29" s="358"/>
      <c r="X29" s="358"/>
      <c r="Y29" s="358"/>
      <c r="Z29" s="358">
        <v>0</v>
      </c>
      <c r="AA29" s="358">
        <v>0</v>
      </c>
      <c r="AB29" s="358">
        <v>0</v>
      </c>
    </row>
    <row r="30" spans="2:28">
      <c r="B30">
        <f t="shared" si="0"/>
        <v>25</v>
      </c>
      <c r="C30" s="558"/>
      <c r="D30" s="337" t="s">
        <v>112</v>
      </c>
      <c r="E30" s="358">
        <f t="shared" ca="1" si="2"/>
        <v>0</v>
      </c>
      <c r="F30" s="358">
        <v>0</v>
      </c>
      <c r="G30" s="358">
        <v>0</v>
      </c>
      <c r="H30" s="358">
        <v>0</v>
      </c>
      <c r="I30" s="358">
        <v>0</v>
      </c>
      <c r="J30" s="358">
        <v>0</v>
      </c>
      <c r="K30" s="358">
        <v>0</v>
      </c>
      <c r="L30" s="358">
        <v>0</v>
      </c>
      <c r="M30" s="358">
        <v>0</v>
      </c>
      <c r="N30" s="358">
        <v>0</v>
      </c>
      <c r="O30" s="358">
        <v>0</v>
      </c>
      <c r="P30" s="358">
        <v>0</v>
      </c>
      <c r="Q30" s="358">
        <v>0</v>
      </c>
      <c r="R30" s="358">
        <v>0</v>
      </c>
      <c r="S30" s="358">
        <v>0</v>
      </c>
      <c r="T30" s="358">
        <v>0</v>
      </c>
      <c r="U30" s="358">
        <v>0</v>
      </c>
      <c r="V30" s="358">
        <v>0</v>
      </c>
      <c r="W30" s="358">
        <v>0</v>
      </c>
      <c r="X30" s="358">
        <v>0</v>
      </c>
      <c r="Y30" s="358">
        <v>0</v>
      </c>
      <c r="Z30" s="358">
        <v>0</v>
      </c>
      <c r="AA30" s="358">
        <v>0</v>
      </c>
      <c r="AB30" s="358">
        <v>0</v>
      </c>
    </row>
    <row r="31" spans="2:28">
      <c r="B31">
        <f t="shared" si="0"/>
        <v>26</v>
      </c>
      <c r="C31" s="558"/>
      <c r="D31" s="339" t="s">
        <v>113</v>
      </c>
      <c r="E31" s="358">
        <f t="shared" ca="1" si="2"/>
        <v>1</v>
      </c>
      <c r="F31" s="358">
        <v>1</v>
      </c>
      <c r="G31" s="358">
        <v>1</v>
      </c>
      <c r="H31" s="358">
        <v>1</v>
      </c>
      <c r="I31" s="358">
        <v>1</v>
      </c>
      <c r="J31" s="358">
        <v>1</v>
      </c>
      <c r="K31" s="358">
        <v>1</v>
      </c>
      <c r="L31" s="358">
        <v>1</v>
      </c>
      <c r="M31" s="358">
        <v>1</v>
      </c>
      <c r="N31" s="358">
        <v>1</v>
      </c>
      <c r="O31" s="358">
        <v>1</v>
      </c>
      <c r="P31" s="358">
        <v>1</v>
      </c>
      <c r="Q31" s="358">
        <v>1</v>
      </c>
      <c r="R31" s="358">
        <v>1</v>
      </c>
      <c r="S31" s="358">
        <v>1</v>
      </c>
      <c r="T31" s="358">
        <v>1</v>
      </c>
      <c r="U31" s="358">
        <v>1</v>
      </c>
      <c r="V31" s="358">
        <v>1</v>
      </c>
      <c r="W31" s="358">
        <v>1</v>
      </c>
      <c r="X31" s="358">
        <v>1</v>
      </c>
      <c r="Y31" s="358">
        <v>1</v>
      </c>
      <c r="Z31" s="358">
        <v>1</v>
      </c>
      <c r="AA31" s="358">
        <v>1</v>
      </c>
      <c r="AB31" s="358">
        <v>1</v>
      </c>
    </row>
    <row r="32" spans="2:28">
      <c r="B32">
        <f t="shared" si="0"/>
        <v>27</v>
      </c>
      <c r="C32" s="559"/>
      <c r="D32" s="339" t="s">
        <v>117</v>
      </c>
      <c r="E32" s="363">
        <f t="shared" ca="1" si="2"/>
        <v>0</v>
      </c>
      <c r="F32" s="363">
        <v>0</v>
      </c>
      <c r="G32" s="363">
        <v>0</v>
      </c>
      <c r="H32" s="363">
        <v>0</v>
      </c>
      <c r="I32" s="363">
        <v>0</v>
      </c>
      <c r="J32" s="363">
        <v>0</v>
      </c>
      <c r="K32" s="363">
        <v>0</v>
      </c>
      <c r="L32" s="363">
        <v>0</v>
      </c>
      <c r="M32" s="363">
        <v>0</v>
      </c>
      <c r="N32" s="363">
        <v>0</v>
      </c>
      <c r="O32" s="363">
        <v>0</v>
      </c>
      <c r="P32" s="363">
        <v>0</v>
      </c>
      <c r="Q32" s="363">
        <v>0</v>
      </c>
      <c r="R32" s="363">
        <v>0</v>
      </c>
      <c r="S32" s="363">
        <v>0</v>
      </c>
      <c r="T32" s="363">
        <v>0</v>
      </c>
      <c r="U32" s="363">
        <v>0</v>
      </c>
      <c r="V32" s="363">
        <v>0</v>
      </c>
      <c r="W32" s="363">
        <v>0</v>
      </c>
      <c r="X32" s="363">
        <v>0</v>
      </c>
      <c r="Y32" s="363">
        <v>0</v>
      </c>
      <c r="Z32" s="363">
        <v>0</v>
      </c>
      <c r="AA32" s="363">
        <v>0</v>
      </c>
      <c r="AB32" s="363">
        <v>0</v>
      </c>
    </row>
    <row r="33" spans="2:28" ht="18" thickBot="1">
      <c r="B33">
        <f t="shared" si="0"/>
        <v>28</v>
      </c>
      <c r="C33" s="560"/>
      <c r="D33" s="359" t="s">
        <v>574</v>
      </c>
      <c r="E33" s="361">
        <f t="shared" ca="1" si="2"/>
        <v>1</v>
      </c>
      <c r="F33" s="361">
        <v>1</v>
      </c>
      <c r="G33" s="361">
        <v>1</v>
      </c>
      <c r="H33" s="361">
        <v>1</v>
      </c>
      <c r="I33" s="361">
        <v>1</v>
      </c>
      <c r="J33" s="361">
        <v>1</v>
      </c>
      <c r="K33" s="361">
        <v>1</v>
      </c>
      <c r="L33" s="361">
        <v>1</v>
      </c>
      <c r="M33" s="361">
        <v>1</v>
      </c>
      <c r="N33" s="361">
        <v>1</v>
      </c>
      <c r="O33" s="361">
        <v>1</v>
      </c>
      <c r="P33" s="361">
        <v>1</v>
      </c>
      <c r="Q33" s="361">
        <v>1</v>
      </c>
      <c r="R33" s="361">
        <v>1</v>
      </c>
      <c r="S33" s="361">
        <v>1</v>
      </c>
      <c r="T33" s="361">
        <v>1</v>
      </c>
      <c r="U33" s="361">
        <v>1</v>
      </c>
      <c r="V33" s="361">
        <v>1</v>
      </c>
      <c r="W33" s="361">
        <v>1</v>
      </c>
      <c r="X33" s="361">
        <v>0</v>
      </c>
      <c r="Y33" s="361">
        <v>0</v>
      </c>
      <c r="Z33" s="361">
        <v>0</v>
      </c>
      <c r="AA33" s="361">
        <v>0</v>
      </c>
      <c r="AB33" s="361">
        <v>0</v>
      </c>
    </row>
    <row r="34" spans="2:28">
      <c r="B34">
        <f t="shared" si="0"/>
        <v>29</v>
      </c>
      <c r="C34" s="557" t="s">
        <v>203</v>
      </c>
      <c r="D34" s="354" t="s">
        <v>555</v>
      </c>
      <c r="E34" s="356" t="str">
        <f t="shared" ca="1" si="2"/>
        <v>qx_am2</v>
      </c>
      <c r="F34" s="356" t="s">
        <v>581</v>
      </c>
      <c r="G34" s="356" t="s">
        <v>986</v>
      </c>
      <c r="H34" s="356" t="s">
        <v>991</v>
      </c>
      <c r="I34" s="356" t="s">
        <v>996</v>
      </c>
      <c r="J34" s="356" t="s">
        <v>999</v>
      </c>
      <c r="K34" s="356" t="str">
        <f>IF(type111="Y","","qx_mg")</f>
        <v>qx_mg</v>
      </c>
      <c r="L34" s="356" t="str">
        <f>IF(type111="Y","","qx_jhmsp")</f>
        <v>qx_jhmsp</v>
      </c>
      <c r="M34" s="358" t="s">
        <v>615</v>
      </c>
      <c r="N34" s="362" t="s">
        <v>617</v>
      </c>
      <c r="O34" s="505" t="s">
        <v>1036</v>
      </c>
      <c r="P34" s="505" t="s">
        <v>1044</v>
      </c>
      <c r="Q34" s="356" t="s">
        <v>1045</v>
      </c>
      <c r="R34" s="355" t="s">
        <v>1047</v>
      </c>
      <c r="S34" s="355" t="s">
        <v>1049</v>
      </c>
      <c r="T34" s="355" t="s">
        <v>1053</v>
      </c>
      <c r="U34" s="356" t="s">
        <v>1055</v>
      </c>
      <c r="V34" s="356" t="s">
        <v>1051</v>
      </c>
      <c r="W34" s="362" t="s">
        <v>645</v>
      </c>
      <c r="X34" s="356" t="s">
        <v>974</v>
      </c>
      <c r="Y34" s="356" t="s">
        <v>865</v>
      </c>
      <c r="Z34" s="362" t="s">
        <v>623</v>
      </c>
      <c r="AA34" s="362" t="s">
        <v>627</v>
      </c>
      <c r="AB34" s="362" t="s">
        <v>623</v>
      </c>
    </row>
    <row r="35" spans="2:28">
      <c r="B35">
        <f t="shared" si="0"/>
        <v>30</v>
      </c>
      <c r="C35" s="558"/>
      <c r="D35" s="337" t="s">
        <v>210</v>
      </c>
      <c r="E35" s="358">
        <f t="shared" ca="1" si="2"/>
        <v>1</v>
      </c>
      <c r="F35" s="358">
        <f>IF(cost_location=0,0.475,1)</f>
        <v>1</v>
      </c>
      <c r="G35" s="358">
        <f>IF(cost_location=0,0.475,1)</f>
        <v>1</v>
      </c>
      <c r="H35" s="358">
        <f>IF(cost_location=0,0.475,1)</f>
        <v>1</v>
      </c>
      <c r="I35" s="358">
        <f>IF(cost_location=0,0.475,1)</f>
        <v>1</v>
      </c>
      <c r="J35" s="358">
        <f>IF(cost_location=0,0.475,1)</f>
        <v>1</v>
      </c>
      <c r="K35" s="358">
        <f>IF(cost_location=0,0,1)</f>
        <v>1</v>
      </c>
      <c r="L35" s="358">
        <v>1</v>
      </c>
      <c r="M35" s="358">
        <f>IF(cost_location=0,0.475,1)</f>
        <v>1</v>
      </c>
      <c r="N35" s="506">
        <f>IF(cost_location=0,0.475,1)</f>
        <v>1</v>
      </c>
      <c r="O35" s="358">
        <f>IF(cost_location=0,0.475,1)</f>
        <v>1</v>
      </c>
      <c r="P35" s="506">
        <f>IF(cost_location=0,0.475,1)</f>
        <v>1</v>
      </c>
      <c r="Q35" s="358">
        <f>IF(cost_location=0,0.475,1)</f>
        <v>1</v>
      </c>
      <c r="R35" s="357">
        <f>IF(cost_location=0,0.475,1)*0.001</f>
        <v>1E-3</v>
      </c>
      <c r="S35" s="357">
        <f>IF(cost_location=0,0.475,1)*0.01</f>
        <v>0.01</v>
      </c>
      <c r="T35" s="357">
        <f>IF(cost_location=0,0.475,1)*0.04</f>
        <v>0.04</v>
      </c>
      <c r="U35" s="357">
        <f>IF(cost_location=0,0.475,1)*0.1</f>
        <v>0.1</v>
      </c>
      <c r="V35" s="357">
        <v>0.3</v>
      </c>
      <c r="W35" s="357">
        <f>IF(cost_location=0,0.475,1)*0.02</f>
        <v>0.02</v>
      </c>
      <c r="X35" s="427">
        <v>1E-3</v>
      </c>
      <c r="Y35" s="427">
        <v>0.03</v>
      </c>
      <c r="Z35" s="357">
        <v>1E-3</v>
      </c>
      <c r="AA35" s="357">
        <v>0.01</v>
      </c>
      <c r="AB35" s="357">
        <v>1E-3</v>
      </c>
    </row>
    <row r="36" spans="2:28">
      <c r="B36">
        <f t="shared" si="0"/>
        <v>31</v>
      </c>
      <c r="C36" s="558"/>
      <c r="D36" s="337" t="s">
        <v>112</v>
      </c>
      <c r="E36" s="358">
        <f t="shared" ca="1" si="2"/>
        <v>1</v>
      </c>
      <c r="F36" s="358">
        <v>0</v>
      </c>
      <c r="G36" s="358">
        <f>IF(cost_location=0,0,1)</f>
        <v>1</v>
      </c>
      <c r="H36" s="358">
        <f>IF(cost_location=0,0,1)</f>
        <v>1</v>
      </c>
      <c r="I36" s="358">
        <f>IF(cost_location=0,0,1)</f>
        <v>1</v>
      </c>
      <c r="J36" s="358">
        <v>0</v>
      </c>
      <c r="K36" s="358">
        <v>0</v>
      </c>
      <c r="L36" s="358">
        <v>0</v>
      </c>
      <c r="M36" s="358">
        <v>0</v>
      </c>
      <c r="N36" s="358">
        <f>IF(cost_location=0,0,1)</f>
        <v>1</v>
      </c>
      <c r="O36" s="358">
        <f>IF(cost_location=0,0,1)</f>
        <v>1</v>
      </c>
      <c r="P36" s="358">
        <f>IF(cost_location=0,0,1)</f>
        <v>1</v>
      </c>
      <c r="Q36" s="358">
        <v>0</v>
      </c>
      <c r="R36" s="358">
        <v>0</v>
      </c>
      <c r="S36" s="358">
        <v>0</v>
      </c>
      <c r="T36" s="358">
        <v>0</v>
      </c>
      <c r="U36" s="358">
        <v>0</v>
      </c>
      <c r="V36" s="358">
        <v>0</v>
      </c>
      <c r="W36" s="358">
        <v>0</v>
      </c>
      <c r="X36" s="358">
        <v>0</v>
      </c>
      <c r="Y36" s="358">
        <v>0</v>
      </c>
      <c r="Z36" s="358">
        <v>0</v>
      </c>
      <c r="AA36" s="358">
        <v>0</v>
      </c>
      <c r="AB36" s="358">
        <v>0</v>
      </c>
    </row>
    <row r="37" spans="2:28">
      <c r="B37">
        <f t="shared" si="0"/>
        <v>32</v>
      </c>
      <c r="C37" s="558"/>
      <c r="D37" s="339" t="s">
        <v>113</v>
      </c>
      <c r="E37" s="358">
        <f t="shared" ca="1" si="2"/>
        <v>0</v>
      </c>
      <c r="F37" s="358">
        <v>0</v>
      </c>
      <c r="G37" s="358">
        <v>0</v>
      </c>
      <c r="H37" s="358">
        <v>0</v>
      </c>
      <c r="I37" s="358">
        <v>0</v>
      </c>
      <c r="J37" s="358">
        <v>0</v>
      </c>
      <c r="K37" s="358">
        <v>0</v>
      </c>
      <c r="L37" s="358">
        <v>0</v>
      </c>
      <c r="M37" s="358">
        <v>0</v>
      </c>
      <c r="N37" s="358">
        <v>0</v>
      </c>
      <c r="O37" s="358">
        <v>0</v>
      </c>
      <c r="P37" s="358">
        <v>0</v>
      </c>
      <c r="Q37" s="358">
        <v>0</v>
      </c>
      <c r="R37" s="358">
        <v>0</v>
      </c>
      <c r="S37" s="358">
        <v>0</v>
      </c>
      <c r="T37" s="358">
        <v>0</v>
      </c>
      <c r="U37" s="358">
        <v>0</v>
      </c>
      <c r="V37" s="358">
        <v>0</v>
      </c>
      <c r="W37" s="358">
        <v>0</v>
      </c>
      <c r="X37" s="358">
        <v>0</v>
      </c>
      <c r="Y37" s="358">
        <v>0</v>
      </c>
      <c r="Z37" s="358">
        <v>0</v>
      </c>
      <c r="AA37" s="358">
        <v>0</v>
      </c>
      <c r="AB37" s="358">
        <v>0</v>
      </c>
    </row>
    <row r="38" spans="2:28">
      <c r="B38">
        <f t="shared" si="0"/>
        <v>33</v>
      </c>
      <c r="C38" s="559"/>
      <c r="D38" s="339" t="s">
        <v>117</v>
      </c>
      <c r="E38" s="363">
        <f t="shared" ca="1" si="2"/>
        <v>0</v>
      </c>
      <c r="F38" s="363">
        <v>0</v>
      </c>
      <c r="G38" s="363">
        <v>0</v>
      </c>
      <c r="H38" s="363">
        <v>0</v>
      </c>
      <c r="I38" s="363">
        <v>0</v>
      </c>
      <c r="J38" s="363">
        <v>1</v>
      </c>
      <c r="K38" s="363">
        <v>1</v>
      </c>
      <c r="L38" s="363">
        <v>1</v>
      </c>
      <c r="M38" s="363">
        <v>0</v>
      </c>
      <c r="N38" s="363">
        <v>0</v>
      </c>
      <c r="O38" s="363">
        <v>0</v>
      </c>
      <c r="P38" s="363">
        <v>0</v>
      </c>
      <c r="Q38" s="363">
        <v>0</v>
      </c>
      <c r="R38" s="363">
        <v>0</v>
      </c>
      <c r="S38" s="363">
        <v>0</v>
      </c>
      <c r="T38" s="363">
        <v>0</v>
      </c>
      <c r="U38" s="363">
        <v>0</v>
      </c>
      <c r="V38" s="363">
        <v>0</v>
      </c>
      <c r="W38" s="363">
        <v>0</v>
      </c>
      <c r="X38" s="358">
        <v>0</v>
      </c>
      <c r="Y38" s="358">
        <v>0</v>
      </c>
      <c r="Z38" s="363">
        <v>0</v>
      </c>
      <c r="AA38" s="363">
        <v>0</v>
      </c>
      <c r="AB38" s="363">
        <v>0</v>
      </c>
    </row>
    <row r="39" spans="2:28" ht="18" thickBot="1">
      <c r="B39">
        <f t="shared" si="0"/>
        <v>34</v>
      </c>
      <c r="C39" s="560"/>
      <c r="D39" s="359" t="s">
        <v>574</v>
      </c>
      <c r="E39" s="361">
        <f t="shared" ca="1" si="2"/>
        <v>0.5</v>
      </c>
      <c r="F39" s="361">
        <v>1</v>
      </c>
      <c r="G39" s="361">
        <f>IF(cost_location=0,1,0.5)</f>
        <v>0.5</v>
      </c>
      <c r="H39" s="361">
        <f>IF(cost_location=0,1,0.5)</f>
        <v>0.5</v>
      </c>
      <c r="I39" s="361">
        <f>IF(cost_location=0,1,0.5)</f>
        <v>0.5</v>
      </c>
      <c r="J39" s="361">
        <f>IF(cost_location=0,1,0.5)</f>
        <v>0.5</v>
      </c>
      <c r="K39" s="361">
        <f>IF(cost_location=0,1,0.5)</f>
        <v>0.5</v>
      </c>
      <c r="L39" s="361">
        <v>1</v>
      </c>
      <c r="M39" s="363">
        <f>IF(cost_location=0,1,0.5)</f>
        <v>0.5</v>
      </c>
      <c r="N39" s="361">
        <f>IF(cost_location=0,1,0.5)</f>
        <v>0.5</v>
      </c>
      <c r="O39" s="361">
        <f>IF(cost_location=0,1,0.5)</f>
        <v>0.5</v>
      </c>
      <c r="P39" s="361">
        <f>IF(cost_location=0,1,0.5)</f>
        <v>0.5</v>
      </c>
      <c r="Q39" s="361">
        <v>1</v>
      </c>
      <c r="R39" s="361">
        <v>1</v>
      </c>
      <c r="S39" s="361">
        <v>1</v>
      </c>
      <c r="T39" s="361">
        <v>1</v>
      </c>
      <c r="U39" s="361">
        <f>IF(cost_location=0,1,0.5)</f>
        <v>0.5</v>
      </c>
      <c r="V39" s="361">
        <v>1</v>
      </c>
      <c r="W39" s="361">
        <v>1</v>
      </c>
      <c r="X39" s="429"/>
      <c r="Y39" s="429"/>
      <c r="Z39" s="361"/>
      <c r="AA39" s="361"/>
      <c r="AB39" s="361"/>
    </row>
    <row r="40" spans="2:28">
      <c r="B40">
        <f t="shared" si="0"/>
        <v>35</v>
      </c>
      <c r="C40" s="557" t="s">
        <v>204</v>
      </c>
      <c r="D40" s="342" t="s">
        <v>555</v>
      </c>
      <c r="E40" s="364">
        <f t="shared" ca="1" si="2"/>
        <v>0</v>
      </c>
      <c r="F40" s="364"/>
      <c r="G40" s="364"/>
      <c r="H40" s="364"/>
      <c r="I40" s="364"/>
      <c r="J40" s="364" t="s">
        <v>1001</v>
      </c>
      <c r="K40" s="196" t="str">
        <f>IF(type111="Y","","qx_jdhhs")</f>
        <v>qx_jdhhs</v>
      </c>
      <c r="L40" s="364" t="s">
        <v>1041</v>
      </c>
      <c r="M40" s="358"/>
      <c r="N40" s="364"/>
      <c r="O40" s="364"/>
      <c r="P40" s="364"/>
      <c r="Q40" s="364"/>
      <c r="R40" s="364" t="s">
        <v>1048</v>
      </c>
      <c r="S40" s="364" t="s">
        <v>1050</v>
      </c>
      <c r="T40" s="364"/>
      <c r="U40" s="364" t="s">
        <v>1056</v>
      </c>
      <c r="V40" s="364" t="s">
        <v>1052</v>
      </c>
      <c r="W40" s="364" t="s">
        <v>646</v>
      </c>
      <c r="X40" s="364"/>
      <c r="Y40" s="364"/>
      <c r="Z40" s="364" t="s">
        <v>624</v>
      </c>
      <c r="AA40" s="364" t="s">
        <v>628</v>
      </c>
      <c r="AB40" s="364" t="s">
        <v>624</v>
      </c>
    </row>
    <row r="41" spans="2:28">
      <c r="B41">
        <f t="shared" si="0"/>
        <v>36</v>
      </c>
      <c r="C41" s="558"/>
      <c r="D41" s="337" t="s">
        <v>210</v>
      </c>
      <c r="E41" s="358">
        <f t="shared" ca="1" si="2"/>
        <v>0</v>
      </c>
      <c r="F41" s="358"/>
      <c r="G41" s="358"/>
      <c r="H41" s="358"/>
      <c r="I41" s="358"/>
      <c r="J41" s="358">
        <f>IF(cost_location=0,0.475,1)</f>
        <v>1</v>
      </c>
      <c r="K41" s="358">
        <f>IF(cost_location=0,0,1)</f>
        <v>1</v>
      </c>
      <c r="L41" s="358">
        <f>IF(cost_location=0,0.475,1)</f>
        <v>1</v>
      </c>
      <c r="M41" s="358"/>
      <c r="N41" s="358"/>
      <c r="O41" s="358"/>
      <c r="P41" s="358"/>
      <c r="Q41" s="358"/>
      <c r="R41" s="358">
        <f>IF(cost_location=0,0.475,1)*0.003</f>
        <v>3.0000000000000001E-3</v>
      </c>
      <c r="S41" s="358">
        <f>IF(cost_location=0,0.475,1)*0.02</f>
        <v>0.02</v>
      </c>
      <c r="T41" s="358"/>
      <c r="U41" s="357">
        <f>IF(cost_location=0,0.475,1)*0.02</f>
        <v>0.02</v>
      </c>
      <c r="V41" s="357">
        <v>0.03</v>
      </c>
      <c r="W41" s="358">
        <f>IF(cost_location=0,0.475,1)*0.08</f>
        <v>0.08</v>
      </c>
      <c r="X41" s="358"/>
      <c r="Y41" s="358"/>
      <c r="Z41" s="358">
        <v>3.0000000000000001E-3</v>
      </c>
      <c r="AA41" s="358">
        <v>0.03</v>
      </c>
      <c r="AB41" s="358">
        <v>3.0000000000000001E-3</v>
      </c>
    </row>
    <row r="42" spans="2:28">
      <c r="B42">
        <f t="shared" si="0"/>
        <v>37</v>
      </c>
      <c r="C42" s="558"/>
      <c r="D42" s="337" t="s">
        <v>112</v>
      </c>
      <c r="E42" s="358">
        <f t="shared" ca="1" si="2"/>
        <v>0</v>
      </c>
      <c r="F42" s="358"/>
      <c r="G42" s="358"/>
      <c r="H42" s="358"/>
      <c r="I42" s="358"/>
      <c r="J42" s="358">
        <v>0</v>
      </c>
      <c r="K42" s="358">
        <v>0</v>
      </c>
      <c r="L42" s="358">
        <v>0</v>
      </c>
      <c r="M42" s="358"/>
      <c r="N42" s="358"/>
      <c r="O42" s="358"/>
      <c r="P42" s="358"/>
      <c r="Q42" s="358"/>
      <c r="R42" s="358">
        <v>0</v>
      </c>
      <c r="S42" s="358">
        <v>0</v>
      </c>
      <c r="T42" s="358"/>
      <c r="U42" s="358">
        <v>0</v>
      </c>
      <c r="V42" s="358">
        <v>0</v>
      </c>
      <c r="W42" s="358">
        <v>0</v>
      </c>
      <c r="X42" s="358"/>
      <c r="Y42" s="358"/>
      <c r="Z42" s="358">
        <v>0</v>
      </c>
      <c r="AA42" s="358">
        <v>0</v>
      </c>
      <c r="AB42" s="358">
        <v>0</v>
      </c>
    </row>
    <row r="43" spans="2:28">
      <c r="B43">
        <f t="shared" si="0"/>
        <v>38</v>
      </c>
      <c r="C43" s="558"/>
      <c r="D43" s="339" t="s">
        <v>113</v>
      </c>
      <c r="E43" s="358">
        <f t="shared" ca="1" si="2"/>
        <v>0</v>
      </c>
      <c r="F43" s="358"/>
      <c r="G43" s="358"/>
      <c r="H43" s="358"/>
      <c r="I43" s="358"/>
      <c r="J43" s="358">
        <v>0</v>
      </c>
      <c r="K43" s="358">
        <v>0</v>
      </c>
      <c r="L43" s="358">
        <v>0</v>
      </c>
      <c r="M43" s="358"/>
      <c r="N43" s="358"/>
      <c r="O43" s="358"/>
      <c r="P43" s="358"/>
      <c r="Q43" s="358"/>
      <c r="R43" s="358">
        <v>0</v>
      </c>
      <c r="S43" s="358">
        <v>0</v>
      </c>
      <c r="T43" s="358"/>
      <c r="U43" s="358">
        <v>0</v>
      </c>
      <c r="V43" s="358">
        <v>0</v>
      </c>
      <c r="W43" s="358">
        <v>0</v>
      </c>
      <c r="X43" s="358"/>
      <c r="Y43" s="358"/>
      <c r="Z43" s="358">
        <v>0</v>
      </c>
      <c r="AA43" s="358">
        <v>0</v>
      </c>
      <c r="AB43" s="358">
        <v>0</v>
      </c>
    </row>
    <row r="44" spans="2:28">
      <c r="B44">
        <f t="shared" si="0"/>
        <v>39</v>
      </c>
      <c r="C44" s="559"/>
      <c r="D44" s="339" t="s">
        <v>117</v>
      </c>
      <c r="E44" s="358">
        <f t="shared" ca="1" si="2"/>
        <v>0</v>
      </c>
      <c r="F44" s="358"/>
      <c r="G44" s="358"/>
      <c r="H44" s="358"/>
      <c r="I44" s="358"/>
      <c r="J44" s="363">
        <v>1</v>
      </c>
      <c r="K44" s="358">
        <v>1</v>
      </c>
      <c r="L44" s="358">
        <v>1</v>
      </c>
      <c r="M44" s="363"/>
      <c r="N44" s="358"/>
      <c r="O44" s="358"/>
      <c r="P44" s="358"/>
      <c r="Q44" s="358"/>
      <c r="R44" s="358">
        <v>0</v>
      </c>
      <c r="S44" s="358">
        <v>0</v>
      </c>
      <c r="T44" s="358"/>
      <c r="U44" s="358">
        <v>0</v>
      </c>
      <c r="V44" s="358">
        <v>0</v>
      </c>
      <c r="W44" s="358">
        <v>0</v>
      </c>
      <c r="X44" s="358"/>
      <c r="Y44" s="358"/>
      <c r="Z44" s="358">
        <v>0</v>
      </c>
      <c r="AA44" s="358">
        <v>0</v>
      </c>
      <c r="AB44" s="358">
        <v>0</v>
      </c>
    </row>
    <row r="45" spans="2:28" ht="18" thickBot="1">
      <c r="B45">
        <f t="shared" si="0"/>
        <v>40</v>
      </c>
      <c r="C45" s="560"/>
      <c r="D45" s="359" t="s">
        <v>574</v>
      </c>
      <c r="E45" s="358">
        <f t="shared" ca="1" si="2"/>
        <v>0</v>
      </c>
      <c r="F45" s="358"/>
      <c r="G45" s="358"/>
      <c r="H45" s="358"/>
      <c r="I45" s="358"/>
      <c r="J45" s="361">
        <f>IF(cost_location=0,1,0.5)</f>
        <v>0.5</v>
      </c>
      <c r="K45" s="358">
        <v>1</v>
      </c>
      <c r="L45" s="358">
        <v>1</v>
      </c>
      <c r="M45" s="363"/>
      <c r="N45" s="358"/>
      <c r="O45" s="358"/>
      <c r="P45" s="358"/>
      <c r="Q45" s="358"/>
      <c r="R45" s="358">
        <v>1</v>
      </c>
      <c r="S45" s="358">
        <v>1</v>
      </c>
      <c r="T45" s="358"/>
      <c r="U45" s="358">
        <f>IF(cost_location=0,1,0.5)</f>
        <v>0.5</v>
      </c>
      <c r="V45" s="358">
        <v>1</v>
      </c>
      <c r="W45" s="358">
        <v>1</v>
      </c>
      <c r="X45" s="358"/>
      <c r="Y45" s="358"/>
      <c r="Z45" s="358"/>
      <c r="AA45" s="358"/>
      <c r="AB45" s="358"/>
    </row>
    <row r="46" spans="2:28">
      <c r="B46">
        <f t="shared" si="0"/>
        <v>41</v>
      </c>
      <c r="C46" s="557" t="s">
        <v>205</v>
      </c>
      <c r="D46" s="337" t="s">
        <v>555</v>
      </c>
      <c r="E46" s="358">
        <f t="shared" ca="1" si="2"/>
        <v>0</v>
      </c>
      <c r="F46" s="358"/>
      <c r="G46" s="358"/>
      <c r="H46" s="358"/>
      <c r="I46" s="358"/>
      <c r="J46" s="358" t="s">
        <v>596</v>
      </c>
      <c r="K46" s="358" t="str">
        <f>IF(type111="Y","","qx_jjsggm")</f>
        <v>qx_jjsggm</v>
      </c>
      <c r="L46" s="358" t="s">
        <v>1042</v>
      </c>
      <c r="M46" s="358"/>
      <c r="N46" s="358"/>
      <c r="O46" s="358"/>
      <c r="P46" s="358"/>
      <c r="Q46" s="358"/>
      <c r="R46" s="358" t="s">
        <v>858</v>
      </c>
      <c r="S46" s="358" t="s">
        <v>976</v>
      </c>
      <c r="T46" s="358"/>
      <c r="U46" s="358" t="s">
        <v>1057</v>
      </c>
      <c r="V46" s="358"/>
      <c r="W46" s="358" t="s">
        <v>863</v>
      </c>
      <c r="X46" s="358"/>
      <c r="Y46" s="358"/>
      <c r="Z46" s="358"/>
      <c r="AA46" s="358" t="s">
        <v>976</v>
      </c>
      <c r="AB46" s="358" t="s">
        <v>625</v>
      </c>
    </row>
    <row r="47" spans="2:28">
      <c r="B47">
        <f t="shared" si="0"/>
        <v>42</v>
      </c>
      <c r="C47" s="558"/>
      <c r="D47" s="337" t="s">
        <v>210</v>
      </c>
      <c r="E47" s="358">
        <f t="shared" ca="1" si="2"/>
        <v>0</v>
      </c>
      <c r="F47" s="358"/>
      <c r="G47" s="358"/>
      <c r="H47" s="358"/>
      <c r="I47" s="358"/>
      <c r="J47" s="358">
        <f>IF(cost_location=0,0.475,1)</f>
        <v>1</v>
      </c>
      <c r="K47" s="358">
        <f>IF(cost_location=0,0,1)</f>
        <v>1</v>
      </c>
      <c r="L47" s="358">
        <f>IF(cost_location=0,0.475,1)*0.5</f>
        <v>0.5</v>
      </c>
      <c r="M47" s="358"/>
      <c r="N47" s="358"/>
      <c r="O47" s="358"/>
      <c r="P47" s="358"/>
      <c r="Q47" s="358"/>
      <c r="R47" s="358">
        <f>IF(cost_location=0,0.475,1)*0.01</f>
        <v>0.01</v>
      </c>
      <c r="S47" s="358">
        <f>IF(cost_location=0,0.475,1)*0.05</f>
        <v>0.05</v>
      </c>
      <c r="T47" s="358"/>
      <c r="U47" s="357">
        <f>IF(cost_location=0,0.475,1)*0.1</f>
        <v>0.1</v>
      </c>
      <c r="V47" s="357"/>
      <c r="W47" s="358">
        <f>IF(cost_location=0,0.475,1)*0.01</f>
        <v>0.01</v>
      </c>
      <c r="X47" s="358"/>
      <c r="Y47" s="358"/>
      <c r="Z47" s="358"/>
      <c r="AA47" s="358">
        <v>0.05</v>
      </c>
      <c r="AB47" s="358">
        <v>0.01</v>
      </c>
    </row>
    <row r="48" spans="2:28">
      <c r="B48">
        <f t="shared" si="0"/>
        <v>43</v>
      </c>
      <c r="C48" s="558"/>
      <c r="D48" s="337" t="s">
        <v>112</v>
      </c>
      <c r="E48" s="358">
        <f t="shared" ca="1" si="2"/>
        <v>0</v>
      </c>
      <c r="F48" s="358"/>
      <c r="G48" s="358"/>
      <c r="H48" s="358"/>
      <c r="I48" s="358"/>
      <c r="J48" s="358">
        <v>0</v>
      </c>
      <c r="K48" s="358">
        <v>0</v>
      </c>
      <c r="L48" s="358">
        <v>0</v>
      </c>
      <c r="M48" s="358"/>
      <c r="N48" s="358"/>
      <c r="O48" s="358"/>
      <c r="P48" s="358"/>
      <c r="Q48" s="358"/>
      <c r="R48" s="358">
        <v>0</v>
      </c>
      <c r="S48" s="358">
        <v>0</v>
      </c>
      <c r="T48" s="358"/>
      <c r="U48" s="358">
        <v>0</v>
      </c>
      <c r="V48" s="358"/>
      <c r="W48" s="358">
        <v>0</v>
      </c>
      <c r="X48" s="358"/>
      <c r="Y48" s="358"/>
      <c r="Z48" s="358"/>
      <c r="AA48" s="358">
        <v>0</v>
      </c>
      <c r="AB48" s="358">
        <v>0</v>
      </c>
    </row>
    <row r="49" spans="2:28">
      <c r="B49">
        <f t="shared" si="0"/>
        <v>44</v>
      </c>
      <c r="C49" s="558"/>
      <c r="D49" s="339" t="s">
        <v>113</v>
      </c>
      <c r="E49" s="358">
        <f t="shared" ca="1" si="2"/>
        <v>0</v>
      </c>
      <c r="F49" s="358"/>
      <c r="G49" s="358"/>
      <c r="H49" s="358"/>
      <c r="I49" s="358"/>
      <c r="J49" s="358">
        <v>0</v>
      </c>
      <c r="K49" s="358">
        <v>0</v>
      </c>
      <c r="L49" s="358">
        <v>0</v>
      </c>
      <c r="M49" s="358"/>
      <c r="N49" s="358"/>
      <c r="O49" s="358"/>
      <c r="P49" s="358"/>
      <c r="Q49" s="358"/>
      <c r="R49" s="358">
        <v>0</v>
      </c>
      <c r="S49" s="358">
        <v>0</v>
      </c>
      <c r="T49" s="358"/>
      <c r="U49" s="358">
        <v>0</v>
      </c>
      <c r="V49" s="358"/>
      <c r="W49" s="358">
        <v>0</v>
      </c>
      <c r="X49" s="358"/>
      <c r="Y49" s="358"/>
      <c r="Z49" s="358"/>
      <c r="AA49" s="358">
        <v>0</v>
      </c>
      <c r="AB49" s="358">
        <v>0</v>
      </c>
    </row>
    <row r="50" spans="2:28">
      <c r="B50">
        <f t="shared" si="0"/>
        <v>45</v>
      </c>
      <c r="C50" s="559"/>
      <c r="D50" s="339" t="s">
        <v>117</v>
      </c>
      <c r="E50" s="363">
        <f t="shared" ca="1" si="2"/>
        <v>0</v>
      </c>
      <c r="F50" s="363"/>
      <c r="G50" s="363"/>
      <c r="H50" s="363"/>
      <c r="I50" s="363"/>
      <c r="J50" s="363">
        <v>1</v>
      </c>
      <c r="K50" s="363">
        <v>1</v>
      </c>
      <c r="L50" s="363">
        <v>1</v>
      </c>
      <c r="M50" s="363"/>
      <c r="N50" s="363"/>
      <c r="O50" s="363"/>
      <c r="P50" s="363"/>
      <c r="Q50" s="363"/>
      <c r="R50" s="363">
        <v>0</v>
      </c>
      <c r="S50" s="363">
        <v>0</v>
      </c>
      <c r="T50" s="363"/>
      <c r="U50" s="363">
        <v>0</v>
      </c>
      <c r="V50" s="363"/>
      <c r="W50" s="363">
        <v>0</v>
      </c>
      <c r="X50" s="363"/>
      <c r="Y50" s="363"/>
      <c r="Z50" s="363"/>
      <c r="AA50" s="363">
        <v>0</v>
      </c>
      <c r="AB50" s="363">
        <v>0</v>
      </c>
    </row>
    <row r="51" spans="2:28" ht="18" thickBot="1">
      <c r="B51">
        <f t="shared" si="0"/>
        <v>46</v>
      </c>
      <c r="C51" s="559"/>
      <c r="D51" s="359" t="s">
        <v>574</v>
      </c>
      <c r="E51" s="363">
        <f t="shared" ca="1" si="2"/>
        <v>0</v>
      </c>
      <c r="F51" s="363"/>
      <c r="G51" s="363"/>
      <c r="H51" s="363"/>
      <c r="I51" s="363"/>
      <c r="J51" s="361">
        <f>IF(cost_location=0,1,0.5)</f>
        <v>0.5</v>
      </c>
      <c r="K51" s="363">
        <v>1</v>
      </c>
      <c r="L51" s="363">
        <v>1</v>
      </c>
      <c r="M51" s="363"/>
      <c r="N51" s="363"/>
      <c r="O51" s="363"/>
      <c r="P51" s="363"/>
      <c r="Q51" s="363"/>
      <c r="R51" s="363">
        <v>1</v>
      </c>
      <c r="S51" s="363">
        <v>1</v>
      </c>
      <c r="T51" s="363"/>
      <c r="U51" s="363">
        <f>IF(cost_location=0,1,0.5)</f>
        <v>0.5</v>
      </c>
      <c r="V51" s="363"/>
      <c r="W51" s="363">
        <v>1</v>
      </c>
      <c r="X51" s="363"/>
      <c r="Y51" s="363"/>
      <c r="Z51" s="363"/>
      <c r="AA51" s="363">
        <v>0</v>
      </c>
      <c r="AB51" s="363"/>
    </row>
    <row r="52" spans="2:28">
      <c r="B52">
        <f t="shared" si="0"/>
        <v>47</v>
      </c>
      <c r="C52" s="557" t="s">
        <v>206</v>
      </c>
      <c r="D52" s="354" t="s">
        <v>555</v>
      </c>
      <c r="E52" s="356">
        <f t="shared" ca="1" si="2"/>
        <v>0</v>
      </c>
      <c r="F52" s="356"/>
      <c r="G52" s="356"/>
      <c r="H52" s="356"/>
      <c r="I52" s="356"/>
      <c r="J52" s="356" t="s">
        <v>597</v>
      </c>
      <c r="K52" s="356" t="str">
        <f>IF(type111="Y","","qx_jjjsb")</f>
        <v>qx_jjjsb</v>
      </c>
      <c r="L52" s="356" t="s">
        <v>1043</v>
      </c>
      <c r="M52" s="356"/>
      <c r="N52" s="356"/>
      <c r="O52" s="356"/>
      <c r="P52" s="356"/>
      <c r="Q52" s="356"/>
      <c r="R52" s="356"/>
      <c r="S52" s="356" t="s">
        <v>977</v>
      </c>
      <c r="T52" s="356"/>
      <c r="U52" s="356"/>
      <c r="V52" s="356"/>
      <c r="W52" s="356"/>
      <c r="X52" s="356"/>
      <c r="Y52" s="356"/>
      <c r="Z52" s="356"/>
      <c r="AA52" s="356" t="s">
        <v>977</v>
      </c>
      <c r="AB52" s="356"/>
    </row>
    <row r="53" spans="2:28">
      <c r="B53">
        <f t="shared" si="0"/>
        <v>48</v>
      </c>
      <c r="C53" s="558"/>
      <c r="D53" s="337" t="s">
        <v>210</v>
      </c>
      <c r="E53" s="358">
        <f t="shared" ca="1" si="2"/>
        <v>0</v>
      </c>
      <c r="F53" s="358"/>
      <c r="G53" s="358"/>
      <c r="H53" s="358"/>
      <c r="I53" s="358"/>
      <c r="J53" s="358">
        <f>IF(cost_location=0,0.475,1)</f>
        <v>1</v>
      </c>
      <c r="K53" s="358">
        <f>IF(cost_location=0,0,1)*0.5</f>
        <v>0.5</v>
      </c>
      <c r="L53" s="358">
        <f>IF(cost_location=0,0.475,1)*0.5</f>
        <v>0.5</v>
      </c>
      <c r="M53" s="358"/>
      <c r="N53" s="358"/>
      <c r="O53" s="358"/>
      <c r="P53" s="358"/>
      <c r="Q53" s="358"/>
      <c r="R53" s="358"/>
      <c r="S53" s="358">
        <f>IF(cost_location=0,0.475,1)*0.15</f>
        <v>0.15</v>
      </c>
      <c r="T53" s="358"/>
      <c r="U53" s="357"/>
      <c r="V53" s="357"/>
      <c r="W53" s="358"/>
      <c r="X53" s="358"/>
      <c r="Y53" s="358"/>
      <c r="Z53" s="358"/>
      <c r="AA53" s="358">
        <v>0.15</v>
      </c>
      <c r="AB53" s="358"/>
    </row>
    <row r="54" spans="2:28">
      <c r="B54">
        <f t="shared" si="0"/>
        <v>49</v>
      </c>
      <c r="C54" s="558"/>
      <c r="D54" s="337" t="s">
        <v>112</v>
      </c>
      <c r="E54" s="358">
        <f t="shared" ca="1" si="2"/>
        <v>0</v>
      </c>
      <c r="F54" s="358"/>
      <c r="G54" s="358"/>
      <c r="H54" s="358"/>
      <c r="I54" s="358"/>
      <c r="J54" s="358">
        <v>0</v>
      </c>
      <c r="K54" s="358">
        <v>0</v>
      </c>
      <c r="L54" s="358">
        <v>0</v>
      </c>
      <c r="M54" s="358"/>
      <c r="N54" s="506"/>
      <c r="O54" s="358"/>
      <c r="P54" s="358"/>
      <c r="Q54" s="358"/>
      <c r="R54" s="358"/>
      <c r="S54" s="358">
        <v>0</v>
      </c>
      <c r="T54" s="358"/>
      <c r="U54" s="358"/>
      <c r="V54" s="358"/>
      <c r="W54" s="358"/>
      <c r="X54" s="358"/>
      <c r="Y54" s="358"/>
      <c r="Z54" s="358"/>
      <c r="AA54" s="358">
        <v>0</v>
      </c>
      <c r="AB54" s="358"/>
    </row>
    <row r="55" spans="2:28">
      <c r="B55">
        <f t="shared" si="0"/>
        <v>50</v>
      </c>
      <c r="C55" s="558"/>
      <c r="D55" s="339" t="s">
        <v>113</v>
      </c>
      <c r="E55" s="358">
        <f t="shared" ca="1" si="2"/>
        <v>0</v>
      </c>
      <c r="F55" s="358"/>
      <c r="G55" s="358"/>
      <c r="H55" s="358"/>
      <c r="I55" s="358"/>
      <c r="J55" s="358">
        <v>0</v>
      </c>
      <c r="K55" s="358">
        <v>0</v>
      </c>
      <c r="L55" s="358">
        <v>0</v>
      </c>
      <c r="M55" s="358"/>
      <c r="N55" s="506"/>
      <c r="O55" s="358"/>
      <c r="P55" s="358"/>
      <c r="Q55" s="358"/>
      <c r="R55" s="358"/>
      <c r="S55" s="358">
        <v>0</v>
      </c>
      <c r="T55" s="358"/>
      <c r="U55" s="358"/>
      <c r="V55" s="358"/>
      <c r="W55" s="358"/>
      <c r="X55" s="358"/>
      <c r="Y55" s="358"/>
      <c r="Z55" s="358"/>
      <c r="AA55" s="358">
        <v>0</v>
      </c>
      <c r="AB55" s="358"/>
    </row>
    <row r="56" spans="2:28">
      <c r="B56">
        <f t="shared" si="0"/>
        <v>51</v>
      </c>
      <c r="C56" s="559"/>
      <c r="D56" s="339" t="s">
        <v>117</v>
      </c>
      <c r="E56" s="363">
        <f t="shared" ca="1" si="2"/>
        <v>0</v>
      </c>
      <c r="F56" s="363"/>
      <c r="G56" s="363"/>
      <c r="H56" s="363"/>
      <c r="I56" s="363"/>
      <c r="J56" s="363">
        <v>1</v>
      </c>
      <c r="K56" s="363">
        <v>1</v>
      </c>
      <c r="L56" s="363">
        <v>0</v>
      </c>
      <c r="M56" s="363"/>
      <c r="N56" s="507"/>
      <c r="O56" s="363"/>
      <c r="P56" s="363"/>
      <c r="Q56" s="363"/>
      <c r="R56" s="363"/>
      <c r="S56" s="363">
        <v>0</v>
      </c>
      <c r="T56" s="363"/>
      <c r="U56" s="363"/>
      <c r="V56" s="363"/>
      <c r="W56" s="363"/>
      <c r="X56" s="363"/>
      <c r="Y56" s="363"/>
      <c r="Z56" s="363"/>
      <c r="AA56" s="363">
        <v>0</v>
      </c>
      <c r="AB56" s="363"/>
    </row>
    <row r="57" spans="2:28" ht="18" thickBot="1">
      <c r="B57">
        <f t="shared" si="0"/>
        <v>52</v>
      </c>
      <c r="C57" s="560"/>
      <c r="D57" s="359" t="s">
        <v>574</v>
      </c>
      <c r="E57" s="361">
        <f t="shared" ca="1" si="2"/>
        <v>0</v>
      </c>
      <c r="F57" s="361"/>
      <c r="G57" s="361"/>
      <c r="H57" s="361"/>
      <c r="I57" s="361"/>
      <c r="J57" s="361">
        <f>IF(cost_location=0,1,0.5)</f>
        <v>0.5</v>
      </c>
      <c r="K57" s="361">
        <v>1</v>
      </c>
      <c r="L57" s="361">
        <v>1</v>
      </c>
      <c r="M57" s="361"/>
      <c r="N57" s="508"/>
      <c r="O57" s="361"/>
      <c r="P57" s="361"/>
      <c r="Q57" s="361"/>
      <c r="R57" s="361"/>
      <c r="S57" s="361">
        <v>1</v>
      </c>
      <c r="T57" s="361"/>
      <c r="U57" s="361"/>
      <c r="V57" s="361"/>
      <c r="W57" s="361"/>
      <c r="X57" s="361"/>
      <c r="Y57" s="361"/>
      <c r="Z57" s="361"/>
      <c r="AA57" s="361">
        <v>0</v>
      </c>
      <c r="AB57" s="361"/>
    </row>
    <row r="58" spans="2:28">
      <c r="B58">
        <f t="shared" si="0"/>
        <v>53</v>
      </c>
      <c r="C58" s="561" t="s">
        <v>207</v>
      </c>
      <c r="D58" s="342" t="s">
        <v>555</v>
      </c>
      <c r="E58" s="364">
        <f t="shared" ca="1" si="2"/>
        <v>0</v>
      </c>
      <c r="F58" s="364"/>
      <c r="G58" s="364"/>
      <c r="H58" s="364"/>
      <c r="I58" s="364"/>
      <c r="J58" s="364" t="s">
        <v>1003</v>
      </c>
      <c r="K58" s="364" t="s">
        <v>1040</v>
      </c>
      <c r="L58" s="364" t="str">
        <f>IF(type111="Y","","qx_a_openS")</f>
        <v>qx_a_openS</v>
      </c>
      <c r="M58" s="364"/>
      <c r="N58" s="364"/>
      <c r="O58" s="364"/>
      <c r="P58" s="364"/>
      <c r="Q58" s="364"/>
      <c r="R58" s="364"/>
      <c r="S58" s="364" t="s">
        <v>978</v>
      </c>
      <c r="T58" s="364"/>
      <c r="U58" s="364"/>
      <c r="V58" s="364"/>
      <c r="W58" s="364"/>
      <c r="X58" s="364"/>
      <c r="Y58" s="364"/>
      <c r="Z58" s="364"/>
      <c r="AA58" s="364" t="s">
        <v>978</v>
      </c>
      <c r="AB58" s="364"/>
    </row>
    <row r="59" spans="2:28">
      <c r="B59">
        <f t="shared" si="0"/>
        <v>54</v>
      </c>
      <c r="C59" s="562"/>
      <c r="D59" s="337" t="s">
        <v>210</v>
      </c>
      <c r="E59" s="358">
        <f t="shared" ca="1" si="2"/>
        <v>0</v>
      </c>
      <c r="F59" s="358"/>
      <c r="G59" s="358"/>
      <c r="H59" s="358"/>
      <c r="I59" s="358"/>
      <c r="J59" s="358">
        <f>IF(cost_location=0,0.475,1)</f>
        <v>1</v>
      </c>
      <c r="K59" s="358">
        <f>IF(cost_location=0,0.475*0.3,0.3)</f>
        <v>0.3</v>
      </c>
      <c r="L59" s="358">
        <v>0.3</v>
      </c>
      <c r="M59" s="358"/>
      <c r="N59" s="358"/>
      <c r="O59" s="358"/>
      <c r="P59" s="358"/>
      <c r="Q59" s="358"/>
      <c r="R59" s="358"/>
      <c r="S59" s="358">
        <f>IF(cost_location=0,0.475,1)*0.3</f>
        <v>0.3</v>
      </c>
      <c r="T59" s="358"/>
      <c r="U59" s="358"/>
      <c r="V59" s="358"/>
      <c r="W59" s="358"/>
      <c r="X59" s="358"/>
      <c r="Y59" s="358"/>
      <c r="Z59" s="358"/>
      <c r="AA59" s="358">
        <v>0.3</v>
      </c>
      <c r="AB59" s="358"/>
    </row>
    <row r="60" spans="2:28">
      <c r="B60">
        <f t="shared" si="0"/>
        <v>55</v>
      </c>
      <c r="C60" s="562"/>
      <c r="D60" s="337" t="s">
        <v>112</v>
      </c>
      <c r="E60" s="358">
        <f t="shared" ca="1" si="2"/>
        <v>0</v>
      </c>
      <c r="F60" s="358"/>
      <c r="G60" s="358"/>
      <c r="H60" s="358"/>
      <c r="I60" s="358"/>
      <c r="J60" s="358">
        <v>0</v>
      </c>
      <c r="K60" s="358">
        <v>0</v>
      </c>
      <c r="L60" s="358">
        <v>0</v>
      </c>
      <c r="M60" s="358"/>
      <c r="N60" s="358"/>
      <c r="O60" s="358"/>
      <c r="P60" s="358"/>
      <c r="Q60" s="358"/>
      <c r="R60" s="358"/>
      <c r="S60" s="358">
        <v>0</v>
      </c>
      <c r="T60" s="358"/>
      <c r="U60" s="358"/>
      <c r="V60" s="358"/>
      <c r="W60" s="358"/>
      <c r="X60" s="358"/>
      <c r="Y60" s="358"/>
      <c r="Z60" s="358"/>
      <c r="AA60" s="358">
        <v>0</v>
      </c>
      <c r="AB60" s="358"/>
    </row>
    <row r="61" spans="2:28">
      <c r="B61">
        <f t="shared" si="0"/>
        <v>56</v>
      </c>
      <c r="C61" s="562"/>
      <c r="D61" s="339" t="s">
        <v>113</v>
      </c>
      <c r="E61" s="358">
        <f t="shared" ca="1" si="2"/>
        <v>0</v>
      </c>
      <c r="F61" s="358"/>
      <c r="G61" s="358"/>
      <c r="H61" s="358"/>
      <c r="I61" s="358"/>
      <c r="J61" s="358">
        <v>0</v>
      </c>
      <c r="K61" s="358">
        <v>0</v>
      </c>
      <c r="L61" s="358">
        <v>0</v>
      </c>
      <c r="M61" s="358"/>
      <c r="N61" s="358"/>
      <c r="O61" s="358"/>
      <c r="P61" s="358"/>
      <c r="Q61" s="358"/>
      <c r="R61" s="358"/>
      <c r="S61" s="358">
        <v>0</v>
      </c>
      <c r="T61" s="358"/>
      <c r="U61" s="358"/>
      <c r="V61" s="358"/>
      <c r="W61" s="358"/>
      <c r="X61" s="358"/>
      <c r="Y61" s="358"/>
      <c r="Z61" s="358"/>
      <c r="AA61" s="358">
        <v>0</v>
      </c>
      <c r="AB61" s="358"/>
    </row>
    <row r="62" spans="2:28">
      <c r="B62">
        <f t="shared" si="0"/>
        <v>57</v>
      </c>
      <c r="C62" s="563"/>
      <c r="D62" s="339" t="s">
        <v>117</v>
      </c>
      <c r="E62" s="363">
        <f t="shared" ca="1" si="2"/>
        <v>0</v>
      </c>
      <c r="F62" s="363"/>
      <c r="G62" s="363"/>
      <c r="H62" s="363"/>
      <c r="I62" s="363"/>
      <c r="J62" s="363">
        <v>1</v>
      </c>
      <c r="K62" s="363">
        <v>1</v>
      </c>
      <c r="L62" s="363">
        <v>0</v>
      </c>
      <c r="M62" s="363"/>
      <c r="N62" s="363"/>
      <c r="O62" s="363"/>
      <c r="P62" s="363"/>
      <c r="Q62" s="363"/>
      <c r="R62" s="363"/>
      <c r="S62" s="363">
        <v>0</v>
      </c>
      <c r="T62" s="363"/>
      <c r="U62" s="363"/>
      <c r="V62" s="363"/>
      <c r="W62" s="363"/>
      <c r="X62" s="363"/>
      <c r="Y62" s="363"/>
      <c r="Z62" s="363"/>
      <c r="AA62" s="363">
        <v>0</v>
      </c>
      <c r="AB62" s="363"/>
    </row>
    <row r="63" spans="2:28" ht="18" thickBot="1">
      <c r="B63">
        <f t="shared" si="0"/>
        <v>58</v>
      </c>
      <c r="C63" s="563"/>
      <c r="D63" s="359" t="s">
        <v>574</v>
      </c>
      <c r="E63" s="363">
        <f t="shared" ca="1" si="2"/>
        <v>0</v>
      </c>
      <c r="F63" s="363"/>
      <c r="G63" s="363"/>
      <c r="H63" s="363"/>
      <c r="I63" s="363"/>
      <c r="J63" s="361">
        <f>IF(cost_location=0,1,0.5)</f>
        <v>0.5</v>
      </c>
      <c r="K63" s="363">
        <f>IF(cost_location=0,1,0.5)</f>
        <v>0.5</v>
      </c>
      <c r="L63" s="170">
        <v>1</v>
      </c>
      <c r="M63" s="363"/>
      <c r="N63" s="363"/>
      <c r="O63" s="363"/>
      <c r="P63" s="363"/>
      <c r="Q63" s="363"/>
      <c r="R63" s="363"/>
      <c r="S63" s="363">
        <v>1</v>
      </c>
      <c r="T63" s="363"/>
      <c r="U63" s="363"/>
      <c r="V63" s="363"/>
      <c r="W63" s="363"/>
      <c r="X63" s="363"/>
      <c r="Y63" s="363"/>
      <c r="Z63" s="363"/>
      <c r="AA63" s="363"/>
      <c r="AB63" s="363"/>
    </row>
    <row r="64" spans="2:28">
      <c r="B64">
        <f t="shared" si="0"/>
        <v>59</v>
      </c>
      <c r="C64" s="557" t="s">
        <v>208</v>
      </c>
      <c r="D64" s="354" t="s">
        <v>555</v>
      </c>
      <c r="E64" s="356">
        <f t="shared" ca="1" si="2"/>
        <v>0</v>
      </c>
      <c r="F64" s="356"/>
      <c r="G64" s="356"/>
      <c r="H64" s="356"/>
      <c r="I64" s="356"/>
      <c r="J64" s="356" t="s">
        <v>1006</v>
      </c>
      <c r="K64" s="356" t="str">
        <f>IF(type111="Y","","qx_gawasaki")</f>
        <v>qx_gawasaki</v>
      </c>
      <c r="L64" s="362"/>
      <c r="M64" s="362"/>
      <c r="N64" s="362"/>
      <c r="O64" s="356"/>
      <c r="P64" s="356"/>
      <c r="Q64" s="356"/>
      <c r="R64" s="356"/>
      <c r="S64" s="356"/>
      <c r="T64" s="356"/>
      <c r="U64" s="356"/>
      <c r="V64" s="356"/>
      <c r="W64" s="356"/>
      <c r="X64" s="356"/>
      <c r="Y64" s="356"/>
      <c r="Z64" s="356"/>
      <c r="AA64" s="356"/>
      <c r="AB64" s="356"/>
    </row>
    <row r="65" spans="2:28">
      <c r="B65">
        <f t="shared" si="0"/>
        <v>60</v>
      </c>
      <c r="C65" s="558"/>
      <c r="D65" s="337" t="s">
        <v>210</v>
      </c>
      <c r="E65" s="358">
        <f t="shared" ca="1" si="2"/>
        <v>0</v>
      </c>
      <c r="F65" s="358"/>
      <c r="G65" s="358"/>
      <c r="H65" s="358"/>
      <c r="I65" s="358"/>
      <c r="J65" s="358">
        <f>IF(cost_location=0,0.475,1)</f>
        <v>1</v>
      </c>
      <c r="K65" s="358">
        <f>IF(cost_location=0,0,1)*0.3</f>
        <v>0.3</v>
      </c>
      <c r="L65" s="162"/>
      <c r="M65" s="162"/>
      <c r="N65" s="162"/>
      <c r="O65" s="358"/>
      <c r="P65" s="358"/>
      <c r="Q65" s="358"/>
      <c r="R65" s="358"/>
      <c r="S65" s="358"/>
      <c r="T65" s="358"/>
      <c r="U65" s="358"/>
      <c r="V65" s="358"/>
      <c r="W65" s="358"/>
      <c r="X65" s="358"/>
      <c r="Y65" s="358"/>
      <c r="Z65" s="358"/>
      <c r="AA65" s="358"/>
      <c r="AB65" s="358"/>
    </row>
    <row r="66" spans="2:28">
      <c r="B66">
        <f t="shared" si="0"/>
        <v>61</v>
      </c>
      <c r="C66" s="558"/>
      <c r="D66" s="337" t="s">
        <v>112</v>
      </c>
      <c r="E66" s="358">
        <f t="shared" ca="1" si="2"/>
        <v>0</v>
      </c>
      <c r="F66" s="358"/>
      <c r="G66" s="358"/>
      <c r="H66" s="358"/>
      <c r="I66" s="358"/>
      <c r="J66" s="358">
        <v>0</v>
      </c>
      <c r="K66" s="358">
        <v>0</v>
      </c>
      <c r="L66" s="162"/>
      <c r="M66" s="162"/>
      <c r="N66" s="162"/>
      <c r="O66" s="358"/>
      <c r="P66" s="358"/>
      <c r="Q66" s="358"/>
      <c r="R66" s="358"/>
      <c r="S66" s="358"/>
      <c r="T66" s="358"/>
      <c r="U66" s="358"/>
      <c r="V66" s="358"/>
      <c r="W66" s="358"/>
      <c r="X66" s="358"/>
      <c r="Y66" s="358"/>
      <c r="Z66" s="358"/>
      <c r="AA66" s="358"/>
      <c r="AB66" s="358"/>
    </row>
    <row r="67" spans="2:28">
      <c r="B67">
        <f t="shared" si="0"/>
        <v>62</v>
      </c>
      <c r="C67" s="558"/>
      <c r="D67" s="339" t="s">
        <v>113</v>
      </c>
      <c r="E67" s="358">
        <f t="shared" ca="1" si="2"/>
        <v>0</v>
      </c>
      <c r="F67" s="358"/>
      <c r="G67" s="358"/>
      <c r="H67" s="358"/>
      <c r="I67" s="358"/>
      <c r="J67" s="358">
        <v>0</v>
      </c>
      <c r="K67" s="358">
        <v>0</v>
      </c>
      <c r="L67" s="162"/>
      <c r="M67" s="162"/>
      <c r="N67" s="162"/>
      <c r="O67" s="358"/>
      <c r="P67" s="358"/>
      <c r="Q67" s="358"/>
      <c r="R67" s="358"/>
      <c r="S67" s="358"/>
      <c r="T67" s="358"/>
      <c r="U67" s="358"/>
      <c r="V67" s="358"/>
      <c r="W67" s="358"/>
      <c r="X67" s="358"/>
      <c r="Y67" s="358"/>
      <c r="Z67" s="358"/>
      <c r="AA67" s="358"/>
      <c r="AB67" s="358"/>
    </row>
    <row r="68" spans="2:28">
      <c r="B68">
        <f t="shared" si="0"/>
        <v>63</v>
      </c>
      <c r="C68" s="559"/>
      <c r="D68" s="339" t="s">
        <v>117</v>
      </c>
      <c r="E68" s="363">
        <f t="shared" ca="1" si="2"/>
        <v>0</v>
      </c>
      <c r="F68" s="363"/>
      <c r="G68" s="363"/>
      <c r="H68" s="363"/>
      <c r="I68" s="363"/>
      <c r="J68" s="363">
        <v>1</v>
      </c>
      <c r="K68" s="363">
        <v>1</v>
      </c>
      <c r="L68" s="170"/>
      <c r="M68" s="170"/>
      <c r="N68" s="170"/>
      <c r="O68" s="363"/>
      <c r="P68" s="363"/>
      <c r="Q68" s="363"/>
      <c r="R68" s="363"/>
      <c r="S68" s="363"/>
      <c r="T68" s="363"/>
      <c r="U68" s="363"/>
      <c r="V68" s="363"/>
      <c r="W68" s="363"/>
      <c r="X68" s="363"/>
      <c r="Y68" s="363"/>
      <c r="Z68" s="363"/>
      <c r="AA68" s="363"/>
      <c r="AB68" s="363"/>
    </row>
    <row r="69" spans="2:28" ht="18" thickBot="1">
      <c r="B69">
        <f t="shared" si="0"/>
        <v>64</v>
      </c>
      <c r="C69" s="560"/>
      <c r="D69" s="359" t="s">
        <v>574</v>
      </c>
      <c r="E69" s="361">
        <f t="shared" ca="1" si="2"/>
        <v>0</v>
      </c>
      <c r="F69" s="361"/>
      <c r="G69" s="361"/>
      <c r="H69" s="361"/>
      <c r="I69" s="361"/>
      <c r="J69" s="361">
        <f>IF(cost_location=0,1,0.5)</f>
        <v>0.5</v>
      </c>
      <c r="K69" s="361">
        <v>1</v>
      </c>
      <c r="L69" s="361"/>
      <c r="M69" s="509"/>
      <c r="N69" s="509"/>
      <c r="O69" s="361"/>
      <c r="P69" s="361"/>
      <c r="Q69" s="361"/>
      <c r="R69" s="361"/>
      <c r="S69" s="361"/>
      <c r="T69" s="361"/>
      <c r="U69" s="361"/>
      <c r="V69" s="361"/>
      <c r="W69" s="361"/>
      <c r="X69" s="361"/>
      <c r="Y69" s="361"/>
      <c r="Z69" s="361"/>
      <c r="AA69" s="361"/>
      <c r="AB69" s="361"/>
    </row>
    <row r="70" spans="2:28">
      <c r="B70">
        <f t="shared" si="0"/>
        <v>65</v>
      </c>
      <c r="C70" s="561" t="s">
        <v>209</v>
      </c>
      <c r="D70" s="342" t="s">
        <v>555</v>
      </c>
      <c r="E70" s="364">
        <f t="shared" ca="1" si="2"/>
        <v>0</v>
      </c>
      <c r="F70" s="364"/>
      <c r="G70" s="364"/>
      <c r="H70" s="364"/>
      <c r="I70" s="364"/>
      <c r="J70" s="364"/>
      <c r="K70" s="364"/>
      <c r="L70" s="204"/>
      <c r="M70" s="204"/>
      <c r="N70" s="204"/>
      <c r="O70" s="364"/>
      <c r="P70" s="364"/>
      <c r="Q70" s="364"/>
      <c r="R70" s="364"/>
      <c r="S70" s="364"/>
      <c r="T70" s="364"/>
      <c r="U70" s="364"/>
      <c r="V70" s="364"/>
      <c r="W70" s="364"/>
      <c r="X70" s="364"/>
      <c r="Y70" s="364"/>
      <c r="Z70" s="364"/>
      <c r="AA70" s="364"/>
      <c r="AB70" s="364"/>
    </row>
    <row r="71" spans="2:28">
      <c r="B71">
        <f t="shared" si="0"/>
        <v>66</v>
      </c>
      <c r="C71" s="562"/>
      <c r="D71" s="337" t="s">
        <v>210</v>
      </c>
      <c r="E71" s="358">
        <f t="shared" ca="1" si="2"/>
        <v>0</v>
      </c>
      <c r="F71" s="358"/>
      <c r="G71" s="358"/>
      <c r="H71" s="358"/>
      <c r="I71" s="358"/>
      <c r="J71" s="358"/>
      <c r="K71" s="358"/>
      <c r="L71" s="162"/>
      <c r="M71" s="162"/>
      <c r="N71" s="162"/>
      <c r="O71" s="358"/>
      <c r="P71" s="358"/>
      <c r="Q71" s="358"/>
      <c r="R71" s="358"/>
      <c r="S71" s="358"/>
      <c r="T71" s="358"/>
      <c r="U71" s="358"/>
      <c r="V71" s="358"/>
      <c r="W71" s="358"/>
      <c r="X71" s="358"/>
      <c r="Y71" s="358"/>
      <c r="Z71" s="358"/>
      <c r="AA71" s="358"/>
      <c r="AB71" s="358"/>
    </row>
    <row r="72" spans="2:28">
      <c r="B72">
        <f t="shared" si="0"/>
        <v>67</v>
      </c>
      <c r="C72" s="562"/>
      <c r="D72" s="337" t="s">
        <v>112</v>
      </c>
      <c r="E72" s="358">
        <f t="shared" ca="1" si="2"/>
        <v>0</v>
      </c>
      <c r="F72" s="358"/>
      <c r="G72" s="358"/>
      <c r="H72" s="358"/>
      <c r="I72" s="358"/>
      <c r="J72" s="358"/>
      <c r="K72" s="358"/>
      <c r="L72" s="162"/>
      <c r="M72" s="162"/>
      <c r="N72" s="162"/>
      <c r="O72" s="358"/>
      <c r="P72" s="358"/>
      <c r="Q72" s="358"/>
      <c r="R72" s="358"/>
      <c r="S72" s="358"/>
      <c r="T72" s="358"/>
      <c r="U72" s="358"/>
      <c r="V72" s="358"/>
      <c r="W72" s="358"/>
      <c r="X72" s="358"/>
      <c r="Y72" s="358"/>
      <c r="Z72" s="358"/>
      <c r="AA72" s="358"/>
      <c r="AB72" s="358"/>
    </row>
    <row r="73" spans="2:28">
      <c r="B73">
        <f t="shared" si="0"/>
        <v>68</v>
      </c>
      <c r="C73" s="562"/>
      <c r="D73" s="339" t="s">
        <v>113</v>
      </c>
      <c r="E73" s="358">
        <f t="shared" ca="1" si="2"/>
        <v>0</v>
      </c>
      <c r="F73" s="358"/>
      <c r="G73" s="358"/>
      <c r="H73" s="358"/>
      <c r="I73" s="358"/>
      <c r="J73" s="358"/>
      <c r="K73" s="358"/>
      <c r="L73" s="162"/>
      <c r="M73" s="162"/>
      <c r="N73" s="162"/>
      <c r="O73" s="358"/>
      <c r="P73" s="358"/>
      <c r="Q73" s="358"/>
      <c r="R73" s="358"/>
      <c r="S73" s="358"/>
      <c r="T73" s="358"/>
      <c r="U73" s="358"/>
      <c r="V73" s="358"/>
      <c r="W73" s="358"/>
      <c r="X73" s="358"/>
      <c r="Y73" s="358"/>
      <c r="Z73" s="358"/>
      <c r="AA73" s="358"/>
      <c r="AB73" s="358"/>
    </row>
    <row r="74" spans="2:28">
      <c r="B74">
        <f t="shared" si="0"/>
        <v>69</v>
      </c>
      <c r="C74" s="563"/>
      <c r="D74" s="339" t="s">
        <v>117</v>
      </c>
      <c r="E74" s="363">
        <f t="shared" ca="1" si="2"/>
        <v>0</v>
      </c>
      <c r="F74" s="363"/>
      <c r="G74" s="363"/>
      <c r="H74" s="363"/>
      <c r="I74" s="363"/>
      <c r="J74" s="363"/>
      <c r="K74" s="363"/>
      <c r="L74" s="170"/>
      <c r="M74" s="170"/>
      <c r="N74" s="170"/>
      <c r="O74" s="363"/>
      <c r="P74" s="363"/>
      <c r="Q74" s="363"/>
      <c r="R74" s="363"/>
      <c r="S74" s="363"/>
      <c r="T74" s="363"/>
      <c r="U74" s="363"/>
      <c r="V74" s="363"/>
      <c r="W74" s="363"/>
      <c r="X74" s="363"/>
      <c r="Y74" s="363"/>
      <c r="Z74" s="363"/>
      <c r="AA74" s="363"/>
      <c r="AB74" s="363"/>
    </row>
    <row r="75" spans="2:28" ht="18" thickBot="1">
      <c r="B75">
        <f t="shared" ref="B75:B105" si="3">B74+1</f>
        <v>70</v>
      </c>
      <c r="C75" s="563"/>
      <c r="D75" s="359" t="s">
        <v>574</v>
      </c>
      <c r="E75" s="363">
        <f t="shared" ca="1" si="2"/>
        <v>0</v>
      </c>
      <c r="F75" s="363"/>
      <c r="G75" s="363"/>
      <c r="H75" s="363"/>
      <c r="I75" s="363"/>
      <c r="J75" s="363"/>
      <c r="K75" s="363"/>
      <c r="L75" s="363"/>
      <c r="M75" s="363"/>
      <c r="N75" s="363"/>
      <c r="O75" s="363"/>
      <c r="P75" s="363"/>
      <c r="Q75" s="363"/>
      <c r="R75" s="363"/>
      <c r="S75" s="363"/>
      <c r="T75" s="363"/>
      <c r="U75" s="363"/>
      <c r="V75" s="363"/>
      <c r="W75" s="363"/>
      <c r="X75" s="363"/>
      <c r="Y75" s="363"/>
      <c r="Z75" s="363"/>
      <c r="AA75" s="363"/>
      <c r="AB75" s="363"/>
    </row>
    <row r="76" spans="2:28">
      <c r="B76">
        <f t="shared" si="3"/>
        <v>71</v>
      </c>
      <c r="C76" s="557" t="s">
        <v>558</v>
      </c>
      <c r="D76" s="354" t="s">
        <v>555</v>
      </c>
      <c r="E76" s="356">
        <f t="shared" ca="1" si="2"/>
        <v>0</v>
      </c>
      <c r="F76" s="356"/>
      <c r="G76" s="356"/>
      <c r="H76" s="356"/>
      <c r="I76" s="356"/>
      <c r="J76" s="356"/>
      <c r="K76" s="356"/>
      <c r="L76" s="362"/>
      <c r="M76" s="362"/>
      <c r="N76" s="356"/>
      <c r="O76" s="356"/>
      <c r="P76" s="356"/>
      <c r="Q76" s="356"/>
      <c r="R76" s="356"/>
      <c r="S76" s="356"/>
      <c r="T76" s="356"/>
      <c r="U76" s="356"/>
      <c r="V76" s="356"/>
      <c r="W76" s="356"/>
      <c r="X76" s="356"/>
      <c r="Y76" s="356"/>
      <c r="Z76" s="356"/>
      <c r="AA76" s="356"/>
      <c r="AB76" s="356"/>
    </row>
    <row r="77" spans="2:28">
      <c r="B77">
        <f t="shared" si="3"/>
        <v>72</v>
      </c>
      <c r="C77" s="558"/>
      <c r="D77" s="337" t="s">
        <v>210</v>
      </c>
      <c r="E77" s="358">
        <f t="shared" ca="1" si="2"/>
        <v>0</v>
      </c>
      <c r="F77" s="358"/>
      <c r="G77" s="358"/>
      <c r="H77" s="358"/>
      <c r="I77" s="358"/>
      <c r="J77" s="358"/>
      <c r="K77" s="358"/>
      <c r="L77" s="162"/>
      <c r="M77" s="358"/>
      <c r="N77" s="358"/>
      <c r="O77" s="358"/>
      <c r="P77" s="358"/>
      <c r="Q77" s="358"/>
      <c r="R77" s="358"/>
      <c r="S77" s="358"/>
      <c r="T77" s="358"/>
      <c r="U77" s="358"/>
      <c r="V77" s="358"/>
      <c r="W77" s="358"/>
      <c r="X77" s="358"/>
      <c r="Y77" s="358"/>
      <c r="Z77" s="358"/>
      <c r="AA77" s="358"/>
      <c r="AB77" s="358"/>
    </row>
    <row r="78" spans="2:28">
      <c r="B78">
        <f t="shared" si="3"/>
        <v>73</v>
      </c>
      <c r="C78" s="558"/>
      <c r="D78" s="337" t="s">
        <v>112</v>
      </c>
      <c r="E78" s="358">
        <f t="shared" ca="1" si="2"/>
        <v>0</v>
      </c>
      <c r="F78" s="358"/>
      <c r="G78" s="358"/>
      <c r="H78" s="358"/>
      <c r="I78" s="358"/>
      <c r="J78" s="358"/>
      <c r="K78" s="358"/>
      <c r="L78" s="358"/>
      <c r="M78" s="358"/>
      <c r="N78" s="358"/>
      <c r="O78" s="358"/>
      <c r="P78" s="358"/>
      <c r="Q78" s="358"/>
      <c r="R78" s="358"/>
      <c r="S78" s="358"/>
      <c r="T78" s="358"/>
      <c r="U78" s="358"/>
      <c r="V78" s="358"/>
      <c r="W78" s="358"/>
      <c r="X78" s="358"/>
      <c r="Y78" s="358"/>
      <c r="Z78" s="358"/>
      <c r="AA78" s="358"/>
      <c r="AB78" s="358"/>
    </row>
    <row r="79" spans="2:28">
      <c r="B79">
        <f t="shared" si="3"/>
        <v>74</v>
      </c>
      <c r="C79" s="558"/>
      <c r="D79" s="339" t="s">
        <v>113</v>
      </c>
      <c r="E79" s="358">
        <f t="shared" ca="1" si="2"/>
        <v>0</v>
      </c>
      <c r="F79" s="358"/>
      <c r="G79" s="358"/>
      <c r="H79" s="358"/>
      <c r="I79" s="358"/>
      <c r="J79" s="358"/>
      <c r="K79" s="358"/>
      <c r="L79" s="358"/>
      <c r="M79" s="358"/>
      <c r="N79" s="358"/>
      <c r="O79" s="358"/>
      <c r="P79" s="358"/>
      <c r="Q79" s="358"/>
      <c r="R79" s="358"/>
      <c r="S79" s="358"/>
      <c r="T79" s="358"/>
      <c r="U79" s="358"/>
      <c r="V79" s="358"/>
      <c r="W79" s="358"/>
      <c r="X79" s="358"/>
      <c r="Y79" s="358"/>
      <c r="Z79" s="358"/>
      <c r="AA79" s="358"/>
      <c r="AB79" s="358"/>
    </row>
    <row r="80" spans="2:28">
      <c r="B80">
        <f t="shared" si="3"/>
        <v>75</v>
      </c>
      <c r="C80" s="559"/>
      <c r="D80" s="339" t="s">
        <v>117</v>
      </c>
      <c r="E80" s="363">
        <f t="shared" ca="1" si="2"/>
        <v>0</v>
      </c>
      <c r="F80" s="363"/>
      <c r="G80" s="363"/>
      <c r="H80" s="363"/>
      <c r="I80" s="363"/>
      <c r="J80" s="363"/>
      <c r="K80" s="363"/>
      <c r="L80" s="363"/>
      <c r="M80" s="363"/>
      <c r="N80" s="363"/>
      <c r="O80" s="363"/>
      <c r="P80" s="363"/>
      <c r="Q80" s="363"/>
      <c r="R80" s="363"/>
      <c r="S80" s="363"/>
      <c r="T80" s="363"/>
      <c r="U80" s="363"/>
      <c r="V80" s="363"/>
      <c r="W80" s="363"/>
      <c r="X80" s="363"/>
      <c r="Y80" s="363"/>
      <c r="Z80" s="363"/>
      <c r="AA80" s="363"/>
      <c r="AB80" s="363"/>
    </row>
    <row r="81" spans="2:28" ht="18" thickBot="1">
      <c r="B81">
        <f t="shared" si="3"/>
        <v>76</v>
      </c>
      <c r="C81" s="560"/>
      <c r="D81" s="359" t="s">
        <v>574</v>
      </c>
      <c r="E81" s="361">
        <f t="shared" ca="1" si="2"/>
        <v>0</v>
      </c>
      <c r="F81" s="361"/>
      <c r="G81" s="361"/>
      <c r="H81" s="361"/>
      <c r="I81" s="361"/>
      <c r="J81" s="361"/>
      <c r="K81" s="361"/>
      <c r="L81" s="361"/>
      <c r="M81" s="361"/>
      <c r="N81" s="361"/>
      <c r="O81" s="361"/>
      <c r="P81" s="361"/>
      <c r="Q81" s="361"/>
      <c r="R81" s="361"/>
      <c r="S81" s="361"/>
      <c r="T81" s="361"/>
      <c r="U81" s="361"/>
      <c r="V81" s="361"/>
      <c r="W81" s="361"/>
      <c r="X81" s="361"/>
      <c r="Y81" s="361"/>
      <c r="Z81" s="361"/>
      <c r="AA81" s="361"/>
      <c r="AB81" s="361"/>
    </row>
    <row r="82" spans="2:28">
      <c r="B82">
        <f t="shared" si="3"/>
        <v>77</v>
      </c>
      <c r="C82" s="561" t="s">
        <v>559</v>
      </c>
      <c r="D82" s="342" t="s">
        <v>555</v>
      </c>
      <c r="E82" s="364">
        <f t="shared" ca="1" si="2"/>
        <v>0</v>
      </c>
      <c r="F82" s="364"/>
      <c r="G82" s="364"/>
      <c r="H82" s="364"/>
      <c r="I82" s="364"/>
      <c r="J82" s="364"/>
      <c r="K82" s="364"/>
      <c r="L82" s="204"/>
      <c r="M82" s="204"/>
      <c r="N82" s="364"/>
      <c r="O82" s="364"/>
      <c r="P82" s="364"/>
      <c r="Q82" s="364"/>
      <c r="R82" s="364"/>
      <c r="S82" s="364"/>
      <c r="T82" s="364"/>
      <c r="U82" s="364"/>
      <c r="V82" s="364"/>
      <c r="W82" s="364"/>
      <c r="X82" s="364"/>
      <c r="Y82" s="364"/>
      <c r="Z82" s="364"/>
      <c r="AA82" s="364"/>
      <c r="AB82" s="364"/>
    </row>
    <row r="83" spans="2:28">
      <c r="B83">
        <f t="shared" si="3"/>
        <v>78</v>
      </c>
      <c r="C83" s="562"/>
      <c r="D83" s="337" t="s">
        <v>210</v>
      </c>
      <c r="E83" s="358">
        <f t="shared" ca="1" si="2"/>
        <v>0</v>
      </c>
      <c r="F83" s="358"/>
      <c r="G83" s="358"/>
      <c r="H83" s="358"/>
      <c r="I83" s="358"/>
      <c r="J83" s="358"/>
      <c r="K83" s="358"/>
      <c r="L83" s="162"/>
      <c r="M83" s="358"/>
      <c r="N83" s="358"/>
      <c r="O83" s="358"/>
      <c r="P83" s="358"/>
      <c r="Q83" s="358"/>
      <c r="R83" s="358"/>
      <c r="S83" s="358"/>
      <c r="T83" s="358"/>
      <c r="U83" s="358"/>
      <c r="V83" s="358"/>
      <c r="W83" s="358"/>
      <c r="X83" s="358"/>
      <c r="Y83" s="358"/>
      <c r="Z83" s="358"/>
      <c r="AA83" s="358"/>
      <c r="AB83" s="358"/>
    </row>
    <row r="84" spans="2:28">
      <c r="B84">
        <f t="shared" si="3"/>
        <v>79</v>
      </c>
      <c r="C84" s="562"/>
      <c r="D84" s="337" t="s">
        <v>112</v>
      </c>
      <c r="E84" s="358">
        <f t="shared" ca="1" si="2"/>
        <v>0</v>
      </c>
      <c r="F84" s="358"/>
      <c r="G84" s="358"/>
      <c r="H84" s="358"/>
      <c r="I84" s="358"/>
      <c r="J84" s="358"/>
      <c r="K84" s="358"/>
      <c r="L84" s="162"/>
      <c r="M84" s="358"/>
      <c r="N84" s="358"/>
      <c r="O84" s="358"/>
      <c r="P84" s="358"/>
      <c r="Q84" s="358"/>
      <c r="R84" s="358"/>
      <c r="S84" s="358"/>
      <c r="T84" s="358"/>
      <c r="U84" s="358"/>
      <c r="V84" s="358"/>
      <c r="W84" s="358"/>
      <c r="X84" s="358"/>
      <c r="Y84" s="358"/>
      <c r="Z84" s="358"/>
      <c r="AA84" s="358"/>
      <c r="AB84" s="358"/>
    </row>
    <row r="85" spans="2:28">
      <c r="B85">
        <f t="shared" si="3"/>
        <v>80</v>
      </c>
      <c r="C85" s="562"/>
      <c r="D85" s="339" t="s">
        <v>113</v>
      </c>
      <c r="E85" s="358">
        <f t="shared" ca="1" si="2"/>
        <v>0</v>
      </c>
      <c r="F85" s="358"/>
      <c r="G85" s="358"/>
      <c r="H85" s="358"/>
      <c r="I85" s="358"/>
      <c r="J85" s="358"/>
      <c r="K85" s="358"/>
      <c r="L85" s="162"/>
      <c r="M85" s="358"/>
      <c r="N85" s="358"/>
      <c r="O85" s="358"/>
      <c r="P85" s="358"/>
      <c r="Q85" s="358"/>
      <c r="R85" s="358"/>
      <c r="S85" s="358"/>
      <c r="T85" s="358"/>
      <c r="U85" s="358"/>
      <c r="V85" s="358"/>
      <c r="W85" s="358"/>
      <c r="X85" s="358"/>
      <c r="Y85" s="358"/>
      <c r="Z85" s="358"/>
      <c r="AA85" s="358"/>
      <c r="AB85" s="358"/>
    </row>
    <row r="86" spans="2:28">
      <c r="B86">
        <f t="shared" si="3"/>
        <v>81</v>
      </c>
      <c r="C86" s="563"/>
      <c r="D86" s="339" t="s">
        <v>117</v>
      </c>
      <c r="E86" s="363">
        <f t="shared" ca="1" si="2"/>
        <v>0</v>
      </c>
      <c r="F86" s="363"/>
      <c r="G86" s="363"/>
      <c r="H86" s="363"/>
      <c r="I86" s="363"/>
      <c r="J86" s="363"/>
      <c r="K86" s="363"/>
      <c r="L86" s="170"/>
      <c r="M86" s="363"/>
      <c r="N86" s="363"/>
      <c r="O86" s="363"/>
      <c r="P86" s="363"/>
      <c r="Q86" s="363"/>
      <c r="R86" s="363"/>
      <c r="S86" s="363"/>
      <c r="T86" s="363"/>
      <c r="U86" s="363"/>
      <c r="V86" s="363"/>
      <c r="W86" s="363"/>
      <c r="X86" s="363"/>
      <c r="Y86" s="363"/>
      <c r="Z86" s="363"/>
      <c r="AA86" s="363"/>
      <c r="AB86" s="363"/>
    </row>
    <row r="87" spans="2:28" ht="18" thickBot="1">
      <c r="B87">
        <f t="shared" si="3"/>
        <v>82</v>
      </c>
      <c r="C87" s="563"/>
      <c r="D87" s="359" t="s">
        <v>574</v>
      </c>
      <c r="E87" s="363">
        <f t="shared" ca="1" si="2"/>
        <v>0</v>
      </c>
      <c r="F87" s="363"/>
      <c r="G87" s="363"/>
      <c r="H87" s="363"/>
      <c r="I87" s="363"/>
      <c r="J87" s="363"/>
      <c r="K87" s="363"/>
      <c r="L87" s="170"/>
      <c r="M87" s="363"/>
      <c r="N87" s="363"/>
      <c r="O87" s="363"/>
      <c r="P87" s="363"/>
      <c r="Q87" s="363"/>
      <c r="R87" s="363"/>
      <c r="S87" s="363"/>
      <c r="T87" s="363"/>
      <c r="U87" s="363"/>
      <c r="V87" s="363"/>
      <c r="W87" s="363"/>
      <c r="X87" s="363"/>
      <c r="Y87" s="363"/>
      <c r="Z87" s="363"/>
      <c r="AA87" s="363"/>
      <c r="AB87" s="363"/>
    </row>
    <row r="88" spans="2:28">
      <c r="B88">
        <f t="shared" si="3"/>
        <v>83</v>
      </c>
      <c r="C88" s="557" t="s">
        <v>560</v>
      </c>
      <c r="D88" s="354" t="s">
        <v>555</v>
      </c>
      <c r="E88" s="356">
        <f t="shared" ca="1" si="2"/>
        <v>0</v>
      </c>
      <c r="F88" s="356"/>
      <c r="G88" s="356"/>
      <c r="H88" s="356"/>
      <c r="I88" s="356"/>
      <c r="J88" s="356"/>
      <c r="K88" s="356"/>
      <c r="L88" s="362"/>
      <c r="M88" s="362"/>
      <c r="N88" s="356"/>
      <c r="O88" s="356"/>
      <c r="P88" s="356"/>
      <c r="Q88" s="356"/>
      <c r="R88" s="356"/>
      <c r="S88" s="356"/>
      <c r="T88" s="356"/>
      <c r="U88" s="356"/>
      <c r="V88" s="356"/>
      <c r="W88" s="356"/>
      <c r="X88" s="356"/>
      <c r="Y88" s="356"/>
      <c r="Z88" s="356"/>
      <c r="AA88" s="356"/>
      <c r="AB88" s="356"/>
    </row>
    <row r="89" spans="2:28">
      <c r="B89">
        <f t="shared" si="3"/>
        <v>84</v>
      </c>
      <c r="C89" s="558"/>
      <c r="D89" s="337" t="s">
        <v>210</v>
      </c>
      <c r="E89" s="358">
        <f t="shared" ca="1" si="2"/>
        <v>0</v>
      </c>
      <c r="F89" s="358"/>
      <c r="G89" s="358"/>
      <c r="H89" s="358"/>
      <c r="I89" s="358"/>
      <c r="J89" s="358"/>
      <c r="K89" s="358"/>
      <c r="L89" s="162"/>
      <c r="M89" s="358"/>
      <c r="N89" s="358"/>
      <c r="O89" s="358"/>
      <c r="P89" s="358"/>
      <c r="Q89" s="358"/>
      <c r="R89" s="358"/>
      <c r="S89" s="358"/>
      <c r="T89" s="358"/>
      <c r="U89" s="358"/>
      <c r="V89" s="358"/>
      <c r="W89" s="358"/>
      <c r="X89" s="358"/>
      <c r="Y89" s="358"/>
      <c r="Z89" s="358"/>
      <c r="AA89" s="358"/>
      <c r="AB89" s="358"/>
    </row>
    <row r="90" spans="2:28">
      <c r="B90">
        <f t="shared" si="3"/>
        <v>85</v>
      </c>
      <c r="C90" s="558"/>
      <c r="D90" s="337" t="s">
        <v>112</v>
      </c>
      <c r="E90" s="358">
        <f t="shared" ca="1" si="2"/>
        <v>0</v>
      </c>
      <c r="F90" s="358"/>
      <c r="G90" s="358"/>
      <c r="H90" s="358"/>
      <c r="I90" s="358"/>
      <c r="J90" s="358"/>
      <c r="K90" s="358"/>
      <c r="L90" s="162"/>
      <c r="M90" s="358"/>
      <c r="N90" s="358"/>
      <c r="O90" s="358"/>
      <c r="P90" s="358"/>
      <c r="Q90" s="358"/>
      <c r="R90" s="358"/>
      <c r="S90" s="358"/>
      <c r="T90" s="358"/>
      <c r="U90" s="358"/>
      <c r="V90" s="358"/>
      <c r="W90" s="358"/>
      <c r="X90" s="358"/>
      <c r="Y90" s="358"/>
      <c r="Z90" s="358"/>
      <c r="AA90" s="358"/>
      <c r="AB90" s="358"/>
    </row>
    <row r="91" spans="2:28">
      <c r="B91">
        <f t="shared" si="3"/>
        <v>86</v>
      </c>
      <c r="C91" s="558"/>
      <c r="D91" s="339" t="s">
        <v>113</v>
      </c>
      <c r="E91" s="358">
        <f t="shared" ca="1" si="2"/>
        <v>0</v>
      </c>
      <c r="F91" s="358"/>
      <c r="G91" s="358"/>
      <c r="H91" s="358"/>
      <c r="I91" s="358"/>
      <c r="J91" s="358"/>
      <c r="K91" s="358"/>
      <c r="L91" s="162"/>
      <c r="M91" s="358"/>
      <c r="N91" s="358"/>
      <c r="O91" s="358"/>
      <c r="P91" s="358"/>
      <c r="Q91" s="358"/>
      <c r="R91" s="358"/>
      <c r="S91" s="358"/>
      <c r="T91" s="358"/>
      <c r="U91" s="358"/>
      <c r="V91" s="358"/>
      <c r="W91" s="358"/>
      <c r="X91" s="358"/>
      <c r="Y91" s="358"/>
      <c r="Z91" s="358"/>
      <c r="AA91" s="358"/>
      <c r="AB91" s="358"/>
    </row>
    <row r="92" spans="2:28">
      <c r="B92">
        <f t="shared" si="3"/>
        <v>87</v>
      </c>
      <c r="C92" s="559"/>
      <c r="D92" s="339" t="s">
        <v>117</v>
      </c>
      <c r="E92" s="363">
        <f t="shared" ca="1" si="2"/>
        <v>0</v>
      </c>
      <c r="F92" s="363"/>
      <c r="G92" s="363"/>
      <c r="H92" s="363"/>
      <c r="I92" s="363"/>
      <c r="J92" s="363"/>
      <c r="K92" s="363"/>
      <c r="L92" s="170"/>
      <c r="M92" s="363"/>
      <c r="N92" s="363"/>
      <c r="O92" s="363"/>
      <c r="P92" s="363"/>
      <c r="Q92" s="363"/>
      <c r="R92" s="363"/>
      <c r="S92" s="363"/>
      <c r="T92" s="363"/>
      <c r="U92" s="363"/>
      <c r="V92" s="363"/>
      <c r="W92" s="363"/>
      <c r="X92" s="363"/>
      <c r="Y92" s="363"/>
      <c r="Z92" s="363"/>
      <c r="AA92" s="363"/>
      <c r="AB92" s="363"/>
    </row>
    <row r="93" spans="2:28" ht="18" thickBot="1">
      <c r="B93">
        <f t="shared" si="3"/>
        <v>88</v>
      </c>
      <c r="C93" s="560"/>
      <c r="D93" s="359" t="s">
        <v>574</v>
      </c>
      <c r="E93" s="361">
        <f t="shared" ca="1" si="2"/>
        <v>0</v>
      </c>
      <c r="F93" s="361"/>
      <c r="G93" s="361"/>
      <c r="H93" s="361"/>
      <c r="I93" s="361"/>
      <c r="J93" s="361"/>
      <c r="K93" s="361"/>
      <c r="L93" s="361"/>
      <c r="M93" s="361"/>
      <c r="N93" s="361"/>
      <c r="O93" s="361"/>
      <c r="P93" s="361"/>
      <c r="Q93" s="361"/>
      <c r="R93" s="361"/>
      <c r="S93" s="361"/>
      <c r="T93" s="361"/>
      <c r="U93" s="361"/>
      <c r="V93" s="361"/>
      <c r="W93" s="361"/>
      <c r="X93" s="361"/>
      <c r="Y93" s="361"/>
      <c r="Z93" s="361"/>
      <c r="AA93" s="361"/>
      <c r="AB93" s="361"/>
    </row>
    <row r="94" spans="2:28">
      <c r="B94">
        <f t="shared" si="3"/>
        <v>89</v>
      </c>
      <c r="C94" s="561" t="s">
        <v>561</v>
      </c>
      <c r="D94" s="342" t="s">
        <v>555</v>
      </c>
      <c r="E94" s="364">
        <f t="shared" ca="1" si="2"/>
        <v>0</v>
      </c>
      <c r="F94" s="364"/>
      <c r="G94" s="364"/>
      <c r="H94" s="364"/>
      <c r="I94" s="364"/>
      <c r="J94" s="364"/>
      <c r="K94" s="364"/>
      <c r="L94" s="204"/>
      <c r="M94" s="364"/>
      <c r="N94" s="364"/>
      <c r="O94" s="364"/>
      <c r="P94" s="364"/>
      <c r="Q94" s="364"/>
      <c r="R94" s="364"/>
      <c r="S94" s="364"/>
      <c r="T94" s="364"/>
      <c r="U94" s="364"/>
      <c r="V94" s="364"/>
      <c r="W94" s="364"/>
      <c r="X94" s="364"/>
      <c r="Y94" s="364"/>
      <c r="Z94" s="364"/>
      <c r="AA94" s="364"/>
      <c r="AB94" s="364"/>
    </row>
    <row r="95" spans="2:28">
      <c r="B95">
        <f t="shared" si="3"/>
        <v>90</v>
      </c>
      <c r="C95" s="562"/>
      <c r="D95" s="337" t="s">
        <v>210</v>
      </c>
      <c r="E95" s="358">
        <f t="shared" ca="1" si="2"/>
        <v>0</v>
      </c>
      <c r="F95" s="358"/>
      <c r="G95" s="358"/>
      <c r="H95" s="358"/>
      <c r="I95" s="358"/>
      <c r="J95" s="358"/>
      <c r="K95" s="358"/>
      <c r="L95" s="162"/>
      <c r="M95" s="358"/>
      <c r="N95" s="358"/>
      <c r="O95" s="358"/>
      <c r="P95" s="358"/>
      <c r="Q95" s="358"/>
      <c r="R95" s="358"/>
      <c r="S95" s="358"/>
      <c r="T95" s="358"/>
      <c r="U95" s="358"/>
      <c r="V95" s="358"/>
      <c r="W95" s="358"/>
      <c r="X95" s="358"/>
      <c r="Y95" s="358"/>
      <c r="Z95" s="358"/>
      <c r="AA95" s="358"/>
      <c r="AB95" s="358"/>
    </row>
    <row r="96" spans="2:28">
      <c r="B96">
        <f t="shared" si="3"/>
        <v>91</v>
      </c>
      <c r="C96" s="562"/>
      <c r="D96" s="337" t="s">
        <v>112</v>
      </c>
      <c r="E96" s="358">
        <f t="shared" ca="1" si="2"/>
        <v>0</v>
      </c>
      <c r="F96" s="358"/>
      <c r="G96" s="358"/>
      <c r="H96" s="358"/>
      <c r="I96" s="358"/>
      <c r="J96" s="358"/>
      <c r="K96" s="358"/>
      <c r="L96" s="162"/>
      <c r="M96" s="358"/>
      <c r="N96" s="358"/>
      <c r="O96" s="358"/>
      <c r="P96" s="358"/>
      <c r="Q96" s="358"/>
      <c r="R96" s="358"/>
      <c r="S96" s="358"/>
      <c r="T96" s="358"/>
      <c r="U96" s="358"/>
      <c r="V96" s="358"/>
      <c r="W96" s="358"/>
      <c r="X96" s="358"/>
      <c r="Y96" s="358"/>
      <c r="Z96" s="358"/>
      <c r="AA96" s="358"/>
      <c r="AB96" s="358"/>
    </row>
    <row r="97" spans="2:28">
      <c r="B97">
        <f t="shared" si="3"/>
        <v>92</v>
      </c>
      <c r="C97" s="562"/>
      <c r="D97" s="339" t="s">
        <v>113</v>
      </c>
      <c r="E97" s="358">
        <f t="shared" ca="1" si="2"/>
        <v>0</v>
      </c>
      <c r="F97" s="358"/>
      <c r="G97" s="358"/>
      <c r="H97" s="358"/>
      <c r="I97" s="358"/>
      <c r="J97" s="358"/>
      <c r="K97" s="358"/>
      <c r="L97" s="162"/>
      <c r="M97" s="358"/>
      <c r="N97" s="358"/>
      <c r="O97" s="358"/>
      <c r="P97" s="358"/>
      <c r="Q97" s="358"/>
      <c r="R97" s="358"/>
      <c r="S97" s="358"/>
      <c r="T97" s="358"/>
      <c r="U97" s="358"/>
      <c r="V97" s="358"/>
      <c r="W97" s="358"/>
      <c r="X97" s="358"/>
      <c r="Y97" s="358"/>
      <c r="Z97" s="358"/>
      <c r="AA97" s="358"/>
      <c r="AB97" s="358"/>
    </row>
    <row r="98" spans="2:28">
      <c r="B98">
        <f t="shared" si="3"/>
        <v>93</v>
      </c>
      <c r="C98" s="562"/>
      <c r="D98" s="339" t="s">
        <v>117</v>
      </c>
      <c r="E98" s="358">
        <f t="shared" ref="E98:E105" ca="1" si="4">+OFFSET($E98,,$E$4)</f>
        <v>0</v>
      </c>
      <c r="F98" s="358"/>
      <c r="G98" s="358"/>
      <c r="H98" s="358"/>
      <c r="I98" s="358"/>
      <c r="J98" s="358"/>
      <c r="K98" s="358"/>
      <c r="L98" s="162"/>
      <c r="M98" s="358"/>
      <c r="N98" s="358"/>
      <c r="O98" s="358"/>
      <c r="P98" s="358"/>
      <c r="Q98" s="358"/>
      <c r="R98" s="358"/>
      <c r="S98" s="358"/>
      <c r="T98" s="358"/>
      <c r="U98" s="358"/>
      <c r="V98" s="358"/>
      <c r="W98" s="358"/>
      <c r="X98" s="358"/>
      <c r="Y98" s="358"/>
      <c r="Z98" s="358"/>
      <c r="AA98" s="358"/>
      <c r="AB98" s="358"/>
    </row>
    <row r="99" spans="2:28" ht="18" thickBot="1">
      <c r="B99">
        <f t="shared" si="3"/>
        <v>94</v>
      </c>
      <c r="C99" s="562"/>
      <c r="D99" s="359" t="s">
        <v>574</v>
      </c>
      <c r="E99" s="358">
        <f t="shared" ca="1" si="4"/>
        <v>0</v>
      </c>
      <c r="F99" s="358"/>
      <c r="G99" s="358"/>
      <c r="H99" s="358"/>
      <c r="I99" s="358"/>
      <c r="J99" s="358"/>
      <c r="K99" s="358"/>
      <c r="L99" s="358"/>
      <c r="M99" s="358"/>
      <c r="N99" s="358"/>
      <c r="O99" s="358"/>
      <c r="P99" s="358"/>
      <c r="Q99" s="358"/>
      <c r="R99" s="358"/>
      <c r="S99" s="358"/>
      <c r="T99" s="358"/>
      <c r="U99" s="358"/>
      <c r="V99" s="358"/>
      <c r="W99" s="358"/>
      <c r="X99" s="358"/>
      <c r="Y99" s="358"/>
      <c r="Z99" s="358"/>
      <c r="AA99" s="358"/>
      <c r="AB99" s="358"/>
    </row>
    <row r="100" spans="2:28">
      <c r="B100">
        <f t="shared" si="3"/>
        <v>95</v>
      </c>
      <c r="C100" s="562" t="s">
        <v>562</v>
      </c>
      <c r="D100" s="337" t="s">
        <v>555</v>
      </c>
      <c r="E100" s="358">
        <f t="shared" ca="1" si="4"/>
        <v>0</v>
      </c>
      <c r="F100" s="358"/>
      <c r="G100" s="358"/>
      <c r="H100" s="358"/>
      <c r="I100" s="358"/>
      <c r="J100" s="358"/>
      <c r="K100" s="358"/>
      <c r="L100" s="162"/>
      <c r="M100" s="358"/>
      <c r="N100" s="358"/>
      <c r="O100" s="358"/>
      <c r="P100" s="358"/>
      <c r="Q100" s="358"/>
      <c r="R100" s="358"/>
      <c r="S100" s="358"/>
      <c r="T100" s="358"/>
      <c r="U100" s="358"/>
      <c r="V100" s="358"/>
      <c r="W100" s="358"/>
      <c r="X100" s="358"/>
      <c r="Y100" s="358"/>
      <c r="Z100" s="358"/>
      <c r="AA100" s="358"/>
      <c r="AB100" s="358"/>
    </row>
    <row r="101" spans="2:28">
      <c r="B101">
        <f t="shared" si="3"/>
        <v>96</v>
      </c>
      <c r="C101" s="562"/>
      <c r="D101" s="337" t="s">
        <v>210</v>
      </c>
      <c r="E101" s="358">
        <f t="shared" ca="1" si="4"/>
        <v>0</v>
      </c>
      <c r="F101" s="358"/>
      <c r="G101" s="358"/>
      <c r="H101" s="358"/>
      <c r="I101" s="358"/>
      <c r="J101" s="358"/>
      <c r="K101" s="358"/>
      <c r="L101" s="162"/>
      <c r="M101" s="358"/>
      <c r="N101" s="358"/>
      <c r="O101" s="358"/>
      <c r="P101" s="358"/>
      <c r="Q101" s="358"/>
      <c r="R101" s="358"/>
      <c r="S101" s="358"/>
      <c r="T101" s="358"/>
      <c r="U101" s="358"/>
      <c r="V101" s="358"/>
      <c r="W101" s="358"/>
      <c r="X101" s="358"/>
      <c r="Y101" s="358"/>
      <c r="Z101" s="358"/>
      <c r="AA101" s="358"/>
      <c r="AB101" s="358"/>
    </row>
    <row r="102" spans="2:28">
      <c r="B102">
        <f t="shared" si="3"/>
        <v>97</v>
      </c>
      <c r="C102" s="562"/>
      <c r="D102" s="337" t="s">
        <v>112</v>
      </c>
      <c r="E102" s="358">
        <f t="shared" ca="1" si="4"/>
        <v>0</v>
      </c>
      <c r="F102" s="358"/>
      <c r="G102" s="358"/>
      <c r="H102" s="358"/>
      <c r="I102" s="358"/>
      <c r="J102" s="358"/>
      <c r="K102" s="358"/>
      <c r="L102" s="358"/>
      <c r="M102" s="358"/>
      <c r="N102" s="358"/>
      <c r="O102" s="358"/>
      <c r="P102" s="358"/>
      <c r="Q102" s="358"/>
      <c r="R102" s="358"/>
      <c r="S102" s="358"/>
      <c r="T102" s="358"/>
      <c r="U102" s="358"/>
      <c r="V102" s="358"/>
      <c r="W102" s="358"/>
      <c r="X102" s="358"/>
      <c r="Y102" s="358"/>
      <c r="Z102" s="358"/>
      <c r="AA102" s="358"/>
      <c r="AB102" s="358"/>
    </row>
    <row r="103" spans="2:28">
      <c r="B103">
        <f t="shared" si="3"/>
        <v>98</v>
      </c>
      <c r="C103" s="562"/>
      <c r="D103" s="339" t="s">
        <v>113</v>
      </c>
      <c r="E103" s="358">
        <f t="shared" ca="1" si="4"/>
        <v>0</v>
      </c>
      <c r="F103" s="358"/>
      <c r="G103" s="358"/>
      <c r="H103" s="358"/>
      <c r="I103" s="358"/>
      <c r="J103" s="358"/>
      <c r="K103" s="358"/>
      <c r="L103" s="358"/>
      <c r="M103" s="358"/>
      <c r="N103" s="358"/>
      <c r="O103" s="358"/>
      <c r="P103" s="358"/>
      <c r="Q103" s="358"/>
      <c r="R103" s="358"/>
      <c r="S103" s="358"/>
      <c r="T103" s="358"/>
      <c r="U103" s="358"/>
      <c r="V103" s="358"/>
      <c r="W103" s="358"/>
      <c r="X103" s="358"/>
      <c r="Y103" s="358"/>
      <c r="Z103" s="358"/>
      <c r="AA103" s="358"/>
      <c r="AB103" s="358"/>
    </row>
    <row r="104" spans="2:28">
      <c r="B104">
        <f t="shared" si="3"/>
        <v>99</v>
      </c>
      <c r="C104" s="562"/>
      <c r="D104" s="339" t="s">
        <v>117</v>
      </c>
      <c r="E104" s="358">
        <f t="shared" ca="1" si="4"/>
        <v>0</v>
      </c>
      <c r="F104" s="358"/>
      <c r="G104" s="358"/>
      <c r="H104" s="358"/>
      <c r="I104" s="358"/>
      <c r="J104" s="358"/>
      <c r="K104" s="358"/>
      <c r="L104" s="358"/>
      <c r="M104" s="358"/>
      <c r="N104" s="358"/>
      <c r="O104" s="358"/>
      <c r="P104" s="358"/>
      <c r="Q104" s="358"/>
      <c r="R104" s="358"/>
      <c r="S104" s="358"/>
      <c r="T104" s="358"/>
      <c r="U104" s="358"/>
      <c r="V104" s="358"/>
      <c r="W104" s="358"/>
      <c r="X104" s="358"/>
      <c r="Y104" s="358"/>
      <c r="Z104" s="358"/>
      <c r="AA104" s="358"/>
      <c r="AB104" s="358"/>
    </row>
    <row r="105" spans="2:28" ht="18" thickBot="1">
      <c r="B105">
        <f t="shared" si="3"/>
        <v>100</v>
      </c>
      <c r="C105" s="562"/>
      <c r="D105" s="359" t="s">
        <v>574</v>
      </c>
      <c r="E105" s="370">
        <f t="shared" ca="1" si="4"/>
        <v>0</v>
      </c>
      <c r="F105" s="370"/>
      <c r="G105" s="370"/>
      <c r="H105" s="358"/>
      <c r="I105" s="358"/>
      <c r="J105" s="358"/>
      <c r="K105" s="358"/>
      <c r="L105" s="358"/>
      <c r="M105" s="358"/>
      <c r="N105" s="358"/>
      <c r="O105" s="358"/>
      <c r="P105" s="358"/>
      <c r="Q105" s="358"/>
      <c r="R105" s="358"/>
      <c r="S105" s="358"/>
      <c r="T105" s="358"/>
      <c r="U105" s="358"/>
      <c r="V105" s="358"/>
      <c r="W105" s="358"/>
      <c r="X105" s="358"/>
      <c r="Y105" s="358"/>
      <c r="Z105" s="358"/>
      <c r="AA105" s="358"/>
      <c r="AB105" s="358"/>
    </row>
    <row r="106" spans="2:28">
      <c r="K106"/>
      <c r="L106"/>
      <c r="M106" s="13"/>
    </row>
    <row r="107" spans="2:28">
      <c r="K107"/>
      <c r="L107"/>
      <c r="M107" s="13"/>
    </row>
    <row r="108" spans="2:28">
      <c r="K108"/>
      <c r="L108"/>
      <c r="M108" s="13"/>
    </row>
    <row r="109" spans="2:28">
      <c r="K109"/>
      <c r="L109"/>
      <c r="M109" s="13"/>
    </row>
    <row r="110" spans="2:28">
      <c r="K110"/>
      <c r="L110"/>
      <c r="M110" s="13"/>
    </row>
    <row r="111" spans="2:28">
      <c r="K111"/>
      <c r="L111"/>
      <c r="M111" s="13"/>
    </row>
    <row r="112" spans="2:28">
      <c r="K112"/>
      <c r="L112"/>
      <c r="M112" s="13"/>
    </row>
    <row r="113" spans="3:63">
      <c r="K113"/>
      <c r="L113"/>
      <c r="M113" s="13"/>
    </row>
    <row r="114" spans="3:63">
      <c r="K114"/>
      <c r="L114"/>
      <c r="M114" s="13"/>
    </row>
    <row r="115" spans="3:63">
      <c r="K115"/>
      <c r="L115"/>
      <c r="M115" s="13"/>
    </row>
    <row r="116" spans="3:63">
      <c r="C116" s="681" t="s">
        <v>1068</v>
      </c>
      <c r="D116" s="681"/>
      <c r="E116" s="681"/>
      <c r="K116"/>
      <c r="L116"/>
      <c r="M116" s="13"/>
    </row>
    <row r="117" spans="3:63">
      <c r="K117"/>
      <c r="L117"/>
      <c r="M117" s="13"/>
    </row>
    <row r="118" spans="3:63">
      <c r="K118"/>
      <c r="L118"/>
      <c r="M118" s="13"/>
    </row>
    <row r="119" spans="3:63">
      <c r="K119"/>
      <c r="L119"/>
      <c r="M119" s="13"/>
    </row>
    <row r="120" spans="3:63">
      <c r="K120"/>
      <c r="L120"/>
      <c r="M120" s="13"/>
    </row>
    <row r="121" spans="3:63">
      <c r="K121"/>
      <c r="L121"/>
      <c r="M121" s="13"/>
    </row>
    <row r="122" spans="3:63">
      <c r="K122"/>
      <c r="L122"/>
      <c r="M122" s="13"/>
    </row>
    <row r="123" spans="3:63">
      <c r="K123"/>
      <c r="L123"/>
      <c r="M123" s="13"/>
    </row>
    <row r="124" spans="3:63">
      <c r="K124"/>
      <c r="L124"/>
      <c r="M124" s="13"/>
    </row>
    <row r="125" spans="3:63">
      <c r="K125"/>
      <c r="L125"/>
      <c r="M125" s="13"/>
    </row>
    <row r="126" spans="3:63">
      <c r="K126"/>
      <c r="L126"/>
      <c r="M126" s="13"/>
    </row>
    <row r="127" spans="3:63">
      <c r="F127" s="397">
        <v>0</v>
      </c>
      <c r="G127">
        <v>1</v>
      </c>
      <c r="H127" s="397">
        <v>2</v>
      </c>
      <c r="I127">
        <v>3</v>
      </c>
      <c r="J127">
        <v>4</v>
      </c>
      <c r="K127" s="397">
        <v>5</v>
      </c>
      <c r="L127">
        <v>6</v>
      </c>
      <c r="M127">
        <v>7</v>
      </c>
      <c r="N127" s="397">
        <v>8</v>
      </c>
      <c r="O127">
        <v>9</v>
      </c>
      <c r="P127">
        <v>10</v>
      </c>
      <c r="Q127" s="397">
        <v>11</v>
      </c>
      <c r="R127">
        <v>12</v>
      </c>
      <c r="S127">
        <v>13</v>
      </c>
      <c r="T127" s="397">
        <v>14</v>
      </c>
      <c r="U127">
        <v>15</v>
      </c>
      <c r="V127">
        <v>16</v>
      </c>
      <c r="W127" s="397">
        <v>17</v>
      </c>
      <c r="X127">
        <v>18</v>
      </c>
      <c r="Y127">
        <v>19</v>
      </c>
      <c r="Z127" s="397">
        <v>20</v>
      </c>
      <c r="AA127">
        <v>21</v>
      </c>
      <c r="AB127" s="397">
        <v>22</v>
      </c>
      <c r="AC127">
        <v>23</v>
      </c>
      <c r="AD127" s="397">
        <v>24</v>
      </c>
      <c r="AE127">
        <v>25</v>
      </c>
      <c r="AF127" s="397">
        <v>26</v>
      </c>
      <c r="AG127">
        <v>27</v>
      </c>
      <c r="AH127" s="397">
        <v>28</v>
      </c>
      <c r="AI127">
        <v>29</v>
      </c>
      <c r="AJ127">
        <v>30</v>
      </c>
      <c r="AK127" s="397">
        <v>31</v>
      </c>
      <c r="AL127">
        <v>32</v>
      </c>
      <c r="AM127">
        <v>33</v>
      </c>
      <c r="AN127" s="397">
        <v>34</v>
      </c>
      <c r="AO127">
        <v>35</v>
      </c>
      <c r="AP127">
        <v>36</v>
      </c>
      <c r="AQ127" s="397">
        <v>37</v>
      </c>
      <c r="AR127">
        <v>38</v>
      </c>
      <c r="AS127">
        <v>39</v>
      </c>
      <c r="AT127" s="397">
        <v>40</v>
      </c>
      <c r="AU127">
        <v>41</v>
      </c>
      <c r="AV127">
        <v>42</v>
      </c>
      <c r="AW127" s="397">
        <v>43</v>
      </c>
      <c r="AX127">
        <v>44</v>
      </c>
      <c r="AY127" s="397">
        <v>45</v>
      </c>
      <c r="AZ127">
        <v>46</v>
      </c>
      <c r="BA127" s="397">
        <v>47</v>
      </c>
      <c r="BB127" s="397">
        <v>48</v>
      </c>
      <c r="BC127" s="397">
        <v>49</v>
      </c>
      <c r="BD127">
        <v>50</v>
      </c>
      <c r="BE127">
        <v>51</v>
      </c>
      <c r="BF127" s="397">
        <v>52</v>
      </c>
      <c r="BG127">
        <v>53</v>
      </c>
      <c r="BH127">
        <v>54</v>
      </c>
      <c r="BI127" s="397">
        <v>55</v>
      </c>
      <c r="BJ127">
        <v>56</v>
      </c>
      <c r="BK127">
        <v>57</v>
      </c>
    </row>
    <row r="128" spans="3:63" s="398" customFormat="1">
      <c r="C128" s="399">
        <v>0</v>
      </c>
      <c r="D128" s="400"/>
      <c r="F128" s="398">
        <v>1</v>
      </c>
      <c r="H128" s="398">
        <v>2</v>
      </c>
      <c r="K128" s="398">
        <v>3</v>
      </c>
      <c r="N128" s="398">
        <v>4</v>
      </c>
      <c r="Q128" s="398">
        <v>5</v>
      </c>
      <c r="T128" s="398">
        <v>6</v>
      </c>
      <c r="W128" s="398">
        <v>7</v>
      </c>
      <c r="Z128" s="398">
        <v>8</v>
      </c>
      <c r="AB128" s="398">
        <v>9</v>
      </c>
      <c r="AD128" s="398">
        <v>10</v>
      </c>
      <c r="AF128" s="398">
        <v>11</v>
      </c>
      <c r="AH128" s="398">
        <v>12</v>
      </c>
      <c r="AK128" s="398">
        <v>13</v>
      </c>
      <c r="AN128" s="398">
        <v>14</v>
      </c>
      <c r="AQ128" s="398">
        <v>15</v>
      </c>
      <c r="AT128" s="398">
        <v>16</v>
      </c>
      <c r="AW128" s="398">
        <v>17</v>
      </c>
      <c r="AY128" s="398">
        <v>18</v>
      </c>
      <c r="BA128" s="398">
        <v>19</v>
      </c>
      <c r="BB128" s="398">
        <v>20</v>
      </c>
      <c r="BC128" s="398">
        <v>21</v>
      </c>
      <c r="BF128" s="398">
        <v>22</v>
      </c>
      <c r="BI128" s="398">
        <v>23</v>
      </c>
    </row>
    <row r="129" spans="1:63">
      <c r="C129" s="401">
        <v>1</v>
      </c>
      <c r="F129" s="564" t="s">
        <v>577</v>
      </c>
      <c r="G129" s="566"/>
      <c r="H129" s="564" t="s">
        <v>942</v>
      </c>
      <c r="I129" s="565"/>
      <c r="J129" s="566"/>
      <c r="K129" s="668" t="s">
        <v>943</v>
      </c>
      <c r="L129" s="669"/>
      <c r="M129" s="670"/>
      <c r="N129" s="564" t="s">
        <v>944</v>
      </c>
      <c r="O129" s="565"/>
      <c r="P129" s="566"/>
      <c r="Q129" s="564" t="s">
        <v>945</v>
      </c>
      <c r="R129" s="565"/>
      <c r="S129" s="566"/>
      <c r="T129" s="564" t="s">
        <v>946</v>
      </c>
      <c r="U129" s="565"/>
      <c r="V129" s="566"/>
      <c r="W129" s="564" t="s">
        <v>947</v>
      </c>
      <c r="X129" s="565"/>
      <c r="Y129" s="566"/>
      <c r="Z129" s="564" t="s">
        <v>948</v>
      </c>
      <c r="AA129" s="566"/>
      <c r="AB129" s="564" t="s">
        <v>949</v>
      </c>
      <c r="AC129" s="566"/>
      <c r="AD129" s="564" t="s">
        <v>950</v>
      </c>
      <c r="AE129" s="566"/>
      <c r="AF129" s="564" t="s">
        <v>951</v>
      </c>
      <c r="AG129" s="566"/>
      <c r="AH129" s="564" t="s">
        <v>952</v>
      </c>
      <c r="AI129" s="565"/>
      <c r="AJ129" s="566"/>
      <c r="AK129" s="564" t="s">
        <v>953</v>
      </c>
      <c r="AL129" s="565"/>
      <c r="AM129" s="566"/>
      <c r="AN129" s="564" t="s">
        <v>954</v>
      </c>
      <c r="AO129" s="565"/>
      <c r="AP129" s="566"/>
      <c r="AQ129" s="564" t="s">
        <v>955</v>
      </c>
      <c r="AR129" s="565"/>
      <c r="AS129" s="566"/>
      <c r="AT129" s="564" t="s">
        <v>956</v>
      </c>
      <c r="AU129" s="565"/>
      <c r="AV129" s="565"/>
      <c r="AW129" s="564" t="s">
        <v>957</v>
      </c>
      <c r="AX129" s="566"/>
      <c r="AY129" s="564" t="s">
        <v>958</v>
      </c>
      <c r="AZ129" s="566"/>
      <c r="BA129" s="396" t="s">
        <v>959</v>
      </c>
      <c r="BB129" s="396" t="s">
        <v>960</v>
      </c>
      <c r="BC129" s="569" t="s">
        <v>961</v>
      </c>
      <c r="BD129" s="570"/>
      <c r="BE129" s="571"/>
      <c r="BF129" s="569" t="s">
        <v>962</v>
      </c>
      <c r="BG129" s="570"/>
      <c r="BH129" s="571"/>
      <c r="BI129" s="564" t="s">
        <v>963</v>
      </c>
      <c r="BJ129" s="565"/>
      <c r="BK129" s="566"/>
    </row>
    <row r="130" spans="1:63" ht="18" thickBot="1">
      <c r="C130" s="401">
        <v>2</v>
      </c>
      <c r="D130" s="553" t="s">
        <v>973</v>
      </c>
      <c r="E130" s="554" t="s">
        <v>12</v>
      </c>
      <c r="F130" s="402" t="s">
        <v>964</v>
      </c>
      <c r="G130" s="403" t="s">
        <v>965</v>
      </c>
      <c r="H130" s="402" t="s">
        <v>964</v>
      </c>
      <c r="I130" s="404">
        <v>30</v>
      </c>
      <c r="J130" s="405">
        <v>100</v>
      </c>
      <c r="K130" s="671" t="s">
        <v>964</v>
      </c>
      <c r="L130" s="672">
        <v>30</v>
      </c>
      <c r="M130" s="673">
        <v>100</v>
      </c>
      <c r="N130" s="402" t="s">
        <v>964</v>
      </c>
      <c r="O130" s="404">
        <v>30</v>
      </c>
      <c r="P130" s="405">
        <v>100</v>
      </c>
      <c r="Q130" s="402" t="s">
        <v>964</v>
      </c>
      <c r="R130" s="404">
        <v>30</v>
      </c>
      <c r="S130" s="405">
        <v>100</v>
      </c>
      <c r="T130" s="402" t="s">
        <v>964</v>
      </c>
      <c r="U130" s="404">
        <v>30</v>
      </c>
      <c r="V130" s="405">
        <v>100</v>
      </c>
      <c r="W130" s="402" t="s">
        <v>964</v>
      </c>
      <c r="X130" s="404">
        <v>30</v>
      </c>
      <c r="Y130" s="405">
        <v>100</v>
      </c>
      <c r="Z130" s="402" t="s">
        <v>964</v>
      </c>
      <c r="AA130" s="405" t="s">
        <v>965</v>
      </c>
      <c r="AB130" s="402" t="s">
        <v>964</v>
      </c>
      <c r="AC130" s="405" t="s">
        <v>965</v>
      </c>
      <c r="AD130" s="402" t="s">
        <v>964</v>
      </c>
      <c r="AE130" s="405" t="s">
        <v>966</v>
      </c>
      <c r="AF130" s="402" t="s">
        <v>964</v>
      </c>
      <c r="AG130" s="405" t="s">
        <v>966</v>
      </c>
      <c r="AH130" s="402" t="s">
        <v>964</v>
      </c>
      <c r="AI130" s="404">
        <v>30</v>
      </c>
      <c r="AJ130" s="405">
        <v>100</v>
      </c>
      <c r="AK130" s="402" t="s">
        <v>964</v>
      </c>
      <c r="AL130" s="404">
        <v>30</v>
      </c>
      <c r="AM130" s="405">
        <v>100</v>
      </c>
      <c r="AN130" s="402" t="s">
        <v>964</v>
      </c>
      <c r="AO130" s="404">
        <v>30</v>
      </c>
      <c r="AP130" s="405">
        <v>100</v>
      </c>
      <c r="AQ130" s="402" t="s">
        <v>964</v>
      </c>
      <c r="AR130" s="404">
        <v>30</v>
      </c>
      <c r="AS130" s="405">
        <v>100</v>
      </c>
      <c r="AT130" s="402" t="s">
        <v>964</v>
      </c>
      <c r="AU130" s="404">
        <v>30</v>
      </c>
      <c r="AV130" s="404">
        <v>100</v>
      </c>
      <c r="AW130" s="406">
        <v>30</v>
      </c>
      <c r="AX130" s="405">
        <v>100</v>
      </c>
      <c r="AY130" s="406" t="s">
        <v>964</v>
      </c>
      <c r="AZ130" s="405" t="s">
        <v>965</v>
      </c>
      <c r="BA130" s="407">
        <v>30</v>
      </c>
      <c r="BB130" s="407"/>
      <c r="BC130" s="402" t="s">
        <v>967</v>
      </c>
      <c r="BD130" s="408">
        <v>1</v>
      </c>
      <c r="BE130" s="409">
        <v>5</v>
      </c>
      <c r="BF130" s="402" t="s">
        <v>967</v>
      </c>
      <c r="BG130" s="408">
        <v>1</v>
      </c>
      <c r="BH130" s="409">
        <v>5</v>
      </c>
      <c r="BI130" s="402" t="s">
        <v>967</v>
      </c>
      <c r="BJ130" s="408">
        <v>1</v>
      </c>
      <c r="BK130" s="409">
        <v>5</v>
      </c>
    </row>
    <row r="131" spans="1:63" s="352" customFormat="1">
      <c r="A131"/>
      <c r="B131"/>
      <c r="C131" s="401">
        <v>3</v>
      </c>
      <c r="D131" s="567" t="s">
        <v>923</v>
      </c>
      <c r="E131" s="568"/>
      <c r="F131" s="482">
        <f>0.039*n</f>
        <v>0.85799999999999998</v>
      </c>
      <c r="G131" s="411">
        <f>0.04*MIN(n,20)</f>
        <v>0.8</v>
      </c>
      <c r="H131" s="412">
        <v>3.9E-2</v>
      </c>
      <c r="I131" s="413">
        <f>0.04*MIN(n,20)</f>
        <v>0.8</v>
      </c>
      <c r="J131" s="414">
        <f>0.04*MIN(n,20)</f>
        <v>0.8</v>
      </c>
      <c r="K131" s="674">
        <v>3.9E-2</v>
      </c>
      <c r="L131" s="421">
        <f>0.04*MIN(n,20)</f>
        <v>0.8</v>
      </c>
      <c r="M131" s="422">
        <f>0.04*MIN(n,20)</f>
        <v>0.8</v>
      </c>
      <c r="N131" s="412">
        <v>3.9E-2</v>
      </c>
      <c r="O131" s="421">
        <f>0.04*MIN(n,20)</f>
        <v>0.8</v>
      </c>
      <c r="P131" s="414">
        <f>0.04*MIN(n,20)</f>
        <v>0.8</v>
      </c>
      <c r="Q131" s="412">
        <v>3.9E-2</v>
      </c>
      <c r="R131" s="413">
        <f>0.039*MIN(n,20)</f>
        <v>0.78</v>
      </c>
      <c r="S131" s="414">
        <f>0.04*MIN(n,20)</f>
        <v>0.8</v>
      </c>
      <c r="T131" s="412"/>
      <c r="U131" s="413">
        <f>0.04*MIN(n,20)</f>
        <v>0.8</v>
      </c>
      <c r="V131" s="413">
        <f>0.04*MIN(n,20)</f>
        <v>0.8</v>
      </c>
      <c r="W131" s="412">
        <v>0.04</v>
      </c>
      <c r="X131" s="413">
        <f>0.04*MIN(n,20)</f>
        <v>0.8</v>
      </c>
      <c r="Y131" s="413">
        <f>0.04*MIN(n,20)</f>
        <v>0.8</v>
      </c>
      <c r="Z131" s="412"/>
      <c r="AA131" s="414">
        <f>0.04*MIN(n,20)</f>
        <v>0.8</v>
      </c>
      <c r="AB131" s="412"/>
      <c r="AC131" s="414">
        <f>0.04*MIN(n,20)</f>
        <v>0.8</v>
      </c>
      <c r="AD131" s="412">
        <f>0.04*MIN(n,20)</f>
        <v>0.8</v>
      </c>
      <c r="AE131" s="414">
        <f>0.04*MIN(n,20)</f>
        <v>0.8</v>
      </c>
      <c r="AF131" s="412"/>
      <c r="AG131" s="414">
        <f>0.04*MIN(n,20)</f>
        <v>0.8</v>
      </c>
      <c r="AH131" s="412">
        <f>0.015*MIN(n,20)</f>
        <v>0.3</v>
      </c>
      <c r="AI131" s="413">
        <f>0.04*MIN(n,20)</f>
        <v>0.8</v>
      </c>
      <c r="AJ131" s="413">
        <f>0.04*MIN(n,20)</f>
        <v>0.8</v>
      </c>
      <c r="AK131" s="412">
        <v>0.04</v>
      </c>
      <c r="AL131" s="413">
        <f>0.04*MIN(n,20)</f>
        <v>0.8</v>
      </c>
      <c r="AM131" s="413">
        <f>0.04*MIN(n,20)</f>
        <v>0.8</v>
      </c>
      <c r="AN131" s="412">
        <v>3.9E-2</v>
      </c>
      <c r="AO131" s="413">
        <f>0.04*MIN(n,20)</f>
        <v>0.8</v>
      </c>
      <c r="AP131" s="413">
        <f>0.04*MIN(n,20)</f>
        <v>0.8</v>
      </c>
      <c r="AQ131" s="412">
        <v>3.9E-2</v>
      </c>
      <c r="AR131" s="413">
        <f>0.04*MIN(n,20)</f>
        <v>0.8</v>
      </c>
      <c r="AS131" s="413">
        <f>0.04*MIN(n,20)</f>
        <v>0.8</v>
      </c>
      <c r="AT131" s="412">
        <v>3.9E-2</v>
      </c>
      <c r="AU131" s="413">
        <f>0.04*MIN(n,20)</f>
        <v>0.8</v>
      </c>
      <c r="AV131" s="413">
        <f>0.04*MIN(n,20)</f>
        <v>0.8</v>
      </c>
      <c r="AW131" s="412">
        <f>0.04*MIN(n,20)</f>
        <v>0.8</v>
      </c>
      <c r="AX131" s="414">
        <f>0.04*MIN(n,20)</f>
        <v>0.8</v>
      </c>
      <c r="AY131" s="412">
        <f>0.039*n</f>
        <v>0.85799999999999998</v>
      </c>
      <c r="AZ131" s="414">
        <f>0.04*MIN(n,20)</f>
        <v>0.8</v>
      </c>
      <c r="BA131" s="415">
        <f>0.04*MIN(n,20)</f>
        <v>0.8</v>
      </c>
      <c r="BB131" s="415">
        <f>0.04*MIN(n,20)</f>
        <v>0.8</v>
      </c>
      <c r="BC131" s="412">
        <f>0.04*MIN(n,20)</f>
        <v>0.8</v>
      </c>
      <c r="BD131" s="413"/>
      <c r="BE131" s="413">
        <v>0.14000000000000001</v>
      </c>
      <c r="BF131" s="412">
        <f>0.04*MIN(n,20)</f>
        <v>0.8</v>
      </c>
      <c r="BG131" s="413"/>
      <c r="BH131" s="413">
        <f>0.028*n</f>
        <v>0.61599999999999999</v>
      </c>
      <c r="BI131" s="412">
        <v>0.2</v>
      </c>
      <c r="BJ131" s="413"/>
      <c r="BK131" s="414">
        <v>0.14000000000000001</v>
      </c>
    </row>
    <row r="132" spans="1:63" s="418" customFormat="1" ht="18" thickBot="1">
      <c r="A132"/>
      <c r="B132"/>
      <c r="C132" s="401">
        <v>4</v>
      </c>
      <c r="D132" s="572" t="s">
        <v>924</v>
      </c>
      <c r="E132" s="573"/>
      <c r="F132" s="416"/>
      <c r="G132" s="417">
        <f>0.5/1000</f>
        <v>5.0000000000000001E-4</v>
      </c>
      <c r="H132" s="416"/>
      <c r="I132" s="418">
        <v>8.0000000000000004E-4</v>
      </c>
      <c r="J132" s="419">
        <v>8.0000000000000004E-4</v>
      </c>
      <c r="K132" s="675"/>
      <c r="L132" s="676">
        <f>0.25/1000</f>
        <v>2.5000000000000001E-4</v>
      </c>
      <c r="M132" s="676">
        <f>0.25/1000</f>
        <v>2.5000000000000001E-4</v>
      </c>
      <c r="N132" s="416"/>
      <c r="P132" s="419">
        <v>1E-4</v>
      </c>
      <c r="Q132" s="416"/>
      <c r="S132" s="419">
        <f>0.1/1000</f>
        <v>1E-4</v>
      </c>
      <c r="T132" s="416"/>
      <c r="U132" s="418">
        <v>4.4999999999999999E-4</v>
      </c>
      <c r="V132" s="419">
        <v>6.4999999999999997E-4</v>
      </c>
      <c r="W132" s="416"/>
      <c r="X132" s="418">
        <v>4.4999999999999999E-4</v>
      </c>
      <c r="Y132" s="419">
        <v>6.9999999999999999E-4</v>
      </c>
      <c r="Z132" s="416"/>
      <c r="AA132" s="419">
        <v>4.0000000000000002E-4</v>
      </c>
      <c r="AB132" s="416"/>
      <c r="AC132" s="419">
        <v>5.9999999999999995E-4</v>
      </c>
      <c r="AD132" s="416"/>
      <c r="AE132" s="419">
        <f>1/1000</f>
        <v>1E-3</v>
      </c>
      <c r="AF132" s="416"/>
      <c r="AG132" s="419">
        <f>0.3/1000</f>
        <v>2.9999999999999997E-4</v>
      </c>
      <c r="AH132" s="416"/>
      <c r="AI132" s="418">
        <v>2.0000000000000001E-4</v>
      </c>
      <c r="AJ132" s="419">
        <v>1E-3</v>
      </c>
      <c r="AK132" s="416"/>
      <c r="AL132" s="418">
        <v>5.0000000000000001E-4</v>
      </c>
      <c r="AM132" s="419">
        <v>2.5000000000000001E-3</v>
      </c>
      <c r="AN132" s="416"/>
      <c r="AO132" s="418">
        <v>1.8E-3</v>
      </c>
      <c r="AP132" s="419">
        <v>2E-3</v>
      </c>
      <c r="AQ132" s="416"/>
      <c r="AR132" s="418">
        <v>8.0000000000000004E-4</v>
      </c>
      <c r="AS132" s="419">
        <v>1.1000000000000001E-3</v>
      </c>
      <c r="AT132" s="416"/>
      <c r="AU132" s="418">
        <v>1E-4</v>
      </c>
      <c r="AV132" s="418">
        <v>1E-4</v>
      </c>
      <c r="AW132" s="416">
        <v>5.0000000000000001E-4</v>
      </c>
      <c r="AX132" s="419">
        <v>5.0000000000000001E-4</v>
      </c>
      <c r="AY132" s="416"/>
      <c r="AZ132" s="419">
        <v>5.0000000000000001E-4</v>
      </c>
      <c r="BA132" s="420"/>
      <c r="BB132" s="420"/>
      <c r="BC132" s="416">
        <v>2.0000000000000001E-4</v>
      </c>
      <c r="BE132" s="419">
        <f>0.1/1000</f>
        <v>1E-4</v>
      </c>
      <c r="BF132" s="416"/>
      <c r="BH132" s="419"/>
      <c r="BI132" s="416">
        <v>2.0000000000000001E-4</v>
      </c>
      <c r="BK132" s="419">
        <v>1E-4</v>
      </c>
    </row>
    <row r="133" spans="1:63" s="352" customFormat="1">
      <c r="A133"/>
      <c r="B133"/>
      <c r="C133" s="401">
        <v>5</v>
      </c>
      <c r="D133" s="574" t="s">
        <v>968</v>
      </c>
      <c r="E133" s="575"/>
      <c r="F133" s="410">
        <v>0.1</v>
      </c>
      <c r="G133" s="414">
        <v>0.27</v>
      </c>
      <c r="H133" s="410">
        <v>0.15</v>
      </c>
      <c r="I133" s="421">
        <v>0.35</v>
      </c>
      <c r="J133" s="422">
        <v>0.35</v>
      </c>
      <c r="K133" s="677">
        <v>0.1</v>
      </c>
      <c r="L133" s="421">
        <v>0.25</v>
      </c>
      <c r="M133" s="421">
        <v>0.25</v>
      </c>
      <c r="N133" s="410">
        <v>0.1</v>
      </c>
      <c r="O133" s="421">
        <v>0.35</v>
      </c>
      <c r="P133" s="421">
        <v>0.25</v>
      </c>
      <c r="Q133" s="410">
        <v>0.1</v>
      </c>
      <c r="R133" s="421">
        <v>0.25</v>
      </c>
      <c r="S133" s="421">
        <v>0.25</v>
      </c>
      <c r="T133" s="410">
        <v>0.1</v>
      </c>
      <c r="U133" s="421">
        <v>0.37</v>
      </c>
      <c r="V133" s="421">
        <v>0.37</v>
      </c>
      <c r="W133" s="410">
        <v>0.1</v>
      </c>
      <c r="X133" s="421">
        <v>0.37</v>
      </c>
      <c r="Y133" s="421">
        <v>0.37</v>
      </c>
      <c r="Z133" s="410">
        <v>0.1</v>
      </c>
      <c r="AA133" s="422">
        <v>0.25</v>
      </c>
      <c r="AB133" s="410">
        <v>0.1</v>
      </c>
      <c r="AC133" s="422">
        <v>0.25</v>
      </c>
      <c r="AD133" s="410">
        <v>4.4999999999999998E-2</v>
      </c>
      <c r="AE133" s="422">
        <v>0.14499999999999999</v>
      </c>
      <c r="AF133" s="410">
        <v>4.4999999999999998E-2</v>
      </c>
      <c r="AG133" s="422">
        <v>0.125</v>
      </c>
      <c r="AH133" s="410">
        <v>0.1</v>
      </c>
      <c r="AI133" s="421">
        <v>0.25</v>
      </c>
      <c r="AJ133" s="421">
        <v>0.3</v>
      </c>
      <c r="AK133" s="410">
        <v>0.1</v>
      </c>
      <c r="AL133" s="421">
        <v>0.34</v>
      </c>
      <c r="AM133" s="421">
        <v>0.34</v>
      </c>
      <c r="AN133" s="410">
        <v>0.1</v>
      </c>
      <c r="AO133" s="421">
        <v>0.27</v>
      </c>
      <c r="AP133" s="421">
        <v>0.27</v>
      </c>
      <c r="AQ133" s="410">
        <v>0.1</v>
      </c>
      <c r="AR133" s="421">
        <v>0.25</v>
      </c>
      <c r="AS133" s="421">
        <v>0.25</v>
      </c>
      <c r="AT133" s="410">
        <v>0.1</v>
      </c>
      <c r="AU133" s="421">
        <v>0.23</v>
      </c>
      <c r="AV133" s="421">
        <v>0.23</v>
      </c>
      <c r="AW133" s="410">
        <v>0.3</v>
      </c>
      <c r="AX133" s="422">
        <v>0.3</v>
      </c>
      <c r="AY133" s="410">
        <v>0.1</v>
      </c>
      <c r="AZ133" s="422">
        <v>0.32</v>
      </c>
      <c r="BA133" s="415">
        <v>0.45</v>
      </c>
      <c r="BB133" s="415">
        <v>0.38</v>
      </c>
      <c r="BC133" s="410">
        <v>0.4</v>
      </c>
      <c r="BD133" s="421">
        <v>0.4</v>
      </c>
      <c r="BE133" s="421">
        <v>0.4</v>
      </c>
      <c r="BF133" s="410">
        <v>0.15</v>
      </c>
      <c r="BG133" s="421">
        <v>0.15</v>
      </c>
      <c r="BH133" s="421">
        <v>0.15</v>
      </c>
      <c r="BI133" s="410">
        <v>0.4</v>
      </c>
      <c r="BJ133" s="421">
        <v>0.4</v>
      </c>
      <c r="BK133" s="422">
        <v>0.4</v>
      </c>
    </row>
    <row r="134" spans="1:63" s="418" customFormat="1" ht="18" thickBot="1">
      <c r="A134"/>
      <c r="B134"/>
      <c r="C134" s="401">
        <v>6</v>
      </c>
      <c r="D134" s="547" t="s">
        <v>969</v>
      </c>
      <c r="E134" s="548"/>
      <c r="F134" s="416">
        <f>0.01/1000</f>
        <v>1.0000000000000001E-5</v>
      </c>
      <c r="G134" s="417">
        <f>0.2/1000</f>
        <v>2.0000000000000001E-4</v>
      </c>
      <c r="H134" s="416"/>
      <c r="I134" s="418">
        <v>5.0000000000000002E-5</v>
      </c>
      <c r="J134" s="419">
        <v>8.9999999999999998E-4</v>
      </c>
      <c r="K134" s="675"/>
      <c r="L134" s="676">
        <f>0.05/1000</f>
        <v>5.0000000000000002E-5</v>
      </c>
      <c r="M134" s="678">
        <f>0.2/1000</f>
        <v>2.0000000000000001E-4</v>
      </c>
      <c r="N134" s="416">
        <f>0.001/1000</f>
        <v>9.9999999999999995E-7</v>
      </c>
      <c r="O134" s="418">
        <v>9.9999999999999995E-7</v>
      </c>
      <c r="P134" s="419">
        <v>1E-4</v>
      </c>
      <c r="Q134" s="416"/>
      <c r="R134" s="418">
        <f>0.07/1000</f>
        <v>7.0000000000000007E-5</v>
      </c>
      <c r="S134" s="419">
        <f>0.1/1000</f>
        <v>1E-4</v>
      </c>
      <c r="T134" s="416">
        <v>1.0000000000000001E-5</v>
      </c>
      <c r="U134" s="418">
        <f>0.02/1000</f>
        <v>2.0000000000000002E-5</v>
      </c>
      <c r="V134" s="418">
        <v>2.0000000000000002E-5</v>
      </c>
      <c r="W134" s="416"/>
      <c r="X134" s="418">
        <v>2.0000000000000002E-5</v>
      </c>
      <c r="Y134" s="418">
        <v>2.0000000000000002E-5</v>
      </c>
      <c r="Z134" s="416">
        <v>5.9999999999999995E-4</v>
      </c>
      <c r="AA134" s="419">
        <v>2.9999999999999997E-5</v>
      </c>
      <c r="AB134" s="416">
        <v>5.9999999999999995E-5</v>
      </c>
      <c r="AC134" s="419">
        <v>1E-4</v>
      </c>
      <c r="AD134" s="416"/>
      <c r="AE134" s="419">
        <f>0.1/1000</f>
        <v>1E-4</v>
      </c>
      <c r="AF134" s="416">
        <f>0.03/1000</f>
        <v>2.9999999999999997E-5</v>
      </c>
      <c r="AG134" s="419">
        <f>0.1/1000</f>
        <v>1E-4</v>
      </c>
      <c r="AH134" s="416"/>
      <c r="AJ134" s="418">
        <v>5.0000000000000001E-4</v>
      </c>
      <c r="AK134" s="416"/>
      <c r="AL134" s="418">
        <v>2.0000000000000001E-4</v>
      </c>
      <c r="AM134" s="418">
        <v>2.0000000000000001E-4</v>
      </c>
      <c r="AN134" s="416"/>
      <c r="AO134" s="418">
        <v>2.0000000000000001E-4</v>
      </c>
      <c r="AP134" s="418">
        <v>5.0000000000000001E-4</v>
      </c>
      <c r="AQ134" s="416"/>
      <c r="AR134" s="418">
        <v>4.0000000000000002E-4</v>
      </c>
      <c r="AS134" s="418">
        <v>5.0000000000000001E-4</v>
      </c>
      <c r="AT134" s="416"/>
      <c r="AU134" s="418">
        <v>1E-4</v>
      </c>
      <c r="AV134" s="418">
        <v>2.9999999999999997E-4</v>
      </c>
      <c r="AW134" s="416">
        <v>5.0000000000000002E-5</v>
      </c>
      <c r="AX134" s="419">
        <v>2.9999999999999997E-4</v>
      </c>
      <c r="AY134" s="416"/>
      <c r="AZ134" s="419">
        <v>5.0000000000000001E-4</v>
      </c>
      <c r="BA134" s="420"/>
      <c r="BB134" s="420"/>
      <c r="BC134" s="416"/>
      <c r="BF134" s="416">
        <v>2.0000000000000001E-4</v>
      </c>
      <c r="BG134" s="418">
        <v>2.0000000000000001E-4</v>
      </c>
      <c r="BH134" s="418">
        <v>2.0000000000000001E-4</v>
      </c>
      <c r="BI134" s="416"/>
      <c r="BK134" s="419"/>
    </row>
    <row r="135" spans="1:63" s="418" customFormat="1">
      <c r="A135"/>
      <c r="B135"/>
      <c r="C135" s="401">
        <v>7</v>
      </c>
      <c r="D135" s="549" t="s">
        <v>970</v>
      </c>
      <c r="E135" s="550"/>
      <c r="F135" s="416"/>
      <c r="G135" s="417"/>
      <c r="H135" s="416"/>
      <c r="J135" s="419"/>
      <c r="K135" s="675"/>
      <c r="L135" s="676"/>
      <c r="M135" s="678"/>
      <c r="N135" s="416"/>
      <c r="P135" s="419"/>
      <c r="Q135" s="416"/>
      <c r="S135" s="419"/>
      <c r="T135" s="416"/>
      <c r="V135" s="419"/>
      <c r="W135" s="416"/>
      <c r="Y135" s="419"/>
      <c r="Z135" s="416"/>
      <c r="AA135" s="419"/>
      <c r="AB135" s="416"/>
      <c r="AC135" s="419"/>
      <c r="AD135" s="416"/>
      <c r="AE135" s="419"/>
      <c r="AF135" s="416"/>
      <c r="AG135" s="419"/>
      <c r="AH135" s="416"/>
      <c r="AJ135" s="419"/>
      <c r="AK135" s="416"/>
      <c r="AM135" s="419"/>
      <c r="AN135" s="416"/>
      <c r="AP135" s="419"/>
      <c r="AQ135" s="416"/>
      <c r="AS135" s="419"/>
      <c r="AT135" s="416"/>
      <c r="AW135" s="416"/>
      <c r="AX135" s="419"/>
      <c r="AY135" s="416"/>
      <c r="AZ135" s="419"/>
      <c r="BA135" s="420"/>
      <c r="BB135" s="420"/>
      <c r="BC135" s="416"/>
      <c r="BE135" s="419"/>
      <c r="BF135" s="416"/>
      <c r="BH135" s="419"/>
      <c r="BI135" s="416"/>
      <c r="BK135" s="419"/>
    </row>
    <row r="136" spans="1:63" s="418" customFormat="1" ht="18" thickBot="1">
      <c r="A136"/>
      <c r="B136"/>
      <c r="C136" s="401">
        <v>8</v>
      </c>
      <c r="D136" s="551" t="s">
        <v>971</v>
      </c>
      <c r="E136" s="552"/>
      <c r="F136" s="416"/>
      <c r="G136" s="417"/>
      <c r="H136" s="416"/>
      <c r="J136" s="419"/>
      <c r="K136" s="675"/>
      <c r="L136" s="676"/>
      <c r="M136" s="678"/>
      <c r="N136" s="416"/>
      <c r="O136" s="418">
        <v>9.9999999999999995E-7</v>
      </c>
      <c r="P136" s="418">
        <v>1E-4</v>
      </c>
      <c r="Q136" s="416"/>
      <c r="T136" s="416"/>
      <c r="W136" s="416"/>
      <c r="Z136" s="416"/>
      <c r="AA136" s="419"/>
      <c r="AB136" s="416"/>
      <c r="AC136" s="419"/>
      <c r="AD136" s="416"/>
      <c r="AE136" s="419"/>
      <c r="AF136" s="416"/>
      <c r="AG136" s="419"/>
      <c r="AH136" s="416"/>
      <c r="AK136" s="416"/>
      <c r="AN136" s="416"/>
      <c r="AQ136" s="416"/>
      <c r="AT136" s="416"/>
      <c r="AW136" s="416"/>
      <c r="AX136" s="419"/>
      <c r="AY136" s="416"/>
      <c r="AZ136" s="419"/>
      <c r="BA136" s="420"/>
      <c r="BB136" s="420"/>
      <c r="BC136" s="416"/>
      <c r="BF136" s="416"/>
      <c r="BI136" s="416"/>
      <c r="BK136" s="419"/>
    </row>
    <row r="137" spans="1:63" s="352" customFormat="1">
      <c r="A137"/>
      <c r="B137"/>
      <c r="C137" s="401">
        <v>9</v>
      </c>
      <c r="D137" s="553" t="s">
        <v>972</v>
      </c>
      <c r="E137" s="554"/>
      <c r="F137" s="423">
        <v>2.5000000000000001E-2</v>
      </c>
      <c r="G137" s="424">
        <v>2.5000000000000001E-2</v>
      </c>
      <c r="H137" s="423">
        <v>2.5000000000000001E-2</v>
      </c>
      <c r="I137" s="425">
        <v>2.5000000000000001E-2</v>
      </c>
      <c r="J137" s="424">
        <v>2.5000000000000001E-2</v>
      </c>
      <c r="K137" s="679">
        <v>2.5000000000000001E-2</v>
      </c>
      <c r="L137" s="517">
        <v>2.5000000000000001E-2</v>
      </c>
      <c r="M137" s="680">
        <v>2.5000000000000001E-2</v>
      </c>
      <c r="N137" s="423">
        <v>2.5000000000000001E-2</v>
      </c>
      <c r="O137" s="517">
        <v>2.5000000000000001E-2</v>
      </c>
      <c r="P137" s="424">
        <v>2.5000000000000001E-2</v>
      </c>
      <c r="Q137" s="423">
        <v>2.5000000000000001E-2</v>
      </c>
      <c r="R137" s="425">
        <v>2.5000000000000001E-2</v>
      </c>
      <c r="S137" s="424">
        <v>2.5000000000000001E-2</v>
      </c>
      <c r="T137" s="423">
        <v>2.5000000000000001E-2</v>
      </c>
      <c r="U137" s="425">
        <v>2.5000000000000001E-2</v>
      </c>
      <c r="V137" s="424">
        <v>2.5000000000000001E-2</v>
      </c>
      <c r="W137" s="423">
        <v>2.5000000000000001E-2</v>
      </c>
      <c r="X137" s="425">
        <v>2.5000000000000001E-2</v>
      </c>
      <c r="Y137" s="424">
        <v>2.5000000000000001E-2</v>
      </c>
      <c r="Z137" s="423">
        <v>2.5000000000000001E-2</v>
      </c>
      <c r="AA137" s="424">
        <v>2.5000000000000001E-2</v>
      </c>
      <c r="AB137" s="423">
        <v>2.5000000000000001E-2</v>
      </c>
      <c r="AC137" s="424">
        <v>2.5000000000000001E-2</v>
      </c>
      <c r="AD137" s="423">
        <v>2.5000000000000001E-2</v>
      </c>
      <c r="AE137" s="424">
        <v>2.5000000000000001E-2</v>
      </c>
      <c r="AF137" s="423">
        <v>2.5000000000000001E-2</v>
      </c>
      <c r="AG137" s="424">
        <v>2.5000000000000001E-2</v>
      </c>
      <c r="AH137" s="423">
        <v>2.5000000000000001E-2</v>
      </c>
      <c r="AI137" s="425">
        <v>2.5000000000000001E-2</v>
      </c>
      <c r="AJ137" s="424">
        <v>2.5000000000000001E-2</v>
      </c>
      <c r="AK137" s="423">
        <v>2.5000000000000001E-2</v>
      </c>
      <c r="AL137" s="425">
        <v>2.5000000000000001E-2</v>
      </c>
      <c r="AM137" s="424">
        <v>2.5000000000000001E-2</v>
      </c>
      <c r="AN137" s="423">
        <v>2.5000000000000001E-2</v>
      </c>
      <c r="AO137" s="425">
        <v>2.5000000000000001E-2</v>
      </c>
      <c r="AP137" s="424">
        <v>2.5000000000000001E-2</v>
      </c>
      <c r="AQ137" s="423">
        <v>2.5000000000000001E-2</v>
      </c>
      <c r="AR137" s="425">
        <v>2.5000000000000001E-2</v>
      </c>
      <c r="AS137" s="424">
        <v>2.5000000000000001E-2</v>
      </c>
      <c r="AT137" s="423">
        <v>2.5000000000000001E-2</v>
      </c>
      <c r="AU137" s="425">
        <v>2.5000000000000001E-2</v>
      </c>
      <c r="AV137" s="425">
        <v>2.5000000000000001E-2</v>
      </c>
      <c r="AW137" s="423">
        <v>2.5000000000000001E-2</v>
      </c>
      <c r="AX137" s="424">
        <v>2.5000000000000001E-2</v>
      </c>
      <c r="AY137" s="423">
        <v>2.5000000000000001E-2</v>
      </c>
      <c r="AZ137" s="424">
        <v>2.5000000000000001E-2</v>
      </c>
      <c r="BA137" s="426">
        <v>2.5000000000000001E-2</v>
      </c>
      <c r="BB137" s="426">
        <v>2.5000000000000001E-2</v>
      </c>
      <c r="BC137" s="423">
        <v>2.5000000000000001E-2</v>
      </c>
      <c r="BD137" s="425">
        <v>2.5000000000000001E-2</v>
      </c>
      <c r="BE137" s="424">
        <v>2.5000000000000001E-2</v>
      </c>
      <c r="BF137" s="423">
        <v>2.5000000000000001E-2</v>
      </c>
      <c r="BG137" s="425">
        <v>2.5000000000000001E-2</v>
      </c>
      <c r="BH137" s="424">
        <v>2.5000000000000001E-2</v>
      </c>
      <c r="BI137" s="423">
        <v>2.5000000000000001E-2</v>
      </c>
      <c r="BJ137" s="425">
        <v>2.5000000000000001E-2</v>
      </c>
      <c r="BK137" s="424">
        <v>2.5000000000000001E-2</v>
      </c>
    </row>
    <row r="138" spans="1:63">
      <c r="C138" s="401">
        <v>10</v>
      </c>
      <c r="D138" s="555" t="s">
        <v>553</v>
      </c>
      <c r="E138" s="342" t="s">
        <v>554</v>
      </c>
      <c r="F138">
        <v>0</v>
      </c>
      <c r="G138">
        <v>7</v>
      </c>
      <c r="BA138">
        <v>8</v>
      </c>
      <c r="BB138">
        <v>8</v>
      </c>
    </row>
    <row r="139" spans="1:63">
      <c r="C139" s="401">
        <v>11</v>
      </c>
      <c r="D139" s="555"/>
      <c r="E139" s="337" t="s">
        <v>3</v>
      </c>
      <c r="F139">
        <v>1</v>
      </c>
      <c r="G139">
        <v>30</v>
      </c>
      <c r="BA139" s="404">
        <f>BA130-BA138</f>
        <v>22</v>
      </c>
      <c r="BB139">
        <v>22</v>
      </c>
    </row>
    <row r="140" spans="1:63">
      <c r="C140" s="401">
        <v>12</v>
      </c>
      <c r="D140" s="556"/>
      <c r="E140" s="337" t="s">
        <v>2</v>
      </c>
      <c r="F140">
        <v>1</v>
      </c>
      <c r="G140">
        <v>60</v>
      </c>
      <c r="BA140" s="404">
        <f>BA139</f>
        <v>22</v>
      </c>
      <c r="BB140">
        <v>92</v>
      </c>
    </row>
    <row r="141" spans="1:63" ht="18" thickBot="1">
      <c r="C141" s="401">
        <v>13</v>
      </c>
      <c r="D141" s="545" t="s">
        <v>982</v>
      </c>
      <c r="E141" s="546"/>
      <c r="F141" s="13">
        <v>6.2399999999999997E-2</v>
      </c>
      <c r="G141" s="13">
        <v>6.2399999999999997E-2</v>
      </c>
      <c r="H141" s="13">
        <v>0.74039999999999995</v>
      </c>
      <c r="I141" s="13">
        <v>0.74039999999999995</v>
      </c>
      <c r="J141" s="13">
        <v>0.74039999999999995</v>
      </c>
      <c r="K141" s="662">
        <v>0.13880000000000001</v>
      </c>
      <c r="L141" s="662">
        <v>0.13880000000000001</v>
      </c>
      <c r="M141" s="662">
        <v>0.13880000000000001</v>
      </c>
      <c r="N141" s="13">
        <v>1.49E-2</v>
      </c>
      <c r="O141" s="13">
        <v>1.49E-2</v>
      </c>
      <c r="P141" s="13">
        <v>1.49E-2</v>
      </c>
      <c r="Q141" s="13">
        <v>0.2412</v>
      </c>
      <c r="R141" s="13">
        <v>0.2412</v>
      </c>
      <c r="S141" s="13">
        <v>0.2412</v>
      </c>
      <c r="T141" s="13">
        <v>0.12790000000000001</v>
      </c>
      <c r="U141" s="13">
        <v>0.12790000000000001</v>
      </c>
      <c r="V141" s="13">
        <v>0.12790000000000001</v>
      </c>
      <c r="W141" s="13">
        <v>0.11899999999999999</v>
      </c>
      <c r="X141" s="13">
        <v>0.11899999999999999</v>
      </c>
      <c r="Y141" s="13">
        <v>0.11899999999999999</v>
      </c>
      <c r="Z141" s="13">
        <v>8.6999999999999994E-2</v>
      </c>
      <c r="AA141" s="13">
        <v>8.6999999999999994E-2</v>
      </c>
      <c r="AB141">
        <v>8.6999999999999994E-2</v>
      </c>
      <c r="AC141">
        <v>8.6999999999999994E-2</v>
      </c>
      <c r="AD141">
        <v>0.67390000000000005</v>
      </c>
      <c r="AE141">
        <v>0.67390000000000005</v>
      </c>
      <c r="AF141">
        <v>0.58160000000000001</v>
      </c>
      <c r="AG141">
        <v>0.58160000000000001</v>
      </c>
      <c r="AH141">
        <v>0.1666</v>
      </c>
      <c r="AI141">
        <v>0.1666</v>
      </c>
      <c r="AJ141">
        <v>0.1666</v>
      </c>
      <c r="AK141">
        <v>0.91449999999999998</v>
      </c>
      <c r="AL141">
        <v>0.91449999999999998</v>
      </c>
      <c r="AM141">
        <v>0.91449999999999998</v>
      </c>
      <c r="AN141">
        <v>0.56330000000000002</v>
      </c>
      <c r="AO141">
        <v>0.56330000000000002</v>
      </c>
      <c r="AP141">
        <v>0.56330000000000002</v>
      </c>
      <c r="AQ141">
        <v>0.68269999999999997</v>
      </c>
      <c r="AR141">
        <v>0.68269999999999997</v>
      </c>
      <c r="AS141">
        <v>0.68269999999999997</v>
      </c>
      <c r="AT141">
        <v>0.15720000000000001</v>
      </c>
      <c r="AU141">
        <v>0.15720000000000001</v>
      </c>
      <c r="AV141">
        <v>0.15720000000000001</v>
      </c>
      <c r="AW141">
        <v>0.1653</v>
      </c>
      <c r="AX141">
        <v>0.1653</v>
      </c>
      <c r="AY141">
        <v>0.3221</v>
      </c>
      <c r="AZ141">
        <v>0.3221</v>
      </c>
      <c r="BA141">
        <v>0.33329999999999999</v>
      </c>
      <c r="BB141">
        <v>3.0499999999999999E-2</v>
      </c>
      <c r="BC141">
        <v>12.75</v>
      </c>
      <c r="BD141">
        <v>2.125</v>
      </c>
      <c r="BE141">
        <v>1.7909999999999999</v>
      </c>
      <c r="BF141">
        <v>9.5</v>
      </c>
      <c r="BG141">
        <v>0</v>
      </c>
      <c r="BH141">
        <v>3.8656000000000001</v>
      </c>
      <c r="BI141">
        <v>14.25</v>
      </c>
      <c r="BJ141">
        <v>2.375</v>
      </c>
      <c r="BK141">
        <v>2.1194000000000002</v>
      </c>
    </row>
    <row r="142" spans="1:63" ht="18" thickBot="1">
      <c r="C142" s="401">
        <v>14</v>
      </c>
      <c r="D142" s="543" t="s">
        <v>979</v>
      </c>
      <c r="E142" s="544"/>
      <c r="F142" s="13">
        <f t="shared" ref="F142:AZ142" si="5">MIN(n,20)</f>
        <v>20</v>
      </c>
      <c r="G142" s="13">
        <f t="shared" si="5"/>
        <v>20</v>
      </c>
      <c r="H142" s="13">
        <f t="shared" si="5"/>
        <v>20</v>
      </c>
      <c r="I142" s="13">
        <f t="shared" si="5"/>
        <v>20</v>
      </c>
      <c r="J142" s="13">
        <f t="shared" si="5"/>
        <v>20</v>
      </c>
      <c r="K142" s="662">
        <f t="shared" si="5"/>
        <v>20</v>
      </c>
      <c r="L142" s="662">
        <f t="shared" si="5"/>
        <v>20</v>
      </c>
      <c r="M142" s="662">
        <f t="shared" si="5"/>
        <v>20</v>
      </c>
      <c r="N142" s="13">
        <f t="shared" si="5"/>
        <v>20</v>
      </c>
      <c r="O142" s="13">
        <f t="shared" si="5"/>
        <v>20</v>
      </c>
      <c r="P142" s="13">
        <f t="shared" si="5"/>
        <v>20</v>
      </c>
      <c r="Q142" s="13">
        <f t="shared" si="5"/>
        <v>20</v>
      </c>
      <c r="R142" s="13">
        <f t="shared" si="5"/>
        <v>20</v>
      </c>
      <c r="S142">
        <f t="shared" si="5"/>
        <v>20</v>
      </c>
      <c r="T142">
        <f t="shared" si="5"/>
        <v>20</v>
      </c>
      <c r="U142">
        <f t="shared" si="5"/>
        <v>20</v>
      </c>
      <c r="V142">
        <f t="shared" si="5"/>
        <v>20</v>
      </c>
      <c r="W142">
        <f t="shared" si="5"/>
        <v>20</v>
      </c>
      <c r="X142">
        <f t="shared" si="5"/>
        <v>20</v>
      </c>
      <c r="Y142">
        <f t="shared" si="5"/>
        <v>20</v>
      </c>
      <c r="Z142">
        <f t="shared" si="5"/>
        <v>20</v>
      </c>
      <c r="AA142">
        <f t="shared" si="5"/>
        <v>20</v>
      </c>
      <c r="AB142">
        <f t="shared" si="5"/>
        <v>20</v>
      </c>
      <c r="AC142">
        <f t="shared" si="5"/>
        <v>20</v>
      </c>
      <c r="AD142">
        <f t="shared" si="5"/>
        <v>20</v>
      </c>
      <c r="AE142">
        <f t="shared" si="5"/>
        <v>20</v>
      </c>
      <c r="AF142">
        <f t="shared" si="5"/>
        <v>20</v>
      </c>
      <c r="AG142">
        <f t="shared" si="5"/>
        <v>20</v>
      </c>
      <c r="AH142">
        <f t="shared" si="5"/>
        <v>20</v>
      </c>
      <c r="AI142">
        <f t="shared" si="5"/>
        <v>20</v>
      </c>
      <c r="AJ142">
        <f t="shared" si="5"/>
        <v>20</v>
      </c>
      <c r="AK142">
        <f t="shared" si="5"/>
        <v>20</v>
      </c>
      <c r="AL142">
        <f t="shared" si="5"/>
        <v>20</v>
      </c>
      <c r="AM142">
        <f t="shared" si="5"/>
        <v>20</v>
      </c>
      <c r="AN142">
        <f t="shared" si="5"/>
        <v>20</v>
      </c>
      <c r="AO142">
        <f t="shared" si="5"/>
        <v>20</v>
      </c>
      <c r="AP142">
        <f t="shared" si="5"/>
        <v>20</v>
      </c>
      <c r="AQ142">
        <f t="shared" si="5"/>
        <v>20</v>
      </c>
      <c r="AR142">
        <f t="shared" si="5"/>
        <v>20</v>
      </c>
      <c r="AS142">
        <f t="shared" si="5"/>
        <v>20</v>
      </c>
      <c r="AT142">
        <f t="shared" si="5"/>
        <v>20</v>
      </c>
      <c r="AU142">
        <f t="shared" si="5"/>
        <v>20</v>
      </c>
      <c r="AV142">
        <f t="shared" si="5"/>
        <v>20</v>
      </c>
      <c r="AW142">
        <f t="shared" si="5"/>
        <v>20</v>
      </c>
      <c r="AX142">
        <f t="shared" si="5"/>
        <v>20</v>
      </c>
      <c r="AY142">
        <f t="shared" si="5"/>
        <v>20</v>
      </c>
      <c r="AZ142">
        <f t="shared" si="5"/>
        <v>20</v>
      </c>
      <c r="BA142">
        <f t="shared" ref="BA142:BK142" si="6">MIN(n,20)</f>
        <v>20</v>
      </c>
      <c r="BB142">
        <f t="shared" si="6"/>
        <v>20</v>
      </c>
      <c r="BC142">
        <f t="shared" si="6"/>
        <v>20</v>
      </c>
      <c r="BD142">
        <f t="shared" si="6"/>
        <v>20</v>
      </c>
      <c r="BE142">
        <f t="shared" si="6"/>
        <v>20</v>
      </c>
      <c r="BF142">
        <f t="shared" si="6"/>
        <v>20</v>
      </c>
      <c r="BG142">
        <f t="shared" si="6"/>
        <v>20</v>
      </c>
      <c r="BH142">
        <f t="shared" si="6"/>
        <v>20</v>
      </c>
      <c r="BI142">
        <f t="shared" si="6"/>
        <v>20</v>
      </c>
      <c r="BJ142">
        <f t="shared" si="6"/>
        <v>20</v>
      </c>
      <c r="BK142">
        <f t="shared" si="6"/>
        <v>20</v>
      </c>
    </row>
    <row r="143" spans="1:63" ht="18" thickBot="1">
      <c r="C143" s="401">
        <v>14</v>
      </c>
      <c r="D143" s="543" t="s">
        <v>983</v>
      </c>
      <c r="E143" s="544"/>
      <c r="F143" s="13">
        <v>4.58E-2</v>
      </c>
      <c r="G143" s="13">
        <v>4.58E-2</v>
      </c>
      <c r="H143" s="13">
        <v>0.50829999999999997</v>
      </c>
      <c r="I143" s="13">
        <v>0.50829999999999997</v>
      </c>
      <c r="J143" s="13">
        <v>0.50829999999999997</v>
      </c>
      <c r="K143" s="662">
        <v>0.1007</v>
      </c>
      <c r="L143" s="662">
        <v>0.1007</v>
      </c>
      <c r="M143" s="662">
        <v>0.1007</v>
      </c>
      <c r="N143" s="13">
        <v>0.96870000000000001</v>
      </c>
      <c r="O143" s="13">
        <v>0.96870000000000001</v>
      </c>
      <c r="P143" s="13">
        <v>0.96870000000000001</v>
      </c>
      <c r="Q143" s="13">
        <v>0.1653</v>
      </c>
      <c r="R143" s="13">
        <v>0.1653</v>
      </c>
      <c r="S143" s="13">
        <v>0.1653</v>
      </c>
      <c r="T143" s="13">
        <v>8.6999999999999994E-2</v>
      </c>
      <c r="U143" s="13">
        <v>8.6999999999999994E-2</v>
      </c>
      <c r="V143" s="13">
        <v>8.6999999999999994E-2</v>
      </c>
      <c r="W143" s="13">
        <v>9.4600000000000004E-2</v>
      </c>
      <c r="X143" s="13">
        <v>9.4600000000000004E-2</v>
      </c>
      <c r="Y143" s="13">
        <v>9.4600000000000004E-2</v>
      </c>
      <c r="Z143" s="13">
        <v>6.08E-2</v>
      </c>
      <c r="AA143" s="13">
        <v>6.08E-2</v>
      </c>
      <c r="AB143">
        <v>6.08E-2</v>
      </c>
      <c r="AC143">
        <v>6.08E-2</v>
      </c>
      <c r="AD143">
        <v>0.45079999999999998</v>
      </c>
      <c r="AE143">
        <v>0.45079999999999998</v>
      </c>
      <c r="AF143">
        <v>0.379</v>
      </c>
      <c r="AG143">
        <v>0.379</v>
      </c>
      <c r="AH143">
        <v>0.90169999999999995</v>
      </c>
      <c r="AI143">
        <v>0.90169999999999995</v>
      </c>
      <c r="AJ143">
        <v>0.90169999999999995</v>
      </c>
      <c r="AK143">
        <v>0.6381</v>
      </c>
      <c r="AL143">
        <v>0.6381</v>
      </c>
      <c r="AM143">
        <v>0.6381</v>
      </c>
      <c r="AN143">
        <v>0.40760000000000002</v>
      </c>
      <c r="AO143">
        <v>0.40760000000000002</v>
      </c>
      <c r="AP143">
        <v>0.40760000000000002</v>
      </c>
      <c r="AQ143">
        <v>0.50990000000000002</v>
      </c>
      <c r="AR143">
        <v>0.50990000000000002</v>
      </c>
      <c r="AS143">
        <v>0.50990000000000002</v>
      </c>
      <c r="AT143">
        <v>0.1076</v>
      </c>
      <c r="AU143">
        <v>0.1076</v>
      </c>
      <c r="AV143">
        <v>0.1076</v>
      </c>
      <c r="AW143">
        <v>0.1232</v>
      </c>
      <c r="AX143">
        <v>0.1232</v>
      </c>
      <c r="AY143">
        <v>0.28089999999999998</v>
      </c>
      <c r="AZ143">
        <v>0.28089999999999998</v>
      </c>
    </row>
    <row r="145" spans="37:52">
      <c r="AK145" t="s">
        <v>1046</v>
      </c>
      <c r="AY145">
        <v>0.29720000000000002</v>
      </c>
      <c r="AZ145">
        <v>0.29720000000000002</v>
      </c>
    </row>
    <row r="146" spans="37:52">
      <c r="AY146">
        <v>0.2432</v>
      </c>
      <c r="AZ146">
        <v>0.2432</v>
      </c>
    </row>
    <row r="163" spans="6:6">
      <c r="F163" s="13"/>
    </row>
    <row r="164" spans="6:6">
      <c r="F164" s="13"/>
    </row>
    <row r="165" spans="6:6">
      <c r="F165" s="13"/>
    </row>
    <row r="166" spans="6:6">
      <c r="F166" s="13"/>
    </row>
    <row r="167" spans="6:6">
      <c r="F167" s="13"/>
    </row>
    <row r="168" spans="6:6">
      <c r="F168" s="13"/>
    </row>
  </sheetData>
  <mergeCells count="63">
    <mergeCell ref="D142:E142"/>
    <mergeCell ref="C19:D19"/>
    <mergeCell ref="C64:C69"/>
    <mergeCell ref="C14:D14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5:C17"/>
    <mergeCell ref="C22:C27"/>
    <mergeCell ref="C28:C33"/>
    <mergeCell ref="C34:C39"/>
    <mergeCell ref="C40:C45"/>
    <mergeCell ref="W129:Y129"/>
    <mergeCell ref="Z129:AA129"/>
    <mergeCell ref="C52:C57"/>
    <mergeCell ref="C58:C63"/>
    <mergeCell ref="C46:C51"/>
    <mergeCell ref="D132:E132"/>
    <mergeCell ref="D133:E133"/>
    <mergeCell ref="AT129:AV129"/>
    <mergeCell ref="AW129:AX129"/>
    <mergeCell ref="AY129:AZ129"/>
    <mergeCell ref="AF129:AG129"/>
    <mergeCell ref="AH129:AJ129"/>
    <mergeCell ref="AK129:AM129"/>
    <mergeCell ref="AN129:AP129"/>
    <mergeCell ref="AQ129:AS129"/>
    <mergeCell ref="T129:V129"/>
    <mergeCell ref="AB129:AC129"/>
    <mergeCell ref="AD129:AE129"/>
    <mergeCell ref="F129:G129"/>
    <mergeCell ref="H129:J129"/>
    <mergeCell ref="K129:M129"/>
    <mergeCell ref="BI129:BK129"/>
    <mergeCell ref="D130:E130"/>
    <mergeCell ref="D131:E131"/>
    <mergeCell ref="BC129:BE129"/>
    <mergeCell ref="BF129:BH129"/>
    <mergeCell ref="N129:P129"/>
    <mergeCell ref="Q129:S129"/>
    <mergeCell ref="C21:D21"/>
    <mergeCell ref="D143:E143"/>
    <mergeCell ref="C20:D20"/>
    <mergeCell ref="D141:E141"/>
    <mergeCell ref="C18:D18"/>
    <mergeCell ref="D134:E134"/>
    <mergeCell ref="D135:E135"/>
    <mergeCell ref="D136:E136"/>
    <mergeCell ref="D137:E137"/>
    <mergeCell ref="D138:D140"/>
    <mergeCell ref="C76:C81"/>
    <mergeCell ref="C82:C87"/>
    <mergeCell ref="C88:C93"/>
    <mergeCell ref="C94:C99"/>
    <mergeCell ref="C100:C105"/>
    <mergeCell ref="C70:C75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G103"/>
  <sheetViews>
    <sheetView topLeftCell="A38" workbookViewId="0">
      <selection activeCell="C5" sqref="C5"/>
    </sheetView>
  </sheetViews>
  <sheetFormatPr defaultColWidth="8.69921875" defaultRowHeight="15.6"/>
  <cols>
    <col min="1" max="1" width="8.69921875" style="77"/>
    <col min="2" max="2" width="15.69921875" style="77" customWidth="1"/>
    <col min="3" max="3" width="11.8984375" style="77" customWidth="1"/>
    <col min="4" max="4" width="14.69921875" style="77" customWidth="1"/>
    <col min="5" max="6" width="12.3984375" style="77" customWidth="1"/>
    <col min="7" max="7" width="11" style="77" customWidth="1"/>
    <col min="8" max="8" width="12.19921875" style="77" customWidth="1"/>
    <col min="9" max="9" width="14.5" style="77" customWidth="1"/>
    <col min="10" max="10" width="14.19921875" style="77" customWidth="1"/>
    <col min="11" max="12" width="12.69921875" style="77" customWidth="1"/>
    <col min="13" max="13" width="8.69921875" style="77" customWidth="1"/>
    <col min="14" max="14" width="13.59765625" style="77" customWidth="1"/>
    <col min="15" max="15" width="13.5" style="77" customWidth="1"/>
    <col min="16" max="16" width="11.69921875" style="77" customWidth="1"/>
    <col min="17" max="17" width="11.19921875" style="77" customWidth="1"/>
    <col min="18" max="18" width="13.8984375" style="77" customWidth="1"/>
    <col min="19" max="20" width="13.19921875" style="77" customWidth="1"/>
    <col min="21" max="21" width="12.8984375" style="77" customWidth="1"/>
    <col min="22" max="22" width="12.19921875" style="77" customWidth="1"/>
    <col min="23" max="23" width="13.09765625" style="77" customWidth="1"/>
    <col min="24" max="26" width="10.59765625" style="77" customWidth="1"/>
    <col min="27" max="28" width="10.69921875" style="77" customWidth="1"/>
    <col min="29" max="16384" width="8.69921875" style="77"/>
  </cols>
  <sheetData>
    <row r="1" spans="2:28" ht="16.2" thickBot="1">
      <c r="U1" s="592" t="s">
        <v>192</v>
      </c>
      <c r="V1" s="592"/>
      <c r="W1" s="592"/>
      <c r="X1" s="592"/>
      <c r="Y1" s="592" t="s">
        <v>1034</v>
      </c>
      <c r="Z1" s="592"/>
      <c r="AA1" s="592"/>
      <c r="AB1" s="592"/>
    </row>
    <row r="2" spans="2:28" ht="29.4" customHeight="1" thickBot="1">
      <c r="B2" s="145" t="str">
        <f ca="1">"■ 상품 요율체크"&amp;" : "&amp;D7</f>
        <v>■ 상품 요율체크 : 남녀특정암진단특약(무배당, 무해지)</v>
      </c>
      <c r="C2" s="143"/>
      <c r="D2" s="143"/>
      <c r="E2" s="143"/>
      <c r="F2" s="144"/>
      <c r="U2" s="591" t="s">
        <v>847</v>
      </c>
      <c r="V2" s="591"/>
      <c r="W2" s="591" t="s">
        <v>848</v>
      </c>
      <c r="X2" s="591"/>
      <c r="Y2" s="591" t="s">
        <v>847</v>
      </c>
      <c r="Z2" s="591"/>
      <c r="AA2" s="591" t="s">
        <v>848</v>
      </c>
      <c r="AB2" s="591"/>
    </row>
    <row r="3" spans="2:28" customFormat="1" ht="19.2">
      <c r="B3" s="102" t="s">
        <v>96</v>
      </c>
      <c r="S3" s="77"/>
      <c r="T3" s="77"/>
      <c r="W3" s="77"/>
      <c r="X3" s="77"/>
      <c r="Y3" s="87"/>
      <c r="Z3" s="87"/>
      <c r="AA3" s="77"/>
      <c r="AB3" s="77"/>
    </row>
    <row r="4" spans="2:28" customFormat="1" ht="18" thickBot="1">
      <c r="S4" s="77"/>
      <c r="T4" s="77"/>
      <c r="U4" s="197">
        <v>9093</v>
      </c>
      <c r="V4" s="197">
        <v>0</v>
      </c>
      <c r="W4" s="197">
        <v>9228</v>
      </c>
      <c r="X4" s="197">
        <v>0</v>
      </c>
      <c r="Y4" s="197">
        <v>11744</v>
      </c>
      <c r="Z4" s="197">
        <v>6073</v>
      </c>
      <c r="AA4" s="197">
        <v>11933</v>
      </c>
      <c r="AB4" s="197">
        <v>6302</v>
      </c>
    </row>
    <row r="5" spans="2:28" customFormat="1" ht="18" thickBot="1">
      <c r="C5" s="434" t="s">
        <v>886</v>
      </c>
      <c r="S5" s="77"/>
      <c r="T5" s="77"/>
      <c r="U5" s="197">
        <v>31321</v>
      </c>
      <c r="V5" s="197">
        <v>0</v>
      </c>
      <c r="W5" s="197">
        <v>31663</v>
      </c>
      <c r="X5" s="197">
        <v>0</v>
      </c>
      <c r="Y5" s="197">
        <v>36172</v>
      </c>
      <c r="Z5" s="197">
        <v>32391</v>
      </c>
      <c r="AA5" s="197">
        <v>36647</v>
      </c>
      <c r="AB5" s="197">
        <v>32893</v>
      </c>
    </row>
    <row r="6" spans="2:28" ht="19.2">
      <c r="B6" s="372" t="s">
        <v>987</v>
      </c>
      <c r="C6" s="510" t="str">
        <f>IF(x=0,"Y","N")</f>
        <v>N</v>
      </c>
      <c r="D6" s="76"/>
      <c r="E6" s="76"/>
      <c r="F6" s="76"/>
      <c r="G6" s="141" t="s">
        <v>97</v>
      </c>
      <c r="I6" s="13"/>
      <c r="N6" s="141" t="s">
        <v>230</v>
      </c>
      <c r="P6" s="77">
        <f ca="1">무해지!H24*S</f>
        <v>1.4562344458658991</v>
      </c>
      <c r="Q6" s="520">
        <f ca="1">유해지!H24*S</f>
        <v>1.1712785116113249</v>
      </c>
      <c r="U6" s="197">
        <v>55728</v>
      </c>
      <c r="V6" s="197">
        <v>0</v>
      </c>
      <c r="W6" s="197">
        <v>56283</v>
      </c>
      <c r="X6" s="197">
        <v>0</v>
      </c>
      <c r="Y6" s="197">
        <v>61829</v>
      </c>
      <c r="Z6" s="197">
        <v>59939</v>
      </c>
      <c r="AA6" s="197">
        <v>62597</v>
      </c>
      <c r="AB6" s="197">
        <v>60720</v>
      </c>
    </row>
    <row r="7" spans="2:28" ht="27.75" customHeight="1">
      <c r="B7" s="372" t="s">
        <v>197</v>
      </c>
      <c r="C7" s="430">
        <f>INPUT!E4</f>
        <v>4</v>
      </c>
      <c r="D7" s="596" t="str">
        <f ca="1">INPUT!E5</f>
        <v>남녀특정암진단특약(무배당, 무해지)</v>
      </c>
      <c r="E7" s="597"/>
      <c r="F7" s="76"/>
      <c r="N7" s="82"/>
      <c r="O7" s="330" t="s">
        <v>221</v>
      </c>
      <c r="P7" s="330" t="s">
        <v>192</v>
      </c>
      <c r="Q7" s="331" t="s">
        <v>191</v>
      </c>
      <c r="R7" s="303"/>
      <c r="U7" s="197">
        <v>117467</v>
      </c>
      <c r="V7" s="197">
        <v>102424</v>
      </c>
      <c r="W7" s="197">
        <v>118987</v>
      </c>
      <c r="X7" s="197">
        <v>103020</v>
      </c>
      <c r="Y7" s="197">
        <v>131189</v>
      </c>
      <c r="Z7" s="197">
        <v>131189</v>
      </c>
      <c r="AA7" s="197">
        <v>133175</v>
      </c>
      <c r="AB7" s="197">
        <v>133175</v>
      </c>
    </row>
    <row r="8" spans="2:28" ht="17.399999999999999">
      <c r="B8" s="373" t="s">
        <v>212</v>
      </c>
      <c r="C8" s="682">
        <v>2</v>
      </c>
      <c r="D8" s="77" t="str">
        <f>CHOOSE(C8,"무해지","유해지")</f>
        <v>유해지</v>
      </c>
      <c r="F8" s="76"/>
      <c r="G8" s="83"/>
      <c r="H8" s="84"/>
      <c r="I8" s="69" t="s">
        <v>41</v>
      </c>
      <c r="J8" s="85" t="s">
        <v>115</v>
      </c>
      <c r="N8" s="82" t="s">
        <v>55</v>
      </c>
      <c r="O8" s="458">
        <f ca="1">ROUND(정기보험!H23*S,0)</f>
        <v>665</v>
      </c>
      <c r="P8" s="519">
        <f ca="1">ROUND(무해지!H24*S,0)</f>
        <v>1</v>
      </c>
      <c r="Q8" s="459">
        <f ca="1">ROUND(유해지!H24*S,0)</f>
        <v>1</v>
      </c>
      <c r="R8" s="518"/>
      <c r="S8" s="518"/>
      <c r="U8" s="197">
        <v>141563</v>
      </c>
      <c r="V8" s="197">
        <v>117861</v>
      </c>
      <c r="W8" s="197">
        <v>147682</v>
      </c>
      <c r="X8" s="197">
        <v>121551</v>
      </c>
      <c r="Y8" s="197">
        <v>150953</v>
      </c>
      <c r="Z8" s="197">
        <v>150953</v>
      </c>
      <c r="AA8" s="197">
        <v>157088</v>
      </c>
      <c r="AB8" s="197">
        <v>157088</v>
      </c>
    </row>
    <row r="9" spans="2:28" ht="17.399999999999999">
      <c r="B9" s="373" t="s">
        <v>525</v>
      </c>
      <c r="C9" s="682">
        <v>2</v>
      </c>
      <c r="D9" s="76" t="str">
        <f>CHOOSE(YH,"만기환급형","순수형")</f>
        <v>순수형</v>
      </c>
      <c r="E9" s="76"/>
      <c r="F9" s="78"/>
      <c r="G9" s="108" t="s">
        <v>101</v>
      </c>
      <c r="H9" s="69" t="s">
        <v>45</v>
      </c>
      <c r="I9" s="453">
        <v>0</v>
      </c>
      <c r="J9" s="18" t="s">
        <v>99</v>
      </c>
      <c r="K9" s="225"/>
      <c r="L9" s="225"/>
      <c r="N9" s="82" t="s">
        <v>100</v>
      </c>
      <c r="O9" s="458"/>
      <c r="P9" s="457">
        <f ca="1">ROUNDDOWN(P8/O8,4)</f>
        <v>1.5E-3</v>
      </c>
      <c r="Q9" s="522">
        <f ca="1">ROUNDDOWN(Q8/O8,4)</f>
        <v>1.5E-3</v>
      </c>
      <c r="U9" s="197">
        <v>160486</v>
      </c>
      <c r="V9" s="197">
        <v>132260</v>
      </c>
      <c r="W9" s="197">
        <v>160250</v>
      </c>
      <c r="X9" s="197">
        <v>130598</v>
      </c>
      <c r="Y9" s="197">
        <v>169292</v>
      </c>
      <c r="Z9" s="197">
        <v>169292</v>
      </c>
      <c r="AA9" s="197">
        <v>168824</v>
      </c>
      <c r="AB9" s="197">
        <v>168824</v>
      </c>
    </row>
    <row r="10" spans="2:28" ht="17.399999999999999">
      <c r="B10" s="373" t="s">
        <v>0</v>
      </c>
      <c r="C10" s="431">
        <v>1</v>
      </c>
      <c r="D10" s="76" t="str">
        <f>+IF(sex=1,"남자","여자")</f>
        <v>남자</v>
      </c>
      <c r="E10" s="76"/>
      <c r="F10" s="79"/>
      <c r="G10" s="109"/>
      <c r="H10" s="69" t="s">
        <v>91</v>
      </c>
      <c r="I10" s="511">
        <f ca="1">INPUT!E9</f>
        <v>0</v>
      </c>
      <c r="J10" s="82" t="s">
        <v>100</v>
      </c>
      <c r="O10" s="456"/>
      <c r="P10" s="456"/>
      <c r="Q10" s="456"/>
      <c r="U10" s="197">
        <v>165774</v>
      </c>
      <c r="V10" s="197">
        <v>134190</v>
      </c>
      <c r="W10" s="197">
        <v>156704</v>
      </c>
      <c r="X10" s="197">
        <v>125491</v>
      </c>
      <c r="Y10" s="197">
        <v>171806</v>
      </c>
      <c r="Z10" s="197">
        <v>171806</v>
      </c>
      <c r="AA10" s="197">
        <v>162299</v>
      </c>
      <c r="AB10" s="197">
        <v>162299</v>
      </c>
    </row>
    <row r="11" spans="2:28" ht="17.399999999999999">
      <c r="B11" s="373" t="s">
        <v>1</v>
      </c>
      <c r="C11" s="432">
        <v>8</v>
      </c>
      <c r="D11" s="76"/>
      <c r="E11" s="76"/>
      <c r="F11" s="79"/>
      <c r="G11" s="110"/>
      <c r="H11" s="85" t="s">
        <v>98</v>
      </c>
      <c r="I11" s="111">
        <f ca="1">INPUT!E8</f>
        <v>0.8</v>
      </c>
      <c r="J11" s="18" t="s">
        <v>164</v>
      </c>
      <c r="U11" s="197">
        <v>104371</v>
      </c>
      <c r="V11" s="197">
        <v>83275</v>
      </c>
      <c r="W11" s="197">
        <v>91322</v>
      </c>
      <c r="X11" s="197">
        <v>72084</v>
      </c>
      <c r="Y11" s="197">
        <v>106639</v>
      </c>
      <c r="Z11" s="197">
        <v>106639</v>
      </c>
      <c r="AA11" s="197">
        <v>93201</v>
      </c>
      <c r="AB11" s="197">
        <v>93201</v>
      </c>
    </row>
    <row r="12" spans="2:28" ht="19.2">
      <c r="B12" s="373" t="s">
        <v>2</v>
      </c>
      <c r="C12" s="433">
        <v>30</v>
      </c>
      <c r="D12" s="77" t="str">
        <f>C5</f>
        <v>세만기</v>
      </c>
      <c r="E12" s="76"/>
      <c r="F12" s="79"/>
      <c r="G12" s="109"/>
      <c r="H12" s="69" t="s">
        <v>43</v>
      </c>
      <c r="I12" s="173">
        <f ca="1">INPUT!E10</f>
        <v>0.35</v>
      </c>
      <c r="J12" s="18" t="s">
        <v>99</v>
      </c>
      <c r="N12" s="141" t="s">
        <v>231</v>
      </c>
      <c r="O12" s="141"/>
      <c r="P12" s="141"/>
      <c r="Q12" s="141"/>
      <c r="R12" s="141"/>
      <c r="S12" s="141"/>
      <c r="U12" s="197">
        <v>0</v>
      </c>
      <c r="V12" s="197">
        <v>0</v>
      </c>
      <c r="W12" s="197">
        <v>0</v>
      </c>
      <c r="X12" s="197">
        <v>0</v>
      </c>
      <c r="Y12" s="197">
        <v>0</v>
      </c>
      <c r="Z12" s="197">
        <v>0</v>
      </c>
      <c r="AA12" s="197">
        <v>0</v>
      </c>
      <c r="AB12" s="197">
        <v>0</v>
      </c>
    </row>
    <row r="13" spans="2:28" ht="19.2">
      <c r="B13" s="373" t="s">
        <v>232</v>
      </c>
      <c r="C13" s="264">
        <f>+IF(D12="년만기",C12,C12-x)</f>
        <v>22</v>
      </c>
      <c r="D13" s="76" t="s">
        <v>234</v>
      </c>
      <c r="E13" s="80"/>
      <c r="F13" s="80"/>
      <c r="G13" s="224"/>
      <c r="H13" s="69" t="s">
        <v>95</v>
      </c>
      <c r="I13" s="455">
        <f ca="1">INPUT!E11</f>
        <v>9.9999999999999995E-7</v>
      </c>
      <c r="J13" s="82" t="s">
        <v>100</v>
      </c>
      <c r="N13"/>
      <c r="O13"/>
      <c r="P13" s="141"/>
      <c r="Q13" s="141"/>
      <c r="R13" s="141"/>
      <c r="S13" s="141"/>
      <c r="AA13"/>
      <c r="AB13"/>
    </row>
    <row r="14" spans="2:28" ht="19.2">
      <c r="B14" s="373" t="s">
        <v>3</v>
      </c>
      <c r="C14" s="433">
        <v>5</v>
      </c>
      <c r="D14" s="48" t="s">
        <v>233</v>
      </c>
      <c r="E14" s="80"/>
      <c r="F14" s="80"/>
      <c r="G14" s="109"/>
      <c r="H14" s="69" t="s">
        <v>94</v>
      </c>
      <c r="I14" s="368">
        <f ca="1">INPUT!E13</f>
        <v>9.9999999999999995E-7</v>
      </c>
      <c r="J14" s="82" t="s">
        <v>104</v>
      </c>
      <c r="N14" s="141" t="s">
        <v>192</v>
      </c>
      <c r="R14" s="199" t="s">
        <v>192</v>
      </c>
      <c r="V14" s="77" t="s">
        <v>191</v>
      </c>
      <c r="AA14"/>
      <c r="AB14"/>
    </row>
    <row r="15" spans="2:28" ht="17.399999999999999">
      <c r="B15" s="373" t="s">
        <v>4</v>
      </c>
      <c r="C15" s="114">
        <v>12</v>
      </c>
      <c r="D15" s="48" t="str">
        <f>CHOOSE(mm,"년납","6월납",,"3월납",,,,,,,,"월납")</f>
        <v>월납</v>
      </c>
      <c r="E15" s="76"/>
      <c r="F15" s="81"/>
      <c r="G15" s="110"/>
      <c r="H15" s="69" t="s">
        <v>103</v>
      </c>
      <c r="I15" s="173">
        <f ca="1">INPUT!E14</f>
        <v>2.5000000000000001E-2</v>
      </c>
      <c r="J15" s="82" t="s">
        <v>99</v>
      </c>
      <c r="N15" s="190">
        <f ca="1">GPB*S</f>
        <v>6</v>
      </c>
      <c r="O15" s="190">
        <v>1</v>
      </c>
      <c r="P15" s="190">
        <v>2</v>
      </c>
      <c r="R15" s="323"/>
      <c r="S15" s="323" t="s">
        <v>56</v>
      </c>
      <c r="T15" s="323" t="s">
        <v>57</v>
      </c>
      <c r="V15" s="323"/>
      <c r="W15" s="438" t="s">
        <v>56</v>
      </c>
      <c r="X15" s="438" t="s">
        <v>57</v>
      </c>
      <c r="AA15"/>
      <c r="AB15"/>
    </row>
    <row r="16" spans="2:28" ht="17.399999999999999">
      <c r="B16" s="373" t="s">
        <v>5</v>
      </c>
      <c r="C16" s="115">
        <f ca="1">INPUT!E6</f>
        <v>2.2499999999999999E-2</v>
      </c>
      <c r="D16" s="76"/>
      <c r="E16" s="76"/>
      <c r="F16" s="81"/>
      <c r="M16" s="308" t="s">
        <v>493</v>
      </c>
      <c r="N16" s="190">
        <f>m</f>
        <v>5</v>
      </c>
      <c r="O16" s="428">
        <f t="dataTable" ref="O16:P19" dt2D="1" dtr="1" r1="C10" r2="C14" ca="1"/>
        <v>6</v>
      </c>
      <c r="P16" s="428">
        <v>144</v>
      </c>
      <c r="R16" s="190" t="s">
        <v>99</v>
      </c>
      <c r="S16" s="326">
        <f ca="1">무해지!H29*무해지!SB</f>
        <v>6</v>
      </c>
      <c r="T16" s="326"/>
      <c r="V16" s="435" t="s">
        <v>99</v>
      </c>
      <c r="W16" s="439">
        <f ca="1">유해지!GPB*유해지!SB</f>
        <v>7</v>
      </c>
      <c r="X16" s="439"/>
      <c r="AA16"/>
      <c r="AB16"/>
    </row>
    <row r="17" spans="1:33" ht="17.399999999999999">
      <c r="B17" s="373" t="s">
        <v>6</v>
      </c>
      <c r="C17" s="177" cm="1">
        <f t="array" aca="1" ref="C17" ca="1">1/(1+i)</f>
        <v>0.97799511002444994</v>
      </c>
      <c r="D17" s="76"/>
      <c r="E17" s="79"/>
      <c r="F17" s="79"/>
      <c r="M17" s="308"/>
      <c r="N17" s="190">
        <v>30</v>
      </c>
      <c r="O17" s="462">
        <v>2</v>
      </c>
      <c r="P17" s="462">
        <v>39</v>
      </c>
      <c r="R17" s="324" t="s">
        <v>533</v>
      </c>
      <c r="S17" s="327" t="e">
        <f ca="1">NPBB*S</f>
        <v>#REF!</v>
      </c>
      <c r="T17" s="327"/>
      <c r="V17" s="436" t="s">
        <v>533</v>
      </c>
      <c r="W17" s="513">
        <f ca="1">유해지!NPBB*S</f>
        <v>40.677919154601867</v>
      </c>
      <c r="X17" s="439"/>
      <c r="AA17"/>
      <c r="AB17"/>
    </row>
    <row r="18" spans="1:33" ht="19.2">
      <c r="B18" s="373" t="s">
        <v>16</v>
      </c>
      <c r="C18" s="116">
        <f ca="1">INPUT!E7</f>
        <v>10000000</v>
      </c>
      <c r="D18" s="76"/>
      <c r="E18" s="76"/>
      <c r="F18" s="81"/>
      <c r="G18" s="141" t="s">
        <v>487</v>
      </c>
      <c r="M18" s="308"/>
      <c r="N18" s="190">
        <v>10</v>
      </c>
      <c r="O18" s="158">
        <v>3</v>
      </c>
      <c r="P18" s="158">
        <v>73</v>
      </c>
      <c r="R18" s="324" t="s">
        <v>534</v>
      </c>
      <c r="S18" s="327">
        <f ca="1">무해지!H25*S</f>
        <v>2.8904962233692388</v>
      </c>
      <c r="T18" s="329"/>
      <c r="V18" s="436" t="s">
        <v>534</v>
      </c>
      <c r="W18" s="483">
        <f ca="1">유해지!H25*S</f>
        <v>3.4243897657157634</v>
      </c>
      <c r="X18" s="439"/>
      <c r="AA18"/>
      <c r="AB18"/>
      <c r="AC18"/>
      <c r="AD18"/>
      <c r="AE18"/>
      <c r="AF18"/>
      <c r="AG18"/>
    </row>
    <row r="19" spans="1:33">
      <c r="B19" s="373" t="s">
        <v>29</v>
      </c>
      <c r="C19" s="117">
        <f ca="1">+LEN(S)-1</f>
        <v>7</v>
      </c>
      <c r="D19" s="76"/>
      <c r="E19" s="76"/>
      <c r="F19" s="81"/>
      <c r="I19" s="598" t="s">
        <v>488</v>
      </c>
      <c r="J19" s="599"/>
      <c r="K19" s="592"/>
      <c r="L19" s="592"/>
      <c r="M19" s="308"/>
      <c r="N19" s="190">
        <v>30</v>
      </c>
      <c r="O19" s="158">
        <v>2</v>
      </c>
      <c r="P19" s="158">
        <v>39</v>
      </c>
      <c r="R19" s="325">
        <v>1</v>
      </c>
      <c r="S19" s="328">
        <f ca="1">ROUND(_xlfn.XLOOKUP(x+$R19,무해지!$S$12:$S$124,무해지!$CZ$12:$CZ$124,FALSE),round)*S</f>
        <v>36</v>
      </c>
      <c r="T19" s="328">
        <f ca="1">ROUND(_xlfn.XLOOKUP(x+$R19,무해지!$S$12:$S$124,무해지!$CX$12:$CX$124,FALSE),round)*S</f>
        <v>0</v>
      </c>
      <c r="V19" s="437">
        <f>R19</f>
        <v>1</v>
      </c>
      <c r="W19" s="440">
        <f ca="1">ROUND(_xlfn.XLOOKUP(x+$V19,유해지!$S$12:$S$124,유해지!$CR$12:$CR$124,FALSE),round)*S</f>
        <v>40</v>
      </c>
      <c r="X19" s="440">
        <f ca="1">ROUND(_xlfn.XLOOKUP(x+$V19,유해지!$S$12:$S$124,유해지!$CP$12:$CP$124,FALSE),round)*S</f>
        <v>38</v>
      </c>
      <c r="Z19" s="77" t="b">
        <f t="shared" ref="Z19:Z27" ca="1" si="0">IF(sex=1,ROUND(S19,0)=U4,ROUND(S19,0)=W4)</f>
        <v>0</v>
      </c>
      <c r="AA19" s="77" t="b">
        <f t="shared" ref="AA19:AA27" ca="1" si="1">IF(sex=1,ROUND(T19,0)=V4,ROUND(T19,0)=X4)</f>
        <v>1</v>
      </c>
      <c r="AB19" s="77" t="b">
        <f t="shared" ref="AB19:AB27" ca="1" si="2">IF(sex=1,ROUND(W19,0)=Y4,ROUND(W19,0)=AA4)</f>
        <v>0</v>
      </c>
      <c r="AC19" s="77" t="b">
        <f t="shared" ref="AC19:AC27" ca="1" si="3">IF(sex=1,ROUND(X19,0)=Z4,ROUND(X19,0)=AB4)</f>
        <v>0</v>
      </c>
    </row>
    <row r="20" spans="1:33" ht="18" customHeight="1">
      <c r="B20" s="374" t="s">
        <v>575</v>
      </c>
      <c r="C20" s="371">
        <v>1</v>
      </c>
      <c r="F20" s="79"/>
      <c r="G20" s="598"/>
      <c r="H20" s="599"/>
      <c r="I20" s="82" t="s">
        <v>493</v>
      </c>
      <c r="J20" s="82" t="s">
        <v>494</v>
      </c>
      <c r="M20" s="308"/>
      <c r="N20" s="306"/>
      <c r="O20" s="306"/>
      <c r="P20" s="306"/>
      <c r="R20" s="325">
        <v>3</v>
      </c>
      <c r="S20" s="328">
        <f ca="1">ROUND(_xlfn.XLOOKUP(x+$R20,무해지!$S$12:$S$124,무해지!$CZ$12:$CZ$124,FALSE),round)*S</f>
        <v>120</v>
      </c>
      <c r="T20" s="328">
        <f ca="1">ROUND(_xlfn.XLOOKUP(x+$R20,무해지!$S$12:$S$124,무해지!$CX$12:$CX$124,FALSE),round)*S</f>
        <v>0</v>
      </c>
      <c r="V20" s="437">
        <f t="shared" ref="V20:V27" si="4">R20</f>
        <v>3</v>
      </c>
      <c r="W20" s="440">
        <f ca="1">ROUND(_xlfn.XLOOKUP(x+$V20,유해지!$S$12:$S$124,유해지!$CR$12:$CR$124,FALSE),round)*S</f>
        <v>122</v>
      </c>
      <c r="X20" s="440">
        <f ca="1">ROUND(_xlfn.XLOOKUP(x+$V20,유해지!$S$12:$S$124,유해지!$CP$12:$CP$124,FALSE),round)*S</f>
        <v>120</v>
      </c>
      <c r="Z20" s="77" t="b">
        <f t="shared" ca="1" si="0"/>
        <v>0</v>
      </c>
      <c r="AA20" s="77" t="b">
        <f t="shared" ca="1" si="1"/>
        <v>1</v>
      </c>
      <c r="AB20" s="77" t="b">
        <f t="shared" ca="1" si="2"/>
        <v>0</v>
      </c>
      <c r="AC20" s="77" t="b">
        <f t="shared" ca="1" si="3"/>
        <v>0</v>
      </c>
    </row>
    <row r="21" spans="1:33">
      <c r="B21" s="463" t="s">
        <v>871</v>
      </c>
      <c r="C21" s="464">
        <v>1</v>
      </c>
      <c r="G21" s="593" t="s">
        <v>491</v>
      </c>
      <c r="H21" s="86" t="s">
        <v>489</v>
      </c>
      <c r="I21" s="226" t="s">
        <v>568</v>
      </c>
      <c r="J21" s="226" t="s">
        <v>569</v>
      </c>
      <c r="K21" s="225"/>
      <c r="L21" s="225"/>
      <c r="M21" s="308"/>
      <c r="N21" s="332" t="s">
        <v>191</v>
      </c>
      <c r="O21" s="306"/>
      <c r="P21" s="306"/>
      <c r="R21" s="325">
        <v>5</v>
      </c>
      <c r="S21" s="328">
        <f ca="1">ROUND(_xlfn.XLOOKUP(x+$R21,무해지!$S$12:$S$124,무해지!$CZ$12:$CZ$124,FALSE),round)*S</f>
        <v>199</v>
      </c>
      <c r="T21" s="328">
        <f ca="1">ROUND(_xlfn.XLOOKUP(x+$R21,무해지!$S$12:$S$124,무해지!$CX$12:$CX$124,FALSE),round)*S</f>
        <v>176</v>
      </c>
      <c r="V21" s="437">
        <f t="shared" si="4"/>
        <v>5</v>
      </c>
      <c r="W21" s="440">
        <f ca="1">ROUND(_xlfn.XLOOKUP(x+$V21,유해지!$S$12:$S$124,유해지!$CR$12:$CR$124,FALSE),round)*S</f>
        <v>206</v>
      </c>
      <c r="X21" s="440">
        <f ca="1">ROUND(_xlfn.XLOOKUP(x+$V21,유해지!$S$12:$S$124,유해지!$CP$12:$CP$124,FALSE),round)*S</f>
        <v>206</v>
      </c>
      <c r="Z21" s="77" t="b">
        <f t="shared" ca="1" si="0"/>
        <v>0</v>
      </c>
      <c r="AA21" s="77" t="b">
        <f t="shared" ca="1" si="1"/>
        <v>0</v>
      </c>
      <c r="AB21" s="77" t="b">
        <f t="shared" ca="1" si="2"/>
        <v>0</v>
      </c>
      <c r="AC21" s="77" t="b">
        <f t="shared" ca="1" si="3"/>
        <v>0</v>
      </c>
    </row>
    <row r="22" spans="1:33">
      <c r="G22" s="594"/>
      <c r="H22" s="82" t="s">
        <v>100</v>
      </c>
      <c r="I22" s="367" t="s">
        <v>567</v>
      </c>
      <c r="J22" s="226" t="s">
        <v>570</v>
      </c>
      <c r="M22" s="308"/>
      <c r="N22" s="190">
        <f ca="1">유해지!GPB*S</f>
        <v>7</v>
      </c>
      <c r="O22" s="190">
        <v>1</v>
      </c>
      <c r="P22" s="190">
        <v>2</v>
      </c>
      <c r="R22" s="325">
        <v>10</v>
      </c>
      <c r="S22" s="328">
        <f ca="1">ROUND(_xlfn.XLOOKUP(x+$R22,무해지!$S$12:$S$124,무해지!$CZ$12:$CZ$124,FALSE),round)*S</f>
        <v>158</v>
      </c>
      <c r="T22" s="328">
        <f ca="1">ROUND(_xlfn.XLOOKUP(x+$R22,무해지!$S$12:$S$124,무해지!$CX$12:$CX$124,FALSE),round)*S</f>
        <v>136</v>
      </c>
      <c r="V22" s="437">
        <f t="shared" si="4"/>
        <v>10</v>
      </c>
      <c r="W22" s="440">
        <f ca="1">ROUND(_xlfn.XLOOKUP(x+$V22,유해지!$S$12:$S$124,유해지!$CR$12:$CR$124,FALSE),round)*S</f>
        <v>159</v>
      </c>
      <c r="X22" s="440">
        <f ca="1">ROUND(_xlfn.XLOOKUP(x+$V22,유해지!$S$12:$S$124,유해지!$CP$12:$CP$124,FALSE),round)*S</f>
        <v>159</v>
      </c>
      <c r="Z22" s="77" t="b">
        <f t="shared" ca="1" si="0"/>
        <v>0</v>
      </c>
      <c r="AA22" s="77" t="b">
        <f t="shared" ca="1" si="1"/>
        <v>0</v>
      </c>
      <c r="AB22" s="77" t="b">
        <f t="shared" ca="1" si="2"/>
        <v>0</v>
      </c>
      <c r="AC22" s="77" t="b">
        <f t="shared" ca="1" si="3"/>
        <v>0</v>
      </c>
    </row>
    <row r="23" spans="1:33">
      <c r="G23" s="595"/>
      <c r="H23" s="82" t="s">
        <v>563</v>
      </c>
      <c r="I23" s="367" t="s">
        <v>566</v>
      </c>
      <c r="J23" s="226" t="s">
        <v>571</v>
      </c>
      <c r="M23" s="308" t="s">
        <v>493</v>
      </c>
      <c r="N23" s="190">
        <f>m</f>
        <v>5</v>
      </c>
      <c r="O23" s="428">
        <f t="dataTable" ref="O23:P26" dt2D="1" dtr="1" r1="C10" r2="C14" ca="1"/>
        <v>7</v>
      </c>
      <c r="P23" s="428">
        <v>174</v>
      </c>
      <c r="R23" s="325">
        <v>20</v>
      </c>
      <c r="S23" s="328">
        <f ca="1">ROUND(_xlfn.XLOOKUP(x+$R23,무해지!$S$12:$S$124,무해지!$CZ$12:$CZ$124,FALSE),round)*S</f>
        <v>36</v>
      </c>
      <c r="T23" s="328">
        <f ca="1">ROUND(_xlfn.XLOOKUP(x+$R23,무해지!$S$12:$S$124,무해지!$CX$12:$CX$124,FALSE),round)*S</f>
        <v>31</v>
      </c>
      <c r="V23" s="437">
        <f t="shared" si="4"/>
        <v>20</v>
      </c>
      <c r="W23" s="440">
        <f ca="1">ROUND(_xlfn.XLOOKUP(x+$V23,유해지!$S$12:$S$124,유해지!$CR$12:$CR$124,FALSE),round)*S</f>
        <v>36</v>
      </c>
      <c r="X23" s="440">
        <f ca="1">ROUND(_xlfn.XLOOKUP(x+$V23,유해지!$S$12:$S$124,유해지!$CP$12:$CP$124,FALSE),round)*S</f>
        <v>36</v>
      </c>
      <c r="Z23" s="77" t="b">
        <f t="shared" ca="1" si="0"/>
        <v>0</v>
      </c>
      <c r="AA23" s="77" t="b">
        <f t="shared" ca="1" si="1"/>
        <v>0</v>
      </c>
      <c r="AB23" s="77" t="b">
        <f t="shared" ca="1" si="2"/>
        <v>0</v>
      </c>
      <c r="AC23" s="77" t="b">
        <f t="shared" ca="1" si="3"/>
        <v>0</v>
      </c>
    </row>
    <row r="24" spans="1:33">
      <c r="G24" s="593" t="s">
        <v>492</v>
      </c>
      <c r="H24" s="86" t="s">
        <v>489</v>
      </c>
      <c r="I24" s="226" t="s">
        <v>565</v>
      </c>
      <c r="J24" s="226" t="s">
        <v>572</v>
      </c>
      <c r="K24" s="225"/>
      <c r="L24" s="225"/>
      <c r="N24" s="190">
        <v>30</v>
      </c>
      <c r="O24" s="462">
        <v>2</v>
      </c>
      <c r="P24" s="462">
        <v>47</v>
      </c>
      <c r="R24" s="325">
        <v>30</v>
      </c>
      <c r="S24" s="328">
        <f ca="1">ROUND(_xlfn.XLOOKUP(x+$R24,무해지!$S$12:$S$124,무해지!$CZ$12:$CZ$124,FALSE),round)*S</f>
        <v>0</v>
      </c>
      <c r="T24" s="328">
        <f ca="1">ROUND(_xlfn.XLOOKUP(x+$R24,무해지!$S$12:$S$124,무해지!$CX$12:$CX$124,FALSE),round)*S</f>
        <v>0</v>
      </c>
      <c r="V24" s="437">
        <f t="shared" si="4"/>
        <v>30</v>
      </c>
      <c r="W24" s="440">
        <f ca="1">ROUND(_xlfn.XLOOKUP(x+$V24,유해지!$S$12:$S$124,유해지!$CR$12:$CR$124,FALSE),round)*S</f>
        <v>0</v>
      </c>
      <c r="X24" s="440">
        <f ca="1">ROUND(_xlfn.XLOOKUP(x+$V24,유해지!$S$12:$S$124,유해지!$CP$12:$CP$124,FALSE),round)*S</f>
        <v>0</v>
      </c>
      <c r="Z24" s="77" t="b">
        <f t="shared" ca="1" si="0"/>
        <v>0</v>
      </c>
      <c r="AA24" s="77" t="b">
        <f t="shared" ca="1" si="1"/>
        <v>0</v>
      </c>
      <c r="AB24" s="77" t="b">
        <f t="shared" ca="1" si="2"/>
        <v>0</v>
      </c>
      <c r="AC24" s="77" t="b">
        <f t="shared" ca="1" si="3"/>
        <v>0</v>
      </c>
    </row>
    <row r="25" spans="1:33">
      <c r="G25" s="595"/>
      <c r="H25" s="86" t="s">
        <v>490</v>
      </c>
      <c r="I25" s="226" t="s">
        <v>564</v>
      </c>
      <c r="J25" s="226" t="s">
        <v>573</v>
      </c>
      <c r="K25" s="225"/>
      <c r="L25" s="225"/>
      <c r="N25" s="190">
        <v>10</v>
      </c>
      <c r="O25" s="158">
        <v>4</v>
      </c>
      <c r="P25" s="158">
        <v>92</v>
      </c>
      <c r="R25" s="325">
        <v>50</v>
      </c>
      <c r="S25" s="328">
        <f ca="1">ROUND(_xlfn.XLOOKUP(x+$R25,무해지!$S$12:$S$124,무해지!$CZ$12:$CZ$124,FALSE),round)*S</f>
        <v>0</v>
      </c>
      <c r="T25" s="328">
        <f ca="1">ROUND(_xlfn.XLOOKUP(x+$R25,무해지!$S$12:$S$124,무해지!$CX$12:$CX$124,FALSE),round)*S</f>
        <v>0</v>
      </c>
      <c r="V25" s="437">
        <f t="shared" si="4"/>
        <v>50</v>
      </c>
      <c r="W25" s="440">
        <f ca="1">ROUND(_xlfn.XLOOKUP(x+$V25,유해지!$S$12:$S$124,유해지!$CR$12:$CR$124,FALSE),round)*S</f>
        <v>0</v>
      </c>
      <c r="X25" s="440">
        <f ca="1">ROUND(_xlfn.XLOOKUP(x+$V25,유해지!$S$12:$S$124,유해지!$CP$12:$CP$124,FALSE),round)*S</f>
        <v>0</v>
      </c>
      <c r="Z25" s="77" t="b">
        <f t="shared" ca="1" si="0"/>
        <v>0</v>
      </c>
      <c r="AA25" s="77" t="b">
        <f t="shared" ca="1" si="1"/>
        <v>0</v>
      </c>
      <c r="AB25" s="77" t="b">
        <f t="shared" ca="1" si="2"/>
        <v>0</v>
      </c>
      <c r="AC25" s="77" t="b">
        <f t="shared" ca="1" si="3"/>
        <v>0</v>
      </c>
    </row>
    <row r="26" spans="1:33">
      <c r="N26" s="190">
        <v>30</v>
      </c>
      <c r="O26" s="158">
        <v>2</v>
      </c>
      <c r="P26" s="158">
        <v>47</v>
      </c>
      <c r="R26" s="325">
        <v>70</v>
      </c>
      <c r="S26" s="328">
        <f ca="1">ROUND(_xlfn.XLOOKUP(x+$R26,무해지!$S$12:$S$124,무해지!$CZ$12:$CZ$124,FALSE),round)*S</f>
        <v>0</v>
      </c>
      <c r="T26" s="328">
        <f ca="1">ROUND(_xlfn.XLOOKUP(x+$R26,무해지!$S$12:$S$124,무해지!$CX$12:$CX$124,FALSE),round)*S</f>
        <v>0</v>
      </c>
      <c r="V26" s="437">
        <f t="shared" si="4"/>
        <v>70</v>
      </c>
      <c r="W26" s="440">
        <f ca="1">ROUND(_xlfn.XLOOKUP(x+$V26,유해지!$S$12:$S$124,유해지!$CR$12:$CR$124,FALSE),round)*S</f>
        <v>0</v>
      </c>
      <c r="X26" s="440">
        <f ca="1">ROUND(_xlfn.XLOOKUP(x+$V26,유해지!$S$12:$S$124,유해지!$CP$12:$CP$124,FALSE),round)*S</f>
        <v>0</v>
      </c>
      <c r="Z26" s="77" t="b">
        <f t="shared" ca="1" si="0"/>
        <v>0</v>
      </c>
      <c r="AA26" s="77" t="b">
        <f t="shared" ca="1" si="1"/>
        <v>0</v>
      </c>
      <c r="AB26" s="77" t="b">
        <f t="shared" ca="1" si="2"/>
        <v>0</v>
      </c>
      <c r="AC26" s="77" t="b">
        <f t="shared" ca="1" si="3"/>
        <v>0</v>
      </c>
    </row>
    <row r="27" spans="1:33">
      <c r="A27" s="165"/>
      <c r="B27" s="165"/>
      <c r="C27" s="165"/>
      <c r="D27" s="165"/>
      <c r="E27" s="165"/>
      <c r="N27" s="306"/>
      <c r="O27" s="306"/>
      <c r="P27" s="306"/>
      <c r="R27" s="325">
        <v>95</v>
      </c>
      <c r="S27" s="328">
        <f ca="1">ROUND(_xlfn.XLOOKUP(x+$R27,무해지!$S$12:$S$124,무해지!$CZ$12:$CZ$124,FALSE),round)*S</f>
        <v>0</v>
      </c>
      <c r="T27" s="328">
        <f ca="1">ROUND(_xlfn.XLOOKUP(x+$R27,무해지!$S$12:$S$124,무해지!$CX$12:$CX$124,FALSE),round)*S</f>
        <v>0</v>
      </c>
      <c r="V27" s="437">
        <f t="shared" si="4"/>
        <v>95</v>
      </c>
      <c r="W27" s="440">
        <f ca="1">ROUND(_xlfn.XLOOKUP(x+$V27,유해지!$S$12:$S$124,유해지!$CR$12:$CR$124,FALSE),round)*S</f>
        <v>0</v>
      </c>
      <c r="X27" s="440">
        <f ca="1">ROUND(_xlfn.XLOOKUP(x+$V27,유해지!$S$12:$S$124,유해지!$CP$12:$CP$124,FALSE),round)*S</f>
        <v>0</v>
      </c>
      <c r="Z27" s="77" t="b">
        <f t="shared" ca="1" si="0"/>
        <v>1</v>
      </c>
      <c r="AA27" s="77" t="b">
        <f t="shared" ca="1" si="1"/>
        <v>1</v>
      </c>
      <c r="AB27" s="77" t="b">
        <f t="shared" ca="1" si="2"/>
        <v>1</v>
      </c>
      <c r="AC27" s="77" t="b">
        <f t="shared" ca="1" si="3"/>
        <v>1</v>
      </c>
    </row>
    <row r="28" spans="1:33" ht="17.399999999999999">
      <c r="A28" s="87"/>
      <c r="B28" s="87"/>
      <c r="C28" s="87"/>
      <c r="D28" s="87"/>
      <c r="E28" s="87"/>
      <c r="N28" s="306"/>
      <c r="O28" s="306"/>
      <c r="P28" s="306"/>
      <c r="R28" s="307"/>
      <c r="S28" s="272"/>
      <c r="T28" s="272"/>
      <c r="U28"/>
      <c r="V28"/>
      <c r="AA28"/>
      <c r="AB28"/>
      <c r="AC28"/>
      <c r="AD28"/>
      <c r="AE28"/>
      <c r="AF28"/>
      <c r="AG28"/>
    </row>
    <row r="29" spans="1:33" ht="19.2">
      <c r="B29" s="141" t="s">
        <v>120</v>
      </c>
      <c r="AA29"/>
      <c r="AB29"/>
    </row>
    <row r="30" spans="1:33">
      <c r="D30" s="82">
        <v>0</v>
      </c>
      <c r="E30" s="82">
        <f>D30+6</f>
        <v>6</v>
      </c>
      <c r="F30" s="82">
        <f t="shared" ref="F30:Q30" si="5">E30+6</f>
        <v>12</v>
      </c>
      <c r="G30" s="82">
        <f t="shared" si="5"/>
        <v>18</v>
      </c>
      <c r="H30" s="82">
        <f t="shared" si="5"/>
        <v>24</v>
      </c>
      <c r="I30" s="82">
        <f t="shared" si="5"/>
        <v>30</v>
      </c>
      <c r="J30" s="82">
        <f t="shared" si="5"/>
        <v>36</v>
      </c>
      <c r="K30" s="82">
        <f t="shared" si="5"/>
        <v>42</v>
      </c>
      <c r="L30" s="82">
        <f t="shared" si="5"/>
        <v>48</v>
      </c>
      <c r="M30" s="82">
        <f t="shared" si="5"/>
        <v>54</v>
      </c>
      <c r="N30" s="82">
        <f t="shared" si="5"/>
        <v>60</v>
      </c>
      <c r="O30" s="82">
        <f t="shared" si="5"/>
        <v>66</v>
      </c>
      <c r="P30" s="82">
        <f t="shared" si="5"/>
        <v>72</v>
      </c>
      <c r="Q30" s="82">
        <f t="shared" si="5"/>
        <v>78</v>
      </c>
    </row>
    <row r="31" spans="1:33">
      <c r="B31" s="178"/>
      <c r="C31" s="179"/>
      <c r="D31" s="105" t="s">
        <v>405</v>
      </c>
      <c r="E31" s="105" t="s">
        <v>406</v>
      </c>
      <c r="F31" s="105" t="s">
        <v>83</v>
      </c>
      <c r="G31" s="105" t="s">
        <v>84</v>
      </c>
      <c r="H31" s="105" t="s">
        <v>85</v>
      </c>
      <c r="I31" s="105" t="s">
        <v>86</v>
      </c>
      <c r="J31" s="105" t="s">
        <v>87</v>
      </c>
      <c r="K31" s="105" t="s">
        <v>167</v>
      </c>
      <c r="L31" s="105" t="s">
        <v>168</v>
      </c>
      <c r="M31" s="105" t="s">
        <v>495</v>
      </c>
      <c r="N31" s="105" t="s">
        <v>225</v>
      </c>
      <c r="O31" s="105" t="s">
        <v>496</v>
      </c>
      <c r="P31" s="105" t="s">
        <v>497</v>
      </c>
      <c r="Q31" s="105" t="s">
        <v>498</v>
      </c>
    </row>
    <row r="32" spans="1:33">
      <c r="B32" s="180"/>
      <c r="C32" s="181"/>
      <c r="D32" s="85" t="s">
        <v>436</v>
      </c>
      <c r="E32" s="85" t="s">
        <v>437</v>
      </c>
      <c r="F32" s="85" t="str">
        <f>"급부"&amp;F31</f>
        <v>급부a</v>
      </c>
      <c r="G32" s="85" t="str">
        <f t="shared" ref="G32:Q32" si="6">"급부"&amp;G31</f>
        <v>급부b</v>
      </c>
      <c r="H32" s="85" t="str">
        <f t="shared" si="6"/>
        <v>급부c</v>
      </c>
      <c r="I32" s="85" t="str">
        <f t="shared" si="6"/>
        <v>급부d</v>
      </c>
      <c r="J32" s="85" t="str">
        <f t="shared" si="6"/>
        <v>급부e</v>
      </c>
      <c r="K32" s="85" t="str">
        <f t="shared" si="6"/>
        <v>급부f</v>
      </c>
      <c r="L32" s="85" t="str">
        <f t="shared" si="6"/>
        <v>급부g</v>
      </c>
      <c r="M32" s="85" t="str">
        <f t="shared" si="6"/>
        <v>급부h</v>
      </c>
      <c r="N32" s="85" t="str">
        <f t="shared" si="6"/>
        <v>급부i</v>
      </c>
      <c r="O32" s="85" t="str">
        <f t="shared" si="6"/>
        <v>급부j</v>
      </c>
      <c r="P32" s="85" t="str">
        <f t="shared" si="6"/>
        <v>급부k</v>
      </c>
      <c r="Q32" s="85" t="str">
        <f t="shared" si="6"/>
        <v>급부l</v>
      </c>
    </row>
    <row r="33" spans="1:21" ht="15.6" customHeight="1">
      <c r="A33" s="165">
        <v>0</v>
      </c>
      <c r="B33" s="105" t="s">
        <v>324</v>
      </c>
      <c r="C33" s="85" t="s">
        <v>47</v>
      </c>
      <c r="D33" s="85" cm="1">
        <f t="array" aca="1" ref="D33" ca="1">INDEX(INPUT!$E$22:$E$105,MAIN!D$30+$A33+1,1)</f>
        <v>0</v>
      </c>
      <c r="E33" s="85" t="str" cm="1">
        <f t="array" aca="1" ref="E33" ca="1">INDEX(INPUT!$E$22:$E$105,MAIN!E$30+$A33+1,1)</f>
        <v>qx_ad50%</v>
      </c>
      <c r="F33" s="85" t="str" cm="1">
        <f t="array" aca="1" ref="F33" ca="1">INDEX(INPUT!$E$22:$E$105,MAIN!F$30+$A33+1,1)</f>
        <v>qx_am2</v>
      </c>
      <c r="G33" s="85" cm="1">
        <f t="array" aca="1" ref="G33" ca="1">INDEX(INPUT!$E$22:$E$105,MAIN!G$30+$A33+1,1)</f>
        <v>0</v>
      </c>
      <c r="H33" s="85" cm="1">
        <f t="array" aca="1" ref="H33" ca="1">INDEX(INPUT!$E$22:$E$105,MAIN!H$30+$A33+1,1)</f>
        <v>0</v>
      </c>
      <c r="I33" s="85" cm="1">
        <f t="array" aca="1" ref="I33" ca="1">INDEX(INPUT!$E$22:$E$105,MAIN!I$30+$A33+1,1)</f>
        <v>0</v>
      </c>
      <c r="J33" s="85" cm="1">
        <f t="array" aca="1" ref="J33" ca="1">INDEX(INPUT!$E$22:$E$105,MAIN!J$30+$A33+1,1)</f>
        <v>0</v>
      </c>
      <c r="K33" s="85" cm="1">
        <f t="array" aca="1" ref="K33" ca="1">INDEX(INPUT!$E$22:$E$105,MAIN!K$30+$A33+1,1)</f>
        <v>0</v>
      </c>
      <c r="L33" s="85" cm="1">
        <f t="array" aca="1" ref="L33" ca="1">INDEX(INPUT!$E$22:$E$105,MAIN!L$30+$A33+1,1)</f>
        <v>0</v>
      </c>
      <c r="M33" s="85" cm="1">
        <f t="array" aca="1" ref="M33" ca="1">INDEX(INPUT!$E$22:$E$105,MAIN!M$30+$A33+1,1)</f>
        <v>0</v>
      </c>
      <c r="N33" s="85" cm="1">
        <f t="array" aca="1" ref="N33" ca="1">INDEX(INPUT!$E$22:$E$105,MAIN!N$30+$A33+1,1)</f>
        <v>0</v>
      </c>
      <c r="O33" s="85" cm="1">
        <f t="array" aca="1" ref="O33" ca="1">INDEX(INPUT!$E$22:$E$105,MAIN!O$30+$A33+1,1)</f>
        <v>0</v>
      </c>
      <c r="P33" s="85" cm="1">
        <f t="array" aca="1" ref="P33" ca="1">INDEX(INPUT!$E$22:$E$105,MAIN!P$30+$A33+1,1)</f>
        <v>0</v>
      </c>
      <c r="Q33" s="85" cm="1">
        <f t="array" aca="1" ref="Q33" ca="1">INDEX(INPUT!$E$22:$E$105,MAIN!Q$30+$A33+1,1)</f>
        <v>0</v>
      </c>
    </row>
    <row r="34" spans="1:21">
      <c r="A34" s="165">
        <v>1</v>
      </c>
      <c r="B34" s="105" t="s">
        <v>325</v>
      </c>
      <c r="C34" s="85" t="s">
        <v>210</v>
      </c>
      <c r="D34" s="85" cm="1">
        <f t="array" aca="1" ref="D34" ca="1">INDEX(INPUT!$E$22:$E$105,MAIN!D$30+$A34+1,1)</f>
        <v>0</v>
      </c>
      <c r="E34" s="85" cm="1">
        <f t="array" aca="1" ref="E34" ca="1">INDEX(INPUT!$E$22:$E$105,MAIN!E$30+$A34+1,1)</f>
        <v>0</v>
      </c>
      <c r="F34" s="85" cm="1">
        <f t="array" aca="1" ref="F34" ca="1">INDEX(INPUT!$E$22:$E$105,MAIN!F$30+$A34+1,1)</f>
        <v>1</v>
      </c>
      <c r="G34" s="85" cm="1">
        <f t="array" aca="1" ref="G34" ca="1">INDEX(INPUT!$E$22:$E$105,MAIN!G$30+$A34+1,1)</f>
        <v>0</v>
      </c>
      <c r="H34" s="85" cm="1">
        <f t="array" aca="1" ref="H34" ca="1">INDEX(INPUT!$E$22:$E$105,MAIN!H$30+$A34+1,1)</f>
        <v>0</v>
      </c>
      <c r="I34" s="85" cm="1">
        <f t="array" aca="1" ref="I34" ca="1">INDEX(INPUT!$E$22:$E$105,MAIN!I$30+$A34+1,1)</f>
        <v>0</v>
      </c>
      <c r="J34" s="85" cm="1">
        <f t="array" aca="1" ref="J34" ca="1">INDEX(INPUT!$E$22:$E$105,MAIN!J$30+$A34+1,1)</f>
        <v>0</v>
      </c>
      <c r="K34" s="85" cm="1">
        <f t="array" aca="1" ref="K34" ca="1">INDEX(INPUT!$E$22:$E$105,MAIN!K$30+$A34+1,1)</f>
        <v>0</v>
      </c>
      <c r="L34" s="85" cm="1">
        <f t="array" aca="1" ref="L34" ca="1">INDEX(INPUT!$E$22:$E$105,MAIN!L$30+$A34+1,1)</f>
        <v>0</v>
      </c>
      <c r="M34" s="85" cm="1">
        <f t="array" aca="1" ref="M34" ca="1">INDEX(INPUT!$E$22:$E$105,MAIN!M$30+$A34+1,1)</f>
        <v>0</v>
      </c>
      <c r="N34" s="85" cm="1">
        <f t="array" aca="1" ref="N34" ca="1">INDEX(INPUT!$E$22:$E$105,MAIN!N$30+$A34+1,1)</f>
        <v>0</v>
      </c>
      <c r="O34" s="85" cm="1">
        <f t="array" aca="1" ref="O34" ca="1">INDEX(INPUT!$E$22:$E$105,MAIN!O$30+$A34+1,1)</f>
        <v>0</v>
      </c>
      <c r="P34" s="85" cm="1">
        <f t="array" aca="1" ref="P34" ca="1">INDEX(INPUT!$E$22:$E$105,MAIN!P$30+$A34+1,1)</f>
        <v>0</v>
      </c>
      <c r="Q34" s="85" cm="1">
        <f t="array" aca="1" ref="Q34" ca="1">INDEX(INPUT!$E$22:$E$105,MAIN!Q$30+$A34+1,1)</f>
        <v>0</v>
      </c>
    </row>
    <row r="35" spans="1:21">
      <c r="A35" s="165">
        <v>2</v>
      </c>
      <c r="B35" s="105" t="s">
        <v>121</v>
      </c>
      <c r="C35" s="85" t="s">
        <v>112</v>
      </c>
      <c r="D35" s="85" cm="1">
        <f t="array" aca="1" ref="D35" ca="1">INDEX(INPUT!$E$22:$E$105,MAIN!D$30+$A35+1,1)</f>
        <v>0</v>
      </c>
      <c r="E35" s="85" cm="1">
        <f t="array" aca="1" ref="E35" ca="1">INDEX(INPUT!$E$22:$E$105,MAIN!E$30+$A35+1,1)</f>
        <v>0</v>
      </c>
      <c r="F35" s="85" cm="1">
        <f t="array" aca="1" ref="F35" ca="1">INDEX(INPUT!$E$22:$E$105,MAIN!F$30+$A35+1,1)</f>
        <v>1</v>
      </c>
      <c r="G35" s="85" cm="1">
        <f t="array" aca="1" ref="G35" ca="1">INDEX(INPUT!$E$22:$E$105,MAIN!G$30+$A35+1,1)</f>
        <v>0</v>
      </c>
      <c r="H35" s="85" cm="1">
        <f t="array" aca="1" ref="H35" ca="1">INDEX(INPUT!$E$22:$E$105,MAIN!H$30+$A35+1,1)</f>
        <v>0</v>
      </c>
      <c r="I35" s="85" cm="1">
        <f t="array" aca="1" ref="I35" ca="1">INDEX(INPUT!$E$22:$E$105,MAIN!I$30+$A35+1,1)</f>
        <v>0</v>
      </c>
      <c r="J35" s="85" cm="1">
        <f t="array" aca="1" ref="J35" ca="1">INDEX(INPUT!$E$22:$E$105,MAIN!J$30+$A35+1,1)</f>
        <v>0</v>
      </c>
      <c r="K35" s="85" cm="1">
        <f t="array" aca="1" ref="K35" ca="1">INDEX(INPUT!$E$22:$E$105,MAIN!K$30+$A35+1,1)</f>
        <v>0</v>
      </c>
      <c r="L35" s="85" cm="1">
        <f t="array" aca="1" ref="L35" ca="1">INDEX(INPUT!$E$22:$E$105,MAIN!L$30+$A35+1,1)</f>
        <v>0</v>
      </c>
      <c r="M35" s="85" cm="1">
        <f t="array" aca="1" ref="M35" ca="1">INDEX(INPUT!$E$22:$E$105,MAIN!M$30+$A35+1,1)</f>
        <v>0</v>
      </c>
      <c r="N35" s="85" cm="1">
        <f t="array" aca="1" ref="N35" ca="1">INDEX(INPUT!$E$22:$E$105,MAIN!N$30+$A35+1,1)</f>
        <v>0</v>
      </c>
      <c r="O35" s="85" cm="1">
        <f t="array" aca="1" ref="O35" ca="1">INDEX(INPUT!$E$22:$E$105,MAIN!O$30+$A35+1,1)</f>
        <v>0</v>
      </c>
      <c r="P35" s="85" cm="1">
        <f t="array" aca="1" ref="P35" ca="1">INDEX(INPUT!$E$22:$E$105,MAIN!P$30+$A35+1,1)</f>
        <v>0</v>
      </c>
      <c r="Q35" s="85" cm="1">
        <f t="array" aca="1" ref="Q35" ca="1">INDEX(INPUT!$E$22:$E$105,MAIN!Q$30+$A35+1,1)</f>
        <v>0</v>
      </c>
    </row>
    <row r="36" spans="1:21">
      <c r="A36" s="77">
        <v>3</v>
      </c>
      <c r="B36" s="105" t="s">
        <v>122</v>
      </c>
      <c r="C36" s="85" t="s">
        <v>113</v>
      </c>
      <c r="D36" s="85" cm="1">
        <f t="array" aca="1" ref="D36" ca="1">INDEX(INPUT!$E$22:$E$105,MAIN!D$30+$A36+1,1)</f>
        <v>0</v>
      </c>
      <c r="E36" s="85" cm="1">
        <f t="array" aca="1" ref="E36" ca="1">INDEX(INPUT!$E$22:$E$105,MAIN!E$30+$A36+1,1)</f>
        <v>1</v>
      </c>
      <c r="F36" s="85" cm="1">
        <f t="array" aca="1" ref="F36" ca="1">INDEX(INPUT!$E$22:$E$105,MAIN!F$30+$A36+1,1)</f>
        <v>0</v>
      </c>
      <c r="G36" s="85" cm="1">
        <f t="array" aca="1" ref="G36" ca="1">INDEX(INPUT!$E$22:$E$105,MAIN!G$30+$A36+1,1)</f>
        <v>0</v>
      </c>
      <c r="H36" s="85" cm="1">
        <f t="array" aca="1" ref="H36" ca="1">INDEX(INPUT!$E$22:$E$105,MAIN!H$30+$A36+1,1)</f>
        <v>0</v>
      </c>
      <c r="I36" s="85" cm="1">
        <f t="array" aca="1" ref="I36" ca="1">INDEX(INPUT!$E$22:$E$105,MAIN!I$30+$A36+1,1)</f>
        <v>0</v>
      </c>
      <c r="J36" s="85" cm="1">
        <f t="array" aca="1" ref="J36" ca="1">INDEX(INPUT!$E$22:$E$105,MAIN!J$30+$A36+1,1)</f>
        <v>0</v>
      </c>
      <c r="K36" s="85" cm="1">
        <f t="array" aca="1" ref="K36" ca="1">INDEX(INPUT!$E$22:$E$105,MAIN!K$30+$A36+1,1)</f>
        <v>0</v>
      </c>
      <c r="L36" s="85" cm="1">
        <f t="array" aca="1" ref="L36" ca="1">INDEX(INPUT!$E$22:$E$105,MAIN!L$30+$A36+1,1)</f>
        <v>0</v>
      </c>
      <c r="M36" s="85" cm="1">
        <f t="array" aca="1" ref="M36" ca="1">INDEX(INPUT!$E$22:$E$105,MAIN!M$30+$A36+1,1)</f>
        <v>0</v>
      </c>
      <c r="N36" s="85" cm="1">
        <f t="array" aca="1" ref="N36" ca="1">INDEX(INPUT!$E$22:$E$105,MAIN!N$30+$A36+1,1)</f>
        <v>0</v>
      </c>
      <c r="O36" s="85" cm="1">
        <f t="array" aca="1" ref="O36" ca="1">INDEX(INPUT!$E$22:$E$105,MAIN!O$30+$A36+1,1)</f>
        <v>0</v>
      </c>
      <c r="P36" s="85" cm="1">
        <f t="array" aca="1" ref="P36" ca="1">INDEX(INPUT!$E$22:$E$105,MAIN!P$30+$A36+1,1)</f>
        <v>0</v>
      </c>
      <c r="Q36" s="85" cm="1">
        <f t="array" aca="1" ref="Q36" ca="1">INDEX(INPUT!$E$22:$E$105,MAIN!Q$30+$A36+1,1)</f>
        <v>0</v>
      </c>
    </row>
    <row r="37" spans="1:21">
      <c r="A37" s="77">
        <v>4</v>
      </c>
      <c r="B37" s="105" t="s">
        <v>125</v>
      </c>
      <c r="C37" s="85" t="s">
        <v>117</v>
      </c>
      <c r="D37" s="85" cm="1">
        <f t="array" aca="1" ref="D37" ca="1">INDEX(INPUT!$E$22:$E$105,MAIN!D$30+$A37+1,1)</f>
        <v>0</v>
      </c>
      <c r="E37" s="85" cm="1">
        <f t="array" aca="1" ref="E37" ca="1">INDEX(INPUT!$E$22:$E$105,MAIN!E$30+$A37+1,1)</f>
        <v>0</v>
      </c>
      <c r="F37" s="85" cm="1">
        <f t="array" aca="1" ref="F37" ca="1">INDEX(INPUT!$E$22:$E$105,MAIN!F$30+$A37+1,1)</f>
        <v>0</v>
      </c>
      <c r="G37" s="85" cm="1">
        <f t="array" aca="1" ref="G37" ca="1">INDEX(INPUT!$E$22:$E$105,MAIN!G$30+$A37+1,1)</f>
        <v>0</v>
      </c>
      <c r="H37" s="85" cm="1">
        <f t="array" aca="1" ref="H37" ca="1">INDEX(INPUT!$E$22:$E$105,MAIN!H$30+$A37+1,1)</f>
        <v>0</v>
      </c>
      <c r="I37" s="85" cm="1">
        <f t="array" aca="1" ref="I37" ca="1">INDEX(INPUT!$E$22:$E$105,MAIN!I$30+$A37+1,1)</f>
        <v>0</v>
      </c>
      <c r="J37" s="85" cm="1">
        <f t="array" aca="1" ref="J37" ca="1">INDEX(INPUT!$E$22:$E$105,MAIN!J$30+$A37+1,1)</f>
        <v>0</v>
      </c>
      <c r="K37" s="85" cm="1">
        <f t="array" aca="1" ref="K37" ca="1">INDEX(INPUT!$E$22:$E$105,MAIN!K$30+$A37+1,1)</f>
        <v>0</v>
      </c>
      <c r="L37" s="85" cm="1">
        <f t="array" aca="1" ref="L37" ca="1">INDEX(INPUT!$E$22:$E$105,MAIN!L$30+$A37+1,1)</f>
        <v>0</v>
      </c>
      <c r="M37" s="85" cm="1">
        <f t="array" aca="1" ref="M37" ca="1">INDEX(INPUT!$E$22:$E$105,MAIN!M$30+$A37+1,1)</f>
        <v>0</v>
      </c>
      <c r="N37" s="85" cm="1">
        <f t="array" aca="1" ref="N37" ca="1">INDEX(INPUT!$E$22:$E$105,MAIN!N$30+$A37+1,1)</f>
        <v>0</v>
      </c>
      <c r="O37" s="85" cm="1">
        <f t="array" aca="1" ref="O37" ca="1">INDEX(INPUT!$E$22:$E$105,MAIN!O$30+$A37+1,1)</f>
        <v>0</v>
      </c>
      <c r="P37" s="85" cm="1">
        <f t="array" aca="1" ref="P37" ca="1">INDEX(INPUT!$E$22:$E$105,MAIN!P$30+$A37+1,1)</f>
        <v>0</v>
      </c>
      <c r="Q37" s="85" cm="1">
        <f t="array" aca="1" ref="Q37" ca="1">INDEX(INPUT!$E$22:$E$105,MAIN!Q$30+$A37+1,1)</f>
        <v>0</v>
      </c>
    </row>
    <row r="38" spans="1:21">
      <c r="A38" s="77">
        <v>5</v>
      </c>
      <c r="B38" s="85" t="s">
        <v>298</v>
      </c>
      <c r="C38" s="85" t="s">
        <v>228</v>
      </c>
      <c r="D38" s="85" cm="1">
        <f t="array" aca="1" ref="D38" ca="1">INDEX(INPUT!$E$22:$E$105,MAIN!D$30+$A38+1,1)</f>
        <v>0</v>
      </c>
      <c r="E38" s="85" cm="1">
        <f t="array" aca="1" ref="E38" ca="1">INDEX(INPUT!$E$22:$E$105,MAIN!E$30+$A38+1,1)</f>
        <v>1</v>
      </c>
      <c r="F38" s="85" cm="1">
        <f t="array" aca="1" ref="F38" ca="1">INDEX(INPUT!$E$22:$E$105,MAIN!F$30+$A38+1,1)</f>
        <v>0.5</v>
      </c>
      <c r="G38" s="85" cm="1">
        <f t="array" aca="1" ref="G38" ca="1">INDEX(INPUT!$E$22:$E$105,MAIN!G$30+$A38+1,1)</f>
        <v>0</v>
      </c>
      <c r="H38" s="85" cm="1">
        <f t="array" aca="1" ref="H38" ca="1">INDEX(INPUT!$E$22:$E$105,MAIN!H$30+$A38+1,1)</f>
        <v>0</v>
      </c>
      <c r="I38" s="85" cm="1">
        <f t="array" aca="1" ref="I38" ca="1">INDEX(INPUT!$E$22:$E$105,MAIN!I$30+$A38+1,1)</f>
        <v>0</v>
      </c>
      <c r="J38" s="85" cm="1">
        <f t="array" aca="1" ref="J38" ca="1">INDEX(INPUT!$E$22:$E$105,MAIN!J$30+$A38+1,1)</f>
        <v>0</v>
      </c>
      <c r="K38" s="85" cm="1">
        <f t="array" aca="1" ref="K38" ca="1">INDEX(INPUT!$E$22:$E$105,MAIN!K$30+$A38+1,1)</f>
        <v>0</v>
      </c>
      <c r="L38" s="85" cm="1">
        <f t="array" aca="1" ref="L38" ca="1">INDEX(INPUT!$E$22:$E$105,MAIN!L$30+$A38+1,1)</f>
        <v>0</v>
      </c>
      <c r="M38" s="85" cm="1">
        <f t="array" aca="1" ref="M38" ca="1">INDEX(INPUT!$E$22:$E$105,MAIN!M$30+$A38+1,1)</f>
        <v>0</v>
      </c>
      <c r="N38" s="85" cm="1">
        <f t="array" aca="1" ref="N38" ca="1">INDEX(INPUT!$E$22:$E$105,MAIN!N$30+$A38+1,1)</f>
        <v>0</v>
      </c>
      <c r="O38" s="85" cm="1">
        <f t="array" aca="1" ref="O38" ca="1">INDEX(INPUT!$E$22:$E$105,MAIN!O$30+$A38+1,1)</f>
        <v>0</v>
      </c>
      <c r="P38" s="85" cm="1">
        <f t="array" aca="1" ref="P38" ca="1">INDEX(INPUT!$E$22:$E$105,MAIN!P$30+$A38+1,1)</f>
        <v>0</v>
      </c>
      <c r="Q38" s="85" cm="1">
        <f t="array" aca="1" ref="Q38" ca="1">INDEX(INPUT!$E$22:$E$105,MAIN!Q$30+$A38+1,1)</f>
        <v>0</v>
      </c>
    </row>
    <row r="39" spans="1:21">
      <c r="B39" s="199" t="s">
        <v>435</v>
      </c>
      <c r="M39" s="87"/>
      <c r="N39" s="183"/>
      <c r="O39" s="87"/>
      <c r="P39" s="87"/>
      <c r="Q39" s="87"/>
      <c r="R39" s="87"/>
      <c r="S39" s="87"/>
      <c r="T39" s="87"/>
      <c r="U39" s="87"/>
    </row>
    <row r="40" spans="1:21">
      <c r="B40" s="200" t="s">
        <v>235</v>
      </c>
      <c r="C40" s="171"/>
      <c r="D40" s="183"/>
      <c r="E40" s="171"/>
      <c r="F40" s="167"/>
      <c r="G40" s="171"/>
      <c r="H40" s="167"/>
      <c r="I40" s="184"/>
      <c r="J40" s="167"/>
      <c r="K40" s="171"/>
      <c r="L40" s="183"/>
      <c r="M40" s="171"/>
      <c r="N40" s="183"/>
      <c r="O40" s="171"/>
      <c r="P40" s="167"/>
      <c r="Q40" s="171"/>
      <c r="R40" s="167"/>
      <c r="S40" s="171"/>
      <c r="T40" s="167"/>
      <c r="U40" s="171"/>
    </row>
    <row r="41" spans="1:21">
      <c r="C41" s="171"/>
      <c r="D41" s="183"/>
      <c r="E41" s="171"/>
      <c r="F41" s="167"/>
      <c r="G41" s="171"/>
      <c r="H41" s="167"/>
      <c r="P41" s="167"/>
      <c r="Q41" s="171"/>
      <c r="R41" s="167"/>
      <c r="S41" s="171"/>
      <c r="T41" s="167"/>
      <c r="U41" s="171"/>
    </row>
    <row r="42" spans="1:21">
      <c r="D42" s="183"/>
      <c r="T42" s="167"/>
      <c r="U42" s="171"/>
    </row>
    <row r="43" spans="1:21" ht="17.399999999999999">
      <c r="D43" s="183"/>
      <c r="H43" s="172"/>
      <c r="T43" s="167"/>
      <c r="U43" s="171"/>
    </row>
    <row r="44" spans="1:21">
      <c r="A44" s="393" t="s">
        <v>872</v>
      </c>
      <c r="B44" s="393" t="s">
        <v>551</v>
      </c>
      <c r="C44" s="393" t="s">
        <v>873</v>
      </c>
    </row>
    <row r="45" spans="1:21">
      <c r="A45" s="77">
        <v>0</v>
      </c>
      <c r="B45" s="77" t="s">
        <v>874</v>
      </c>
      <c r="C45" s="77" t="s">
        <v>875</v>
      </c>
    </row>
    <row r="46" spans="1:21" ht="16.2" thickBot="1">
      <c r="A46" s="394">
        <v>1</v>
      </c>
      <c r="B46" s="394"/>
      <c r="C46" s="394" t="s">
        <v>876</v>
      </c>
    </row>
    <row r="47" spans="1:21" ht="16.2" thickTop="1">
      <c r="A47" s="77">
        <v>0</v>
      </c>
      <c r="B47" s="77" t="s">
        <v>877</v>
      </c>
      <c r="C47" s="77" t="s">
        <v>875</v>
      </c>
    </row>
    <row r="48" spans="1:21">
      <c r="A48" s="77">
        <v>1</v>
      </c>
      <c r="C48" s="77">
        <v>30</v>
      </c>
    </row>
    <row r="49" spans="1:3" ht="16.2" thickBot="1">
      <c r="A49" s="394">
        <v>2</v>
      </c>
      <c r="B49" s="394"/>
      <c r="C49" s="394">
        <v>100</v>
      </c>
    </row>
    <row r="50" spans="1:3" ht="16.2" thickTop="1">
      <c r="A50" s="77">
        <v>0</v>
      </c>
      <c r="B50" s="77" t="s">
        <v>878</v>
      </c>
      <c r="C50" s="77" t="s">
        <v>875</v>
      </c>
    </row>
    <row r="51" spans="1:3">
      <c r="A51" s="77">
        <v>1</v>
      </c>
      <c r="C51" s="77">
        <v>30</v>
      </c>
    </row>
    <row r="52" spans="1:3" ht="16.2" thickBot="1">
      <c r="A52" s="394">
        <v>2</v>
      </c>
      <c r="B52" s="394"/>
      <c r="C52" s="394">
        <v>100</v>
      </c>
    </row>
    <row r="53" spans="1:3" ht="16.2" thickTop="1">
      <c r="A53" s="77">
        <v>0</v>
      </c>
      <c r="B53" s="77" t="s">
        <v>879</v>
      </c>
      <c r="C53" s="77" t="s">
        <v>875</v>
      </c>
    </row>
    <row r="54" spans="1:3">
      <c r="A54" s="77">
        <v>1</v>
      </c>
      <c r="C54" s="77">
        <v>30</v>
      </c>
    </row>
    <row r="55" spans="1:3" ht="16.2" thickBot="1">
      <c r="A55" s="394">
        <v>2</v>
      </c>
      <c r="B55" s="394"/>
      <c r="C55" s="394">
        <v>100</v>
      </c>
    </row>
    <row r="56" spans="1:3" ht="16.2" thickTop="1">
      <c r="A56" s="77">
        <v>0</v>
      </c>
      <c r="B56" s="77" t="s">
        <v>880</v>
      </c>
      <c r="C56" s="77" t="s">
        <v>875</v>
      </c>
    </row>
    <row r="57" spans="1:3">
      <c r="A57" s="77">
        <v>1</v>
      </c>
      <c r="C57" s="77">
        <v>30</v>
      </c>
    </row>
    <row r="58" spans="1:3" ht="16.2" thickBot="1">
      <c r="A58" s="394">
        <v>2</v>
      </c>
      <c r="B58" s="394"/>
      <c r="C58" s="394">
        <v>100</v>
      </c>
    </row>
    <row r="59" spans="1:3" ht="16.2" thickTop="1">
      <c r="A59" s="77">
        <v>0</v>
      </c>
      <c r="B59" s="77" t="s">
        <v>881</v>
      </c>
      <c r="C59" s="77" t="s">
        <v>875</v>
      </c>
    </row>
    <row r="60" spans="1:3">
      <c r="A60" s="77">
        <v>1</v>
      </c>
      <c r="C60" s="77">
        <v>30</v>
      </c>
    </row>
    <row r="61" spans="1:3" ht="16.2" thickBot="1">
      <c r="A61" s="394">
        <v>2</v>
      </c>
      <c r="B61" s="394"/>
      <c r="C61" s="394">
        <v>100</v>
      </c>
    </row>
    <row r="62" spans="1:3" ht="16.2" thickTop="1">
      <c r="A62" s="77">
        <v>0</v>
      </c>
      <c r="B62" s="77" t="s">
        <v>882</v>
      </c>
      <c r="C62" s="77" t="s">
        <v>875</v>
      </c>
    </row>
    <row r="63" spans="1:3">
      <c r="A63" s="77">
        <v>1</v>
      </c>
      <c r="C63" s="77">
        <v>30</v>
      </c>
    </row>
    <row r="64" spans="1:3" ht="16.2" thickBot="1">
      <c r="A64" s="394">
        <v>2</v>
      </c>
      <c r="B64" s="394"/>
      <c r="C64" s="394">
        <v>100</v>
      </c>
    </row>
    <row r="65" spans="1:3" ht="16.2" thickTop="1">
      <c r="A65" s="77">
        <v>0</v>
      </c>
      <c r="B65" s="77" t="s">
        <v>883</v>
      </c>
      <c r="C65" s="77" t="s">
        <v>875</v>
      </c>
    </row>
    <row r="66" spans="1:3" ht="16.2" thickBot="1">
      <c r="A66" s="394">
        <v>1</v>
      </c>
      <c r="B66" s="394"/>
      <c r="C66" s="394" t="s">
        <v>876</v>
      </c>
    </row>
    <row r="67" spans="1:3" ht="16.2" thickTop="1">
      <c r="A67" s="77">
        <v>0</v>
      </c>
      <c r="B67" s="77" t="s">
        <v>884</v>
      </c>
      <c r="C67" s="77" t="s">
        <v>875</v>
      </c>
    </row>
    <row r="68" spans="1:3" ht="16.2" thickBot="1">
      <c r="A68" s="394">
        <v>1</v>
      </c>
      <c r="B68" s="394"/>
      <c r="C68" s="394" t="s">
        <v>876</v>
      </c>
    </row>
    <row r="69" spans="1:3" ht="16.2" thickTop="1">
      <c r="A69" s="77">
        <v>0</v>
      </c>
      <c r="B69" s="77" t="s">
        <v>885</v>
      </c>
      <c r="C69" s="77" t="s">
        <v>875</v>
      </c>
    </row>
    <row r="70" spans="1:3" ht="16.2" thickBot="1">
      <c r="A70" s="394">
        <v>1</v>
      </c>
      <c r="B70" s="394"/>
      <c r="C70" s="394" t="s">
        <v>886</v>
      </c>
    </row>
    <row r="71" spans="1:3" ht="16.2" thickTop="1">
      <c r="A71" s="77">
        <v>0</v>
      </c>
      <c r="B71" s="77" t="s">
        <v>887</v>
      </c>
      <c r="C71" s="77" t="s">
        <v>875</v>
      </c>
    </row>
    <row r="72" spans="1:3" ht="16.2" thickBot="1">
      <c r="A72" s="394">
        <v>1</v>
      </c>
      <c r="B72" s="394"/>
      <c r="C72" s="394" t="s">
        <v>886</v>
      </c>
    </row>
    <row r="73" spans="1:3" ht="16.2" thickTop="1">
      <c r="A73" s="77">
        <v>0</v>
      </c>
      <c r="B73" s="77" t="s">
        <v>888</v>
      </c>
      <c r="C73" s="77" t="s">
        <v>875</v>
      </c>
    </row>
    <row r="74" spans="1:3">
      <c r="A74" s="77">
        <v>1</v>
      </c>
      <c r="C74" s="77">
        <v>30</v>
      </c>
    </row>
    <row r="75" spans="1:3" ht="16.2" thickBot="1">
      <c r="A75" s="394">
        <v>2</v>
      </c>
      <c r="B75" s="394"/>
      <c r="C75" s="394">
        <v>100</v>
      </c>
    </row>
    <row r="76" spans="1:3" ht="16.2" thickTop="1">
      <c r="A76" s="77">
        <v>0</v>
      </c>
      <c r="B76" s="77" t="s">
        <v>889</v>
      </c>
      <c r="C76" s="77" t="s">
        <v>875</v>
      </c>
    </row>
    <row r="77" spans="1:3">
      <c r="A77" s="77">
        <v>1</v>
      </c>
      <c r="C77" s="77">
        <v>30</v>
      </c>
    </row>
    <row r="78" spans="1:3" ht="16.2" thickBot="1">
      <c r="A78" s="394">
        <v>2</v>
      </c>
      <c r="B78" s="394"/>
      <c r="C78" s="394">
        <v>100</v>
      </c>
    </row>
    <row r="79" spans="1:3" ht="16.2" thickTop="1">
      <c r="A79" s="77">
        <v>0</v>
      </c>
      <c r="B79" s="77" t="s">
        <v>890</v>
      </c>
      <c r="C79" s="77" t="s">
        <v>875</v>
      </c>
    </row>
    <row r="80" spans="1:3">
      <c r="A80" s="77">
        <v>1</v>
      </c>
      <c r="C80" s="77">
        <v>30</v>
      </c>
    </row>
    <row r="81" spans="1:3" ht="16.2" thickBot="1">
      <c r="A81" s="394">
        <v>2</v>
      </c>
      <c r="B81" s="394"/>
      <c r="C81" s="394">
        <v>100</v>
      </c>
    </row>
    <row r="82" spans="1:3" ht="16.2" thickTop="1">
      <c r="A82" s="77">
        <v>0</v>
      </c>
      <c r="B82" s="77" t="s">
        <v>891</v>
      </c>
      <c r="C82" s="77" t="s">
        <v>875</v>
      </c>
    </row>
    <row r="83" spans="1:3">
      <c r="A83" s="77">
        <v>1</v>
      </c>
      <c r="C83" s="77">
        <v>30</v>
      </c>
    </row>
    <row r="84" spans="1:3" ht="16.2" thickBot="1">
      <c r="A84" s="394">
        <v>2</v>
      </c>
      <c r="B84" s="394"/>
      <c r="C84" s="394">
        <v>100</v>
      </c>
    </row>
    <row r="85" spans="1:3" ht="16.2" thickTop="1">
      <c r="A85" s="77">
        <v>0</v>
      </c>
      <c r="B85" s="77" t="s">
        <v>892</v>
      </c>
      <c r="C85" s="77" t="s">
        <v>875</v>
      </c>
    </row>
    <row r="86" spans="1:3">
      <c r="A86" s="77">
        <v>1</v>
      </c>
      <c r="C86" s="77">
        <v>30</v>
      </c>
    </row>
    <row r="87" spans="1:3" ht="16.2" thickBot="1">
      <c r="A87" s="394">
        <v>2</v>
      </c>
      <c r="B87" s="394"/>
      <c r="C87" s="394">
        <v>100</v>
      </c>
    </row>
    <row r="88" spans="1:3" ht="16.2" thickTop="1">
      <c r="A88" s="77">
        <v>0</v>
      </c>
      <c r="B88" s="77" t="s">
        <v>893</v>
      </c>
      <c r="C88" s="77">
        <v>30</v>
      </c>
    </row>
    <row r="89" spans="1:3" ht="16.2" thickBot="1">
      <c r="A89" s="394">
        <v>1</v>
      </c>
      <c r="B89" s="394"/>
      <c r="C89" s="394">
        <v>100</v>
      </c>
    </row>
    <row r="90" spans="1:3" ht="16.2" thickTop="1">
      <c r="A90" s="77">
        <v>0</v>
      </c>
      <c r="B90" s="77" t="s">
        <v>894</v>
      </c>
      <c r="C90" s="77" t="s">
        <v>875</v>
      </c>
    </row>
    <row r="91" spans="1:3" ht="16.2" thickBot="1">
      <c r="A91" s="394">
        <v>1</v>
      </c>
      <c r="B91" s="394"/>
      <c r="C91" s="394" t="s">
        <v>876</v>
      </c>
    </row>
    <row r="92" spans="1:3" ht="16.8" thickTop="1" thickBot="1">
      <c r="A92" s="394">
        <v>0</v>
      </c>
      <c r="B92" s="394" t="s">
        <v>895</v>
      </c>
      <c r="C92" s="394">
        <v>30</v>
      </c>
    </row>
    <row r="93" spans="1:3" ht="16.8" thickTop="1" thickBot="1">
      <c r="A93" s="394">
        <v>0</v>
      </c>
      <c r="B93" s="394" t="s">
        <v>896</v>
      </c>
      <c r="C93" s="394"/>
    </row>
    <row r="94" spans="1:3" ht="16.2" thickTop="1">
      <c r="A94" s="77">
        <v>0</v>
      </c>
      <c r="B94" s="77" t="s">
        <v>897</v>
      </c>
      <c r="C94" s="77" t="s">
        <v>898</v>
      </c>
    </row>
    <row r="95" spans="1:3">
      <c r="A95" s="77">
        <v>1</v>
      </c>
      <c r="C95" s="77">
        <v>1</v>
      </c>
    </row>
    <row r="96" spans="1:3" ht="16.2" thickBot="1">
      <c r="A96" s="394">
        <v>2</v>
      </c>
      <c r="B96" s="394"/>
      <c r="C96" s="394">
        <v>5</v>
      </c>
    </row>
    <row r="97" spans="1:3" ht="16.2" thickTop="1">
      <c r="A97" s="77">
        <v>0</v>
      </c>
      <c r="B97" s="77" t="s">
        <v>899</v>
      </c>
      <c r="C97" s="77" t="s">
        <v>898</v>
      </c>
    </row>
    <row r="98" spans="1:3">
      <c r="A98" s="77">
        <v>1</v>
      </c>
      <c r="C98" s="77">
        <v>1</v>
      </c>
    </row>
    <row r="99" spans="1:3" ht="16.2" thickBot="1">
      <c r="A99" s="394">
        <v>2</v>
      </c>
      <c r="B99" s="394"/>
      <c r="C99" s="394">
        <v>5</v>
      </c>
    </row>
    <row r="100" spans="1:3" ht="16.2" thickTop="1">
      <c r="A100" s="77">
        <v>0</v>
      </c>
      <c r="B100" s="77" t="s">
        <v>900</v>
      </c>
      <c r="C100" s="77" t="s">
        <v>898</v>
      </c>
    </row>
    <row r="101" spans="1:3">
      <c r="A101" s="77">
        <v>1</v>
      </c>
      <c r="C101" s="77">
        <v>1</v>
      </c>
    </row>
    <row r="102" spans="1:3" ht="16.2" thickBot="1">
      <c r="A102" s="394">
        <v>2</v>
      </c>
      <c r="B102" s="394"/>
      <c r="C102" s="394">
        <v>5</v>
      </c>
    </row>
    <row r="103" spans="1:3" ht="16.2" thickTop="1"/>
  </sheetData>
  <mergeCells count="12">
    <mergeCell ref="K19:L19"/>
    <mergeCell ref="G21:G23"/>
    <mergeCell ref="G24:G25"/>
    <mergeCell ref="D7:E7"/>
    <mergeCell ref="G20:H20"/>
    <mergeCell ref="I19:J19"/>
    <mergeCell ref="W2:X2"/>
    <mergeCell ref="U1:X1"/>
    <mergeCell ref="Y1:AB1"/>
    <mergeCell ref="U2:V2"/>
    <mergeCell ref="Y2:Z2"/>
    <mergeCell ref="AA2:AB2"/>
  </mergeCells>
  <phoneticPr fontId="1" type="noConversion"/>
  <conditionalFormatting sqref="Z19:AC27">
    <cfRule type="expression" dxfId="0" priority="1">
      <formula>Z19=FALSE</formula>
    </cfRule>
  </conditionalFormatting>
  <dataValidations count="1">
    <dataValidation type="list" allowBlank="1" showInputMessage="1" showErrorMessage="1" sqref="C5" xr:uid="{22B3A3E6-C0BB-4A62-B693-39A0C9C2118D}">
      <formula1>"세만기, 년만기"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0E717-3A71-4B78-B699-E1C5E798BD81}">
  <sheetPr codeName="Sheet8">
    <tabColor rgb="FF7030A0"/>
  </sheetPr>
  <dimension ref="A1:CY157"/>
  <sheetViews>
    <sheetView topLeftCell="A21" workbookViewId="0">
      <selection activeCell="AG10" sqref="AG10:AG11"/>
    </sheetView>
  </sheetViews>
  <sheetFormatPr defaultColWidth="9" defaultRowHeight="17.399999999999999"/>
  <cols>
    <col min="1" max="1" width="9" style="13"/>
    <col min="2" max="2" width="17.59765625" style="13" customWidth="1"/>
    <col min="3" max="3" width="20.09765625" style="13" customWidth="1"/>
    <col min="4" max="4" width="17.69921875" style="13" bestFit="1" customWidth="1"/>
    <col min="5" max="5" width="13.69921875" style="13" customWidth="1"/>
    <col min="6" max="6" width="10" style="13" customWidth="1"/>
    <col min="7" max="7" width="15.09765625" style="13" customWidth="1"/>
    <col min="8" max="8" width="18.8984375" style="13" customWidth="1"/>
    <col min="9" max="9" width="17.69921875" style="13" customWidth="1"/>
    <col min="10" max="10" width="18.5" style="13" customWidth="1"/>
    <col min="11" max="11" width="16.8984375" style="13" customWidth="1"/>
    <col min="12" max="12" width="18.09765625" style="13" customWidth="1"/>
    <col min="13" max="13" width="15" style="13" customWidth="1"/>
    <col min="14" max="14" width="4.5" style="13" customWidth="1"/>
    <col min="15" max="15" width="9.09765625" style="13" customWidth="1"/>
    <col min="16" max="16" width="12.59765625" style="13" customWidth="1"/>
    <col min="17" max="17" width="9.09765625" style="13" customWidth="1"/>
    <col min="18" max="18" width="7.69921875" style="13" customWidth="1"/>
    <col min="19" max="19" width="9" style="13" customWidth="1"/>
    <col min="20" max="22" width="10" style="13" customWidth="1"/>
    <col min="23" max="23" width="12.8984375" style="13" customWidth="1"/>
    <col min="24" max="25" width="10" style="13" customWidth="1"/>
    <col min="26" max="26" width="12.3984375" style="13" customWidth="1"/>
    <col min="27" max="27" width="16.5" style="13" customWidth="1"/>
    <col min="28" max="28" width="12.8984375" style="13" hidden="1" customWidth="1"/>
    <col min="29" max="29" width="17.8984375" style="13" hidden="1" customWidth="1"/>
    <col min="30" max="30" width="12.3984375" style="13" customWidth="1"/>
    <col min="31" max="32" width="10" style="13" customWidth="1"/>
    <col min="33" max="33" width="14.8984375" style="666" customWidth="1"/>
    <col min="34" max="34" width="12.5" style="13" customWidth="1"/>
    <col min="35" max="36" width="10" style="13" hidden="1" customWidth="1"/>
    <col min="37" max="37" width="13.19921875" style="13" customWidth="1"/>
    <col min="38" max="39" width="12.19921875" style="13" customWidth="1"/>
    <col min="40" max="40" width="12.09765625" style="128" customWidth="1"/>
    <col min="41" max="41" width="15.19921875" style="128" customWidth="1"/>
    <col min="42" max="42" width="10" style="13" customWidth="1"/>
    <col min="43" max="43" width="15.19921875" style="13" customWidth="1"/>
    <col min="44" max="45" width="14.8984375" style="126" customWidth="1"/>
    <col min="46" max="46" width="10" style="13" customWidth="1"/>
    <col min="47" max="47" width="11.09765625" style="13" customWidth="1"/>
    <col min="48" max="48" width="11.09765625" style="130" customWidth="1"/>
    <col min="49" max="49" width="15.09765625" style="130" customWidth="1"/>
    <col min="50" max="50" width="11.09765625" style="13" customWidth="1"/>
    <col min="51" max="51" width="12.59765625" style="13" customWidth="1"/>
    <col min="52" max="52" width="12.59765625" style="128" customWidth="1"/>
    <col min="53" max="53" width="15.5" style="128" customWidth="1"/>
    <col min="54" max="54" width="12.59765625" style="13" customWidth="1"/>
    <col min="55" max="55" width="12.09765625" style="13" customWidth="1"/>
    <col min="56" max="56" width="10" style="130" customWidth="1"/>
    <col min="57" max="57" width="14" style="130" customWidth="1"/>
    <col min="58" max="60" width="10" style="130" customWidth="1"/>
    <col min="61" max="61" width="11.8984375" style="130" customWidth="1"/>
    <col min="62" max="64" width="10" style="130" customWidth="1"/>
    <col min="65" max="65" width="13.19921875" style="130" customWidth="1"/>
    <col min="66" max="68" width="10" style="130" customWidth="1"/>
    <col min="69" max="69" width="14.09765625" style="130" customWidth="1"/>
    <col min="70" max="80" width="10" style="130" customWidth="1"/>
    <col min="81" max="81" width="13.69921875" style="130" customWidth="1"/>
    <col min="82" max="82" width="14" style="130" customWidth="1"/>
    <col min="83" max="84" width="10" style="130" customWidth="1"/>
    <col min="85" max="85" width="13.3984375" style="130" customWidth="1"/>
    <col min="86" max="86" width="17.8984375" style="13" customWidth="1"/>
    <col min="87" max="87" width="16.8984375" style="13" customWidth="1"/>
    <col min="88" max="93" width="12.69921875" style="13" customWidth="1"/>
    <col min="94" max="95" width="15.09765625" style="13" customWidth="1"/>
    <col min="96" max="96" width="12.69921875" style="13" customWidth="1"/>
    <col min="97" max="99" width="9" style="13"/>
    <col min="100" max="100" width="10.3984375" style="13" customWidth="1"/>
    <col min="101" max="16384" width="9" style="13"/>
  </cols>
  <sheetData>
    <row r="1" spans="2:103">
      <c r="S1" s="13">
        <v>1</v>
      </c>
      <c r="T1" s="13">
        <f t="shared" ref="T1:CE1" si="0">+S1+1</f>
        <v>2</v>
      </c>
      <c r="U1" s="13">
        <f t="shared" si="0"/>
        <v>3</v>
      </c>
      <c r="V1" s="13">
        <f t="shared" si="0"/>
        <v>4</v>
      </c>
      <c r="W1" s="13">
        <f t="shared" si="0"/>
        <v>5</v>
      </c>
      <c r="X1" s="13">
        <f t="shared" si="0"/>
        <v>6</v>
      </c>
      <c r="Y1" s="13">
        <f t="shared" si="0"/>
        <v>7</v>
      </c>
      <c r="Z1" s="13">
        <f t="shared" si="0"/>
        <v>8</v>
      </c>
      <c r="AA1" s="13">
        <f t="shared" si="0"/>
        <v>9</v>
      </c>
      <c r="AB1" s="13">
        <f t="shared" si="0"/>
        <v>10</v>
      </c>
      <c r="AC1" s="13">
        <f t="shared" si="0"/>
        <v>11</v>
      </c>
      <c r="AD1" s="13">
        <f t="shared" si="0"/>
        <v>12</v>
      </c>
      <c r="AE1" s="13">
        <f t="shared" si="0"/>
        <v>13</v>
      </c>
      <c r="AF1" s="13">
        <f t="shared" si="0"/>
        <v>14</v>
      </c>
      <c r="AG1" s="662">
        <f t="shared" si="0"/>
        <v>15</v>
      </c>
      <c r="AH1" s="13">
        <f t="shared" si="0"/>
        <v>16</v>
      </c>
      <c r="AI1" s="13">
        <f t="shared" si="0"/>
        <v>17</v>
      </c>
      <c r="AJ1" s="13">
        <f t="shared" si="0"/>
        <v>18</v>
      </c>
      <c r="AK1" s="13">
        <f t="shared" si="0"/>
        <v>19</v>
      </c>
      <c r="AL1" s="13">
        <f t="shared" si="0"/>
        <v>20</v>
      </c>
      <c r="AM1" s="13">
        <f t="shared" si="0"/>
        <v>21</v>
      </c>
      <c r="AN1" s="13">
        <f t="shared" si="0"/>
        <v>22</v>
      </c>
      <c r="AO1" s="13">
        <f t="shared" si="0"/>
        <v>23</v>
      </c>
      <c r="AP1" s="13">
        <f t="shared" si="0"/>
        <v>24</v>
      </c>
      <c r="AQ1" s="13">
        <f t="shared" si="0"/>
        <v>25</v>
      </c>
      <c r="AR1" s="13">
        <f t="shared" si="0"/>
        <v>26</v>
      </c>
      <c r="AS1" s="13">
        <f t="shared" si="0"/>
        <v>27</v>
      </c>
      <c r="AT1" s="13">
        <f t="shared" si="0"/>
        <v>28</v>
      </c>
      <c r="AU1" s="13">
        <f t="shared" si="0"/>
        <v>29</v>
      </c>
      <c r="AV1" s="13">
        <f t="shared" si="0"/>
        <v>30</v>
      </c>
      <c r="AW1" s="13">
        <f t="shared" si="0"/>
        <v>31</v>
      </c>
      <c r="AX1" s="13">
        <f t="shared" si="0"/>
        <v>32</v>
      </c>
      <c r="AY1" s="134">
        <f t="shared" si="0"/>
        <v>33</v>
      </c>
      <c r="AZ1" s="134">
        <f t="shared" si="0"/>
        <v>34</v>
      </c>
      <c r="BA1" s="134">
        <f t="shared" si="0"/>
        <v>35</v>
      </c>
      <c r="BB1" s="134">
        <f t="shared" si="0"/>
        <v>36</v>
      </c>
      <c r="BC1" s="134">
        <f t="shared" si="0"/>
        <v>37</v>
      </c>
      <c r="BD1" s="134">
        <f t="shared" si="0"/>
        <v>38</v>
      </c>
      <c r="BE1" s="134">
        <f t="shared" si="0"/>
        <v>39</v>
      </c>
      <c r="BF1" s="134">
        <f t="shared" si="0"/>
        <v>40</v>
      </c>
      <c r="BG1" s="134">
        <f t="shared" si="0"/>
        <v>41</v>
      </c>
      <c r="BH1" s="134">
        <f t="shared" si="0"/>
        <v>42</v>
      </c>
      <c r="BI1" s="134">
        <f t="shared" si="0"/>
        <v>43</v>
      </c>
      <c r="BJ1" s="134">
        <f t="shared" si="0"/>
        <v>44</v>
      </c>
      <c r="BK1" s="134">
        <f t="shared" si="0"/>
        <v>45</v>
      </c>
      <c r="BL1" s="134">
        <f t="shared" si="0"/>
        <v>46</v>
      </c>
      <c r="BM1" s="134">
        <f t="shared" si="0"/>
        <v>47</v>
      </c>
      <c r="BN1" s="134">
        <f t="shared" si="0"/>
        <v>48</v>
      </c>
      <c r="BO1" s="134">
        <f t="shared" si="0"/>
        <v>49</v>
      </c>
      <c r="BP1" s="134">
        <f t="shared" si="0"/>
        <v>50</v>
      </c>
      <c r="BQ1" s="134">
        <f t="shared" si="0"/>
        <v>51</v>
      </c>
      <c r="BR1" s="134">
        <f t="shared" si="0"/>
        <v>52</v>
      </c>
      <c r="BS1" s="134">
        <f t="shared" si="0"/>
        <v>53</v>
      </c>
      <c r="BT1" s="134">
        <f t="shared" si="0"/>
        <v>54</v>
      </c>
      <c r="BU1" s="134">
        <f t="shared" si="0"/>
        <v>55</v>
      </c>
      <c r="BV1" s="134">
        <f t="shared" si="0"/>
        <v>56</v>
      </c>
      <c r="BW1" s="134">
        <f t="shared" si="0"/>
        <v>57</v>
      </c>
      <c r="BX1" s="134">
        <f t="shared" si="0"/>
        <v>58</v>
      </c>
      <c r="BY1" s="134">
        <f t="shared" si="0"/>
        <v>59</v>
      </c>
      <c r="BZ1" s="134">
        <f t="shared" si="0"/>
        <v>60</v>
      </c>
      <c r="CA1" s="134">
        <f t="shared" si="0"/>
        <v>61</v>
      </c>
      <c r="CB1" s="134">
        <f t="shared" si="0"/>
        <v>62</v>
      </c>
      <c r="CC1" s="134">
        <f t="shared" si="0"/>
        <v>63</v>
      </c>
      <c r="CD1" s="134">
        <f t="shared" si="0"/>
        <v>64</v>
      </c>
      <c r="CE1" s="134">
        <f t="shared" si="0"/>
        <v>65</v>
      </c>
      <c r="CF1" s="134">
        <f t="shared" ref="CF1:CG1" si="1">+CE1+1</f>
        <v>66</v>
      </c>
      <c r="CG1" s="134">
        <f t="shared" si="1"/>
        <v>67</v>
      </c>
      <c r="CH1" s="134">
        <f t="shared" ref="CH1" si="2">+CG1+1</f>
        <v>68</v>
      </c>
      <c r="CI1" s="134">
        <f t="shared" ref="CI1" si="3">+CH1+1</f>
        <v>69</v>
      </c>
      <c r="CJ1" s="134">
        <f t="shared" ref="CJ1" si="4">+CI1+1</f>
        <v>70</v>
      </c>
      <c r="CK1" s="134">
        <f t="shared" ref="CK1" si="5">+CJ1+1</f>
        <v>71</v>
      </c>
      <c r="CL1" s="134">
        <f t="shared" ref="CL1" si="6">+CK1+1</f>
        <v>72</v>
      </c>
      <c r="CM1" s="134">
        <f t="shared" ref="CM1" si="7">+CL1+1</f>
        <v>73</v>
      </c>
      <c r="CN1" s="134">
        <f t="shared" ref="CN1" si="8">+CM1+1</f>
        <v>74</v>
      </c>
      <c r="CO1" s="134">
        <f t="shared" ref="CO1" si="9">+CN1+1</f>
        <v>75</v>
      </c>
      <c r="CP1" s="134">
        <f t="shared" ref="CP1" si="10">+CO1+1</f>
        <v>76</v>
      </c>
      <c r="CQ1" s="134">
        <f t="shared" ref="CQ1" si="11">+CP1+1</f>
        <v>77</v>
      </c>
      <c r="CR1" s="134">
        <f t="shared" ref="CR1" si="12">+CQ1+1</f>
        <v>78</v>
      </c>
      <c r="CS1" s="134">
        <f t="shared" ref="CS1" si="13">+CR1+1</f>
        <v>79</v>
      </c>
    </row>
    <row r="2" spans="2:103" ht="21">
      <c r="B2" s="603" t="str">
        <f ca="1">MAIN!B2</f>
        <v>■ 상품 요율체크 : 남녀특정암진단특약(무배당, 무해지)</v>
      </c>
      <c r="C2" s="604"/>
      <c r="D2" s="605"/>
      <c r="AG2" s="662"/>
      <c r="BL2" s="153"/>
      <c r="BM2" s="153"/>
      <c r="BN2" s="153"/>
      <c r="BO2" s="153"/>
      <c r="BP2" s="153"/>
      <c r="CI2" s="17" t="s">
        <v>154</v>
      </c>
    </row>
    <row r="3" spans="2:103">
      <c r="B3" s="17"/>
      <c r="W3" s="103" t="s">
        <v>155</v>
      </c>
      <c r="X3" s="82" t="s">
        <v>105</v>
      </c>
      <c r="Y3" s="77"/>
      <c r="AD3" s="103" t="s">
        <v>155</v>
      </c>
      <c r="AE3" s="85" t="s">
        <v>106</v>
      </c>
      <c r="AF3" s="87"/>
      <c r="AG3" s="663"/>
      <c r="AH3" s="27">
        <f ca="1">AD12*(1-AE12)*(1-AF12)</f>
        <v>99998.1</v>
      </c>
      <c r="AI3" s="27"/>
      <c r="AJ3" s="27"/>
      <c r="AK3" s="103" t="s">
        <v>155</v>
      </c>
      <c r="AL3" s="85" t="s">
        <v>107</v>
      </c>
      <c r="AM3" s="87"/>
      <c r="AN3" s="150"/>
      <c r="AO3" s="150"/>
      <c r="AP3" s="103" t="s">
        <v>155</v>
      </c>
      <c r="AQ3" s="85" t="s">
        <v>108</v>
      </c>
      <c r="AR3" s="151"/>
      <c r="AS3" s="151"/>
      <c r="AT3" s="103" t="s">
        <v>155</v>
      </c>
      <c r="AU3" s="85" t="s">
        <v>156</v>
      </c>
      <c r="AV3" s="153"/>
      <c r="AW3" s="153"/>
      <c r="AX3" s="103" t="s">
        <v>155</v>
      </c>
      <c r="AY3" s="85" t="s">
        <v>109</v>
      </c>
      <c r="BB3" s="103" t="s">
        <v>155</v>
      </c>
      <c r="BC3" s="85" t="s">
        <v>110</v>
      </c>
      <c r="BF3" s="103" t="s">
        <v>155</v>
      </c>
      <c r="BG3" s="85" t="s">
        <v>179</v>
      </c>
      <c r="BH3" s="128"/>
      <c r="BI3" s="128"/>
      <c r="BJ3" s="103" t="s">
        <v>155</v>
      </c>
      <c r="BK3" s="85" t="s">
        <v>180</v>
      </c>
      <c r="BL3" s="85" t="s">
        <v>527</v>
      </c>
      <c r="BM3" s="85" t="s">
        <v>528</v>
      </c>
      <c r="BN3" s="85" t="s">
        <v>529</v>
      </c>
      <c r="BO3" s="85" t="s">
        <v>530</v>
      </c>
      <c r="BP3" s="85" t="s">
        <v>531</v>
      </c>
    </row>
    <row r="4" spans="2:103" ht="19.2">
      <c r="B4" s="13" t="s">
        <v>79</v>
      </c>
      <c r="G4" s="13" t="s">
        <v>75</v>
      </c>
      <c r="N4" s="102" t="s">
        <v>118</v>
      </c>
      <c r="R4" s="102" t="s">
        <v>8</v>
      </c>
      <c r="W4" s="85" t="s">
        <v>112</v>
      </c>
      <c r="X4" s="85">
        <f ca="1">YTSM</f>
        <v>0</v>
      </c>
      <c r="Y4" s="87"/>
      <c r="AA4" s="213"/>
      <c r="AD4" s="85" t="s">
        <v>112</v>
      </c>
      <c r="AE4" s="85">
        <f ca="1">YT50J</f>
        <v>0</v>
      </c>
      <c r="AF4" s="87"/>
      <c r="AG4" s="662"/>
      <c r="AK4" s="85" t="s">
        <v>112</v>
      </c>
      <c r="AL4" s="85">
        <f ca="1">YTa</f>
        <v>1</v>
      </c>
      <c r="AM4" s="87"/>
      <c r="AN4" s="530">
        <v>9.4800452445716683</v>
      </c>
      <c r="AP4" s="85" t="s">
        <v>112</v>
      </c>
      <c r="AQ4" s="85">
        <f ca="1">YTb</f>
        <v>0</v>
      </c>
      <c r="AT4" s="85" t="s">
        <v>112</v>
      </c>
      <c r="AU4" s="85">
        <f ca="1">YTc</f>
        <v>0</v>
      </c>
      <c r="AX4" s="85" t="s">
        <v>112</v>
      </c>
      <c r="AY4" s="85">
        <f ca="1">YTd</f>
        <v>0</v>
      </c>
      <c r="BB4" s="85" t="s">
        <v>112</v>
      </c>
      <c r="BC4" s="85">
        <f ca="1">YTe</f>
        <v>0</v>
      </c>
      <c r="BF4" s="85" t="s">
        <v>112</v>
      </c>
      <c r="BG4" s="85">
        <f ca="1">YTf</f>
        <v>0</v>
      </c>
      <c r="BH4" s="128"/>
      <c r="BI4" s="128"/>
      <c r="BJ4" s="85" t="s">
        <v>112</v>
      </c>
      <c r="BK4" s="85">
        <f ca="1">YTg</f>
        <v>0</v>
      </c>
      <c r="BL4" s="85" cm="1">
        <f t="array" aca="1" ref="BL4" ca="1">YTh</f>
        <v>0</v>
      </c>
      <c r="BM4" s="85">
        <f ca="1">YTi</f>
        <v>0</v>
      </c>
      <c r="BN4" s="85">
        <f ca="1">YTj</f>
        <v>0</v>
      </c>
      <c r="BO4" s="85">
        <f ca="1">YTk</f>
        <v>0</v>
      </c>
      <c r="BP4" s="85">
        <f ca="1">YTl</f>
        <v>0</v>
      </c>
      <c r="CH4" s="445"/>
    </row>
    <row r="5" spans="2:103">
      <c r="W5" s="85" t="s">
        <v>113</v>
      </c>
      <c r="X5" s="85">
        <f ca="1">NTSM</f>
        <v>0</v>
      </c>
      <c r="Y5" s="87"/>
      <c r="AA5" s="213"/>
      <c r="AD5" s="85" t="s">
        <v>113</v>
      </c>
      <c r="AE5" s="85">
        <f ca="1">NT50J</f>
        <v>1</v>
      </c>
      <c r="AF5" s="87"/>
      <c r="AG5" s="662"/>
      <c r="AK5" s="85" t="s">
        <v>113</v>
      </c>
      <c r="AL5" s="85">
        <f ca="1">NTa</f>
        <v>0</v>
      </c>
      <c r="AM5" s="87"/>
      <c r="AN5" s="531">
        <f ca="1">AO13-AO107</f>
        <v>0.70420585901447263</v>
      </c>
      <c r="AP5" s="85" t="s">
        <v>113</v>
      </c>
      <c r="AQ5" s="85">
        <f ca="1">NTb</f>
        <v>0</v>
      </c>
      <c r="AT5" s="85" t="s">
        <v>113</v>
      </c>
      <c r="AU5" s="85">
        <f ca="1">NTc</f>
        <v>0</v>
      </c>
      <c r="AX5" s="85" t="s">
        <v>113</v>
      </c>
      <c r="AY5" s="85">
        <f ca="1">NTd</f>
        <v>0</v>
      </c>
      <c r="BB5" s="85" t="s">
        <v>113</v>
      </c>
      <c r="BC5" s="85">
        <f ca="1">NTe</f>
        <v>0</v>
      </c>
      <c r="BF5" s="85" t="s">
        <v>113</v>
      </c>
      <c r="BG5" s="85">
        <f ca="1">NTf</f>
        <v>0</v>
      </c>
      <c r="BH5" s="128"/>
      <c r="BI5" s="128"/>
      <c r="BJ5" s="85" t="s">
        <v>113</v>
      </c>
      <c r="BK5" s="85">
        <f ca="1">NTg</f>
        <v>0</v>
      </c>
      <c r="BL5" s="85">
        <f ca="1">NTh</f>
        <v>0</v>
      </c>
      <c r="BM5" s="85">
        <f ca="1">NTi</f>
        <v>0</v>
      </c>
      <c r="BN5" s="85">
        <f ca="1">NTj</f>
        <v>0</v>
      </c>
      <c r="BO5" s="85">
        <f ca="1">NTk</f>
        <v>0</v>
      </c>
      <c r="BP5" s="85">
        <f ca="1">NTl</f>
        <v>0</v>
      </c>
    </row>
    <row r="6" spans="2:103">
      <c r="B6" s="106" t="s">
        <v>212</v>
      </c>
      <c r="C6" s="118">
        <v>2</v>
      </c>
      <c r="D6" s="44" t="str">
        <f>CHOOSE(JRB,"무해지","유해지")</f>
        <v>유해지</v>
      </c>
      <c r="E6" s="44"/>
      <c r="G6" s="13" t="s">
        <v>77</v>
      </c>
      <c r="W6" s="82" t="s">
        <v>117</v>
      </c>
      <c r="X6" s="89" t="s">
        <v>119</v>
      </c>
      <c r="AA6" s="213"/>
      <c r="AD6" s="85" t="s">
        <v>117</v>
      </c>
      <c r="AE6" s="89">
        <f ca="1">BT50J</f>
        <v>0</v>
      </c>
      <c r="AF6" s="87"/>
      <c r="AG6" s="662"/>
      <c r="AK6" s="85" t="s">
        <v>117</v>
      </c>
      <c r="AL6" s="85">
        <f ca="1">BTa</f>
        <v>0</v>
      </c>
      <c r="AM6" s="87"/>
      <c r="AN6" s="150">
        <f ca="1">AN5+AN4</f>
        <v>10.18425110358614</v>
      </c>
      <c r="AP6" s="85" t="s">
        <v>117</v>
      </c>
      <c r="AQ6" s="85">
        <f ca="1">BTb</f>
        <v>0</v>
      </c>
      <c r="AS6" s="128" t="b">
        <f ca="1">AS12=AS7</f>
        <v>0</v>
      </c>
      <c r="AT6" s="85" t="s">
        <v>117</v>
      </c>
      <c r="AU6" s="85">
        <f ca="1">BTc</f>
        <v>0</v>
      </c>
      <c r="AX6" s="85" t="s">
        <v>117</v>
      </c>
      <c r="AY6" s="85">
        <f ca="1">BTd</f>
        <v>0</v>
      </c>
      <c r="BB6" s="85" t="s">
        <v>117</v>
      </c>
      <c r="BC6" s="85">
        <f ca="1">BTe</f>
        <v>0</v>
      </c>
      <c r="BF6" s="85" t="s">
        <v>117</v>
      </c>
      <c r="BG6" s="85">
        <f ca="1">BTf</f>
        <v>0</v>
      </c>
      <c r="BH6" s="128"/>
      <c r="BI6" s="128"/>
      <c r="BJ6" s="85" t="s">
        <v>117</v>
      </c>
      <c r="BK6" s="85">
        <f ca="1">BTg</f>
        <v>0</v>
      </c>
      <c r="BL6" s="85">
        <f ca="1">BTh</f>
        <v>0</v>
      </c>
      <c r="BM6" s="85">
        <f ca="1">BTi</f>
        <v>0</v>
      </c>
      <c r="BN6" s="85">
        <f ca="1">BTj</f>
        <v>0</v>
      </c>
      <c r="BO6" s="85">
        <f ca="1">BTk</f>
        <v>0</v>
      </c>
      <c r="BP6" s="85">
        <f ca="1">BTl</f>
        <v>0</v>
      </c>
    </row>
    <row r="7" spans="2:103">
      <c r="B7" s="106" t="str">
        <f>MAIN!B9</f>
        <v>형태</v>
      </c>
      <c r="C7" s="118">
        <f>MAIN!C9</f>
        <v>2</v>
      </c>
      <c r="D7" s="44" t="str">
        <f>CHOOSE(YHB,"만기환급형","순수형")</f>
        <v>순수형</v>
      </c>
      <c r="E7" s="44"/>
      <c r="F7" s="19"/>
      <c r="G7" s="122" t="s">
        <v>82</v>
      </c>
      <c r="H7" s="67">
        <v>0</v>
      </c>
      <c r="I7" s="67" t="s">
        <v>88</v>
      </c>
      <c r="J7" s="67" t="s">
        <v>12</v>
      </c>
      <c r="K7" s="19"/>
      <c r="W7" s="85" t="s">
        <v>111</v>
      </c>
      <c r="X7" s="85">
        <f ca="1">SSSM</f>
        <v>0</v>
      </c>
      <c r="Y7" s="87"/>
      <c r="AA7" s="213"/>
      <c r="AD7" s="85" t="s">
        <v>111</v>
      </c>
      <c r="AE7" s="85">
        <f ca="1">SS50J</f>
        <v>0</v>
      </c>
      <c r="AF7" s="87"/>
      <c r="AG7" s="662"/>
      <c r="AK7" s="85" t="s">
        <v>111</v>
      </c>
      <c r="AL7" s="85">
        <f ca="1">SSa</f>
        <v>1</v>
      </c>
      <c r="AM7" s="87"/>
      <c r="AO7" s="451"/>
      <c r="AP7" s="85" t="s">
        <v>111</v>
      </c>
      <c r="AQ7" s="85">
        <f ca="1">SSb</f>
        <v>0</v>
      </c>
      <c r="AS7" s="126">
        <v>98.16185087543694</v>
      </c>
      <c r="AT7" s="85" t="s">
        <v>111</v>
      </c>
      <c r="AU7" s="85">
        <f ca="1">SSc</f>
        <v>0</v>
      </c>
      <c r="AW7" s="130">
        <v>26.134850438884225</v>
      </c>
      <c r="AX7" s="85" t="s">
        <v>111</v>
      </c>
      <c r="AY7" s="258">
        <f ca="1">SSd</f>
        <v>0</v>
      </c>
      <c r="BB7" s="85" t="s">
        <v>111</v>
      </c>
      <c r="BC7" s="258">
        <f ca="1">SSe</f>
        <v>0</v>
      </c>
      <c r="BF7" s="85" t="s">
        <v>111</v>
      </c>
      <c r="BG7" s="258">
        <f ca="1">SSf</f>
        <v>0</v>
      </c>
      <c r="BH7" s="128"/>
      <c r="BI7" s="128"/>
      <c r="BJ7" s="85" t="s">
        <v>111</v>
      </c>
      <c r="BK7" s="258">
        <f ca="1">SSg</f>
        <v>0</v>
      </c>
      <c r="BL7" s="243" cm="1">
        <f t="array" aca="1" ref="BL7" ca="1">SSh</f>
        <v>0</v>
      </c>
      <c r="BM7" s="243">
        <f ca="1">SSi</f>
        <v>0</v>
      </c>
      <c r="BN7" s="243">
        <f ca="1">SSj</f>
        <v>0</v>
      </c>
      <c r="BO7" s="243">
        <f ca="1">SSk</f>
        <v>0</v>
      </c>
      <c r="BP7" s="243">
        <f ca="1">SSl</f>
        <v>0</v>
      </c>
    </row>
    <row r="8" spans="2:103">
      <c r="B8" s="106" t="s">
        <v>0</v>
      </c>
      <c r="C8" s="118">
        <f>sex</f>
        <v>1</v>
      </c>
      <c r="D8" s="44" t="str">
        <f>+IF(sexB=1,"남자","여자")</f>
        <v>남자</v>
      </c>
      <c r="E8" s="44"/>
      <c r="F8" s="16"/>
      <c r="G8" s="122" t="s">
        <v>17</v>
      </c>
      <c r="H8" s="22">
        <f ca="1">HLOOKUP($G8,기수표B,2,FALSE)</f>
        <v>100000</v>
      </c>
      <c r="I8" s="125">
        <f ca="1">HLOOKUP($G8,기수표B,mB+2,FALSE)</f>
        <v>89471.122234199123</v>
      </c>
      <c r="J8" s="125">
        <f ca="1">HLOOKUP($G8,기수표B,nB+2,FALSE)</f>
        <v>61291.902361237946</v>
      </c>
      <c r="K8" s="16"/>
      <c r="AG8" s="662"/>
      <c r="CJ8" s="13" t="s">
        <v>1012</v>
      </c>
      <c r="CL8" s="13" t="s">
        <v>1011</v>
      </c>
      <c r="CN8" s="13" t="s">
        <v>1013</v>
      </c>
      <c r="CP8"/>
      <c r="CQ8"/>
      <c r="CR8"/>
      <c r="CS8"/>
      <c r="CV8" s="13" t="s">
        <v>1020</v>
      </c>
      <c r="CW8" s="13">
        <f ca="1">GPB*S</f>
        <v>7</v>
      </c>
    </row>
    <row r="9" spans="2:103">
      <c r="B9" s="106" t="s">
        <v>1</v>
      </c>
      <c r="C9" s="250">
        <f>MAIN!C11</f>
        <v>8</v>
      </c>
      <c r="D9" s="44"/>
      <c r="E9" s="44"/>
      <c r="F9" s="16"/>
      <c r="G9" s="122" t="s">
        <v>18</v>
      </c>
      <c r="H9" s="22">
        <f ca="1">HLOOKUP($G9,기수표B,2,FALSE)</f>
        <v>1820329.4833286363</v>
      </c>
      <c r="I9" s="125">
        <f ca="1">HLOOKUP($G9,기수표B,mB+2,FALSE)</f>
        <v>1341855.6789776201</v>
      </c>
      <c r="J9" s="125">
        <f ca="1">HLOOKUP($G9,기수표B,nB+2,FALSE)</f>
        <v>61291.902361237946</v>
      </c>
      <c r="K9" s="16"/>
      <c r="N9" s="606" t="s">
        <v>15</v>
      </c>
      <c r="O9" s="607"/>
      <c r="P9" s="608"/>
      <c r="Q9" s="97"/>
      <c r="R9" s="609" t="s">
        <v>152</v>
      </c>
      <c r="S9" s="609" t="s">
        <v>7</v>
      </c>
      <c r="T9" s="619" t="s">
        <v>47</v>
      </c>
      <c r="U9" s="620"/>
      <c r="V9" s="621"/>
      <c r="W9" s="618" t="s">
        <v>48</v>
      </c>
      <c r="X9" s="618"/>
      <c r="Y9" s="618"/>
      <c r="Z9" s="618"/>
      <c r="AA9" s="618"/>
      <c r="AB9" s="612" t="s">
        <v>198</v>
      </c>
      <c r="AC9" s="614"/>
      <c r="AD9" s="618" t="s">
        <v>49</v>
      </c>
      <c r="AE9" s="618"/>
      <c r="AF9" s="618"/>
      <c r="AG9" s="618"/>
      <c r="AH9" s="618"/>
      <c r="AI9" s="612" t="s">
        <v>199</v>
      </c>
      <c r="AJ9" s="614"/>
      <c r="AK9" s="612" t="s">
        <v>147</v>
      </c>
      <c r="AL9" s="613"/>
      <c r="AM9" s="613"/>
      <c r="AN9" s="613"/>
      <c r="AO9" s="614"/>
      <c r="AP9" s="612" t="s">
        <v>148</v>
      </c>
      <c r="AQ9" s="613"/>
      <c r="AR9" s="613"/>
      <c r="AS9" s="614"/>
      <c r="AT9" s="612" t="s">
        <v>149</v>
      </c>
      <c r="AU9" s="613"/>
      <c r="AV9" s="613"/>
      <c r="AW9" s="614"/>
      <c r="AX9" s="612" t="s">
        <v>150</v>
      </c>
      <c r="AY9" s="613"/>
      <c r="AZ9" s="613"/>
      <c r="BA9" s="614"/>
      <c r="BB9" s="612" t="s">
        <v>151</v>
      </c>
      <c r="BC9" s="613"/>
      <c r="BD9" s="613"/>
      <c r="BE9" s="614"/>
      <c r="BF9" s="612" t="s">
        <v>177</v>
      </c>
      <c r="BG9" s="613"/>
      <c r="BH9" s="613"/>
      <c r="BI9" s="614"/>
      <c r="BJ9" s="612" t="s">
        <v>178</v>
      </c>
      <c r="BK9" s="613"/>
      <c r="BL9" s="613"/>
      <c r="BM9" s="614"/>
      <c r="BN9" s="612" t="s">
        <v>499</v>
      </c>
      <c r="BO9" s="613"/>
      <c r="BP9" s="613"/>
      <c r="BQ9" s="614"/>
      <c r="BR9" s="612" t="s">
        <v>500</v>
      </c>
      <c r="BS9" s="613"/>
      <c r="BT9" s="613"/>
      <c r="BU9" s="614"/>
      <c r="BV9" s="612" t="s">
        <v>501</v>
      </c>
      <c r="BW9" s="613"/>
      <c r="BX9" s="613"/>
      <c r="BY9" s="614"/>
      <c r="BZ9" s="612" t="s">
        <v>502</v>
      </c>
      <c r="CA9" s="613"/>
      <c r="CB9" s="613"/>
      <c r="CC9" s="614"/>
      <c r="CD9" s="612" t="s">
        <v>503</v>
      </c>
      <c r="CE9" s="613"/>
      <c r="CF9" s="613"/>
      <c r="CG9" s="614"/>
      <c r="CH9" s="468" t="s">
        <v>89</v>
      </c>
      <c r="CI9" s="295"/>
      <c r="CJ9" s="93" t="s">
        <v>1010</v>
      </c>
      <c r="CK9" s="93"/>
      <c r="CL9" s="93" t="s">
        <v>1010</v>
      </c>
      <c r="CM9" s="93"/>
      <c r="CN9" s="93"/>
      <c r="CO9" s="298"/>
      <c r="CP9" s="615" t="s">
        <v>540</v>
      </c>
      <c r="CQ9" s="616"/>
      <c r="CR9" s="617"/>
      <c r="CS9" s="263"/>
    </row>
    <row r="10" spans="2:103">
      <c r="B10" s="106" t="s">
        <v>2</v>
      </c>
      <c r="C10" s="250">
        <f>MAIN!C12</f>
        <v>30</v>
      </c>
      <c r="D10" s="120" t="str">
        <f>MAIN!D12</f>
        <v>세만기</v>
      </c>
      <c r="E10" s="44"/>
      <c r="F10" s="16"/>
      <c r="G10" s="122" t="s">
        <v>51</v>
      </c>
      <c r="H10" s="22">
        <f ca="1">HLOOKUP($G10,기수표B,2,FALSE)</f>
        <v>100000</v>
      </c>
      <c r="I10" s="125">
        <f ca="1">HLOOKUP($G10,기수표B,mB+2,FALSE)</f>
        <v>89463.606911967407</v>
      </c>
      <c r="J10" s="125">
        <f ca="1">HLOOKUP($G10,기수표B,nB+2,FALSE)</f>
        <v>61244.847287966586</v>
      </c>
      <c r="K10" s="16"/>
      <c r="N10" s="35" t="s">
        <v>12</v>
      </c>
      <c r="O10" s="35" t="s">
        <v>13</v>
      </c>
      <c r="P10" s="35" t="s">
        <v>14</v>
      </c>
      <c r="Q10" s="97"/>
      <c r="R10" s="610"/>
      <c r="S10" s="610"/>
      <c r="T10" s="99" t="s">
        <v>58</v>
      </c>
      <c r="U10" s="35" t="s">
        <v>126</v>
      </c>
      <c r="V10" s="36" t="s">
        <v>10</v>
      </c>
      <c r="W10" s="99" t="s">
        <v>11</v>
      </c>
      <c r="X10" s="99" t="s">
        <v>53</v>
      </c>
      <c r="Y10" s="99" t="s">
        <v>184</v>
      </c>
      <c r="Z10" s="35" t="s">
        <v>17</v>
      </c>
      <c r="AA10" s="35" t="s">
        <v>18</v>
      </c>
      <c r="AB10" s="35" t="s">
        <v>61</v>
      </c>
      <c r="AC10" s="35" t="s">
        <v>54</v>
      </c>
      <c r="AD10" s="99" t="s">
        <v>50</v>
      </c>
      <c r="AE10" s="99" t="s">
        <v>124</v>
      </c>
      <c r="AF10" s="99" t="s">
        <v>185</v>
      </c>
      <c r="AG10" s="35" t="s">
        <v>51</v>
      </c>
      <c r="AH10" s="35" t="s">
        <v>52</v>
      </c>
      <c r="AI10" s="35"/>
      <c r="AJ10" s="35"/>
      <c r="AK10" s="35" t="s">
        <v>127</v>
      </c>
      <c r="AL10" s="35" t="s">
        <v>128</v>
      </c>
      <c r="AM10" s="35" t="s">
        <v>544</v>
      </c>
      <c r="AN10" s="136" t="s">
        <v>129</v>
      </c>
      <c r="AO10" s="136" t="s">
        <v>130</v>
      </c>
      <c r="AP10" s="35" t="s">
        <v>131</v>
      </c>
      <c r="AQ10" s="35" t="s">
        <v>132</v>
      </c>
      <c r="AR10" s="152" t="s">
        <v>133</v>
      </c>
      <c r="AS10" s="152" t="s">
        <v>134</v>
      </c>
      <c r="AT10" s="35" t="s">
        <v>135</v>
      </c>
      <c r="AU10" s="35" t="s">
        <v>136</v>
      </c>
      <c r="AV10" s="135" t="s">
        <v>137</v>
      </c>
      <c r="AW10" s="135" t="s">
        <v>138</v>
      </c>
      <c r="AX10" s="35" t="s">
        <v>139</v>
      </c>
      <c r="AY10" s="35" t="s">
        <v>140</v>
      </c>
      <c r="AZ10" s="136" t="s">
        <v>141</v>
      </c>
      <c r="BA10" s="136" t="s">
        <v>142</v>
      </c>
      <c r="BB10" s="35" t="s">
        <v>143</v>
      </c>
      <c r="BC10" s="35" t="s">
        <v>144</v>
      </c>
      <c r="BD10" s="135" t="s">
        <v>145</v>
      </c>
      <c r="BE10" s="135" t="s">
        <v>146</v>
      </c>
      <c r="BF10" s="35" t="s">
        <v>169</v>
      </c>
      <c r="BG10" s="35" t="s">
        <v>170</v>
      </c>
      <c r="BH10" s="135" t="s">
        <v>171</v>
      </c>
      <c r="BI10" s="135" t="s">
        <v>172</v>
      </c>
      <c r="BJ10" s="35" t="s">
        <v>173</v>
      </c>
      <c r="BK10" s="35" t="s">
        <v>174</v>
      </c>
      <c r="BL10" s="135" t="s">
        <v>175</v>
      </c>
      <c r="BM10" s="135" t="s">
        <v>176</v>
      </c>
      <c r="BN10" s="35" t="s">
        <v>504</v>
      </c>
      <c r="BO10" s="35" t="s">
        <v>505</v>
      </c>
      <c r="BP10" s="135" t="s">
        <v>506</v>
      </c>
      <c r="BQ10" s="135" t="s">
        <v>507</v>
      </c>
      <c r="BR10" s="35" t="s">
        <v>508</v>
      </c>
      <c r="BS10" s="35" t="s">
        <v>509</v>
      </c>
      <c r="BT10" s="135" t="s">
        <v>510</v>
      </c>
      <c r="BU10" s="135" t="s">
        <v>511</v>
      </c>
      <c r="BV10" s="35" t="s">
        <v>512</v>
      </c>
      <c r="BW10" s="35" t="s">
        <v>513</v>
      </c>
      <c r="BX10" s="135" t="s">
        <v>514</v>
      </c>
      <c r="BY10" s="135" t="s">
        <v>515</v>
      </c>
      <c r="BZ10" s="35" t="s">
        <v>516</v>
      </c>
      <c r="CA10" s="35" t="s">
        <v>517</v>
      </c>
      <c r="CB10" s="135" t="s">
        <v>518</v>
      </c>
      <c r="CC10" s="135" t="s">
        <v>519</v>
      </c>
      <c r="CD10" s="35" t="s">
        <v>520</v>
      </c>
      <c r="CE10" s="35" t="s">
        <v>521</v>
      </c>
      <c r="CF10" s="135" t="s">
        <v>522</v>
      </c>
      <c r="CG10" s="135" t="s">
        <v>523</v>
      </c>
      <c r="CH10" s="34"/>
      <c r="CI10" s="295" t="s">
        <v>25</v>
      </c>
      <c r="CJ10" s="93" t="s">
        <v>26</v>
      </c>
      <c r="CK10" s="93" t="s">
        <v>535</v>
      </c>
      <c r="CL10" s="93" t="s">
        <v>538</v>
      </c>
      <c r="CM10" s="93" t="s">
        <v>539</v>
      </c>
      <c r="CN10" s="93" t="s">
        <v>27</v>
      </c>
      <c r="CO10" s="93" t="s">
        <v>543</v>
      </c>
      <c r="CP10" s="263" t="s">
        <v>23</v>
      </c>
      <c r="CQ10" s="263" t="s">
        <v>24</v>
      </c>
      <c r="CR10" s="263" t="s">
        <v>40</v>
      </c>
      <c r="CS10" s="263" t="s">
        <v>153</v>
      </c>
      <c r="CU10" s="13" t="s">
        <v>980</v>
      </c>
      <c r="CV10" t="s">
        <v>1015</v>
      </c>
      <c r="CW10" t="s">
        <v>1016</v>
      </c>
      <c r="CX10" t="s">
        <v>1017</v>
      </c>
      <c r="CY10" t="s">
        <v>1018</v>
      </c>
    </row>
    <row r="11" spans="2:103">
      <c r="B11" s="106" t="s">
        <v>232</v>
      </c>
      <c r="C11" s="250">
        <f>+IF(D10="년만기",C10,C10-xB)</f>
        <v>22</v>
      </c>
      <c r="D11" s="44" t="s">
        <v>234</v>
      </c>
      <c r="E11" s="119"/>
      <c r="F11" s="15"/>
      <c r="G11" s="122" t="s">
        <v>52</v>
      </c>
      <c r="H11" s="22">
        <f ca="1">HLOOKUP($G11,기수표B,2,FALSE)</f>
        <v>1819842.6262510212</v>
      </c>
      <c r="I11" s="125">
        <f ca="1">HLOOKUP($G11,기수표B,mB+2,FALSE)</f>
        <v>1341385.4889354545</v>
      </c>
      <c r="J11" s="125">
        <f ca="1">HLOOKUP($G11,기수표B,nB+2,FALSE)</f>
        <v>61244.847287966586</v>
      </c>
      <c r="K11" s="15"/>
      <c r="N11" s="62"/>
      <c r="O11" s="62"/>
      <c r="P11" s="62"/>
      <c r="Q11" s="97"/>
      <c r="R11" s="611"/>
      <c r="S11" s="611"/>
      <c r="T11" s="99">
        <f ca="1">QQSM</f>
        <v>0</v>
      </c>
      <c r="U11" s="35" t="str">
        <f ca="1">QQ50J</f>
        <v>qx_ad50%</v>
      </c>
      <c r="V11" s="36" t="s">
        <v>123</v>
      </c>
      <c r="W11" s="99"/>
      <c r="X11" s="99">
        <f ca="1">QQSM</f>
        <v>0</v>
      </c>
      <c r="Y11" s="99"/>
      <c r="Z11" s="35" t="s">
        <v>17</v>
      </c>
      <c r="AA11" s="35" t="s">
        <v>18</v>
      </c>
      <c r="AB11" s="35" t="s">
        <v>61</v>
      </c>
      <c r="AC11" s="35" t="s">
        <v>54</v>
      </c>
      <c r="AD11" s="99"/>
      <c r="AE11" s="99" t="str">
        <f ca="1">QQ50J</f>
        <v>qx_ad50%</v>
      </c>
      <c r="AF11" s="99"/>
      <c r="AG11" s="35" t="s">
        <v>51</v>
      </c>
      <c r="AH11" s="35" t="s">
        <v>52</v>
      </c>
      <c r="AI11" s="176" t="s">
        <v>201</v>
      </c>
      <c r="AJ11" s="35" t="s">
        <v>202</v>
      </c>
      <c r="AK11" s="147"/>
      <c r="AL11" s="147" t="str">
        <f ca="1">QQa</f>
        <v>qx_am2</v>
      </c>
      <c r="AM11" s="147"/>
      <c r="AN11" s="136"/>
      <c r="AO11" s="136"/>
      <c r="AP11" s="147"/>
      <c r="AQ11" s="147">
        <f ca="1">QQb</f>
        <v>0</v>
      </c>
      <c r="AR11" s="152"/>
      <c r="AS11" s="152"/>
      <c r="AT11" s="147"/>
      <c r="AU11" s="148">
        <f ca="1">QQc</f>
        <v>0</v>
      </c>
      <c r="AV11" s="135"/>
      <c r="AW11" s="135"/>
      <c r="AX11" s="148"/>
      <c r="AY11" s="148">
        <f ca="1">QQd</f>
        <v>0</v>
      </c>
      <c r="AZ11" s="136"/>
      <c r="BA11" s="136"/>
      <c r="BB11" s="148"/>
      <c r="BC11" s="148">
        <f ca="1">QQe</f>
        <v>0</v>
      </c>
      <c r="BD11" s="135"/>
      <c r="BE11" s="135"/>
      <c r="BF11" s="148"/>
      <c r="BG11" s="148">
        <f ca="1">QQf</f>
        <v>0</v>
      </c>
      <c r="BH11" s="135"/>
      <c r="BI11" s="135"/>
      <c r="BJ11" s="148"/>
      <c r="BK11" s="148">
        <f ca="1">QQg</f>
        <v>0</v>
      </c>
      <c r="BL11" s="135"/>
      <c r="BM11" s="135"/>
      <c r="BN11" s="148"/>
      <c r="BO11" s="148">
        <f ca="1">QQh</f>
        <v>0</v>
      </c>
      <c r="BP11" s="135"/>
      <c r="BQ11" s="135"/>
      <c r="BR11" s="148"/>
      <c r="BS11" s="148">
        <f ca="1">QQi</f>
        <v>0</v>
      </c>
      <c r="BT11" s="135"/>
      <c r="BU11" s="135"/>
      <c r="BV11" s="148"/>
      <c r="BW11" s="148">
        <f ca="1">QQj</f>
        <v>0</v>
      </c>
      <c r="BX11" s="135"/>
      <c r="BY11" s="135"/>
      <c r="BZ11" s="148"/>
      <c r="CA11" s="148">
        <f ca="1">QQk</f>
        <v>0</v>
      </c>
      <c r="CB11" s="135"/>
      <c r="CC11" s="135"/>
      <c r="CD11" s="148"/>
      <c r="CE11" s="148">
        <f ca="1">QQl</f>
        <v>0</v>
      </c>
      <c r="CF11" s="135"/>
      <c r="CG11" s="135"/>
      <c r="CH11" s="468" t="s">
        <v>93</v>
      </c>
      <c r="CI11" s="296" t="s">
        <v>541</v>
      </c>
      <c r="CJ11" s="149"/>
      <c r="CK11" s="149"/>
      <c r="CL11" s="149"/>
      <c r="CM11" s="149"/>
      <c r="CN11" s="93" t="s">
        <v>27</v>
      </c>
      <c r="CO11" s="149"/>
      <c r="CP11" s="316"/>
      <c r="CQ11" s="316"/>
      <c r="CR11" s="316"/>
      <c r="CS11" s="316"/>
    </row>
    <row r="12" spans="2:103">
      <c r="B12" s="106" t="s">
        <v>3</v>
      </c>
      <c r="C12" s="118">
        <f>m</f>
        <v>5</v>
      </c>
      <c r="D12" s="44" t="s">
        <v>233</v>
      </c>
      <c r="E12" s="119"/>
      <c r="F12" s="15"/>
      <c r="G12" s="123" t="s">
        <v>42</v>
      </c>
      <c r="H12" s="139">
        <f ca="1">H9-J9</f>
        <v>1759037.5809673984</v>
      </c>
      <c r="I12" s="21"/>
      <c r="K12" s="21"/>
      <c r="L12" s="241"/>
      <c r="M12" s="242"/>
      <c r="N12" s="4">
        <v>0</v>
      </c>
      <c r="O12" s="1">
        <f t="shared" ref="O12" ca="1" si="14">+(1+iB)^-N12</f>
        <v>1</v>
      </c>
      <c r="P12" s="11">
        <f t="shared" ref="P12" ca="1" si="15">+(1+iB)^-(N12+0.5)</f>
        <v>0.98893635286829751</v>
      </c>
      <c r="Q12" s="98"/>
      <c r="R12" s="20">
        <v>0</v>
      </c>
      <c r="S12" s="20">
        <f t="shared" ref="S12" si="16">+IF(xB+R12&lt;=xB+nB,xB+R12,"")</f>
        <v>8</v>
      </c>
      <c r="T12" s="2">
        <f t="shared" ref="T12:U12" ca="1" si="17">IFERROR(VLOOKUP($S12,qx_table,MATCH(T$11,qx_title,0)+sexB),0)</f>
        <v>0</v>
      </c>
      <c r="U12" s="2">
        <f t="shared" ca="1" si="17"/>
        <v>1.9000000000000001E-5</v>
      </c>
      <c r="V12" s="300">
        <f>IF(JRB=2,0,IF(R12&gt;=mB-1,_xlfn.XLOOKUP(R12-mB,해지율!#REF!,해지율!#REF!,,1),_xlfn.XLOOKUP(R12,해지율!#REF!,해지율!#REF!,,-1)))</f>
        <v>0</v>
      </c>
      <c r="W12" s="8">
        <f t="shared" ref="W12" si="18">IF(R12=0,100000,IF(R12&gt;nB,0,W11*(1-X11)*(1-Y11)))</f>
        <v>100000</v>
      </c>
      <c r="X12" s="10">
        <f t="shared" ref="X12:X75" ca="1" si="19">1-IFERROR((1-YTSM*$T12)*(1-V12*(1-T12/2)/(1-T12)),0)</f>
        <v>0</v>
      </c>
      <c r="Y12" s="92">
        <f t="shared" ref="Y12:Y75" ca="1" si="20">IFERROR(1-(1-YT50J*U12*(1-T12/2)/(1-T12))*(1-YTa*AL12*(1-T12/2)/(1-T12))*(1-YTb*AQ12*(1-T12/2)/(1-T12))*(1-YTc*AU12*(1-T12/2)/(1-T12)),0)</f>
        <v>2.2232200003191593E-7</v>
      </c>
      <c r="Z12" s="8">
        <f ca="1">+W12*$O12</f>
        <v>100000</v>
      </c>
      <c r="AA12" s="8">
        <f ca="1">+SUM(Z12:Z$124)</f>
        <v>1820329.4833286363</v>
      </c>
      <c r="AB12" s="8">
        <f t="shared" ref="AB12:AB75" ca="1" si="21">W12*X12*P12</f>
        <v>0</v>
      </c>
      <c r="AC12" s="209">
        <f ca="1">+SUM(AB12:AB$124)*SSSM</f>
        <v>0</v>
      </c>
      <c r="AD12" s="209">
        <f>+$W$12</f>
        <v>100000</v>
      </c>
      <c r="AE12" s="92">
        <f ca="1">1-IFERROR((1-NT50J*U12*(1-T12/2)/(1-T12)),0)</f>
        <v>1.8999999999991246E-5</v>
      </c>
      <c r="AF12" s="92">
        <f t="shared" ref="AF12:AF75" ca="1" si="22">IFERROR(1-(1-NTa*AL12*(1-T12/2)/(1-T12))*(1-NTb*AQ12*(1-T12/2)/(1-T12))*(1-NTc*AU12*(1-T12/2)/(1-T12)),0)</f>
        <v>0</v>
      </c>
      <c r="AG12" s="664">
        <f t="shared" ref="AG12:AG75" ca="1" si="23">+AD12*$O12</f>
        <v>100000</v>
      </c>
      <c r="AH12" s="5">
        <f ca="1">+SUM(AG12:AG$124)</f>
        <v>1819842.6262510212</v>
      </c>
      <c r="AI12" s="70">
        <f t="shared" ref="AI12:AI75" ca="1" si="24">AD12*AE12*P12</f>
        <v>1.8789790704488996</v>
      </c>
      <c r="AJ12" s="208">
        <f ca="1">+SUM(AB12:AB$124)*SS50J</f>
        <v>0</v>
      </c>
      <c r="AK12" s="209">
        <v>100000</v>
      </c>
      <c r="AL12" s="257">
        <f t="shared" ref="AL12" ca="1" si="25">IFERROR(VLOOKUP($S12,qx_table,MATCH(AL$11,qx_title,0)+sexB),0)</f>
        <v>2.2232199999999997E-7</v>
      </c>
      <c r="AM12" s="131">
        <f ca="1">AK12*O12</f>
        <v>100000</v>
      </c>
      <c r="AN12" s="129">
        <f ca="1">AK12*AL12*(1-CHOOSE(JRB,1,0)*$V12/2)*$P12*IF(cost_location=0,1,MCa)</f>
        <v>1.0993115392119281E-2</v>
      </c>
      <c r="AO12" s="446">
        <f ca="1">SUM(AN12:AN$124)*SSa</f>
        <v>0.71519897440659197</v>
      </c>
      <c r="AP12" s="70">
        <v>100000</v>
      </c>
      <c r="AQ12" s="2">
        <f t="shared" ref="AQ12" ca="1" si="26">IFERROR(VLOOKUP($S12,qx_table,MATCH(AQ$11,qx_title,0)+sexB),0)</f>
        <v>0</v>
      </c>
      <c r="AR12" s="127">
        <f ca="1">AP12*AQ12*(1-CHOOSE(JRB,1,0)*$V12/2)*$P12*IF(cost_location=0,1,MCb)</f>
        <v>0</v>
      </c>
      <c r="AS12" s="446">
        <f ca="1">SUM(AR12:AR$124)*SSb</f>
        <v>0</v>
      </c>
      <c r="AT12" s="70">
        <v>100000</v>
      </c>
      <c r="AU12" s="2">
        <f t="shared" ref="AU12" ca="1" si="27">IFERROR(VLOOKUP($S12,qx_table,MATCH(AU$11,qx_title,0)+sexB),0)</f>
        <v>0</v>
      </c>
      <c r="AV12" s="268">
        <f ca="1">AT12*AU12*(1-CHOOSE(JRB,1,0)*$V12/2)*$P12*IF(cost_location=0,1,MCc)</f>
        <v>0</v>
      </c>
      <c r="AW12" s="131">
        <f ca="1">SUM(AV12:AV$124)*SSc</f>
        <v>0</v>
      </c>
      <c r="AX12" s="70">
        <v>100000</v>
      </c>
      <c r="AY12" s="2">
        <f t="shared" ref="AY12" ca="1" si="28">IFERROR(VLOOKUP($S12,qx_table,MATCH(AY$11,qx_title,0)+sexB),0)</f>
        <v>0</v>
      </c>
      <c r="AZ12" s="268">
        <f ca="1">AX12*AY12*(1-CHOOSE(JRB,1,0)*$V12/2)*$P12*IF(cost_location=0,1,MCd)</f>
        <v>0</v>
      </c>
      <c r="BA12" s="129">
        <f ca="1">SUM(AZ12:AZ$124)*SSd</f>
        <v>0</v>
      </c>
      <c r="BB12" s="70">
        <v>100000</v>
      </c>
      <c r="BC12" s="257">
        <f t="shared" ref="BC12" ca="1" si="29">IFERROR(VLOOKUP($S12,qx_table,MATCH(BC$11,qx_title,0)+sexB),0)</f>
        <v>0</v>
      </c>
      <c r="BD12" s="268">
        <f ca="1">BB12*BC12*(1-CHOOSE(JRB,1,0)*$V12/2)*$P12*IF(cost_location=0,1,MCe)</f>
        <v>0</v>
      </c>
      <c r="BE12" s="131">
        <f ca="1">SUM(BD12:BD$124)*SSe</f>
        <v>0</v>
      </c>
      <c r="BF12" s="70">
        <v>100000</v>
      </c>
      <c r="BG12" s="2">
        <f t="shared" ref="BG12" ca="1" si="30">IFERROR(VLOOKUP($S12,qx_table,MATCH(BG$11,qx_title,0)+sexB),0)</f>
        <v>0</v>
      </c>
      <c r="BH12" s="131">
        <f ca="1">BF12*BG12*(1-CHOOSE(JRB,1,0)*$V12/2)*$P12*IF(cost_location=0,1,MCf)</f>
        <v>0</v>
      </c>
      <c r="BI12" s="2">
        <f ca="1">SUM(BH12:BH$124)*SSf</f>
        <v>0</v>
      </c>
      <c r="BJ12" s="70">
        <v>100000</v>
      </c>
      <c r="BK12" s="2">
        <f t="shared" ref="BK12" ca="1" si="31">IFERROR(VLOOKUP($S12,qx_table,MATCH(BK$11,qx_title,0)+sexB),0)</f>
        <v>0</v>
      </c>
      <c r="BL12" s="131">
        <f ca="1">BJ12*BK12*(1-CHOOSE(JRB,1,0)*$V12/2)*$P12*IF(cost_location=0,1,MCg)</f>
        <v>0</v>
      </c>
      <c r="BM12" s="131">
        <f ca="1">SUM(BL12:BL$124)*SSg</f>
        <v>0</v>
      </c>
      <c r="BN12" s="70">
        <v>100000</v>
      </c>
      <c r="BO12" s="2">
        <f t="shared" ref="BO12" ca="1" si="32">IFERROR(VLOOKUP($S12,qx_table,MATCH(BO$11,qx_title,0)+sexB),0)</f>
        <v>0</v>
      </c>
      <c r="BP12" s="131">
        <f ca="1">BN12*BO12*(1-CHOOSE(JRB,1,0)*$V12/2)*$P12*IF(cost_location=0,1,MCh)</f>
        <v>0</v>
      </c>
      <c r="BQ12" s="131">
        <f ca="1">SUM(BP12:BP$124)*SSh</f>
        <v>0</v>
      </c>
      <c r="BR12" s="70">
        <v>100000</v>
      </c>
      <c r="BS12" s="2">
        <f t="shared" ref="BS12" ca="1" si="33">IFERROR(VLOOKUP($S12,qx_table,MATCH(BS$11,qx_title,0)+sexB),0)*IF(R12=0,MCi,1)</f>
        <v>0</v>
      </c>
      <c r="BT12" s="131">
        <f ca="1">BR12*BS12*(1-CHOOSE(JRB,1,0)*$V12/2)*$P12*IF(cost_location=0,1,MCi)</f>
        <v>0</v>
      </c>
      <c r="BU12" s="131">
        <f ca="1">SUM(BT12:BT$124)*SSi</f>
        <v>0</v>
      </c>
      <c r="BV12" s="70">
        <v>100000</v>
      </c>
      <c r="BW12" s="2">
        <f t="shared" ref="BW12" ca="1" si="34">IFERROR(VLOOKUP($S12,qx_table,MATCH(BW$11,qx_title,0)+sexB),0)</f>
        <v>0</v>
      </c>
      <c r="BX12" s="131">
        <f ca="1">BV12*BW12*(1-CHOOSE(JRB,1,0)*$V12/2)*$P12*IF(cost_location=0,1,MCj)</f>
        <v>0</v>
      </c>
      <c r="BY12" s="131">
        <f ca="1">SUM(BX12:BX$124)*SSj</f>
        <v>0</v>
      </c>
      <c r="BZ12" s="70">
        <v>100000</v>
      </c>
      <c r="CA12" s="2">
        <f t="shared" ref="CA12" ca="1" si="35">IFERROR(VLOOKUP($S12,qx_table,MATCH(CA$11,qx_title,0)+sexB),0)</f>
        <v>0</v>
      </c>
      <c r="CB12" s="131">
        <f ca="1">BZ12*CA12*(1-CHOOSE(JRB,1,0)*$V12/2)*$P12*IF(cost_location=0,1,MCk)</f>
        <v>0</v>
      </c>
      <c r="CC12" s="131">
        <f ca="1">SUM(CB12:CB$124)*SSk</f>
        <v>0</v>
      </c>
      <c r="CD12" s="70">
        <v>100000</v>
      </c>
      <c r="CE12" s="2">
        <f t="shared" ref="CE12" ca="1" si="36">IFERROR(VLOOKUP($S12,qx_table,MATCH(CE$11,qx_title,0)+sexB),0)</f>
        <v>0</v>
      </c>
      <c r="CF12" s="131">
        <f ca="1">CD12*CE12*(1-CHOOSE(JRB,1,0)*$V12/2)*$P12*IF(cost_location=0,1,MCl)</f>
        <v>0</v>
      </c>
      <c r="CG12" s="131">
        <f ca="1">SUM(CF12:CF$124)*SSl</f>
        <v>0</v>
      </c>
      <c r="CH12" s="101">
        <f ca="1">AC12+AJ12+AO12+AS12+AW12+BA12+BE12+BI12+BM12+BQ12+BU12+BY12+CC12+CG12</f>
        <v>0.71519897440659197</v>
      </c>
      <c r="CI12" s="154">
        <f t="shared" ref="CI12:CI43" ca="1" si="37">MAX((VLOOKUP(xB+R12,기수표B,$CH$1)-VLOOKUP(xB+nB,기수표B,$CH$1)),0)</f>
        <v>0.66570029845010426</v>
      </c>
      <c r="CJ12" s="661">
        <f ca="1">+MAX(VLOOKUP(xB+$R12,기수표B,$AH$1)-VLOOKUP(xB+mB,기수표B,$AH$1),0)</f>
        <v>478457.13731556665</v>
      </c>
      <c r="CK12" s="661">
        <f t="shared" ref="CK12" ca="1" si="38">+MAX(VLOOKUP(xB+$R12,기수표B,$AH$1)-VLOOKUP(xB+mB,기수표B,$AH$1)-11/24*(VLOOKUP(xB+$R12,기수표B,$AG$1)-VLOOKUP(xB+mB,기수표B,$AG$1)),0)</f>
        <v>473627.95715021837</v>
      </c>
      <c r="CL12" s="661">
        <f t="shared" ref="CL12" ca="1" si="39">+MAX(VLOOKUP(xB+$R12,기수표B,$AA$1)-VLOOKUP(xB+mB,기수표B,$AA$1),0)</f>
        <v>478473.80435101618</v>
      </c>
      <c r="CM12" s="661">
        <f t="shared" ref="CM12" ca="1" si="40">+MAX(VLOOKUP(xB+$R12,기수표B,$AA$1)-VLOOKUP(xB+mB,기수표B,$AA$1)-11/24*(VLOOKUP(xB+$R12,기수표B,$AA$1)-VLOOKUP(xB+mB,기수표B,$AA$1)),0)</f>
        <v>259173.31069013377</v>
      </c>
      <c r="CN12" s="661">
        <f t="shared" ref="CN12:CN43" ca="1" si="41">IF(R12&gt;nB,0,VLOOKUP(xB+MAX($R12,mB),기수표B,$AA$1)-VLOOKUP(xB+nB,기수표B,$AA$1))</f>
        <v>1280563.7766163822</v>
      </c>
      <c r="CO12" s="661">
        <f t="shared" ref="CO12:CO43" ca="1" si="42">IF(JRB=1,mmB*H$25*$CK12,H$35*$CJ12)</f>
        <v>1.9462640750664866</v>
      </c>
      <c r="CP12" s="659">
        <f t="shared" ref="CP12:CP43" ca="1" si="43">ROUND(IF($R12&gt;nB,0,$CR12-MAX($CS12-$R12,0)/$CS12*$C$31),roundB)</f>
        <v>-2.9999999999999999E-7</v>
      </c>
      <c r="CQ12" s="659">
        <f t="shared" ref="CQ12:CQ43" ca="1" si="44">+IF(JRB=1,CP12,MAX(0,ROUND(IF($R12&gt;nB,0,CR12-MAX($CS12-$R12,0)/$CS12*$C$33),round)))</f>
        <v>0</v>
      </c>
      <c r="CR12" s="659">
        <f t="shared" ref="CR12:CR43" ca="1" si="45">(CI12+BETAD_SB*$CN12-CO12)/Z12</f>
        <v>0</v>
      </c>
      <c r="CS12" s="660">
        <f t="shared" ref="CS12" si="46">+MIN(mB,7)</f>
        <v>5</v>
      </c>
      <c r="CU12" s="13">
        <v>0</v>
      </c>
      <c r="CV12" s="477">
        <f t="shared" ref="CV12:CV43" ca="1" si="47">$CW$8*12*MIN(CU12,mB)</f>
        <v>0</v>
      </c>
      <c r="CW12" s="477">
        <f t="shared" ref="CW12:CW43" ca="1" si="48">ROUND(CR12*S,0)</f>
        <v>0</v>
      </c>
      <c r="CX12" s="477">
        <f t="shared" ref="CX12:CX43" ca="1" si="49">MAX(0,ROUND(CP12*S,0))</f>
        <v>0</v>
      </c>
      <c r="CY12" s="478" t="e">
        <f ca="1">ROUNDDOWN(CX12/CV12,3)</f>
        <v>#DIV/0!</v>
      </c>
    </row>
    <row r="13" spans="2:103">
      <c r="B13" s="106" t="s">
        <v>4</v>
      </c>
      <c r="C13" s="118">
        <f>MAIN!C15</f>
        <v>12</v>
      </c>
      <c r="D13" s="44" t="str">
        <f>CHOOSE(mmB,"년납","6월납",,"3월납",,,,,,,,"월납")</f>
        <v>월납</v>
      </c>
      <c r="F13" s="21"/>
      <c r="G13" s="122" t="s">
        <v>20</v>
      </c>
      <c r="H13" s="23">
        <f ca="1">I9-J9</f>
        <v>1280563.7766163822</v>
      </c>
      <c r="I13" s="69"/>
      <c r="J13" s="69"/>
      <c r="M13" s="242"/>
      <c r="N13" s="5">
        <f>+N12+1</f>
        <v>1</v>
      </c>
      <c r="O13" s="2">
        <f t="shared" ref="O13" ca="1" si="50">+(1+iB)^-N13</f>
        <v>0.97799511002444994</v>
      </c>
      <c r="P13" s="12">
        <f t="shared" ref="P13" ca="1" si="51">+(1+iB)^-(N13+0.5)</f>
        <v>0.96717491723060878</v>
      </c>
      <c r="Q13" s="98"/>
      <c r="R13" s="20">
        <f>R12+1</f>
        <v>1</v>
      </c>
      <c r="S13" s="20">
        <f t="shared" ref="S13" si="52">+IF(xB+R13&lt;=xB+nB,xB+R13,"")</f>
        <v>9</v>
      </c>
      <c r="T13" s="2">
        <f t="shared" ref="T13:U13" ca="1" si="53">IFERROR(VLOOKUP($S13,qx_table,MATCH(T$11,qx_title,0)+sexB),0)</f>
        <v>0</v>
      </c>
      <c r="U13" s="2">
        <f t="shared" ca="1" si="53"/>
        <v>1.8E-5</v>
      </c>
      <c r="V13" s="300">
        <f>IF(JRB=2,0,IF(R13&gt;=mB-1,_xlfn.XLOOKUP(R13-mB,해지율!#REF!,해지율!#REF!,,1),_xlfn.XLOOKUP(R13,해지율!#REF!,해지율!#REF!,,-1)))</f>
        <v>0</v>
      </c>
      <c r="W13" s="8">
        <f t="shared" ref="W13" ca="1" si="54">IF(R13=0,100000,IF(R13&gt;nB,0,W12*(1-X12)*(1-Y12)))</f>
        <v>99999.977767799995</v>
      </c>
      <c r="X13" s="10">
        <f t="shared" ca="1" si="19"/>
        <v>0</v>
      </c>
      <c r="Y13" s="92">
        <f t="shared" ca="1" si="20"/>
        <v>2.2947800004669006E-7</v>
      </c>
      <c r="Z13" s="8">
        <f ca="1">+W13*O13</f>
        <v>97799.489259462105</v>
      </c>
      <c r="AA13" s="8">
        <f ca="1">+SUM(Z13:Z$124)</f>
        <v>1720329.4833286363</v>
      </c>
      <c r="AB13" s="8">
        <f t="shared" ca="1" si="21"/>
        <v>0</v>
      </c>
      <c r="AC13" s="209">
        <f ca="1">+SUM(AB13:AB$124)*SSSM</f>
        <v>0</v>
      </c>
      <c r="AD13" s="209">
        <f t="shared" ref="AD13" ca="1" si="55">IF(R13&gt;nB,0,AD12*(1-X12)*(1-Y12)*(1-AE12)*(1-AF12))</f>
        <v>99998.077768222414</v>
      </c>
      <c r="AE13" s="92">
        <f t="shared" ref="AE13:AE75" ca="1" si="56">1-IFERROR((1-NT50J*U13*(1-T13/2)/(1-T13)),0)</f>
        <v>1.799999999996249E-5</v>
      </c>
      <c r="AF13" s="92">
        <f t="shared" ca="1" si="22"/>
        <v>0</v>
      </c>
      <c r="AG13" s="664">
        <f t="shared" ca="1" si="23"/>
        <v>97797.631069166178</v>
      </c>
      <c r="AH13" s="5">
        <f ca="1">+SUM(AG13:AG$124)</f>
        <v>1719842.6262510216</v>
      </c>
      <c r="AI13" s="70">
        <f t="shared" ca="1" si="24"/>
        <v>1.7408813865929811</v>
      </c>
      <c r="AJ13" s="208">
        <f ca="1">+SUM(AB13:AB$124)*SS50J</f>
        <v>0</v>
      </c>
      <c r="AK13" s="209">
        <f ca="1">IFERROR(AK12*(1-$X12)*(1-$Y12)*(1-BTa*AL12*(1-$T12/2)/(1-$T12)),0)</f>
        <v>99999.977767799995</v>
      </c>
      <c r="AL13" s="257">
        <f t="shared" ref="AL13" ca="1" si="57">IFERROR(VLOOKUP($S13,qx_table,MATCH(AL$11,qx_title,0)+sexB),0)</f>
        <v>2.2947799999999996E-7</v>
      </c>
      <c r="AM13" s="131">
        <f ca="1">AK13*O13</f>
        <v>97799.489259462105</v>
      </c>
      <c r="AN13" s="129">
        <f t="shared" ref="AN13:AN44" ca="1" si="58">AK13*AL13*(1-CHOOSE(JRB,1,0)*$V13/2)*$P13</f>
        <v>2.2194531631290801E-2</v>
      </c>
      <c r="AO13" s="446">
        <f ca="1">SUM(AN13:AN$124)*SSa</f>
        <v>0.70420585901447263</v>
      </c>
      <c r="AP13" s="70">
        <f t="shared" ref="AP13:AP76" ca="1" si="59">IFERROR(AP12*(1-$X12)*(1-$Y12)*(1-BTb*AQ12*(1-$T12/2)/(1-$T12)),0)</f>
        <v>99999.977767799995</v>
      </c>
      <c r="AQ13" s="2">
        <f t="shared" ref="AQ13" ca="1" si="60">IFERROR(VLOOKUP($S13,qx_table,MATCH(AQ$11,qx_title,0)+sexB),0)</f>
        <v>0</v>
      </c>
      <c r="AR13" s="127">
        <f t="shared" ref="AR13:AR44" ca="1" si="61">AP13*AQ13*(1-CHOOSE(JRB,1,0)*$V13/2)*$P13</f>
        <v>0</v>
      </c>
      <c r="AS13" s="446">
        <f ca="1">SUM(AR13:AR$124)*SSb</f>
        <v>0</v>
      </c>
      <c r="AT13" s="70">
        <f t="shared" ref="AT13:AT76" ca="1" si="62">IFERROR(AT12*(1-$X12)*(1-$Y12)*(1-BTc*AU12*(1-$T12/2)/(1-$T12)),0)</f>
        <v>99999.977767799995</v>
      </c>
      <c r="AU13" s="2">
        <f t="shared" ref="AU13" ca="1" si="63">IFERROR(VLOOKUP($S13,qx_table,MATCH(AU$11,qx_title,0)+sexB),0)</f>
        <v>0</v>
      </c>
      <c r="AV13" s="268">
        <f t="shared" ref="AV13:AV44" ca="1" si="64">AT13*AU13*(1-CHOOSE(JRB,1,0)*$V13/2)*$P13</f>
        <v>0</v>
      </c>
      <c r="AW13" s="131">
        <f ca="1">SUM(AV13:AV$124)*SSc</f>
        <v>0</v>
      </c>
      <c r="AX13" s="70">
        <f t="shared" ref="AX13:AX76" ca="1" si="65">IFERROR(AX12*(1-$X12)*(1-$Y12)*(1-BTd*AY12*(1-$T12/2)/(1-$T12)),0)</f>
        <v>99999.977767799995</v>
      </c>
      <c r="AY13" s="2">
        <f t="shared" ref="AY13" ca="1" si="66">IFERROR(VLOOKUP($S13,qx_table,MATCH(AY$11,qx_title,0)+sexB),0)</f>
        <v>0</v>
      </c>
      <c r="AZ13" s="268">
        <f t="shared" ref="AZ13:AZ43" ca="1" si="67">AX13*AY13*(1-CHOOSE(JRB,1,0)*$V13/2)*$P13</f>
        <v>0</v>
      </c>
      <c r="BA13" s="129">
        <f ca="1">SUM(AZ13:AZ$124)*SSd</f>
        <v>0</v>
      </c>
      <c r="BB13" s="70">
        <f t="shared" ref="BB13:BB76" ca="1" si="68">IFERROR(BB12*(1-$X12)*(1-$Y12)*(1-BTe*BC12*(1-$T12/2)/(1-$T12)),0)</f>
        <v>99999.977767799995</v>
      </c>
      <c r="BC13" s="257">
        <f t="shared" ref="BC13" ca="1" si="69">IFERROR(VLOOKUP($S13,qx_table,MATCH(BC$11,qx_title,0)+sexB),0)</f>
        <v>0</v>
      </c>
      <c r="BD13" s="268">
        <f t="shared" ref="BD13:BD44" ca="1" si="70">BB13*BC13*(1-CHOOSE(JRB,1,0)*$V13/2)*$P13</f>
        <v>0</v>
      </c>
      <c r="BE13" s="131">
        <f ca="1">SUM(BD13:BD$124)*SSe</f>
        <v>0</v>
      </c>
      <c r="BF13" s="70">
        <f t="shared" ref="BF13:BF76" ca="1" si="71">IFERROR(BF12*(1-$X12)*(1-$Y12)*(1-BTf*BG12*(1-$T12/2)/(1-$T12)),0)</f>
        <v>99999.977767799995</v>
      </c>
      <c r="BG13" s="2">
        <f t="shared" ref="BG13" ca="1" si="72">IFERROR(VLOOKUP($S13,qx_table,MATCH(BG$11,qx_title,0)+sexB),0)</f>
        <v>0</v>
      </c>
      <c r="BH13" s="131">
        <f t="shared" ref="BH13:BH44" ca="1" si="73">BF13*BG13*(1-CHOOSE(JRB,1,0)*$V13/2)*$P13</f>
        <v>0</v>
      </c>
      <c r="BI13" s="2">
        <f ca="1">SUM(BH13:BH$124)*SSf</f>
        <v>0</v>
      </c>
      <c r="BJ13" s="70">
        <f t="shared" ref="BJ13:BJ76" ca="1" si="74">IFERROR(BJ12*(1-$X12)*(1-$Y12)*(1-BTg*BK12*(1-$T12/2)/(1-$T12)),0)</f>
        <v>99999.977767799995</v>
      </c>
      <c r="BK13" s="2">
        <f t="shared" ref="BK13" ca="1" si="75">IFERROR(VLOOKUP($S13,qx_table,MATCH(BK$11,qx_title,0)+sexB),0)</f>
        <v>0</v>
      </c>
      <c r="BL13" s="131">
        <f t="shared" ref="BL13:BL44" ca="1" si="76">BJ13*BK13*(1-CHOOSE(JRB,1,0)*$V13/2)*$P13</f>
        <v>0</v>
      </c>
      <c r="BM13" s="131">
        <f ca="1">SUM(BL13:BL$124)*SSg</f>
        <v>0</v>
      </c>
      <c r="BN13" s="70">
        <f t="shared" ref="BN13:BN76" ca="1" si="77">IFERROR(BN12*(1-$X12)*(1-$Y12)*(1-BTh*BO12*(1-$T12/2)/(1-$T12)),0)</f>
        <v>99999.977767799995</v>
      </c>
      <c r="BO13" s="2">
        <f t="shared" ref="BO13" ca="1" si="78">IFERROR(VLOOKUP($S13,qx_table,MATCH(BO$11,qx_title,0)+sexB),0)</f>
        <v>0</v>
      </c>
      <c r="BP13" s="131">
        <f t="shared" ref="BP13:BP44" ca="1" si="79">BN13*BO13*(1-CHOOSE(JRB,1,0)*$V13/2)*$P13</f>
        <v>0</v>
      </c>
      <c r="BQ13" s="131">
        <f ca="1">SUM(BP13:BP$124)*SSh</f>
        <v>0</v>
      </c>
      <c r="BR13" s="70">
        <f t="shared" ref="BR13:BR76" ca="1" si="80">IFERROR(BR12*(1-$X12)*(1-$Y12)*(1-BTi*BS12*(1-$T12/2)/(1-$T12)),0)</f>
        <v>99999.977767799995</v>
      </c>
      <c r="BS13" s="2">
        <f t="shared" ref="BS13" ca="1" si="81">IFERROR(VLOOKUP($S13,qx_table,MATCH(BS$11,qx_title,0)+sexB),0)*IF(R13=0,MCi,1)</f>
        <v>0</v>
      </c>
      <c r="BT13" s="131">
        <f t="shared" ref="BT13:BT44" ca="1" si="82">BR13*BS13*(1-CHOOSE(JRB,1,0)*$V13/2)*$P13</f>
        <v>0</v>
      </c>
      <c r="BU13" s="131">
        <f ca="1">SUM(BT13:BT$124)*SSi</f>
        <v>0</v>
      </c>
      <c r="BV13" s="70">
        <f t="shared" ref="BV13:BV76" ca="1" si="83">IFERROR(BV12*(1-$X12)*(1-$Y12)*(1-BTj*BW12*(1-$T12/2)/(1-$T12)),0)</f>
        <v>99999.977767799995</v>
      </c>
      <c r="BW13" s="2">
        <f t="shared" ref="BW13" ca="1" si="84">IFERROR(VLOOKUP($S13,qx_table,MATCH(BW$11,qx_title,0)+sexB),0)</f>
        <v>0</v>
      </c>
      <c r="BX13" s="131">
        <f t="shared" ref="BX13:BX44" ca="1" si="85">BV13*BW13*(1-CHOOSE(JRB,1,0)*$V13/2)*$P13</f>
        <v>0</v>
      </c>
      <c r="BY13" s="131">
        <f ca="1">SUM(BX13:BX$124)*SSj</f>
        <v>0</v>
      </c>
      <c r="BZ13" s="70">
        <f t="shared" ref="BZ13:BZ76" ca="1" si="86">IFERROR(BZ12*(1-$X12)*(1-$Y12)*(1-BTk*CA12*(1-$T12/2)/(1-$T12)),0)</f>
        <v>99999.977767799995</v>
      </c>
      <c r="CA13" s="2">
        <f t="shared" ref="CA13" ca="1" si="87">IFERROR(VLOOKUP($S13,qx_table,MATCH(CA$11,qx_title,0)+sexB),0)</f>
        <v>0</v>
      </c>
      <c r="CB13" s="131">
        <f t="shared" ref="CB13:CB44" ca="1" si="88">BZ13*CA13*(1-CHOOSE(JRB,1,0)*$V13/2)*$P13</f>
        <v>0</v>
      </c>
      <c r="CC13" s="131">
        <f ca="1">SUM(CB13:CB$124)*SSk</f>
        <v>0</v>
      </c>
      <c r="CD13" s="8">
        <f t="shared" ref="CD13:CD76" ca="1" si="89">IFERROR(CD12*(1-$X12)*(1-$Y12)*(1-BTl*CE12*(1-$T12/2)/(1-$T12)),0)</f>
        <v>99999.977767799995</v>
      </c>
      <c r="CE13" s="2">
        <f t="shared" ref="CE13" ca="1" si="90">IFERROR(VLOOKUP($S13,qx_table,MATCH(CE$11,qx_title,0)+sexB),0)</f>
        <v>0</v>
      </c>
      <c r="CF13" s="131">
        <f t="shared" ref="CF13:CF44" ca="1" si="91">CD13*CE13*(1-CHOOSE(JRB,1,0)*$V13/2)*$P13</f>
        <v>0</v>
      </c>
      <c r="CG13" s="131">
        <f ca="1">SUM(CF13:CF$124)*SSl</f>
        <v>0</v>
      </c>
      <c r="CH13" s="101">
        <f t="shared" ref="CH13:CH76" ca="1" si="92">AC13+AJ13+AO13+AS13+AW13+BA13+BE13+BI13+BM13+BQ13+BU13+BY13+CC13+CG13</f>
        <v>0.70420585901447263</v>
      </c>
      <c r="CI13" s="154">
        <f t="shared" ca="1" si="37"/>
        <v>0.65470718305798492</v>
      </c>
      <c r="CJ13" s="661">
        <f t="shared" ref="CJ13" ca="1" si="93">+MAX(VLOOKUP(xB+$R13,기수표B,$AH$1)-VLOOKUP(xB+mB,기수표B,$AH$1),0)</f>
        <v>378457.13731556712</v>
      </c>
      <c r="CK13" s="661">
        <f t="shared" ref="CK13" ca="1" si="94">+MAX(VLOOKUP(xB+$R13,기수표B,$AH$1)-VLOOKUP(xB+mB,기수표B,$AH$1)-11/24*(VLOOKUP(xB+$R13,기수표B,$AG$1)-VLOOKUP(xB+mB,기수표B,$AG$1)),0)</f>
        <v>374637.37624351768</v>
      </c>
      <c r="CL13" s="661">
        <f t="shared" ref="CL13" ca="1" si="95">+MAX(VLOOKUP(xB+$R13,기수표B,$AA$1)-VLOOKUP(xB+mB,기수표B,$AA$1),0)</f>
        <v>378473.80435101618</v>
      </c>
      <c r="CM13" s="661">
        <f t="shared" ref="CM13" ca="1" si="96">+MAX(VLOOKUP(xB+$R13,기수표B,$AA$1)-VLOOKUP(xB+mB,기수표B,$AA$1)-11/24*(VLOOKUP(xB+$R13,기수표B,$AA$1)-VLOOKUP(xB+mB,기수표B,$AA$1)),0)</f>
        <v>205006.64402346712</v>
      </c>
      <c r="CN13" s="661">
        <f t="shared" ca="1" si="41"/>
        <v>1280563.7766163822</v>
      </c>
      <c r="CO13" s="661">
        <f t="shared" ca="1" si="42"/>
        <v>1.5394848835204697</v>
      </c>
      <c r="CP13" s="659">
        <f t="shared" ca="1" si="43"/>
        <v>3.8E-6</v>
      </c>
      <c r="CQ13" s="659">
        <f t="shared" ca="1" si="44"/>
        <v>3.8E-6</v>
      </c>
      <c r="CR13" s="659">
        <f t="shared" ca="1" si="45"/>
        <v>4.0469135283915098E-6</v>
      </c>
      <c r="CS13" s="660">
        <f t="shared" ref="CS13" si="97">+MIN(mB,7)</f>
        <v>5</v>
      </c>
      <c r="CU13" s="13">
        <v>1</v>
      </c>
      <c r="CV13" s="477">
        <f t="shared" ca="1" si="47"/>
        <v>84</v>
      </c>
      <c r="CW13" s="477">
        <f t="shared" ca="1" si="48"/>
        <v>40</v>
      </c>
      <c r="CX13" s="477">
        <f t="shared" ca="1" si="49"/>
        <v>38</v>
      </c>
      <c r="CY13" s="478">
        <f t="shared" ref="CY13:CY76" ca="1" si="98">ROUNDDOWN(CX13/CV13,3)</f>
        <v>0.45200000000000001</v>
      </c>
    </row>
    <row r="14" spans="2:103">
      <c r="B14" s="106" t="s">
        <v>5</v>
      </c>
      <c r="C14" s="118">
        <f ca="1">MAIN!C16</f>
        <v>2.2499999999999999E-2</v>
      </c>
      <c r="D14" s="44"/>
      <c r="F14" s="21"/>
      <c r="G14" s="122" t="s">
        <v>160</v>
      </c>
      <c r="H14" s="291">
        <f ca="1">VLOOKUP(xB,기수표B,CI$1,FALSE)</f>
        <v>0.66570029845010426</v>
      </c>
      <c r="I14" s="291"/>
      <c r="J14" s="291"/>
      <c r="M14" s="242"/>
      <c r="N14" s="5">
        <f t="shared" ref="N14:N77" si="99">+N13+1</f>
        <v>2</v>
      </c>
      <c r="O14" s="2">
        <f t="shared" ref="O14" ca="1" si="100">+(1+iB)^-N14</f>
        <v>0.95647443523173592</v>
      </c>
      <c r="P14" s="2">
        <f t="shared" ref="P14" ca="1" si="101">+(1+iB)^-(N14+0.5)</f>
        <v>0.94589233958983754</v>
      </c>
      <c r="Q14" s="91"/>
      <c r="R14" s="20">
        <f t="shared" ref="R14:R77" si="102">R13+1</f>
        <v>2</v>
      </c>
      <c r="S14" s="20">
        <f t="shared" ref="S14" si="103">+IF(xB+R14&lt;=xB+nB,xB+R14,"")</f>
        <v>10</v>
      </c>
      <c r="T14" s="2">
        <f t="shared" ref="T14:U14" ca="1" si="104">IFERROR(VLOOKUP($S14,qx_table,MATCH(T$11,qx_title,0)+sexB),0)</f>
        <v>0</v>
      </c>
      <c r="U14" s="2">
        <f t="shared" ca="1" si="104"/>
        <v>1.5999999999999999E-5</v>
      </c>
      <c r="V14" s="300">
        <f>IF(JRB=2,0,IF(R14&gt;=mB-1,_xlfn.XLOOKUP(R14-mB,해지율!#REF!,해지율!#REF!,,1),_xlfn.XLOOKUP(R14,해지율!#REF!,해지율!#REF!,,-1)))</f>
        <v>0</v>
      </c>
      <c r="W14" s="8">
        <f t="shared" ref="W14" ca="1" si="105">IF(R14=0,100000,IF(R14&gt;nB,0,W13*(1-X13)*(1-Y13)))</f>
        <v>99999.954820005092</v>
      </c>
      <c r="X14" s="10">
        <f t="shared" ca="1" si="19"/>
        <v>0</v>
      </c>
      <c r="Y14" s="92">
        <f t="shared" ca="1" si="20"/>
        <v>2.4196000003584572E-7</v>
      </c>
      <c r="Z14" s="8">
        <f t="shared" ref="Z14:Z76" ca="1" si="106">+W14*O14</f>
        <v>95647.400309663484</v>
      </c>
      <c r="AA14" s="8">
        <f ca="1">+SUM(Z14:Z$124)</f>
        <v>1622529.9940691742</v>
      </c>
      <c r="AB14" s="8">
        <f t="shared" ca="1" si="21"/>
        <v>0</v>
      </c>
      <c r="AC14" s="209">
        <f ca="1">+SUM(AB14:AB$124)*SSSM</f>
        <v>0</v>
      </c>
      <c r="AD14" s="512">
        <f t="shared" ref="AD14" ca="1" si="107">IF(R14&gt;nB,0,AD13*(1-X13)*(1-Y13)*(1-AE13)*(1-AF13))</f>
        <v>99996.254855876745</v>
      </c>
      <c r="AE14" s="92">
        <f t="shared" ca="1" si="56"/>
        <v>1.6000000000016001E-5</v>
      </c>
      <c r="AF14" s="92">
        <f t="shared" ca="1" si="22"/>
        <v>0</v>
      </c>
      <c r="AG14" s="664">
        <f t="shared" ca="1" si="23"/>
        <v>95643.86138856344</v>
      </c>
      <c r="AH14" s="5">
        <f ca="1">+SUM(AG14:AG$124)</f>
        <v>1622044.995181855</v>
      </c>
      <c r="AI14" s="70">
        <f t="shared" ca="1" si="24"/>
        <v>1.5133710632950641</v>
      </c>
      <c r="AJ14" s="208">
        <f ca="1">+SUM(AB14:AB$124)*SS50J</f>
        <v>0</v>
      </c>
      <c r="AK14" s="209">
        <f t="shared" ref="AK14:AK76" ca="1" si="108">IFERROR(AK13*(1-$X13)*(1-$Y13)*(1-BTa*AL13*(1-$T13/2)/(1-$T13)),0)</f>
        <v>99999.954820005092</v>
      </c>
      <c r="AL14" s="257">
        <f t="shared" ref="AL14" ca="1" si="109">IFERROR(VLOOKUP($S14,qx_table,MATCH(AL$11,qx_title,0)+sexB),0)</f>
        <v>2.4195999999999998E-7</v>
      </c>
      <c r="AM14" s="131">
        <f t="shared" ref="AM14:AM76" ca="1" si="110">AK14*O14</f>
        <v>95647.400309663484</v>
      </c>
      <c r="AN14" s="129">
        <f t="shared" ca="1" si="58"/>
        <v>2.288680070845564E-2</v>
      </c>
      <c r="AO14" s="446">
        <f ca="1">SUM(AN14:AN$124)*SSa</f>
        <v>0.68201132738318182</v>
      </c>
      <c r="AP14" s="70">
        <f t="shared" ca="1" si="59"/>
        <v>99999.954820005092</v>
      </c>
      <c r="AQ14" s="2">
        <f t="shared" ref="AQ14" ca="1" si="111">IFERROR(VLOOKUP($S14,qx_table,MATCH(AQ$11,qx_title,0)+sexB),0)</f>
        <v>0</v>
      </c>
      <c r="AR14" s="127">
        <f t="shared" ca="1" si="61"/>
        <v>0</v>
      </c>
      <c r="AS14" s="446">
        <f ca="1">SUM(AR14:AR$124)*SSb</f>
        <v>0</v>
      </c>
      <c r="AT14" s="70">
        <f t="shared" ca="1" si="62"/>
        <v>99999.954820005092</v>
      </c>
      <c r="AU14" s="2">
        <f t="shared" ref="AU14" ca="1" si="112">IFERROR(VLOOKUP($S14,qx_table,MATCH(AU$11,qx_title,0)+sexB),0)</f>
        <v>0</v>
      </c>
      <c r="AV14" s="268">
        <f t="shared" ca="1" si="64"/>
        <v>0</v>
      </c>
      <c r="AW14" s="131">
        <f ca="1">SUM(AV14:AV$124)*SSc</f>
        <v>0</v>
      </c>
      <c r="AX14" s="70">
        <f t="shared" ca="1" si="65"/>
        <v>99999.954820005092</v>
      </c>
      <c r="AY14" s="2">
        <f t="shared" ref="AY14" ca="1" si="113">IFERROR(VLOOKUP($S14,qx_table,MATCH(AY$11,qx_title,0)+sexB),0)</f>
        <v>0</v>
      </c>
      <c r="AZ14" s="268">
        <f t="shared" ca="1" si="67"/>
        <v>0</v>
      </c>
      <c r="BA14" s="129">
        <f ca="1">SUM(AZ14:AZ$124)*SSd</f>
        <v>0</v>
      </c>
      <c r="BB14" s="70">
        <f t="shared" ca="1" si="68"/>
        <v>99999.954820005092</v>
      </c>
      <c r="BC14" s="257">
        <f t="shared" ref="BC14" ca="1" si="114">IFERROR(VLOOKUP($S14,qx_table,MATCH(BC$11,qx_title,0)+sexB),0)</f>
        <v>0</v>
      </c>
      <c r="BD14" s="268">
        <f t="shared" ca="1" si="70"/>
        <v>0</v>
      </c>
      <c r="BE14" s="131">
        <f ca="1">SUM(BD14:BD$124)*SSe</f>
        <v>0</v>
      </c>
      <c r="BF14" s="70">
        <f t="shared" ca="1" si="71"/>
        <v>99999.954820005092</v>
      </c>
      <c r="BG14" s="2">
        <f t="shared" ref="BG14" ca="1" si="115">IFERROR(VLOOKUP($S14,qx_table,MATCH(BG$11,qx_title,0)+sexB),0)</f>
        <v>0</v>
      </c>
      <c r="BH14" s="131">
        <f t="shared" ca="1" si="73"/>
        <v>0</v>
      </c>
      <c r="BI14" s="2">
        <f ca="1">SUM(BH14:BH$124)*SSf</f>
        <v>0</v>
      </c>
      <c r="BJ14" s="70">
        <f t="shared" ca="1" si="74"/>
        <v>99999.954820005092</v>
      </c>
      <c r="BK14" s="2">
        <f t="shared" ref="BK14" ca="1" si="116">IFERROR(VLOOKUP($S14,qx_table,MATCH(BK$11,qx_title,0)+sexB),0)</f>
        <v>0</v>
      </c>
      <c r="BL14" s="131">
        <f t="shared" ca="1" si="76"/>
        <v>0</v>
      </c>
      <c r="BM14" s="131">
        <f ca="1">SUM(BL14:BL$124)*SSg</f>
        <v>0</v>
      </c>
      <c r="BN14" s="70">
        <f t="shared" ca="1" si="77"/>
        <v>99999.954820005092</v>
      </c>
      <c r="BO14" s="2">
        <f t="shared" ref="BO14" ca="1" si="117">IFERROR(VLOOKUP($S14,qx_table,MATCH(BO$11,qx_title,0)+sexB),0)</f>
        <v>0</v>
      </c>
      <c r="BP14" s="131">
        <f t="shared" ca="1" si="79"/>
        <v>0</v>
      </c>
      <c r="BQ14" s="131">
        <f ca="1">SUM(BP14:BP$124)*SSh</f>
        <v>0</v>
      </c>
      <c r="BR14" s="70">
        <f t="shared" ca="1" si="80"/>
        <v>99999.954820005092</v>
      </c>
      <c r="BS14" s="2">
        <f t="shared" ref="BS14" ca="1" si="118">IFERROR(VLOOKUP($S14,qx_table,MATCH(BS$11,qx_title,0)+sexB),0)*IF(R14=0,MCi,1)</f>
        <v>0</v>
      </c>
      <c r="BT14" s="131">
        <f t="shared" ca="1" si="82"/>
        <v>0</v>
      </c>
      <c r="BU14" s="131">
        <f ca="1">SUM(BT14:BT$124)*SSi</f>
        <v>0</v>
      </c>
      <c r="BV14" s="70">
        <f t="shared" ca="1" si="83"/>
        <v>99999.954820005092</v>
      </c>
      <c r="BW14" s="2">
        <f t="shared" ref="BW14" ca="1" si="119">IFERROR(VLOOKUP($S14,qx_table,MATCH(BW$11,qx_title,0)+sexB),0)</f>
        <v>0</v>
      </c>
      <c r="BX14" s="131">
        <f t="shared" ca="1" si="85"/>
        <v>0</v>
      </c>
      <c r="BY14" s="131">
        <f ca="1">SUM(BX14:BX$124)*SSj</f>
        <v>0</v>
      </c>
      <c r="BZ14" s="70">
        <f t="shared" ca="1" si="86"/>
        <v>99999.954820005092</v>
      </c>
      <c r="CA14" s="2">
        <f t="shared" ref="CA14" ca="1" si="120">IFERROR(VLOOKUP($S14,qx_table,MATCH(CA$11,qx_title,0)+sexB),0)</f>
        <v>0</v>
      </c>
      <c r="CB14" s="131">
        <f t="shared" ca="1" si="88"/>
        <v>0</v>
      </c>
      <c r="CC14" s="131">
        <f ca="1">SUM(CB14:CB$124)*SSk</f>
        <v>0</v>
      </c>
      <c r="CD14" s="8">
        <f t="shared" ca="1" si="89"/>
        <v>99999.954820005092</v>
      </c>
      <c r="CE14" s="2">
        <f t="shared" ref="CE14" ca="1" si="121">IFERROR(VLOOKUP($S14,qx_table,MATCH(CE$11,qx_title,0)+sexB),0)</f>
        <v>0</v>
      </c>
      <c r="CF14" s="131">
        <f t="shared" ca="1" si="91"/>
        <v>0</v>
      </c>
      <c r="CG14" s="131">
        <f ca="1">SUM(CF14:CF$124)*SSl</f>
        <v>0</v>
      </c>
      <c r="CH14" s="101">
        <f t="shared" ca="1" si="92"/>
        <v>0.68201132738318182</v>
      </c>
      <c r="CI14" s="154">
        <f t="shared" ca="1" si="37"/>
        <v>0.63251265142669411</v>
      </c>
      <c r="CJ14" s="661">
        <f t="shared" ref="CJ14" ca="1" si="122">+MAX(VLOOKUP(xB+$R14,기수표B,$AH$1)-VLOOKUP(xB+mB,기수표B,$AH$1),0)</f>
        <v>280659.50624640053</v>
      </c>
      <c r="CK14" s="661">
        <f t="shared" ref="CK14" ca="1" si="123">+MAX(VLOOKUP(xB+$R14,기수표B,$AH$1)-VLOOKUP(xB+mB,기수표B,$AH$1)-11/24*(VLOOKUP(xB+$R14,기수표B,$AG$1)-VLOOKUP(xB+mB,기수표B,$AG$1)),0)</f>
        <v>277826.88961129403</v>
      </c>
      <c r="CL14" s="661">
        <f t="shared" ref="CL14" ca="1" si="124">+MAX(VLOOKUP(xB+$R14,기수표B,$AA$1)-VLOOKUP(xB+mB,기수표B,$AA$1),0)</f>
        <v>280674.31509155408</v>
      </c>
      <c r="CM14" s="661">
        <f t="shared" ref="CM14" ca="1" si="125">+MAX(VLOOKUP(xB+$R14,기수표B,$AA$1)-VLOOKUP(xB+mB,기수표B,$AA$1)-11/24*(VLOOKUP(xB+$R14,기수표B,$AA$1)-VLOOKUP(xB+mB,기수표B,$AA$1)),0)</f>
        <v>152031.92067459179</v>
      </c>
      <c r="CN14" s="661">
        <f t="shared" ca="1" si="41"/>
        <v>1280563.7766163822</v>
      </c>
      <c r="CO14" s="661">
        <f t="shared" ca="1" si="42"/>
        <v>1.1416644705061558</v>
      </c>
      <c r="CP14" s="659">
        <f t="shared" ca="1" si="43"/>
        <v>7.9000000000000006E-6</v>
      </c>
      <c r="CQ14" s="659">
        <f t="shared" ca="1" si="44"/>
        <v>7.9000000000000006E-6</v>
      </c>
      <c r="CR14" s="659">
        <f t="shared" ca="1" si="45"/>
        <v>8.0651638731364757E-6</v>
      </c>
      <c r="CS14" s="660">
        <f t="shared" ref="CS14" si="126">+MIN(mB,7)</f>
        <v>5</v>
      </c>
      <c r="CU14" s="13">
        <v>2</v>
      </c>
      <c r="CV14" s="477">
        <f t="shared" ca="1" si="47"/>
        <v>168</v>
      </c>
      <c r="CW14" s="477">
        <f t="shared" ca="1" si="48"/>
        <v>81</v>
      </c>
      <c r="CX14" s="477">
        <f t="shared" ca="1" si="49"/>
        <v>79</v>
      </c>
      <c r="CY14" s="478">
        <f t="shared" ca="1" si="98"/>
        <v>0.47</v>
      </c>
    </row>
    <row r="15" spans="2:103">
      <c r="B15" s="106" t="s">
        <v>6</v>
      </c>
      <c r="C15" s="118">
        <f ca="1">MAIN!C17</f>
        <v>0.97799511002444994</v>
      </c>
      <c r="D15" s="44"/>
      <c r="F15" s="16"/>
      <c r="G15" s="122" t="s">
        <v>186</v>
      </c>
      <c r="H15" s="291">
        <v>0</v>
      </c>
      <c r="I15" s="291"/>
      <c r="J15" s="291"/>
      <c r="M15" s="242"/>
      <c r="N15" s="5">
        <f t="shared" si="99"/>
        <v>3</v>
      </c>
      <c r="O15" s="2">
        <f t="shared" ref="O15" ca="1" si="127">+(1+iB)^-N15</f>
        <v>0.93542732052003519</v>
      </c>
      <c r="P15" s="2">
        <f t="shared" ref="P15" ca="1" si="128">+(1+iB)^-(N15+0.5)</f>
        <v>0.9250780827284476</v>
      </c>
      <c r="Q15" s="91"/>
      <c r="R15" s="20">
        <f t="shared" si="102"/>
        <v>3</v>
      </c>
      <c r="S15" s="20">
        <f t="shared" ref="S15" si="129">+IF(xB+R15&lt;=xB+nB,xB+R15,"")</f>
        <v>11</v>
      </c>
      <c r="T15" s="2">
        <f t="shared" ref="T15:U15" ca="1" si="130">IFERROR(VLOOKUP($S15,qx_table,MATCH(T$11,qx_title,0)+sexB),0)</f>
        <v>0</v>
      </c>
      <c r="U15" s="2">
        <f t="shared" ca="1" si="130"/>
        <v>1.5999999999999999E-5</v>
      </c>
      <c r="V15" s="300">
        <f>IF(JRB=2,0,IF(R15&gt;=mB-1,_xlfn.XLOOKUP(R15-mB,해지율!#REF!,해지율!#REF!,,1),_xlfn.XLOOKUP(R15,해지율!#REF!,해지율!#REF!,,-1)))</f>
        <v>0</v>
      </c>
      <c r="W15" s="8">
        <f t="shared" ref="W15" ca="1" si="131">IF(R15=0,100000,IF(R15&gt;nB,0,W14*(1-X14)*(1-Y14)))</f>
        <v>99999.930624016022</v>
      </c>
      <c r="X15" s="10">
        <f t="shared" ca="1" si="19"/>
        <v>0</v>
      </c>
      <c r="Y15" s="92">
        <f t="shared" ca="1" si="20"/>
        <v>2.5611999998620405E-7</v>
      </c>
      <c r="Z15" s="8">
        <f t="shared" ca="1" si="106"/>
        <v>93542.667155812713</v>
      </c>
      <c r="AA15" s="8">
        <f ca="1">+SUM(Z15:Z$124)</f>
        <v>1526882.5937595107</v>
      </c>
      <c r="AB15" s="8">
        <f t="shared" ca="1" si="21"/>
        <v>0</v>
      </c>
      <c r="AC15" s="209">
        <f ca="1">+SUM(AB15:AB$124)*SSSM</f>
        <v>0</v>
      </c>
      <c r="AD15" s="209">
        <f t="shared" ref="AD15" ca="1" si="132">IF(R15&gt;nB,0,AD14*(1-X14)*(1-Y14)*(1-AE14)*(1-AF14))</f>
        <v>99994.630721092355</v>
      </c>
      <c r="AE15" s="92">
        <f t="shared" ca="1" si="56"/>
        <v>1.6000000000016001E-5</v>
      </c>
      <c r="AF15" s="92">
        <f t="shared" ca="1" si="22"/>
        <v>0</v>
      </c>
      <c r="AG15" s="664">
        <f t="shared" ca="1" si="23"/>
        <v>93537.709481821817</v>
      </c>
      <c r="AH15" s="5">
        <f ca="1">+SUM(AG15:AG$124)</f>
        <v>1526401.1337932914</v>
      </c>
      <c r="AI15" s="70">
        <f t="shared" ca="1" si="24"/>
        <v>1.4800454603311961</v>
      </c>
      <c r="AJ15" s="208">
        <f ca="1">+SUM(AB15:AB$124)*SS50J</f>
        <v>0</v>
      </c>
      <c r="AK15" s="209">
        <f t="shared" ca="1" si="108"/>
        <v>99999.930624016022</v>
      </c>
      <c r="AL15" s="257">
        <f t="shared" ref="AL15" ca="1" si="133">IFERROR(VLOOKUP($S15,qx_table,MATCH(AL$11,qx_title,0)+sexB),0)</f>
        <v>2.5611999999999999E-7</v>
      </c>
      <c r="AM15" s="131">
        <f t="shared" ca="1" si="110"/>
        <v>93542.667155812713</v>
      </c>
      <c r="AN15" s="129">
        <f t="shared" ca="1" si="58"/>
        <v>2.3693083417519842E-2</v>
      </c>
      <c r="AO15" s="446">
        <f ca="1">SUM(AN15:AN$124)*SSa</f>
        <v>0.65912452667472632</v>
      </c>
      <c r="AP15" s="70">
        <f t="shared" ca="1" si="59"/>
        <v>99999.930624016022</v>
      </c>
      <c r="AQ15" s="2">
        <f t="shared" ref="AQ15" ca="1" si="134">IFERROR(VLOOKUP($S15,qx_table,MATCH(AQ$11,qx_title,0)+sexB),0)</f>
        <v>0</v>
      </c>
      <c r="AR15" s="127">
        <f t="shared" ca="1" si="61"/>
        <v>0</v>
      </c>
      <c r="AS15" s="446">
        <f ca="1">SUM(AR15:AR$124)*SSb</f>
        <v>0</v>
      </c>
      <c r="AT15" s="70">
        <f t="shared" ca="1" si="62"/>
        <v>99999.930624016022</v>
      </c>
      <c r="AU15" s="2">
        <f t="shared" ref="AU15" ca="1" si="135">IFERROR(VLOOKUP($S15,qx_table,MATCH(AU$11,qx_title,0)+sexB),0)</f>
        <v>0</v>
      </c>
      <c r="AV15" s="268">
        <f t="shared" ca="1" si="64"/>
        <v>0</v>
      </c>
      <c r="AW15" s="131">
        <f ca="1">SUM(AV15:AV$124)*SSc</f>
        <v>0</v>
      </c>
      <c r="AX15" s="70">
        <f t="shared" ca="1" si="65"/>
        <v>99999.930624016022</v>
      </c>
      <c r="AY15" s="2">
        <f t="shared" ref="AY15" ca="1" si="136">IFERROR(VLOOKUP($S15,qx_table,MATCH(AY$11,qx_title,0)+sexB),0)</f>
        <v>0</v>
      </c>
      <c r="AZ15" s="268">
        <f t="shared" ca="1" si="67"/>
        <v>0</v>
      </c>
      <c r="BA15" s="129">
        <f ca="1">SUM(AZ15:AZ$124)*SSd</f>
        <v>0</v>
      </c>
      <c r="BB15" s="70">
        <f t="shared" ca="1" si="68"/>
        <v>99999.930624016022</v>
      </c>
      <c r="BC15" s="257">
        <f t="shared" ref="BC15" ca="1" si="137">IFERROR(VLOOKUP($S15,qx_table,MATCH(BC$11,qx_title,0)+sexB),0)</f>
        <v>0</v>
      </c>
      <c r="BD15" s="268">
        <f t="shared" ca="1" si="70"/>
        <v>0</v>
      </c>
      <c r="BE15" s="131">
        <f ca="1">SUM(BD15:BD$124)*SSe</f>
        <v>0</v>
      </c>
      <c r="BF15" s="70">
        <f t="shared" ca="1" si="71"/>
        <v>99999.930624016022</v>
      </c>
      <c r="BG15" s="2">
        <f t="shared" ref="BG15" ca="1" si="138">IFERROR(VLOOKUP($S15,qx_table,MATCH(BG$11,qx_title,0)+sexB),0)</f>
        <v>0</v>
      </c>
      <c r="BH15" s="131">
        <f t="shared" ca="1" si="73"/>
        <v>0</v>
      </c>
      <c r="BI15" s="2">
        <f ca="1">SUM(BH15:BH$124)*SSf</f>
        <v>0</v>
      </c>
      <c r="BJ15" s="70">
        <f t="shared" ca="1" si="74"/>
        <v>99999.930624016022</v>
      </c>
      <c r="BK15" s="2">
        <f t="shared" ref="BK15" ca="1" si="139">IFERROR(VLOOKUP($S15,qx_table,MATCH(BK$11,qx_title,0)+sexB),0)</f>
        <v>0</v>
      </c>
      <c r="BL15" s="131">
        <f t="shared" ca="1" si="76"/>
        <v>0</v>
      </c>
      <c r="BM15" s="131">
        <f ca="1">SUM(BL15:BL$124)*SSg</f>
        <v>0</v>
      </c>
      <c r="BN15" s="70">
        <f t="shared" ca="1" si="77"/>
        <v>99999.930624016022</v>
      </c>
      <c r="BO15" s="2">
        <f t="shared" ref="BO15" ca="1" si="140">IFERROR(VLOOKUP($S15,qx_table,MATCH(BO$11,qx_title,0)+sexB),0)</f>
        <v>0</v>
      </c>
      <c r="BP15" s="131">
        <f t="shared" ca="1" si="79"/>
        <v>0</v>
      </c>
      <c r="BQ15" s="131">
        <f ca="1">SUM(BP15:BP$124)*SSh</f>
        <v>0</v>
      </c>
      <c r="BR15" s="70">
        <f t="shared" ca="1" si="80"/>
        <v>99999.930624016022</v>
      </c>
      <c r="BS15" s="2">
        <f t="shared" ref="BS15" ca="1" si="141">IFERROR(VLOOKUP($S15,qx_table,MATCH(BS$11,qx_title,0)+sexB),0)*IF(R15=0,MCi,1)</f>
        <v>0</v>
      </c>
      <c r="BT15" s="131">
        <f t="shared" ca="1" si="82"/>
        <v>0</v>
      </c>
      <c r="BU15" s="131">
        <f ca="1">SUM(BT15:BT$124)*SSi</f>
        <v>0</v>
      </c>
      <c r="BV15" s="70">
        <f t="shared" ca="1" si="83"/>
        <v>99999.930624016022</v>
      </c>
      <c r="BW15" s="2">
        <f t="shared" ref="BW15" ca="1" si="142">IFERROR(VLOOKUP($S15,qx_table,MATCH(BW$11,qx_title,0)+sexB),0)</f>
        <v>0</v>
      </c>
      <c r="BX15" s="131">
        <f t="shared" ca="1" si="85"/>
        <v>0</v>
      </c>
      <c r="BY15" s="131">
        <f ca="1">SUM(BX15:BX$124)*SSj</f>
        <v>0</v>
      </c>
      <c r="BZ15" s="70">
        <f t="shared" ca="1" si="86"/>
        <v>99999.930624016022</v>
      </c>
      <c r="CA15" s="2">
        <f t="shared" ref="CA15" ca="1" si="143">IFERROR(VLOOKUP($S15,qx_table,MATCH(CA$11,qx_title,0)+sexB),0)</f>
        <v>0</v>
      </c>
      <c r="CB15" s="131">
        <f t="shared" ca="1" si="88"/>
        <v>0</v>
      </c>
      <c r="CC15" s="131">
        <f ca="1">SUM(CB15:CB$124)*SSk</f>
        <v>0</v>
      </c>
      <c r="CD15" s="8">
        <f t="shared" ca="1" si="89"/>
        <v>99999.930624016022</v>
      </c>
      <c r="CE15" s="2">
        <f t="shared" ref="CE15" ca="1" si="144">IFERROR(VLOOKUP($S15,qx_table,MATCH(CE$11,qx_title,0)+sexB),0)</f>
        <v>0</v>
      </c>
      <c r="CF15" s="131">
        <f t="shared" ca="1" si="91"/>
        <v>0</v>
      </c>
      <c r="CG15" s="131">
        <f ca="1">SUM(CF15:CF$124)*SSl</f>
        <v>0</v>
      </c>
      <c r="CH15" s="101">
        <f t="shared" ca="1" si="92"/>
        <v>0.65912452667472632</v>
      </c>
      <c r="CI15" s="154">
        <f t="shared" ca="1" si="37"/>
        <v>0.6096258507182386</v>
      </c>
      <c r="CJ15" s="661">
        <f t="shared" ref="CJ15" ca="1" si="145">+MAX(VLOOKUP(xB+$R15,기수표B,$AH$1)-VLOOKUP(xB+mB,기수표B,$AH$1),0)</f>
        <v>185015.64485783689</v>
      </c>
      <c r="CK15" s="661">
        <f t="shared" ref="CK15" ca="1" si="146">+MAX(VLOOKUP(xB+$R15,기수표B,$AH$1)-VLOOKUP(xB+mB,기수표B,$AH$1)-11/24*(VLOOKUP(xB+$R15,기수표B,$AG$1)-VLOOKUP(xB+mB,기수표B,$AG$1)),0)</f>
        <v>183148.3478466536</v>
      </c>
      <c r="CL15" s="661">
        <f t="shared" ref="CL15" ca="1" si="147">+MAX(VLOOKUP(xB+$R15,기수표B,$AA$1)-VLOOKUP(xB+mB,기수표B,$AA$1),0)</f>
        <v>185026.91478189058</v>
      </c>
      <c r="CM15" s="661">
        <f t="shared" ref="CM15" ca="1" si="148">+MAX(VLOOKUP(xB+$R15,기수표B,$AA$1)-VLOOKUP(xB+mB,기수표B,$AA$1)-11/24*(VLOOKUP(xB+$R15,기수표B,$AA$1)-VLOOKUP(xB+mB,기수표B,$AA$1)),0)</f>
        <v>100222.91217352406</v>
      </c>
      <c r="CN15" s="661">
        <f t="shared" ca="1" si="41"/>
        <v>1280563.7766163822</v>
      </c>
      <c r="CO15" s="661">
        <f t="shared" ca="1" si="42"/>
        <v>0.75260514438636195</v>
      </c>
      <c r="CP15" s="659">
        <f t="shared" ca="1" si="43"/>
        <v>1.2E-5</v>
      </c>
      <c r="CQ15" s="659">
        <f t="shared" ca="1" si="44"/>
        <v>1.2E-5</v>
      </c>
      <c r="CR15" s="659">
        <f t="shared" ca="1" si="45"/>
        <v>1.2161129434693159E-5</v>
      </c>
      <c r="CS15" s="660">
        <f t="shared" ref="CS15" si="149">+MIN(mB,7)</f>
        <v>5</v>
      </c>
      <c r="CU15" s="13">
        <v>3</v>
      </c>
      <c r="CV15" s="477">
        <f t="shared" ca="1" si="47"/>
        <v>252</v>
      </c>
      <c r="CW15" s="477">
        <f t="shared" ca="1" si="48"/>
        <v>122</v>
      </c>
      <c r="CX15" s="477">
        <f t="shared" ca="1" si="49"/>
        <v>120</v>
      </c>
      <c r="CY15" s="478">
        <f t="shared" ca="1" si="98"/>
        <v>0.47599999999999998</v>
      </c>
    </row>
    <row r="16" spans="2:103">
      <c r="B16" s="106" t="s">
        <v>16</v>
      </c>
      <c r="C16" s="227">
        <f ca="1">S</f>
        <v>10000000</v>
      </c>
      <c r="D16" s="44"/>
      <c r="F16" s="21"/>
      <c r="G16" s="122" t="s">
        <v>187</v>
      </c>
      <c r="H16" s="291">
        <f ca="1">H14+H15</f>
        <v>0.66570029845010426</v>
      </c>
      <c r="I16" s="291"/>
      <c r="J16" s="291"/>
      <c r="M16" s="242"/>
      <c r="N16" s="5">
        <f t="shared" si="99"/>
        <v>4</v>
      </c>
      <c r="O16" s="2">
        <f t="shared" ref="O16" ca="1" si="150">+(1+iB)^-N16</f>
        <v>0.91484334525186817</v>
      </c>
      <c r="P16" s="2">
        <f t="shared" ref="P16" ca="1" si="151">+(1+iB)^-(N16+0.5)</f>
        <v>0.90472184129921518</v>
      </c>
      <c r="Q16" s="91"/>
      <c r="R16" s="20">
        <f t="shared" si="102"/>
        <v>4</v>
      </c>
      <c r="S16" s="20">
        <f t="shared" ref="S16" si="152">+IF(xB+R16&lt;=xB+nB,xB+R16,"")</f>
        <v>12</v>
      </c>
      <c r="T16" s="231">
        <f t="shared" ref="T16:U16" ca="1" si="153">IFERROR(VLOOKUP($S16,qx_table,MATCH(T$11,qx_title,0)+sexB),0)</f>
        <v>0</v>
      </c>
      <c r="U16" s="231">
        <f t="shared" ca="1" si="153"/>
        <v>1.4999999999999999E-5</v>
      </c>
      <c r="V16" s="300">
        <f>IF(JRB=2,0,IF(R16&gt;=mB-1,_xlfn.XLOOKUP(R16-mB,해지율!#REF!,해지율!#REF!,,1),_xlfn.XLOOKUP(R16,해지율!#REF!,해지율!#REF!,,-1)))</f>
        <v>0</v>
      </c>
      <c r="W16" s="8">
        <f t="shared" ref="W16" ca="1" si="154">IF(R16=0,100000,IF(R16&gt;nB,0,W15*(1-X15)*(1-Y15)))</f>
        <v>99999.905012033792</v>
      </c>
      <c r="X16" s="233">
        <f t="shared" ca="1" si="19"/>
        <v>0</v>
      </c>
      <c r="Y16" s="235">
        <f t="shared" ca="1" si="20"/>
        <v>2.7481900000125847E-7</v>
      </c>
      <c r="Z16" s="232">
        <f t="shared" ca="1" si="106"/>
        <v>91484.247626078053</v>
      </c>
      <c r="AA16" s="232">
        <f ca="1">+SUM(Z16:Z$124)</f>
        <v>1433339.9266036979</v>
      </c>
      <c r="AB16" s="232">
        <f t="shared" ca="1" si="21"/>
        <v>0</v>
      </c>
      <c r="AC16" s="234">
        <f ca="1">+SUM(AB16:AB$124)*SSSM</f>
        <v>0</v>
      </c>
      <c r="AD16" s="209">
        <f t="shared" ref="AD16" ca="1" si="155">IF(R16&gt;nB,0,AD15*(1-X15)*(1-Y15)*(1-AE15)*(1-AF15))</f>
        <v>99993.005196785773</v>
      </c>
      <c r="AE16" s="235">
        <f t="shared" ca="1" si="56"/>
        <v>1.4999999999987246E-5</v>
      </c>
      <c r="AF16" s="235">
        <f t="shared" ca="1" si="22"/>
        <v>0</v>
      </c>
      <c r="AG16" s="664">
        <f t="shared" ca="1" si="23"/>
        <v>91477.935376014939</v>
      </c>
      <c r="AH16" s="236">
        <f ca="1">+SUM(AG16:AG$124)</f>
        <v>1432863.4243114695</v>
      </c>
      <c r="AI16" s="237">
        <f t="shared" ca="1" si="24"/>
        <v>1.3569878366790165</v>
      </c>
      <c r="AJ16" s="238">
        <f ca="1">+SUM(AB16:AB$124)*SS50J</f>
        <v>0</v>
      </c>
      <c r="AK16" s="209">
        <f t="shared" ca="1" si="108"/>
        <v>99999.905012033792</v>
      </c>
      <c r="AL16" s="257">
        <f t="shared" ref="AL16" ca="1" si="156">IFERROR(VLOOKUP($S16,qx_table,MATCH(AL$11,qx_title,0)+sexB),0)</f>
        <v>2.7481900000000005E-7</v>
      </c>
      <c r="AM16" s="131">
        <f t="shared" ca="1" si="110"/>
        <v>91484.247626078053</v>
      </c>
      <c r="AN16" s="129">
        <f t="shared" ca="1" si="58"/>
        <v>2.4863451553091515E-2</v>
      </c>
      <c r="AO16" s="446">
        <f ca="1">SUM(AN16:AN$124)*SSa</f>
        <v>0.63543144325720646</v>
      </c>
      <c r="AP16" s="70">
        <f t="shared" ca="1" si="59"/>
        <v>99999.905012033792</v>
      </c>
      <c r="AQ16" s="2">
        <f t="shared" ref="AQ16" ca="1" si="157">IFERROR(VLOOKUP($S16,qx_table,MATCH(AQ$11,qx_title,0)+sexB),0)</f>
        <v>0</v>
      </c>
      <c r="AR16" s="127">
        <f t="shared" ca="1" si="61"/>
        <v>0</v>
      </c>
      <c r="AS16" s="446">
        <f ca="1">SUM(AR16:AR$124)*SSb</f>
        <v>0</v>
      </c>
      <c r="AT16" s="70">
        <f t="shared" ca="1" si="62"/>
        <v>99999.905012033792</v>
      </c>
      <c r="AU16" s="2">
        <f t="shared" ref="AU16" ca="1" si="158">IFERROR(VLOOKUP($S16,qx_table,MATCH(AU$11,qx_title,0)+sexB),0)</f>
        <v>0</v>
      </c>
      <c r="AV16" s="268">
        <f t="shared" ca="1" si="64"/>
        <v>0</v>
      </c>
      <c r="AW16" s="131">
        <f ca="1">SUM(AV16:AV$124)*SSc</f>
        <v>0</v>
      </c>
      <c r="AX16" s="70">
        <f t="shared" ca="1" si="65"/>
        <v>99999.905012033792</v>
      </c>
      <c r="AY16" s="2">
        <f t="shared" ref="AY16" ca="1" si="159">IFERROR(VLOOKUP($S16,qx_table,MATCH(AY$11,qx_title,0)+sexB),0)</f>
        <v>0</v>
      </c>
      <c r="AZ16" s="268">
        <f t="shared" ca="1" si="67"/>
        <v>0</v>
      </c>
      <c r="BA16" s="129">
        <f ca="1">SUM(AZ16:AZ$124)*SSd</f>
        <v>0</v>
      </c>
      <c r="BB16" s="70">
        <f t="shared" ca="1" si="68"/>
        <v>99999.905012033792</v>
      </c>
      <c r="BC16" s="257">
        <f t="shared" ref="BC16" ca="1" si="160">IFERROR(VLOOKUP($S16,qx_table,MATCH(BC$11,qx_title,0)+sexB),0)</f>
        <v>0</v>
      </c>
      <c r="BD16" s="268">
        <f t="shared" ca="1" si="70"/>
        <v>0</v>
      </c>
      <c r="BE16" s="131">
        <f ca="1">SUM(BD16:BD$124)*SSe</f>
        <v>0</v>
      </c>
      <c r="BF16" s="70">
        <f t="shared" ca="1" si="71"/>
        <v>99999.905012033792</v>
      </c>
      <c r="BG16" s="2">
        <f t="shared" ref="BG16" ca="1" si="161">IFERROR(VLOOKUP($S16,qx_table,MATCH(BG$11,qx_title,0)+sexB),0)</f>
        <v>0</v>
      </c>
      <c r="BH16" s="131">
        <f t="shared" ca="1" si="73"/>
        <v>0</v>
      </c>
      <c r="BI16" s="2">
        <f ca="1">SUM(BH16:BH$124)*SSf</f>
        <v>0</v>
      </c>
      <c r="BJ16" s="70">
        <f t="shared" ca="1" si="74"/>
        <v>99999.905012033792</v>
      </c>
      <c r="BK16" s="2">
        <f t="shared" ref="BK16" ca="1" si="162">IFERROR(VLOOKUP($S16,qx_table,MATCH(BK$11,qx_title,0)+sexB),0)</f>
        <v>0</v>
      </c>
      <c r="BL16" s="131">
        <f t="shared" ca="1" si="76"/>
        <v>0</v>
      </c>
      <c r="BM16" s="131">
        <f ca="1">SUM(BL16:BL$124)*SSg</f>
        <v>0</v>
      </c>
      <c r="BN16" s="70">
        <f t="shared" ca="1" si="77"/>
        <v>99999.905012033792</v>
      </c>
      <c r="BO16" s="2">
        <f t="shared" ref="BO16" ca="1" si="163">IFERROR(VLOOKUP($S16,qx_table,MATCH(BO$11,qx_title,0)+sexB),0)</f>
        <v>0</v>
      </c>
      <c r="BP16" s="131">
        <f t="shared" ca="1" si="79"/>
        <v>0</v>
      </c>
      <c r="BQ16" s="131">
        <f ca="1">SUM(BP16:BP$124)*SSh</f>
        <v>0</v>
      </c>
      <c r="BR16" s="70">
        <f t="shared" ca="1" si="80"/>
        <v>99999.905012033792</v>
      </c>
      <c r="BS16" s="2">
        <f t="shared" ref="BS16" ca="1" si="164">IFERROR(VLOOKUP($S16,qx_table,MATCH(BS$11,qx_title,0)+sexB),0)*IF(R16=0,MCi,1)</f>
        <v>0</v>
      </c>
      <c r="BT16" s="131">
        <f t="shared" ca="1" si="82"/>
        <v>0</v>
      </c>
      <c r="BU16" s="131">
        <f ca="1">SUM(BT16:BT$124)*SSi</f>
        <v>0</v>
      </c>
      <c r="BV16" s="70">
        <f t="shared" ca="1" si="83"/>
        <v>99999.905012033792</v>
      </c>
      <c r="BW16" s="2">
        <f t="shared" ref="BW16" ca="1" si="165">IFERROR(VLOOKUP($S16,qx_table,MATCH(BW$11,qx_title,0)+sexB),0)</f>
        <v>0</v>
      </c>
      <c r="BX16" s="131">
        <f t="shared" ca="1" si="85"/>
        <v>0</v>
      </c>
      <c r="BY16" s="131">
        <f ca="1">SUM(BX16:BX$124)*SSj</f>
        <v>0</v>
      </c>
      <c r="BZ16" s="70">
        <f t="shared" ca="1" si="86"/>
        <v>99999.905012033792</v>
      </c>
      <c r="CA16" s="2">
        <f t="shared" ref="CA16" ca="1" si="166">IFERROR(VLOOKUP($S16,qx_table,MATCH(CA$11,qx_title,0)+sexB),0)</f>
        <v>0</v>
      </c>
      <c r="CB16" s="131">
        <f t="shared" ca="1" si="88"/>
        <v>0</v>
      </c>
      <c r="CC16" s="131">
        <f ca="1">SUM(CB16:CB$124)*SSk</f>
        <v>0</v>
      </c>
      <c r="CD16" s="8">
        <f t="shared" ca="1" si="89"/>
        <v>99999.905012033792</v>
      </c>
      <c r="CE16" s="2">
        <f t="shared" ref="CE16" ca="1" si="167">IFERROR(VLOOKUP($S16,qx_table,MATCH(CE$11,qx_title,0)+sexB),0)</f>
        <v>0</v>
      </c>
      <c r="CF16" s="131">
        <f t="shared" ca="1" si="91"/>
        <v>0</v>
      </c>
      <c r="CG16" s="131">
        <f ca="1">SUM(CF16:CF$124)*SSl</f>
        <v>0</v>
      </c>
      <c r="CH16" s="101">
        <f t="shared" ca="1" si="92"/>
        <v>0.63543144325720646</v>
      </c>
      <c r="CI16" s="154">
        <f t="shared" ca="1" si="37"/>
        <v>0.58593276730071875</v>
      </c>
      <c r="CJ16" s="661">
        <f t="shared" ref="CJ16" ca="1" si="168">+MAX(VLOOKUP(xB+$R16,기수표B,$AH$1)-VLOOKUP(xB+mB,기수표B,$AH$1),0)</f>
        <v>91477.935376015026</v>
      </c>
      <c r="CK16" s="661">
        <f t="shared" ref="CK16" ca="1" si="169">+MAX(VLOOKUP(xB+$R16,기수표B,$AH$1)-VLOOKUP(xB+mB,기수표B,$AH$1)-11/24*(VLOOKUP(xB+$R16,기수표B,$AG$1)-VLOOKUP(xB+mB,기수표B,$AG$1)),0)</f>
        <v>90554.701496659909</v>
      </c>
      <c r="CL16" s="661">
        <f t="shared" ref="CL16" ca="1" si="170">+MAX(VLOOKUP(xB+$R16,기수표B,$AA$1)-VLOOKUP(xB+mB,기수표B,$AA$1),0)</f>
        <v>91484.247626077849</v>
      </c>
      <c r="CM16" s="661">
        <f t="shared" ref="CM16" ca="1" si="171">+MAX(VLOOKUP(xB+$R16,기수표B,$AA$1)-VLOOKUP(xB+mB,기수표B,$AA$1)-11/24*(VLOOKUP(xB+$R16,기수표B,$AA$1)-VLOOKUP(xB+mB,기수표B,$AA$1)),0)</f>
        <v>49553.967464125504</v>
      </c>
      <c r="CN16" s="661">
        <f t="shared" ca="1" si="41"/>
        <v>1280563.7766163822</v>
      </c>
      <c r="CO16" s="661">
        <f t="shared" ca="1" si="42"/>
        <v>0.37211320596554337</v>
      </c>
      <c r="CP16" s="659">
        <f t="shared" ca="1" si="43"/>
        <v>1.63E-5</v>
      </c>
      <c r="CQ16" s="659">
        <f t="shared" ca="1" si="44"/>
        <v>1.63E-5</v>
      </c>
      <c r="CR16" s="659">
        <f t="shared" ca="1" si="45"/>
        <v>1.6334870502072924E-5</v>
      </c>
      <c r="CS16" s="660">
        <f t="shared" ref="CS16" si="172">+MIN(mB,7)</f>
        <v>5</v>
      </c>
      <c r="CU16" s="13">
        <v>4</v>
      </c>
      <c r="CV16" s="477">
        <f t="shared" ca="1" si="47"/>
        <v>336</v>
      </c>
      <c r="CW16" s="477">
        <f t="shared" ca="1" si="48"/>
        <v>163</v>
      </c>
      <c r="CX16" s="477">
        <f t="shared" ca="1" si="49"/>
        <v>163</v>
      </c>
      <c r="CY16" s="478">
        <f t="shared" ca="1" si="98"/>
        <v>0.48499999999999999</v>
      </c>
    </row>
    <row r="17" spans="2:103">
      <c r="B17" s="106" t="s">
        <v>29</v>
      </c>
      <c r="C17" s="118">
        <f ca="1">LEN(SB)-1</f>
        <v>7</v>
      </c>
      <c r="D17" s="44"/>
      <c r="F17" s="21"/>
      <c r="J17" s="241"/>
      <c r="L17" s="309"/>
      <c r="M17" s="242"/>
      <c r="N17" s="5">
        <f t="shared" si="99"/>
        <v>5</v>
      </c>
      <c r="O17" s="2">
        <f t="shared" ref="O17" ca="1" si="173">+(1+iB)^-N17</f>
        <v>0.89471231809473661</v>
      </c>
      <c r="P17" s="2">
        <f t="shared" ref="P17" ca="1" si="174">+(1+iB)^-(N17+0.5)</f>
        <v>0.88481353672294882</v>
      </c>
      <c r="Q17" s="91"/>
      <c r="R17" s="20">
        <f t="shared" si="102"/>
        <v>5</v>
      </c>
      <c r="S17" s="20">
        <f t="shared" ref="S17" si="175">+IF(xB+R17&lt;=xB+nB,xB+R17,"")</f>
        <v>13</v>
      </c>
      <c r="T17" s="2">
        <f t="shared" ref="T17:U17" ca="1" si="176">IFERROR(VLOOKUP($S17,qx_table,MATCH(T$11,qx_title,0)+sexB),0)</f>
        <v>0</v>
      </c>
      <c r="U17" s="2">
        <f t="shared" ca="1" si="176"/>
        <v>1.4999999999999999E-5</v>
      </c>
      <c r="V17" s="300">
        <f>IF(JRB=2,0,IF(R17&gt;=mB-1,_xlfn.XLOOKUP(R17-mB,해지율!#REF!,해지율!#REF!,,1),_xlfn.XLOOKUP(R17,해지율!#REF!,해지율!#REF!,,-1)))</f>
        <v>0</v>
      </c>
      <c r="W17" s="8">
        <f t="shared" ref="W17" ca="1" si="177">IF(R17=0,100000,IF(R17&gt;nB,0,W16*(1-X16)*(1-Y16)))</f>
        <v>99999.877530159894</v>
      </c>
      <c r="X17" s="10">
        <f t="shared" ca="1" si="19"/>
        <v>0</v>
      </c>
      <c r="Y17" s="92">
        <f t="shared" ca="1" si="20"/>
        <v>2.9835399995015166E-7</v>
      </c>
      <c r="Z17" s="8">
        <f t="shared" ca="1" si="106"/>
        <v>89471.122234199123</v>
      </c>
      <c r="AA17" s="8">
        <f ca="1">+SUM(Z17:Z$124)</f>
        <v>1341855.6789776201</v>
      </c>
      <c r="AB17" s="8">
        <f t="shared" ca="1" si="21"/>
        <v>0</v>
      </c>
      <c r="AC17" s="209">
        <f ca="1">+SUM(AB17:AB$124)*SSSM</f>
        <v>0</v>
      </c>
      <c r="AD17" s="209">
        <f t="shared" ref="AD17" ca="1" si="178">IF(R17&gt;nB,0,AD16*(1-X16)*(1-Y16)*(1-AE16)*(1-AF16))</f>
        <v>99991.477822142318</v>
      </c>
      <c r="AE17" s="92">
        <f t="shared" ca="1" si="56"/>
        <v>1.4999999999987246E-5</v>
      </c>
      <c r="AF17" s="92">
        <f t="shared" ca="1" si="22"/>
        <v>0</v>
      </c>
      <c r="AG17" s="664">
        <f t="shared" ca="1" si="23"/>
        <v>89463.606911967407</v>
      </c>
      <c r="AH17" s="5">
        <f ca="1">+SUM(AG17:AG$124)</f>
        <v>1341385.4889354545</v>
      </c>
      <c r="AI17" s="70">
        <f t="shared" ca="1" si="24"/>
        <v>1.3271071970083324</v>
      </c>
      <c r="AJ17" s="208">
        <f ca="1">+SUM(AB17:AB$124)*SS50J</f>
        <v>0</v>
      </c>
      <c r="AK17" s="209">
        <f t="shared" ca="1" si="108"/>
        <v>99999.877530159894</v>
      </c>
      <c r="AL17" s="257">
        <f t="shared" ref="AL17" ca="1" si="179">IFERROR(VLOOKUP($S17,qx_table,MATCH(AL$11,qx_title,0)+sexB),0)</f>
        <v>2.9835399999999997E-7</v>
      </c>
      <c r="AM17" s="131">
        <f t="shared" ca="1" si="110"/>
        <v>89471.122234199123</v>
      </c>
      <c r="AN17" s="129">
        <f t="shared" ca="1" si="58"/>
        <v>2.6398733463017608E-2</v>
      </c>
      <c r="AO17" s="446">
        <f ca="1">SUM(AN17:AN$124)*SSa</f>
        <v>0.61056799170411491</v>
      </c>
      <c r="AP17" s="70">
        <f t="shared" ca="1" si="59"/>
        <v>99999.877530159894</v>
      </c>
      <c r="AQ17" s="2">
        <f t="shared" ref="AQ17" ca="1" si="180">IFERROR(VLOOKUP($S17,qx_table,MATCH(AQ$11,qx_title,0)+sexB),0)</f>
        <v>0</v>
      </c>
      <c r="AR17" s="127">
        <f t="shared" ca="1" si="61"/>
        <v>0</v>
      </c>
      <c r="AS17" s="446">
        <f ca="1">SUM(AR17:AR$124)*SSb</f>
        <v>0</v>
      </c>
      <c r="AT17" s="70">
        <f t="shared" ca="1" si="62"/>
        <v>99999.877530159894</v>
      </c>
      <c r="AU17" s="2">
        <f t="shared" ref="AU17" ca="1" si="181">IFERROR(VLOOKUP($S17,qx_table,MATCH(AU$11,qx_title,0)+sexB),0)</f>
        <v>0</v>
      </c>
      <c r="AV17" s="268">
        <f t="shared" ca="1" si="64"/>
        <v>0</v>
      </c>
      <c r="AW17" s="131">
        <f ca="1">SUM(AV17:AV$124)*SSc</f>
        <v>0</v>
      </c>
      <c r="AX17" s="70">
        <f t="shared" ca="1" si="65"/>
        <v>99999.877530159894</v>
      </c>
      <c r="AY17" s="2">
        <f t="shared" ref="AY17" ca="1" si="182">IFERROR(VLOOKUP($S17,qx_table,MATCH(AY$11,qx_title,0)+sexB),0)</f>
        <v>0</v>
      </c>
      <c r="AZ17" s="268">
        <f t="shared" ca="1" si="67"/>
        <v>0</v>
      </c>
      <c r="BA17" s="129">
        <f ca="1">SUM(AZ17:AZ$124)*SSd</f>
        <v>0</v>
      </c>
      <c r="BB17" s="70">
        <f t="shared" ca="1" si="68"/>
        <v>99999.877530159894</v>
      </c>
      <c r="BC17" s="257">
        <f t="shared" ref="BC17" ca="1" si="183">IFERROR(VLOOKUP($S17,qx_table,MATCH(BC$11,qx_title,0)+sexB),0)</f>
        <v>0</v>
      </c>
      <c r="BD17" s="268">
        <f t="shared" ca="1" si="70"/>
        <v>0</v>
      </c>
      <c r="BE17" s="131">
        <f ca="1">SUM(BD17:BD$124)*SSe</f>
        <v>0</v>
      </c>
      <c r="BF17" s="70">
        <f t="shared" ca="1" si="71"/>
        <v>99999.877530159894</v>
      </c>
      <c r="BG17" s="2">
        <f t="shared" ref="BG17" ca="1" si="184">IFERROR(VLOOKUP($S17,qx_table,MATCH(BG$11,qx_title,0)+sexB),0)</f>
        <v>0</v>
      </c>
      <c r="BH17" s="131">
        <f t="shared" ca="1" si="73"/>
        <v>0</v>
      </c>
      <c r="BI17" s="2">
        <f ca="1">SUM(BH17:BH$124)*SSf</f>
        <v>0</v>
      </c>
      <c r="BJ17" s="70">
        <f t="shared" ca="1" si="74"/>
        <v>99999.877530159894</v>
      </c>
      <c r="BK17" s="2">
        <f t="shared" ref="BK17" ca="1" si="185">IFERROR(VLOOKUP($S17,qx_table,MATCH(BK$11,qx_title,0)+sexB),0)</f>
        <v>0</v>
      </c>
      <c r="BL17" s="131">
        <f t="shared" ca="1" si="76"/>
        <v>0</v>
      </c>
      <c r="BM17" s="131">
        <f ca="1">SUM(BL17:BL$124)*SSg</f>
        <v>0</v>
      </c>
      <c r="BN17" s="70">
        <f t="shared" ca="1" si="77"/>
        <v>99999.877530159894</v>
      </c>
      <c r="BO17" s="2">
        <f t="shared" ref="BO17" ca="1" si="186">IFERROR(VLOOKUP($S17,qx_table,MATCH(BO$11,qx_title,0)+sexB),0)</f>
        <v>0</v>
      </c>
      <c r="BP17" s="131">
        <f t="shared" ca="1" si="79"/>
        <v>0</v>
      </c>
      <c r="BQ17" s="131">
        <f ca="1">SUM(BP17:BP$124)*SSh</f>
        <v>0</v>
      </c>
      <c r="BR17" s="70">
        <f t="shared" ca="1" si="80"/>
        <v>99999.877530159894</v>
      </c>
      <c r="BS17" s="2">
        <f t="shared" ref="BS17" ca="1" si="187">IFERROR(VLOOKUP($S17,qx_table,MATCH(BS$11,qx_title,0)+sexB),0)*IF(R17=0,MCi,1)</f>
        <v>0</v>
      </c>
      <c r="BT17" s="131">
        <f t="shared" ca="1" si="82"/>
        <v>0</v>
      </c>
      <c r="BU17" s="131">
        <f ca="1">SUM(BT17:BT$124)*SSi</f>
        <v>0</v>
      </c>
      <c r="BV17" s="70">
        <f t="shared" ca="1" si="83"/>
        <v>99999.877530159894</v>
      </c>
      <c r="BW17" s="2">
        <f t="shared" ref="BW17" ca="1" si="188">IFERROR(VLOOKUP($S17,qx_table,MATCH(BW$11,qx_title,0)+sexB),0)</f>
        <v>0</v>
      </c>
      <c r="BX17" s="131">
        <f t="shared" ca="1" si="85"/>
        <v>0</v>
      </c>
      <c r="BY17" s="131">
        <f ca="1">SUM(BX17:BX$124)*SSj</f>
        <v>0</v>
      </c>
      <c r="BZ17" s="70">
        <f t="shared" ca="1" si="86"/>
        <v>99999.877530159894</v>
      </c>
      <c r="CA17" s="2">
        <f t="shared" ref="CA17" ca="1" si="189">IFERROR(VLOOKUP($S17,qx_table,MATCH(CA$11,qx_title,0)+sexB),0)</f>
        <v>0</v>
      </c>
      <c r="CB17" s="131">
        <f t="shared" ca="1" si="88"/>
        <v>0</v>
      </c>
      <c r="CC17" s="131">
        <f ca="1">SUM(CB17:CB$124)*SSk</f>
        <v>0</v>
      </c>
      <c r="CD17" s="8">
        <f t="shared" ca="1" si="89"/>
        <v>99999.877530159894</v>
      </c>
      <c r="CE17" s="2">
        <f t="shared" ref="CE17" ca="1" si="190">IFERROR(VLOOKUP($S17,qx_table,MATCH(CE$11,qx_title,0)+sexB),0)</f>
        <v>0</v>
      </c>
      <c r="CF17" s="131">
        <f t="shared" ca="1" si="91"/>
        <v>0</v>
      </c>
      <c r="CG17" s="131">
        <f ca="1">SUM(CF17:CF$124)*SSl</f>
        <v>0</v>
      </c>
      <c r="CH17" s="101">
        <f t="shared" ca="1" si="92"/>
        <v>0.61056799170411491</v>
      </c>
      <c r="CI17" s="154">
        <f t="shared" ca="1" si="37"/>
        <v>0.5610693157476272</v>
      </c>
      <c r="CJ17" s="661">
        <f t="shared" ref="CJ17" ca="1" si="191">+MAX(VLOOKUP(xB+$R17,기수표B,$AH$1)-VLOOKUP(xB+mB,기수표B,$AH$1),0)</f>
        <v>0</v>
      </c>
      <c r="CK17" s="661">
        <f t="shared" ref="CK17" ca="1" si="192">+MAX(VLOOKUP(xB+$R17,기수표B,$AH$1)-VLOOKUP(xB+mB,기수표B,$AH$1)-11/24*(VLOOKUP(xB+$R17,기수표B,$AG$1)-VLOOKUP(xB+mB,기수표B,$AG$1)),0)</f>
        <v>0</v>
      </c>
      <c r="CL17" s="661">
        <f t="shared" ref="CL17" ca="1" si="193">+MAX(VLOOKUP(xB+$R17,기수표B,$AA$1)-VLOOKUP(xB+mB,기수표B,$AA$1),0)</f>
        <v>0</v>
      </c>
      <c r="CM17" s="661">
        <f t="shared" ref="CM17" ca="1" si="194">+MAX(VLOOKUP(xB+$R17,기수표B,$AA$1)-VLOOKUP(xB+mB,기수표B,$AA$1)-11/24*(VLOOKUP(xB+$R17,기수표B,$AA$1)-VLOOKUP(xB+mB,기수표B,$AA$1)),0)</f>
        <v>0</v>
      </c>
      <c r="CN17" s="661">
        <f t="shared" ca="1" si="41"/>
        <v>1280563.7766163822</v>
      </c>
      <c r="CO17" s="661">
        <f t="shared" ca="1" si="42"/>
        <v>0</v>
      </c>
      <c r="CP17" s="659">
        <f t="shared" ca="1" si="43"/>
        <v>2.0599999999999999E-5</v>
      </c>
      <c r="CQ17" s="659">
        <f t="shared" ca="1" si="44"/>
        <v>2.0599999999999999E-5</v>
      </c>
      <c r="CR17" s="659">
        <f t="shared" ca="1" si="45"/>
        <v>2.0583547477401263E-5</v>
      </c>
      <c r="CS17" s="660">
        <f t="shared" ref="CS17" si="195">+MIN(mB,7)</f>
        <v>5</v>
      </c>
      <c r="CU17" s="13">
        <v>5</v>
      </c>
      <c r="CV17" s="477">
        <f t="shared" ca="1" si="47"/>
        <v>420</v>
      </c>
      <c r="CW17" s="477">
        <f t="shared" ca="1" si="48"/>
        <v>206</v>
      </c>
      <c r="CX17" s="477">
        <f t="shared" ca="1" si="49"/>
        <v>206</v>
      </c>
      <c r="CY17" s="478">
        <f t="shared" ca="1" si="98"/>
        <v>0.49</v>
      </c>
    </row>
    <row r="18" spans="2:103">
      <c r="F18" s="16"/>
      <c r="G18" s="13" t="s">
        <v>76</v>
      </c>
      <c r="I18" s="16"/>
      <c r="K18" s="16"/>
      <c r="M18" s="242"/>
      <c r="N18" s="5">
        <f t="shared" si="99"/>
        <v>6</v>
      </c>
      <c r="O18" s="2">
        <f t="shared" ref="O18" ca="1" si="196">+(1+iB)^-N18</f>
        <v>0.87502427197529253</v>
      </c>
      <c r="P18" s="2">
        <f t="shared" ref="P18" ca="1" si="197">+(1+iB)^-(N18+0.5)</f>
        <v>0.86534331219848315</v>
      </c>
      <c r="Q18" s="91"/>
      <c r="R18" s="20">
        <f t="shared" si="102"/>
        <v>6</v>
      </c>
      <c r="S18" s="20">
        <f t="shared" ref="S18" si="198">+IF(xB+R18&lt;=xB+nB,xB+R18,"")</f>
        <v>14</v>
      </c>
      <c r="T18" s="2">
        <f t="shared" ref="T18:U18" ca="1" si="199">IFERROR(VLOOKUP($S18,qx_table,MATCH(T$11,qx_title,0)+sexB),0)</f>
        <v>0</v>
      </c>
      <c r="U18" s="2">
        <f t="shared" ca="1" si="199"/>
        <v>1.4000000000000001E-5</v>
      </c>
      <c r="V18" s="300">
        <f>IF(JRB=2,0,IF(R18&gt;=mB-1,_xlfn.XLOOKUP(R18-mB,해지율!#REF!,해지율!#REF!,,1),_xlfn.XLOOKUP(R18,해지율!#REF!,해지율!#REF!,,-1)))</f>
        <v>0</v>
      </c>
      <c r="W18" s="8">
        <f t="shared" ref="W18" ca="1" si="200">IF(R18=0,100000,IF(R18&gt;nB,0,W17*(1-X17)*(1-Y17)))</f>
        <v>99999.847694796437</v>
      </c>
      <c r="X18" s="10">
        <f t="shared" ca="1" si="19"/>
        <v>0</v>
      </c>
      <c r="Y18" s="92">
        <f t="shared" ca="1" si="20"/>
        <v>3.2724800003158805E-7</v>
      </c>
      <c r="Z18" s="8">
        <f t="shared" ca="1" si="106"/>
        <v>87502.293926779384</v>
      </c>
      <c r="AA18" s="8">
        <f ca="1">+SUM(Z18:Z$124)</f>
        <v>1252384.5567434211</v>
      </c>
      <c r="AB18" s="8">
        <f t="shared" ca="1" si="21"/>
        <v>0</v>
      </c>
      <c r="AC18" s="209">
        <f ca="1">+SUM(AB18:AB$124)*SSSM</f>
        <v>0</v>
      </c>
      <c r="AD18" s="209">
        <f t="shared" ref="AD18" ca="1" si="201">IF(R18&gt;nB,0,AD17*(1-X17)*(1-Y17)*(1-AE17)*(1-AF17))</f>
        <v>99989.948117565116</v>
      </c>
      <c r="AE18" s="92">
        <f t="shared" ca="1" si="56"/>
        <v>1.399999999995849E-5</v>
      </c>
      <c r="AF18" s="92">
        <f t="shared" ca="1" si="22"/>
        <v>0</v>
      </c>
      <c r="AG18" s="664">
        <f t="shared" ca="1" si="23"/>
        <v>87493.631556419685</v>
      </c>
      <c r="AH18" s="5">
        <f ca="1">+SUM(AG18:AG$124)</f>
        <v>1251921.8820234872</v>
      </c>
      <c r="AI18" s="70">
        <f t="shared" ca="1" si="24"/>
        <v>1.2113588604649241</v>
      </c>
      <c r="AJ18" s="208">
        <f ca="1">+SUM(AB18:AB$124)*SS50J</f>
        <v>0</v>
      </c>
      <c r="AK18" s="209">
        <f t="shared" ca="1" si="108"/>
        <v>99999.847694796437</v>
      </c>
      <c r="AL18" s="257">
        <f t="shared" ref="AL18" ca="1" si="202">IFERROR(VLOOKUP($S18,qx_table,MATCH(AL$11,qx_title,0)+sexB),0)</f>
        <v>3.2724800000000002E-7</v>
      </c>
      <c r="AM18" s="131">
        <f t="shared" ca="1" si="110"/>
        <v>87502.293926779384</v>
      </c>
      <c r="AN18" s="129">
        <f t="shared" ca="1" si="58"/>
        <v>2.8318143692960838E-2</v>
      </c>
      <c r="AO18" s="129">
        <f ca="1">SUM(AN18:AN$124)*SSa</f>
        <v>0.58416925824109733</v>
      </c>
      <c r="AP18" s="70">
        <f t="shared" ca="1" si="59"/>
        <v>99999.847694796437</v>
      </c>
      <c r="AQ18" s="2">
        <f t="shared" ref="AQ18" ca="1" si="203">IFERROR(VLOOKUP($S18,qx_table,MATCH(AQ$11,qx_title,0)+sexB),0)</f>
        <v>0</v>
      </c>
      <c r="AR18" s="127">
        <f t="shared" ca="1" si="61"/>
        <v>0</v>
      </c>
      <c r="AS18" s="127">
        <f ca="1">SUM(AR18:AR$124)*SSb</f>
        <v>0</v>
      </c>
      <c r="AT18" s="70">
        <f t="shared" ca="1" si="62"/>
        <v>99999.847694796437</v>
      </c>
      <c r="AU18" s="2">
        <f t="shared" ref="AU18" ca="1" si="204">IFERROR(VLOOKUP($S18,qx_table,MATCH(AU$11,qx_title,0)+sexB),0)</f>
        <v>0</v>
      </c>
      <c r="AV18" s="268">
        <f t="shared" ca="1" si="64"/>
        <v>0</v>
      </c>
      <c r="AW18" s="131">
        <f ca="1">SUM(AV18:AV$124)*SSc</f>
        <v>0</v>
      </c>
      <c r="AX18" s="70">
        <f t="shared" ca="1" si="65"/>
        <v>99999.847694796437</v>
      </c>
      <c r="AY18" s="2">
        <f t="shared" ref="AY18" ca="1" si="205">IFERROR(VLOOKUP($S18,qx_table,MATCH(AY$11,qx_title,0)+sexB),0)</f>
        <v>0</v>
      </c>
      <c r="AZ18" s="268">
        <f t="shared" ca="1" si="67"/>
        <v>0</v>
      </c>
      <c r="BA18" s="129">
        <f ca="1">SUM(AZ18:AZ$124)*SSd</f>
        <v>0</v>
      </c>
      <c r="BB18" s="70">
        <f t="shared" ca="1" si="68"/>
        <v>99999.847694796437</v>
      </c>
      <c r="BC18" s="257">
        <f t="shared" ref="BC18" ca="1" si="206">IFERROR(VLOOKUP($S18,qx_table,MATCH(BC$11,qx_title,0)+sexB),0)</f>
        <v>0</v>
      </c>
      <c r="BD18" s="268">
        <f t="shared" ca="1" si="70"/>
        <v>0</v>
      </c>
      <c r="BE18" s="131">
        <f ca="1">SUM(BD18:BD$124)*SSe</f>
        <v>0</v>
      </c>
      <c r="BF18" s="70">
        <f t="shared" ca="1" si="71"/>
        <v>99999.847694796437</v>
      </c>
      <c r="BG18" s="2">
        <f t="shared" ref="BG18" ca="1" si="207">IFERROR(VLOOKUP($S18,qx_table,MATCH(BG$11,qx_title,0)+sexB),0)</f>
        <v>0</v>
      </c>
      <c r="BH18" s="131">
        <f t="shared" ca="1" si="73"/>
        <v>0</v>
      </c>
      <c r="BI18" s="2">
        <f ca="1">SUM(BH18:BH$124)*SSf</f>
        <v>0</v>
      </c>
      <c r="BJ18" s="70">
        <f t="shared" ca="1" si="74"/>
        <v>99999.847694796437</v>
      </c>
      <c r="BK18" s="2">
        <f t="shared" ref="BK18" ca="1" si="208">IFERROR(VLOOKUP($S18,qx_table,MATCH(BK$11,qx_title,0)+sexB),0)</f>
        <v>0</v>
      </c>
      <c r="BL18" s="131">
        <f t="shared" ca="1" si="76"/>
        <v>0</v>
      </c>
      <c r="BM18" s="131">
        <f ca="1">SUM(BL18:BL$124)*SSg</f>
        <v>0</v>
      </c>
      <c r="BN18" s="70">
        <f t="shared" ca="1" si="77"/>
        <v>99999.847694796437</v>
      </c>
      <c r="BO18" s="2">
        <f t="shared" ref="BO18" ca="1" si="209">IFERROR(VLOOKUP($S18,qx_table,MATCH(BO$11,qx_title,0)+sexB),0)</f>
        <v>0</v>
      </c>
      <c r="BP18" s="131">
        <f t="shared" ca="1" si="79"/>
        <v>0</v>
      </c>
      <c r="BQ18" s="131">
        <f ca="1">SUM(BP18:BP$124)*SSh</f>
        <v>0</v>
      </c>
      <c r="BR18" s="70">
        <f t="shared" ca="1" si="80"/>
        <v>99999.847694796437</v>
      </c>
      <c r="BS18" s="2">
        <f t="shared" ref="BS18" ca="1" si="210">IFERROR(VLOOKUP($S18,qx_table,MATCH(BS$11,qx_title,0)+sexB),0)*IF(R18=0,MCi,1)</f>
        <v>0</v>
      </c>
      <c r="BT18" s="131">
        <f t="shared" ca="1" si="82"/>
        <v>0</v>
      </c>
      <c r="BU18" s="131">
        <f ca="1">SUM(BT18:BT$124)*SSi</f>
        <v>0</v>
      </c>
      <c r="BV18" s="70">
        <f t="shared" ca="1" si="83"/>
        <v>99999.847694796437</v>
      </c>
      <c r="BW18" s="2">
        <f t="shared" ref="BW18" ca="1" si="211">IFERROR(VLOOKUP($S18,qx_table,MATCH(BW$11,qx_title,0)+sexB),0)</f>
        <v>0</v>
      </c>
      <c r="BX18" s="131">
        <f t="shared" ca="1" si="85"/>
        <v>0</v>
      </c>
      <c r="BY18" s="131">
        <f ca="1">SUM(BX18:BX$124)*SSj</f>
        <v>0</v>
      </c>
      <c r="BZ18" s="70">
        <f t="shared" ca="1" si="86"/>
        <v>99999.847694796437</v>
      </c>
      <c r="CA18" s="2">
        <f t="shared" ref="CA18" ca="1" si="212">IFERROR(VLOOKUP($S18,qx_table,MATCH(CA$11,qx_title,0)+sexB),0)</f>
        <v>0</v>
      </c>
      <c r="CB18" s="131">
        <f t="shared" ca="1" si="88"/>
        <v>0</v>
      </c>
      <c r="CC18" s="131">
        <f ca="1">SUM(CB18:CB$124)*SSk</f>
        <v>0</v>
      </c>
      <c r="CD18" s="8">
        <f t="shared" ca="1" si="89"/>
        <v>99999.847694796437</v>
      </c>
      <c r="CE18" s="2">
        <f t="shared" ref="CE18" ca="1" si="213">IFERROR(VLOOKUP($S18,qx_table,MATCH(CE$11,qx_title,0)+sexB),0)</f>
        <v>0</v>
      </c>
      <c r="CF18" s="131">
        <f t="shared" ca="1" si="91"/>
        <v>0</v>
      </c>
      <c r="CG18" s="131">
        <f ca="1">SUM(CF18:CF$124)*SSl</f>
        <v>0</v>
      </c>
      <c r="CH18" s="101">
        <f t="shared" ca="1" si="92"/>
        <v>0.58416925824109733</v>
      </c>
      <c r="CI18" s="154">
        <f t="shared" ca="1" si="37"/>
        <v>0.53467058228460962</v>
      </c>
      <c r="CJ18" s="32">
        <f t="shared" ref="CJ18" ca="1" si="214">+MAX(VLOOKUP(xB+$R18,기수표B,$AH$1)-VLOOKUP(xB+mB,기수표B,$AH$1),0)</f>
        <v>0</v>
      </c>
      <c r="CK18" s="32">
        <f t="shared" ref="CK18" ca="1" si="215">+MAX(VLOOKUP(xB+$R18,기수표B,$AH$1)-VLOOKUP(xB+mB,기수표B,$AH$1)-11/24*(VLOOKUP(xB+$R18,기수표B,$AG$1)-VLOOKUP(xB+mB,기수표B,$AG$1)),0)</f>
        <v>0</v>
      </c>
      <c r="CL18" s="32">
        <f t="shared" ref="CL18" ca="1" si="216">+MAX(VLOOKUP(xB+$R18,기수표B,$AA$1)-VLOOKUP(xB+mB,기수표B,$AA$1),0)</f>
        <v>0</v>
      </c>
      <c r="CM18" s="32">
        <f t="shared" ref="CM18" ca="1" si="217">+MAX(VLOOKUP(xB+$R18,기수표B,$AA$1)-VLOOKUP(xB+mB,기수표B,$AA$1)-11/24*(VLOOKUP(xB+$R18,기수표B,$AA$1)-VLOOKUP(xB+mB,기수표B,$AA$1)),0)</f>
        <v>0</v>
      </c>
      <c r="CN18" s="32">
        <f t="shared" ca="1" si="41"/>
        <v>1191092.6543821832</v>
      </c>
      <c r="CO18" s="32">
        <f t="shared" ca="1" si="42"/>
        <v>0</v>
      </c>
      <c r="CP18" s="659">
        <f t="shared" ca="1" si="43"/>
        <v>1.9700000000000001E-5</v>
      </c>
      <c r="CQ18" s="659">
        <f t="shared" ca="1" si="44"/>
        <v>1.9700000000000001E-5</v>
      </c>
      <c r="CR18" s="659">
        <f t="shared" ca="1" si="45"/>
        <v>1.9722491368179281E-5</v>
      </c>
      <c r="CS18" s="660">
        <f t="shared" ref="CS18" si="218">+MIN(mB,7)</f>
        <v>5</v>
      </c>
      <c r="CU18" s="13">
        <v>6</v>
      </c>
      <c r="CV18" s="477">
        <f t="shared" ca="1" si="47"/>
        <v>420</v>
      </c>
      <c r="CW18" s="477">
        <f t="shared" ca="1" si="48"/>
        <v>197</v>
      </c>
      <c r="CX18" s="477">
        <f t="shared" ca="1" si="49"/>
        <v>197</v>
      </c>
      <c r="CY18" s="478">
        <f t="shared" ca="1" si="98"/>
        <v>0.46899999999999997</v>
      </c>
    </row>
    <row r="19" spans="2:103">
      <c r="C19" s="44"/>
      <c r="D19" s="44"/>
      <c r="F19" s="16"/>
      <c r="G19" s="18"/>
      <c r="H19" s="66" t="s">
        <v>540</v>
      </c>
      <c r="I19" s="66"/>
      <c r="J19" s="66"/>
      <c r="K19" s="66" t="s">
        <v>70</v>
      </c>
      <c r="L19" s="310"/>
      <c r="M19" s="242"/>
      <c r="N19" s="5">
        <f t="shared" si="99"/>
        <v>7</v>
      </c>
      <c r="O19" s="2">
        <f t="shared" ref="O19" ca="1" si="219">+(1+iB)^-N19</f>
        <v>0.8557694591445405</v>
      </c>
      <c r="P19" s="2">
        <f t="shared" ref="P19" ca="1" si="220">+(1+iB)^-(N19+0.5)</f>
        <v>0.84630152782247736</v>
      </c>
      <c r="Q19" s="91"/>
      <c r="R19" s="20">
        <f t="shared" si="102"/>
        <v>7</v>
      </c>
      <c r="S19" s="20">
        <f t="shared" ref="S19" si="221">+IF(xB+R19&lt;=xB+nB,xB+R19,"")</f>
        <v>15</v>
      </c>
      <c r="T19" s="2">
        <f t="shared" ref="T19:U19" ca="1" si="222">IFERROR(VLOOKUP($S19,qx_table,MATCH(T$11,qx_title,0)+sexB),0)</f>
        <v>0</v>
      </c>
      <c r="U19" s="2">
        <f t="shared" ca="1" si="222"/>
        <v>3.3000000000000003E-5</v>
      </c>
      <c r="V19" s="300">
        <f>IF(JRB=2,0,IF(R19&gt;=mB-1,_xlfn.XLOOKUP(R19-mB,해지율!#REF!,해지율!#REF!,,1),_xlfn.XLOOKUP(R19,해지율!#REF!,해지율!#REF!,,-1)))</f>
        <v>0</v>
      </c>
      <c r="W19" s="8">
        <f t="shared" ref="W19" ca="1" si="223">IF(R19=0,100000,IF(R19&gt;nB,0,W18*(1-X18)*(1-Y18)))</f>
        <v>99999.814970046282</v>
      </c>
      <c r="X19" s="10">
        <f t="shared" ca="1" si="19"/>
        <v>0</v>
      </c>
      <c r="Y19" s="92">
        <f t="shared" ca="1" si="20"/>
        <v>3.4194599995984731E-7</v>
      </c>
      <c r="Z19" s="8">
        <f t="shared" ca="1" si="106"/>
        <v>85576.787571470632</v>
      </c>
      <c r="AA19" s="8">
        <f ca="1">+SUM(Z19:Z$124)</f>
        <v>1164882.2628166417</v>
      </c>
      <c r="AB19" s="8">
        <f t="shared" ca="1" si="21"/>
        <v>0</v>
      </c>
      <c r="AC19" s="209">
        <f ca="1">+SUM(AB19:AB$124)*SSSM</f>
        <v>0</v>
      </c>
      <c r="AD19" s="209">
        <f t="shared" ref="AD19" ca="1" si="224">IF(R19&gt;nB,0,AD18*(1-X18)*(1-Y18)*(1-AE18)*(1-AF18))</f>
        <v>99988.515537239029</v>
      </c>
      <c r="AE19" s="92">
        <f t="shared" ca="1" si="56"/>
        <v>3.2999999999949736E-5</v>
      </c>
      <c r="AF19" s="92">
        <f t="shared" ca="1" si="22"/>
        <v>0</v>
      </c>
      <c r="AG19" s="664">
        <f t="shared" ca="1" si="23"/>
        <v>85567.117861968523</v>
      </c>
      <c r="AH19" s="5">
        <f ca="1">+SUM(AG19:AG$124)</f>
        <v>1164428.2504670674</v>
      </c>
      <c r="AI19" s="70">
        <f t="shared" ca="1" si="24"/>
        <v>2.7924743043033544</v>
      </c>
      <c r="AJ19" s="208">
        <f ca="1">+SUM(AB19:AB$124)*SS50J</f>
        <v>0</v>
      </c>
      <c r="AK19" s="209">
        <f t="shared" ca="1" si="108"/>
        <v>99999.814970046282</v>
      </c>
      <c r="AL19" s="257">
        <f t="shared" ref="AL19" ca="1" si="225">IFERROR(VLOOKUP($S19,qx_table,MATCH(AL$11,qx_title,0)+sexB),0)</f>
        <v>3.4194600000000001E-7</v>
      </c>
      <c r="AM19" s="131">
        <f t="shared" ca="1" si="110"/>
        <v>85576.787571470632</v>
      </c>
      <c r="AN19" s="129">
        <f t="shared" ca="1" si="58"/>
        <v>2.8938888677567085E-2</v>
      </c>
      <c r="AO19" s="129">
        <f ca="1">SUM(AN19:AN$124)*SSa</f>
        <v>0.5558511145481364</v>
      </c>
      <c r="AP19" s="70">
        <f t="shared" ca="1" si="59"/>
        <v>99999.814970046282</v>
      </c>
      <c r="AQ19" s="2">
        <f t="shared" ref="AQ19" ca="1" si="226">IFERROR(VLOOKUP($S19,qx_table,MATCH(AQ$11,qx_title,0)+sexB),0)</f>
        <v>0</v>
      </c>
      <c r="AR19" s="127">
        <f t="shared" ca="1" si="61"/>
        <v>0</v>
      </c>
      <c r="AS19" s="127">
        <f ca="1">SUM(AR19:AR$124)*SSb</f>
        <v>0</v>
      </c>
      <c r="AT19" s="70">
        <f t="shared" ca="1" si="62"/>
        <v>99999.814970046282</v>
      </c>
      <c r="AU19" s="2">
        <f t="shared" ref="AU19" ca="1" si="227">IFERROR(VLOOKUP($S19,qx_table,MATCH(AU$11,qx_title,0)+sexB),0)</f>
        <v>0</v>
      </c>
      <c r="AV19" s="268">
        <f t="shared" ca="1" si="64"/>
        <v>0</v>
      </c>
      <c r="AW19" s="131">
        <f ca="1">SUM(AV19:AV$124)*SSc</f>
        <v>0</v>
      </c>
      <c r="AX19" s="70">
        <f t="shared" ca="1" si="65"/>
        <v>99999.814970046282</v>
      </c>
      <c r="AY19" s="2">
        <f t="shared" ref="AY19" ca="1" si="228">IFERROR(VLOOKUP($S19,qx_table,MATCH(AY$11,qx_title,0)+sexB),0)</f>
        <v>0</v>
      </c>
      <c r="AZ19" s="268">
        <f t="shared" ca="1" si="67"/>
        <v>0</v>
      </c>
      <c r="BA19" s="129">
        <f ca="1">SUM(AZ19:AZ$124)*SSd</f>
        <v>0</v>
      </c>
      <c r="BB19" s="70">
        <f t="shared" ca="1" si="68"/>
        <v>99999.814970046282</v>
      </c>
      <c r="BC19" s="257">
        <f t="shared" ref="BC19" ca="1" si="229">IFERROR(VLOOKUP($S19,qx_table,MATCH(BC$11,qx_title,0)+sexB),0)</f>
        <v>0</v>
      </c>
      <c r="BD19" s="268">
        <f t="shared" ca="1" si="70"/>
        <v>0</v>
      </c>
      <c r="BE19" s="131">
        <f ca="1">SUM(BD19:BD$124)*SSe</f>
        <v>0</v>
      </c>
      <c r="BF19" s="70">
        <f t="shared" ca="1" si="71"/>
        <v>99999.814970046282</v>
      </c>
      <c r="BG19" s="2">
        <f t="shared" ref="BG19" ca="1" si="230">IFERROR(VLOOKUP($S19,qx_table,MATCH(BG$11,qx_title,0)+sexB),0)</f>
        <v>0</v>
      </c>
      <c r="BH19" s="131">
        <f t="shared" ca="1" si="73"/>
        <v>0</v>
      </c>
      <c r="BI19" s="2">
        <f ca="1">SUM(BH19:BH$124)*SSf</f>
        <v>0</v>
      </c>
      <c r="BJ19" s="70">
        <f t="shared" ca="1" si="74"/>
        <v>99999.814970046282</v>
      </c>
      <c r="BK19" s="2">
        <f t="shared" ref="BK19" ca="1" si="231">IFERROR(VLOOKUP($S19,qx_table,MATCH(BK$11,qx_title,0)+sexB),0)</f>
        <v>0</v>
      </c>
      <c r="BL19" s="131">
        <f t="shared" ca="1" si="76"/>
        <v>0</v>
      </c>
      <c r="BM19" s="131">
        <f ca="1">SUM(BL19:BL$124)*SSg</f>
        <v>0</v>
      </c>
      <c r="BN19" s="70">
        <f t="shared" ca="1" si="77"/>
        <v>99999.814970046282</v>
      </c>
      <c r="BO19" s="2">
        <f t="shared" ref="BO19" ca="1" si="232">IFERROR(VLOOKUP($S19,qx_table,MATCH(BO$11,qx_title,0)+sexB),0)</f>
        <v>0</v>
      </c>
      <c r="BP19" s="131">
        <f t="shared" ca="1" si="79"/>
        <v>0</v>
      </c>
      <c r="BQ19" s="131">
        <f ca="1">SUM(BP19:BP$124)*SSh</f>
        <v>0</v>
      </c>
      <c r="BR19" s="70">
        <f t="shared" ca="1" si="80"/>
        <v>99999.814970046282</v>
      </c>
      <c r="BS19" s="2">
        <f t="shared" ref="BS19" ca="1" si="233">IFERROR(VLOOKUP($S19,qx_table,MATCH(BS$11,qx_title,0)+sexB),0)*IF(R19=0,MCi,1)</f>
        <v>0</v>
      </c>
      <c r="BT19" s="131">
        <f t="shared" ca="1" si="82"/>
        <v>0</v>
      </c>
      <c r="BU19" s="131">
        <f ca="1">SUM(BT19:BT$124)*SSi</f>
        <v>0</v>
      </c>
      <c r="BV19" s="70">
        <f t="shared" ca="1" si="83"/>
        <v>99999.814970046282</v>
      </c>
      <c r="BW19" s="2">
        <f t="shared" ref="BW19" ca="1" si="234">IFERROR(VLOOKUP($S19,qx_table,MATCH(BW$11,qx_title,0)+sexB),0)</f>
        <v>0</v>
      </c>
      <c r="BX19" s="131">
        <f t="shared" ca="1" si="85"/>
        <v>0</v>
      </c>
      <c r="BY19" s="131">
        <f ca="1">SUM(BX19:BX$124)*SSj</f>
        <v>0</v>
      </c>
      <c r="BZ19" s="70">
        <f t="shared" ca="1" si="86"/>
        <v>99999.814970046282</v>
      </c>
      <c r="CA19" s="2">
        <f t="shared" ref="CA19" ca="1" si="235">IFERROR(VLOOKUP($S19,qx_table,MATCH(CA$11,qx_title,0)+sexB),0)</f>
        <v>0</v>
      </c>
      <c r="CB19" s="131">
        <f t="shared" ca="1" si="88"/>
        <v>0</v>
      </c>
      <c r="CC19" s="131">
        <f ca="1">SUM(CB19:CB$124)*SSk</f>
        <v>0</v>
      </c>
      <c r="CD19" s="8">
        <f t="shared" ca="1" si="89"/>
        <v>99999.814970046282</v>
      </c>
      <c r="CE19" s="2">
        <f t="shared" ref="CE19" ca="1" si="236">IFERROR(VLOOKUP($S19,qx_table,MATCH(CE$11,qx_title,0)+sexB),0)</f>
        <v>0</v>
      </c>
      <c r="CF19" s="131">
        <f t="shared" ca="1" si="91"/>
        <v>0</v>
      </c>
      <c r="CG19" s="131">
        <f ca="1">SUM(CF19:CF$124)*SSl</f>
        <v>0</v>
      </c>
      <c r="CH19" s="101">
        <f t="shared" ca="1" si="92"/>
        <v>0.5558511145481364</v>
      </c>
      <c r="CI19" s="154">
        <f t="shared" ca="1" si="37"/>
        <v>0.50635243859164869</v>
      </c>
      <c r="CJ19" s="32">
        <f t="shared" ref="CJ19" ca="1" si="237">+MAX(VLOOKUP(xB+$R19,기수표B,$AH$1)-VLOOKUP(xB+mB,기수표B,$AH$1),0)</f>
        <v>0</v>
      </c>
      <c r="CK19" s="32">
        <f ca="1">+MAX(VLOOKUP(xB+$R19,기수표B,$AH$1)-VLOOKUP(xB+mB,기수표B,$AH$1)-11/24*(VLOOKUP(xB+$R19,기수표B,$AG$1)-VLOOKUP(xB+mB,기수표B,$AG$1)),0)</f>
        <v>0</v>
      </c>
      <c r="CL19" s="32">
        <f t="shared" ref="CL19" ca="1" si="238">+MAX(VLOOKUP(xB+$R19,기수표B,$AA$1)-VLOOKUP(xB+mB,기수표B,$AA$1),0)</f>
        <v>0</v>
      </c>
      <c r="CM19" s="32">
        <f t="shared" ref="CM19" ca="1" si="239">+MAX(VLOOKUP(xB+$R19,기수표B,$AA$1)-VLOOKUP(xB+mB,기수표B,$AA$1)-11/24*(VLOOKUP(xB+$R19,기수표B,$AA$1)-VLOOKUP(xB+mB,기수표B,$AA$1)),0)</f>
        <v>0</v>
      </c>
      <c r="CN19" s="32">
        <f t="shared" ca="1" si="41"/>
        <v>1103590.3604554038</v>
      </c>
      <c r="CO19" s="32">
        <f t="shared" ca="1" si="42"/>
        <v>0</v>
      </c>
      <c r="CP19" s="659">
        <f t="shared" ca="1" si="43"/>
        <v>1.88E-5</v>
      </c>
      <c r="CQ19" s="659">
        <f t="shared" ca="1" si="44"/>
        <v>1.88E-5</v>
      </c>
      <c r="CR19" s="659">
        <f t="shared" ca="1" si="45"/>
        <v>1.8812844519344531E-5</v>
      </c>
      <c r="CS19" s="660">
        <f t="shared" ref="CS19" si="240">+MIN(mB,7)</f>
        <v>5</v>
      </c>
      <c r="CU19" s="13">
        <v>7</v>
      </c>
      <c r="CV19" s="477">
        <f t="shared" ca="1" si="47"/>
        <v>420</v>
      </c>
      <c r="CW19" s="477">
        <f t="shared" ca="1" si="48"/>
        <v>188</v>
      </c>
      <c r="CX19" s="477">
        <f t="shared" ca="1" si="49"/>
        <v>188</v>
      </c>
      <c r="CY19" s="478">
        <f t="shared" ca="1" si="98"/>
        <v>0.44700000000000001</v>
      </c>
    </row>
    <row r="20" spans="2:103">
      <c r="B20" s="124" t="s">
        <v>45</v>
      </c>
      <c r="C20" s="121">
        <f>MAIN!I9</f>
        <v>0</v>
      </c>
      <c r="D20" s="44" t="s">
        <v>526</v>
      </c>
      <c r="F20" s="600" t="s">
        <v>68</v>
      </c>
      <c r="G20" s="69" t="s">
        <v>158</v>
      </c>
      <c r="H20" s="230">
        <f ca="1">+$H$11-$I$11-11/24*($H$10-$I$10)</f>
        <v>473627.95715021837</v>
      </c>
      <c r="I20" s="230"/>
      <c r="J20" s="230"/>
      <c r="K20" s="228">
        <f ca="1">H11-I11</f>
        <v>478457.13731556665</v>
      </c>
      <c r="L20" s="311"/>
      <c r="M20" s="242"/>
      <c r="N20" s="5">
        <f t="shared" si="99"/>
        <v>8</v>
      </c>
      <c r="O20" s="2">
        <f t="shared" ref="O20" ca="1" si="241">+(1+iB)^-N20</f>
        <v>0.836938346351629</v>
      </c>
      <c r="P20" s="2">
        <f t="shared" ref="P20" ca="1" si="242">+(1+iB)^-(N20+0.5)</f>
        <v>0.82767875581660377</v>
      </c>
      <c r="Q20" s="91"/>
      <c r="R20" s="20">
        <f t="shared" si="102"/>
        <v>8</v>
      </c>
      <c r="S20" s="20">
        <f t="shared" ref="S20" si="243">+IF(xB+R20&lt;=xB+nB,xB+R20,"")</f>
        <v>16</v>
      </c>
      <c r="T20" s="2">
        <f t="shared" ref="T20:U20" ca="1" si="244">IFERROR(VLOOKUP($S20,qx_table,MATCH(T$11,qx_title,0)+sexB),0)</f>
        <v>0</v>
      </c>
      <c r="U20" s="2">
        <f t="shared" ca="1" si="244"/>
        <v>3.3000000000000003E-5</v>
      </c>
      <c r="V20" s="300">
        <f>IF(JRB=2,0,IF(R20&gt;=mB-1,_xlfn.XLOOKUP(R20-mB,해지율!#REF!,해지율!#REF!,,1),_xlfn.XLOOKUP(R20,해지율!#REF!,해지율!#REF!,,-1)))</f>
        <v>0</v>
      </c>
      <c r="W20" s="8">
        <f t="shared" ref="W20" ca="1" si="245">IF(R20=0,100000,IF(R20&gt;nB,0,W19*(1-X19)*(1-Y19)))</f>
        <v>99999.780775509556</v>
      </c>
      <c r="X20" s="10">
        <f t="shared" ca="1" si="19"/>
        <v>0</v>
      </c>
      <c r="Y20" s="92">
        <f t="shared" ca="1" si="20"/>
        <v>3.4086000000321803E-7</v>
      </c>
      <c r="Z20" s="8">
        <f t="shared" ca="1" si="106"/>
        <v>83693.65115778039</v>
      </c>
      <c r="AA20" s="8">
        <f ca="1">+SUM(Z20:Z$124)</f>
        <v>1079305.475245171</v>
      </c>
      <c r="AB20" s="8">
        <f t="shared" ca="1" si="21"/>
        <v>0</v>
      </c>
      <c r="AC20" s="209">
        <f ca="1">+SUM(AB20:AB$124)*SSSM</f>
        <v>0</v>
      </c>
      <c r="AD20" s="209">
        <f t="shared" ref="AD20" ca="1" si="246">IF(R20&gt;nB,0,AD19*(1-X19)*(1-Y19)*(1-AE19)*(1-AF19))</f>
        <v>99985.181726681665</v>
      </c>
      <c r="AE20" s="92">
        <f t="shared" ca="1" si="56"/>
        <v>3.2999999999949736E-5</v>
      </c>
      <c r="AF20" s="92">
        <f t="shared" ca="1" si="22"/>
        <v>0</v>
      </c>
      <c r="AG20" s="664">
        <f t="shared" ca="1" si="23"/>
        <v>83681.43265399606</v>
      </c>
      <c r="AH20" s="5">
        <f ca="1">+SUM(AG20:AG$124)</f>
        <v>1078861.1326050989</v>
      </c>
      <c r="AI20" s="70">
        <f t="shared" ca="1" si="24"/>
        <v>2.7309351567798585</v>
      </c>
      <c r="AJ20" s="208">
        <f ca="1">+SUM(AB20:AB$124)*SS50J</f>
        <v>0</v>
      </c>
      <c r="AK20" s="209">
        <f t="shared" ca="1" si="108"/>
        <v>99999.780775509556</v>
      </c>
      <c r="AL20" s="257">
        <f t="shared" ref="AL20" ca="1" si="247">IFERROR(VLOOKUP($S20,qx_table,MATCH(AL$11,qx_title,0)+sexB),0)</f>
        <v>3.4086E-7</v>
      </c>
      <c r="AM20" s="131">
        <f t="shared" ca="1" si="110"/>
        <v>83693.65115778039</v>
      </c>
      <c r="AN20" s="129">
        <f t="shared" ca="1" si="58"/>
        <v>2.8212196222585757E-2</v>
      </c>
      <c r="AO20" s="129">
        <f ca="1">SUM(AN20:AN$124)*SSa</f>
        <v>0.52691222587056941</v>
      </c>
      <c r="AP20" s="70">
        <f t="shared" ca="1" si="59"/>
        <v>99999.780775509556</v>
      </c>
      <c r="AQ20" s="2">
        <f t="shared" ref="AQ20" ca="1" si="248">IFERROR(VLOOKUP($S20,qx_table,MATCH(AQ$11,qx_title,0)+sexB),0)</f>
        <v>0</v>
      </c>
      <c r="AR20" s="127">
        <f t="shared" ca="1" si="61"/>
        <v>0</v>
      </c>
      <c r="AS20" s="127">
        <f ca="1">SUM(AR20:AR$124)*SSb</f>
        <v>0</v>
      </c>
      <c r="AT20" s="70">
        <f t="shared" ca="1" si="62"/>
        <v>99999.780775509556</v>
      </c>
      <c r="AU20" s="2">
        <f t="shared" ref="AU20" ca="1" si="249">IFERROR(VLOOKUP($S20,qx_table,MATCH(AU$11,qx_title,0)+sexB),0)</f>
        <v>0</v>
      </c>
      <c r="AV20" s="268">
        <f t="shared" ca="1" si="64"/>
        <v>0</v>
      </c>
      <c r="AW20" s="131">
        <f ca="1">SUM(AV20:AV$124)*SSc</f>
        <v>0</v>
      </c>
      <c r="AX20" s="70">
        <f t="shared" ca="1" si="65"/>
        <v>99999.780775509556</v>
      </c>
      <c r="AY20" s="2">
        <f t="shared" ref="AY20" ca="1" si="250">IFERROR(VLOOKUP($S20,qx_table,MATCH(AY$11,qx_title,0)+sexB),0)</f>
        <v>0</v>
      </c>
      <c r="AZ20" s="268">
        <f t="shared" ca="1" si="67"/>
        <v>0</v>
      </c>
      <c r="BA20" s="129">
        <f ca="1">SUM(AZ20:AZ$124)*SSd</f>
        <v>0</v>
      </c>
      <c r="BB20" s="70">
        <f t="shared" ca="1" si="68"/>
        <v>99999.780775509556</v>
      </c>
      <c r="BC20" s="257">
        <f t="shared" ref="BC20" ca="1" si="251">IFERROR(VLOOKUP($S20,qx_table,MATCH(BC$11,qx_title,0)+sexB),0)</f>
        <v>0</v>
      </c>
      <c r="BD20" s="268">
        <f t="shared" ca="1" si="70"/>
        <v>0</v>
      </c>
      <c r="BE20" s="131">
        <f ca="1">SUM(BD20:BD$124)*SSe</f>
        <v>0</v>
      </c>
      <c r="BF20" s="70">
        <f t="shared" ca="1" si="71"/>
        <v>99999.780775509556</v>
      </c>
      <c r="BG20" s="2">
        <f t="shared" ref="BG20" ca="1" si="252">IFERROR(VLOOKUP($S20,qx_table,MATCH(BG$11,qx_title,0)+sexB),0)</f>
        <v>0</v>
      </c>
      <c r="BH20" s="131">
        <f t="shared" ca="1" si="73"/>
        <v>0</v>
      </c>
      <c r="BI20" s="2">
        <f ca="1">SUM(BH20:BH$124)*SSf</f>
        <v>0</v>
      </c>
      <c r="BJ20" s="70">
        <f t="shared" ca="1" si="74"/>
        <v>99999.780775509556</v>
      </c>
      <c r="BK20" s="2">
        <f t="shared" ref="BK20" ca="1" si="253">IFERROR(VLOOKUP($S20,qx_table,MATCH(BK$11,qx_title,0)+sexB),0)</f>
        <v>0</v>
      </c>
      <c r="BL20" s="131">
        <f t="shared" ca="1" si="76"/>
        <v>0</v>
      </c>
      <c r="BM20" s="131">
        <f ca="1">SUM(BL20:BL$124)*SSg</f>
        <v>0</v>
      </c>
      <c r="BN20" s="70">
        <f t="shared" ca="1" si="77"/>
        <v>99999.780775509556</v>
      </c>
      <c r="BO20" s="2">
        <f t="shared" ref="BO20" ca="1" si="254">IFERROR(VLOOKUP($S20,qx_table,MATCH(BO$11,qx_title,0)+sexB),0)</f>
        <v>0</v>
      </c>
      <c r="BP20" s="131">
        <f t="shared" ca="1" si="79"/>
        <v>0</v>
      </c>
      <c r="BQ20" s="131">
        <f ca="1">SUM(BP20:BP$124)*SSh</f>
        <v>0</v>
      </c>
      <c r="BR20" s="70">
        <f t="shared" ca="1" si="80"/>
        <v>99999.780775509556</v>
      </c>
      <c r="BS20" s="2">
        <f t="shared" ref="BS20" ca="1" si="255">IFERROR(VLOOKUP($S20,qx_table,MATCH(BS$11,qx_title,0)+sexB),0)*IF(R20=0,MCi,1)</f>
        <v>0</v>
      </c>
      <c r="BT20" s="131">
        <f t="shared" ca="1" si="82"/>
        <v>0</v>
      </c>
      <c r="BU20" s="131">
        <f ca="1">SUM(BT20:BT$124)*SSi</f>
        <v>0</v>
      </c>
      <c r="BV20" s="70">
        <f t="shared" ca="1" si="83"/>
        <v>99999.780775509556</v>
      </c>
      <c r="BW20" s="2">
        <f t="shared" ref="BW20" ca="1" si="256">IFERROR(VLOOKUP($S20,qx_table,MATCH(BW$11,qx_title,0)+sexB),0)</f>
        <v>0</v>
      </c>
      <c r="BX20" s="131">
        <f t="shared" ca="1" si="85"/>
        <v>0</v>
      </c>
      <c r="BY20" s="131">
        <f ca="1">SUM(BX20:BX$124)*SSj</f>
        <v>0</v>
      </c>
      <c r="BZ20" s="70">
        <f t="shared" ca="1" si="86"/>
        <v>99999.780775509556</v>
      </c>
      <c r="CA20" s="2">
        <f t="shared" ref="CA20" ca="1" si="257">IFERROR(VLOOKUP($S20,qx_table,MATCH(CA$11,qx_title,0)+sexB),0)</f>
        <v>0</v>
      </c>
      <c r="CB20" s="131">
        <f t="shared" ca="1" si="88"/>
        <v>0</v>
      </c>
      <c r="CC20" s="131">
        <f ca="1">SUM(CB20:CB$124)*SSk</f>
        <v>0</v>
      </c>
      <c r="CD20" s="8">
        <f t="shared" ca="1" si="89"/>
        <v>99999.780775509556</v>
      </c>
      <c r="CE20" s="2">
        <f t="shared" ref="CE20" ca="1" si="258">IFERROR(VLOOKUP($S20,qx_table,MATCH(CE$11,qx_title,0)+sexB),0)</f>
        <v>0</v>
      </c>
      <c r="CF20" s="131">
        <f t="shared" ca="1" si="91"/>
        <v>0</v>
      </c>
      <c r="CG20" s="131">
        <f ca="1">SUM(CF20:CF$124)*SSl</f>
        <v>0</v>
      </c>
      <c r="CH20" s="101">
        <f t="shared" ca="1" si="92"/>
        <v>0.52691222587056941</v>
      </c>
      <c r="CI20" s="154">
        <f t="shared" ca="1" si="37"/>
        <v>0.47741354991408169</v>
      </c>
      <c r="CJ20" s="32">
        <f t="shared" ref="CJ20" ca="1" si="259">+MAX(VLOOKUP(xB+$R20,기수표B,$AH$1)-VLOOKUP(xB+mB,기수표B,$AH$1),0)</f>
        <v>0</v>
      </c>
      <c r="CK20" s="32">
        <f t="shared" ref="CK20" ca="1" si="260">+MAX(VLOOKUP(xB+$R20,기수표B,$AH$1)-VLOOKUP(xB+mB,기수표B,$AH$1)-11/24*(VLOOKUP(xB+$R20,기수표B,$AG$1)-VLOOKUP(xB+mB,기수표B,$AG$1)),0)</f>
        <v>0</v>
      </c>
      <c r="CL20" s="32">
        <f t="shared" ref="CL20" ca="1" si="261">+MAX(VLOOKUP(xB+$R20,기수표B,$AA$1)-VLOOKUP(xB+mB,기수표B,$AA$1),0)</f>
        <v>0</v>
      </c>
      <c r="CM20" s="32">
        <f t="shared" ref="CM20" ca="1" si="262">+MAX(VLOOKUP(xB+$R20,기수표B,$AA$1)-VLOOKUP(xB+mB,기수표B,$AA$1)-11/24*(VLOOKUP(xB+$R20,기수표B,$AA$1)-VLOOKUP(xB+mB,기수표B,$AA$1)),0)</f>
        <v>0</v>
      </c>
      <c r="CN20" s="32">
        <f t="shared" ca="1" si="41"/>
        <v>1018013.5728839331</v>
      </c>
      <c r="CO20" s="32">
        <f t="shared" ca="1" si="42"/>
        <v>0</v>
      </c>
      <c r="CP20" s="659">
        <f t="shared" ca="1" si="43"/>
        <v>1.7900000000000001E-5</v>
      </c>
      <c r="CQ20" s="659">
        <f t="shared" ca="1" si="44"/>
        <v>1.7900000000000001E-5</v>
      </c>
      <c r="CR20" s="659">
        <f t="shared" ca="1" si="45"/>
        <v>1.7867868137080259E-5</v>
      </c>
      <c r="CS20" s="660">
        <f t="shared" ref="CS20" si="263">+MIN(mB,7)</f>
        <v>5</v>
      </c>
      <c r="CU20" s="13">
        <v>8</v>
      </c>
      <c r="CV20" s="477">
        <f t="shared" ca="1" si="47"/>
        <v>420</v>
      </c>
      <c r="CW20" s="477">
        <f t="shared" ca="1" si="48"/>
        <v>179</v>
      </c>
      <c r="CX20" s="477">
        <f t="shared" ca="1" si="49"/>
        <v>179</v>
      </c>
      <c r="CY20" s="478">
        <f t="shared" ca="1" si="98"/>
        <v>0.42599999999999999</v>
      </c>
    </row>
    <row r="21" spans="2:103">
      <c r="B21" s="124" t="s">
        <v>157</v>
      </c>
      <c r="C21" s="121">
        <f ca="1">MAIN!I11</f>
        <v>0.8</v>
      </c>
      <c r="F21" s="601"/>
      <c r="G21" s="69" t="s">
        <v>542</v>
      </c>
      <c r="H21" s="230">
        <f ca="1">+$H$9-$I$9-11/24*($H$8-$I$8)</f>
        <v>473648.06870835746</v>
      </c>
      <c r="I21" s="230"/>
      <c r="J21" s="230"/>
      <c r="K21" s="230">
        <f ca="1">+$H$9-$I$9</f>
        <v>478473.80435101618</v>
      </c>
      <c r="L21" s="311"/>
      <c r="N21" s="5">
        <f t="shared" si="99"/>
        <v>9</v>
      </c>
      <c r="O21" s="2">
        <f t="shared" ref="O21" ca="1" si="264">+(1+iB)^-N21</f>
        <v>0.81852161012384261</v>
      </c>
      <c r="P21" s="2">
        <f t="shared" ref="P21" ca="1" si="265">+(1+iB)^-(N21+0.5)</f>
        <v>0.80946577585975921</v>
      </c>
      <c r="Q21" s="91"/>
      <c r="R21" s="20">
        <f t="shared" si="102"/>
        <v>9</v>
      </c>
      <c r="S21" s="20">
        <f t="shared" ref="S21" si="266">+IF(xB+R21&lt;=xB+nB,xB+R21,"")</f>
        <v>17</v>
      </c>
      <c r="T21" s="2">
        <f t="shared" ref="T21:U21" ca="1" si="267">IFERROR(VLOOKUP($S21,qx_table,MATCH(T$11,qx_title,0)+sexB),0)</f>
        <v>0</v>
      </c>
      <c r="U21" s="2">
        <f t="shared" ca="1" si="267"/>
        <v>3.1999999999999999E-5</v>
      </c>
      <c r="V21" s="300">
        <f>IF(JRB=2,0,IF(R21&gt;=mB-1,_xlfn.XLOOKUP(R21-mB,해지율!#REF!,해지율!#REF!,,1),_xlfn.XLOOKUP(R21,해지율!#REF!,해지율!#REF!,,-1)))</f>
        <v>0</v>
      </c>
      <c r="W21" s="8">
        <f t="shared" ref="W21" ca="1" si="268">IF(R21=0,100000,IF(R21&gt;nB,0,W20*(1-X20)*(1-Y20)))</f>
        <v>99999.746689584281</v>
      </c>
      <c r="X21" s="10">
        <f t="shared" ca="1" si="19"/>
        <v>0</v>
      </c>
      <c r="Y21" s="92">
        <f t="shared" ca="1" si="20"/>
        <v>3.3972900004286544E-7</v>
      </c>
      <c r="Z21" s="8">
        <f t="shared" ca="1" si="106"/>
        <v>81851.95367233493</v>
      </c>
      <c r="AA21" s="8">
        <f ca="1">+SUM(Z21:Z$124)</f>
        <v>995611.82408739044</v>
      </c>
      <c r="AB21" s="8">
        <f t="shared" ca="1" si="21"/>
        <v>0</v>
      </c>
      <c r="AC21" s="209">
        <f ca="1">+SUM(AB21:AB$124)*SSSM</f>
        <v>0</v>
      </c>
      <c r="AD21" s="209">
        <f t="shared" ref="AD21" ca="1" si="269">IF(R21&gt;nB,0,AD20*(1-X20)*(1-Y20)*(1-AE20)*(1-AF20))</f>
        <v>99981.848135860317</v>
      </c>
      <c r="AE21" s="92">
        <f t="shared" ca="1" si="56"/>
        <v>3.2000000000032003E-5</v>
      </c>
      <c r="AF21" s="92">
        <f t="shared" ca="1" si="22"/>
        <v>0</v>
      </c>
      <c r="AG21" s="664">
        <f t="shared" ca="1" si="23"/>
        <v>81837.303319321902</v>
      </c>
      <c r="AH21" s="5">
        <f ca="1">+SUM(AG21:AG$124)</f>
        <v>995179.69995110272</v>
      </c>
      <c r="AI21" s="70">
        <f t="shared" ca="1" si="24"/>
        <v>2.5898202967445676</v>
      </c>
      <c r="AJ21" s="208">
        <f ca="1">+SUM(AB21:AB$124)*SS50J</f>
        <v>0</v>
      </c>
      <c r="AK21" s="209">
        <f t="shared" ca="1" si="108"/>
        <v>99999.746689584281</v>
      </c>
      <c r="AL21" s="257">
        <f t="shared" ref="AL21" ca="1" si="270">IFERROR(VLOOKUP($S21,qx_table,MATCH(AL$11,qx_title,0)+sexB),0)</f>
        <v>3.3972900000000001E-7</v>
      </c>
      <c r="AM21" s="131">
        <f t="shared" ca="1" si="110"/>
        <v>81851.95367233493</v>
      </c>
      <c r="AN21" s="129">
        <f t="shared" ca="1" si="58"/>
        <v>2.7499830196595364E-2</v>
      </c>
      <c r="AO21" s="129">
        <f ca="1">SUM(AN21:AN$124)*SSa</f>
        <v>0.49870002964798366</v>
      </c>
      <c r="AP21" s="70">
        <f t="shared" ca="1" si="59"/>
        <v>99999.746689584281</v>
      </c>
      <c r="AQ21" s="2">
        <f t="shared" ref="AQ21" ca="1" si="271">IFERROR(VLOOKUP($S21,qx_table,MATCH(AQ$11,qx_title,0)+sexB),0)</f>
        <v>0</v>
      </c>
      <c r="AR21" s="127">
        <f t="shared" ca="1" si="61"/>
        <v>0</v>
      </c>
      <c r="AS21" s="127">
        <f ca="1">SUM(AR21:AR$124)*SSb</f>
        <v>0</v>
      </c>
      <c r="AT21" s="70">
        <f t="shared" ca="1" si="62"/>
        <v>99999.746689584281</v>
      </c>
      <c r="AU21" s="2">
        <f t="shared" ref="AU21" ca="1" si="272">IFERROR(VLOOKUP($S21,qx_table,MATCH(AU$11,qx_title,0)+sexB),0)</f>
        <v>0</v>
      </c>
      <c r="AV21" s="268">
        <f t="shared" ca="1" si="64"/>
        <v>0</v>
      </c>
      <c r="AW21" s="131">
        <f ca="1">SUM(AV21:AV$124)*SSc</f>
        <v>0</v>
      </c>
      <c r="AX21" s="70">
        <f t="shared" ca="1" si="65"/>
        <v>99999.746689584281</v>
      </c>
      <c r="AY21" s="2">
        <f t="shared" ref="AY21" ca="1" si="273">IFERROR(VLOOKUP($S21,qx_table,MATCH(AY$11,qx_title,0)+sexB),0)</f>
        <v>0</v>
      </c>
      <c r="AZ21" s="268">
        <f t="shared" ca="1" si="67"/>
        <v>0</v>
      </c>
      <c r="BA21" s="129">
        <f ca="1">SUM(AZ21:AZ$124)*SSd</f>
        <v>0</v>
      </c>
      <c r="BB21" s="70">
        <f t="shared" ca="1" si="68"/>
        <v>99999.746689584281</v>
      </c>
      <c r="BC21" s="257">
        <f t="shared" ref="BC21" ca="1" si="274">IFERROR(VLOOKUP($S21,qx_table,MATCH(BC$11,qx_title,0)+sexB),0)</f>
        <v>0</v>
      </c>
      <c r="BD21" s="268">
        <f t="shared" ca="1" si="70"/>
        <v>0</v>
      </c>
      <c r="BE21" s="131">
        <f ca="1">SUM(BD21:BD$124)*SSe</f>
        <v>0</v>
      </c>
      <c r="BF21" s="70">
        <f t="shared" ca="1" si="71"/>
        <v>99999.746689584281</v>
      </c>
      <c r="BG21" s="2">
        <f t="shared" ref="BG21" ca="1" si="275">IFERROR(VLOOKUP($S21,qx_table,MATCH(BG$11,qx_title,0)+sexB),0)</f>
        <v>0</v>
      </c>
      <c r="BH21" s="131">
        <f t="shared" ca="1" si="73"/>
        <v>0</v>
      </c>
      <c r="BI21" s="2">
        <f ca="1">SUM(BH21:BH$124)*SSf</f>
        <v>0</v>
      </c>
      <c r="BJ21" s="70">
        <f t="shared" ca="1" si="74"/>
        <v>99999.746689584281</v>
      </c>
      <c r="BK21" s="2">
        <f t="shared" ref="BK21" ca="1" si="276">IFERROR(VLOOKUP($S21,qx_table,MATCH(BK$11,qx_title,0)+sexB),0)</f>
        <v>0</v>
      </c>
      <c r="BL21" s="131">
        <f t="shared" ca="1" si="76"/>
        <v>0</v>
      </c>
      <c r="BM21" s="131">
        <f ca="1">SUM(BL21:BL$124)*SSg</f>
        <v>0</v>
      </c>
      <c r="BN21" s="70">
        <f t="shared" ca="1" si="77"/>
        <v>99999.746689584281</v>
      </c>
      <c r="BO21" s="2">
        <f t="shared" ref="BO21" ca="1" si="277">IFERROR(VLOOKUP($S21,qx_table,MATCH(BO$11,qx_title,0)+sexB),0)</f>
        <v>0</v>
      </c>
      <c r="BP21" s="131">
        <f t="shared" ca="1" si="79"/>
        <v>0</v>
      </c>
      <c r="BQ21" s="131">
        <f ca="1">SUM(BP21:BP$124)*SSh</f>
        <v>0</v>
      </c>
      <c r="BR21" s="70">
        <f t="shared" ca="1" si="80"/>
        <v>99999.746689584281</v>
      </c>
      <c r="BS21" s="2">
        <f t="shared" ref="BS21" ca="1" si="278">IFERROR(VLOOKUP($S21,qx_table,MATCH(BS$11,qx_title,0)+sexB),0)*IF(R21=0,MCi,1)</f>
        <v>0</v>
      </c>
      <c r="BT21" s="131">
        <f t="shared" ca="1" si="82"/>
        <v>0</v>
      </c>
      <c r="BU21" s="131">
        <f ca="1">SUM(BT21:BT$124)*SSi</f>
        <v>0</v>
      </c>
      <c r="BV21" s="70">
        <f t="shared" ca="1" si="83"/>
        <v>99999.746689584281</v>
      </c>
      <c r="BW21" s="2">
        <f t="shared" ref="BW21" ca="1" si="279">IFERROR(VLOOKUP($S21,qx_table,MATCH(BW$11,qx_title,0)+sexB),0)</f>
        <v>0</v>
      </c>
      <c r="BX21" s="131">
        <f t="shared" ca="1" si="85"/>
        <v>0</v>
      </c>
      <c r="BY21" s="131">
        <f ca="1">SUM(BX21:BX$124)*SSj</f>
        <v>0</v>
      </c>
      <c r="BZ21" s="70">
        <f t="shared" ca="1" si="86"/>
        <v>99999.746689584281</v>
      </c>
      <c r="CA21" s="2">
        <f t="shared" ref="CA21" ca="1" si="280">IFERROR(VLOOKUP($S21,qx_table,MATCH(CA$11,qx_title,0)+sexB),0)</f>
        <v>0</v>
      </c>
      <c r="CB21" s="131">
        <f t="shared" ca="1" si="88"/>
        <v>0</v>
      </c>
      <c r="CC21" s="131">
        <f ca="1">SUM(CB21:CB$124)*SSk</f>
        <v>0</v>
      </c>
      <c r="CD21" s="8">
        <f t="shared" ca="1" si="89"/>
        <v>99999.746689584281</v>
      </c>
      <c r="CE21" s="2">
        <f t="shared" ref="CE21" ca="1" si="281">IFERROR(VLOOKUP($S21,qx_table,MATCH(CE$11,qx_title,0)+sexB),0)</f>
        <v>0</v>
      </c>
      <c r="CF21" s="131">
        <f t="shared" ca="1" si="91"/>
        <v>0</v>
      </c>
      <c r="CG21" s="131">
        <f ca="1">SUM(CF21:CF$124)*SSl</f>
        <v>0</v>
      </c>
      <c r="CH21" s="101">
        <f t="shared" ca="1" si="92"/>
        <v>0.49870002964798366</v>
      </c>
      <c r="CI21" s="154">
        <f t="shared" ca="1" si="37"/>
        <v>0.44920135369149594</v>
      </c>
      <c r="CJ21" s="32">
        <f t="shared" ref="CJ21" ca="1" si="282">+MAX(VLOOKUP(xB+$R21,기수표B,$AH$1)-VLOOKUP(xB+mB,기수표B,$AH$1),0)</f>
        <v>0</v>
      </c>
      <c r="CK21" s="32">
        <f t="shared" ref="CK21" ca="1" si="283">+MAX(VLOOKUP(xB+$R21,기수표B,$AH$1)-VLOOKUP(xB+mB,기수표B,$AH$1)-11/24*(VLOOKUP(xB+$R21,기수표B,$AG$1)-VLOOKUP(xB+mB,기수표B,$AG$1)),0)</f>
        <v>0</v>
      </c>
      <c r="CL21" s="32">
        <f t="shared" ref="CL21" ca="1" si="284">+MAX(VLOOKUP(xB+$R21,기수표B,$AA$1)-VLOOKUP(xB+mB,기수표B,$AA$1),0)</f>
        <v>0</v>
      </c>
      <c r="CM21" s="32">
        <f t="shared" ref="CM21" ca="1" si="285">+MAX(VLOOKUP(xB+$R21,기수표B,$AA$1)-VLOOKUP(xB+mB,기수표B,$AA$1)-11/24*(VLOOKUP(xB+$R21,기수표B,$AA$1)-VLOOKUP(xB+mB,기수표B,$AA$1)),0)</f>
        <v>0</v>
      </c>
      <c r="CN21" s="32">
        <f t="shared" ca="1" si="41"/>
        <v>934319.92172615253</v>
      </c>
      <c r="CO21" s="32">
        <f t="shared" ca="1" si="42"/>
        <v>0</v>
      </c>
      <c r="CP21" s="659">
        <f t="shared" ca="1" si="43"/>
        <v>1.6900000000000001E-5</v>
      </c>
      <c r="CQ21" s="659">
        <f t="shared" ca="1" si="44"/>
        <v>1.6900000000000001E-5</v>
      </c>
      <c r="CR21" s="659">
        <f t="shared" ca="1" si="45"/>
        <v>1.6902727587371732E-5</v>
      </c>
      <c r="CS21" s="660">
        <f t="shared" ref="CS21" si="286">+MIN(mB,7)</f>
        <v>5</v>
      </c>
      <c r="CU21" s="13">
        <v>9</v>
      </c>
      <c r="CV21" s="477">
        <f t="shared" ca="1" si="47"/>
        <v>420</v>
      </c>
      <c r="CW21" s="477">
        <f t="shared" ca="1" si="48"/>
        <v>169</v>
      </c>
      <c r="CX21" s="477">
        <f t="shared" ca="1" si="49"/>
        <v>169</v>
      </c>
      <c r="CY21" s="478">
        <f t="shared" ca="1" si="98"/>
        <v>0.40200000000000002</v>
      </c>
    </row>
    <row r="22" spans="2:103">
      <c r="B22" s="124" t="s">
        <v>91</v>
      </c>
      <c r="C22" s="245">
        <f ca="1">MAIN!I10</f>
        <v>0</v>
      </c>
      <c r="D22" s="44" t="s">
        <v>90</v>
      </c>
      <c r="E22" s="44"/>
      <c r="F22" s="601"/>
      <c r="G22" s="18" t="s">
        <v>63</v>
      </c>
      <c r="H22" s="251">
        <f ca="1">H$16</f>
        <v>0.66570029845010426</v>
      </c>
      <c r="I22" s="251"/>
      <c r="J22" s="251"/>
      <c r="K22" s="251">
        <f t="shared" ref="K22" ca="1" si="287">$H$16</f>
        <v>0.66570029845010426</v>
      </c>
      <c r="L22" s="312"/>
      <c r="N22" s="5">
        <f t="shared" si="99"/>
        <v>10</v>
      </c>
      <c r="O22" s="2">
        <f t="shared" ref="O22" ca="1" si="288">+(1+iB)^-N22</f>
        <v>0.8005101321504573</v>
      </c>
      <c r="P22" s="2">
        <f t="shared" ref="P22" ca="1" si="289">+(1+iB)^-(N22+0.5)</f>
        <v>0.79165357052299201</v>
      </c>
      <c r="Q22" s="91"/>
      <c r="R22" s="486">
        <f t="shared" si="102"/>
        <v>10</v>
      </c>
      <c r="S22" s="486">
        <f t="shared" ref="S22" si="290">+IF(xB+R22&lt;=xB+nB,xB+R22,"")</f>
        <v>18</v>
      </c>
      <c r="T22" s="231">
        <f t="shared" ref="T22:U22" ca="1" si="291">IFERROR(VLOOKUP($S22,qx_table,MATCH(T$11,qx_title,0)+sexB),0)</f>
        <v>0</v>
      </c>
      <c r="U22" s="231">
        <f t="shared" ca="1" si="291"/>
        <v>3.1999999999999999E-5</v>
      </c>
      <c r="V22" s="487">
        <f>IF(JRB=2,0,IF(R22&gt;=mB-1,_xlfn.XLOOKUP(R22-mB,해지율!#REF!,해지율!#REF!,,1),_xlfn.XLOOKUP(R22,해지율!#REF!,해지율!#REF!,,-1)))</f>
        <v>0</v>
      </c>
      <c r="W22" s="232">
        <f t="shared" ref="W22" ca="1" si="292">IF(R22=0,100000,IF(R22&gt;nB,0,W21*(1-X21)*(1-Y21)))</f>
        <v>99999.712716770329</v>
      </c>
      <c r="X22" s="233">
        <f t="shared" ca="1" si="19"/>
        <v>0</v>
      </c>
      <c r="Y22" s="233">
        <f t="shared" ca="1" si="20"/>
        <v>3.3763499995842494E-7</v>
      </c>
      <c r="Z22" s="232">
        <f t="shared" ca="1" si="106"/>
        <v>80050.783241909579</v>
      </c>
      <c r="AA22" s="232">
        <f ca="1">+SUM(Z22:Z$124)</f>
        <v>913759.87041505543</v>
      </c>
      <c r="AB22" s="232">
        <f t="shared" ca="1" si="21"/>
        <v>0</v>
      </c>
      <c r="AC22" s="234">
        <f ca="1">+SUM(AB22:AB$124)*SSSM</f>
        <v>0</v>
      </c>
      <c r="AD22" s="234">
        <f t="shared" ref="AD22" ca="1" si="293">IF(R22&gt;nB,0,AD21*(1-X21)*(1-Y21)*(1-AE21)*(1-AF21))</f>
        <v>99978.614751073619</v>
      </c>
      <c r="AE22" s="235">
        <f t="shared" ca="1" si="56"/>
        <v>3.2000000000032003E-5</v>
      </c>
      <c r="AF22" s="235">
        <f t="shared" ca="1" si="22"/>
        <v>0</v>
      </c>
      <c r="AG22" s="664">
        <f t="shared" ca="1" si="23"/>
        <v>80033.894106601598</v>
      </c>
      <c r="AH22" s="236">
        <f ca="1">+SUM(AG22:AG$124)</f>
        <v>913342.3966317809</v>
      </c>
      <c r="AI22" s="237">
        <f t="shared" ca="1" si="24"/>
        <v>2.5327496749986964</v>
      </c>
      <c r="AJ22" s="238">
        <f ca="1">+SUM(AB22:AB$124)*SS50J</f>
        <v>0</v>
      </c>
      <c r="AK22" s="234">
        <f t="shared" ca="1" si="108"/>
        <v>99999.712716770329</v>
      </c>
      <c r="AL22" s="488">
        <f ca="1">IFERROR(VLOOKUP($S22,qx_table,MATCH(AL$11,qx_title,0)+sexB),0)</f>
        <v>3.3763499999999997E-7</v>
      </c>
      <c r="AM22" s="489">
        <f t="shared" ca="1" si="110"/>
        <v>80050.783241909579</v>
      </c>
      <c r="AN22" s="490">
        <f t="shared" ca="1" si="58"/>
        <v>2.6728918540431999E-2</v>
      </c>
      <c r="AO22" s="490">
        <f ca="1">SUM(AN22:AN$124)*SSa</f>
        <v>0.47120019945138825</v>
      </c>
      <c r="AP22" s="237">
        <f t="shared" ca="1" si="59"/>
        <v>99999.712716770329</v>
      </c>
      <c r="AQ22" s="231">
        <f t="shared" ref="AQ22" ca="1" si="294">IFERROR(VLOOKUP($S22,qx_table,MATCH(AQ$11,qx_title,0)+sexB),0)</f>
        <v>0</v>
      </c>
      <c r="AR22" s="491">
        <f t="shared" ca="1" si="61"/>
        <v>0</v>
      </c>
      <c r="AS22" s="491">
        <f ca="1">SUM(AR22:AR$124)*SSb</f>
        <v>0</v>
      </c>
      <c r="AT22" s="237">
        <f t="shared" ca="1" si="62"/>
        <v>99999.712716770329</v>
      </c>
      <c r="AU22" s="231">
        <f t="shared" ref="AU22" ca="1" si="295">IFERROR(VLOOKUP($S22,qx_table,MATCH(AU$11,qx_title,0)+sexB),0)</f>
        <v>0</v>
      </c>
      <c r="AV22" s="492">
        <f t="shared" ca="1" si="64"/>
        <v>0</v>
      </c>
      <c r="AW22" s="489">
        <f ca="1">SUM(AV22:AV$124)*SSc</f>
        <v>0</v>
      </c>
      <c r="AX22" s="237">
        <f t="shared" ca="1" si="65"/>
        <v>99999.712716770329</v>
      </c>
      <c r="AY22" s="231">
        <f t="shared" ref="AY22" ca="1" si="296">IFERROR(VLOOKUP($S22,qx_table,MATCH(AY$11,qx_title,0)+sexB),0)</f>
        <v>0</v>
      </c>
      <c r="AZ22" s="492">
        <f t="shared" ca="1" si="67"/>
        <v>0</v>
      </c>
      <c r="BA22" s="490">
        <f ca="1">SUM(AZ22:AZ$124)*SSd</f>
        <v>0</v>
      </c>
      <c r="BB22" s="237">
        <f t="shared" ca="1" si="68"/>
        <v>99999.712716770329</v>
      </c>
      <c r="BC22" s="488">
        <f t="shared" ref="BC22" ca="1" si="297">IFERROR(VLOOKUP($S22,qx_table,MATCH(BC$11,qx_title,0)+sexB),0)</f>
        <v>0</v>
      </c>
      <c r="BD22" s="492">
        <f t="shared" ca="1" si="70"/>
        <v>0</v>
      </c>
      <c r="BE22" s="489">
        <f ca="1">SUM(BD22:BD$124)*SSe</f>
        <v>0</v>
      </c>
      <c r="BF22" s="237">
        <f t="shared" ca="1" si="71"/>
        <v>99999.712716770329</v>
      </c>
      <c r="BG22" s="231">
        <f t="shared" ref="BG22" ca="1" si="298">IFERROR(VLOOKUP($S22,qx_table,MATCH(BG$11,qx_title,0)+sexB),0)</f>
        <v>0</v>
      </c>
      <c r="BH22" s="489">
        <f t="shared" ca="1" si="73"/>
        <v>0</v>
      </c>
      <c r="BI22" s="231">
        <f ca="1">SUM(BH22:BH$124)*SSf</f>
        <v>0</v>
      </c>
      <c r="BJ22" s="237">
        <f t="shared" ca="1" si="74"/>
        <v>99999.712716770329</v>
      </c>
      <c r="BK22" s="231">
        <f t="shared" ref="BK22" ca="1" si="299">IFERROR(VLOOKUP($S22,qx_table,MATCH(BK$11,qx_title,0)+sexB),0)</f>
        <v>0</v>
      </c>
      <c r="BL22" s="489">
        <f t="shared" ca="1" si="76"/>
        <v>0</v>
      </c>
      <c r="BM22" s="489">
        <f ca="1">SUM(BL22:BL$124)*SSg</f>
        <v>0</v>
      </c>
      <c r="BN22" s="237">
        <f t="shared" ca="1" si="77"/>
        <v>99999.712716770329</v>
      </c>
      <c r="BO22" s="231">
        <f t="shared" ref="BO22" ca="1" si="300">IFERROR(VLOOKUP($S22,qx_table,MATCH(BO$11,qx_title,0)+sexB),0)</f>
        <v>0</v>
      </c>
      <c r="BP22" s="489">
        <f t="shared" ca="1" si="79"/>
        <v>0</v>
      </c>
      <c r="BQ22" s="489">
        <f ca="1">SUM(BP22:BP$124)*SSh</f>
        <v>0</v>
      </c>
      <c r="BR22" s="237">
        <f t="shared" ca="1" si="80"/>
        <v>99999.712716770329</v>
      </c>
      <c r="BS22" s="231">
        <f t="shared" ref="BS22" ca="1" si="301">IFERROR(VLOOKUP($S22,qx_table,MATCH(BS$11,qx_title,0)+sexB),0)*IF(R22=0,MCi,1)</f>
        <v>0</v>
      </c>
      <c r="BT22" s="489">
        <f t="shared" ca="1" si="82"/>
        <v>0</v>
      </c>
      <c r="BU22" s="489">
        <f ca="1">SUM(BT22:BT$124)*SSi</f>
        <v>0</v>
      </c>
      <c r="BV22" s="237">
        <f t="shared" ca="1" si="83"/>
        <v>99999.712716770329</v>
      </c>
      <c r="BW22" s="231">
        <f t="shared" ref="BW22" ca="1" si="302">IFERROR(VLOOKUP($S22,qx_table,MATCH(BW$11,qx_title,0)+sexB),0)</f>
        <v>0</v>
      </c>
      <c r="BX22" s="489">
        <f t="shared" ca="1" si="85"/>
        <v>0</v>
      </c>
      <c r="BY22" s="489">
        <f ca="1">SUM(BX22:BX$124)*SSj</f>
        <v>0</v>
      </c>
      <c r="BZ22" s="237">
        <f t="shared" ca="1" si="86"/>
        <v>99999.712716770329</v>
      </c>
      <c r="CA22" s="231">
        <f t="shared" ref="CA22" ca="1" si="303">IFERROR(VLOOKUP($S22,qx_table,MATCH(CA$11,qx_title,0)+sexB),0)</f>
        <v>0</v>
      </c>
      <c r="CB22" s="489">
        <f t="shared" ca="1" si="88"/>
        <v>0</v>
      </c>
      <c r="CC22" s="489">
        <f ca="1">SUM(CB22:CB$124)*SSk</f>
        <v>0</v>
      </c>
      <c r="CD22" s="232">
        <f t="shared" ca="1" si="89"/>
        <v>99999.712716770329</v>
      </c>
      <c r="CE22" s="231">
        <f t="shared" ref="CE22" ca="1" si="304">IFERROR(VLOOKUP($S22,qx_table,MATCH(CE$11,qx_title,0)+sexB),0)</f>
        <v>0</v>
      </c>
      <c r="CF22" s="489">
        <f t="shared" ca="1" si="91"/>
        <v>0</v>
      </c>
      <c r="CG22" s="489">
        <f ca="1">SUM(CF22:CF$124)*SSl</f>
        <v>0</v>
      </c>
      <c r="CH22" s="493">
        <f t="shared" ca="1" si="92"/>
        <v>0.47120019945138825</v>
      </c>
      <c r="CI22" s="494">
        <f t="shared" ca="1" si="37"/>
        <v>0.42170152349490053</v>
      </c>
      <c r="CJ22" s="239">
        <f t="shared" ref="CJ22" ca="1" si="305">+MAX(VLOOKUP(xB+$R22,기수표B,$AH$1)-VLOOKUP(xB+mB,기수표B,$AH$1),0)</f>
        <v>0</v>
      </c>
      <c r="CK22" s="239">
        <f t="shared" ref="CK22" ca="1" si="306">+MAX(VLOOKUP(xB+$R22,기수표B,$AH$1)-VLOOKUP(xB+mB,기수표B,$AH$1)-11/24*(VLOOKUP(xB+$R22,기수표B,$AG$1)-VLOOKUP(xB+mB,기수표B,$AG$1)),0)</f>
        <v>0</v>
      </c>
      <c r="CL22" s="239">
        <f t="shared" ref="CL22" ca="1" si="307">+MAX(VLOOKUP(xB+$R22,기수표B,$AA$1)-VLOOKUP(xB+mB,기수표B,$AA$1),0)</f>
        <v>0</v>
      </c>
      <c r="CM22" s="239">
        <f t="shared" ref="CM22" ca="1" si="308">+MAX(VLOOKUP(xB+$R22,기수표B,$AA$1)-VLOOKUP(xB+mB,기수표B,$AA$1)-11/24*(VLOOKUP(xB+$R22,기수표B,$AA$1)-VLOOKUP(xB+mB,기수표B,$AA$1)),0)</f>
        <v>0</v>
      </c>
      <c r="CN22" s="239">
        <f t="shared" ca="1" si="41"/>
        <v>852467.96805381752</v>
      </c>
      <c r="CO22" s="239">
        <f t="shared" ca="1" si="42"/>
        <v>0</v>
      </c>
      <c r="CP22" s="659">
        <f t="shared" ca="1" si="43"/>
        <v>1.59E-5</v>
      </c>
      <c r="CQ22" s="659">
        <f t="shared" ca="1" si="44"/>
        <v>1.59E-5</v>
      </c>
      <c r="CR22" s="659">
        <f t="shared" ca="1" si="45"/>
        <v>1.591701467427545E-5</v>
      </c>
      <c r="CS22" s="660">
        <f t="shared" ref="CS22" si="309">+MIN(mB,7)</f>
        <v>5</v>
      </c>
      <c r="CU22" s="13">
        <v>10</v>
      </c>
      <c r="CV22" s="477">
        <f t="shared" ca="1" si="47"/>
        <v>420</v>
      </c>
      <c r="CW22" s="477">
        <f t="shared" ca="1" si="48"/>
        <v>159</v>
      </c>
      <c r="CX22" s="477">
        <f t="shared" ca="1" si="49"/>
        <v>159</v>
      </c>
      <c r="CY22" s="478">
        <f t="shared" ca="1" si="98"/>
        <v>0.378</v>
      </c>
    </row>
    <row r="23" spans="2:103">
      <c r="B23" s="124" t="s">
        <v>524</v>
      </c>
      <c r="C23" s="261">
        <v>0</v>
      </c>
      <c r="D23" s="44"/>
      <c r="E23" s="44"/>
      <c r="F23" s="601"/>
      <c r="G23" s="18" t="s">
        <v>64</v>
      </c>
      <c r="H23" s="228">
        <f ca="1">12*H20</f>
        <v>5683535.4858026206</v>
      </c>
      <c r="I23" s="228"/>
      <c r="J23" s="228"/>
      <c r="K23" s="228">
        <f ca="1">K20</f>
        <v>478457.13731556665</v>
      </c>
      <c r="L23" s="311"/>
      <c r="N23" s="5">
        <f t="shared" si="99"/>
        <v>11</v>
      </c>
      <c r="O23" s="2">
        <f t="shared" ref="O23" ca="1" si="310">+(1+iB)^-N23</f>
        <v>0.78289499476817348</v>
      </c>
      <c r="P23" s="2">
        <f t="shared" ref="P23" ca="1" si="311">+(1+iB)^-(N23+0.5)</f>
        <v>0.77423332080488216</v>
      </c>
      <c r="Q23" s="91"/>
      <c r="R23" s="20">
        <f t="shared" si="102"/>
        <v>11</v>
      </c>
      <c r="S23" s="20">
        <f t="shared" ref="S23" si="312">+IF(xB+R23&lt;=xB+nB,xB+R23,"")</f>
        <v>19</v>
      </c>
      <c r="T23" s="2">
        <f t="shared" ref="T23:U23" ca="1" si="313">IFERROR(VLOOKUP($S23,qx_table,MATCH(T$11,qx_title,0)+sexB),0)</f>
        <v>0</v>
      </c>
      <c r="U23" s="2">
        <f t="shared" ca="1" si="313"/>
        <v>3.1999999999999999E-5</v>
      </c>
      <c r="V23" s="300">
        <f>IF(JRB=2,0,IF(R23&gt;=mB-1,_xlfn.XLOOKUP(R23-mB,해지율!#REF!,해지율!#REF!,,1),_xlfn.XLOOKUP(R23,해지율!#REF!,해지율!#REF!,,-1)))</f>
        <v>0</v>
      </c>
      <c r="W23" s="8">
        <f t="shared" ref="W23" ca="1" si="314">IF(R23=0,100000,IF(R23&gt;nB,0,W22*(1-X22)*(1-Y22)))</f>
        <v>99999.678953367329</v>
      </c>
      <c r="X23" s="10">
        <f t="shared" ca="1" si="19"/>
        <v>0</v>
      </c>
      <c r="Y23" s="10">
        <f t="shared" ca="1" si="20"/>
        <v>3.323239999852845E-7</v>
      </c>
      <c r="Z23" s="8">
        <f t="shared" ca="1" si="106"/>
        <v>78289.248131015542</v>
      </c>
      <c r="AA23" s="8">
        <f ca="1">+SUM(Z23:Z$124)</f>
        <v>833709.08717314596</v>
      </c>
      <c r="AB23" s="8">
        <f t="shared" ca="1" si="21"/>
        <v>0</v>
      </c>
      <c r="AC23" s="209">
        <f ca="1">+SUM(AB23:AB$124)*SSSM</f>
        <v>0</v>
      </c>
      <c r="AD23" s="209">
        <f t="shared" ref="AD23" ca="1" si="315">IF(R23&gt;nB,0,AD22*(1-X22)*(1-Y22)*(1-AE22)*(1-AF22))</f>
        <v>99975.38168020219</v>
      </c>
      <c r="AE23" s="92">
        <f t="shared" ca="1" si="56"/>
        <v>3.2000000000032003E-5</v>
      </c>
      <c r="AF23" s="92">
        <f t="shared" ca="1" si="22"/>
        <v>0</v>
      </c>
      <c r="AG23" s="664">
        <f t="shared" ca="1" si="23"/>
        <v>78270.225917468037</v>
      </c>
      <c r="AH23" s="5">
        <f ca="1">+SUM(AG23:AG$124)</f>
        <v>833308.5025251793</v>
      </c>
      <c r="AI23" s="70">
        <f t="shared" ca="1" si="24"/>
        <v>2.4769366962264301</v>
      </c>
      <c r="AJ23" s="208">
        <f ca="1">+SUM(AB23:AB$124)*SS50J</f>
        <v>0</v>
      </c>
      <c r="AK23" s="209">
        <f t="shared" ca="1" si="108"/>
        <v>99999.678953367329</v>
      </c>
      <c r="AL23" s="257">
        <f t="shared" ref="AL23" ca="1" si="316">IFERROR(VLOOKUP($S23,qx_table,MATCH(AL$11,qx_title,0)+sexB),0)</f>
        <v>3.3232400000000001E-7</v>
      </c>
      <c r="AM23" s="131">
        <f t="shared" ca="1" si="110"/>
        <v>78289.248131015542</v>
      </c>
      <c r="AN23" s="129">
        <f t="shared" ca="1" si="58"/>
        <v>2.5729548806200927E-2</v>
      </c>
      <c r="AO23" s="129">
        <f ca="1">SUM(AN23:AN$124)*SSa</f>
        <v>0.44447128091095622</v>
      </c>
      <c r="AP23" s="70">
        <f t="shared" ca="1" si="59"/>
        <v>99999.678953367329</v>
      </c>
      <c r="AQ23" s="2">
        <f t="shared" ref="AQ23" ca="1" si="317">IFERROR(VLOOKUP($S23,qx_table,MATCH(AQ$11,qx_title,0)+sexB),0)</f>
        <v>0</v>
      </c>
      <c r="AR23" s="127">
        <f t="shared" ca="1" si="61"/>
        <v>0</v>
      </c>
      <c r="AS23" s="127">
        <f ca="1">SUM(AR23:AR$124)*SSb</f>
        <v>0</v>
      </c>
      <c r="AT23" s="70">
        <f t="shared" ca="1" si="62"/>
        <v>99999.678953367329</v>
      </c>
      <c r="AU23" s="2">
        <f t="shared" ref="AU23" ca="1" si="318">IFERROR(VLOOKUP($S23,qx_table,MATCH(AU$11,qx_title,0)+sexB),0)</f>
        <v>0</v>
      </c>
      <c r="AV23" s="268">
        <f t="shared" ca="1" si="64"/>
        <v>0</v>
      </c>
      <c r="AW23" s="131">
        <f ca="1">SUM(AV23:AV$124)*SSc</f>
        <v>0</v>
      </c>
      <c r="AX23" s="70">
        <f t="shared" ca="1" si="65"/>
        <v>99999.678953367329</v>
      </c>
      <c r="AY23" s="2">
        <f t="shared" ref="AY23" ca="1" si="319">IFERROR(VLOOKUP($S23,qx_table,MATCH(AY$11,qx_title,0)+sexB),0)</f>
        <v>0</v>
      </c>
      <c r="AZ23" s="268">
        <f t="shared" ca="1" si="67"/>
        <v>0</v>
      </c>
      <c r="BA23" s="129">
        <f ca="1">SUM(AZ23:AZ$124)*SSd</f>
        <v>0</v>
      </c>
      <c r="BB23" s="70">
        <f t="shared" ca="1" si="68"/>
        <v>99999.678953367329</v>
      </c>
      <c r="BC23" s="257">
        <f t="shared" ref="BC23" ca="1" si="320">IFERROR(VLOOKUP($S23,qx_table,MATCH(BC$11,qx_title,0)+sexB),0)</f>
        <v>0</v>
      </c>
      <c r="BD23" s="268">
        <f t="shared" ca="1" si="70"/>
        <v>0</v>
      </c>
      <c r="BE23" s="131">
        <f ca="1">SUM(BD23:BD$124)*SSe</f>
        <v>0</v>
      </c>
      <c r="BF23" s="70">
        <f t="shared" ca="1" si="71"/>
        <v>99999.678953367329</v>
      </c>
      <c r="BG23" s="2">
        <f t="shared" ref="BG23" ca="1" si="321">IFERROR(VLOOKUP($S23,qx_table,MATCH(BG$11,qx_title,0)+sexB),0)</f>
        <v>0</v>
      </c>
      <c r="BH23" s="131">
        <f t="shared" ca="1" si="73"/>
        <v>0</v>
      </c>
      <c r="BI23" s="2">
        <f ca="1">SUM(BH23:BH$124)*SSf</f>
        <v>0</v>
      </c>
      <c r="BJ23" s="70">
        <f t="shared" ca="1" si="74"/>
        <v>99999.678953367329</v>
      </c>
      <c r="BK23" s="2">
        <f t="shared" ref="BK23" ca="1" si="322">IFERROR(VLOOKUP($S23,qx_table,MATCH(BK$11,qx_title,0)+sexB),0)</f>
        <v>0</v>
      </c>
      <c r="BL23" s="131">
        <f t="shared" ca="1" si="76"/>
        <v>0</v>
      </c>
      <c r="BM23" s="131">
        <f ca="1">SUM(BL23:BL$124)*SSg</f>
        <v>0</v>
      </c>
      <c r="BN23" s="70">
        <f t="shared" ca="1" si="77"/>
        <v>99999.678953367329</v>
      </c>
      <c r="BO23" s="2">
        <f t="shared" ref="BO23" ca="1" si="323">IFERROR(VLOOKUP($S23,qx_table,MATCH(BO$11,qx_title,0)+sexB),0)</f>
        <v>0</v>
      </c>
      <c r="BP23" s="131">
        <f t="shared" ca="1" si="79"/>
        <v>0</v>
      </c>
      <c r="BQ23" s="131">
        <f ca="1">SUM(BP23:BP$124)*SSh</f>
        <v>0</v>
      </c>
      <c r="BR23" s="70">
        <f t="shared" ca="1" si="80"/>
        <v>99999.678953367329</v>
      </c>
      <c r="BS23" s="2">
        <f t="shared" ref="BS23" ca="1" si="324">IFERROR(VLOOKUP($S23,qx_table,MATCH(BS$11,qx_title,0)+sexB),0)*IF(R23=0,MCi,1)</f>
        <v>0</v>
      </c>
      <c r="BT23" s="131">
        <f t="shared" ca="1" si="82"/>
        <v>0</v>
      </c>
      <c r="BU23" s="131">
        <f ca="1">SUM(BT23:BT$124)*SSi</f>
        <v>0</v>
      </c>
      <c r="BV23" s="70">
        <f t="shared" ca="1" si="83"/>
        <v>99999.678953367329</v>
      </c>
      <c r="BW23" s="2">
        <f t="shared" ref="BW23" ca="1" si="325">IFERROR(VLOOKUP($S23,qx_table,MATCH(BW$11,qx_title,0)+sexB),0)</f>
        <v>0</v>
      </c>
      <c r="BX23" s="131">
        <f t="shared" ca="1" si="85"/>
        <v>0</v>
      </c>
      <c r="BY23" s="131">
        <f ca="1">SUM(BX23:BX$124)*SSj</f>
        <v>0</v>
      </c>
      <c r="BZ23" s="70">
        <f t="shared" ca="1" si="86"/>
        <v>99999.678953367329</v>
      </c>
      <c r="CA23" s="2">
        <f t="shared" ref="CA23" ca="1" si="326">IFERROR(VLOOKUP($S23,qx_table,MATCH(CA$11,qx_title,0)+sexB),0)</f>
        <v>0</v>
      </c>
      <c r="CB23" s="131">
        <f t="shared" ca="1" si="88"/>
        <v>0</v>
      </c>
      <c r="CC23" s="131">
        <f ca="1">SUM(CB23:CB$124)*SSk</f>
        <v>0</v>
      </c>
      <c r="CD23" s="8">
        <f t="shared" ca="1" si="89"/>
        <v>99999.678953367329</v>
      </c>
      <c r="CE23" s="2">
        <f t="shared" ref="CE23" ca="1" si="327">IFERROR(VLOOKUP($S23,qx_table,MATCH(CE$11,qx_title,0)+sexB),0)</f>
        <v>0</v>
      </c>
      <c r="CF23" s="131">
        <f t="shared" ca="1" si="91"/>
        <v>0</v>
      </c>
      <c r="CG23" s="131">
        <f ca="1">SUM(CF23:CF$124)*SSl</f>
        <v>0</v>
      </c>
      <c r="CH23" s="101">
        <f t="shared" ca="1" si="92"/>
        <v>0.44447128091095622</v>
      </c>
      <c r="CI23" s="154">
        <f t="shared" ca="1" si="37"/>
        <v>0.39497260495446851</v>
      </c>
      <c r="CJ23" s="32">
        <f t="shared" ref="CJ23" ca="1" si="328">+MAX(VLOOKUP(xB+$R23,기수표B,$AH$1)-VLOOKUP(xB+mB,기수표B,$AH$1),0)</f>
        <v>0</v>
      </c>
      <c r="CK23" s="32">
        <f t="shared" ref="CK23" ca="1" si="329">+MAX(VLOOKUP(xB+$R23,기수표B,$AH$1)-VLOOKUP(xB+mB,기수표B,$AH$1)-11/24*(VLOOKUP(xB+$R23,기수표B,$AG$1)-VLOOKUP(xB+mB,기수표B,$AG$1)),0)</f>
        <v>0</v>
      </c>
      <c r="CL23" s="32">
        <f t="shared" ref="CL23" ca="1" si="330">+MAX(VLOOKUP(xB+$R23,기수표B,$AA$1)-VLOOKUP(xB+mB,기수표B,$AA$1),0)</f>
        <v>0</v>
      </c>
      <c r="CM23" s="32">
        <f t="shared" ref="CM23" ca="1" si="331">+MAX(VLOOKUP(xB+$R23,기수표B,$AA$1)-VLOOKUP(xB+mB,기수표B,$AA$1)-11/24*(VLOOKUP(xB+$R23,기수표B,$AA$1)-VLOOKUP(xB+mB,기수표B,$AA$1)),0)</f>
        <v>0</v>
      </c>
      <c r="CN23" s="32">
        <f t="shared" ca="1" si="41"/>
        <v>772417.18481190805</v>
      </c>
      <c r="CO23" s="32">
        <f t="shared" ca="1" si="42"/>
        <v>0</v>
      </c>
      <c r="CP23" s="659">
        <f t="shared" ca="1" si="43"/>
        <v>1.49E-5</v>
      </c>
      <c r="CQ23" s="659">
        <f t="shared" ca="1" si="44"/>
        <v>1.49E-5</v>
      </c>
      <c r="CR23" s="659">
        <f t="shared" ca="1" si="45"/>
        <v>1.4911240274178803E-5</v>
      </c>
      <c r="CS23" s="660">
        <f t="shared" ref="CS23" si="332">+MIN(mB,7)</f>
        <v>5</v>
      </c>
      <c r="CU23" s="13">
        <v>11</v>
      </c>
      <c r="CV23" s="477">
        <f t="shared" ca="1" si="47"/>
        <v>420</v>
      </c>
      <c r="CW23" s="477">
        <f t="shared" ca="1" si="48"/>
        <v>149</v>
      </c>
      <c r="CX23" s="477">
        <f t="shared" ca="1" si="49"/>
        <v>149</v>
      </c>
      <c r="CY23" s="478">
        <f t="shared" ca="1" si="98"/>
        <v>0.35399999999999998</v>
      </c>
    </row>
    <row r="24" spans="2:103">
      <c r="B24" s="124" t="s">
        <v>43</v>
      </c>
      <c r="C24" s="121">
        <f ca="1">MAIN!I12</f>
        <v>0.35</v>
      </c>
      <c r="D24" s="44"/>
      <c r="E24" s="44"/>
      <c r="F24" s="601"/>
      <c r="G24" s="18" t="s">
        <v>55</v>
      </c>
      <c r="H24" s="454">
        <f ca="1">+H22/H23</f>
        <v>1.171278511611325E-7</v>
      </c>
      <c r="I24" s="244"/>
      <c r="J24" s="244"/>
      <c r="K24" s="254">
        <f ca="1">+K22/K23</f>
        <v>1.3913478272789172E-6</v>
      </c>
      <c r="L24" s="313"/>
      <c r="N24" s="5">
        <f t="shared" si="99"/>
        <v>12</v>
      </c>
      <c r="O24" s="2">
        <f t="shared" ref="O24" ca="1" si="333">+(1+iB)^-N24</f>
        <v>0.76566747654589096</v>
      </c>
      <c r="P24" s="2">
        <f t="shared" ref="P24" ca="1" si="334">+(1+iB)^-(N24+0.5)</f>
        <v>0.75719640176516601</v>
      </c>
      <c r="Q24" s="91"/>
      <c r="R24" s="20">
        <f t="shared" si="102"/>
        <v>12</v>
      </c>
      <c r="S24" s="20">
        <f t="shared" ref="S24" si="335">+IF(xB+R24&lt;=xB+nB,xB+R24,"")</f>
        <v>20</v>
      </c>
      <c r="T24" s="2">
        <f t="shared" ref="T24:U24" ca="1" si="336">IFERROR(VLOOKUP($S24,qx_table,MATCH(T$11,qx_title,0)+sexB),0)</f>
        <v>0</v>
      </c>
      <c r="U24" s="2">
        <f t="shared" ca="1" si="336"/>
        <v>4.8000000000000001E-5</v>
      </c>
      <c r="V24" s="300">
        <f>IF(JRB=2,0,IF(R24&gt;=mB-1,_xlfn.XLOOKUP(R24-mB,해지율!#REF!,해지율!#REF!,,1),_xlfn.XLOOKUP(R24,해지율!#REF!,해지율!#REF!,,-1)))</f>
        <v>0</v>
      </c>
      <c r="W24" s="8">
        <f t="shared" ref="W24" ca="1" si="337">IF(R24=0,100000,IF(R24&gt;nB,0,W23*(1-X23)*(1-Y23)))</f>
        <v>99999.645721074019</v>
      </c>
      <c r="X24" s="10">
        <f t="shared" ca="1" si="19"/>
        <v>0</v>
      </c>
      <c r="Y24" s="10">
        <f t="shared" ca="1" si="20"/>
        <v>3.2291600005063259E-7</v>
      </c>
      <c r="Z24" s="8">
        <f t="shared" ca="1" si="106"/>
        <v>76566.476394737852</v>
      </c>
      <c r="AA24" s="8">
        <f ca="1">+SUM(Z24:Z$124)</f>
        <v>755419.83904213039</v>
      </c>
      <c r="AB24" s="8">
        <f t="shared" ca="1" si="21"/>
        <v>0</v>
      </c>
      <c r="AC24" s="209">
        <f ca="1">+SUM(AB24:AB$124)*SSSM</f>
        <v>0</v>
      </c>
      <c r="AD24" s="209">
        <f t="shared" ref="AD24" ca="1" si="338">IF(R24&gt;nB,0,AD23*(1-X23)*(1-Y23)*(1-AE23)*(1-AF23))</f>
        <v>99972.14924483285</v>
      </c>
      <c r="AE24" s="92">
        <f t="shared" ca="1" si="56"/>
        <v>4.8000000000048004E-5</v>
      </c>
      <c r="AF24" s="92">
        <f t="shared" ca="1" si="22"/>
        <v>0</v>
      </c>
      <c r="AG24" s="664">
        <f t="shared" ca="1" si="23"/>
        <v>76545.423237160372</v>
      </c>
      <c r="AH24" s="5">
        <f ca="1">+SUM(AG24:AG$124)</f>
        <v>755038.27660771122</v>
      </c>
      <c r="AI24" s="70">
        <f t="shared" ca="1" si="24"/>
        <v>3.6335304808796782</v>
      </c>
      <c r="AJ24" s="208">
        <f ca="1">+SUM(AB24:AB$124)*SS50J</f>
        <v>0</v>
      </c>
      <c r="AK24" s="209">
        <f t="shared" ca="1" si="108"/>
        <v>99999.645721074019</v>
      </c>
      <c r="AL24" s="257">
        <f t="shared" ref="AL24" ca="1" si="339">IFERROR(VLOOKUP($S24,qx_table,MATCH(AL$11,qx_title,0)+sexB),0)</f>
        <v>3.2291599999999998E-7</v>
      </c>
      <c r="AM24" s="131">
        <f t="shared" ca="1" si="110"/>
        <v>76566.476394737852</v>
      </c>
      <c r="AN24" s="129">
        <f t="shared" ca="1" si="58"/>
        <v>2.445099670220463E-2</v>
      </c>
      <c r="AO24" s="129">
        <f ca="1">SUM(AN24:AN$124)*SSa</f>
        <v>0.41874173210475529</v>
      </c>
      <c r="AP24" s="70">
        <f t="shared" ca="1" si="59"/>
        <v>99999.645721074019</v>
      </c>
      <c r="AQ24" s="2">
        <f t="shared" ref="AQ24" ca="1" si="340">IFERROR(VLOOKUP($S24,qx_table,MATCH(AQ$11,qx_title,0)+sexB),0)</f>
        <v>0</v>
      </c>
      <c r="AR24" s="127">
        <f t="shared" ca="1" si="61"/>
        <v>0</v>
      </c>
      <c r="AS24" s="127">
        <f ca="1">SUM(AR24:AR$124)*SSb</f>
        <v>0</v>
      </c>
      <c r="AT24" s="70">
        <f t="shared" ca="1" si="62"/>
        <v>99999.645721074019</v>
      </c>
      <c r="AU24" s="2">
        <f t="shared" ref="AU24" ca="1" si="341">IFERROR(VLOOKUP($S24,qx_table,MATCH(AU$11,qx_title,0)+sexB),0)</f>
        <v>0</v>
      </c>
      <c r="AV24" s="268">
        <f t="shared" ca="1" si="64"/>
        <v>0</v>
      </c>
      <c r="AW24" s="131">
        <f ca="1">SUM(AV24:AV$124)*SSc</f>
        <v>0</v>
      </c>
      <c r="AX24" s="70">
        <f t="shared" ca="1" si="65"/>
        <v>99999.645721074019</v>
      </c>
      <c r="AY24" s="2">
        <f t="shared" ref="AY24" ca="1" si="342">IFERROR(VLOOKUP($S24,qx_table,MATCH(AY$11,qx_title,0)+sexB),0)</f>
        <v>0</v>
      </c>
      <c r="AZ24" s="268">
        <f t="shared" ca="1" si="67"/>
        <v>0</v>
      </c>
      <c r="BA24" s="129">
        <f ca="1">SUM(AZ24:AZ$124)*SSd</f>
        <v>0</v>
      </c>
      <c r="BB24" s="70">
        <f t="shared" ca="1" si="68"/>
        <v>99999.645721074019</v>
      </c>
      <c r="BC24" s="257">
        <f t="shared" ref="BC24" ca="1" si="343">IFERROR(VLOOKUP($S24,qx_table,MATCH(BC$11,qx_title,0)+sexB),0)</f>
        <v>0</v>
      </c>
      <c r="BD24" s="268">
        <f t="shared" ca="1" si="70"/>
        <v>0</v>
      </c>
      <c r="BE24" s="131">
        <f ca="1">SUM(BD24:BD$124)*SSe</f>
        <v>0</v>
      </c>
      <c r="BF24" s="70">
        <f t="shared" ca="1" si="71"/>
        <v>99999.645721074019</v>
      </c>
      <c r="BG24" s="2">
        <f t="shared" ref="BG24" ca="1" si="344">IFERROR(VLOOKUP($S24,qx_table,MATCH(BG$11,qx_title,0)+sexB),0)</f>
        <v>0</v>
      </c>
      <c r="BH24" s="131">
        <f t="shared" ca="1" si="73"/>
        <v>0</v>
      </c>
      <c r="BI24" s="2">
        <f ca="1">SUM(BH24:BH$124)*SSf</f>
        <v>0</v>
      </c>
      <c r="BJ24" s="70">
        <f t="shared" ca="1" si="74"/>
        <v>99999.645721074019</v>
      </c>
      <c r="BK24" s="2">
        <f t="shared" ref="BK24" ca="1" si="345">IFERROR(VLOOKUP($S24,qx_table,MATCH(BK$11,qx_title,0)+sexB),0)</f>
        <v>0</v>
      </c>
      <c r="BL24" s="131">
        <f t="shared" ca="1" si="76"/>
        <v>0</v>
      </c>
      <c r="BM24" s="131">
        <f ca="1">SUM(BL24:BL$124)*SSg</f>
        <v>0</v>
      </c>
      <c r="BN24" s="70">
        <f t="shared" ca="1" si="77"/>
        <v>99999.645721074019</v>
      </c>
      <c r="BO24" s="2">
        <f t="shared" ref="BO24" ca="1" si="346">IFERROR(VLOOKUP($S24,qx_table,MATCH(BO$11,qx_title,0)+sexB),0)</f>
        <v>0</v>
      </c>
      <c r="BP24" s="131">
        <f t="shared" ca="1" si="79"/>
        <v>0</v>
      </c>
      <c r="BQ24" s="131">
        <f ca="1">SUM(BP24:BP$124)*SSh</f>
        <v>0</v>
      </c>
      <c r="BR24" s="70">
        <f t="shared" ca="1" si="80"/>
        <v>99999.645721074019</v>
      </c>
      <c r="BS24" s="2">
        <f t="shared" ref="BS24" ca="1" si="347">IFERROR(VLOOKUP($S24,qx_table,MATCH(BS$11,qx_title,0)+sexB),0)*IF(R24=0,MCi,1)</f>
        <v>0</v>
      </c>
      <c r="BT24" s="131">
        <f t="shared" ca="1" si="82"/>
        <v>0</v>
      </c>
      <c r="BU24" s="131">
        <f ca="1">SUM(BT24:BT$124)*SSi</f>
        <v>0</v>
      </c>
      <c r="BV24" s="70">
        <f t="shared" ca="1" si="83"/>
        <v>99999.645721074019</v>
      </c>
      <c r="BW24" s="2">
        <f t="shared" ref="BW24" ca="1" si="348">IFERROR(VLOOKUP($S24,qx_table,MATCH(BW$11,qx_title,0)+sexB),0)</f>
        <v>0</v>
      </c>
      <c r="BX24" s="131">
        <f t="shared" ca="1" si="85"/>
        <v>0</v>
      </c>
      <c r="BY24" s="131">
        <f ca="1">SUM(BX24:BX$124)*SSj</f>
        <v>0</v>
      </c>
      <c r="BZ24" s="70">
        <f t="shared" ca="1" si="86"/>
        <v>99999.645721074019</v>
      </c>
      <c r="CA24" s="2">
        <f t="shared" ref="CA24" ca="1" si="349">IFERROR(VLOOKUP($S24,qx_table,MATCH(CA$11,qx_title,0)+sexB),0)</f>
        <v>0</v>
      </c>
      <c r="CB24" s="131">
        <f t="shared" ca="1" si="88"/>
        <v>0</v>
      </c>
      <c r="CC24" s="131">
        <f ca="1">SUM(CB24:CB$124)*SSk</f>
        <v>0</v>
      </c>
      <c r="CD24" s="8">
        <f t="shared" ca="1" si="89"/>
        <v>99999.645721074019</v>
      </c>
      <c r="CE24" s="2">
        <f t="shared" ref="CE24" ca="1" si="350">IFERROR(VLOOKUP($S24,qx_table,MATCH(CE$11,qx_title,0)+sexB),0)</f>
        <v>0</v>
      </c>
      <c r="CF24" s="131">
        <f t="shared" ca="1" si="91"/>
        <v>0</v>
      </c>
      <c r="CG24" s="131">
        <f ca="1">SUM(CF24:CF$124)*SSl</f>
        <v>0</v>
      </c>
      <c r="CH24" s="101">
        <f t="shared" ca="1" si="92"/>
        <v>0.41874173210475529</v>
      </c>
      <c r="CI24" s="154">
        <f t="shared" ca="1" si="37"/>
        <v>0.36924305614826758</v>
      </c>
      <c r="CJ24" s="32">
        <f t="shared" ref="CJ24" ca="1" si="351">+MAX(VLOOKUP(xB+$R24,기수표B,$AH$1)-VLOOKUP(xB+mB,기수표B,$AH$1),0)</f>
        <v>0</v>
      </c>
      <c r="CK24" s="32">
        <f t="shared" ref="CK24" ca="1" si="352">+MAX(VLOOKUP(xB+$R24,기수표B,$AH$1)-VLOOKUP(xB+mB,기수표B,$AH$1)-11/24*(VLOOKUP(xB+$R24,기수표B,$AG$1)-VLOOKUP(xB+mB,기수표B,$AG$1)),0)</f>
        <v>0</v>
      </c>
      <c r="CL24" s="32">
        <f t="shared" ref="CL24" ca="1" si="353">+MAX(VLOOKUP(xB+$R24,기수표B,$AA$1)-VLOOKUP(xB+mB,기수표B,$AA$1),0)</f>
        <v>0</v>
      </c>
      <c r="CM24" s="32">
        <f t="shared" ref="CM24" ca="1" si="354">+MAX(VLOOKUP(xB+$R24,기수표B,$AA$1)-VLOOKUP(xB+mB,기수표B,$AA$1)-11/24*(VLOOKUP(xB+$R24,기수표B,$AA$1)-VLOOKUP(xB+mB,기수표B,$AA$1)),0)</f>
        <v>0</v>
      </c>
      <c r="CN24" s="32">
        <f t="shared" ca="1" si="41"/>
        <v>694127.93668089248</v>
      </c>
      <c r="CO24" s="32">
        <f t="shared" ca="1" si="42"/>
        <v>0</v>
      </c>
      <c r="CP24" s="659">
        <f t="shared" ca="1" si="43"/>
        <v>1.3900000000000001E-5</v>
      </c>
      <c r="CQ24" s="659">
        <f t="shared" ca="1" si="44"/>
        <v>1.3900000000000001E-5</v>
      </c>
      <c r="CR24" s="659">
        <f t="shared" ca="1" si="45"/>
        <v>1.3888205947299436E-5</v>
      </c>
      <c r="CS24" s="660">
        <f t="shared" ref="CS24" si="355">+MIN(mB,7)</f>
        <v>5</v>
      </c>
      <c r="CU24" s="13">
        <v>12</v>
      </c>
      <c r="CV24" s="477">
        <f t="shared" ca="1" si="47"/>
        <v>420</v>
      </c>
      <c r="CW24" s="477">
        <f t="shared" ca="1" si="48"/>
        <v>139</v>
      </c>
      <c r="CX24" s="477">
        <f t="shared" ca="1" si="49"/>
        <v>139</v>
      </c>
      <c r="CY24" s="478">
        <f t="shared" ca="1" si="98"/>
        <v>0.33</v>
      </c>
    </row>
    <row r="25" spans="2:103">
      <c r="B25" s="124" t="s">
        <v>95</v>
      </c>
      <c r="C25" s="245">
        <f ca="1">MAIN!I13</f>
        <v>9.9999999999999995E-7</v>
      </c>
      <c r="D25" s="44"/>
      <c r="E25" s="44"/>
      <c r="F25" s="601"/>
      <c r="G25" s="18" t="s">
        <v>72</v>
      </c>
      <c r="H25" s="322">
        <f ca="1">+H24+$C$26*$H$13/(12*H20)</f>
        <v>3.4243897657157633E-7</v>
      </c>
      <c r="I25" s="299"/>
      <c r="J25" s="299"/>
      <c r="K25" s="299">
        <f ca="1">+K24+$C$26*$H$13/K20</f>
        <v>4.0677919154601869E-6</v>
      </c>
      <c r="L25" s="314"/>
      <c r="N25" s="5">
        <f t="shared" si="99"/>
        <v>13</v>
      </c>
      <c r="O25" s="2">
        <f t="shared" ref="O25" ca="1" si="356">+(1+iB)^-N25</f>
        <v>0.74881904796664145</v>
      </c>
      <c r="P25" s="2">
        <f t="shared" ref="P25" ca="1" si="357">+(1+iB)^-(N25+0.5)</f>
        <v>0.74053437825444102</v>
      </c>
      <c r="Q25" s="91"/>
      <c r="R25" s="20">
        <f t="shared" si="102"/>
        <v>13</v>
      </c>
      <c r="S25" s="20">
        <f t="shared" ref="S25" si="358">+IF(xB+R25&lt;=xB+nB,xB+R25,"")</f>
        <v>21</v>
      </c>
      <c r="T25" s="2">
        <f t="shared" ref="T25:U25" ca="1" si="359">IFERROR(VLOOKUP($S25,qx_table,MATCH(T$11,qx_title,0)+sexB),0)</f>
        <v>0</v>
      </c>
      <c r="U25" s="2">
        <f t="shared" ca="1" si="359"/>
        <v>4.8000000000000001E-5</v>
      </c>
      <c r="V25" s="300">
        <f>IF(JRB=2,0,IF(R25&gt;=mB-1,_xlfn.XLOOKUP(R25-mB,해지율!#REF!,해지율!#REF!,,1),_xlfn.XLOOKUP(R25,해지율!#REF!,해지율!#REF!,,-1)))</f>
        <v>0</v>
      </c>
      <c r="W25" s="8">
        <f t="shared" ref="W25" ca="1" si="360">IF(R25=0,100000,IF(R25&gt;nB,0,W24*(1-X24)*(1-Y24)))</f>
        <v>99999.613429588411</v>
      </c>
      <c r="X25" s="10">
        <f t="shared" ca="1" si="19"/>
        <v>0</v>
      </c>
      <c r="Y25" s="10">
        <f t="shared" ca="1" si="20"/>
        <v>3.1199999994679928E-7</v>
      </c>
      <c r="Z25" s="8">
        <f t="shared" ca="1" si="106"/>
        <v>74881.615325376566</v>
      </c>
      <c r="AA25" s="8">
        <f ca="1">+SUM(Z25:Z$124)</f>
        <v>678853.36264739255</v>
      </c>
      <c r="AB25" s="8">
        <f t="shared" ca="1" si="21"/>
        <v>0</v>
      </c>
      <c r="AC25" s="209">
        <f ca="1">+SUM(AB25:AB$124)*SSSM</f>
        <v>0</v>
      </c>
      <c r="AD25" s="209">
        <f t="shared" ref="AD25" ca="1" si="361">IF(R25&gt;nB,0,AD24*(1-X24)*(1-Y24)*(1-AE24)*(1-AF24))</f>
        <v>99967.318300612111</v>
      </c>
      <c r="AE25" s="92">
        <f t="shared" ca="1" si="56"/>
        <v>4.8000000000048004E-5</v>
      </c>
      <c r="AF25" s="92">
        <f t="shared" ca="1" si="22"/>
        <v>0</v>
      </c>
      <c r="AG25" s="664">
        <f t="shared" ca="1" si="23"/>
        <v>74857.432117642573</v>
      </c>
      <c r="AH25" s="5">
        <f ca="1">+SUM(AG25:AG$124)</f>
        <v>678492.8533705509</v>
      </c>
      <c r="AI25" s="70">
        <f t="shared" ca="1" si="24"/>
        <v>3.5534033233719184</v>
      </c>
      <c r="AJ25" s="208">
        <f ca="1">+SUM(AB25:AB$124)*SS50J</f>
        <v>0</v>
      </c>
      <c r="AK25" s="209">
        <f t="shared" ca="1" si="108"/>
        <v>99999.613429588411</v>
      </c>
      <c r="AL25" s="257">
        <f t="shared" ref="AL25" ca="1" si="362">IFERROR(VLOOKUP($S25,qx_table,MATCH(AL$11,qx_title,0)+sexB),0)</f>
        <v>3.1199999999999999E-7</v>
      </c>
      <c r="AM25" s="131">
        <f t="shared" ca="1" si="110"/>
        <v>74881.615325376566</v>
      </c>
      <c r="AN25" s="129">
        <f t="shared" ca="1" si="58"/>
        <v>2.3104583285710589E-2</v>
      </c>
      <c r="AO25" s="129">
        <f ca="1">SUM(AN25:AN$124)*SSa</f>
        <v>0.39429073540255066</v>
      </c>
      <c r="AP25" s="70">
        <f t="shared" ca="1" si="59"/>
        <v>99999.613429588411</v>
      </c>
      <c r="AQ25" s="2">
        <f t="shared" ref="AQ25" ca="1" si="363">IFERROR(VLOOKUP($S25,qx_table,MATCH(AQ$11,qx_title,0)+sexB),0)</f>
        <v>0</v>
      </c>
      <c r="AR25" s="127">
        <f t="shared" ca="1" si="61"/>
        <v>0</v>
      </c>
      <c r="AS25" s="127">
        <f ca="1">SUM(AR25:AR$124)*SSb</f>
        <v>0</v>
      </c>
      <c r="AT25" s="70">
        <f t="shared" ca="1" si="62"/>
        <v>99999.613429588411</v>
      </c>
      <c r="AU25" s="2">
        <f t="shared" ref="AU25" ca="1" si="364">IFERROR(VLOOKUP($S25,qx_table,MATCH(AU$11,qx_title,0)+sexB),0)</f>
        <v>0</v>
      </c>
      <c r="AV25" s="268">
        <f t="shared" ca="1" si="64"/>
        <v>0</v>
      </c>
      <c r="AW25" s="131">
        <f ca="1">SUM(AV25:AV$124)*SSc</f>
        <v>0</v>
      </c>
      <c r="AX25" s="70">
        <f t="shared" ca="1" si="65"/>
        <v>99999.613429588411</v>
      </c>
      <c r="AY25" s="2">
        <f t="shared" ref="AY25" ca="1" si="365">IFERROR(VLOOKUP($S25,qx_table,MATCH(AY$11,qx_title,0)+sexB),0)</f>
        <v>0</v>
      </c>
      <c r="AZ25" s="268">
        <f t="shared" ca="1" si="67"/>
        <v>0</v>
      </c>
      <c r="BA25" s="129">
        <f ca="1">SUM(AZ25:AZ$124)*SSd</f>
        <v>0</v>
      </c>
      <c r="BB25" s="70">
        <f t="shared" ca="1" si="68"/>
        <v>99999.613429588411</v>
      </c>
      <c r="BC25" s="257">
        <f t="shared" ref="BC25" ca="1" si="366">IFERROR(VLOOKUP($S25,qx_table,MATCH(BC$11,qx_title,0)+sexB),0)</f>
        <v>0</v>
      </c>
      <c r="BD25" s="268">
        <f t="shared" ca="1" si="70"/>
        <v>0</v>
      </c>
      <c r="BE25" s="131">
        <f ca="1">SUM(BD25:BD$124)*SSe</f>
        <v>0</v>
      </c>
      <c r="BF25" s="70">
        <f t="shared" ca="1" si="71"/>
        <v>99999.613429588411</v>
      </c>
      <c r="BG25" s="2">
        <f t="shared" ref="BG25" ca="1" si="367">IFERROR(VLOOKUP($S25,qx_table,MATCH(BG$11,qx_title,0)+sexB),0)</f>
        <v>0</v>
      </c>
      <c r="BH25" s="131">
        <f t="shared" ca="1" si="73"/>
        <v>0</v>
      </c>
      <c r="BI25" s="2">
        <f ca="1">SUM(BH25:BH$124)*SSf</f>
        <v>0</v>
      </c>
      <c r="BJ25" s="70">
        <f t="shared" ca="1" si="74"/>
        <v>99999.613429588411</v>
      </c>
      <c r="BK25" s="2">
        <f t="shared" ref="BK25" ca="1" si="368">IFERROR(VLOOKUP($S25,qx_table,MATCH(BK$11,qx_title,0)+sexB),0)</f>
        <v>0</v>
      </c>
      <c r="BL25" s="131">
        <f t="shared" ca="1" si="76"/>
        <v>0</v>
      </c>
      <c r="BM25" s="131">
        <f ca="1">SUM(BL25:BL$124)*SSg</f>
        <v>0</v>
      </c>
      <c r="BN25" s="70">
        <f t="shared" ca="1" si="77"/>
        <v>99999.613429588411</v>
      </c>
      <c r="BO25" s="2">
        <f t="shared" ref="BO25" ca="1" si="369">IFERROR(VLOOKUP($S25,qx_table,MATCH(BO$11,qx_title,0)+sexB),0)</f>
        <v>0</v>
      </c>
      <c r="BP25" s="131">
        <f t="shared" ca="1" si="79"/>
        <v>0</v>
      </c>
      <c r="BQ25" s="131">
        <f ca="1">SUM(BP25:BP$124)*SSh</f>
        <v>0</v>
      </c>
      <c r="BR25" s="70">
        <f t="shared" ca="1" si="80"/>
        <v>99999.613429588411</v>
      </c>
      <c r="BS25" s="2">
        <f t="shared" ref="BS25" ca="1" si="370">IFERROR(VLOOKUP($S25,qx_table,MATCH(BS$11,qx_title,0)+sexB),0)*IF(R25=0,MCi,1)</f>
        <v>0</v>
      </c>
      <c r="BT25" s="131">
        <f t="shared" ca="1" si="82"/>
        <v>0</v>
      </c>
      <c r="BU25" s="131">
        <f ca="1">SUM(BT25:BT$124)*SSi</f>
        <v>0</v>
      </c>
      <c r="BV25" s="70">
        <f t="shared" ca="1" si="83"/>
        <v>99999.613429588411</v>
      </c>
      <c r="BW25" s="2">
        <f t="shared" ref="BW25" ca="1" si="371">IFERROR(VLOOKUP($S25,qx_table,MATCH(BW$11,qx_title,0)+sexB),0)</f>
        <v>0</v>
      </c>
      <c r="BX25" s="131">
        <f t="shared" ca="1" si="85"/>
        <v>0</v>
      </c>
      <c r="BY25" s="131">
        <f ca="1">SUM(BX25:BX$124)*SSj</f>
        <v>0</v>
      </c>
      <c r="BZ25" s="70">
        <f t="shared" ca="1" si="86"/>
        <v>99999.613429588411</v>
      </c>
      <c r="CA25" s="2">
        <f t="shared" ref="CA25" ca="1" si="372">IFERROR(VLOOKUP($S25,qx_table,MATCH(CA$11,qx_title,0)+sexB),0)</f>
        <v>0</v>
      </c>
      <c r="CB25" s="131">
        <f t="shared" ca="1" si="88"/>
        <v>0</v>
      </c>
      <c r="CC25" s="131">
        <f ca="1">SUM(CB25:CB$124)*SSk</f>
        <v>0</v>
      </c>
      <c r="CD25" s="8">
        <f t="shared" ca="1" si="89"/>
        <v>99999.613429588411</v>
      </c>
      <c r="CE25" s="2">
        <f t="shared" ref="CE25" ca="1" si="373">IFERROR(VLOOKUP($S25,qx_table,MATCH(CE$11,qx_title,0)+sexB),0)</f>
        <v>0</v>
      </c>
      <c r="CF25" s="131">
        <f t="shared" ca="1" si="91"/>
        <v>0</v>
      </c>
      <c r="CG25" s="131">
        <f ca="1">SUM(CF25:CF$124)*SSl</f>
        <v>0</v>
      </c>
      <c r="CH25" s="101">
        <f t="shared" ca="1" si="92"/>
        <v>0.39429073540255066</v>
      </c>
      <c r="CI25" s="154">
        <f t="shared" ca="1" si="37"/>
        <v>0.34479205944606295</v>
      </c>
      <c r="CJ25" s="32">
        <f t="shared" ref="CJ25" ca="1" si="374">+MAX(VLOOKUP(xB+$R25,기수표B,$AH$1)-VLOOKUP(xB+mB,기수표B,$AH$1),0)</f>
        <v>0</v>
      </c>
      <c r="CK25" s="32">
        <f t="shared" ref="CK25" ca="1" si="375">+MAX(VLOOKUP(xB+$R25,기수표B,$AH$1)-VLOOKUP(xB+mB,기수표B,$AH$1)-11/24*(VLOOKUP(xB+$R25,기수표B,$AG$1)-VLOOKUP(xB+mB,기수표B,$AG$1)),0)</f>
        <v>0</v>
      </c>
      <c r="CL25" s="32">
        <f t="shared" ref="CL25" ca="1" si="376">+MAX(VLOOKUP(xB+$R25,기수표B,$AA$1)-VLOOKUP(xB+mB,기수표B,$AA$1),0)</f>
        <v>0</v>
      </c>
      <c r="CM25" s="32">
        <f t="shared" ref="CM25" ca="1" si="377">+MAX(VLOOKUP(xB+$R25,기수표B,$AA$1)-VLOOKUP(xB+mB,기수표B,$AA$1)-11/24*(VLOOKUP(xB+$R25,기수표B,$AA$1)-VLOOKUP(xB+mB,기수표B,$AA$1)),0)</f>
        <v>0</v>
      </c>
      <c r="CN25" s="32">
        <f t="shared" ca="1" si="41"/>
        <v>617561.46028615464</v>
      </c>
      <c r="CO25" s="32">
        <f t="shared" ca="1" si="42"/>
        <v>0</v>
      </c>
      <c r="CP25" s="659">
        <f t="shared" ca="1" si="43"/>
        <v>1.29E-5</v>
      </c>
      <c r="CQ25" s="659">
        <f t="shared" ca="1" si="44"/>
        <v>1.29E-5</v>
      </c>
      <c r="CR25" s="659">
        <f t="shared" ca="1" si="45"/>
        <v>1.2851666133944716E-5</v>
      </c>
      <c r="CS25" s="660">
        <f t="shared" ref="CS25" si="378">+MIN(mB,7)</f>
        <v>5</v>
      </c>
      <c r="CU25" s="13">
        <v>13</v>
      </c>
      <c r="CV25" s="477">
        <f t="shared" ca="1" si="47"/>
        <v>420</v>
      </c>
      <c r="CW25" s="477">
        <f t="shared" ca="1" si="48"/>
        <v>129</v>
      </c>
      <c r="CX25" s="477">
        <f t="shared" ca="1" si="49"/>
        <v>129</v>
      </c>
      <c r="CY25" s="478">
        <f t="shared" ca="1" si="98"/>
        <v>0.307</v>
      </c>
    </row>
    <row r="26" spans="2:103">
      <c r="B26" s="124" t="s">
        <v>94</v>
      </c>
      <c r="C26" s="245">
        <f ca="1">MAIN!I14</f>
        <v>9.9999999999999995E-7</v>
      </c>
      <c r="F26" s="601"/>
      <c r="G26" s="18" t="s">
        <v>66</v>
      </c>
      <c r="H26" s="447">
        <f ca="1">+H$24+(($C$22+$C$21*$C$28)*$H$8+($C$23+$C$25)*(H$20)+$C$26*$H$13)/(12*H20)</f>
        <v>4.3151410816225229E-7</v>
      </c>
      <c r="I26" s="254"/>
      <c r="J26" s="254"/>
      <c r="K26" s="254">
        <f ca="1">+K$24+(($C$22+$C$21*$C$28)*$H$8+($C$23+$C$25)*(K$20)+$C$26*$H$13)/(K20)</f>
        <v>5.1359980547415896E-6</v>
      </c>
      <c r="N26" s="5">
        <f t="shared" si="99"/>
        <v>14</v>
      </c>
      <c r="O26" s="2">
        <f t="shared" ref="O26" ca="1" si="379">+(1+iB)^-N26</f>
        <v>0.73234136720453935</v>
      </c>
      <c r="P26" s="2">
        <f t="shared" ref="P26" ca="1" si="380">+(1+iB)^-(N26+0.5)</f>
        <v>0.72423900073783964</v>
      </c>
      <c r="Q26" s="91"/>
      <c r="R26" s="20">
        <f t="shared" si="102"/>
        <v>14</v>
      </c>
      <c r="S26" s="20">
        <f t="shared" ref="S26" si="381">+IF(xB+R26&lt;=xB+nB,xB+R26,"")</f>
        <v>22</v>
      </c>
      <c r="T26" s="2">
        <f t="shared" ref="T26:U26" ca="1" si="382">IFERROR(VLOOKUP($S26,qx_table,MATCH(T$11,qx_title,0)+sexB),0)</f>
        <v>0</v>
      </c>
      <c r="U26" s="2">
        <f t="shared" ca="1" si="382"/>
        <v>4.7000000000000004E-5</v>
      </c>
      <c r="V26" s="300">
        <f>IF(JRB=2,0,IF(R26&gt;=mB-1,_xlfn.XLOOKUP(R26-mB,해지율!#REF!,해지율!#REF!,,1),_xlfn.XLOOKUP(R26,해지율!#REF!,해지율!#REF!,,-1)))</f>
        <v>0</v>
      </c>
      <c r="W26" s="8">
        <f t="shared" ref="W26" ca="1" si="383">IF(R26=0,100000,IF(R26&gt;nB,0,W25*(1-X25)*(1-Y25)))</f>
        <v>99999.58222970902</v>
      </c>
      <c r="X26" s="10">
        <f t="shared" ca="1" si="19"/>
        <v>0</v>
      </c>
      <c r="Y26" s="10">
        <f t="shared" ca="1" si="20"/>
        <v>3.0432800002255789E-7</v>
      </c>
      <c r="Z26" s="8">
        <f t="shared" ca="1" si="106"/>
        <v>73233.830769987864</v>
      </c>
      <c r="AA26" s="8">
        <f ca="1">+SUM(Z26:Z$124)</f>
        <v>603971.74732201605</v>
      </c>
      <c r="AB26" s="8">
        <f t="shared" ca="1" si="21"/>
        <v>0</v>
      </c>
      <c r="AC26" s="209">
        <f ca="1">+SUM(AB26:AB$124)*SSSM</f>
        <v>0</v>
      </c>
      <c r="AD26" s="209">
        <f t="shared" ref="AD26" ca="1" si="384">IF(R26&gt;nB,0,AD25*(1-X25)*(1-Y25)*(1-AE25)*(1-AF25))</f>
        <v>99962.488681027477</v>
      </c>
      <c r="AE26" s="92">
        <f t="shared" ca="1" si="56"/>
        <v>4.7000000000019249E-5</v>
      </c>
      <c r="AF26" s="92">
        <f t="shared" ca="1" si="22"/>
        <v>0</v>
      </c>
      <c r="AG26" s="664">
        <f t="shared" ca="1" si="23"/>
        <v>73206.665629831958</v>
      </c>
      <c r="AH26" s="5">
        <f ca="1">+SUM(AG26:AG$124)</f>
        <v>603635.4212529083</v>
      </c>
      <c r="AI26" s="70">
        <f t="shared" ca="1" si="24"/>
        <v>3.4026464469412963</v>
      </c>
      <c r="AJ26" s="208">
        <f ca="1">+SUM(AB26:AB$124)*SS50J</f>
        <v>0</v>
      </c>
      <c r="AK26" s="209">
        <f t="shared" ca="1" si="108"/>
        <v>99999.58222970902</v>
      </c>
      <c r="AL26" s="257">
        <f t="shared" ref="AL26" ca="1" si="385">IFERROR(VLOOKUP($S26,qx_table,MATCH(AL$11,qx_title,0)+sexB),0)</f>
        <v>3.0432800000000002E-7</v>
      </c>
      <c r="AM26" s="131">
        <f t="shared" ca="1" si="110"/>
        <v>73233.830769987864</v>
      </c>
      <c r="AN26" s="129">
        <f t="shared" ca="1" si="58"/>
        <v>2.2040528582489456E-2</v>
      </c>
      <c r="AO26" s="129">
        <f ca="1">SUM(AN26:AN$124)*SSa</f>
        <v>0.37118615211684014</v>
      </c>
      <c r="AP26" s="70">
        <f t="shared" ca="1" si="59"/>
        <v>99999.58222970902</v>
      </c>
      <c r="AQ26" s="2">
        <f t="shared" ref="AQ26" ca="1" si="386">IFERROR(VLOOKUP($S26,qx_table,MATCH(AQ$11,qx_title,0)+sexB),0)</f>
        <v>0</v>
      </c>
      <c r="AR26" s="127">
        <f t="shared" ca="1" si="61"/>
        <v>0</v>
      </c>
      <c r="AS26" s="127">
        <f ca="1">SUM(AR26:AR$124)*SSb</f>
        <v>0</v>
      </c>
      <c r="AT26" s="70">
        <f t="shared" ca="1" si="62"/>
        <v>99999.58222970902</v>
      </c>
      <c r="AU26" s="2">
        <f t="shared" ref="AU26" ca="1" si="387">IFERROR(VLOOKUP($S26,qx_table,MATCH(AU$11,qx_title,0)+sexB),0)</f>
        <v>0</v>
      </c>
      <c r="AV26" s="268">
        <f t="shared" ca="1" si="64"/>
        <v>0</v>
      </c>
      <c r="AW26" s="131">
        <f ca="1">SUM(AV26:AV$124)*SSc</f>
        <v>0</v>
      </c>
      <c r="AX26" s="70">
        <f t="shared" ca="1" si="65"/>
        <v>99999.58222970902</v>
      </c>
      <c r="AY26" s="2">
        <f t="shared" ref="AY26" ca="1" si="388">IFERROR(VLOOKUP($S26,qx_table,MATCH(AY$11,qx_title,0)+sexB),0)</f>
        <v>0</v>
      </c>
      <c r="AZ26" s="268">
        <f t="shared" ca="1" si="67"/>
        <v>0</v>
      </c>
      <c r="BA26" s="129">
        <f ca="1">SUM(AZ26:AZ$124)*SSd</f>
        <v>0</v>
      </c>
      <c r="BB26" s="70">
        <f t="shared" ca="1" si="68"/>
        <v>99999.58222970902</v>
      </c>
      <c r="BC26" s="257">
        <f t="shared" ref="BC26" ca="1" si="389">IFERROR(VLOOKUP($S26,qx_table,MATCH(BC$11,qx_title,0)+sexB),0)</f>
        <v>0</v>
      </c>
      <c r="BD26" s="268">
        <f t="shared" ca="1" si="70"/>
        <v>0</v>
      </c>
      <c r="BE26" s="131">
        <f ca="1">SUM(BD26:BD$124)*SSe</f>
        <v>0</v>
      </c>
      <c r="BF26" s="70">
        <f t="shared" ca="1" si="71"/>
        <v>99999.58222970902</v>
      </c>
      <c r="BG26" s="2">
        <f t="shared" ref="BG26" ca="1" si="390">IFERROR(VLOOKUP($S26,qx_table,MATCH(BG$11,qx_title,0)+sexB),0)</f>
        <v>0</v>
      </c>
      <c r="BH26" s="131">
        <f t="shared" ca="1" si="73"/>
        <v>0</v>
      </c>
      <c r="BI26" s="2">
        <f ca="1">SUM(BH26:BH$124)*SSf</f>
        <v>0</v>
      </c>
      <c r="BJ26" s="70">
        <f t="shared" ca="1" si="74"/>
        <v>99999.58222970902</v>
      </c>
      <c r="BK26" s="2">
        <f t="shared" ref="BK26" ca="1" si="391">IFERROR(VLOOKUP($S26,qx_table,MATCH(BK$11,qx_title,0)+sexB),0)</f>
        <v>0</v>
      </c>
      <c r="BL26" s="131">
        <f t="shared" ca="1" si="76"/>
        <v>0</v>
      </c>
      <c r="BM26" s="131">
        <f ca="1">SUM(BL26:BL$124)*SSg</f>
        <v>0</v>
      </c>
      <c r="BN26" s="70">
        <f t="shared" ca="1" si="77"/>
        <v>99999.58222970902</v>
      </c>
      <c r="BO26" s="2">
        <f t="shared" ref="BO26" ca="1" si="392">IFERROR(VLOOKUP($S26,qx_table,MATCH(BO$11,qx_title,0)+sexB),0)</f>
        <v>0</v>
      </c>
      <c r="BP26" s="131">
        <f t="shared" ca="1" si="79"/>
        <v>0</v>
      </c>
      <c r="BQ26" s="131">
        <f ca="1">SUM(BP26:BP$124)*SSh</f>
        <v>0</v>
      </c>
      <c r="BR26" s="70">
        <f t="shared" ca="1" si="80"/>
        <v>99999.58222970902</v>
      </c>
      <c r="BS26" s="2">
        <f t="shared" ref="BS26" ca="1" si="393">IFERROR(VLOOKUP($S26,qx_table,MATCH(BS$11,qx_title,0)+sexB),0)*IF(R26=0,MCi,1)</f>
        <v>0</v>
      </c>
      <c r="BT26" s="131">
        <f t="shared" ca="1" si="82"/>
        <v>0</v>
      </c>
      <c r="BU26" s="131">
        <f ca="1">SUM(BT26:BT$124)*SSi</f>
        <v>0</v>
      </c>
      <c r="BV26" s="70">
        <f t="shared" ca="1" si="83"/>
        <v>99999.58222970902</v>
      </c>
      <c r="BW26" s="2">
        <f t="shared" ref="BW26" ca="1" si="394">IFERROR(VLOOKUP($S26,qx_table,MATCH(BW$11,qx_title,0)+sexB),0)</f>
        <v>0</v>
      </c>
      <c r="BX26" s="131">
        <f t="shared" ca="1" si="85"/>
        <v>0</v>
      </c>
      <c r="BY26" s="131">
        <f ca="1">SUM(BX26:BX$124)*SSj</f>
        <v>0</v>
      </c>
      <c r="BZ26" s="70">
        <f t="shared" ca="1" si="86"/>
        <v>99999.58222970902</v>
      </c>
      <c r="CA26" s="2">
        <f t="shared" ref="CA26" ca="1" si="395">IFERROR(VLOOKUP($S26,qx_table,MATCH(CA$11,qx_title,0)+sexB),0)</f>
        <v>0</v>
      </c>
      <c r="CB26" s="131">
        <f t="shared" ca="1" si="88"/>
        <v>0</v>
      </c>
      <c r="CC26" s="131">
        <f ca="1">SUM(CB26:CB$124)*SSk</f>
        <v>0</v>
      </c>
      <c r="CD26" s="8">
        <f t="shared" ca="1" si="89"/>
        <v>99999.58222970902</v>
      </c>
      <c r="CE26" s="2">
        <f t="shared" ref="CE26" ca="1" si="396">IFERROR(VLOOKUP($S26,qx_table,MATCH(CE$11,qx_title,0)+sexB),0)</f>
        <v>0</v>
      </c>
      <c r="CF26" s="131">
        <f t="shared" ca="1" si="91"/>
        <v>0</v>
      </c>
      <c r="CG26" s="131">
        <f ca="1">SUM(CF26:CF$124)*SSl</f>
        <v>0</v>
      </c>
      <c r="CH26" s="101">
        <f t="shared" ca="1" si="92"/>
        <v>0.37118615211684014</v>
      </c>
      <c r="CI26" s="154">
        <f t="shared" ca="1" si="37"/>
        <v>0.32168747616035243</v>
      </c>
      <c r="CJ26" s="32">
        <f t="shared" ref="CJ26" ca="1" si="397">+MAX(VLOOKUP(xB+$R26,기수표B,$AH$1)-VLOOKUP(xB+mB,기수표B,$AH$1),0)</f>
        <v>0</v>
      </c>
      <c r="CK26" s="32">
        <f t="shared" ref="CK26" ca="1" si="398">+MAX(VLOOKUP(xB+$R26,기수표B,$AH$1)-VLOOKUP(xB+mB,기수표B,$AH$1)-11/24*(VLOOKUP(xB+$R26,기수표B,$AG$1)-VLOOKUP(xB+mB,기수표B,$AG$1)),0)</f>
        <v>0</v>
      </c>
      <c r="CL26" s="32">
        <f t="shared" ref="CL26" ca="1" si="399">+MAX(VLOOKUP(xB+$R26,기수표B,$AA$1)-VLOOKUP(xB+mB,기수표B,$AA$1),0)</f>
        <v>0</v>
      </c>
      <c r="CM26" s="32">
        <f t="shared" ref="CM26" ca="1" si="400">+MAX(VLOOKUP(xB+$R26,기수표B,$AA$1)-VLOOKUP(xB+mB,기수표B,$AA$1)-11/24*(VLOOKUP(xB+$R26,기수표B,$AA$1)-VLOOKUP(xB+mB,기수표B,$AA$1)),0)</f>
        <v>0</v>
      </c>
      <c r="CN26" s="32">
        <f t="shared" ca="1" si="41"/>
        <v>542679.84496077814</v>
      </c>
      <c r="CO26" s="32">
        <f t="shared" ca="1" si="42"/>
        <v>0</v>
      </c>
      <c r="CP26" s="659">
        <f t="shared" ca="1" si="43"/>
        <v>1.1800000000000001E-5</v>
      </c>
      <c r="CQ26" s="659">
        <f t="shared" ca="1" si="44"/>
        <v>1.1800000000000001E-5</v>
      </c>
      <c r="CR26" s="659">
        <f t="shared" ca="1" si="45"/>
        <v>1.1802841829153078E-5</v>
      </c>
      <c r="CS26" s="660">
        <f t="shared" ref="CS26" si="401">+MIN(mB,7)</f>
        <v>5</v>
      </c>
      <c r="CU26" s="13">
        <v>14</v>
      </c>
      <c r="CV26" s="477">
        <f t="shared" ca="1" si="47"/>
        <v>420</v>
      </c>
      <c r="CW26" s="477">
        <f t="shared" ca="1" si="48"/>
        <v>118</v>
      </c>
      <c r="CX26" s="477">
        <f t="shared" ca="1" si="49"/>
        <v>118</v>
      </c>
      <c r="CY26" s="478">
        <f t="shared" ca="1" si="98"/>
        <v>0.28000000000000003</v>
      </c>
    </row>
    <row r="27" spans="2:103">
      <c r="B27" s="124" t="s">
        <v>46</v>
      </c>
      <c r="C27" s="121">
        <f ca="1">MAIN!I15</f>
        <v>2.5000000000000001E-2</v>
      </c>
      <c r="F27" s="601"/>
      <c r="G27" s="18" t="s">
        <v>67</v>
      </c>
      <c r="H27" s="254">
        <f ca="1">(1-$C$24-$C$27)</f>
        <v>0.625</v>
      </c>
      <c r="I27" s="254"/>
      <c r="J27" s="254"/>
      <c r="K27" s="254">
        <f t="shared" ref="K27" ca="1" si="402">(1-$C$24-$C$27)</f>
        <v>0.625</v>
      </c>
      <c r="N27" s="5">
        <f t="shared" si="99"/>
        <v>15</v>
      </c>
      <c r="O27" s="2">
        <f t="shared" ref="O27" ca="1" si="403">+(1+iB)^-N27</f>
        <v>0.7162262759946596</v>
      </c>
      <c r="P27" s="2">
        <f t="shared" ref="P27" ca="1" si="404">+(1+iB)^-(N27+0.5)</f>
        <v>0.70830220121060106</v>
      </c>
      <c r="Q27" s="91"/>
      <c r="R27" s="20">
        <f t="shared" si="102"/>
        <v>15</v>
      </c>
      <c r="S27" s="20">
        <f t="shared" ref="S27" si="405">+IF(xB+R27&lt;=xB+nB,xB+R27,"")</f>
        <v>23</v>
      </c>
      <c r="T27" s="2">
        <f t="shared" ref="T27:U27" ca="1" si="406">IFERROR(VLOOKUP($S27,qx_table,MATCH(T$11,qx_title,0)+sexB),0)</f>
        <v>0</v>
      </c>
      <c r="U27" s="2">
        <f t="shared" ca="1" si="406"/>
        <v>4.7000000000000004E-5</v>
      </c>
      <c r="V27" s="300">
        <f>IF(JRB=2,0,IF(R27&gt;=mB-1,_xlfn.XLOOKUP(R27-mB,해지율!#REF!,해지율!#REF!,,1),_xlfn.XLOOKUP(R27,해지율!#REF!,해지율!#REF!,,-1)))</f>
        <v>0</v>
      </c>
      <c r="W27" s="8">
        <f t="shared" ref="W27" ca="1" si="407">IF(R27=0,100000,IF(R27&gt;nB,0,W26*(1-X26)*(1-Y26)))</f>
        <v>99999.551797036154</v>
      </c>
      <c r="X27" s="10">
        <f t="shared" ca="1" si="19"/>
        <v>0</v>
      </c>
      <c r="Y27" s="10">
        <f t="shared" ca="1" si="20"/>
        <v>3.7524800000632297E-7</v>
      </c>
      <c r="Z27" s="8">
        <f t="shared" ca="1" si="106"/>
        <v>71622.306584726277</v>
      </c>
      <c r="AA27" s="8">
        <f ca="1">+SUM(Z27:Z$124)</f>
        <v>530737.91655202815</v>
      </c>
      <c r="AB27" s="8">
        <f t="shared" ca="1" si="21"/>
        <v>0</v>
      </c>
      <c r="AC27" s="209">
        <f ca="1">+SUM(AB27:AB$124)*SSSM</f>
        <v>0</v>
      </c>
      <c r="AD27" s="209">
        <f t="shared" ref="AD27" ca="1" si="408">IF(R27&gt;nB,0,AD26*(1-X26)*(1-Y26)*(1-AE26)*(1-AF26))</f>
        <v>99957.76002410501</v>
      </c>
      <c r="AE27" s="92">
        <f t="shared" ca="1" si="56"/>
        <v>4.7000000000019249E-5</v>
      </c>
      <c r="AF27" s="92">
        <f t="shared" ca="1" si="22"/>
        <v>0</v>
      </c>
      <c r="AG27" s="664">
        <f t="shared" ca="1" si="23"/>
        <v>71592.374218832585</v>
      </c>
      <c r="AH27" s="5">
        <f ca="1">+SUM(AG27:AG$124)</f>
        <v>530428.75562307634</v>
      </c>
      <c r="AI27" s="70">
        <f t="shared" ca="1" si="24"/>
        <v>3.327614168299629</v>
      </c>
      <c r="AJ27" s="208">
        <f ca="1">+SUM(AB27:AB$124)*SS50J</f>
        <v>0</v>
      </c>
      <c r="AK27" s="209">
        <f t="shared" ca="1" si="108"/>
        <v>99999.551797036154</v>
      </c>
      <c r="AL27" s="257">
        <f t="shared" ref="AL27" ca="1" si="409">IFERROR(VLOOKUP($S27,qx_table,MATCH(AL$11,qx_title,0)+sexB),0)</f>
        <v>3.7524799999999997E-7</v>
      </c>
      <c r="AM27" s="131">
        <f t="shared" ca="1" si="110"/>
        <v>71622.306584726277</v>
      </c>
      <c r="AN27" s="129">
        <f t="shared" ca="1" si="58"/>
        <v>2.6578779312576996E-2</v>
      </c>
      <c r="AO27" s="129">
        <f ca="1">SUM(AN27:AN$124)*SSa</f>
        <v>0.34914562353435064</v>
      </c>
      <c r="AP27" s="70">
        <f t="shared" ca="1" si="59"/>
        <v>99999.551797036154</v>
      </c>
      <c r="AQ27" s="2">
        <f t="shared" ref="AQ27" ca="1" si="410">IFERROR(VLOOKUP($S27,qx_table,MATCH(AQ$11,qx_title,0)+sexB),0)</f>
        <v>0</v>
      </c>
      <c r="AR27" s="127">
        <f t="shared" ca="1" si="61"/>
        <v>0</v>
      </c>
      <c r="AS27" s="127">
        <f ca="1">SUM(AR27:AR$124)*SSb</f>
        <v>0</v>
      </c>
      <c r="AT27" s="70">
        <f t="shared" ca="1" si="62"/>
        <v>99999.551797036154</v>
      </c>
      <c r="AU27" s="2">
        <f t="shared" ref="AU27" ca="1" si="411">IFERROR(VLOOKUP($S27,qx_table,MATCH(AU$11,qx_title,0)+sexB),0)</f>
        <v>0</v>
      </c>
      <c r="AV27" s="268">
        <f t="shared" ca="1" si="64"/>
        <v>0</v>
      </c>
      <c r="AW27" s="131">
        <f ca="1">SUM(AV27:AV$124)*SSc</f>
        <v>0</v>
      </c>
      <c r="AX27" s="70">
        <f t="shared" ca="1" si="65"/>
        <v>99999.551797036154</v>
      </c>
      <c r="AY27" s="2">
        <f t="shared" ref="AY27" ca="1" si="412">IFERROR(VLOOKUP($S27,qx_table,MATCH(AY$11,qx_title,0)+sexB),0)</f>
        <v>0</v>
      </c>
      <c r="AZ27" s="268">
        <f t="shared" ca="1" si="67"/>
        <v>0</v>
      </c>
      <c r="BA27" s="129">
        <f ca="1">SUM(AZ27:AZ$124)*SSd</f>
        <v>0</v>
      </c>
      <c r="BB27" s="70">
        <f t="shared" ca="1" si="68"/>
        <v>99999.551797036154</v>
      </c>
      <c r="BC27" s="257">
        <f t="shared" ref="BC27" ca="1" si="413">IFERROR(VLOOKUP($S27,qx_table,MATCH(BC$11,qx_title,0)+sexB),0)</f>
        <v>0</v>
      </c>
      <c r="BD27" s="268">
        <f t="shared" ca="1" si="70"/>
        <v>0</v>
      </c>
      <c r="BE27" s="131">
        <f ca="1">SUM(BD27:BD$124)*SSe</f>
        <v>0</v>
      </c>
      <c r="BF27" s="70">
        <f t="shared" ca="1" si="71"/>
        <v>99999.551797036154</v>
      </c>
      <c r="BG27" s="2">
        <f t="shared" ref="BG27" ca="1" si="414">IFERROR(VLOOKUP($S27,qx_table,MATCH(BG$11,qx_title,0)+sexB),0)</f>
        <v>0</v>
      </c>
      <c r="BH27" s="131">
        <f t="shared" ca="1" si="73"/>
        <v>0</v>
      </c>
      <c r="BI27" s="2">
        <f ca="1">SUM(BH27:BH$124)*SSf</f>
        <v>0</v>
      </c>
      <c r="BJ27" s="70">
        <f t="shared" ca="1" si="74"/>
        <v>99999.551797036154</v>
      </c>
      <c r="BK27" s="2">
        <f t="shared" ref="BK27" ca="1" si="415">IFERROR(VLOOKUP($S27,qx_table,MATCH(BK$11,qx_title,0)+sexB),0)</f>
        <v>0</v>
      </c>
      <c r="BL27" s="131">
        <f t="shared" ca="1" si="76"/>
        <v>0</v>
      </c>
      <c r="BM27" s="131">
        <f ca="1">SUM(BL27:BL$124)*SSg</f>
        <v>0</v>
      </c>
      <c r="BN27" s="70">
        <f t="shared" ca="1" si="77"/>
        <v>99999.551797036154</v>
      </c>
      <c r="BO27" s="2">
        <f t="shared" ref="BO27" ca="1" si="416">IFERROR(VLOOKUP($S27,qx_table,MATCH(BO$11,qx_title,0)+sexB),0)</f>
        <v>0</v>
      </c>
      <c r="BP27" s="131">
        <f t="shared" ca="1" si="79"/>
        <v>0</v>
      </c>
      <c r="BQ27" s="131">
        <f ca="1">SUM(BP27:BP$124)*SSh</f>
        <v>0</v>
      </c>
      <c r="BR27" s="70">
        <f t="shared" ca="1" si="80"/>
        <v>99999.551797036154</v>
      </c>
      <c r="BS27" s="2">
        <f t="shared" ref="BS27" ca="1" si="417">IFERROR(VLOOKUP($S27,qx_table,MATCH(BS$11,qx_title,0)+sexB),0)*IF(R27=0,MCi,1)</f>
        <v>0</v>
      </c>
      <c r="BT27" s="131">
        <f t="shared" ca="1" si="82"/>
        <v>0</v>
      </c>
      <c r="BU27" s="131">
        <f ca="1">SUM(BT27:BT$124)*SSi</f>
        <v>0</v>
      </c>
      <c r="BV27" s="70">
        <f t="shared" ca="1" si="83"/>
        <v>99999.551797036154</v>
      </c>
      <c r="BW27" s="2">
        <f t="shared" ref="BW27" ca="1" si="418">IFERROR(VLOOKUP($S27,qx_table,MATCH(BW$11,qx_title,0)+sexB),0)</f>
        <v>0</v>
      </c>
      <c r="BX27" s="131">
        <f t="shared" ca="1" si="85"/>
        <v>0</v>
      </c>
      <c r="BY27" s="131">
        <f ca="1">SUM(BX27:BX$124)*SSj</f>
        <v>0</v>
      </c>
      <c r="BZ27" s="70">
        <f t="shared" ca="1" si="86"/>
        <v>99999.551797036154</v>
      </c>
      <c r="CA27" s="2">
        <f t="shared" ref="CA27" ca="1" si="419">IFERROR(VLOOKUP($S27,qx_table,MATCH(CA$11,qx_title,0)+sexB),0)</f>
        <v>0</v>
      </c>
      <c r="CB27" s="131">
        <f t="shared" ca="1" si="88"/>
        <v>0</v>
      </c>
      <c r="CC27" s="131">
        <f ca="1">SUM(CB27:CB$124)*SSk</f>
        <v>0</v>
      </c>
      <c r="CD27" s="8">
        <f t="shared" ca="1" si="89"/>
        <v>99999.551797036154</v>
      </c>
      <c r="CE27" s="2">
        <f t="shared" ref="CE27" ca="1" si="420">IFERROR(VLOOKUP($S27,qx_table,MATCH(CE$11,qx_title,0)+sexB),0)</f>
        <v>0</v>
      </c>
      <c r="CF27" s="131">
        <f t="shared" ca="1" si="91"/>
        <v>0</v>
      </c>
      <c r="CG27" s="131">
        <f ca="1">SUM(CF27:CF$124)*SSl</f>
        <v>0</v>
      </c>
      <c r="CH27" s="101">
        <f t="shared" ca="1" si="92"/>
        <v>0.34914562353435064</v>
      </c>
      <c r="CI27" s="154">
        <f t="shared" ca="1" si="37"/>
        <v>0.29964694757786292</v>
      </c>
      <c r="CJ27" s="32">
        <f t="shared" ref="CJ27" ca="1" si="421">+MAX(VLOOKUP(xB+$R27,기수표B,$AH$1)-VLOOKUP(xB+mB,기수표B,$AH$1),0)</f>
        <v>0</v>
      </c>
      <c r="CK27" s="32">
        <f t="shared" ref="CK27" ca="1" si="422">+MAX(VLOOKUP(xB+$R27,기수표B,$AH$1)-VLOOKUP(xB+mB,기수표B,$AH$1)-11/24*(VLOOKUP(xB+$R27,기수표B,$AG$1)-VLOOKUP(xB+mB,기수표B,$AG$1)),0)</f>
        <v>0</v>
      </c>
      <c r="CL27" s="32">
        <f t="shared" ref="CL27" ca="1" si="423">+MAX(VLOOKUP(xB+$R27,기수표B,$AA$1)-VLOOKUP(xB+mB,기수표B,$AA$1),0)</f>
        <v>0</v>
      </c>
      <c r="CM27" s="32">
        <f t="shared" ref="CM27" ca="1" si="424">+MAX(VLOOKUP(xB+$R27,기수표B,$AA$1)-VLOOKUP(xB+mB,기수표B,$AA$1)-11/24*(VLOOKUP(xB+$R27,기수표B,$AA$1)-VLOOKUP(xB+mB,기수표B,$AA$1)),0)</f>
        <v>0</v>
      </c>
      <c r="CN27" s="32">
        <f t="shared" ca="1" si="41"/>
        <v>469446.01419079019</v>
      </c>
      <c r="CO27" s="32">
        <f t="shared" ca="1" si="42"/>
        <v>0</v>
      </c>
      <c r="CP27" s="659">
        <f t="shared" ca="1" si="43"/>
        <v>1.0699999999999999E-5</v>
      </c>
      <c r="CQ27" s="659">
        <f t="shared" ca="1" si="44"/>
        <v>1.0699999999999999E-5</v>
      </c>
      <c r="CR27" s="659">
        <f t="shared" ca="1" si="45"/>
        <v>1.0738176392837158E-5</v>
      </c>
      <c r="CS27" s="660">
        <f t="shared" ref="CS27" si="425">+MIN(mB,7)</f>
        <v>5</v>
      </c>
      <c r="CU27" s="13">
        <v>15</v>
      </c>
      <c r="CV27" s="477">
        <f t="shared" ca="1" si="47"/>
        <v>420</v>
      </c>
      <c r="CW27" s="477">
        <f t="shared" ca="1" si="48"/>
        <v>107</v>
      </c>
      <c r="CX27" s="477">
        <f t="shared" ca="1" si="49"/>
        <v>107</v>
      </c>
      <c r="CY27" s="478">
        <f t="shared" ca="1" si="98"/>
        <v>0.254</v>
      </c>
    </row>
    <row r="28" spans="2:103">
      <c r="B28" s="118" t="s">
        <v>159</v>
      </c>
      <c r="C28" s="532">
        <f ca="1">'유해지 (기준P)'!NPPB_STD</f>
        <v>4.0792142684908213E-7</v>
      </c>
      <c r="F28" s="601"/>
      <c r="G28" s="18" t="s">
        <v>73</v>
      </c>
      <c r="H28" s="294">
        <f ca="1">+H26/H27</f>
        <v>6.9042257305960362E-7</v>
      </c>
      <c r="I28" s="294"/>
      <c r="J28" s="294"/>
      <c r="K28" s="294">
        <f ca="1">+K26/K27</f>
        <v>8.2175968875865434E-6</v>
      </c>
      <c r="N28" s="5">
        <f t="shared" si="99"/>
        <v>16</v>
      </c>
      <c r="O28" s="2">
        <f t="shared" ref="O28" ca="1" si="426">+(1+iB)^-N28</f>
        <v>0.70046579559379929</v>
      </c>
      <c r="P28" s="2">
        <f t="shared" ref="P28" ca="1" si="427">+(1+iB)^-(N28+0.5)</f>
        <v>0.69271608920352201</v>
      </c>
      <c r="Q28" s="91"/>
      <c r="R28" s="20">
        <f t="shared" si="102"/>
        <v>16</v>
      </c>
      <c r="S28" s="20">
        <f t="shared" ref="S28" si="428">+IF(xB+R28&lt;=xB+nB,xB+R28,"")</f>
        <v>24</v>
      </c>
      <c r="T28" s="2">
        <f t="shared" ref="T28:U28" ca="1" si="429">IFERROR(VLOOKUP($S28,qx_table,MATCH(T$11,qx_title,0)+sexB),0)</f>
        <v>0</v>
      </c>
      <c r="U28" s="2">
        <f t="shared" ca="1" si="429"/>
        <v>4.7000000000000004E-5</v>
      </c>
      <c r="V28" s="300">
        <f>IF(JRB=2,0,IF(R28&gt;=mB-1,_xlfn.XLOOKUP(R28-mB,해지율!#REF!,해지율!#REF!,,1),_xlfn.XLOOKUP(R28,해지율!#REF!,해지율!#REF!,,-1)))</f>
        <v>0</v>
      </c>
      <c r="W28" s="8">
        <f t="shared" ref="W28" ca="1" si="430">IF(R28=0,100000,IF(R28&gt;nB,0,W27*(1-X27)*(1-Y27)))</f>
        <v>99999.51427240434</v>
      </c>
      <c r="X28" s="10">
        <f t="shared" ca="1" si="19"/>
        <v>0</v>
      </c>
      <c r="Y28" s="10">
        <f t="shared" ca="1" si="20"/>
        <v>4.6241100004618119E-7</v>
      </c>
      <c r="Z28" s="8">
        <f t="shared" ca="1" si="106"/>
        <v>70046.239323813192</v>
      </c>
      <c r="AA28" s="8">
        <f ca="1">+SUM(Z28:Z$124)</f>
        <v>459115.60996730183</v>
      </c>
      <c r="AB28" s="8">
        <f t="shared" ca="1" si="21"/>
        <v>0</v>
      </c>
      <c r="AC28" s="209">
        <f ca="1">+SUM(AB28:AB$124)*SSSM</f>
        <v>0</v>
      </c>
      <c r="AD28" s="209">
        <f t="shared" ref="AD28" ca="1" si="431">IF(R28&gt;nB,0,AD27*(1-X27)*(1-Y27)*(1-AE27)*(1-AF27))</f>
        <v>99953.024502197266</v>
      </c>
      <c r="AE28" s="92">
        <f t="shared" ca="1" si="56"/>
        <v>4.7000000000019249E-5</v>
      </c>
      <c r="AF28" s="92">
        <f t="shared" ca="1" si="22"/>
        <v>0</v>
      </c>
      <c r="AG28" s="664">
        <f t="shared" ca="1" si="23"/>
        <v>70013.674829938129</v>
      </c>
      <c r="AH28" s="5">
        <f ca="1">+SUM(AG28:AG$124)</f>
        <v>458836.3814042437</v>
      </c>
      <c r="AI28" s="70">
        <f t="shared" ca="1" si="24"/>
        <v>3.2542362071509503</v>
      </c>
      <c r="AJ28" s="208">
        <f ca="1">+SUM(AB28:AB$124)*SS50J</f>
        <v>0</v>
      </c>
      <c r="AK28" s="209">
        <f t="shared" ca="1" si="108"/>
        <v>99999.51427240434</v>
      </c>
      <c r="AL28" s="257">
        <f t="shared" ref="AL28" ca="1" si="432">IFERROR(VLOOKUP($S28,qx_table,MATCH(AL$11,qx_title,0)+sexB),0)</f>
        <v>4.6241100000000005E-7</v>
      </c>
      <c r="AM28" s="131">
        <f t="shared" ca="1" si="110"/>
        <v>70046.239323813192</v>
      </c>
      <c r="AN28" s="129">
        <f t="shared" ca="1" si="58"/>
        <v>3.2031798364429209E-2</v>
      </c>
      <c r="AO28" s="129">
        <f ca="1">SUM(AN28:AN$124)*SSa</f>
        <v>0.32256684422177362</v>
      </c>
      <c r="AP28" s="70">
        <f t="shared" ca="1" si="59"/>
        <v>99999.51427240434</v>
      </c>
      <c r="AQ28" s="2">
        <f t="shared" ref="AQ28" ca="1" si="433">IFERROR(VLOOKUP($S28,qx_table,MATCH(AQ$11,qx_title,0)+sexB),0)</f>
        <v>0</v>
      </c>
      <c r="AR28" s="127">
        <f t="shared" ca="1" si="61"/>
        <v>0</v>
      </c>
      <c r="AS28" s="127">
        <f ca="1">SUM(AR28:AR$124)*SSb</f>
        <v>0</v>
      </c>
      <c r="AT28" s="70">
        <f t="shared" ca="1" si="62"/>
        <v>99999.51427240434</v>
      </c>
      <c r="AU28" s="2">
        <f t="shared" ref="AU28" ca="1" si="434">IFERROR(VLOOKUP($S28,qx_table,MATCH(AU$11,qx_title,0)+sexB),0)</f>
        <v>0</v>
      </c>
      <c r="AV28" s="268">
        <f t="shared" ca="1" si="64"/>
        <v>0</v>
      </c>
      <c r="AW28" s="131">
        <f ca="1">SUM(AV28:AV$124)*SSc</f>
        <v>0</v>
      </c>
      <c r="AX28" s="70">
        <f t="shared" ca="1" si="65"/>
        <v>99999.51427240434</v>
      </c>
      <c r="AY28" s="2">
        <f t="shared" ref="AY28" ca="1" si="435">IFERROR(VLOOKUP($S28,qx_table,MATCH(AY$11,qx_title,0)+sexB),0)</f>
        <v>0</v>
      </c>
      <c r="AZ28" s="268">
        <f t="shared" ca="1" si="67"/>
        <v>0</v>
      </c>
      <c r="BA28" s="129">
        <f ca="1">SUM(AZ28:AZ$124)*SSd</f>
        <v>0</v>
      </c>
      <c r="BB28" s="70">
        <f t="shared" ca="1" si="68"/>
        <v>99999.51427240434</v>
      </c>
      <c r="BC28" s="257">
        <f t="shared" ref="BC28" ca="1" si="436">IFERROR(VLOOKUP($S28,qx_table,MATCH(BC$11,qx_title,0)+sexB),0)</f>
        <v>0</v>
      </c>
      <c r="BD28" s="268">
        <f t="shared" ca="1" si="70"/>
        <v>0</v>
      </c>
      <c r="BE28" s="131">
        <f ca="1">SUM(BD28:BD$124)*SSe</f>
        <v>0</v>
      </c>
      <c r="BF28" s="70">
        <f t="shared" ca="1" si="71"/>
        <v>99999.51427240434</v>
      </c>
      <c r="BG28" s="2">
        <f t="shared" ref="BG28" ca="1" si="437">IFERROR(VLOOKUP($S28,qx_table,MATCH(BG$11,qx_title,0)+sexB),0)</f>
        <v>0</v>
      </c>
      <c r="BH28" s="131">
        <f t="shared" ca="1" si="73"/>
        <v>0</v>
      </c>
      <c r="BI28" s="2">
        <f ca="1">SUM(BH28:BH$124)*SSf</f>
        <v>0</v>
      </c>
      <c r="BJ28" s="70">
        <f t="shared" ca="1" si="74"/>
        <v>99999.51427240434</v>
      </c>
      <c r="BK28" s="2">
        <f t="shared" ref="BK28" ca="1" si="438">IFERROR(VLOOKUP($S28,qx_table,MATCH(BK$11,qx_title,0)+sexB),0)</f>
        <v>0</v>
      </c>
      <c r="BL28" s="131">
        <f t="shared" ca="1" si="76"/>
        <v>0</v>
      </c>
      <c r="BM28" s="131">
        <f ca="1">SUM(BL28:BL$124)*SSg</f>
        <v>0</v>
      </c>
      <c r="BN28" s="70">
        <f t="shared" ca="1" si="77"/>
        <v>99999.51427240434</v>
      </c>
      <c r="BO28" s="2">
        <f t="shared" ref="BO28" ca="1" si="439">IFERROR(VLOOKUP($S28,qx_table,MATCH(BO$11,qx_title,0)+sexB),0)</f>
        <v>0</v>
      </c>
      <c r="BP28" s="131">
        <f t="shared" ca="1" si="79"/>
        <v>0</v>
      </c>
      <c r="BQ28" s="131">
        <f ca="1">SUM(BP28:BP$124)*SSh</f>
        <v>0</v>
      </c>
      <c r="BR28" s="70">
        <f t="shared" ca="1" si="80"/>
        <v>99999.51427240434</v>
      </c>
      <c r="BS28" s="2">
        <f t="shared" ref="BS28" ca="1" si="440">IFERROR(VLOOKUP($S28,qx_table,MATCH(BS$11,qx_title,0)+sexB),0)*IF(R28=0,MCi,1)</f>
        <v>0</v>
      </c>
      <c r="BT28" s="131">
        <f t="shared" ca="1" si="82"/>
        <v>0</v>
      </c>
      <c r="BU28" s="131">
        <f ca="1">SUM(BT28:BT$124)*SSi</f>
        <v>0</v>
      </c>
      <c r="BV28" s="70">
        <f t="shared" ca="1" si="83"/>
        <v>99999.51427240434</v>
      </c>
      <c r="BW28" s="2">
        <f t="shared" ref="BW28" ca="1" si="441">IFERROR(VLOOKUP($S28,qx_table,MATCH(BW$11,qx_title,0)+sexB),0)</f>
        <v>0</v>
      </c>
      <c r="BX28" s="131">
        <f t="shared" ca="1" si="85"/>
        <v>0</v>
      </c>
      <c r="BY28" s="131">
        <f ca="1">SUM(BX28:BX$124)*SSj</f>
        <v>0</v>
      </c>
      <c r="BZ28" s="70">
        <f t="shared" ca="1" si="86"/>
        <v>99999.51427240434</v>
      </c>
      <c r="CA28" s="2">
        <f t="shared" ref="CA28" ca="1" si="442">IFERROR(VLOOKUP($S28,qx_table,MATCH(CA$11,qx_title,0)+sexB),0)</f>
        <v>0</v>
      </c>
      <c r="CB28" s="131">
        <f t="shared" ca="1" si="88"/>
        <v>0</v>
      </c>
      <c r="CC28" s="131">
        <f ca="1">SUM(CB28:CB$124)*SSk</f>
        <v>0</v>
      </c>
      <c r="CD28" s="8">
        <f t="shared" ca="1" si="89"/>
        <v>99999.51427240434</v>
      </c>
      <c r="CE28" s="2">
        <f t="shared" ref="CE28" ca="1" si="443">IFERROR(VLOOKUP($S28,qx_table,MATCH(CE$11,qx_title,0)+sexB),0)</f>
        <v>0</v>
      </c>
      <c r="CF28" s="131">
        <f t="shared" ca="1" si="91"/>
        <v>0</v>
      </c>
      <c r="CG28" s="131">
        <f ca="1">SUM(CF28:CF$124)*SSl</f>
        <v>0</v>
      </c>
      <c r="CH28" s="101">
        <f t="shared" ca="1" si="92"/>
        <v>0.32256684422177362</v>
      </c>
      <c r="CI28" s="154">
        <f t="shared" ca="1" si="37"/>
        <v>0.2730681682652859</v>
      </c>
      <c r="CJ28" s="32">
        <f t="shared" ref="CJ28" ca="1" si="444">+MAX(VLOOKUP(xB+$R28,기수표B,$AH$1)-VLOOKUP(xB+mB,기수표B,$AH$1),0)</f>
        <v>0</v>
      </c>
      <c r="CK28" s="32">
        <f t="shared" ref="CK28" ca="1" si="445">+MAX(VLOOKUP(xB+$R28,기수표B,$AH$1)-VLOOKUP(xB+mB,기수표B,$AH$1)-11/24*(VLOOKUP(xB+$R28,기수표B,$AG$1)-VLOOKUP(xB+mB,기수표B,$AG$1)),0)</f>
        <v>0</v>
      </c>
      <c r="CL28" s="32">
        <f t="shared" ref="CL28" ca="1" si="446">+MAX(VLOOKUP(xB+$R28,기수표B,$AA$1)-VLOOKUP(xB+mB,기수표B,$AA$1),0)</f>
        <v>0</v>
      </c>
      <c r="CM28" s="32">
        <f t="shared" ref="CM28" ca="1" si="447">+MAX(VLOOKUP(xB+$R28,기수표B,$AA$1)-VLOOKUP(xB+mB,기수표B,$AA$1)-11/24*(VLOOKUP(xB+$R28,기수표B,$AA$1)-VLOOKUP(xB+mB,기수표B,$AA$1)),0)</f>
        <v>0</v>
      </c>
      <c r="CN28" s="32">
        <f t="shared" ca="1" si="41"/>
        <v>397823.70760606386</v>
      </c>
      <c r="CO28" s="32">
        <f t="shared" ca="1" si="42"/>
        <v>0</v>
      </c>
      <c r="CP28" s="659">
        <f t="shared" ca="1" si="43"/>
        <v>9.5999999999999996E-6</v>
      </c>
      <c r="CQ28" s="659">
        <f t="shared" ca="1" si="44"/>
        <v>9.5999999999999996E-6</v>
      </c>
      <c r="CR28" s="659">
        <f t="shared" ca="1" si="45"/>
        <v>9.5778428984590872E-6</v>
      </c>
      <c r="CS28" s="660">
        <f t="shared" ref="CS28" si="448">+MIN(mB,7)</f>
        <v>5</v>
      </c>
      <c r="CU28" s="13">
        <v>16</v>
      </c>
      <c r="CV28" s="477">
        <f t="shared" ca="1" si="47"/>
        <v>420</v>
      </c>
      <c r="CW28" s="477">
        <f t="shared" ca="1" si="48"/>
        <v>96</v>
      </c>
      <c r="CX28" s="477">
        <f t="shared" ca="1" si="49"/>
        <v>96</v>
      </c>
      <c r="CY28" s="478">
        <f t="shared" ca="1" si="98"/>
        <v>0.22800000000000001</v>
      </c>
    </row>
    <row r="29" spans="2:103">
      <c r="F29" s="602"/>
      <c r="G29" s="18" t="s">
        <v>74</v>
      </c>
      <c r="H29" s="253">
        <f ca="1">+ROUND(H28,roundB)</f>
        <v>6.9999999999999997E-7</v>
      </c>
      <c r="I29" s="251"/>
      <c r="J29" s="251"/>
      <c r="K29" s="252">
        <f ca="1">+ROUND(K28,roundB)</f>
        <v>8.1999999999999994E-6</v>
      </c>
      <c r="N29" s="5">
        <f t="shared" si="99"/>
        <v>17</v>
      </c>
      <c r="O29" s="2">
        <f t="shared" ref="O29" ca="1" si="449">+(1+iB)^-N29</f>
        <v>0.68505212283012151</v>
      </c>
      <c r="P29" s="2">
        <f t="shared" ref="P29" ca="1" si="450">+(1+iB)^-(N29+0.5)</f>
        <v>0.67747294787630519</v>
      </c>
      <c r="Q29" s="91"/>
      <c r="R29" s="20">
        <f t="shared" si="102"/>
        <v>17</v>
      </c>
      <c r="S29" s="20">
        <f t="shared" ref="S29" si="451">+IF(xB+R29&lt;=xB+nB,xB+R29,"")</f>
        <v>25</v>
      </c>
      <c r="T29" s="2">
        <f t="shared" ref="T29:U29" ca="1" si="452">IFERROR(VLOOKUP($S29,qx_table,MATCH(T$11,qx_title,0)+sexB),0)</f>
        <v>0</v>
      </c>
      <c r="U29" s="2">
        <f t="shared" ca="1" si="452"/>
        <v>4.8000000000000001E-5</v>
      </c>
      <c r="V29" s="300">
        <f>IF(JRB=2,0,IF(R29&gt;=mB-1,_xlfn.XLOOKUP(R29-mB,해지율!#REF!,해지율!#REF!,,1),_xlfn.XLOOKUP(R29,해지율!#REF!,해지율!#REF!,,-1)))</f>
        <v>0</v>
      </c>
      <c r="W29" s="8">
        <f t="shared" ref="W29" ca="1" si="453">IF(R29=0,100000,IF(R29&gt;nB,0,W28*(1-X28)*(1-Y28)))</f>
        <v>99999.468031528944</v>
      </c>
      <c r="X29" s="10">
        <f t="shared" ca="1" si="19"/>
        <v>0</v>
      </c>
      <c r="Y29" s="10">
        <f t="shared" ca="1" si="20"/>
        <v>5.613719999963962E-7</v>
      </c>
      <c r="Z29" s="8">
        <f t="shared" ca="1" si="106"/>
        <v>68504.847856881781</v>
      </c>
      <c r="AA29" s="8">
        <f ca="1">+SUM(Z29:Z$124)</f>
        <v>389069.37064348866</v>
      </c>
      <c r="AB29" s="8">
        <f t="shared" ca="1" si="21"/>
        <v>0</v>
      </c>
      <c r="AC29" s="209">
        <f ca="1">+SUM(AB29:AB$124)*SSSM</f>
        <v>0</v>
      </c>
      <c r="AD29" s="209">
        <f t="shared" ref="AD29" ca="1" si="454">IF(R29&gt;nB,0,AD28*(1-X28)*(1-Y28)*(1-AE28)*(1-AF28))</f>
        <v>99948.280492839956</v>
      </c>
      <c r="AE29" s="92">
        <f t="shared" ca="1" si="56"/>
        <v>4.8000000000048004E-5</v>
      </c>
      <c r="AF29" s="92">
        <f t="shared" ca="1" si="22"/>
        <v>0</v>
      </c>
      <c r="AG29" s="664">
        <f t="shared" ca="1" si="23"/>
        <v>68469.781724840432</v>
      </c>
      <c r="AH29" s="5">
        <f ca="1">+SUM(AG29:AG$124)</f>
        <v>388822.7065743056</v>
      </c>
      <c r="AI29" s="70">
        <f t="shared" ca="1" si="24"/>
        <v>3.2501882985945509</v>
      </c>
      <c r="AJ29" s="208">
        <f ca="1">+SUM(AB29:AB$124)*SS50J</f>
        <v>0</v>
      </c>
      <c r="AK29" s="209">
        <f t="shared" ca="1" si="108"/>
        <v>99999.468031528944</v>
      </c>
      <c r="AL29" s="257">
        <f t="shared" ref="AL29" ca="1" si="455">IFERROR(VLOOKUP($S29,qx_table,MATCH(AL$11,qx_title,0)+sexB),0)</f>
        <v>5.6137200000000001E-7</v>
      </c>
      <c r="AM29" s="131">
        <f t="shared" ca="1" si="110"/>
        <v>68504.847856881781</v>
      </c>
      <c r="AN29" s="129">
        <f t="shared" ca="1" si="58"/>
        <v>3.8031232054281779E-2</v>
      </c>
      <c r="AO29" s="129">
        <f ca="1">SUM(AN29:AN$124)*SSa</f>
        <v>0.29053504585734441</v>
      </c>
      <c r="AP29" s="70">
        <f t="shared" ca="1" si="59"/>
        <v>99999.468031528944</v>
      </c>
      <c r="AQ29" s="2">
        <f t="shared" ref="AQ29" ca="1" si="456">IFERROR(VLOOKUP($S29,qx_table,MATCH(AQ$11,qx_title,0)+sexB),0)</f>
        <v>0</v>
      </c>
      <c r="AR29" s="127">
        <f t="shared" ca="1" si="61"/>
        <v>0</v>
      </c>
      <c r="AS29" s="127">
        <f ca="1">SUM(AR29:AR$124)*SSb</f>
        <v>0</v>
      </c>
      <c r="AT29" s="70">
        <f t="shared" ca="1" si="62"/>
        <v>99999.468031528944</v>
      </c>
      <c r="AU29" s="2">
        <f t="shared" ref="AU29" ca="1" si="457">IFERROR(VLOOKUP($S29,qx_table,MATCH(AU$11,qx_title,0)+sexB),0)</f>
        <v>0</v>
      </c>
      <c r="AV29" s="268">
        <f t="shared" ca="1" si="64"/>
        <v>0</v>
      </c>
      <c r="AW29" s="131">
        <f ca="1">SUM(AV29:AV$124)*SSc</f>
        <v>0</v>
      </c>
      <c r="AX29" s="70">
        <f t="shared" ca="1" si="65"/>
        <v>99999.468031528944</v>
      </c>
      <c r="AY29" s="2">
        <f t="shared" ref="AY29" ca="1" si="458">IFERROR(VLOOKUP($S29,qx_table,MATCH(AY$11,qx_title,0)+sexB),0)</f>
        <v>0</v>
      </c>
      <c r="AZ29" s="268">
        <f t="shared" ca="1" si="67"/>
        <v>0</v>
      </c>
      <c r="BA29" s="129">
        <f ca="1">SUM(AZ29:AZ$124)*SSd</f>
        <v>0</v>
      </c>
      <c r="BB29" s="70">
        <f t="shared" ca="1" si="68"/>
        <v>99999.468031528944</v>
      </c>
      <c r="BC29" s="257">
        <f t="shared" ref="BC29" ca="1" si="459">IFERROR(VLOOKUP($S29,qx_table,MATCH(BC$11,qx_title,0)+sexB),0)</f>
        <v>0</v>
      </c>
      <c r="BD29" s="268">
        <f t="shared" ca="1" si="70"/>
        <v>0</v>
      </c>
      <c r="BE29" s="131">
        <f ca="1">SUM(BD29:BD$124)*SSe</f>
        <v>0</v>
      </c>
      <c r="BF29" s="70">
        <f t="shared" ca="1" si="71"/>
        <v>99999.468031528944</v>
      </c>
      <c r="BG29" s="2">
        <f t="shared" ref="BG29" ca="1" si="460">IFERROR(VLOOKUP($S29,qx_table,MATCH(BG$11,qx_title,0)+sexB),0)</f>
        <v>0</v>
      </c>
      <c r="BH29" s="131">
        <f t="shared" ca="1" si="73"/>
        <v>0</v>
      </c>
      <c r="BI29" s="2">
        <f ca="1">SUM(BH29:BH$124)*SSf</f>
        <v>0</v>
      </c>
      <c r="BJ29" s="70">
        <f t="shared" ca="1" si="74"/>
        <v>99999.468031528944</v>
      </c>
      <c r="BK29" s="2">
        <f t="shared" ref="BK29" ca="1" si="461">IFERROR(VLOOKUP($S29,qx_table,MATCH(BK$11,qx_title,0)+sexB),0)</f>
        <v>0</v>
      </c>
      <c r="BL29" s="131">
        <f t="shared" ca="1" si="76"/>
        <v>0</v>
      </c>
      <c r="BM29" s="131">
        <f ca="1">SUM(BL29:BL$124)*SSg</f>
        <v>0</v>
      </c>
      <c r="BN29" s="70">
        <f t="shared" ca="1" si="77"/>
        <v>99999.468031528944</v>
      </c>
      <c r="BO29" s="2">
        <f t="shared" ref="BO29" ca="1" si="462">IFERROR(VLOOKUP($S29,qx_table,MATCH(BO$11,qx_title,0)+sexB),0)</f>
        <v>0</v>
      </c>
      <c r="BP29" s="131">
        <f t="shared" ca="1" si="79"/>
        <v>0</v>
      </c>
      <c r="BQ29" s="131">
        <f ca="1">SUM(BP29:BP$124)*SSh</f>
        <v>0</v>
      </c>
      <c r="BR29" s="70">
        <f t="shared" ca="1" si="80"/>
        <v>99999.468031528944</v>
      </c>
      <c r="BS29" s="2">
        <f t="shared" ref="BS29" ca="1" si="463">IFERROR(VLOOKUP($S29,qx_table,MATCH(BS$11,qx_title,0)+sexB),0)*IF(R29=0,MCi,1)</f>
        <v>0</v>
      </c>
      <c r="BT29" s="131">
        <f t="shared" ca="1" si="82"/>
        <v>0</v>
      </c>
      <c r="BU29" s="131">
        <f ca="1">SUM(BT29:BT$124)*SSi</f>
        <v>0</v>
      </c>
      <c r="BV29" s="70">
        <f t="shared" ca="1" si="83"/>
        <v>99999.468031528944</v>
      </c>
      <c r="BW29" s="2">
        <f t="shared" ref="BW29" ca="1" si="464">IFERROR(VLOOKUP($S29,qx_table,MATCH(BW$11,qx_title,0)+sexB),0)</f>
        <v>0</v>
      </c>
      <c r="BX29" s="131">
        <f t="shared" ca="1" si="85"/>
        <v>0</v>
      </c>
      <c r="BY29" s="131">
        <f ca="1">SUM(BX29:BX$124)*SSj</f>
        <v>0</v>
      </c>
      <c r="BZ29" s="70">
        <f t="shared" ca="1" si="86"/>
        <v>99999.468031528944</v>
      </c>
      <c r="CA29" s="2">
        <f t="shared" ref="CA29" ca="1" si="465">IFERROR(VLOOKUP($S29,qx_table,MATCH(CA$11,qx_title,0)+sexB),0)</f>
        <v>0</v>
      </c>
      <c r="CB29" s="131">
        <f t="shared" ca="1" si="88"/>
        <v>0</v>
      </c>
      <c r="CC29" s="131">
        <f ca="1">SUM(CB29:CB$124)*SSk</f>
        <v>0</v>
      </c>
      <c r="CD29" s="8">
        <f t="shared" ca="1" si="89"/>
        <v>99999.468031528944</v>
      </c>
      <c r="CE29" s="2">
        <f t="shared" ref="CE29" ca="1" si="466">IFERROR(VLOOKUP($S29,qx_table,MATCH(CE$11,qx_title,0)+sexB),0)</f>
        <v>0</v>
      </c>
      <c r="CF29" s="131">
        <f t="shared" ca="1" si="91"/>
        <v>0</v>
      </c>
      <c r="CG29" s="131">
        <f ca="1">SUM(CF29:CF$124)*SSl</f>
        <v>0</v>
      </c>
      <c r="CH29" s="101">
        <f t="shared" ca="1" si="92"/>
        <v>0.29053504585734441</v>
      </c>
      <c r="CI29" s="154">
        <f t="shared" ca="1" si="37"/>
        <v>0.24103636990085672</v>
      </c>
      <c r="CJ29" s="32">
        <f t="shared" ref="CJ29" ca="1" si="467">+MAX(VLOOKUP(xB+$R29,기수표B,$AH$1)-VLOOKUP(xB+mB,기수표B,$AH$1),0)</f>
        <v>0</v>
      </c>
      <c r="CK29" s="32">
        <f t="shared" ref="CK29" ca="1" si="468">+MAX(VLOOKUP(xB+$R29,기수표B,$AH$1)-VLOOKUP(xB+mB,기수표B,$AH$1)-11/24*(VLOOKUP(xB+$R29,기수표B,$AG$1)-VLOOKUP(xB+mB,기수표B,$AG$1)),0)</f>
        <v>0</v>
      </c>
      <c r="CL29" s="32">
        <f t="shared" ref="CL29" ca="1" si="469">+MAX(VLOOKUP(xB+$R29,기수표B,$AA$1)-VLOOKUP(xB+mB,기수표B,$AA$1),0)</f>
        <v>0</v>
      </c>
      <c r="CM29" s="32">
        <f t="shared" ref="CM29" ca="1" si="470">+MAX(VLOOKUP(xB+$R29,기수표B,$AA$1)-VLOOKUP(xB+mB,기수표B,$AA$1)-11/24*(VLOOKUP(xB+$R29,기수표B,$AA$1)-VLOOKUP(xB+mB,기수표B,$AA$1)),0)</f>
        <v>0</v>
      </c>
      <c r="CN29" s="32">
        <f t="shared" ca="1" si="41"/>
        <v>327777.46828225069</v>
      </c>
      <c r="CO29" s="32">
        <f t="shared" ca="1" si="42"/>
        <v>0</v>
      </c>
      <c r="CP29" s="659">
        <f t="shared" ca="1" si="43"/>
        <v>8.3000000000000002E-6</v>
      </c>
      <c r="CQ29" s="659">
        <f t="shared" ca="1" si="44"/>
        <v>8.3000000000000002E-6</v>
      </c>
      <c r="CR29" s="659">
        <f t="shared" ca="1" si="45"/>
        <v>8.3032640167518609E-6</v>
      </c>
      <c r="CS29" s="660">
        <f t="shared" ref="CS29" si="471">+MIN(mB,7)</f>
        <v>5</v>
      </c>
      <c r="CU29" s="13">
        <v>17</v>
      </c>
      <c r="CV29" s="477">
        <f t="shared" ca="1" si="47"/>
        <v>420</v>
      </c>
      <c r="CW29" s="477">
        <f t="shared" ca="1" si="48"/>
        <v>83</v>
      </c>
      <c r="CX29" s="477">
        <f t="shared" ca="1" si="49"/>
        <v>83</v>
      </c>
      <c r="CY29" s="478">
        <f t="shared" ca="1" si="98"/>
        <v>0.19700000000000001</v>
      </c>
    </row>
    <row r="30" spans="2:103">
      <c r="B30" s="13" t="s">
        <v>161</v>
      </c>
      <c r="F30" s="600" t="s">
        <v>70</v>
      </c>
      <c r="G30" s="69" t="s">
        <v>158</v>
      </c>
      <c r="H30" s="230">
        <f ca="1">+$H$11-$I$11</f>
        <v>478457.13731556665</v>
      </c>
      <c r="I30" s="230"/>
      <c r="J30" s="230"/>
      <c r="K30" s="230">
        <f t="shared" ref="K30" ca="1" si="472">+$H$11-$I$11</f>
        <v>478457.13731556665</v>
      </c>
      <c r="N30" s="5">
        <f t="shared" si="99"/>
        <v>18</v>
      </c>
      <c r="O30" s="2">
        <f t="shared" ref="O30" ca="1" si="473">+(1+iB)^-N30</f>
        <v>0.66997762623972779</v>
      </c>
      <c r="P30" s="2">
        <f t="shared" ref="P30" ca="1" si="474">+(1+iB)^-(N30+0.5)</f>
        <v>0.66256523019687541</v>
      </c>
      <c r="Q30" s="91"/>
      <c r="R30" s="20">
        <f t="shared" si="102"/>
        <v>18</v>
      </c>
      <c r="S30" s="20">
        <f t="shared" ref="S30" si="475">+IF(xB+R30&lt;=xB+nB,xB+R30,"")</f>
        <v>26</v>
      </c>
      <c r="T30" s="2">
        <f t="shared" ref="T30:U30" ca="1" si="476">IFERROR(VLOOKUP($S30,qx_table,MATCH(T$11,qx_title,0)+sexB),0)</f>
        <v>0</v>
      </c>
      <c r="U30" s="2">
        <f t="shared" ca="1" si="476"/>
        <v>5.0000000000000002E-5</v>
      </c>
      <c r="V30" s="300">
        <f>IF(JRB=2,0,IF(R30&gt;=mB-1,_xlfn.XLOOKUP(R30-mB,해지율!#REF!,해지율!#REF!,,1),_xlfn.XLOOKUP(R30,해지율!#REF!,해지율!#REF!,,-1)))</f>
        <v>0</v>
      </c>
      <c r="W30" s="8">
        <f t="shared" ref="W30" ca="1" si="477">IF(R30=0,100000,IF(R30&gt;nB,0,W29*(1-X29)*(1-Y29)))</f>
        <v>99999.41189462757</v>
      </c>
      <c r="X30" s="10">
        <f t="shared" ca="1" si="19"/>
        <v>0</v>
      </c>
      <c r="Y30" s="10">
        <f t="shared" ca="1" si="20"/>
        <v>6.7692399996488462E-7</v>
      </c>
      <c r="Z30" s="8">
        <f t="shared" ca="1" si="106"/>
        <v>66997.368606531381</v>
      </c>
      <c r="AA30" s="8">
        <f ca="1">+SUM(Z30:Z$124)</f>
        <v>320564.52278660686</v>
      </c>
      <c r="AB30" s="8">
        <f t="shared" ca="1" si="21"/>
        <v>0</v>
      </c>
      <c r="AC30" s="209">
        <f ca="1">+SUM(AB30:AB$124)*SSSM</f>
        <v>0</v>
      </c>
      <c r="AD30" s="209">
        <f t="shared" ref="AD30" ca="1" si="478">IF(R30&gt;nB,0,AD29*(1-X29)*(1-Y29)*(1-AE29)*(1-AF29))</f>
        <v>99943.426869903371</v>
      </c>
      <c r="AE30" s="92">
        <f t="shared" ca="1" si="56"/>
        <v>4.9999999999994493E-5</v>
      </c>
      <c r="AF30" s="92">
        <f t="shared" ca="1" si="22"/>
        <v>0</v>
      </c>
      <c r="AG30" s="664">
        <f t="shared" ca="1" si="23"/>
        <v>66959.859892561682</v>
      </c>
      <c r="AH30" s="5">
        <f ca="1">+SUM(AG30:AG$124)</f>
        <v>320352.9248494652</v>
      </c>
      <c r="AI30" s="70">
        <f t="shared" ca="1" si="24"/>
        <v>3.3109519815357409</v>
      </c>
      <c r="AJ30" s="208">
        <f ca="1">+SUM(AB30:AB$124)*SS50J</f>
        <v>0</v>
      </c>
      <c r="AK30" s="209">
        <f t="shared" ca="1" si="108"/>
        <v>99999.41189462757</v>
      </c>
      <c r="AL30" s="257">
        <f t="shared" ref="AL30" ca="1" si="479">IFERROR(VLOOKUP($S30,qx_table,MATCH(AL$11,qx_title,0)+sexB),0)</f>
        <v>6.7692399999999995E-7</v>
      </c>
      <c r="AM30" s="131">
        <f t="shared" ca="1" si="110"/>
        <v>66997.368606531381</v>
      </c>
      <c r="AN30" s="129">
        <f t="shared" ca="1" si="58"/>
        <v>4.485036681961091E-2</v>
      </c>
      <c r="AO30" s="129">
        <f ca="1">SUM(AN30:AN$124)*SSa</f>
        <v>0.25250381380306264</v>
      </c>
      <c r="AP30" s="70">
        <f t="shared" ca="1" si="59"/>
        <v>99999.41189462757</v>
      </c>
      <c r="AQ30" s="2">
        <f t="shared" ref="AQ30" ca="1" si="480">IFERROR(VLOOKUP($S30,qx_table,MATCH(AQ$11,qx_title,0)+sexB),0)</f>
        <v>0</v>
      </c>
      <c r="AR30" s="127">
        <f t="shared" ca="1" si="61"/>
        <v>0</v>
      </c>
      <c r="AS30" s="127">
        <f ca="1">SUM(AR30:AR$124)*SSb</f>
        <v>0</v>
      </c>
      <c r="AT30" s="70">
        <f t="shared" ca="1" si="62"/>
        <v>99999.41189462757</v>
      </c>
      <c r="AU30" s="2">
        <f t="shared" ref="AU30" ca="1" si="481">IFERROR(VLOOKUP($S30,qx_table,MATCH(AU$11,qx_title,0)+sexB),0)</f>
        <v>0</v>
      </c>
      <c r="AV30" s="268">
        <f t="shared" ca="1" si="64"/>
        <v>0</v>
      </c>
      <c r="AW30" s="131">
        <f ca="1">SUM(AV30:AV$124)*SSc</f>
        <v>0</v>
      </c>
      <c r="AX30" s="70">
        <f t="shared" ca="1" si="65"/>
        <v>99999.41189462757</v>
      </c>
      <c r="AY30" s="2">
        <f t="shared" ref="AY30" ca="1" si="482">IFERROR(VLOOKUP($S30,qx_table,MATCH(AY$11,qx_title,0)+sexB),0)</f>
        <v>0</v>
      </c>
      <c r="AZ30" s="268">
        <f t="shared" ca="1" si="67"/>
        <v>0</v>
      </c>
      <c r="BA30" s="129">
        <f ca="1">SUM(AZ30:AZ$124)*SSd</f>
        <v>0</v>
      </c>
      <c r="BB30" s="70">
        <f t="shared" ca="1" si="68"/>
        <v>99999.41189462757</v>
      </c>
      <c r="BC30" s="257">
        <f t="shared" ref="BC30" ca="1" si="483">IFERROR(VLOOKUP($S30,qx_table,MATCH(BC$11,qx_title,0)+sexB),0)</f>
        <v>0</v>
      </c>
      <c r="BD30" s="268">
        <f t="shared" ca="1" si="70"/>
        <v>0</v>
      </c>
      <c r="BE30" s="131">
        <f ca="1">SUM(BD30:BD$124)*SSe</f>
        <v>0</v>
      </c>
      <c r="BF30" s="70">
        <f t="shared" ca="1" si="71"/>
        <v>99999.41189462757</v>
      </c>
      <c r="BG30" s="2">
        <f t="shared" ref="BG30" ca="1" si="484">IFERROR(VLOOKUP($S30,qx_table,MATCH(BG$11,qx_title,0)+sexB),0)</f>
        <v>0</v>
      </c>
      <c r="BH30" s="131">
        <f t="shared" ca="1" si="73"/>
        <v>0</v>
      </c>
      <c r="BI30" s="2">
        <f ca="1">SUM(BH30:BH$124)*SSf</f>
        <v>0</v>
      </c>
      <c r="BJ30" s="70">
        <f t="shared" ca="1" si="74"/>
        <v>99999.41189462757</v>
      </c>
      <c r="BK30" s="2">
        <f t="shared" ref="BK30" ca="1" si="485">IFERROR(VLOOKUP($S30,qx_table,MATCH(BK$11,qx_title,0)+sexB),0)</f>
        <v>0</v>
      </c>
      <c r="BL30" s="131">
        <f t="shared" ca="1" si="76"/>
        <v>0</v>
      </c>
      <c r="BM30" s="131">
        <f ca="1">SUM(BL30:BL$124)*SSg</f>
        <v>0</v>
      </c>
      <c r="BN30" s="70">
        <f t="shared" ca="1" si="77"/>
        <v>99999.41189462757</v>
      </c>
      <c r="BO30" s="2">
        <f t="shared" ref="BO30" ca="1" si="486">IFERROR(VLOOKUP($S30,qx_table,MATCH(BO$11,qx_title,0)+sexB),0)</f>
        <v>0</v>
      </c>
      <c r="BP30" s="131">
        <f t="shared" ca="1" si="79"/>
        <v>0</v>
      </c>
      <c r="BQ30" s="131">
        <f ca="1">SUM(BP30:BP$124)*SSh</f>
        <v>0</v>
      </c>
      <c r="BR30" s="70">
        <f t="shared" ca="1" si="80"/>
        <v>99999.41189462757</v>
      </c>
      <c r="BS30" s="2">
        <f t="shared" ref="BS30" ca="1" si="487">IFERROR(VLOOKUP($S30,qx_table,MATCH(BS$11,qx_title,0)+sexB),0)*IF(R30=0,MCi,1)</f>
        <v>0</v>
      </c>
      <c r="BT30" s="131">
        <f t="shared" ca="1" si="82"/>
        <v>0</v>
      </c>
      <c r="BU30" s="131">
        <f ca="1">SUM(BT30:BT$124)*SSi</f>
        <v>0</v>
      </c>
      <c r="BV30" s="70">
        <f t="shared" ca="1" si="83"/>
        <v>99999.41189462757</v>
      </c>
      <c r="BW30" s="2">
        <f t="shared" ref="BW30" ca="1" si="488">IFERROR(VLOOKUP($S30,qx_table,MATCH(BW$11,qx_title,0)+sexB),0)</f>
        <v>0</v>
      </c>
      <c r="BX30" s="131">
        <f t="shared" ca="1" si="85"/>
        <v>0</v>
      </c>
      <c r="BY30" s="131">
        <f ca="1">SUM(BX30:BX$124)*SSj</f>
        <v>0</v>
      </c>
      <c r="BZ30" s="70">
        <f t="shared" ca="1" si="86"/>
        <v>99999.41189462757</v>
      </c>
      <c r="CA30" s="2">
        <f t="shared" ref="CA30" ca="1" si="489">IFERROR(VLOOKUP($S30,qx_table,MATCH(CA$11,qx_title,0)+sexB),0)</f>
        <v>0</v>
      </c>
      <c r="CB30" s="131">
        <f t="shared" ca="1" si="88"/>
        <v>0</v>
      </c>
      <c r="CC30" s="131">
        <f ca="1">SUM(CB30:CB$124)*SSk</f>
        <v>0</v>
      </c>
      <c r="CD30" s="8">
        <f t="shared" ca="1" si="89"/>
        <v>99999.41189462757</v>
      </c>
      <c r="CE30" s="2">
        <f t="shared" ref="CE30" ca="1" si="490">IFERROR(VLOOKUP($S30,qx_table,MATCH(CE$11,qx_title,0)+sexB),0)</f>
        <v>0</v>
      </c>
      <c r="CF30" s="131">
        <f t="shared" ca="1" si="91"/>
        <v>0</v>
      </c>
      <c r="CG30" s="131">
        <f ca="1">SUM(CF30:CF$124)*SSl</f>
        <v>0</v>
      </c>
      <c r="CH30" s="101">
        <f t="shared" ca="1" si="92"/>
        <v>0.25250381380306264</v>
      </c>
      <c r="CI30" s="154">
        <f t="shared" ca="1" si="37"/>
        <v>0.20300513784657495</v>
      </c>
      <c r="CJ30" s="32">
        <f t="shared" ref="CJ30" ca="1" si="491">+MAX(VLOOKUP(xB+$R30,기수표B,$AH$1)-VLOOKUP(xB+mB,기수표B,$AH$1),0)</f>
        <v>0</v>
      </c>
      <c r="CK30" s="32">
        <f t="shared" ref="CK30" ca="1" si="492">+MAX(VLOOKUP(xB+$R30,기수표B,$AH$1)-VLOOKUP(xB+mB,기수표B,$AH$1)-11/24*(VLOOKUP(xB+$R30,기수표B,$AG$1)-VLOOKUP(xB+mB,기수표B,$AG$1)),0)</f>
        <v>0</v>
      </c>
      <c r="CL30" s="32">
        <f t="shared" ref="CL30" ca="1" si="493">+MAX(VLOOKUP(xB+$R30,기수표B,$AA$1)-VLOOKUP(xB+mB,기수표B,$AA$1),0)</f>
        <v>0</v>
      </c>
      <c r="CM30" s="32">
        <f t="shared" ref="CM30" ca="1" si="494">+MAX(VLOOKUP(xB+$R30,기수표B,$AA$1)-VLOOKUP(xB+mB,기수표B,$AA$1)-11/24*(VLOOKUP(xB+$R30,기수표B,$AA$1)-VLOOKUP(xB+mB,기수표B,$AA$1)),0)</f>
        <v>0</v>
      </c>
      <c r="CN30" s="32">
        <f t="shared" ca="1" si="41"/>
        <v>259272.62042536892</v>
      </c>
      <c r="CO30" s="32">
        <f t="shared" ca="1" si="42"/>
        <v>0</v>
      </c>
      <c r="CP30" s="659">
        <f t="shared" ca="1" si="43"/>
        <v>6.9E-6</v>
      </c>
      <c r="CQ30" s="659">
        <f t="shared" ca="1" si="44"/>
        <v>6.9E-6</v>
      </c>
      <c r="CR30" s="659">
        <f t="shared" ca="1" si="45"/>
        <v>6.8999390257676137E-6</v>
      </c>
      <c r="CS30" s="660">
        <f t="shared" ref="CS30" si="495">+MIN(mB,7)</f>
        <v>5</v>
      </c>
      <c r="CU30" s="13">
        <v>18</v>
      </c>
      <c r="CV30" s="477">
        <f t="shared" ca="1" si="47"/>
        <v>420</v>
      </c>
      <c r="CW30" s="477">
        <f t="shared" ca="1" si="48"/>
        <v>69</v>
      </c>
      <c r="CX30" s="477">
        <f t="shared" ca="1" si="49"/>
        <v>69</v>
      </c>
      <c r="CY30" s="478">
        <f t="shared" ca="1" si="98"/>
        <v>0.16400000000000001</v>
      </c>
    </row>
    <row r="31" spans="2:103">
      <c r="B31" s="18" t="s">
        <v>162</v>
      </c>
      <c r="C31" s="256">
        <f ca="1">ROUND((ALP_GP*H28+ALP_S+ALP_PP*C28)*SB,0)/SB</f>
        <v>2.9999999999999999E-7</v>
      </c>
      <c r="D31" s="293">
        <f ca="1">C31*S</f>
        <v>3</v>
      </c>
      <c r="F31" s="601"/>
      <c r="G31" s="69" t="s">
        <v>542</v>
      </c>
      <c r="H31" s="230">
        <f ca="1">+$H$9-$I$9</f>
        <v>478473.80435101618</v>
      </c>
      <c r="I31" s="230"/>
      <c r="J31" s="230"/>
      <c r="K31" s="230">
        <f t="shared" ref="K31" ca="1" si="496">+$H$9-$I$9</f>
        <v>478473.80435101618</v>
      </c>
      <c r="N31" s="5">
        <f t="shared" si="99"/>
        <v>19</v>
      </c>
      <c r="O31" s="2">
        <f t="shared" ref="O31" ca="1" si="497">+(1+iB)^-N31</f>
        <v>0.65523484228824225</v>
      </c>
      <c r="P31" s="2">
        <f t="shared" ref="P31" ca="1" si="498">+(1+iB)^-(N31+0.5)</f>
        <v>0.64798555520476819</v>
      </c>
      <c r="Q31" s="91"/>
      <c r="R31" s="20">
        <f t="shared" si="102"/>
        <v>19</v>
      </c>
      <c r="S31" s="20">
        <f t="shared" ref="S31" si="499">+IF(xB+R31&lt;=xB+nB,xB+R31,"")</f>
        <v>27</v>
      </c>
      <c r="T31" s="2">
        <f t="shared" ref="T31:U31" ca="1" si="500">IFERROR(VLOOKUP($S31,qx_table,MATCH(T$11,qx_title,0)+sexB),0)</f>
        <v>0</v>
      </c>
      <c r="U31" s="2">
        <f t="shared" ca="1" si="500"/>
        <v>5.1E-5</v>
      </c>
      <c r="V31" s="300">
        <f>IF(JRB=2,0,IF(R31&gt;=mB-1,_xlfn.XLOOKUP(R31-mB,해지율!#REF!,해지율!#REF!,,1),_xlfn.XLOOKUP(R31,해지율!#REF!,해지율!#REF!,,-1)))</f>
        <v>0</v>
      </c>
      <c r="W31" s="8">
        <f t="shared" ref="W31" ca="1" si="501">IF(R31=0,100000,IF(R31&gt;nB,0,W30*(1-X30)*(1-Y30)))</f>
        <v>99999.344202625682</v>
      </c>
      <c r="X31" s="10">
        <f t="shared" ca="1" si="19"/>
        <v>0</v>
      </c>
      <c r="Y31" s="10">
        <f t="shared" ca="1" si="20"/>
        <v>8.1868000001428243E-7</v>
      </c>
      <c r="Z31" s="8">
        <f t="shared" ca="1" si="106"/>
        <v>65523.054527535089</v>
      </c>
      <c r="AA31" s="8">
        <f ca="1">+SUM(Z31:Z$124)</f>
        <v>253567.15418007548</v>
      </c>
      <c r="AB31" s="8">
        <f t="shared" ca="1" si="21"/>
        <v>0</v>
      </c>
      <c r="AC31" s="209">
        <f ca="1">+SUM(AB31:AB$124)*SSSM</f>
        <v>0</v>
      </c>
      <c r="AD31" s="209">
        <f t="shared" ref="AD31" ca="1" si="502">IF(R31&gt;nB,0,AD30*(1-X30)*(1-Y30)*(1-AE30)*(1-AF30))</f>
        <v>99938.362047838295</v>
      </c>
      <c r="AE31" s="92">
        <f t="shared" ca="1" si="56"/>
        <v>5.1000000000023249E-5</v>
      </c>
      <c r="AF31" s="92">
        <f t="shared" ca="1" si="22"/>
        <v>0</v>
      </c>
      <c r="AG31" s="664">
        <f t="shared" ca="1" si="23"/>
        <v>65483.096894960581</v>
      </c>
      <c r="AH31" s="5">
        <f ca="1">+SUM(AG31:AG$124)</f>
        <v>253393.06495690346</v>
      </c>
      <c r="AI31" s="70">
        <f t="shared" ca="1" si="24"/>
        <v>3.3026893659105108</v>
      </c>
      <c r="AJ31" s="208">
        <f ca="1">+SUM(AB31:AB$124)*SS50J</f>
        <v>0</v>
      </c>
      <c r="AK31" s="209">
        <f t="shared" ca="1" si="108"/>
        <v>99999.344202625682</v>
      </c>
      <c r="AL31" s="257">
        <f t="shared" ref="AL31" ca="1" si="503">IFERROR(VLOOKUP($S31,qx_table,MATCH(AL$11,qx_title,0)+sexB),0)</f>
        <v>8.1868000000000008E-7</v>
      </c>
      <c r="AM31" s="131">
        <f t="shared" ca="1" si="110"/>
        <v>65523.054527535089</v>
      </c>
      <c r="AN31" s="129">
        <f t="shared" ca="1" si="58"/>
        <v>5.3048933537709231E-2</v>
      </c>
      <c r="AO31" s="129">
        <f ca="1">SUM(AN31:AN$124)*SSa</f>
        <v>0.20765344698345173</v>
      </c>
      <c r="AP31" s="70">
        <f t="shared" ca="1" si="59"/>
        <v>99999.344202625682</v>
      </c>
      <c r="AQ31" s="2">
        <f t="shared" ref="AQ31" ca="1" si="504">IFERROR(VLOOKUP($S31,qx_table,MATCH(AQ$11,qx_title,0)+sexB),0)</f>
        <v>0</v>
      </c>
      <c r="AR31" s="127">
        <f t="shared" ca="1" si="61"/>
        <v>0</v>
      </c>
      <c r="AS31" s="127">
        <f ca="1">SUM(AR31:AR$124)*SSb</f>
        <v>0</v>
      </c>
      <c r="AT31" s="70">
        <f t="shared" ca="1" si="62"/>
        <v>99999.344202625682</v>
      </c>
      <c r="AU31" s="2">
        <f t="shared" ref="AU31" ca="1" si="505">IFERROR(VLOOKUP($S31,qx_table,MATCH(AU$11,qx_title,0)+sexB),0)</f>
        <v>0</v>
      </c>
      <c r="AV31" s="268">
        <f t="shared" ca="1" si="64"/>
        <v>0</v>
      </c>
      <c r="AW31" s="131">
        <f ca="1">SUM(AV31:AV$124)*SSc</f>
        <v>0</v>
      </c>
      <c r="AX31" s="70">
        <f t="shared" ca="1" si="65"/>
        <v>99999.344202625682</v>
      </c>
      <c r="AY31" s="2">
        <f t="shared" ref="AY31" ca="1" si="506">IFERROR(VLOOKUP($S31,qx_table,MATCH(AY$11,qx_title,0)+sexB),0)</f>
        <v>0</v>
      </c>
      <c r="AZ31" s="268">
        <f t="shared" ca="1" si="67"/>
        <v>0</v>
      </c>
      <c r="BA31" s="129">
        <f ca="1">SUM(AZ31:AZ$124)*SSd</f>
        <v>0</v>
      </c>
      <c r="BB31" s="70">
        <f t="shared" ca="1" si="68"/>
        <v>99999.344202625682</v>
      </c>
      <c r="BC31" s="257">
        <f t="shared" ref="BC31" ca="1" si="507">IFERROR(VLOOKUP($S31,qx_table,MATCH(BC$11,qx_title,0)+sexB),0)</f>
        <v>0</v>
      </c>
      <c r="BD31" s="268">
        <f t="shared" ca="1" si="70"/>
        <v>0</v>
      </c>
      <c r="BE31" s="131">
        <f ca="1">SUM(BD31:BD$124)*SSe</f>
        <v>0</v>
      </c>
      <c r="BF31" s="70">
        <f t="shared" ca="1" si="71"/>
        <v>99999.344202625682</v>
      </c>
      <c r="BG31" s="2">
        <f t="shared" ref="BG31" ca="1" si="508">IFERROR(VLOOKUP($S31,qx_table,MATCH(BG$11,qx_title,0)+sexB),0)</f>
        <v>0</v>
      </c>
      <c r="BH31" s="131">
        <f t="shared" ca="1" si="73"/>
        <v>0</v>
      </c>
      <c r="BI31" s="2">
        <f ca="1">SUM(BH31:BH$124)*SSf</f>
        <v>0</v>
      </c>
      <c r="BJ31" s="70">
        <f t="shared" ca="1" si="74"/>
        <v>99999.344202625682</v>
      </c>
      <c r="BK31" s="2">
        <f t="shared" ref="BK31" ca="1" si="509">IFERROR(VLOOKUP($S31,qx_table,MATCH(BK$11,qx_title,0)+sexB),0)</f>
        <v>0</v>
      </c>
      <c r="BL31" s="131">
        <f t="shared" ca="1" si="76"/>
        <v>0</v>
      </c>
      <c r="BM31" s="131">
        <f ca="1">SUM(BL31:BL$124)*SSg</f>
        <v>0</v>
      </c>
      <c r="BN31" s="70">
        <f t="shared" ca="1" si="77"/>
        <v>99999.344202625682</v>
      </c>
      <c r="BO31" s="2">
        <f t="shared" ref="BO31" ca="1" si="510">IFERROR(VLOOKUP($S31,qx_table,MATCH(BO$11,qx_title,0)+sexB),0)</f>
        <v>0</v>
      </c>
      <c r="BP31" s="131">
        <f t="shared" ca="1" si="79"/>
        <v>0</v>
      </c>
      <c r="BQ31" s="131">
        <f ca="1">SUM(BP31:BP$124)*SSh</f>
        <v>0</v>
      </c>
      <c r="BR31" s="70">
        <f t="shared" ca="1" si="80"/>
        <v>99999.344202625682</v>
      </c>
      <c r="BS31" s="2">
        <f t="shared" ref="BS31" ca="1" si="511">IFERROR(VLOOKUP($S31,qx_table,MATCH(BS$11,qx_title,0)+sexB),0)*IF(R31=0,MCi,1)</f>
        <v>0</v>
      </c>
      <c r="BT31" s="131">
        <f t="shared" ca="1" si="82"/>
        <v>0</v>
      </c>
      <c r="BU31" s="131">
        <f ca="1">SUM(BT31:BT$124)*SSi</f>
        <v>0</v>
      </c>
      <c r="BV31" s="70">
        <f t="shared" ca="1" si="83"/>
        <v>99999.344202625682</v>
      </c>
      <c r="BW31" s="2">
        <f t="shared" ref="BW31" ca="1" si="512">IFERROR(VLOOKUP($S31,qx_table,MATCH(BW$11,qx_title,0)+sexB),0)</f>
        <v>0</v>
      </c>
      <c r="BX31" s="131">
        <f t="shared" ca="1" si="85"/>
        <v>0</v>
      </c>
      <c r="BY31" s="131">
        <f ca="1">SUM(BX31:BX$124)*SSj</f>
        <v>0</v>
      </c>
      <c r="BZ31" s="70">
        <f t="shared" ca="1" si="86"/>
        <v>99999.344202625682</v>
      </c>
      <c r="CA31" s="2">
        <f t="shared" ref="CA31" ca="1" si="513">IFERROR(VLOOKUP($S31,qx_table,MATCH(CA$11,qx_title,0)+sexB),0)</f>
        <v>0</v>
      </c>
      <c r="CB31" s="131">
        <f t="shared" ca="1" si="88"/>
        <v>0</v>
      </c>
      <c r="CC31" s="131">
        <f ca="1">SUM(CB31:CB$124)*SSk</f>
        <v>0</v>
      </c>
      <c r="CD31" s="8">
        <f t="shared" ca="1" si="89"/>
        <v>99999.344202625682</v>
      </c>
      <c r="CE31" s="2">
        <f t="shared" ref="CE31" ca="1" si="514">IFERROR(VLOOKUP($S31,qx_table,MATCH(CE$11,qx_title,0)+sexB),0)</f>
        <v>0</v>
      </c>
      <c r="CF31" s="131">
        <f t="shared" ca="1" si="91"/>
        <v>0</v>
      </c>
      <c r="CG31" s="131">
        <f ca="1">SUM(CF31:CF$124)*SSl</f>
        <v>0</v>
      </c>
      <c r="CH31" s="101">
        <f t="shared" ca="1" si="92"/>
        <v>0.20765344698345173</v>
      </c>
      <c r="CI31" s="154">
        <f t="shared" ca="1" si="37"/>
        <v>0.15815477102696404</v>
      </c>
      <c r="CJ31" s="32">
        <f t="shared" ref="CJ31" ca="1" si="515">+MAX(VLOOKUP(xB+$R31,기수표B,$AH$1)-VLOOKUP(xB+mB,기수표B,$AH$1),0)</f>
        <v>0</v>
      </c>
      <c r="CK31" s="32">
        <f t="shared" ref="CK31" ca="1" si="516">+MAX(VLOOKUP(xB+$R31,기수표B,$AH$1)-VLOOKUP(xB+mB,기수표B,$AH$1)-11/24*(VLOOKUP(xB+$R31,기수표B,$AG$1)-VLOOKUP(xB+mB,기수표B,$AG$1)),0)</f>
        <v>0</v>
      </c>
      <c r="CL31" s="32">
        <f t="shared" ref="CL31" ca="1" si="517">+MAX(VLOOKUP(xB+$R31,기수표B,$AA$1)-VLOOKUP(xB+mB,기수표B,$AA$1),0)</f>
        <v>0</v>
      </c>
      <c r="CM31" s="32">
        <f t="shared" ref="CM31" ca="1" si="518">+MAX(VLOOKUP(xB+$R31,기수표B,$AA$1)-VLOOKUP(xB+mB,기수표B,$AA$1)-11/24*(VLOOKUP(xB+$R31,기수표B,$AA$1)-VLOOKUP(xB+mB,기수표B,$AA$1)),0)</f>
        <v>0</v>
      </c>
      <c r="CN31" s="32">
        <f t="shared" ca="1" si="41"/>
        <v>192275.25181883754</v>
      </c>
      <c r="CO31" s="32">
        <f t="shared" ca="1" si="42"/>
        <v>0</v>
      </c>
      <c r="CP31" s="259">
        <f t="shared" ca="1" si="43"/>
        <v>5.3000000000000001E-6</v>
      </c>
      <c r="CQ31" s="259">
        <f t="shared" ca="1" si="44"/>
        <v>5.3000000000000001E-6</v>
      </c>
      <c r="CR31" s="259">
        <f t="shared" ca="1" si="45"/>
        <v>5.348194240525502E-6</v>
      </c>
      <c r="CS31" s="31">
        <f t="shared" ref="CS31" si="519">+MIN(mB,7)</f>
        <v>5</v>
      </c>
      <c r="CU31" s="13">
        <v>19</v>
      </c>
      <c r="CV31" s="477">
        <f t="shared" ca="1" si="47"/>
        <v>420</v>
      </c>
      <c r="CW31" s="477">
        <f t="shared" ca="1" si="48"/>
        <v>53</v>
      </c>
      <c r="CX31" s="477">
        <f t="shared" ca="1" si="49"/>
        <v>53</v>
      </c>
      <c r="CY31" s="478">
        <f t="shared" ca="1" si="98"/>
        <v>0.126</v>
      </c>
    </row>
    <row r="32" spans="2:103">
      <c r="B32" s="18" t="s">
        <v>28</v>
      </c>
      <c r="C32" s="256">
        <f ca="1">ROUND(L24*5%*MIN(nB,20)+C34*10/1000,roundB)*MAIN!$C$20</f>
        <v>1.4899999999999999E-4</v>
      </c>
      <c r="D32" s="293">
        <f ca="1">C32*S</f>
        <v>1490</v>
      </c>
      <c r="F32" s="601"/>
      <c r="G32" s="18" t="s">
        <v>63</v>
      </c>
      <c r="H32" s="251">
        <f ca="1">H$16</f>
        <v>0.66570029845010426</v>
      </c>
      <c r="I32" s="251"/>
      <c r="J32" s="251"/>
      <c r="K32" s="251">
        <f t="shared" ref="K32" ca="1" si="520">$H$16</f>
        <v>0.66570029845010426</v>
      </c>
      <c r="L32" s="229"/>
      <c r="N32" s="5">
        <f t="shared" si="99"/>
        <v>20</v>
      </c>
      <c r="O32" s="2">
        <f t="shared" ref="O32" ca="1" si="521">+(1+iB)^-N32</f>
        <v>0.64081647167554256</v>
      </c>
      <c r="P32" s="2">
        <f t="shared" ref="P32" ca="1" si="522">+(1+iB)^-(N32+0.5)</f>
        <v>0.6337267043567415</v>
      </c>
      <c r="Q32" s="91"/>
      <c r="R32" s="20">
        <f t="shared" si="102"/>
        <v>20</v>
      </c>
      <c r="S32" s="20">
        <f t="shared" ref="S32" si="523">+IF(xB+R32&lt;=xB+nB,xB+R32,"")</f>
        <v>28</v>
      </c>
      <c r="T32" s="2">
        <f t="shared" ref="T32:U32" ca="1" si="524">IFERROR(VLOOKUP($S32,qx_table,MATCH(T$11,qx_title,0)+sexB),0)</f>
        <v>0</v>
      </c>
      <c r="U32" s="2">
        <f t="shared" ca="1" si="524"/>
        <v>5.3000000000000001E-5</v>
      </c>
      <c r="V32" s="300">
        <f>IF(JRB=2,0,IF(R32&gt;=mB-1,_xlfn.XLOOKUP(R32-mB,해지율!#REF!,해지율!#REF!,,1),_xlfn.XLOOKUP(R32,해지율!#REF!,해지율!#REF!,,-1)))</f>
        <v>0</v>
      </c>
      <c r="W32" s="8">
        <f t="shared" ref="W32" ca="1" si="525">IF(R32=0,100000,IF(R32&gt;nB,0,W31*(1-X31)*(1-Y31)))</f>
        <v>99999.262335162566</v>
      </c>
      <c r="X32" s="10">
        <f t="shared" ca="1" si="19"/>
        <v>0</v>
      </c>
      <c r="Y32" s="10">
        <f t="shared" ca="1" si="20"/>
        <v>8.3666600003695635E-7</v>
      </c>
      <c r="Z32" s="8">
        <f t="shared" ca="1" si="106"/>
        <v>64081.174459775852</v>
      </c>
      <c r="AA32" s="8">
        <f ca="1">+SUM(Z32:Z$124)</f>
        <v>188044.09965254038</v>
      </c>
      <c r="AB32" s="8">
        <f t="shared" ca="1" si="21"/>
        <v>0</v>
      </c>
      <c r="AC32" s="209">
        <f ca="1">+SUM(AB32:AB$124)*SSSM</f>
        <v>0</v>
      </c>
      <c r="AD32" s="209">
        <f t="shared" ref="AD32" ca="1" si="526">IF(R32&gt;nB,0,AD31*(1-X31)*(1-Y31)*(1-AE31)*(1-AF31))</f>
        <v>99933.183378008296</v>
      </c>
      <c r="AE32" s="92">
        <f t="shared" ca="1" si="56"/>
        <v>5.2999999999969738E-5</v>
      </c>
      <c r="AF32" s="92">
        <f t="shared" ca="1" si="22"/>
        <v>0</v>
      </c>
      <c r="AG32" s="664">
        <f t="shared" ca="1" si="23"/>
        <v>64038.829975600253</v>
      </c>
      <c r="AH32" s="5">
        <f ca="1">+SUM(AG32:AG$124)</f>
        <v>187909.9680619429</v>
      </c>
      <c r="AI32" s="70">
        <f t="shared" ca="1" si="24"/>
        <v>3.3565073287733074</v>
      </c>
      <c r="AJ32" s="208">
        <f ca="1">+SUM(AB32:AB$124)*SS50J</f>
        <v>0</v>
      </c>
      <c r="AK32" s="209">
        <f t="shared" ca="1" si="108"/>
        <v>99999.262335162566</v>
      </c>
      <c r="AL32" s="257">
        <f t="shared" ref="AL32" ca="1" si="527">IFERROR(VLOOKUP($S32,qx_table,MATCH(AL$11,qx_title,0)+sexB),0)</f>
        <v>8.3666599999999998E-7</v>
      </c>
      <c r="AM32" s="131">
        <f t="shared" ca="1" si="110"/>
        <v>64081.174459775852</v>
      </c>
      <c r="AN32" s="129">
        <f t="shared" ca="1" si="58"/>
        <v>5.3021367559863752E-2</v>
      </c>
      <c r="AO32" s="129">
        <f ca="1">SUM(AN32:AN$124)*SSa</f>
        <v>0.1546045134457425</v>
      </c>
      <c r="AP32" s="70">
        <f t="shared" ca="1" si="59"/>
        <v>99999.262335162566</v>
      </c>
      <c r="AQ32" s="2">
        <f t="shared" ref="AQ32" ca="1" si="528">IFERROR(VLOOKUP($S32,qx_table,MATCH(AQ$11,qx_title,0)+sexB),0)</f>
        <v>0</v>
      </c>
      <c r="AR32" s="127">
        <f t="shared" ca="1" si="61"/>
        <v>0</v>
      </c>
      <c r="AS32" s="127">
        <f ca="1">SUM(AR32:AR$124)*SSb</f>
        <v>0</v>
      </c>
      <c r="AT32" s="70">
        <f t="shared" ca="1" si="62"/>
        <v>99999.262335162566</v>
      </c>
      <c r="AU32" s="2">
        <f t="shared" ref="AU32" ca="1" si="529">IFERROR(VLOOKUP($S32,qx_table,MATCH(AU$11,qx_title,0)+sexB),0)</f>
        <v>0</v>
      </c>
      <c r="AV32" s="268">
        <f t="shared" ca="1" si="64"/>
        <v>0</v>
      </c>
      <c r="AW32" s="131">
        <f ca="1">SUM(AV32:AV$124)*SSc</f>
        <v>0</v>
      </c>
      <c r="AX32" s="70">
        <f t="shared" ca="1" si="65"/>
        <v>99999.262335162566</v>
      </c>
      <c r="AY32" s="2">
        <f t="shared" ref="AY32" ca="1" si="530">IFERROR(VLOOKUP($S32,qx_table,MATCH(AY$11,qx_title,0)+sexB),0)</f>
        <v>0</v>
      </c>
      <c r="AZ32" s="268">
        <f t="shared" ca="1" si="67"/>
        <v>0</v>
      </c>
      <c r="BA32" s="129">
        <f ca="1">SUM(AZ32:AZ$124)*SSd</f>
        <v>0</v>
      </c>
      <c r="BB32" s="70">
        <f t="shared" ca="1" si="68"/>
        <v>99999.262335162566</v>
      </c>
      <c r="BC32" s="257">
        <f t="shared" ref="BC32" ca="1" si="531">IFERROR(VLOOKUP($S32,qx_table,MATCH(BC$11,qx_title,0)+sexB),0)</f>
        <v>0</v>
      </c>
      <c r="BD32" s="268">
        <f t="shared" ca="1" si="70"/>
        <v>0</v>
      </c>
      <c r="BE32" s="131">
        <f ca="1">SUM(BD32:BD$124)*SSe</f>
        <v>0</v>
      </c>
      <c r="BF32" s="70">
        <f t="shared" ca="1" si="71"/>
        <v>99999.262335162566</v>
      </c>
      <c r="BG32" s="2">
        <f t="shared" ref="BG32" ca="1" si="532">IFERROR(VLOOKUP($S32,qx_table,MATCH(BG$11,qx_title,0)+sexB),0)</f>
        <v>0</v>
      </c>
      <c r="BH32" s="131">
        <f t="shared" ca="1" si="73"/>
        <v>0</v>
      </c>
      <c r="BI32" s="2">
        <f ca="1">SUM(BH32:BH$124)*SSf</f>
        <v>0</v>
      </c>
      <c r="BJ32" s="70">
        <f t="shared" ca="1" si="74"/>
        <v>99999.262335162566</v>
      </c>
      <c r="BK32" s="2">
        <f t="shared" ref="BK32" ca="1" si="533">IFERROR(VLOOKUP($S32,qx_table,MATCH(BK$11,qx_title,0)+sexB),0)</f>
        <v>0</v>
      </c>
      <c r="BL32" s="131">
        <f t="shared" ca="1" si="76"/>
        <v>0</v>
      </c>
      <c r="BM32" s="131">
        <f ca="1">SUM(BL32:BL$124)*SSg</f>
        <v>0</v>
      </c>
      <c r="BN32" s="70">
        <f t="shared" ca="1" si="77"/>
        <v>99999.262335162566</v>
      </c>
      <c r="BO32" s="2">
        <f t="shared" ref="BO32" ca="1" si="534">IFERROR(VLOOKUP($S32,qx_table,MATCH(BO$11,qx_title,0)+sexB),0)</f>
        <v>0</v>
      </c>
      <c r="BP32" s="131">
        <f t="shared" ca="1" si="79"/>
        <v>0</v>
      </c>
      <c r="BQ32" s="131">
        <f ca="1">SUM(BP32:BP$124)*SSh</f>
        <v>0</v>
      </c>
      <c r="BR32" s="70">
        <f t="shared" ca="1" si="80"/>
        <v>99999.262335162566</v>
      </c>
      <c r="BS32" s="2">
        <f t="shared" ref="BS32" ca="1" si="535">IFERROR(VLOOKUP($S32,qx_table,MATCH(BS$11,qx_title,0)+sexB),0)*IF(R32=0,MCi,1)</f>
        <v>0</v>
      </c>
      <c r="BT32" s="131">
        <f t="shared" ca="1" si="82"/>
        <v>0</v>
      </c>
      <c r="BU32" s="131">
        <f ca="1">SUM(BT32:BT$124)*SSi</f>
        <v>0</v>
      </c>
      <c r="BV32" s="70">
        <f t="shared" ca="1" si="83"/>
        <v>99999.262335162566</v>
      </c>
      <c r="BW32" s="2">
        <f t="shared" ref="BW32" ca="1" si="536">IFERROR(VLOOKUP($S32,qx_table,MATCH(BW$11,qx_title,0)+sexB),0)</f>
        <v>0</v>
      </c>
      <c r="BX32" s="131">
        <f t="shared" ca="1" si="85"/>
        <v>0</v>
      </c>
      <c r="BY32" s="131">
        <f ca="1">SUM(BX32:BX$124)*SSj</f>
        <v>0</v>
      </c>
      <c r="BZ32" s="70">
        <f t="shared" ca="1" si="86"/>
        <v>99999.262335162566</v>
      </c>
      <c r="CA32" s="2">
        <f t="shared" ref="CA32" ca="1" si="537">IFERROR(VLOOKUP($S32,qx_table,MATCH(CA$11,qx_title,0)+sexB),0)</f>
        <v>0</v>
      </c>
      <c r="CB32" s="131">
        <f t="shared" ca="1" si="88"/>
        <v>0</v>
      </c>
      <c r="CC32" s="131">
        <f ca="1">SUM(CB32:CB$124)*SSk</f>
        <v>0</v>
      </c>
      <c r="CD32" s="8">
        <f t="shared" ca="1" si="89"/>
        <v>99999.262335162566</v>
      </c>
      <c r="CE32" s="2">
        <f t="shared" ref="CE32" ca="1" si="538">IFERROR(VLOOKUP($S32,qx_table,MATCH(CE$11,qx_title,0)+sexB),0)</f>
        <v>0</v>
      </c>
      <c r="CF32" s="131">
        <f t="shared" ca="1" si="91"/>
        <v>0</v>
      </c>
      <c r="CG32" s="131">
        <f ca="1">SUM(CF32:CF$124)*SSl</f>
        <v>0</v>
      </c>
      <c r="CH32" s="101">
        <f t="shared" ca="1" si="92"/>
        <v>0.1546045134457425</v>
      </c>
      <c r="CI32" s="154">
        <f t="shared" ca="1" si="37"/>
        <v>0.10510583748925481</v>
      </c>
      <c r="CJ32" s="32">
        <f t="shared" ref="CJ32" ca="1" si="539">+MAX(VLOOKUP(xB+$R32,기수표B,$AH$1)-VLOOKUP(xB+mB,기수표B,$AH$1),0)</f>
        <v>0</v>
      </c>
      <c r="CK32" s="32">
        <f t="shared" ref="CK32" ca="1" si="540">+MAX(VLOOKUP(xB+$R32,기수표B,$AH$1)-VLOOKUP(xB+mB,기수표B,$AH$1)-11/24*(VLOOKUP(xB+$R32,기수표B,$AG$1)-VLOOKUP(xB+mB,기수표B,$AG$1)),0)</f>
        <v>0</v>
      </c>
      <c r="CL32" s="32">
        <f t="shared" ref="CL32" ca="1" si="541">+MAX(VLOOKUP(xB+$R32,기수표B,$AA$1)-VLOOKUP(xB+mB,기수표B,$AA$1),0)</f>
        <v>0</v>
      </c>
      <c r="CM32" s="32">
        <f t="shared" ref="CM32" ca="1" si="542">+MAX(VLOOKUP(xB+$R32,기수표B,$AA$1)-VLOOKUP(xB+mB,기수표B,$AA$1)-11/24*(VLOOKUP(xB+$R32,기수표B,$AA$1)-VLOOKUP(xB+mB,기수표B,$AA$1)),0)</f>
        <v>0</v>
      </c>
      <c r="CN32" s="32">
        <f t="shared" ca="1" si="41"/>
        <v>126752.19729130244</v>
      </c>
      <c r="CO32" s="32">
        <f t="shared" ca="1" si="42"/>
        <v>0</v>
      </c>
      <c r="CP32" s="259">
        <f t="shared" ca="1" si="43"/>
        <v>3.5999999999999998E-6</v>
      </c>
      <c r="CQ32" s="259">
        <f t="shared" ca="1" si="44"/>
        <v>3.5999999999999998E-6</v>
      </c>
      <c r="CR32" s="259">
        <f t="shared" ca="1" si="45"/>
        <v>3.6181926554123311E-6</v>
      </c>
      <c r="CS32" s="31">
        <f t="shared" ref="CS32" si="543">+MIN(mB,7)</f>
        <v>5</v>
      </c>
      <c r="CU32" s="13">
        <v>20</v>
      </c>
      <c r="CV32" s="477">
        <f t="shared" ca="1" si="47"/>
        <v>420</v>
      </c>
      <c r="CW32" s="477">
        <f t="shared" ca="1" si="48"/>
        <v>36</v>
      </c>
      <c r="CX32" s="477">
        <f t="shared" ca="1" si="49"/>
        <v>36</v>
      </c>
      <c r="CY32" s="478">
        <f t="shared" ca="1" si="98"/>
        <v>8.5000000000000006E-2</v>
      </c>
    </row>
    <row r="33" spans="1:103">
      <c r="B33" s="18" t="s">
        <v>163</v>
      </c>
      <c r="C33" s="292">
        <f ca="1">MIN(C31,C32)</f>
        <v>2.9999999999999999E-7</v>
      </c>
      <c r="D33" s="293">
        <f ca="1">C33*S</f>
        <v>3</v>
      </c>
      <c r="F33" s="601"/>
      <c r="G33" s="18" t="s">
        <v>64</v>
      </c>
      <c r="H33" s="228">
        <f ca="1">H30</f>
        <v>478457.13731556665</v>
      </c>
      <c r="I33" s="228"/>
      <c r="J33" s="228"/>
      <c r="K33" s="228">
        <f ca="1">K30</f>
        <v>478457.13731556665</v>
      </c>
      <c r="L33" s="229"/>
      <c r="N33" s="5">
        <f t="shared" si="99"/>
        <v>21</v>
      </c>
      <c r="O33" s="2">
        <f t="shared" ref="O33" ca="1" si="544">+(1+iB)^-N33</f>
        <v>0.62671537572180203</v>
      </c>
      <c r="P33" s="2">
        <f t="shared" ref="P33" ca="1" si="545">+(1+iB)^-(N33+0.5)</f>
        <v>0.6197816179528034</v>
      </c>
      <c r="Q33" s="91"/>
      <c r="R33" s="20">
        <f t="shared" si="102"/>
        <v>21</v>
      </c>
      <c r="S33" s="20">
        <f t="shared" ref="S33" si="546">+IF(xB+R33&lt;=xB+nB,xB+R33,"")</f>
        <v>29</v>
      </c>
      <c r="T33" s="2">
        <f t="shared" ref="T33:U33" ca="1" si="547">IFERROR(VLOOKUP($S33,qx_table,MATCH(T$11,qx_title,0)+sexB),0)</f>
        <v>0</v>
      </c>
      <c r="U33" s="2">
        <f t="shared" ca="1" si="547"/>
        <v>5.3999999999999998E-5</v>
      </c>
      <c r="V33" s="300">
        <f>IF(JRB=2,0,IF(R33&gt;=mB-1,_xlfn.XLOOKUP(R33-mB,해지율!#REF!,해지율!#REF!,,1),_xlfn.XLOOKUP(R33,해지율!#REF!,해지율!#REF!,,-1)))</f>
        <v>0</v>
      </c>
      <c r="W33" s="8">
        <f t="shared" ref="W33" ca="1" si="548">IF(R33=0,100000,IF(R33&gt;nB,0,W32*(1-X32)*(1-Y32)))</f>
        <v>99999.178669179746</v>
      </c>
      <c r="X33" s="10">
        <f t="shared" ca="1" si="19"/>
        <v>0</v>
      </c>
      <c r="Y33" s="10">
        <f t="shared" ca="1" si="20"/>
        <v>8.4037500003297794E-7</v>
      </c>
      <c r="Z33" s="8">
        <f t="shared" ca="1" si="106"/>
        <v>62671.022831526592</v>
      </c>
      <c r="AA33" s="8">
        <f ca="1">+SUM(Z33:Z$124)</f>
        <v>123962.92519276454</v>
      </c>
      <c r="AB33" s="8">
        <f t="shared" ca="1" si="21"/>
        <v>0</v>
      </c>
      <c r="AC33" s="209">
        <f ca="1">+SUM(AB33:AB$124)*SSSM</f>
        <v>0</v>
      </c>
      <c r="AD33" s="209">
        <f t="shared" ref="AD33" ca="1" si="549">IF(R33&gt;nB,0,AD32*(1-X32)*(1-Y32)*(1-AE32)*(1-AF32))</f>
        <v>99927.803313023833</v>
      </c>
      <c r="AE33" s="92">
        <f t="shared" ca="1" si="56"/>
        <v>5.3999999999998494E-5</v>
      </c>
      <c r="AF33" s="92">
        <f t="shared" ca="1" si="22"/>
        <v>0</v>
      </c>
      <c r="AG33" s="664">
        <f t="shared" ca="1" si="23"/>
        <v>62626.290798376067</v>
      </c>
      <c r="AH33" s="5">
        <f ca="1">+SUM(AG33:AG$124)</f>
        <v>123871.13808634266</v>
      </c>
      <c r="AI33" s="70">
        <f t="shared" ca="1" si="24"/>
        <v>3.3444044432539393</v>
      </c>
      <c r="AJ33" s="208">
        <f ca="1">+SUM(AB33:AB$124)*SS50J</f>
        <v>0</v>
      </c>
      <c r="AK33" s="209">
        <f t="shared" ca="1" si="108"/>
        <v>99999.178669179746</v>
      </c>
      <c r="AL33" s="257">
        <f t="shared" ref="AL33" ca="1" si="550">IFERROR(VLOOKUP($S33,qx_table,MATCH(AL$11,qx_title,0)+sexB),0)</f>
        <v>8.4037499999999998E-7</v>
      </c>
      <c r="AM33" s="131">
        <f t="shared" ca="1" si="110"/>
        <v>62671.022831526592</v>
      </c>
      <c r="AN33" s="129">
        <f t="shared" ca="1" si="58"/>
        <v>5.2084469929391058E-2</v>
      </c>
      <c r="AO33" s="129">
        <f ca="1">SUM(AN33:AN$124)*SSa</f>
        <v>0.10158314588587875</v>
      </c>
      <c r="AP33" s="70">
        <f t="shared" ca="1" si="59"/>
        <v>99999.178669179746</v>
      </c>
      <c r="AQ33" s="2">
        <f t="shared" ref="AQ33" ca="1" si="551">IFERROR(VLOOKUP($S33,qx_table,MATCH(AQ$11,qx_title,0)+sexB),0)</f>
        <v>0</v>
      </c>
      <c r="AR33" s="127">
        <f t="shared" ca="1" si="61"/>
        <v>0</v>
      </c>
      <c r="AS33" s="127">
        <f ca="1">SUM(AR33:AR$124)*SSb</f>
        <v>0</v>
      </c>
      <c r="AT33" s="70">
        <f t="shared" ca="1" si="62"/>
        <v>99999.178669179746</v>
      </c>
      <c r="AU33" s="2">
        <f t="shared" ref="AU33" ca="1" si="552">IFERROR(VLOOKUP($S33,qx_table,MATCH(AU$11,qx_title,0)+sexB),0)</f>
        <v>0</v>
      </c>
      <c r="AV33" s="268">
        <f t="shared" ca="1" si="64"/>
        <v>0</v>
      </c>
      <c r="AW33" s="131">
        <f ca="1">SUM(AV33:AV$124)*SSc</f>
        <v>0</v>
      </c>
      <c r="AX33" s="70">
        <f t="shared" ca="1" si="65"/>
        <v>99999.178669179746</v>
      </c>
      <c r="AY33" s="2">
        <f t="shared" ref="AY33" ca="1" si="553">IFERROR(VLOOKUP($S33,qx_table,MATCH(AY$11,qx_title,0)+sexB),0)</f>
        <v>0</v>
      </c>
      <c r="AZ33" s="268">
        <f t="shared" ca="1" si="67"/>
        <v>0</v>
      </c>
      <c r="BA33" s="129">
        <f ca="1">SUM(AZ33:AZ$124)*SSd</f>
        <v>0</v>
      </c>
      <c r="BB33" s="70">
        <f t="shared" ca="1" si="68"/>
        <v>99999.178669179746</v>
      </c>
      <c r="BC33" s="257">
        <f t="shared" ref="BC33" ca="1" si="554">IFERROR(VLOOKUP($S33,qx_table,MATCH(BC$11,qx_title,0)+sexB),0)</f>
        <v>0</v>
      </c>
      <c r="BD33" s="268">
        <f t="shared" ca="1" si="70"/>
        <v>0</v>
      </c>
      <c r="BE33" s="131">
        <f ca="1">SUM(BD33:BD$124)*SSe</f>
        <v>0</v>
      </c>
      <c r="BF33" s="70">
        <f t="shared" ca="1" si="71"/>
        <v>99999.178669179746</v>
      </c>
      <c r="BG33" s="2">
        <f t="shared" ref="BG33" ca="1" si="555">IFERROR(VLOOKUP($S33,qx_table,MATCH(BG$11,qx_title,0)+sexB),0)</f>
        <v>0</v>
      </c>
      <c r="BH33" s="131">
        <f t="shared" ca="1" si="73"/>
        <v>0</v>
      </c>
      <c r="BI33" s="2">
        <f ca="1">SUM(BH33:BH$124)*SSf</f>
        <v>0</v>
      </c>
      <c r="BJ33" s="70">
        <f t="shared" ca="1" si="74"/>
        <v>99999.178669179746</v>
      </c>
      <c r="BK33" s="2">
        <f t="shared" ref="BK33" ca="1" si="556">IFERROR(VLOOKUP($S33,qx_table,MATCH(BK$11,qx_title,0)+sexB),0)</f>
        <v>0</v>
      </c>
      <c r="BL33" s="131">
        <f t="shared" ca="1" si="76"/>
        <v>0</v>
      </c>
      <c r="BM33" s="131">
        <f ca="1">SUM(BL33:BL$124)*SSg</f>
        <v>0</v>
      </c>
      <c r="BN33" s="70">
        <f t="shared" ca="1" si="77"/>
        <v>99999.178669179746</v>
      </c>
      <c r="BO33" s="2">
        <f t="shared" ref="BO33" ca="1" si="557">IFERROR(VLOOKUP($S33,qx_table,MATCH(BO$11,qx_title,0)+sexB),0)</f>
        <v>0</v>
      </c>
      <c r="BP33" s="131">
        <f t="shared" ca="1" si="79"/>
        <v>0</v>
      </c>
      <c r="BQ33" s="131">
        <f ca="1">SUM(BP33:BP$124)*SSh</f>
        <v>0</v>
      </c>
      <c r="BR33" s="70">
        <f t="shared" ca="1" si="80"/>
        <v>99999.178669179746</v>
      </c>
      <c r="BS33" s="2">
        <f t="shared" ref="BS33" ca="1" si="558">IFERROR(VLOOKUP($S33,qx_table,MATCH(BS$11,qx_title,0)+sexB),0)*IF(R33=0,MCi,1)</f>
        <v>0</v>
      </c>
      <c r="BT33" s="131">
        <f t="shared" ca="1" si="82"/>
        <v>0</v>
      </c>
      <c r="BU33" s="131">
        <f ca="1">SUM(BT33:BT$124)*SSi</f>
        <v>0</v>
      </c>
      <c r="BV33" s="70">
        <f t="shared" ca="1" si="83"/>
        <v>99999.178669179746</v>
      </c>
      <c r="BW33" s="2">
        <f t="shared" ref="BW33" ca="1" si="559">IFERROR(VLOOKUP($S33,qx_table,MATCH(BW$11,qx_title,0)+sexB),0)</f>
        <v>0</v>
      </c>
      <c r="BX33" s="131">
        <f t="shared" ca="1" si="85"/>
        <v>0</v>
      </c>
      <c r="BY33" s="131">
        <f ca="1">SUM(BX33:BX$124)*SSj</f>
        <v>0</v>
      </c>
      <c r="BZ33" s="70">
        <f t="shared" ca="1" si="86"/>
        <v>99999.178669179746</v>
      </c>
      <c r="CA33" s="2">
        <f t="shared" ref="CA33" ca="1" si="560">IFERROR(VLOOKUP($S33,qx_table,MATCH(CA$11,qx_title,0)+sexB),0)</f>
        <v>0</v>
      </c>
      <c r="CB33" s="131">
        <f t="shared" ca="1" si="88"/>
        <v>0</v>
      </c>
      <c r="CC33" s="131">
        <f ca="1">SUM(CB33:CB$124)*SSk</f>
        <v>0</v>
      </c>
      <c r="CD33" s="8">
        <f t="shared" ca="1" si="89"/>
        <v>99999.178669179746</v>
      </c>
      <c r="CE33" s="2">
        <f t="shared" ref="CE33" ca="1" si="561">IFERROR(VLOOKUP($S33,qx_table,MATCH(CE$11,qx_title,0)+sexB),0)</f>
        <v>0</v>
      </c>
      <c r="CF33" s="131">
        <f t="shared" ca="1" si="91"/>
        <v>0</v>
      </c>
      <c r="CG33" s="131">
        <f ca="1">SUM(CF33:CF$124)*SSl</f>
        <v>0</v>
      </c>
      <c r="CH33" s="101">
        <f t="shared" ca="1" si="92"/>
        <v>0.10158314588587875</v>
      </c>
      <c r="CI33" s="154">
        <f t="shared" ca="1" si="37"/>
        <v>5.2084469929391052E-2</v>
      </c>
      <c r="CJ33" s="32">
        <f t="shared" ref="CJ33" ca="1" si="562">+MAX(VLOOKUP(xB+$R33,기수표B,$AH$1)-VLOOKUP(xB+mB,기수표B,$AH$1),0)</f>
        <v>0</v>
      </c>
      <c r="CK33" s="32">
        <f t="shared" ref="CK33" ca="1" si="563">+MAX(VLOOKUP(xB+$R33,기수표B,$AH$1)-VLOOKUP(xB+mB,기수표B,$AH$1)-11/24*(VLOOKUP(xB+$R33,기수표B,$AG$1)-VLOOKUP(xB+mB,기수표B,$AG$1)),0)</f>
        <v>0</v>
      </c>
      <c r="CL33" s="32">
        <f t="shared" ref="CL33" ca="1" si="564">+MAX(VLOOKUP(xB+$R33,기수표B,$AA$1)-VLOOKUP(xB+mB,기수표B,$AA$1),0)</f>
        <v>0</v>
      </c>
      <c r="CM33" s="32">
        <f t="shared" ref="CM33" ca="1" si="565">+MAX(VLOOKUP(xB+$R33,기수표B,$AA$1)-VLOOKUP(xB+mB,기수표B,$AA$1)-11/24*(VLOOKUP(xB+$R33,기수표B,$AA$1)-VLOOKUP(xB+mB,기수표B,$AA$1)),0)</f>
        <v>0</v>
      </c>
      <c r="CN33" s="32">
        <f t="shared" ca="1" si="41"/>
        <v>62671.022831526592</v>
      </c>
      <c r="CO33" s="32">
        <f t="shared" ca="1" si="42"/>
        <v>0</v>
      </c>
      <c r="CP33" s="259">
        <f t="shared" ca="1" si="43"/>
        <v>1.7999999999999999E-6</v>
      </c>
      <c r="CQ33" s="259">
        <f t="shared" ca="1" si="44"/>
        <v>1.7999999999999999E-6</v>
      </c>
      <c r="CR33" s="259">
        <f t="shared" ca="1" si="45"/>
        <v>1.8310773875416953E-6</v>
      </c>
      <c r="CS33" s="31">
        <f t="shared" ref="CS33" si="566">+MIN(mB,7)</f>
        <v>5</v>
      </c>
      <c r="CU33" s="13">
        <v>21</v>
      </c>
      <c r="CV33" s="477">
        <f t="shared" ca="1" si="47"/>
        <v>420</v>
      </c>
      <c r="CW33" s="477">
        <f t="shared" ca="1" si="48"/>
        <v>18</v>
      </c>
      <c r="CX33" s="477">
        <f t="shared" ca="1" si="49"/>
        <v>18</v>
      </c>
      <c r="CY33" s="478">
        <f t="shared" ca="1" si="98"/>
        <v>4.2000000000000003E-2</v>
      </c>
    </row>
    <row r="34" spans="1:103">
      <c r="B34" s="18" t="s">
        <v>62</v>
      </c>
      <c r="C34" s="461">
        <f ca="1">INPUT!E18</f>
        <v>1.49E-2</v>
      </c>
      <c r="D34" s="13" t="s">
        <v>536</v>
      </c>
      <c r="F34" s="601"/>
      <c r="G34" s="18" t="s">
        <v>55</v>
      </c>
      <c r="H34" s="244">
        <f ca="1">+H32/H33</f>
        <v>1.3913478272789172E-6</v>
      </c>
      <c r="I34" s="244"/>
      <c r="J34" s="244"/>
      <c r="K34" s="254">
        <f ca="1">+K32/K33</f>
        <v>1.3913478272789172E-6</v>
      </c>
      <c r="L34" s="229"/>
      <c r="N34" s="5">
        <f t="shared" si="99"/>
        <v>22</v>
      </c>
      <c r="O34" s="2">
        <f t="shared" ref="O34" ca="1" si="567">+(1+iB)^-N34</f>
        <v>0.61292457283305835</v>
      </c>
      <c r="P34" s="2">
        <f t="shared" ref="P34" ca="1" si="568">+(1+iB)^-(N34+0.5)</f>
        <v>0.6061433916408836</v>
      </c>
      <c r="Q34" s="91"/>
      <c r="R34" s="20">
        <f t="shared" si="102"/>
        <v>22</v>
      </c>
      <c r="S34" s="20">
        <f t="shared" ref="S34" si="569">+IF(xB+R34&lt;=xB+nB,xB+R34,"")</f>
        <v>30</v>
      </c>
      <c r="T34" s="2">
        <f t="shared" ref="T34:U34" ca="1" si="570">IFERROR(VLOOKUP($S34,qx_table,MATCH(T$11,qx_title,0)+sexB),0)</f>
        <v>0</v>
      </c>
      <c r="U34" s="2">
        <f t="shared" ca="1" si="570"/>
        <v>6.1000000000000005E-5</v>
      </c>
      <c r="V34" s="300">
        <f>IF(JRB=2,0,IF(R34&gt;=mB-1,_xlfn.XLOOKUP(R34-mB,해지율!#REF!,해지율!#REF!,,1),_xlfn.XLOOKUP(R34,해지율!#REF!,해지율!#REF!,,-1)))</f>
        <v>0</v>
      </c>
      <c r="W34" s="8">
        <f t="shared" ref="W34" ca="1" si="571">IF(R34=0,100000,IF(R34&gt;nB,0,W33*(1-X33)*(1-Y33)))</f>
        <v>99999.094632369975</v>
      </c>
      <c r="X34" s="10">
        <f t="shared" ca="1" si="19"/>
        <v>0</v>
      </c>
      <c r="Y34" s="10">
        <f t="shared" ca="1" si="20"/>
        <v>8.1662399997739499E-7</v>
      </c>
      <c r="Z34" s="8">
        <f t="shared" ca="1" si="106"/>
        <v>61291.902361237946</v>
      </c>
      <c r="AA34" s="8">
        <f ca="1">+SUM(Z34:Z$124)</f>
        <v>61291.902361237946</v>
      </c>
      <c r="AB34" s="8">
        <f t="shared" ca="1" si="21"/>
        <v>0</v>
      </c>
      <c r="AC34" s="209">
        <f ca="1">+SUM(AB34:AB$124)*SSSM</f>
        <v>0</v>
      </c>
      <c r="AD34" s="209">
        <f t="shared" ref="AD34" ca="1" si="572">IF(R34&gt;nB,0,AD33*(1-X33)*(1-Y33)*(1-AE33)*(1-AF33))</f>
        <v>99922.323239351972</v>
      </c>
      <c r="AE34" s="92">
        <f t="shared" ca="1" si="56"/>
        <v>6.0999999999977739E-5</v>
      </c>
      <c r="AF34" s="92">
        <f t="shared" ca="1" si="22"/>
        <v>0</v>
      </c>
      <c r="AG34" s="664">
        <f t="shared" ca="1" si="23"/>
        <v>61244.847287966586</v>
      </c>
      <c r="AH34" s="5">
        <f ca="1">+SUM(AG34:AG$124)</f>
        <v>61244.847287966586</v>
      </c>
      <c r="AI34" s="70">
        <f t="shared" ca="1" si="24"/>
        <v>3.6946026104438383</v>
      </c>
      <c r="AJ34" s="208">
        <f ca="1">+SUM(AB34:AB$124)*SS50J</f>
        <v>0</v>
      </c>
      <c r="AK34" s="209">
        <f t="shared" ca="1" si="108"/>
        <v>99999.094632369975</v>
      </c>
      <c r="AL34" s="257">
        <f t="shared" ref="AL34" ca="1" si="573">IFERROR(VLOOKUP($S34,qx_table,MATCH(AL$11,qx_title,0)+sexB),0)</f>
        <v>8.1662399999999997E-7</v>
      </c>
      <c r="AM34" s="131">
        <f t="shared" ca="1" si="110"/>
        <v>61291.902361237946</v>
      </c>
      <c r="AN34" s="129">
        <f t="shared" ca="1" si="58"/>
        <v>4.9498675956487694E-2</v>
      </c>
      <c r="AO34" s="129">
        <f ca="1">SUM(AN34:AN$124)*SSa</f>
        <v>4.9498675956487694E-2</v>
      </c>
      <c r="AP34" s="70">
        <f t="shared" ca="1" si="59"/>
        <v>99999.094632369975</v>
      </c>
      <c r="AQ34" s="2">
        <f t="shared" ref="AQ34" ca="1" si="574">IFERROR(VLOOKUP($S34,qx_table,MATCH(AQ$11,qx_title,0)+sexB),0)</f>
        <v>0</v>
      </c>
      <c r="AR34" s="127">
        <f t="shared" ca="1" si="61"/>
        <v>0</v>
      </c>
      <c r="AS34" s="127">
        <f ca="1">SUM(AR34:AR$124)*SSb</f>
        <v>0</v>
      </c>
      <c r="AT34" s="70">
        <f t="shared" ca="1" si="62"/>
        <v>99999.094632369975</v>
      </c>
      <c r="AU34" s="2">
        <f t="shared" ref="AU34" ca="1" si="575">IFERROR(VLOOKUP($S34,qx_table,MATCH(AU$11,qx_title,0)+sexB),0)</f>
        <v>0</v>
      </c>
      <c r="AV34" s="268">
        <f t="shared" ca="1" si="64"/>
        <v>0</v>
      </c>
      <c r="AW34" s="131">
        <f ca="1">SUM(AV34:AV$124)*SSc</f>
        <v>0</v>
      </c>
      <c r="AX34" s="70">
        <f t="shared" ca="1" si="65"/>
        <v>99999.094632369975</v>
      </c>
      <c r="AY34" s="2">
        <f t="shared" ref="AY34" ca="1" si="576">IFERROR(VLOOKUP($S34,qx_table,MATCH(AY$11,qx_title,0)+sexB),0)</f>
        <v>0</v>
      </c>
      <c r="AZ34" s="268">
        <f t="shared" ca="1" si="67"/>
        <v>0</v>
      </c>
      <c r="BA34" s="129">
        <f ca="1">SUM(AZ34:AZ$124)*SSd</f>
        <v>0</v>
      </c>
      <c r="BB34" s="70">
        <f t="shared" ca="1" si="68"/>
        <v>99999.094632369975</v>
      </c>
      <c r="BC34" s="257">
        <f t="shared" ref="BC34" ca="1" si="577">IFERROR(VLOOKUP($S34,qx_table,MATCH(BC$11,qx_title,0)+sexB),0)</f>
        <v>0</v>
      </c>
      <c r="BD34" s="268">
        <f t="shared" ca="1" si="70"/>
        <v>0</v>
      </c>
      <c r="BE34" s="131">
        <f ca="1">SUM(BD34:BD$124)*SSe</f>
        <v>0</v>
      </c>
      <c r="BF34" s="70">
        <f t="shared" ca="1" si="71"/>
        <v>99999.094632369975</v>
      </c>
      <c r="BG34" s="2">
        <f t="shared" ref="BG34" ca="1" si="578">IFERROR(VLOOKUP($S34,qx_table,MATCH(BG$11,qx_title,0)+sexB),0)</f>
        <v>0</v>
      </c>
      <c r="BH34" s="131">
        <f t="shared" ca="1" si="73"/>
        <v>0</v>
      </c>
      <c r="BI34" s="2">
        <f ca="1">SUM(BH34:BH$124)*SSf</f>
        <v>0</v>
      </c>
      <c r="BJ34" s="70">
        <f t="shared" ca="1" si="74"/>
        <v>99999.094632369975</v>
      </c>
      <c r="BK34" s="2">
        <f t="shared" ref="BK34" ca="1" si="579">IFERROR(VLOOKUP($S34,qx_table,MATCH(BK$11,qx_title,0)+sexB),0)</f>
        <v>0</v>
      </c>
      <c r="BL34" s="131">
        <f t="shared" ca="1" si="76"/>
        <v>0</v>
      </c>
      <c r="BM34" s="131">
        <f ca="1">SUM(BL34:BL$124)*SSg</f>
        <v>0</v>
      </c>
      <c r="BN34" s="70">
        <f t="shared" ca="1" si="77"/>
        <v>99999.094632369975</v>
      </c>
      <c r="BO34" s="2">
        <f t="shared" ref="BO34" ca="1" si="580">IFERROR(VLOOKUP($S34,qx_table,MATCH(BO$11,qx_title,0)+sexB),0)</f>
        <v>0</v>
      </c>
      <c r="BP34" s="131">
        <f t="shared" ca="1" si="79"/>
        <v>0</v>
      </c>
      <c r="BQ34" s="131">
        <f ca="1">SUM(BP34:BP$124)*SSh</f>
        <v>0</v>
      </c>
      <c r="BR34" s="70">
        <f t="shared" ca="1" si="80"/>
        <v>99999.094632369975</v>
      </c>
      <c r="BS34" s="2">
        <f t="shared" ref="BS34" ca="1" si="581">IFERROR(VLOOKUP($S34,qx_table,MATCH(BS$11,qx_title,0)+sexB),0)*IF(R34=0,MCi,1)</f>
        <v>0</v>
      </c>
      <c r="BT34" s="131">
        <f t="shared" ca="1" si="82"/>
        <v>0</v>
      </c>
      <c r="BU34" s="131">
        <f ca="1">SUM(BT34:BT$124)*SSi</f>
        <v>0</v>
      </c>
      <c r="BV34" s="70">
        <f t="shared" ca="1" si="83"/>
        <v>99999.094632369975</v>
      </c>
      <c r="BW34" s="2">
        <f t="shared" ref="BW34" ca="1" si="582">IFERROR(VLOOKUP($S34,qx_table,MATCH(BW$11,qx_title,0)+sexB),0)</f>
        <v>0</v>
      </c>
      <c r="BX34" s="131">
        <f t="shared" ca="1" si="85"/>
        <v>0</v>
      </c>
      <c r="BY34" s="131">
        <f ca="1">SUM(BX34:BX$124)*SSj</f>
        <v>0</v>
      </c>
      <c r="BZ34" s="70">
        <f t="shared" ca="1" si="86"/>
        <v>99999.094632369975</v>
      </c>
      <c r="CA34" s="2">
        <f t="shared" ref="CA34" ca="1" si="583">IFERROR(VLOOKUP($S34,qx_table,MATCH(CA$11,qx_title,0)+sexB),0)</f>
        <v>0</v>
      </c>
      <c r="CB34" s="131">
        <f t="shared" ca="1" si="88"/>
        <v>0</v>
      </c>
      <c r="CC34" s="131">
        <f ca="1">SUM(CB34:CB$124)*SSk</f>
        <v>0</v>
      </c>
      <c r="CD34" s="8">
        <f t="shared" ca="1" si="89"/>
        <v>99999.094632369975</v>
      </c>
      <c r="CE34" s="2">
        <f t="shared" ref="CE34" ca="1" si="584">IFERROR(VLOOKUP($S34,qx_table,MATCH(CE$11,qx_title,0)+sexB),0)</f>
        <v>0</v>
      </c>
      <c r="CF34" s="131">
        <f t="shared" ca="1" si="91"/>
        <v>0</v>
      </c>
      <c r="CG34" s="131">
        <f ca="1">SUM(CF34:CF$124)*SSl</f>
        <v>0</v>
      </c>
      <c r="CH34" s="101">
        <f t="shared" ca="1" si="92"/>
        <v>4.9498675956487694E-2</v>
      </c>
      <c r="CI34" s="154">
        <f t="shared" ca="1" si="37"/>
        <v>0</v>
      </c>
      <c r="CJ34" s="32">
        <f t="shared" ref="CJ34" ca="1" si="585">+MAX(VLOOKUP(xB+$R34,기수표B,$AH$1)-VLOOKUP(xB+mB,기수표B,$AH$1),0)</f>
        <v>0</v>
      </c>
      <c r="CK34" s="32">
        <f t="shared" ref="CK34" ca="1" si="586">+MAX(VLOOKUP(xB+$R34,기수표B,$AH$1)-VLOOKUP(xB+mB,기수표B,$AH$1)-11/24*(VLOOKUP(xB+$R34,기수표B,$AG$1)-VLOOKUP(xB+mB,기수표B,$AG$1)),0)</f>
        <v>0</v>
      </c>
      <c r="CL34" s="32">
        <f t="shared" ref="CL34" ca="1" si="587">+MAX(VLOOKUP(xB+$R34,기수표B,$AA$1)-VLOOKUP(xB+mB,기수표B,$AA$1),0)</f>
        <v>0</v>
      </c>
      <c r="CM34" s="32">
        <f t="shared" ref="CM34" ca="1" si="588">+MAX(VLOOKUP(xB+$R34,기수표B,$AA$1)-VLOOKUP(xB+mB,기수표B,$AA$1)-11/24*(VLOOKUP(xB+$R34,기수표B,$AA$1)-VLOOKUP(xB+mB,기수표B,$AA$1)),0)</f>
        <v>0</v>
      </c>
      <c r="CN34" s="32">
        <f t="shared" ca="1" si="41"/>
        <v>0</v>
      </c>
      <c r="CO34" s="32">
        <f t="shared" ca="1" si="42"/>
        <v>0</v>
      </c>
      <c r="CP34" s="259">
        <f t="shared" ca="1" si="43"/>
        <v>0</v>
      </c>
      <c r="CQ34" s="259">
        <f t="shared" ca="1" si="44"/>
        <v>0</v>
      </c>
      <c r="CR34" s="259">
        <f t="shared" ca="1" si="45"/>
        <v>0</v>
      </c>
      <c r="CS34" s="31">
        <f t="shared" ref="CS34" si="589">+MIN(mB,7)</f>
        <v>5</v>
      </c>
      <c r="CU34" s="13">
        <v>22</v>
      </c>
      <c r="CV34" s="477">
        <f t="shared" ca="1" si="47"/>
        <v>420</v>
      </c>
      <c r="CW34" s="477">
        <f t="shared" ca="1" si="48"/>
        <v>0</v>
      </c>
      <c r="CX34" s="477">
        <f t="shared" ca="1" si="49"/>
        <v>0</v>
      </c>
      <c r="CY34" s="478">
        <f t="shared" ca="1" si="98"/>
        <v>0</v>
      </c>
    </row>
    <row r="35" spans="1:103">
      <c r="C35" s="265">
        <f ca="1">C34*SB</f>
        <v>149000</v>
      </c>
      <c r="F35" s="602"/>
      <c r="G35" s="18" t="s">
        <v>72</v>
      </c>
      <c r="H35" s="299">
        <f ca="1">+H34+$C$26*$H$13/(H30)</f>
        <v>4.0677919154601869E-6</v>
      </c>
      <c r="I35" s="299"/>
      <c r="J35" s="299"/>
      <c r="K35" s="299">
        <f t="shared" ref="K35" ca="1" si="590">+K34+$C$26*$H$13/(K30)</f>
        <v>4.0677919154601869E-6</v>
      </c>
      <c r="L35" s="229"/>
      <c r="N35" s="5">
        <f t="shared" si="99"/>
        <v>23</v>
      </c>
      <c r="O35" s="2">
        <f t="shared" ref="O35" ca="1" si="591">+(1+iB)^-N35</f>
        <v>0.59943723504455593</v>
      </c>
      <c r="P35" s="2">
        <f t="shared" ref="P35" ca="1" si="592">+(1+iB)^-(N35+0.5)</f>
        <v>0.59280527299841912</v>
      </c>
      <c r="Q35" s="91"/>
      <c r="R35" s="20">
        <f t="shared" si="102"/>
        <v>23</v>
      </c>
      <c r="S35" s="20" t="str">
        <f t="shared" ref="S35" si="593">+IF(xB+R35&lt;=xB+nB,xB+R35,"")</f>
        <v/>
      </c>
      <c r="T35" s="2">
        <f t="shared" ref="T35:U35" ca="1" si="594">IFERROR(VLOOKUP($S35,qx_table,MATCH(T$11,qx_title,0)+sexB),0)</f>
        <v>0</v>
      </c>
      <c r="U35" s="2">
        <f t="shared" ca="1" si="594"/>
        <v>0</v>
      </c>
      <c r="V35" s="300">
        <f>IF(JRB=2,0,IF(R35&gt;=mB-1,_xlfn.XLOOKUP(R35-mB,해지율!#REF!,해지율!#REF!,,1),_xlfn.XLOOKUP(R35,해지율!#REF!,해지율!#REF!,,-1)))</f>
        <v>0</v>
      </c>
      <c r="W35" s="8">
        <f t="shared" ref="W35" si="595">IF(R35=0,100000,IF(R35&gt;nB,0,W34*(1-X34)*(1-Y34)))</f>
        <v>0</v>
      </c>
      <c r="X35" s="10">
        <f t="shared" ca="1" si="19"/>
        <v>0</v>
      </c>
      <c r="Y35" s="10">
        <f t="shared" ca="1" si="20"/>
        <v>0</v>
      </c>
      <c r="Z35" s="8">
        <f t="shared" ca="1" si="106"/>
        <v>0</v>
      </c>
      <c r="AA35" s="8">
        <f ca="1">+SUM(Z35:Z$124)</f>
        <v>0</v>
      </c>
      <c r="AB35" s="8">
        <f t="shared" ca="1" si="21"/>
        <v>0</v>
      </c>
      <c r="AC35" s="209">
        <f ca="1">+SUM(AB35:AB$124)*SSSM</f>
        <v>0</v>
      </c>
      <c r="AD35" s="209">
        <f t="shared" ref="AD35" si="596">IF(R35&gt;nB,0,AD34*(1-X34)*(1-Y34)*(1-AE34)*(1-AF34))</f>
        <v>0</v>
      </c>
      <c r="AE35" s="92">
        <f t="shared" ca="1" si="56"/>
        <v>0</v>
      </c>
      <c r="AF35" s="92">
        <f t="shared" ca="1" si="22"/>
        <v>0</v>
      </c>
      <c r="AG35" s="664">
        <f t="shared" ca="1" si="23"/>
        <v>0</v>
      </c>
      <c r="AH35" s="5">
        <f ca="1">+SUM(AG35:AG$124)</f>
        <v>0</v>
      </c>
      <c r="AI35" s="70">
        <f t="shared" ca="1" si="24"/>
        <v>0</v>
      </c>
      <c r="AJ35" s="208">
        <f ca="1">+SUM(AB35:AB$124)*SS50J</f>
        <v>0</v>
      </c>
      <c r="AK35" s="209">
        <f t="shared" ca="1" si="108"/>
        <v>99999.012970709329</v>
      </c>
      <c r="AL35" s="257">
        <f t="shared" ref="AL35" ca="1" si="597">IFERROR(VLOOKUP($S35,qx_table,MATCH(AL$11,qx_title,0)+sexB),0)</f>
        <v>0</v>
      </c>
      <c r="AM35" s="131">
        <f t="shared" ca="1" si="110"/>
        <v>59943.131842346687</v>
      </c>
      <c r="AN35" s="129">
        <f t="shared" ca="1" si="58"/>
        <v>0</v>
      </c>
      <c r="AO35" s="129">
        <f ca="1">SUM(AN35:AN$124)*SSa</f>
        <v>0</v>
      </c>
      <c r="AP35" s="70">
        <f t="shared" ca="1" si="59"/>
        <v>99999.012970709329</v>
      </c>
      <c r="AQ35" s="2">
        <f t="shared" ref="AQ35" ca="1" si="598">IFERROR(VLOOKUP($S35,qx_table,MATCH(AQ$11,qx_title,0)+sexB),0)</f>
        <v>0</v>
      </c>
      <c r="AR35" s="127">
        <f t="shared" ca="1" si="61"/>
        <v>0</v>
      </c>
      <c r="AS35" s="127">
        <f ca="1">SUM(AR35:AR$124)*SSb</f>
        <v>0</v>
      </c>
      <c r="AT35" s="70">
        <f t="shared" ca="1" si="62"/>
        <v>99999.012970709329</v>
      </c>
      <c r="AU35" s="2">
        <f t="shared" ref="AU35" ca="1" si="599">IFERROR(VLOOKUP($S35,qx_table,MATCH(AU$11,qx_title,0)+sexB),0)</f>
        <v>0</v>
      </c>
      <c r="AV35" s="268">
        <f t="shared" ca="1" si="64"/>
        <v>0</v>
      </c>
      <c r="AW35" s="131">
        <f ca="1">SUM(AV35:AV$124)*SSc</f>
        <v>0</v>
      </c>
      <c r="AX35" s="70">
        <f t="shared" ca="1" si="65"/>
        <v>99999.012970709329</v>
      </c>
      <c r="AY35" s="2">
        <f t="shared" ref="AY35" ca="1" si="600">IFERROR(VLOOKUP($S35,qx_table,MATCH(AY$11,qx_title,0)+sexB),0)</f>
        <v>0</v>
      </c>
      <c r="AZ35" s="268">
        <f t="shared" ca="1" si="67"/>
        <v>0</v>
      </c>
      <c r="BA35" s="129">
        <f ca="1">SUM(AZ35:AZ$124)*SSd</f>
        <v>0</v>
      </c>
      <c r="BB35" s="70">
        <f t="shared" ca="1" si="68"/>
        <v>99999.012970709329</v>
      </c>
      <c r="BC35" s="257">
        <f t="shared" ref="BC35" ca="1" si="601">IFERROR(VLOOKUP($S35,qx_table,MATCH(BC$11,qx_title,0)+sexB),0)</f>
        <v>0</v>
      </c>
      <c r="BD35" s="268">
        <f t="shared" ca="1" si="70"/>
        <v>0</v>
      </c>
      <c r="BE35" s="131">
        <f ca="1">SUM(BD35:BD$124)*SSe</f>
        <v>0</v>
      </c>
      <c r="BF35" s="70">
        <f t="shared" ca="1" si="71"/>
        <v>99999.012970709329</v>
      </c>
      <c r="BG35" s="2">
        <f t="shared" ref="BG35" ca="1" si="602">IFERROR(VLOOKUP($S35,qx_table,MATCH(BG$11,qx_title,0)+sexB),0)</f>
        <v>0</v>
      </c>
      <c r="BH35" s="131">
        <f t="shared" ca="1" si="73"/>
        <v>0</v>
      </c>
      <c r="BI35" s="2">
        <f ca="1">SUM(BH35:BH$124)*SSf</f>
        <v>0</v>
      </c>
      <c r="BJ35" s="70">
        <f t="shared" ca="1" si="74"/>
        <v>99999.012970709329</v>
      </c>
      <c r="BK35" s="2">
        <f t="shared" ref="BK35" ca="1" si="603">IFERROR(VLOOKUP($S35,qx_table,MATCH(BK$11,qx_title,0)+sexB),0)</f>
        <v>0</v>
      </c>
      <c r="BL35" s="131">
        <f t="shared" ca="1" si="76"/>
        <v>0</v>
      </c>
      <c r="BM35" s="131">
        <f ca="1">SUM(BL35:BL$124)*SSg</f>
        <v>0</v>
      </c>
      <c r="BN35" s="70">
        <f t="shared" ca="1" si="77"/>
        <v>99999.012970709329</v>
      </c>
      <c r="BO35" s="2">
        <f t="shared" ref="BO35" ca="1" si="604">IFERROR(VLOOKUP($S35,qx_table,MATCH(BO$11,qx_title,0)+sexB),0)</f>
        <v>0</v>
      </c>
      <c r="BP35" s="131">
        <f t="shared" ca="1" si="79"/>
        <v>0</v>
      </c>
      <c r="BQ35" s="131">
        <f ca="1">SUM(BP35:BP$124)*SSh</f>
        <v>0</v>
      </c>
      <c r="BR35" s="70">
        <f t="shared" ca="1" si="80"/>
        <v>99999.012970709329</v>
      </c>
      <c r="BS35" s="2">
        <f t="shared" ref="BS35" ca="1" si="605">IFERROR(VLOOKUP($S35,qx_table,MATCH(BS$11,qx_title,0)+sexB),0)*IF(R35=0,MCi,1)</f>
        <v>0</v>
      </c>
      <c r="BT35" s="131">
        <f t="shared" ca="1" si="82"/>
        <v>0</v>
      </c>
      <c r="BU35" s="131">
        <f ca="1">SUM(BT35:BT$124)*SSi</f>
        <v>0</v>
      </c>
      <c r="BV35" s="70">
        <f t="shared" ca="1" si="83"/>
        <v>99999.012970709329</v>
      </c>
      <c r="BW35" s="2">
        <f t="shared" ref="BW35" ca="1" si="606">IFERROR(VLOOKUP($S35,qx_table,MATCH(BW$11,qx_title,0)+sexB),0)</f>
        <v>0</v>
      </c>
      <c r="BX35" s="131">
        <f t="shared" ca="1" si="85"/>
        <v>0</v>
      </c>
      <c r="BY35" s="131">
        <f ca="1">SUM(BX35:BX$124)*SSj</f>
        <v>0</v>
      </c>
      <c r="BZ35" s="70">
        <f t="shared" ca="1" si="86"/>
        <v>99999.012970709329</v>
      </c>
      <c r="CA35" s="2">
        <f t="shared" ref="CA35" ca="1" si="607">IFERROR(VLOOKUP($S35,qx_table,MATCH(CA$11,qx_title,0)+sexB),0)</f>
        <v>0</v>
      </c>
      <c r="CB35" s="131">
        <f t="shared" ca="1" si="88"/>
        <v>0</v>
      </c>
      <c r="CC35" s="131">
        <f ca="1">SUM(CB35:CB$124)*SSk</f>
        <v>0</v>
      </c>
      <c r="CD35" s="8">
        <f t="shared" ca="1" si="89"/>
        <v>99999.012970709329</v>
      </c>
      <c r="CE35" s="2">
        <f t="shared" ref="CE35" ca="1" si="608">IFERROR(VLOOKUP($S35,qx_table,MATCH(CE$11,qx_title,0)+sexB),0)</f>
        <v>0</v>
      </c>
      <c r="CF35" s="131">
        <f t="shared" ca="1" si="91"/>
        <v>0</v>
      </c>
      <c r="CG35" s="131">
        <f ca="1">SUM(CF35:CF$124)*SSl</f>
        <v>0</v>
      </c>
      <c r="CH35" s="101">
        <f t="shared" ca="1" si="92"/>
        <v>0</v>
      </c>
      <c r="CI35" s="154">
        <f t="shared" ca="1" si="37"/>
        <v>0</v>
      </c>
      <c r="CJ35" s="32">
        <f t="shared" ref="CJ35" ca="1" si="609">+MAX(VLOOKUP(xB+$R35,기수표B,$AH$1)-VLOOKUP(xB+mB,기수표B,$AH$1),0)</f>
        <v>0</v>
      </c>
      <c r="CK35" s="32">
        <f t="shared" ref="CK35" ca="1" si="610">+MAX(VLOOKUP(xB+$R35,기수표B,$AH$1)-VLOOKUP(xB+mB,기수표B,$AH$1)-11/24*(VLOOKUP(xB+$R35,기수표B,$AG$1)-VLOOKUP(xB+mB,기수표B,$AG$1)),0)</f>
        <v>0</v>
      </c>
      <c r="CL35" s="32">
        <f t="shared" ref="CL35" ca="1" si="611">+MAX(VLOOKUP(xB+$R35,기수표B,$AA$1)-VLOOKUP(xB+mB,기수표B,$AA$1),0)</f>
        <v>0</v>
      </c>
      <c r="CM35" s="32">
        <f t="shared" ref="CM35" ca="1" si="612">+MAX(VLOOKUP(xB+$R35,기수표B,$AA$1)-VLOOKUP(xB+mB,기수표B,$AA$1)-11/24*(VLOOKUP(xB+$R35,기수표B,$AA$1)-VLOOKUP(xB+mB,기수표B,$AA$1)),0)</f>
        <v>0</v>
      </c>
      <c r="CN35" s="32">
        <f t="shared" si="41"/>
        <v>0</v>
      </c>
      <c r="CO35" s="32">
        <f t="shared" ca="1" si="42"/>
        <v>0</v>
      </c>
      <c r="CP35" s="259">
        <f t="shared" ca="1" si="43"/>
        <v>0</v>
      </c>
      <c r="CQ35" s="259">
        <f t="shared" ca="1" si="44"/>
        <v>0</v>
      </c>
      <c r="CR35" s="259" t="e">
        <f t="shared" ca="1" si="45"/>
        <v>#DIV/0!</v>
      </c>
      <c r="CS35" s="31">
        <f t="shared" ref="CS35" si="613">+MIN(mB,7)</f>
        <v>5</v>
      </c>
      <c r="CU35" s="13">
        <v>23</v>
      </c>
      <c r="CV35" s="477">
        <f t="shared" ca="1" si="47"/>
        <v>420</v>
      </c>
      <c r="CW35" s="477" t="e">
        <f t="shared" ca="1" si="48"/>
        <v>#DIV/0!</v>
      </c>
      <c r="CX35" s="477">
        <f t="shared" ca="1" si="49"/>
        <v>0</v>
      </c>
      <c r="CY35" s="478">
        <f t="shared" ca="1" si="98"/>
        <v>0</v>
      </c>
    </row>
    <row r="36" spans="1:103">
      <c r="C36" s="303">
        <f ca="1">H24</f>
        <v>1.171278511611325E-7</v>
      </c>
      <c r="D36" s="441">
        <f ca="1">C36/C37</f>
        <v>1.7600277752025633E-3</v>
      </c>
      <c r="N36" s="5">
        <f t="shared" si="99"/>
        <v>24</v>
      </c>
      <c r="O36" s="2">
        <f t="shared" ref="O36" ca="1" si="614">+(1+iB)^-N36</f>
        <v>0.5862466846401525</v>
      </c>
      <c r="P36" s="2">
        <f t="shared" ref="P36" ca="1" si="615">+(1+iB)^-(N36+0.5)</f>
        <v>0.579760658189163</v>
      </c>
      <c r="Q36" s="91"/>
      <c r="R36" s="20">
        <f t="shared" si="102"/>
        <v>24</v>
      </c>
      <c r="S36" s="20" t="str">
        <f t="shared" ref="S36" si="616">+IF(xB+R36&lt;=xB+nB,xB+R36,"")</f>
        <v/>
      </c>
      <c r="T36" s="2">
        <f t="shared" ref="T36:U36" ca="1" si="617">IFERROR(VLOOKUP($S36,qx_table,MATCH(T$11,qx_title,0)+sexB),0)</f>
        <v>0</v>
      </c>
      <c r="U36" s="2">
        <f t="shared" ca="1" si="617"/>
        <v>0</v>
      </c>
      <c r="V36" s="300">
        <f>IF(JRB=2,0,IF(R36&gt;=mB-1,_xlfn.XLOOKUP(R36-mB,해지율!#REF!,해지율!#REF!,,1),_xlfn.XLOOKUP(R36,해지율!#REF!,해지율!#REF!,,-1)))</f>
        <v>0</v>
      </c>
      <c r="W36" s="8">
        <f t="shared" ref="W36" si="618">IF(R36=0,100000,IF(R36&gt;nB,0,W35*(1-X35)*(1-Y35)))</f>
        <v>0</v>
      </c>
      <c r="X36" s="10">
        <f t="shared" ca="1" si="19"/>
        <v>0</v>
      </c>
      <c r="Y36" s="10">
        <f t="shared" ca="1" si="20"/>
        <v>0</v>
      </c>
      <c r="Z36" s="8">
        <f t="shared" ca="1" si="106"/>
        <v>0</v>
      </c>
      <c r="AA36" s="8">
        <f ca="1">+SUM(Z36:Z$124)</f>
        <v>0</v>
      </c>
      <c r="AB36" s="8">
        <f t="shared" ca="1" si="21"/>
        <v>0</v>
      </c>
      <c r="AC36" s="209">
        <f ca="1">+SUM(AB36:AB$124)*SSSM</f>
        <v>0</v>
      </c>
      <c r="AD36" s="209">
        <f t="shared" ref="AD36" si="619">IF(R36&gt;nB,0,AD35*(1-X35)*(1-Y35)*(1-AE35)*(1-AF35))</f>
        <v>0</v>
      </c>
      <c r="AE36" s="92">
        <f t="shared" ca="1" si="56"/>
        <v>0</v>
      </c>
      <c r="AF36" s="92">
        <f t="shared" ca="1" si="22"/>
        <v>0</v>
      </c>
      <c r="AG36" s="664">
        <f t="shared" ca="1" si="23"/>
        <v>0</v>
      </c>
      <c r="AH36" s="5">
        <f ca="1">+SUM(AG36:AG$124)</f>
        <v>0</v>
      </c>
      <c r="AI36" s="70">
        <f t="shared" ca="1" si="24"/>
        <v>0</v>
      </c>
      <c r="AJ36" s="208">
        <f ca="1">+SUM(AB36:AB$124)*SS50J</f>
        <v>0</v>
      </c>
      <c r="AK36" s="209">
        <f t="shared" ca="1" si="108"/>
        <v>99999.012970709329</v>
      </c>
      <c r="AL36" s="257">
        <f t="shared" ref="AL36" ca="1" si="620">IFERROR(VLOOKUP($S36,qx_table,MATCH(AL$11,qx_title,0)+sexB),0)</f>
        <v>0</v>
      </c>
      <c r="AM36" s="131">
        <f t="shared" ca="1" si="110"/>
        <v>58624.089821365953</v>
      </c>
      <c r="AN36" s="129">
        <f t="shared" ca="1" si="58"/>
        <v>0</v>
      </c>
      <c r="AO36" s="129">
        <f ca="1">SUM(AN36:AN$124)*SSa</f>
        <v>0</v>
      </c>
      <c r="AP36" s="70">
        <f t="shared" ca="1" si="59"/>
        <v>99999.012970709329</v>
      </c>
      <c r="AQ36" s="2">
        <f t="shared" ref="AQ36" ca="1" si="621">IFERROR(VLOOKUP($S36,qx_table,MATCH(AQ$11,qx_title,0)+sexB),0)</f>
        <v>0</v>
      </c>
      <c r="AR36" s="127">
        <f t="shared" ca="1" si="61"/>
        <v>0</v>
      </c>
      <c r="AS36" s="127">
        <f ca="1">SUM(AR36:AR$124)*SSb</f>
        <v>0</v>
      </c>
      <c r="AT36" s="70">
        <f t="shared" ca="1" si="62"/>
        <v>99999.012970709329</v>
      </c>
      <c r="AU36" s="2">
        <f t="shared" ref="AU36" ca="1" si="622">IFERROR(VLOOKUP($S36,qx_table,MATCH(AU$11,qx_title,0)+sexB),0)</f>
        <v>0</v>
      </c>
      <c r="AV36" s="268">
        <f t="shared" ca="1" si="64"/>
        <v>0</v>
      </c>
      <c r="AW36" s="131">
        <f ca="1">SUM(AV36:AV$124)*SSc</f>
        <v>0</v>
      </c>
      <c r="AX36" s="70">
        <f t="shared" ca="1" si="65"/>
        <v>99999.012970709329</v>
      </c>
      <c r="AY36" s="2">
        <f t="shared" ref="AY36" ca="1" si="623">IFERROR(VLOOKUP($S36,qx_table,MATCH(AY$11,qx_title,0)+sexB),0)</f>
        <v>0</v>
      </c>
      <c r="AZ36" s="268">
        <f t="shared" ca="1" si="67"/>
        <v>0</v>
      </c>
      <c r="BA36" s="129">
        <f ca="1">SUM(AZ36:AZ$124)*SSd</f>
        <v>0</v>
      </c>
      <c r="BB36" s="70">
        <f t="shared" ca="1" si="68"/>
        <v>99999.012970709329</v>
      </c>
      <c r="BC36" s="257">
        <f t="shared" ref="BC36" ca="1" si="624">IFERROR(VLOOKUP($S36,qx_table,MATCH(BC$11,qx_title,0)+sexB),0)</f>
        <v>0</v>
      </c>
      <c r="BD36" s="268">
        <f t="shared" ca="1" si="70"/>
        <v>0</v>
      </c>
      <c r="BE36" s="131">
        <f ca="1">SUM(BD36:BD$124)*SSe</f>
        <v>0</v>
      </c>
      <c r="BF36" s="70">
        <f t="shared" ca="1" si="71"/>
        <v>99999.012970709329</v>
      </c>
      <c r="BG36" s="2">
        <f t="shared" ref="BG36" ca="1" si="625">IFERROR(VLOOKUP($S36,qx_table,MATCH(BG$11,qx_title,0)+sexB),0)</f>
        <v>0</v>
      </c>
      <c r="BH36" s="131">
        <f t="shared" ca="1" si="73"/>
        <v>0</v>
      </c>
      <c r="BI36" s="2">
        <f ca="1">SUM(BH36:BH$124)*SSf</f>
        <v>0</v>
      </c>
      <c r="BJ36" s="70">
        <f t="shared" ca="1" si="74"/>
        <v>99999.012970709329</v>
      </c>
      <c r="BK36" s="2">
        <f t="shared" ref="BK36" ca="1" si="626">IFERROR(VLOOKUP($S36,qx_table,MATCH(BK$11,qx_title,0)+sexB),0)</f>
        <v>0</v>
      </c>
      <c r="BL36" s="131">
        <f t="shared" ca="1" si="76"/>
        <v>0</v>
      </c>
      <c r="BM36" s="131">
        <f ca="1">SUM(BL36:BL$124)*SSg</f>
        <v>0</v>
      </c>
      <c r="BN36" s="70">
        <f t="shared" ca="1" si="77"/>
        <v>99999.012970709329</v>
      </c>
      <c r="BO36" s="2">
        <f t="shared" ref="BO36" ca="1" si="627">IFERROR(VLOOKUP($S36,qx_table,MATCH(BO$11,qx_title,0)+sexB),0)</f>
        <v>0</v>
      </c>
      <c r="BP36" s="131">
        <f t="shared" ca="1" si="79"/>
        <v>0</v>
      </c>
      <c r="BQ36" s="131">
        <f ca="1">SUM(BP36:BP$124)*SSh</f>
        <v>0</v>
      </c>
      <c r="BR36" s="70">
        <f t="shared" ca="1" si="80"/>
        <v>99999.012970709329</v>
      </c>
      <c r="BS36" s="2">
        <f t="shared" ref="BS36" ca="1" si="628">IFERROR(VLOOKUP($S36,qx_table,MATCH(BS$11,qx_title,0)+sexB),0)*IF(R36=0,MCi,1)</f>
        <v>0</v>
      </c>
      <c r="BT36" s="131">
        <f t="shared" ca="1" si="82"/>
        <v>0</v>
      </c>
      <c r="BU36" s="131">
        <f ca="1">SUM(BT36:BT$124)*SSi</f>
        <v>0</v>
      </c>
      <c r="BV36" s="70">
        <f t="shared" ca="1" si="83"/>
        <v>99999.012970709329</v>
      </c>
      <c r="BW36" s="2">
        <f t="shared" ref="BW36" ca="1" si="629">IFERROR(VLOOKUP($S36,qx_table,MATCH(BW$11,qx_title,0)+sexB),0)</f>
        <v>0</v>
      </c>
      <c r="BX36" s="131">
        <f t="shared" ca="1" si="85"/>
        <v>0</v>
      </c>
      <c r="BY36" s="131">
        <f ca="1">SUM(BX36:BX$124)*SSj</f>
        <v>0</v>
      </c>
      <c r="BZ36" s="70">
        <f t="shared" ca="1" si="86"/>
        <v>99999.012970709329</v>
      </c>
      <c r="CA36" s="2">
        <f t="shared" ref="CA36" ca="1" si="630">IFERROR(VLOOKUP($S36,qx_table,MATCH(CA$11,qx_title,0)+sexB),0)</f>
        <v>0</v>
      </c>
      <c r="CB36" s="131">
        <f t="shared" ca="1" si="88"/>
        <v>0</v>
      </c>
      <c r="CC36" s="131">
        <f ca="1">SUM(CB36:CB$124)*SSk</f>
        <v>0</v>
      </c>
      <c r="CD36" s="8">
        <f t="shared" ca="1" si="89"/>
        <v>99999.012970709329</v>
      </c>
      <c r="CE36" s="2">
        <f t="shared" ref="CE36" ca="1" si="631">IFERROR(VLOOKUP($S36,qx_table,MATCH(CE$11,qx_title,0)+sexB),0)</f>
        <v>0</v>
      </c>
      <c r="CF36" s="131">
        <f t="shared" ca="1" si="91"/>
        <v>0</v>
      </c>
      <c r="CG36" s="131">
        <f ca="1">SUM(CF36:CF$124)*SSl</f>
        <v>0</v>
      </c>
      <c r="CH36" s="101">
        <f t="shared" ca="1" si="92"/>
        <v>0</v>
      </c>
      <c r="CI36" s="154">
        <f t="shared" ca="1" si="37"/>
        <v>0</v>
      </c>
      <c r="CJ36" s="32">
        <f t="shared" ref="CJ36" ca="1" si="632">+MAX(VLOOKUP(xB+$R36,기수표B,$AH$1)-VLOOKUP(xB+mB,기수표B,$AH$1),0)</f>
        <v>0</v>
      </c>
      <c r="CK36" s="32">
        <f t="shared" ref="CK36" ca="1" si="633">+MAX(VLOOKUP(xB+$R36,기수표B,$AH$1)-VLOOKUP(xB+mB,기수표B,$AH$1)-11/24*(VLOOKUP(xB+$R36,기수표B,$AG$1)-VLOOKUP(xB+mB,기수표B,$AG$1)),0)</f>
        <v>0</v>
      </c>
      <c r="CL36" s="32">
        <f t="shared" ref="CL36" ca="1" si="634">+MAX(VLOOKUP(xB+$R36,기수표B,$AA$1)-VLOOKUP(xB+mB,기수표B,$AA$1),0)</f>
        <v>0</v>
      </c>
      <c r="CM36" s="32">
        <f t="shared" ref="CM36" ca="1" si="635">+MAX(VLOOKUP(xB+$R36,기수표B,$AA$1)-VLOOKUP(xB+mB,기수표B,$AA$1)-11/24*(VLOOKUP(xB+$R36,기수표B,$AA$1)-VLOOKUP(xB+mB,기수표B,$AA$1)),0)</f>
        <v>0</v>
      </c>
      <c r="CN36" s="32">
        <f t="shared" si="41"/>
        <v>0</v>
      </c>
      <c r="CO36" s="32">
        <f t="shared" ca="1" si="42"/>
        <v>0</v>
      </c>
      <c r="CP36" s="259">
        <f t="shared" ca="1" si="43"/>
        <v>0</v>
      </c>
      <c r="CQ36" s="259">
        <f t="shared" ca="1" si="44"/>
        <v>0</v>
      </c>
      <c r="CR36" s="259" t="e">
        <f t="shared" ca="1" si="45"/>
        <v>#DIV/0!</v>
      </c>
      <c r="CS36" s="31">
        <f t="shared" ref="CS36" si="636">+MIN(mB,7)</f>
        <v>5</v>
      </c>
      <c r="CU36" s="13">
        <v>24</v>
      </c>
      <c r="CV36" s="477">
        <f t="shared" ca="1" si="47"/>
        <v>420</v>
      </c>
      <c r="CW36" s="477" t="e">
        <f t="shared" ca="1" si="48"/>
        <v>#DIV/0!</v>
      </c>
      <c r="CX36" s="477">
        <f t="shared" ca="1" si="49"/>
        <v>0</v>
      </c>
      <c r="CY36" s="478">
        <f t="shared" ca="1" si="98"/>
        <v>0</v>
      </c>
    </row>
    <row r="37" spans="1:103">
      <c r="C37" s="13">
        <f ca="1">정기보험!H23</f>
        <v>6.6548865200523409E-5</v>
      </c>
      <c r="N37" s="5">
        <f t="shared" si="99"/>
        <v>25</v>
      </c>
      <c r="O37" s="2">
        <f t="shared" ref="O37" ca="1" si="637">+(1+iB)^-N37</f>
        <v>0.57334639084611505</v>
      </c>
      <c r="P37" s="2">
        <f t="shared" ref="P37" ca="1" si="638">+(1+iB)^-(N37+0.5)</f>
        <v>0.56700308869355798</v>
      </c>
      <c r="Q37" s="91"/>
      <c r="R37" s="20">
        <f t="shared" si="102"/>
        <v>25</v>
      </c>
      <c r="S37" s="20" t="str">
        <f t="shared" ref="S37" si="639">+IF(xB+R37&lt;=xB+nB,xB+R37,"")</f>
        <v/>
      </c>
      <c r="T37" s="2">
        <f t="shared" ref="T37:U37" ca="1" si="640">IFERROR(VLOOKUP($S37,qx_table,MATCH(T$11,qx_title,0)+sexB),0)</f>
        <v>0</v>
      </c>
      <c r="U37" s="2">
        <f t="shared" ca="1" si="640"/>
        <v>0</v>
      </c>
      <c r="V37" s="300">
        <f>IF(JRB=2,0,IF(R37&gt;=mB-1,_xlfn.XLOOKUP(R37-mB,해지율!#REF!,해지율!#REF!,,1),_xlfn.XLOOKUP(R37,해지율!#REF!,해지율!#REF!,,-1)))</f>
        <v>0</v>
      </c>
      <c r="W37" s="8">
        <f t="shared" ref="W37" si="641">IF(R37=0,100000,IF(R37&gt;nB,0,W36*(1-X36)*(1-Y36)))</f>
        <v>0</v>
      </c>
      <c r="X37" s="10">
        <f t="shared" ca="1" si="19"/>
        <v>0</v>
      </c>
      <c r="Y37" s="10">
        <f t="shared" ca="1" si="20"/>
        <v>0</v>
      </c>
      <c r="Z37" s="8">
        <f t="shared" ca="1" si="106"/>
        <v>0</v>
      </c>
      <c r="AA37" s="8">
        <f ca="1">+SUM(Z37:Z$124)</f>
        <v>0</v>
      </c>
      <c r="AB37" s="8">
        <f t="shared" ca="1" si="21"/>
        <v>0</v>
      </c>
      <c r="AC37" s="209">
        <f ca="1">+SUM(AB37:AB$124)*SSSM</f>
        <v>0</v>
      </c>
      <c r="AD37" s="209">
        <f t="shared" ref="AD37" si="642">IF(R37&gt;nB,0,AD36*(1-X36)*(1-Y36)*(1-AE36)*(1-AF36))</f>
        <v>0</v>
      </c>
      <c r="AE37" s="92">
        <f t="shared" ca="1" si="56"/>
        <v>0</v>
      </c>
      <c r="AF37" s="92">
        <f t="shared" ca="1" si="22"/>
        <v>0</v>
      </c>
      <c r="AG37" s="664">
        <f t="shared" ca="1" si="23"/>
        <v>0</v>
      </c>
      <c r="AH37" s="5">
        <f ca="1">+SUM(AG37:AG$124)</f>
        <v>0</v>
      </c>
      <c r="AI37" s="70">
        <f t="shared" ca="1" si="24"/>
        <v>0</v>
      </c>
      <c r="AJ37" s="208">
        <f ca="1">+SUM(AB37:AB$124)*SS50J</f>
        <v>0</v>
      </c>
      <c r="AK37" s="209">
        <f t="shared" ca="1" si="108"/>
        <v>99999.012970709329</v>
      </c>
      <c r="AL37" s="257">
        <f t="shared" ref="AL37" ca="1" si="643">IFERROR(VLOOKUP($S37,qx_table,MATCH(AL$11,qx_title,0)+sexB),0)</f>
        <v>0</v>
      </c>
      <c r="AM37" s="131">
        <f t="shared" ca="1" si="110"/>
        <v>57334.073174930039</v>
      </c>
      <c r="AN37" s="129">
        <f t="shared" ca="1" si="58"/>
        <v>0</v>
      </c>
      <c r="AO37" s="129">
        <f ca="1">SUM(AN37:AN$124)*SSa</f>
        <v>0</v>
      </c>
      <c r="AP37" s="70">
        <f t="shared" ca="1" si="59"/>
        <v>99999.012970709329</v>
      </c>
      <c r="AQ37" s="2">
        <f t="shared" ref="AQ37" ca="1" si="644">IFERROR(VLOOKUP($S37,qx_table,MATCH(AQ$11,qx_title,0)+sexB),0)</f>
        <v>0</v>
      </c>
      <c r="AR37" s="127">
        <f t="shared" ca="1" si="61"/>
        <v>0</v>
      </c>
      <c r="AS37" s="127">
        <f ca="1">SUM(AR37:AR$124)*SSb</f>
        <v>0</v>
      </c>
      <c r="AT37" s="70">
        <f t="shared" ca="1" si="62"/>
        <v>99999.012970709329</v>
      </c>
      <c r="AU37" s="2">
        <f t="shared" ref="AU37" ca="1" si="645">IFERROR(VLOOKUP($S37,qx_table,MATCH(AU$11,qx_title,0)+sexB),0)</f>
        <v>0</v>
      </c>
      <c r="AV37" s="268">
        <f t="shared" ca="1" si="64"/>
        <v>0</v>
      </c>
      <c r="AW37" s="131">
        <f ca="1">SUM(AV37:AV$124)*SSc</f>
        <v>0</v>
      </c>
      <c r="AX37" s="70">
        <f t="shared" ca="1" si="65"/>
        <v>99999.012970709329</v>
      </c>
      <c r="AY37" s="2">
        <f t="shared" ref="AY37" ca="1" si="646">IFERROR(VLOOKUP($S37,qx_table,MATCH(AY$11,qx_title,0)+sexB),0)</f>
        <v>0</v>
      </c>
      <c r="AZ37" s="268">
        <f t="shared" ca="1" si="67"/>
        <v>0</v>
      </c>
      <c r="BA37" s="129">
        <f ca="1">SUM(AZ37:AZ$124)*SSd</f>
        <v>0</v>
      </c>
      <c r="BB37" s="70">
        <f t="shared" ca="1" si="68"/>
        <v>99999.012970709329</v>
      </c>
      <c r="BC37" s="257">
        <f t="shared" ref="BC37" ca="1" si="647">IFERROR(VLOOKUP($S37,qx_table,MATCH(BC$11,qx_title,0)+sexB),0)</f>
        <v>0</v>
      </c>
      <c r="BD37" s="268">
        <f t="shared" ca="1" si="70"/>
        <v>0</v>
      </c>
      <c r="BE37" s="131">
        <f ca="1">SUM(BD37:BD$124)*SSe</f>
        <v>0</v>
      </c>
      <c r="BF37" s="70">
        <f t="shared" ca="1" si="71"/>
        <v>99999.012970709329</v>
      </c>
      <c r="BG37" s="2">
        <f t="shared" ref="BG37" ca="1" si="648">IFERROR(VLOOKUP($S37,qx_table,MATCH(BG$11,qx_title,0)+sexB),0)</f>
        <v>0</v>
      </c>
      <c r="BH37" s="131">
        <f t="shared" ca="1" si="73"/>
        <v>0</v>
      </c>
      <c r="BI37" s="2">
        <f ca="1">SUM(BH37:BH$124)*SSf</f>
        <v>0</v>
      </c>
      <c r="BJ37" s="70">
        <f t="shared" ca="1" si="74"/>
        <v>99999.012970709329</v>
      </c>
      <c r="BK37" s="2">
        <f t="shared" ref="BK37" ca="1" si="649">IFERROR(VLOOKUP($S37,qx_table,MATCH(BK$11,qx_title,0)+sexB),0)</f>
        <v>0</v>
      </c>
      <c r="BL37" s="131">
        <f t="shared" ca="1" si="76"/>
        <v>0</v>
      </c>
      <c r="BM37" s="131">
        <f ca="1">SUM(BL37:BL$124)*SSg</f>
        <v>0</v>
      </c>
      <c r="BN37" s="70">
        <f t="shared" ca="1" si="77"/>
        <v>99999.012970709329</v>
      </c>
      <c r="BO37" s="2">
        <f t="shared" ref="BO37" ca="1" si="650">IFERROR(VLOOKUP($S37,qx_table,MATCH(BO$11,qx_title,0)+sexB),0)</f>
        <v>0</v>
      </c>
      <c r="BP37" s="131">
        <f t="shared" ca="1" si="79"/>
        <v>0</v>
      </c>
      <c r="BQ37" s="131">
        <f ca="1">SUM(BP37:BP$124)*SSh</f>
        <v>0</v>
      </c>
      <c r="BR37" s="70">
        <f t="shared" ca="1" si="80"/>
        <v>99999.012970709329</v>
      </c>
      <c r="BS37" s="2">
        <f t="shared" ref="BS37" ca="1" si="651">IFERROR(VLOOKUP($S37,qx_table,MATCH(BS$11,qx_title,0)+sexB),0)*IF(R37=0,MCi,1)</f>
        <v>0</v>
      </c>
      <c r="BT37" s="131">
        <f t="shared" ca="1" si="82"/>
        <v>0</v>
      </c>
      <c r="BU37" s="131">
        <f ca="1">SUM(BT37:BT$124)*SSi</f>
        <v>0</v>
      </c>
      <c r="BV37" s="70">
        <f t="shared" ca="1" si="83"/>
        <v>99999.012970709329</v>
      </c>
      <c r="BW37" s="2">
        <f t="shared" ref="BW37" ca="1" si="652">IFERROR(VLOOKUP($S37,qx_table,MATCH(BW$11,qx_title,0)+sexB),0)</f>
        <v>0</v>
      </c>
      <c r="BX37" s="131">
        <f t="shared" ca="1" si="85"/>
        <v>0</v>
      </c>
      <c r="BY37" s="131">
        <f ca="1">SUM(BX37:BX$124)*SSj</f>
        <v>0</v>
      </c>
      <c r="BZ37" s="70">
        <f t="shared" ca="1" si="86"/>
        <v>99999.012970709329</v>
      </c>
      <c r="CA37" s="2">
        <f t="shared" ref="CA37" ca="1" si="653">IFERROR(VLOOKUP($S37,qx_table,MATCH(CA$11,qx_title,0)+sexB),0)</f>
        <v>0</v>
      </c>
      <c r="CB37" s="131">
        <f t="shared" ca="1" si="88"/>
        <v>0</v>
      </c>
      <c r="CC37" s="131">
        <f ca="1">SUM(CB37:CB$124)*SSk</f>
        <v>0</v>
      </c>
      <c r="CD37" s="8">
        <f t="shared" ca="1" si="89"/>
        <v>99999.012970709329</v>
      </c>
      <c r="CE37" s="2">
        <f t="shared" ref="CE37" ca="1" si="654">IFERROR(VLOOKUP($S37,qx_table,MATCH(CE$11,qx_title,0)+sexB),0)</f>
        <v>0</v>
      </c>
      <c r="CF37" s="131">
        <f t="shared" ca="1" si="91"/>
        <v>0</v>
      </c>
      <c r="CG37" s="131">
        <f ca="1">SUM(CF37:CF$124)*SSl</f>
        <v>0</v>
      </c>
      <c r="CH37" s="101">
        <f t="shared" ca="1" si="92"/>
        <v>0</v>
      </c>
      <c r="CI37" s="154">
        <f t="shared" ca="1" si="37"/>
        <v>0</v>
      </c>
      <c r="CJ37" s="32">
        <f t="shared" ref="CJ37" ca="1" si="655">+MAX(VLOOKUP(xB+$R37,기수표B,$AH$1)-VLOOKUP(xB+mB,기수표B,$AH$1),0)</f>
        <v>0</v>
      </c>
      <c r="CK37" s="32">
        <f t="shared" ref="CK37" ca="1" si="656">+MAX(VLOOKUP(xB+$R37,기수표B,$AH$1)-VLOOKUP(xB+mB,기수표B,$AH$1)-11/24*(VLOOKUP(xB+$R37,기수표B,$AG$1)-VLOOKUP(xB+mB,기수표B,$AG$1)),0)</f>
        <v>0</v>
      </c>
      <c r="CL37" s="32">
        <f t="shared" ref="CL37" ca="1" si="657">+MAX(VLOOKUP(xB+$R37,기수표B,$AA$1)-VLOOKUP(xB+mB,기수표B,$AA$1),0)</f>
        <v>0</v>
      </c>
      <c r="CM37" s="32">
        <f t="shared" ref="CM37" ca="1" si="658">+MAX(VLOOKUP(xB+$R37,기수표B,$AA$1)-VLOOKUP(xB+mB,기수표B,$AA$1)-11/24*(VLOOKUP(xB+$R37,기수표B,$AA$1)-VLOOKUP(xB+mB,기수표B,$AA$1)),0)</f>
        <v>0</v>
      </c>
      <c r="CN37" s="32">
        <f t="shared" si="41"/>
        <v>0</v>
      </c>
      <c r="CO37" s="32">
        <f t="shared" ca="1" si="42"/>
        <v>0</v>
      </c>
      <c r="CP37" s="259">
        <f t="shared" ca="1" si="43"/>
        <v>0</v>
      </c>
      <c r="CQ37" s="259">
        <f t="shared" ca="1" si="44"/>
        <v>0</v>
      </c>
      <c r="CR37" s="259" t="e">
        <f t="shared" ca="1" si="45"/>
        <v>#DIV/0!</v>
      </c>
      <c r="CS37" s="31">
        <f t="shared" ref="CS37" si="659">+MIN(mB,7)</f>
        <v>5</v>
      </c>
      <c r="CU37" s="13">
        <v>25</v>
      </c>
      <c r="CV37" s="477">
        <f t="shared" ca="1" si="47"/>
        <v>420</v>
      </c>
      <c r="CW37" s="477" t="e">
        <f t="shared" ca="1" si="48"/>
        <v>#DIV/0!</v>
      </c>
      <c r="CX37" s="477">
        <f t="shared" ca="1" si="49"/>
        <v>0</v>
      </c>
      <c r="CY37" s="478">
        <f t="shared" ca="1" si="98"/>
        <v>0</v>
      </c>
    </row>
    <row r="38" spans="1:103">
      <c r="N38" s="5">
        <f t="shared" si="99"/>
        <v>26</v>
      </c>
      <c r="O38" s="2">
        <f t="shared" ref="O38" ca="1" si="660">+(1+iB)^-N38</f>
        <v>0.5607299665976675</v>
      </c>
      <c r="P38" s="2">
        <f t="shared" ref="P38" ca="1" si="661">+(1+iB)^-(N38+0.5)</f>
        <v>0.55452624811105922</v>
      </c>
      <c r="Q38" s="91"/>
      <c r="R38" s="20">
        <f t="shared" si="102"/>
        <v>26</v>
      </c>
      <c r="S38" s="20" t="str">
        <f t="shared" ref="S38" si="662">+IF(xB+R38&lt;=xB+nB,xB+R38,"")</f>
        <v/>
      </c>
      <c r="T38" s="2">
        <f t="shared" ref="T38:U38" ca="1" si="663">IFERROR(VLOOKUP($S38,qx_table,MATCH(T$11,qx_title,0)+sexB),0)</f>
        <v>0</v>
      </c>
      <c r="U38" s="2">
        <f t="shared" ca="1" si="663"/>
        <v>0</v>
      </c>
      <c r="V38" s="300">
        <f>IF(JRB=2,0,IF(R38&gt;=mB-1,_xlfn.XLOOKUP(R38-mB,해지율!#REF!,해지율!#REF!,,1),_xlfn.XLOOKUP(R38,해지율!#REF!,해지율!#REF!,,-1)))</f>
        <v>0</v>
      </c>
      <c r="W38" s="8">
        <f t="shared" ref="W38" si="664">IF(R38=0,100000,IF(R38&gt;nB,0,W37*(1-X37)*(1-Y37)))</f>
        <v>0</v>
      </c>
      <c r="X38" s="10">
        <f t="shared" ca="1" si="19"/>
        <v>0</v>
      </c>
      <c r="Y38" s="10">
        <f t="shared" ca="1" si="20"/>
        <v>0</v>
      </c>
      <c r="Z38" s="8">
        <f t="shared" ca="1" si="106"/>
        <v>0</v>
      </c>
      <c r="AA38" s="8">
        <f ca="1">+SUM(Z38:Z$124)</f>
        <v>0</v>
      </c>
      <c r="AB38" s="8">
        <f t="shared" ca="1" si="21"/>
        <v>0</v>
      </c>
      <c r="AC38" s="209">
        <f ca="1">+SUM(AB38:AB$124)*SSSM</f>
        <v>0</v>
      </c>
      <c r="AD38" s="209">
        <f t="shared" ref="AD38" si="665">IF(R38&gt;nB,0,AD37*(1-X37)*(1-Y37)*(1-AE37)*(1-AF37))</f>
        <v>0</v>
      </c>
      <c r="AE38" s="92">
        <f t="shared" ca="1" si="56"/>
        <v>0</v>
      </c>
      <c r="AF38" s="92">
        <f t="shared" ca="1" si="22"/>
        <v>0</v>
      </c>
      <c r="AG38" s="664">
        <f t="shared" ca="1" si="23"/>
        <v>0</v>
      </c>
      <c r="AH38" s="5">
        <f ca="1">+SUM(AG38:AG$124)</f>
        <v>0</v>
      </c>
      <c r="AI38" s="70">
        <f t="shared" ca="1" si="24"/>
        <v>0</v>
      </c>
      <c r="AJ38" s="208">
        <f ca="1">+SUM(AB38:AB$124)*SS50J</f>
        <v>0</v>
      </c>
      <c r="AK38" s="209">
        <f t="shared" ca="1" si="108"/>
        <v>99999.012970709329</v>
      </c>
      <c r="AL38" s="257">
        <f t="shared" ref="AL38" ca="1" si="666">IFERROR(VLOOKUP($S38,qx_table,MATCH(AL$11,qx_title,0)+sexB),0)</f>
        <v>0</v>
      </c>
      <c r="AM38" s="131">
        <f t="shared" ca="1" si="110"/>
        <v>56072.443202865557</v>
      </c>
      <c r="AN38" s="129">
        <f t="shared" ca="1" si="58"/>
        <v>0</v>
      </c>
      <c r="AO38" s="129">
        <f ca="1">SUM(AN38:AN$124)*SSa</f>
        <v>0</v>
      </c>
      <c r="AP38" s="70">
        <f t="shared" ca="1" si="59"/>
        <v>99999.012970709329</v>
      </c>
      <c r="AQ38" s="2">
        <f t="shared" ref="AQ38" ca="1" si="667">IFERROR(VLOOKUP($S38,qx_table,MATCH(AQ$11,qx_title,0)+sexB),0)</f>
        <v>0</v>
      </c>
      <c r="AR38" s="127">
        <f t="shared" ca="1" si="61"/>
        <v>0</v>
      </c>
      <c r="AS38" s="127">
        <f ca="1">SUM(AR38:AR$124)*SSb</f>
        <v>0</v>
      </c>
      <c r="AT38" s="70">
        <f t="shared" ca="1" si="62"/>
        <v>99999.012970709329</v>
      </c>
      <c r="AU38" s="2">
        <f t="shared" ref="AU38" ca="1" si="668">IFERROR(VLOOKUP($S38,qx_table,MATCH(AU$11,qx_title,0)+sexB),0)</f>
        <v>0</v>
      </c>
      <c r="AV38" s="268">
        <f t="shared" ca="1" si="64"/>
        <v>0</v>
      </c>
      <c r="AW38" s="131">
        <f ca="1">SUM(AV38:AV$124)*SSc</f>
        <v>0</v>
      </c>
      <c r="AX38" s="70">
        <f t="shared" ca="1" si="65"/>
        <v>99999.012970709329</v>
      </c>
      <c r="AY38" s="2">
        <f t="shared" ref="AY38" ca="1" si="669">IFERROR(VLOOKUP($S38,qx_table,MATCH(AY$11,qx_title,0)+sexB),0)</f>
        <v>0</v>
      </c>
      <c r="AZ38" s="268">
        <f t="shared" ca="1" si="67"/>
        <v>0</v>
      </c>
      <c r="BA38" s="129">
        <f ca="1">SUM(AZ38:AZ$124)*SSd</f>
        <v>0</v>
      </c>
      <c r="BB38" s="70">
        <f t="shared" ca="1" si="68"/>
        <v>99999.012970709329</v>
      </c>
      <c r="BC38" s="257">
        <f t="shared" ref="BC38" ca="1" si="670">IFERROR(VLOOKUP($S38,qx_table,MATCH(BC$11,qx_title,0)+sexB),0)</f>
        <v>0</v>
      </c>
      <c r="BD38" s="268">
        <f t="shared" ca="1" si="70"/>
        <v>0</v>
      </c>
      <c r="BE38" s="131">
        <f ca="1">SUM(BD38:BD$124)*SSe</f>
        <v>0</v>
      </c>
      <c r="BF38" s="70">
        <f t="shared" ca="1" si="71"/>
        <v>99999.012970709329</v>
      </c>
      <c r="BG38" s="2">
        <f t="shared" ref="BG38" ca="1" si="671">IFERROR(VLOOKUP($S38,qx_table,MATCH(BG$11,qx_title,0)+sexB),0)</f>
        <v>0</v>
      </c>
      <c r="BH38" s="131">
        <f t="shared" ca="1" si="73"/>
        <v>0</v>
      </c>
      <c r="BI38" s="2">
        <f ca="1">SUM(BH38:BH$124)*SSf</f>
        <v>0</v>
      </c>
      <c r="BJ38" s="70">
        <f t="shared" ca="1" si="74"/>
        <v>99999.012970709329</v>
      </c>
      <c r="BK38" s="2">
        <f t="shared" ref="BK38" ca="1" si="672">IFERROR(VLOOKUP($S38,qx_table,MATCH(BK$11,qx_title,0)+sexB),0)</f>
        <v>0</v>
      </c>
      <c r="BL38" s="131">
        <f t="shared" ca="1" si="76"/>
        <v>0</v>
      </c>
      <c r="BM38" s="131">
        <f ca="1">SUM(BL38:BL$124)*SSg</f>
        <v>0</v>
      </c>
      <c r="BN38" s="70">
        <f t="shared" ca="1" si="77"/>
        <v>99999.012970709329</v>
      </c>
      <c r="BO38" s="2">
        <f t="shared" ref="BO38" ca="1" si="673">IFERROR(VLOOKUP($S38,qx_table,MATCH(BO$11,qx_title,0)+sexB),0)</f>
        <v>0</v>
      </c>
      <c r="BP38" s="131">
        <f t="shared" ca="1" si="79"/>
        <v>0</v>
      </c>
      <c r="BQ38" s="131">
        <f ca="1">SUM(BP38:BP$124)*SSh</f>
        <v>0</v>
      </c>
      <c r="BR38" s="70">
        <f t="shared" ca="1" si="80"/>
        <v>99999.012970709329</v>
      </c>
      <c r="BS38" s="2">
        <f t="shared" ref="BS38" ca="1" si="674">IFERROR(VLOOKUP($S38,qx_table,MATCH(BS$11,qx_title,0)+sexB),0)*IF(R38=0,MCi,1)</f>
        <v>0</v>
      </c>
      <c r="BT38" s="131">
        <f t="shared" ca="1" si="82"/>
        <v>0</v>
      </c>
      <c r="BU38" s="131">
        <f ca="1">SUM(BT38:BT$124)*SSi</f>
        <v>0</v>
      </c>
      <c r="BV38" s="70">
        <f t="shared" ca="1" si="83"/>
        <v>99999.012970709329</v>
      </c>
      <c r="BW38" s="2">
        <f t="shared" ref="BW38" ca="1" si="675">IFERROR(VLOOKUP($S38,qx_table,MATCH(BW$11,qx_title,0)+sexB),0)</f>
        <v>0</v>
      </c>
      <c r="BX38" s="131">
        <f t="shared" ca="1" si="85"/>
        <v>0</v>
      </c>
      <c r="BY38" s="131">
        <f ca="1">SUM(BX38:BX$124)*SSj</f>
        <v>0</v>
      </c>
      <c r="BZ38" s="70">
        <f t="shared" ca="1" si="86"/>
        <v>99999.012970709329</v>
      </c>
      <c r="CA38" s="2">
        <f t="shared" ref="CA38" ca="1" si="676">IFERROR(VLOOKUP($S38,qx_table,MATCH(CA$11,qx_title,0)+sexB),0)</f>
        <v>0</v>
      </c>
      <c r="CB38" s="131">
        <f t="shared" ca="1" si="88"/>
        <v>0</v>
      </c>
      <c r="CC38" s="131">
        <f ca="1">SUM(CB38:CB$124)*SSk</f>
        <v>0</v>
      </c>
      <c r="CD38" s="8">
        <f t="shared" ca="1" si="89"/>
        <v>99999.012970709329</v>
      </c>
      <c r="CE38" s="2">
        <f t="shared" ref="CE38" ca="1" si="677">IFERROR(VLOOKUP($S38,qx_table,MATCH(CE$11,qx_title,0)+sexB),0)</f>
        <v>0</v>
      </c>
      <c r="CF38" s="131">
        <f t="shared" ca="1" si="91"/>
        <v>0</v>
      </c>
      <c r="CG38" s="131">
        <f ca="1">SUM(CF38:CF$124)*SSl</f>
        <v>0</v>
      </c>
      <c r="CH38" s="101">
        <f t="shared" ca="1" si="92"/>
        <v>0</v>
      </c>
      <c r="CI38" s="154">
        <f t="shared" ca="1" si="37"/>
        <v>0</v>
      </c>
      <c r="CJ38" s="32">
        <f t="shared" ref="CJ38" ca="1" si="678">+MAX(VLOOKUP(xB+$R38,기수표B,$AH$1)-VLOOKUP(xB+mB,기수표B,$AH$1),0)</f>
        <v>0</v>
      </c>
      <c r="CK38" s="32">
        <f t="shared" ref="CK38" ca="1" si="679">+MAX(VLOOKUP(xB+$R38,기수표B,$AH$1)-VLOOKUP(xB+mB,기수표B,$AH$1)-11/24*(VLOOKUP(xB+$R38,기수표B,$AG$1)-VLOOKUP(xB+mB,기수표B,$AG$1)),0)</f>
        <v>0</v>
      </c>
      <c r="CL38" s="32">
        <f t="shared" ref="CL38" ca="1" si="680">+MAX(VLOOKUP(xB+$R38,기수표B,$AA$1)-VLOOKUP(xB+mB,기수표B,$AA$1),0)</f>
        <v>0</v>
      </c>
      <c r="CM38" s="32">
        <f t="shared" ref="CM38" ca="1" si="681">+MAX(VLOOKUP(xB+$R38,기수표B,$AA$1)-VLOOKUP(xB+mB,기수표B,$AA$1)-11/24*(VLOOKUP(xB+$R38,기수표B,$AA$1)-VLOOKUP(xB+mB,기수표B,$AA$1)),0)</f>
        <v>0</v>
      </c>
      <c r="CN38" s="32">
        <f t="shared" si="41"/>
        <v>0</v>
      </c>
      <c r="CO38" s="32">
        <f t="shared" ca="1" si="42"/>
        <v>0</v>
      </c>
      <c r="CP38" s="259">
        <f t="shared" ca="1" si="43"/>
        <v>0</v>
      </c>
      <c r="CQ38" s="259">
        <f t="shared" ca="1" si="44"/>
        <v>0</v>
      </c>
      <c r="CR38" s="259" t="e">
        <f t="shared" ca="1" si="45"/>
        <v>#DIV/0!</v>
      </c>
      <c r="CS38" s="31">
        <f t="shared" ref="CS38" si="682">+MIN(mB,7)</f>
        <v>5</v>
      </c>
      <c r="CU38" s="13">
        <v>26</v>
      </c>
      <c r="CV38" s="477">
        <f t="shared" ca="1" si="47"/>
        <v>420</v>
      </c>
      <c r="CW38" s="477" t="e">
        <f t="shared" ca="1" si="48"/>
        <v>#DIV/0!</v>
      </c>
      <c r="CX38" s="477">
        <f t="shared" ca="1" si="49"/>
        <v>0</v>
      </c>
      <c r="CY38" s="478">
        <f t="shared" ca="1" si="98"/>
        <v>0</v>
      </c>
    </row>
    <row r="39" spans="1:103">
      <c r="N39" s="5">
        <f t="shared" si="99"/>
        <v>27</v>
      </c>
      <c r="O39" s="2">
        <f t="shared" ref="O39" ca="1" si="683">+(1+iB)^-N39</f>
        <v>0.54839116537669197</v>
      </c>
      <c r="P39" s="2">
        <f t="shared" ref="P39" ca="1" si="684">+(1+iB)^-(N39+0.5)</f>
        <v>0.54232395903282082</v>
      </c>
      <c r="Q39" s="91"/>
      <c r="R39" s="20">
        <f t="shared" si="102"/>
        <v>27</v>
      </c>
      <c r="S39" s="20" t="str">
        <f t="shared" ref="S39" si="685">+IF(xB+R39&lt;=xB+nB,xB+R39,"")</f>
        <v/>
      </c>
      <c r="T39" s="2">
        <f t="shared" ref="T39:U39" ca="1" si="686">IFERROR(VLOOKUP($S39,qx_table,MATCH(T$11,qx_title,0)+sexB),0)</f>
        <v>0</v>
      </c>
      <c r="U39" s="2">
        <f t="shared" ca="1" si="686"/>
        <v>0</v>
      </c>
      <c r="V39" s="300">
        <f>IF(JRB=2,0,IF(R39&gt;=mB-1,_xlfn.XLOOKUP(R39-mB,해지율!#REF!,해지율!#REF!,,1),_xlfn.XLOOKUP(R39,해지율!#REF!,해지율!#REF!,,-1)))</f>
        <v>0</v>
      </c>
      <c r="W39" s="8">
        <f t="shared" ref="W39" si="687">IF(R39=0,100000,IF(R39&gt;nB,0,W38*(1-X38)*(1-Y38)))</f>
        <v>0</v>
      </c>
      <c r="X39" s="10">
        <f t="shared" ca="1" si="19"/>
        <v>0</v>
      </c>
      <c r="Y39" s="10">
        <f t="shared" ca="1" si="20"/>
        <v>0</v>
      </c>
      <c r="Z39" s="8">
        <f t="shared" ca="1" si="106"/>
        <v>0</v>
      </c>
      <c r="AA39" s="8">
        <f ca="1">+SUM(Z39:Z$124)</f>
        <v>0</v>
      </c>
      <c r="AB39" s="8">
        <f t="shared" ca="1" si="21"/>
        <v>0</v>
      </c>
      <c r="AC39" s="209">
        <f ca="1">+SUM(AB39:AB$124)*SSSM</f>
        <v>0</v>
      </c>
      <c r="AD39" s="209">
        <f t="shared" ref="AD39" si="688">IF(R39&gt;nB,0,AD38*(1-X38)*(1-Y38)*(1-AE38)*(1-AF38))</f>
        <v>0</v>
      </c>
      <c r="AE39" s="92">
        <f t="shared" ca="1" si="56"/>
        <v>0</v>
      </c>
      <c r="AF39" s="92">
        <f t="shared" ca="1" si="22"/>
        <v>0</v>
      </c>
      <c r="AG39" s="664">
        <f t="shared" ca="1" si="23"/>
        <v>0</v>
      </c>
      <c r="AH39" s="5">
        <f ca="1">+SUM(AG39:AG$124)</f>
        <v>0</v>
      </c>
      <c r="AI39" s="70">
        <f t="shared" ca="1" si="24"/>
        <v>0</v>
      </c>
      <c r="AJ39" s="208">
        <f ca="1">+SUM(AB39:AB$124)*SS50J</f>
        <v>0</v>
      </c>
      <c r="AK39" s="209">
        <f t="shared" ca="1" si="108"/>
        <v>99999.012970709329</v>
      </c>
      <c r="AL39" s="257">
        <f t="shared" ref="AL39" ca="1" si="689">IFERROR(VLOOKUP($S39,qx_table,MATCH(AL$11,qx_title,0)+sexB),0)</f>
        <v>0</v>
      </c>
      <c r="AM39" s="131">
        <f t="shared" ca="1" si="110"/>
        <v>54838.575259526224</v>
      </c>
      <c r="AN39" s="129">
        <f t="shared" ca="1" si="58"/>
        <v>0</v>
      </c>
      <c r="AO39" s="129">
        <f ca="1">SUM(AN39:AN$124)*SSa</f>
        <v>0</v>
      </c>
      <c r="AP39" s="70">
        <f t="shared" ca="1" si="59"/>
        <v>99999.012970709329</v>
      </c>
      <c r="AQ39" s="2">
        <f t="shared" ref="AQ39" ca="1" si="690">IFERROR(VLOOKUP($S39,qx_table,MATCH(AQ$11,qx_title,0)+sexB),0)</f>
        <v>0</v>
      </c>
      <c r="AR39" s="127">
        <f t="shared" ca="1" si="61"/>
        <v>0</v>
      </c>
      <c r="AS39" s="127">
        <f ca="1">SUM(AR39:AR$124)*SSb</f>
        <v>0</v>
      </c>
      <c r="AT39" s="70">
        <f t="shared" ca="1" si="62"/>
        <v>99999.012970709329</v>
      </c>
      <c r="AU39" s="2">
        <f t="shared" ref="AU39" ca="1" si="691">IFERROR(VLOOKUP($S39,qx_table,MATCH(AU$11,qx_title,0)+sexB),0)</f>
        <v>0</v>
      </c>
      <c r="AV39" s="268">
        <f t="shared" ca="1" si="64"/>
        <v>0</v>
      </c>
      <c r="AW39" s="131">
        <f ca="1">SUM(AV39:AV$124)*SSc</f>
        <v>0</v>
      </c>
      <c r="AX39" s="70">
        <f t="shared" ca="1" si="65"/>
        <v>99999.012970709329</v>
      </c>
      <c r="AY39" s="2">
        <f t="shared" ref="AY39" ca="1" si="692">IFERROR(VLOOKUP($S39,qx_table,MATCH(AY$11,qx_title,0)+sexB),0)</f>
        <v>0</v>
      </c>
      <c r="AZ39" s="268">
        <f t="shared" ca="1" si="67"/>
        <v>0</v>
      </c>
      <c r="BA39" s="129">
        <f ca="1">SUM(AZ39:AZ$124)*SSd</f>
        <v>0</v>
      </c>
      <c r="BB39" s="70">
        <f t="shared" ca="1" si="68"/>
        <v>99999.012970709329</v>
      </c>
      <c r="BC39" s="257">
        <f t="shared" ref="BC39" ca="1" si="693">IFERROR(VLOOKUP($S39,qx_table,MATCH(BC$11,qx_title,0)+sexB),0)</f>
        <v>0</v>
      </c>
      <c r="BD39" s="268">
        <f t="shared" ca="1" si="70"/>
        <v>0</v>
      </c>
      <c r="BE39" s="131">
        <f ca="1">SUM(BD39:BD$124)*SSe</f>
        <v>0</v>
      </c>
      <c r="BF39" s="70">
        <f t="shared" ca="1" si="71"/>
        <v>99999.012970709329</v>
      </c>
      <c r="BG39" s="2">
        <f t="shared" ref="BG39" ca="1" si="694">IFERROR(VLOOKUP($S39,qx_table,MATCH(BG$11,qx_title,0)+sexB),0)</f>
        <v>0</v>
      </c>
      <c r="BH39" s="131">
        <f t="shared" ca="1" si="73"/>
        <v>0</v>
      </c>
      <c r="BI39" s="2">
        <f ca="1">SUM(BH39:BH$124)*SSf</f>
        <v>0</v>
      </c>
      <c r="BJ39" s="70">
        <f t="shared" ca="1" si="74"/>
        <v>99999.012970709329</v>
      </c>
      <c r="BK39" s="2">
        <f t="shared" ref="BK39" ca="1" si="695">IFERROR(VLOOKUP($S39,qx_table,MATCH(BK$11,qx_title,0)+sexB),0)</f>
        <v>0</v>
      </c>
      <c r="BL39" s="131">
        <f t="shared" ca="1" si="76"/>
        <v>0</v>
      </c>
      <c r="BM39" s="131">
        <f ca="1">SUM(BL39:BL$124)*SSg</f>
        <v>0</v>
      </c>
      <c r="BN39" s="70">
        <f t="shared" ca="1" si="77"/>
        <v>99999.012970709329</v>
      </c>
      <c r="BO39" s="2">
        <f t="shared" ref="BO39" ca="1" si="696">IFERROR(VLOOKUP($S39,qx_table,MATCH(BO$11,qx_title,0)+sexB),0)</f>
        <v>0</v>
      </c>
      <c r="BP39" s="131">
        <f t="shared" ca="1" si="79"/>
        <v>0</v>
      </c>
      <c r="BQ39" s="131">
        <f ca="1">SUM(BP39:BP$124)*SSh</f>
        <v>0</v>
      </c>
      <c r="BR39" s="70">
        <f t="shared" ca="1" si="80"/>
        <v>99999.012970709329</v>
      </c>
      <c r="BS39" s="2">
        <f t="shared" ref="BS39" ca="1" si="697">IFERROR(VLOOKUP($S39,qx_table,MATCH(BS$11,qx_title,0)+sexB),0)*IF(R39=0,MCi,1)</f>
        <v>0</v>
      </c>
      <c r="BT39" s="131">
        <f t="shared" ca="1" si="82"/>
        <v>0</v>
      </c>
      <c r="BU39" s="131">
        <f ca="1">SUM(BT39:BT$124)*SSi</f>
        <v>0</v>
      </c>
      <c r="BV39" s="70">
        <f t="shared" ca="1" si="83"/>
        <v>99999.012970709329</v>
      </c>
      <c r="BW39" s="2">
        <f t="shared" ref="BW39" ca="1" si="698">IFERROR(VLOOKUP($S39,qx_table,MATCH(BW$11,qx_title,0)+sexB),0)</f>
        <v>0</v>
      </c>
      <c r="BX39" s="131">
        <f t="shared" ca="1" si="85"/>
        <v>0</v>
      </c>
      <c r="BY39" s="131">
        <f ca="1">SUM(BX39:BX$124)*SSj</f>
        <v>0</v>
      </c>
      <c r="BZ39" s="70">
        <f t="shared" ca="1" si="86"/>
        <v>99999.012970709329</v>
      </c>
      <c r="CA39" s="2">
        <f t="shared" ref="CA39" ca="1" si="699">IFERROR(VLOOKUP($S39,qx_table,MATCH(CA$11,qx_title,0)+sexB),0)</f>
        <v>0</v>
      </c>
      <c r="CB39" s="131">
        <f t="shared" ca="1" si="88"/>
        <v>0</v>
      </c>
      <c r="CC39" s="131">
        <f ca="1">SUM(CB39:CB$124)*SSk</f>
        <v>0</v>
      </c>
      <c r="CD39" s="8">
        <f t="shared" ca="1" si="89"/>
        <v>99999.012970709329</v>
      </c>
      <c r="CE39" s="2">
        <f t="shared" ref="CE39" ca="1" si="700">IFERROR(VLOOKUP($S39,qx_table,MATCH(CE$11,qx_title,0)+sexB),0)</f>
        <v>0</v>
      </c>
      <c r="CF39" s="131">
        <f t="shared" ca="1" si="91"/>
        <v>0</v>
      </c>
      <c r="CG39" s="131">
        <f ca="1">SUM(CF39:CF$124)*SSl</f>
        <v>0</v>
      </c>
      <c r="CH39" s="101">
        <f t="shared" ca="1" si="92"/>
        <v>0</v>
      </c>
      <c r="CI39" s="154">
        <f t="shared" ca="1" si="37"/>
        <v>0</v>
      </c>
      <c r="CJ39" s="32">
        <f t="shared" ref="CJ39" ca="1" si="701">+MAX(VLOOKUP(xB+$R39,기수표B,$AH$1)-VLOOKUP(xB+mB,기수표B,$AH$1),0)</f>
        <v>0</v>
      </c>
      <c r="CK39" s="32">
        <f t="shared" ref="CK39" ca="1" si="702">+MAX(VLOOKUP(xB+$R39,기수표B,$AH$1)-VLOOKUP(xB+mB,기수표B,$AH$1)-11/24*(VLOOKUP(xB+$R39,기수표B,$AG$1)-VLOOKUP(xB+mB,기수표B,$AG$1)),0)</f>
        <v>0</v>
      </c>
      <c r="CL39" s="32">
        <f t="shared" ref="CL39" ca="1" si="703">+MAX(VLOOKUP(xB+$R39,기수표B,$AA$1)-VLOOKUP(xB+mB,기수표B,$AA$1),0)</f>
        <v>0</v>
      </c>
      <c r="CM39" s="32">
        <f t="shared" ref="CM39" ca="1" si="704">+MAX(VLOOKUP(xB+$R39,기수표B,$AA$1)-VLOOKUP(xB+mB,기수표B,$AA$1)-11/24*(VLOOKUP(xB+$R39,기수표B,$AA$1)-VLOOKUP(xB+mB,기수표B,$AA$1)),0)</f>
        <v>0</v>
      </c>
      <c r="CN39" s="32">
        <f t="shared" si="41"/>
        <v>0</v>
      </c>
      <c r="CO39" s="32">
        <f t="shared" ca="1" si="42"/>
        <v>0</v>
      </c>
      <c r="CP39" s="259">
        <f t="shared" ca="1" si="43"/>
        <v>0</v>
      </c>
      <c r="CQ39" s="259">
        <f t="shared" ca="1" si="44"/>
        <v>0</v>
      </c>
      <c r="CR39" s="259" t="e">
        <f t="shared" ca="1" si="45"/>
        <v>#DIV/0!</v>
      </c>
      <c r="CS39" s="31">
        <f t="shared" ref="CS39" si="705">+MIN(mB,7)</f>
        <v>5</v>
      </c>
      <c r="CU39" s="13">
        <v>27</v>
      </c>
      <c r="CV39" s="477">
        <f t="shared" ca="1" si="47"/>
        <v>420</v>
      </c>
      <c r="CW39" s="477" t="e">
        <f t="shared" ca="1" si="48"/>
        <v>#DIV/0!</v>
      </c>
      <c r="CX39" s="477">
        <f t="shared" ca="1" si="49"/>
        <v>0</v>
      </c>
      <c r="CY39" s="478">
        <f t="shared" ca="1" si="98"/>
        <v>0</v>
      </c>
    </row>
    <row r="40" spans="1:103">
      <c r="A40" s="59"/>
      <c r="N40" s="5">
        <f t="shared" si="99"/>
        <v>28</v>
      </c>
      <c r="O40" s="2">
        <f t="shared" ref="O40" ca="1" si="706">+(1+iB)^-N40</f>
        <v>0.53632387811901416</v>
      </c>
      <c r="P40" s="2">
        <f t="shared" ref="P40" ca="1" si="707">+(1+iB)^-(N40+0.5)</f>
        <v>0.53039017998319882</v>
      </c>
      <c r="Q40" s="91"/>
      <c r="R40" s="20">
        <f t="shared" si="102"/>
        <v>28</v>
      </c>
      <c r="S40" s="20" t="str">
        <f t="shared" ref="S40" si="708">+IF(xB+R40&lt;=xB+nB,xB+R40,"")</f>
        <v/>
      </c>
      <c r="T40" s="2">
        <f t="shared" ref="T40:U40" ca="1" si="709">IFERROR(VLOOKUP($S40,qx_table,MATCH(T$11,qx_title,0)+sexB),0)</f>
        <v>0</v>
      </c>
      <c r="U40" s="2">
        <f t="shared" ca="1" si="709"/>
        <v>0</v>
      </c>
      <c r="V40" s="300">
        <f>IF(JRB=2,0,IF(R40&gt;=mB-1,_xlfn.XLOOKUP(R40-mB,해지율!#REF!,해지율!#REF!,,1),_xlfn.XLOOKUP(R40,해지율!#REF!,해지율!#REF!,,-1)))</f>
        <v>0</v>
      </c>
      <c r="W40" s="8">
        <f t="shared" ref="W40" si="710">IF(R40=0,100000,IF(R40&gt;nB,0,W39*(1-X39)*(1-Y39)))</f>
        <v>0</v>
      </c>
      <c r="X40" s="10">
        <f t="shared" ca="1" si="19"/>
        <v>0</v>
      </c>
      <c r="Y40" s="10">
        <f t="shared" ca="1" si="20"/>
        <v>0</v>
      </c>
      <c r="Z40" s="8">
        <f t="shared" ca="1" si="106"/>
        <v>0</v>
      </c>
      <c r="AA40" s="8">
        <f ca="1">+SUM(Z40:Z$124)</f>
        <v>0</v>
      </c>
      <c r="AB40" s="8">
        <f t="shared" ca="1" si="21"/>
        <v>0</v>
      </c>
      <c r="AC40" s="209">
        <f ca="1">+SUM(AB40:AB$124)*SSSM</f>
        <v>0</v>
      </c>
      <c r="AD40" s="209">
        <f t="shared" ref="AD40" si="711">IF(R40&gt;nB,0,AD39*(1-X39)*(1-Y39)*(1-AE39)*(1-AF39))</f>
        <v>0</v>
      </c>
      <c r="AE40" s="92">
        <f t="shared" ca="1" si="56"/>
        <v>0</v>
      </c>
      <c r="AF40" s="92">
        <f t="shared" ca="1" si="22"/>
        <v>0</v>
      </c>
      <c r="AG40" s="664">
        <f t="shared" ca="1" si="23"/>
        <v>0</v>
      </c>
      <c r="AH40" s="5">
        <f ca="1">+SUM(AG40:AG$124)</f>
        <v>0</v>
      </c>
      <c r="AI40" s="70">
        <f t="shared" ca="1" si="24"/>
        <v>0</v>
      </c>
      <c r="AJ40" s="208">
        <f ca="1">+SUM(AB40:AB$124)*SS50J</f>
        <v>0</v>
      </c>
      <c r="AK40" s="209">
        <f t="shared" ca="1" si="108"/>
        <v>99999.012970709329</v>
      </c>
      <c r="AL40" s="257">
        <f t="shared" ref="AL40" ca="1" si="712">IFERROR(VLOOKUP($S40,qx_table,MATCH(AL$11,qx_title,0)+sexB),0)</f>
        <v>0</v>
      </c>
      <c r="AM40" s="131">
        <f t="shared" ca="1" si="110"/>
        <v>53631.858444524427</v>
      </c>
      <c r="AN40" s="129">
        <f t="shared" ca="1" si="58"/>
        <v>0</v>
      </c>
      <c r="AO40" s="129">
        <f ca="1">SUM(AN40:AN$124)*SSa</f>
        <v>0</v>
      </c>
      <c r="AP40" s="70">
        <f t="shared" ca="1" si="59"/>
        <v>99999.012970709329</v>
      </c>
      <c r="AQ40" s="2">
        <f t="shared" ref="AQ40" ca="1" si="713">IFERROR(VLOOKUP($S40,qx_table,MATCH(AQ$11,qx_title,0)+sexB),0)</f>
        <v>0</v>
      </c>
      <c r="AR40" s="127">
        <f t="shared" ca="1" si="61"/>
        <v>0</v>
      </c>
      <c r="AS40" s="127">
        <f ca="1">SUM(AR40:AR$124)*SSb</f>
        <v>0</v>
      </c>
      <c r="AT40" s="70">
        <f t="shared" ca="1" si="62"/>
        <v>99999.012970709329</v>
      </c>
      <c r="AU40" s="2">
        <f t="shared" ref="AU40" ca="1" si="714">IFERROR(VLOOKUP($S40,qx_table,MATCH(AU$11,qx_title,0)+sexB),0)</f>
        <v>0</v>
      </c>
      <c r="AV40" s="268">
        <f t="shared" ca="1" si="64"/>
        <v>0</v>
      </c>
      <c r="AW40" s="131">
        <f ca="1">SUM(AV40:AV$124)*SSc</f>
        <v>0</v>
      </c>
      <c r="AX40" s="70">
        <f t="shared" ca="1" si="65"/>
        <v>99999.012970709329</v>
      </c>
      <c r="AY40" s="2">
        <f t="shared" ref="AY40" ca="1" si="715">IFERROR(VLOOKUP($S40,qx_table,MATCH(AY$11,qx_title,0)+sexB),0)</f>
        <v>0</v>
      </c>
      <c r="AZ40" s="268">
        <f t="shared" ca="1" si="67"/>
        <v>0</v>
      </c>
      <c r="BA40" s="129">
        <f ca="1">SUM(AZ40:AZ$124)*SSd</f>
        <v>0</v>
      </c>
      <c r="BB40" s="70">
        <f t="shared" ca="1" si="68"/>
        <v>99999.012970709329</v>
      </c>
      <c r="BC40" s="257">
        <f t="shared" ref="BC40" ca="1" si="716">IFERROR(VLOOKUP($S40,qx_table,MATCH(BC$11,qx_title,0)+sexB),0)</f>
        <v>0</v>
      </c>
      <c r="BD40" s="268">
        <f t="shared" ca="1" si="70"/>
        <v>0</v>
      </c>
      <c r="BE40" s="131">
        <f ca="1">SUM(BD40:BD$124)*SSe</f>
        <v>0</v>
      </c>
      <c r="BF40" s="70">
        <f t="shared" ca="1" si="71"/>
        <v>99999.012970709329</v>
      </c>
      <c r="BG40" s="2">
        <f t="shared" ref="BG40" ca="1" si="717">IFERROR(VLOOKUP($S40,qx_table,MATCH(BG$11,qx_title,0)+sexB),0)</f>
        <v>0</v>
      </c>
      <c r="BH40" s="131">
        <f t="shared" ca="1" si="73"/>
        <v>0</v>
      </c>
      <c r="BI40" s="2">
        <f ca="1">SUM(BH40:BH$124)*SSf</f>
        <v>0</v>
      </c>
      <c r="BJ40" s="70">
        <f t="shared" ca="1" si="74"/>
        <v>99999.012970709329</v>
      </c>
      <c r="BK40" s="2">
        <f t="shared" ref="BK40" ca="1" si="718">IFERROR(VLOOKUP($S40,qx_table,MATCH(BK$11,qx_title,0)+sexB),0)</f>
        <v>0</v>
      </c>
      <c r="BL40" s="131">
        <f t="shared" ca="1" si="76"/>
        <v>0</v>
      </c>
      <c r="BM40" s="131">
        <f ca="1">SUM(BL40:BL$124)*SSg</f>
        <v>0</v>
      </c>
      <c r="BN40" s="70">
        <f t="shared" ca="1" si="77"/>
        <v>99999.012970709329</v>
      </c>
      <c r="BO40" s="2">
        <f t="shared" ref="BO40" ca="1" si="719">IFERROR(VLOOKUP($S40,qx_table,MATCH(BO$11,qx_title,0)+sexB),0)</f>
        <v>0</v>
      </c>
      <c r="BP40" s="131">
        <f t="shared" ca="1" si="79"/>
        <v>0</v>
      </c>
      <c r="BQ40" s="131">
        <f ca="1">SUM(BP40:BP$124)*SSh</f>
        <v>0</v>
      </c>
      <c r="BR40" s="70">
        <f t="shared" ca="1" si="80"/>
        <v>99999.012970709329</v>
      </c>
      <c r="BS40" s="2">
        <f t="shared" ref="BS40" ca="1" si="720">IFERROR(VLOOKUP($S40,qx_table,MATCH(BS$11,qx_title,0)+sexB),0)*IF(R40=0,MCi,1)</f>
        <v>0</v>
      </c>
      <c r="BT40" s="131">
        <f t="shared" ca="1" si="82"/>
        <v>0</v>
      </c>
      <c r="BU40" s="131">
        <f ca="1">SUM(BT40:BT$124)*SSi</f>
        <v>0</v>
      </c>
      <c r="BV40" s="70">
        <f t="shared" ca="1" si="83"/>
        <v>99999.012970709329</v>
      </c>
      <c r="BW40" s="2">
        <f t="shared" ref="BW40" ca="1" si="721">IFERROR(VLOOKUP($S40,qx_table,MATCH(BW$11,qx_title,0)+sexB),0)</f>
        <v>0</v>
      </c>
      <c r="BX40" s="131">
        <f t="shared" ca="1" si="85"/>
        <v>0</v>
      </c>
      <c r="BY40" s="131">
        <f ca="1">SUM(BX40:BX$124)*SSj</f>
        <v>0</v>
      </c>
      <c r="BZ40" s="70">
        <f t="shared" ca="1" si="86"/>
        <v>99999.012970709329</v>
      </c>
      <c r="CA40" s="2">
        <f t="shared" ref="CA40" ca="1" si="722">IFERROR(VLOOKUP($S40,qx_table,MATCH(CA$11,qx_title,0)+sexB),0)</f>
        <v>0</v>
      </c>
      <c r="CB40" s="131">
        <f t="shared" ca="1" si="88"/>
        <v>0</v>
      </c>
      <c r="CC40" s="131">
        <f ca="1">SUM(CB40:CB$124)*SSk</f>
        <v>0</v>
      </c>
      <c r="CD40" s="8">
        <f t="shared" ca="1" si="89"/>
        <v>99999.012970709329</v>
      </c>
      <c r="CE40" s="2">
        <f t="shared" ref="CE40" ca="1" si="723">IFERROR(VLOOKUP($S40,qx_table,MATCH(CE$11,qx_title,0)+sexB),0)</f>
        <v>0</v>
      </c>
      <c r="CF40" s="131">
        <f t="shared" ca="1" si="91"/>
        <v>0</v>
      </c>
      <c r="CG40" s="131">
        <f ca="1">SUM(CF40:CF$124)*SSl</f>
        <v>0</v>
      </c>
      <c r="CH40" s="101">
        <f t="shared" ca="1" si="92"/>
        <v>0</v>
      </c>
      <c r="CI40" s="154">
        <f t="shared" ca="1" si="37"/>
        <v>0</v>
      </c>
      <c r="CJ40" s="32">
        <f t="shared" ref="CJ40" ca="1" si="724">+MAX(VLOOKUP(xB+$R40,기수표B,$AH$1)-VLOOKUP(xB+mB,기수표B,$AH$1),0)</f>
        <v>0</v>
      </c>
      <c r="CK40" s="32">
        <f t="shared" ref="CK40" ca="1" si="725">+MAX(VLOOKUP(xB+$R40,기수표B,$AH$1)-VLOOKUP(xB+mB,기수표B,$AH$1)-11/24*(VLOOKUP(xB+$R40,기수표B,$AG$1)-VLOOKUP(xB+mB,기수표B,$AG$1)),0)</f>
        <v>0</v>
      </c>
      <c r="CL40" s="32">
        <f t="shared" ref="CL40" ca="1" si="726">+MAX(VLOOKUP(xB+$R40,기수표B,$AA$1)-VLOOKUP(xB+mB,기수표B,$AA$1),0)</f>
        <v>0</v>
      </c>
      <c r="CM40" s="32">
        <f t="shared" ref="CM40" ca="1" si="727">+MAX(VLOOKUP(xB+$R40,기수표B,$AA$1)-VLOOKUP(xB+mB,기수표B,$AA$1)-11/24*(VLOOKUP(xB+$R40,기수표B,$AA$1)-VLOOKUP(xB+mB,기수표B,$AA$1)),0)</f>
        <v>0</v>
      </c>
      <c r="CN40" s="32">
        <f t="shared" si="41"/>
        <v>0</v>
      </c>
      <c r="CO40" s="32">
        <f t="shared" ca="1" si="42"/>
        <v>0</v>
      </c>
      <c r="CP40" s="259">
        <f t="shared" ca="1" si="43"/>
        <v>0</v>
      </c>
      <c r="CQ40" s="259">
        <f t="shared" ca="1" si="44"/>
        <v>0</v>
      </c>
      <c r="CR40" s="259" t="e">
        <f t="shared" ca="1" si="45"/>
        <v>#DIV/0!</v>
      </c>
      <c r="CS40" s="31">
        <f t="shared" ref="CS40" si="728">+MIN(mB,7)</f>
        <v>5</v>
      </c>
      <c r="CU40" s="13">
        <v>28</v>
      </c>
      <c r="CV40" s="477">
        <f t="shared" ca="1" si="47"/>
        <v>420</v>
      </c>
      <c r="CW40" s="477" t="e">
        <f t="shared" ca="1" si="48"/>
        <v>#DIV/0!</v>
      </c>
      <c r="CX40" s="477">
        <f t="shared" ca="1" si="49"/>
        <v>0</v>
      </c>
      <c r="CY40" s="478">
        <f t="shared" ca="1" si="98"/>
        <v>0</v>
      </c>
    </row>
    <row r="41" spans="1:103">
      <c r="A41" s="59"/>
      <c r="E41" s="60"/>
      <c r="N41" s="5">
        <f t="shared" si="99"/>
        <v>29</v>
      </c>
      <c r="O41" s="2">
        <f t="shared" ref="O41" ca="1" si="729">+(1+iB)^-N41</f>
        <v>0.52452213018974492</v>
      </c>
      <c r="P41" s="2">
        <f t="shared" ref="P41" ca="1" si="730">+(1+iB)^-(N41+0.5)</f>
        <v>0.51871900242855629</v>
      </c>
      <c r="Q41" s="91"/>
      <c r="R41" s="20">
        <f t="shared" si="102"/>
        <v>29</v>
      </c>
      <c r="S41" s="20" t="str">
        <f t="shared" ref="S41" si="731">+IF(xB+R41&lt;=xB+nB,xB+R41,"")</f>
        <v/>
      </c>
      <c r="T41" s="2">
        <f t="shared" ref="T41:U41" ca="1" si="732">IFERROR(VLOOKUP($S41,qx_table,MATCH(T$11,qx_title,0)+sexB),0)</f>
        <v>0</v>
      </c>
      <c r="U41" s="2">
        <f t="shared" ca="1" si="732"/>
        <v>0</v>
      </c>
      <c r="V41" s="300">
        <f>IF(JRB=2,0,IF(R41&gt;=mB-1,_xlfn.XLOOKUP(R41-mB,해지율!#REF!,해지율!#REF!,,1),_xlfn.XLOOKUP(R41,해지율!#REF!,해지율!#REF!,,-1)))</f>
        <v>0</v>
      </c>
      <c r="W41" s="8">
        <f t="shared" ref="W41" si="733">IF(R41=0,100000,IF(R41&gt;nB,0,W40*(1-X40)*(1-Y40)))</f>
        <v>0</v>
      </c>
      <c r="X41" s="10">
        <f t="shared" ca="1" si="19"/>
        <v>0</v>
      </c>
      <c r="Y41" s="10">
        <f t="shared" ca="1" si="20"/>
        <v>0</v>
      </c>
      <c r="Z41" s="8">
        <f t="shared" ca="1" si="106"/>
        <v>0</v>
      </c>
      <c r="AA41" s="8">
        <f ca="1">+SUM(Z41:Z$124)</f>
        <v>0</v>
      </c>
      <c r="AB41" s="8">
        <f t="shared" ca="1" si="21"/>
        <v>0</v>
      </c>
      <c r="AC41" s="209">
        <f ca="1">+SUM(AB41:AB$124)*SSSM</f>
        <v>0</v>
      </c>
      <c r="AD41" s="209">
        <f t="shared" ref="AD41" si="734">IF(R41&gt;nB,0,AD40*(1-X40)*(1-Y40)*(1-AE40)*(1-AF40))</f>
        <v>0</v>
      </c>
      <c r="AE41" s="92">
        <f t="shared" ca="1" si="56"/>
        <v>0</v>
      </c>
      <c r="AF41" s="92">
        <f t="shared" ca="1" si="22"/>
        <v>0</v>
      </c>
      <c r="AG41" s="664">
        <f t="shared" ca="1" si="23"/>
        <v>0</v>
      </c>
      <c r="AH41" s="5">
        <f ca="1">+SUM(AG41:AG$124)</f>
        <v>0</v>
      </c>
      <c r="AI41" s="70">
        <f t="shared" ca="1" si="24"/>
        <v>0</v>
      </c>
      <c r="AJ41" s="208">
        <f ca="1">+SUM(AB41:AB$124)*SS50J</f>
        <v>0</v>
      </c>
      <c r="AK41" s="209">
        <f t="shared" ca="1" si="108"/>
        <v>99999.012970709329</v>
      </c>
      <c r="AL41" s="257">
        <f t="shared" ref="AL41" ca="1" si="735">IFERROR(VLOOKUP($S41,qx_table,MATCH(AL$11,qx_title,0)+sexB),0)</f>
        <v>0</v>
      </c>
      <c r="AM41" s="131">
        <f t="shared" ca="1" si="110"/>
        <v>52451.695300268388</v>
      </c>
      <c r="AN41" s="129">
        <f t="shared" ca="1" si="58"/>
        <v>0</v>
      </c>
      <c r="AO41" s="129">
        <f ca="1">SUM(AN41:AN$124)*SSa</f>
        <v>0</v>
      </c>
      <c r="AP41" s="70">
        <f t="shared" ca="1" si="59"/>
        <v>99999.012970709329</v>
      </c>
      <c r="AQ41" s="2">
        <f t="shared" ref="AQ41" ca="1" si="736">IFERROR(VLOOKUP($S41,qx_table,MATCH(AQ$11,qx_title,0)+sexB),0)</f>
        <v>0</v>
      </c>
      <c r="AR41" s="127">
        <f t="shared" ca="1" si="61"/>
        <v>0</v>
      </c>
      <c r="AS41" s="127">
        <f ca="1">SUM(AR41:AR$124)*SSb</f>
        <v>0</v>
      </c>
      <c r="AT41" s="70">
        <f t="shared" ca="1" si="62"/>
        <v>99999.012970709329</v>
      </c>
      <c r="AU41" s="2">
        <f t="shared" ref="AU41" ca="1" si="737">IFERROR(VLOOKUP($S41,qx_table,MATCH(AU$11,qx_title,0)+sexB),0)</f>
        <v>0</v>
      </c>
      <c r="AV41" s="268">
        <f t="shared" ca="1" si="64"/>
        <v>0</v>
      </c>
      <c r="AW41" s="131">
        <f ca="1">SUM(AV41:AV$124)*SSc</f>
        <v>0</v>
      </c>
      <c r="AX41" s="70">
        <f t="shared" ca="1" si="65"/>
        <v>99999.012970709329</v>
      </c>
      <c r="AY41" s="2">
        <f t="shared" ref="AY41" ca="1" si="738">IFERROR(VLOOKUP($S41,qx_table,MATCH(AY$11,qx_title,0)+sexB),0)</f>
        <v>0</v>
      </c>
      <c r="AZ41" s="268">
        <f t="shared" ca="1" si="67"/>
        <v>0</v>
      </c>
      <c r="BA41" s="129">
        <f ca="1">SUM(AZ41:AZ$124)*SSd</f>
        <v>0</v>
      </c>
      <c r="BB41" s="70">
        <f t="shared" ca="1" si="68"/>
        <v>99999.012970709329</v>
      </c>
      <c r="BC41" s="257">
        <f t="shared" ref="BC41" ca="1" si="739">IFERROR(VLOOKUP($S41,qx_table,MATCH(BC$11,qx_title,0)+sexB),0)</f>
        <v>0</v>
      </c>
      <c r="BD41" s="268">
        <f t="shared" ca="1" si="70"/>
        <v>0</v>
      </c>
      <c r="BE41" s="131">
        <f ca="1">SUM(BD41:BD$124)*SSe</f>
        <v>0</v>
      </c>
      <c r="BF41" s="70">
        <f t="shared" ca="1" si="71"/>
        <v>99999.012970709329</v>
      </c>
      <c r="BG41" s="2">
        <f t="shared" ref="BG41" ca="1" si="740">IFERROR(VLOOKUP($S41,qx_table,MATCH(BG$11,qx_title,0)+sexB),0)</f>
        <v>0</v>
      </c>
      <c r="BH41" s="131">
        <f t="shared" ca="1" si="73"/>
        <v>0</v>
      </c>
      <c r="BI41" s="2">
        <f ca="1">SUM(BH41:BH$124)*SSf</f>
        <v>0</v>
      </c>
      <c r="BJ41" s="70">
        <f t="shared" ca="1" si="74"/>
        <v>99999.012970709329</v>
      </c>
      <c r="BK41" s="2">
        <f t="shared" ref="BK41" ca="1" si="741">IFERROR(VLOOKUP($S41,qx_table,MATCH(BK$11,qx_title,0)+sexB),0)</f>
        <v>0</v>
      </c>
      <c r="BL41" s="131">
        <f t="shared" ca="1" si="76"/>
        <v>0</v>
      </c>
      <c r="BM41" s="131">
        <f ca="1">SUM(BL41:BL$124)*SSg</f>
        <v>0</v>
      </c>
      <c r="BN41" s="70">
        <f t="shared" ca="1" si="77"/>
        <v>99999.012970709329</v>
      </c>
      <c r="BO41" s="2">
        <f t="shared" ref="BO41" ca="1" si="742">IFERROR(VLOOKUP($S41,qx_table,MATCH(BO$11,qx_title,0)+sexB),0)</f>
        <v>0</v>
      </c>
      <c r="BP41" s="131">
        <f t="shared" ca="1" si="79"/>
        <v>0</v>
      </c>
      <c r="BQ41" s="131">
        <f ca="1">SUM(BP41:BP$124)*SSh</f>
        <v>0</v>
      </c>
      <c r="BR41" s="70">
        <f t="shared" ca="1" si="80"/>
        <v>99999.012970709329</v>
      </c>
      <c r="BS41" s="2">
        <f t="shared" ref="BS41" ca="1" si="743">IFERROR(VLOOKUP($S41,qx_table,MATCH(BS$11,qx_title,0)+sexB),0)*IF(R41=0,MCi,1)</f>
        <v>0</v>
      </c>
      <c r="BT41" s="131">
        <f t="shared" ca="1" si="82"/>
        <v>0</v>
      </c>
      <c r="BU41" s="131">
        <f ca="1">SUM(BT41:BT$124)*SSi</f>
        <v>0</v>
      </c>
      <c r="BV41" s="70">
        <f t="shared" ca="1" si="83"/>
        <v>99999.012970709329</v>
      </c>
      <c r="BW41" s="2">
        <f t="shared" ref="BW41" ca="1" si="744">IFERROR(VLOOKUP($S41,qx_table,MATCH(BW$11,qx_title,0)+sexB),0)</f>
        <v>0</v>
      </c>
      <c r="BX41" s="131">
        <f t="shared" ca="1" si="85"/>
        <v>0</v>
      </c>
      <c r="BY41" s="131">
        <f ca="1">SUM(BX41:BX$124)*SSj</f>
        <v>0</v>
      </c>
      <c r="BZ41" s="70">
        <f t="shared" ca="1" si="86"/>
        <v>99999.012970709329</v>
      </c>
      <c r="CA41" s="2">
        <f t="shared" ref="CA41" ca="1" si="745">IFERROR(VLOOKUP($S41,qx_table,MATCH(CA$11,qx_title,0)+sexB),0)</f>
        <v>0</v>
      </c>
      <c r="CB41" s="131">
        <f t="shared" ca="1" si="88"/>
        <v>0</v>
      </c>
      <c r="CC41" s="131">
        <f ca="1">SUM(CB41:CB$124)*SSk</f>
        <v>0</v>
      </c>
      <c r="CD41" s="8">
        <f t="shared" ca="1" si="89"/>
        <v>99999.012970709329</v>
      </c>
      <c r="CE41" s="2">
        <f t="shared" ref="CE41" ca="1" si="746">IFERROR(VLOOKUP($S41,qx_table,MATCH(CE$11,qx_title,0)+sexB),0)</f>
        <v>0</v>
      </c>
      <c r="CF41" s="131">
        <f t="shared" ca="1" si="91"/>
        <v>0</v>
      </c>
      <c r="CG41" s="131">
        <f ca="1">SUM(CF41:CF$124)*SSl</f>
        <v>0</v>
      </c>
      <c r="CH41" s="101">
        <f t="shared" ca="1" si="92"/>
        <v>0</v>
      </c>
      <c r="CI41" s="154">
        <f t="shared" ca="1" si="37"/>
        <v>0</v>
      </c>
      <c r="CJ41" s="32">
        <f t="shared" ref="CJ41" ca="1" si="747">+MAX(VLOOKUP(xB+$R41,기수표B,$AH$1)-VLOOKUP(xB+mB,기수표B,$AH$1),0)</f>
        <v>0</v>
      </c>
      <c r="CK41" s="32">
        <f t="shared" ref="CK41" ca="1" si="748">+MAX(VLOOKUP(xB+$R41,기수표B,$AH$1)-VLOOKUP(xB+mB,기수표B,$AH$1)-11/24*(VLOOKUP(xB+$R41,기수표B,$AG$1)-VLOOKUP(xB+mB,기수표B,$AG$1)),0)</f>
        <v>0</v>
      </c>
      <c r="CL41" s="32">
        <f t="shared" ref="CL41" ca="1" si="749">+MAX(VLOOKUP(xB+$R41,기수표B,$AA$1)-VLOOKUP(xB+mB,기수표B,$AA$1),0)</f>
        <v>0</v>
      </c>
      <c r="CM41" s="32">
        <f t="shared" ref="CM41" ca="1" si="750">+MAX(VLOOKUP(xB+$R41,기수표B,$AA$1)-VLOOKUP(xB+mB,기수표B,$AA$1)-11/24*(VLOOKUP(xB+$R41,기수표B,$AA$1)-VLOOKUP(xB+mB,기수표B,$AA$1)),0)</f>
        <v>0</v>
      </c>
      <c r="CN41" s="32">
        <f t="shared" si="41"/>
        <v>0</v>
      </c>
      <c r="CO41" s="32">
        <f t="shared" ca="1" si="42"/>
        <v>0</v>
      </c>
      <c r="CP41" s="259">
        <f t="shared" ca="1" si="43"/>
        <v>0</v>
      </c>
      <c r="CQ41" s="259">
        <f t="shared" ca="1" si="44"/>
        <v>0</v>
      </c>
      <c r="CR41" s="259" t="e">
        <f t="shared" ca="1" si="45"/>
        <v>#DIV/0!</v>
      </c>
      <c r="CS41" s="31">
        <f t="shared" ref="CS41" si="751">+MIN(mB,7)</f>
        <v>5</v>
      </c>
      <c r="CU41" s="13">
        <v>29</v>
      </c>
      <c r="CV41" s="477">
        <f t="shared" ca="1" si="47"/>
        <v>420</v>
      </c>
      <c r="CW41" s="477" t="e">
        <f t="shared" ca="1" si="48"/>
        <v>#DIV/0!</v>
      </c>
      <c r="CX41" s="477">
        <f t="shared" ca="1" si="49"/>
        <v>0</v>
      </c>
      <c r="CY41" s="478">
        <f t="shared" ca="1" si="98"/>
        <v>0</v>
      </c>
    </row>
    <row r="42" spans="1:103">
      <c r="B42" s="269"/>
      <c r="C42" s="140"/>
      <c r="N42" s="5">
        <f t="shared" si="99"/>
        <v>30</v>
      </c>
      <c r="O42" s="2">
        <f t="shared" ref="O42" ca="1" si="752">+(1+iB)^-N42</f>
        <v>0.51298007842517834</v>
      </c>
      <c r="P42" s="2">
        <f t="shared" ref="P42" ca="1" si="753">+(1+iB)^-(N42+0.5)</f>
        <v>0.50730464785188878</v>
      </c>
      <c r="Q42" s="91"/>
      <c r="R42" s="20">
        <f t="shared" si="102"/>
        <v>30</v>
      </c>
      <c r="S42" s="20" t="str">
        <f t="shared" ref="S42" si="754">+IF(xB+R42&lt;=xB+nB,xB+R42,"")</f>
        <v/>
      </c>
      <c r="T42" s="2">
        <f t="shared" ref="T42:U42" ca="1" si="755">IFERROR(VLOOKUP($S42,qx_table,MATCH(T$11,qx_title,0)+sexB),0)</f>
        <v>0</v>
      </c>
      <c r="U42" s="2">
        <f t="shared" ca="1" si="755"/>
        <v>0</v>
      </c>
      <c r="V42" s="300">
        <f>IF(JRB=2,0,IF(R42&gt;=mB-1,_xlfn.XLOOKUP(R42-mB,해지율!#REF!,해지율!#REF!,,1),_xlfn.XLOOKUP(R42,해지율!#REF!,해지율!#REF!,,-1)))</f>
        <v>0</v>
      </c>
      <c r="W42" s="8">
        <f t="shared" ref="W42" si="756">IF(R42=0,100000,IF(R42&gt;nB,0,W41*(1-X41)*(1-Y41)))</f>
        <v>0</v>
      </c>
      <c r="X42" s="10">
        <f t="shared" ca="1" si="19"/>
        <v>0</v>
      </c>
      <c r="Y42" s="10">
        <f t="shared" ca="1" si="20"/>
        <v>0</v>
      </c>
      <c r="Z42" s="8">
        <f t="shared" ca="1" si="106"/>
        <v>0</v>
      </c>
      <c r="AA42" s="8">
        <f ca="1">+SUM(Z42:Z$124)</f>
        <v>0</v>
      </c>
      <c r="AB42" s="8">
        <f t="shared" ca="1" si="21"/>
        <v>0</v>
      </c>
      <c r="AC42" s="209">
        <f ca="1">+SUM(AB42:AB$124)*SSSM</f>
        <v>0</v>
      </c>
      <c r="AD42" s="209">
        <f t="shared" ref="AD42" si="757">IF(R42&gt;nB,0,AD41*(1-X41)*(1-Y41)*(1-AE41)*(1-AF41))</f>
        <v>0</v>
      </c>
      <c r="AE42" s="92">
        <f t="shared" ca="1" si="56"/>
        <v>0</v>
      </c>
      <c r="AF42" s="92">
        <f t="shared" ca="1" si="22"/>
        <v>0</v>
      </c>
      <c r="AG42" s="664">
        <f t="shared" ca="1" si="23"/>
        <v>0</v>
      </c>
      <c r="AH42" s="5">
        <f ca="1">+SUM(AG42:AG$124)</f>
        <v>0</v>
      </c>
      <c r="AI42" s="70">
        <f t="shared" ca="1" si="24"/>
        <v>0</v>
      </c>
      <c r="AJ42" s="208">
        <f ca="1">+SUM(AB42:AB$124)*SS50J</f>
        <v>0</v>
      </c>
      <c r="AK42" s="209">
        <f t="shared" ca="1" si="108"/>
        <v>99999.012970709329</v>
      </c>
      <c r="AL42" s="2">
        <f t="shared" ref="AL42" ca="1" si="758">IFERROR(VLOOKUP($S42,qx_table,MATCH(AL$11,qx_title,0)+sexB),0)</f>
        <v>0</v>
      </c>
      <c r="AM42" s="131">
        <f t="shared" ca="1" si="110"/>
        <v>51297.501516154894</v>
      </c>
      <c r="AN42" s="129">
        <f t="shared" ca="1" si="58"/>
        <v>0</v>
      </c>
      <c r="AO42" s="129">
        <f ca="1">SUM(AN42:AN$124)*SSa</f>
        <v>0</v>
      </c>
      <c r="AP42" s="70">
        <f t="shared" ca="1" si="59"/>
        <v>99999.012970709329</v>
      </c>
      <c r="AQ42" s="2">
        <f t="shared" ref="AQ42" ca="1" si="759">IFERROR(VLOOKUP($S42,qx_table,MATCH(AQ$11,qx_title,0)+sexB),0)</f>
        <v>0</v>
      </c>
      <c r="AR42" s="127">
        <f t="shared" ca="1" si="61"/>
        <v>0</v>
      </c>
      <c r="AS42" s="127">
        <f ca="1">SUM(AR42:AR$124)*SSb</f>
        <v>0</v>
      </c>
      <c r="AT42" s="70">
        <f t="shared" ca="1" si="62"/>
        <v>99999.012970709329</v>
      </c>
      <c r="AU42" s="2">
        <f t="shared" ref="AU42" ca="1" si="760">IFERROR(VLOOKUP($S42,qx_table,MATCH(AU$11,qx_title,0)+sexB),0)</f>
        <v>0</v>
      </c>
      <c r="AV42" s="268">
        <f t="shared" ca="1" si="64"/>
        <v>0</v>
      </c>
      <c r="AW42" s="131">
        <f ca="1">SUM(AV42:AV$124)*SSc</f>
        <v>0</v>
      </c>
      <c r="AX42" s="70">
        <f t="shared" ca="1" si="65"/>
        <v>99999.012970709329</v>
      </c>
      <c r="AY42" s="2">
        <f t="shared" ref="AY42" ca="1" si="761">IFERROR(VLOOKUP($S42,qx_table,MATCH(AY$11,qx_title,0)+sexB),0)</f>
        <v>0</v>
      </c>
      <c r="AZ42" s="268">
        <f t="shared" ca="1" si="67"/>
        <v>0</v>
      </c>
      <c r="BA42" s="129">
        <f ca="1">SUM(AZ42:AZ$124)*SSd</f>
        <v>0</v>
      </c>
      <c r="BB42" s="70">
        <f t="shared" ca="1" si="68"/>
        <v>99999.012970709329</v>
      </c>
      <c r="BC42" s="257">
        <f t="shared" ref="BC42" ca="1" si="762">IFERROR(VLOOKUP($S42,qx_table,MATCH(BC$11,qx_title,0)+sexB),0)</f>
        <v>0</v>
      </c>
      <c r="BD42" s="268">
        <f t="shared" ca="1" si="70"/>
        <v>0</v>
      </c>
      <c r="BE42" s="131">
        <f ca="1">SUM(BD42:BD$124)*SSe</f>
        <v>0</v>
      </c>
      <c r="BF42" s="70">
        <f t="shared" ca="1" si="71"/>
        <v>99999.012970709329</v>
      </c>
      <c r="BG42" s="2">
        <f t="shared" ref="BG42" ca="1" si="763">IFERROR(VLOOKUP($S42,qx_table,MATCH(BG$11,qx_title,0)+sexB),0)</f>
        <v>0</v>
      </c>
      <c r="BH42" s="131">
        <f t="shared" ca="1" si="73"/>
        <v>0</v>
      </c>
      <c r="BI42" s="2">
        <f ca="1">SUM(BH42:BH$124)*SSf</f>
        <v>0</v>
      </c>
      <c r="BJ42" s="70">
        <f t="shared" ca="1" si="74"/>
        <v>99999.012970709329</v>
      </c>
      <c r="BK42" s="2">
        <f t="shared" ref="BK42" ca="1" si="764">IFERROR(VLOOKUP($S42,qx_table,MATCH(BK$11,qx_title,0)+sexB),0)</f>
        <v>0</v>
      </c>
      <c r="BL42" s="131">
        <f t="shared" ca="1" si="76"/>
        <v>0</v>
      </c>
      <c r="BM42" s="131">
        <f ca="1">SUM(BL42:BL$124)*SSg</f>
        <v>0</v>
      </c>
      <c r="BN42" s="70">
        <f t="shared" ca="1" si="77"/>
        <v>99999.012970709329</v>
      </c>
      <c r="BO42" s="2">
        <f t="shared" ref="BO42" ca="1" si="765">IFERROR(VLOOKUP($S42,qx_table,MATCH(BO$11,qx_title,0)+sexB),0)</f>
        <v>0</v>
      </c>
      <c r="BP42" s="131">
        <f t="shared" ca="1" si="79"/>
        <v>0</v>
      </c>
      <c r="BQ42" s="131">
        <f ca="1">SUM(BP42:BP$124)*SSh</f>
        <v>0</v>
      </c>
      <c r="BR42" s="70">
        <f t="shared" ca="1" si="80"/>
        <v>99999.012970709329</v>
      </c>
      <c r="BS42" s="2">
        <f t="shared" ref="BS42" ca="1" si="766">IFERROR(VLOOKUP($S42,qx_table,MATCH(BS$11,qx_title,0)+sexB),0)*IF(R42=0,MCi,1)</f>
        <v>0</v>
      </c>
      <c r="BT42" s="131">
        <f t="shared" ca="1" si="82"/>
        <v>0</v>
      </c>
      <c r="BU42" s="131">
        <f ca="1">SUM(BT42:BT$124)*SSi</f>
        <v>0</v>
      </c>
      <c r="BV42" s="70">
        <f t="shared" ca="1" si="83"/>
        <v>99999.012970709329</v>
      </c>
      <c r="BW42" s="2">
        <f t="shared" ref="BW42" ca="1" si="767">IFERROR(VLOOKUP($S42,qx_table,MATCH(BW$11,qx_title,0)+sexB),0)</f>
        <v>0</v>
      </c>
      <c r="BX42" s="131">
        <f t="shared" ca="1" si="85"/>
        <v>0</v>
      </c>
      <c r="BY42" s="131">
        <f ca="1">SUM(BX42:BX$124)*SSj</f>
        <v>0</v>
      </c>
      <c r="BZ42" s="70">
        <f t="shared" ca="1" si="86"/>
        <v>99999.012970709329</v>
      </c>
      <c r="CA42" s="2">
        <f t="shared" ref="CA42" ca="1" si="768">IFERROR(VLOOKUP($S42,qx_table,MATCH(CA$11,qx_title,0)+sexB),0)</f>
        <v>0</v>
      </c>
      <c r="CB42" s="131">
        <f t="shared" ca="1" si="88"/>
        <v>0</v>
      </c>
      <c r="CC42" s="131">
        <f ca="1">SUM(CB42:CB$124)*SSk</f>
        <v>0</v>
      </c>
      <c r="CD42" s="8">
        <f t="shared" ca="1" si="89"/>
        <v>99999.012970709329</v>
      </c>
      <c r="CE42" s="2">
        <f t="shared" ref="CE42" ca="1" si="769">IFERROR(VLOOKUP($S42,qx_table,MATCH(CE$11,qx_title,0)+sexB),0)</f>
        <v>0</v>
      </c>
      <c r="CF42" s="131">
        <f t="shared" ca="1" si="91"/>
        <v>0</v>
      </c>
      <c r="CG42" s="131">
        <f ca="1">SUM(CF42:CF$124)*SSl</f>
        <v>0</v>
      </c>
      <c r="CH42" s="101">
        <f t="shared" ca="1" si="92"/>
        <v>0</v>
      </c>
      <c r="CI42" s="154">
        <f t="shared" ca="1" si="37"/>
        <v>0</v>
      </c>
      <c r="CJ42" s="32">
        <f t="shared" ref="CJ42" ca="1" si="770">+MAX(VLOOKUP(xB+$R42,기수표B,$AH$1)-VLOOKUP(xB+mB,기수표B,$AH$1),0)</f>
        <v>0</v>
      </c>
      <c r="CK42" s="32">
        <f t="shared" ref="CK42" ca="1" si="771">+MAX(VLOOKUP(xB+$R42,기수표B,$AH$1)-VLOOKUP(xB+mB,기수표B,$AH$1)-11/24*(VLOOKUP(xB+$R42,기수표B,$AG$1)-VLOOKUP(xB+mB,기수표B,$AG$1)),0)</f>
        <v>0</v>
      </c>
      <c r="CL42" s="32">
        <f t="shared" ref="CL42" ca="1" si="772">+MAX(VLOOKUP(xB+$R42,기수표B,$AA$1)-VLOOKUP(xB+mB,기수표B,$AA$1),0)</f>
        <v>0</v>
      </c>
      <c r="CM42" s="32">
        <f t="shared" ref="CM42" ca="1" si="773">+MAX(VLOOKUP(xB+$R42,기수표B,$AA$1)-VLOOKUP(xB+mB,기수표B,$AA$1)-11/24*(VLOOKUP(xB+$R42,기수표B,$AA$1)-VLOOKUP(xB+mB,기수표B,$AA$1)),0)</f>
        <v>0</v>
      </c>
      <c r="CN42" s="32">
        <f t="shared" si="41"/>
        <v>0</v>
      </c>
      <c r="CO42" s="32">
        <f t="shared" ca="1" si="42"/>
        <v>0</v>
      </c>
      <c r="CP42" s="259">
        <f t="shared" ca="1" si="43"/>
        <v>0</v>
      </c>
      <c r="CQ42" s="259">
        <f t="shared" ca="1" si="44"/>
        <v>0</v>
      </c>
      <c r="CR42" s="259" t="e">
        <f t="shared" ca="1" si="45"/>
        <v>#DIV/0!</v>
      </c>
      <c r="CS42" s="31">
        <f t="shared" ref="CS42" si="774">+MIN(mB,7)</f>
        <v>5</v>
      </c>
      <c r="CU42" s="13">
        <v>30</v>
      </c>
      <c r="CV42" s="477">
        <f t="shared" ca="1" si="47"/>
        <v>420</v>
      </c>
      <c r="CW42" s="477" t="e">
        <f t="shared" ca="1" si="48"/>
        <v>#DIV/0!</v>
      </c>
      <c r="CX42" s="477">
        <f t="shared" ca="1" si="49"/>
        <v>0</v>
      </c>
      <c r="CY42" s="478">
        <f t="shared" ca="1" si="98"/>
        <v>0</v>
      </c>
    </row>
    <row r="43" spans="1:103">
      <c r="A43" s="59"/>
      <c r="B43" s="270"/>
      <c r="C43" s="271"/>
      <c r="D43" s="60"/>
      <c r="E43" s="60"/>
      <c r="L43" s="16"/>
      <c r="N43" s="5">
        <f t="shared" si="99"/>
        <v>31</v>
      </c>
      <c r="O43" s="2">
        <f t="shared" ref="O43" ca="1" si="775">+(1+iB)^-N43</f>
        <v>0.50169200823978322</v>
      </c>
      <c r="P43" s="2">
        <f t="shared" ref="P43" ca="1" si="776">+(1+iB)^-(N43+0.5)</f>
        <v>0.49614146489182287</v>
      </c>
      <c r="Q43" s="91"/>
      <c r="R43" s="20">
        <f t="shared" si="102"/>
        <v>31</v>
      </c>
      <c r="S43" s="20" t="str">
        <f t="shared" ref="S43" si="777">+IF(xB+R43&lt;=xB+nB,xB+R43,"")</f>
        <v/>
      </c>
      <c r="T43" s="2">
        <f t="shared" ref="T43:U43" ca="1" si="778">IFERROR(VLOOKUP($S43,qx_table,MATCH(T$11,qx_title,0)+sexB),0)</f>
        <v>0</v>
      </c>
      <c r="U43" s="2">
        <f t="shared" ca="1" si="778"/>
        <v>0</v>
      </c>
      <c r="V43" s="300">
        <f>IF(JRB=2,0,IF(R43&gt;=mB-1,_xlfn.XLOOKUP(R43-mB,해지율!#REF!,해지율!#REF!,,1),_xlfn.XLOOKUP(R43,해지율!#REF!,해지율!#REF!,,-1)))</f>
        <v>0</v>
      </c>
      <c r="W43" s="8">
        <f t="shared" ref="W43" si="779">IF(R43=0,100000,IF(R43&gt;nB,0,W42*(1-X42)*(1-Y42)))</f>
        <v>0</v>
      </c>
      <c r="X43" s="10">
        <f t="shared" ca="1" si="19"/>
        <v>0</v>
      </c>
      <c r="Y43" s="10">
        <f t="shared" ca="1" si="20"/>
        <v>0</v>
      </c>
      <c r="Z43" s="8">
        <f t="shared" ca="1" si="106"/>
        <v>0</v>
      </c>
      <c r="AA43" s="8">
        <f ca="1">+SUM(Z43:Z$124)</f>
        <v>0</v>
      </c>
      <c r="AB43" s="8">
        <f t="shared" ca="1" si="21"/>
        <v>0</v>
      </c>
      <c r="AC43" s="209">
        <f ca="1">+SUM(AB43:AB$124)*SSSM</f>
        <v>0</v>
      </c>
      <c r="AD43" s="209">
        <f t="shared" ref="AD43" si="780">IF(R43&gt;nB,0,AD42*(1-X42)*(1-Y42)*(1-AE42)*(1-AF42))</f>
        <v>0</v>
      </c>
      <c r="AE43" s="92">
        <f t="shared" ca="1" si="56"/>
        <v>0</v>
      </c>
      <c r="AF43" s="92">
        <f t="shared" ca="1" si="22"/>
        <v>0</v>
      </c>
      <c r="AG43" s="664">
        <f t="shared" ca="1" si="23"/>
        <v>0</v>
      </c>
      <c r="AH43" s="5">
        <f ca="1">+SUM(AG43:AG$124)</f>
        <v>0</v>
      </c>
      <c r="AI43" s="70">
        <f t="shared" ca="1" si="24"/>
        <v>0</v>
      </c>
      <c r="AJ43" s="208">
        <f ca="1">+SUM(AB43:AB$124)*SS50J</f>
        <v>0</v>
      </c>
      <c r="AK43" s="209">
        <f t="shared" ca="1" si="108"/>
        <v>99999.012970709329</v>
      </c>
      <c r="AL43" s="2">
        <f t="shared" ref="AL43" ca="1" si="781">IFERROR(VLOOKUP($S43,qx_table,MATCH(AL$11,qx_title,0)+sexB),0)</f>
        <v>0</v>
      </c>
      <c r="AM43" s="131">
        <f t="shared" ca="1" si="110"/>
        <v>50168.705639271291</v>
      </c>
      <c r="AN43" s="129">
        <f t="shared" ca="1" si="58"/>
        <v>0</v>
      </c>
      <c r="AO43" s="129">
        <f ca="1">SUM(AN43:AN$124)*SSa</f>
        <v>0</v>
      </c>
      <c r="AP43" s="70">
        <f t="shared" ca="1" si="59"/>
        <v>99999.012970709329</v>
      </c>
      <c r="AQ43" s="2">
        <f t="shared" ref="AQ43" ca="1" si="782">IFERROR(VLOOKUP($S43,qx_table,MATCH(AQ$11,qx_title,0)+sexB),0)</f>
        <v>0</v>
      </c>
      <c r="AR43" s="127">
        <f t="shared" ca="1" si="61"/>
        <v>0</v>
      </c>
      <c r="AS43" s="127">
        <f ca="1">SUM(AR43:AR$124)*SSb</f>
        <v>0</v>
      </c>
      <c r="AT43" s="70">
        <f t="shared" ca="1" si="62"/>
        <v>99999.012970709329</v>
      </c>
      <c r="AU43" s="2">
        <f t="shared" ref="AU43" ca="1" si="783">IFERROR(VLOOKUP($S43,qx_table,MATCH(AU$11,qx_title,0)+sexB),0)</f>
        <v>0</v>
      </c>
      <c r="AV43" s="268">
        <f t="shared" ca="1" si="64"/>
        <v>0</v>
      </c>
      <c r="AW43" s="131">
        <f ca="1">SUM(AV43:AV$124)*SSc</f>
        <v>0</v>
      </c>
      <c r="AX43" s="70">
        <f t="shared" ca="1" si="65"/>
        <v>99999.012970709329</v>
      </c>
      <c r="AY43" s="2">
        <f t="shared" ref="AY43" ca="1" si="784">IFERROR(VLOOKUP($S43,qx_table,MATCH(AY$11,qx_title,0)+sexB),0)</f>
        <v>0</v>
      </c>
      <c r="AZ43" s="268">
        <f t="shared" ca="1" si="67"/>
        <v>0</v>
      </c>
      <c r="BA43" s="129">
        <f ca="1">SUM(AZ43:AZ$124)*SSd</f>
        <v>0</v>
      </c>
      <c r="BB43" s="70">
        <f t="shared" ca="1" si="68"/>
        <v>99999.012970709329</v>
      </c>
      <c r="BC43" s="257">
        <f t="shared" ref="BC43" ca="1" si="785">IFERROR(VLOOKUP($S43,qx_table,MATCH(BC$11,qx_title,0)+sexB),0)</f>
        <v>0</v>
      </c>
      <c r="BD43" s="268">
        <f t="shared" ca="1" si="70"/>
        <v>0</v>
      </c>
      <c r="BE43" s="131">
        <f ca="1">SUM(BD43:BD$124)*SSe</f>
        <v>0</v>
      </c>
      <c r="BF43" s="70">
        <f t="shared" ca="1" si="71"/>
        <v>99999.012970709329</v>
      </c>
      <c r="BG43" s="2">
        <f t="shared" ref="BG43" ca="1" si="786">IFERROR(VLOOKUP($S43,qx_table,MATCH(BG$11,qx_title,0)+sexB),0)</f>
        <v>0</v>
      </c>
      <c r="BH43" s="131">
        <f t="shared" ca="1" si="73"/>
        <v>0</v>
      </c>
      <c r="BI43" s="2">
        <f ca="1">SUM(BH43:BH$124)*SSf</f>
        <v>0</v>
      </c>
      <c r="BJ43" s="70">
        <f t="shared" ca="1" si="74"/>
        <v>99999.012970709329</v>
      </c>
      <c r="BK43" s="2">
        <f t="shared" ref="BK43" ca="1" si="787">IFERROR(VLOOKUP($S43,qx_table,MATCH(BK$11,qx_title,0)+sexB),0)</f>
        <v>0</v>
      </c>
      <c r="BL43" s="131">
        <f t="shared" ca="1" si="76"/>
        <v>0</v>
      </c>
      <c r="BM43" s="131">
        <f ca="1">SUM(BL43:BL$124)*SSg</f>
        <v>0</v>
      </c>
      <c r="BN43" s="70">
        <f t="shared" ca="1" si="77"/>
        <v>99999.012970709329</v>
      </c>
      <c r="BO43" s="2">
        <f t="shared" ref="BO43" ca="1" si="788">IFERROR(VLOOKUP($S43,qx_table,MATCH(BO$11,qx_title,0)+sexB),0)</f>
        <v>0</v>
      </c>
      <c r="BP43" s="131">
        <f t="shared" ca="1" si="79"/>
        <v>0</v>
      </c>
      <c r="BQ43" s="131">
        <f ca="1">SUM(BP43:BP$124)*SSh</f>
        <v>0</v>
      </c>
      <c r="BR43" s="70">
        <f t="shared" ca="1" si="80"/>
        <v>99999.012970709329</v>
      </c>
      <c r="BS43" s="2">
        <f t="shared" ref="BS43" ca="1" si="789">IFERROR(VLOOKUP($S43,qx_table,MATCH(BS$11,qx_title,0)+sexB),0)*IF(R43=0,MCi,1)</f>
        <v>0</v>
      </c>
      <c r="BT43" s="131">
        <f t="shared" ca="1" si="82"/>
        <v>0</v>
      </c>
      <c r="BU43" s="131">
        <f ca="1">SUM(BT43:BT$124)*SSi</f>
        <v>0</v>
      </c>
      <c r="BV43" s="70">
        <f t="shared" ca="1" si="83"/>
        <v>99999.012970709329</v>
      </c>
      <c r="BW43" s="2">
        <f t="shared" ref="BW43" ca="1" si="790">IFERROR(VLOOKUP($S43,qx_table,MATCH(BW$11,qx_title,0)+sexB),0)</f>
        <v>0</v>
      </c>
      <c r="BX43" s="131">
        <f t="shared" ca="1" si="85"/>
        <v>0</v>
      </c>
      <c r="BY43" s="131">
        <f ca="1">SUM(BX43:BX$124)*SSj</f>
        <v>0</v>
      </c>
      <c r="BZ43" s="70">
        <f t="shared" ca="1" si="86"/>
        <v>99999.012970709329</v>
      </c>
      <c r="CA43" s="2">
        <f t="shared" ref="CA43" ca="1" si="791">IFERROR(VLOOKUP($S43,qx_table,MATCH(CA$11,qx_title,0)+sexB),0)</f>
        <v>0</v>
      </c>
      <c r="CB43" s="131">
        <f t="shared" ca="1" si="88"/>
        <v>0</v>
      </c>
      <c r="CC43" s="131">
        <f ca="1">SUM(CB43:CB$124)*SSk</f>
        <v>0</v>
      </c>
      <c r="CD43" s="8">
        <f t="shared" ca="1" si="89"/>
        <v>99999.012970709329</v>
      </c>
      <c r="CE43" s="2">
        <f t="shared" ref="CE43" ca="1" si="792">IFERROR(VLOOKUP($S43,qx_table,MATCH(CE$11,qx_title,0)+sexB),0)</f>
        <v>0</v>
      </c>
      <c r="CF43" s="131">
        <f t="shared" ca="1" si="91"/>
        <v>0</v>
      </c>
      <c r="CG43" s="131">
        <f ca="1">SUM(CF43:CF$124)*SSl</f>
        <v>0</v>
      </c>
      <c r="CH43" s="101">
        <f t="shared" ca="1" si="92"/>
        <v>0</v>
      </c>
      <c r="CI43" s="154">
        <f t="shared" ca="1" si="37"/>
        <v>0</v>
      </c>
      <c r="CJ43" s="32">
        <f t="shared" ref="CJ43" ca="1" si="793">+MAX(VLOOKUP(xB+$R43,기수표B,$AH$1)-VLOOKUP(xB+mB,기수표B,$AH$1),0)</f>
        <v>0</v>
      </c>
      <c r="CK43" s="32">
        <f t="shared" ref="CK43" ca="1" si="794">+MAX(VLOOKUP(xB+$R43,기수표B,$AH$1)-VLOOKUP(xB+mB,기수표B,$AH$1)-11/24*(VLOOKUP(xB+$R43,기수표B,$AG$1)-VLOOKUP(xB+mB,기수표B,$AG$1)),0)</f>
        <v>0</v>
      </c>
      <c r="CL43" s="32">
        <f t="shared" ref="CL43" ca="1" si="795">+MAX(VLOOKUP(xB+$R43,기수표B,$AA$1)-VLOOKUP(xB+mB,기수표B,$AA$1),0)</f>
        <v>0</v>
      </c>
      <c r="CM43" s="32">
        <f t="shared" ref="CM43" ca="1" si="796">+MAX(VLOOKUP(xB+$R43,기수표B,$AA$1)-VLOOKUP(xB+mB,기수표B,$AA$1)-11/24*(VLOOKUP(xB+$R43,기수표B,$AA$1)-VLOOKUP(xB+mB,기수표B,$AA$1)),0)</f>
        <v>0</v>
      </c>
      <c r="CN43" s="32">
        <f t="shared" si="41"/>
        <v>0</v>
      </c>
      <c r="CO43" s="32">
        <f t="shared" ca="1" si="42"/>
        <v>0</v>
      </c>
      <c r="CP43" s="259">
        <f t="shared" ca="1" si="43"/>
        <v>0</v>
      </c>
      <c r="CQ43" s="259">
        <f t="shared" ca="1" si="44"/>
        <v>0</v>
      </c>
      <c r="CR43" s="259" t="e">
        <f t="shared" ca="1" si="45"/>
        <v>#DIV/0!</v>
      </c>
      <c r="CS43" s="31">
        <f t="shared" ref="CS43" si="797">+MIN(mB,7)</f>
        <v>5</v>
      </c>
      <c r="CU43" s="13">
        <v>31</v>
      </c>
      <c r="CV43" s="477">
        <f t="shared" ca="1" si="47"/>
        <v>420</v>
      </c>
      <c r="CW43" s="477" t="e">
        <f t="shared" ca="1" si="48"/>
        <v>#DIV/0!</v>
      </c>
      <c r="CX43" s="477">
        <f t="shared" ca="1" si="49"/>
        <v>0</v>
      </c>
      <c r="CY43" s="478">
        <f t="shared" ca="1" si="98"/>
        <v>0</v>
      </c>
    </row>
    <row r="44" spans="1:103">
      <c r="A44" s="59"/>
      <c r="C44" s="272"/>
      <c r="D44" s="60"/>
      <c r="E44" s="61"/>
      <c r="G44" s="13" t="s">
        <v>30</v>
      </c>
      <c r="I44" s="24"/>
      <c r="J44" s="24" t="str">
        <f>+IF(sexB=1," 남자"," 여자")&amp;", "&amp;xB&amp;"세"</f>
        <v xml:space="preserve"> 남자, 8세</v>
      </c>
      <c r="N44" s="5">
        <f t="shared" si="99"/>
        <v>32</v>
      </c>
      <c r="O44" s="2">
        <f t="shared" ref="O44" ca="1" si="798">+(1+iB)^-N44</f>
        <v>0.49065233079685422</v>
      </c>
      <c r="P44" s="2">
        <f t="shared" ref="P44" ca="1" si="799">+(1+iB)^-(N44+0.5)</f>
        <v>0.48522392654456997</v>
      </c>
      <c r="Q44" s="91"/>
      <c r="R44" s="20">
        <f t="shared" si="102"/>
        <v>32</v>
      </c>
      <c r="S44" s="20" t="str">
        <f t="shared" ref="S44" si="800">+IF(xB+R44&lt;=xB+nB,xB+R44,"")</f>
        <v/>
      </c>
      <c r="T44" s="2">
        <f t="shared" ref="T44:U44" ca="1" si="801">IFERROR(VLOOKUP($S44,qx_table,MATCH(T$11,qx_title,0)+sexB),0)</f>
        <v>0</v>
      </c>
      <c r="U44" s="2">
        <f t="shared" ca="1" si="801"/>
        <v>0</v>
      </c>
      <c r="V44" s="300">
        <f>IF(JRB=2,0,IF(R44&gt;=mB-1,_xlfn.XLOOKUP(R44-mB,해지율!#REF!,해지율!#REF!,,1),_xlfn.XLOOKUP(R44,해지율!#REF!,해지율!#REF!,,-1)))</f>
        <v>0</v>
      </c>
      <c r="W44" s="8">
        <f t="shared" ref="W44" si="802">IF(R44=0,100000,IF(R44&gt;nB,0,W43*(1-X43)*(1-Y43)))</f>
        <v>0</v>
      </c>
      <c r="X44" s="10">
        <f t="shared" ca="1" si="19"/>
        <v>0</v>
      </c>
      <c r="Y44" s="10">
        <f t="shared" ca="1" si="20"/>
        <v>0</v>
      </c>
      <c r="Z44" s="8">
        <f t="shared" ca="1" si="106"/>
        <v>0</v>
      </c>
      <c r="AA44" s="8">
        <f ca="1">+SUM(Z44:Z$124)</f>
        <v>0</v>
      </c>
      <c r="AB44" s="8">
        <f t="shared" ca="1" si="21"/>
        <v>0</v>
      </c>
      <c r="AC44" s="209">
        <f ca="1">+SUM(AB44:AB$124)*SSSM</f>
        <v>0</v>
      </c>
      <c r="AD44" s="209">
        <f t="shared" ref="AD44" si="803">IF(R44&gt;nB,0,AD43*(1-X43)*(1-Y43)*(1-AE43)*(1-AF43))</f>
        <v>0</v>
      </c>
      <c r="AE44" s="92">
        <f t="shared" ca="1" si="56"/>
        <v>0</v>
      </c>
      <c r="AF44" s="92">
        <f t="shared" ca="1" si="22"/>
        <v>0</v>
      </c>
      <c r="AG44" s="664">
        <f t="shared" ca="1" si="23"/>
        <v>0</v>
      </c>
      <c r="AH44" s="5">
        <f ca="1">+SUM(AG44:AG$124)</f>
        <v>0</v>
      </c>
      <c r="AI44" s="70">
        <f t="shared" ca="1" si="24"/>
        <v>0</v>
      </c>
      <c r="AJ44" s="208">
        <f ca="1">+SUM(AB44:AB$124)*SS50J</f>
        <v>0</v>
      </c>
      <c r="AK44" s="209">
        <f t="shared" ca="1" si="108"/>
        <v>99999.012970709329</v>
      </c>
      <c r="AL44" s="2">
        <f t="shared" ref="AL44" ca="1" si="804">IFERROR(VLOOKUP($S44,qx_table,MATCH(AL$11,qx_title,0)+sexB),0)</f>
        <v>0</v>
      </c>
      <c r="AM44" s="131">
        <f t="shared" ca="1" si="110"/>
        <v>49064.748791463389</v>
      </c>
      <c r="AN44" s="129">
        <f t="shared" ca="1" si="58"/>
        <v>0</v>
      </c>
      <c r="AO44" s="129">
        <f ca="1">SUM(AN44:AN$124)*SSa</f>
        <v>0</v>
      </c>
      <c r="AP44" s="70">
        <f t="shared" ca="1" si="59"/>
        <v>99999.012970709329</v>
      </c>
      <c r="AQ44" s="2">
        <f t="shared" ref="AQ44" ca="1" si="805">IFERROR(VLOOKUP($S44,qx_table,MATCH(AQ$11,qx_title,0)+sexB),0)</f>
        <v>0</v>
      </c>
      <c r="AR44" s="127">
        <f t="shared" ca="1" si="61"/>
        <v>0</v>
      </c>
      <c r="AS44" s="127">
        <f ca="1">SUM(AR44:AR$124)*SSb</f>
        <v>0</v>
      </c>
      <c r="AT44" s="70">
        <f t="shared" ca="1" si="62"/>
        <v>99999.012970709329</v>
      </c>
      <c r="AU44" s="2">
        <f t="shared" ref="AU44" ca="1" si="806">IFERROR(VLOOKUP($S44,qx_table,MATCH(AU$11,qx_title,0)+sexB),0)</f>
        <v>0</v>
      </c>
      <c r="AV44" s="268">
        <f t="shared" ca="1" si="64"/>
        <v>0</v>
      </c>
      <c r="AW44" s="131">
        <f ca="1">SUM(AV44:AV$124)*SSc</f>
        <v>0</v>
      </c>
      <c r="AX44" s="70">
        <f t="shared" ca="1" si="65"/>
        <v>99999.012970709329</v>
      </c>
      <c r="AY44" s="2">
        <f t="shared" ref="AY44" ca="1" si="807">IFERROR(VLOOKUP($S44,qx_table,MATCH(AY$11,qx_title,0)+sexB),0)</f>
        <v>0</v>
      </c>
      <c r="AZ44" s="268">
        <f t="shared" ref="AZ44:AZ75" ca="1" si="808">AX44*AY44*(1-CHOOSE(JRB,1,0)*$V44/2)*$P44</f>
        <v>0</v>
      </c>
      <c r="BA44" s="129">
        <f ca="1">SUM(AZ44:AZ$124)*SSd</f>
        <v>0</v>
      </c>
      <c r="BB44" s="70">
        <f t="shared" ca="1" si="68"/>
        <v>99999.012970709329</v>
      </c>
      <c r="BC44" s="257">
        <f t="shared" ref="BC44" ca="1" si="809">IFERROR(VLOOKUP($S44,qx_table,MATCH(BC$11,qx_title,0)+sexB),0)</f>
        <v>0</v>
      </c>
      <c r="BD44" s="268">
        <f t="shared" ca="1" si="70"/>
        <v>0</v>
      </c>
      <c r="BE44" s="131">
        <f ca="1">SUM(BD44:BD$124)*SSe</f>
        <v>0</v>
      </c>
      <c r="BF44" s="70">
        <f t="shared" ca="1" si="71"/>
        <v>99999.012970709329</v>
      </c>
      <c r="BG44" s="2">
        <f t="shared" ref="BG44" ca="1" si="810">IFERROR(VLOOKUP($S44,qx_table,MATCH(BG$11,qx_title,0)+sexB),0)</f>
        <v>0</v>
      </c>
      <c r="BH44" s="131">
        <f t="shared" ca="1" si="73"/>
        <v>0</v>
      </c>
      <c r="BI44" s="2">
        <f ca="1">SUM(BH44:BH$124)*SSf</f>
        <v>0</v>
      </c>
      <c r="BJ44" s="70">
        <f t="shared" ca="1" si="74"/>
        <v>99999.012970709329</v>
      </c>
      <c r="BK44" s="2">
        <f t="shared" ref="BK44" ca="1" si="811">IFERROR(VLOOKUP($S44,qx_table,MATCH(BK$11,qx_title,0)+sexB),0)</f>
        <v>0</v>
      </c>
      <c r="BL44" s="131">
        <f t="shared" ca="1" si="76"/>
        <v>0</v>
      </c>
      <c r="BM44" s="131">
        <f ca="1">SUM(BL44:BL$124)*SSg</f>
        <v>0</v>
      </c>
      <c r="BN44" s="70">
        <f t="shared" ca="1" si="77"/>
        <v>99999.012970709329</v>
      </c>
      <c r="BO44" s="2">
        <f t="shared" ref="BO44" ca="1" si="812">IFERROR(VLOOKUP($S44,qx_table,MATCH(BO$11,qx_title,0)+sexB),0)</f>
        <v>0</v>
      </c>
      <c r="BP44" s="131">
        <f t="shared" ca="1" si="79"/>
        <v>0</v>
      </c>
      <c r="BQ44" s="131">
        <f ca="1">SUM(BP44:BP$124)*SSh</f>
        <v>0</v>
      </c>
      <c r="BR44" s="70">
        <f t="shared" ca="1" si="80"/>
        <v>99999.012970709329</v>
      </c>
      <c r="BS44" s="2">
        <f t="shared" ref="BS44" ca="1" si="813">IFERROR(VLOOKUP($S44,qx_table,MATCH(BS$11,qx_title,0)+sexB),0)*IF(R44=0,MCi,1)</f>
        <v>0</v>
      </c>
      <c r="BT44" s="131">
        <f t="shared" ca="1" si="82"/>
        <v>0</v>
      </c>
      <c r="BU44" s="131">
        <f ca="1">SUM(BT44:BT$124)*SSi</f>
        <v>0</v>
      </c>
      <c r="BV44" s="70">
        <f t="shared" ca="1" si="83"/>
        <v>99999.012970709329</v>
      </c>
      <c r="BW44" s="2">
        <f t="shared" ref="BW44" ca="1" si="814">IFERROR(VLOOKUP($S44,qx_table,MATCH(BW$11,qx_title,0)+sexB),0)</f>
        <v>0</v>
      </c>
      <c r="BX44" s="131">
        <f t="shared" ca="1" si="85"/>
        <v>0</v>
      </c>
      <c r="BY44" s="131">
        <f ca="1">SUM(BX44:BX$124)*SSj</f>
        <v>0</v>
      </c>
      <c r="BZ44" s="70">
        <f t="shared" ca="1" si="86"/>
        <v>99999.012970709329</v>
      </c>
      <c r="CA44" s="2">
        <f t="shared" ref="CA44" ca="1" si="815">IFERROR(VLOOKUP($S44,qx_table,MATCH(CA$11,qx_title,0)+sexB),0)</f>
        <v>0</v>
      </c>
      <c r="CB44" s="131">
        <f t="shared" ca="1" si="88"/>
        <v>0</v>
      </c>
      <c r="CC44" s="131">
        <f ca="1">SUM(CB44:CB$124)*SSk</f>
        <v>0</v>
      </c>
      <c r="CD44" s="8">
        <f t="shared" ca="1" si="89"/>
        <v>99999.012970709329</v>
      </c>
      <c r="CE44" s="2">
        <f t="shared" ref="CE44" ca="1" si="816">IFERROR(VLOOKUP($S44,qx_table,MATCH(CE$11,qx_title,0)+sexB),0)</f>
        <v>0</v>
      </c>
      <c r="CF44" s="131">
        <f t="shared" ca="1" si="91"/>
        <v>0</v>
      </c>
      <c r="CG44" s="131">
        <f ca="1">SUM(CF44:CF$124)*SSl</f>
        <v>0</v>
      </c>
      <c r="CH44" s="101">
        <f t="shared" ca="1" si="92"/>
        <v>0</v>
      </c>
      <c r="CI44" s="154">
        <f t="shared" ref="CI44:CI75" ca="1" si="817">MAX((VLOOKUP(xB+R44,기수표B,$CH$1)-VLOOKUP(xB+nB,기수표B,$CH$1)),0)</f>
        <v>0</v>
      </c>
      <c r="CJ44" s="32">
        <f t="shared" ref="CJ44" ca="1" si="818">+MAX(VLOOKUP(xB+$R44,기수표B,$AH$1)-VLOOKUP(xB+mB,기수표B,$AH$1),0)</f>
        <v>0</v>
      </c>
      <c r="CK44" s="32">
        <f t="shared" ref="CK44" ca="1" si="819">+MAX(VLOOKUP(xB+$R44,기수표B,$AH$1)-VLOOKUP(xB+mB,기수표B,$AH$1)-11/24*(VLOOKUP(xB+$R44,기수표B,$AG$1)-VLOOKUP(xB+mB,기수표B,$AG$1)),0)</f>
        <v>0</v>
      </c>
      <c r="CL44" s="32">
        <f t="shared" ref="CL44" ca="1" si="820">+MAX(VLOOKUP(xB+$R44,기수표B,$AA$1)-VLOOKUP(xB+mB,기수표B,$AA$1),0)</f>
        <v>0</v>
      </c>
      <c r="CM44" s="32">
        <f t="shared" ref="CM44" ca="1" si="821">+MAX(VLOOKUP(xB+$R44,기수표B,$AA$1)-VLOOKUP(xB+mB,기수표B,$AA$1)-11/24*(VLOOKUP(xB+$R44,기수표B,$AA$1)-VLOOKUP(xB+mB,기수표B,$AA$1)),0)</f>
        <v>0</v>
      </c>
      <c r="CN44" s="32">
        <f t="shared" ref="CN44:CN75" si="822">IF(R44&gt;nB,0,VLOOKUP(xB+MAX($R44,mB),기수표B,$AA$1)-VLOOKUP(xB+nB,기수표B,$AA$1))</f>
        <v>0</v>
      </c>
      <c r="CO44" s="32">
        <f t="shared" ref="CO44:CO75" ca="1" si="823">IF(JRB=1,mmB*H$25*$CK44,H$35*$CJ44)</f>
        <v>0</v>
      </c>
      <c r="CP44" s="259">
        <f t="shared" ref="CP44:CP75" ca="1" si="824">ROUND(IF($R44&gt;nB,0,$CR44-MAX($CS44-$R44,0)/$CS44*$C$31),roundB)</f>
        <v>0</v>
      </c>
      <c r="CQ44" s="259">
        <f t="shared" ref="CQ44:CQ75" ca="1" si="825">+IF(JRB=1,CP44,MAX(0,ROUND(IF($R44&gt;nB,0,CR44-MAX($CS44-$R44,0)/$CS44*$C$33),round)))</f>
        <v>0</v>
      </c>
      <c r="CR44" s="259" t="e">
        <f t="shared" ref="CR44:CR75" ca="1" si="826">(CI44+BETAD_SB*$CN44-CO44)/Z44</f>
        <v>#DIV/0!</v>
      </c>
      <c r="CS44" s="31">
        <f t="shared" ref="CS44" si="827">+MIN(mB,7)</f>
        <v>5</v>
      </c>
      <c r="CU44" s="13">
        <v>32</v>
      </c>
      <c r="CV44" s="477">
        <f t="shared" ref="CV44:CV75" ca="1" si="828">$CW$8*12*MIN(CU44,mB)</f>
        <v>420</v>
      </c>
      <c r="CW44" s="477" t="e">
        <f t="shared" ref="CW44:CW75" ca="1" si="829">ROUND(CR44*S,0)</f>
        <v>#DIV/0!</v>
      </c>
      <c r="CX44" s="477">
        <f t="shared" ref="CX44:CX75" ca="1" si="830">MAX(0,ROUND(CP44*S,0))</f>
        <v>0</v>
      </c>
      <c r="CY44" s="478">
        <f t="shared" ca="1" si="98"/>
        <v>0</v>
      </c>
    </row>
    <row r="45" spans="1:103">
      <c r="G45" s="51" t="s">
        <v>31</v>
      </c>
      <c r="H45" s="52"/>
      <c r="I45" s="25">
        <f ca="1">+H29*SB</f>
        <v>7</v>
      </c>
      <c r="J45" s="26">
        <f t="shared" ref="J45:J52" ca="1" si="831">+I45/$I$45</f>
        <v>1</v>
      </c>
      <c r="N45" s="5">
        <f t="shared" si="99"/>
        <v>33</v>
      </c>
      <c r="O45" s="2">
        <f t="shared" ref="O45" ca="1" si="832">+(1+iB)^-N45</f>
        <v>0.47985558024142216</v>
      </c>
      <c r="P45" s="2">
        <f t="shared" ref="P45" ca="1" si="833">+(1+iB)^-(N45+0.5)</f>
        <v>0.47454662742745235</v>
      </c>
      <c r="Q45" s="91"/>
      <c r="R45" s="20">
        <f t="shared" si="102"/>
        <v>33</v>
      </c>
      <c r="S45" s="20" t="str">
        <f t="shared" ref="S45" si="834">+IF(xB+R45&lt;=xB+nB,xB+R45,"")</f>
        <v/>
      </c>
      <c r="T45" s="2">
        <f t="shared" ref="T45:U45" ca="1" si="835">IFERROR(VLOOKUP($S45,qx_table,MATCH(T$11,qx_title,0)+sexB),0)</f>
        <v>0</v>
      </c>
      <c r="U45" s="2">
        <f t="shared" ca="1" si="835"/>
        <v>0</v>
      </c>
      <c r="V45" s="300">
        <f>IF(JRB=2,0,IF(R45&gt;=mB-1,_xlfn.XLOOKUP(R45-mB,해지율!#REF!,해지율!#REF!,,1),_xlfn.XLOOKUP(R45,해지율!#REF!,해지율!#REF!,,-1)))</f>
        <v>0</v>
      </c>
      <c r="W45" s="8">
        <f t="shared" ref="W45" si="836">IF(R45=0,100000,IF(R45&gt;nB,0,W44*(1-X44)*(1-Y44)))</f>
        <v>0</v>
      </c>
      <c r="X45" s="10">
        <f t="shared" ca="1" si="19"/>
        <v>0</v>
      </c>
      <c r="Y45" s="10">
        <f t="shared" ca="1" si="20"/>
        <v>0</v>
      </c>
      <c r="Z45" s="8">
        <f t="shared" ca="1" si="106"/>
        <v>0</v>
      </c>
      <c r="AA45" s="8">
        <f ca="1">+SUM(Z45:Z$124)</f>
        <v>0</v>
      </c>
      <c r="AB45" s="8">
        <f t="shared" ca="1" si="21"/>
        <v>0</v>
      </c>
      <c r="AC45" s="209">
        <f ca="1">+SUM(AB45:AB$124)*SSSM</f>
        <v>0</v>
      </c>
      <c r="AD45" s="209">
        <f t="shared" ref="AD45" si="837">IF(R45&gt;nB,0,AD44*(1-X44)*(1-Y44)*(1-AE44)*(1-AF44))</f>
        <v>0</v>
      </c>
      <c r="AE45" s="92">
        <f t="shared" ca="1" si="56"/>
        <v>0</v>
      </c>
      <c r="AF45" s="92">
        <f t="shared" ca="1" si="22"/>
        <v>0</v>
      </c>
      <c r="AG45" s="664">
        <f t="shared" ca="1" si="23"/>
        <v>0</v>
      </c>
      <c r="AH45" s="5">
        <f ca="1">+SUM(AG45:AG$124)</f>
        <v>0</v>
      </c>
      <c r="AI45" s="70">
        <f t="shared" ca="1" si="24"/>
        <v>0</v>
      </c>
      <c r="AJ45" s="208">
        <f ca="1">+SUM(AB45:AB$124)*SS50J</f>
        <v>0</v>
      </c>
      <c r="AK45" s="5">
        <f t="shared" ca="1" si="108"/>
        <v>99999.012970709329</v>
      </c>
      <c r="AL45" s="2">
        <f t="shared" ref="AL45" ca="1" si="838">IFERROR(VLOOKUP($S45,qx_table,MATCH(AL$11,qx_title,0)+sexB),0)</f>
        <v>0</v>
      </c>
      <c r="AM45" s="131">
        <f t="shared" ca="1" si="110"/>
        <v>47985.084392629229</v>
      </c>
      <c r="AN45" s="129">
        <f t="shared" ref="AN45:AN76" ca="1" si="839">AK45*AL45*(1-CHOOSE(JRB,1,0)*$V45/2)*$P45</f>
        <v>0</v>
      </c>
      <c r="AO45" s="129">
        <f ca="1">SUM(AN45:AN$124)*SSa</f>
        <v>0</v>
      </c>
      <c r="AP45" s="70">
        <f t="shared" ca="1" si="59"/>
        <v>99999.012970709329</v>
      </c>
      <c r="AQ45" s="2">
        <f t="shared" ref="AQ45" ca="1" si="840">IFERROR(VLOOKUP($S45,qx_table,MATCH(AQ$11,qx_title,0)+sexB),0)</f>
        <v>0</v>
      </c>
      <c r="AR45" s="127">
        <f t="shared" ref="AR45:AR76" ca="1" si="841">AP45*AQ45*(1-CHOOSE(JRB,1,0)*$V45/2)*$P45</f>
        <v>0</v>
      </c>
      <c r="AS45" s="127">
        <f ca="1">SUM(AR45:AR$124)*SSb</f>
        <v>0</v>
      </c>
      <c r="AT45" s="70">
        <f t="shared" ca="1" si="62"/>
        <v>99999.012970709329</v>
      </c>
      <c r="AU45" s="2">
        <f t="shared" ref="AU45" ca="1" si="842">IFERROR(VLOOKUP($S45,qx_table,MATCH(AU$11,qx_title,0)+sexB),0)</f>
        <v>0</v>
      </c>
      <c r="AV45" s="268">
        <f t="shared" ref="AV45:AV76" ca="1" si="843">AT45*AU45*(1-CHOOSE(JRB,1,0)*$V45/2)*$P45</f>
        <v>0</v>
      </c>
      <c r="AW45" s="131">
        <f ca="1">SUM(AV45:AV$124)*SSc</f>
        <v>0</v>
      </c>
      <c r="AX45" s="70">
        <f t="shared" ca="1" si="65"/>
        <v>99999.012970709329</v>
      </c>
      <c r="AY45" s="2">
        <f t="shared" ref="AY45" ca="1" si="844">IFERROR(VLOOKUP($S45,qx_table,MATCH(AY$11,qx_title,0)+sexB),0)</f>
        <v>0</v>
      </c>
      <c r="AZ45" s="268">
        <f t="shared" ca="1" si="808"/>
        <v>0</v>
      </c>
      <c r="BA45" s="129">
        <f ca="1">SUM(AZ45:AZ$124)*SSd</f>
        <v>0</v>
      </c>
      <c r="BB45" s="70">
        <f t="shared" ca="1" si="68"/>
        <v>99999.012970709329</v>
      </c>
      <c r="BC45" s="257">
        <f t="shared" ref="BC45" ca="1" si="845">IFERROR(VLOOKUP($S45,qx_table,MATCH(BC$11,qx_title,0)+sexB),0)</f>
        <v>0</v>
      </c>
      <c r="BD45" s="268">
        <f t="shared" ref="BD45:BD76" ca="1" si="846">BB45*BC45*(1-CHOOSE(JRB,1,0)*$V45/2)*$P45</f>
        <v>0</v>
      </c>
      <c r="BE45" s="131">
        <f ca="1">SUM(BD45:BD$124)*SSe</f>
        <v>0</v>
      </c>
      <c r="BF45" s="70">
        <f t="shared" ca="1" si="71"/>
        <v>99999.012970709329</v>
      </c>
      <c r="BG45" s="2">
        <f t="shared" ref="BG45" ca="1" si="847">IFERROR(VLOOKUP($S45,qx_table,MATCH(BG$11,qx_title,0)+sexB),0)</f>
        <v>0</v>
      </c>
      <c r="BH45" s="131">
        <f t="shared" ref="BH45:BH76" ca="1" si="848">BF45*BG45*(1-CHOOSE(JRB,1,0)*$V45/2)*$P45</f>
        <v>0</v>
      </c>
      <c r="BI45" s="2">
        <f ca="1">SUM(BH45:BH$124)*SSf</f>
        <v>0</v>
      </c>
      <c r="BJ45" s="70">
        <f t="shared" ca="1" si="74"/>
        <v>99999.012970709329</v>
      </c>
      <c r="BK45" s="2">
        <f t="shared" ref="BK45" ca="1" si="849">IFERROR(VLOOKUP($S45,qx_table,MATCH(BK$11,qx_title,0)+sexB),0)</f>
        <v>0</v>
      </c>
      <c r="BL45" s="131">
        <f t="shared" ref="BL45:BL76" ca="1" si="850">BJ45*BK45*(1-CHOOSE(JRB,1,0)*$V45/2)*$P45</f>
        <v>0</v>
      </c>
      <c r="BM45" s="131">
        <f ca="1">SUM(BL45:BL$124)*SSg</f>
        <v>0</v>
      </c>
      <c r="BN45" s="70">
        <f t="shared" ca="1" si="77"/>
        <v>99999.012970709329</v>
      </c>
      <c r="BO45" s="2">
        <f t="shared" ref="BO45" ca="1" si="851">IFERROR(VLOOKUP($S45,qx_table,MATCH(BO$11,qx_title,0)+sexB),0)</f>
        <v>0</v>
      </c>
      <c r="BP45" s="131">
        <f t="shared" ref="BP45:BP76" ca="1" si="852">BN45*BO45*(1-CHOOSE(JRB,1,0)*$V45/2)*$P45</f>
        <v>0</v>
      </c>
      <c r="BQ45" s="131">
        <f ca="1">SUM(BP45:BP$124)*SSh</f>
        <v>0</v>
      </c>
      <c r="BR45" s="70">
        <f t="shared" ca="1" si="80"/>
        <v>99999.012970709329</v>
      </c>
      <c r="BS45" s="2">
        <f t="shared" ref="BS45" ca="1" si="853">IFERROR(VLOOKUP($S45,qx_table,MATCH(BS$11,qx_title,0)+sexB),0)*IF(R45=0,MCi,1)</f>
        <v>0</v>
      </c>
      <c r="BT45" s="131">
        <f t="shared" ref="BT45:BT76" ca="1" si="854">BR45*BS45*(1-CHOOSE(JRB,1,0)*$V45/2)*$P45</f>
        <v>0</v>
      </c>
      <c r="BU45" s="131">
        <f ca="1">SUM(BT45:BT$124)*SSi</f>
        <v>0</v>
      </c>
      <c r="BV45" s="70">
        <f t="shared" ca="1" si="83"/>
        <v>99999.012970709329</v>
      </c>
      <c r="BW45" s="2">
        <f t="shared" ref="BW45" ca="1" si="855">IFERROR(VLOOKUP($S45,qx_table,MATCH(BW$11,qx_title,0)+sexB),0)</f>
        <v>0</v>
      </c>
      <c r="BX45" s="131">
        <f t="shared" ref="BX45:BX76" ca="1" si="856">BV45*BW45*(1-CHOOSE(JRB,1,0)*$V45/2)*$P45</f>
        <v>0</v>
      </c>
      <c r="BY45" s="131">
        <f ca="1">SUM(BX45:BX$124)*SSj</f>
        <v>0</v>
      </c>
      <c r="BZ45" s="70">
        <f t="shared" ca="1" si="86"/>
        <v>99999.012970709329</v>
      </c>
      <c r="CA45" s="2">
        <f t="shared" ref="CA45" ca="1" si="857">IFERROR(VLOOKUP($S45,qx_table,MATCH(CA$11,qx_title,0)+sexB),0)</f>
        <v>0</v>
      </c>
      <c r="CB45" s="131">
        <f t="shared" ref="CB45:CB76" ca="1" si="858">BZ45*CA45*(1-CHOOSE(JRB,1,0)*$V45/2)*$P45</f>
        <v>0</v>
      </c>
      <c r="CC45" s="131">
        <f ca="1">SUM(CB45:CB$124)*SSk</f>
        <v>0</v>
      </c>
      <c r="CD45" s="8">
        <f t="shared" ca="1" si="89"/>
        <v>99999.012970709329</v>
      </c>
      <c r="CE45" s="2">
        <f t="shared" ref="CE45" ca="1" si="859">IFERROR(VLOOKUP($S45,qx_table,MATCH(CE$11,qx_title,0)+sexB),0)</f>
        <v>0</v>
      </c>
      <c r="CF45" s="131">
        <f t="shared" ref="CF45:CF76" ca="1" si="860">CD45*CE45*(1-CHOOSE(JRB,1,0)*$V45/2)*$P45</f>
        <v>0</v>
      </c>
      <c r="CG45" s="131">
        <f ca="1">SUM(CF45:CF$124)*SSl</f>
        <v>0</v>
      </c>
      <c r="CH45" s="101">
        <f t="shared" ca="1" si="92"/>
        <v>0</v>
      </c>
      <c r="CI45" s="154">
        <f t="shared" ca="1" si="817"/>
        <v>0</v>
      </c>
      <c r="CJ45" s="32">
        <f t="shared" ref="CJ45" ca="1" si="861">+MAX(VLOOKUP(xB+$R45,기수표B,$AH$1)-VLOOKUP(xB+mB,기수표B,$AH$1),0)</f>
        <v>0</v>
      </c>
      <c r="CK45" s="32">
        <f t="shared" ref="CK45" ca="1" si="862">+MAX(VLOOKUP(xB+$R45,기수표B,$AH$1)-VLOOKUP(xB+mB,기수표B,$AH$1)-11/24*(VLOOKUP(xB+$R45,기수표B,$AG$1)-VLOOKUP(xB+mB,기수표B,$AG$1)),0)</f>
        <v>0</v>
      </c>
      <c r="CL45" s="32">
        <f t="shared" ref="CL45" ca="1" si="863">+MAX(VLOOKUP(xB+$R45,기수표B,$AA$1)-VLOOKUP(xB+mB,기수표B,$AA$1),0)</f>
        <v>0</v>
      </c>
      <c r="CM45" s="32">
        <f t="shared" ref="CM45" ca="1" si="864">+MAX(VLOOKUP(xB+$R45,기수표B,$AA$1)-VLOOKUP(xB+mB,기수표B,$AA$1)-11/24*(VLOOKUP(xB+$R45,기수표B,$AA$1)-VLOOKUP(xB+mB,기수표B,$AA$1)),0)</f>
        <v>0</v>
      </c>
      <c r="CN45" s="32">
        <f t="shared" si="822"/>
        <v>0</v>
      </c>
      <c r="CO45" s="32">
        <f t="shared" ca="1" si="823"/>
        <v>0</v>
      </c>
      <c r="CP45" s="259">
        <f t="shared" ca="1" si="824"/>
        <v>0</v>
      </c>
      <c r="CQ45" s="259">
        <f t="shared" ca="1" si="825"/>
        <v>0</v>
      </c>
      <c r="CR45" s="259" t="e">
        <f t="shared" ca="1" si="826"/>
        <v>#DIV/0!</v>
      </c>
      <c r="CS45" s="31">
        <f t="shared" ref="CS45" si="865">+MIN(mB,7)</f>
        <v>5</v>
      </c>
      <c r="CU45" s="13">
        <v>33</v>
      </c>
      <c r="CV45" s="477">
        <f t="shared" ca="1" si="828"/>
        <v>420</v>
      </c>
      <c r="CW45" s="477" t="e">
        <f t="shared" ca="1" si="829"/>
        <v>#DIV/0!</v>
      </c>
      <c r="CX45" s="477">
        <f t="shared" ca="1" si="830"/>
        <v>0</v>
      </c>
      <c r="CY45" s="478">
        <f t="shared" ca="1" si="98"/>
        <v>0</v>
      </c>
    </row>
    <row r="46" spans="1:103">
      <c r="G46" s="74" t="s">
        <v>32</v>
      </c>
      <c r="H46" s="75"/>
      <c r="I46" s="28">
        <f ca="1">+ROUND($H$24,roundB)*SB</f>
        <v>1</v>
      </c>
      <c r="J46" s="26">
        <f t="shared" ca="1" si="831"/>
        <v>0.14285714285714285</v>
      </c>
      <c r="N46" s="5">
        <f t="shared" si="99"/>
        <v>34</v>
      </c>
      <c r="O46" s="2">
        <f t="shared" ref="O46" ca="1" si="866">+(1+iB)^-N46</f>
        <v>0.469296410994056</v>
      </c>
      <c r="P46" s="2">
        <f t="shared" ref="P46" ca="1" si="867">+(1+iB)^-(N46+0.5)</f>
        <v>0.4641042811026429</v>
      </c>
      <c r="Q46" s="91"/>
      <c r="R46" s="20">
        <f t="shared" si="102"/>
        <v>34</v>
      </c>
      <c r="S46" s="20" t="str">
        <f t="shared" ref="S46" si="868">+IF(xB+R46&lt;=xB+nB,xB+R46,"")</f>
        <v/>
      </c>
      <c r="T46" s="2">
        <f t="shared" ref="T46:U46" ca="1" si="869">IFERROR(VLOOKUP($S46,qx_table,MATCH(T$11,qx_title,0)+sexB),0)</f>
        <v>0</v>
      </c>
      <c r="U46" s="2">
        <f t="shared" ca="1" si="869"/>
        <v>0</v>
      </c>
      <c r="V46" s="300">
        <f>IF(JRB=2,0,IF(R46&gt;=mB-1,_xlfn.XLOOKUP(R46-mB,해지율!#REF!,해지율!#REF!,,1),_xlfn.XLOOKUP(R46,해지율!#REF!,해지율!#REF!,,-1)))</f>
        <v>0</v>
      </c>
      <c r="W46" s="8">
        <f t="shared" ref="W46" si="870">IF(R46=0,100000,IF(R46&gt;nB,0,W45*(1-X45)*(1-Y45)))</f>
        <v>0</v>
      </c>
      <c r="X46" s="10">
        <f t="shared" ca="1" si="19"/>
        <v>0</v>
      </c>
      <c r="Y46" s="10">
        <f t="shared" ca="1" si="20"/>
        <v>0</v>
      </c>
      <c r="Z46" s="8">
        <f t="shared" ca="1" si="106"/>
        <v>0</v>
      </c>
      <c r="AA46" s="8">
        <f ca="1">+SUM(Z46:Z$124)</f>
        <v>0</v>
      </c>
      <c r="AB46" s="8">
        <f t="shared" ca="1" si="21"/>
        <v>0</v>
      </c>
      <c r="AC46" s="209">
        <f ca="1">+SUM(AB46:AB$124)*SSSM</f>
        <v>0</v>
      </c>
      <c r="AD46" s="209">
        <f t="shared" ref="AD46" si="871">IF(R46&gt;nB,0,AD45*(1-X45)*(1-Y45)*(1-AE45)*(1-AF45))</f>
        <v>0</v>
      </c>
      <c r="AE46" s="92">
        <f t="shared" ca="1" si="56"/>
        <v>0</v>
      </c>
      <c r="AF46" s="92">
        <f t="shared" ca="1" si="22"/>
        <v>0</v>
      </c>
      <c r="AG46" s="664">
        <f t="shared" ca="1" si="23"/>
        <v>0</v>
      </c>
      <c r="AH46" s="5">
        <f ca="1">+SUM(AG46:AG$124)</f>
        <v>0</v>
      </c>
      <c r="AI46" s="70">
        <f t="shared" ca="1" si="24"/>
        <v>0</v>
      </c>
      <c r="AJ46" s="208">
        <f ca="1">+SUM(AB46:AB$124)*SS50J</f>
        <v>0</v>
      </c>
      <c r="AK46" s="5">
        <f t="shared" ca="1" si="108"/>
        <v>99999.012970709329</v>
      </c>
      <c r="AL46" s="2">
        <f t="shared" ref="AL46" ca="1" si="872">IFERROR(VLOOKUP($S46,qx_table,MATCH(AL$11,qx_title,0)+sexB),0)</f>
        <v>0</v>
      </c>
      <c r="AM46" s="131">
        <f t="shared" ca="1" si="110"/>
        <v>46929.177890101942</v>
      </c>
      <c r="AN46" s="129">
        <f t="shared" ca="1" si="839"/>
        <v>0</v>
      </c>
      <c r="AO46" s="129">
        <f ca="1">SUM(AN46:AN$124)*SSa</f>
        <v>0</v>
      </c>
      <c r="AP46" s="70">
        <f t="shared" ca="1" si="59"/>
        <v>99999.012970709329</v>
      </c>
      <c r="AQ46" s="2">
        <f t="shared" ref="AQ46" ca="1" si="873">IFERROR(VLOOKUP($S46,qx_table,MATCH(AQ$11,qx_title,0)+sexB),0)</f>
        <v>0</v>
      </c>
      <c r="AR46" s="127">
        <f t="shared" ca="1" si="841"/>
        <v>0</v>
      </c>
      <c r="AS46" s="127">
        <f ca="1">SUM(AR46:AR$124)*SSb</f>
        <v>0</v>
      </c>
      <c r="AT46" s="70">
        <f t="shared" ca="1" si="62"/>
        <v>99999.012970709329</v>
      </c>
      <c r="AU46" s="2">
        <f t="shared" ref="AU46" ca="1" si="874">IFERROR(VLOOKUP($S46,qx_table,MATCH(AU$11,qx_title,0)+sexB),0)</f>
        <v>0</v>
      </c>
      <c r="AV46" s="268">
        <f t="shared" ca="1" si="843"/>
        <v>0</v>
      </c>
      <c r="AW46" s="131">
        <f ca="1">SUM(AV46:AV$124)*SSc</f>
        <v>0</v>
      </c>
      <c r="AX46" s="70">
        <f t="shared" ca="1" si="65"/>
        <v>99999.012970709329</v>
      </c>
      <c r="AY46" s="2">
        <f t="shared" ref="AY46" ca="1" si="875">IFERROR(VLOOKUP($S46,qx_table,MATCH(AY$11,qx_title,0)+sexB),0)</f>
        <v>0</v>
      </c>
      <c r="AZ46" s="268">
        <f t="shared" ca="1" si="808"/>
        <v>0</v>
      </c>
      <c r="BA46" s="129">
        <f ca="1">SUM(AZ46:AZ$124)*SSd</f>
        <v>0</v>
      </c>
      <c r="BB46" s="70">
        <f t="shared" ca="1" si="68"/>
        <v>99999.012970709329</v>
      </c>
      <c r="BC46" s="257">
        <f t="shared" ref="BC46" ca="1" si="876">IFERROR(VLOOKUP($S46,qx_table,MATCH(BC$11,qx_title,0)+sexB),0)</f>
        <v>0</v>
      </c>
      <c r="BD46" s="268">
        <f t="shared" ca="1" si="846"/>
        <v>0</v>
      </c>
      <c r="BE46" s="131">
        <f ca="1">SUM(BD46:BD$124)*SSe</f>
        <v>0</v>
      </c>
      <c r="BF46" s="70">
        <f t="shared" ca="1" si="71"/>
        <v>99999.012970709329</v>
      </c>
      <c r="BG46" s="2">
        <f t="shared" ref="BG46" ca="1" si="877">IFERROR(VLOOKUP($S46,qx_table,MATCH(BG$11,qx_title,0)+sexB),0)</f>
        <v>0</v>
      </c>
      <c r="BH46" s="131">
        <f t="shared" ca="1" si="848"/>
        <v>0</v>
      </c>
      <c r="BI46" s="2">
        <f ca="1">SUM(BH46:BH$124)*SSf</f>
        <v>0</v>
      </c>
      <c r="BJ46" s="70">
        <f t="shared" ca="1" si="74"/>
        <v>99999.012970709329</v>
      </c>
      <c r="BK46" s="2">
        <f t="shared" ref="BK46" ca="1" si="878">IFERROR(VLOOKUP($S46,qx_table,MATCH(BK$11,qx_title,0)+sexB),0)</f>
        <v>0</v>
      </c>
      <c r="BL46" s="131">
        <f t="shared" ca="1" si="850"/>
        <v>0</v>
      </c>
      <c r="BM46" s="131">
        <f ca="1">SUM(BL46:BL$124)*SSg</f>
        <v>0</v>
      </c>
      <c r="BN46" s="70">
        <f t="shared" ca="1" si="77"/>
        <v>99999.012970709329</v>
      </c>
      <c r="BO46" s="2">
        <f t="shared" ref="BO46" ca="1" si="879">IFERROR(VLOOKUP($S46,qx_table,MATCH(BO$11,qx_title,0)+sexB),0)</f>
        <v>0</v>
      </c>
      <c r="BP46" s="131">
        <f t="shared" ca="1" si="852"/>
        <v>0</v>
      </c>
      <c r="BQ46" s="131">
        <f ca="1">SUM(BP46:BP$124)*SSh</f>
        <v>0</v>
      </c>
      <c r="BR46" s="70">
        <f t="shared" ca="1" si="80"/>
        <v>99999.012970709329</v>
      </c>
      <c r="BS46" s="2">
        <f t="shared" ref="BS46" ca="1" si="880">IFERROR(VLOOKUP($S46,qx_table,MATCH(BS$11,qx_title,0)+sexB),0)*IF(R46=0,MCi,1)</f>
        <v>0</v>
      </c>
      <c r="BT46" s="131">
        <f t="shared" ca="1" si="854"/>
        <v>0</v>
      </c>
      <c r="BU46" s="131">
        <f ca="1">SUM(BT46:BT$124)*SSi</f>
        <v>0</v>
      </c>
      <c r="BV46" s="70">
        <f t="shared" ca="1" si="83"/>
        <v>99999.012970709329</v>
      </c>
      <c r="BW46" s="2">
        <f t="shared" ref="BW46" ca="1" si="881">IFERROR(VLOOKUP($S46,qx_table,MATCH(BW$11,qx_title,0)+sexB),0)</f>
        <v>0</v>
      </c>
      <c r="BX46" s="131">
        <f t="shared" ca="1" si="856"/>
        <v>0</v>
      </c>
      <c r="BY46" s="131">
        <f ca="1">SUM(BX46:BX$124)*SSj</f>
        <v>0</v>
      </c>
      <c r="BZ46" s="70">
        <f t="shared" ca="1" si="86"/>
        <v>99999.012970709329</v>
      </c>
      <c r="CA46" s="2">
        <f t="shared" ref="CA46" ca="1" si="882">IFERROR(VLOOKUP($S46,qx_table,MATCH(CA$11,qx_title,0)+sexB),0)</f>
        <v>0</v>
      </c>
      <c r="CB46" s="131">
        <f t="shared" ca="1" si="858"/>
        <v>0</v>
      </c>
      <c r="CC46" s="131">
        <f ca="1">SUM(CB46:CB$124)*SSk</f>
        <v>0</v>
      </c>
      <c r="CD46" s="8">
        <f t="shared" ca="1" si="89"/>
        <v>99999.012970709329</v>
      </c>
      <c r="CE46" s="2">
        <f t="shared" ref="CE46" ca="1" si="883">IFERROR(VLOOKUP($S46,qx_table,MATCH(CE$11,qx_title,0)+sexB),0)</f>
        <v>0</v>
      </c>
      <c r="CF46" s="131">
        <f t="shared" ca="1" si="860"/>
        <v>0</v>
      </c>
      <c r="CG46" s="131">
        <f ca="1">SUM(CF46:CF$124)*SSl</f>
        <v>0</v>
      </c>
      <c r="CH46" s="101">
        <f t="shared" ca="1" si="92"/>
        <v>0</v>
      </c>
      <c r="CI46" s="154">
        <f t="shared" ca="1" si="817"/>
        <v>0</v>
      </c>
      <c r="CJ46" s="32">
        <f t="shared" ref="CJ46" ca="1" si="884">+MAX(VLOOKUP(xB+$R46,기수표B,$AH$1)-VLOOKUP(xB+mB,기수표B,$AH$1),0)</f>
        <v>0</v>
      </c>
      <c r="CK46" s="32">
        <f t="shared" ref="CK46" ca="1" si="885">+MAX(VLOOKUP(xB+$R46,기수표B,$AH$1)-VLOOKUP(xB+mB,기수표B,$AH$1)-11/24*(VLOOKUP(xB+$R46,기수표B,$AG$1)-VLOOKUP(xB+mB,기수표B,$AG$1)),0)</f>
        <v>0</v>
      </c>
      <c r="CL46" s="32">
        <f t="shared" ref="CL46" ca="1" si="886">+MAX(VLOOKUP(xB+$R46,기수표B,$AA$1)-VLOOKUP(xB+mB,기수표B,$AA$1),0)</f>
        <v>0</v>
      </c>
      <c r="CM46" s="32">
        <f t="shared" ref="CM46" ca="1" si="887">+MAX(VLOOKUP(xB+$R46,기수표B,$AA$1)-VLOOKUP(xB+mB,기수표B,$AA$1)-11/24*(VLOOKUP(xB+$R46,기수표B,$AA$1)-VLOOKUP(xB+mB,기수표B,$AA$1)),0)</f>
        <v>0</v>
      </c>
      <c r="CN46" s="32">
        <f t="shared" si="822"/>
        <v>0</v>
      </c>
      <c r="CO46" s="32">
        <f t="shared" ca="1" si="823"/>
        <v>0</v>
      </c>
      <c r="CP46" s="259">
        <f t="shared" ca="1" si="824"/>
        <v>0</v>
      </c>
      <c r="CQ46" s="259">
        <f t="shared" ca="1" si="825"/>
        <v>0</v>
      </c>
      <c r="CR46" s="259" t="e">
        <f t="shared" ca="1" si="826"/>
        <v>#DIV/0!</v>
      </c>
      <c r="CS46" s="31">
        <f t="shared" ref="CS46" si="888">+MIN(mB,7)</f>
        <v>5</v>
      </c>
      <c r="CU46" s="13">
        <v>34</v>
      </c>
      <c r="CV46" s="477">
        <f t="shared" ca="1" si="828"/>
        <v>420</v>
      </c>
      <c r="CW46" s="477" t="e">
        <f t="shared" ca="1" si="829"/>
        <v>#DIV/0!</v>
      </c>
      <c r="CX46" s="477">
        <f t="shared" ca="1" si="830"/>
        <v>0</v>
      </c>
      <c r="CY46" s="478">
        <f t="shared" ca="1" si="98"/>
        <v>0</v>
      </c>
    </row>
    <row r="47" spans="1:103">
      <c r="G47" s="53"/>
      <c r="H47" s="54" t="s">
        <v>34</v>
      </c>
      <c r="I47" s="16">
        <f ca="1">+I46-I48</f>
        <v>0</v>
      </c>
      <c r="J47" s="29">
        <f t="shared" ca="1" si="831"/>
        <v>0</v>
      </c>
      <c r="K47" s="16"/>
      <c r="N47" s="5">
        <f t="shared" si="99"/>
        <v>35</v>
      </c>
      <c r="O47" s="2">
        <f t="shared" ref="O47" ca="1" si="889">+(1+iB)^-N47</f>
        <v>0.45896959510421126</v>
      </c>
      <c r="P47" s="2">
        <f t="shared" ref="P47" ca="1" si="890">+(1+iB)^-(N47+0.5)</f>
        <v>0.45389171745979745</v>
      </c>
      <c r="Q47" s="91"/>
      <c r="R47" s="20">
        <f t="shared" si="102"/>
        <v>35</v>
      </c>
      <c r="S47" s="20" t="str">
        <f t="shared" ref="S47" si="891">+IF(xB+R47&lt;=xB+nB,xB+R47,"")</f>
        <v/>
      </c>
      <c r="T47" s="2">
        <f t="shared" ref="T47:U47" ca="1" si="892">IFERROR(VLOOKUP($S47,qx_table,MATCH(T$11,qx_title,0)+sexB),0)</f>
        <v>0</v>
      </c>
      <c r="U47" s="2">
        <f t="shared" ca="1" si="892"/>
        <v>0</v>
      </c>
      <c r="V47" s="300">
        <f>IF(JRB=2,0,IF(R47&gt;=mB-1,_xlfn.XLOOKUP(R47-mB,해지율!#REF!,해지율!#REF!,,1),_xlfn.XLOOKUP(R47,해지율!#REF!,해지율!#REF!,,-1)))</f>
        <v>0</v>
      </c>
      <c r="W47" s="8">
        <f t="shared" ref="W47" si="893">IF(R47=0,100000,IF(R47&gt;nB,0,W46*(1-X46)*(1-Y46)))</f>
        <v>0</v>
      </c>
      <c r="X47" s="10">
        <f t="shared" ca="1" si="19"/>
        <v>0</v>
      </c>
      <c r="Y47" s="10">
        <f t="shared" ca="1" si="20"/>
        <v>0</v>
      </c>
      <c r="Z47" s="8">
        <f t="shared" ca="1" si="106"/>
        <v>0</v>
      </c>
      <c r="AA47" s="8">
        <f ca="1">+SUM(Z47:Z$124)</f>
        <v>0</v>
      </c>
      <c r="AB47" s="8">
        <f t="shared" ca="1" si="21"/>
        <v>0</v>
      </c>
      <c r="AC47" s="209">
        <f ca="1">+SUM(AB47:AB$124)*SSSM</f>
        <v>0</v>
      </c>
      <c r="AD47" s="209">
        <f t="shared" ref="AD47" si="894">IF(R47&gt;nB,0,AD46*(1-X46)*(1-Y46)*(1-AE46)*(1-AF46))</f>
        <v>0</v>
      </c>
      <c r="AE47" s="92">
        <f t="shared" ca="1" si="56"/>
        <v>0</v>
      </c>
      <c r="AF47" s="92">
        <f t="shared" ca="1" si="22"/>
        <v>0</v>
      </c>
      <c r="AG47" s="664">
        <f t="shared" ca="1" si="23"/>
        <v>0</v>
      </c>
      <c r="AH47" s="5">
        <f ca="1">+SUM(AG47:AG$124)</f>
        <v>0</v>
      </c>
      <c r="AI47" s="70">
        <f t="shared" ca="1" si="24"/>
        <v>0</v>
      </c>
      <c r="AJ47" s="208">
        <f ca="1">+SUM(AB47:AB$124)*SS50J</f>
        <v>0</v>
      </c>
      <c r="AK47" s="5">
        <f t="shared" ca="1" si="108"/>
        <v>99999.012970709329</v>
      </c>
      <c r="AL47" s="2">
        <f t="shared" ref="AL47" ca="1" si="895">IFERROR(VLOOKUP($S47,qx_table,MATCH(AL$11,qx_title,0)+sexB),0)</f>
        <v>0</v>
      </c>
      <c r="AM47" s="131">
        <f t="shared" ca="1" si="110"/>
        <v>45896.506493987232</v>
      </c>
      <c r="AN47" s="129">
        <f t="shared" ca="1" si="839"/>
        <v>0</v>
      </c>
      <c r="AO47" s="129">
        <f ca="1">SUM(AN47:AN$124)*SSa</f>
        <v>0</v>
      </c>
      <c r="AP47" s="70">
        <f t="shared" ca="1" si="59"/>
        <v>99999.012970709329</v>
      </c>
      <c r="AQ47" s="2">
        <f t="shared" ref="AQ47" ca="1" si="896">IFERROR(VLOOKUP($S47,qx_table,MATCH(AQ$11,qx_title,0)+sexB),0)</f>
        <v>0</v>
      </c>
      <c r="AR47" s="127">
        <f t="shared" ca="1" si="841"/>
        <v>0</v>
      </c>
      <c r="AS47" s="127">
        <f ca="1">SUM(AR47:AR$124)*SSb</f>
        <v>0</v>
      </c>
      <c r="AT47" s="70">
        <f t="shared" ca="1" si="62"/>
        <v>99999.012970709329</v>
      </c>
      <c r="AU47" s="2">
        <f t="shared" ref="AU47" ca="1" si="897">IFERROR(VLOOKUP($S47,qx_table,MATCH(AU$11,qx_title,0)+sexB),0)</f>
        <v>0</v>
      </c>
      <c r="AV47" s="268">
        <f t="shared" ca="1" si="843"/>
        <v>0</v>
      </c>
      <c r="AW47" s="131">
        <f ca="1">SUM(AV47:AV$124)*SSc</f>
        <v>0</v>
      </c>
      <c r="AX47" s="70">
        <f t="shared" ca="1" si="65"/>
        <v>99999.012970709329</v>
      </c>
      <c r="AY47" s="2">
        <f t="shared" ref="AY47" ca="1" si="898">IFERROR(VLOOKUP($S47,qx_table,MATCH(AY$11,qx_title,0)+sexB),0)</f>
        <v>0</v>
      </c>
      <c r="AZ47" s="268">
        <f t="shared" ca="1" si="808"/>
        <v>0</v>
      </c>
      <c r="BA47" s="129">
        <f ca="1">SUM(AZ47:AZ$124)*SSd</f>
        <v>0</v>
      </c>
      <c r="BB47" s="70">
        <f t="shared" ca="1" si="68"/>
        <v>99999.012970709329</v>
      </c>
      <c r="BC47" s="257">
        <f t="shared" ref="BC47" ca="1" si="899">IFERROR(VLOOKUP($S47,qx_table,MATCH(BC$11,qx_title,0)+sexB),0)</f>
        <v>0</v>
      </c>
      <c r="BD47" s="268">
        <f t="shared" ca="1" si="846"/>
        <v>0</v>
      </c>
      <c r="BE47" s="131">
        <f ca="1">SUM(BD47:BD$124)*SSe</f>
        <v>0</v>
      </c>
      <c r="BF47" s="70">
        <f t="shared" ca="1" si="71"/>
        <v>99999.012970709329</v>
      </c>
      <c r="BG47" s="2">
        <f t="shared" ref="BG47" ca="1" si="900">IFERROR(VLOOKUP($S47,qx_table,MATCH(BG$11,qx_title,0)+sexB),0)</f>
        <v>0</v>
      </c>
      <c r="BH47" s="131">
        <f t="shared" ca="1" si="848"/>
        <v>0</v>
      </c>
      <c r="BI47" s="2">
        <f ca="1">SUM(BH47:BH$124)*SSf</f>
        <v>0</v>
      </c>
      <c r="BJ47" s="70">
        <f t="shared" ca="1" si="74"/>
        <v>99999.012970709329</v>
      </c>
      <c r="BK47" s="2">
        <f t="shared" ref="BK47" ca="1" si="901">IFERROR(VLOOKUP($S47,qx_table,MATCH(BK$11,qx_title,0)+sexB),0)</f>
        <v>0</v>
      </c>
      <c r="BL47" s="131">
        <f t="shared" ca="1" si="850"/>
        <v>0</v>
      </c>
      <c r="BM47" s="131">
        <f ca="1">SUM(BL47:BL$124)*SSg</f>
        <v>0</v>
      </c>
      <c r="BN47" s="70">
        <f t="shared" ca="1" si="77"/>
        <v>99999.012970709329</v>
      </c>
      <c r="BO47" s="2">
        <f t="shared" ref="BO47" ca="1" si="902">IFERROR(VLOOKUP($S47,qx_table,MATCH(BO$11,qx_title,0)+sexB),0)</f>
        <v>0</v>
      </c>
      <c r="BP47" s="131">
        <f t="shared" ca="1" si="852"/>
        <v>0</v>
      </c>
      <c r="BQ47" s="131">
        <f ca="1">SUM(BP47:BP$124)*SSh</f>
        <v>0</v>
      </c>
      <c r="BR47" s="70">
        <f t="shared" ca="1" si="80"/>
        <v>99999.012970709329</v>
      </c>
      <c r="BS47" s="2">
        <f t="shared" ref="BS47" ca="1" si="903">IFERROR(VLOOKUP($S47,qx_table,MATCH(BS$11,qx_title,0)+sexB),0)*IF(R47=0,MCi,1)</f>
        <v>0</v>
      </c>
      <c r="BT47" s="131">
        <f t="shared" ca="1" si="854"/>
        <v>0</v>
      </c>
      <c r="BU47" s="131">
        <f ca="1">SUM(BT47:BT$124)*SSi</f>
        <v>0</v>
      </c>
      <c r="BV47" s="70">
        <f t="shared" ca="1" si="83"/>
        <v>99999.012970709329</v>
      </c>
      <c r="BW47" s="2">
        <f t="shared" ref="BW47" ca="1" si="904">IFERROR(VLOOKUP($S47,qx_table,MATCH(BW$11,qx_title,0)+sexB),0)</f>
        <v>0</v>
      </c>
      <c r="BX47" s="131">
        <f t="shared" ca="1" si="856"/>
        <v>0</v>
      </c>
      <c r="BY47" s="131">
        <f ca="1">SUM(BX47:BX$124)*SSj</f>
        <v>0</v>
      </c>
      <c r="BZ47" s="70">
        <f t="shared" ca="1" si="86"/>
        <v>99999.012970709329</v>
      </c>
      <c r="CA47" s="2">
        <f t="shared" ref="CA47" ca="1" si="905">IFERROR(VLOOKUP($S47,qx_table,MATCH(CA$11,qx_title,0)+sexB),0)</f>
        <v>0</v>
      </c>
      <c r="CB47" s="131">
        <f t="shared" ca="1" si="858"/>
        <v>0</v>
      </c>
      <c r="CC47" s="131">
        <f ca="1">SUM(CB47:CB$124)*SSk</f>
        <v>0</v>
      </c>
      <c r="CD47" s="8">
        <f t="shared" ca="1" si="89"/>
        <v>99999.012970709329</v>
      </c>
      <c r="CE47" s="2">
        <f t="shared" ref="CE47" ca="1" si="906">IFERROR(VLOOKUP($S47,qx_table,MATCH(CE$11,qx_title,0)+sexB),0)</f>
        <v>0</v>
      </c>
      <c r="CF47" s="131">
        <f t="shared" ca="1" si="860"/>
        <v>0</v>
      </c>
      <c r="CG47" s="131">
        <f ca="1">SUM(CF47:CF$124)*SSl</f>
        <v>0</v>
      </c>
      <c r="CH47" s="101">
        <f t="shared" ca="1" si="92"/>
        <v>0</v>
      </c>
      <c r="CI47" s="154">
        <f t="shared" ca="1" si="817"/>
        <v>0</v>
      </c>
      <c r="CJ47" s="32">
        <f t="shared" ref="CJ47" ca="1" si="907">+MAX(VLOOKUP(xB+$R47,기수표B,$AH$1)-VLOOKUP(xB+mB,기수표B,$AH$1),0)</f>
        <v>0</v>
      </c>
      <c r="CK47" s="32">
        <f t="shared" ref="CK47" ca="1" si="908">+MAX(VLOOKUP(xB+$R47,기수표B,$AH$1)-VLOOKUP(xB+mB,기수표B,$AH$1)-11/24*(VLOOKUP(xB+$R47,기수표B,$AG$1)-VLOOKUP(xB+mB,기수표B,$AG$1)),0)</f>
        <v>0</v>
      </c>
      <c r="CL47" s="32">
        <f t="shared" ref="CL47" ca="1" si="909">+MAX(VLOOKUP(xB+$R47,기수표B,$AA$1)-VLOOKUP(xB+mB,기수표B,$AA$1),0)</f>
        <v>0</v>
      </c>
      <c r="CM47" s="32">
        <f t="shared" ref="CM47" ca="1" si="910">+MAX(VLOOKUP(xB+$R47,기수표B,$AA$1)-VLOOKUP(xB+mB,기수표B,$AA$1)-11/24*(VLOOKUP(xB+$R47,기수표B,$AA$1)-VLOOKUP(xB+mB,기수표B,$AA$1)),0)</f>
        <v>0</v>
      </c>
      <c r="CN47" s="32">
        <f t="shared" si="822"/>
        <v>0</v>
      </c>
      <c r="CO47" s="32">
        <f t="shared" ca="1" si="823"/>
        <v>0</v>
      </c>
      <c r="CP47" s="259">
        <f t="shared" ca="1" si="824"/>
        <v>0</v>
      </c>
      <c r="CQ47" s="259">
        <f t="shared" ca="1" si="825"/>
        <v>0</v>
      </c>
      <c r="CR47" s="259" t="e">
        <f t="shared" ca="1" si="826"/>
        <v>#DIV/0!</v>
      </c>
      <c r="CS47" s="31">
        <f t="shared" ref="CS47" si="911">+MIN(mB,7)</f>
        <v>5</v>
      </c>
      <c r="CU47" s="13">
        <v>35</v>
      </c>
      <c r="CV47" s="477">
        <f t="shared" ca="1" si="828"/>
        <v>420</v>
      </c>
      <c r="CW47" s="477" t="e">
        <f t="shared" ca="1" si="829"/>
        <v>#DIV/0!</v>
      </c>
      <c r="CX47" s="477">
        <f t="shared" ca="1" si="830"/>
        <v>0</v>
      </c>
      <c r="CY47" s="478">
        <f t="shared" ca="1" si="98"/>
        <v>0</v>
      </c>
    </row>
    <row r="48" spans="1:103">
      <c r="G48" s="55"/>
      <c r="H48" s="56" t="s">
        <v>35</v>
      </c>
      <c r="I48" s="25">
        <f ca="1">+I46</f>
        <v>1</v>
      </c>
      <c r="J48" s="30">
        <f t="shared" ca="1" si="831"/>
        <v>0.14285714285714285</v>
      </c>
      <c r="N48" s="5">
        <f t="shared" si="99"/>
        <v>36</v>
      </c>
      <c r="O48" s="2">
        <f t="shared" ref="O48" ca="1" si="912">+(1+iB)^-N48</f>
        <v>0.44887001966182033</v>
      </c>
      <c r="P48" s="2">
        <f t="shared" ref="P48" ca="1" si="913">+(1+iB)^-(N48+0.5)</f>
        <v>0.44390388015628113</v>
      </c>
      <c r="Q48" s="91"/>
      <c r="R48" s="20">
        <f t="shared" si="102"/>
        <v>36</v>
      </c>
      <c r="S48" s="20" t="str">
        <f t="shared" ref="S48" si="914">+IF(xB+R48&lt;=xB+nB,xB+R48,"")</f>
        <v/>
      </c>
      <c r="T48" s="2">
        <f t="shared" ref="T48:U48" ca="1" si="915">IFERROR(VLOOKUP($S48,qx_table,MATCH(T$11,qx_title,0)+sexB),0)</f>
        <v>0</v>
      </c>
      <c r="U48" s="2">
        <f t="shared" ca="1" si="915"/>
        <v>0</v>
      </c>
      <c r="V48" s="300">
        <f>IF(JRB=2,0,IF(R48&gt;=mB-1,_xlfn.XLOOKUP(R48-mB,해지율!#REF!,해지율!#REF!,,1),_xlfn.XLOOKUP(R48,해지율!#REF!,해지율!#REF!,,-1)))</f>
        <v>0</v>
      </c>
      <c r="W48" s="8">
        <f t="shared" ref="W48" si="916">IF(R48=0,100000,IF(R48&gt;nB,0,W47*(1-X47)*(1-Y47)))</f>
        <v>0</v>
      </c>
      <c r="X48" s="10">
        <f t="shared" ca="1" si="19"/>
        <v>0</v>
      </c>
      <c r="Y48" s="10">
        <f t="shared" ca="1" si="20"/>
        <v>0</v>
      </c>
      <c r="Z48" s="8">
        <f t="shared" ca="1" si="106"/>
        <v>0</v>
      </c>
      <c r="AA48" s="8">
        <f ca="1">+SUM(Z48:Z$124)</f>
        <v>0</v>
      </c>
      <c r="AB48" s="8">
        <f t="shared" ca="1" si="21"/>
        <v>0</v>
      </c>
      <c r="AC48" s="209">
        <f ca="1">+SUM(AB48:AB$124)*SSSM</f>
        <v>0</v>
      </c>
      <c r="AD48" s="209">
        <f t="shared" ref="AD48" si="917">IF(R48&gt;nB,0,AD47*(1-X47)*(1-Y47)*(1-AE47)*(1-AF47))</f>
        <v>0</v>
      </c>
      <c r="AE48" s="92">
        <f t="shared" ca="1" si="56"/>
        <v>0</v>
      </c>
      <c r="AF48" s="92">
        <f t="shared" ca="1" si="22"/>
        <v>0</v>
      </c>
      <c r="AG48" s="664">
        <f t="shared" ca="1" si="23"/>
        <v>0</v>
      </c>
      <c r="AH48" s="5">
        <f ca="1">+SUM(AG48:AG$124)</f>
        <v>0</v>
      </c>
      <c r="AI48" s="70">
        <f t="shared" ca="1" si="24"/>
        <v>0</v>
      </c>
      <c r="AJ48" s="208">
        <f ca="1">+SUM(AB48:AB$124)*SS50J</f>
        <v>0</v>
      </c>
      <c r="AK48" s="5">
        <f t="shared" ca="1" si="108"/>
        <v>99999.012970709329</v>
      </c>
      <c r="AL48" s="2">
        <f t="shared" ref="AL48" ca="1" si="918">IFERROR(VLOOKUP($S48,qx_table,MATCH(AL$11,qx_title,0)+sexB),0)</f>
        <v>0</v>
      </c>
      <c r="AM48" s="131">
        <f t="shared" ca="1" si="110"/>
        <v>44886.558918324925</v>
      </c>
      <c r="AN48" s="129">
        <f t="shared" ca="1" si="839"/>
        <v>0</v>
      </c>
      <c r="AO48" s="129">
        <f ca="1">SUM(AN48:AN$124)*SSa</f>
        <v>0</v>
      </c>
      <c r="AP48" s="70">
        <f t="shared" ca="1" si="59"/>
        <v>99999.012970709329</v>
      </c>
      <c r="AQ48" s="2">
        <f t="shared" ref="AQ48" ca="1" si="919">IFERROR(VLOOKUP($S48,qx_table,MATCH(AQ$11,qx_title,0)+sexB),0)</f>
        <v>0</v>
      </c>
      <c r="AR48" s="127">
        <f t="shared" ca="1" si="841"/>
        <v>0</v>
      </c>
      <c r="AS48" s="127">
        <f ca="1">SUM(AR48:AR$124)*SSb</f>
        <v>0</v>
      </c>
      <c r="AT48" s="70">
        <f t="shared" ca="1" si="62"/>
        <v>99999.012970709329</v>
      </c>
      <c r="AU48" s="2">
        <f t="shared" ref="AU48" ca="1" si="920">IFERROR(VLOOKUP($S48,qx_table,MATCH(AU$11,qx_title,0)+sexB),0)</f>
        <v>0</v>
      </c>
      <c r="AV48" s="268">
        <f t="shared" ca="1" si="843"/>
        <v>0</v>
      </c>
      <c r="AW48" s="131">
        <f ca="1">SUM(AV48:AV$124)*SSc</f>
        <v>0</v>
      </c>
      <c r="AX48" s="70">
        <f t="shared" ca="1" si="65"/>
        <v>99999.012970709329</v>
      </c>
      <c r="AY48" s="2">
        <f t="shared" ref="AY48" ca="1" si="921">IFERROR(VLOOKUP($S48,qx_table,MATCH(AY$11,qx_title,0)+sexB),0)</f>
        <v>0</v>
      </c>
      <c r="AZ48" s="268">
        <f t="shared" ca="1" si="808"/>
        <v>0</v>
      </c>
      <c r="BA48" s="129">
        <f ca="1">SUM(AZ48:AZ$124)*SSd</f>
        <v>0</v>
      </c>
      <c r="BB48" s="70">
        <f t="shared" ca="1" si="68"/>
        <v>99999.012970709329</v>
      </c>
      <c r="BC48" s="257">
        <f t="shared" ref="BC48" ca="1" si="922">IFERROR(VLOOKUP($S48,qx_table,MATCH(BC$11,qx_title,0)+sexB),0)</f>
        <v>0</v>
      </c>
      <c r="BD48" s="268">
        <f t="shared" ca="1" si="846"/>
        <v>0</v>
      </c>
      <c r="BE48" s="131">
        <f ca="1">SUM(BD48:BD$124)*SSe</f>
        <v>0</v>
      </c>
      <c r="BF48" s="70">
        <f t="shared" ca="1" si="71"/>
        <v>99999.012970709329</v>
      </c>
      <c r="BG48" s="2">
        <f t="shared" ref="BG48" ca="1" si="923">IFERROR(VLOOKUP($S48,qx_table,MATCH(BG$11,qx_title,0)+sexB),0)</f>
        <v>0</v>
      </c>
      <c r="BH48" s="131">
        <f t="shared" ca="1" si="848"/>
        <v>0</v>
      </c>
      <c r="BI48" s="2">
        <f ca="1">SUM(BH48:BH$124)*SSf</f>
        <v>0</v>
      </c>
      <c r="BJ48" s="70">
        <f t="shared" ca="1" si="74"/>
        <v>99999.012970709329</v>
      </c>
      <c r="BK48" s="2">
        <f t="shared" ref="BK48" ca="1" si="924">IFERROR(VLOOKUP($S48,qx_table,MATCH(BK$11,qx_title,0)+sexB),0)</f>
        <v>0</v>
      </c>
      <c r="BL48" s="131">
        <f t="shared" ca="1" si="850"/>
        <v>0</v>
      </c>
      <c r="BM48" s="131">
        <f ca="1">SUM(BL48:BL$124)*SSg</f>
        <v>0</v>
      </c>
      <c r="BN48" s="70">
        <f t="shared" ca="1" si="77"/>
        <v>99999.012970709329</v>
      </c>
      <c r="BO48" s="2">
        <f t="shared" ref="BO48" ca="1" si="925">IFERROR(VLOOKUP($S48,qx_table,MATCH(BO$11,qx_title,0)+sexB),0)</f>
        <v>0</v>
      </c>
      <c r="BP48" s="131">
        <f t="shared" ca="1" si="852"/>
        <v>0</v>
      </c>
      <c r="BQ48" s="131">
        <f ca="1">SUM(BP48:BP$124)*SSh</f>
        <v>0</v>
      </c>
      <c r="BR48" s="70">
        <f t="shared" ca="1" si="80"/>
        <v>99999.012970709329</v>
      </c>
      <c r="BS48" s="2">
        <f t="shared" ref="BS48" ca="1" si="926">IFERROR(VLOOKUP($S48,qx_table,MATCH(BS$11,qx_title,0)+sexB),0)*IF(R48=0,MCi,1)</f>
        <v>0</v>
      </c>
      <c r="BT48" s="131">
        <f t="shared" ca="1" si="854"/>
        <v>0</v>
      </c>
      <c r="BU48" s="131">
        <f ca="1">SUM(BT48:BT$124)*SSi</f>
        <v>0</v>
      </c>
      <c r="BV48" s="70">
        <f t="shared" ca="1" si="83"/>
        <v>99999.012970709329</v>
      </c>
      <c r="BW48" s="2">
        <f t="shared" ref="BW48" ca="1" si="927">IFERROR(VLOOKUP($S48,qx_table,MATCH(BW$11,qx_title,0)+sexB),0)</f>
        <v>0</v>
      </c>
      <c r="BX48" s="131">
        <f t="shared" ca="1" si="856"/>
        <v>0</v>
      </c>
      <c r="BY48" s="131">
        <f ca="1">SUM(BX48:BX$124)*SSj</f>
        <v>0</v>
      </c>
      <c r="BZ48" s="70">
        <f t="shared" ca="1" si="86"/>
        <v>99999.012970709329</v>
      </c>
      <c r="CA48" s="2">
        <f t="shared" ref="CA48" ca="1" si="928">IFERROR(VLOOKUP($S48,qx_table,MATCH(CA$11,qx_title,0)+sexB),0)</f>
        <v>0</v>
      </c>
      <c r="CB48" s="131">
        <f t="shared" ca="1" si="858"/>
        <v>0</v>
      </c>
      <c r="CC48" s="131">
        <f ca="1">SUM(CB48:CB$124)*SSk</f>
        <v>0</v>
      </c>
      <c r="CD48" s="8">
        <f t="shared" ca="1" si="89"/>
        <v>99999.012970709329</v>
      </c>
      <c r="CE48" s="2">
        <f t="shared" ref="CE48" ca="1" si="929">IFERROR(VLOOKUP($S48,qx_table,MATCH(CE$11,qx_title,0)+sexB),0)</f>
        <v>0</v>
      </c>
      <c r="CF48" s="131">
        <f t="shared" ca="1" si="860"/>
        <v>0</v>
      </c>
      <c r="CG48" s="131">
        <f ca="1">SUM(CF48:CF$124)*SSl</f>
        <v>0</v>
      </c>
      <c r="CH48" s="101">
        <f t="shared" ca="1" si="92"/>
        <v>0</v>
      </c>
      <c r="CI48" s="154">
        <f t="shared" ca="1" si="817"/>
        <v>0</v>
      </c>
      <c r="CJ48" s="32">
        <f t="shared" ref="CJ48" ca="1" si="930">+MAX(VLOOKUP(xB+$R48,기수표B,$AH$1)-VLOOKUP(xB+mB,기수표B,$AH$1),0)</f>
        <v>0</v>
      </c>
      <c r="CK48" s="32">
        <f t="shared" ref="CK48" ca="1" si="931">+MAX(VLOOKUP(xB+$R48,기수표B,$AH$1)-VLOOKUP(xB+mB,기수표B,$AH$1)-11/24*(VLOOKUP(xB+$R48,기수표B,$AG$1)-VLOOKUP(xB+mB,기수표B,$AG$1)),0)</f>
        <v>0</v>
      </c>
      <c r="CL48" s="32">
        <f t="shared" ref="CL48" ca="1" si="932">+MAX(VLOOKUP(xB+$R48,기수표B,$AA$1)-VLOOKUP(xB+mB,기수표B,$AA$1),0)</f>
        <v>0</v>
      </c>
      <c r="CM48" s="32">
        <f t="shared" ref="CM48" ca="1" si="933">+MAX(VLOOKUP(xB+$R48,기수표B,$AA$1)-VLOOKUP(xB+mB,기수표B,$AA$1)-11/24*(VLOOKUP(xB+$R48,기수표B,$AA$1)-VLOOKUP(xB+mB,기수표B,$AA$1)),0)</f>
        <v>0</v>
      </c>
      <c r="CN48" s="32">
        <f t="shared" si="822"/>
        <v>0</v>
      </c>
      <c r="CO48" s="32">
        <f t="shared" ca="1" si="823"/>
        <v>0</v>
      </c>
      <c r="CP48" s="259">
        <f t="shared" ca="1" si="824"/>
        <v>0</v>
      </c>
      <c r="CQ48" s="259">
        <f t="shared" ca="1" si="825"/>
        <v>0</v>
      </c>
      <c r="CR48" s="259" t="e">
        <f t="shared" ca="1" si="826"/>
        <v>#DIV/0!</v>
      </c>
      <c r="CS48" s="31">
        <f t="shared" ref="CS48" si="934">+MIN(mB,7)</f>
        <v>5</v>
      </c>
      <c r="CU48" s="13">
        <v>36</v>
      </c>
      <c r="CV48" s="477">
        <f t="shared" ca="1" si="828"/>
        <v>420</v>
      </c>
      <c r="CW48" s="477" t="e">
        <f t="shared" ca="1" si="829"/>
        <v>#DIV/0!</v>
      </c>
      <c r="CX48" s="477">
        <f t="shared" ca="1" si="830"/>
        <v>0</v>
      </c>
      <c r="CY48" s="478">
        <f t="shared" ca="1" si="98"/>
        <v>0</v>
      </c>
    </row>
    <row r="49" spans="2:103">
      <c r="G49" s="74" t="s">
        <v>33</v>
      </c>
      <c r="H49" s="75"/>
      <c r="I49" s="25">
        <f ca="1">+SUM(I50:I52)</f>
        <v>6</v>
      </c>
      <c r="J49" s="30">
        <f t="shared" ca="1" si="831"/>
        <v>0.8571428571428571</v>
      </c>
      <c r="N49" s="5">
        <f t="shared" si="99"/>
        <v>37</v>
      </c>
      <c r="O49" s="2">
        <f t="shared" ref="O49" ca="1" si="935">+(1+iB)^-N49</f>
        <v>0.43899268426583893</v>
      </c>
      <c r="P49" s="2">
        <f t="shared" ref="P49" ca="1" si="936">+(1+iB)^-(N49+0.5)</f>
        <v>0.43413582411372242</v>
      </c>
      <c r="Q49" s="91"/>
      <c r="R49" s="20">
        <f t="shared" si="102"/>
        <v>37</v>
      </c>
      <c r="S49" s="20" t="str">
        <f t="shared" ref="S49" si="937">+IF(xB+R49&lt;=xB+nB,xB+R49,"")</f>
        <v/>
      </c>
      <c r="T49" s="2">
        <f t="shared" ref="T49:U49" ca="1" si="938">IFERROR(VLOOKUP($S49,qx_table,MATCH(T$11,qx_title,0)+sexB),0)</f>
        <v>0</v>
      </c>
      <c r="U49" s="2">
        <f t="shared" ca="1" si="938"/>
        <v>0</v>
      </c>
      <c r="V49" s="300">
        <f>IF(JRB=2,0,IF(R49&gt;=mB-1,_xlfn.XLOOKUP(R49-mB,해지율!#REF!,해지율!#REF!,,1),_xlfn.XLOOKUP(R49,해지율!#REF!,해지율!#REF!,,-1)))</f>
        <v>0</v>
      </c>
      <c r="W49" s="8">
        <f t="shared" ref="W49" si="939">IF(R49=0,100000,IF(R49&gt;nB,0,W48*(1-X48)*(1-Y48)))</f>
        <v>0</v>
      </c>
      <c r="X49" s="10">
        <f t="shared" ca="1" si="19"/>
        <v>0</v>
      </c>
      <c r="Y49" s="10">
        <f t="shared" ca="1" si="20"/>
        <v>0</v>
      </c>
      <c r="Z49" s="8">
        <f t="shared" ca="1" si="106"/>
        <v>0</v>
      </c>
      <c r="AA49" s="8">
        <f ca="1">+SUM(Z49:Z$124)</f>
        <v>0</v>
      </c>
      <c r="AB49" s="8">
        <f t="shared" ca="1" si="21"/>
        <v>0</v>
      </c>
      <c r="AC49" s="209">
        <f ca="1">+SUM(AB49:AB$124)*SSSM</f>
        <v>0</v>
      </c>
      <c r="AD49" s="209">
        <f t="shared" ref="AD49" si="940">IF(R49&gt;nB,0,AD48*(1-X48)*(1-Y48)*(1-AE48)*(1-AF48))</f>
        <v>0</v>
      </c>
      <c r="AE49" s="92">
        <f t="shared" ca="1" si="56"/>
        <v>0</v>
      </c>
      <c r="AF49" s="92">
        <f t="shared" ca="1" si="22"/>
        <v>0</v>
      </c>
      <c r="AG49" s="664">
        <f t="shared" ca="1" si="23"/>
        <v>0</v>
      </c>
      <c r="AH49" s="5">
        <f ca="1">+SUM(AG49:AG$124)</f>
        <v>0</v>
      </c>
      <c r="AI49" s="70">
        <f t="shared" ca="1" si="24"/>
        <v>0</v>
      </c>
      <c r="AJ49" s="208">
        <f ca="1">+SUM(AB49:AB$124)*SS50J</f>
        <v>0</v>
      </c>
      <c r="AK49" s="5">
        <f t="shared" ca="1" si="108"/>
        <v>99999.012970709329</v>
      </c>
      <c r="AL49" s="2">
        <f t="shared" ref="AL49" ca="1" si="941">IFERROR(VLOOKUP($S49,qx_table,MATCH(AL$11,qx_title,0)+sexB),0)</f>
        <v>0</v>
      </c>
      <c r="AM49" s="131">
        <f t="shared" ca="1" si="110"/>
        <v>43898.835127946135</v>
      </c>
      <c r="AN49" s="129">
        <f t="shared" ca="1" si="839"/>
        <v>0</v>
      </c>
      <c r="AO49" s="129">
        <f ca="1">SUM(AN49:AN$124)*SSa</f>
        <v>0</v>
      </c>
      <c r="AP49" s="70">
        <f t="shared" ca="1" si="59"/>
        <v>99999.012970709329</v>
      </c>
      <c r="AQ49" s="2">
        <f t="shared" ref="AQ49" ca="1" si="942">IFERROR(VLOOKUP($S49,qx_table,MATCH(AQ$11,qx_title,0)+sexB),0)</f>
        <v>0</v>
      </c>
      <c r="AR49" s="127">
        <f t="shared" ca="1" si="841"/>
        <v>0</v>
      </c>
      <c r="AS49" s="127">
        <f ca="1">SUM(AR49:AR$124)*SSb</f>
        <v>0</v>
      </c>
      <c r="AT49" s="70">
        <f t="shared" ca="1" si="62"/>
        <v>99999.012970709329</v>
      </c>
      <c r="AU49" s="2">
        <f t="shared" ref="AU49" ca="1" si="943">IFERROR(VLOOKUP($S49,qx_table,MATCH(AU$11,qx_title,0)+sexB),0)</f>
        <v>0</v>
      </c>
      <c r="AV49" s="268">
        <f t="shared" ca="1" si="843"/>
        <v>0</v>
      </c>
      <c r="AW49" s="131">
        <f ca="1">SUM(AV49:AV$124)*SSc</f>
        <v>0</v>
      </c>
      <c r="AX49" s="70">
        <f t="shared" ca="1" si="65"/>
        <v>99999.012970709329</v>
      </c>
      <c r="AY49" s="2">
        <f t="shared" ref="AY49" ca="1" si="944">IFERROR(VLOOKUP($S49,qx_table,MATCH(AY$11,qx_title,0)+sexB),0)</f>
        <v>0</v>
      </c>
      <c r="AZ49" s="268">
        <f t="shared" ca="1" si="808"/>
        <v>0</v>
      </c>
      <c r="BA49" s="129">
        <f ca="1">SUM(AZ49:AZ$124)*SSd</f>
        <v>0</v>
      </c>
      <c r="BB49" s="70">
        <f t="shared" ca="1" si="68"/>
        <v>99999.012970709329</v>
      </c>
      <c r="BC49" s="257">
        <f t="shared" ref="BC49" ca="1" si="945">IFERROR(VLOOKUP($S49,qx_table,MATCH(BC$11,qx_title,0)+sexB),0)</f>
        <v>0</v>
      </c>
      <c r="BD49" s="268">
        <f t="shared" ca="1" si="846"/>
        <v>0</v>
      </c>
      <c r="BE49" s="131">
        <f ca="1">SUM(BD49:BD$124)*SSe</f>
        <v>0</v>
      </c>
      <c r="BF49" s="70">
        <f t="shared" ca="1" si="71"/>
        <v>99999.012970709329</v>
      </c>
      <c r="BG49" s="2">
        <f t="shared" ref="BG49" ca="1" si="946">IFERROR(VLOOKUP($S49,qx_table,MATCH(BG$11,qx_title,0)+sexB),0)</f>
        <v>0</v>
      </c>
      <c r="BH49" s="131">
        <f t="shared" ca="1" si="848"/>
        <v>0</v>
      </c>
      <c r="BI49" s="2">
        <f ca="1">SUM(BH49:BH$124)*SSf</f>
        <v>0</v>
      </c>
      <c r="BJ49" s="70">
        <f t="shared" ca="1" si="74"/>
        <v>99999.012970709329</v>
      </c>
      <c r="BK49" s="2">
        <f t="shared" ref="BK49" ca="1" si="947">IFERROR(VLOOKUP($S49,qx_table,MATCH(BK$11,qx_title,0)+sexB),0)</f>
        <v>0</v>
      </c>
      <c r="BL49" s="131">
        <f t="shared" ca="1" si="850"/>
        <v>0</v>
      </c>
      <c r="BM49" s="131">
        <f ca="1">SUM(BL49:BL$124)*SSg</f>
        <v>0</v>
      </c>
      <c r="BN49" s="70">
        <f t="shared" ca="1" si="77"/>
        <v>99999.012970709329</v>
      </c>
      <c r="BO49" s="2">
        <f t="shared" ref="BO49" ca="1" si="948">IFERROR(VLOOKUP($S49,qx_table,MATCH(BO$11,qx_title,0)+sexB),0)</f>
        <v>0</v>
      </c>
      <c r="BP49" s="131">
        <f t="shared" ca="1" si="852"/>
        <v>0</v>
      </c>
      <c r="BQ49" s="131">
        <f ca="1">SUM(BP49:BP$124)*SSh</f>
        <v>0</v>
      </c>
      <c r="BR49" s="70">
        <f t="shared" ca="1" si="80"/>
        <v>99999.012970709329</v>
      </c>
      <c r="BS49" s="2">
        <f t="shared" ref="BS49" ca="1" si="949">IFERROR(VLOOKUP($S49,qx_table,MATCH(BS$11,qx_title,0)+sexB),0)*IF(R49=0,MCi,1)</f>
        <v>0</v>
      </c>
      <c r="BT49" s="131">
        <f t="shared" ca="1" si="854"/>
        <v>0</v>
      </c>
      <c r="BU49" s="131">
        <f ca="1">SUM(BT49:BT$124)*SSi</f>
        <v>0</v>
      </c>
      <c r="BV49" s="70">
        <f t="shared" ca="1" si="83"/>
        <v>99999.012970709329</v>
      </c>
      <c r="BW49" s="2">
        <f t="shared" ref="BW49" ca="1" si="950">IFERROR(VLOOKUP($S49,qx_table,MATCH(BW$11,qx_title,0)+sexB),0)</f>
        <v>0</v>
      </c>
      <c r="BX49" s="131">
        <f t="shared" ca="1" si="856"/>
        <v>0</v>
      </c>
      <c r="BY49" s="131">
        <f ca="1">SUM(BX49:BX$124)*SSj</f>
        <v>0</v>
      </c>
      <c r="BZ49" s="70">
        <f t="shared" ca="1" si="86"/>
        <v>99999.012970709329</v>
      </c>
      <c r="CA49" s="2">
        <f t="shared" ref="CA49" ca="1" si="951">IFERROR(VLOOKUP($S49,qx_table,MATCH(CA$11,qx_title,0)+sexB),0)</f>
        <v>0</v>
      </c>
      <c r="CB49" s="131">
        <f t="shared" ca="1" si="858"/>
        <v>0</v>
      </c>
      <c r="CC49" s="131">
        <f ca="1">SUM(CB49:CB$124)*SSk</f>
        <v>0</v>
      </c>
      <c r="CD49" s="8">
        <f t="shared" ca="1" si="89"/>
        <v>99999.012970709329</v>
      </c>
      <c r="CE49" s="2">
        <f t="shared" ref="CE49" ca="1" si="952">IFERROR(VLOOKUP($S49,qx_table,MATCH(CE$11,qx_title,0)+sexB),0)</f>
        <v>0</v>
      </c>
      <c r="CF49" s="131">
        <f t="shared" ca="1" si="860"/>
        <v>0</v>
      </c>
      <c r="CG49" s="131">
        <f ca="1">SUM(CF49:CF$124)*SSl</f>
        <v>0</v>
      </c>
      <c r="CH49" s="101">
        <f t="shared" ca="1" si="92"/>
        <v>0</v>
      </c>
      <c r="CI49" s="154">
        <f t="shared" ca="1" si="817"/>
        <v>0</v>
      </c>
      <c r="CJ49" s="32">
        <f t="shared" ref="CJ49" ca="1" si="953">+MAX(VLOOKUP(xB+$R49,기수표B,$AH$1)-VLOOKUP(xB+mB,기수표B,$AH$1),0)</f>
        <v>0</v>
      </c>
      <c r="CK49" s="32">
        <f t="shared" ref="CK49" ca="1" si="954">+MAX(VLOOKUP(xB+$R49,기수표B,$AH$1)-VLOOKUP(xB+mB,기수표B,$AH$1)-11/24*(VLOOKUP(xB+$R49,기수표B,$AG$1)-VLOOKUP(xB+mB,기수표B,$AG$1)),0)</f>
        <v>0</v>
      </c>
      <c r="CL49" s="32">
        <f t="shared" ref="CL49" ca="1" si="955">+MAX(VLOOKUP(xB+$R49,기수표B,$AA$1)-VLOOKUP(xB+mB,기수표B,$AA$1),0)</f>
        <v>0</v>
      </c>
      <c r="CM49" s="32">
        <f t="shared" ref="CM49" ca="1" si="956">+MAX(VLOOKUP(xB+$R49,기수표B,$AA$1)-VLOOKUP(xB+mB,기수표B,$AA$1)-11/24*(VLOOKUP(xB+$R49,기수표B,$AA$1)-VLOOKUP(xB+mB,기수표B,$AA$1)),0)</f>
        <v>0</v>
      </c>
      <c r="CN49" s="32">
        <f t="shared" si="822"/>
        <v>0</v>
      </c>
      <c r="CO49" s="32">
        <f t="shared" ca="1" si="823"/>
        <v>0</v>
      </c>
      <c r="CP49" s="259">
        <f t="shared" ca="1" si="824"/>
        <v>0</v>
      </c>
      <c r="CQ49" s="259">
        <f t="shared" ca="1" si="825"/>
        <v>0</v>
      </c>
      <c r="CR49" s="259" t="e">
        <f t="shared" ca="1" si="826"/>
        <v>#DIV/0!</v>
      </c>
      <c r="CS49" s="31">
        <f t="shared" ref="CS49" si="957">+MIN(mB,7)</f>
        <v>5</v>
      </c>
      <c r="CU49" s="13">
        <v>37</v>
      </c>
      <c r="CV49" s="477">
        <f t="shared" ca="1" si="828"/>
        <v>420</v>
      </c>
      <c r="CW49" s="477" t="e">
        <f t="shared" ca="1" si="829"/>
        <v>#DIV/0!</v>
      </c>
      <c r="CX49" s="477">
        <f t="shared" ca="1" si="830"/>
        <v>0</v>
      </c>
      <c r="CY49" s="478">
        <f t="shared" ca="1" si="98"/>
        <v>0</v>
      </c>
    </row>
    <row r="50" spans="2:103">
      <c r="G50" s="53"/>
      <c r="H50" s="54" t="s">
        <v>36</v>
      </c>
      <c r="I50" s="16">
        <f ca="1">+(ALP_GP*12*$H$29+C22+C21*C28)*H8*SB/(12*H20)</f>
        <v>5.7417982573426458E-2</v>
      </c>
      <c r="J50" s="29">
        <f t="shared" ca="1" si="831"/>
        <v>8.2025689390609231E-3</v>
      </c>
      <c r="N50" s="5">
        <f t="shared" si="99"/>
        <v>38</v>
      </c>
      <c r="O50" s="2">
        <f t="shared" ref="O50" ca="1" si="958">+(1+iB)^-N50</f>
        <v>0.42933269854849776</v>
      </c>
      <c r="P50" s="2">
        <f t="shared" ref="P50" ca="1" si="959">+(1+iB)^-(N50+0.5)</f>
        <v>0.42458271306965517</v>
      </c>
      <c r="Q50" s="91"/>
      <c r="R50" s="20">
        <f t="shared" si="102"/>
        <v>38</v>
      </c>
      <c r="S50" s="20" t="str">
        <f t="shared" ref="S50" si="960">+IF(xB+R50&lt;=xB+nB,xB+R50,"")</f>
        <v/>
      </c>
      <c r="T50" s="2">
        <f t="shared" ref="T50:U50" ca="1" si="961">IFERROR(VLOOKUP($S50,qx_table,MATCH(T$11,qx_title,0)+sexB),0)</f>
        <v>0</v>
      </c>
      <c r="U50" s="2">
        <f t="shared" ca="1" si="961"/>
        <v>0</v>
      </c>
      <c r="V50" s="300">
        <f>IF(JRB=2,0,IF(R50&gt;=mB-1,_xlfn.XLOOKUP(R50-mB,해지율!#REF!,해지율!#REF!,,1),_xlfn.XLOOKUP(R50,해지율!#REF!,해지율!#REF!,,-1)))</f>
        <v>0</v>
      </c>
      <c r="W50" s="8">
        <f t="shared" ref="W50" si="962">IF(R50=0,100000,IF(R50&gt;nB,0,W49*(1-X49)*(1-Y49)))</f>
        <v>0</v>
      </c>
      <c r="X50" s="10">
        <f t="shared" ca="1" si="19"/>
        <v>0</v>
      </c>
      <c r="Y50" s="10">
        <f t="shared" ca="1" si="20"/>
        <v>0</v>
      </c>
      <c r="Z50" s="8">
        <f t="shared" ca="1" si="106"/>
        <v>0</v>
      </c>
      <c r="AA50" s="8">
        <f ca="1">+SUM(Z50:Z$124)</f>
        <v>0</v>
      </c>
      <c r="AB50" s="8">
        <f t="shared" ca="1" si="21"/>
        <v>0</v>
      </c>
      <c r="AC50" s="209">
        <f ca="1">+SUM(AB50:AB$124)*SSSM</f>
        <v>0</v>
      </c>
      <c r="AD50" s="209">
        <f t="shared" ref="AD50" si="963">IF(R50&gt;nB,0,AD49*(1-X49)*(1-Y49)*(1-AE49)*(1-AF49))</f>
        <v>0</v>
      </c>
      <c r="AE50" s="92">
        <f t="shared" ca="1" si="56"/>
        <v>0</v>
      </c>
      <c r="AF50" s="92">
        <f t="shared" ca="1" si="22"/>
        <v>0</v>
      </c>
      <c r="AG50" s="664">
        <f t="shared" ca="1" si="23"/>
        <v>0</v>
      </c>
      <c r="AH50" s="5">
        <f ca="1">+SUM(AG50:AG$124)</f>
        <v>0</v>
      </c>
      <c r="AI50" s="70">
        <f t="shared" ca="1" si="24"/>
        <v>0</v>
      </c>
      <c r="AJ50" s="208">
        <f ca="1">+SUM(AB50:AB$124)*SS50J</f>
        <v>0</v>
      </c>
      <c r="AK50" s="5">
        <f t="shared" ca="1" si="108"/>
        <v>99999.012970709329</v>
      </c>
      <c r="AL50" s="2">
        <f t="shared" ref="AL50" ca="1" si="964">IFERROR(VLOOKUP($S50,qx_table,MATCH(AL$11,qx_title,0)+sexB),0)</f>
        <v>0</v>
      </c>
      <c r="AM50" s="131">
        <f t="shared" ca="1" si="110"/>
        <v>42932.846090900865</v>
      </c>
      <c r="AN50" s="129">
        <f t="shared" ca="1" si="839"/>
        <v>0</v>
      </c>
      <c r="AO50" s="129">
        <f ca="1">SUM(AN50:AN$124)*SSa</f>
        <v>0</v>
      </c>
      <c r="AP50" s="70">
        <f t="shared" ca="1" si="59"/>
        <v>99999.012970709329</v>
      </c>
      <c r="AQ50" s="2">
        <f t="shared" ref="AQ50" ca="1" si="965">IFERROR(VLOOKUP($S50,qx_table,MATCH(AQ$11,qx_title,0)+sexB),0)</f>
        <v>0</v>
      </c>
      <c r="AR50" s="127">
        <f t="shared" ca="1" si="841"/>
        <v>0</v>
      </c>
      <c r="AS50" s="127">
        <f ca="1">SUM(AR50:AR$124)*SSb</f>
        <v>0</v>
      </c>
      <c r="AT50" s="70">
        <f t="shared" ca="1" si="62"/>
        <v>99999.012970709329</v>
      </c>
      <c r="AU50" s="2">
        <f t="shared" ref="AU50" ca="1" si="966">IFERROR(VLOOKUP($S50,qx_table,MATCH(AU$11,qx_title,0)+sexB),0)</f>
        <v>0</v>
      </c>
      <c r="AV50" s="268">
        <f t="shared" ca="1" si="843"/>
        <v>0</v>
      </c>
      <c r="AW50" s="131">
        <f ca="1">SUM(AV50:AV$124)*SSc</f>
        <v>0</v>
      </c>
      <c r="AX50" s="70">
        <f t="shared" ca="1" si="65"/>
        <v>99999.012970709329</v>
      </c>
      <c r="AY50" s="2">
        <f t="shared" ref="AY50" ca="1" si="967">IFERROR(VLOOKUP($S50,qx_table,MATCH(AY$11,qx_title,0)+sexB),0)</f>
        <v>0</v>
      </c>
      <c r="AZ50" s="268">
        <f t="shared" ca="1" si="808"/>
        <v>0</v>
      </c>
      <c r="BA50" s="129">
        <f ca="1">SUM(AZ50:AZ$124)*SSd</f>
        <v>0</v>
      </c>
      <c r="BB50" s="70">
        <f t="shared" ca="1" si="68"/>
        <v>99999.012970709329</v>
      </c>
      <c r="BC50" s="257">
        <f t="shared" ref="BC50" ca="1" si="968">IFERROR(VLOOKUP($S50,qx_table,MATCH(BC$11,qx_title,0)+sexB),0)</f>
        <v>0</v>
      </c>
      <c r="BD50" s="268">
        <f t="shared" ca="1" si="846"/>
        <v>0</v>
      </c>
      <c r="BE50" s="131">
        <f ca="1">SUM(BD50:BD$124)*SSe</f>
        <v>0</v>
      </c>
      <c r="BF50" s="70">
        <f t="shared" ca="1" si="71"/>
        <v>99999.012970709329</v>
      </c>
      <c r="BG50" s="2">
        <f t="shared" ref="BG50" ca="1" si="969">IFERROR(VLOOKUP($S50,qx_table,MATCH(BG$11,qx_title,0)+sexB),0)</f>
        <v>0</v>
      </c>
      <c r="BH50" s="131">
        <f t="shared" ca="1" si="848"/>
        <v>0</v>
      </c>
      <c r="BI50" s="2">
        <f ca="1">SUM(BH50:BH$124)*SSf</f>
        <v>0</v>
      </c>
      <c r="BJ50" s="70">
        <f t="shared" ca="1" si="74"/>
        <v>99999.012970709329</v>
      </c>
      <c r="BK50" s="2">
        <f t="shared" ref="BK50" ca="1" si="970">IFERROR(VLOOKUP($S50,qx_table,MATCH(BK$11,qx_title,0)+sexB),0)</f>
        <v>0</v>
      </c>
      <c r="BL50" s="131">
        <f t="shared" ca="1" si="850"/>
        <v>0</v>
      </c>
      <c r="BM50" s="131">
        <f ca="1">SUM(BL50:BL$124)*SSg</f>
        <v>0</v>
      </c>
      <c r="BN50" s="70">
        <f t="shared" ca="1" si="77"/>
        <v>99999.012970709329</v>
      </c>
      <c r="BO50" s="2">
        <f t="shared" ref="BO50" ca="1" si="971">IFERROR(VLOOKUP($S50,qx_table,MATCH(BO$11,qx_title,0)+sexB),0)</f>
        <v>0</v>
      </c>
      <c r="BP50" s="131">
        <f t="shared" ca="1" si="852"/>
        <v>0</v>
      </c>
      <c r="BQ50" s="131">
        <f ca="1">SUM(BP50:BP$124)*SSh</f>
        <v>0</v>
      </c>
      <c r="BR50" s="70">
        <f t="shared" ca="1" si="80"/>
        <v>99999.012970709329</v>
      </c>
      <c r="BS50" s="2">
        <f t="shared" ref="BS50" ca="1" si="972">IFERROR(VLOOKUP($S50,qx_table,MATCH(BS$11,qx_title,0)+sexB),0)*IF(R50=0,MCi,1)</f>
        <v>0</v>
      </c>
      <c r="BT50" s="131">
        <f t="shared" ca="1" si="854"/>
        <v>0</v>
      </c>
      <c r="BU50" s="131">
        <f ca="1">SUM(BT50:BT$124)*SSi</f>
        <v>0</v>
      </c>
      <c r="BV50" s="70">
        <f t="shared" ca="1" si="83"/>
        <v>99999.012970709329</v>
      </c>
      <c r="BW50" s="2">
        <f t="shared" ref="BW50" ca="1" si="973">IFERROR(VLOOKUP($S50,qx_table,MATCH(BW$11,qx_title,0)+sexB),0)</f>
        <v>0</v>
      </c>
      <c r="BX50" s="131">
        <f t="shared" ca="1" si="856"/>
        <v>0</v>
      </c>
      <c r="BY50" s="131">
        <f ca="1">SUM(BX50:BX$124)*SSj</f>
        <v>0</v>
      </c>
      <c r="BZ50" s="70">
        <f t="shared" ca="1" si="86"/>
        <v>99999.012970709329</v>
      </c>
      <c r="CA50" s="2">
        <f t="shared" ref="CA50" ca="1" si="974">IFERROR(VLOOKUP($S50,qx_table,MATCH(CA$11,qx_title,0)+sexB),0)</f>
        <v>0</v>
      </c>
      <c r="CB50" s="131">
        <f t="shared" ca="1" si="858"/>
        <v>0</v>
      </c>
      <c r="CC50" s="131">
        <f ca="1">SUM(CB50:CB$124)*SSk</f>
        <v>0</v>
      </c>
      <c r="CD50" s="8">
        <f t="shared" ca="1" si="89"/>
        <v>99999.012970709329</v>
      </c>
      <c r="CE50" s="2">
        <f t="shared" ref="CE50" ca="1" si="975">IFERROR(VLOOKUP($S50,qx_table,MATCH(CE$11,qx_title,0)+sexB),0)</f>
        <v>0</v>
      </c>
      <c r="CF50" s="131">
        <f t="shared" ca="1" si="860"/>
        <v>0</v>
      </c>
      <c r="CG50" s="131">
        <f ca="1">SUM(CF50:CF$124)*SSl</f>
        <v>0</v>
      </c>
      <c r="CH50" s="101">
        <f t="shared" ca="1" si="92"/>
        <v>0</v>
      </c>
      <c r="CI50" s="154">
        <f t="shared" ca="1" si="817"/>
        <v>0</v>
      </c>
      <c r="CJ50" s="32">
        <f t="shared" ref="CJ50" ca="1" si="976">+MAX(VLOOKUP(xB+$R50,기수표B,$AH$1)-VLOOKUP(xB+mB,기수표B,$AH$1),0)</f>
        <v>0</v>
      </c>
      <c r="CK50" s="32">
        <f t="shared" ref="CK50" ca="1" si="977">+MAX(VLOOKUP(xB+$R50,기수표B,$AH$1)-VLOOKUP(xB+mB,기수표B,$AH$1)-11/24*(VLOOKUP(xB+$R50,기수표B,$AG$1)-VLOOKUP(xB+mB,기수표B,$AG$1)),0)</f>
        <v>0</v>
      </c>
      <c r="CL50" s="32">
        <f t="shared" ref="CL50" ca="1" si="978">+MAX(VLOOKUP(xB+$R50,기수표B,$AA$1)-VLOOKUP(xB+mB,기수표B,$AA$1),0)</f>
        <v>0</v>
      </c>
      <c r="CM50" s="32">
        <f t="shared" ref="CM50" ca="1" si="979">+MAX(VLOOKUP(xB+$R50,기수표B,$AA$1)-VLOOKUP(xB+mB,기수표B,$AA$1)-11/24*(VLOOKUP(xB+$R50,기수표B,$AA$1)-VLOOKUP(xB+mB,기수표B,$AA$1)),0)</f>
        <v>0</v>
      </c>
      <c r="CN50" s="32">
        <f t="shared" si="822"/>
        <v>0</v>
      </c>
      <c r="CO50" s="32">
        <f t="shared" ca="1" si="823"/>
        <v>0</v>
      </c>
      <c r="CP50" s="259">
        <f t="shared" ca="1" si="824"/>
        <v>0</v>
      </c>
      <c r="CQ50" s="259">
        <f t="shared" ca="1" si="825"/>
        <v>0</v>
      </c>
      <c r="CR50" s="259" t="e">
        <f t="shared" ca="1" si="826"/>
        <v>#DIV/0!</v>
      </c>
      <c r="CS50" s="31">
        <f t="shared" ref="CS50" si="980">+MIN(mB,7)</f>
        <v>5</v>
      </c>
      <c r="CU50" s="13">
        <v>38</v>
      </c>
      <c r="CV50" s="477">
        <f t="shared" ca="1" si="828"/>
        <v>420</v>
      </c>
      <c r="CW50" s="477" t="e">
        <f t="shared" ca="1" si="829"/>
        <v>#DIV/0!</v>
      </c>
      <c r="CX50" s="477">
        <f t="shared" ca="1" si="830"/>
        <v>0</v>
      </c>
      <c r="CY50" s="478">
        <f t="shared" ca="1" si="98"/>
        <v>0</v>
      </c>
    </row>
    <row r="51" spans="2:103">
      <c r="G51" s="53"/>
      <c r="H51" s="54" t="s">
        <v>37</v>
      </c>
      <c r="I51" s="16">
        <f ca="1">+I45-I46-I50-I52</f>
        <v>5.7675820174265739</v>
      </c>
      <c r="J51" s="29">
        <f t="shared" ca="1" si="831"/>
        <v>0.82394028820379628</v>
      </c>
      <c r="N51" s="5">
        <f t="shared" si="99"/>
        <v>39</v>
      </c>
      <c r="O51" s="2">
        <f t="shared" ref="O51" ca="1" si="981">+(1+iB)^-N51</f>
        <v>0.41988527975403206</v>
      </c>
      <c r="P51" s="2">
        <f t="shared" ref="P51" ca="1" si="982">+(1+iB)^-(N51+0.5)</f>
        <v>0.41523981718303687</v>
      </c>
      <c r="Q51" s="91"/>
      <c r="R51" s="20">
        <f t="shared" si="102"/>
        <v>39</v>
      </c>
      <c r="S51" s="20" t="str">
        <f t="shared" ref="S51" si="983">+IF(xB+R51&lt;=xB+nB,xB+R51,"")</f>
        <v/>
      </c>
      <c r="T51" s="2">
        <f t="shared" ref="T51:U51" ca="1" si="984">IFERROR(VLOOKUP($S51,qx_table,MATCH(T$11,qx_title,0)+sexB),0)</f>
        <v>0</v>
      </c>
      <c r="U51" s="2">
        <f t="shared" ca="1" si="984"/>
        <v>0</v>
      </c>
      <c r="V51" s="300">
        <f>IF(JRB=2,0,IF(R51&gt;=mB-1,_xlfn.XLOOKUP(R51-mB,해지율!#REF!,해지율!#REF!,,1),_xlfn.XLOOKUP(R51,해지율!#REF!,해지율!#REF!,,-1)))</f>
        <v>0</v>
      </c>
      <c r="W51" s="8">
        <f t="shared" ref="W51" si="985">IF(R51=0,100000,IF(R51&gt;nB,0,W50*(1-X50)*(1-Y50)))</f>
        <v>0</v>
      </c>
      <c r="X51" s="10">
        <f t="shared" ca="1" si="19"/>
        <v>0</v>
      </c>
      <c r="Y51" s="10">
        <f t="shared" ca="1" si="20"/>
        <v>0</v>
      </c>
      <c r="Z51" s="8">
        <f t="shared" ca="1" si="106"/>
        <v>0</v>
      </c>
      <c r="AA51" s="8">
        <f ca="1">+SUM(Z51:Z$124)</f>
        <v>0</v>
      </c>
      <c r="AB51" s="8">
        <f t="shared" ca="1" si="21"/>
        <v>0</v>
      </c>
      <c r="AC51" s="209">
        <f ca="1">+SUM(AB51:AB$124)*SSSM</f>
        <v>0</v>
      </c>
      <c r="AD51" s="209">
        <f t="shared" ref="AD51" si="986">IF(R51&gt;nB,0,AD50*(1-X50)*(1-Y50)*(1-AE50)*(1-AF50))</f>
        <v>0</v>
      </c>
      <c r="AE51" s="92">
        <f t="shared" ca="1" si="56"/>
        <v>0</v>
      </c>
      <c r="AF51" s="92">
        <f t="shared" ca="1" si="22"/>
        <v>0</v>
      </c>
      <c r="AG51" s="664">
        <f t="shared" ca="1" si="23"/>
        <v>0</v>
      </c>
      <c r="AH51" s="5">
        <f ca="1">+SUM(AG51:AG$124)</f>
        <v>0</v>
      </c>
      <c r="AI51" s="70">
        <f t="shared" ca="1" si="24"/>
        <v>0</v>
      </c>
      <c r="AJ51" s="208">
        <f ca="1">+SUM(AB51:AB$124)*SS50J</f>
        <v>0</v>
      </c>
      <c r="AK51" s="5">
        <f t="shared" ca="1" si="108"/>
        <v>99999.012970709329</v>
      </c>
      <c r="AL51" s="2">
        <f t="shared" ref="AL51" ca="1" si="987">IFERROR(VLOOKUP($S51,qx_table,MATCH(AL$11,qx_title,0)+sexB),0)</f>
        <v>0</v>
      </c>
      <c r="AM51" s="131">
        <f t="shared" ca="1" si="110"/>
        <v>41988.113536333367</v>
      </c>
      <c r="AN51" s="129">
        <f t="shared" ca="1" si="839"/>
        <v>0</v>
      </c>
      <c r="AO51" s="129">
        <f ca="1">SUM(AN51:AN$124)*SSa</f>
        <v>0</v>
      </c>
      <c r="AP51" s="70">
        <f t="shared" ca="1" si="59"/>
        <v>99999.012970709329</v>
      </c>
      <c r="AQ51" s="2">
        <f t="shared" ref="AQ51" ca="1" si="988">IFERROR(VLOOKUP($S51,qx_table,MATCH(AQ$11,qx_title,0)+sexB),0)</f>
        <v>0</v>
      </c>
      <c r="AR51" s="127">
        <f t="shared" ca="1" si="841"/>
        <v>0</v>
      </c>
      <c r="AS51" s="127">
        <f ca="1">SUM(AR51:AR$124)*SSb</f>
        <v>0</v>
      </c>
      <c r="AT51" s="70">
        <f t="shared" ca="1" si="62"/>
        <v>99999.012970709329</v>
      </c>
      <c r="AU51" s="2">
        <f t="shared" ref="AU51" ca="1" si="989">IFERROR(VLOOKUP($S51,qx_table,MATCH(AU$11,qx_title,0)+sexB),0)</f>
        <v>0</v>
      </c>
      <c r="AV51" s="268">
        <f t="shared" ca="1" si="843"/>
        <v>0</v>
      </c>
      <c r="AW51" s="131">
        <f ca="1">SUM(AV51:AV$124)*SSc</f>
        <v>0</v>
      </c>
      <c r="AX51" s="70">
        <f t="shared" ca="1" si="65"/>
        <v>99999.012970709329</v>
      </c>
      <c r="AY51" s="2">
        <f t="shared" ref="AY51" ca="1" si="990">IFERROR(VLOOKUP($S51,qx_table,MATCH(AY$11,qx_title,0)+sexB),0)</f>
        <v>0</v>
      </c>
      <c r="AZ51" s="268">
        <f t="shared" ca="1" si="808"/>
        <v>0</v>
      </c>
      <c r="BA51" s="129">
        <f ca="1">SUM(AZ51:AZ$124)*SSd</f>
        <v>0</v>
      </c>
      <c r="BB51" s="70">
        <f t="shared" ca="1" si="68"/>
        <v>99999.012970709329</v>
      </c>
      <c r="BC51" s="257">
        <f t="shared" ref="BC51" ca="1" si="991">IFERROR(VLOOKUP($S51,qx_table,MATCH(BC$11,qx_title,0)+sexB),0)</f>
        <v>0</v>
      </c>
      <c r="BD51" s="268">
        <f t="shared" ca="1" si="846"/>
        <v>0</v>
      </c>
      <c r="BE51" s="131">
        <f ca="1">SUM(BD51:BD$124)*SSe</f>
        <v>0</v>
      </c>
      <c r="BF51" s="70">
        <f t="shared" ca="1" si="71"/>
        <v>99999.012970709329</v>
      </c>
      <c r="BG51" s="2">
        <f t="shared" ref="BG51" ca="1" si="992">IFERROR(VLOOKUP($S51,qx_table,MATCH(BG$11,qx_title,0)+sexB),0)</f>
        <v>0</v>
      </c>
      <c r="BH51" s="131">
        <f t="shared" ca="1" si="848"/>
        <v>0</v>
      </c>
      <c r="BI51" s="2">
        <f ca="1">SUM(BH51:BH$124)*SSf</f>
        <v>0</v>
      </c>
      <c r="BJ51" s="70">
        <f t="shared" ca="1" si="74"/>
        <v>99999.012970709329</v>
      </c>
      <c r="BK51" s="2">
        <f t="shared" ref="BK51" ca="1" si="993">IFERROR(VLOOKUP($S51,qx_table,MATCH(BK$11,qx_title,0)+sexB),0)</f>
        <v>0</v>
      </c>
      <c r="BL51" s="131">
        <f t="shared" ca="1" si="850"/>
        <v>0</v>
      </c>
      <c r="BM51" s="131">
        <f ca="1">SUM(BL51:BL$124)*SSg</f>
        <v>0</v>
      </c>
      <c r="BN51" s="70">
        <f t="shared" ca="1" si="77"/>
        <v>99999.012970709329</v>
      </c>
      <c r="BO51" s="2">
        <f t="shared" ref="BO51" ca="1" si="994">IFERROR(VLOOKUP($S51,qx_table,MATCH(BO$11,qx_title,0)+sexB),0)</f>
        <v>0</v>
      </c>
      <c r="BP51" s="131">
        <f t="shared" ca="1" si="852"/>
        <v>0</v>
      </c>
      <c r="BQ51" s="131">
        <f ca="1">SUM(BP51:BP$124)*SSh</f>
        <v>0</v>
      </c>
      <c r="BR51" s="70">
        <f t="shared" ca="1" si="80"/>
        <v>99999.012970709329</v>
      </c>
      <c r="BS51" s="2">
        <f t="shared" ref="BS51" ca="1" si="995">IFERROR(VLOOKUP($S51,qx_table,MATCH(BS$11,qx_title,0)+sexB),0)*IF(R51=0,MCi,1)</f>
        <v>0</v>
      </c>
      <c r="BT51" s="131">
        <f t="shared" ca="1" si="854"/>
        <v>0</v>
      </c>
      <c r="BU51" s="131">
        <f ca="1">SUM(BT51:BT$124)*SSi</f>
        <v>0</v>
      </c>
      <c r="BV51" s="70">
        <f t="shared" ca="1" si="83"/>
        <v>99999.012970709329</v>
      </c>
      <c r="BW51" s="2">
        <f t="shared" ref="BW51" ca="1" si="996">IFERROR(VLOOKUP($S51,qx_table,MATCH(BW$11,qx_title,0)+sexB),0)</f>
        <v>0</v>
      </c>
      <c r="BX51" s="131">
        <f t="shared" ca="1" si="856"/>
        <v>0</v>
      </c>
      <c r="BY51" s="131">
        <f ca="1">SUM(BX51:BX$124)*SSj</f>
        <v>0</v>
      </c>
      <c r="BZ51" s="70">
        <f t="shared" ca="1" si="86"/>
        <v>99999.012970709329</v>
      </c>
      <c r="CA51" s="2">
        <f t="shared" ref="CA51" ca="1" si="997">IFERROR(VLOOKUP($S51,qx_table,MATCH(CA$11,qx_title,0)+sexB),0)</f>
        <v>0</v>
      </c>
      <c r="CB51" s="131">
        <f t="shared" ca="1" si="858"/>
        <v>0</v>
      </c>
      <c r="CC51" s="131">
        <f ca="1">SUM(CB51:CB$124)*SSk</f>
        <v>0</v>
      </c>
      <c r="CD51" s="8">
        <f t="shared" ca="1" si="89"/>
        <v>99999.012970709329</v>
      </c>
      <c r="CE51" s="2">
        <f t="shared" ref="CE51" ca="1" si="998">IFERROR(VLOOKUP($S51,qx_table,MATCH(CE$11,qx_title,0)+sexB),0)</f>
        <v>0</v>
      </c>
      <c r="CF51" s="131">
        <f t="shared" ca="1" si="860"/>
        <v>0</v>
      </c>
      <c r="CG51" s="131">
        <f ca="1">SUM(CF51:CF$124)*SSl</f>
        <v>0</v>
      </c>
      <c r="CH51" s="101">
        <f t="shared" ca="1" si="92"/>
        <v>0</v>
      </c>
      <c r="CI51" s="154">
        <f t="shared" ca="1" si="817"/>
        <v>0</v>
      </c>
      <c r="CJ51" s="32">
        <f t="shared" ref="CJ51" ca="1" si="999">+MAX(VLOOKUP(xB+$R51,기수표B,$AH$1)-VLOOKUP(xB+mB,기수표B,$AH$1),0)</f>
        <v>0</v>
      </c>
      <c r="CK51" s="32">
        <f t="shared" ref="CK51" ca="1" si="1000">+MAX(VLOOKUP(xB+$R51,기수표B,$AH$1)-VLOOKUP(xB+mB,기수표B,$AH$1)-11/24*(VLOOKUP(xB+$R51,기수표B,$AG$1)-VLOOKUP(xB+mB,기수표B,$AG$1)),0)</f>
        <v>0</v>
      </c>
      <c r="CL51" s="32">
        <f t="shared" ref="CL51" ca="1" si="1001">+MAX(VLOOKUP(xB+$R51,기수표B,$AA$1)-VLOOKUP(xB+mB,기수표B,$AA$1),0)</f>
        <v>0</v>
      </c>
      <c r="CM51" s="32">
        <f t="shared" ref="CM51" ca="1" si="1002">+MAX(VLOOKUP(xB+$R51,기수표B,$AA$1)-VLOOKUP(xB+mB,기수표B,$AA$1)-11/24*(VLOOKUP(xB+$R51,기수표B,$AA$1)-VLOOKUP(xB+mB,기수표B,$AA$1)),0)</f>
        <v>0</v>
      </c>
      <c r="CN51" s="32">
        <f t="shared" si="822"/>
        <v>0</v>
      </c>
      <c r="CO51" s="32">
        <f t="shared" ca="1" si="823"/>
        <v>0</v>
      </c>
      <c r="CP51" s="259">
        <f t="shared" ca="1" si="824"/>
        <v>0</v>
      </c>
      <c r="CQ51" s="259">
        <f t="shared" ca="1" si="825"/>
        <v>0</v>
      </c>
      <c r="CR51" s="259" t="e">
        <f t="shared" ca="1" si="826"/>
        <v>#DIV/0!</v>
      </c>
      <c r="CS51" s="31">
        <f t="shared" ref="CS51" si="1003">+MIN(mB,7)</f>
        <v>5</v>
      </c>
      <c r="CU51" s="13">
        <v>39</v>
      </c>
      <c r="CV51" s="477">
        <f t="shared" ca="1" si="828"/>
        <v>420</v>
      </c>
      <c r="CW51" s="477" t="e">
        <f t="shared" ca="1" si="829"/>
        <v>#DIV/0!</v>
      </c>
      <c r="CX51" s="477">
        <f t="shared" ca="1" si="830"/>
        <v>0</v>
      </c>
      <c r="CY51" s="478">
        <f t="shared" ca="1" si="98"/>
        <v>0</v>
      </c>
    </row>
    <row r="52" spans="2:103">
      <c r="G52" s="57"/>
      <c r="H52" s="58" t="s">
        <v>38</v>
      </c>
      <c r="I52" s="25">
        <f ca="1">+GAM*H29*SB</f>
        <v>0.17500000000000002</v>
      </c>
      <c r="J52" s="30">
        <f t="shared" ca="1" si="831"/>
        <v>2.5000000000000001E-2</v>
      </c>
      <c r="N52" s="5">
        <f t="shared" si="99"/>
        <v>40</v>
      </c>
      <c r="O52" s="2">
        <f t="shared" ref="O52" ca="1" si="1004">+(1+iB)^-N52</f>
        <v>0.41064575037069156</v>
      </c>
      <c r="P52" s="2">
        <f t="shared" ref="P52" ca="1" si="1005">+(1+iB)^-(N52+0.5)</f>
        <v>0.40610251069245662</v>
      </c>
      <c r="Q52" s="91"/>
      <c r="R52" s="20">
        <f t="shared" si="102"/>
        <v>40</v>
      </c>
      <c r="S52" s="20" t="str">
        <f t="shared" ref="S52" si="1006">+IF(xB+R52&lt;=xB+nB,xB+R52,"")</f>
        <v/>
      </c>
      <c r="T52" s="2">
        <f t="shared" ref="T52:U52" ca="1" si="1007">IFERROR(VLOOKUP($S52,qx_table,MATCH(T$11,qx_title,0)+sexB),0)</f>
        <v>0</v>
      </c>
      <c r="U52" s="2">
        <f t="shared" ca="1" si="1007"/>
        <v>0</v>
      </c>
      <c r="V52" s="300">
        <f>IF(JRB=2,0,IF(R52&gt;=mB-1,_xlfn.XLOOKUP(R52-mB,해지율!#REF!,해지율!#REF!,,1),_xlfn.XLOOKUP(R52,해지율!#REF!,해지율!#REF!,,-1)))</f>
        <v>0</v>
      </c>
      <c r="W52" s="8">
        <f t="shared" ref="W52" si="1008">IF(R52=0,100000,IF(R52&gt;nB,0,W51*(1-X51)*(1-Y51)))</f>
        <v>0</v>
      </c>
      <c r="X52" s="10">
        <f t="shared" ca="1" si="19"/>
        <v>0</v>
      </c>
      <c r="Y52" s="10">
        <f t="shared" ca="1" si="20"/>
        <v>0</v>
      </c>
      <c r="Z52" s="8">
        <f t="shared" ca="1" si="106"/>
        <v>0</v>
      </c>
      <c r="AA52" s="8">
        <f ca="1">+SUM(Z52:Z$124)</f>
        <v>0</v>
      </c>
      <c r="AB52" s="8">
        <f t="shared" ca="1" si="21"/>
        <v>0</v>
      </c>
      <c r="AC52" s="209">
        <f ca="1">+SUM(AB52:AB$124)*SSSM</f>
        <v>0</v>
      </c>
      <c r="AD52" s="209">
        <f t="shared" ref="AD52" si="1009">IF(R52&gt;nB,0,AD51*(1-X51)*(1-Y51)*(1-AE51)*(1-AF51))</f>
        <v>0</v>
      </c>
      <c r="AE52" s="92">
        <f t="shared" ca="1" si="56"/>
        <v>0</v>
      </c>
      <c r="AF52" s="92">
        <f t="shared" ca="1" si="22"/>
        <v>0</v>
      </c>
      <c r="AG52" s="664">
        <f t="shared" ca="1" si="23"/>
        <v>0</v>
      </c>
      <c r="AH52" s="5">
        <f ca="1">+SUM(AG52:AG$124)</f>
        <v>0</v>
      </c>
      <c r="AI52" s="70">
        <f t="shared" ca="1" si="24"/>
        <v>0</v>
      </c>
      <c r="AJ52" s="208">
        <f ca="1">+SUM(AB52:AB$124)*SS50J</f>
        <v>0</v>
      </c>
      <c r="AK52" s="5">
        <f t="shared" ca="1" si="108"/>
        <v>99999.012970709329</v>
      </c>
      <c r="AL52" s="2">
        <f t="shared" ref="AL52" ca="1" si="1010">IFERROR(VLOOKUP($S52,qx_table,MATCH(AL$11,qx_title,0)+sexB),0)</f>
        <v>0</v>
      </c>
      <c r="AM52" s="131">
        <f t="shared" ca="1" si="110"/>
        <v>41064.16971768545</v>
      </c>
      <c r="AN52" s="129">
        <f t="shared" ca="1" si="839"/>
        <v>0</v>
      </c>
      <c r="AO52" s="129">
        <f ca="1">SUM(AN52:AN$124)*SSa</f>
        <v>0</v>
      </c>
      <c r="AP52" s="70">
        <f t="shared" ca="1" si="59"/>
        <v>99999.012970709329</v>
      </c>
      <c r="AQ52" s="2">
        <f t="shared" ref="AQ52" ca="1" si="1011">IFERROR(VLOOKUP($S52,qx_table,MATCH(AQ$11,qx_title,0)+sexB),0)</f>
        <v>0</v>
      </c>
      <c r="AR52" s="127">
        <f t="shared" ca="1" si="841"/>
        <v>0</v>
      </c>
      <c r="AS52" s="127">
        <f ca="1">SUM(AR52:AR$124)*SSb</f>
        <v>0</v>
      </c>
      <c r="AT52" s="70">
        <f t="shared" ca="1" si="62"/>
        <v>99999.012970709329</v>
      </c>
      <c r="AU52" s="2">
        <f t="shared" ref="AU52" ca="1" si="1012">IFERROR(VLOOKUP($S52,qx_table,MATCH(AU$11,qx_title,0)+sexB),0)</f>
        <v>0</v>
      </c>
      <c r="AV52" s="268">
        <f t="shared" ca="1" si="843"/>
        <v>0</v>
      </c>
      <c r="AW52" s="131">
        <f ca="1">SUM(AV52:AV$124)*SSc</f>
        <v>0</v>
      </c>
      <c r="AX52" s="70">
        <f t="shared" ca="1" si="65"/>
        <v>99999.012970709329</v>
      </c>
      <c r="AY52" s="2">
        <f t="shared" ref="AY52" ca="1" si="1013">IFERROR(VLOOKUP($S52,qx_table,MATCH(AY$11,qx_title,0)+sexB),0)</f>
        <v>0</v>
      </c>
      <c r="AZ52" s="268">
        <f t="shared" ca="1" si="808"/>
        <v>0</v>
      </c>
      <c r="BA52" s="129">
        <f ca="1">SUM(AZ52:AZ$124)*SSd</f>
        <v>0</v>
      </c>
      <c r="BB52" s="70">
        <f t="shared" ca="1" si="68"/>
        <v>99999.012970709329</v>
      </c>
      <c r="BC52" s="257">
        <f t="shared" ref="BC52" ca="1" si="1014">IFERROR(VLOOKUP($S52,qx_table,MATCH(BC$11,qx_title,0)+sexB),0)</f>
        <v>0</v>
      </c>
      <c r="BD52" s="268">
        <f t="shared" ca="1" si="846"/>
        <v>0</v>
      </c>
      <c r="BE52" s="131">
        <f ca="1">SUM(BD52:BD$124)*SSe</f>
        <v>0</v>
      </c>
      <c r="BF52" s="70">
        <f t="shared" ca="1" si="71"/>
        <v>99999.012970709329</v>
      </c>
      <c r="BG52" s="2">
        <f t="shared" ref="BG52" ca="1" si="1015">IFERROR(VLOOKUP($S52,qx_table,MATCH(BG$11,qx_title,0)+sexB),0)</f>
        <v>0</v>
      </c>
      <c r="BH52" s="131">
        <f t="shared" ca="1" si="848"/>
        <v>0</v>
      </c>
      <c r="BI52" s="2">
        <f ca="1">SUM(BH52:BH$124)*SSf</f>
        <v>0</v>
      </c>
      <c r="BJ52" s="70">
        <f t="shared" ca="1" si="74"/>
        <v>99999.012970709329</v>
      </c>
      <c r="BK52" s="2">
        <f t="shared" ref="BK52" ca="1" si="1016">IFERROR(VLOOKUP($S52,qx_table,MATCH(BK$11,qx_title,0)+sexB),0)</f>
        <v>0</v>
      </c>
      <c r="BL52" s="131">
        <f t="shared" ca="1" si="850"/>
        <v>0</v>
      </c>
      <c r="BM52" s="131">
        <f ca="1">SUM(BL52:BL$124)*SSg</f>
        <v>0</v>
      </c>
      <c r="BN52" s="70">
        <f t="shared" ca="1" si="77"/>
        <v>99999.012970709329</v>
      </c>
      <c r="BO52" s="2">
        <f t="shared" ref="BO52" ca="1" si="1017">IFERROR(VLOOKUP($S52,qx_table,MATCH(BO$11,qx_title,0)+sexB),0)</f>
        <v>0</v>
      </c>
      <c r="BP52" s="131">
        <f t="shared" ca="1" si="852"/>
        <v>0</v>
      </c>
      <c r="BQ52" s="131">
        <f ca="1">SUM(BP52:BP$124)*SSh</f>
        <v>0</v>
      </c>
      <c r="BR52" s="70">
        <f t="shared" ca="1" si="80"/>
        <v>99999.012970709329</v>
      </c>
      <c r="BS52" s="2">
        <f t="shared" ref="BS52" ca="1" si="1018">IFERROR(VLOOKUP($S52,qx_table,MATCH(BS$11,qx_title,0)+sexB),0)*IF(R52=0,MCi,1)</f>
        <v>0</v>
      </c>
      <c r="BT52" s="131">
        <f t="shared" ca="1" si="854"/>
        <v>0</v>
      </c>
      <c r="BU52" s="131">
        <f ca="1">SUM(BT52:BT$124)*SSi</f>
        <v>0</v>
      </c>
      <c r="BV52" s="70">
        <f t="shared" ca="1" si="83"/>
        <v>99999.012970709329</v>
      </c>
      <c r="BW52" s="2">
        <f t="shared" ref="BW52" ca="1" si="1019">IFERROR(VLOOKUP($S52,qx_table,MATCH(BW$11,qx_title,0)+sexB),0)</f>
        <v>0</v>
      </c>
      <c r="BX52" s="131">
        <f t="shared" ca="1" si="856"/>
        <v>0</v>
      </c>
      <c r="BY52" s="131">
        <f ca="1">SUM(BX52:BX$124)*SSj</f>
        <v>0</v>
      </c>
      <c r="BZ52" s="70">
        <f t="shared" ca="1" si="86"/>
        <v>99999.012970709329</v>
      </c>
      <c r="CA52" s="2">
        <f t="shared" ref="CA52" ca="1" si="1020">IFERROR(VLOOKUP($S52,qx_table,MATCH(CA$11,qx_title,0)+sexB),0)</f>
        <v>0</v>
      </c>
      <c r="CB52" s="131">
        <f t="shared" ca="1" si="858"/>
        <v>0</v>
      </c>
      <c r="CC52" s="131">
        <f ca="1">SUM(CB52:CB$124)*SSk</f>
        <v>0</v>
      </c>
      <c r="CD52" s="8">
        <f t="shared" ca="1" si="89"/>
        <v>99999.012970709329</v>
      </c>
      <c r="CE52" s="2">
        <f t="shared" ref="CE52" ca="1" si="1021">IFERROR(VLOOKUP($S52,qx_table,MATCH(CE$11,qx_title,0)+sexB),0)</f>
        <v>0</v>
      </c>
      <c r="CF52" s="131">
        <f t="shared" ca="1" si="860"/>
        <v>0</v>
      </c>
      <c r="CG52" s="131">
        <f ca="1">SUM(CF52:CF$124)*SSl</f>
        <v>0</v>
      </c>
      <c r="CH52" s="101">
        <f t="shared" ca="1" si="92"/>
        <v>0</v>
      </c>
      <c r="CI52" s="154">
        <f t="shared" ca="1" si="817"/>
        <v>0</v>
      </c>
      <c r="CJ52" s="32">
        <f t="shared" ref="CJ52" ca="1" si="1022">+MAX(VLOOKUP(xB+$R52,기수표B,$AH$1)-VLOOKUP(xB+mB,기수표B,$AH$1),0)</f>
        <v>0</v>
      </c>
      <c r="CK52" s="32">
        <f t="shared" ref="CK52" ca="1" si="1023">+MAX(VLOOKUP(xB+$R52,기수표B,$AH$1)-VLOOKUP(xB+mB,기수표B,$AH$1)-11/24*(VLOOKUP(xB+$R52,기수표B,$AG$1)-VLOOKUP(xB+mB,기수표B,$AG$1)),0)</f>
        <v>0</v>
      </c>
      <c r="CL52" s="32">
        <f t="shared" ref="CL52" ca="1" si="1024">+MAX(VLOOKUP(xB+$R52,기수표B,$AA$1)-VLOOKUP(xB+mB,기수표B,$AA$1),0)</f>
        <v>0</v>
      </c>
      <c r="CM52" s="32">
        <f t="shared" ref="CM52" ca="1" si="1025">+MAX(VLOOKUP(xB+$R52,기수표B,$AA$1)-VLOOKUP(xB+mB,기수표B,$AA$1)-11/24*(VLOOKUP(xB+$R52,기수표B,$AA$1)-VLOOKUP(xB+mB,기수표B,$AA$1)),0)</f>
        <v>0</v>
      </c>
      <c r="CN52" s="32">
        <f t="shared" si="822"/>
        <v>0</v>
      </c>
      <c r="CO52" s="32">
        <f t="shared" ca="1" si="823"/>
        <v>0</v>
      </c>
      <c r="CP52" s="259">
        <f t="shared" ca="1" si="824"/>
        <v>0</v>
      </c>
      <c r="CQ52" s="259">
        <f t="shared" ca="1" si="825"/>
        <v>0</v>
      </c>
      <c r="CR52" s="259" t="e">
        <f t="shared" ca="1" si="826"/>
        <v>#DIV/0!</v>
      </c>
      <c r="CS52" s="31">
        <f t="shared" ref="CS52" si="1026">+MIN(mB,7)</f>
        <v>5</v>
      </c>
      <c r="CU52" s="13">
        <v>40</v>
      </c>
      <c r="CV52" s="477">
        <f t="shared" ca="1" si="828"/>
        <v>420</v>
      </c>
      <c r="CW52" s="477" t="e">
        <f t="shared" ca="1" si="829"/>
        <v>#DIV/0!</v>
      </c>
      <c r="CX52" s="477">
        <f t="shared" ca="1" si="830"/>
        <v>0</v>
      </c>
      <c r="CY52" s="478">
        <f t="shared" ca="1" si="98"/>
        <v>0</v>
      </c>
    </row>
    <row r="53" spans="2:103">
      <c r="N53" s="5">
        <f t="shared" si="99"/>
        <v>41</v>
      </c>
      <c r="O53" s="2">
        <f t="shared" ref="O53" ca="1" si="1027">+(1+iB)^-N53</f>
        <v>0.40160953581485731</v>
      </c>
      <c r="P53" s="2">
        <f t="shared" ref="P53" ca="1" si="1028">+(1+iB)^-(N53+0.5)</f>
        <v>0.39716626962587448</v>
      </c>
      <c r="Q53" s="91"/>
      <c r="R53" s="20">
        <f t="shared" si="102"/>
        <v>41</v>
      </c>
      <c r="S53" s="20" t="str">
        <f t="shared" ref="S53" si="1029">+IF(xB+R53&lt;=xB+nB,xB+R53,"")</f>
        <v/>
      </c>
      <c r="T53" s="2">
        <f t="shared" ref="T53:U53" ca="1" si="1030">IFERROR(VLOOKUP($S53,qx_table,MATCH(T$11,qx_title,0)+sexB),0)</f>
        <v>0</v>
      </c>
      <c r="U53" s="2">
        <f t="shared" ca="1" si="1030"/>
        <v>0</v>
      </c>
      <c r="V53" s="300">
        <f>IF(JRB=2,0,IF(R53&gt;=mB-1,_xlfn.XLOOKUP(R53-mB,해지율!#REF!,해지율!#REF!,,1),_xlfn.XLOOKUP(R53,해지율!#REF!,해지율!#REF!,,-1)))</f>
        <v>0</v>
      </c>
      <c r="W53" s="8">
        <f t="shared" ref="W53" si="1031">IF(R53=0,100000,IF(R53&gt;nB,0,W52*(1-X52)*(1-Y52)))</f>
        <v>0</v>
      </c>
      <c r="X53" s="10">
        <f t="shared" ca="1" si="19"/>
        <v>0</v>
      </c>
      <c r="Y53" s="10">
        <f t="shared" ca="1" si="20"/>
        <v>0</v>
      </c>
      <c r="Z53" s="8">
        <f t="shared" ca="1" si="106"/>
        <v>0</v>
      </c>
      <c r="AA53" s="8">
        <f ca="1">+SUM(Z53:Z$124)</f>
        <v>0</v>
      </c>
      <c r="AB53" s="8">
        <f t="shared" ca="1" si="21"/>
        <v>0</v>
      </c>
      <c r="AC53" s="209">
        <f ca="1">+SUM(AB53:AB$124)*SSSM</f>
        <v>0</v>
      </c>
      <c r="AD53" s="209">
        <f t="shared" ref="AD53" si="1032">IF(R53&gt;nB,0,AD52*(1-X52)*(1-Y52)*(1-AE52)*(1-AF52))</f>
        <v>0</v>
      </c>
      <c r="AE53" s="92">
        <f t="shared" ca="1" si="56"/>
        <v>0</v>
      </c>
      <c r="AF53" s="92">
        <f t="shared" ca="1" si="22"/>
        <v>0</v>
      </c>
      <c r="AG53" s="664">
        <f t="shared" ca="1" si="23"/>
        <v>0</v>
      </c>
      <c r="AH53" s="5">
        <f ca="1">+SUM(AG53:AG$124)</f>
        <v>0</v>
      </c>
      <c r="AI53" s="70">
        <f t="shared" ca="1" si="24"/>
        <v>0</v>
      </c>
      <c r="AJ53" s="208">
        <f ca="1">+SUM(AB53:AB$124)*SS50J</f>
        <v>0</v>
      </c>
      <c r="AK53" s="5">
        <f t="shared" ca="1" si="108"/>
        <v>99999.012970709329</v>
      </c>
      <c r="AL53" s="2">
        <f t="shared" ref="AL53" ca="1" si="1033">IFERROR(VLOOKUP($S53,qx_table,MATCH(AL$11,qx_title,0)+sexB),0)</f>
        <v>0</v>
      </c>
      <c r="AM53" s="131">
        <f t="shared" ca="1" si="110"/>
        <v>40160.557181110467</v>
      </c>
      <c r="AN53" s="129">
        <f t="shared" ca="1" si="839"/>
        <v>0</v>
      </c>
      <c r="AO53" s="129">
        <f ca="1">SUM(AN53:AN$124)*SSa</f>
        <v>0</v>
      </c>
      <c r="AP53" s="70">
        <f t="shared" ca="1" si="59"/>
        <v>99999.012970709329</v>
      </c>
      <c r="AQ53" s="2">
        <f t="shared" ref="AQ53" ca="1" si="1034">IFERROR(VLOOKUP($S53,qx_table,MATCH(AQ$11,qx_title,0)+sexB),0)</f>
        <v>0</v>
      </c>
      <c r="AR53" s="127">
        <f t="shared" ca="1" si="841"/>
        <v>0</v>
      </c>
      <c r="AS53" s="127">
        <f ca="1">SUM(AR53:AR$124)*SSb</f>
        <v>0</v>
      </c>
      <c r="AT53" s="70">
        <f t="shared" ca="1" si="62"/>
        <v>99999.012970709329</v>
      </c>
      <c r="AU53" s="2">
        <f t="shared" ref="AU53" ca="1" si="1035">IFERROR(VLOOKUP($S53,qx_table,MATCH(AU$11,qx_title,0)+sexB),0)</f>
        <v>0</v>
      </c>
      <c r="AV53" s="268">
        <f t="shared" ca="1" si="843"/>
        <v>0</v>
      </c>
      <c r="AW53" s="131">
        <f ca="1">SUM(AV53:AV$124)*SSc</f>
        <v>0</v>
      </c>
      <c r="AX53" s="70">
        <f t="shared" ca="1" si="65"/>
        <v>99999.012970709329</v>
      </c>
      <c r="AY53" s="2">
        <f t="shared" ref="AY53" ca="1" si="1036">IFERROR(VLOOKUP($S53,qx_table,MATCH(AY$11,qx_title,0)+sexB),0)</f>
        <v>0</v>
      </c>
      <c r="AZ53" s="268">
        <f t="shared" ca="1" si="808"/>
        <v>0</v>
      </c>
      <c r="BA53" s="129">
        <f ca="1">SUM(AZ53:AZ$124)*SSd</f>
        <v>0</v>
      </c>
      <c r="BB53" s="70">
        <f t="shared" ca="1" si="68"/>
        <v>99999.012970709329</v>
      </c>
      <c r="BC53" s="257">
        <f t="shared" ref="BC53" ca="1" si="1037">IFERROR(VLOOKUP($S53,qx_table,MATCH(BC$11,qx_title,0)+sexB),0)</f>
        <v>0</v>
      </c>
      <c r="BD53" s="268">
        <f t="shared" ca="1" si="846"/>
        <v>0</v>
      </c>
      <c r="BE53" s="131">
        <f ca="1">SUM(BD53:BD$124)*SSe</f>
        <v>0</v>
      </c>
      <c r="BF53" s="70">
        <f t="shared" ca="1" si="71"/>
        <v>99999.012970709329</v>
      </c>
      <c r="BG53" s="2">
        <f t="shared" ref="BG53" ca="1" si="1038">IFERROR(VLOOKUP($S53,qx_table,MATCH(BG$11,qx_title,0)+sexB),0)</f>
        <v>0</v>
      </c>
      <c r="BH53" s="131">
        <f t="shared" ca="1" si="848"/>
        <v>0</v>
      </c>
      <c r="BI53" s="2">
        <f ca="1">SUM(BH53:BH$124)*SSf</f>
        <v>0</v>
      </c>
      <c r="BJ53" s="70">
        <f t="shared" ca="1" si="74"/>
        <v>99999.012970709329</v>
      </c>
      <c r="BK53" s="2">
        <f t="shared" ref="BK53" ca="1" si="1039">IFERROR(VLOOKUP($S53,qx_table,MATCH(BK$11,qx_title,0)+sexB),0)</f>
        <v>0</v>
      </c>
      <c r="BL53" s="131">
        <f t="shared" ca="1" si="850"/>
        <v>0</v>
      </c>
      <c r="BM53" s="131">
        <f ca="1">SUM(BL53:BL$124)*SSg</f>
        <v>0</v>
      </c>
      <c r="BN53" s="70">
        <f t="shared" ca="1" si="77"/>
        <v>99999.012970709329</v>
      </c>
      <c r="BO53" s="2">
        <f t="shared" ref="BO53" ca="1" si="1040">IFERROR(VLOOKUP($S53,qx_table,MATCH(BO$11,qx_title,0)+sexB),0)</f>
        <v>0</v>
      </c>
      <c r="BP53" s="131">
        <f t="shared" ca="1" si="852"/>
        <v>0</v>
      </c>
      <c r="BQ53" s="131">
        <f ca="1">SUM(BP53:BP$124)*SSh</f>
        <v>0</v>
      </c>
      <c r="BR53" s="70">
        <f t="shared" ca="1" si="80"/>
        <v>99999.012970709329</v>
      </c>
      <c r="BS53" s="2">
        <f t="shared" ref="BS53" ca="1" si="1041">IFERROR(VLOOKUP($S53,qx_table,MATCH(BS$11,qx_title,0)+sexB),0)*IF(R53=0,MCi,1)</f>
        <v>0</v>
      </c>
      <c r="BT53" s="131">
        <f t="shared" ca="1" si="854"/>
        <v>0</v>
      </c>
      <c r="BU53" s="131">
        <f ca="1">SUM(BT53:BT$124)*SSi</f>
        <v>0</v>
      </c>
      <c r="BV53" s="70">
        <f t="shared" ca="1" si="83"/>
        <v>99999.012970709329</v>
      </c>
      <c r="BW53" s="2">
        <f t="shared" ref="BW53" ca="1" si="1042">IFERROR(VLOOKUP($S53,qx_table,MATCH(BW$11,qx_title,0)+sexB),0)</f>
        <v>0</v>
      </c>
      <c r="BX53" s="131">
        <f t="shared" ca="1" si="856"/>
        <v>0</v>
      </c>
      <c r="BY53" s="131">
        <f ca="1">SUM(BX53:BX$124)*SSj</f>
        <v>0</v>
      </c>
      <c r="BZ53" s="70">
        <f t="shared" ca="1" si="86"/>
        <v>99999.012970709329</v>
      </c>
      <c r="CA53" s="2">
        <f t="shared" ref="CA53" ca="1" si="1043">IFERROR(VLOOKUP($S53,qx_table,MATCH(CA$11,qx_title,0)+sexB),0)</f>
        <v>0</v>
      </c>
      <c r="CB53" s="131">
        <f t="shared" ca="1" si="858"/>
        <v>0</v>
      </c>
      <c r="CC53" s="131">
        <f ca="1">SUM(CB53:CB$124)*SSk</f>
        <v>0</v>
      </c>
      <c r="CD53" s="8">
        <f t="shared" ca="1" si="89"/>
        <v>99999.012970709329</v>
      </c>
      <c r="CE53" s="2">
        <f t="shared" ref="CE53" ca="1" si="1044">IFERROR(VLOOKUP($S53,qx_table,MATCH(CE$11,qx_title,0)+sexB),0)</f>
        <v>0</v>
      </c>
      <c r="CF53" s="131">
        <f t="shared" ca="1" si="860"/>
        <v>0</v>
      </c>
      <c r="CG53" s="131">
        <f ca="1">SUM(CF53:CF$124)*SSl</f>
        <v>0</v>
      </c>
      <c r="CH53" s="101">
        <f t="shared" ca="1" si="92"/>
        <v>0</v>
      </c>
      <c r="CI53" s="154">
        <f t="shared" ca="1" si="817"/>
        <v>0</v>
      </c>
      <c r="CJ53" s="32">
        <f t="shared" ref="CJ53" ca="1" si="1045">+MAX(VLOOKUP(xB+$R53,기수표B,$AH$1)-VLOOKUP(xB+mB,기수표B,$AH$1),0)</f>
        <v>0</v>
      </c>
      <c r="CK53" s="32">
        <f t="shared" ref="CK53" ca="1" si="1046">+MAX(VLOOKUP(xB+$R53,기수표B,$AH$1)-VLOOKUP(xB+mB,기수표B,$AH$1)-11/24*(VLOOKUP(xB+$R53,기수표B,$AG$1)-VLOOKUP(xB+mB,기수표B,$AG$1)),0)</f>
        <v>0</v>
      </c>
      <c r="CL53" s="32">
        <f t="shared" ref="CL53" ca="1" si="1047">+MAX(VLOOKUP(xB+$R53,기수표B,$AA$1)-VLOOKUP(xB+mB,기수표B,$AA$1),0)</f>
        <v>0</v>
      </c>
      <c r="CM53" s="32">
        <f t="shared" ref="CM53" ca="1" si="1048">+MAX(VLOOKUP(xB+$R53,기수표B,$AA$1)-VLOOKUP(xB+mB,기수표B,$AA$1)-11/24*(VLOOKUP(xB+$R53,기수표B,$AA$1)-VLOOKUP(xB+mB,기수표B,$AA$1)),0)</f>
        <v>0</v>
      </c>
      <c r="CN53" s="32">
        <f t="shared" si="822"/>
        <v>0</v>
      </c>
      <c r="CO53" s="32">
        <f t="shared" ca="1" si="823"/>
        <v>0</v>
      </c>
      <c r="CP53" s="259">
        <f t="shared" ca="1" si="824"/>
        <v>0</v>
      </c>
      <c r="CQ53" s="259">
        <f t="shared" ca="1" si="825"/>
        <v>0</v>
      </c>
      <c r="CR53" s="259" t="e">
        <f t="shared" ca="1" si="826"/>
        <v>#DIV/0!</v>
      </c>
      <c r="CS53" s="31">
        <f t="shared" ref="CS53" si="1049">+MIN(mB,7)</f>
        <v>5</v>
      </c>
      <c r="CU53" s="13">
        <v>41</v>
      </c>
      <c r="CV53" s="477">
        <f t="shared" ca="1" si="828"/>
        <v>420</v>
      </c>
      <c r="CW53" s="477" t="e">
        <f t="shared" ca="1" si="829"/>
        <v>#DIV/0!</v>
      </c>
      <c r="CX53" s="477">
        <f t="shared" ca="1" si="830"/>
        <v>0</v>
      </c>
      <c r="CY53" s="478">
        <f t="shared" ca="1" si="98"/>
        <v>0</v>
      </c>
    </row>
    <row r="54" spans="2:103">
      <c r="N54" s="5">
        <f t="shared" si="99"/>
        <v>42</v>
      </c>
      <c r="O54" s="2">
        <f t="shared" ref="O54" ca="1" si="1050">+(1+iB)^-N54</f>
        <v>0.39277216216611965</v>
      </c>
      <c r="P54" s="2">
        <f t="shared" ref="P54" ca="1" si="1051">+(1+iB)^-(N54+0.5)</f>
        <v>0.3884266695607575</v>
      </c>
      <c r="Q54" s="91"/>
      <c r="R54" s="20">
        <f t="shared" si="102"/>
        <v>42</v>
      </c>
      <c r="S54" s="20" t="str">
        <f t="shared" ref="S54" si="1052">+IF(xB+R54&lt;=xB+nB,xB+R54,"")</f>
        <v/>
      </c>
      <c r="T54" s="2">
        <f t="shared" ref="T54:U54" ca="1" si="1053">IFERROR(VLOOKUP($S54,qx_table,MATCH(T$11,qx_title,0)+sexB),0)</f>
        <v>0</v>
      </c>
      <c r="U54" s="2">
        <f t="shared" ca="1" si="1053"/>
        <v>0</v>
      </c>
      <c r="V54" s="300">
        <f>IF(JRB=2,0,IF(R54&gt;=mB-1,_xlfn.XLOOKUP(R54-mB,해지율!#REF!,해지율!#REF!,,1),_xlfn.XLOOKUP(R54,해지율!#REF!,해지율!#REF!,,-1)))</f>
        <v>0</v>
      </c>
      <c r="W54" s="8">
        <f t="shared" ref="W54" si="1054">IF(R54=0,100000,IF(R54&gt;nB,0,W53*(1-X53)*(1-Y53)))</f>
        <v>0</v>
      </c>
      <c r="X54" s="10">
        <f t="shared" ca="1" si="19"/>
        <v>0</v>
      </c>
      <c r="Y54" s="10">
        <f t="shared" ca="1" si="20"/>
        <v>0</v>
      </c>
      <c r="Z54" s="8">
        <f t="shared" ca="1" si="106"/>
        <v>0</v>
      </c>
      <c r="AA54" s="8">
        <f ca="1">+SUM(Z54:Z$124)</f>
        <v>0</v>
      </c>
      <c r="AB54" s="8">
        <f t="shared" ca="1" si="21"/>
        <v>0</v>
      </c>
      <c r="AC54" s="209">
        <f ca="1">+SUM(AB54:AB$124)*SSSM</f>
        <v>0</v>
      </c>
      <c r="AD54" s="209">
        <f t="shared" ref="AD54" si="1055">IF(R54&gt;nB,0,AD53*(1-X53)*(1-Y53)*(1-AE53)*(1-AF53))</f>
        <v>0</v>
      </c>
      <c r="AE54" s="92">
        <f t="shared" ca="1" si="56"/>
        <v>0</v>
      </c>
      <c r="AF54" s="92">
        <f t="shared" ca="1" si="22"/>
        <v>0</v>
      </c>
      <c r="AG54" s="664">
        <f t="shared" ca="1" si="23"/>
        <v>0</v>
      </c>
      <c r="AH54" s="5">
        <f ca="1">+SUM(AG54:AG$124)</f>
        <v>0</v>
      </c>
      <c r="AI54" s="70">
        <f t="shared" ca="1" si="24"/>
        <v>0</v>
      </c>
      <c r="AJ54" s="208">
        <f ca="1">+SUM(AB54:AB$124)*SS50J</f>
        <v>0</v>
      </c>
      <c r="AK54" s="5">
        <f t="shared" ca="1" si="108"/>
        <v>99999.012970709329</v>
      </c>
      <c r="AL54" s="2">
        <f t="shared" ref="AL54" ca="1" si="1056">IFERROR(VLOOKUP($S54,qx_table,MATCH(AL$11,qx_title,0)+sexB),0)</f>
        <v>0</v>
      </c>
      <c r="AM54" s="131">
        <f t="shared" ca="1" si="110"/>
        <v>39276.828538983347</v>
      </c>
      <c r="AN54" s="129">
        <f t="shared" ca="1" si="839"/>
        <v>0</v>
      </c>
      <c r="AO54" s="129">
        <f ca="1">SUM(AN54:AN$124)*SSa</f>
        <v>0</v>
      </c>
      <c r="AP54" s="70">
        <f t="shared" ca="1" si="59"/>
        <v>99999.012970709329</v>
      </c>
      <c r="AQ54" s="2">
        <f t="shared" ref="AQ54" ca="1" si="1057">IFERROR(VLOOKUP($S54,qx_table,MATCH(AQ$11,qx_title,0)+sexB),0)</f>
        <v>0</v>
      </c>
      <c r="AR54" s="127">
        <f t="shared" ca="1" si="841"/>
        <v>0</v>
      </c>
      <c r="AS54" s="127">
        <f ca="1">SUM(AR54:AR$124)*SSb</f>
        <v>0</v>
      </c>
      <c r="AT54" s="70">
        <f t="shared" ca="1" si="62"/>
        <v>99999.012970709329</v>
      </c>
      <c r="AU54" s="2">
        <f t="shared" ref="AU54" ca="1" si="1058">IFERROR(VLOOKUP($S54,qx_table,MATCH(AU$11,qx_title,0)+sexB),0)</f>
        <v>0</v>
      </c>
      <c r="AV54" s="268">
        <f t="shared" ca="1" si="843"/>
        <v>0</v>
      </c>
      <c r="AW54" s="131">
        <f ca="1">SUM(AV54:AV$124)*SSc</f>
        <v>0</v>
      </c>
      <c r="AX54" s="70">
        <f t="shared" ca="1" si="65"/>
        <v>99999.012970709329</v>
      </c>
      <c r="AY54" s="2">
        <f t="shared" ref="AY54" ca="1" si="1059">IFERROR(VLOOKUP($S54,qx_table,MATCH(AY$11,qx_title,0)+sexB),0)</f>
        <v>0</v>
      </c>
      <c r="AZ54" s="268">
        <f t="shared" ca="1" si="808"/>
        <v>0</v>
      </c>
      <c r="BA54" s="129">
        <f ca="1">SUM(AZ54:AZ$124)*SSd</f>
        <v>0</v>
      </c>
      <c r="BB54" s="70">
        <f t="shared" ca="1" si="68"/>
        <v>99999.012970709329</v>
      </c>
      <c r="BC54" s="257">
        <f t="shared" ref="BC54" ca="1" si="1060">IFERROR(VLOOKUP($S54,qx_table,MATCH(BC$11,qx_title,0)+sexB),0)</f>
        <v>0</v>
      </c>
      <c r="BD54" s="268">
        <f t="shared" ca="1" si="846"/>
        <v>0</v>
      </c>
      <c r="BE54" s="131">
        <f ca="1">SUM(BD54:BD$124)*SSe</f>
        <v>0</v>
      </c>
      <c r="BF54" s="70">
        <f t="shared" ca="1" si="71"/>
        <v>99999.012970709329</v>
      </c>
      <c r="BG54" s="2">
        <f t="shared" ref="BG54" ca="1" si="1061">IFERROR(VLOOKUP($S54,qx_table,MATCH(BG$11,qx_title,0)+sexB),0)</f>
        <v>0</v>
      </c>
      <c r="BH54" s="131">
        <f t="shared" ca="1" si="848"/>
        <v>0</v>
      </c>
      <c r="BI54" s="2">
        <f ca="1">SUM(BH54:BH$124)*SSf</f>
        <v>0</v>
      </c>
      <c r="BJ54" s="70">
        <f t="shared" ca="1" si="74"/>
        <v>99999.012970709329</v>
      </c>
      <c r="BK54" s="2">
        <f t="shared" ref="BK54" ca="1" si="1062">IFERROR(VLOOKUP($S54,qx_table,MATCH(BK$11,qx_title,0)+sexB),0)</f>
        <v>0</v>
      </c>
      <c r="BL54" s="131">
        <f t="shared" ca="1" si="850"/>
        <v>0</v>
      </c>
      <c r="BM54" s="131">
        <f ca="1">SUM(BL54:BL$124)*SSg</f>
        <v>0</v>
      </c>
      <c r="BN54" s="70">
        <f t="shared" ca="1" si="77"/>
        <v>99999.012970709329</v>
      </c>
      <c r="BO54" s="2">
        <f t="shared" ref="BO54" ca="1" si="1063">IFERROR(VLOOKUP($S54,qx_table,MATCH(BO$11,qx_title,0)+sexB),0)</f>
        <v>0</v>
      </c>
      <c r="BP54" s="131">
        <f t="shared" ca="1" si="852"/>
        <v>0</v>
      </c>
      <c r="BQ54" s="131">
        <f ca="1">SUM(BP54:BP$124)*SSh</f>
        <v>0</v>
      </c>
      <c r="BR54" s="70">
        <f t="shared" ca="1" si="80"/>
        <v>99999.012970709329</v>
      </c>
      <c r="BS54" s="2">
        <f t="shared" ref="BS54" ca="1" si="1064">IFERROR(VLOOKUP($S54,qx_table,MATCH(BS$11,qx_title,0)+sexB),0)*IF(R54=0,MCi,1)</f>
        <v>0</v>
      </c>
      <c r="BT54" s="131">
        <f t="shared" ca="1" si="854"/>
        <v>0</v>
      </c>
      <c r="BU54" s="131">
        <f ca="1">SUM(BT54:BT$124)*SSi</f>
        <v>0</v>
      </c>
      <c r="BV54" s="70">
        <f t="shared" ca="1" si="83"/>
        <v>99999.012970709329</v>
      </c>
      <c r="BW54" s="2">
        <f t="shared" ref="BW54" ca="1" si="1065">IFERROR(VLOOKUP($S54,qx_table,MATCH(BW$11,qx_title,0)+sexB),0)</f>
        <v>0</v>
      </c>
      <c r="BX54" s="131">
        <f t="shared" ca="1" si="856"/>
        <v>0</v>
      </c>
      <c r="BY54" s="131">
        <f ca="1">SUM(BX54:BX$124)*SSj</f>
        <v>0</v>
      </c>
      <c r="BZ54" s="70">
        <f t="shared" ca="1" si="86"/>
        <v>99999.012970709329</v>
      </c>
      <c r="CA54" s="2">
        <f t="shared" ref="CA54" ca="1" si="1066">IFERROR(VLOOKUP($S54,qx_table,MATCH(CA$11,qx_title,0)+sexB),0)</f>
        <v>0</v>
      </c>
      <c r="CB54" s="131">
        <f t="shared" ca="1" si="858"/>
        <v>0</v>
      </c>
      <c r="CC54" s="131">
        <f ca="1">SUM(CB54:CB$124)*SSk</f>
        <v>0</v>
      </c>
      <c r="CD54" s="8">
        <f t="shared" ca="1" si="89"/>
        <v>99999.012970709329</v>
      </c>
      <c r="CE54" s="2">
        <f t="shared" ref="CE54" ca="1" si="1067">IFERROR(VLOOKUP($S54,qx_table,MATCH(CE$11,qx_title,0)+sexB),0)</f>
        <v>0</v>
      </c>
      <c r="CF54" s="131">
        <f t="shared" ca="1" si="860"/>
        <v>0</v>
      </c>
      <c r="CG54" s="131">
        <f ca="1">SUM(CF54:CF$124)*SSl</f>
        <v>0</v>
      </c>
      <c r="CH54" s="101">
        <f t="shared" ca="1" si="92"/>
        <v>0</v>
      </c>
      <c r="CI54" s="154">
        <f t="shared" ca="1" si="817"/>
        <v>0</v>
      </c>
      <c r="CJ54" s="32">
        <f t="shared" ref="CJ54" ca="1" si="1068">+MAX(VLOOKUP(xB+$R54,기수표B,$AH$1)-VLOOKUP(xB+mB,기수표B,$AH$1),0)</f>
        <v>0</v>
      </c>
      <c r="CK54" s="32">
        <f t="shared" ref="CK54" ca="1" si="1069">+MAX(VLOOKUP(xB+$R54,기수표B,$AH$1)-VLOOKUP(xB+mB,기수표B,$AH$1)-11/24*(VLOOKUP(xB+$R54,기수표B,$AG$1)-VLOOKUP(xB+mB,기수표B,$AG$1)),0)</f>
        <v>0</v>
      </c>
      <c r="CL54" s="32">
        <f t="shared" ref="CL54" ca="1" si="1070">+MAX(VLOOKUP(xB+$R54,기수표B,$AA$1)-VLOOKUP(xB+mB,기수표B,$AA$1),0)</f>
        <v>0</v>
      </c>
      <c r="CM54" s="32">
        <f t="shared" ref="CM54" ca="1" si="1071">+MAX(VLOOKUP(xB+$R54,기수표B,$AA$1)-VLOOKUP(xB+mB,기수표B,$AA$1)-11/24*(VLOOKUP(xB+$R54,기수표B,$AA$1)-VLOOKUP(xB+mB,기수표B,$AA$1)),0)</f>
        <v>0</v>
      </c>
      <c r="CN54" s="32">
        <f t="shared" si="822"/>
        <v>0</v>
      </c>
      <c r="CO54" s="32">
        <f t="shared" ca="1" si="823"/>
        <v>0</v>
      </c>
      <c r="CP54" s="259">
        <f t="shared" ca="1" si="824"/>
        <v>0</v>
      </c>
      <c r="CQ54" s="259">
        <f t="shared" ca="1" si="825"/>
        <v>0</v>
      </c>
      <c r="CR54" s="259" t="e">
        <f t="shared" ca="1" si="826"/>
        <v>#DIV/0!</v>
      </c>
      <c r="CS54" s="31">
        <f t="shared" ref="CS54" si="1072">+MIN(mB,7)</f>
        <v>5</v>
      </c>
      <c r="CU54" s="13">
        <v>42</v>
      </c>
      <c r="CV54" s="477">
        <f t="shared" ca="1" si="828"/>
        <v>420</v>
      </c>
      <c r="CW54" s="477" t="e">
        <f t="shared" ca="1" si="829"/>
        <v>#DIV/0!</v>
      </c>
      <c r="CX54" s="477">
        <f t="shared" ca="1" si="830"/>
        <v>0</v>
      </c>
      <c r="CY54" s="478">
        <f t="shared" ca="1" si="98"/>
        <v>0</v>
      </c>
    </row>
    <row r="55" spans="2:103">
      <c r="N55" s="5">
        <f t="shared" si="99"/>
        <v>43</v>
      </c>
      <c r="O55" s="2">
        <f t="shared" ref="O55" ca="1" si="1073">+(1+iB)^-N55</f>
        <v>0.38412925395219527</v>
      </c>
      <c r="P55" s="2">
        <f t="shared" ref="P55" ca="1" si="1074">+(1+iB)^-(N55+0.5)</f>
        <v>0.37987938343350358</v>
      </c>
      <c r="Q55" s="91"/>
      <c r="R55" s="20">
        <f t="shared" si="102"/>
        <v>43</v>
      </c>
      <c r="S55" s="20" t="str">
        <f t="shared" ref="S55" si="1075">+IF(xB+R55&lt;=xB+nB,xB+R55,"")</f>
        <v/>
      </c>
      <c r="T55" s="2">
        <f t="shared" ref="T55:U55" ca="1" si="1076">IFERROR(VLOOKUP($S55,qx_table,MATCH(T$11,qx_title,0)+sexB),0)</f>
        <v>0</v>
      </c>
      <c r="U55" s="2">
        <f t="shared" ca="1" si="1076"/>
        <v>0</v>
      </c>
      <c r="V55" s="300">
        <f>IF(JRB=2,0,IF(R55&gt;=mB-1,_xlfn.XLOOKUP(R55-mB,해지율!#REF!,해지율!#REF!,,1),_xlfn.XLOOKUP(R55,해지율!#REF!,해지율!#REF!,,-1)))</f>
        <v>0</v>
      </c>
      <c r="W55" s="8">
        <f t="shared" ref="W55" si="1077">IF(R55=0,100000,IF(R55&gt;nB,0,W54*(1-X54)*(1-Y54)))</f>
        <v>0</v>
      </c>
      <c r="X55" s="10">
        <f t="shared" ca="1" si="19"/>
        <v>0</v>
      </c>
      <c r="Y55" s="10">
        <f t="shared" ca="1" si="20"/>
        <v>0</v>
      </c>
      <c r="Z55" s="8">
        <f t="shared" ca="1" si="106"/>
        <v>0</v>
      </c>
      <c r="AA55" s="8">
        <f ca="1">+SUM(Z55:Z$124)</f>
        <v>0</v>
      </c>
      <c r="AB55" s="8">
        <f t="shared" ca="1" si="21"/>
        <v>0</v>
      </c>
      <c r="AC55" s="209">
        <f ca="1">+SUM(AB55:AB$124)*SSSM</f>
        <v>0</v>
      </c>
      <c r="AD55" s="209">
        <f t="shared" ref="AD55" si="1078">IF(R55&gt;nB,0,AD54*(1-X54)*(1-Y54)*(1-AE54)*(1-AF54))</f>
        <v>0</v>
      </c>
      <c r="AE55" s="92">
        <f t="shared" ca="1" si="56"/>
        <v>0</v>
      </c>
      <c r="AF55" s="92">
        <f t="shared" ca="1" si="22"/>
        <v>0</v>
      </c>
      <c r="AG55" s="664">
        <f t="shared" ca="1" si="23"/>
        <v>0</v>
      </c>
      <c r="AH55" s="5">
        <f ca="1">+SUM(AG55:AG$124)</f>
        <v>0</v>
      </c>
      <c r="AI55" s="70">
        <f t="shared" ca="1" si="24"/>
        <v>0</v>
      </c>
      <c r="AJ55" s="208">
        <f ca="1">+SUM(AB55:AB$124)*SS50J</f>
        <v>0</v>
      </c>
      <c r="AK55" s="5">
        <f t="shared" ca="1" si="108"/>
        <v>99999.012970709329</v>
      </c>
      <c r="AL55" s="2">
        <f t="shared" ref="AL55" ca="1" si="1079">IFERROR(VLOOKUP($S55,qx_table,MATCH(AL$11,qx_title,0)+sexB),0)</f>
        <v>0</v>
      </c>
      <c r="AM55" s="131">
        <f t="shared" ca="1" si="110"/>
        <v>38412.546248394472</v>
      </c>
      <c r="AN55" s="129">
        <f t="shared" ca="1" si="839"/>
        <v>0</v>
      </c>
      <c r="AO55" s="129">
        <f ca="1">SUM(AN55:AN$124)*SSa</f>
        <v>0</v>
      </c>
      <c r="AP55" s="70">
        <f t="shared" ca="1" si="59"/>
        <v>99999.012970709329</v>
      </c>
      <c r="AQ55" s="2">
        <f t="shared" ref="AQ55" ca="1" si="1080">IFERROR(VLOOKUP($S55,qx_table,MATCH(AQ$11,qx_title,0)+sexB),0)</f>
        <v>0</v>
      </c>
      <c r="AR55" s="127">
        <f t="shared" ca="1" si="841"/>
        <v>0</v>
      </c>
      <c r="AS55" s="127">
        <f ca="1">SUM(AR55:AR$124)*SSb</f>
        <v>0</v>
      </c>
      <c r="AT55" s="70">
        <f t="shared" ca="1" si="62"/>
        <v>99999.012970709329</v>
      </c>
      <c r="AU55" s="2">
        <f t="shared" ref="AU55" ca="1" si="1081">IFERROR(VLOOKUP($S55,qx_table,MATCH(AU$11,qx_title,0)+sexB),0)</f>
        <v>0</v>
      </c>
      <c r="AV55" s="268">
        <f t="shared" ca="1" si="843"/>
        <v>0</v>
      </c>
      <c r="AW55" s="131">
        <f ca="1">SUM(AV55:AV$124)*SSc</f>
        <v>0</v>
      </c>
      <c r="AX55" s="70">
        <f t="shared" ca="1" si="65"/>
        <v>99999.012970709329</v>
      </c>
      <c r="AY55" s="2">
        <f t="shared" ref="AY55" ca="1" si="1082">IFERROR(VLOOKUP($S55,qx_table,MATCH(AY$11,qx_title,0)+sexB),0)</f>
        <v>0</v>
      </c>
      <c r="AZ55" s="268">
        <f t="shared" ca="1" si="808"/>
        <v>0</v>
      </c>
      <c r="BA55" s="129">
        <f ca="1">SUM(AZ55:AZ$124)*SSd</f>
        <v>0</v>
      </c>
      <c r="BB55" s="70">
        <f t="shared" ca="1" si="68"/>
        <v>99999.012970709329</v>
      </c>
      <c r="BC55" s="257">
        <f t="shared" ref="BC55" ca="1" si="1083">IFERROR(VLOOKUP($S55,qx_table,MATCH(BC$11,qx_title,0)+sexB),0)</f>
        <v>0</v>
      </c>
      <c r="BD55" s="268">
        <f t="shared" ca="1" si="846"/>
        <v>0</v>
      </c>
      <c r="BE55" s="131">
        <f ca="1">SUM(BD55:BD$124)*SSe</f>
        <v>0</v>
      </c>
      <c r="BF55" s="70">
        <f t="shared" ca="1" si="71"/>
        <v>99999.012970709329</v>
      </c>
      <c r="BG55" s="2">
        <f t="shared" ref="BG55" ca="1" si="1084">IFERROR(VLOOKUP($S55,qx_table,MATCH(BG$11,qx_title,0)+sexB),0)</f>
        <v>0</v>
      </c>
      <c r="BH55" s="131">
        <f t="shared" ca="1" si="848"/>
        <v>0</v>
      </c>
      <c r="BI55" s="2">
        <f ca="1">SUM(BH55:BH$124)*SSf</f>
        <v>0</v>
      </c>
      <c r="BJ55" s="70">
        <f t="shared" ca="1" si="74"/>
        <v>99999.012970709329</v>
      </c>
      <c r="BK55" s="2">
        <f t="shared" ref="BK55" ca="1" si="1085">IFERROR(VLOOKUP($S55,qx_table,MATCH(BK$11,qx_title,0)+sexB),0)</f>
        <v>0</v>
      </c>
      <c r="BL55" s="131">
        <f t="shared" ca="1" si="850"/>
        <v>0</v>
      </c>
      <c r="BM55" s="131">
        <f ca="1">SUM(BL55:BL$124)*SSg</f>
        <v>0</v>
      </c>
      <c r="BN55" s="70">
        <f t="shared" ca="1" si="77"/>
        <v>99999.012970709329</v>
      </c>
      <c r="BO55" s="2">
        <f t="shared" ref="BO55" ca="1" si="1086">IFERROR(VLOOKUP($S55,qx_table,MATCH(BO$11,qx_title,0)+sexB),0)</f>
        <v>0</v>
      </c>
      <c r="BP55" s="131">
        <f t="shared" ca="1" si="852"/>
        <v>0</v>
      </c>
      <c r="BQ55" s="131">
        <f ca="1">SUM(BP55:BP$124)*SSh</f>
        <v>0</v>
      </c>
      <c r="BR55" s="70">
        <f t="shared" ca="1" si="80"/>
        <v>99999.012970709329</v>
      </c>
      <c r="BS55" s="2">
        <f t="shared" ref="BS55" ca="1" si="1087">IFERROR(VLOOKUP($S55,qx_table,MATCH(BS$11,qx_title,0)+sexB),0)*IF(R55=0,MCi,1)</f>
        <v>0</v>
      </c>
      <c r="BT55" s="131">
        <f t="shared" ca="1" si="854"/>
        <v>0</v>
      </c>
      <c r="BU55" s="131">
        <f ca="1">SUM(BT55:BT$124)*SSi</f>
        <v>0</v>
      </c>
      <c r="BV55" s="70">
        <f t="shared" ca="1" si="83"/>
        <v>99999.012970709329</v>
      </c>
      <c r="BW55" s="2">
        <f t="shared" ref="BW55" ca="1" si="1088">IFERROR(VLOOKUP($S55,qx_table,MATCH(BW$11,qx_title,0)+sexB),0)</f>
        <v>0</v>
      </c>
      <c r="BX55" s="131">
        <f t="shared" ca="1" si="856"/>
        <v>0</v>
      </c>
      <c r="BY55" s="131">
        <f ca="1">SUM(BX55:BX$124)*SSj</f>
        <v>0</v>
      </c>
      <c r="BZ55" s="70">
        <f t="shared" ca="1" si="86"/>
        <v>99999.012970709329</v>
      </c>
      <c r="CA55" s="2">
        <f t="shared" ref="CA55" ca="1" si="1089">IFERROR(VLOOKUP($S55,qx_table,MATCH(CA$11,qx_title,0)+sexB),0)</f>
        <v>0</v>
      </c>
      <c r="CB55" s="131">
        <f t="shared" ca="1" si="858"/>
        <v>0</v>
      </c>
      <c r="CC55" s="131">
        <f ca="1">SUM(CB55:CB$124)*SSk</f>
        <v>0</v>
      </c>
      <c r="CD55" s="8">
        <f t="shared" ca="1" si="89"/>
        <v>99999.012970709329</v>
      </c>
      <c r="CE55" s="2">
        <f t="shared" ref="CE55" ca="1" si="1090">IFERROR(VLOOKUP($S55,qx_table,MATCH(CE$11,qx_title,0)+sexB),0)</f>
        <v>0</v>
      </c>
      <c r="CF55" s="131">
        <f t="shared" ca="1" si="860"/>
        <v>0</v>
      </c>
      <c r="CG55" s="131">
        <f ca="1">SUM(CF55:CF$124)*SSl</f>
        <v>0</v>
      </c>
      <c r="CH55" s="101">
        <f t="shared" ca="1" si="92"/>
        <v>0</v>
      </c>
      <c r="CI55" s="154">
        <f t="shared" ca="1" si="817"/>
        <v>0</v>
      </c>
      <c r="CJ55" s="32">
        <f t="shared" ref="CJ55" ca="1" si="1091">+MAX(VLOOKUP(xB+$R55,기수표B,$AH$1)-VLOOKUP(xB+mB,기수표B,$AH$1),0)</f>
        <v>0</v>
      </c>
      <c r="CK55" s="32">
        <f t="shared" ref="CK55" ca="1" si="1092">+MAX(VLOOKUP(xB+$R55,기수표B,$AH$1)-VLOOKUP(xB+mB,기수표B,$AH$1)-11/24*(VLOOKUP(xB+$R55,기수표B,$AG$1)-VLOOKUP(xB+mB,기수표B,$AG$1)),0)</f>
        <v>0</v>
      </c>
      <c r="CL55" s="32">
        <f t="shared" ref="CL55" ca="1" si="1093">+MAX(VLOOKUP(xB+$R55,기수표B,$AA$1)-VLOOKUP(xB+mB,기수표B,$AA$1),0)</f>
        <v>0</v>
      </c>
      <c r="CM55" s="32">
        <f t="shared" ref="CM55" ca="1" si="1094">+MAX(VLOOKUP(xB+$R55,기수표B,$AA$1)-VLOOKUP(xB+mB,기수표B,$AA$1)-11/24*(VLOOKUP(xB+$R55,기수표B,$AA$1)-VLOOKUP(xB+mB,기수표B,$AA$1)),0)</f>
        <v>0</v>
      </c>
      <c r="CN55" s="32">
        <f t="shared" si="822"/>
        <v>0</v>
      </c>
      <c r="CO55" s="32">
        <f t="shared" ca="1" si="823"/>
        <v>0</v>
      </c>
      <c r="CP55" s="259">
        <f t="shared" ca="1" si="824"/>
        <v>0</v>
      </c>
      <c r="CQ55" s="259">
        <f t="shared" ca="1" si="825"/>
        <v>0</v>
      </c>
      <c r="CR55" s="259" t="e">
        <f t="shared" ca="1" si="826"/>
        <v>#DIV/0!</v>
      </c>
      <c r="CS55" s="31">
        <f t="shared" ref="CS55" si="1095">+MIN(mB,7)</f>
        <v>5</v>
      </c>
      <c r="CU55" s="13">
        <v>43</v>
      </c>
      <c r="CV55" s="477">
        <f t="shared" ca="1" si="828"/>
        <v>420</v>
      </c>
      <c r="CW55" s="477" t="e">
        <f t="shared" ca="1" si="829"/>
        <v>#DIV/0!</v>
      </c>
      <c r="CX55" s="477">
        <f t="shared" ca="1" si="830"/>
        <v>0</v>
      </c>
      <c r="CY55" s="478">
        <f t="shared" ca="1" si="98"/>
        <v>0</v>
      </c>
    </row>
    <row r="56" spans="2:103">
      <c r="N56" s="5">
        <f t="shared" si="99"/>
        <v>44</v>
      </c>
      <c r="O56" s="2">
        <f t="shared" ref="O56" ca="1" si="1096">+(1+iB)^-N56</f>
        <v>0.37567653198258705</v>
      </c>
      <c r="P56" s="2">
        <f t="shared" ref="P56" ca="1" si="1097">+(1+iB)^-(N56+0.5)</f>
        <v>0.37152017939706955</v>
      </c>
      <c r="Q56" s="91"/>
      <c r="R56" s="20">
        <f t="shared" si="102"/>
        <v>44</v>
      </c>
      <c r="S56" s="20" t="str">
        <f t="shared" ref="S56" si="1098">+IF(xB+R56&lt;=xB+nB,xB+R56,"")</f>
        <v/>
      </c>
      <c r="T56" s="2">
        <f t="shared" ref="T56:U56" ca="1" si="1099">IFERROR(VLOOKUP($S56,qx_table,MATCH(T$11,qx_title,0)+sexB),0)</f>
        <v>0</v>
      </c>
      <c r="U56" s="2">
        <f t="shared" ca="1" si="1099"/>
        <v>0</v>
      </c>
      <c r="V56" s="300">
        <f>IF(JRB=2,0,IF(R56&gt;=mB-1,_xlfn.XLOOKUP(R56-mB,해지율!#REF!,해지율!#REF!,,1),_xlfn.XLOOKUP(R56,해지율!#REF!,해지율!#REF!,,-1)))</f>
        <v>0</v>
      </c>
      <c r="W56" s="8">
        <f t="shared" ref="W56" si="1100">IF(R56=0,100000,IF(R56&gt;nB,0,W55*(1-X55)*(1-Y55)))</f>
        <v>0</v>
      </c>
      <c r="X56" s="10">
        <f t="shared" ca="1" si="19"/>
        <v>0</v>
      </c>
      <c r="Y56" s="10">
        <f t="shared" ca="1" si="20"/>
        <v>0</v>
      </c>
      <c r="Z56" s="8">
        <f t="shared" ca="1" si="106"/>
        <v>0</v>
      </c>
      <c r="AA56" s="8">
        <f ca="1">+SUM(Z56:Z$124)</f>
        <v>0</v>
      </c>
      <c r="AB56" s="8">
        <f t="shared" ca="1" si="21"/>
        <v>0</v>
      </c>
      <c r="AC56" s="209">
        <f ca="1">+SUM(AB56:AB$124)*SSSM</f>
        <v>0</v>
      </c>
      <c r="AD56" s="209">
        <f t="shared" ref="AD56" si="1101">IF(R56&gt;nB,0,AD55*(1-X55)*(1-Y55)*(1-AE55)*(1-AF55))</f>
        <v>0</v>
      </c>
      <c r="AE56" s="92">
        <f t="shared" ca="1" si="56"/>
        <v>0</v>
      </c>
      <c r="AF56" s="92">
        <f t="shared" ca="1" si="22"/>
        <v>0</v>
      </c>
      <c r="AG56" s="664">
        <f t="shared" ca="1" si="23"/>
        <v>0</v>
      </c>
      <c r="AH56" s="5">
        <f ca="1">+SUM(AG56:AG$124)</f>
        <v>0</v>
      </c>
      <c r="AI56" s="70">
        <f t="shared" ca="1" si="24"/>
        <v>0</v>
      </c>
      <c r="AJ56" s="208">
        <f ca="1">+SUM(AB56:AB$124)*SS50J</f>
        <v>0</v>
      </c>
      <c r="AK56" s="5">
        <f t="shared" ca="1" si="108"/>
        <v>99999.012970709329</v>
      </c>
      <c r="AL56" s="2">
        <f t="shared" ref="AL56" ca="1" si="1102">IFERROR(VLOOKUP($S56,qx_table,MATCH(AL$11,qx_title,0)+sexB),0)</f>
        <v>0</v>
      </c>
      <c r="AM56" s="131">
        <f t="shared" ca="1" si="110"/>
        <v>37567.282394517817</v>
      </c>
      <c r="AN56" s="129">
        <f t="shared" ca="1" si="839"/>
        <v>0</v>
      </c>
      <c r="AO56" s="129">
        <f ca="1">SUM(AN56:AN$124)*SSa</f>
        <v>0</v>
      </c>
      <c r="AP56" s="70">
        <f t="shared" ca="1" si="59"/>
        <v>99999.012970709329</v>
      </c>
      <c r="AQ56" s="2">
        <f t="shared" ref="AQ56" ca="1" si="1103">IFERROR(VLOOKUP($S56,qx_table,MATCH(AQ$11,qx_title,0)+sexB),0)</f>
        <v>0</v>
      </c>
      <c r="AR56" s="127">
        <f t="shared" ca="1" si="841"/>
        <v>0</v>
      </c>
      <c r="AS56" s="127">
        <f ca="1">SUM(AR56:AR$124)*SSb</f>
        <v>0</v>
      </c>
      <c r="AT56" s="70">
        <f t="shared" ca="1" si="62"/>
        <v>99999.012970709329</v>
      </c>
      <c r="AU56" s="2">
        <f t="shared" ref="AU56" ca="1" si="1104">IFERROR(VLOOKUP($S56,qx_table,MATCH(AU$11,qx_title,0)+sexB),0)</f>
        <v>0</v>
      </c>
      <c r="AV56" s="268">
        <f t="shared" ca="1" si="843"/>
        <v>0</v>
      </c>
      <c r="AW56" s="131">
        <f ca="1">SUM(AV56:AV$124)*SSc</f>
        <v>0</v>
      </c>
      <c r="AX56" s="70">
        <f t="shared" ca="1" si="65"/>
        <v>99999.012970709329</v>
      </c>
      <c r="AY56" s="2">
        <f t="shared" ref="AY56" ca="1" si="1105">IFERROR(VLOOKUP($S56,qx_table,MATCH(AY$11,qx_title,0)+sexB),0)</f>
        <v>0</v>
      </c>
      <c r="AZ56" s="268">
        <f t="shared" ca="1" si="808"/>
        <v>0</v>
      </c>
      <c r="BA56" s="129">
        <f ca="1">SUM(AZ56:AZ$124)*SSd</f>
        <v>0</v>
      </c>
      <c r="BB56" s="70">
        <f t="shared" ca="1" si="68"/>
        <v>99999.012970709329</v>
      </c>
      <c r="BC56" s="257">
        <f t="shared" ref="BC56" ca="1" si="1106">IFERROR(VLOOKUP($S56,qx_table,MATCH(BC$11,qx_title,0)+sexB),0)</f>
        <v>0</v>
      </c>
      <c r="BD56" s="268">
        <f t="shared" ca="1" si="846"/>
        <v>0</v>
      </c>
      <c r="BE56" s="131">
        <f ca="1">SUM(BD56:BD$124)*SSe</f>
        <v>0</v>
      </c>
      <c r="BF56" s="70">
        <f t="shared" ca="1" si="71"/>
        <v>99999.012970709329</v>
      </c>
      <c r="BG56" s="2">
        <f t="shared" ref="BG56" ca="1" si="1107">IFERROR(VLOOKUP($S56,qx_table,MATCH(BG$11,qx_title,0)+sexB),0)</f>
        <v>0</v>
      </c>
      <c r="BH56" s="131">
        <f t="shared" ca="1" si="848"/>
        <v>0</v>
      </c>
      <c r="BI56" s="2">
        <f ca="1">SUM(BH56:BH$124)*SSf</f>
        <v>0</v>
      </c>
      <c r="BJ56" s="70">
        <f t="shared" ca="1" si="74"/>
        <v>99999.012970709329</v>
      </c>
      <c r="BK56" s="2">
        <f t="shared" ref="BK56" ca="1" si="1108">IFERROR(VLOOKUP($S56,qx_table,MATCH(BK$11,qx_title,0)+sexB),0)</f>
        <v>0</v>
      </c>
      <c r="BL56" s="131">
        <f t="shared" ca="1" si="850"/>
        <v>0</v>
      </c>
      <c r="BM56" s="131">
        <f ca="1">SUM(BL56:BL$124)*SSg</f>
        <v>0</v>
      </c>
      <c r="BN56" s="70">
        <f t="shared" ca="1" si="77"/>
        <v>99999.012970709329</v>
      </c>
      <c r="BO56" s="2">
        <f t="shared" ref="BO56" ca="1" si="1109">IFERROR(VLOOKUP($S56,qx_table,MATCH(BO$11,qx_title,0)+sexB),0)</f>
        <v>0</v>
      </c>
      <c r="BP56" s="131">
        <f t="shared" ca="1" si="852"/>
        <v>0</v>
      </c>
      <c r="BQ56" s="131">
        <f ca="1">SUM(BP56:BP$124)*SSh</f>
        <v>0</v>
      </c>
      <c r="BR56" s="70">
        <f t="shared" ca="1" si="80"/>
        <v>99999.012970709329</v>
      </c>
      <c r="BS56" s="2">
        <f t="shared" ref="BS56" ca="1" si="1110">IFERROR(VLOOKUP($S56,qx_table,MATCH(BS$11,qx_title,0)+sexB),0)*IF(R56=0,MCi,1)</f>
        <v>0</v>
      </c>
      <c r="BT56" s="131">
        <f t="shared" ca="1" si="854"/>
        <v>0</v>
      </c>
      <c r="BU56" s="131">
        <f ca="1">SUM(BT56:BT$124)*SSi</f>
        <v>0</v>
      </c>
      <c r="BV56" s="70">
        <f t="shared" ca="1" si="83"/>
        <v>99999.012970709329</v>
      </c>
      <c r="BW56" s="2">
        <f t="shared" ref="BW56" ca="1" si="1111">IFERROR(VLOOKUP($S56,qx_table,MATCH(BW$11,qx_title,0)+sexB),0)</f>
        <v>0</v>
      </c>
      <c r="BX56" s="131">
        <f t="shared" ca="1" si="856"/>
        <v>0</v>
      </c>
      <c r="BY56" s="131">
        <f ca="1">SUM(BX56:BX$124)*SSj</f>
        <v>0</v>
      </c>
      <c r="BZ56" s="70">
        <f t="shared" ca="1" si="86"/>
        <v>99999.012970709329</v>
      </c>
      <c r="CA56" s="2">
        <f t="shared" ref="CA56" ca="1" si="1112">IFERROR(VLOOKUP($S56,qx_table,MATCH(CA$11,qx_title,0)+sexB),0)</f>
        <v>0</v>
      </c>
      <c r="CB56" s="131">
        <f t="shared" ca="1" si="858"/>
        <v>0</v>
      </c>
      <c r="CC56" s="131">
        <f ca="1">SUM(CB56:CB$124)*SSk</f>
        <v>0</v>
      </c>
      <c r="CD56" s="8">
        <f t="shared" ca="1" si="89"/>
        <v>99999.012970709329</v>
      </c>
      <c r="CE56" s="2">
        <f t="shared" ref="CE56" ca="1" si="1113">IFERROR(VLOOKUP($S56,qx_table,MATCH(CE$11,qx_title,0)+sexB),0)</f>
        <v>0</v>
      </c>
      <c r="CF56" s="131">
        <f t="shared" ca="1" si="860"/>
        <v>0</v>
      </c>
      <c r="CG56" s="131">
        <f ca="1">SUM(CF56:CF$124)*SSl</f>
        <v>0</v>
      </c>
      <c r="CH56" s="101">
        <f t="shared" ca="1" si="92"/>
        <v>0</v>
      </c>
      <c r="CI56" s="154">
        <f t="shared" ca="1" si="817"/>
        <v>0</v>
      </c>
      <c r="CJ56" s="32">
        <f t="shared" ref="CJ56" ca="1" si="1114">+MAX(VLOOKUP(xB+$R56,기수표B,$AH$1)-VLOOKUP(xB+mB,기수표B,$AH$1),0)</f>
        <v>0</v>
      </c>
      <c r="CK56" s="32">
        <f t="shared" ref="CK56" ca="1" si="1115">+MAX(VLOOKUP(xB+$R56,기수표B,$AH$1)-VLOOKUP(xB+mB,기수표B,$AH$1)-11/24*(VLOOKUP(xB+$R56,기수표B,$AG$1)-VLOOKUP(xB+mB,기수표B,$AG$1)),0)</f>
        <v>0</v>
      </c>
      <c r="CL56" s="32">
        <f t="shared" ref="CL56" ca="1" si="1116">+MAX(VLOOKUP(xB+$R56,기수표B,$AA$1)-VLOOKUP(xB+mB,기수표B,$AA$1),0)</f>
        <v>0</v>
      </c>
      <c r="CM56" s="32">
        <f t="shared" ref="CM56" ca="1" si="1117">+MAX(VLOOKUP(xB+$R56,기수표B,$AA$1)-VLOOKUP(xB+mB,기수표B,$AA$1)-11/24*(VLOOKUP(xB+$R56,기수표B,$AA$1)-VLOOKUP(xB+mB,기수표B,$AA$1)),0)</f>
        <v>0</v>
      </c>
      <c r="CN56" s="32">
        <f t="shared" si="822"/>
        <v>0</v>
      </c>
      <c r="CO56" s="32">
        <f t="shared" ca="1" si="823"/>
        <v>0</v>
      </c>
      <c r="CP56" s="259">
        <f t="shared" ca="1" si="824"/>
        <v>0</v>
      </c>
      <c r="CQ56" s="259">
        <f t="shared" ca="1" si="825"/>
        <v>0</v>
      </c>
      <c r="CR56" s="259" t="e">
        <f t="shared" ca="1" si="826"/>
        <v>#DIV/0!</v>
      </c>
      <c r="CS56" s="31">
        <f t="shared" ref="CS56" si="1118">+MIN(mB,7)</f>
        <v>5</v>
      </c>
      <c r="CU56" s="13">
        <v>44</v>
      </c>
      <c r="CV56" s="477">
        <f t="shared" ca="1" si="828"/>
        <v>420</v>
      </c>
      <c r="CW56" s="477" t="e">
        <f t="shared" ca="1" si="829"/>
        <v>#DIV/0!</v>
      </c>
      <c r="CX56" s="477">
        <f t="shared" ca="1" si="830"/>
        <v>0</v>
      </c>
      <c r="CY56" s="478">
        <f t="shared" ca="1" si="98"/>
        <v>0</v>
      </c>
    </row>
    <row r="57" spans="2:103">
      <c r="N57" s="5">
        <f t="shared" si="99"/>
        <v>45</v>
      </c>
      <c r="O57" s="2">
        <f t="shared" ref="O57" ca="1" si="1119">+(1+iB)^-N57</f>
        <v>0.36740981122991401</v>
      </c>
      <c r="P57" s="2">
        <f t="shared" ref="P57" ca="1" si="1120">+(1+iB)^-(N57+0.5)</f>
        <v>0.36334491872574043</v>
      </c>
      <c r="Q57" s="91"/>
      <c r="R57" s="20">
        <f t="shared" si="102"/>
        <v>45</v>
      </c>
      <c r="S57" s="20" t="str">
        <f t="shared" ref="S57" si="1121">+IF(xB+R57&lt;=xB+nB,xB+R57,"")</f>
        <v/>
      </c>
      <c r="T57" s="2">
        <f t="shared" ref="T57:U57" ca="1" si="1122">IFERROR(VLOOKUP($S57,qx_table,MATCH(T$11,qx_title,0)+sexB),0)</f>
        <v>0</v>
      </c>
      <c r="U57" s="2">
        <f t="shared" ca="1" si="1122"/>
        <v>0</v>
      </c>
      <c r="V57" s="300">
        <f>IF(JRB=2,0,IF(R57&gt;=mB-1,_xlfn.XLOOKUP(R57-mB,해지율!#REF!,해지율!#REF!,,1),_xlfn.XLOOKUP(R57,해지율!#REF!,해지율!#REF!,,-1)))</f>
        <v>0</v>
      </c>
      <c r="W57" s="8">
        <f t="shared" ref="W57" si="1123">IF(R57=0,100000,IF(R57&gt;nB,0,W56*(1-X56)*(1-Y56)))</f>
        <v>0</v>
      </c>
      <c r="X57" s="10">
        <f t="shared" ca="1" si="19"/>
        <v>0</v>
      </c>
      <c r="Y57" s="10">
        <f t="shared" ca="1" si="20"/>
        <v>0</v>
      </c>
      <c r="Z57" s="8">
        <f t="shared" ca="1" si="106"/>
        <v>0</v>
      </c>
      <c r="AA57" s="8">
        <f ca="1">+SUM(Z57:Z$124)</f>
        <v>0</v>
      </c>
      <c r="AB57" s="8">
        <f t="shared" ca="1" si="21"/>
        <v>0</v>
      </c>
      <c r="AC57" s="209">
        <f ca="1">+SUM(AB57:AB$124)*SSSM</f>
        <v>0</v>
      </c>
      <c r="AD57" s="209">
        <f t="shared" ref="AD57" si="1124">IF(R57&gt;nB,0,AD56*(1-X56)*(1-Y56)*(1-AE56)*(1-AF56))</f>
        <v>0</v>
      </c>
      <c r="AE57" s="92">
        <f t="shared" ca="1" si="56"/>
        <v>0</v>
      </c>
      <c r="AF57" s="92">
        <f t="shared" ca="1" si="22"/>
        <v>0</v>
      </c>
      <c r="AG57" s="664">
        <f t="shared" ca="1" si="23"/>
        <v>0</v>
      </c>
      <c r="AH57" s="5">
        <f ca="1">+SUM(AG57:AG$124)</f>
        <v>0</v>
      </c>
      <c r="AI57" s="70">
        <f t="shared" ca="1" si="24"/>
        <v>0</v>
      </c>
      <c r="AJ57" s="208">
        <f ca="1">+SUM(AB57:AB$124)*SS50J</f>
        <v>0</v>
      </c>
      <c r="AK57" s="5">
        <f t="shared" ca="1" si="108"/>
        <v>99999.012970709329</v>
      </c>
      <c r="AL57" s="2">
        <f t="shared" ref="AL57" ca="1" si="1125">IFERROR(VLOOKUP($S57,qx_table,MATCH(AL$11,qx_title,0)+sexB),0)</f>
        <v>0</v>
      </c>
      <c r="AM57" s="131">
        <f t="shared" ca="1" si="110"/>
        <v>36740.618478746037</v>
      </c>
      <c r="AN57" s="129">
        <f t="shared" ca="1" si="839"/>
        <v>0</v>
      </c>
      <c r="AO57" s="129">
        <f ca="1">SUM(AN57:AN$124)*SSa</f>
        <v>0</v>
      </c>
      <c r="AP57" s="70">
        <f t="shared" ca="1" si="59"/>
        <v>99999.012970709329</v>
      </c>
      <c r="AQ57" s="2">
        <f t="shared" ref="AQ57" ca="1" si="1126">IFERROR(VLOOKUP($S57,qx_table,MATCH(AQ$11,qx_title,0)+sexB),0)</f>
        <v>0</v>
      </c>
      <c r="AR57" s="127">
        <f t="shared" ca="1" si="841"/>
        <v>0</v>
      </c>
      <c r="AS57" s="127">
        <f ca="1">SUM(AR57:AR$124)*SSb</f>
        <v>0</v>
      </c>
      <c r="AT57" s="70">
        <f t="shared" ca="1" si="62"/>
        <v>99999.012970709329</v>
      </c>
      <c r="AU57" s="2">
        <f t="shared" ref="AU57" ca="1" si="1127">IFERROR(VLOOKUP($S57,qx_table,MATCH(AU$11,qx_title,0)+sexB),0)</f>
        <v>0</v>
      </c>
      <c r="AV57" s="268">
        <f t="shared" ca="1" si="843"/>
        <v>0</v>
      </c>
      <c r="AW57" s="131">
        <f ca="1">SUM(AV57:AV$124)*SSc</f>
        <v>0</v>
      </c>
      <c r="AX57" s="70">
        <f t="shared" ca="1" si="65"/>
        <v>99999.012970709329</v>
      </c>
      <c r="AY57" s="2">
        <f t="shared" ref="AY57" ca="1" si="1128">IFERROR(VLOOKUP($S57,qx_table,MATCH(AY$11,qx_title,0)+sexB),0)</f>
        <v>0</v>
      </c>
      <c r="AZ57" s="268">
        <f t="shared" ca="1" si="808"/>
        <v>0</v>
      </c>
      <c r="BA57" s="129">
        <f ca="1">SUM(AZ57:AZ$124)*SSd</f>
        <v>0</v>
      </c>
      <c r="BB57" s="70">
        <f t="shared" ca="1" si="68"/>
        <v>99999.012970709329</v>
      </c>
      <c r="BC57" s="257">
        <f t="shared" ref="BC57" ca="1" si="1129">IFERROR(VLOOKUP($S57,qx_table,MATCH(BC$11,qx_title,0)+sexB),0)</f>
        <v>0</v>
      </c>
      <c r="BD57" s="268">
        <f t="shared" ca="1" si="846"/>
        <v>0</v>
      </c>
      <c r="BE57" s="131">
        <f ca="1">SUM(BD57:BD$124)*SSe</f>
        <v>0</v>
      </c>
      <c r="BF57" s="70">
        <f t="shared" ca="1" si="71"/>
        <v>99999.012970709329</v>
      </c>
      <c r="BG57" s="2">
        <f t="shared" ref="BG57" ca="1" si="1130">IFERROR(VLOOKUP($S57,qx_table,MATCH(BG$11,qx_title,0)+sexB),0)</f>
        <v>0</v>
      </c>
      <c r="BH57" s="131">
        <f t="shared" ca="1" si="848"/>
        <v>0</v>
      </c>
      <c r="BI57" s="2">
        <f ca="1">SUM(BH57:BH$124)*SSf</f>
        <v>0</v>
      </c>
      <c r="BJ57" s="70">
        <f t="shared" ca="1" si="74"/>
        <v>99999.012970709329</v>
      </c>
      <c r="BK57" s="2">
        <f t="shared" ref="BK57" ca="1" si="1131">IFERROR(VLOOKUP($S57,qx_table,MATCH(BK$11,qx_title,0)+sexB),0)</f>
        <v>0</v>
      </c>
      <c r="BL57" s="131">
        <f t="shared" ca="1" si="850"/>
        <v>0</v>
      </c>
      <c r="BM57" s="131">
        <f ca="1">SUM(BL57:BL$124)*SSg</f>
        <v>0</v>
      </c>
      <c r="BN57" s="70">
        <f t="shared" ca="1" si="77"/>
        <v>99999.012970709329</v>
      </c>
      <c r="BO57" s="2">
        <f t="shared" ref="BO57" ca="1" si="1132">IFERROR(VLOOKUP($S57,qx_table,MATCH(BO$11,qx_title,0)+sexB),0)</f>
        <v>0</v>
      </c>
      <c r="BP57" s="131">
        <f t="shared" ca="1" si="852"/>
        <v>0</v>
      </c>
      <c r="BQ57" s="131">
        <f ca="1">SUM(BP57:BP$124)*SSh</f>
        <v>0</v>
      </c>
      <c r="BR57" s="70">
        <f t="shared" ca="1" si="80"/>
        <v>99999.012970709329</v>
      </c>
      <c r="BS57" s="2">
        <f t="shared" ref="BS57" ca="1" si="1133">IFERROR(VLOOKUP($S57,qx_table,MATCH(BS$11,qx_title,0)+sexB),0)*IF(R57=0,MCi,1)</f>
        <v>0</v>
      </c>
      <c r="BT57" s="131">
        <f t="shared" ca="1" si="854"/>
        <v>0</v>
      </c>
      <c r="BU57" s="131">
        <f ca="1">SUM(BT57:BT$124)*SSi</f>
        <v>0</v>
      </c>
      <c r="BV57" s="70">
        <f t="shared" ca="1" si="83"/>
        <v>99999.012970709329</v>
      </c>
      <c r="BW57" s="2">
        <f t="shared" ref="BW57" ca="1" si="1134">IFERROR(VLOOKUP($S57,qx_table,MATCH(BW$11,qx_title,0)+sexB),0)</f>
        <v>0</v>
      </c>
      <c r="BX57" s="131">
        <f t="shared" ca="1" si="856"/>
        <v>0</v>
      </c>
      <c r="BY57" s="131">
        <f ca="1">SUM(BX57:BX$124)*SSj</f>
        <v>0</v>
      </c>
      <c r="BZ57" s="70">
        <f t="shared" ca="1" si="86"/>
        <v>99999.012970709329</v>
      </c>
      <c r="CA57" s="2">
        <f t="shared" ref="CA57" ca="1" si="1135">IFERROR(VLOOKUP($S57,qx_table,MATCH(CA$11,qx_title,0)+sexB),0)</f>
        <v>0</v>
      </c>
      <c r="CB57" s="131">
        <f t="shared" ca="1" si="858"/>
        <v>0</v>
      </c>
      <c r="CC57" s="131">
        <f ca="1">SUM(CB57:CB$124)*SSk</f>
        <v>0</v>
      </c>
      <c r="CD57" s="8">
        <f t="shared" ca="1" si="89"/>
        <v>99999.012970709329</v>
      </c>
      <c r="CE57" s="2">
        <f t="shared" ref="CE57" ca="1" si="1136">IFERROR(VLOOKUP($S57,qx_table,MATCH(CE$11,qx_title,0)+sexB),0)</f>
        <v>0</v>
      </c>
      <c r="CF57" s="131">
        <f t="shared" ca="1" si="860"/>
        <v>0</v>
      </c>
      <c r="CG57" s="131">
        <f ca="1">SUM(CF57:CF$124)*SSl</f>
        <v>0</v>
      </c>
      <c r="CH57" s="101">
        <f t="shared" ca="1" si="92"/>
        <v>0</v>
      </c>
      <c r="CI57" s="154">
        <f t="shared" ca="1" si="817"/>
        <v>0</v>
      </c>
      <c r="CJ57" s="32">
        <f t="shared" ref="CJ57" ca="1" si="1137">+MAX(VLOOKUP(xB+$R57,기수표B,$AH$1)-VLOOKUP(xB+mB,기수표B,$AH$1),0)</f>
        <v>0</v>
      </c>
      <c r="CK57" s="32">
        <f t="shared" ref="CK57" ca="1" si="1138">+MAX(VLOOKUP(xB+$R57,기수표B,$AH$1)-VLOOKUP(xB+mB,기수표B,$AH$1)-11/24*(VLOOKUP(xB+$R57,기수표B,$AG$1)-VLOOKUP(xB+mB,기수표B,$AG$1)),0)</f>
        <v>0</v>
      </c>
      <c r="CL57" s="32">
        <f t="shared" ref="CL57" ca="1" si="1139">+MAX(VLOOKUP(xB+$R57,기수표B,$AA$1)-VLOOKUP(xB+mB,기수표B,$AA$1),0)</f>
        <v>0</v>
      </c>
      <c r="CM57" s="32">
        <f t="shared" ref="CM57" ca="1" si="1140">+MAX(VLOOKUP(xB+$R57,기수표B,$AA$1)-VLOOKUP(xB+mB,기수표B,$AA$1)-11/24*(VLOOKUP(xB+$R57,기수표B,$AA$1)-VLOOKUP(xB+mB,기수표B,$AA$1)),0)</f>
        <v>0</v>
      </c>
      <c r="CN57" s="32">
        <f t="shared" si="822"/>
        <v>0</v>
      </c>
      <c r="CO57" s="32">
        <f t="shared" ca="1" si="823"/>
        <v>0</v>
      </c>
      <c r="CP57" s="259">
        <f t="shared" ca="1" si="824"/>
        <v>0</v>
      </c>
      <c r="CQ57" s="259">
        <f t="shared" ca="1" si="825"/>
        <v>0</v>
      </c>
      <c r="CR57" s="259" t="e">
        <f t="shared" ca="1" si="826"/>
        <v>#DIV/0!</v>
      </c>
      <c r="CS57" s="31">
        <f t="shared" ref="CS57" si="1141">+MIN(mB,7)</f>
        <v>5</v>
      </c>
      <c r="CU57" s="13">
        <v>45</v>
      </c>
      <c r="CV57" s="477">
        <f t="shared" ca="1" si="828"/>
        <v>420</v>
      </c>
      <c r="CW57" s="477" t="e">
        <f t="shared" ca="1" si="829"/>
        <v>#DIV/0!</v>
      </c>
      <c r="CX57" s="477">
        <f t="shared" ca="1" si="830"/>
        <v>0</v>
      </c>
      <c r="CY57" s="478">
        <f t="shared" ca="1" si="98"/>
        <v>0</v>
      </c>
    </row>
    <row r="58" spans="2:103">
      <c r="B58" s="16"/>
      <c r="N58" s="5">
        <f t="shared" si="99"/>
        <v>46</v>
      </c>
      <c r="O58" s="2">
        <f t="shared" ref="O58" ca="1" si="1142">+(1+iB)^-N58</f>
        <v>0.35932499875786211</v>
      </c>
      <c r="P58" s="2">
        <f t="shared" ref="P58" ca="1" si="1143">+(1+iB)^-(N58+0.5)</f>
        <v>0.3553495537660053</v>
      </c>
      <c r="Q58" s="91"/>
      <c r="R58" s="20">
        <f t="shared" si="102"/>
        <v>46</v>
      </c>
      <c r="S58" s="20" t="str">
        <f t="shared" ref="S58" si="1144">+IF(xB+R58&lt;=xB+nB,xB+R58,"")</f>
        <v/>
      </c>
      <c r="T58" s="2">
        <f t="shared" ref="T58:U58" ca="1" si="1145">IFERROR(VLOOKUP($S58,qx_table,MATCH(T$11,qx_title,0)+sexB),0)</f>
        <v>0</v>
      </c>
      <c r="U58" s="2">
        <f t="shared" ca="1" si="1145"/>
        <v>0</v>
      </c>
      <c r="V58" s="300">
        <f>IF(JRB=2,0,IF(R58&gt;=mB-1,_xlfn.XLOOKUP(R58-mB,해지율!#REF!,해지율!#REF!,,1),_xlfn.XLOOKUP(R58,해지율!#REF!,해지율!#REF!,,-1)))</f>
        <v>0</v>
      </c>
      <c r="W58" s="8">
        <f t="shared" ref="W58" si="1146">IF(R58=0,100000,IF(R58&gt;nB,0,W57*(1-X57)*(1-Y57)))</f>
        <v>0</v>
      </c>
      <c r="X58" s="10">
        <f t="shared" ca="1" si="19"/>
        <v>0</v>
      </c>
      <c r="Y58" s="10">
        <f t="shared" ca="1" si="20"/>
        <v>0</v>
      </c>
      <c r="Z58" s="8">
        <f t="shared" ca="1" si="106"/>
        <v>0</v>
      </c>
      <c r="AA58" s="8">
        <f ca="1">+SUM(Z58:Z$124)</f>
        <v>0</v>
      </c>
      <c r="AB58" s="8">
        <f t="shared" ca="1" si="21"/>
        <v>0</v>
      </c>
      <c r="AC58" s="209">
        <f ca="1">+SUM(AB58:AB$124)*SSSM</f>
        <v>0</v>
      </c>
      <c r="AD58" s="209">
        <f t="shared" ref="AD58" si="1147">IF(R58&gt;nB,0,AD57*(1-X57)*(1-Y57)*(1-AE57)*(1-AF57))</f>
        <v>0</v>
      </c>
      <c r="AE58" s="92">
        <f t="shared" ca="1" si="56"/>
        <v>0</v>
      </c>
      <c r="AF58" s="92">
        <f t="shared" ca="1" si="22"/>
        <v>0</v>
      </c>
      <c r="AG58" s="664">
        <f t="shared" ca="1" si="23"/>
        <v>0</v>
      </c>
      <c r="AH58" s="5">
        <f ca="1">+SUM(AG58:AG$124)</f>
        <v>0</v>
      </c>
      <c r="AI58" s="70">
        <f t="shared" ca="1" si="24"/>
        <v>0</v>
      </c>
      <c r="AJ58" s="208">
        <f ca="1">+SUM(AB58:AB$124)*SS50J</f>
        <v>0</v>
      </c>
      <c r="AK58" s="5">
        <f t="shared" ca="1" si="108"/>
        <v>99999.012970709329</v>
      </c>
      <c r="AL58" s="2">
        <f t="shared" ref="AL58" ca="1" si="1148">IFERROR(VLOOKUP($S58,qx_table,MATCH(AL$11,qx_title,0)+sexB),0)</f>
        <v>0</v>
      </c>
      <c r="AM58" s="131">
        <f t="shared" ca="1" si="110"/>
        <v>35932.145211487565</v>
      </c>
      <c r="AN58" s="129">
        <f t="shared" ca="1" si="839"/>
        <v>0</v>
      </c>
      <c r="AO58" s="129">
        <f ca="1">SUM(AN58:AN$124)*SSa</f>
        <v>0</v>
      </c>
      <c r="AP58" s="70">
        <f t="shared" ca="1" si="59"/>
        <v>99999.012970709329</v>
      </c>
      <c r="AQ58" s="2">
        <f t="shared" ref="AQ58" ca="1" si="1149">IFERROR(VLOOKUP($S58,qx_table,MATCH(AQ$11,qx_title,0)+sexB),0)</f>
        <v>0</v>
      </c>
      <c r="AR58" s="127">
        <f t="shared" ca="1" si="841"/>
        <v>0</v>
      </c>
      <c r="AS58" s="127">
        <f ca="1">SUM(AR58:AR$124)*SSb</f>
        <v>0</v>
      </c>
      <c r="AT58" s="70">
        <f t="shared" ca="1" si="62"/>
        <v>99999.012970709329</v>
      </c>
      <c r="AU58" s="2">
        <f t="shared" ref="AU58" ca="1" si="1150">IFERROR(VLOOKUP($S58,qx_table,MATCH(AU$11,qx_title,0)+sexB),0)</f>
        <v>0</v>
      </c>
      <c r="AV58" s="268">
        <f t="shared" ca="1" si="843"/>
        <v>0</v>
      </c>
      <c r="AW58" s="131">
        <f ca="1">SUM(AV58:AV$124)*SSc</f>
        <v>0</v>
      </c>
      <c r="AX58" s="70">
        <f t="shared" ca="1" si="65"/>
        <v>99999.012970709329</v>
      </c>
      <c r="AY58" s="2">
        <f t="shared" ref="AY58" ca="1" si="1151">IFERROR(VLOOKUP($S58,qx_table,MATCH(AY$11,qx_title,0)+sexB),0)</f>
        <v>0</v>
      </c>
      <c r="AZ58" s="268">
        <f t="shared" ca="1" si="808"/>
        <v>0</v>
      </c>
      <c r="BA58" s="129">
        <f ca="1">SUM(AZ58:AZ$124)*SSd</f>
        <v>0</v>
      </c>
      <c r="BB58" s="70">
        <f t="shared" ca="1" si="68"/>
        <v>99999.012970709329</v>
      </c>
      <c r="BC58" s="257">
        <f t="shared" ref="BC58" ca="1" si="1152">IFERROR(VLOOKUP($S58,qx_table,MATCH(BC$11,qx_title,0)+sexB),0)</f>
        <v>0</v>
      </c>
      <c r="BD58" s="268">
        <f t="shared" ca="1" si="846"/>
        <v>0</v>
      </c>
      <c r="BE58" s="131">
        <f ca="1">SUM(BD58:BD$124)*SSe</f>
        <v>0</v>
      </c>
      <c r="BF58" s="70">
        <f t="shared" ca="1" si="71"/>
        <v>99999.012970709329</v>
      </c>
      <c r="BG58" s="2">
        <f t="shared" ref="BG58" ca="1" si="1153">IFERROR(VLOOKUP($S58,qx_table,MATCH(BG$11,qx_title,0)+sexB),0)</f>
        <v>0</v>
      </c>
      <c r="BH58" s="131">
        <f t="shared" ca="1" si="848"/>
        <v>0</v>
      </c>
      <c r="BI58" s="2">
        <f ca="1">SUM(BH58:BH$124)*SSf</f>
        <v>0</v>
      </c>
      <c r="BJ58" s="70">
        <f t="shared" ca="1" si="74"/>
        <v>99999.012970709329</v>
      </c>
      <c r="BK58" s="2">
        <f t="shared" ref="BK58" ca="1" si="1154">IFERROR(VLOOKUP($S58,qx_table,MATCH(BK$11,qx_title,0)+sexB),0)</f>
        <v>0</v>
      </c>
      <c r="BL58" s="131">
        <f t="shared" ca="1" si="850"/>
        <v>0</v>
      </c>
      <c r="BM58" s="131">
        <f ca="1">SUM(BL58:BL$124)*SSg</f>
        <v>0</v>
      </c>
      <c r="BN58" s="70">
        <f t="shared" ca="1" si="77"/>
        <v>99999.012970709329</v>
      </c>
      <c r="BO58" s="2">
        <f t="shared" ref="BO58" ca="1" si="1155">IFERROR(VLOOKUP($S58,qx_table,MATCH(BO$11,qx_title,0)+sexB),0)</f>
        <v>0</v>
      </c>
      <c r="BP58" s="131">
        <f t="shared" ca="1" si="852"/>
        <v>0</v>
      </c>
      <c r="BQ58" s="131">
        <f ca="1">SUM(BP58:BP$124)*SSh</f>
        <v>0</v>
      </c>
      <c r="BR58" s="70">
        <f t="shared" ca="1" si="80"/>
        <v>99999.012970709329</v>
      </c>
      <c r="BS58" s="2">
        <f t="shared" ref="BS58" ca="1" si="1156">IFERROR(VLOOKUP($S58,qx_table,MATCH(BS$11,qx_title,0)+sexB),0)*IF(R58=0,MCi,1)</f>
        <v>0</v>
      </c>
      <c r="BT58" s="131">
        <f t="shared" ca="1" si="854"/>
        <v>0</v>
      </c>
      <c r="BU58" s="131">
        <f ca="1">SUM(BT58:BT$124)*SSi</f>
        <v>0</v>
      </c>
      <c r="BV58" s="70">
        <f t="shared" ca="1" si="83"/>
        <v>99999.012970709329</v>
      </c>
      <c r="BW58" s="2">
        <f t="shared" ref="BW58" ca="1" si="1157">IFERROR(VLOOKUP($S58,qx_table,MATCH(BW$11,qx_title,0)+sexB),0)</f>
        <v>0</v>
      </c>
      <c r="BX58" s="131">
        <f t="shared" ca="1" si="856"/>
        <v>0</v>
      </c>
      <c r="BY58" s="131">
        <f ca="1">SUM(BX58:BX$124)*SSj</f>
        <v>0</v>
      </c>
      <c r="BZ58" s="70">
        <f t="shared" ca="1" si="86"/>
        <v>99999.012970709329</v>
      </c>
      <c r="CA58" s="2">
        <f t="shared" ref="CA58" ca="1" si="1158">IFERROR(VLOOKUP($S58,qx_table,MATCH(CA$11,qx_title,0)+sexB),0)</f>
        <v>0</v>
      </c>
      <c r="CB58" s="131">
        <f t="shared" ca="1" si="858"/>
        <v>0</v>
      </c>
      <c r="CC58" s="131">
        <f ca="1">SUM(CB58:CB$124)*SSk</f>
        <v>0</v>
      </c>
      <c r="CD58" s="8">
        <f t="shared" ca="1" si="89"/>
        <v>99999.012970709329</v>
      </c>
      <c r="CE58" s="2">
        <f t="shared" ref="CE58" ca="1" si="1159">IFERROR(VLOOKUP($S58,qx_table,MATCH(CE$11,qx_title,0)+sexB),0)</f>
        <v>0</v>
      </c>
      <c r="CF58" s="131">
        <f t="shared" ca="1" si="860"/>
        <v>0</v>
      </c>
      <c r="CG58" s="131">
        <f ca="1">SUM(CF58:CF$124)*SSl</f>
        <v>0</v>
      </c>
      <c r="CH58" s="101">
        <f t="shared" ca="1" si="92"/>
        <v>0</v>
      </c>
      <c r="CI58" s="154">
        <f t="shared" ca="1" si="817"/>
        <v>0</v>
      </c>
      <c r="CJ58" s="32">
        <f t="shared" ref="CJ58" ca="1" si="1160">+MAX(VLOOKUP(xB+$R58,기수표B,$AH$1)-VLOOKUP(xB+mB,기수표B,$AH$1),0)</f>
        <v>0</v>
      </c>
      <c r="CK58" s="32">
        <f t="shared" ref="CK58" ca="1" si="1161">+MAX(VLOOKUP(xB+$R58,기수표B,$AH$1)-VLOOKUP(xB+mB,기수표B,$AH$1)-11/24*(VLOOKUP(xB+$R58,기수표B,$AG$1)-VLOOKUP(xB+mB,기수표B,$AG$1)),0)</f>
        <v>0</v>
      </c>
      <c r="CL58" s="32">
        <f t="shared" ref="CL58" ca="1" si="1162">+MAX(VLOOKUP(xB+$R58,기수표B,$AA$1)-VLOOKUP(xB+mB,기수표B,$AA$1),0)</f>
        <v>0</v>
      </c>
      <c r="CM58" s="32">
        <f t="shared" ref="CM58" ca="1" si="1163">+MAX(VLOOKUP(xB+$R58,기수표B,$AA$1)-VLOOKUP(xB+mB,기수표B,$AA$1)-11/24*(VLOOKUP(xB+$R58,기수표B,$AA$1)-VLOOKUP(xB+mB,기수표B,$AA$1)),0)</f>
        <v>0</v>
      </c>
      <c r="CN58" s="32">
        <f t="shared" si="822"/>
        <v>0</v>
      </c>
      <c r="CO58" s="32">
        <f t="shared" ca="1" si="823"/>
        <v>0</v>
      </c>
      <c r="CP58" s="259">
        <f t="shared" ca="1" si="824"/>
        <v>0</v>
      </c>
      <c r="CQ58" s="259">
        <f t="shared" ca="1" si="825"/>
        <v>0</v>
      </c>
      <c r="CR58" s="259" t="e">
        <f t="shared" ca="1" si="826"/>
        <v>#DIV/0!</v>
      </c>
      <c r="CS58" s="31">
        <f t="shared" ref="CS58" si="1164">+MIN(mB,7)</f>
        <v>5</v>
      </c>
      <c r="CU58" s="13">
        <v>46</v>
      </c>
      <c r="CV58" s="477">
        <f t="shared" ca="1" si="828"/>
        <v>420</v>
      </c>
      <c r="CW58" s="477" t="e">
        <f t="shared" ca="1" si="829"/>
        <v>#DIV/0!</v>
      </c>
      <c r="CX58" s="477">
        <f t="shared" ca="1" si="830"/>
        <v>0</v>
      </c>
      <c r="CY58" s="478">
        <f t="shared" ca="1" si="98"/>
        <v>0</v>
      </c>
    </row>
    <row r="59" spans="2:103">
      <c r="N59" s="5">
        <f t="shared" si="99"/>
        <v>47</v>
      </c>
      <c r="O59" s="2">
        <f t="shared" ref="O59" ca="1" si="1165">+(1+iB)^-N59</f>
        <v>0.35141809169473071</v>
      </c>
      <c r="P59" s="2">
        <f t="shared" ref="P59" ca="1" si="1166">+(1+iB)^-(N59+0.5)</f>
        <v>0.34753012593252358</v>
      </c>
      <c r="Q59" s="91"/>
      <c r="R59" s="20">
        <f t="shared" si="102"/>
        <v>47</v>
      </c>
      <c r="S59" s="20" t="str">
        <f t="shared" ref="S59" si="1167">+IF(xB+R59&lt;=xB+nB,xB+R59,"")</f>
        <v/>
      </c>
      <c r="T59" s="2">
        <f t="shared" ref="T59:U59" ca="1" si="1168">IFERROR(VLOOKUP($S59,qx_table,MATCH(T$11,qx_title,0)+sexB),0)</f>
        <v>0</v>
      </c>
      <c r="U59" s="2">
        <f t="shared" ca="1" si="1168"/>
        <v>0</v>
      </c>
      <c r="V59" s="300">
        <f>IF(JRB=2,0,IF(R59&gt;=mB-1,_xlfn.XLOOKUP(R59-mB,해지율!#REF!,해지율!#REF!,,1),_xlfn.XLOOKUP(R59,해지율!#REF!,해지율!#REF!,,-1)))</f>
        <v>0</v>
      </c>
      <c r="W59" s="8">
        <f t="shared" ref="W59" si="1169">IF(R59=0,100000,IF(R59&gt;nB,0,W58*(1-X58)*(1-Y58)))</f>
        <v>0</v>
      </c>
      <c r="X59" s="10">
        <f t="shared" ca="1" si="19"/>
        <v>0</v>
      </c>
      <c r="Y59" s="10">
        <f t="shared" ca="1" si="20"/>
        <v>0</v>
      </c>
      <c r="Z59" s="8">
        <f t="shared" ca="1" si="106"/>
        <v>0</v>
      </c>
      <c r="AA59" s="8">
        <f ca="1">+SUM(Z59:Z$124)</f>
        <v>0</v>
      </c>
      <c r="AB59" s="8">
        <f t="shared" ca="1" si="21"/>
        <v>0</v>
      </c>
      <c r="AC59" s="209">
        <f ca="1">+SUM(AB59:AB$124)*SSSM</f>
        <v>0</v>
      </c>
      <c r="AD59" s="209">
        <f t="shared" ref="AD59" si="1170">IF(R59&gt;nB,0,AD58*(1-X58)*(1-Y58)*(1-AE58)*(1-AF58))</f>
        <v>0</v>
      </c>
      <c r="AE59" s="92">
        <f t="shared" ca="1" si="56"/>
        <v>0</v>
      </c>
      <c r="AF59" s="92">
        <f t="shared" ca="1" si="22"/>
        <v>0</v>
      </c>
      <c r="AG59" s="664">
        <f t="shared" ca="1" si="23"/>
        <v>0</v>
      </c>
      <c r="AH59" s="5">
        <f ca="1">+SUM(AG59:AG$124)</f>
        <v>0</v>
      </c>
      <c r="AI59" s="70">
        <f t="shared" ca="1" si="24"/>
        <v>0</v>
      </c>
      <c r="AJ59" s="208">
        <f ca="1">+SUM(AB59:AB$124)*SS50J</f>
        <v>0</v>
      </c>
      <c r="AK59" s="5">
        <f t="shared" ca="1" si="108"/>
        <v>99999.012970709329</v>
      </c>
      <c r="AL59" s="2">
        <f t="shared" ref="AL59" ca="1" si="1171">IFERROR(VLOOKUP($S59,qx_table,MATCH(AL$11,qx_title,0)+sexB),0)</f>
        <v>0</v>
      </c>
      <c r="AM59" s="131">
        <f t="shared" ca="1" si="110"/>
        <v>35141.462309523296</v>
      </c>
      <c r="AN59" s="129">
        <f t="shared" ca="1" si="839"/>
        <v>0</v>
      </c>
      <c r="AO59" s="129">
        <f ca="1">SUM(AN59:AN$124)*SSa</f>
        <v>0</v>
      </c>
      <c r="AP59" s="70">
        <f t="shared" ca="1" si="59"/>
        <v>99999.012970709329</v>
      </c>
      <c r="AQ59" s="2">
        <f t="shared" ref="AQ59" ca="1" si="1172">IFERROR(VLOOKUP($S59,qx_table,MATCH(AQ$11,qx_title,0)+sexB),0)</f>
        <v>0</v>
      </c>
      <c r="AR59" s="127">
        <f t="shared" ca="1" si="841"/>
        <v>0</v>
      </c>
      <c r="AS59" s="127">
        <f ca="1">SUM(AR59:AR$124)*SSb</f>
        <v>0</v>
      </c>
      <c r="AT59" s="70">
        <f t="shared" ca="1" si="62"/>
        <v>99999.012970709329</v>
      </c>
      <c r="AU59" s="2">
        <f t="shared" ref="AU59" ca="1" si="1173">IFERROR(VLOOKUP($S59,qx_table,MATCH(AU$11,qx_title,0)+sexB),0)</f>
        <v>0</v>
      </c>
      <c r="AV59" s="268">
        <f t="shared" ca="1" si="843"/>
        <v>0</v>
      </c>
      <c r="AW59" s="131">
        <f ca="1">SUM(AV59:AV$124)*SSc</f>
        <v>0</v>
      </c>
      <c r="AX59" s="70">
        <f t="shared" ca="1" si="65"/>
        <v>99999.012970709329</v>
      </c>
      <c r="AY59" s="2">
        <f t="shared" ref="AY59" ca="1" si="1174">IFERROR(VLOOKUP($S59,qx_table,MATCH(AY$11,qx_title,0)+sexB),0)</f>
        <v>0</v>
      </c>
      <c r="AZ59" s="268">
        <f t="shared" ca="1" si="808"/>
        <v>0</v>
      </c>
      <c r="BA59" s="129">
        <f ca="1">SUM(AZ59:AZ$124)*SSd</f>
        <v>0</v>
      </c>
      <c r="BB59" s="70">
        <f t="shared" ca="1" si="68"/>
        <v>99999.012970709329</v>
      </c>
      <c r="BC59" s="257">
        <f t="shared" ref="BC59" ca="1" si="1175">IFERROR(VLOOKUP($S59,qx_table,MATCH(BC$11,qx_title,0)+sexB),0)</f>
        <v>0</v>
      </c>
      <c r="BD59" s="268">
        <f t="shared" ca="1" si="846"/>
        <v>0</v>
      </c>
      <c r="BE59" s="131">
        <f ca="1">SUM(BD59:BD$124)*SSe</f>
        <v>0</v>
      </c>
      <c r="BF59" s="70">
        <f t="shared" ca="1" si="71"/>
        <v>99999.012970709329</v>
      </c>
      <c r="BG59" s="2">
        <f t="shared" ref="BG59" ca="1" si="1176">IFERROR(VLOOKUP($S59,qx_table,MATCH(BG$11,qx_title,0)+sexB),0)</f>
        <v>0</v>
      </c>
      <c r="BH59" s="131">
        <f t="shared" ca="1" si="848"/>
        <v>0</v>
      </c>
      <c r="BI59" s="2">
        <f ca="1">SUM(BH59:BH$124)*SSf</f>
        <v>0</v>
      </c>
      <c r="BJ59" s="70">
        <f t="shared" ca="1" si="74"/>
        <v>99999.012970709329</v>
      </c>
      <c r="BK59" s="2">
        <f t="shared" ref="BK59" ca="1" si="1177">IFERROR(VLOOKUP($S59,qx_table,MATCH(BK$11,qx_title,0)+sexB),0)</f>
        <v>0</v>
      </c>
      <c r="BL59" s="131">
        <f t="shared" ca="1" si="850"/>
        <v>0</v>
      </c>
      <c r="BM59" s="131">
        <f ca="1">SUM(BL59:BL$124)*SSg</f>
        <v>0</v>
      </c>
      <c r="BN59" s="70">
        <f t="shared" ca="1" si="77"/>
        <v>99999.012970709329</v>
      </c>
      <c r="BO59" s="2">
        <f t="shared" ref="BO59" ca="1" si="1178">IFERROR(VLOOKUP($S59,qx_table,MATCH(BO$11,qx_title,0)+sexB),0)</f>
        <v>0</v>
      </c>
      <c r="BP59" s="131">
        <f t="shared" ca="1" si="852"/>
        <v>0</v>
      </c>
      <c r="BQ59" s="131">
        <f ca="1">SUM(BP59:BP$124)*SSh</f>
        <v>0</v>
      </c>
      <c r="BR59" s="70">
        <f t="shared" ca="1" si="80"/>
        <v>99999.012970709329</v>
      </c>
      <c r="BS59" s="2">
        <f t="shared" ref="BS59" ca="1" si="1179">IFERROR(VLOOKUP($S59,qx_table,MATCH(BS$11,qx_title,0)+sexB),0)*IF(R59=0,MCi,1)</f>
        <v>0</v>
      </c>
      <c r="BT59" s="131">
        <f t="shared" ca="1" si="854"/>
        <v>0</v>
      </c>
      <c r="BU59" s="131">
        <f ca="1">SUM(BT59:BT$124)*SSi</f>
        <v>0</v>
      </c>
      <c r="BV59" s="70">
        <f t="shared" ca="1" si="83"/>
        <v>99999.012970709329</v>
      </c>
      <c r="BW59" s="2">
        <f t="shared" ref="BW59" ca="1" si="1180">IFERROR(VLOOKUP($S59,qx_table,MATCH(BW$11,qx_title,0)+sexB),0)</f>
        <v>0</v>
      </c>
      <c r="BX59" s="131">
        <f t="shared" ca="1" si="856"/>
        <v>0</v>
      </c>
      <c r="BY59" s="131">
        <f ca="1">SUM(BX59:BX$124)*SSj</f>
        <v>0</v>
      </c>
      <c r="BZ59" s="70">
        <f t="shared" ca="1" si="86"/>
        <v>99999.012970709329</v>
      </c>
      <c r="CA59" s="2">
        <f t="shared" ref="CA59" ca="1" si="1181">IFERROR(VLOOKUP($S59,qx_table,MATCH(CA$11,qx_title,0)+sexB),0)</f>
        <v>0</v>
      </c>
      <c r="CB59" s="131">
        <f t="shared" ca="1" si="858"/>
        <v>0</v>
      </c>
      <c r="CC59" s="131">
        <f ca="1">SUM(CB59:CB$124)*SSk</f>
        <v>0</v>
      </c>
      <c r="CD59" s="8">
        <f t="shared" ca="1" si="89"/>
        <v>99999.012970709329</v>
      </c>
      <c r="CE59" s="2">
        <f t="shared" ref="CE59" ca="1" si="1182">IFERROR(VLOOKUP($S59,qx_table,MATCH(CE$11,qx_title,0)+sexB),0)</f>
        <v>0</v>
      </c>
      <c r="CF59" s="131">
        <f t="shared" ca="1" si="860"/>
        <v>0</v>
      </c>
      <c r="CG59" s="131">
        <f ca="1">SUM(CF59:CF$124)*SSl</f>
        <v>0</v>
      </c>
      <c r="CH59" s="101">
        <f t="shared" ca="1" si="92"/>
        <v>0</v>
      </c>
      <c r="CI59" s="154">
        <f t="shared" ca="1" si="817"/>
        <v>0</v>
      </c>
      <c r="CJ59" s="32">
        <f t="shared" ref="CJ59" ca="1" si="1183">+MAX(VLOOKUP(xB+$R59,기수표B,$AH$1)-VLOOKUP(xB+mB,기수표B,$AH$1),0)</f>
        <v>0</v>
      </c>
      <c r="CK59" s="32">
        <f t="shared" ref="CK59" ca="1" si="1184">+MAX(VLOOKUP(xB+$R59,기수표B,$AH$1)-VLOOKUP(xB+mB,기수표B,$AH$1)-11/24*(VLOOKUP(xB+$R59,기수표B,$AG$1)-VLOOKUP(xB+mB,기수표B,$AG$1)),0)</f>
        <v>0</v>
      </c>
      <c r="CL59" s="32">
        <f t="shared" ref="CL59" ca="1" si="1185">+MAX(VLOOKUP(xB+$R59,기수표B,$AA$1)-VLOOKUP(xB+mB,기수표B,$AA$1),0)</f>
        <v>0</v>
      </c>
      <c r="CM59" s="32">
        <f t="shared" ref="CM59" ca="1" si="1186">+MAX(VLOOKUP(xB+$R59,기수표B,$AA$1)-VLOOKUP(xB+mB,기수표B,$AA$1)-11/24*(VLOOKUP(xB+$R59,기수표B,$AA$1)-VLOOKUP(xB+mB,기수표B,$AA$1)),0)</f>
        <v>0</v>
      </c>
      <c r="CN59" s="32">
        <f t="shared" si="822"/>
        <v>0</v>
      </c>
      <c r="CO59" s="32">
        <f t="shared" ca="1" si="823"/>
        <v>0</v>
      </c>
      <c r="CP59" s="259">
        <f t="shared" ca="1" si="824"/>
        <v>0</v>
      </c>
      <c r="CQ59" s="259">
        <f t="shared" ca="1" si="825"/>
        <v>0</v>
      </c>
      <c r="CR59" s="259" t="e">
        <f t="shared" ca="1" si="826"/>
        <v>#DIV/0!</v>
      </c>
      <c r="CS59" s="31">
        <f t="shared" ref="CS59" si="1187">+MIN(mB,7)</f>
        <v>5</v>
      </c>
      <c r="CU59" s="13">
        <v>47</v>
      </c>
      <c r="CV59" s="477">
        <f t="shared" ca="1" si="828"/>
        <v>420</v>
      </c>
      <c r="CW59" s="477" t="e">
        <f t="shared" ca="1" si="829"/>
        <v>#DIV/0!</v>
      </c>
      <c r="CX59" s="477">
        <f t="shared" ca="1" si="830"/>
        <v>0</v>
      </c>
      <c r="CY59" s="478">
        <f t="shared" ca="1" si="98"/>
        <v>0</v>
      </c>
    </row>
    <row r="60" spans="2:103">
      <c r="N60" s="5">
        <f t="shared" si="99"/>
        <v>48</v>
      </c>
      <c r="O60" s="2">
        <f t="shared" ref="O60" ca="1" si="1188">+(1+iB)^-N60</f>
        <v>0.34368517525157044</v>
      </c>
      <c r="P60" s="2">
        <f t="shared" ref="P60" ca="1" si="1189">+(1+iB)^-(N60+0.5)</f>
        <v>0.33988276374818926</v>
      </c>
      <c r="Q60" s="91"/>
      <c r="R60" s="20">
        <f t="shared" si="102"/>
        <v>48</v>
      </c>
      <c r="S60" s="20" t="str">
        <f t="shared" ref="S60" si="1190">+IF(xB+R60&lt;=xB+nB,xB+R60,"")</f>
        <v/>
      </c>
      <c r="T60" s="2">
        <f t="shared" ref="T60:U60" ca="1" si="1191">IFERROR(VLOOKUP($S60,qx_table,MATCH(T$11,qx_title,0)+sexB),0)</f>
        <v>0</v>
      </c>
      <c r="U60" s="2">
        <f t="shared" ca="1" si="1191"/>
        <v>0</v>
      </c>
      <c r="V60" s="300">
        <f>IF(JRB=2,0,IF(R60&gt;=mB-1,_xlfn.XLOOKUP(R60-mB,해지율!#REF!,해지율!#REF!,,1),_xlfn.XLOOKUP(R60,해지율!#REF!,해지율!#REF!,,-1)))</f>
        <v>0</v>
      </c>
      <c r="W60" s="8">
        <f t="shared" ref="W60" si="1192">IF(R60=0,100000,IF(R60&gt;nB,0,W59*(1-X59)*(1-Y59)))</f>
        <v>0</v>
      </c>
      <c r="X60" s="10">
        <f t="shared" ca="1" si="19"/>
        <v>0</v>
      </c>
      <c r="Y60" s="10">
        <f t="shared" ca="1" si="20"/>
        <v>0</v>
      </c>
      <c r="Z60" s="8">
        <f t="shared" ca="1" si="106"/>
        <v>0</v>
      </c>
      <c r="AA60" s="8">
        <f ca="1">+SUM(Z60:Z$124)</f>
        <v>0</v>
      </c>
      <c r="AB60" s="8">
        <f t="shared" ca="1" si="21"/>
        <v>0</v>
      </c>
      <c r="AC60" s="209">
        <f ca="1">+SUM(AB60:AB$124)*SSSM</f>
        <v>0</v>
      </c>
      <c r="AD60" s="209">
        <f t="shared" ref="AD60" si="1193">IF(R60&gt;nB,0,AD59*(1-X59)*(1-Y59)*(1-AE59)*(1-AF59))</f>
        <v>0</v>
      </c>
      <c r="AE60" s="92">
        <f t="shared" ca="1" si="56"/>
        <v>0</v>
      </c>
      <c r="AF60" s="92">
        <f t="shared" ca="1" si="22"/>
        <v>0</v>
      </c>
      <c r="AG60" s="664">
        <f t="shared" ca="1" si="23"/>
        <v>0</v>
      </c>
      <c r="AH60" s="5">
        <f ca="1">+SUM(AG60:AG$124)</f>
        <v>0</v>
      </c>
      <c r="AI60" s="70">
        <f t="shared" ca="1" si="24"/>
        <v>0</v>
      </c>
      <c r="AJ60" s="208">
        <f ca="1">+SUM(AB60:AB$124)*SS50J</f>
        <v>0</v>
      </c>
      <c r="AK60" s="5">
        <f t="shared" ca="1" si="108"/>
        <v>99999.012970709329</v>
      </c>
      <c r="AL60" s="2">
        <f t="shared" ref="AL60" ca="1" si="1194">IFERROR(VLOOKUP($S60,qx_table,MATCH(AL$11,qx_title,0)+sexB),0)</f>
        <v>0</v>
      </c>
      <c r="AM60" s="131">
        <f t="shared" ca="1" si="110"/>
        <v>34368.178297822298</v>
      </c>
      <c r="AN60" s="129">
        <f t="shared" ca="1" si="839"/>
        <v>0</v>
      </c>
      <c r="AO60" s="129">
        <f ca="1">SUM(AN60:AN$124)*SSa</f>
        <v>0</v>
      </c>
      <c r="AP60" s="70">
        <f t="shared" ca="1" si="59"/>
        <v>99999.012970709329</v>
      </c>
      <c r="AQ60" s="2">
        <f t="shared" ref="AQ60" ca="1" si="1195">IFERROR(VLOOKUP($S60,qx_table,MATCH(AQ$11,qx_title,0)+sexB),0)</f>
        <v>0</v>
      </c>
      <c r="AR60" s="127">
        <f t="shared" ca="1" si="841"/>
        <v>0</v>
      </c>
      <c r="AS60" s="127">
        <f ca="1">SUM(AR60:AR$124)*SSb</f>
        <v>0</v>
      </c>
      <c r="AT60" s="70">
        <f t="shared" ca="1" si="62"/>
        <v>99999.012970709329</v>
      </c>
      <c r="AU60" s="2">
        <f t="shared" ref="AU60" ca="1" si="1196">IFERROR(VLOOKUP($S60,qx_table,MATCH(AU$11,qx_title,0)+sexB),0)</f>
        <v>0</v>
      </c>
      <c r="AV60" s="268">
        <f t="shared" ca="1" si="843"/>
        <v>0</v>
      </c>
      <c r="AW60" s="131">
        <f ca="1">SUM(AV60:AV$124)*SSc</f>
        <v>0</v>
      </c>
      <c r="AX60" s="70">
        <f t="shared" ca="1" si="65"/>
        <v>99999.012970709329</v>
      </c>
      <c r="AY60" s="2">
        <f t="shared" ref="AY60" ca="1" si="1197">IFERROR(VLOOKUP($S60,qx_table,MATCH(AY$11,qx_title,0)+sexB),0)</f>
        <v>0</v>
      </c>
      <c r="AZ60" s="268">
        <f t="shared" ca="1" si="808"/>
        <v>0</v>
      </c>
      <c r="BA60" s="129">
        <f ca="1">SUM(AZ60:AZ$124)*SSd</f>
        <v>0</v>
      </c>
      <c r="BB60" s="70">
        <f t="shared" ca="1" si="68"/>
        <v>99999.012970709329</v>
      </c>
      <c r="BC60" s="257">
        <f t="shared" ref="BC60" ca="1" si="1198">IFERROR(VLOOKUP($S60,qx_table,MATCH(BC$11,qx_title,0)+sexB),0)</f>
        <v>0</v>
      </c>
      <c r="BD60" s="268">
        <f t="shared" ca="1" si="846"/>
        <v>0</v>
      </c>
      <c r="BE60" s="131">
        <f ca="1">SUM(BD60:BD$124)*SSe</f>
        <v>0</v>
      </c>
      <c r="BF60" s="70">
        <f t="shared" ca="1" si="71"/>
        <v>99999.012970709329</v>
      </c>
      <c r="BG60" s="2">
        <f t="shared" ref="BG60" ca="1" si="1199">IFERROR(VLOOKUP($S60,qx_table,MATCH(BG$11,qx_title,0)+sexB),0)</f>
        <v>0</v>
      </c>
      <c r="BH60" s="131">
        <f t="shared" ca="1" si="848"/>
        <v>0</v>
      </c>
      <c r="BI60" s="2">
        <f ca="1">SUM(BH60:BH$124)*SSf</f>
        <v>0</v>
      </c>
      <c r="BJ60" s="70">
        <f t="shared" ca="1" si="74"/>
        <v>99999.012970709329</v>
      </c>
      <c r="BK60" s="2">
        <f t="shared" ref="BK60" ca="1" si="1200">IFERROR(VLOOKUP($S60,qx_table,MATCH(BK$11,qx_title,0)+sexB),0)</f>
        <v>0</v>
      </c>
      <c r="BL60" s="131">
        <f t="shared" ca="1" si="850"/>
        <v>0</v>
      </c>
      <c r="BM60" s="131">
        <f ca="1">SUM(BL60:BL$124)*SSg</f>
        <v>0</v>
      </c>
      <c r="BN60" s="70">
        <f t="shared" ca="1" si="77"/>
        <v>99999.012970709329</v>
      </c>
      <c r="BO60" s="2">
        <f t="shared" ref="BO60" ca="1" si="1201">IFERROR(VLOOKUP($S60,qx_table,MATCH(BO$11,qx_title,0)+sexB),0)</f>
        <v>0</v>
      </c>
      <c r="BP60" s="131">
        <f t="shared" ca="1" si="852"/>
        <v>0</v>
      </c>
      <c r="BQ60" s="131">
        <f ca="1">SUM(BP60:BP$124)*SSh</f>
        <v>0</v>
      </c>
      <c r="BR60" s="70">
        <f t="shared" ca="1" si="80"/>
        <v>99999.012970709329</v>
      </c>
      <c r="BS60" s="2">
        <f t="shared" ref="BS60" ca="1" si="1202">IFERROR(VLOOKUP($S60,qx_table,MATCH(BS$11,qx_title,0)+sexB),0)*IF(R60=0,MCi,1)</f>
        <v>0</v>
      </c>
      <c r="BT60" s="131">
        <f t="shared" ca="1" si="854"/>
        <v>0</v>
      </c>
      <c r="BU60" s="131">
        <f ca="1">SUM(BT60:BT$124)*SSi</f>
        <v>0</v>
      </c>
      <c r="BV60" s="70">
        <f t="shared" ca="1" si="83"/>
        <v>99999.012970709329</v>
      </c>
      <c r="BW60" s="2">
        <f t="shared" ref="BW60" ca="1" si="1203">IFERROR(VLOOKUP($S60,qx_table,MATCH(BW$11,qx_title,0)+sexB),0)</f>
        <v>0</v>
      </c>
      <c r="BX60" s="131">
        <f t="shared" ca="1" si="856"/>
        <v>0</v>
      </c>
      <c r="BY60" s="131">
        <f ca="1">SUM(BX60:BX$124)*SSj</f>
        <v>0</v>
      </c>
      <c r="BZ60" s="70">
        <f t="shared" ca="1" si="86"/>
        <v>99999.012970709329</v>
      </c>
      <c r="CA60" s="2">
        <f t="shared" ref="CA60" ca="1" si="1204">IFERROR(VLOOKUP($S60,qx_table,MATCH(CA$11,qx_title,0)+sexB),0)</f>
        <v>0</v>
      </c>
      <c r="CB60" s="131">
        <f t="shared" ca="1" si="858"/>
        <v>0</v>
      </c>
      <c r="CC60" s="131">
        <f ca="1">SUM(CB60:CB$124)*SSk</f>
        <v>0</v>
      </c>
      <c r="CD60" s="8">
        <f t="shared" ca="1" si="89"/>
        <v>99999.012970709329</v>
      </c>
      <c r="CE60" s="2">
        <f t="shared" ref="CE60" ca="1" si="1205">IFERROR(VLOOKUP($S60,qx_table,MATCH(CE$11,qx_title,0)+sexB),0)</f>
        <v>0</v>
      </c>
      <c r="CF60" s="131">
        <f t="shared" ca="1" si="860"/>
        <v>0</v>
      </c>
      <c r="CG60" s="131">
        <f ca="1">SUM(CF60:CF$124)*SSl</f>
        <v>0</v>
      </c>
      <c r="CH60" s="101">
        <f t="shared" ca="1" si="92"/>
        <v>0</v>
      </c>
      <c r="CI60" s="154">
        <f t="shared" ca="1" si="817"/>
        <v>0</v>
      </c>
      <c r="CJ60" s="32">
        <f t="shared" ref="CJ60" ca="1" si="1206">+MAX(VLOOKUP(xB+$R60,기수표B,$AH$1)-VLOOKUP(xB+mB,기수표B,$AH$1),0)</f>
        <v>0</v>
      </c>
      <c r="CK60" s="32">
        <f t="shared" ref="CK60" ca="1" si="1207">+MAX(VLOOKUP(xB+$R60,기수표B,$AH$1)-VLOOKUP(xB+mB,기수표B,$AH$1)-11/24*(VLOOKUP(xB+$R60,기수표B,$AG$1)-VLOOKUP(xB+mB,기수표B,$AG$1)),0)</f>
        <v>0</v>
      </c>
      <c r="CL60" s="32">
        <f t="shared" ref="CL60" ca="1" si="1208">+MAX(VLOOKUP(xB+$R60,기수표B,$AA$1)-VLOOKUP(xB+mB,기수표B,$AA$1),0)</f>
        <v>0</v>
      </c>
      <c r="CM60" s="32">
        <f t="shared" ref="CM60" ca="1" si="1209">+MAX(VLOOKUP(xB+$R60,기수표B,$AA$1)-VLOOKUP(xB+mB,기수표B,$AA$1)-11/24*(VLOOKUP(xB+$R60,기수표B,$AA$1)-VLOOKUP(xB+mB,기수표B,$AA$1)),0)</f>
        <v>0</v>
      </c>
      <c r="CN60" s="32">
        <f t="shared" si="822"/>
        <v>0</v>
      </c>
      <c r="CO60" s="32">
        <f t="shared" ca="1" si="823"/>
        <v>0</v>
      </c>
      <c r="CP60" s="259">
        <f t="shared" ca="1" si="824"/>
        <v>0</v>
      </c>
      <c r="CQ60" s="259">
        <f t="shared" ca="1" si="825"/>
        <v>0</v>
      </c>
      <c r="CR60" s="259" t="e">
        <f t="shared" ca="1" si="826"/>
        <v>#DIV/0!</v>
      </c>
      <c r="CS60" s="31">
        <f t="shared" ref="CS60" si="1210">+MIN(mB,7)</f>
        <v>5</v>
      </c>
      <c r="CU60" s="13">
        <v>48</v>
      </c>
      <c r="CV60" s="477">
        <f t="shared" ca="1" si="828"/>
        <v>420</v>
      </c>
      <c r="CW60" s="477" t="e">
        <f t="shared" ca="1" si="829"/>
        <v>#DIV/0!</v>
      </c>
      <c r="CX60" s="477">
        <f t="shared" ca="1" si="830"/>
        <v>0</v>
      </c>
      <c r="CY60" s="478">
        <f t="shared" ca="1" si="98"/>
        <v>0</v>
      </c>
    </row>
    <row r="61" spans="2:103">
      <c r="N61" s="5">
        <f t="shared" si="99"/>
        <v>49</v>
      </c>
      <c r="O61" s="2">
        <f t="shared" ref="O61" ca="1" si="1211">+(1+iB)^-N61</f>
        <v>0.33612242078393195</v>
      </c>
      <c r="P61" s="2">
        <f t="shared" ref="P61" ca="1" si="1212">+(1+iB)^-(N61+0.5)</f>
        <v>0.33240368092732453</v>
      </c>
      <c r="Q61" s="91"/>
      <c r="R61" s="20">
        <f t="shared" si="102"/>
        <v>49</v>
      </c>
      <c r="S61" s="20" t="str">
        <f t="shared" ref="S61" si="1213">+IF(xB+R61&lt;=xB+nB,xB+R61,"")</f>
        <v/>
      </c>
      <c r="T61" s="2">
        <f t="shared" ref="T61:U61" ca="1" si="1214">IFERROR(VLOOKUP($S61,qx_table,MATCH(T$11,qx_title,0)+sexB),0)</f>
        <v>0</v>
      </c>
      <c r="U61" s="2">
        <f t="shared" ca="1" si="1214"/>
        <v>0</v>
      </c>
      <c r="V61" s="300">
        <f>IF(JRB=2,0,IF(R61&gt;=mB-1,_xlfn.XLOOKUP(R61-mB,해지율!#REF!,해지율!#REF!,,1),_xlfn.XLOOKUP(R61,해지율!#REF!,해지율!#REF!,,-1)))</f>
        <v>0</v>
      </c>
      <c r="W61" s="8">
        <f t="shared" ref="W61" si="1215">IF(R61=0,100000,IF(R61&gt;nB,0,W60*(1-X60)*(1-Y60)))</f>
        <v>0</v>
      </c>
      <c r="X61" s="10">
        <f t="shared" ca="1" si="19"/>
        <v>0</v>
      </c>
      <c r="Y61" s="10">
        <f t="shared" ca="1" si="20"/>
        <v>0</v>
      </c>
      <c r="Z61" s="8">
        <f t="shared" ca="1" si="106"/>
        <v>0</v>
      </c>
      <c r="AA61" s="8">
        <f ca="1">+SUM(Z61:Z$124)</f>
        <v>0</v>
      </c>
      <c r="AB61" s="8">
        <f t="shared" ca="1" si="21"/>
        <v>0</v>
      </c>
      <c r="AC61" s="209">
        <f ca="1">+SUM(AB61:AB$124)*SSSM</f>
        <v>0</v>
      </c>
      <c r="AD61" s="209">
        <f t="shared" ref="AD61" si="1216">IF(R61&gt;nB,0,AD60*(1-X60)*(1-Y60)*(1-AE60)*(1-AF60))</f>
        <v>0</v>
      </c>
      <c r="AE61" s="92">
        <f t="shared" ca="1" si="56"/>
        <v>0</v>
      </c>
      <c r="AF61" s="92">
        <f t="shared" ca="1" si="22"/>
        <v>0</v>
      </c>
      <c r="AG61" s="664">
        <f t="shared" ca="1" si="23"/>
        <v>0</v>
      </c>
      <c r="AH61" s="5">
        <f ca="1">+SUM(AG61:AG$124)</f>
        <v>0</v>
      </c>
      <c r="AI61" s="70">
        <f t="shared" ca="1" si="24"/>
        <v>0</v>
      </c>
      <c r="AJ61" s="208">
        <f ca="1">+SUM(AB61:AB$124)*SS50J</f>
        <v>0</v>
      </c>
      <c r="AK61" s="5">
        <f t="shared" ca="1" si="108"/>
        <v>99999.012970709329</v>
      </c>
      <c r="AL61" s="2">
        <f t="shared" ref="AL61" ca="1" si="1217">IFERROR(VLOOKUP($S61,qx_table,MATCH(AL$11,qx_title,0)+sexB),0)</f>
        <v>0</v>
      </c>
      <c r="AM61" s="131">
        <f t="shared" ca="1" si="110"/>
        <v>33611.910315718633</v>
      </c>
      <c r="AN61" s="129">
        <f t="shared" ca="1" si="839"/>
        <v>0</v>
      </c>
      <c r="AO61" s="129">
        <f ca="1">SUM(AN61:AN$124)*SSa</f>
        <v>0</v>
      </c>
      <c r="AP61" s="70">
        <f t="shared" ca="1" si="59"/>
        <v>99999.012970709329</v>
      </c>
      <c r="AQ61" s="2">
        <f t="shared" ref="AQ61" ca="1" si="1218">IFERROR(VLOOKUP($S61,qx_table,MATCH(AQ$11,qx_title,0)+sexB),0)</f>
        <v>0</v>
      </c>
      <c r="AR61" s="127">
        <f t="shared" ca="1" si="841"/>
        <v>0</v>
      </c>
      <c r="AS61" s="127">
        <f ca="1">SUM(AR61:AR$124)*SSb</f>
        <v>0</v>
      </c>
      <c r="AT61" s="70">
        <f t="shared" ca="1" si="62"/>
        <v>99999.012970709329</v>
      </c>
      <c r="AU61" s="2">
        <f t="shared" ref="AU61" ca="1" si="1219">IFERROR(VLOOKUP($S61,qx_table,MATCH(AU$11,qx_title,0)+sexB),0)</f>
        <v>0</v>
      </c>
      <c r="AV61" s="268">
        <f t="shared" ca="1" si="843"/>
        <v>0</v>
      </c>
      <c r="AW61" s="131">
        <f ca="1">SUM(AV61:AV$124)*SSc</f>
        <v>0</v>
      </c>
      <c r="AX61" s="70">
        <f t="shared" ca="1" si="65"/>
        <v>99999.012970709329</v>
      </c>
      <c r="AY61" s="2">
        <f t="shared" ref="AY61" ca="1" si="1220">IFERROR(VLOOKUP($S61,qx_table,MATCH(AY$11,qx_title,0)+sexB),0)</f>
        <v>0</v>
      </c>
      <c r="AZ61" s="268">
        <f t="shared" ca="1" si="808"/>
        <v>0</v>
      </c>
      <c r="BA61" s="129">
        <f ca="1">SUM(AZ61:AZ$124)*SSd</f>
        <v>0</v>
      </c>
      <c r="BB61" s="70">
        <f t="shared" ca="1" si="68"/>
        <v>99999.012970709329</v>
      </c>
      <c r="BC61" s="257">
        <f t="shared" ref="BC61" ca="1" si="1221">IFERROR(VLOOKUP($S61,qx_table,MATCH(BC$11,qx_title,0)+sexB),0)</f>
        <v>0</v>
      </c>
      <c r="BD61" s="268">
        <f t="shared" ca="1" si="846"/>
        <v>0</v>
      </c>
      <c r="BE61" s="131">
        <f ca="1">SUM(BD61:BD$124)*SSe</f>
        <v>0</v>
      </c>
      <c r="BF61" s="70">
        <f t="shared" ca="1" si="71"/>
        <v>99999.012970709329</v>
      </c>
      <c r="BG61" s="2">
        <f t="shared" ref="BG61" ca="1" si="1222">IFERROR(VLOOKUP($S61,qx_table,MATCH(BG$11,qx_title,0)+sexB),0)</f>
        <v>0</v>
      </c>
      <c r="BH61" s="131">
        <f t="shared" ca="1" si="848"/>
        <v>0</v>
      </c>
      <c r="BI61" s="2">
        <f ca="1">SUM(BH61:BH$124)*SSf</f>
        <v>0</v>
      </c>
      <c r="BJ61" s="70">
        <f t="shared" ca="1" si="74"/>
        <v>99999.012970709329</v>
      </c>
      <c r="BK61" s="2">
        <f t="shared" ref="BK61" ca="1" si="1223">IFERROR(VLOOKUP($S61,qx_table,MATCH(BK$11,qx_title,0)+sexB),0)</f>
        <v>0</v>
      </c>
      <c r="BL61" s="131">
        <f t="shared" ca="1" si="850"/>
        <v>0</v>
      </c>
      <c r="BM61" s="131">
        <f ca="1">SUM(BL61:BL$124)*SSg</f>
        <v>0</v>
      </c>
      <c r="BN61" s="70">
        <f t="shared" ca="1" si="77"/>
        <v>99999.012970709329</v>
      </c>
      <c r="BO61" s="2">
        <f t="shared" ref="BO61" ca="1" si="1224">IFERROR(VLOOKUP($S61,qx_table,MATCH(BO$11,qx_title,0)+sexB),0)</f>
        <v>0</v>
      </c>
      <c r="BP61" s="131">
        <f t="shared" ca="1" si="852"/>
        <v>0</v>
      </c>
      <c r="BQ61" s="131">
        <f ca="1">SUM(BP61:BP$124)*SSh</f>
        <v>0</v>
      </c>
      <c r="BR61" s="70">
        <f t="shared" ca="1" si="80"/>
        <v>99999.012970709329</v>
      </c>
      <c r="BS61" s="2">
        <f t="shared" ref="BS61" ca="1" si="1225">IFERROR(VLOOKUP($S61,qx_table,MATCH(BS$11,qx_title,0)+sexB),0)*IF(R61=0,MCi,1)</f>
        <v>0</v>
      </c>
      <c r="BT61" s="131">
        <f t="shared" ca="1" si="854"/>
        <v>0</v>
      </c>
      <c r="BU61" s="131">
        <f ca="1">SUM(BT61:BT$124)*SSi</f>
        <v>0</v>
      </c>
      <c r="BV61" s="70">
        <f t="shared" ca="1" si="83"/>
        <v>99999.012970709329</v>
      </c>
      <c r="BW61" s="2">
        <f t="shared" ref="BW61" ca="1" si="1226">IFERROR(VLOOKUP($S61,qx_table,MATCH(BW$11,qx_title,0)+sexB),0)</f>
        <v>0</v>
      </c>
      <c r="BX61" s="131">
        <f t="shared" ca="1" si="856"/>
        <v>0</v>
      </c>
      <c r="BY61" s="131">
        <f ca="1">SUM(BX61:BX$124)*SSj</f>
        <v>0</v>
      </c>
      <c r="BZ61" s="70">
        <f t="shared" ca="1" si="86"/>
        <v>99999.012970709329</v>
      </c>
      <c r="CA61" s="2">
        <f t="shared" ref="CA61" ca="1" si="1227">IFERROR(VLOOKUP($S61,qx_table,MATCH(CA$11,qx_title,0)+sexB),0)</f>
        <v>0</v>
      </c>
      <c r="CB61" s="131">
        <f t="shared" ca="1" si="858"/>
        <v>0</v>
      </c>
      <c r="CC61" s="131">
        <f ca="1">SUM(CB61:CB$124)*SSk</f>
        <v>0</v>
      </c>
      <c r="CD61" s="8">
        <f t="shared" ca="1" si="89"/>
        <v>99999.012970709329</v>
      </c>
      <c r="CE61" s="2">
        <f t="shared" ref="CE61" ca="1" si="1228">IFERROR(VLOOKUP($S61,qx_table,MATCH(CE$11,qx_title,0)+sexB),0)</f>
        <v>0</v>
      </c>
      <c r="CF61" s="131">
        <f t="shared" ca="1" si="860"/>
        <v>0</v>
      </c>
      <c r="CG61" s="131">
        <f ca="1">SUM(CF61:CF$124)*SSl</f>
        <v>0</v>
      </c>
      <c r="CH61" s="101">
        <f t="shared" ca="1" si="92"/>
        <v>0</v>
      </c>
      <c r="CI61" s="154">
        <f t="shared" ca="1" si="817"/>
        <v>0</v>
      </c>
      <c r="CJ61" s="32">
        <f t="shared" ref="CJ61" ca="1" si="1229">+MAX(VLOOKUP(xB+$R61,기수표B,$AH$1)-VLOOKUP(xB+mB,기수표B,$AH$1),0)</f>
        <v>0</v>
      </c>
      <c r="CK61" s="32">
        <f t="shared" ref="CK61" ca="1" si="1230">+MAX(VLOOKUP(xB+$R61,기수표B,$AH$1)-VLOOKUP(xB+mB,기수표B,$AH$1)-11/24*(VLOOKUP(xB+$R61,기수표B,$AG$1)-VLOOKUP(xB+mB,기수표B,$AG$1)),0)</f>
        <v>0</v>
      </c>
      <c r="CL61" s="32">
        <f t="shared" ref="CL61" ca="1" si="1231">+MAX(VLOOKUP(xB+$R61,기수표B,$AA$1)-VLOOKUP(xB+mB,기수표B,$AA$1),0)</f>
        <v>0</v>
      </c>
      <c r="CM61" s="32">
        <f t="shared" ref="CM61" ca="1" si="1232">+MAX(VLOOKUP(xB+$R61,기수표B,$AA$1)-VLOOKUP(xB+mB,기수표B,$AA$1)-11/24*(VLOOKUP(xB+$R61,기수표B,$AA$1)-VLOOKUP(xB+mB,기수표B,$AA$1)),0)</f>
        <v>0</v>
      </c>
      <c r="CN61" s="32">
        <f t="shared" si="822"/>
        <v>0</v>
      </c>
      <c r="CO61" s="32">
        <f t="shared" ca="1" si="823"/>
        <v>0</v>
      </c>
      <c r="CP61" s="259">
        <f t="shared" ca="1" si="824"/>
        <v>0</v>
      </c>
      <c r="CQ61" s="259">
        <f t="shared" ca="1" si="825"/>
        <v>0</v>
      </c>
      <c r="CR61" s="259" t="e">
        <f t="shared" ca="1" si="826"/>
        <v>#DIV/0!</v>
      </c>
      <c r="CS61" s="31">
        <f t="shared" ref="CS61" si="1233">+MIN(mB,7)</f>
        <v>5</v>
      </c>
      <c r="CU61" s="13">
        <v>49</v>
      </c>
      <c r="CV61" s="477">
        <f t="shared" ca="1" si="828"/>
        <v>420</v>
      </c>
      <c r="CW61" s="477" t="e">
        <f t="shared" ca="1" si="829"/>
        <v>#DIV/0!</v>
      </c>
      <c r="CX61" s="477">
        <f t="shared" ca="1" si="830"/>
        <v>0</v>
      </c>
      <c r="CY61" s="478">
        <f t="shared" ca="1" si="98"/>
        <v>0</v>
      </c>
    </row>
    <row r="62" spans="2:103">
      <c r="N62" s="5">
        <f t="shared" si="99"/>
        <v>50</v>
      </c>
      <c r="O62" s="2">
        <f t="shared" ref="O62" ca="1" si="1234">+(1+iB)^-N62</f>
        <v>0.32872608389626606</v>
      </c>
      <c r="P62" s="2">
        <f t="shared" ref="P62" ca="1" si="1235">+(1+iB)^-(N62+0.5)</f>
        <v>0.3250891745010509</v>
      </c>
      <c r="Q62" s="91"/>
      <c r="R62" s="20">
        <f t="shared" si="102"/>
        <v>50</v>
      </c>
      <c r="S62" s="20" t="str">
        <f t="shared" ref="S62" si="1236">+IF(xB+R62&lt;=xB+nB,xB+R62,"")</f>
        <v/>
      </c>
      <c r="T62" s="2">
        <f t="shared" ref="T62:U62" ca="1" si="1237">IFERROR(VLOOKUP($S62,qx_table,MATCH(T$11,qx_title,0)+sexB),0)</f>
        <v>0</v>
      </c>
      <c r="U62" s="2">
        <f t="shared" ca="1" si="1237"/>
        <v>0</v>
      </c>
      <c r="V62" s="300">
        <f>IF(JRB=2,0,IF(R62&gt;=mB-1,_xlfn.XLOOKUP(R62-mB,해지율!#REF!,해지율!#REF!,,1),_xlfn.XLOOKUP(R62,해지율!#REF!,해지율!#REF!,,-1)))</f>
        <v>0</v>
      </c>
      <c r="W62" s="8">
        <f t="shared" ref="W62" si="1238">IF(R62=0,100000,IF(R62&gt;nB,0,W61*(1-X61)*(1-Y61)))</f>
        <v>0</v>
      </c>
      <c r="X62" s="10">
        <f t="shared" ca="1" si="19"/>
        <v>0</v>
      </c>
      <c r="Y62" s="10">
        <f t="shared" ca="1" si="20"/>
        <v>0</v>
      </c>
      <c r="Z62" s="8">
        <f t="shared" ca="1" si="106"/>
        <v>0</v>
      </c>
      <c r="AA62" s="8">
        <f ca="1">+SUM(Z62:Z$124)</f>
        <v>0</v>
      </c>
      <c r="AB62" s="8">
        <f t="shared" ca="1" si="21"/>
        <v>0</v>
      </c>
      <c r="AC62" s="209">
        <f ca="1">+SUM(AB62:AB$124)*SSSM</f>
        <v>0</v>
      </c>
      <c r="AD62" s="209">
        <f t="shared" ref="AD62" si="1239">IF(R62&gt;nB,0,AD61*(1-X61)*(1-Y61)*(1-AE61)*(1-AF61))</f>
        <v>0</v>
      </c>
      <c r="AE62" s="92">
        <f t="shared" ca="1" si="56"/>
        <v>0</v>
      </c>
      <c r="AF62" s="92">
        <f t="shared" ca="1" si="22"/>
        <v>0</v>
      </c>
      <c r="AG62" s="664">
        <f t="shared" ca="1" si="23"/>
        <v>0</v>
      </c>
      <c r="AH62" s="5">
        <f ca="1">+SUM(AG62:AG$124)</f>
        <v>0</v>
      </c>
      <c r="AI62" s="70">
        <f t="shared" ca="1" si="24"/>
        <v>0</v>
      </c>
      <c r="AJ62" s="208">
        <f ca="1">+SUM(AB62:AB$124)*SS50J</f>
        <v>0</v>
      </c>
      <c r="AK62" s="5">
        <f t="shared" ca="1" si="108"/>
        <v>99999.012970709329</v>
      </c>
      <c r="AL62" s="2">
        <f t="shared" ref="AL62" ca="1" si="1240">IFERROR(VLOOKUP($S62,qx_table,MATCH(AL$11,qx_title,0)+sexB),0)</f>
        <v>0</v>
      </c>
      <c r="AM62" s="131">
        <f t="shared" ca="1" si="110"/>
        <v>32872.283927353194</v>
      </c>
      <c r="AN62" s="129">
        <f t="shared" ca="1" si="839"/>
        <v>0</v>
      </c>
      <c r="AO62" s="129">
        <f ca="1">SUM(AN62:AN$124)*SSa</f>
        <v>0</v>
      </c>
      <c r="AP62" s="70">
        <f t="shared" ca="1" si="59"/>
        <v>99999.012970709329</v>
      </c>
      <c r="AQ62" s="2">
        <f t="shared" ref="AQ62" ca="1" si="1241">IFERROR(VLOOKUP($S62,qx_table,MATCH(AQ$11,qx_title,0)+sexB),0)</f>
        <v>0</v>
      </c>
      <c r="AR62" s="127">
        <f t="shared" ca="1" si="841"/>
        <v>0</v>
      </c>
      <c r="AS62" s="127">
        <f ca="1">SUM(AR62:AR$124)*SSb</f>
        <v>0</v>
      </c>
      <c r="AT62" s="70">
        <f t="shared" ca="1" si="62"/>
        <v>99999.012970709329</v>
      </c>
      <c r="AU62" s="2">
        <f t="shared" ref="AU62" ca="1" si="1242">IFERROR(VLOOKUP($S62,qx_table,MATCH(AU$11,qx_title,0)+sexB),0)</f>
        <v>0</v>
      </c>
      <c r="AV62" s="268">
        <f t="shared" ca="1" si="843"/>
        <v>0</v>
      </c>
      <c r="AW62" s="131">
        <f ca="1">SUM(AV62:AV$124)*SSc</f>
        <v>0</v>
      </c>
      <c r="AX62" s="70">
        <f t="shared" ca="1" si="65"/>
        <v>99999.012970709329</v>
      </c>
      <c r="AY62" s="2">
        <f t="shared" ref="AY62" ca="1" si="1243">IFERROR(VLOOKUP($S62,qx_table,MATCH(AY$11,qx_title,0)+sexB),0)</f>
        <v>0</v>
      </c>
      <c r="AZ62" s="268">
        <f t="shared" ca="1" si="808"/>
        <v>0</v>
      </c>
      <c r="BA62" s="129">
        <f ca="1">SUM(AZ62:AZ$124)*SSd</f>
        <v>0</v>
      </c>
      <c r="BB62" s="70">
        <f t="shared" ca="1" si="68"/>
        <v>99999.012970709329</v>
      </c>
      <c r="BC62" s="257">
        <f t="shared" ref="BC62" ca="1" si="1244">IFERROR(VLOOKUP($S62,qx_table,MATCH(BC$11,qx_title,0)+sexB),0)</f>
        <v>0</v>
      </c>
      <c r="BD62" s="268">
        <f t="shared" ca="1" si="846"/>
        <v>0</v>
      </c>
      <c r="BE62" s="131">
        <f ca="1">SUM(BD62:BD$124)*SSe</f>
        <v>0</v>
      </c>
      <c r="BF62" s="70">
        <f t="shared" ca="1" si="71"/>
        <v>99999.012970709329</v>
      </c>
      <c r="BG62" s="2">
        <f t="shared" ref="BG62" ca="1" si="1245">IFERROR(VLOOKUP($S62,qx_table,MATCH(BG$11,qx_title,0)+sexB),0)</f>
        <v>0</v>
      </c>
      <c r="BH62" s="131">
        <f t="shared" ca="1" si="848"/>
        <v>0</v>
      </c>
      <c r="BI62" s="2">
        <f ca="1">SUM(BH62:BH$124)*SSf</f>
        <v>0</v>
      </c>
      <c r="BJ62" s="70">
        <f t="shared" ca="1" si="74"/>
        <v>99999.012970709329</v>
      </c>
      <c r="BK62" s="2">
        <f t="shared" ref="BK62" ca="1" si="1246">IFERROR(VLOOKUP($S62,qx_table,MATCH(BK$11,qx_title,0)+sexB),0)</f>
        <v>0</v>
      </c>
      <c r="BL62" s="131">
        <f t="shared" ca="1" si="850"/>
        <v>0</v>
      </c>
      <c r="BM62" s="131">
        <f ca="1">SUM(BL62:BL$124)*SSg</f>
        <v>0</v>
      </c>
      <c r="BN62" s="70">
        <f t="shared" ca="1" si="77"/>
        <v>99999.012970709329</v>
      </c>
      <c r="BO62" s="2">
        <f t="shared" ref="BO62" ca="1" si="1247">IFERROR(VLOOKUP($S62,qx_table,MATCH(BO$11,qx_title,0)+sexB),0)</f>
        <v>0</v>
      </c>
      <c r="BP62" s="131">
        <f t="shared" ca="1" si="852"/>
        <v>0</v>
      </c>
      <c r="BQ62" s="131">
        <f ca="1">SUM(BP62:BP$124)*SSh</f>
        <v>0</v>
      </c>
      <c r="BR62" s="70">
        <f t="shared" ca="1" si="80"/>
        <v>99999.012970709329</v>
      </c>
      <c r="BS62" s="2">
        <f t="shared" ref="BS62" ca="1" si="1248">IFERROR(VLOOKUP($S62,qx_table,MATCH(BS$11,qx_title,0)+sexB),0)*IF(R62=0,MCi,1)</f>
        <v>0</v>
      </c>
      <c r="BT62" s="131">
        <f t="shared" ca="1" si="854"/>
        <v>0</v>
      </c>
      <c r="BU62" s="131">
        <f ca="1">SUM(BT62:BT$124)*SSi</f>
        <v>0</v>
      </c>
      <c r="BV62" s="70">
        <f t="shared" ca="1" si="83"/>
        <v>99999.012970709329</v>
      </c>
      <c r="BW62" s="2">
        <f t="shared" ref="BW62" ca="1" si="1249">IFERROR(VLOOKUP($S62,qx_table,MATCH(BW$11,qx_title,0)+sexB),0)</f>
        <v>0</v>
      </c>
      <c r="BX62" s="131">
        <f t="shared" ca="1" si="856"/>
        <v>0</v>
      </c>
      <c r="BY62" s="131">
        <f ca="1">SUM(BX62:BX$124)*SSj</f>
        <v>0</v>
      </c>
      <c r="BZ62" s="70">
        <f t="shared" ca="1" si="86"/>
        <v>99999.012970709329</v>
      </c>
      <c r="CA62" s="2">
        <f t="shared" ref="CA62" ca="1" si="1250">IFERROR(VLOOKUP($S62,qx_table,MATCH(CA$11,qx_title,0)+sexB),0)</f>
        <v>0</v>
      </c>
      <c r="CB62" s="131">
        <f t="shared" ca="1" si="858"/>
        <v>0</v>
      </c>
      <c r="CC62" s="131">
        <f ca="1">SUM(CB62:CB$124)*SSk</f>
        <v>0</v>
      </c>
      <c r="CD62" s="8">
        <f t="shared" ca="1" si="89"/>
        <v>99999.012970709329</v>
      </c>
      <c r="CE62" s="2">
        <f t="shared" ref="CE62" ca="1" si="1251">IFERROR(VLOOKUP($S62,qx_table,MATCH(CE$11,qx_title,0)+sexB),0)</f>
        <v>0</v>
      </c>
      <c r="CF62" s="131">
        <f t="shared" ca="1" si="860"/>
        <v>0</v>
      </c>
      <c r="CG62" s="131">
        <f ca="1">SUM(CF62:CF$124)*SSl</f>
        <v>0</v>
      </c>
      <c r="CH62" s="101">
        <f t="shared" ca="1" si="92"/>
        <v>0</v>
      </c>
      <c r="CI62" s="154">
        <f t="shared" ca="1" si="817"/>
        <v>0</v>
      </c>
      <c r="CJ62" s="32">
        <f t="shared" ref="CJ62" ca="1" si="1252">+MAX(VLOOKUP(xB+$R62,기수표B,$AH$1)-VLOOKUP(xB+mB,기수표B,$AH$1),0)</f>
        <v>0</v>
      </c>
      <c r="CK62" s="32">
        <f t="shared" ref="CK62" ca="1" si="1253">+MAX(VLOOKUP(xB+$R62,기수표B,$AH$1)-VLOOKUP(xB+mB,기수표B,$AH$1)-11/24*(VLOOKUP(xB+$R62,기수표B,$AG$1)-VLOOKUP(xB+mB,기수표B,$AG$1)),0)</f>
        <v>0</v>
      </c>
      <c r="CL62" s="32">
        <f t="shared" ref="CL62" ca="1" si="1254">+MAX(VLOOKUP(xB+$R62,기수표B,$AA$1)-VLOOKUP(xB+mB,기수표B,$AA$1),0)</f>
        <v>0</v>
      </c>
      <c r="CM62" s="32">
        <f t="shared" ref="CM62" ca="1" si="1255">+MAX(VLOOKUP(xB+$R62,기수표B,$AA$1)-VLOOKUP(xB+mB,기수표B,$AA$1)-11/24*(VLOOKUP(xB+$R62,기수표B,$AA$1)-VLOOKUP(xB+mB,기수표B,$AA$1)),0)</f>
        <v>0</v>
      </c>
      <c r="CN62" s="32">
        <f t="shared" si="822"/>
        <v>0</v>
      </c>
      <c r="CO62" s="32">
        <f t="shared" ca="1" si="823"/>
        <v>0</v>
      </c>
      <c r="CP62" s="259">
        <f t="shared" ca="1" si="824"/>
        <v>0</v>
      </c>
      <c r="CQ62" s="259">
        <f t="shared" ca="1" si="825"/>
        <v>0</v>
      </c>
      <c r="CR62" s="259" t="e">
        <f t="shared" ca="1" si="826"/>
        <v>#DIV/0!</v>
      </c>
      <c r="CS62" s="31">
        <f t="shared" ref="CS62" si="1256">+MIN(mB,7)</f>
        <v>5</v>
      </c>
      <c r="CU62" s="13">
        <v>50</v>
      </c>
      <c r="CV62" s="477">
        <f t="shared" ca="1" si="828"/>
        <v>420</v>
      </c>
      <c r="CW62" s="477" t="e">
        <f t="shared" ca="1" si="829"/>
        <v>#DIV/0!</v>
      </c>
      <c r="CX62" s="477">
        <f t="shared" ca="1" si="830"/>
        <v>0</v>
      </c>
      <c r="CY62" s="478">
        <f t="shared" ca="1" si="98"/>
        <v>0</v>
      </c>
    </row>
    <row r="63" spans="2:103">
      <c r="N63" s="5">
        <f t="shared" si="99"/>
        <v>51</v>
      </c>
      <c r="O63" s="2">
        <f t="shared" ref="O63" ca="1" si="1257">+(1+iB)^-N63</f>
        <v>0.32149250258803524</v>
      </c>
      <c r="P63" s="2">
        <f t="shared" ref="P63" ca="1" si="1258">+(1+iB)^-(N63+0.5)</f>
        <v>0.31793562298391287</v>
      </c>
      <c r="Q63" s="91"/>
      <c r="R63" s="20">
        <f t="shared" si="102"/>
        <v>51</v>
      </c>
      <c r="S63" s="20" t="str">
        <f t="shared" ref="S63" si="1259">+IF(xB+R63&lt;=xB+nB,xB+R63,"")</f>
        <v/>
      </c>
      <c r="T63" s="2">
        <f t="shared" ref="T63:U63" ca="1" si="1260">IFERROR(VLOOKUP($S63,qx_table,MATCH(T$11,qx_title,0)+sexB),0)</f>
        <v>0</v>
      </c>
      <c r="U63" s="2">
        <f t="shared" ca="1" si="1260"/>
        <v>0</v>
      </c>
      <c r="V63" s="300">
        <f>IF(JRB=2,0,IF(R63&gt;=mB-1,_xlfn.XLOOKUP(R63-mB,해지율!#REF!,해지율!#REF!,,1),_xlfn.XLOOKUP(R63,해지율!#REF!,해지율!#REF!,,-1)))</f>
        <v>0</v>
      </c>
      <c r="W63" s="8">
        <f t="shared" ref="W63" si="1261">IF(R63=0,100000,IF(R63&gt;nB,0,W62*(1-X62)*(1-Y62)))</f>
        <v>0</v>
      </c>
      <c r="X63" s="10">
        <f t="shared" ca="1" si="19"/>
        <v>0</v>
      </c>
      <c r="Y63" s="10">
        <f t="shared" ca="1" si="20"/>
        <v>0</v>
      </c>
      <c r="Z63" s="8">
        <f t="shared" ca="1" si="106"/>
        <v>0</v>
      </c>
      <c r="AA63" s="8">
        <f ca="1">+SUM(Z63:Z$124)</f>
        <v>0</v>
      </c>
      <c r="AB63" s="8">
        <f t="shared" ca="1" si="21"/>
        <v>0</v>
      </c>
      <c r="AC63" s="209">
        <f ca="1">+SUM(AB63:AB$124)*SSSM</f>
        <v>0</v>
      </c>
      <c r="AD63" s="209">
        <f t="shared" ref="AD63" si="1262">IF(R63&gt;nB,0,AD62*(1-X62)*(1-Y62)*(1-AE62)*(1-AF62))</f>
        <v>0</v>
      </c>
      <c r="AE63" s="92">
        <f t="shared" ca="1" si="56"/>
        <v>0</v>
      </c>
      <c r="AF63" s="92">
        <f t="shared" ca="1" si="22"/>
        <v>0</v>
      </c>
      <c r="AG63" s="664">
        <f t="shared" ca="1" si="23"/>
        <v>0</v>
      </c>
      <c r="AH63" s="5">
        <f ca="1">+SUM(AG63:AG$124)</f>
        <v>0</v>
      </c>
      <c r="AI63" s="70">
        <f t="shared" ca="1" si="24"/>
        <v>0</v>
      </c>
      <c r="AJ63" s="208">
        <f ca="1">+SUM(AB63:AB$124)*SS50J</f>
        <v>0</v>
      </c>
      <c r="AK63" s="5">
        <f t="shared" ca="1" si="108"/>
        <v>99999.012970709329</v>
      </c>
      <c r="AL63" s="2">
        <f t="shared" ref="AL63" ca="1" si="1263">IFERROR(VLOOKUP($S63,qx_table,MATCH(AL$11,qx_title,0)+sexB),0)</f>
        <v>0</v>
      </c>
      <c r="AM63" s="131">
        <f t="shared" ca="1" si="110"/>
        <v>32148.932936286739</v>
      </c>
      <c r="AN63" s="129">
        <f t="shared" ca="1" si="839"/>
        <v>0</v>
      </c>
      <c r="AO63" s="129">
        <f ca="1">SUM(AN63:AN$124)*SSa</f>
        <v>0</v>
      </c>
      <c r="AP63" s="70">
        <f t="shared" ca="1" si="59"/>
        <v>99999.012970709329</v>
      </c>
      <c r="AQ63" s="2">
        <f t="shared" ref="AQ63" ca="1" si="1264">IFERROR(VLOOKUP($S63,qx_table,MATCH(AQ$11,qx_title,0)+sexB),0)</f>
        <v>0</v>
      </c>
      <c r="AR63" s="127">
        <f t="shared" ca="1" si="841"/>
        <v>0</v>
      </c>
      <c r="AS63" s="127">
        <f ca="1">SUM(AR63:AR$124)*SSb</f>
        <v>0</v>
      </c>
      <c r="AT63" s="70">
        <f t="shared" ca="1" si="62"/>
        <v>99999.012970709329</v>
      </c>
      <c r="AU63" s="2">
        <f t="shared" ref="AU63" ca="1" si="1265">IFERROR(VLOOKUP($S63,qx_table,MATCH(AU$11,qx_title,0)+sexB),0)</f>
        <v>0</v>
      </c>
      <c r="AV63" s="268">
        <f t="shared" ca="1" si="843"/>
        <v>0</v>
      </c>
      <c r="AW63" s="131">
        <f ca="1">SUM(AV63:AV$124)*SSc</f>
        <v>0</v>
      </c>
      <c r="AX63" s="70">
        <f t="shared" ca="1" si="65"/>
        <v>99999.012970709329</v>
      </c>
      <c r="AY63" s="2">
        <f t="shared" ref="AY63" ca="1" si="1266">IFERROR(VLOOKUP($S63,qx_table,MATCH(AY$11,qx_title,0)+sexB),0)</f>
        <v>0</v>
      </c>
      <c r="AZ63" s="268">
        <f t="shared" ca="1" si="808"/>
        <v>0</v>
      </c>
      <c r="BA63" s="129">
        <f ca="1">SUM(AZ63:AZ$124)*SSd</f>
        <v>0</v>
      </c>
      <c r="BB63" s="70">
        <f t="shared" ca="1" si="68"/>
        <v>99999.012970709329</v>
      </c>
      <c r="BC63" s="257">
        <f t="shared" ref="BC63" ca="1" si="1267">IFERROR(VLOOKUP($S63,qx_table,MATCH(BC$11,qx_title,0)+sexB),0)</f>
        <v>0</v>
      </c>
      <c r="BD63" s="268">
        <f t="shared" ca="1" si="846"/>
        <v>0</v>
      </c>
      <c r="BE63" s="131">
        <f ca="1">SUM(BD63:BD$124)*SSe</f>
        <v>0</v>
      </c>
      <c r="BF63" s="70">
        <f t="shared" ca="1" si="71"/>
        <v>99999.012970709329</v>
      </c>
      <c r="BG63" s="2">
        <f t="shared" ref="BG63" ca="1" si="1268">IFERROR(VLOOKUP($S63,qx_table,MATCH(BG$11,qx_title,0)+sexB),0)</f>
        <v>0</v>
      </c>
      <c r="BH63" s="131">
        <f t="shared" ca="1" si="848"/>
        <v>0</v>
      </c>
      <c r="BI63" s="2">
        <f ca="1">SUM(BH63:BH$124)*SSf</f>
        <v>0</v>
      </c>
      <c r="BJ63" s="70">
        <f t="shared" ca="1" si="74"/>
        <v>99999.012970709329</v>
      </c>
      <c r="BK63" s="2">
        <f t="shared" ref="BK63" ca="1" si="1269">IFERROR(VLOOKUP($S63,qx_table,MATCH(BK$11,qx_title,0)+sexB),0)</f>
        <v>0</v>
      </c>
      <c r="BL63" s="131">
        <f t="shared" ca="1" si="850"/>
        <v>0</v>
      </c>
      <c r="BM63" s="131">
        <f ca="1">SUM(BL63:BL$124)*SSg</f>
        <v>0</v>
      </c>
      <c r="BN63" s="70">
        <f t="shared" ca="1" si="77"/>
        <v>99999.012970709329</v>
      </c>
      <c r="BO63" s="2">
        <f t="shared" ref="BO63" ca="1" si="1270">IFERROR(VLOOKUP($S63,qx_table,MATCH(BO$11,qx_title,0)+sexB),0)</f>
        <v>0</v>
      </c>
      <c r="BP63" s="131">
        <f t="shared" ca="1" si="852"/>
        <v>0</v>
      </c>
      <c r="BQ63" s="131">
        <f ca="1">SUM(BP63:BP$124)*SSh</f>
        <v>0</v>
      </c>
      <c r="BR63" s="70">
        <f t="shared" ca="1" si="80"/>
        <v>99999.012970709329</v>
      </c>
      <c r="BS63" s="2">
        <f t="shared" ref="BS63" ca="1" si="1271">IFERROR(VLOOKUP($S63,qx_table,MATCH(BS$11,qx_title,0)+sexB),0)*IF(R63=0,MCi,1)</f>
        <v>0</v>
      </c>
      <c r="BT63" s="131">
        <f t="shared" ca="1" si="854"/>
        <v>0</v>
      </c>
      <c r="BU63" s="131">
        <f ca="1">SUM(BT63:BT$124)*SSi</f>
        <v>0</v>
      </c>
      <c r="BV63" s="70">
        <f t="shared" ca="1" si="83"/>
        <v>99999.012970709329</v>
      </c>
      <c r="BW63" s="2">
        <f t="shared" ref="BW63" ca="1" si="1272">IFERROR(VLOOKUP($S63,qx_table,MATCH(BW$11,qx_title,0)+sexB),0)</f>
        <v>0</v>
      </c>
      <c r="BX63" s="131">
        <f t="shared" ca="1" si="856"/>
        <v>0</v>
      </c>
      <c r="BY63" s="131">
        <f ca="1">SUM(BX63:BX$124)*SSj</f>
        <v>0</v>
      </c>
      <c r="BZ63" s="70">
        <f t="shared" ca="1" si="86"/>
        <v>99999.012970709329</v>
      </c>
      <c r="CA63" s="2">
        <f t="shared" ref="CA63" ca="1" si="1273">IFERROR(VLOOKUP($S63,qx_table,MATCH(CA$11,qx_title,0)+sexB),0)</f>
        <v>0</v>
      </c>
      <c r="CB63" s="131">
        <f t="shared" ca="1" si="858"/>
        <v>0</v>
      </c>
      <c r="CC63" s="131">
        <f ca="1">SUM(CB63:CB$124)*SSk</f>
        <v>0</v>
      </c>
      <c r="CD63" s="8">
        <f t="shared" ca="1" si="89"/>
        <v>99999.012970709329</v>
      </c>
      <c r="CE63" s="2">
        <f t="shared" ref="CE63" ca="1" si="1274">IFERROR(VLOOKUP($S63,qx_table,MATCH(CE$11,qx_title,0)+sexB),0)</f>
        <v>0</v>
      </c>
      <c r="CF63" s="131">
        <f t="shared" ca="1" si="860"/>
        <v>0</v>
      </c>
      <c r="CG63" s="131">
        <f ca="1">SUM(CF63:CF$124)*SSl</f>
        <v>0</v>
      </c>
      <c r="CH63" s="101">
        <f t="shared" ca="1" si="92"/>
        <v>0</v>
      </c>
      <c r="CI63" s="154">
        <f t="shared" ca="1" si="817"/>
        <v>0</v>
      </c>
      <c r="CJ63" s="32">
        <f t="shared" ref="CJ63" ca="1" si="1275">+MAX(VLOOKUP(xB+$R63,기수표B,$AH$1)-VLOOKUP(xB+mB,기수표B,$AH$1),0)</f>
        <v>0</v>
      </c>
      <c r="CK63" s="32">
        <f t="shared" ref="CK63" ca="1" si="1276">+MAX(VLOOKUP(xB+$R63,기수표B,$AH$1)-VLOOKUP(xB+mB,기수표B,$AH$1)-11/24*(VLOOKUP(xB+$R63,기수표B,$AG$1)-VLOOKUP(xB+mB,기수표B,$AG$1)),0)</f>
        <v>0</v>
      </c>
      <c r="CL63" s="32">
        <f t="shared" ref="CL63" ca="1" si="1277">+MAX(VLOOKUP(xB+$R63,기수표B,$AA$1)-VLOOKUP(xB+mB,기수표B,$AA$1),0)</f>
        <v>0</v>
      </c>
      <c r="CM63" s="32">
        <f t="shared" ref="CM63" ca="1" si="1278">+MAX(VLOOKUP(xB+$R63,기수표B,$AA$1)-VLOOKUP(xB+mB,기수표B,$AA$1)-11/24*(VLOOKUP(xB+$R63,기수표B,$AA$1)-VLOOKUP(xB+mB,기수표B,$AA$1)),0)</f>
        <v>0</v>
      </c>
      <c r="CN63" s="32">
        <f t="shared" si="822"/>
        <v>0</v>
      </c>
      <c r="CO63" s="32">
        <f t="shared" ca="1" si="823"/>
        <v>0</v>
      </c>
      <c r="CP63" s="259">
        <f t="shared" ca="1" si="824"/>
        <v>0</v>
      </c>
      <c r="CQ63" s="259">
        <f t="shared" ca="1" si="825"/>
        <v>0</v>
      </c>
      <c r="CR63" s="259" t="e">
        <f t="shared" ca="1" si="826"/>
        <v>#DIV/0!</v>
      </c>
      <c r="CS63" s="31">
        <f t="shared" ref="CS63" si="1279">+MIN(mB,7)</f>
        <v>5</v>
      </c>
      <c r="CU63" s="13">
        <v>51</v>
      </c>
      <c r="CV63" s="477">
        <f t="shared" ca="1" si="828"/>
        <v>420</v>
      </c>
      <c r="CW63" s="477" t="e">
        <f t="shared" ca="1" si="829"/>
        <v>#DIV/0!</v>
      </c>
      <c r="CX63" s="477">
        <f t="shared" ca="1" si="830"/>
        <v>0</v>
      </c>
      <c r="CY63" s="478">
        <f t="shared" ca="1" si="98"/>
        <v>0</v>
      </c>
    </row>
    <row r="64" spans="2:103">
      <c r="N64" s="5">
        <f t="shared" si="99"/>
        <v>52</v>
      </c>
      <c r="O64" s="2">
        <f t="shared" ref="O64" ca="1" si="1280">+(1+iB)^-N64</f>
        <v>0.31441809544062127</v>
      </c>
      <c r="P64" s="2">
        <f t="shared" ref="P64" ca="1" si="1281">+(1+iB)^-(N64+0.5)</f>
        <v>0.31093948458084386</v>
      </c>
      <c r="Q64" s="91"/>
      <c r="R64" s="20">
        <f t="shared" si="102"/>
        <v>52</v>
      </c>
      <c r="S64" s="20" t="str">
        <f t="shared" ref="S64" si="1282">+IF(xB+R64&lt;=xB+nB,xB+R64,"")</f>
        <v/>
      </c>
      <c r="T64" s="2">
        <f t="shared" ref="T64:U64" ca="1" si="1283">IFERROR(VLOOKUP($S64,qx_table,MATCH(T$11,qx_title,0)+sexB),0)</f>
        <v>0</v>
      </c>
      <c r="U64" s="2">
        <f t="shared" ca="1" si="1283"/>
        <v>0</v>
      </c>
      <c r="V64" s="300">
        <f>IF(JRB=2,0,IF(R64&gt;=mB-1,_xlfn.XLOOKUP(R64-mB,해지율!#REF!,해지율!#REF!,,1),_xlfn.XLOOKUP(R64,해지율!#REF!,해지율!#REF!,,-1)))</f>
        <v>0</v>
      </c>
      <c r="W64" s="8">
        <f t="shared" ref="W64" si="1284">IF(R64=0,100000,IF(R64&gt;nB,0,W63*(1-X63)*(1-Y63)))</f>
        <v>0</v>
      </c>
      <c r="X64" s="10">
        <f t="shared" ca="1" si="19"/>
        <v>0</v>
      </c>
      <c r="Y64" s="10">
        <f t="shared" ca="1" si="20"/>
        <v>0</v>
      </c>
      <c r="Z64" s="8">
        <f t="shared" ca="1" si="106"/>
        <v>0</v>
      </c>
      <c r="AA64" s="8">
        <f ca="1">+SUM(Z64:Z$124)</f>
        <v>0</v>
      </c>
      <c r="AB64" s="8">
        <f t="shared" ca="1" si="21"/>
        <v>0</v>
      </c>
      <c r="AC64" s="209">
        <f ca="1">+SUM(AB64:AB$124)*SSSM</f>
        <v>0</v>
      </c>
      <c r="AD64" s="209">
        <f t="shared" ref="AD64" si="1285">IF(R64&gt;nB,0,AD63*(1-X63)*(1-Y63)*(1-AE63)*(1-AF63))</f>
        <v>0</v>
      </c>
      <c r="AE64" s="92">
        <f t="shared" ca="1" si="56"/>
        <v>0</v>
      </c>
      <c r="AF64" s="92">
        <f t="shared" ca="1" si="22"/>
        <v>0</v>
      </c>
      <c r="AG64" s="664">
        <f t="shared" ca="1" si="23"/>
        <v>0</v>
      </c>
      <c r="AH64" s="5">
        <f ca="1">+SUM(AG64:AG$124)</f>
        <v>0</v>
      </c>
      <c r="AI64" s="70">
        <f t="shared" ca="1" si="24"/>
        <v>0</v>
      </c>
      <c r="AJ64" s="208">
        <f ca="1">+SUM(AB64:AB$124)*SS50J</f>
        <v>0</v>
      </c>
      <c r="AK64" s="5">
        <f t="shared" ca="1" si="108"/>
        <v>99999.012970709329</v>
      </c>
      <c r="AL64" s="2">
        <f t="shared" ref="AL64" ca="1" si="1286">IFERROR(VLOOKUP($S64,qx_table,MATCH(AL$11,qx_title,0)+sexB),0)</f>
        <v>0</v>
      </c>
      <c r="AM64" s="131">
        <f t="shared" ca="1" si="110"/>
        <v>31441.499204192409</v>
      </c>
      <c r="AN64" s="129">
        <f t="shared" ca="1" si="839"/>
        <v>0</v>
      </c>
      <c r="AO64" s="129">
        <f ca="1">SUM(AN64:AN$124)*SSa</f>
        <v>0</v>
      </c>
      <c r="AP64" s="70">
        <f t="shared" ca="1" si="59"/>
        <v>99999.012970709329</v>
      </c>
      <c r="AQ64" s="2">
        <f t="shared" ref="AQ64" ca="1" si="1287">IFERROR(VLOOKUP($S64,qx_table,MATCH(AQ$11,qx_title,0)+sexB),0)</f>
        <v>0</v>
      </c>
      <c r="AR64" s="127">
        <f t="shared" ca="1" si="841"/>
        <v>0</v>
      </c>
      <c r="AS64" s="127">
        <f ca="1">SUM(AR64:AR$124)*SSb</f>
        <v>0</v>
      </c>
      <c r="AT64" s="70">
        <f t="shared" ca="1" si="62"/>
        <v>99999.012970709329</v>
      </c>
      <c r="AU64" s="2">
        <f t="shared" ref="AU64" ca="1" si="1288">IFERROR(VLOOKUP($S64,qx_table,MATCH(AU$11,qx_title,0)+sexB),0)</f>
        <v>0</v>
      </c>
      <c r="AV64" s="268">
        <f t="shared" ca="1" si="843"/>
        <v>0</v>
      </c>
      <c r="AW64" s="131">
        <f ca="1">SUM(AV64:AV$124)*SSc</f>
        <v>0</v>
      </c>
      <c r="AX64" s="70">
        <f t="shared" ca="1" si="65"/>
        <v>99999.012970709329</v>
      </c>
      <c r="AY64" s="2">
        <f t="shared" ref="AY64" ca="1" si="1289">IFERROR(VLOOKUP($S64,qx_table,MATCH(AY$11,qx_title,0)+sexB),0)</f>
        <v>0</v>
      </c>
      <c r="AZ64" s="268">
        <f t="shared" ca="1" si="808"/>
        <v>0</v>
      </c>
      <c r="BA64" s="129">
        <f ca="1">SUM(AZ64:AZ$124)*SSd</f>
        <v>0</v>
      </c>
      <c r="BB64" s="70">
        <f t="shared" ca="1" si="68"/>
        <v>99999.012970709329</v>
      </c>
      <c r="BC64" s="257">
        <f t="shared" ref="BC64" ca="1" si="1290">IFERROR(VLOOKUP($S64,qx_table,MATCH(BC$11,qx_title,0)+sexB),0)</f>
        <v>0</v>
      </c>
      <c r="BD64" s="268">
        <f t="shared" ca="1" si="846"/>
        <v>0</v>
      </c>
      <c r="BE64" s="131">
        <f ca="1">SUM(BD64:BD$124)*SSe</f>
        <v>0</v>
      </c>
      <c r="BF64" s="70">
        <f t="shared" ca="1" si="71"/>
        <v>99999.012970709329</v>
      </c>
      <c r="BG64" s="2">
        <f t="shared" ref="BG64" ca="1" si="1291">IFERROR(VLOOKUP($S64,qx_table,MATCH(BG$11,qx_title,0)+sexB),0)</f>
        <v>0</v>
      </c>
      <c r="BH64" s="131">
        <f t="shared" ca="1" si="848"/>
        <v>0</v>
      </c>
      <c r="BI64" s="2">
        <f ca="1">SUM(BH64:BH$124)*SSf</f>
        <v>0</v>
      </c>
      <c r="BJ64" s="70">
        <f t="shared" ca="1" si="74"/>
        <v>99999.012970709329</v>
      </c>
      <c r="BK64" s="2">
        <f t="shared" ref="BK64" ca="1" si="1292">IFERROR(VLOOKUP($S64,qx_table,MATCH(BK$11,qx_title,0)+sexB),0)</f>
        <v>0</v>
      </c>
      <c r="BL64" s="131">
        <f t="shared" ca="1" si="850"/>
        <v>0</v>
      </c>
      <c r="BM64" s="131">
        <f ca="1">SUM(BL64:BL$124)*SSg</f>
        <v>0</v>
      </c>
      <c r="BN64" s="70">
        <f t="shared" ca="1" si="77"/>
        <v>99999.012970709329</v>
      </c>
      <c r="BO64" s="2">
        <f t="shared" ref="BO64" ca="1" si="1293">IFERROR(VLOOKUP($S64,qx_table,MATCH(BO$11,qx_title,0)+sexB),0)</f>
        <v>0</v>
      </c>
      <c r="BP64" s="131">
        <f t="shared" ca="1" si="852"/>
        <v>0</v>
      </c>
      <c r="BQ64" s="131">
        <f ca="1">SUM(BP64:BP$124)*SSh</f>
        <v>0</v>
      </c>
      <c r="BR64" s="70">
        <f t="shared" ca="1" si="80"/>
        <v>99999.012970709329</v>
      </c>
      <c r="BS64" s="2">
        <f t="shared" ref="BS64" ca="1" si="1294">IFERROR(VLOOKUP($S64,qx_table,MATCH(BS$11,qx_title,0)+sexB),0)*IF(R64=0,MCi,1)</f>
        <v>0</v>
      </c>
      <c r="BT64" s="131">
        <f t="shared" ca="1" si="854"/>
        <v>0</v>
      </c>
      <c r="BU64" s="131">
        <f ca="1">SUM(BT64:BT$124)*SSi</f>
        <v>0</v>
      </c>
      <c r="BV64" s="70">
        <f t="shared" ca="1" si="83"/>
        <v>99999.012970709329</v>
      </c>
      <c r="BW64" s="2">
        <f t="shared" ref="BW64" ca="1" si="1295">IFERROR(VLOOKUP($S64,qx_table,MATCH(BW$11,qx_title,0)+sexB),0)</f>
        <v>0</v>
      </c>
      <c r="BX64" s="131">
        <f t="shared" ca="1" si="856"/>
        <v>0</v>
      </c>
      <c r="BY64" s="131">
        <f ca="1">SUM(BX64:BX$124)*SSj</f>
        <v>0</v>
      </c>
      <c r="BZ64" s="70">
        <f t="shared" ca="1" si="86"/>
        <v>99999.012970709329</v>
      </c>
      <c r="CA64" s="2">
        <f t="shared" ref="CA64" ca="1" si="1296">IFERROR(VLOOKUP($S64,qx_table,MATCH(CA$11,qx_title,0)+sexB),0)</f>
        <v>0</v>
      </c>
      <c r="CB64" s="131">
        <f t="shared" ca="1" si="858"/>
        <v>0</v>
      </c>
      <c r="CC64" s="131">
        <f ca="1">SUM(CB64:CB$124)*SSk</f>
        <v>0</v>
      </c>
      <c r="CD64" s="8">
        <f t="shared" ca="1" si="89"/>
        <v>99999.012970709329</v>
      </c>
      <c r="CE64" s="2">
        <f t="shared" ref="CE64" ca="1" si="1297">IFERROR(VLOOKUP($S64,qx_table,MATCH(CE$11,qx_title,0)+sexB),0)</f>
        <v>0</v>
      </c>
      <c r="CF64" s="131">
        <f t="shared" ca="1" si="860"/>
        <v>0</v>
      </c>
      <c r="CG64" s="131">
        <f ca="1">SUM(CF64:CF$124)*SSl</f>
        <v>0</v>
      </c>
      <c r="CH64" s="101">
        <f t="shared" ca="1" si="92"/>
        <v>0</v>
      </c>
      <c r="CI64" s="154">
        <f t="shared" ca="1" si="817"/>
        <v>0</v>
      </c>
      <c r="CJ64" s="32">
        <f t="shared" ref="CJ64" ca="1" si="1298">+MAX(VLOOKUP(xB+$R64,기수표B,$AH$1)-VLOOKUP(xB+mB,기수표B,$AH$1),0)</f>
        <v>0</v>
      </c>
      <c r="CK64" s="32">
        <f t="shared" ref="CK64" ca="1" si="1299">+MAX(VLOOKUP(xB+$R64,기수표B,$AH$1)-VLOOKUP(xB+mB,기수표B,$AH$1)-11/24*(VLOOKUP(xB+$R64,기수표B,$AG$1)-VLOOKUP(xB+mB,기수표B,$AG$1)),0)</f>
        <v>0</v>
      </c>
      <c r="CL64" s="32">
        <f t="shared" ref="CL64" ca="1" si="1300">+MAX(VLOOKUP(xB+$R64,기수표B,$AA$1)-VLOOKUP(xB+mB,기수표B,$AA$1),0)</f>
        <v>0</v>
      </c>
      <c r="CM64" s="32">
        <f t="shared" ref="CM64" ca="1" si="1301">+MAX(VLOOKUP(xB+$R64,기수표B,$AA$1)-VLOOKUP(xB+mB,기수표B,$AA$1)-11/24*(VLOOKUP(xB+$R64,기수표B,$AA$1)-VLOOKUP(xB+mB,기수표B,$AA$1)),0)</f>
        <v>0</v>
      </c>
      <c r="CN64" s="32">
        <f t="shared" si="822"/>
        <v>0</v>
      </c>
      <c r="CO64" s="32">
        <f t="shared" ca="1" si="823"/>
        <v>0</v>
      </c>
      <c r="CP64" s="259">
        <f t="shared" ca="1" si="824"/>
        <v>0</v>
      </c>
      <c r="CQ64" s="259">
        <f t="shared" ca="1" si="825"/>
        <v>0</v>
      </c>
      <c r="CR64" s="259" t="e">
        <f t="shared" ca="1" si="826"/>
        <v>#DIV/0!</v>
      </c>
      <c r="CS64" s="31">
        <f t="shared" ref="CS64" si="1302">+MIN(mB,7)</f>
        <v>5</v>
      </c>
      <c r="CU64" s="13">
        <v>52</v>
      </c>
      <c r="CV64" s="477">
        <f t="shared" ca="1" si="828"/>
        <v>420</v>
      </c>
      <c r="CW64" s="477" t="e">
        <f t="shared" ca="1" si="829"/>
        <v>#DIV/0!</v>
      </c>
      <c r="CX64" s="477">
        <f t="shared" ca="1" si="830"/>
        <v>0</v>
      </c>
      <c r="CY64" s="478">
        <f t="shared" ca="1" si="98"/>
        <v>0</v>
      </c>
    </row>
    <row r="65" spans="14:103">
      <c r="N65" s="5">
        <f t="shared" si="99"/>
        <v>53</v>
      </c>
      <c r="O65" s="2">
        <f t="shared" ref="O65" ca="1" si="1303">+(1+iB)^-N65</f>
        <v>0.30749935984412835</v>
      </c>
      <c r="P65" s="2">
        <f t="shared" ref="P65" ca="1" si="1304">+(1+iB)^-(N65+0.5)</f>
        <v>0.30409729543358816</v>
      </c>
      <c r="Q65" s="91"/>
      <c r="R65" s="20">
        <f t="shared" si="102"/>
        <v>53</v>
      </c>
      <c r="S65" s="20" t="str">
        <f t="shared" ref="S65" si="1305">+IF(xB+R65&lt;=xB+nB,xB+R65,"")</f>
        <v/>
      </c>
      <c r="T65" s="2">
        <f t="shared" ref="T65:U65" ca="1" si="1306">IFERROR(VLOOKUP($S65,qx_table,MATCH(T$11,qx_title,0)+sexB),0)</f>
        <v>0</v>
      </c>
      <c r="U65" s="2">
        <f t="shared" ca="1" si="1306"/>
        <v>0</v>
      </c>
      <c r="V65" s="300">
        <f>IF(JRB=2,0,IF(R65&gt;=mB-1,_xlfn.XLOOKUP(R65-mB,해지율!#REF!,해지율!#REF!,,1),_xlfn.XLOOKUP(R65,해지율!#REF!,해지율!#REF!,,-1)))</f>
        <v>0</v>
      </c>
      <c r="W65" s="8">
        <f t="shared" ref="W65" si="1307">IF(R65=0,100000,IF(R65&gt;nB,0,W64*(1-X64)*(1-Y64)))</f>
        <v>0</v>
      </c>
      <c r="X65" s="10">
        <f t="shared" ca="1" si="19"/>
        <v>0</v>
      </c>
      <c r="Y65" s="10">
        <f t="shared" ca="1" si="20"/>
        <v>0</v>
      </c>
      <c r="Z65" s="8">
        <f t="shared" ca="1" si="106"/>
        <v>0</v>
      </c>
      <c r="AA65" s="8">
        <f ca="1">+SUM(Z65:Z$124)</f>
        <v>0</v>
      </c>
      <c r="AB65" s="8">
        <f t="shared" ca="1" si="21"/>
        <v>0</v>
      </c>
      <c r="AC65" s="209">
        <f ca="1">+SUM(AB65:AB$124)*SSSM</f>
        <v>0</v>
      </c>
      <c r="AD65" s="209">
        <f t="shared" ref="AD65" si="1308">IF(R65&gt;nB,0,AD64*(1-X64)*(1-Y64)*(1-AE64)*(1-AF64))</f>
        <v>0</v>
      </c>
      <c r="AE65" s="92">
        <f t="shared" ca="1" si="56"/>
        <v>0</v>
      </c>
      <c r="AF65" s="92">
        <f t="shared" ca="1" si="22"/>
        <v>0</v>
      </c>
      <c r="AG65" s="664">
        <f t="shared" ca="1" si="23"/>
        <v>0</v>
      </c>
      <c r="AH65" s="5">
        <f ca="1">+SUM(AG65:AG$124)</f>
        <v>0</v>
      </c>
      <c r="AI65" s="70">
        <f t="shared" ca="1" si="24"/>
        <v>0</v>
      </c>
      <c r="AJ65" s="208">
        <f ca="1">+SUM(AB65:AB$124)*SS50J</f>
        <v>0</v>
      </c>
      <c r="AK65" s="5">
        <f t="shared" ca="1" si="108"/>
        <v>99999.012970709329</v>
      </c>
      <c r="AL65" s="2">
        <f t="shared" ref="AL65" ca="1" si="1309">IFERROR(VLOOKUP($S65,qx_table,MATCH(AL$11,qx_title,0)+sexB),0)</f>
        <v>0</v>
      </c>
      <c r="AM65" s="131">
        <f t="shared" ca="1" si="110"/>
        <v>30749.632473537808</v>
      </c>
      <c r="AN65" s="129">
        <f t="shared" ca="1" si="839"/>
        <v>0</v>
      </c>
      <c r="AO65" s="129">
        <f ca="1">SUM(AN65:AN$124)*SSa</f>
        <v>0</v>
      </c>
      <c r="AP65" s="70">
        <f t="shared" ca="1" si="59"/>
        <v>99999.012970709329</v>
      </c>
      <c r="AQ65" s="2">
        <f t="shared" ref="AQ65" ca="1" si="1310">IFERROR(VLOOKUP($S65,qx_table,MATCH(AQ$11,qx_title,0)+sexB),0)</f>
        <v>0</v>
      </c>
      <c r="AR65" s="127">
        <f t="shared" ca="1" si="841"/>
        <v>0</v>
      </c>
      <c r="AS65" s="127">
        <f ca="1">SUM(AR65:AR$124)*SSb</f>
        <v>0</v>
      </c>
      <c r="AT65" s="70">
        <f t="shared" ca="1" si="62"/>
        <v>99999.012970709329</v>
      </c>
      <c r="AU65" s="2">
        <f t="shared" ref="AU65" ca="1" si="1311">IFERROR(VLOOKUP($S65,qx_table,MATCH(AU$11,qx_title,0)+sexB),0)</f>
        <v>0</v>
      </c>
      <c r="AV65" s="268">
        <f t="shared" ca="1" si="843"/>
        <v>0</v>
      </c>
      <c r="AW65" s="131">
        <f ca="1">SUM(AV65:AV$124)*SSc</f>
        <v>0</v>
      </c>
      <c r="AX65" s="70">
        <f t="shared" ca="1" si="65"/>
        <v>99999.012970709329</v>
      </c>
      <c r="AY65" s="2">
        <f t="shared" ref="AY65" ca="1" si="1312">IFERROR(VLOOKUP($S65,qx_table,MATCH(AY$11,qx_title,0)+sexB),0)</f>
        <v>0</v>
      </c>
      <c r="AZ65" s="268">
        <f t="shared" ca="1" si="808"/>
        <v>0</v>
      </c>
      <c r="BA65" s="129">
        <f ca="1">SUM(AZ65:AZ$124)*SSd</f>
        <v>0</v>
      </c>
      <c r="BB65" s="70">
        <f t="shared" ca="1" si="68"/>
        <v>99999.012970709329</v>
      </c>
      <c r="BC65" s="257">
        <f t="shared" ref="BC65" ca="1" si="1313">IFERROR(VLOOKUP($S65,qx_table,MATCH(BC$11,qx_title,0)+sexB),0)</f>
        <v>0</v>
      </c>
      <c r="BD65" s="268">
        <f t="shared" ca="1" si="846"/>
        <v>0</v>
      </c>
      <c r="BE65" s="131">
        <f ca="1">SUM(BD65:BD$124)*SSe</f>
        <v>0</v>
      </c>
      <c r="BF65" s="70">
        <f t="shared" ca="1" si="71"/>
        <v>99999.012970709329</v>
      </c>
      <c r="BG65" s="2">
        <f t="shared" ref="BG65" ca="1" si="1314">IFERROR(VLOOKUP($S65,qx_table,MATCH(BG$11,qx_title,0)+sexB),0)</f>
        <v>0</v>
      </c>
      <c r="BH65" s="131">
        <f t="shared" ca="1" si="848"/>
        <v>0</v>
      </c>
      <c r="BI65" s="2">
        <f ca="1">SUM(BH65:BH$124)*SSf</f>
        <v>0</v>
      </c>
      <c r="BJ65" s="70">
        <f t="shared" ca="1" si="74"/>
        <v>99999.012970709329</v>
      </c>
      <c r="BK65" s="2">
        <f t="shared" ref="BK65" ca="1" si="1315">IFERROR(VLOOKUP($S65,qx_table,MATCH(BK$11,qx_title,0)+sexB),0)</f>
        <v>0</v>
      </c>
      <c r="BL65" s="131">
        <f t="shared" ca="1" si="850"/>
        <v>0</v>
      </c>
      <c r="BM65" s="131">
        <f ca="1">SUM(BL65:BL$124)*SSg</f>
        <v>0</v>
      </c>
      <c r="BN65" s="70">
        <f t="shared" ca="1" si="77"/>
        <v>99999.012970709329</v>
      </c>
      <c r="BO65" s="2">
        <f t="shared" ref="BO65" ca="1" si="1316">IFERROR(VLOOKUP($S65,qx_table,MATCH(BO$11,qx_title,0)+sexB),0)</f>
        <v>0</v>
      </c>
      <c r="BP65" s="131">
        <f t="shared" ca="1" si="852"/>
        <v>0</v>
      </c>
      <c r="BQ65" s="131">
        <f ca="1">SUM(BP65:BP$124)*SSh</f>
        <v>0</v>
      </c>
      <c r="BR65" s="70">
        <f t="shared" ca="1" si="80"/>
        <v>99999.012970709329</v>
      </c>
      <c r="BS65" s="2">
        <f t="shared" ref="BS65" ca="1" si="1317">IFERROR(VLOOKUP($S65,qx_table,MATCH(BS$11,qx_title,0)+sexB),0)*IF(R65=0,MCi,1)</f>
        <v>0</v>
      </c>
      <c r="BT65" s="131">
        <f t="shared" ca="1" si="854"/>
        <v>0</v>
      </c>
      <c r="BU65" s="131">
        <f ca="1">SUM(BT65:BT$124)*SSi</f>
        <v>0</v>
      </c>
      <c r="BV65" s="70">
        <f t="shared" ca="1" si="83"/>
        <v>99999.012970709329</v>
      </c>
      <c r="BW65" s="2">
        <f t="shared" ref="BW65" ca="1" si="1318">IFERROR(VLOOKUP($S65,qx_table,MATCH(BW$11,qx_title,0)+sexB),0)</f>
        <v>0</v>
      </c>
      <c r="BX65" s="131">
        <f t="shared" ca="1" si="856"/>
        <v>0</v>
      </c>
      <c r="BY65" s="131">
        <f ca="1">SUM(BX65:BX$124)*SSj</f>
        <v>0</v>
      </c>
      <c r="BZ65" s="70">
        <f t="shared" ca="1" si="86"/>
        <v>99999.012970709329</v>
      </c>
      <c r="CA65" s="2">
        <f t="shared" ref="CA65" ca="1" si="1319">IFERROR(VLOOKUP($S65,qx_table,MATCH(CA$11,qx_title,0)+sexB),0)</f>
        <v>0</v>
      </c>
      <c r="CB65" s="131">
        <f t="shared" ca="1" si="858"/>
        <v>0</v>
      </c>
      <c r="CC65" s="131">
        <f ca="1">SUM(CB65:CB$124)*SSk</f>
        <v>0</v>
      </c>
      <c r="CD65" s="8">
        <f t="shared" ca="1" si="89"/>
        <v>99999.012970709329</v>
      </c>
      <c r="CE65" s="2">
        <f t="shared" ref="CE65" ca="1" si="1320">IFERROR(VLOOKUP($S65,qx_table,MATCH(CE$11,qx_title,0)+sexB),0)</f>
        <v>0</v>
      </c>
      <c r="CF65" s="131">
        <f t="shared" ca="1" si="860"/>
        <v>0</v>
      </c>
      <c r="CG65" s="131">
        <f ca="1">SUM(CF65:CF$124)*SSl</f>
        <v>0</v>
      </c>
      <c r="CH65" s="101">
        <f t="shared" ca="1" si="92"/>
        <v>0</v>
      </c>
      <c r="CI65" s="154">
        <f t="shared" ca="1" si="817"/>
        <v>0</v>
      </c>
      <c r="CJ65" s="32">
        <f t="shared" ref="CJ65" ca="1" si="1321">+MAX(VLOOKUP(xB+$R65,기수표B,$AH$1)-VLOOKUP(xB+mB,기수표B,$AH$1),0)</f>
        <v>0</v>
      </c>
      <c r="CK65" s="32">
        <f t="shared" ref="CK65" ca="1" si="1322">+MAX(VLOOKUP(xB+$R65,기수표B,$AH$1)-VLOOKUP(xB+mB,기수표B,$AH$1)-11/24*(VLOOKUP(xB+$R65,기수표B,$AG$1)-VLOOKUP(xB+mB,기수표B,$AG$1)),0)</f>
        <v>0</v>
      </c>
      <c r="CL65" s="32">
        <f t="shared" ref="CL65" ca="1" si="1323">+MAX(VLOOKUP(xB+$R65,기수표B,$AA$1)-VLOOKUP(xB+mB,기수표B,$AA$1),0)</f>
        <v>0</v>
      </c>
      <c r="CM65" s="32">
        <f t="shared" ref="CM65" ca="1" si="1324">+MAX(VLOOKUP(xB+$R65,기수표B,$AA$1)-VLOOKUP(xB+mB,기수표B,$AA$1)-11/24*(VLOOKUP(xB+$R65,기수표B,$AA$1)-VLOOKUP(xB+mB,기수표B,$AA$1)),0)</f>
        <v>0</v>
      </c>
      <c r="CN65" s="32">
        <f t="shared" si="822"/>
        <v>0</v>
      </c>
      <c r="CO65" s="32">
        <f t="shared" ca="1" si="823"/>
        <v>0</v>
      </c>
      <c r="CP65" s="259">
        <f t="shared" ca="1" si="824"/>
        <v>0</v>
      </c>
      <c r="CQ65" s="259">
        <f t="shared" ca="1" si="825"/>
        <v>0</v>
      </c>
      <c r="CR65" s="259" t="e">
        <f t="shared" ca="1" si="826"/>
        <v>#DIV/0!</v>
      </c>
      <c r="CS65" s="31">
        <f t="shared" ref="CS65" si="1325">+MIN(mB,7)</f>
        <v>5</v>
      </c>
      <c r="CU65" s="13">
        <v>53</v>
      </c>
      <c r="CV65" s="477">
        <f t="shared" ca="1" si="828"/>
        <v>420</v>
      </c>
      <c r="CW65" s="477" t="e">
        <f t="shared" ca="1" si="829"/>
        <v>#DIV/0!</v>
      </c>
      <c r="CX65" s="477">
        <f t="shared" ca="1" si="830"/>
        <v>0</v>
      </c>
      <c r="CY65" s="478">
        <f t="shared" ca="1" si="98"/>
        <v>0</v>
      </c>
    </row>
    <row r="66" spans="14:103">
      <c r="N66" s="5">
        <f t="shared" si="99"/>
        <v>54</v>
      </c>
      <c r="O66" s="2">
        <f t="shared" ref="O66" ca="1" si="1326">+(1+iB)^-N66</f>
        <v>0.30073287026320628</v>
      </c>
      <c r="P66" s="2">
        <f t="shared" ref="P66" ca="1" si="1327">+(1+iB)^-(N66+0.5)</f>
        <v>0.29740566790570971</v>
      </c>
      <c r="Q66" s="91"/>
      <c r="R66" s="20">
        <f t="shared" si="102"/>
        <v>54</v>
      </c>
      <c r="S66" s="20" t="str">
        <f t="shared" ref="S66" si="1328">+IF(xB+R66&lt;=xB+nB,xB+R66,"")</f>
        <v/>
      </c>
      <c r="T66" s="2">
        <f t="shared" ref="T66:U66" ca="1" si="1329">IFERROR(VLOOKUP($S66,qx_table,MATCH(T$11,qx_title,0)+sexB),0)</f>
        <v>0</v>
      </c>
      <c r="U66" s="2">
        <f t="shared" ca="1" si="1329"/>
        <v>0</v>
      </c>
      <c r="V66" s="300">
        <f>IF(JRB=2,0,IF(R66&gt;=mB-1,_xlfn.XLOOKUP(R66-mB,해지율!#REF!,해지율!#REF!,,1),_xlfn.XLOOKUP(R66,해지율!#REF!,해지율!#REF!,,-1)))</f>
        <v>0</v>
      </c>
      <c r="W66" s="8">
        <f t="shared" ref="W66" si="1330">IF(R66=0,100000,IF(R66&gt;nB,0,W65*(1-X65)*(1-Y65)))</f>
        <v>0</v>
      </c>
      <c r="X66" s="10">
        <f t="shared" ca="1" si="19"/>
        <v>0</v>
      </c>
      <c r="Y66" s="10">
        <f t="shared" ca="1" si="20"/>
        <v>0</v>
      </c>
      <c r="Z66" s="8">
        <f t="shared" ca="1" si="106"/>
        <v>0</v>
      </c>
      <c r="AA66" s="8">
        <f ca="1">+SUM(Z66:Z$124)</f>
        <v>0</v>
      </c>
      <c r="AB66" s="8">
        <f t="shared" ca="1" si="21"/>
        <v>0</v>
      </c>
      <c r="AC66" s="209">
        <f ca="1">+SUM(AB66:AB$124)*SSSM</f>
        <v>0</v>
      </c>
      <c r="AD66" s="209">
        <f t="shared" ref="AD66" si="1331">IF(R66&gt;nB,0,AD65*(1-X65)*(1-Y65)*(1-AE65)*(1-AF65))</f>
        <v>0</v>
      </c>
      <c r="AE66" s="92">
        <f t="shared" ca="1" si="56"/>
        <v>0</v>
      </c>
      <c r="AF66" s="92">
        <f t="shared" ca="1" si="22"/>
        <v>0</v>
      </c>
      <c r="AG66" s="664">
        <f t="shared" ca="1" si="23"/>
        <v>0</v>
      </c>
      <c r="AH66" s="5">
        <f ca="1">+SUM(AG66:AG$124)</f>
        <v>0</v>
      </c>
      <c r="AI66" s="70">
        <f t="shared" ca="1" si="24"/>
        <v>0</v>
      </c>
      <c r="AJ66" s="208">
        <f ca="1">+SUM(AB66:AB$124)*SS50J</f>
        <v>0</v>
      </c>
      <c r="AK66" s="5">
        <f t="shared" ca="1" si="108"/>
        <v>99999.012970709329</v>
      </c>
      <c r="AL66" s="2">
        <f t="shared" ref="AL66" ca="1" si="1332">IFERROR(VLOOKUP($S66,qx_table,MATCH(AL$11,qx_title,0)+sexB),0)</f>
        <v>0</v>
      </c>
      <c r="AM66" s="131">
        <f t="shared" ca="1" si="110"/>
        <v>30072.990194169011</v>
      </c>
      <c r="AN66" s="129">
        <f t="shared" ca="1" si="839"/>
        <v>0</v>
      </c>
      <c r="AO66" s="129">
        <f ca="1">SUM(AN66:AN$124)*SSa</f>
        <v>0</v>
      </c>
      <c r="AP66" s="70">
        <f t="shared" ca="1" si="59"/>
        <v>99999.012970709329</v>
      </c>
      <c r="AQ66" s="2">
        <f t="shared" ref="AQ66" ca="1" si="1333">IFERROR(VLOOKUP($S66,qx_table,MATCH(AQ$11,qx_title,0)+sexB),0)</f>
        <v>0</v>
      </c>
      <c r="AR66" s="127">
        <f t="shared" ca="1" si="841"/>
        <v>0</v>
      </c>
      <c r="AS66" s="127">
        <f ca="1">SUM(AR66:AR$124)*SSb</f>
        <v>0</v>
      </c>
      <c r="AT66" s="70">
        <f t="shared" ca="1" si="62"/>
        <v>99999.012970709329</v>
      </c>
      <c r="AU66" s="2">
        <f t="shared" ref="AU66" ca="1" si="1334">IFERROR(VLOOKUP($S66,qx_table,MATCH(AU$11,qx_title,0)+sexB),0)</f>
        <v>0</v>
      </c>
      <c r="AV66" s="268">
        <f t="shared" ca="1" si="843"/>
        <v>0</v>
      </c>
      <c r="AW66" s="131">
        <f ca="1">SUM(AV66:AV$124)*SSc</f>
        <v>0</v>
      </c>
      <c r="AX66" s="70">
        <f t="shared" ca="1" si="65"/>
        <v>99999.012970709329</v>
      </c>
      <c r="AY66" s="2">
        <f t="shared" ref="AY66" ca="1" si="1335">IFERROR(VLOOKUP($S66,qx_table,MATCH(AY$11,qx_title,0)+sexB),0)</f>
        <v>0</v>
      </c>
      <c r="AZ66" s="268">
        <f t="shared" ca="1" si="808"/>
        <v>0</v>
      </c>
      <c r="BA66" s="129">
        <f ca="1">SUM(AZ66:AZ$124)*SSd</f>
        <v>0</v>
      </c>
      <c r="BB66" s="70">
        <f t="shared" ca="1" si="68"/>
        <v>99999.012970709329</v>
      </c>
      <c r="BC66" s="257">
        <f t="shared" ref="BC66" ca="1" si="1336">IFERROR(VLOOKUP($S66,qx_table,MATCH(BC$11,qx_title,0)+sexB),0)</f>
        <v>0</v>
      </c>
      <c r="BD66" s="268">
        <f t="shared" ca="1" si="846"/>
        <v>0</v>
      </c>
      <c r="BE66" s="131">
        <f ca="1">SUM(BD66:BD$124)*SSe</f>
        <v>0</v>
      </c>
      <c r="BF66" s="70">
        <f t="shared" ca="1" si="71"/>
        <v>99999.012970709329</v>
      </c>
      <c r="BG66" s="2">
        <f t="shared" ref="BG66" ca="1" si="1337">IFERROR(VLOOKUP($S66,qx_table,MATCH(BG$11,qx_title,0)+sexB),0)</f>
        <v>0</v>
      </c>
      <c r="BH66" s="131">
        <f t="shared" ca="1" si="848"/>
        <v>0</v>
      </c>
      <c r="BI66" s="2">
        <f ca="1">SUM(BH66:BH$124)*SSf</f>
        <v>0</v>
      </c>
      <c r="BJ66" s="70">
        <f t="shared" ca="1" si="74"/>
        <v>99999.012970709329</v>
      </c>
      <c r="BK66" s="2">
        <f t="shared" ref="BK66" ca="1" si="1338">IFERROR(VLOOKUP($S66,qx_table,MATCH(BK$11,qx_title,0)+sexB),0)</f>
        <v>0</v>
      </c>
      <c r="BL66" s="131">
        <f t="shared" ca="1" si="850"/>
        <v>0</v>
      </c>
      <c r="BM66" s="131">
        <f ca="1">SUM(BL66:BL$124)*SSg</f>
        <v>0</v>
      </c>
      <c r="BN66" s="70">
        <f t="shared" ca="1" si="77"/>
        <v>99999.012970709329</v>
      </c>
      <c r="BO66" s="2">
        <f t="shared" ref="BO66" ca="1" si="1339">IFERROR(VLOOKUP($S66,qx_table,MATCH(BO$11,qx_title,0)+sexB),0)</f>
        <v>0</v>
      </c>
      <c r="BP66" s="131">
        <f t="shared" ca="1" si="852"/>
        <v>0</v>
      </c>
      <c r="BQ66" s="131">
        <f ca="1">SUM(BP66:BP$124)*SSh</f>
        <v>0</v>
      </c>
      <c r="BR66" s="70">
        <f t="shared" ca="1" si="80"/>
        <v>99999.012970709329</v>
      </c>
      <c r="BS66" s="2">
        <f t="shared" ref="BS66" ca="1" si="1340">IFERROR(VLOOKUP($S66,qx_table,MATCH(BS$11,qx_title,0)+sexB),0)*IF(R66=0,MCi,1)</f>
        <v>0</v>
      </c>
      <c r="BT66" s="131">
        <f t="shared" ca="1" si="854"/>
        <v>0</v>
      </c>
      <c r="BU66" s="131">
        <f ca="1">SUM(BT66:BT$124)*SSi</f>
        <v>0</v>
      </c>
      <c r="BV66" s="70">
        <f t="shared" ca="1" si="83"/>
        <v>99999.012970709329</v>
      </c>
      <c r="BW66" s="2">
        <f t="shared" ref="BW66" ca="1" si="1341">IFERROR(VLOOKUP($S66,qx_table,MATCH(BW$11,qx_title,0)+sexB),0)</f>
        <v>0</v>
      </c>
      <c r="BX66" s="131">
        <f t="shared" ca="1" si="856"/>
        <v>0</v>
      </c>
      <c r="BY66" s="131">
        <f ca="1">SUM(BX66:BX$124)*SSj</f>
        <v>0</v>
      </c>
      <c r="BZ66" s="70">
        <f t="shared" ca="1" si="86"/>
        <v>99999.012970709329</v>
      </c>
      <c r="CA66" s="2">
        <f t="shared" ref="CA66" ca="1" si="1342">IFERROR(VLOOKUP($S66,qx_table,MATCH(CA$11,qx_title,0)+sexB),0)</f>
        <v>0</v>
      </c>
      <c r="CB66" s="131">
        <f t="shared" ca="1" si="858"/>
        <v>0</v>
      </c>
      <c r="CC66" s="131">
        <f ca="1">SUM(CB66:CB$124)*SSk</f>
        <v>0</v>
      </c>
      <c r="CD66" s="8">
        <f t="shared" ca="1" si="89"/>
        <v>99999.012970709329</v>
      </c>
      <c r="CE66" s="2">
        <f t="shared" ref="CE66" ca="1" si="1343">IFERROR(VLOOKUP($S66,qx_table,MATCH(CE$11,qx_title,0)+sexB),0)</f>
        <v>0</v>
      </c>
      <c r="CF66" s="131">
        <f t="shared" ca="1" si="860"/>
        <v>0</v>
      </c>
      <c r="CG66" s="131">
        <f ca="1">SUM(CF66:CF$124)*SSl</f>
        <v>0</v>
      </c>
      <c r="CH66" s="101">
        <f t="shared" ca="1" si="92"/>
        <v>0</v>
      </c>
      <c r="CI66" s="154">
        <f t="shared" ca="1" si="817"/>
        <v>0</v>
      </c>
      <c r="CJ66" s="32">
        <f t="shared" ref="CJ66" ca="1" si="1344">+MAX(VLOOKUP(xB+$R66,기수표B,$AH$1)-VLOOKUP(xB+mB,기수표B,$AH$1),0)</f>
        <v>0</v>
      </c>
      <c r="CK66" s="32">
        <f t="shared" ref="CK66" ca="1" si="1345">+MAX(VLOOKUP(xB+$R66,기수표B,$AH$1)-VLOOKUP(xB+mB,기수표B,$AH$1)-11/24*(VLOOKUP(xB+$R66,기수표B,$AG$1)-VLOOKUP(xB+mB,기수표B,$AG$1)),0)</f>
        <v>0</v>
      </c>
      <c r="CL66" s="32">
        <f t="shared" ref="CL66" ca="1" si="1346">+MAX(VLOOKUP(xB+$R66,기수표B,$AA$1)-VLOOKUP(xB+mB,기수표B,$AA$1),0)</f>
        <v>0</v>
      </c>
      <c r="CM66" s="32">
        <f t="shared" ref="CM66" ca="1" si="1347">+MAX(VLOOKUP(xB+$R66,기수표B,$AA$1)-VLOOKUP(xB+mB,기수표B,$AA$1)-11/24*(VLOOKUP(xB+$R66,기수표B,$AA$1)-VLOOKUP(xB+mB,기수표B,$AA$1)),0)</f>
        <v>0</v>
      </c>
      <c r="CN66" s="32">
        <f t="shared" si="822"/>
        <v>0</v>
      </c>
      <c r="CO66" s="32">
        <f t="shared" ca="1" si="823"/>
        <v>0</v>
      </c>
      <c r="CP66" s="259">
        <f t="shared" ca="1" si="824"/>
        <v>0</v>
      </c>
      <c r="CQ66" s="259">
        <f t="shared" ca="1" si="825"/>
        <v>0</v>
      </c>
      <c r="CR66" s="259" t="e">
        <f t="shared" ca="1" si="826"/>
        <v>#DIV/0!</v>
      </c>
      <c r="CS66" s="31">
        <f t="shared" ref="CS66" si="1348">+MIN(mB,7)</f>
        <v>5</v>
      </c>
      <c r="CU66" s="13">
        <v>54</v>
      </c>
      <c r="CV66" s="477">
        <f t="shared" ca="1" si="828"/>
        <v>420</v>
      </c>
      <c r="CW66" s="477" t="e">
        <f t="shared" ca="1" si="829"/>
        <v>#DIV/0!</v>
      </c>
      <c r="CX66" s="477">
        <f t="shared" ca="1" si="830"/>
        <v>0</v>
      </c>
      <c r="CY66" s="478">
        <f t="shared" ca="1" si="98"/>
        <v>0</v>
      </c>
    </row>
    <row r="67" spans="14:103">
      <c r="N67" s="5">
        <f t="shared" si="99"/>
        <v>55</v>
      </c>
      <c r="O67" s="2">
        <f t="shared" ref="O67" ca="1" si="1349">+(1+iB)^-N67</f>
        <v>0.29411527654103309</v>
      </c>
      <c r="P67" s="2">
        <f t="shared" ref="P67" ca="1" si="1350">+(1+iB)^-(N67+0.5)</f>
        <v>0.29086128890533958</v>
      </c>
      <c r="Q67" s="91"/>
      <c r="R67" s="20">
        <f t="shared" si="102"/>
        <v>55</v>
      </c>
      <c r="S67" s="20" t="str">
        <f t="shared" ref="S67" si="1351">+IF(xB+R67&lt;=xB+nB,xB+R67,"")</f>
        <v/>
      </c>
      <c r="T67" s="2">
        <f t="shared" ref="T67:U67" ca="1" si="1352">IFERROR(VLOOKUP($S67,qx_table,MATCH(T$11,qx_title,0)+sexB),0)</f>
        <v>0</v>
      </c>
      <c r="U67" s="2">
        <f t="shared" ca="1" si="1352"/>
        <v>0</v>
      </c>
      <c r="V67" s="300">
        <f>IF(JRB=2,0,IF(R67&gt;=mB-1,_xlfn.XLOOKUP(R67-mB,해지율!#REF!,해지율!#REF!,,1),_xlfn.XLOOKUP(R67,해지율!#REF!,해지율!#REF!,,-1)))</f>
        <v>0</v>
      </c>
      <c r="W67" s="8">
        <f t="shared" ref="W67" si="1353">IF(R67=0,100000,IF(R67&gt;nB,0,W66*(1-X66)*(1-Y66)))</f>
        <v>0</v>
      </c>
      <c r="X67" s="10">
        <f t="shared" ca="1" si="19"/>
        <v>0</v>
      </c>
      <c r="Y67" s="10">
        <f t="shared" ca="1" si="20"/>
        <v>0</v>
      </c>
      <c r="Z67" s="8">
        <f t="shared" ca="1" si="106"/>
        <v>0</v>
      </c>
      <c r="AA67" s="8">
        <f ca="1">+SUM(Z67:Z$124)</f>
        <v>0</v>
      </c>
      <c r="AB67" s="8">
        <f t="shared" ca="1" si="21"/>
        <v>0</v>
      </c>
      <c r="AC67" s="209">
        <f ca="1">+SUM(AB67:AB$124)*SSSM</f>
        <v>0</v>
      </c>
      <c r="AD67" s="209">
        <f t="shared" ref="AD67" si="1354">IF(R67&gt;nB,0,AD66*(1-X66)*(1-Y66)*(1-AE66)*(1-AF66))</f>
        <v>0</v>
      </c>
      <c r="AE67" s="92">
        <f t="shared" ca="1" si="56"/>
        <v>0</v>
      </c>
      <c r="AF67" s="92">
        <f t="shared" ca="1" si="22"/>
        <v>0</v>
      </c>
      <c r="AG67" s="664">
        <f t="shared" ca="1" si="23"/>
        <v>0</v>
      </c>
      <c r="AH67" s="5">
        <f ca="1">+SUM(AG67:AG$124)</f>
        <v>0</v>
      </c>
      <c r="AI67" s="70">
        <f t="shared" ca="1" si="24"/>
        <v>0</v>
      </c>
      <c r="AJ67" s="208">
        <f ca="1">+SUM(AB67:AB$124)*SS50J</f>
        <v>0</v>
      </c>
      <c r="AK67" s="5">
        <f t="shared" ca="1" si="108"/>
        <v>99999.012970709329</v>
      </c>
      <c r="AL67" s="2">
        <f t="shared" ref="AL67" ca="1" si="1355">IFERROR(VLOOKUP($S67,qx_table,MATCH(AL$11,qx_title,0)+sexB),0)</f>
        <v>0</v>
      </c>
      <c r="AM67" s="131">
        <f t="shared" ca="1" si="110"/>
        <v>29411.23735371053</v>
      </c>
      <c r="AN67" s="129">
        <f t="shared" ca="1" si="839"/>
        <v>0</v>
      </c>
      <c r="AO67" s="129">
        <f ca="1">SUM(AN67:AN$124)*SSa</f>
        <v>0</v>
      </c>
      <c r="AP67" s="70">
        <f t="shared" ca="1" si="59"/>
        <v>99999.012970709329</v>
      </c>
      <c r="AQ67" s="2">
        <f t="shared" ref="AQ67" ca="1" si="1356">IFERROR(VLOOKUP($S67,qx_table,MATCH(AQ$11,qx_title,0)+sexB),0)</f>
        <v>0</v>
      </c>
      <c r="AR67" s="127">
        <f t="shared" ca="1" si="841"/>
        <v>0</v>
      </c>
      <c r="AS67" s="127">
        <f ca="1">SUM(AR67:AR$124)*SSb</f>
        <v>0</v>
      </c>
      <c r="AT67" s="70">
        <f t="shared" ca="1" si="62"/>
        <v>99999.012970709329</v>
      </c>
      <c r="AU67" s="2">
        <f t="shared" ref="AU67" ca="1" si="1357">IFERROR(VLOOKUP($S67,qx_table,MATCH(AU$11,qx_title,0)+sexB),0)</f>
        <v>0</v>
      </c>
      <c r="AV67" s="268">
        <f t="shared" ca="1" si="843"/>
        <v>0</v>
      </c>
      <c r="AW67" s="131">
        <f ca="1">SUM(AV67:AV$124)*SSc</f>
        <v>0</v>
      </c>
      <c r="AX67" s="70">
        <f t="shared" ca="1" si="65"/>
        <v>99999.012970709329</v>
      </c>
      <c r="AY67" s="2">
        <f t="shared" ref="AY67" ca="1" si="1358">IFERROR(VLOOKUP($S67,qx_table,MATCH(AY$11,qx_title,0)+sexB),0)</f>
        <v>0</v>
      </c>
      <c r="AZ67" s="268">
        <f t="shared" ca="1" si="808"/>
        <v>0</v>
      </c>
      <c r="BA67" s="129">
        <f ca="1">SUM(AZ67:AZ$124)*SSd</f>
        <v>0</v>
      </c>
      <c r="BB67" s="70">
        <f t="shared" ca="1" si="68"/>
        <v>99999.012970709329</v>
      </c>
      <c r="BC67" s="257">
        <f t="shared" ref="BC67" ca="1" si="1359">IFERROR(VLOOKUP($S67,qx_table,MATCH(BC$11,qx_title,0)+sexB),0)</f>
        <v>0</v>
      </c>
      <c r="BD67" s="268">
        <f t="shared" ca="1" si="846"/>
        <v>0</v>
      </c>
      <c r="BE67" s="131">
        <f ca="1">SUM(BD67:BD$124)*SSe</f>
        <v>0</v>
      </c>
      <c r="BF67" s="70">
        <f t="shared" ca="1" si="71"/>
        <v>99999.012970709329</v>
      </c>
      <c r="BG67" s="2">
        <f t="shared" ref="BG67" ca="1" si="1360">IFERROR(VLOOKUP($S67,qx_table,MATCH(BG$11,qx_title,0)+sexB),0)</f>
        <v>0</v>
      </c>
      <c r="BH67" s="131">
        <f t="shared" ca="1" si="848"/>
        <v>0</v>
      </c>
      <c r="BI67" s="2">
        <f ca="1">SUM(BH67:BH$124)*SSf</f>
        <v>0</v>
      </c>
      <c r="BJ67" s="70">
        <f t="shared" ca="1" si="74"/>
        <v>99999.012970709329</v>
      </c>
      <c r="BK67" s="2">
        <f t="shared" ref="BK67" ca="1" si="1361">IFERROR(VLOOKUP($S67,qx_table,MATCH(BK$11,qx_title,0)+sexB),0)</f>
        <v>0</v>
      </c>
      <c r="BL67" s="131">
        <f t="shared" ca="1" si="850"/>
        <v>0</v>
      </c>
      <c r="BM67" s="131">
        <f ca="1">SUM(BL67:BL$124)*SSg</f>
        <v>0</v>
      </c>
      <c r="BN67" s="70">
        <f t="shared" ca="1" si="77"/>
        <v>99999.012970709329</v>
      </c>
      <c r="BO67" s="2">
        <f t="shared" ref="BO67" ca="1" si="1362">IFERROR(VLOOKUP($S67,qx_table,MATCH(BO$11,qx_title,0)+sexB),0)</f>
        <v>0</v>
      </c>
      <c r="BP67" s="131">
        <f t="shared" ca="1" si="852"/>
        <v>0</v>
      </c>
      <c r="BQ67" s="131">
        <f ca="1">SUM(BP67:BP$124)*SSh</f>
        <v>0</v>
      </c>
      <c r="BR67" s="70">
        <f t="shared" ca="1" si="80"/>
        <v>99999.012970709329</v>
      </c>
      <c r="BS67" s="2">
        <f t="shared" ref="BS67" ca="1" si="1363">IFERROR(VLOOKUP($S67,qx_table,MATCH(BS$11,qx_title,0)+sexB),0)*IF(R67=0,MCi,1)</f>
        <v>0</v>
      </c>
      <c r="BT67" s="131">
        <f t="shared" ca="1" si="854"/>
        <v>0</v>
      </c>
      <c r="BU67" s="131">
        <f ca="1">SUM(BT67:BT$124)*SSi</f>
        <v>0</v>
      </c>
      <c r="BV67" s="70">
        <f t="shared" ca="1" si="83"/>
        <v>99999.012970709329</v>
      </c>
      <c r="BW67" s="2">
        <f t="shared" ref="BW67" ca="1" si="1364">IFERROR(VLOOKUP($S67,qx_table,MATCH(BW$11,qx_title,0)+sexB),0)</f>
        <v>0</v>
      </c>
      <c r="BX67" s="131">
        <f t="shared" ca="1" si="856"/>
        <v>0</v>
      </c>
      <c r="BY67" s="131">
        <f ca="1">SUM(BX67:BX$124)*SSj</f>
        <v>0</v>
      </c>
      <c r="BZ67" s="70">
        <f t="shared" ca="1" si="86"/>
        <v>99999.012970709329</v>
      </c>
      <c r="CA67" s="2">
        <f t="shared" ref="CA67" ca="1" si="1365">IFERROR(VLOOKUP($S67,qx_table,MATCH(CA$11,qx_title,0)+sexB),0)</f>
        <v>0</v>
      </c>
      <c r="CB67" s="131">
        <f t="shared" ca="1" si="858"/>
        <v>0</v>
      </c>
      <c r="CC67" s="131">
        <f ca="1">SUM(CB67:CB$124)*SSk</f>
        <v>0</v>
      </c>
      <c r="CD67" s="8">
        <f t="shared" ca="1" si="89"/>
        <v>99999.012970709329</v>
      </c>
      <c r="CE67" s="2">
        <f t="shared" ref="CE67" ca="1" si="1366">IFERROR(VLOOKUP($S67,qx_table,MATCH(CE$11,qx_title,0)+sexB),0)</f>
        <v>0</v>
      </c>
      <c r="CF67" s="131">
        <f t="shared" ca="1" si="860"/>
        <v>0</v>
      </c>
      <c r="CG67" s="131">
        <f ca="1">SUM(CF67:CF$124)*SSl</f>
        <v>0</v>
      </c>
      <c r="CH67" s="101">
        <f t="shared" ca="1" si="92"/>
        <v>0</v>
      </c>
      <c r="CI67" s="154">
        <f t="shared" ca="1" si="817"/>
        <v>0</v>
      </c>
      <c r="CJ67" s="32">
        <f t="shared" ref="CJ67" ca="1" si="1367">+MAX(VLOOKUP(xB+$R67,기수표B,$AH$1)-VLOOKUP(xB+mB,기수표B,$AH$1),0)</f>
        <v>0</v>
      </c>
      <c r="CK67" s="32">
        <f t="shared" ref="CK67" ca="1" si="1368">+MAX(VLOOKUP(xB+$R67,기수표B,$AH$1)-VLOOKUP(xB+mB,기수표B,$AH$1)-11/24*(VLOOKUP(xB+$R67,기수표B,$AG$1)-VLOOKUP(xB+mB,기수표B,$AG$1)),0)</f>
        <v>0</v>
      </c>
      <c r="CL67" s="32">
        <f t="shared" ref="CL67" ca="1" si="1369">+MAX(VLOOKUP(xB+$R67,기수표B,$AA$1)-VLOOKUP(xB+mB,기수표B,$AA$1),0)</f>
        <v>0</v>
      </c>
      <c r="CM67" s="32">
        <f t="shared" ref="CM67" ca="1" si="1370">+MAX(VLOOKUP(xB+$R67,기수표B,$AA$1)-VLOOKUP(xB+mB,기수표B,$AA$1)-11/24*(VLOOKUP(xB+$R67,기수표B,$AA$1)-VLOOKUP(xB+mB,기수표B,$AA$1)),0)</f>
        <v>0</v>
      </c>
      <c r="CN67" s="32">
        <f t="shared" si="822"/>
        <v>0</v>
      </c>
      <c r="CO67" s="32">
        <f t="shared" ca="1" si="823"/>
        <v>0</v>
      </c>
      <c r="CP67" s="259">
        <f t="shared" ca="1" si="824"/>
        <v>0</v>
      </c>
      <c r="CQ67" s="259">
        <f t="shared" ca="1" si="825"/>
        <v>0</v>
      </c>
      <c r="CR67" s="259" t="e">
        <f t="shared" ca="1" si="826"/>
        <v>#DIV/0!</v>
      </c>
      <c r="CS67" s="31">
        <f t="shared" ref="CS67" si="1371">+MIN(mB,7)</f>
        <v>5</v>
      </c>
      <c r="CU67" s="13">
        <v>55</v>
      </c>
      <c r="CV67" s="477">
        <f t="shared" ca="1" si="828"/>
        <v>420</v>
      </c>
      <c r="CW67" s="477" t="e">
        <f t="shared" ca="1" si="829"/>
        <v>#DIV/0!</v>
      </c>
      <c r="CX67" s="477">
        <f t="shared" ca="1" si="830"/>
        <v>0</v>
      </c>
      <c r="CY67" s="478">
        <f t="shared" ca="1" si="98"/>
        <v>0</v>
      </c>
    </row>
    <row r="68" spans="14:103">
      <c r="N68" s="5">
        <f t="shared" si="99"/>
        <v>56</v>
      </c>
      <c r="O68" s="2">
        <f t="shared" ref="O68" ca="1" si="1372">+(1+iB)^-N68</f>
        <v>0.28764330224061913</v>
      </c>
      <c r="P68" s="2">
        <f t="shared" ref="P68" ca="1" si="1373">+(1+iB)^-(N68+0.5)</f>
        <v>0.28446091824483094</v>
      </c>
      <c r="Q68" s="91"/>
      <c r="R68" s="20">
        <f t="shared" si="102"/>
        <v>56</v>
      </c>
      <c r="S68" s="20" t="str">
        <f t="shared" ref="S68" si="1374">+IF(xB+R68&lt;=xB+nB,xB+R68,"")</f>
        <v/>
      </c>
      <c r="T68" s="2">
        <f t="shared" ref="T68:U68" ca="1" si="1375">IFERROR(VLOOKUP($S68,qx_table,MATCH(T$11,qx_title,0)+sexB),0)</f>
        <v>0</v>
      </c>
      <c r="U68" s="2">
        <f t="shared" ca="1" si="1375"/>
        <v>0</v>
      </c>
      <c r="V68" s="300">
        <f>IF(JRB=2,0,IF(R68&gt;=mB-1,_xlfn.XLOOKUP(R68-mB,해지율!#REF!,해지율!#REF!,,1),_xlfn.XLOOKUP(R68,해지율!#REF!,해지율!#REF!,,-1)))</f>
        <v>0</v>
      </c>
      <c r="W68" s="8">
        <f t="shared" ref="W68" si="1376">IF(R68=0,100000,IF(R68&gt;nB,0,W67*(1-X67)*(1-Y67)))</f>
        <v>0</v>
      </c>
      <c r="X68" s="10">
        <f t="shared" ca="1" si="19"/>
        <v>0</v>
      </c>
      <c r="Y68" s="10">
        <f t="shared" ca="1" si="20"/>
        <v>0</v>
      </c>
      <c r="Z68" s="8">
        <f t="shared" ca="1" si="106"/>
        <v>0</v>
      </c>
      <c r="AA68" s="8">
        <f ca="1">+SUM(Z68:Z$124)</f>
        <v>0</v>
      </c>
      <c r="AB68" s="8">
        <f t="shared" ca="1" si="21"/>
        <v>0</v>
      </c>
      <c r="AC68" s="209">
        <f ca="1">+SUM(AB68:AB$124)*SSSM</f>
        <v>0</v>
      </c>
      <c r="AD68" s="209">
        <f t="shared" ref="AD68" si="1377">IF(R68&gt;nB,0,AD67*(1-X67)*(1-Y67)*(1-AE67)*(1-AF67))</f>
        <v>0</v>
      </c>
      <c r="AE68" s="92">
        <f t="shared" ca="1" si="56"/>
        <v>0</v>
      </c>
      <c r="AF68" s="92">
        <f t="shared" ca="1" si="22"/>
        <v>0</v>
      </c>
      <c r="AG68" s="664">
        <f t="shared" ca="1" si="23"/>
        <v>0</v>
      </c>
      <c r="AH68" s="5">
        <f ca="1">+SUM(AG68:AG$124)</f>
        <v>0</v>
      </c>
      <c r="AI68" s="70">
        <f t="shared" ca="1" si="24"/>
        <v>0</v>
      </c>
      <c r="AJ68" s="208">
        <f ca="1">+SUM(AB68:AB$124)*SS50J</f>
        <v>0</v>
      </c>
      <c r="AK68" s="5">
        <f t="shared" ca="1" si="108"/>
        <v>99999.012970709329</v>
      </c>
      <c r="AL68" s="2">
        <f t="shared" ref="AL68" ca="1" si="1378">IFERROR(VLOOKUP($S68,qx_table,MATCH(AL$11,qx_title,0)+sexB),0)</f>
        <v>0</v>
      </c>
      <c r="AM68" s="131">
        <f t="shared" ca="1" si="110"/>
        <v>28764.046311697337</v>
      </c>
      <c r="AN68" s="129">
        <f t="shared" ca="1" si="839"/>
        <v>0</v>
      </c>
      <c r="AO68" s="129">
        <f ca="1">SUM(AN68:AN$124)*SSa</f>
        <v>0</v>
      </c>
      <c r="AP68" s="70">
        <f t="shared" ca="1" si="59"/>
        <v>99999.012970709329</v>
      </c>
      <c r="AQ68" s="2">
        <f t="shared" ref="AQ68" ca="1" si="1379">IFERROR(VLOOKUP($S68,qx_table,MATCH(AQ$11,qx_title,0)+sexB),0)</f>
        <v>0</v>
      </c>
      <c r="AR68" s="127">
        <f t="shared" ca="1" si="841"/>
        <v>0</v>
      </c>
      <c r="AS68" s="127">
        <f ca="1">SUM(AR68:AR$124)*SSb</f>
        <v>0</v>
      </c>
      <c r="AT68" s="70">
        <f t="shared" ca="1" si="62"/>
        <v>99999.012970709329</v>
      </c>
      <c r="AU68" s="2">
        <f t="shared" ref="AU68" ca="1" si="1380">IFERROR(VLOOKUP($S68,qx_table,MATCH(AU$11,qx_title,0)+sexB),0)</f>
        <v>0</v>
      </c>
      <c r="AV68" s="268">
        <f t="shared" ca="1" si="843"/>
        <v>0</v>
      </c>
      <c r="AW68" s="131">
        <f ca="1">SUM(AV68:AV$124)*SSc</f>
        <v>0</v>
      </c>
      <c r="AX68" s="70">
        <f t="shared" ca="1" si="65"/>
        <v>99999.012970709329</v>
      </c>
      <c r="AY68" s="2">
        <f t="shared" ref="AY68" ca="1" si="1381">IFERROR(VLOOKUP($S68,qx_table,MATCH(AY$11,qx_title,0)+sexB),0)</f>
        <v>0</v>
      </c>
      <c r="AZ68" s="268">
        <f t="shared" ca="1" si="808"/>
        <v>0</v>
      </c>
      <c r="BA68" s="129">
        <f ca="1">SUM(AZ68:AZ$124)*SSd</f>
        <v>0</v>
      </c>
      <c r="BB68" s="70">
        <f t="shared" ca="1" si="68"/>
        <v>99999.012970709329</v>
      </c>
      <c r="BC68" s="257">
        <f t="shared" ref="BC68" ca="1" si="1382">IFERROR(VLOOKUP($S68,qx_table,MATCH(BC$11,qx_title,0)+sexB),0)</f>
        <v>0</v>
      </c>
      <c r="BD68" s="268">
        <f t="shared" ca="1" si="846"/>
        <v>0</v>
      </c>
      <c r="BE68" s="131">
        <f ca="1">SUM(BD68:BD$124)*SSe</f>
        <v>0</v>
      </c>
      <c r="BF68" s="70">
        <f t="shared" ca="1" si="71"/>
        <v>99999.012970709329</v>
      </c>
      <c r="BG68" s="2">
        <f t="shared" ref="BG68" ca="1" si="1383">IFERROR(VLOOKUP($S68,qx_table,MATCH(BG$11,qx_title,0)+sexB),0)</f>
        <v>0</v>
      </c>
      <c r="BH68" s="131">
        <f t="shared" ca="1" si="848"/>
        <v>0</v>
      </c>
      <c r="BI68" s="2">
        <f ca="1">SUM(BH68:BH$124)*SSf</f>
        <v>0</v>
      </c>
      <c r="BJ68" s="70">
        <f t="shared" ca="1" si="74"/>
        <v>99999.012970709329</v>
      </c>
      <c r="BK68" s="2">
        <f t="shared" ref="BK68" ca="1" si="1384">IFERROR(VLOOKUP($S68,qx_table,MATCH(BK$11,qx_title,0)+sexB),0)</f>
        <v>0</v>
      </c>
      <c r="BL68" s="131">
        <f t="shared" ca="1" si="850"/>
        <v>0</v>
      </c>
      <c r="BM68" s="131">
        <f ca="1">SUM(BL68:BL$124)*SSg</f>
        <v>0</v>
      </c>
      <c r="BN68" s="70">
        <f t="shared" ca="1" si="77"/>
        <v>99999.012970709329</v>
      </c>
      <c r="BO68" s="2">
        <f t="shared" ref="BO68" ca="1" si="1385">IFERROR(VLOOKUP($S68,qx_table,MATCH(BO$11,qx_title,0)+sexB),0)</f>
        <v>0</v>
      </c>
      <c r="BP68" s="131">
        <f t="shared" ca="1" si="852"/>
        <v>0</v>
      </c>
      <c r="BQ68" s="131">
        <f ca="1">SUM(BP68:BP$124)*SSh</f>
        <v>0</v>
      </c>
      <c r="BR68" s="70">
        <f t="shared" ca="1" si="80"/>
        <v>99999.012970709329</v>
      </c>
      <c r="BS68" s="2">
        <f t="shared" ref="BS68" ca="1" si="1386">IFERROR(VLOOKUP($S68,qx_table,MATCH(BS$11,qx_title,0)+sexB),0)*IF(R68=0,MCi,1)</f>
        <v>0</v>
      </c>
      <c r="BT68" s="131">
        <f t="shared" ca="1" si="854"/>
        <v>0</v>
      </c>
      <c r="BU68" s="131">
        <f ca="1">SUM(BT68:BT$124)*SSi</f>
        <v>0</v>
      </c>
      <c r="BV68" s="70">
        <f t="shared" ca="1" si="83"/>
        <v>99999.012970709329</v>
      </c>
      <c r="BW68" s="2">
        <f t="shared" ref="BW68" ca="1" si="1387">IFERROR(VLOOKUP($S68,qx_table,MATCH(BW$11,qx_title,0)+sexB),0)</f>
        <v>0</v>
      </c>
      <c r="BX68" s="131">
        <f t="shared" ca="1" si="856"/>
        <v>0</v>
      </c>
      <c r="BY68" s="131">
        <f ca="1">SUM(BX68:BX$124)*SSj</f>
        <v>0</v>
      </c>
      <c r="BZ68" s="70">
        <f t="shared" ca="1" si="86"/>
        <v>99999.012970709329</v>
      </c>
      <c r="CA68" s="2">
        <f t="shared" ref="CA68" ca="1" si="1388">IFERROR(VLOOKUP($S68,qx_table,MATCH(CA$11,qx_title,0)+sexB),0)</f>
        <v>0</v>
      </c>
      <c r="CB68" s="131">
        <f t="shared" ca="1" si="858"/>
        <v>0</v>
      </c>
      <c r="CC68" s="131">
        <f ca="1">SUM(CB68:CB$124)*SSk</f>
        <v>0</v>
      </c>
      <c r="CD68" s="8">
        <f t="shared" ca="1" si="89"/>
        <v>99999.012970709329</v>
      </c>
      <c r="CE68" s="2">
        <f t="shared" ref="CE68" ca="1" si="1389">IFERROR(VLOOKUP($S68,qx_table,MATCH(CE$11,qx_title,0)+sexB),0)</f>
        <v>0</v>
      </c>
      <c r="CF68" s="131">
        <f t="shared" ca="1" si="860"/>
        <v>0</v>
      </c>
      <c r="CG68" s="131">
        <f ca="1">SUM(CF68:CF$124)*SSl</f>
        <v>0</v>
      </c>
      <c r="CH68" s="101">
        <f t="shared" ca="1" si="92"/>
        <v>0</v>
      </c>
      <c r="CI68" s="154">
        <f t="shared" ca="1" si="817"/>
        <v>0</v>
      </c>
      <c r="CJ68" s="32">
        <f t="shared" ref="CJ68" ca="1" si="1390">+MAX(VLOOKUP(xB+$R68,기수표B,$AH$1)-VLOOKUP(xB+mB,기수표B,$AH$1),0)</f>
        <v>0</v>
      </c>
      <c r="CK68" s="32">
        <f t="shared" ref="CK68" ca="1" si="1391">+MAX(VLOOKUP(xB+$R68,기수표B,$AH$1)-VLOOKUP(xB+mB,기수표B,$AH$1)-11/24*(VLOOKUP(xB+$R68,기수표B,$AG$1)-VLOOKUP(xB+mB,기수표B,$AG$1)),0)</f>
        <v>0</v>
      </c>
      <c r="CL68" s="32">
        <f t="shared" ref="CL68" ca="1" si="1392">+MAX(VLOOKUP(xB+$R68,기수표B,$AA$1)-VLOOKUP(xB+mB,기수표B,$AA$1),0)</f>
        <v>0</v>
      </c>
      <c r="CM68" s="32">
        <f t="shared" ref="CM68" ca="1" si="1393">+MAX(VLOOKUP(xB+$R68,기수표B,$AA$1)-VLOOKUP(xB+mB,기수표B,$AA$1)-11/24*(VLOOKUP(xB+$R68,기수표B,$AA$1)-VLOOKUP(xB+mB,기수표B,$AA$1)),0)</f>
        <v>0</v>
      </c>
      <c r="CN68" s="32">
        <f t="shared" si="822"/>
        <v>0</v>
      </c>
      <c r="CO68" s="32">
        <f t="shared" ca="1" si="823"/>
        <v>0</v>
      </c>
      <c r="CP68" s="259">
        <f t="shared" ca="1" si="824"/>
        <v>0</v>
      </c>
      <c r="CQ68" s="259">
        <f t="shared" ca="1" si="825"/>
        <v>0</v>
      </c>
      <c r="CR68" s="259" t="e">
        <f t="shared" ca="1" si="826"/>
        <v>#DIV/0!</v>
      </c>
      <c r="CS68" s="31">
        <f t="shared" ref="CS68" si="1394">+MIN(mB,7)</f>
        <v>5</v>
      </c>
      <c r="CU68" s="13">
        <v>56</v>
      </c>
      <c r="CV68" s="477">
        <f t="shared" ca="1" si="828"/>
        <v>420</v>
      </c>
      <c r="CW68" s="477" t="e">
        <f t="shared" ca="1" si="829"/>
        <v>#DIV/0!</v>
      </c>
      <c r="CX68" s="477">
        <f t="shared" ca="1" si="830"/>
        <v>0</v>
      </c>
      <c r="CY68" s="478">
        <f t="shared" ca="1" si="98"/>
        <v>0</v>
      </c>
    </row>
    <row r="69" spans="14:103">
      <c r="N69" s="5">
        <f t="shared" si="99"/>
        <v>57</v>
      </c>
      <c r="O69" s="2">
        <f t="shared" ref="O69" ca="1" si="1395">+(1+iB)^-N69</f>
        <v>0.28131374302261047</v>
      </c>
      <c r="P69" s="2">
        <f t="shared" ref="P69" ca="1" si="1396">+(1+iB)^-(N69+0.5)</f>
        <v>0.27820138703650948</v>
      </c>
      <c r="Q69" s="91"/>
      <c r="R69" s="20">
        <f t="shared" si="102"/>
        <v>57</v>
      </c>
      <c r="S69" s="20" t="str">
        <f t="shared" ref="S69" si="1397">+IF(xB+R69&lt;=xB+nB,xB+R69,"")</f>
        <v/>
      </c>
      <c r="T69" s="2">
        <f t="shared" ref="T69:U69" ca="1" si="1398">IFERROR(VLOOKUP($S69,qx_table,MATCH(T$11,qx_title,0)+sexB),0)</f>
        <v>0</v>
      </c>
      <c r="U69" s="2">
        <f t="shared" ca="1" si="1398"/>
        <v>0</v>
      </c>
      <c r="V69" s="300">
        <f>IF(JRB=2,0,IF(R69&gt;=mB-1,_xlfn.XLOOKUP(R69-mB,해지율!#REF!,해지율!#REF!,,1),_xlfn.XLOOKUP(R69,해지율!#REF!,해지율!#REF!,,-1)))</f>
        <v>0</v>
      </c>
      <c r="W69" s="8">
        <f t="shared" ref="W69" si="1399">IF(R69=0,100000,IF(R69&gt;nB,0,W68*(1-X68)*(1-Y68)))</f>
        <v>0</v>
      </c>
      <c r="X69" s="10">
        <f t="shared" ca="1" si="19"/>
        <v>0</v>
      </c>
      <c r="Y69" s="10">
        <f t="shared" ca="1" si="20"/>
        <v>0</v>
      </c>
      <c r="Z69" s="8">
        <f t="shared" ca="1" si="106"/>
        <v>0</v>
      </c>
      <c r="AA69" s="8">
        <f ca="1">+SUM(Z69:Z$124)</f>
        <v>0</v>
      </c>
      <c r="AB69" s="8">
        <f t="shared" ca="1" si="21"/>
        <v>0</v>
      </c>
      <c r="AC69" s="209">
        <f ca="1">+SUM(AB69:AB$124)*SSSM</f>
        <v>0</v>
      </c>
      <c r="AD69" s="209">
        <f t="shared" ref="AD69" si="1400">IF(R69&gt;nB,0,AD68*(1-X68)*(1-Y68)*(1-AE68)*(1-AF68))</f>
        <v>0</v>
      </c>
      <c r="AE69" s="92">
        <f t="shared" ca="1" si="56"/>
        <v>0</v>
      </c>
      <c r="AF69" s="92">
        <f t="shared" ca="1" si="22"/>
        <v>0</v>
      </c>
      <c r="AG69" s="664">
        <f t="shared" ca="1" si="23"/>
        <v>0</v>
      </c>
      <c r="AH69" s="5">
        <f ca="1">+SUM(AG69:AG$124)</f>
        <v>0</v>
      </c>
      <c r="AI69" s="70">
        <f t="shared" ca="1" si="24"/>
        <v>0</v>
      </c>
      <c r="AJ69" s="208">
        <f ca="1">+SUM(AB69:AB$124)*SS50J</f>
        <v>0</v>
      </c>
      <c r="AK69" s="5">
        <f t="shared" ca="1" si="108"/>
        <v>99999.012970709329</v>
      </c>
      <c r="AL69" s="2">
        <f t="shared" ref="AL69" ca="1" si="1401">IFERROR(VLOOKUP($S69,qx_table,MATCH(AL$11,qx_title,0)+sexB),0)</f>
        <v>0</v>
      </c>
      <c r="AM69" s="131">
        <f t="shared" ca="1" si="110"/>
        <v>28131.096637356815</v>
      </c>
      <c r="AN69" s="129">
        <f t="shared" ca="1" si="839"/>
        <v>0</v>
      </c>
      <c r="AO69" s="129">
        <f ca="1">SUM(AN69:AN$124)*SSa</f>
        <v>0</v>
      </c>
      <c r="AP69" s="70">
        <f t="shared" ca="1" si="59"/>
        <v>99999.012970709329</v>
      </c>
      <c r="AQ69" s="2">
        <f t="shared" ref="AQ69" ca="1" si="1402">IFERROR(VLOOKUP($S69,qx_table,MATCH(AQ$11,qx_title,0)+sexB),0)</f>
        <v>0</v>
      </c>
      <c r="AR69" s="127">
        <f t="shared" ca="1" si="841"/>
        <v>0</v>
      </c>
      <c r="AS69" s="127">
        <f ca="1">SUM(AR69:AR$124)*SSb</f>
        <v>0</v>
      </c>
      <c r="AT69" s="70">
        <f t="shared" ca="1" si="62"/>
        <v>99999.012970709329</v>
      </c>
      <c r="AU69" s="2">
        <f t="shared" ref="AU69" ca="1" si="1403">IFERROR(VLOOKUP($S69,qx_table,MATCH(AU$11,qx_title,0)+sexB),0)</f>
        <v>0</v>
      </c>
      <c r="AV69" s="268">
        <f t="shared" ca="1" si="843"/>
        <v>0</v>
      </c>
      <c r="AW69" s="131">
        <f ca="1">SUM(AV69:AV$124)*SSc</f>
        <v>0</v>
      </c>
      <c r="AX69" s="70">
        <f t="shared" ca="1" si="65"/>
        <v>99999.012970709329</v>
      </c>
      <c r="AY69" s="2">
        <f t="shared" ref="AY69" ca="1" si="1404">IFERROR(VLOOKUP($S69,qx_table,MATCH(AY$11,qx_title,0)+sexB),0)</f>
        <v>0</v>
      </c>
      <c r="AZ69" s="268">
        <f t="shared" ca="1" si="808"/>
        <v>0</v>
      </c>
      <c r="BA69" s="129">
        <f ca="1">SUM(AZ69:AZ$124)*SSd</f>
        <v>0</v>
      </c>
      <c r="BB69" s="70">
        <f t="shared" ca="1" si="68"/>
        <v>99999.012970709329</v>
      </c>
      <c r="BC69" s="257">
        <f t="shared" ref="BC69" ca="1" si="1405">IFERROR(VLOOKUP($S69,qx_table,MATCH(BC$11,qx_title,0)+sexB),0)</f>
        <v>0</v>
      </c>
      <c r="BD69" s="268">
        <f t="shared" ca="1" si="846"/>
        <v>0</v>
      </c>
      <c r="BE69" s="131">
        <f ca="1">SUM(BD69:BD$124)*SSe</f>
        <v>0</v>
      </c>
      <c r="BF69" s="70">
        <f t="shared" ca="1" si="71"/>
        <v>99999.012970709329</v>
      </c>
      <c r="BG69" s="2">
        <f t="shared" ref="BG69" ca="1" si="1406">IFERROR(VLOOKUP($S69,qx_table,MATCH(BG$11,qx_title,0)+sexB),0)</f>
        <v>0</v>
      </c>
      <c r="BH69" s="131">
        <f t="shared" ca="1" si="848"/>
        <v>0</v>
      </c>
      <c r="BI69" s="2">
        <f ca="1">SUM(BH69:BH$124)*SSf</f>
        <v>0</v>
      </c>
      <c r="BJ69" s="70">
        <f t="shared" ca="1" si="74"/>
        <v>99999.012970709329</v>
      </c>
      <c r="BK69" s="2">
        <f t="shared" ref="BK69" ca="1" si="1407">IFERROR(VLOOKUP($S69,qx_table,MATCH(BK$11,qx_title,0)+sexB),0)</f>
        <v>0</v>
      </c>
      <c r="BL69" s="131">
        <f t="shared" ca="1" si="850"/>
        <v>0</v>
      </c>
      <c r="BM69" s="131">
        <f ca="1">SUM(BL69:BL$124)*SSg</f>
        <v>0</v>
      </c>
      <c r="BN69" s="70">
        <f t="shared" ca="1" si="77"/>
        <v>99999.012970709329</v>
      </c>
      <c r="BO69" s="2">
        <f t="shared" ref="BO69" ca="1" si="1408">IFERROR(VLOOKUP($S69,qx_table,MATCH(BO$11,qx_title,0)+sexB),0)</f>
        <v>0</v>
      </c>
      <c r="BP69" s="131">
        <f t="shared" ca="1" si="852"/>
        <v>0</v>
      </c>
      <c r="BQ69" s="131">
        <f ca="1">SUM(BP69:BP$124)*SSh</f>
        <v>0</v>
      </c>
      <c r="BR69" s="70">
        <f t="shared" ca="1" si="80"/>
        <v>99999.012970709329</v>
      </c>
      <c r="BS69" s="2">
        <f t="shared" ref="BS69" ca="1" si="1409">IFERROR(VLOOKUP($S69,qx_table,MATCH(BS$11,qx_title,0)+sexB),0)*IF(R69=0,MCi,1)</f>
        <v>0</v>
      </c>
      <c r="BT69" s="131">
        <f t="shared" ca="1" si="854"/>
        <v>0</v>
      </c>
      <c r="BU69" s="131">
        <f ca="1">SUM(BT69:BT$124)*SSi</f>
        <v>0</v>
      </c>
      <c r="BV69" s="70">
        <f t="shared" ca="1" si="83"/>
        <v>99999.012970709329</v>
      </c>
      <c r="BW69" s="2">
        <f t="shared" ref="BW69" ca="1" si="1410">IFERROR(VLOOKUP($S69,qx_table,MATCH(BW$11,qx_title,0)+sexB),0)</f>
        <v>0</v>
      </c>
      <c r="BX69" s="131">
        <f t="shared" ca="1" si="856"/>
        <v>0</v>
      </c>
      <c r="BY69" s="131">
        <f ca="1">SUM(BX69:BX$124)*SSj</f>
        <v>0</v>
      </c>
      <c r="BZ69" s="70">
        <f t="shared" ca="1" si="86"/>
        <v>99999.012970709329</v>
      </c>
      <c r="CA69" s="2">
        <f t="shared" ref="CA69" ca="1" si="1411">IFERROR(VLOOKUP($S69,qx_table,MATCH(CA$11,qx_title,0)+sexB),0)</f>
        <v>0</v>
      </c>
      <c r="CB69" s="131">
        <f t="shared" ca="1" si="858"/>
        <v>0</v>
      </c>
      <c r="CC69" s="131">
        <f ca="1">SUM(CB69:CB$124)*SSk</f>
        <v>0</v>
      </c>
      <c r="CD69" s="8">
        <f t="shared" ca="1" si="89"/>
        <v>99999.012970709329</v>
      </c>
      <c r="CE69" s="2">
        <f t="shared" ref="CE69" ca="1" si="1412">IFERROR(VLOOKUP($S69,qx_table,MATCH(CE$11,qx_title,0)+sexB),0)</f>
        <v>0</v>
      </c>
      <c r="CF69" s="131">
        <f t="shared" ca="1" si="860"/>
        <v>0</v>
      </c>
      <c r="CG69" s="131">
        <f ca="1">SUM(CF69:CF$124)*SSl</f>
        <v>0</v>
      </c>
      <c r="CH69" s="101">
        <f t="shared" ca="1" si="92"/>
        <v>0</v>
      </c>
      <c r="CI69" s="154">
        <f t="shared" ca="1" si="817"/>
        <v>0</v>
      </c>
      <c r="CJ69" s="32">
        <f t="shared" ref="CJ69" ca="1" si="1413">+MAX(VLOOKUP(xB+$R69,기수표B,$AH$1)-VLOOKUP(xB+mB,기수표B,$AH$1),0)</f>
        <v>0</v>
      </c>
      <c r="CK69" s="32">
        <f t="shared" ref="CK69" ca="1" si="1414">+MAX(VLOOKUP(xB+$R69,기수표B,$AH$1)-VLOOKUP(xB+mB,기수표B,$AH$1)-11/24*(VLOOKUP(xB+$R69,기수표B,$AG$1)-VLOOKUP(xB+mB,기수표B,$AG$1)),0)</f>
        <v>0</v>
      </c>
      <c r="CL69" s="32">
        <f t="shared" ref="CL69" ca="1" si="1415">+MAX(VLOOKUP(xB+$R69,기수표B,$AA$1)-VLOOKUP(xB+mB,기수표B,$AA$1),0)</f>
        <v>0</v>
      </c>
      <c r="CM69" s="32">
        <f t="shared" ref="CM69" ca="1" si="1416">+MAX(VLOOKUP(xB+$R69,기수표B,$AA$1)-VLOOKUP(xB+mB,기수표B,$AA$1)-11/24*(VLOOKUP(xB+$R69,기수표B,$AA$1)-VLOOKUP(xB+mB,기수표B,$AA$1)),0)</f>
        <v>0</v>
      </c>
      <c r="CN69" s="32">
        <f t="shared" si="822"/>
        <v>0</v>
      </c>
      <c r="CO69" s="32">
        <f t="shared" ca="1" si="823"/>
        <v>0</v>
      </c>
      <c r="CP69" s="259">
        <f t="shared" ca="1" si="824"/>
        <v>0</v>
      </c>
      <c r="CQ69" s="259">
        <f t="shared" ca="1" si="825"/>
        <v>0</v>
      </c>
      <c r="CR69" s="259" t="e">
        <f t="shared" ca="1" si="826"/>
        <v>#DIV/0!</v>
      </c>
      <c r="CS69" s="31">
        <f t="shared" ref="CS69" si="1417">+MIN(mB,7)</f>
        <v>5</v>
      </c>
      <c r="CU69" s="13">
        <v>57</v>
      </c>
      <c r="CV69" s="477">
        <f t="shared" ca="1" si="828"/>
        <v>420</v>
      </c>
      <c r="CW69" s="477" t="e">
        <f t="shared" ca="1" si="829"/>
        <v>#DIV/0!</v>
      </c>
      <c r="CX69" s="477">
        <f t="shared" ca="1" si="830"/>
        <v>0</v>
      </c>
      <c r="CY69" s="478">
        <f t="shared" ca="1" si="98"/>
        <v>0</v>
      </c>
    </row>
    <row r="70" spans="14:103">
      <c r="N70" s="5">
        <f t="shared" si="99"/>
        <v>58</v>
      </c>
      <c r="O70" s="2">
        <f t="shared" ref="O70" ca="1" si="1418">+(1+iB)^-N70</f>
        <v>0.27512346505878776</v>
      </c>
      <c r="P70" s="2">
        <f t="shared" ref="P70" ca="1" si="1419">+(1+iB)^-(N70+0.5)</f>
        <v>0.27207959612372562</v>
      </c>
      <c r="Q70" s="91"/>
      <c r="R70" s="20">
        <f t="shared" si="102"/>
        <v>58</v>
      </c>
      <c r="S70" s="20" t="str">
        <f t="shared" ref="S70" si="1420">+IF(xB+R70&lt;=xB+nB,xB+R70,"")</f>
        <v/>
      </c>
      <c r="T70" s="2">
        <f t="shared" ref="T70:U70" ca="1" si="1421">IFERROR(VLOOKUP($S70,qx_table,MATCH(T$11,qx_title,0)+sexB),0)</f>
        <v>0</v>
      </c>
      <c r="U70" s="2">
        <f t="shared" ca="1" si="1421"/>
        <v>0</v>
      </c>
      <c r="V70" s="300">
        <f>IF(JRB=2,0,IF(R70&gt;=mB-1,_xlfn.XLOOKUP(R70-mB,해지율!#REF!,해지율!#REF!,,1),_xlfn.XLOOKUP(R70,해지율!#REF!,해지율!#REF!,,-1)))</f>
        <v>0</v>
      </c>
      <c r="W70" s="8">
        <f t="shared" ref="W70" si="1422">IF(R70=0,100000,IF(R70&gt;nB,0,W69*(1-X69)*(1-Y69)))</f>
        <v>0</v>
      </c>
      <c r="X70" s="10">
        <f t="shared" ca="1" si="19"/>
        <v>0</v>
      </c>
      <c r="Y70" s="10">
        <f t="shared" ca="1" si="20"/>
        <v>0</v>
      </c>
      <c r="Z70" s="8">
        <f t="shared" ca="1" si="106"/>
        <v>0</v>
      </c>
      <c r="AA70" s="8">
        <f ca="1">+SUM(Z70:Z$124)</f>
        <v>0</v>
      </c>
      <c r="AB70" s="8">
        <f t="shared" ca="1" si="21"/>
        <v>0</v>
      </c>
      <c r="AC70" s="209">
        <f ca="1">+SUM(AB70:AB$124)*SSSM</f>
        <v>0</v>
      </c>
      <c r="AD70" s="209">
        <f t="shared" ref="AD70" si="1423">IF(R70&gt;nB,0,AD69*(1-X69)*(1-Y69)*(1-AE69)*(1-AF69))</f>
        <v>0</v>
      </c>
      <c r="AE70" s="92">
        <f t="shared" ca="1" si="56"/>
        <v>0</v>
      </c>
      <c r="AF70" s="92">
        <f t="shared" ca="1" si="22"/>
        <v>0</v>
      </c>
      <c r="AG70" s="664">
        <f t="shared" ca="1" si="23"/>
        <v>0</v>
      </c>
      <c r="AH70" s="5">
        <f ca="1">+SUM(AG70:AG$124)</f>
        <v>0</v>
      </c>
      <c r="AI70" s="70">
        <f t="shared" ca="1" si="24"/>
        <v>0</v>
      </c>
      <c r="AJ70" s="208">
        <f ca="1">+SUM(AB70:AB$124)*SS50J</f>
        <v>0</v>
      </c>
      <c r="AK70" s="5">
        <f t="shared" ca="1" si="108"/>
        <v>99999.012970709329</v>
      </c>
      <c r="AL70" s="2">
        <f t="shared" ref="AL70" ca="1" si="1424">IFERROR(VLOOKUP($S70,qx_table,MATCH(AL$11,qx_title,0)+sexB),0)</f>
        <v>0</v>
      </c>
      <c r="AM70" s="131">
        <f t="shared" ca="1" si="110"/>
        <v>27512.074950960214</v>
      </c>
      <c r="AN70" s="129">
        <f t="shared" ca="1" si="839"/>
        <v>0</v>
      </c>
      <c r="AO70" s="129">
        <f ca="1">SUM(AN70:AN$124)*SSa</f>
        <v>0</v>
      </c>
      <c r="AP70" s="70">
        <f t="shared" ca="1" si="59"/>
        <v>99999.012970709329</v>
      </c>
      <c r="AQ70" s="2">
        <f t="shared" ref="AQ70" ca="1" si="1425">IFERROR(VLOOKUP($S70,qx_table,MATCH(AQ$11,qx_title,0)+sexB),0)</f>
        <v>0</v>
      </c>
      <c r="AR70" s="127">
        <f t="shared" ca="1" si="841"/>
        <v>0</v>
      </c>
      <c r="AS70" s="127">
        <f ca="1">SUM(AR70:AR$124)*SSb</f>
        <v>0</v>
      </c>
      <c r="AT70" s="70">
        <f t="shared" ca="1" si="62"/>
        <v>99999.012970709329</v>
      </c>
      <c r="AU70" s="2">
        <f t="shared" ref="AU70" ca="1" si="1426">IFERROR(VLOOKUP($S70,qx_table,MATCH(AU$11,qx_title,0)+sexB),0)</f>
        <v>0</v>
      </c>
      <c r="AV70" s="268">
        <f t="shared" ca="1" si="843"/>
        <v>0</v>
      </c>
      <c r="AW70" s="131">
        <f ca="1">SUM(AV70:AV$124)*SSc</f>
        <v>0</v>
      </c>
      <c r="AX70" s="70">
        <f t="shared" ca="1" si="65"/>
        <v>99999.012970709329</v>
      </c>
      <c r="AY70" s="2">
        <f t="shared" ref="AY70" ca="1" si="1427">IFERROR(VLOOKUP($S70,qx_table,MATCH(AY$11,qx_title,0)+sexB),0)</f>
        <v>0</v>
      </c>
      <c r="AZ70" s="268">
        <f t="shared" ca="1" si="808"/>
        <v>0</v>
      </c>
      <c r="BA70" s="129">
        <f ca="1">SUM(AZ70:AZ$124)*SSd</f>
        <v>0</v>
      </c>
      <c r="BB70" s="70">
        <f t="shared" ca="1" si="68"/>
        <v>99999.012970709329</v>
      </c>
      <c r="BC70" s="257">
        <f t="shared" ref="BC70" ca="1" si="1428">IFERROR(VLOOKUP($S70,qx_table,MATCH(BC$11,qx_title,0)+sexB),0)</f>
        <v>0</v>
      </c>
      <c r="BD70" s="268">
        <f t="shared" ca="1" si="846"/>
        <v>0</v>
      </c>
      <c r="BE70" s="131">
        <f ca="1">SUM(BD70:BD$124)*SSe</f>
        <v>0</v>
      </c>
      <c r="BF70" s="70">
        <f t="shared" ca="1" si="71"/>
        <v>99999.012970709329</v>
      </c>
      <c r="BG70" s="2">
        <f t="shared" ref="BG70" ca="1" si="1429">IFERROR(VLOOKUP($S70,qx_table,MATCH(BG$11,qx_title,0)+sexB),0)</f>
        <v>0</v>
      </c>
      <c r="BH70" s="131">
        <f t="shared" ca="1" si="848"/>
        <v>0</v>
      </c>
      <c r="BI70" s="2">
        <f ca="1">SUM(BH70:BH$124)*SSf</f>
        <v>0</v>
      </c>
      <c r="BJ70" s="70">
        <f t="shared" ca="1" si="74"/>
        <v>99999.012970709329</v>
      </c>
      <c r="BK70" s="2">
        <f t="shared" ref="BK70" ca="1" si="1430">IFERROR(VLOOKUP($S70,qx_table,MATCH(BK$11,qx_title,0)+sexB),0)</f>
        <v>0</v>
      </c>
      <c r="BL70" s="131">
        <f t="shared" ca="1" si="850"/>
        <v>0</v>
      </c>
      <c r="BM70" s="131">
        <f ca="1">SUM(BL70:BL$124)*SSg</f>
        <v>0</v>
      </c>
      <c r="BN70" s="70">
        <f t="shared" ca="1" si="77"/>
        <v>99999.012970709329</v>
      </c>
      <c r="BO70" s="2">
        <f t="shared" ref="BO70" ca="1" si="1431">IFERROR(VLOOKUP($S70,qx_table,MATCH(BO$11,qx_title,0)+sexB),0)</f>
        <v>0</v>
      </c>
      <c r="BP70" s="131">
        <f t="shared" ca="1" si="852"/>
        <v>0</v>
      </c>
      <c r="BQ70" s="131">
        <f ca="1">SUM(BP70:BP$124)*SSh</f>
        <v>0</v>
      </c>
      <c r="BR70" s="70">
        <f t="shared" ca="1" si="80"/>
        <v>99999.012970709329</v>
      </c>
      <c r="BS70" s="2">
        <f t="shared" ref="BS70" ca="1" si="1432">IFERROR(VLOOKUP($S70,qx_table,MATCH(BS$11,qx_title,0)+sexB),0)*IF(R70=0,MCi,1)</f>
        <v>0</v>
      </c>
      <c r="BT70" s="131">
        <f t="shared" ca="1" si="854"/>
        <v>0</v>
      </c>
      <c r="BU70" s="131">
        <f ca="1">SUM(BT70:BT$124)*SSi</f>
        <v>0</v>
      </c>
      <c r="BV70" s="70">
        <f t="shared" ca="1" si="83"/>
        <v>99999.012970709329</v>
      </c>
      <c r="BW70" s="2">
        <f t="shared" ref="BW70" ca="1" si="1433">IFERROR(VLOOKUP($S70,qx_table,MATCH(BW$11,qx_title,0)+sexB),0)</f>
        <v>0</v>
      </c>
      <c r="BX70" s="131">
        <f t="shared" ca="1" si="856"/>
        <v>0</v>
      </c>
      <c r="BY70" s="131">
        <f ca="1">SUM(BX70:BX$124)*SSj</f>
        <v>0</v>
      </c>
      <c r="BZ70" s="70">
        <f t="shared" ca="1" si="86"/>
        <v>99999.012970709329</v>
      </c>
      <c r="CA70" s="2">
        <f t="shared" ref="CA70" ca="1" si="1434">IFERROR(VLOOKUP($S70,qx_table,MATCH(CA$11,qx_title,0)+sexB),0)</f>
        <v>0</v>
      </c>
      <c r="CB70" s="131">
        <f t="shared" ca="1" si="858"/>
        <v>0</v>
      </c>
      <c r="CC70" s="131">
        <f ca="1">SUM(CB70:CB$124)*SSk</f>
        <v>0</v>
      </c>
      <c r="CD70" s="8">
        <f t="shared" ca="1" si="89"/>
        <v>99999.012970709329</v>
      </c>
      <c r="CE70" s="2">
        <f t="shared" ref="CE70" ca="1" si="1435">IFERROR(VLOOKUP($S70,qx_table,MATCH(CE$11,qx_title,0)+sexB),0)</f>
        <v>0</v>
      </c>
      <c r="CF70" s="131">
        <f t="shared" ca="1" si="860"/>
        <v>0</v>
      </c>
      <c r="CG70" s="131">
        <f ca="1">SUM(CF70:CF$124)*SSl</f>
        <v>0</v>
      </c>
      <c r="CH70" s="101">
        <f t="shared" ca="1" si="92"/>
        <v>0</v>
      </c>
      <c r="CI70" s="154">
        <f t="shared" ca="1" si="817"/>
        <v>0</v>
      </c>
      <c r="CJ70" s="32">
        <f t="shared" ref="CJ70" ca="1" si="1436">+MAX(VLOOKUP(xB+$R70,기수표B,$AH$1)-VLOOKUP(xB+mB,기수표B,$AH$1),0)</f>
        <v>0</v>
      </c>
      <c r="CK70" s="32">
        <f t="shared" ref="CK70" ca="1" si="1437">+MAX(VLOOKUP(xB+$R70,기수표B,$AH$1)-VLOOKUP(xB+mB,기수표B,$AH$1)-11/24*(VLOOKUP(xB+$R70,기수표B,$AG$1)-VLOOKUP(xB+mB,기수표B,$AG$1)),0)</f>
        <v>0</v>
      </c>
      <c r="CL70" s="32">
        <f t="shared" ref="CL70" ca="1" si="1438">+MAX(VLOOKUP(xB+$R70,기수표B,$AA$1)-VLOOKUP(xB+mB,기수표B,$AA$1),0)</f>
        <v>0</v>
      </c>
      <c r="CM70" s="32">
        <f t="shared" ref="CM70" ca="1" si="1439">+MAX(VLOOKUP(xB+$R70,기수표B,$AA$1)-VLOOKUP(xB+mB,기수표B,$AA$1)-11/24*(VLOOKUP(xB+$R70,기수표B,$AA$1)-VLOOKUP(xB+mB,기수표B,$AA$1)),0)</f>
        <v>0</v>
      </c>
      <c r="CN70" s="32">
        <f t="shared" si="822"/>
        <v>0</v>
      </c>
      <c r="CO70" s="32">
        <f t="shared" ca="1" si="823"/>
        <v>0</v>
      </c>
      <c r="CP70" s="259">
        <f t="shared" ca="1" si="824"/>
        <v>0</v>
      </c>
      <c r="CQ70" s="259">
        <f t="shared" ca="1" si="825"/>
        <v>0</v>
      </c>
      <c r="CR70" s="259" t="e">
        <f t="shared" ca="1" si="826"/>
        <v>#DIV/0!</v>
      </c>
      <c r="CS70" s="31">
        <f t="shared" ref="CS70" si="1440">+MIN(mB,7)</f>
        <v>5</v>
      </c>
      <c r="CU70" s="13">
        <v>58</v>
      </c>
      <c r="CV70" s="477">
        <f t="shared" ca="1" si="828"/>
        <v>420</v>
      </c>
      <c r="CW70" s="477" t="e">
        <f t="shared" ca="1" si="829"/>
        <v>#DIV/0!</v>
      </c>
      <c r="CX70" s="477">
        <f t="shared" ca="1" si="830"/>
        <v>0</v>
      </c>
      <c r="CY70" s="478">
        <f t="shared" ca="1" si="98"/>
        <v>0</v>
      </c>
    </row>
    <row r="71" spans="14:103">
      <c r="N71" s="5">
        <f t="shared" si="99"/>
        <v>59</v>
      </c>
      <c r="O71" s="2">
        <f t="shared" ref="O71" ca="1" si="1441">+(1+iB)^-N71</f>
        <v>0.26906940348047709</v>
      </c>
      <c r="P71" s="2">
        <f t="shared" ref="P71" ca="1" si="1442">+(1+iB)^-(N71+0.5)</f>
        <v>0.2660925145464309</v>
      </c>
      <c r="Q71" s="91"/>
      <c r="R71" s="20">
        <f t="shared" si="102"/>
        <v>59</v>
      </c>
      <c r="S71" s="20" t="str">
        <f t="shared" ref="S71" si="1443">+IF(xB+R71&lt;=xB+nB,xB+R71,"")</f>
        <v/>
      </c>
      <c r="T71" s="2">
        <f t="shared" ref="T71:U71" ca="1" si="1444">IFERROR(VLOOKUP($S71,qx_table,MATCH(T$11,qx_title,0)+sexB),0)</f>
        <v>0</v>
      </c>
      <c r="U71" s="2">
        <f t="shared" ca="1" si="1444"/>
        <v>0</v>
      </c>
      <c r="V71" s="300">
        <f>IF(JRB=2,0,IF(R71&gt;=mB-1,_xlfn.XLOOKUP(R71-mB,해지율!#REF!,해지율!#REF!,,1),_xlfn.XLOOKUP(R71,해지율!#REF!,해지율!#REF!,,-1)))</f>
        <v>0</v>
      </c>
      <c r="W71" s="8">
        <f t="shared" ref="W71" si="1445">IF(R71=0,100000,IF(R71&gt;nB,0,W70*(1-X70)*(1-Y70)))</f>
        <v>0</v>
      </c>
      <c r="X71" s="10">
        <f t="shared" ca="1" si="19"/>
        <v>0</v>
      </c>
      <c r="Y71" s="10">
        <f t="shared" ca="1" si="20"/>
        <v>0</v>
      </c>
      <c r="Z71" s="8">
        <f t="shared" ca="1" si="106"/>
        <v>0</v>
      </c>
      <c r="AA71" s="8">
        <f ca="1">+SUM(Z71:Z$124)</f>
        <v>0</v>
      </c>
      <c r="AB71" s="8">
        <f t="shared" ca="1" si="21"/>
        <v>0</v>
      </c>
      <c r="AC71" s="209">
        <f ca="1">+SUM(AB71:AB$124)*SSSM</f>
        <v>0</v>
      </c>
      <c r="AD71" s="209">
        <f t="shared" ref="AD71" si="1446">IF(R71&gt;nB,0,AD70*(1-X70)*(1-Y70)*(1-AE70)*(1-AF70))</f>
        <v>0</v>
      </c>
      <c r="AE71" s="92">
        <f t="shared" ca="1" si="56"/>
        <v>0</v>
      </c>
      <c r="AF71" s="92">
        <f t="shared" ca="1" si="22"/>
        <v>0</v>
      </c>
      <c r="AG71" s="664">
        <f t="shared" ca="1" si="23"/>
        <v>0</v>
      </c>
      <c r="AH71" s="5">
        <f ca="1">+SUM(AG71:AG$124)</f>
        <v>0</v>
      </c>
      <c r="AI71" s="70">
        <f t="shared" ca="1" si="24"/>
        <v>0</v>
      </c>
      <c r="AJ71" s="208">
        <f ca="1">+SUM(AB71:AB$124)*SS50J</f>
        <v>0</v>
      </c>
      <c r="AK71" s="5">
        <f t="shared" ca="1" si="108"/>
        <v>99999.012970709329</v>
      </c>
      <c r="AL71" s="2">
        <f t="shared" ref="AL71" ca="1" si="1447">IFERROR(VLOOKUP($S71,qx_table,MATCH(AL$11,qx_title,0)+sexB),0)</f>
        <v>0</v>
      </c>
      <c r="AM71" s="131">
        <f t="shared" ca="1" si="110"/>
        <v>26906.674768665249</v>
      </c>
      <c r="AN71" s="129">
        <f t="shared" ca="1" si="839"/>
        <v>0</v>
      </c>
      <c r="AO71" s="129">
        <f ca="1">SUM(AN71:AN$124)*SSa</f>
        <v>0</v>
      </c>
      <c r="AP71" s="70">
        <f t="shared" ca="1" si="59"/>
        <v>99999.012970709329</v>
      </c>
      <c r="AQ71" s="2">
        <f t="shared" ref="AQ71" ca="1" si="1448">IFERROR(VLOOKUP($S71,qx_table,MATCH(AQ$11,qx_title,0)+sexB),0)</f>
        <v>0</v>
      </c>
      <c r="AR71" s="127">
        <f t="shared" ca="1" si="841"/>
        <v>0</v>
      </c>
      <c r="AS71" s="127">
        <f ca="1">SUM(AR71:AR$124)*SSb</f>
        <v>0</v>
      </c>
      <c r="AT71" s="70">
        <f t="shared" ca="1" si="62"/>
        <v>99999.012970709329</v>
      </c>
      <c r="AU71" s="2">
        <f t="shared" ref="AU71" ca="1" si="1449">IFERROR(VLOOKUP($S71,qx_table,MATCH(AU$11,qx_title,0)+sexB),0)</f>
        <v>0</v>
      </c>
      <c r="AV71" s="268">
        <f t="shared" ca="1" si="843"/>
        <v>0</v>
      </c>
      <c r="AW71" s="131">
        <f ca="1">SUM(AV71:AV$124)*SSc</f>
        <v>0</v>
      </c>
      <c r="AX71" s="70">
        <f t="shared" ca="1" si="65"/>
        <v>99999.012970709329</v>
      </c>
      <c r="AY71" s="2">
        <f t="shared" ref="AY71" ca="1" si="1450">IFERROR(VLOOKUP($S71,qx_table,MATCH(AY$11,qx_title,0)+sexB),0)</f>
        <v>0</v>
      </c>
      <c r="AZ71" s="268">
        <f t="shared" ca="1" si="808"/>
        <v>0</v>
      </c>
      <c r="BA71" s="129">
        <f ca="1">SUM(AZ71:AZ$124)*SSd</f>
        <v>0</v>
      </c>
      <c r="BB71" s="70">
        <f t="shared" ca="1" si="68"/>
        <v>99999.012970709329</v>
      </c>
      <c r="BC71" s="257">
        <f t="shared" ref="BC71" ca="1" si="1451">IFERROR(VLOOKUP($S71,qx_table,MATCH(BC$11,qx_title,0)+sexB),0)</f>
        <v>0</v>
      </c>
      <c r="BD71" s="268">
        <f t="shared" ca="1" si="846"/>
        <v>0</v>
      </c>
      <c r="BE71" s="131">
        <f ca="1">SUM(BD71:BD$124)*SSe</f>
        <v>0</v>
      </c>
      <c r="BF71" s="70">
        <f t="shared" ca="1" si="71"/>
        <v>99999.012970709329</v>
      </c>
      <c r="BG71" s="2">
        <f t="shared" ref="BG71" ca="1" si="1452">IFERROR(VLOOKUP($S71,qx_table,MATCH(BG$11,qx_title,0)+sexB),0)</f>
        <v>0</v>
      </c>
      <c r="BH71" s="131">
        <f t="shared" ca="1" si="848"/>
        <v>0</v>
      </c>
      <c r="BI71" s="2">
        <f ca="1">SUM(BH71:BH$124)*SSf</f>
        <v>0</v>
      </c>
      <c r="BJ71" s="70">
        <f t="shared" ca="1" si="74"/>
        <v>99999.012970709329</v>
      </c>
      <c r="BK71" s="2">
        <f t="shared" ref="BK71" ca="1" si="1453">IFERROR(VLOOKUP($S71,qx_table,MATCH(BK$11,qx_title,0)+sexB),0)</f>
        <v>0</v>
      </c>
      <c r="BL71" s="131">
        <f t="shared" ca="1" si="850"/>
        <v>0</v>
      </c>
      <c r="BM71" s="131">
        <f ca="1">SUM(BL71:BL$124)*SSg</f>
        <v>0</v>
      </c>
      <c r="BN71" s="70">
        <f t="shared" ca="1" si="77"/>
        <v>99999.012970709329</v>
      </c>
      <c r="BO71" s="2">
        <f t="shared" ref="BO71" ca="1" si="1454">IFERROR(VLOOKUP($S71,qx_table,MATCH(BO$11,qx_title,0)+sexB),0)</f>
        <v>0</v>
      </c>
      <c r="BP71" s="131">
        <f t="shared" ca="1" si="852"/>
        <v>0</v>
      </c>
      <c r="BQ71" s="131">
        <f ca="1">SUM(BP71:BP$124)*SSh</f>
        <v>0</v>
      </c>
      <c r="BR71" s="70">
        <f t="shared" ca="1" si="80"/>
        <v>99999.012970709329</v>
      </c>
      <c r="BS71" s="2">
        <f t="shared" ref="BS71" ca="1" si="1455">IFERROR(VLOOKUP($S71,qx_table,MATCH(BS$11,qx_title,0)+sexB),0)*IF(R71=0,MCi,1)</f>
        <v>0</v>
      </c>
      <c r="BT71" s="131">
        <f t="shared" ca="1" si="854"/>
        <v>0</v>
      </c>
      <c r="BU71" s="131">
        <f ca="1">SUM(BT71:BT$124)*SSi</f>
        <v>0</v>
      </c>
      <c r="BV71" s="70">
        <f t="shared" ca="1" si="83"/>
        <v>99999.012970709329</v>
      </c>
      <c r="BW71" s="2">
        <f t="shared" ref="BW71" ca="1" si="1456">IFERROR(VLOOKUP($S71,qx_table,MATCH(BW$11,qx_title,0)+sexB),0)</f>
        <v>0</v>
      </c>
      <c r="BX71" s="131">
        <f t="shared" ca="1" si="856"/>
        <v>0</v>
      </c>
      <c r="BY71" s="131">
        <f ca="1">SUM(BX71:BX$124)*SSj</f>
        <v>0</v>
      </c>
      <c r="BZ71" s="70">
        <f t="shared" ca="1" si="86"/>
        <v>99999.012970709329</v>
      </c>
      <c r="CA71" s="2">
        <f t="shared" ref="CA71" ca="1" si="1457">IFERROR(VLOOKUP($S71,qx_table,MATCH(CA$11,qx_title,0)+sexB),0)</f>
        <v>0</v>
      </c>
      <c r="CB71" s="131">
        <f t="shared" ca="1" si="858"/>
        <v>0</v>
      </c>
      <c r="CC71" s="131">
        <f ca="1">SUM(CB71:CB$124)*SSk</f>
        <v>0</v>
      </c>
      <c r="CD71" s="8">
        <f t="shared" ca="1" si="89"/>
        <v>99999.012970709329</v>
      </c>
      <c r="CE71" s="2">
        <f t="shared" ref="CE71" ca="1" si="1458">IFERROR(VLOOKUP($S71,qx_table,MATCH(CE$11,qx_title,0)+sexB),0)</f>
        <v>0</v>
      </c>
      <c r="CF71" s="131">
        <f t="shared" ca="1" si="860"/>
        <v>0</v>
      </c>
      <c r="CG71" s="131">
        <f ca="1">SUM(CF71:CF$124)*SSl</f>
        <v>0</v>
      </c>
      <c r="CH71" s="101">
        <f t="shared" ca="1" si="92"/>
        <v>0</v>
      </c>
      <c r="CI71" s="154">
        <f t="shared" ca="1" si="817"/>
        <v>0</v>
      </c>
      <c r="CJ71" s="32">
        <f t="shared" ref="CJ71" ca="1" si="1459">+MAX(VLOOKUP(xB+$R71,기수표B,$AH$1)-VLOOKUP(xB+mB,기수표B,$AH$1),0)</f>
        <v>0</v>
      </c>
      <c r="CK71" s="32">
        <f t="shared" ref="CK71" ca="1" si="1460">+MAX(VLOOKUP(xB+$R71,기수표B,$AH$1)-VLOOKUP(xB+mB,기수표B,$AH$1)-11/24*(VLOOKUP(xB+$R71,기수표B,$AG$1)-VLOOKUP(xB+mB,기수표B,$AG$1)),0)</f>
        <v>0</v>
      </c>
      <c r="CL71" s="32">
        <f t="shared" ref="CL71" ca="1" si="1461">+MAX(VLOOKUP(xB+$R71,기수표B,$AA$1)-VLOOKUP(xB+mB,기수표B,$AA$1),0)</f>
        <v>0</v>
      </c>
      <c r="CM71" s="32">
        <f t="shared" ref="CM71" ca="1" si="1462">+MAX(VLOOKUP(xB+$R71,기수표B,$AA$1)-VLOOKUP(xB+mB,기수표B,$AA$1)-11/24*(VLOOKUP(xB+$R71,기수표B,$AA$1)-VLOOKUP(xB+mB,기수표B,$AA$1)),0)</f>
        <v>0</v>
      </c>
      <c r="CN71" s="32">
        <f t="shared" si="822"/>
        <v>0</v>
      </c>
      <c r="CO71" s="32">
        <f t="shared" ca="1" si="823"/>
        <v>0</v>
      </c>
      <c r="CP71" s="259">
        <f t="shared" ca="1" si="824"/>
        <v>0</v>
      </c>
      <c r="CQ71" s="259">
        <f t="shared" ca="1" si="825"/>
        <v>0</v>
      </c>
      <c r="CR71" s="259" t="e">
        <f t="shared" ca="1" si="826"/>
        <v>#DIV/0!</v>
      </c>
      <c r="CS71" s="31">
        <f t="shared" ref="CS71" si="1463">+MIN(mB,7)</f>
        <v>5</v>
      </c>
      <c r="CU71" s="13">
        <v>59</v>
      </c>
      <c r="CV71" s="477">
        <f t="shared" ca="1" si="828"/>
        <v>420</v>
      </c>
      <c r="CW71" s="477" t="e">
        <f t="shared" ca="1" si="829"/>
        <v>#DIV/0!</v>
      </c>
      <c r="CX71" s="477">
        <f t="shared" ca="1" si="830"/>
        <v>0</v>
      </c>
      <c r="CY71" s="478">
        <f t="shared" ca="1" si="98"/>
        <v>0</v>
      </c>
    </row>
    <row r="72" spans="14:103">
      <c r="N72" s="5">
        <f t="shared" si="99"/>
        <v>60</v>
      </c>
      <c r="O72" s="2">
        <f t="shared" ref="O72" ca="1" si="1464">+(1+iB)^-N72</f>
        <v>0.26314856086110222</v>
      </c>
      <c r="P72" s="2">
        <f t="shared" ref="P72" ca="1" si="1465">+(1+iB)^-(N72+0.5)</f>
        <v>0.26023717804051927</v>
      </c>
      <c r="Q72" s="91"/>
      <c r="R72" s="20">
        <f t="shared" si="102"/>
        <v>60</v>
      </c>
      <c r="S72" s="20" t="str">
        <f t="shared" ref="S72" si="1466">+IF(xB+R72&lt;=xB+nB,xB+R72,"")</f>
        <v/>
      </c>
      <c r="T72" s="2">
        <f t="shared" ref="T72:U72" ca="1" si="1467">IFERROR(VLOOKUP($S72,qx_table,MATCH(T$11,qx_title,0)+sexB),0)</f>
        <v>0</v>
      </c>
      <c r="U72" s="2">
        <f t="shared" ca="1" si="1467"/>
        <v>0</v>
      </c>
      <c r="V72" s="300">
        <f>IF(JRB=2,0,IF(R72&gt;=mB-1,_xlfn.XLOOKUP(R72-mB,해지율!#REF!,해지율!#REF!,,1),_xlfn.XLOOKUP(R72,해지율!#REF!,해지율!#REF!,,-1)))</f>
        <v>0</v>
      </c>
      <c r="W72" s="8">
        <f t="shared" ref="W72" si="1468">IF(R72=0,100000,IF(R72&gt;nB,0,W71*(1-X71)*(1-Y71)))</f>
        <v>0</v>
      </c>
      <c r="X72" s="10">
        <f t="shared" ca="1" si="19"/>
        <v>0</v>
      </c>
      <c r="Y72" s="10">
        <f t="shared" ca="1" si="20"/>
        <v>0</v>
      </c>
      <c r="Z72" s="8">
        <f t="shared" ca="1" si="106"/>
        <v>0</v>
      </c>
      <c r="AA72" s="8">
        <f ca="1">+SUM(Z72:Z$124)</f>
        <v>0</v>
      </c>
      <c r="AB72" s="8">
        <f t="shared" ca="1" si="21"/>
        <v>0</v>
      </c>
      <c r="AC72" s="209">
        <f ca="1">+SUM(AB72:AB$124)*SSSM</f>
        <v>0</v>
      </c>
      <c r="AD72" s="209">
        <f t="shared" ref="AD72" si="1469">IF(R72&gt;nB,0,AD71*(1-X71)*(1-Y71)*(1-AE71)*(1-AF71))</f>
        <v>0</v>
      </c>
      <c r="AE72" s="92">
        <f t="shared" ca="1" si="56"/>
        <v>0</v>
      </c>
      <c r="AF72" s="92">
        <f t="shared" ca="1" si="22"/>
        <v>0</v>
      </c>
      <c r="AG72" s="664">
        <f t="shared" ca="1" si="23"/>
        <v>0</v>
      </c>
      <c r="AH72" s="5">
        <f ca="1">+SUM(AG72:AG$124)</f>
        <v>0</v>
      </c>
      <c r="AI72" s="70">
        <f t="shared" ca="1" si="24"/>
        <v>0</v>
      </c>
      <c r="AJ72" s="208">
        <f ca="1">+SUM(AB72:AB$124)*SS50J</f>
        <v>0</v>
      </c>
      <c r="AK72" s="5">
        <f t="shared" ca="1" si="108"/>
        <v>99999.012970709329</v>
      </c>
      <c r="AL72" s="2">
        <f t="shared" ref="AL72" ca="1" si="1470">IFERROR(VLOOKUP($S72,qx_table,MATCH(AL$11,qx_title,0)+sexB),0)</f>
        <v>0</v>
      </c>
      <c r="AM72" s="131">
        <f t="shared" ca="1" si="110"/>
        <v>26314.596350772856</v>
      </c>
      <c r="AN72" s="129">
        <f t="shared" ca="1" si="839"/>
        <v>0</v>
      </c>
      <c r="AO72" s="129">
        <f ca="1">SUM(AN72:AN$124)*SSa</f>
        <v>0</v>
      </c>
      <c r="AP72" s="70">
        <f t="shared" ca="1" si="59"/>
        <v>99999.012970709329</v>
      </c>
      <c r="AQ72" s="2">
        <f t="shared" ref="AQ72" ca="1" si="1471">IFERROR(VLOOKUP($S72,qx_table,MATCH(AQ$11,qx_title,0)+sexB),0)</f>
        <v>0</v>
      </c>
      <c r="AR72" s="127">
        <f t="shared" ca="1" si="841"/>
        <v>0</v>
      </c>
      <c r="AS72" s="127">
        <f ca="1">SUM(AR72:AR$124)*SSb</f>
        <v>0</v>
      </c>
      <c r="AT72" s="70">
        <f t="shared" ca="1" si="62"/>
        <v>99999.012970709329</v>
      </c>
      <c r="AU72" s="2">
        <f t="shared" ref="AU72" ca="1" si="1472">IFERROR(VLOOKUP($S72,qx_table,MATCH(AU$11,qx_title,0)+sexB),0)</f>
        <v>0</v>
      </c>
      <c r="AV72" s="268">
        <f t="shared" ca="1" si="843"/>
        <v>0</v>
      </c>
      <c r="AW72" s="131">
        <f ca="1">SUM(AV72:AV$124)*SSc</f>
        <v>0</v>
      </c>
      <c r="AX72" s="70">
        <f t="shared" ca="1" si="65"/>
        <v>99999.012970709329</v>
      </c>
      <c r="AY72" s="2">
        <f t="shared" ref="AY72" ca="1" si="1473">IFERROR(VLOOKUP($S72,qx_table,MATCH(AY$11,qx_title,0)+sexB),0)</f>
        <v>0</v>
      </c>
      <c r="AZ72" s="268">
        <f t="shared" ca="1" si="808"/>
        <v>0</v>
      </c>
      <c r="BA72" s="129">
        <f ca="1">SUM(AZ72:AZ$124)*SSd</f>
        <v>0</v>
      </c>
      <c r="BB72" s="70">
        <f t="shared" ca="1" si="68"/>
        <v>99999.012970709329</v>
      </c>
      <c r="BC72" s="257">
        <f t="shared" ref="BC72" ca="1" si="1474">IFERROR(VLOOKUP($S72,qx_table,MATCH(BC$11,qx_title,0)+sexB),0)</f>
        <v>0</v>
      </c>
      <c r="BD72" s="268">
        <f t="shared" ca="1" si="846"/>
        <v>0</v>
      </c>
      <c r="BE72" s="131">
        <f ca="1">SUM(BD72:BD$124)*SSe</f>
        <v>0</v>
      </c>
      <c r="BF72" s="70">
        <f t="shared" ca="1" si="71"/>
        <v>99999.012970709329</v>
      </c>
      <c r="BG72" s="2">
        <f t="shared" ref="BG72" ca="1" si="1475">IFERROR(VLOOKUP($S72,qx_table,MATCH(BG$11,qx_title,0)+sexB),0)</f>
        <v>0</v>
      </c>
      <c r="BH72" s="131">
        <f t="shared" ca="1" si="848"/>
        <v>0</v>
      </c>
      <c r="BI72" s="2">
        <f ca="1">SUM(BH72:BH$124)*SSf</f>
        <v>0</v>
      </c>
      <c r="BJ72" s="70">
        <f t="shared" ca="1" si="74"/>
        <v>99999.012970709329</v>
      </c>
      <c r="BK72" s="2">
        <f t="shared" ref="BK72" ca="1" si="1476">IFERROR(VLOOKUP($S72,qx_table,MATCH(BK$11,qx_title,0)+sexB),0)</f>
        <v>0</v>
      </c>
      <c r="BL72" s="131">
        <f t="shared" ca="1" si="850"/>
        <v>0</v>
      </c>
      <c r="BM72" s="131">
        <f ca="1">SUM(BL72:BL$124)*SSg</f>
        <v>0</v>
      </c>
      <c r="BN72" s="70">
        <f t="shared" ca="1" si="77"/>
        <v>99999.012970709329</v>
      </c>
      <c r="BO72" s="2">
        <f t="shared" ref="BO72" ca="1" si="1477">IFERROR(VLOOKUP($S72,qx_table,MATCH(BO$11,qx_title,0)+sexB),0)</f>
        <v>0</v>
      </c>
      <c r="BP72" s="131">
        <f t="shared" ca="1" si="852"/>
        <v>0</v>
      </c>
      <c r="BQ72" s="131">
        <f ca="1">SUM(BP72:BP$124)*SSh</f>
        <v>0</v>
      </c>
      <c r="BR72" s="70">
        <f t="shared" ca="1" si="80"/>
        <v>99999.012970709329</v>
      </c>
      <c r="BS72" s="2">
        <f t="shared" ref="BS72" ca="1" si="1478">IFERROR(VLOOKUP($S72,qx_table,MATCH(BS$11,qx_title,0)+sexB),0)*IF(R72=0,MCi,1)</f>
        <v>0</v>
      </c>
      <c r="BT72" s="131">
        <f t="shared" ca="1" si="854"/>
        <v>0</v>
      </c>
      <c r="BU72" s="131">
        <f ca="1">SUM(BT72:BT$124)*SSi</f>
        <v>0</v>
      </c>
      <c r="BV72" s="70">
        <f t="shared" ca="1" si="83"/>
        <v>99999.012970709329</v>
      </c>
      <c r="BW72" s="2">
        <f t="shared" ref="BW72" ca="1" si="1479">IFERROR(VLOOKUP($S72,qx_table,MATCH(BW$11,qx_title,0)+sexB),0)</f>
        <v>0</v>
      </c>
      <c r="BX72" s="131">
        <f t="shared" ca="1" si="856"/>
        <v>0</v>
      </c>
      <c r="BY72" s="131">
        <f ca="1">SUM(BX72:BX$124)*SSj</f>
        <v>0</v>
      </c>
      <c r="BZ72" s="70">
        <f t="shared" ca="1" si="86"/>
        <v>99999.012970709329</v>
      </c>
      <c r="CA72" s="2">
        <f t="shared" ref="CA72" ca="1" si="1480">IFERROR(VLOOKUP($S72,qx_table,MATCH(CA$11,qx_title,0)+sexB),0)</f>
        <v>0</v>
      </c>
      <c r="CB72" s="131">
        <f t="shared" ca="1" si="858"/>
        <v>0</v>
      </c>
      <c r="CC72" s="131">
        <f ca="1">SUM(CB72:CB$124)*SSk</f>
        <v>0</v>
      </c>
      <c r="CD72" s="8">
        <f t="shared" ca="1" si="89"/>
        <v>99999.012970709329</v>
      </c>
      <c r="CE72" s="2">
        <f t="shared" ref="CE72" ca="1" si="1481">IFERROR(VLOOKUP($S72,qx_table,MATCH(CE$11,qx_title,0)+sexB),0)</f>
        <v>0</v>
      </c>
      <c r="CF72" s="131">
        <f t="shared" ca="1" si="860"/>
        <v>0</v>
      </c>
      <c r="CG72" s="131">
        <f ca="1">SUM(CF72:CF$124)*SSl</f>
        <v>0</v>
      </c>
      <c r="CH72" s="101">
        <f t="shared" ca="1" si="92"/>
        <v>0</v>
      </c>
      <c r="CI72" s="154">
        <f t="shared" ca="1" si="817"/>
        <v>0</v>
      </c>
      <c r="CJ72" s="32">
        <f t="shared" ref="CJ72" ca="1" si="1482">+MAX(VLOOKUP(xB+$R72,기수표B,$AH$1)-VLOOKUP(xB+mB,기수표B,$AH$1),0)</f>
        <v>0</v>
      </c>
      <c r="CK72" s="32">
        <f t="shared" ref="CK72" ca="1" si="1483">+MAX(VLOOKUP(xB+$R72,기수표B,$AH$1)-VLOOKUP(xB+mB,기수표B,$AH$1)-11/24*(VLOOKUP(xB+$R72,기수표B,$AG$1)-VLOOKUP(xB+mB,기수표B,$AG$1)),0)</f>
        <v>0</v>
      </c>
      <c r="CL72" s="32">
        <f t="shared" ref="CL72" ca="1" si="1484">+MAX(VLOOKUP(xB+$R72,기수표B,$AA$1)-VLOOKUP(xB+mB,기수표B,$AA$1),0)</f>
        <v>0</v>
      </c>
      <c r="CM72" s="32">
        <f t="shared" ref="CM72" ca="1" si="1485">+MAX(VLOOKUP(xB+$R72,기수표B,$AA$1)-VLOOKUP(xB+mB,기수표B,$AA$1)-11/24*(VLOOKUP(xB+$R72,기수표B,$AA$1)-VLOOKUP(xB+mB,기수표B,$AA$1)),0)</f>
        <v>0</v>
      </c>
      <c r="CN72" s="32">
        <f t="shared" si="822"/>
        <v>0</v>
      </c>
      <c r="CO72" s="32">
        <f t="shared" ca="1" si="823"/>
        <v>0</v>
      </c>
      <c r="CP72" s="259">
        <f t="shared" ca="1" si="824"/>
        <v>0</v>
      </c>
      <c r="CQ72" s="259">
        <f t="shared" ca="1" si="825"/>
        <v>0</v>
      </c>
      <c r="CR72" s="259" t="e">
        <f t="shared" ca="1" si="826"/>
        <v>#DIV/0!</v>
      </c>
      <c r="CS72" s="31">
        <f t="shared" ref="CS72" si="1486">+MIN(mB,7)</f>
        <v>5</v>
      </c>
      <c r="CU72" s="13">
        <v>60</v>
      </c>
      <c r="CV72" s="477">
        <f t="shared" ca="1" si="828"/>
        <v>420</v>
      </c>
      <c r="CW72" s="477" t="e">
        <f t="shared" ca="1" si="829"/>
        <v>#DIV/0!</v>
      </c>
      <c r="CX72" s="477">
        <f t="shared" ca="1" si="830"/>
        <v>0</v>
      </c>
      <c r="CY72" s="478">
        <f t="shared" ca="1" si="98"/>
        <v>0</v>
      </c>
    </row>
    <row r="73" spans="14:103">
      <c r="N73" s="5">
        <f t="shared" si="99"/>
        <v>61</v>
      </c>
      <c r="O73" s="2">
        <f t="shared" ref="O73" ca="1" si="1487">+(1+iB)^-N73</f>
        <v>0.2573580057321293</v>
      </c>
      <c r="P73" s="2">
        <f t="shared" ref="P73" ca="1" si="1488">+(1+iB)^-(N73+0.5)</f>
        <v>0.25451068757019002</v>
      </c>
      <c r="Q73" s="91"/>
      <c r="R73" s="20">
        <f t="shared" si="102"/>
        <v>61</v>
      </c>
      <c r="S73" s="20" t="str">
        <f t="shared" ref="S73" si="1489">+IF(xB+R73&lt;=xB+nB,xB+R73,"")</f>
        <v/>
      </c>
      <c r="T73" s="2">
        <f t="shared" ref="T73:U73" ca="1" si="1490">IFERROR(VLOOKUP($S73,qx_table,MATCH(T$11,qx_title,0)+sexB),0)</f>
        <v>0</v>
      </c>
      <c r="U73" s="2">
        <f t="shared" ca="1" si="1490"/>
        <v>0</v>
      </c>
      <c r="V73" s="300">
        <f>IF(JRB=2,0,IF(R73&gt;=mB-1,_xlfn.XLOOKUP(R73-mB,해지율!#REF!,해지율!#REF!,,1),_xlfn.XLOOKUP(R73,해지율!#REF!,해지율!#REF!,,-1)))</f>
        <v>0</v>
      </c>
      <c r="W73" s="8">
        <f t="shared" ref="W73" si="1491">IF(R73=0,100000,IF(R73&gt;nB,0,W72*(1-X72)*(1-Y72)))</f>
        <v>0</v>
      </c>
      <c r="X73" s="10">
        <f t="shared" ca="1" si="19"/>
        <v>0</v>
      </c>
      <c r="Y73" s="10">
        <f t="shared" ca="1" si="20"/>
        <v>0</v>
      </c>
      <c r="Z73" s="8">
        <f t="shared" ca="1" si="106"/>
        <v>0</v>
      </c>
      <c r="AA73" s="8">
        <f ca="1">+SUM(Z73:Z$124)</f>
        <v>0</v>
      </c>
      <c r="AB73" s="8">
        <f t="shared" ca="1" si="21"/>
        <v>0</v>
      </c>
      <c r="AC73" s="209">
        <f ca="1">+SUM(AB73:AB$124)*SSSM</f>
        <v>0</v>
      </c>
      <c r="AD73" s="209">
        <f t="shared" ref="AD73" si="1492">IF(R73&gt;nB,0,AD72*(1-X72)*(1-Y72)*(1-AE72)*(1-AF72))</f>
        <v>0</v>
      </c>
      <c r="AE73" s="92">
        <f t="shared" ca="1" si="56"/>
        <v>0</v>
      </c>
      <c r="AF73" s="92">
        <f t="shared" ca="1" si="22"/>
        <v>0</v>
      </c>
      <c r="AG73" s="664">
        <f t="shared" ca="1" si="23"/>
        <v>0</v>
      </c>
      <c r="AH73" s="5">
        <f ca="1">+SUM(AG73:AG$124)</f>
        <v>0</v>
      </c>
      <c r="AI73" s="70">
        <f t="shared" ca="1" si="24"/>
        <v>0</v>
      </c>
      <c r="AJ73" s="208">
        <f ca="1">+SUM(AB73:AB$124)*SS50J</f>
        <v>0</v>
      </c>
      <c r="AK73" s="5">
        <f t="shared" ca="1" si="108"/>
        <v>99999.012970709329</v>
      </c>
      <c r="AL73" s="2">
        <f t="shared" ref="AL73" ca="1" si="1493">IFERROR(VLOOKUP($S73,qx_table,MATCH(AL$11,qx_title,0)+sexB),0)</f>
        <v>0</v>
      </c>
      <c r="AM73" s="131">
        <f t="shared" ca="1" si="110"/>
        <v>25735.546553323085</v>
      </c>
      <c r="AN73" s="129">
        <f t="shared" ca="1" si="839"/>
        <v>0</v>
      </c>
      <c r="AO73" s="129">
        <f ca="1">SUM(AN73:AN$124)*SSa</f>
        <v>0</v>
      </c>
      <c r="AP73" s="70">
        <f t="shared" ca="1" si="59"/>
        <v>99999.012970709329</v>
      </c>
      <c r="AQ73" s="2">
        <f t="shared" ref="AQ73" ca="1" si="1494">IFERROR(VLOOKUP($S73,qx_table,MATCH(AQ$11,qx_title,0)+sexB),0)</f>
        <v>0</v>
      </c>
      <c r="AR73" s="127">
        <f t="shared" ca="1" si="841"/>
        <v>0</v>
      </c>
      <c r="AS73" s="127">
        <f ca="1">SUM(AR73:AR$124)*SSb</f>
        <v>0</v>
      </c>
      <c r="AT73" s="70">
        <f t="shared" ca="1" si="62"/>
        <v>99999.012970709329</v>
      </c>
      <c r="AU73" s="2">
        <f t="shared" ref="AU73" ca="1" si="1495">IFERROR(VLOOKUP($S73,qx_table,MATCH(AU$11,qx_title,0)+sexB),0)</f>
        <v>0</v>
      </c>
      <c r="AV73" s="268">
        <f t="shared" ca="1" si="843"/>
        <v>0</v>
      </c>
      <c r="AW73" s="131">
        <f ca="1">SUM(AV73:AV$124)*SSc</f>
        <v>0</v>
      </c>
      <c r="AX73" s="70">
        <f t="shared" ca="1" si="65"/>
        <v>99999.012970709329</v>
      </c>
      <c r="AY73" s="2">
        <f t="shared" ref="AY73" ca="1" si="1496">IFERROR(VLOOKUP($S73,qx_table,MATCH(AY$11,qx_title,0)+sexB),0)</f>
        <v>0</v>
      </c>
      <c r="AZ73" s="268">
        <f t="shared" ca="1" si="808"/>
        <v>0</v>
      </c>
      <c r="BA73" s="129">
        <f ca="1">SUM(AZ73:AZ$124)*SSd</f>
        <v>0</v>
      </c>
      <c r="BB73" s="70">
        <f t="shared" ca="1" si="68"/>
        <v>99999.012970709329</v>
      </c>
      <c r="BC73" s="257">
        <f t="shared" ref="BC73" ca="1" si="1497">IFERROR(VLOOKUP($S73,qx_table,MATCH(BC$11,qx_title,0)+sexB),0)</f>
        <v>0</v>
      </c>
      <c r="BD73" s="268">
        <f t="shared" ca="1" si="846"/>
        <v>0</v>
      </c>
      <c r="BE73" s="131">
        <f ca="1">SUM(BD73:BD$124)*SSe</f>
        <v>0</v>
      </c>
      <c r="BF73" s="70">
        <f t="shared" ca="1" si="71"/>
        <v>99999.012970709329</v>
      </c>
      <c r="BG73" s="2">
        <f t="shared" ref="BG73" ca="1" si="1498">IFERROR(VLOOKUP($S73,qx_table,MATCH(BG$11,qx_title,0)+sexB),0)</f>
        <v>0</v>
      </c>
      <c r="BH73" s="131">
        <f t="shared" ca="1" si="848"/>
        <v>0</v>
      </c>
      <c r="BI73" s="2">
        <f ca="1">SUM(BH73:BH$124)*SSf</f>
        <v>0</v>
      </c>
      <c r="BJ73" s="70">
        <f t="shared" ca="1" si="74"/>
        <v>99999.012970709329</v>
      </c>
      <c r="BK73" s="2">
        <f t="shared" ref="BK73" ca="1" si="1499">IFERROR(VLOOKUP($S73,qx_table,MATCH(BK$11,qx_title,0)+sexB),0)</f>
        <v>0</v>
      </c>
      <c r="BL73" s="131">
        <f t="shared" ca="1" si="850"/>
        <v>0</v>
      </c>
      <c r="BM73" s="131">
        <f ca="1">SUM(BL73:BL$124)*SSg</f>
        <v>0</v>
      </c>
      <c r="BN73" s="70">
        <f t="shared" ca="1" si="77"/>
        <v>99999.012970709329</v>
      </c>
      <c r="BO73" s="2">
        <f t="shared" ref="BO73" ca="1" si="1500">IFERROR(VLOOKUP($S73,qx_table,MATCH(BO$11,qx_title,0)+sexB),0)</f>
        <v>0</v>
      </c>
      <c r="BP73" s="131">
        <f t="shared" ca="1" si="852"/>
        <v>0</v>
      </c>
      <c r="BQ73" s="131">
        <f ca="1">SUM(BP73:BP$124)*SSh</f>
        <v>0</v>
      </c>
      <c r="BR73" s="70">
        <f t="shared" ca="1" si="80"/>
        <v>99999.012970709329</v>
      </c>
      <c r="BS73" s="2">
        <f t="shared" ref="BS73" ca="1" si="1501">IFERROR(VLOOKUP($S73,qx_table,MATCH(BS$11,qx_title,0)+sexB),0)*IF(R73=0,MCi,1)</f>
        <v>0</v>
      </c>
      <c r="BT73" s="131">
        <f t="shared" ca="1" si="854"/>
        <v>0</v>
      </c>
      <c r="BU73" s="131">
        <f ca="1">SUM(BT73:BT$124)*SSi</f>
        <v>0</v>
      </c>
      <c r="BV73" s="70">
        <f t="shared" ca="1" si="83"/>
        <v>99999.012970709329</v>
      </c>
      <c r="BW73" s="2">
        <f t="shared" ref="BW73" ca="1" si="1502">IFERROR(VLOOKUP($S73,qx_table,MATCH(BW$11,qx_title,0)+sexB),0)</f>
        <v>0</v>
      </c>
      <c r="BX73" s="131">
        <f t="shared" ca="1" si="856"/>
        <v>0</v>
      </c>
      <c r="BY73" s="131">
        <f ca="1">SUM(BX73:BX$124)*SSj</f>
        <v>0</v>
      </c>
      <c r="BZ73" s="70">
        <f t="shared" ca="1" si="86"/>
        <v>99999.012970709329</v>
      </c>
      <c r="CA73" s="2">
        <f t="shared" ref="CA73" ca="1" si="1503">IFERROR(VLOOKUP($S73,qx_table,MATCH(CA$11,qx_title,0)+sexB),0)</f>
        <v>0</v>
      </c>
      <c r="CB73" s="131">
        <f t="shared" ca="1" si="858"/>
        <v>0</v>
      </c>
      <c r="CC73" s="131">
        <f ca="1">SUM(CB73:CB$124)*SSk</f>
        <v>0</v>
      </c>
      <c r="CD73" s="8">
        <f t="shared" ca="1" si="89"/>
        <v>99999.012970709329</v>
      </c>
      <c r="CE73" s="2">
        <f t="shared" ref="CE73" ca="1" si="1504">IFERROR(VLOOKUP($S73,qx_table,MATCH(CE$11,qx_title,0)+sexB),0)</f>
        <v>0</v>
      </c>
      <c r="CF73" s="131">
        <f t="shared" ca="1" si="860"/>
        <v>0</v>
      </c>
      <c r="CG73" s="131">
        <f ca="1">SUM(CF73:CF$124)*SSl</f>
        <v>0</v>
      </c>
      <c r="CH73" s="101">
        <f t="shared" ca="1" si="92"/>
        <v>0</v>
      </c>
      <c r="CI73" s="154">
        <f t="shared" ca="1" si="817"/>
        <v>0</v>
      </c>
      <c r="CJ73" s="32">
        <f t="shared" ref="CJ73" ca="1" si="1505">+MAX(VLOOKUP(xB+$R73,기수표B,$AH$1)-VLOOKUP(xB+mB,기수표B,$AH$1),0)</f>
        <v>0</v>
      </c>
      <c r="CK73" s="32">
        <f t="shared" ref="CK73" ca="1" si="1506">+MAX(VLOOKUP(xB+$R73,기수표B,$AH$1)-VLOOKUP(xB+mB,기수표B,$AH$1)-11/24*(VLOOKUP(xB+$R73,기수표B,$AG$1)-VLOOKUP(xB+mB,기수표B,$AG$1)),0)</f>
        <v>0</v>
      </c>
      <c r="CL73" s="32">
        <f t="shared" ref="CL73" ca="1" si="1507">+MAX(VLOOKUP(xB+$R73,기수표B,$AA$1)-VLOOKUP(xB+mB,기수표B,$AA$1),0)</f>
        <v>0</v>
      </c>
      <c r="CM73" s="32">
        <f t="shared" ref="CM73" ca="1" si="1508">+MAX(VLOOKUP(xB+$R73,기수표B,$AA$1)-VLOOKUP(xB+mB,기수표B,$AA$1)-11/24*(VLOOKUP(xB+$R73,기수표B,$AA$1)-VLOOKUP(xB+mB,기수표B,$AA$1)),0)</f>
        <v>0</v>
      </c>
      <c r="CN73" s="32">
        <f t="shared" si="822"/>
        <v>0</v>
      </c>
      <c r="CO73" s="32">
        <f t="shared" ca="1" si="823"/>
        <v>0</v>
      </c>
      <c r="CP73" s="259">
        <f t="shared" ca="1" si="824"/>
        <v>0</v>
      </c>
      <c r="CQ73" s="259">
        <f t="shared" ca="1" si="825"/>
        <v>0</v>
      </c>
      <c r="CR73" s="259" t="e">
        <f t="shared" ca="1" si="826"/>
        <v>#DIV/0!</v>
      </c>
      <c r="CS73" s="31">
        <f t="shared" ref="CS73" si="1509">+MIN(mB,7)</f>
        <v>5</v>
      </c>
      <c r="CU73" s="13">
        <v>61</v>
      </c>
      <c r="CV73" s="477">
        <f t="shared" ca="1" si="828"/>
        <v>420</v>
      </c>
      <c r="CW73" s="477" t="e">
        <f t="shared" ca="1" si="829"/>
        <v>#DIV/0!</v>
      </c>
      <c r="CX73" s="477">
        <f t="shared" ca="1" si="830"/>
        <v>0</v>
      </c>
      <c r="CY73" s="478">
        <f t="shared" ca="1" si="98"/>
        <v>0</v>
      </c>
    </row>
    <row r="74" spans="14:103">
      <c r="N74" s="5">
        <f t="shared" si="99"/>
        <v>62</v>
      </c>
      <c r="O74" s="2">
        <f t="shared" ref="O74" ca="1" si="1510">+(1+iB)^-N74</f>
        <v>0.25169487113166683</v>
      </c>
      <c r="P74" s="2">
        <f t="shared" ref="P74" ca="1" si="1511">+(1+iB)^-(N74+0.5)</f>
        <v>0.24891020789260637</v>
      </c>
      <c r="Q74" s="91"/>
      <c r="R74" s="20">
        <f t="shared" si="102"/>
        <v>62</v>
      </c>
      <c r="S74" s="20" t="str">
        <f t="shared" ref="S74" si="1512">+IF(xB+R74&lt;=xB+nB,xB+R74,"")</f>
        <v/>
      </c>
      <c r="T74" s="2">
        <f t="shared" ref="T74:U74" ca="1" si="1513">IFERROR(VLOOKUP($S74,qx_table,MATCH(T$11,qx_title,0)+sexB),0)</f>
        <v>0</v>
      </c>
      <c r="U74" s="2">
        <f t="shared" ca="1" si="1513"/>
        <v>0</v>
      </c>
      <c r="V74" s="300">
        <f>IF(JRB=2,0,IF(R74&gt;=mB-1,_xlfn.XLOOKUP(R74-mB,해지율!#REF!,해지율!#REF!,,1),_xlfn.XLOOKUP(R74,해지율!#REF!,해지율!#REF!,,-1)))</f>
        <v>0</v>
      </c>
      <c r="W74" s="8">
        <f t="shared" ref="W74" si="1514">IF(R74=0,100000,IF(R74&gt;nB,0,W73*(1-X73)*(1-Y73)))</f>
        <v>0</v>
      </c>
      <c r="X74" s="10">
        <f t="shared" ca="1" si="19"/>
        <v>0</v>
      </c>
      <c r="Y74" s="10">
        <f t="shared" ca="1" si="20"/>
        <v>0</v>
      </c>
      <c r="Z74" s="8">
        <f t="shared" ca="1" si="106"/>
        <v>0</v>
      </c>
      <c r="AA74" s="8">
        <f ca="1">+SUM(Z74:Z$124)</f>
        <v>0</v>
      </c>
      <c r="AB74" s="8">
        <f t="shared" ca="1" si="21"/>
        <v>0</v>
      </c>
      <c r="AC74" s="209">
        <f ca="1">+SUM(AB74:AB$124)*SSSM</f>
        <v>0</v>
      </c>
      <c r="AD74" s="209">
        <f t="shared" ref="AD74" si="1515">IF(R74&gt;nB,0,AD73*(1-X73)*(1-Y73)*(1-AE73)*(1-AF73))</f>
        <v>0</v>
      </c>
      <c r="AE74" s="92">
        <f t="shared" ca="1" si="56"/>
        <v>0</v>
      </c>
      <c r="AF74" s="92">
        <f t="shared" ca="1" si="22"/>
        <v>0</v>
      </c>
      <c r="AG74" s="664">
        <f t="shared" ca="1" si="23"/>
        <v>0</v>
      </c>
      <c r="AH74" s="5">
        <f ca="1">+SUM(AG74:AG$124)</f>
        <v>0</v>
      </c>
      <c r="AI74" s="70">
        <f t="shared" ca="1" si="24"/>
        <v>0</v>
      </c>
      <c r="AJ74" s="208">
        <f ca="1">+SUM(AB74:AB$124)*SS50J</f>
        <v>0</v>
      </c>
      <c r="AK74" s="5">
        <f t="shared" ca="1" si="108"/>
        <v>99999.012970709329</v>
      </c>
      <c r="AL74" s="2">
        <f t="shared" ref="AL74" ca="1" si="1516">IFERROR(VLOOKUP($S74,qx_table,MATCH(AL$11,qx_title,0)+sexB),0)</f>
        <v>0</v>
      </c>
      <c r="AM74" s="131">
        <f t="shared" ca="1" si="110"/>
        <v>25169.238682956566</v>
      </c>
      <c r="AN74" s="129">
        <f t="shared" ca="1" si="839"/>
        <v>0</v>
      </c>
      <c r="AO74" s="129">
        <f ca="1">SUM(AN74:AN$124)*SSa</f>
        <v>0</v>
      </c>
      <c r="AP74" s="70">
        <f t="shared" ca="1" si="59"/>
        <v>99999.012970709329</v>
      </c>
      <c r="AQ74" s="2">
        <f t="shared" ref="AQ74" ca="1" si="1517">IFERROR(VLOOKUP($S74,qx_table,MATCH(AQ$11,qx_title,0)+sexB),0)</f>
        <v>0</v>
      </c>
      <c r="AR74" s="127">
        <f t="shared" ca="1" si="841"/>
        <v>0</v>
      </c>
      <c r="AS74" s="127">
        <f ca="1">SUM(AR74:AR$124)*SSb</f>
        <v>0</v>
      </c>
      <c r="AT74" s="70">
        <f t="shared" ca="1" si="62"/>
        <v>99999.012970709329</v>
      </c>
      <c r="AU74" s="2">
        <f t="shared" ref="AU74" ca="1" si="1518">IFERROR(VLOOKUP($S74,qx_table,MATCH(AU$11,qx_title,0)+sexB),0)</f>
        <v>0</v>
      </c>
      <c r="AV74" s="268">
        <f t="shared" ca="1" si="843"/>
        <v>0</v>
      </c>
      <c r="AW74" s="131">
        <f ca="1">SUM(AV74:AV$124)*SSc</f>
        <v>0</v>
      </c>
      <c r="AX74" s="70">
        <f t="shared" ca="1" si="65"/>
        <v>99999.012970709329</v>
      </c>
      <c r="AY74" s="2">
        <f t="shared" ref="AY74" ca="1" si="1519">IFERROR(VLOOKUP($S74,qx_table,MATCH(AY$11,qx_title,0)+sexB),0)</f>
        <v>0</v>
      </c>
      <c r="AZ74" s="268">
        <f t="shared" ca="1" si="808"/>
        <v>0</v>
      </c>
      <c r="BA74" s="129">
        <f ca="1">SUM(AZ74:AZ$124)*SSd</f>
        <v>0</v>
      </c>
      <c r="BB74" s="70">
        <f t="shared" ca="1" si="68"/>
        <v>99999.012970709329</v>
      </c>
      <c r="BC74" s="257">
        <f t="shared" ref="BC74" ca="1" si="1520">IFERROR(VLOOKUP($S74,qx_table,MATCH(BC$11,qx_title,0)+sexB),0)</f>
        <v>0</v>
      </c>
      <c r="BD74" s="268">
        <f t="shared" ca="1" si="846"/>
        <v>0</v>
      </c>
      <c r="BE74" s="131">
        <f ca="1">SUM(BD74:BD$124)*SSe</f>
        <v>0</v>
      </c>
      <c r="BF74" s="70">
        <f t="shared" ca="1" si="71"/>
        <v>99999.012970709329</v>
      </c>
      <c r="BG74" s="2">
        <f t="shared" ref="BG74" ca="1" si="1521">IFERROR(VLOOKUP($S74,qx_table,MATCH(BG$11,qx_title,0)+sexB),0)</f>
        <v>0</v>
      </c>
      <c r="BH74" s="131">
        <f t="shared" ca="1" si="848"/>
        <v>0</v>
      </c>
      <c r="BI74" s="2">
        <f ca="1">SUM(BH74:BH$124)*SSf</f>
        <v>0</v>
      </c>
      <c r="BJ74" s="70">
        <f t="shared" ca="1" si="74"/>
        <v>99999.012970709329</v>
      </c>
      <c r="BK74" s="2">
        <f t="shared" ref="BK74" ca="1" si="1522">IFERROR(VLOOKUP($S74,qx_table,MATCH(BK$11,qx_title,0)+sexB),0)</f>
        <v>0</v>
      </c>
      <c r="BL74" s="131">
        <f t="shared" ca="1" si="850"/>
        <v>0</v>
      </c>
      <c r="BM74" s="131">
        <f ca="1">SUM(BL74:BL$124)*SSg</f>
        <v>0</v>
      </c>
      <c r="BN74" s="70">
        <f t="shared" ca="1" si="77"/>
        <v>99999.012970709329</v>
      </c>
      <c r="BO74" s="2">
        <f t="shared" ref="BO74" ca="1" si="1523">IFERROR(VLOOKUP($S74,qx_table,MATCH(BO$11,qx_title,0)+sexB),0)</f>
        <v>0</v>
      </c>
      <c r="BP74" s="131">
        <f t="shared" ca="1" si="852"/>
        <v>0</v>
      </c>
      <c r="BQ74" s="131">
        <f ca="1">SUM(BP74:BP$124)*SSh</f>
        <v>0</v>
      </c>
      <c r="BR74" s="70">
        <f t="shared" ca="1" si="80"/>
        <v>99999.012970709329</v>
      </c>
      <c r="BS74" s="2">
        <f t="shared" ref="BS74" ca="1" si="1524">IFERROR(VLOOKUP($S74,qx_table,MATCH(BS$11,qx_title,0)+sexB),0)*IF(R74=0,MCi,1)</f>
        <v>0</v>
      </c>
      <c r="BT74" s="131">
        <f t="shared" ca="1" si="854"/>
        <v>0</v>
      </c>
      <c r="BU74" s="131">
        <f ca="1">SUM(BT74:BT$124)*SSi</f>
        <v>0</v>
      </c>
      <c r="BV74" s="70">
        <f t="shared" ca="1" si="83"/>
        <v>99999.012970709329</v>
      </c>
      <c r="BW74" s="2">
        <f t="shared" ref="BW74" ca="1" si="1525">IFERROR(VLOOKUP($S74,qx_table,MATCH(BW$11,qx_title,0)+sexB),0)</f>
        <v>0</v>
      </c>
      <c r="BX74" s="131">
        <f t="shared" ca="1" si="856"/>
        <v>0</v>
      </c>
      <c r="BY74" s="131">
        <f ca="1">SUM(BX74:BX$124)*SSj</f>
        <v>0</v>
      </c>
      <c r="BZ74" s="70">
        <f t="shared" ca="1" si="86"/>
        <v>99999.012970709329</v>
      </c>
      <c r="CA74" s="2">
        <f t="shared" ref="CA74" ca="1" si="1526">IFERROR(VLOOKUP($S74,qx_table,MATCH(CA$11,qx_title,0)+sexB),0)</f>
        <v>0</v>
      </c>
      <c r="CB74" s="131">
        <f t="shared" ca="1" si="858"/>
        <v>0</v>
      </c>
      <c r="CC74" s="131">
        <f ca="1">SUM(CB74:CB$124)*SSk</f>
        <v>0</v>
      </c>
      <c r="CD74" s="8">
        <f t="shared" ca="1" si="89"/>
        <v>99999.012970709329</v>
      </c>
      <c r="CE74" s="2">
        <f t="shared" ref="CE74" ca="1" si="1527">IFERROR(VLOOKUP($S74,qx_table,MATCH(CE$11,qx_title,0)+sexB),0)</f>
        <v>0</v>
      </c>
      <c r="CF74" s="131">
        <f t="shared" ca="1" si="860"/>
        <v>0</v>
      </c>
      <c r="CG74" s="131">
        <f ca="1">SUM(CF74:CF$124)*SSl</f>
        <v>0</v>
      </c>
      <c r="CH74" s="101">
        <f t="shared" ca="1" si="92"/>
        <v>0</v>
      </c>
      <c r="CI74" s="154">
        <f t="shared" ca="1" si="817"/>
        <v>0</v>
      </c>
      <c r="CJ74" s="32">
        <f t="shared" ref="CJ74" ca="1" si="1528">+MAX(VLOOKUP(xB+$R74,기수표B,$AH$1)-VLOOKUP(xB+mB,기수표B,$AH$1),0)</f>
        <v>0</v>
      </c>
      <c r="CK74" s="32">
        <f t="shared" ref="CK74" ca="1" si="1529">+MAX(VLOOKUP(xB+$R74,기수표B,$AH$1)-VLOOKUP(xB+mB,기수표B,$AH$1)-11/24*(VLOOKUP(xB+$R74,기수표B,$AG$1)-VLOOKUP(xB+mB,기수표B,$AG$1)),0)</f>
        <v>0</v>
      </c>
      <c r="CL74" s="32">
        <f t="shared" ref="CL74" ca="1" si="1530">+MAX(VLOOKUP(xB+$R74,기수표B,$AA$1)-VLOOKUP(xB+mB,기수표B,$AA$1),0)</f>
        <v>0</v>
      </c>
      <c r="CM74" s="32">
        <f t="shared" ref="CM74" ca="1" si="1531">+MAX(VLOOKUP(xB+$R74,기수표B,$AA$1)-VLOOKUP(xB+mB,기수표B,$AA$1)-11/24*(VLOOKUP(xB+$R74,기수표B,$AA$1)-VLOOKUP(xB+mB,기수표B,$AA$1)),0)</f>
        <v>0</v>
      </c>
      <c r="CN74" s="32">
        <f t="shared" si="822"/>
        <v>0</v>
      </c>
      <c r="CO74" s="32">
        <f t="shared" ca="1" si="823"/>
        <v>0</v>
      </c>
      <c r="CP74" s="259">
        <f t="shared" ca="1" si="824"/>
        <v>0</v>
      </c>
      <c r="CQ74" s="259">
        <f t="shared" ca="1" si="825"/>
        <v>0</v>
      </c>
      <c r="CR74" s="259" t="e">
        <f t="shared" ca="1" si="826"/>
        <v>#DIV/0!</v>
      </c>
      <c r="CS74" s="31">
        <f t="shared" ref="CS74" si="1532">+MIN(mB,7)</f>
        <v>5</v>
      </c>
      <c r="CU74" s="13">
        <v>62</v>
      </c>
      <c r="CV74" s="477">
        <f t="shared" ca="1" si="828"/>
        <v>420</v>
      </c>
      <c r="CW74" s="477" t="e">
        <f t="shared" ca="1" si="829"/>
        <v>#DIV/0!</v>
      </c>
      <c r="CX74" s="477">
        <f t="shared" ca="1" si="830"/>
        <v>0</v>
      </c>
      <c r="CY74" s="478">
        <f t="shared" ca="1" si="98"/>
        <v>0</v>
      </c>
    </row>
    <row r="75" spans="14:103">
      <c r="N75" s="5">
        <f t="shared" si="99"/>
        <v>63</v>
      </c>
      <c r="O75" s="2">
        <f t="shared" ref="O75" ca="1" si="1533">+(1+iB)^-N75</f>
        <v>0.24615635318500426</v>
      </c>
      <c r="P75" s="2">
        <f t="shared" ref="P75" ca="1" si="1534">+(1+iB)^-(N75+0.5)</f>
        <v>0.24343296615413826</v>
      </c>
      <c r="Q75" s="91"/>
      <c r="R75" s="20">
        <f t="shared" si="102"/>
        <v>63</v>
      </c>
      <c r="S75" s="20" t="str">
        <f t="shared" ref="S75" si="1535">+IF(xB+R75&lt;=xB+nB,xB+R75,"")</f>
        <v/>
      </c>
      <c r="T75" s="2">
        <f t="shared" ref="T75:U75" ca="1" si="1536">IFERROR(VLOOKUP($S75,qx_table,MATCH(T$11,qx_title,0)+sexB),0)</f>
        <v>0</v>
      </c>
      <c r="U75" s="2">
        <f t="shared" ca="1" si="1536"/>
        <v>0</v>
      </c>
      <c r="V75" s="300">
        <f>IF(JRB=2,0,IF(R75&gt;=mB-1,_xlfn.XLOOKUP(R75-mB,해지율!#REF!,해지율!#REF!,,1),_xlfn.XLOOKUP(R75,해지율!#REF!,해지율!#REF!,,-1)))</f>
        <v>0</v>
      </c>
      <c r="W75" s="8">
        <f t="shared" ref="W75" si="1537">IF(R75=0,100000,IF(R75&gt;nB,0,W74*(1-X74)*(1-Y74)))</f>
        <v>0</v>
      </c>
      <c r="X75" s="10">
        <f t="shared" ca="1" si="19"/>
        <v>0</v>
      </c>
      <c r="Y75" s="10">
        <f t="shared" ca="1" si="20"/>
        <v>0</v>
      </c>
      <c r="Z75" s="8">
        <f t="shared" ca="1" si="106"/>
        <v>0</v>
      </c>
      <c r="AA75" s="8">
        <f ca="1">+SUM(Z75:Z$124)</f>
        <v>0</v>
      </c>
      <c r="AB75" s="8">
        <f t="shared" ca="1" si="21"/>
        <v>0</v>
      </c>
      <c r="AC75" s="209">
        <f ca="1">+SUM(AB75:AB$124)*SSSM</f>
        <v>0</v>
      </c>
      <c r="AD75" s="209">
        <f t="shared" ref="AD75" si="1538">IF(R75&gt;nB,0,AD74*(1-X74)*(1-Y74)*(1-AE74)*(1-AF74))</f>
        <v>0</v>
      </c>
      <c r="AE75" s="92">
        <f t="shared" ca="1" si="56"/>
        <v>0</v>
      </c>
      <c r="AF75" s="92">
        <f t="shared" ca="1" si="22"/>
        <v>0</v>
      </c>
      <c r="AG75" s="664">
        <f t="shared" ca="1" si="23"/>
        <v>0</v>
      </c>
      <c r="AH75" s="5">
        <f ca="1">+SUM(AG75:AG$124)</f>
        <v>0</v>
      </c>
      <c r="AI75" s="70">
        <f t="shared" ca="1" si="24"/>
        <v>0</v>
      </c>
      <c r="AJ75" s="208">
        <f ca="1">+SUM(AB75:AB$124)*SS50J</f>
        <v>0</v>
      </c>
      <c r="AK75" s="5">
        <f t="shared" ca="1" si="108"/>
        <v>99999.012970709329</v>
      </c>
      <c r="AL75" s="2">
        <f t="shared" ref="AL75" ca="1" si="1539">IFERROR(VLOOKUP($S75,qx_table,MATCH(AL$11,qx_title,0)+sexB),0)</f>
        <v>0</v>
      </c>
      <c r="AM75" s="131">
        <f t="shared" ca="1" si="110"/>
        <v>24615.392354969747</v>
      </c>
      <c r="AN75" s="129">
        <f t="shared" ca="1" si="839"/>
        <v>0</v>
      </c>
      <c r="AO75" s="129">
        <f ca="1">SUM(AN75:AN$124)*SSa</f>
        <v>0</v>
      </c>
      <c r="AP75" s="70">
        <f t="shared" ca="1" si="59"/>
        <v>99999.012970709329</v>
      </c>
      <c r="AQ75" s="2">
        <f t="shared" ref="AQ75" ca="1" si="1540">IFERROR(VLOOKUP($S75,qx_table,MATCH(AQ$11,qx_title,0)+sexB),0)</f>
        <v>0</v>
      </c>
      <c r="AR75" s="127">
        <f t="shared" ca="1" si="841"/>
        <v>0</v>
      </c>
      <c r="AS75" s="127">
        <f ca="1">SUM(AR75:AR$124)*SSb</f>
        <v>0</v>
      </c>
      <c r="AT75" s="70">
        <f t="shared" ca="1" si="62"/>
        <v>99999.012970709329</v>
      </c>
      <c r="AU75" s="2">
        <f t="shared" ref="AU75" ca="1" si="1541">IFERROR(VLOOKUP($S75,qx_table,MATCH(AU$11,qx_title,0)+sexB),0)</f>
        <v>0</v>
      </c>
      <c r="AV75" s="268">
        <f t="shared" ca="1" si="843"/>
        <v>0</v>
      </c>
      <c r="AW75" s="131">
        <f ca="1">SUM(AV75:AV$124)*SSc</f>
        <v>0</v>
      </c>
      <c r="AX75" s="70">
        <f t="shared" ca="1" si="65"/>
        <v>99999.012970709329</v>
      </c>
      <c r="AY75" s="2">
        <f t="shared" ref="AY75" ca="1" si="1542">IFERROR(VLOOKUP($S75,qx_table,MATCH(AY$11,qx_title,0)+sexB),0)</f>
        <v>0</v>
      </c>
      <c r="AZ75" s="268">
        <f t="shared" ca="1" si="808"/>
        <v>0</v>
      </c>
      <c r="BA75" s="129">
        <f ca="1">SUM(AZ75:AZ$124)*SSd</f>
        <v>0</v>
      </c>
      <c r="BB75" s="70">
        <f t="shared" ca="1" si="68"/>
        <v>99999.012970709329</v>
      </c>
      <c r="BC75" s="257">
        <f t="shared" ref="BC75" ca="1" si="1543">IFERROR(VLOOKUP($S75,qx_table,MATCH(BC$11,qx_title,0)+sexB),0)</f>
        <v>0</v>
      </c>
      <c r="BD75" s="268">
        <f t="shared" ca="1" si="846"/>
        <v>0</v>
      </c>
      <c r="BE75" s="131">
        <f ca="1">SUM(BD75:BD$124)*SSe</f>
        <v>0</v>
      </c>
      <c r="BF75" s="70">
        <f t="shared" ca="1" si="71"/>
        <v>99999.012970709329</v>
      </c>
      <c r="BG75" s="2">
        <f t="shared" ref="BG75" ca="1" si="1544">IFERROR(VLOOKUP($S75,qx_table,MATCH(BG$11,qx_title,0)+sexB),0)</f>
        <v>0</v>
      </c>
      <c r="BH75" s="131">
        <f t="shared" ca="1" si="848"/>
        <v>0</v>
      </c>
      <c r="BI75" s="2">
        <f ca="1">SUM(BH75:BH$124)*SSf</f>
        <v>0</v>
      </c>
      <c r="BJ75" s="70">
        <f t="shared" ca="1" si="74"/>
        <v>99999.012970709329</v>
      </c>
      <c r="BK75" s="2">
        <f t="shared" ref="BK75" ca="1" si="1545">IFERROR(VLOOKUP($S75,qx_table,MATCH(BK$11,qx_title,0)+sexB),0)</f>
        <v>0</v>
      </c>
      <c r="BL75" s="131">
        <f t="shared" ca="1" si="850"/>
        <v>0</v>
      </c>
      <c r="BM75" s="131">
        <f ca="1">SUM(BL75:BL$124)*SSg</f>
        <v>0</v>
      </c>
      <c r="BN75" s="70">
        <f t="shared" ca="1" si="77"/>
        <v>99999.012970709329</v>
      </c>
      <c r="BO75" s="2">
        <f t="shared" ref="BO75" ca="1" si="1546">IFERROR(VLOOKUP($S75,qx_table,MATCH(BO$11,qx_title,0)+sexB),0)</f>
        <v>0</v>
      </c>
      <c r="BP75" s="131">
        <f t="shared" ca="1" si="852"/>
        <v>0</v>
      </c>
      <c r="BQ75" s="131">
        <f ca="1">SUM(BP75:BP$124)*SSh</f>
        <v>0</v>
      </c>
      <c r="BR75" s="70">
        <f t="shared" ca="1" si="80"/>
        <v>99999.012970709329</v>
      </c>
      <c r="BS75" s="2">
        <f t="shared" ref="BS75" ca="1" si="1547">IFERROR(VLOOKUP($S75,qx_table,MATCH(BS$11,qx_title,0)+sexB),0)*IF(R75=0,MCi,1)</f>
        <v>0</v>
      </c>
      <c r="BT75" s="131">
        <f t="shared" ca="1" si="854"/>
        <v>0</v>
      </c>
      <c r="BU75" s="131">
        <f ca="1">SUM(BT75:BT$124)*SSi</f>
        <v>0</v>
      </c>
      <c r="BV75" s="70">
        <f t="shared" ca="1" si="83"/>
        <v>99999.012970709329</v>
      </c>
      <c r="BW75" s="2">
        <f t="shared" ref="BW75" ca="1" si="1548">IFERROR(VLOOKUP($S75,qx_table,MATCH(BW$11,qx_title,0)+sexB),0)</f>
        <v>0</v>
      </c>
      <c r="BX75" s="131">
        <f t="shared" ca="1" si="856"/>
        <v>0</v>
      </c>
      <c r="BY75" s="131">
        <f ca="1">SUM(BX75:BX$124)*SSj</f>
        <v>0</v>
      </c>
      <c r="BZ75" s="70">
        <f t="shared" ca="1" si="86"/>
        <v>99999.012970709329</v>
      </c>
      <c r="CA75" s="2">
        <f t="shared" ref="CA75" ca="1" si="1549">IFERROR(VLOOKUP($S75,qx_table,MATCH(CA$11,qx_title,0)+sexB),0)</f>
        <v>0</v>
      </c>
      <c r="CB75" s="131">
        <f t="shared" ca="1" si="858"/>
        <v>0</v>
      </c>
      <c r="CC75" s="131">
        <f ca="1">SUM(CB75:CB$124)*SSk</f>
        <v>0</v>
      </c>
      <c r="CD75" s="8">
        <f t="shared" ca="1" si="89"/>
        <v>99999.012970709329</v>
      </c>
      <c r="CE75" s="2">
        <f t="shared" ref="CE75" ca="1" si="1550">IFERROR(VLOOKUP($S75,qx_table,MATCH(CE$11,qx_title,0)+sexB),0)</f>
        <v>0</v>
      </c>
      <c r="CF75" s="131">
        <f t="shared" ca="1" si="860"/>
        <v>0</v>
      </c>
      <c r="CG75" s="131">
        <f ca="1">SUM(CF75:CF$124)*SSl</f>
        <v>0</v>
      </c>
      <c r="CH75" s="101">
        <f t="shared" ca="1" si="92"/>
        <v>0</v>
      </c>
      <c r="CI75" s="154">
        <f t="shared" ca="1" si="817"/>
        <v>0</v>
      </c>
      <c r="CJ75" s="32">
        <f t="shared" ref="CJ75" ca="1" si="1551">+MAX(VLOOKUP(xB+$R75,기수표B,$AH$1)-VLOOKUP(xB+mB,기수표B,$AH$1),0)</f>
        <v>0</v>
      </c>
      <c r="CK75" s="32">
        <f t="shared" ref="CK75" ca="1" si="1552">+MAX(VLOOKUP(xB+$R75,기수표B,$AH$1)-VLOOKUP(xB+mB,기수표B,$AH$1)-11/24*(VLOOKUP(xB+$R75,기수표B,$AG$1)-VLOOKUP(xB+mB,기수표B,$AG$1)),0)</f>
        <v>0</v>
      </c>
      <c r="CL75" s="32">
        <f t="shared" ref="CL75" ca="1" si="1553">+MAX(VLOOKUP(xB+$R75,기수표B,$AA$1)-VLOOKUP(xB+mB,기수표B,$AA$1),0)</f>
        <v>0</v>
      </c>
      <c r="CM75" s="32">
        <f t="shared" ref="CM75" ca="1" si="1554">+MAX(VLOOKUP(xB+$R75,기수표B,$AA$1)-VLOOKUP(xB+mB,기수표B,$AA$1)-11/24*(VLOOKUP(xB+$R75,기수표B,$AA$1)-VLOOKUP(xB+mB,기수표B,$AA$1)),0)</f>
        <v>0</v>
      </c>
      <c r="CN75" s="32">
        <f t="shared" si="822"/>
        <v>0</v>
      </c>
      <c r="CO75" s="32">
        <f t="shared" ca="1" si="823"/>
        <v>0</v>
      </c>
      <c r="CP75" s="259">
        <f t="shared" ca="1" si="824"/>
        <v>0</v>
      </c>
      <c r="CQ75" s="259">
        <f t="shared" ca="1" si="825"/>
        <v>0</v>
      </c>
      <c r="CR75" s="259" t="e">
        <f t="shared" ca="1" si="826"/>
        <v>#DIV/0!</v>
      </c>
      <c r="CS75" s="31">
        <f t="shared" ref="CS75" si="1555">+MIN(mB,7)</f>
        <v>5</v>
      </c>
      <c r="CU75" s="13">
        <v>63</v>
      </c>
      <c r="CV75" s="477">
        <f t="shared" ca="1" si="828"/>
        <v>420</v>
      </c>
      <c r="CW75" s="477" t="e">
        <f t="shared" ca="1" si="829"/>
        <v>#DIV/0!</v>
      </c>
      <c r="CX75" s="477">
        <f t="shared" ca="1" si="830"/>
        <v>0</v>
      </c>
      <c r="CY75" s="478">
        <f t="shared" ca="1" si="98"/>
        <v>0</v>
      </c>
    </row>
    <row r="76" spans="14:103">
      <c r="N76" s="5">
        <f t="shared" si="99"/>
        <v>64</v>
      </c>
      <c r="O76" s="2">
        <f t="shared" ref="O76" ca="1" si="1556">+(1+iB)^-N76</f>
        <v>0.24073970971638561</v>
      </c>
      <c r="P76" s="2">
        <f t="shared" ref="P76" ca="1" si="1557">+(1+iB)^-(N76+0.5)</f>
        <v>0.23807625051749462</v>
      </c>
      <c r="Q76" s="91"/>
      <c r="R76" s="20">
        <f t="shared" si="102"/>
        <v>64</v>
      </c>
      <c r="S76" s="20" t="str">
        <f t="shared" ref="S76" si="1558">+IF(xB+R76&lt;=xB+nB,xB+R76,"")</f>
        <v/>
      </c>
      <c r="T76" s="2">
        <f t="shared" ref="T76:U76" ca="1" si="1559">IFERROR(VLOOKUP($S76,qx_table,MATCH(T$11,qx_title,0)+sexB),0)</f>
        <v>0</v>
      </c>
      <c r="U76" s="2">
        <f t="shared" ca="1" si="1559"/>
        <v>0</v>
      </c>
      <c r="V76" s="300">
        <f>IF(JRB=2,0,IF(R76&gt;=mB-1,_xlfn.XLOOKUP(R76-mB,해지율!#REF!,해지율!#REF!,,1),_xlfn.XLOOKUP(R76,해지율!#REF!,해지율!#REF!,,-1)))</f>
        <v>0</v>
      </c>
      <c r="W76" s="8">
        <f t="shared" ref="W76" si="1560">IF(R76=0,100000,IF(R76&gt;nB,0,W75*(1-X75)*(1-Y75)))</f>
        <v>0</v>
      </c>
      <c r="X76" s="10">
        <f t="shared" ref="X76:X124" ca="1" si="1561">1-IFERROR((1-YTSM*$T76)*(1-V76*(1-T76/2)/(1-T76)),0)</f>
        <v>0</v>
      </c>
      <c r="Y76" s="10">
        <f t="shared" ref="Y76:Y124" ca="1" si="1562">IFERROR(1-(1-YT50J*U76*(1-T76/2)/(1-T76))*(1-YTa*AL76*(1-T76/2)/(1-T76))*(1-YTb*AQ76*(1-T76/2)/(1-T76))*(1-YTc*AU76*(1-T76/2)/(1-T76)),0)</f>
        <v>0</v>
      </c>
      <c r="Z76" s="8">
        <f t="shared" ca="1" si="106"/>
        <v>0</v>
      </c>
      <c r="AA76" s="8">
        <f ca="1">+SUM(Z76:Z$124)</f>
        <v>0</v>
      </c>
      <c r="AB76" s="8">
        <f t="shared" ref="AB76:AB124" ca="1" si="1563">W76*X76*P76</f>
        <v>0</v>
      </c>
      <c r="AC76" s="209">
        <f ca="1">+SUM(AB76:AB$124)*SSSM</f>
        <v>0</v>
      </c>
      <c r="AD76" s="209">
        <f t="shared" ref="AD76" si="1564">IF(R76&gt;nB,0,AD75*(1-X75)*(1-Y75)*(1-AE75)*(1-AF75))</f>
        <v>0</v>
      </c>
      <c r="AE76" s="92">
        <f t="shared" ref="AE76:AE124" ca="1" si="1565">1-IFERROR((1-NT50J*U76*(1-T76/2)/(1-T76)),0)</f>
        <v>0</v>
      </c>
      <c r="AF76" s="92">
        <f t="shared" ref="AF76:AF124" ca="1" si="1566">IFERROR(1-(1-NTa*AL76*(1-T76/2)/(1-T76))*(1-NTb*AQ76*(1-T76/2)/(1-T76))*(1-NTc*AU76*(1-T76/2)/(1-T76)),0)</f>
        <v>0</v>
      </c>
      <c r="AG76" s="664">
        <f t="shared" ref="AG76:AG124" ca="1" si="1567">+AD76*$O76</f>
        <v>0</v>
      </c>
      <c r="AH76" s="5">
        <f ca="1">+SUM(AG76:AG$124)</f>
        <v>0</v>
      </c>
      <c r="AI76" s="70">
        <f t="shared" ref="AI76:AI124" ca="1" si="1568">AD76*AE76*P76</f>
        <v>0</v>
      </c>
      <c r="AJ76" s="208">
        <f ca="1">+SUM(AB76:AB$124)*SS50J</f>
        <v>0</v>
      </c>
      <c r="AK76" s="5">
        <f t="shared" ca="1" si="108"/>
        <v>99999.012970709329</v>
      </c>
      <c r="AL76" s="2">
        <f t="shared" ref="AL76" ca="1" si="1569">IFERROR(VLOOKUP($S76,qx_table,MATCH(AL$11,qx_title,0)+sexB),0)</f>
        <v>0</v>
      </c>
      <c r="AM76" s="131">
        <f t="shared" ca="1" si="110"/>
        <v>24073.733354493645</v>
      </c>
      <c r="AN76" s="129">
        <f t="shared" ca="1" si="839"/>
        <v>0</v>
      </c>
      <c r="AO76" s="129">
        <f ca="1">SUM(AN76:AN$124)*SSa</f>
        <v>0</v>
      </c>
      <c r="AP76" s="70">
        <f t="shared" ca="1" si="59"/>
        <v>99999.012970709329</v>
      </c>
      <c r="AQ76" s="2">
        <f t="shared" ref="AQ76" ca="1" si="1570">IFERROR(VLOOKUP($S76,qx_table,MATCH(AQ$11,qx_title,0)+sexB),0)</f>
        <v>0</v>
      </c>
      <c r="AR76" s="127">
        <f t="shared" ca="1" si="841"/>
        <v>0</v>
      </c>
      <c r="AS76" s="127">
        <f ca="1">SUM(AR76:AR$124)*SSb</f>
        <v>0</v>
      </c>
      <c r="AT76" s="70">
        <f t="shared" ca="1" si="62"/>
        <v>99999.012970709329</v>
      </c>
      <c r="AU76" s="2">
        <f t="shared" ref="AU76" ca="1" si="1571">IFERROR(VLOOKUP($S76,qx_table,MATCH(AU$11,qx_title,0)+sexB),0)</f>
        <v>0</v>
      </c>
      <c r="AV76" s="268">
        <f t="shared" ca="1" si="843"/>
        <v>0</v>
      </c>
      <c r="AW76" s="131">
        <f ca="1">SUM(AV76:AV$124)*SSc</f>
        <v>0</v>
      </c>
      <c r="AX76" s="70">
        <f t="shared" ca="1" si="65"/>
        <v>99999.012970709329</v>
      </c>
      <c r="AY76" s="2">
        <f t="shared" ref="AY76" ca="1" si="1572">IFERROR(VLOOKUP($S76,qx_table,MATCH(AY$11,qx_title,0)+sexB),0)</f>
        <v>0</v>
      </c>
      <c r="AZ76" s="268">
        <f t="shared" ref="AZ76:AZ107" ca="1" si="1573">AX76*AY76*(1-CHOOSE(JRB,1,0)*$V76/2)*$P76</f>
        <v>0</v>
      </c>
      <c r="BA76" s="129">
        <f ca="1">SUM(AZ76:AZ$124)*SSd</f>
        <v>0</v>
      </c>
      <c r="BB76" s="70">
        <f t="shared" ca="1" si="68"/>
        <v>99999.012970709329</v>
      </c>
      <c r="BC76" s="257">
        <f t="shared" ref="BC76" ca="1" si="1574">IFERROR(VLOOKUP($S76,qx_table,MATCH(BC$11,qx_title,0)+sexB),0)</f>
        <v>0</v>
      </c>
      <c r="BD76" s="268">
        <f t="shared" ca="1" si="846"/>
        <v>0</v>
      </c>
      <c r="BE76" s="131">
        <f ca="1">SUM(BD76:BD$124)*SSe</f>
        <v>0</v>
      </c>
      <c r="BF76" s="70">
        <f t="shared" ca="1" si="71"/>
        <v>99999.012970709329</v>
      </c>
      <c r="BG76" s="2">
        <f t="shared" ref="BG76" ca="1" si="1575">IFERROR(VLOOKUP($S76,qx_table,MATCH(BG$11,qx_title,0)+sexB),0)</f>
        <v>0</v>
      </c>
      <c r="BH76" s="131">
        <f t="shared" ca="1" si="848"/>
        <v>0</v>
      </c>
      <c r="BI76" s="2">
        <f ca="1">SUM(BH76:BH$124)*SSf</f>
        <v>0</v>
      </c>
      <c r="BJ76" s="70">
        <f t="shared" ca="1" si="74"/>
        <v>99999.012970709329</v>
      </c>
      <c r="BK76" s="2">
        <f t="shared" ref="BK76" ca="1" si="1576">IFERROR(VLOOKUP($S76,qx_table,MATCH(BK$11,qx_title,0)+sexB),0)</f>
        <v>0</v>
      </c>
      <c r="BL76" s="131">
        <f t="shared" ca="1" si="850"/>
        <v>0</v>
      </c>
      <c r="BM76" s="131">
        <f ca="1">SUM(BL76:BL$124)*SSg</f>
        <v>0</v>
      </c>
      <c r="BN76" s="70">
        <f t="shared" ca="1" si="77"/>
        <v>99999.012970709329</v>
      </c>
      <c r="BO76" s="2">
        <f t="shared" ref="BO76" ca="1" si="1577">IFERROR(VLOOKUP($S76,qx_table,MATCH(BO$11,qx_title,0)+sexB),0)</f>
        <v>0</v>
      </c>
      <c r="BP76" s="131">
        <f t="shared" ca="1" si="852"/>
        <v>0</v>
      </c>
      <c r="BQ76" s="131">
        <f ca="1">SUM(BP76:BP$124)*SSh</f>
        <v>0</v>
      </c>
      <c r="BR76" s="70">
        <f t="shared" ca="1" si="80"/>
        <v>99999.012970709329</v>
      </c>
      <c r="BS76" s="2">
        <f t="shared" ref="BS76" ca="1" si="1578">IFERROR(VLOOKUP($S76,qx_table,MATCH(BS$11,qx_title,0)+sexB),0)*IF(R76=0,MCi,1)</f>
        <v>0</v>
      </c>
      <c r="BT76" s="131">
        <f t="shared" ca="1" si="854"/>
        <v>0</v>
      </c>
      <c r="BU76" s="131">
        <f ca="1">SUM(BT76:BT$124)*SSi</f>
        <v>0</v>
      </c>
      <c r="BV76" s="70">
        <f t="shared" ca="1" si="83"/>
        <v>99999.012970709329</v>
      </c>
      <c r="BW76" s="2">
        <f t="shared" ref="BW76" ca="1" si="1579">IFERROR(VLOOKUP($S76,qx_table,MATCH(BW$11,qx_title,0)+sexB),0)</f>
        <v>0</v>
      </c>
      <c r="BX76" s="131">
        <f t="shared" ca="1" si="856"/>
        <v>0</v>
      </c>
      <c r="BY76" s="131">
        <f ca="1">SUM(BX76:BX$124)*SSj</f>
        <v>0</v>
      </c>
      <c r="BZ76" s="70">
        <f t="shared" ca="1" si="86"/>
        <v>99999.012970709329</v>
      </c>
      <c r="CA76" s="2">
        <f t="shared" ref="CA76" ca="1" si="1580">IFERROR(VLOOKUP($S76,qx_table,MATCH(CA$11,qx_title,0)+sexB),0)</f>
        <v>0</v>
      </c>
      <c r="CB76" s="131">
        <f t="shared" ca="1" si="858"/>
        <v>0</v>
      </c>
      <c r="CC76" s="131">
        <f ca="1">SUM(CB76:CB$124)*SSk</f>
        <v>0</v>
      </c>
      <c r="CD76" s="8">
        <f t="shared" ca="1" si="89"/>
        <v>99999.012970709329</v>
      </c>
      <c r="CE76" s="2">
        <f t="shared" ref="CE76" ca="1" si="1581">IFERROR(VLOOKUP($S76,qx_table,MATCH(CE$11,qx_title,0)+sexB),0)</f>
        <v>0</v>
      </c>
      <c r="CF76" s="131">
        <f t="shared" ca="1" si="860"/>
        <v>0</v>
      </c>
      <c r="CG76" s="131">
        <f ca="1">SUM(CF76:CF$124)*SSl</f>
        <v>0</v>
      </c>
      <c r="CH76" s="101">
        <f t="shared" ca="1" si="92"/>
        <v>0</v>
      </c>
      <c r="CI76" s="154">
        <f t="shared" ref="CI76:CI107" ca="1" si="1582">MAX((VLOOKUP(xB+R76,기수표B,$CH$1)-VLOOKUP(xB+nB,기수표B,$CH$1)),0)</f>
        <v>0</v>
      </c>
      <c r="CJ76" s="32">
        <f t="shared" ref="CJ76" ca="1" si="1583">+MAX(VLOOKUP(xB+$R76,기수표B,$AH$1)-VLOOKUP(xB+mB,기수표B,$AH$1),0)</f>
        <v>0</v>
      </c>
      <c r="CK76" s="32">
        <f t="shared" ref="CK76" ca="1" si="1584">+MAX(VLOOKUP(xB+$R76,기수표B,$AH$1)-VLOOKUP(xB+mB,기수표B,$AH$1)-11/24*(VLOOKUP(xB+$R76,기수표B,$AG$1)-VLOOKUP(xB+mB,기수표B,$AG$1)),0)</f>
        <v>0</v>
      </c>
      <c r="CL76" s="32">
        <f t="shared" ref="CL76" ca="1" si="1585">+MAX(VLOOKUP(xB+$R76,기수표B,$AA$1)-VLOOKUP(xB+mB,기수표B,$AA$1),0)</f>
        <v>0</v>
      </c>
      <c r="CM76" s="32">
        <f t="shared" ref="CM76" ca="1" si="1586">+MAX(VLOOKUP(xB+$R76,기수표B,$AA$1)-VLOOKUP(xB+mB,기수표B,$AA$1)-11/24*(VLOOKUP(xB+$R76,기수표B,$AA$1)-VLOOKUP(xB+mB,기수표B,$AA$1)),0)</f>
        <v>0</v>
      </c>
      <c r="CN76" s="32">
        <f t="shared" ref="CN76:CN107" si="1587">IF(R76&gt;nB,0,VLOOKUP(xB+MAX($R76,mB),기수표B,$AA$1)-VLOOKUP(xB+nB,기수표B,$AA$1))</f>
        <v>0</v>
      </c>
      <c r="CO76" s="32">
        <f t="shared" ref="CO76:CO107" ca="1" si="1588">IF(JRB=1,mmB*H$25*$CK76,H$35*$CJ76)</f>
        <v>0</v>
      </c>
      <c r="CP76" s="259">
        <f t="shared" ref="CP76:CP107" ca="1" si="1589">ROUND(IF($R76&gt;nB,0,$CR76-MAX($CS76-$R76,0)/$CS76*$C$31),roundB)</f>
        <v>0</v>
      </c>
      <c r="CQ76" s="259">
        <f t="shared" ref="CQ76:CQ107" ca="1" si="1590">+IF(JRB=1,CP76,MAX(0,ROUND(IF($R76&gt;nB,0,CR76-MAX($CS76-$R76,0)/$CS76*$C$33),round)))</f>
        <v>0</v>
      </c>
      <c r="CR76" s="259" t="e">
        <f t="shared" ref="CR76:CR107" ca="1" si="1591">(CI76+BETAD_SB*$CN76-CO76)/Z76</f>
        <v>#DIV/0!</v>
      </c>
      <c r="CS76" s="31">
        <f t="shared" ref="CS76" si="1592">+MIN(mB,7)</f>
        <v>5</v>
      </c>
      <c r="CU76" s="13">
        <v>64</v>
      </c>
      <c r="CV76" s="477">
        <f t="shared" ref="CV76:CV107" ca="1" si="1593">$CW$8*12*MIN(CU76,mB)</f>
        <v>420</v>
      </c>
      <c r="CW76" s="477" t="e">
        <f t="shared" ref="CW76:CW107" ca="1" si="1594">ROUND(CR76*S,0)</f>
        <v>#DIV/0!</v>
      </c>
      <c r="CX76" s="477">
        <f t="shared" ref="CX76:CX107" ca="1" si="1595">MAX(0,ROUND(CP76*S,0))</f>
        <v>0</v>
      </c>
      <c r="CY76" s="478">
        <f t="shared" ca="1" si="98"/>
        <v>0</v>
      </c>
    </row>
    <row r="77" spans="14:103">
      <c r="N77" s="5">
        <f t="shared" si="99"/>
        <v>65</v>
      </c>
      <c r="O77" s="2">
        <f t="shared" ref="O77" ca="1" si="1596">+(1+iB)^-N77</f>
        <v>0.23544225889133066</v>
      </c>
      <c r="P77" s="2">
        <f t="shared" ref="P77" ca="1" si="1597">+(1+iB)^-(N77+0.5)</f>
        <v>0.2328374088190657</v>
      </c>
      <c r="Q77" s="91"/>
      <c r="R77" s="20">
        <f t="shared" si="102"/>
        <v>65</v>
      </c>
      <c r="S77" s="20" t="str">
        <f t="shared" ref="S77" si="1598">+IF(xB+R77&lt;=xB+nB,xB+R77,"")</f>
        <v/>
      </c>
      <c r="T77" s="2">
        <f t="shared" ref="T77:U77" ca="1" si="1599">IFERROR(VLOOKUP($S77,qx_table,MATCH(T$11,qx_title,0)+sexB),0)</f>
        <v>0</v>
      </c>
      <c r="U77" s="2">
        <f t="shared" ca="1" si="1599"/>
        <v>0</v>
      </c>
      <c r="V77" s="300">
        <f>IF(JRB=2,0,IF(R77&gt;=mB-1,_xlfn.XLOOKUP(R77-mB,해지율!#REF!,해지율!#REF!,,1),_xlfn.XLOOKUP(R77,해지율!#REF!,해지율!#REF!,,-1)))</f>
        <v>0</v>
      </c>
      <c r="W77" s="8">
        <f t="shared" ref="W77" si="1600">IF(R77=0,100000,IF(R77&gt;nB,0,W76*(1-X76)*(1-Y76)))</f>
        <v>0</v>
      </c>
      <c r="X77" s="10">
        <f t="shared" ca="1" si="1561"/>
        <v>0</v>
      </c>
      <c r="Y77" s="10">
        <f t="shared" ca="1" si="1562"/>
        <v>0</v>
      </c>
      <c r="Z77" s="8">
        <f t="shared" ref="Z77:Z124" ca="1" si="1601">+W77*O77</f>
        <v>0</v>
      </c>
      <c r="AA77" s="8">
        <f ca="1">+SUM(Z77:Z$124)</f>
        <v>0</v>
      </c>
      <c r="AB77" s="8">
        <f t="shared" ca="1" si="1563"/>
        <v>0</v>
      </c>
      <c r="AC77" s="209">
        <f ca="1">+SUM(AB77:AB$124)*SSSM</f>
        <v>0</v>
      </c>
      <c r="AD77" s="209">
        <f t="shared" ref="AD77" si="1602">IF(R77&gt;nB,0,AD76*(1-X76)*(1-Y76)*(1-AE76)*(1-AF76))</f>
        <v>0</v>
      </c>
      <c r="AE77" s="92">
        <f t="shared" ca="1" si="1565"/>
        <v>0</v>
      </c>
      <c r="AF77" s="92">
        <f t="shared" ca="1" si="1566"/>
        <v>0</v>
      </c>
      <c r="AG77" s="664">
        <f t="shared" ca="1" si="1567"/>
        <v>0</v>
      </c>
      <c r="AH77" s="5">
        <f ca="1">+SUM(AG77:AG$124)</f>
        <v>0</v>
      </c>
      <c r="AI77" s="70">
        <f t="shared" ca="1" si="1568"/>
        <v>0</v>
      </c>
      <c r="AJ77" s="208">
        <f ca="1">+SUM(AB77:AB$124)*SS50J</f>
        <v>0</v>
      </c>
      <c r="AK77" s="5">
        <f t="shared" ref="AK77:AK124" ca="1" si="1603">IFERROR(AK76*(1-$X76)*(1-$Y76)*(1-BTa*AL76*(1-$T76/2)/(1-$T76)),0)</f>
        <v>99999.012970709329</v>
      </c>
      <c r="AL77" s="2">
        <f t="shared" ref="AL77" ca="1" si="1604">IFERROR(VLOOKUP($S77,qx_table,MATCH(AL$11,qx_title,0)+sexB),0)</f>
        <v>0</v>
      </c>
      <c r="AM77" s="131">
        <f t="shared" ref="AM77:AM125" ca="1" si="1605">AK77*O77</f>
        <v>23543.99350072728</v>
      </c>
      <c r="AN77" s="129">
        <f t="shared" ref="AN77:AN108" ca="1" si="1606">AK77*AL77*(1-CHOOSE(JRB,1,0)*$V77/2)*$P77</f>
        <v>0</v>
      </c>
      <c r="AO77" s="129">
        <f ca="1">SUM(AN77:AN$124)*SSa</f>
        <v>0</v>
      </c>
      <c r="AP77" s="70">
        <f t="shared" ref="AP77:AP124" ca="1" si="1607">IFERROR(AP76*(1-$X76)*(1-$Y76)*(1-BTb*AQ76*(1-$T76/2)/(1-$T76)),0)</f>
        <v>99999.012970709329</v>
      </c>
      <c r="AQ77" s="2">
        <f t="shared" ref="AQ77" ca="1" si="1608">IFERROR(VLOOKUP($S77,qx_table,MATCH(AQ$11,qx_title,0)+sexB),0)</f>
        <v>0</v>
      </c>
      <c r="AR77" s="127">
        <f t="shared" ref="AR77:AR108" ca="1" si="1609">AP77*AQ77*(1-CHOOSE(JRB,1,0)*$V77/2)*$P77</f>
        <v>0</v>
      </c>
      <c r="AS77" s="127">
        <f ca="1">SUM(AR77:AR$124)*SSb</f>
        <v>0</v>
      </c>
      <c r="AT77" s="70">
        <f t="shared" ref="AT77:AT124" ca="1" si="1610">IFERROR(AT76*(1-$X76)*(1-$Y76)*(1-BTc*AU76*(1-$T76/2)/(1-$T76)),0)</f>
        <v>99999.012970709329</v>
      </c>
      <c r="AU77" s="2">
        <f t="shared" ref="AU77" ca="1" si="1611">IFERROR(VLOOKUP($S77,qx_table,MATCH(AU$11,qx_title,0)+sexB),0)</f>
        <v>0</v>
      </c>
      <c r="AV77" s="268">
        <f t="shared" ref="AV77:AV108" ca="1" si="1612">AT77*AU77*(1-CHOOSE(JRB,1,0)*$V77/2)*$P77</f>
        <v>0</v>
      </c>
      <c r="AW77" s="131">
        <f ca="1">SUM(AV77:AV$124)*SSc</f>
        <v>0</v>
      </c>
      <c r="AX77" s="70">
        <f t="shared" ref="AX77:AX124" ca="1" si="1613">IFERROR(AX76*(1-$X76)*(1-$Y76)*(1-BTd*AY76*(1-$T76/2)/(1-$T76)),0)</f>
        <v>99999.012970709329</v>
      </c>
      <c r="AY77" s="2">
        <f t="shared" ref="AY77" ca="1" si="1614">IFERROR(VLOOKUP($S77,qx_table,MATCH(AY$11,qx_title,0)+sexB),0)</f>
        <v>0</v>
      </c>
      <c r="AZ77" s="268">
        <f t="shared" ca="1" si="1573"/>
        <v>0</v>
      </c>
      <c r="BA77" s="129">
        <f ca="1">SUM(AZ77:AZ$124)*SSd</f>
        <v>0</v>
      </c>
      <c r="BB77" s="70">
        <f t="shared" ref="BB77:BB124" ca="1" si="1615">IFERROR(BB76*(1-$X76)*(1-$Y76)*(1-BTe*BC76*(1-$T76/2)/(1-$T76)),0)</f>
        <v>99999.012970709329</v>
      </c>
      <c r="BC77" s="257">
        <f t="shared" ref="BC77" ca="1" si="1616">IFERROR(VLOOKUP($S77,qx_table,MATCH(BC$11,qx_title,0)+sexB),0)</f>
        <v>0</v>
      </c>
      <c r="BD77" s="268">
        <f t="shared" ref="BD77:BD108" ca="1" si="1617">BB77*BC77*(1-CHOOSE(JRB,1,0)*$V77/2)*$P77</f>
        <v>0</v>
      </c>
      <c r="BE77" s="131">
        <f ca="1">SUM(BD77:BD$124)*SSe</f>
        <v>0</v>
      </c>
      <c r="BF77" s="70">
        <f t="shared" ref="BF77:BF124" ca="1" si="1618">IFERROR(BF76*(1-$X76)*(1-$Y76)*(1-BTf*BG76*(1-$T76/2)/(1-$T76)),0)</f>
        <v>99999.012970709329</v>
      </c>
      <c r="BG77" s="2">
        <f t="shared" ref="BG77" ca="1" si="1619">IFERROR(VLOOKUP($S77,qx_table,MATCH(BG$11,qx_title,0)+sexB),0)</f>
        <v>0</v>
      </c>
      <c r="BH77" s="131">
        <f t="shared" ref="BH77:BH108" ca="1" si="1620">BF77*BG77*(1-CHOOSE(JRB,1,0)*$V77/2)*$P77</f>
        <v>0</v>
      </c>
      <c r="BI77" s="2">
        <f ca="1">SUM(BH77:BH$124)*SSf</f>
        <v>0</v>
      </c>
      <c r="BJ77" s="70">
        <f t="shared" ref="BJ77:BJ124" ca="1" si="1621">IFERROR(BJ76*(1-$X76)*(1-$Y76)*(1-BTg*BK76*(1-$T76/2)/(1-$T76)),0)</f>
        <v>99999.012970709329</v>
      </c>
      <c r="BK77" s="2">
        <f t="shared" ref="BK77" ca="1" si="1622">IFERROR(VLOOKUP($S77,qx_table,MATCH(BK$11,qx_title,0)+sexB),0)</f>
        <v>0</v>
      </c>
      <c r="BL77" s="131">
        <f t="shared" ref="BL77:BL108" ca="1" si="1623">BJ77*BK77*(1-CHOOSE(JRB,1,0)*$V77/2)*$P77</f>
        <v>0</v>
      </c>
      <c r="BM77" s="131">
        <f ca="1">SUM(BL77:BL$124)*SSg</f>
        <v>0</v>
      </c>
      <c r="BN77" s="70">
        <f t="shared" ref="BN77:BN124" ca="1" si="1624">IFERROR(BN76*(1-$X76)*(1-$Y76)*(1-BTh*BO76*(1-$T76/2)/(1-$T76)),0)</f>
        <v>99999.012970709329</v>
      </c>
      <c r="BO77" s="2">
        <f t="shared" ref="BO77" ca="1" si="1625">IFERROR(VLOOKUP($S77,qx_table,MATCH(BO$11,qx_title,0)+sexB),0)</f>
        <v>0</v>
      </c>
      <c r="BP77" s="131">
        <f t="shared" ref="BP77:BP108" ca="1" si="1626">BN77*BO77*(1-CHOOSE(JRB,1,0)*$V77/2)*$P77</f>
        <v>0</v>
      </c>
      <c r="BQ77" s="131">
        <f ca="1">SUM(BP77:BP$124)*SSh</f>
        <v>0</v>
      </c>
      <c r="BR77" s="70">
        <f t="shared" ref="BR77:BR124" ca="1" si="1627">IFERROR(BR76*(1-$X76)*(1-$Y76)*(1-BTi*BS76*(1-$T76/2)/(1-$T76)),0)</f>
        <v>99999.012970709329</v>
      </c>
      <c r="BS77" s="2">
        <f t="shared" ref="BS77" ca="1" si="1628">IFERROR(VLOOKUP($S77,qx_table,MATCH(BS$11,qx_title,0)+sexB),0)*IF(R77=0,MCi,1)</f>
        <v>0</v>
      </c>
      <c r="BT77" s="131">
        <f t="shared" ref="BT77:BT108" ca="1" si="1629">BR77*BS77*(1-CHOOSE(JRB,1,0)*$V77/2)*$P77</f>
        <v>0</v>
      </c>
      <c r="BU77" s="131">
        <f ca="1">SUM(BT77:BT$124)*SSi</f>
        <v>0</v>
      </c>
      <c r="BV77" s="70">
        <f t="shared" ref="BV77:BV124" ca="1" si="1630">IFERROR(BV76*(1-$X76)*(1-$Y76)*(1-BTj*BW76*(1-$T76/2)/(1-$T76)),0)</f>
        <v>99999.012970709329</v>
      </c>
      <c r="BW77" s="2">
        <f t="shared" ref="BW77" ca="1" si="1631">IFERROR(VLOOKUP($S77,qx_table,MATCH(BW$11,qx_title,0)+sexB),0)</f>
        <v>0</v>
      </c>
      <c r="BX77" s="131">
        <f t="shared" ref="BX77:BX108" ca="1" si="1632">BV77*BW77*(1-CHOOSE(JRB,1,0)*$V77/2)*$P77</f>
        <v>0</v>
      </c>
      <c r="BY77" s="131">
        <f ca="1">SUM(BX77:BX$124)*SSj</f>
        <v>0</v>
      </c>
      <c r="BZ77" s="70">
        <f t="shared" ref="BZ77:BZ124" ca="1" si="1633">IFERROR(BZ76*(1-$X76)*(1-$Y76)*(1-BTk*CA76*(1-$T76/2)/(1-$T76)),0)</f>
        <v>99999.012970709329</v>
      </c>
      <c r="CA77" s="2">
        <f t="shared" ref="CA77" ca="1" si="1634">IFERROR(VLOOKUP($S77,qx_table,MATCH(CA$11,qx_title,0)+sexB),0)</f>
        <v>0</v>
      </c>
      <c r="CB77" s="131">
        <f t="shared" ref="CB77:CB108" ca="1" si="1635">BZ77*CA77*(1-CHOOSE(JRB,1,0)*$V77/2)*$P77</f>
        <v>0</v>
      </c>
      <c r="CC77" s="131">
        <f ca="1">SUM(CB77:CB$124)*SSk</f>
        <v>0</v>
      </c>
      <c r="CD77" s="8">
        <f t="shared" ref="CD77:CD124" ca="1" si="1636">IFERROR(CD76*(1-$X76)*(1-$Y76)*(1-BTl*CE76*(1-$T76/2)/(1-$T76)),0)</f>
        <v>99999.012970709329</v>
      </c>
      <c r="CE77" s="2">
        <f t="shared" ref="CE77" ca="1" si="1637">IFERROR(VLOOKUP($S77,qx_table,MATCH(CE$11,qx_title,0)+sexB),0)</f>
        <v>0</v>
      </c>
      <c r="CF77" s="131">
        <f t="shared" ref="CF77:CF108" ca="1" si="1638">CD77*CE77*(1-CHOOSE(JRB,1,0)*$V77/2)*$P77</f>
        <v>0</v>
      </c>
      <c r="CG77" s="131">
        <f ca="1">SUM(CF77:CF$124)*SSl</f>
        <v>0</v>
      </c>
      <c r="CH77" s="101">
        <f t="shared" ref="CH77:CH124" ca="1" si="1639">AC77+AJ77+AO77+AS77+AW77+BA77+BE77+BI77+BM77+BQ77+BU77+BY77+CC77+CG77</f>
        <v>0</v>
      </c>
      <c r="CI77" s="154">
        <f t="shared" ca="1" si="1582"/>
        <v>0</v>
      </c>
      <c r="CJ77" s="32">
        <f t="shared" ref="CJ77" ca="1" si="1640">+MAX(VLOOKUP(xB+$R77,기수표B,$AH$1)-VLOOKUP(xB+mB,기수표B,$AH$1),0)</f>
        <v>0</v>
      </c>
      <c r="CK77" s="32">
        <f t="shared" ref="CK77" ca="1" si="1641">+MAX(VLOOKUP(xB+$R77,기수표B,$AH$1)-VLOOKUP(xB+mB,기수표B,$AH$1)-11/24*(VLOOKUP(xB+$R77,기수표B,$AG$1)-VLOOKUP(xB+mB,기수표B,$AG$1)),0)</f>
        <v>0</v>
      </c>
      <c r="CL77" s="32">
        <f t="shared" ref="CL77" ca="1" si="1642">+MAX(VLOOKUP(xB+$R77,기수표B,$AA$1)-VLOOKUP(xB+mB,기수표B,$AA$1),0)</f>
        <v>0</v>
      </c>
      <c r="CM77" s="32">
        <f t="shared" ref="CM77" ca="1" si="1643">+MAX(VLOOKUP(xB+$R77,기수표B,$AA$1)-VLOOKUP(xB+mB,기수표B,$AA$1)-11/24*(VLOOKUP(xB+$R77,기수표B,$AA$1)-VLOOKUP(xB+mB,기수표B,$AA$1)),0)</f>
        <v>0</v>
      </c>
      <c r="CN77" s="32">
        <f t="shared" si="1587"/>
        <v>0</v>
      </c>
      <c r="CO77" s="32">
        <f t="shared" ca="1" si="1588"/>
        <v>0</v>
      </c>
      <c r="CP77" s="259">
        <f t="shared" ca="1" si="1589"/>
        <v>0</v>
      </c>
      <c r="CQ77" s="259">
        <f t="shared" ca="1" si="1590"/>
        <v>0</v>
      </c>
      <c r="CR77" s="259" t="e">
        <f t="shared" ca="1" si="1591"/>
        <v>#DIV/0!</v>
      </c>
      <c r="CS77" s="31">
        <f t="shared" ref="CS77" si="1644">+MIN(mB,7)</f>
        <v>5</v>
      </c>
      <c r="CU77" s="13">
        <v>65</v>
      </c>
      <c r="CV77" s="477">
        <f t="shared" ca="1" si="1593"/>
        <v>420</v>
      </c>
      <c r="CW77" s="477" t="e">
        <f t="shared" ca="1" si="1594"/>
        <v>#DIV/0!</v>
      </c>
      <c r="CX77" s="477">
        <f t="shared" ca="1" si="1595"/>
        <v>0</v>
      </c>
      <c r="CY77" s="478">
        <f t="shared" ref="CY77:CY124" ca="1" si="1645">ROUNDDOWN(CX77/CV77,3)</f>
        <v>0</v>
      </c>
    </row>
    <row r="78" spans="14:103">
      <c r="N78" s="5">
        <f t="shared" ref="N78:N124" si="1646">+N77+1</f>
        <v>66</v>
      </c>
      <c r="O78" s="2">
        <f t="shared" ref="O78" ca="1" si="1647">+(1+iB)^-N78</f>
        <v>0.23026137788883197</v>
      </c>
      <c r="P78" s="2">
        <f t="shared" ref="P78" ca="1" si="1648">+(1+iB)^-(N78+0.5)</f>
        <v>0.22771384725580995</v>
      </c>
      <c r="Q78" s="91"/>
      <c r="R78" s="20">
        <f t="shared" ref="R78:R124" si="1649">R77+1</f>
        <v>66</v>
      </c>
      <c r="S78" s="20" t="str">
        <f t="shared" ref="S78" si="1650">+IF(xB+R78&lt;=xB+nB,xB+R78,"")</f>
        <v/>
      </c>
      <c r="T78" s="2">
        <f t="shared" ref="T78:U78" ca="1" si="1651">IFERROR(VLOOKUP($S78,qx_table,MATCH(T$11,qx_title,0)+sexB),0)</f>
        <v>0</v>
      </c>
      <c r="U78" s="2">
        <f t="shared" ca="1" si="1651"/>
        <v>0</v>
      </c>
      <c r="V78" s="300">
        <f>IF(JRB=2,0,IF(R78&gt;=mB-1,_xlfn.XLOOKUP(R78-mB,해지율!#REF!,해지율!#REF!,,1),_xlfn.XLOOKUP(R78,해지율!#REF!,해지율!#REF!,,-1)))</f>
        <v>0</v>
      </c>
      <c r="W78" s="8">
        <f t="shared" ref="W78" si="1652">IF(R78=0,100000,IF(R78&gt;nB,0,W77*(1-X77)*(1-Y77)))</f>
        <v>0</v>
      </c>
      <c r="X78" s="10">
        <f t="shared" ca="1" si="1561"/>
        <v>0</v>
      </c>
      <c r="Y78" s="10">
        <f t="shared" ca="1" si="1562"/>
        <v>0</v>
      </c>
      <c r="Z78" s="8">
        <f t="shared" ca="1" si="1601"/>
        <v>0</v>
      </c>
      <c r="AA78" s="8">
        <f ca="1">+SUM(Z78:Z$124)</f>
        <v>0</v>
      </c>
      <c r="AB78" s="8">
        <f t="shared" ca="1" si="1563"/>
        <v>0</v>
      </c>
      <c r="AC78" s="209">
        <f ca="1">+SUM(AB78:AB$124)*SSSM</f>
        <v>0</v>
      </c>
      <c r="AD78" s="209">
        <f t="shared" ref="AD78" si="1653">IF(R78&gt;nB,0,AD77*(1-X77)*(1-Y77)*(1-AE77)*(1-AF77))</f>
        <v>0</v>
      </c>
      <c r="AE78" s="92">
        <f t="shared" ca="1" si="1565"/>
        <v>0</v>
      </c>
      <c r="AF78" s="92">
        <f t="shared" ca="1" si="1566"/>
        <v>0</v>
      </c>
      <c r="AG78" s="664">
        <f t="shared" ca="1" si="1567"/>
        <v>0</v>
      </c>
      <c r="AH78" s="5">
        <f ca="1">+SUM(AG78:AG$124)</f>
        <v>0</v>
      </c>
      <c r="AI78" s="70">
        <f t="shared" ca="1" si="1568"/>
        <v>0</v>
      </c>
      <c r="AJ78" s="208">
        <f ca="1">+SUM(AB78:AB$124)*SS50J</f>
        <v>0</v>
      </c>
      <c r="AK78" s="5">
        <f t="shared" ca="1" si="1603"/>
        <v>99999.012970709329</v>
      </c>
      <c r="AL78" s="2">
        <f t="shared" ref="AL78" ca="1" si="1654">IFERROR(VLOOKUP($S78,qx_table,MATCH(AL$11,qx_title,0)+sexB),0)</f>
        <v>0</v>
      </c>
      <c r="AM78" s="131">
        <f t="shared" ca="1" si="1605"/>
        <v>23025.91051415871</v>
      </c>
      <c r="AN78" s="129">
        <f t="shared" ca="1" si="1606"/>
        <v>0</v>
      </c>
      <c r="AO78" s="129">
        <f ca="1">SUM(AN78:AN$124)*SSa</f>
        <v>0</v>
      </c>
      <c r="AP78" s="70">
        <f t="shared" ca="1" si="1607"/>
        <v>99999.012970709329</v>
      </c>
      <c r="AQ78" s="2">
        <f t="shared" ref="AQ78" ca="1" si="1655">IFERROR(VLOOKUP($S78,qx_table,MATCH(AQ$11,qx_title,0)+sexB),0)</f>
        <v>0</v>
      </c>
      <c r="AR78" s="127">
        <f t="shared" ca="1" si="1609"/>
        <v>0</v>
      </c>
      <c r="AS78" s="127">
        <f ca="1">SUM(AR78:AR$124)*SSb</f>
        <v>0</v>
      </c>
      <c r="AT78" s="70">
        <f t="shared" ca="1" si="1610"/>
        <v>99999.012970709329</v>
      </c>
      <c r="AU78" s="2">
        <f t="shared" ref="AU78" ca="1" si="1656">IFERROR(VLOOKUP($S78,qx_table,MATCH(AU$11,qx_title,0)+sexB),0)</f>
        <v>0</v>
      </c>
      <c r="AV78" s="268">
        <f t="shared" ca="1" si="1612"/>
        <v>0</v>
      </c>
      <c r="AW78" s="131">
        <f ca="1">SUM(AV78:AV$124)*SSc</f>
        <v>0</v>
      </c>
      <c r="AX78" s="70">
        <f t="shared" ca="1" si="1613"/>
        <v>99999.012970709329</v>
      </c>
      <c r="AY78" s="2">
        <f t="shared" ref="AY78" ca="1" si="1657">IFERROR(VLOOKUP($S78,qx_table,MATCH(AY$11,qx_title,0)+sexB),0)</f>
        <v>0</v>
      </c>
      <c r="AZ78" s="268">
        <f t="shared" ca="1" si="1573"/>
        <v>0</v>
      </c>
      <c r="BA78" s="129">
        <f ca="1">SUM(AZ78:AZ$124)*SSd</f>
        <v>0</v>
      </c>
      <c r="BB78" s="70">
        <f t="shared" ca="1" si="1615"/>
        <v>99999.012970709329</v>
      </c>
      <c r="BC78" s="257">
        <f t="shared" ref="BC78" ca="1" si="1658">IFERROR(VLOOKUP($S78,qx_table,MATCH(BC$11,qx_title,0)+sexB),0)</f>
        <v>0</v>
      </c>
      <c r="BD78" s="268">
        <f t="shared" ca="1" si="1617"/>
        <v>0</v>
      </c>
      <c r="BE78" s="131">
        <f ca="1">SUM(BD78:BD$124)*SSe</f>
        <v>0</v>
      </c>
      <c r="BF78" s="70">
        <f t="shared" ca="1" si="1618"/>
        <v>99999.012970709329</v>
      </c>
      <c r="BG78" s="2">
        <f t="shared" ref="BG78" ca="1" si="1659">IFERROR(VLOOKUP($S78,qx_table,MATCH(BG$11,qx_title,0)+sexB),0)</f>
        <v>0</v>
      </c>
      <c r="BH78" s="131">
        <f t="shared" ca="1" si="1620"/>
        <v>0</v>
      </c>
      <c r="BI78" s="2">
        <f ca="1">SUM(BH78:BH$124)*SSf</f>
        <v>0</v>
      </c>
      <c r="BJ78" s="70">
        <f t="shared" ca="1" si="1621"/>
        <v>99999.012970709329</v>
      </c>
      <c r="BK78" s="2">
        <f t="shared" ref="BK78" ca="1" si="1660">IFERROR(VLOOKUP($S78,qx_table,MATCH(BK$11,qx_title,0)+sexB),0)</f>
        <v>0</v>
      </c>
      <c r="BL78" s="131">
        <f t="shared" ca="1" si="1623"/>
        <v>0</v>
      </c>
      <c r="BM78" s="131">
        <f ca="1">SUM(BL78:BL$124)*SSg</f>
        <v>0</v>
      </c>
      <c r="BN78" s="70">
        <f t="shared" ca="1" si="1624"/>
        <v>99999.012970709329</v>
      </c>
      <c r="BO78" s="2">
        <f t="shared" ref="BO78" ca="1" si="1661">IFERROR(VLOOKUP($S78,qx_table,MATCH(BO$11,qx_title,0)+sexB),0)</f>
        <v>0</v>
      </c>
      <c r="BP78" s="131">
        <f t="shared" ca="1" si="1626"/>
        <v>0</v>
      </c>
      <c r="BQ78" s="131">
        <f ca="1">SUM(BP78:BP$124)*SSh</f>
        <v>0</v>
      </c>
      <c r="BR78" s="70">
        <f t="shared" ca="1" si="1627"/>
        <v>99999.012970709329</v>
      </c>
      <c r="BS78" s="2">
        <f t="shared" ref="BS78" ca="1" si="1662">IFERROR(VLOOKUP($S78,qx_table,MATCH(BS$11,qx_title,0)+sexB),0)*IF(R78=0,MCi,1)</f>
        <v>0</v>
      </c>
      <c r="BT78" s="131">
        <f t="shared" ca="1" si="1629"/>
        <v>0</v>
      </c>
      <c r="BU78" s="131">
        <f ca="1">SUM(BT78:BT$124)*SSi</f>
        <v>0</v>
      </c>
      <c r="BV78" s="70">
        <f t="shared" ca="1" si="1630"/>
        <v>99999.012970709329</v>
      </c>
      <c r="BW78" s="2">
        <f t="shared" ref="BW78" ca="1" si="1663">IFERROR(VLOOKUP($S78,qx_table,MATCH(BW$11,qx_title,0)+sexB),0)</f>
        <v>0</v>
      </c>
      <c r="BX78" s="131">
        <f t="shared" ca="1" si="1632"/>
        <v>0</v>
      </c>
      <c r="BY78" s="131">
        <f ca="1">SUM(BX78:BX$124)*SSj</f>
        <v>0</v>
      </c>
      <c r="BZ78" s="70">
        <f t="shared" ca="1" si="1633"/>
        <v>99999.012970709329</v>
      </c>
      <c r="CA78" s="2">
        <f t="shared" ref="CA78" ca="1" si="1664">IFERROR(VLOOKUP($S78,qx_table,MATCH(CA$11,qx_title,0)+sexB),0)</f>
        <v>0</v>
      </c>
      <c r="CB78" s="131">
        <f t="shared" ca="1" si="1635"/>
        <v>0</v>
      </c>
      <c r="CC78" s="131">
        <f ca="1">SUM(CB78:CB$124)*SSk</f>
        <v>0</v>
      </c>
      <c r="CD78" s="8">
        <f t="shared" ca="1" si="1636"/>
        <v>99999.012970709329</v>
      </c>
      <c r="CE78" s="2">
        <f t="shared" ref="CE78" ca="1" si="1665">IFERROR(VLOOKUP($S78,qx_table,MATCH(CE$11,qx_title,0)+sexB),0)</f>
        <v>0</v>
      </c>
      <c r="CF78" s="131">
        <f t="shared" ca="1" si="1638"/>
        <v>0</v>
      </c>
      <c r="CG78" s="131">
        <f ca="1">SUM(CF78:CF$124)*SSl</f>
        <v>0</v>
      </c>
      <c r="CH78" s="101">
        <f t="shared" ca="1" si="1639"/>
        <v>0</v>
      </c>
      <c r="CI78" s="154">
        <f t="shared" ca="1" si="1582"/>
        <v>0</v>
      </c>
      <c r="CJ78" s="32">
        <f t="shared" ref="CJ78" ca="1" si="1666">+MAX(VLOOKUP(xB+$R78,기수표B,$AH$1)-VLOOKUP(xB+mB,기수표B,$AH$1),0)</f>
        <v>0</v>
      </c>
      <c r="CK78" s="32">
        <f t="shared" ref="CK78" ca="1" si="1667">+MAX(VLOOKUP(xB+$R78,기수표B,$AH$1)-VLOOKUP(xB+mB,기수표B,$AH$1)-11/24*(VLOOKUP(xB+$R78,기수표B,$AG$1)-VLOOKUP(xB+mB,기수표B,$AG$1)),0)</f>
        <v>0</v>
      </c>
      <c r="CL78" s="32">
        <f t="shared" ref="CL78" ca="1" si="1668">+MAX(VLOOKUP(xB+$R78,기수표B,$AA$1)-VLOOKUP(xB+mB,기수표B,$AA$1),0)</f>
        <v>0</v>
      </c>
      <c r="CM78" s="32">
        <f t="shared" ref="CM78" ca="1" si="1669">+MAX(VLOOKUP(xB+$R78,기수표B,$AA$1)-VLOOKUP(xB+mB,기수표B,$AA$1)-11/24*(VLOOKUP(xB+$R78,기수표B,$AA$1)-VLOOKUP(xB+mB,기수표B,$AA$1)),0)</f>
        <v>0</v>
      </c>
      <c r="CN78" s="32">
        <f t="shared" si="1587"/>
        <v>0</v>
      </c>
      <c r="CO78" s="32">
        <f t="shared" ca="1" si="1588"/>
        <v>0</v>
      </c>
      <c r="CP78" s="259">
        <f t="shared" ca="1" si="1589"/>
        <v>0</v>
      </c>
      <c r="CQ78" s="259">
        <f t="shared" ca="1" si="1590"/>
        <v>0</v>
      </c>
      <c r="CR78" s="259" t="e">
        <f t="shared" ca="1" si="1591"/>
        <v>#DIV/0!</v>
      </c>
      <c r="CS78" s="31">
        <f t="shared" ref="CS78" si="1670">+MIN(mB,7)</f>
        <v>5</v>
      </c>
      <c r="CU78" s="13">
        <v>66</v>
      </c>
      <c r="CV78" s="477">
        <f t="shared" ca="1" si="1593"/>
        <v>420</v>
      </c>
      <c r="CW78" s="477" t="e">
        <f t="shared" ca="1" si="1594"/>
        <v>#DIV/0!</v>
      </c>
      <c r="CX78" s="477">
        <f t="shared" ca="1" si="1595"/>
        <v>0</v>
      </c>
      <c r="CY78" s="478">
        <f t="shared" ca="1" si="1645"/>
        <v>0</v>
      </c>
    </row>
    <row r="79" spans="14:103">
      <c r="N79" s="5">
        <f t="shared" si="1646"/>
        <v>67</v>
      </c>
      <c r="O79" s="2">
        <f t="shared" ref="O79" ca="1" si="1671">+(1+iB)^-N79</f>
        <v>0.22519450160276969</v>
      </c>
      <c r="P79" s="2">
        <f t="shared" ref="P79" ca="1" si="1672">+(1+iB)^-(N79+0.5)</f>
        <v>0.22270302910103662</v>
      </c>
      <c r="Q79" s="91"/>
      <c r="R79" s="20">
        <f t="shared" si="1649"/>
        <v>67</v>
      </c>
      <c r="S79" s="20" t="str">
        <f t="shared" ref="S79" si="1673">+IF(xB+R79&lt;=xB+nB,xB+R79,"")</f>
        <v/>
      </c>
      <c r="T79" s="2">
        <f t="shared" ref="T79:U79" ca="1" si="1674">IFERROR(VLOOKUP($S79,qx_table,MATCH(T$11,qx_title,0)+sexB),0)</f>
        <v>0</v>
      </c>
      <c r="U79" s="2">
        <f t="shared" ca="1" si="1674"/>
        <v>0</v>
      </c>
      <c r="V79" s="300">
        <f>IF(JRB=2,0,IF(R79&gt;=mB-1,_xlfn.XLOOKUP(R79-mB,해지율!#REF!,해지율!#REF!,,1),_xlfn.XLOOKUP(R79,해지율!#REF!,해지율!#REF!,,-1)))</f>
        <v>0</v>
      </c>
      <c r="W79" s="8">
        <f t="shared" ref="W79" si="1675">IF(R79=0,100000,IF(R79&gt;nB,0,W78*(1-X78)*(1-Y78)))</f>
        <v>0</v>
      </c>
      <c r="X79" s="10">
        <f t="shared" ca="1" si="1561"/>
        <v>0</v>
      </c>
      <c r="Y79" s="10">
        <f t="shared" ca="1" si="1562"/>
        <v>0</v>
      </c>
      <c r="Z79" s="8">
        <f t="shared" ca="1" si="1601"/>
        <v>0</v>
      </c>
      <c r="AA79" s="8">
        <f ca="1">+SUM(Z79:Z$124)</f>
        <v>0</v>
      </c>
      <c r="AB79" s="8">
        <f t="shared" ca="1" si="1563"/>
        <v>0</v>
      </c>
      <c r="AC79" s="209">
        <f ca="1">+SUM(AB79:AB$124)*SSSM</f>
        <v>0</v>
      </c>
      <c r="AD79" s="209">
        <f t="shared" ref="AD79" si="1676">IF(R79&gt;nB,0,AD78*(1-X78)*(1-Y78)*(1-AE78)*(1-AF78))</f>
        <v>0</v>
      </c>
      <c r="AE79" s="92">
        <f t="shared" ca="1" si="1565"/>
        <v>0</v>
      </c>
      <c r="AF79" s="92">
        <f t="shared" ca="1" si="1566"/>
        <v>0</v>
      </c>
      <c r="AG79" s="664">
        <f t="shared" ca="1" si="1567"/>
        <v>0</v>
      </c>
      <c r="AH79" s="5">
        <f ca="1">+SUM(AG79:AG$124)</f>
        <v>0</v>
      </c>
      <c r="AI79" s="70">
        <f t="shared" ca="1" si="1568"/>
        <v>0</v>
      </c>
      <c r="AJ79" s="208">
        <f ca="1">+SUM(AB79:AB$124)*SS50J</f>
        <v>0</v>
      </c>
      <c r="AK79" s="5">
        <f t="shared" ca="1" si="1603"/>
        <v>99999.012970709329</v>
      </c>
      <c r="AL79" s="2">
        <f t="shared" ref="AL79" ca="1" si="1677">IFERROR(VLOOKUP($S79,qx_table,MATCH(AL$11,qx_title,0)+sexB),0)</f>
        <v>0</v>
      </c>
      <c r="AM79" s="131">
        <f t="shared" ca="1" si="1605"/>
        <v>22519.227886707788</v>
      </c>
      <c r="AN79" s="129">
        <f t="shared" ca="1" si="1606"/>
        <v>0</v>
      </c>
      <c r="AO79" s="129">
        <f ca="1">SUM(AN79:AN$124)*SSa</f>
        <v>0</v>
      </c>
      <c r="AP79" s="70">
        <f t="shared" ca="1" si="1607"/>
        <v>99999.012970709329</v>
      </c>
      <c r="AQ79" s="2">
        <f t="shared" ref="AQ79" ca="1" si="1678">IFERROR(VLOOKUP($S79,qx_table,MATCH(AQ$11,qx_title,0)+sexB),0)</f>
        <v>0</v>
      </c>
      <c r="AR79" s="127">
        <f t="shared" ca="1" si="1609"/>
        <v>0</v>
      </c>
      <c r="AS79" s="127">
        <f ca="1">SUM(AR79:AR$124)*SSb</f>
        <v>0</v>
      </c>
      <c r="AT79" s="70">
        <f t="shared" ca="1" si="1610"/>
        <v>99999.012970709329</v>
      </c>
      <c r="AU79" s="2">
        <f t="shared" ref="AU79" ca="1" si="1679">IFERROR(VLOOKUP($S79,qx_table,MATCH(AU$11,qx_title,0)+sexB),0)</f>
        <v>0</v>
      </c>
      <c r="AV79" s="268">
        <f t="shared" ca="1" si="1612"/>
        <v>0</v>
      </c>
      <c r="AW79" s="131">
        <f ca="1">SUM(AV79:AV$124)*SSc</f>
        <v>0</v>
      </c>
      <c r="AX79" s="70">
        <f t="shared" ca="1" si="1613"/>
        <v>99999.012970709329</v>
      </c>
      <c r="AY79" s="2">
        <f t="shared" ref="AY79" ca="1" si="1680">IFERROR(VLOOKUP($S79,qx_table,MATCH(AY$11,qx_title,0)+sexB),0)</f>
        <v>0</v>
      </c>
      <c r="AZ79" s="268">
        <f t="shared" ca="1" si="1573"/>
        <v>0</v>
      </c>
      <c r="BA79" s="129">
        <f ca="1">SUM(AZ79:AZ$124)*SSd</f>
        <v>0</v>
      </c>
      <c r="BB79" s="70">
        <f t="shared" ca="1" si="1615"/>
        <v>99999.012970709329</v>
      </c>
      <c r="BC79" s="257">
        <f t="shared" ref="BC79" ca="1" si="1681">IFERROR(VLOOKUP($S79,qx_table,MATCH(BC$11,qx_title,0)+sexB),0)</f>
        <v>0</v>
      </c>
      <c r="BD79" s="268">
        <f t="shared" ca="1" si="1617"/>
        <v>0</v>
      </c>
      <c r="BE79" s="131">
        <f ca="1">SUM(BD79:BD$124)*SSe</f>
        <v>0</v>
      </c>
      <c r="BF79" s="70">
        <f t="shared" ca="1" si="1618"/>
        <v>99999.012970709329</v>
      </c>
      <c r="BG79" s="2">
        <f t="shared" ref="BG79" ca="1" si="1682">IFERROR(VLOOKUP($S79,qx_table,MATCH(BG$11,qx_title,0)+sexB),0)</f>
        <v>0</v>
      </c>
      <c r="BH79" s="131">
        <f t="shared" ca="1" si="1620"/>
        <v>0</v>
      </c>
      <c r="BI79" s="2">
        <f ca="1">SUM(BH79:BH$124)*SSf</f>
        <v>0</v>
      </c>
      <c r="BJ79" s="70">
        <f t="shared" ca="1" si="1621"/>
        <v>99999.012970709329</v>
      </c>
      <c r="BK79" s="2">
        <f t="shared" ref="BK79" ca="1" si="1683">IFERROR(VLOOKUP($S79,qx_table,MATCH(BK$11,qx_title,0)+sexB),0)</f>
        <v>0</v>
      </c>
      <c r="BL79" s="131">
        <f t="shared" ca="1" si="1623"/>
        <v>0</v>
      </c>
      <c r="BM79" s="131">
        <f ca="1">SUM(BL79:BL$124)*SSg</f>
        <v>0</v>
      </c>
      <c r="BN79" s="70">
        <f t="shared" ca="1" si="1624"/>
        <v>99999.012970709329</v>
      </c>
      <c r="BO79" s="2">
        <f t="shared" ref="BO79" ca="1" si="1684">IFERROR(VLOOKUP($S79,qx_table,MATCH(BO$11,qx_title,0)+sexB),0)</f>
        <v>0</v>
      </c>
      <c r="BP79" s="131">
        <f t="shared" ca="1" si="1626"/>
        <v>0</v>
      </c>
      <c r="BQ79" s="131">
        <f ca="1">SUM(BP79:BP$124)*SSh</f>
        <v>0</v>
      </c>
      <c r="BR79" s="70">
        <f t="shared" ca="1" si="1627"/>
        <v>99999.012970709329</v>
      </c>
      <c r="BS79" s="2">
        <f t="shared" ref="BS79" ca="1" si="1685">IFERROR(VLOOKUP($S79,qx_table,MATCH(BS$11,qx_title,0)+sexB),0)*IF(R79=0,MCi,1)</f>
        <v>0</v>
      </c>
      <c r="BT79" s="131">
        <f t="shared" ca="1" si="1629"/>
        <v>0</v>
      </c>
      <c r="BU79" s="131">
        <f ca="1">SUM(BT79:BT$124)*SSi</f>
        <v>0</v>
      </c>
      <c r="BV79" s="70">
        <f t="shared" ca="1" si="1630"/>
        <v>99999.012970709329</v>
      </c>
      <c r="BW79" s="2">
        <f t="shared" ref="BW79" ca="1" si="1686">IFERROR(VLOOKUP($S79,qx_table,MATCH(BW$11,qx_title,0)+sexB),0)</f>
        <v>0</v>
      </c>
      <c r="BX79" s="131">
        <f t="shared" ca="1" si="1632"/>
        <v>0</v>
      </c>
      <c r="BY79" s="131">
        <f ca="1">SUM(BX79:BX$124)*SSj</f>
        <v>0</v>
      </c>
      <c r="BZ79" s="70">
        <f t="shared" ca="1" si="1633"/>
        <v>99999.012970709329</v>
      </c>
      <c r="CA79" s="2">
        <f t="shared" ref="CA79" ca="1" si="1687">IFERROR(VLOOKUP($S79,qx_table,MATCH(CA$11,qx_title,0)+sexB),0)</f>
        <v>0</v>
      </c>
      <c r="CB79" s="131">
        <f t="shared" ca="1" si="1635"/>
        <v>0</v>
      </c>
      <c r="CC79" s="131">
        <f ca="1">SUM(CB79:CB$124)*SSk</f>
        <v>0</v>
      </c>
      <c r="CD79" s="8">
        <f t="shared" ca="1" si="1636"/>
        <v>99999.012970709329</v>
      </c>
      <c r="CE79" s="2">
        <f t="shared" ref="CE79" ca="1" si="1688">IFERROR(VLOOKUP($S79,qx_table,MATCH(CE$11,qx_title,0)+sexB),0)</f>
        <v>0</v>
      </c>
      <c r="CF79" s="131">
        <f t="shared" ca="1" si="1638"/>
        <v>0</v>
      </c>
      <c r="CG79" s="131">
        <f ca="1">SUM(CF79:CF$124)*SSl</f>
        <v>0</v>
      </c>
      <c r="CH79" s="101">
        <f t="shared" ca="1" si="1639"/>
        <v>0</v>
      </c>
      <c r="CI79" s="154">
        <f t="shared" ca="1" si="1582"/>
        <v>0</v>
      </c>
      <c r="CJ79" s="32">
        <f t="shared" ref="CJ79" ca="1" si="1689">+MAX(VLOOKUP(xB+$R79,기수표B,$AH$1)-VLOOKUP(xB+mB,기수표B,$AH$1),0)</f>
        <v>0</v>
      </c>
      <c r="CK79" s="32">
        <f t="shared" ref="CK79" ca="1" si="1690">+MAX(VLOOKUP(xB+$R79,기수표B,$AH$1)-VLOOKUP(xB+mB,기수표B,$AH$1)-11/24*(VLOOKUP(xB+$R79,기수표B,$AG$1)-VLOOKUP(xB+mB,기수표B,$AG$1)),0)</f>
        <v>0</v>
      </c>
      <c r="CL79" s="32">
        <f t="shared" ref="CL79" ca="1" si="1691">+MAX(VLOOKUP(xB+$R79,기수표B,$AA$1)-VLOOKUP(xB+mB,기수표B,$AA$1),0)</f>
        <v>0</v>
      </c>
      <c r="CM79" s="32">
        <f t="shared" ref="CM79" ca="1" si="1692">+MAX(VLOOKUP(xB+$R79,기수표B,$AA$1)-VLOOKUP(xB+mB,기수표B,$AA$1)-11/24*(VLOOKUP(xB+$R79,기수표B,$AA$1)-VLOOKUP(xB+mB,기수표B,$AA$1)),0)</f>
        <v>0</v>
      </c>
      <c r="CN79" s="32">
        <f t="shared" si="1587"/>
        <v>0</v>
      </c>
      <c r="CO79" s="32">
        <f t="shared" ca="1" si="1588"/>
        <v>0</v>
      </c>
      <c r="CP79" s="259">
        <f t="shared" ca="1" si="1589"/>
        <v>0</v>
      </c>
      <c r="CQ79" s="259">
        <f t="shared" ca="1" si="1590"/>
        <v>0</v>
      </c>
      <c r="CR79" s="259" t="e">
        <f t="shared" ca="1" si="1591"/>
        <v>#DIV/0!</v>
      </c>
      <c r="CS79" s="31">
        <f t="shared" ref="CS79" si="1693">+MIN(mB,7)</f>
        <v>5</v>
      </c>
      <c r="CU79" s="13">
        <v>67</v>
      </c>
      <c r="CV79" s="477">
        <f t="shared" ca="1" si="1593"/>
        <v>420</v>
      </c>
      <c r="CW79" s="477" t="e">
        <f t="shared" ca="1" si="1594"/>
        <v>#DIV/0!</v>
      </c>
      <c r="CX79" s="477">
        <f t="shared" ca="1" si="1595"/>
        <v>0</v>
      </c>
      <c r="CY79" s="478">
        <f t="shared" ca="1" si="1645"/>
        <v>0</v>
      </c>
    </row>
    <row r="80" spans="14:103">
      <c r="N80" s="5">
        <f t="shared" si="1646"/>
        <v>68</v>
      </c>
      <c r="O80" s="2">
        <f t="shared" ref="O80" ca="1" si="1694">+(1+iB)^-N80</f>
        <v>0.22023912137190188</v>
      </c>
      <c r="P80" s="2">
        <f t="shared" ref="P80" ca="1" si="1695">+(1+iB)^-(N80+0.5)</f>
        <v>0.21780247344844658</v>
      </c>
      <c r="Q80" s="91"/>
      <c r="R80" s="20">
        <f t="shared" si="1649"/>
        <v>68</v>
      </c>
      <c r="S80" s="20" t="str">
        <f t="shared" ref="S80" si="1696">+IF(xB+R80&lt;=xB+nB,xB+R80,"")</f>
        <v/>
      </c>
      <c r="T80" s="2">
        <f t="shared" ref="T80:U80" ca="1" si="1697">IFERROR(VLOOKUP($S80,qx_table,MATCH(T$11,qx_title,0)+sexB),0)</f>
        <v>0</v>
      </c>
      <c r="U80" s="2">
        <f t="shared" ca="1" si="1697"/>
        <v>0</v>
      </c>
      <c r="V80" s="300">
        <f>IF(JRB=2,0,IF(R80&gt;=mB-1,_xlfn.XLOOKUP(R80-mB,해지율!#REF!,해지율!#REF!,,1),_xlfn.XLOOKUP(R80,해지율!#REF!,해지율!#REF!,,-1)))</f>
        <v>0</v>
      </c>
      <c r="W80" s="8">
        <f t="shared" ref="W80" si="1698">IF(R80=0,100000,IF(R80&gt;nB,0,W79*(1-X79)*(1-Y79)))</f>
        <v>0</v>
      </c>
      <c r="X80" s="10">
        <f t="shared" ca="1" si="1561"/>
        <v>0</v>
      </c>
      <c r="Y80" s="10">
        <f t="shared" ca="1" si="1562"/>
        <v>0</v>
      </c>
      <c r="Z80" s="8">
        <f t="shared" ca="1" si="1601"/>
        <v>0</v>
      </c>
      <c r="AA80" s="8">
        <f ca="1">+SUM(Z80:Z$124)</f>
        <v>0</v>
      </c>
      <c r="AB80" s="8">
        <f t="shared" ca="1" si="1563"/>
        <v>0</v>
      </c>
      <c r="AC80" s="209">
        <f ca="1">+SUM(AB80:AB$124)*SSSM</f>
        <v>0</v>
      </c>
      <c r="AD80" s="209">
        <f t="shared" ref="AD80" si="1699">IF(R80&gt;nB,0,AD79*(1-X79)*(1-Y79)*(1-AE79)*(1-AF79))</f>
        <v>0</v>
      </c>
      <c r="AE80" s="92">
        <f t="shared" ca="1" si="1565"/>
        <v>0</v>
      </c>
      <c r="AF80" s="92">
        <f t="shared" ca="1" si="1566"/>
        <v>0</v>
      </c>
      <c r="AG80" s="664">
        <f t="shared" ca="1" si="1567"/>
        <v>0</v>
      </c>
      <c r="AH80" s="5">
        <f ca="1">+SUM(AG80:AG$124)</f>
        <v>0</v>
      </c>
      <c r="AI80" s="70">
        <f t="shared" ca="1" si="1568"/>
        <v>0</v>
      </c>
      <c r="AJ80" s="208">
        <f ca="1">+SUM(AB80:AB$124)*SS50J</f>
        <v>0</v>
      </c>
      <c r="AK80" s="5">
        <f t="shared" ca="1" si="1603"/>
        <v>99999.012970709329</v>
      </c>
      <c r="AL80" s="2">
        <f t="shared" ref="AL80" ca="1" si="1700">IFERROR(VLOOKUP($S80,qx_table,MATCH(AL$11,qx_title,0)+sexB),0)</f>
        <v>0</v>
      </c>
      <c r="AM80" s="131">
        <f t="shared" ca="1" si="1605"/>
        <v>22023.694754726443</v>
      </c>
      <c r="AN80" s="129">
        <f t="shared" ca="1" si="1606"/>
        <v>0</v>
      </c>
      <c r="AO80" s="129">
        <f ca="1">SUM(AN80:AN$124)*SSa</f>
        <v>0</v>
      </c>
      <c r="AP80" s="70">
        <f t="shared" ca="1" si="1607"/>
        <v>99999.012970709329</v>
      </c>
      <c r="AQ80" s="2">
        <f t="shared" ref="AQ80" ca="1" si="1701">IFERROR(VLOOKUP($S80,qx_table,MATCH(AQ$11,qx_title,0)+sexB),0)</f>
        <v>0</v>
      </c>
      <c r="AR80" s="127">
        <f t="shared" ca="1" si="1609"/>
        <v>0</v>
      </c>
      <c r="AS80" s="127">
        <f ca="1">SUM(AR80:AR$124)*SSb</f>
        <v>0</v>
      </c>
      <c r="AT80" s="70">
        <f t="shared" ca="1" si="1610"/>
        <v>99999.012970709329</v>
      </c>
      <c r="AU80" s="2">
        <f t="shared" ref="AU80" ca="1" si="1702">IFERROR(VLOOKUP($S80,qx_table,MATCH(AU$11,qx_title,0)+sexB),0)</f>
        <v>0</v>
      </c>
      <c r="AV80" s="268">
        <f t="shared" ca="1" si="1612"/>
        <v>0</v>
      </c>
      <c r="AW80" s="131">
        <f ca="1">SUM(AV80:AV$124)*SSc</f>
        <v>0</v>
      </c>
      <c r="AX80" s="70">
        <f t="shared" ca="1" si="1613"/>
        <v>99999.012970709329</v>
      </c>
      <c r="AY80" s="2">
        <f t="shared" ref="AY80" ca="1" si="1703">IFERROR(VLOOKUP($S80,qx_table,MATCH(AY$11,qx_title,0)+sexB),0)</f>
        <v>0</v>
      </c>
      <c r="AZ80" s="268">
        <f t="shared" ca="1" si="1573"/>
        <v>0</v>
      </c>
      <c r="BA80" s="129">
        <f ca="1">SUM(AZ80:AZ$124)*SSd</f>
        <v>0</v>
      </c>
      <c r="BB80" s="70">
        <f t="shared" ca="1" si="1615"/>
        <v>99999.012970709329</v>
      </c>
      <c r="BC80" s="257">
        <f t="shared" ref="BC80" ca="1" si="1704">IFERROR(VLOOKUP($S80,qx_table,MATCH(BC$11,qx_title,0)+sexB),0)</f>
        <v>0</v>
      </c>
      <c r="BD80" s="268">
        <f t="shared" ca="1" si="1617"/>
        <v>0</v>
      </c>
      <c r="BE80" s="131">
        <f ca="1">SUM(BD80:BD$124)*SSe</f>
        <v>0</v>
      </c>
      <c r="BF80" s="70">
        <f t="shared" ca="1" si="1618"/>
        <v>99999.012970709329</v>
      </c>
      <c r="BG80" s="2">
        <f t="shared" ref="BG80" ca="1" si="1705">IFERROR(VLOOKUP($S80,qx_table,MATCH(BG$11,qx_title,0)+sexB),0)</f>
        <v>0</v>
      </c>
      <c r="BH80" s="131">
        <f t="shared" ca="1" si="1620"/>
        <v>0</v>
      </c>
      <c r="BI80" s="2">
        <f ca="1">SUM(BH80:BH$124)*SSf</f>
        <v>0</v>
      </c>
      <c r="BJ80" s="70">
        <f t="shared" ca="1" si="1621"/>
        <v>99999.012970709329</v>
      </c>
      <c r="BK80" s="2">
        <f t="shared" ref="BK80" ca="1" si="1706">IFERROR(VLOOKUP($S80,qx_table,MATCH(BK$11,qx_title,0)+sexB),0)</f>
        <v>0</v>
      </c>
      <c r="BL80" s="131">
        <f t="shared" ca="1" si="1623"/>
        <v>0</v>
      </c>
      <c r="BM80" s="131">
        <f ca="1">SUM(BL80:BL$124)*SSg</f>
        <v>0</v>
      </c>
      <c r="BN80" s="70">
        <f t="shared" ca="1" si="1624"/>
        <v>99999.012970709329</v>
      </c>
      <c r="BO80" s="2">
        <f t="shared" ref="BO80" ca="1" si="1707">IFERROR(VLOOKUP($S80,qx_table,MATCH(BO$11,qx_title,0)+sexB),0)</f>
        <v>0</v>
      </c>
      <c r="BP80" s="131">
        <f t="shared" ca="1" si="1626"/>
        <v>0</v>
      </c>
      <c r="BQ80" s="131">
        <f ca="1">SUM(BP80:BP$124)*SSh</f>
        <v>0</v>
      </c>
      <c r="BR80" s="70">
        <f t="shared" ca="1" si="1627"/>
        <v>99999.012970709329</v>
      </c>
      <c r="BS80" s="2">
        <f t="shared" ref="BS80" ca="1" si="1708">IFERROR(VLOOKUP($S80,qx_table,MATCH(BS$11,qx_title,0)+sexB),0)*IF(R80=0,MCi,1)</f>
        <v>0</v>
      </c>
      <c r="BT80" s="131">
        <f t="shared" ca="1" si="1629"/>
        <v>0</v>
      </c>
      <c r="BU80" s="131">
        <f ca="1">SUM(BT80:BT$124)*SSi</f>
        <v>0</v>
      </c>
      <c r="BV80" s="70">
        <f t="shared" ca="1" si="1630"/>
        <v>99999.012970709329</v>
      </c>
      <c r="BW80" s="2">
        <f t="shared" ref="BW80" ca="1" si="1709">IFERROR(VLOOKUP($S80,qx_table,MATCH(BW$11,qx_title,0)+sexB),0)</f>
        <v>0</v>
      </c>
      <c r="BX80" s="131">
        <f t="shared" ca="1" si="1632"/>
        <v>0</v>
      </c>
      <c r="BY80" s="131">
        <f ca="1">SUM(BX80:BX$124)*SSj</f>
        <v>0</v>
      </c>
      <c r="BZ80" s="70">
        <f t="shared" ca="1" si="1633"/>
        <v>99999.012970709329</v>
      </c>
      <c r="CA80" s="2">
        <f t="shared" ref="CA80" ca="1" si="1710">IFERROR(VLOOKUP($S80,qx_table,MATCH(CA$11,qx_title,0)+sexB),0)</f>
        <v>0</v>
      </c>
      <c r="CB80" s="131">
        <f t="shared" ca="1" si="1635"/>
        <v>0</v>
      </c>
      <c r="CC80" s="131">
        <f ca="1">SUM(CB80:CB$124)*SSk</f>
        <v>0</v>
      </c>
      <c r="CD80" s="8">
        <f t="shared" ca="1" si="1636"/>
        <v>99999.012970709329</v>
      </c>
      <c r="CE80" s="2">
        <f t="shared" ref="CE80" ca="1" si="1711">IFERROR(VLOOKUP($S80,qx_table,MATCH(CE$11,qx_title,0)+sexB),0)</f>
        <v>0</v>
      </c>
      <c r="CF80" s="131">
        <f t="shared" ca="1" si="1638"/>
        <v>0</v>
      </c>
      <c r="CG80" s="131">
        <f ca="1">SUM(CF80:CF$124)*SSl</f>
        <v>0</v>
      </c>
      <c r="CH80" s="101">
        <f t="shared" ca="1" si="1639"/>
        <v>0</v>
      </c>
      <c r="CI80" s="154">
        <f t="shared" ca="1" si="1582"/>
        <v>0</v>
      </c>
      <c r="CJ80" s="32">
        <f t="shared" ref="CJ80" ca="1" si="1712">+MAX(VLOOKUP(xB+$R80,기수표B,$AH$1)-VLOOKUP(xB+mB,기수표B,$AH$1),0)</f>
        <v>0</v>
      </c>
      <c r="CK80" s="32">
        <f t="shared" ref="CK80" ca="1" si="1713">+MAX(VLOOKUP(xB+$R80,기수표B,$AH$1)-VLOOKUP(xB+mB,기수표B,$AH$1)-11/24*(VLOOKUP(xB+$R80,기수표B,$AG$1)-VLOOKUP(xB+mB,기수표B,$AG$1)),0)</f>
        <v>0</v>
      </c>
      <c r="CL80" s="32">
        <f t="shared" ref="CL80" ca="1" si="1714">+MAX(VLOOKUP(xB+$R80,기수표B,$AA$1)-VLOOKUP(xB+mB,기수표B,$AA$1),0)</f>
        <v>0</v>
      </c>
      <c r="CM80" s="32">
        <f t="shared" ref="CM80" ca="1" si="1715">+MAX(VLOOKUP(xB+$R80,기수표B,$AA$1)-VLOOKUP(xB+mB,기수표B,$AA$1)-11/24*(VLOOKUP(xB+$R80,기수표B,$AA$1)-VLOOKUP(xB+mB,기수표B,$AA$1)),0)</f>
        <v>0</v>
      </c>
      <c r="CN80" s="32">
        <f t="shared" si="1587"/>
        <v>0</v>
      </c>
      <c r="CO80" s="32">
        <f t="shared" ca="1" si="1588"/>
        <v>0</v>
      </c>
      <c r="CP80" s="259">
        <f t="shared" ca="1" si="1589"/>
        <v>0</v>
      </c>
      <c r="CQ80" s="259">
        <f t="shared" ca="1" si="1590"/>
        <v>0</v>
      </c>
      <c r="CR80" s="259" t="e">
        <f t="shared" ca="1" si="1591"/>
        <v>#DIV/0!</v>
      </c>
      <c r="CS80" s="31">
        <f t="shared" ref="CS80" si="1716">+MIN(mB,7)</f>
        <v>5</v>
      </c>
      <c r="CU80" s="13">
        <v>68</v>
      </c>
      <c r="CV80" s="477">
        <f t="shared" ca="1" si="1593"/>
        <v>420</v>
      </c>
      <c r="CW80" s="477" t="e">
        <f t="shared" ca="1" si="1594"/>
        <v>#DIV/0!</v>
      </c>
      <c r="CX80" s="477">
        <f t="shared" ca="1" si="1595"/>
        <v>0</v>
      </c>
      <c r="CY80" s="478">
        <f t="shared" ca="1" si="1645"/>
        <v>0</v>
      </c>
    </row>
    <row r="81" spans="14:103">
      <c r="N81" s="5">
        <f t="shared" si="1646"/>
        <v>69</v>
      </c>
      <c r="O81" s="2">
        <f t="shared" ref="O81" ca="1" si="1717">+(1+iB)^-N81</f>
        <v>0.21539278373780135</v>
      </c>
      <c r="P81" s="2">
        <f t="shared" ref="P81" ca="1" si="1718">+(1+iB)^-(N81+0.5)</f>
        <v>0.21300975398381086</v>
      </c>
      <c r="Q81" s="91"/>
      <c r="R81" s="20">
        <f t="shared" si="1649"/>
        <v>69</v>
      </c>
      <c r="S81" s="20" t="str">
        <f t="shared" ref="S81" si="1719">+IF(xB+R81&lt;=xB+nB,xB+R81,"")</f>
        <v/>
      </c>
      <c r="T81" s="2">
        <f t="shared" ref="T81:U81" ca="1" si="1720">IFERROR(VLOOKUP($S81,qx_table,MATCH(T$11,qx_title,0)+sexB),0)</f>
        <v>0</v>
      </c>
      <c r="U81" s="2">
        <f t="shared" ca="1" si="1720"/>
        <v>0</v>
      </c>
      <c r="V81" s="300">
        <f>IF(JRB=2,0,IF(R81&gt;=mB-1,_xlfn.XLOOKUP(R81-mB,해지율!#REF!,해지율!#REF!,,1),_xlfn.XLOOKUP(R81,해지율!#REF!,해지율!#REF!,,-1)))</f>
        <v>0</v>
      </c>
      <c r="W81" s="8">
        <f t="shared" ref="W81" si="1721">IF(R81=0,100000,IF(R81&gt;nB,0,W80*(1-X80)*(1-Y80)))</f>
        <v>0</v>
      </c>
      <c r="X81" s="10">
        <f t="shared" ca="1" si="1561"/>
        <v>0</v>
      </c>
      <c r="Y81" s="10">
        <f t="shared" ca="1" si="1562"/>
        <v>0</v>
      </c>
      <c r="Z81" s="8">
        <f t="shared" ca="1" si="1601"/>
        <v>0</v>
      </c>
      <c r="AA81" s="8">
        <f ca="1">+SUM(Z81:Z$124)</f>
        <v>0</v>
      </c>
      <c r="AB81" s="8">
        <f t="shared" ca="1" si="1563"/>
        <v>0</v>
      </c>
      <c r="AC81" s="209">
        <f ca="1">+SUM(AB81:AB$124)*SSSM</f>
        <v>0</v>
      </c>
      <c r="AD81" s="209">
        <f t="shared" ref="AD81" si="1722">IF(R81&gt;nB,0,AD80*(1-X80)*(1-Y80)*(1-AE80)*(1-AF80))</f>
        <v>0</v>
      </c>
      <c r="AE81" s="92">
        <f t="shared" ca="1" si="1565"/>
        <v>0</v>
      </c>
      <c r="AF81" s="92">
        <f t="shared" ca="1" si="1566"/>
        <v>0</v>
      </c>
      <c r="AG81" s="664">
        <f t="shared" ca="1" si="1567"/>
        <v>0</v>
      </c>
      <c r="AH81" s="5">
        <f ca="1">+SUM(AG81:AG$124)</f>
        <v>0</v>
      </c>
      <c r="AI81" s="70">
        <f t="shared" ca="1" si="1568"/>
        <v>0</v>
      </c>
      <c r="AJ81" s="208">
        <f ca="1">+SUM(AB81:AB$124)*SS50J</f>
        <v>0</v>
      </c>
      <c r="AK81" s="5">
        <f t="shared" ca="1" si="1603"/>
        <v>99999.012970709329</v>
      </c>
      <c r="AL81" s="2">
        <f t="shared" ref="AL81" ca="1" si="1723">IFERROR(VLOOKUP($S81,qx_table,MATCH(AL$11,qx_title,0)+sexB),0)</f>
        <v>0</v>
      </c>
      <c r="AM81" s="131">
        <f t="shared" ca="1" si="1605"/>
        <v>21539.065774793587</v>
      </c>
      <c r="AN81" s="129">
        <f t="shared" ca="1" si="1606"/>
        <v>0</v>
      </c>
      <c r="AO81" s="129">
        <f ca="1">SUM(AN81:AN$124)*SSa</f>
        <v>0</v>
      </c>
      <c r="AP81" s="70">
        <f t="shared" ca="1" si="1607"/>
        <v>99999.012970709329</v>
      </c>
      <c r="AQ81" s="2">
        <f t="shared" ref="AQ81" ca="1" si="1724">IFERROR(VLOOKUP($S81,qx_table,MATCH(AQ$11,qx_title,0)+sexB),0)</f>
        <v>0</v>
      </c>
      <c r="AR81" s="127">
        <f t="shared" ca="1" si="1609"/>
        <v>0</v>
      </c>
      <c r="AS81" s="127">
        <f ca="1">SUM(AR81:AR$124)*SSb</f>
        <v>0</v>
      </c>
      <c r="AT81" s="70">
        <f t="shared" ca="1" si="1610"/>
        <v>99999.012970709329</v>
      </c>
      <c r="AU81" s="2">
        <f t="shared" ref="AU81" ca="1" si="1725">IFERROR(VLOOKUP($S81,qx_table,MATCH(AU$11,qx_title,0)+sexB),0)</f>
        <v>0</v>
      </c>
      <c r="AV81" s="268">
        <f t="shared" ca="1" si="1612"/>
        <v>0</v>
      </c>
      <c r="AW81" s="131">
        <f ca="1">SUM(AV81:AV$124)*SSc</f>
        <v>0</v>
      </c>
      <c r="AX81" s="70">
        <f t="shared" ca="1" si="1613"/>
        <v>99999.012970709329</v>
      </c>
      <c r="AY81" s="2">
        <f t="shared" ref="AY81" ca="1" si="1726">IFERROR(VLOOKUP($S81,qx_table,MATCH(AY$11,qx_title,0)+sexB),0)</f>
        <v>0</v>
      </c>
      <c r="AZ81" s="268">
        <f t="shared" ca="1" si="1573"/>
        <v>0</v>
      </c>
      <c r="BA81" s="129">
        <f ca="1">SUM(AZ81:AZ$124)*SSd</f>
        <v>0</v>
      </c>
      <c r="BB81" s="70">
        <f t="shared" ca="1" si="1615"/>
        <v>99999.012970709329</v>
      </c>
      <c r="BC81" s="257">
        <f t="shared" ref="BC81" ca="1" si="1727">IFERROR(VLOOKUP($S81,qx_table,MATCH(BC$11,qx_title,0)+sexB),0)</f>
        <v>0</v>
      </c>
      <c r="BD81" s="268">
        <f t="shared" ca="1" si="1617"/>
        <v>0</v>
      </c>
      <c r="BE81" s="131">
        <f ca="1">SUM(BD81:BD$124)*SSe</f>
        <v>0</v>
      </c>
      <c r="BF81" s="70">
        <f t="shared" ca="1" si="1618"/>
        <v>99999.012970709329</v>
      </c>
      <c r="BG81" s="2">
        <f t="shared" ref="BG81" ca="1" si="1728">IFERROR(VLOOKUP($S81,qx_table,MATCH(BG$11,qx_title,0)+sexB),0)</f>
        <v>0</v>
      </c>
      <c r="BH81" s="131">
        <f t="shared" ca="1" si="1620"/>
        <v>0</v>
      </c>
      <c r="BI81" s="2">
        <f ca="1">SUM(BH81:BH$124)*SSf</f>
        <v>0</v>
      </c>
      <c r="BJ81" s="70">
        <f t="shared" ca="1" si="1621"/>
        <v>99999.012970709329</v>
      </c>
      <c r="BK81" s="2">
        <f t="shared" ref="BK81" ca="1" si="1729">IFERROR(VLOOKUP($S81,qx_table,MATCH(BK$11,qx_title,0)+sexB),0)</f>
        <v>0</v>
      </c>
      <c r="BL81" s="131">
        <f t="shared" ca="1" si="1623"/>
        <v>0</v>
      </c>
      <c r="BM81" s="131">
        <f ca="1">SUM(BL81:BL$124)*SSg</f>
        <v>0</v>
      </c>
      <c r="BN81" s="70">
        <f t="shared" ca="1" si="1624"/>
        <v>99999.012970709329</v>
      </c>
      <c r="BO81" s="2">
        <f t="shared" ref="BO81" ca="1" si="1730">IFERROR(VLOOKUP($S81,qx_table,MATCH(BO$11,qx_title,0)+sexB),0)</f>
        <v>0</v>
      </c>
      <c r="BP81" s="131">
        <f t="shared" ca="1" si="1626"/>
        <v>0</v>
      </c>
      <c r="BQ81" s="131">
        <f ca="1">SUM(BP81:BP$124)*SSh</f>
        <v>0</v>
      </c>
      <c r="BR81" s="70">
        <f t="shared" ca="1" si="1627"/>
        <v>99999.012970709329</v>
      </c>
      <c r="BS81" s="2">
        <f t="shared" ref="BS81" ca="1" si="1731">IFERROR(VLOOKUP($S81,qx_table,MATCH(BS$11,qx_title,0)+sexB),0)*IF(R81=0,MCi,1)</f>
        <v>0</v>
      </c>
      <c r="BT81" s="131">
        <f t="shared" ca="1" si="1629"/>
        <v>0</v>
      </c>
      <c r="BU81" s="131">
        <f ca="1">SUM(BT81:BT$124)*SSi</f>
        <v>0</v>
      </c>
      <c r="BV81" s="70">
        <f t="shared" ca="1" si="1630"/>
        <v>99999.012970709329</v>
      </c>
      <c r="BW81" s="2">
        <f t="shared" ref="BW81" ca="1" si="1732">IFERROR(VLOOKUP($S81,qx_table,MATCH(BW$11,qx_title,0)+sexB),0)</f>
        <v>0</v>
      </c>
      <c r="BX81" s="131">
        <f t="shared" ca="1" si="1632"/>
        <v>0</v>
      </c>
      <c r="BY81" s="131">
        <f ca="1">SUM(BX81:BX$124)*SSj</f>
        <v>0</v>
      </c>
      <c r="BZ81" s="70">
        <f t="shared" ca="1" si="1633"/>
        <v>99999.012970709329</v>
      </c>
      <c r="CA81" s="2">
        <f t="shared" ref="CA81" ca="1" si="1733">IFERROR(VLOOKUP($S81,qx_table,MATCH(CA$11,qx_title,0)+sexB),0)</f>
        <v>0</v>
      </c>
      <c r="CB81" s="131">
        <f t="shared" ca="1" si="1635"/>
        <v>0</v>
      </c>
      <c r="CC81" s="131">
        <f ca="1">SUM(CB81:CB$124)*SSk</f>
        <v>0</v>
      </c>
      <c r="CD81" s="8">
        <f t="shared" ca="1" si="1636"/>
        <v>99999.012970709329</v>
      </c>
      <c r="CE81" s="2">
        <f t="shared" ref="CE81" ca="1" si="1734">IFERROR(VLOOKUP($S81,qx_table,MATCH(CE$11,qx_title,0)+sexB),0)</f>
        <v>0</v>
      </c>
      <c r="CF81" s="131">
        <f t="shared" ca="1" si="1638"/>
        <v>0</v>
      </c>
      <c r="CG81" s="131">
        <f ca="1">SUM(CF81:CF$124)*SSl</f>
        <v>0</v>
      </c>
      <c r="CH81" s="101">
        <f t="shared" ca="1" si="1639"/>
        <v>0</v>
      </c>
      <c r="CI81" s="154">
        <f t="shared" ca="1" si="1582"/>
        <v>0</v>
      </c>
      <c r="CJ81" s="32">
        <f t="shared" ref="CJ81" ca="1" si="1735">+MAX(VLOOKUP(xB+$R81,기수표B,$AH$1)-VLOOKUP(xB+mB,기수표B,$AH$1),0)</f>
        <v>0</v>
      </c>
      <c r="CK81" s="32">
        <f t="shared" ref="CK81" ca="1" si="1736">+MAX(VLOOKUP(xB+$R81,기수표B,$AH$1)-VLOOKUP(xB+mB,기수표B,$AH$1)-11/24*(VLOOKUP(xB+$R81,기수표B,$AG$1)-VLOOKUP(xB+mB,기수표B,$AG$1)),0)</f>
        <v>0</v>
      </c>
      <c r="CL81" s="32">
        <f t="shared" ref="CL81" ca="1" si="1737">+MAX(VLOOKUP(xB+$R81,기수표B,$AA$1)-VLOOKUP(xB+mB,기수표B,$AA$1),0)</f>
        <v>0</v>
      </c>
      <c r="CM81" s="32">
        <f t="shared" ref="CM81" ca="1" si="1738">+MAX(VLOOKUP(xB+$R81,기수표B,$AA$1)-VLOOKUP(xB+mB,기수표B,$AA$1)-11/24*(VLOOKUP(xB+$R81,기수표B,$AA$1)-VLOOKUP(xB+mB,기수표B,$AA$1)),0)</f>
        <v>0</v>
      </c>
      <c r="CN81" s="32">
        <f t="shared" si="1587"/>
        <v>0</v>
      </c>
      <c r="CO81" s="32">
        <f t="shared" ca="1" si="1588"/>
        <v>0</v>
      </c>
      <c r="CP81" s="259">
        <f t="shared" ca="1" si="1589"/>
        <v>0</v>
      </c>
      <c r="CQ81" s="259">
        <f t="shared" ca="1" si="1590"/>
        <v>0</v>
      </c>
      <c r="CR81" s="259" t="e">
        <f t="shared" ca="1" si="1591"/>
        <v>#DIV/0!</v>
      </c>
      <c r="CS81" s="31">
        <f t="shared" ref="CS81" si="1739">+MIN(mB,7)</f>
        <v>5</v>
      </c>
      <c r="CU81" s="13">
        <v>69</v>
      </c>
      <c r="CV81" s="477">
        <f t="shared" ca="1" si="1593"/>
        <v>420</v>
      </c>
      <c r="CW81" s="477" t="e">
        <f t="shared" ca="1" si="1594"/>
        <v>#DIV/0!</v>
      </c>
      <c r="CX81" s="477">
        <f t="shared" ca="1" si="1595"/>
        <v>0</v>
      </c>
      <c r="CY81" s="478">
        <f t="shared" ca="1" si="1645"/>
        <v>0</v>
      </c>
    </row>
    <row r="82" spans="14:103">
      <c r="N82" s="5">
        <f t="shared" si="1646"/>
        <v>70</v>
      </c>
      <c r="O82" s="2">
        <f t="shared" ref="O82" ca="1" si="1740">+(1+iB)^-N82</f>
        <v>0.21065308923012357</v>
      </c>
      <c r="P82" s="2">
        <f t="shared" ref="P82" ca="1" si="1741">+(1+iB)^-(N82+0.5)</f>
        <v>0.20832249778367809</v>
      </c>
      <c r="Q82" s="91"/>
      <c r="R82" s="20">
        <f t="shared" si="1649"/>
        <v>70</v>
      </c>
      <c r="S82" s="20" t="str">
        <f t="shared" ref="S82" si="1742">+IF(xB+R82&lt;=xB+nB,xB+R82,"")</f>
        <v/>
      </c>
      <c r="T82" s="2">
        <f t="shared" ref="T82:U82" ca="1" si="1743">IFERROR(VLOOKUP($S82,qx_table,MATCH(T$11,qx_title,0)+sexB),0)</f>
        <v>0</v>
      </c>
      <c r="U82" s="2">
        <f t="shared" ca="1" si="1743"/>
        <v>0</v>
      </c>
      <c r="V82" s="300">
        <f>IF(JRB=2,0,IF(R82&gt;=mB-1,_xlfn.XLOOKUP(R82-mB,해지율!#REF!,해지율!#REF!,,1),_xlfn.XLOOKUP(R82,해지율!#REF!,해지율!#REF!,,-1)))</f>
        <v>0</v>
      </c>
      <c r="W82" s="8">
        <f t="shared" ref="W82" si="1744">IF(R82=0,100000,IF(R82&gt;nB,0,W81*(1-X81)*(1-Y81)))</f>
        <v>0</v>
      </c>
      <c r="X82" s="10">
        <f t="shared" ca="1" si="1561"/>
        <v>0</v>
      </c>
      <c r="Y82" s="10">
        <f t="shared" ca="1" si="1562"/>
        <v>0</v>
      </c>
      <c r="Z82" s="8">
        <f t="shared" ca="1" si="1601"/>
        <v>0</v>
      </c>
      <c r="AA82" s="8">
        <f ca="1">+SUM(Z82:Z$124)</f>
        <v>0</v>
      </c>
      <c r="AB82" s="8">
        <f t="shared" ca="1" si="1563"/>
        <v>0</v>
      </c>
      <c r="AC82" s="209">
        <f ca="1">+SUM(AB82:AB$124)*SSSM</f>
        <v>0</v>
      </c>
      <c r="AD82" s="209">
        <f t="shared" ref="AD82" si="1745">IF(R82&gt;nB,0,AD81*(1-X81)*(1-Y81)*(1-AE81)*(1-AF81))</f>
        <v>0</v>
      </c>
      <c r="AE82" s="92">
        <f t="shared" ca="1" si="1565"/>
        <v>0</v>
      </c>
      <c r="AF82" s="92">
        <f t="shared" ca="1" si="1566"/>
        <v>0</v>
      </c>
      <c r="AG82" s="664">
        <f t="shared" ca="1" si="1567"/>
        <v>0</v>
      </c>
      <c r="AH82" s="5">
        <f ca="1">+SUM(AG82:AG$124)</f>
        <v>0</v>
      </c>
      <c r="AI82" s="70">
        <f t="shared" ca="1" si="1568"/>
        <v>0</v>
      </c>
      <c r="AJ82" s="208">
        <f ca="1">+SUM(AB82:AB$124)*SS50J</f>
        <v>0</v>
      </c>
      <c r="AK82" s="5">
        <f t="shared" ca="1" si="1603"/>
        <v>99999.012970709329</v>
      </c>
      <c r="AL82" s="2">
        <f t="shared" ref="AL82" ca="1" si="1746">IFERROR(VLOOKUP($S82,qx_table,MATCH(AL$11,qx_title,0)+sexB),0)</f>
        <v>0</v>
      </c>
      <c r="AM82" s="131">
        <f t="shared" ca="1" si="1605"/>
        <v>21065.101002243118</v>
      </c>
      <c r="AN82" s="129">
        <f t="shared" ca="1" si="1606"/>
        <v>0</v>
      </c>
      <c r="AO82" s="129">
        <f ca="1">SUM(AN82:AN$124)*SSa</f>
        <v>0</v>
      </c>
      <c r="AP82" s="70">
        <f t="shared" ca="1" si="1607"/>
        <v>99999.012970709329</v>
      </c>
      <c r="AQ82" s="2">
        <f t="shared" ref="AQ82" ca="1" si="1747">IFERROR(VLOOKUP($S82,qx_table,MATCH(AQ$11,qx_title,0)+sexB),0)</f>
        <v>0</v>
      </c>
      <c r="AR82" s="127">
        <f t="shared" ca="1" si="1609"/>
        <v>0</v>
      </c>
      <c r="AS82" s="127">
        <f ca="1">SUM(AR82:AR$124)*SSb</f>
        <v>0</v>
      </c>
      <c r="AT82" s="70">
        <f t="shared" ca="1" si="1610"/>
        <v>99999.012970709329</v>
      </c>
      <c r="AU82" s="2">
        <f t="shared" ref="AU82" ca="1" si="1748">IFERROR(VLOOKUP($S82,qx_table,MATCH(AU$11,qx_title,0)+sexB),0)</f>
        <v>0</v>
      </c>
      <c r="AV82" s="268">
        <f t="shared" ca="1" si="1612"/>
        <v>0</v>
      </c>
      <c r="AW82" s="131">
        <f ca="1">SUM(AV82:AV$124)*SSc</f>
        <v>0</v>
      </c>
      <c r="AX82" s="70">
        <f t="shared" ca="1" si="1613"/>
        <v>99999.012970709329</v>
      </c>
      <c r="AY82" s="2">
        <f t="shared" ref="AY82" ca="1" si="1749">IFERROR(VLOOKUP($S82,qx_table,MATCH(AY$11,qx_title,0)+sexB),0)</f>
        <v>0</v>
      </c>
      <c r="AZ82" s="268">
        <f t="shared" ca="1" si="1573"/>
        <v>0</v>
      </c>
      <c r="BA82" s="129">
        <f ca="1">SUM(AZ82:AZ$124)*SSd</f>
        <v>0</v>
      </c>
      <c r="BB82" s="70">
        <f t="shared" ca="1" si="1615"/>
        <v>99999.012970709329</v>
      </c>
      <c r="BC82" s="257">
        <f t="shared" ref="BC82" ca="1" si="1750">IFERROR(VLOOKUP($S82,qx_table,MATCH(BC$11,qx_title,0)+sexB),0)</f>
        <v>0</v>
      </c>
      <c r="BD82" s="268">
        <f t="shared" ca="1" si="1617"/>
        <v>0</v>
      </c>
      <c r="BE82" s="131">
        <f ca="1">SUM(BD82:BD$124)*SSe</f>
        <v>0</v>
      </c>
      <c r="BF82" s="70">
        <f t="shared" ca="1" si="1618"/>
        <v>99999.012970709329</v>
      </c>
      <c r="BG82" s="2">
        <f t="shared" ref="BG82" ca="1" si="1751">IFERROR(VLOOKUP($S82,qx_table,MATCH(BG$11,qx_title,0)+sexB),0)</f>
        <v>0</v>
      </c>
      <c r="BH82" s="131">
        <f t="shared" ca="1" si="1620"/>
        <v>0</v>
      </c>
      <c r="BI82" s="2">
        <f ca="1">SUM(BH82:BH$124)*SSf</f>
        <v>0</v>
      </c>
      <c r="BJ82" s="70">
        <f t="shared" ca="1" si="1621"/>
        <v>99999.012970709329</v>
      </c>
      <c r="BK82" s="2">
        <f t="shared" ref="BK82" ca="1" si="1752">IFERROR(VLOOKUP($S82,qx_table,MATCH(BK$11,qx_title,0)+sexB),0)</f>
        <v>0</v>
      </c>
      <c r="BL82" s="131">
        <f t="shared" ca="1" si="1623"/>
        <v>0</v>
      </c>
      <c r="BM82" s="131">
        <f ca="1">SUM(BL82:BL$124)*SSg</f>
        <v>0</v>
      </c>
      <c r="BN82" s="70">
        <f t="shared" ca="1" si="1624"/>
        <v>99999.012970709329</v>
      </c>
      <c r="BO82" s="2">
        <f t="shared" ref="BO82" ca="1" si="1753">IFERROR(VLOOKUP($S82,qx_table,MATCH(BO$11,qx_title,0)+sexB),0)</f>
        <v>0</v>
      </c>
      <c r="BP82" s="131">
        <f t="shared" ca="1" si="1626"/>
        <v>0</v>
      </c>
      <c r="BQ82" s="131">
        <f ca="1">SUM(BP82:BP$124)*SSh</f>
        <v>0</v>
      </c>
      <c r="BR82" s="70">
        <f t="shared" ca="1" si="1627"/>
        <v>99999.012970709329</v>
      </c>
      <c r="BS82" s="2">
        <f t="shared" ref="BS82" ca="1" si="1754">IFERROR(VLOOKUP($S82,qx_table,MATCH(BS$11,qx_title,0)+sexB),0)*IF(R82=0,MCi,1)</f>
        <v>0</v>
      </c>
      <c r="BT82" s="131">
        <f t="shared" ca="1" si="1629"/>
        <v>0</v>
      </c>
      <c r="BU82" s="131">
        <f ca="1">SUM(BT82:BT$124)*SSi</f>
        <v>0</v>
      </c>
      <c r="BV82" s="70">
        <f t="shared" ca="1" si="1630"/>
        <v>99999.012970709329</v>
      </c>
      <c r="BW82" s="2">
        <f t="shared" ref="BW82" ca="1" si="1755">IFERROR(VLOOKUP($S82,qx_table,MATCH(BW$11,qx_title,0)+sexB),0)</f>
        <v>0</v>
      </c>
      <c r="BX82" s="131">
        <f t="shared" ca="1" si="1632"/>
        <v>0</v>
      </c>
      <c r="BY82" s="131">
        <f ca="1">SUM(BX82:BX$124)*SSj</f>
        <v>0</v>
      </c>
      <c r="BZ82" s="70">
        <f t="shared" ca="1" si="1633"/>
        <v>99999.012970709329</v>
      </c>
      <c r="CA82" s="2">
        <f t="shared" ref="CA82" ca="1" si="1756">IFERROR(VLOOKUP($S82,qx_table,MATCH(CA$11,qx_title,0)+sexB),0)</f>
        <v>0</v>
      </c>
      <c r="CB82" s="131">
        <f t="shared" ca="1" si="1635"/>
        <v>0</v>
      </c>
      <c r="CC82" s="131">
        <f ca="1">SUM(CB82:CB$124)*SSk</f>
        <v>0</v>
      </c>
      <c r="CD82" s="8">
        <f t="shared" ca="1" si="1636"/>
        <v>99999.012970709329</v>
      </c>
      <c r="CE82" s="2">
        <f t="shared" ref="CE82" ca="1" si="1757">IFERROR(VLOOKUP($S82,qx_table,MATCH(CE$11,qx_title,0)+sexB),0)</f>
        <v>0</v>
      </c>
      <c r="CF82" s="131">
        <f t="shared" ca="1" si="1638"/>
        <v>0</v>
      </c>
      <c r="CG82" s="131">
        <f ca="1">SUM(CF82:CF$124)*SSl</f>
        <v>0</v>
      </c>
      <c r="CH82" s="101">
        <f t="shared" ca="1" si="1639"/>
        <v>0</v>
      </c>
      <c r="CI82" s="154">
        <f t="shared" ca="1" si="1582"/>
        <v>0</v>
      </c>
      <c r="CJ82" s="32">
        <f t="shared" ref="CJ82" ca="1" si="1758">+MAX(VLOOKUP(xB+$R82,기수표B,$AH$1)-VLOOKUP(xB+mB,기수표B,$AH$1),0)</f>
        <v>0</v>
      </c>
      <c r="CK82" s="32">
        <f t="shared" ref="CK82" ca="1" si="1759">+MAX(VLOOKUP(xB+$R82,기수표B,$AH$1)-VLOOKUP(xB+mB,기수표B,$AH$1)-11/24*(VLOOKUP(xB+$R82,기수표B,$AG$1)-VLOOKUP(xB+mB,기수표B,$AG$1)),0)</f>
        <v>0</v>
      </c>
      <c r="CL82" s="32">
        <f t="shared" ref="CL82" ca="1" si="1760">+MAX(VLOOKUP(xB+$R82,기수표B,$AA$1)-VLOOKUP(xB+mB,기수표B,$AA$1),0)</f>
        <v>0</v>
      </c>
      <c r="CM82" s="32">
        <f t="shared" ref="CM82" ca="1" si="1761">+MAX(VLOOKUP(xB+$R82,기수표B,$AA$1)-VLOOKUP(xB+mB,기수표B,$AA$1)-11/24*(VLOOKUP(xB+$R82,기수표B,$AA$1)-VLOOKUP(xB+mB,기수표B,$AA$1)),0)</f>
        <v>0</v>
      </c>
      <c r="CN82" s="32">
        <f t="shared" si="1587"/>
        <v>0</v>
      </c>
      <c r="CO82" s="32">
        <f t="shared" ca="1" si="1588"/>
        <v>0</v>
      </c>
      <c r="CP82" s="259">
        <f t="shared" ca="1" si="1589"/>
        <v>0</v>
      </c>
      <c r="CQ82" s="259">
        <f t="shared" ca="1" si="1590"/>
        <v>0</v>
      </c>
      <c r="CR82" s="259" t="e">
        <f t="shared" ca="1" si="1591"/>
        <v>#DIV/0!</v>
      </c>
      <c r="CS82" s="31">
        <f t="shared" ref="CS82" si="1762">+MIN(mB,7)</f>
        <v>5</v>
      </c>
      <c r="CU82" s="13">
        <v>70</v>
      </c>
      <c r="CV82" s="477">
        <f t="shared" ca="1" si="1593"/>
        <v>420</v>
      </c>
      <c r="CW82" s="477" t="e">
        <f t="shared" ca="1" si="1594"/>
        <v>#DIV/0!</v>
      </c>
      <c r="CX82" s="477">
        <f t="shared" ca="1" si="1595"/>
        <v>0</v>
      </c>
      <c r="CY82" s="478">
        <f t="shared" ca="1" si="1645"/>
        <v>0</v>
      </c>
    </row>
    <row r="83" spans="14:103">
      <c r="N83" s="5">
        <f t="shared" si="1646"/>
        <v>71</v>
      </c>
      <c r="O83" s="2">
        <f t="shared" ref="O83" ca="1" si="1763">+(1+iB)^-N83</f>
        <v>0.20601769117860499</v>
      </c>
      <c r="P83" s="2">
        <f t="shared" ref="P83" ca="1" si="1764">+(1+iB)^-(N83+0.5)</f>
        <v>0.20373838414051645</v>
      </c>
      <c r="Q83" s="91"/>
      <c r="R83" s="20">
        <f t="shared" si="1649"/>
        <v>71</v>
      </c>
      <c r="S83" s="20" t="str">
        <f t="shared" ref="S83" si="1765">+IF(xB+R83&lt;=xB+nB,xB+R83,"")</f>
        <v/>
      </c>
      <c r="T83" s="2">
        <f t="shared" ref="T83:U83" ca="1" si="1766">IFERROR(VLOOKUP($S83,qx_table,MATCH(T$11,qx_title,0)+sexB),0)</f>
        <v>0</v>
      </c>
      <c r="U83" s="2">
        <f t="shared" ca="1" si="1766"/>
        <v>0</v>
      </c>
      <c r="V83" s="300">
        <f>IF(JRB=2,0,IF(R83&gt;=mB-1,_xlfn.XLOOKUP(R83-mB,해지율!#REF!,해지율!#REF!,,1),_xlfn.XLOOKUP(R83,해지율!#REF!,해지율!#REF!,,-1)))</f>
        <v>0</v>
      </c>
      <c r="W83" s="8">
        <f t="shared" ref="W83" si="1767">IF(R83=0,100000,IF(R83&gt;nB,0,W82*(1-X82)*(1-Y82)))</f>
        <v>0</v>
      </c>
      <c r="X83" s="10">
        <f t="shared" ca="1" si="1561"/>
        <v>0</v>
      </c>
      <c r="Y83" s="10">
        <f t="shared" ca="1" si="1562"/>
        <v>0</v>
      </c>
      <c r="Z83" s="5">
        <f t="shared" ca="1" si="1601"/>
        <v>0</v>
      </c>
      <c r="AA83" s="5">
        <f ca="1">+SUM(Z83:Z$124)</f>
        <v>0</v>
      </c>
      <c r="AB83" s="8">
        <f t="shared" ca="1" si="1563"/>
        <v>0</v>
      </c>
      <c r="AC83" s="209">
        <f ca="1">+SUM(AB83:AB$124)*SSSM</f>
        <v>0</v>
      </c>
      <c r="AD83" s="209">
        <f t="shared" ref="AD83" si="1768">IF(R83&gt;nB,0,AD82*(1-X82)*(1-Y82)*(1-AE82)*(1-AF82))</f>
        <v>0</v>
      </c>
      <c r="AE83" s="92">
        <f t="shared" ca="1" si="1565"/>
        <v>0</v>
      </c>
      <c r="AF83" s="92">
        <f t="shared" ca="1" si="1566"/>
        <v>0</v>
      </c>
      <c r="AG83" s="664">
        <f t="shared" ca="1" si="1567"/>
        <v>0</v>
      </c>
      <c r="AH83" s="5">
        <f ca="1">+SUM(AG83:AG$124)</f>
        <v>0</v>
      </c>
      <c r="AI83" s="70">
        <f t="shared" ca="1" si="1568"/>
        <v>0</v>
      </c>
      <c r="AJ83" s="208">
        <f ca="1">+SUM(AB83:AB$124)*SS50J</f>
        <v>0</v>
      </c>
      <c r="AK83" s="5">
        <f t="shared" ca="1" si="1603"/>
        <v>99999.012970709329</v>
      </c>
      <c r="AL83" s="2">
        <f t="shared" ref="AL83" ca="1" si="1769">IFERROR(VLOOKUP($S83,qx_table,MATCH(AL$11,qx_title,0)+sexB),0)</f>
        <v>0</v>
      </c>
      <c r="AM83" s="131">
        <f t="shared" ca="1" si="1605"/>
        <v>20601.565772364909</v>
      </c>
      <c r="AN83" s="129">
        <f t="shared" ca="1" si="1606"/>
        <v>0</v>
      </c>
      <c r="AO83" s="129">
        <f ca="1">SUM(AN83:AN$124)*SSa</f>
        <v>0</v>
      </c>
      <c r="AP83" s="70">
        <f t="shared" ca="1" si="1607"/>
        <v>99999.012970709329</v>
      </c>
      <c r="AQ83" s="2">
        <f t="shared" ref="AQ83" ca="1" si="1770">IFERROR(VLOOKUP($S83,qx_table,MATCH(AQ$11,qx_title,0)+sexB),0)</f>
        <v>0</v>
      </c>
      <c r="AR83" s="127">
        <f t="shared" ca="1" si="1609"/>
        <v>0</v>
      </c>
      <c r="AS83" s="127">
        <f ca="1">SUM(AR83:AR$124)*SSb</f>
        <v>0</v>
      </c>
      <c r="AT83" s="70">
        <f t="shared" ca="1" si="1610"/>
        <v>99999.012970709329</v>
      </c>
      <c r="AU83" s="2">
        <f t="shared" ref="AU83" ca="1" si="1771">IFERROR(VLOOKUP($S83,qx_table,MATCH(AU$11,qx_title,0)+sexB),0)</f>
        <v>0</v>
      </c>
      <c r="AV83" s="268">
        <f t="shared" ca="1" si="1612"/>
        <v>0</v>
      </c>
      <c r="AW83" s="131">
        <f ca="1">SUM(AV83:AV$124)*SSc</f>
        <v>0</v>
      </c>
      <c r="AX83" s="70">
        <f t="shared" ca="1" si="1613"/>
        <v>99999.012970709329</v>
      </c>
      <c r="AY83" s="2">
        <f t="shared" ref="AY83" ca="1" si="1772">IFERROR(VLOOKUP($S83,qx_table,MATCH(AY$11,qx_title,0)+sexB),0)</f>
        <v>0</v>
      </c>
      <c r="AZ83" s="268">
        <f t="shared" ca="1" si="1573"/>
        <v>0</v>
      </c>
      <c r="BA83" s="129">
        <f ca="1">SUM(AZ83:AZ$124)*SSd</f>
        <v>0</v>
      </c>
      <c r="BB83" s="70">
        <f t="shared" ca="1" si="1615"/>
        <v>99999.012970709329</v>
      </c>
      <c r="BC83" s="257">
        <f t="shared" ref="BC83" ca="1" si="1773">IFERROR(VLOOKUP($S83,qx_table,MATCH(BC$11,qx_title,0)+sexB),0)</f>
        <v>0</v>
      </c>
      <c r="BD83" s="268">
        <f t="shared" ca="1" si="1617"/>
        <v>0</v>
      </c>
      <c r="BE83" s="131">
        <f ca="1">SUM(BD83:BD$124)*SSe</f>
        <v>0</v>
      </c>
      <c r="BF83" s="70">
        <f t="shared" ca="1" si="1618"/>
        <v>99999.012970709329</v>
      </c>
      <c r="BG83" s="2">
        <f t="shared" ref="BG83" ca="1" si="1774">IFERROR(VLOOKUP($S83,qx_table,MATCH(BG$11,qx_title,0)+sexB),0)</f>
        <v>0</v>
      </c>
      <c r="BH83" s="131">
        <f t="shared" ca="1" si="1620"/>
        <v>0</v>
      </c>
      <c r="BI83" s="2">
        <f ca="1">SUM(BH83:BH$124)*SSf</f>
        <v>0</v>
      </c>
      <c r="BJ83" s="70">
        <f t="shared" ca="1" si="1621"/>
        <v>99999.012970709329</v>
      </c>
      <c r="BK83" s="2">
        <f t="shared" ref="BK83" ca="1" si="1775">IFERROR(VLOOKUP($S83,qx_table,MATCH(BK$11,qx_title,0)+sexB),0)</f>
        <v>0</v>
      </c>
      <c r="BL83" s="131">
        <f t="shared" ca="1" si="1623"/>
        <v>0</v>
      </c>
      <c r="BM83" s="131">
        <f ca="1">SUM(BL83:BL$124)*SSg</f>
        <v>0</v>
      </c>
      <c r="BN83" s="70">
        <f t="shared" ca="1" si="1624"/>
        <v>99999.012970709329</v>
      </c>
      <c r="BO83" s="2">
        <f t="shared" ref="BO83" ca="1" si="1776">IFERROR(VLOOKUP($S83,qx_table,MATCH(BO$11,qx_title,0)+sexB),0)</f>
        <v>0</v>
      </c>
      <c r="BP83" s="131">
        <f t="shared" ca="1" si="1626"/>
        <v>0</v>
      </c>
      <c r="BQ83" s="131">
        <f ca="1">SUM(BP83:BP$124)*SSh</f>
        <v>0</v>
      </c>
      <c r="BR83" s="70">
        <f t="shared" ca="1" si="1627"/>
        <v>99999.012970709329</v>
      </c>
      <c r="BS83" s="2">
        <f t="shared" ref="BS83" ca="1" si="1777">IFERROR(VLOOKUP($S83,qx_table,MATCH(BS$11,qx_title,0)+sexB),0)*IF(R83=0,MCi,1)</f>
        <v>0</v>
      </c>
      <c r="BT83" s="131">
        <f t="shared" ca="1" si="1629"/>
        <v>0</v>
      </c>
      <c r="BU83" s="131">
        <f ca="1">SUM(BT83:BT$124)*SSi</f>
        <v>0</v>
      </c>
      <c r="BV83" s="70">
        <f t="shared" ca="1" si="1630"/>
        <v>99999.012970709329</v>
      </c>
      <c r="BW83" s="2">
        <f t="shared" ref="BW83" ca="1" si="1778">IFERROR(VLOOKUP($S83,qx_table,MATCH(BW$11,qx_title,0)+sexB),0)</f>
        <v>0</v>
      </c>
      <c r="BX83" s="131">
        <f t="shared" ca="1" si="1632"/>
        <v>0</v>
      </c>
      <c r="BY83" s="131">
        <f ca="1">SUM(BX83:BX$124)*SSj</f>
        <v>0</v>
      </c>
      <c r="BZ83" s="70">
        <f t="shared" ca="1" si="1633"/>
        <v>99999.012970709329</v>
      </c>
      <c r="CA83" s="2">
        <f t="shared" ref="CA83" ca="1" si="1779">IFERROR(VLOOKUP($S83,qx_table,MATCH(CA$11,qx_title,0)+sexB),0)</f>
        <v>0</v>
      </c>
      <c r="CB83" s="131">
        <f t="shared" ca="1" si="1635"/>
        <v>0</v>
      </c>
      <c r="CC83" s="131">
        <f ca="1">SUM(CB83:CB$124)*SSk</f>
        <v>0</v>
      </c>
      <c r="CD83" s="8">
        <f t="shared" ca="1" si="1636"/>
        <v>99999.012970709329</v>
      </c>
      <c r="CE83" s="2">
        <f t="shared" ref="CE83" ca="1" si="1780">IFERROR(VLOOKUP($S83,qx_table,MATCH(CE$11,qx_title,0)+sexB),0)</f>
        <v>0</v>
      </c>
      <c r="CF83" s="131">
        <f t="shared" ca="1" si="1638"/>
        <v>0</v>
      </c>
      <c r="CG83" s="131">
        <f ca="1">SUM(CF83:CF$124)*SSl</f>
        <v>0</v>
      </c>
      <c r="CH83" s="101">
        <f t="shared" ca="1" si="1639"/>
        <v>0</v>
      </c>
      <c r="CI83" s="154">
        <f t="shared" ca="1" si="1582"/>
        <v>0</v>
      </c>
      <c r="CJ83" s="32">
        <f t="shared" ref="CJ83" ca="1" si="1781">+MAX(VLOOKUP(xB+$R83,기수표B,$AH$1)-VLOOKUP(xB+mB,기수표B,$AH$1),0)</f>
        <v>0</v>
      </c>
      <c r="CK83" s="32">
        <f t="shared" ref="CK83" ca="1" si="1782">+MAX(VLOOKUP(xB+$R83,기수표B,$AH$1)-VLOOKUP(xB+mB,기수표B,$AH$1)-11/24*(VLOOKUP(xB+$R83,기수표B,$AG$1)-VLOOKUP(xB+mB,기수표B,$AG$1)),0)</f>
        <v>0</v>
      </c>
      <c r="CL83" s="32">
        <f t="shared" ref="CL83" ca="1" si="1783">+MAX(VLOOKUP(xB+$R83,기수표B,$AA$1)-VLOOKUP(xB+mB,기수표B,$AA$1),0)</f>
        <v>0</v>
      </c>
      <c r="CM83" s="32">
        <f t="shared" ref="CM83" ca="1" si="1784">+MAX(VLOOKUP(xB+$R83,기수표B,$AA$1)-VLOOKUP(xB+mB,기수표B,$AA$1)-11/24*(VLOOKUP(xB+$R83,기수표B,$AA$1)-VLOOKUP(xB+mB,기수표B,$AA$1)),0)</f>
        <v>0</v>
      </c>
      <c r="CN83" s="32">
        <f t="shared" si="1587"/>
        <v>0</v>
      </c>
      <c r="CO83" s="32">
        <f t="shared" ca="1" si="1588"/>
        <v>0</v>
      </c>
      <c r="CP83" s="259">
        <f t="shared" ca="1" si="1589"/>
        <v>0</v>
      </c>
      <c r="CQ83" s="259">
        <f t="shared" ca="1" si="1590"/>
        <v>0</v>
      </c>
      <c r="CR83" s="259" t="e">
        <f t="shared" ca="1" si="1591"/>
        <v>#DIV/0!</v>
      </c>
      <c r="CS83" s="31">
        <f t="shared" ref="CS83" si="1785">+MIN(mB,7)</f>
        <v>5</v>
      </c>
      <c r="CU83" s="13">
        <v>71</v>
      </c>
      <c r="CV83" s="477">
        <f t="shared" ca="1" si="1593"/>
        <v>420</v>
      </c>
      <c r="CW83" s="477" t="e">
        <f t="shared" ca="1" si="1594"/>
        <v>#DIV/0!</v>
      </c>
      <c r="CX83" s="477">
        <f t="shared" ca="1" si="1595"/>
        <v>0</v>
      </c>
      <c r="CY83" s="478">
        <f t="shared" ca="1" si="1645"/>
        <v>0</v>
      </c>
    </row>
    <row r="84" spans="14:103">
      <c r="N84" s="5">
        <f t="shared" si="1646"/>
        <v>72</v>
      </c>
      <c r="O84" s="2">
        <f t="shared" ref="O84" ca="1" si="1786">+(1+iB)^-N84</f>
        <v>0.20148429455120295</v>
      </c>
      <c r="P84" s="2">
        <f t="shared" ref="P84" ca="1" si="1787">+(1+iB)^-(N84+0.5)</f>
        <v>0.19925514341370809</v>
      </c>
      <c r="Q84" s="91"/>
      <c r="R84" s="20">
        <f t="shared" si="1649"/>
        <v>72</v>
      </c>
      <c r="S84" s="20" t="str">
        <f t="shared" ref="S84" si="1788">+IF(xB+R84&lt;=xB+nB,xB+R84,"")</f>
        <v/>
      </c>
      <c r="T84" s="2">
        <f t="shared" ref="T84:U84" ca="1" si="1789">IFERROR(VLOOKUP($S84,qx_table,MATCH(T$11,qx_title,0)+sexB),0)</f>
        <v>0</v>
      </c>
      <c r="U84" s="2">
        <f t="shared" ca="1" si="1789"/>
        <v>0</v>
      </c>
      <c r="V84" s="300">
        <f>IF(JRB=2,0,IF(R84&gt;=mB-1,_xlfn.XLOOKUP(R84-mB,해지율!#REF!,해지율!#REF!,,1),_xlfn.XLOOKUP(R84,해지율!#REF!,해지율!#REF!,,-1)))</f>
        <v>0</v>
      </c>
      <c r="W84" s="8">
        <f t="shared" ref="W84" si="1790">IF(R84=0,100000,IF(R84&gt;nB,0,W83*(1-X83)*(1-Y83)))</f>
        <v>0</v>
      </c>
      <c r="X84" s="10">
        <f t="shared" ca="1" si="1561"/>
        <v>0</v>
      </c>
      <c r="Y84" s="10">
        <f t="shared" ca="1" si="1562"/>
        <v>0</v>
      </c>
      <c r="Z84" s="5">
        <f t="shared" ca="1" si="1601"/>
        <v>0</v>
      </c>
      <c r="AA84" s="5">
        <f ca="1">+SUM(Z84:Z$124)</f>
        <v>0</v>
      </c>
      <c r="AB84" s="8">
        <f t="shared" ca="1" si="1563"/>
        <v>0</v>
      </c>
      <c r="AC84" s="209">
        <f ca="1">+SUM(AB84:AB$124)*SSSM</f>
        <v>0</v>
      </c>
      <c r="AD84" s="209">
        <f t="shared" ref="AD84" si="1791">IF(R84&gt;nB,0,AD83*(1-X83)*(1-Y83)*(1-AE83)*(1-AF83))</f>
        <v>0</v>
      </c>
      <c r="AE84" s="92">
        <f t="shared" ca="1" si="1565"/>
        <v>0</v>
      </c>
      <c r="AF84" s="92">
        <f t="shared" ca="1" si="1566"/>
        <v>0</v>
      </c>
      <c r="AG84" s="664">
        <f t="shared" ca="1" si="1567"/>
        <v>0</v>
      </c>
      <c r="AH84" s="5">
        <f ca="1">+SUM(AG84:AG$124)</f>
        <v>0</v>
      </c>
      <c r="AI84" s="70">
        <f t="shared" ca="1" si="1568"/>
        <v>0</v>
      </c>
      <c r="AJ84" s="208">
        <f ca="1">+SUM(AB84:AB$124)*SS50J</f>
        <v>0</v>
      </c>
      <c r="AK84" s="5">
        <f t="shared" ca="1" si="1603"/>
        <v>99999.012970709329</v>
      </c>
      <c r="AL84" s="2">
        <f t="shared" ref="AL84" ca="1" si="1792">IFERROR(VLOOKUP($S84,qx_table,MATCH(AL$11,qx_title,0)+sexB),0)</f>
        <v>0</v>
      </c>
      <c r="AM84" s="131">
        <f t="shared" ca="1" si="1605"/>
        <v>20148.230584219964</v>
      </c>
      <c r="AN84" s="129">
        <f t="shared" ca="1" si="1606"/>
        <v>0</v>
      </c>
      <c r="AO84" s="129">
        <f ca="1">SUM(AN84:AN$124)*SSa</f>
        <v>0</v>
      </c>
      <c r="AP84" s="70">
        <f t="shared" ca="1" si="1607"/>
        <v>99999.012970709329</v>
      </c>
      <c r="AQ84" s="2">
        <f t="shared" ref="AQ84" ca="1" si="1793">IFERROR(VLOOKUP($S84,qx_table,MATCH(AQ$11,qx_title,0)+sexB),0)</f>
        <v>0</v>
      </c>
      <c r="AR84" s="127">
        <f t="shared" ca="1" si="1609"/>
        <v>0</v>
      </c>
      <c r="AS84" s="127">
        <f ca="1">SUM(AR84:AR$124)*SSb</f>
        <v>0</v>
      </c>
      <c r="AT84" s="70">
        <f t="shared" ca="1" si="1610"/>
        <v>99999.012970709329</v>
      </c>
      <c r="AU84" s="2">
        <f t="shared" ref="AU84" ca="1" si="1794">IFERROR(VLOOKUP($S84,qx_table,MATCH(AU$11,qx_title,0)+sexB),0)</f>
        <v>0</v>
      </c>
      <c r="AV84" s="268">
        <f t="shared" ca="1" si="1612"/>
        <v>0</v>
      </c>
      <c r="AW84" s="131">
        <f ca="1">SUM(AV84:AV$124)*SSc</f>
        <v>0</v>
      </c>
      <c r="AX84" s="70">
        <f t="shared" ca="1" si="1613"/>
        <v>99999.012970709329</v>
      </c>
      <c r="AY84" s="2">
        <f t="shared" ref="AY84" ca="1" si="1795">IFERROR(VLOOKUP($S84,qx_table,MATCH(AY$11,qx_title,0)+sexB),0)</f>
        <v>0</v>
      </c>
      <c r="AZ84" s="268">
        <f t="shared" ca="1" si="1573"/>
        <v>0</v>
      </c>
      <c r="BA84" s="129">
        <f ca="1">SUM(AZ84:AZ$124)*SSd</f>
        <v>0</v>
      </c>
      <c r="BB84" s="70">
        <f t="shared" ca="1" si="1615"/>
        <v>99999.012970709329</v>
      </c>
      <c r="BC84" s="257">
        <f t="shared" ref="BC84" ca="1" si="1796">IFERROR(VLOOKUP($S84,qx_table,MATCH(BC$11,qx_title,0)+sexB),0)</f>
        <v>0</v>
      </c>
      <c r="BD84" s="268">
        <f t="shared" ca="1" si="1617"/>
        <v>0</v>
      </c>
      <c r="BE84" s="131">
        <f ca="1">SUM(BD84:BD$124)*SSe</f>
        <v>0</v>
      </c>
      <c r="BF84" s="70">
        <f t="shared" ca="1" si="1618"/>
        <v>99999.012970709329</v>
      </c>
      <c r="BG84" s="2">
        <f t="shared" ref="BG84" ca="1" si="1797">IFERROR(VLOOKUP($S84,qx_table,MATCH(BG$11,qx_title,0)+sexB),0)</f>
        <v>0</v>
      </c>
      <c r="BH84" s="131">
        <f t="shared" ca="1" si="1620"/>
        <v>0</v>
      </c>
      <c r="BI84" s="2">
        <f ca="1">SUM(BH84:BH$124)*SSf</f>
        <v>0</v>
      </c>
      <c r="BJ84" s="70">
        <f t="shared" ca="1" si="1621"/>
        <v>99999.012970709329</v>
      </c>
      <c r="BK84" s="2">
        <f t="shared" ref="BK84" ca="1" si="1798">IFERROR(VLOOKUP($S84,qx_table,MATCH(BK$11,qx_title,0)+sexB),0)</f>
        <v>0</v>
      </c>
      <c r="BL84" s="131">
        <f t="shared" ca="1" si="1623"/>
        <v>0</v>
      </c>
      <c r="BM84" s="131">
        <f ca="1">SUM(BL84:BL$124)*SSg</f>
        <v>0</v>
      </c>
      <c r="BN84" s="70">
        <f t="shared" ca="1" si="1624"/>
        <v>99999.012970709329</v>
      </c>
      <c r="BO84" s="2">
        <f t="shared" ref="BO84" ca="1" si="1799">IFERROR(VLOOKUP($S84,qx_table,MATCH(BO$11,qx_title,0)+sexB),0)</f>
        <v>0</v>
      </c>
      <c r="BP84" s="131">
        <f t="shared" ca="1" si="1626"/>
        <v>0</v>
      </c>
      <c r="BQ84" s="131">
        <f ca="1">SUM(BP84:BP$124)*SSh</f>
        <v>0</v>
      </c>
      <c r="BR84" s="70">
        <f t="shared" ca="1" si="1627"/>
        <v>99999.012970709329</v>
      </c>
      <c r="BS84" s="2">
        <f t="shared" ref="BS84" ca="1" si="1800">IFERROR(VLOOKUP($S84,qx_table,MATCH(BS$11,qx_title,0)+sexB),0)*IF(R84=0,MCi,1)</f>
        <v>0</v>
      </c>
      <c r="BT84" s="131">
        <f t="shared" ca="1" si="1629"/>
        <v>0</v>
      </c>
      <c r="BU84" s="131">
        <f ca="1">SUM(BT84:BT$124)*SSi</f>
        <v>0</v>
      </c>
      <c r="BV84" s="70">
        <f t="shared" ca="1" si="1630"/>
        <v>99999.012970709329</v>
      </c>
      <c r="BW84" s="2">
        <f t="shared" ref="BW84" ca="1" si="1801">IFERROR(VLOOKUP($S84,qx_table,MATCH(BW$11,qx_title,0)+sexB),0)</f>
        <v>0</v>
      </c>
      <c r="BX84" s="131">
        <f t="shared" ca="1" si="1632"/>
        <v>0</v>
      </c>
      <c r="BY84" s="131">
        <f ca="1">SUM(BX84:BX$124)*SSj</f>
        <v>0</v>
      </c>
      <c r="BZ84" s="70">
        <f t="shared" ca="1" si="1633"/>
        <v>99999.012970709329</v>
      </c>
      <c r="CA84" s="2">
        <f t="shared" ref="CA84" ca="1" si="1802">IFERROR(VLOOKUP($S84,qx_table,MATCH(CA$11,qx_title,0)+sexB),0)</f>
        <v>0</v>
      </c>
      <c r="CB84" s="131">
        <f t="shared" ca="1" si="1635"/>
        <v>0</v>
      </c>
      <c r="CC84" s="131">
        <f ca="1">SUM(CB84:CB$124)*SSk</f>
        <v>0</v>
      </c>
      <c r="CD84" s="8">
        <f t="shared" ca="1" si="1636"/>
        <v>99999.012970709329</v>
      </c>
      <c r="CE84" s="2">
        <f t="shared" ref="CE84" ca="1" si="1803">IFERROR(VLOOKUP($S84,qx_table,MATCH(CE$11,qx_title,0)+sexB),0)</f>
        <v>0</v>
      </c>
      <c r="CF84" s="131">
        <f t="shared" ca="1" si="1638"/>
        <v>0</v>
      </c>
      <c r="CG84" s="131">
        <f ca="1">SUM(CF84:CF$124)*SSl</f>
        <v>0</v>
      </c>
      <c r="CH84" s="101">
        <f t="shared" ca="1" si="1639"/>
        <v>0</v>
      </c>
      <c r="CI84" s="154">
        <f t="shared" ca="1" si="1582"/>
        <v>0</v>
      </c>
      <c r="CJ84" s="32">
        <f t="shared" ref="CJ84" ca="1" si="1804">+MAX(VLOOKUP(xB+$R84,기수표B,$AH$1)-VLOOKUP(xB+mB,기수표B,$AH$1),0)</f>
        <v>0</v>
      </c>
      <c r="CK84" s="32">
        <f t="shared" ref="CK84" ca="1" si="1805">+MAX(VLOOKUP(xB+$R84,기수표B,$AH$1)-VLOOKUP(xB+mB,기수표B,$AH$1)-11/24*(VLOOKUP(xB+$R84,기수표B,$AG$1)-VLOOKUP(xB+mB,기수표B,$AG$1)),0)</f>
        <v>0</v>
      </c>
      <c r="CL84" s="32">
        <f t="shared" ref="CL84" ca="1" si="1806">+MAX(VLOOKUP(xB+$R84,기수표B,$AA$1)-VLOOKUP(xB+mB,기수표B,$AA$1),0)</f>
        <v>0</v>
      </c>
      <c r="CM84" s="32">
        <f t="shared" ref="CM84" ca="1" si="1807">+MAX(VLOOKUP(xB+$R84,기수표B,$AA$1)-VLOOKUP(xB+mB,기수표B,$AA$1)-11/24*(VLOOKUP(xB+$R84,기수표B,$AA$1)-VLOOKUP(xB+mB,기수표B,$AA$1)),0)</f>
        <v>0</v>
      </c>
      <c r="CN84" s="32">
        <f t="shared" si="1587"/>
        <v>0</v>
      </c>
      <c r="CO84" s="32">
        <f t="shared" ca="1" si="1588"/>
        <v>0</v>
      </c>
      <c r="CP84" s="259">
        <f t="shared" ca="1" si="1589"/>
        <v>0</v>
      </c>
      <c r="CQ84" s="259">
        <f t="shared" ca="1" si="1590"/>
        <v>0</v>
      </c>
      <c r="CR84" s="259" t="e">
        <f t="shared" ca="1" si="1591"/>
        <v>#DIV/0!</v>
      </c>
      <c r="CS84" s="31">
        <f t="shared" ref="CS84" si="1808">+MIN(mB,7)</f>
        <v>5</v>
      </c>
      <c r="CU84" s="13">
        <v>72</v>
      </c>
      <c r="CV84" s="477">
        <f t="shared" ca="1" si="1593"/>
        <v>420</v>
      </c>
      <c r="CW84" s="477" t="e">
        <f t="shared" ca="1" si="1594"/>
        <v>#DIV/0!</v>
      </c>
      <c r="CX84" s="477">
        <f t="shared" ca="1" si="1595"/>
        <v>0</v>
      </c>
      <c r="CY84" s="478">
        <f t="shared" ca="1" si="1645"/>
        <v>0</v>
      </c>
    </row>
    <row r="85" spans="14:103">
      <c r="N85" s="5">
        <f t="shared" si="1646"/>
        <v>73</v>
      </c>
      <c r="O85" s="2">
        <f t="shared" ref="O85" ca="1" si="1809">+(1+iB)^-N85</f>
        <v>0.19705065481780243</v>
      </c>
      <c r="P85" s="2">
        <f t="shared" ref="P85" ca="1" si="1810">+(1+iB)^-(N85+0.5)</f>
        <v>0.19487055590582697</v>
      </c>
      <c r="Q85" s="91"/>
      <c r="R85" s="20">
        <f t="shared" si="1649"/>
        <v>73</v>
      </c>
      <c r="S85" s="20" t="str">
        <f t="shared" ref="S85" si="1811">+IF(xB+R85&lt;=xB+nB,xB+R85,"")</f>
        <v/>
      </c>
      <c r="T85" s="2">
        <f t="shared" ref="T85:U85" ca="1" si="1812">IFERROR(VLOOKUP($S85,qx_table,MATCH(T$11,qx_title,0)+sexB),0)</f>
        <v>0</v>
      </c>
      <c r="U85" s="2">
        <f t="shared" ca="1" si="1812"/>
        <v>0</v>
      </c>
      <c r="V85" s="300">
        <f>IF(JRB=2,0,IF(R85&gt;=mB-1,_xlfn.XLOOKUP(R85-mB,해지율!#REF!,해지율!#REF!,,1),_xlfn.XLOOKUP(R85,해지율!#REF!,해지율!#REF!,,-1)))</f>
        <v>0</v>
      </c>
      <c r="W85" s="8">
        <f t="shared" ref="W85" si="1813">IF(R85=0,100000,IF(R85&gt;nB,0,W84*(1-X84)*(1-Y84)))</f>
        <v>0</v>
      </c>
      <c r="X85" s="10">
        <f t="shared" ca="1" si="1561"/>
        <v>0</v>
      </c>
      <c r="Y85" s="10">
        <f t="shared" ca="1" si="1562"/>
        <v>0</v>
      </c>
      <c r="Z85" s="5">
        <f t="shared" ca="1" si="1601"/>
        <v>0</v>
      </c>
      <c r="AA85" s="5">
        <f ca="1">+SUM(Z85:Z$124)</f>
        <v>0</v>
      </c>
      <c r="AB85" s="8">
        <f t="shared" ca="1" si="1563"/>
        <v>0</v>
      </c>
      <c r="AC85" s="209">
        <f ca="1">+SUM(AB85:AB$124)*SSSM</f>
        <v>0</v>
      </c>
      <c r="AD85" s="209">
        <f t="shared" ref="AD85" si="1814">IF(R85&gt;nB,0,AD84*(1-X84)*(1-Y84)*(1-AE84)*(1-AF84))</f>
        <v>0</v>
      </c>
      <c r="AE85" s="92">
        <f t="shared" ca="1" si="1565"/>
        <v>0</v>
      </c>
      <c r="AF85" s="92">
        <f t="shared" ca="1" si="1566"/>
        <v>0</v>
      </c>
      <c r="AG85" s="664">
        <f t="shared" ca="1" si="1567"/>
        <v>0</v>
      </c>
      <c r="AH85" s="5">
        <f ca="1">+SUM(AG85:AG$124)</f>
        <v>0</v>
      </c>
      <c r="AI85" s="70">
        <f t="shared" ca="1" si="1568"/>
        <v>0</v>
      </c>
      <c r="AJ85" s="208">
        <f ca="1">+SUM(AB85:AB$124)*SS50J</f>
        <v>0</v>
      </c>
      <c r="AK85" s="5">
        <f t="shared" ca="1" si="1603"/>
        <v>99999.012970709329</v>
      </c>
      <c r="AL85" s="2">
        <f t="shared" ref="AL85" ca="1" si="1815">IFERROR(VLOOKUP($S85,qx_table,MATCH(AL$11,qx_title,0)+sexB),0)</f>
        <v>0</v>
      </c>
      <c r="AM85" s="131">
        <f t="shared" ca="1" si="1605"/>
        <v>19704.870987012193</v>
      </c>
      <c r="AN85" s="129">
        <f t="shared" ca="1" si="1606"/>
        <v>0</v>
      </c>
      <c r="AO85" s="129">
        <f ca="1">SUM(AN85:AN$124)*SSa</f>
        <v>0</v>
      </c>
      <c r="AP85" s="70">
        <f t="shared" ca="1" si="1607"/>
        <v>99999.012970709329</v>
      </c>
      <c r="AQ85" s="2">
        <f t="shared" ref="AQ85" ca="1" si="1816">IFERROR(VLOOKUP($S85,qx_table,MATCH(AQ$11,qx_title,0)+sexB),0)</f>
        <v>0</v>
      </c>
      <c r="AR85" s="127">
        <f t="shared" ca="1" si="1609"/>
        <v>0</v>
      </c>
      <c r="AS85" s="127">
        <f ca="1">SUM(AR85:AR$124)*SSb</f>
        <v>0</v>
      </c>
      <c r="AT85" s="70">
        <f t="shared" ca="1" si="1610"/>
        <v>99999.012970709329</v>
      </c>
      <c r="AU85" s="2">
        <f t="shared" ref="AU85" ca="1" si="1817">IFERROR(VLOOKUP($S85,qx_table,MATCH(AU$11,qx_title,0)+sexB),0)</f>
        <v>0</v>
      </c>
      <c r="AV85" s="268">
        <f t="shared" ca="1" si="1612"/>
        <v>0</v>
      </c>
      <c r="AW85" s="131">
        <f ca="1">SUM(AV85:AV$124)*SSc</f>
        <v>0</v>
      </c>
      <c r="AX85" s="70">
        <f t="shared" ca="1" si="1613"/>
        <v>99999.012970709329</v>
      </c>
      <c r="AY85" s="2">
        <f t="shared" ref="AY85" ca="1" si="1818">IFERROR(VLOOKUP($S85,qx_table,MATCH(AY$11,qx_title,0)+sexB),0)</f>
        <v>0</v>
      </c>
      <c r="AZ85" s="268">
        <f t="shared" ca="1" si="1573"/>
        <v>0</v>
      </c>
      <c r="BA85" s="129">
        <f ca="1">SUM(AZ85:AZ$124)*SSd</f>
        <v>0</v>
      </c>
      <c r="BB85" s="70">
        <f t="shared" ca="1" si="1615"/>
        <v>99999.012970709329</v>
      </c>
      <c r="BC85" s="257">
        <f t="shared" ref="BC85" ca="1" si="1819">IFERROR(VLOOKUP($S85,qx_table,MATCH(BC$11,qx_title,0)+sexB),0)</f>
        <v>0</v>
      </c>
      <c r="BD85" s="268">
        <f t="shared" ca="1" si="1617"/>
        <v>0</v>
      </c>
      <c r="BE85" s="131">
        <f ca="1">SUM(BD85:BD$124)*SSe</f>
        <v>0</v>
      </c>
      <c r="BF85" s="70">
        <f t="shared" ca="1" si="1618"/>
        <v>99999.012970709329</v>
      </c>
      <c r="BG85" s="2">
        <f t="shared" ref="BG85" ca="1" si="1820">IFERROR(VLOOKUP($S85,qx_table,MATCH(BG$11,qx_title,0)+sexB),0)</f>
        <v>0</v>
      </c>
      <c r="BH85" s="131">
        <f t="shared" ca="1" si="1620"/>
        <v>0</v>
      </c>
      <c r="BI85" s="2">
        <f ca="1">SUM(BH85:BH$124)*SSf</f>
        <v>0</v>
      </c>
      <c r="BJ85" s="70">
        <f t="shared" ca="1" si="1621"/>
        <v>99999.012970709329</v>
      </c>
      <c r="BK85" s="2">
        <f t="shared" ref="BK85" ca="1" si="1821">IFERROR(VLOOKUP($S85,qx_table,MATCH(BK$11,qx_title,0)+sexB),0)</f>
        <v>0</v>
      </c>
      <c r="BL85" s="131">
        <f t="shared" ca="1" si="1623"/>
        <v>0</v>
      </c>
      <c r="BM85" s="131">
        <f ca="1">SUM(BL85:BL$124)*SSg</f>
        <v>0</v>
      </c>
      <c r="BN85" s="70">
        <f t="shared" ca="1" si="1624"/>
        <v>99999.012970709329</v>
      </c>
      <c r="BO85" s="2">
        <f t="shared" ref="BO85" ca="1" si="1822">IFERROR(VLOOKUP($S85,qx_table,MATCH(BO$11,qx_title,0)+sexB),0)</f>
        <v>0</v>
      </c>
      <c r="BP85" s="131">
        <f t="shared" ca="1" si="1626"/>
        <v>0</v>
      </c>
      <c r="BQ85" s="131">
        <f ca="1">SUM(BP85:BP$124)*SSh</f>
        <v>0</v>
      </c>
      <c r="BR85" s="70">
        <f t="shared" ca="1" si="1627"/>
        <v>99999.012970709329</v>
      </c>
      <c r="BS85" s="2">
        <f t="shared" ref="BS85" ca="1" si="1823">IFERROR(VLOOKUP($S85,qx_table,MATCH(BS$11,qx_title,0)+sexB),0)*IF(R85=0,MCi,1)</f>
        <v>0</v>
      </c>
      <c r="BT85" s="131">
        <f t="shared" ca="1" si="1629"/>
        <v>0</v>
      </c>
      <c r="BU85" s="131">
        <f ca="1">SUM(BT85:BT$124)*SSi</f>
        <v>0</v>
      </c>
      <c r="BV85" s="70">
        <f t="shared" ca="1" si="1630"/>
        <v>99999.012970709329</v>
      </c>
      <c r="BW85" s="2">
        <f t="shared" ref="BW85" ca="1" si="1824">IFERROR(VLOOKUP($S85,qx_table,MATCH(BW$11,qx_title,0)+sexB),0)</f>
        <v>0</v>
      </c>
      <c r="BX85" s="131">
        <f t="shared" ca="1" si="1632"/>
        <v>0</v>
      </c>
      <c r="BY85" s="131">
        <f ca="1">SUM(BX85:BX$124)*SSj</f>
        <v>0</v>
      </c>
      <c r="BZ85" s="70">
        <f t="shared" ca="1" si="1633"/>
        <v>99999.012970709329</v>
      </c>
      <c r="CA85" s="2">
        <f t="shared" ref="CA85" ca="1" si="1825">IFERROR(VLOOKUP($S85,qx_table,MATCH(CA$11,qx_title,0)+sexB),0)</f>
        <v>0</v>
      </c>
      <c r="CB85" s="131">
        <f t="shared" ca="1" si="1635"/>
        <v>0</v>
      </c>
      <c r="CC85" s="131">
        <f ca="1">SUM(CB85:CB$124)*SSk</f>
        <v>0</v>
      </c>
      <c r="CD85" s="8">
        <f t="shared" ca="1" si="1636"/>
        <v>99999.012970709329</v>
      </c>
      <c r="CE85" s="2">
        <f t="shared" ref="CE85" ca="1" si="1826">IFERROR(VLOOKUP($S85,qx_table,MATCH(CE$11,qx_title,0)+sexB),0)</f>
        <v>0</v>
      </c>
      <c r="CF85" s="131">
        <f t="shared" ca="1" si="1638"/>
        <v>0</v>
      </c>
      <c r="CG85" s="131">
        <f ca="1">SUM(CF85:CF$124)*SSl</f>
        <v>0</v>
      </c>
      <c r="CH85" s="101">
        <f t="shared" ca="1" si="1639"/>
        <v>0</v>
      </c>
      <c r="CI85" s="154">
        <f t="shared" ca="1" si="1582"/>
        <v>0</v>
      </c>
      <c r="CJ85" s="32">
        <f t="shared" ref="CJ85" ca="1" si="1827">+MAX(VLOOKUP(xB+$R85,기수표B,$AH$1)-VLOOKUP(xB+mB,기수표B,$AH$1),0)</f>
        <v>0</v>
      </c>
      <c r="CK85" s="32">
        <f t="shared" ref="CK85" ca="1" si="1828">+MAX(VLOOKUP(xB+$R85,기수표B,$AH$1)-VLOOKUP(xB+mB,기수표B,$AH$1)-11/24*(VLOOKUP(xB+$R85,기수표B,$AG$1)-VLOOKUP(xB+mB,기수표B,$AG$1)),0)</f>
        <v>0</v>
      </c>
      <c r="CL85" s="32">
        <f t="shared" ref="CL85" ca="1" si="1829">+MAX(VLOOKUP(xB+$R85,기수표B,$AA$1)-VLOOKUP(xB+mB,기수표B,$AA$1),0)</f>
        <v>0</v>
      </c>
      <c r="CM85" s="32">
        <f t="shared" ref="CM85" ca="1" si="1830">+MAX(VLOOKUP(xB+$R85,기수표B,$AA$1)-VLOOKUP(xB+mB,기수표B,$AA$1)-11/24*(VLOOKUP(xB+$R85,기수표B,$AA$1)-VLOOKUP(xB+mB,기수표B,$AA$1)),0)</f>
        <v>0</v>
      </c>
      <c r="CN85" s="32">
        <f t="shared" si="1587"/>
        <v>0</v>
      </c>
      <c r="CO85" s="32">
        <f t="shared" ca="1" si="1588"/>
        <v>0</v>
      </c>
      <c r="CP85" s="259">
        <f t="shared" ca="1" si="1589"/>
        <v>0</v>
      </c>
      <c r="CQ85" s="259">
        <f t="shared" ca="1" si="1590"/>
        <v>0</v>
      </c>
      <c r="CR85" s="259" t="e">
        <f t="shared" ca="1" si="1591"/>
        <v>#DIV/0!</v>
      </c>
      <c r="CS85" s="31">
        <f t="shared" ref="CS85" si="1831">+MIN(mB,7)</f>
        <v>5</v>
      </c>
      <c r="CU85" s="13">
        <v>73</v>
      </c>
      <c r="CV85" s="477">
        <f t="shared" ca="1" si="1593"/>
        <v>420</v>
      </c>
      <c r="CW85" s="477" t="e">
        <f t="shared" ca="1" si="1594"/>
        <v>#DIV/0!</v>
      </c>
      <c r="CX85" s="477">
        <f t="shared" ca="1" si="1595"/>
        <v>0</v>
      </c>
      <c r="CY85" s="478">
        <f t="shared" ca="1" si="1645"/>
        <v>0</v>
      </c>
    </row>
    <row r="86" spans="14:103">
      <c r="N86" s="5">
        <f t="shared" si="1646"/>
        <v>74</v>
      </c>
      <c r="O86" s="2">
        <f t="shared" ref="O86" ca="1" si="1832">+(1+iB)^-N86</f>
        <v>0.19271457683892659</v>
      </c>
      <c r="P86" s="2">
        <f t="shared" ref="P86" ca="1" si="1833">+(1+iB)^-(N86+0.5)</f>
        <v>0.19058245076364494</v>
      </c>
      <c r="Q86" s="91"/>
      <c r="R86" s="20">
        <f t="shared" si="1649"/>
        <v>74</v>
      </c>
      <c r="S86" s="20" t="str">
        <f t="shared" ref="S86" si="1834">+IF(xB+R86&lt;=xB+nB,xB+R86,"")</f>
        <v/>
      </c>
      <c r="T86" s="2">
        <f t="shared" ref="T86:U86" ca="1" si="1835">IFERROR(VLOOKUP($S86,qx_table,MATCH(T$11,qx_title,0)+sexB),0)</f>
        <v>0</v>
      </c>
      <c r="U86" s="2">
        <f t="shared" ca="1" si="1835"/>
        <v>0</v>
      </c>
      <c r="V86" s="300">
        <f>IF(JRB=2,0,IF(R86&gt;=mB-1,_xlfn.XLOOKUP(R86-mB,해지율!#REF!,해지율!#REF!,,1),_xlfn.XLOOKUP(R86,해지율!#REF!,해지율!#REF!,,-1)))</f>
        <v>0</v>
      </c>
      <c r="W86" s="8">
        <f t="shared" ref="W86" si="1836">IF(R86=0,100000,IF(R86&gt;nB,0,W85*(1-X85)*(1-Y85)))</f>
        <v>0</v>
      </c>
      <c r="X86" s="10">
        <f t="shared" ca="1" si="1561"/>
        <v>0</v>
      </c>
      <c r="Y86" s="10">
        <f t="shared" ca="1" si="1562"/>
        <v>0</v>
      </c>
      <c r="Z86" s="5">
        <f t="shared" ca="1" si="1601"/>
        <v>0</v>
      </c>
      <c r="AA86" s="5">
        <f ca="1">+SUM(Z86:Z$124)</f>
        <v>0</v>
      </c>
      <c r="AB86" s="8">
        <f t="shared" ca="1" si="1563"/>
        <v>0</v>
      </c>
      <c r="AC86" s="209">
        <f ca="1">+SUM(AB86:AB$124)*SSSM</f>
        <v>0</v>
      </c>
      <c r="AD86" s="209">
        <f t="shared" ref="AD86" si="1837">IF(R86&gt;nB,0,AD85*(1-X85)*(1-Y85)*(1-AE85)*(1-AF85))</f>
        <v>0</v>
      </c>
      <c r="AE86" s="92">
        <f t="shared" ca="1" si="1565"/>
        <v>0</v>
      </c>
      <c r="AF86" s="92">
        <f t="shared" ca="1" si="1566"/>
        <v>0</v>
      </c>
      <c r="AG86" s="664">
        <f t="shared" ca="1" si="1567"/>
        <v>0</v>
      </c>
      <c r="AH86" s="5">
        <f ca="1">+SUM(AG86:AG$124)</f>
        <v>0</v>
      </c>
      <c r="AI86" s="70">
        <f t="shared" ca="1" si="1568"/>
        <v>0</v>
      </c>
      <c r="AJ86" s="208">
        <f ca="1">+SUM(AB86:AB$124)*SS50J</f>
        <v>0</v>
      </c>
      <c r="AK86" s="5">
        <f t="shared" ca="1" si="1603"/>
        <v>99999.012970709329</v>
      </c>
      <c r="AL86" s="2">
        <f t="shared" ref="AL86" ca="1" si="1838">IFERROR(VLOOKUP($S86,qx_table,MATCH(AL$11,qx_title,0)+sexB),0)</f>
        <v>0</v>
      </c>
      <c r="AM86" s="131">
        <f t="shared" ca="1" si="1605"/>
        <v>19271.267468960581</v>
      </c>
      <c r="AN86" s="129">
        <f t="shared" ca="1" si="1606"/>
        <v>0</v>
      </c>
      <c r="AO86" s="129">
        <f ca="1">SUM(AN86:AN$124)*SSa</f>
        <v>0</v>
      </c>
      <c r="AP86" s="70">
        <f t="shared" ca="1" si="1607"/>
        <v>99999.012970709329</v>
      </c>
      <c r="AQ86" s="2">
        <f t="shared" ref="AQ86" ca="1" si="1839">IFERROR(VLOOKUP($S86,qx_table,MATCH(AQ$11,qx_title,0)+sexB),0)</f>
        <v>0</v>
      </c>
      <c r="AR86" s="127">
        <f t="shared" ca="1" si="1609"/>
        <v>0</v>
      </c>
      <c r="AS86" s="127">
        <f ca="1">SUM(AR86:AR$124)*SSb</f>
        <v>0</v>
      </c>
      <c r="AT86" s="70">
        <f t="shared" ca="1" si="1610"/>
        <v>99999.012970709329</v>
      </c>
      <c r="AU86" s="2">
        <f t="shared" ref="AU86" ca="1" si="1840">IFERROR(VLOOKUP($S86,qx_table,MATCH(AU$11,qx_title,0)+sexB),0)</f>
        <v>0</v>
      </c>
      <c r="AV86" s="268">
        <f t="shared" ca="1" si="1612"/>
        <v>0</v>
      </c>
      <c r="AW86" s="131">
        <f ca="1">SUM(AV86:AV$124)*SSc</f>
        <v>0</v>
      </c>
      <c r="AX86" s="70">
        <f t="shared" ca="1" si="1613"/>
        <v>99999.012970709329</v>
      </c>
      <c r="AY86" s="2">
        <f t="shared" ref="AY86" ca="1" si="1841">IFERROR(VLOOKUP($S86,qx_table,MATCH(AY$11,qx_title,0)+sexB),0)</f>
        <v>0</v>
      </c>
      <c r="AZ86" s="268">
        <f t="shared" ca="1" si="1573"/>
        <v>0</v>
      </c>
      <c r="BA86" s="129">
        <f ca="1">SUM(AZ86:AZ$124)*SSd</f>
        <v>0</v>
      </c>
      <c r="BB86" s="70">
        <f t="shared" ca="1" si="1615"/>
        <v>99999.012970709329</v>
      </c>
      <c r="BC86" s="257">
        <f t="shared" ref="BC86" ca="1" si="1842">IFERROR(VLOOKUP($S86,qx_table,MATCH(BC$11,qx_title,0)+sexB),0)</f>
        <v>0</v>
      </c>
      <c r="BD86" s="268">
        <f t="shared" ca="1" si="1617"/>
        <v>0</v>
      </c>
      <c r="BE86" s="131">
        <f ca="1">SUM(BD86:BD$124)*SSe</f>
        <v>0</v>
      </c>
      <c r="BF86" s="70">
        <f t="shared" ca="1" si="1618"/>
        <v>99999.012970709329</v>
      </c>
      <c r="BG86" s="2">
        <f t="shared" ref="BG86" ca="1" si="1843">IFERROR(VLOOKUP($S86,qx_table,MATCH(BG$11,qx_title,0)+sexB),0)</f>
        <v>0</v>
      </c>
      <c r="BH86" s="131">
        <f t="shared" ca="1" si="1620"/>
        <v>0</v>
      </c>
      <c r="BI86" s="2">
        <f ca="1">SUM(BH86:BH$124)*SSf</f>
        <v>0</v>
      </c>
      <c r="BJ86" s="70">
        <f t="shared" ca="1" si="1621"/>
        <v>99999.012970709329</v>
      </c>
      <c r="BK86" s="2">
        <f t="shared" ref="BK86" ca="1" si="1844">IFERROR(VLOOKUP($S86,qx_table,MATCH(BK$11,qx_title,0)+sexB),0)</f>
        <v>0</v>
      </c>
      <c r="BL86" s="131">
        <f t="shared" ca="1" si="1623"/>
        <v>0</v>
      </c>
      <c r="BM86" s="131">
        <f ca="1">SUM(BL86:BL$124)*SSg</f>
        <v>0</v>
      </c>
      <c r="BN86" s="70">
        <f t="shared" ca="1" si="1624"/>
        <v>99999.012970709329</v>
      </c>
      <c r="BO86" s="2">
        <f t="shared" ref="BO86" ca="1" si="1845">IFERROR(VLOOKUP($S86,qx_table,MATCH(BO$11,qx_title,0)+sexB),0)</f>
        <v>0</v>
      </c>
      <c r="BP86" s="131">
        <f t="shared" ca="1" si="1626"/>
        <v>0</v>
      </c>
      <c r="BQ86" s="131">
        <f ca="1">SUM(BP86:BP$124)*SSh</f>
        <v>0</v>
      </c>
      <c r="BR86" s="70">
        <f t="shared" ca="1" si="1627"/>
        <v>99999.012970709329</v>
      </c>
      <c r="BS86" s="2">
        <f t="shared" ref="BS86" ca="1" si="1846">IFERROR(VLOOKUP($S86,qx_table,MATCH(BS$11,qx_title,0)+sexB),0)*IF(R86=0,MCi,1)</f>
        <v>0</v>
      </c>
      <c r="BT86" s="131">
        <f t="shared" ca="1" si="1629"/>
        <v>0</v>
      </c>
      <c r="BU86" s="131">
        <f ca="1">SUM(BT86:BT$124)*SSi</f>
        <v>0</v>
      </c>
      <c r="BV86" s="70">
        <f t="shared" ca="1" si="1630"/>
        <v>99999.012970709329</v>
      </c>
      <c r="BW86" s="2">
        <f t="shared" ref="BW86" ca="1" si="1847">IFERROR(VLOOKUP($S86,qx_table,MATCH(BW$11,qx_title,0)+sexB),0)</f>
        <v>0</v>
      </c>
      <c r="BX86" s="131">
        <f t="shared" ca="1" si="1632"/>
        <v>0</v>
      </c>
      <c r="BY86" s="131">
        <f ca="1">SUM(BX86:BX$124)*SSj</f>
        <v>0</v>
      </c>
      <c r="BZ86" s="70">
        <f t="shared" ca="1" si="1633"/>
        <v>99999.012970709329</v>
      </c>
      <c r="CA86" s="2">
        <f t="shared" ref="CA86" ca="1" si="1848">IFERROR(VLOOKUP($S86,qx_table,MATCH(CA$11,qx_title,0)+sexB),0)</f>
        <v>0</v>
      </c>
      <c r="CB86" s="131">
        <f t="shared" ca="1" si="1635"/>
        <v>0</v>
      </c>
      <c r="CC86" s="131">
        <f ca="1">SUM(CB86:CB$124)*SSk</f>
        <v>0</v>
      </c>
      <c r="CD86" s="8">
        <f t="shared" ca="1" si="1636"/>
        <v>99999.012970709329</v>
      </c>
      <c r="CE86" s="2">
        <f t="shared" ref="CE86" ca="1" si="1849">IFERROR(VLOOKUP($S86,qx_table,MATCH(CE$11,qx_title,0)+sexB),0)</f>
        <v>0</v>
      </c>
      <c r="CF86" s="131">
        <f t="shared" ca="1" si="1638"/>
        <v>0</v>
      </c>
      <c r="CG86" s="131">
        <f ca="1">SUM(CF86:CF$124)*SSl</f>
        <v>0</v>
      </c>
      <c r="CH86" s="101">
        <f t="shared" ca="1" si="1639"/>
        <v>0</v>
      </c>
      <c r="CI86" s="154">
        <f t="shared" ca="1" si="1582"/>
        <v>0</v>
      </c>
      <c r="CJ86" s="32">
        <f t="shared" ref="CJ86" ca="1" si="1850">+MAX(VLOOKUP(xB+$R86,기수표B,$AH$1)-VLOOKUP(xB+mB,기수표B,$AH$1),0)</f>
        <v>0</v>
      </c>
      <c r="CK86" s="32">
        <f t="shared" ref="CK86" ca="1" si="1851">+MAX(VLOOKUP(xB+$R86,기수표B,$AH$1)-VLOOKUP(xB+mB,기수표B,$AH$1)-11/24*(VLOOKUP(xB+$R86,기수표B,$AG$1)-VLOOKUP(xB+mB,기수표B,$AG$1)),0)</f>
        <v>0</v>
      </c>
      <c r="CL86" s="32">
        <f t="shared" ref="CL86" ca="1" si="1852">+MAX(VLOOKUP(xB+$R86,기수표B,$AA$1)-VLOOKUP(xB+mB,기수표B,$AA$1),0)</f>
        <v>0</v>
      </c>
      <c r="CM86" s="32">
        <f t="shared" ref="CM86" ca="1" si="1853">+MAX(VLOOKUP(xB+$R86,기수표B,$AA$1)-VLOOKUP(xB+mB,기수표B,$AA$1)-11/24*(VLOOKUP(xB+$R86,기수표B,$AA$1)-VLOOKUP(xB+mB,기수표B,$AA$1)),0)</f>
        <v>0</v>
      </c>
      <c r="CN86" s="32">
        <f t="shared" si="1587"/>
        <v>0</v>
      </c>
      <c r="CO86" s="32">
        <f t="shared" ca="1" si="1588"/>
        <v>0</v>
      </c>
      <c r="CP86" s="259">
        <f t="shared" ca="1" si="1589"/>
        <v>0</v>
      </c>
      <c r="CQ86" s="259">
        <f t="shared" ca="1" si="1590"/>
        <v>0</v>
      </c>
      <c r="CR86" s="259" t="e">
        <f t="shared" ca="1" si="1591"/>
        <v>#DIV/0!</v>
      </c>
      <c r="CS86" s="31">
        <f t="shared" ref="CS86" si="1854">+MIN(mB,7)</f>
        <v>5</v>
      </c>
      <c r="CU86" s="13">
        <v>74</v>
      </c>
      <c r="CV86" s="477">
        <f t="shared" ca="1" si="1593"/>
        <v>420</v>
      </c>
      <c r="CW86" s="477" t="e">
        <f t="shared" ca="1" si="1594"/>
        <v>#DIV/0!</v>
      </c>
      <c r="CX86" s="477">
        <f t="shared" ca="1" si="1595"/>
        <v>0</v>
      </c>
      <c r="CY86" s="478">
        <f t="shared" ca="1" si="1645"/>
        <v>0</v>
      </c>
    </row>
    <row r="87" spans="14:103">
      <c r="N87" s="5">
        <f t="shared" si="1646"/>
        <v>75</v>
      </c>
      <c r="O87" s="2">
        <f t="shared" ref="O87" ca="1" si="1855">+(1+iB)^-N87</f>
        <v>0.18847391377890133</v>
      </c>
      <c r="P87" s="2">
        <f t="shared" ref="P87" ca="1" si="1856">+(1+iB)^-(N87+0.5)</f>
        <v>0.18638870490332027</v>
      </c>
      <c r="Q87" s="91"/>
      <c r="R87" s="20">
        <f t="shared" si="1649"/>
        <v>75</v>
      </c>
      <c r="S87" s="20" t="str">
        <f t="shared" ref="S87" si="1857">+IF(xB+R87&lt;=xB+nB,xB+R87,"")</f>
        <v/>
      </c>
      <c r="T87" s="2">
        <f t="shared" ref="T87:U87" ca="1" si="1858">IFERROR(VLOOKUP($S87,qx_table,MATCH(T$11,qx_title,0)+sexB),0)</f>
        <v>0</v>
      </c>
      <c r="U87" s="2">
        <f t="shared" ca="1" si="1858"/>
        <v>0</v>
      </c>
      <c r="V87" s="300">
        <f>IF(JRB=2,0,IF(R87&gt;=mB-1,_xlfn.XLOOKUP(R87-mB,해지율!#REF!,해지율!#REF!,,1),_xlfn.XLOOKUP(R87,해지율!#REF!,해지율!#REF!,,-1)))</f>
        <v>0</v>
      </c>
      <c r="W87" s="8">
        <f t="shared" ref="W87" si="1859">IF(R87=0,100000,IF(R87&gt;nB,0,W86*(1-X86)*(1-Y86)))</f>
        <v>0</v>
      </c>
      <c r="X87" s="10">
        <f t="shared" ca="1" si="1561"/>
        <v>0</v>
      </c>
      <c r="Y87" s="10">
        <f t="shared" ca="1" si="1562"/>
        <v>0</v>
      </c>
      <c r="Z87" s="5">
        <f t="shared" ca="1" si="1601"/>
        <v>0</v>
      </c>
      <c r="AA87" s="5">
        <f ca="1">+SUM(Z87:Z$124)</f>
        <v>0</v>
      </c>
      <c r="AB87" s="8">
        <f t="shared" ca="1" si="1563"/>
        <v>0</v>
      </c>
      <c r="AC87" s="209">
        <f ca="1">+SUM(AB87:AB$124)*SSSM</f>
        <v>0</v>
      </c>
      <c r="AD87" s="209">
        <f t="shared" ref="AD87" si="1860">IF(R87&gt;nB,0,AD86*(1-X86)*(1-Y86)*(1-AE86)*(1-AF86))</f>
        <v>0</v>
      </c>
      <c r="AE87" s="92">
        <f t="shared" ca="1" si="1565"/>
        <v>0</v>
      </c>
      <c r="AF87" s="92">
        <f t="shared" ca="1" si="1566"/>
        <v>0</v>
      </c>
      <c r="AG87" s="664">
        <f t="shared" ca="1" si="1567"/>
        <v>0</v>
      </c>
      <c r="AH87" s="5">
        <f ca="1">+SUM(AG87:AG$124)</f>
        <v>0</v>
      </c>
      <c r="AI87" s="70">
        <f t="shared" ca="1" si="1568"/>
        <v>0</v>
      </c>
      <c r="AJ87" s="208">
        <f ca="1">+SUM(AB87:AB$124)*SS50J</f>
        <v>0</v>
      </c>
      <c r="AK87" s="5">
        <f t="shared" ca="1" si="1603"/>
        <v>99999.012970709329</v>
      </c>
      <c r="AL87" s="2">
        <f t="shared" ref="AL87" ca="1" si="1861">IFERROR(VLOOKUP($S87,qx_table,MATCH(AL$11,qx_title,0)+sexB),0)</f>
        <v>0</v>
      </c>
      <c r="AM87" s="131">
        <f t="shared" ca="1" si="1605"/>
        <v>18847.205348616706</v>
      </c>
      <c r="AN87" s="129">
        <f t="shared" ca="1" si="1606"/>
        <v>0</v>
      </c>
      <c r="AO87" s="129">
        <f ca="1">SUM(AN87:AN$124)*SSa</f>
        <v>0</v>
      </c>
      <c r="AP87" s="70">
        <f t="shared" ca="1" si="1607"/>
        <v>99999.012970709329</v>
      </c>
      <c r="AQ87" s="2">
        <f t="shared" ref="AQ87" ca="1" si="1862">IFERROR(VLOOKUP($S87,qx_table,MATCH(AQ$11,qx_title,0)+sexB),0)</f>
        <v>0</v>
      </c>
      <c r="AR87" s="127">
        <f t="shared" ca="1" si="1609"/>
        <v>0</v>
      </c>
      <c r="AS87" s="127">
        <f ca="1">SUM(AR87:AR$124)*SSb</f>
        <v>0</v>
      </c>
      <c r="AT87" s="70">
        <f t="shared" ca="1" si="1610"/>
        <v>99999.012970709329</v>
      </c>
      <c r="AU87" s="2">
        <f t="shared" ref="AU87" ca="1" si="1863">IFERROR(VLOOKUP($S87,qx_table,MATCH(AU$11,qx_title,0)+sexB),0)</f>
        <v>0</v>
      </c>
      <c r="AV87" s="268">
        <f t="shared" ca="1" si="1612"/>
        <v>0</v>
      </c>
      <c r="AW87" s="131">
        <f ca="1">SUM(AV87:AV$124)*SSc</f>
        <v>0</v>
      </c>
      <c r="AX87" s="70">
        <f t="shared" ca="1" si="1613"/>
        <v>99999.012970709329</v>
      </c>
      <c r="AY87" s="2">
        <f t="shared" ref="AY87" ca="1" si="1864">IFERROR(VLOOKUP($S87,qx_table,MATCH(AY$11,qx_title,0)+sexB),0)</f>
        <v>0</v>
      </c>
      <c r="AZ87" s="268">
        <f t="shared" ca="1" si="1573"/>
        <v>0</v>
      </c>
      <c r="BA87" s="129">
        <f ca="1">SUM(AZ87:AZ$124)*SSd</f>
        <v>0</v>
      </c>
      <c r="BB87" s="70">
        <f t="shared" ca="1" si="1615"/>
        <v>99999.012970709329</v>
      </c>
      <c r="BC87" s="257">
        <f t="shared" ref="BC87" ca="1" si="1865">IFERROR(VLOOKUP($S87,qx_table,MATCH(BC$11,qx_title,0)+sexB),0)</f>
        <v>0</v>
      </c>
      <c r="BD87" s="268">
        <f t="shared" ca="1" si="1617"/>
        <v>0</v>
      </c>
      <c r="BE87" s="131">
        <f ca="1">SUM(BD87:BD$124)*SSe</f>
        <v>0</v>
      </c>
      <c r="BF87" s="70">
        <f t="shared" ca="1" si="1618"/>
        <v>99999.012970709329</v>
      </c>
      <c r="BG87" s="2">
        <f t="shared" ref="BG87" ca="1" si="1866">IFERROR(VLOOKUP($S87,qx_table,MATCH(BG$11,qx_title,0)+sexB),0)</f>
        <v>0</v>
      </c>
      <c r="BH87" s="131">
        <f t="shared" ca="1" si="1620"/>
        <v>0</v>
      </c>
      <c r="BI87" s="2">
        <f ca="1">SUM(BH87:BH$124)*SSf</f>
        <v>0</v>
      </c>
      <c r="BJ87" s="70">
        <f t="shared" ca="1" si="1621"/>
        <v>99999.012970709329</v>
      </c>
      <c r="BK87" s="2">
        <f t="shared" ref="BK87" ca="1" si="1867">IFERROR(VLOOKUP($S87,qx_table,MATCH(BK$11,qx_title,0)+sexB),0)</f>
        <v>0</v>
      </c>
      <c r="BL87" s="131">
        <f t="shared" ca="1" si="1623"/>
        <v>0</v>
      </c>
      <c r="BM87" s="131">
        <f ca="1">SUM(BL87:BL$124)*SSg</f>
        <v>0</v>
      </c>
      <c r="BN87" s="70">
        <f t="shared" ca="1" si="1624"/>
        <v>99999.012970709329</v>
      </c>
      <c r="BO87" s="2">
        <f t="shared" ref="BO87" ca="1" si="1868">IFERROR(VLOOKUP($S87,qx_table,MATCH(BO$11,qx_title,0)+sexB),0)</f>
        <v>0</v>
      </c>
      <c r="BP87" s="131">
        <f t="shared" ca="1" si="1626"/>
        <v>0</v>
      </c>
      <c r="BQ87" s="131">
        <f ca="1">SUM(BP87:BP$124)*SSh</f>
        <v>0</v>
      </c>
      <c r="BR87" s="70">
        <f t="shared" ca="1" si="1627"/>
        <v>99999.012970709329</v>
      </c>
      <c r="BS87" s="2">
        <f t="shared" ref="BS87" ca="1" si="1869">IFERROR(VLOOKUP($S87,qx_table,MATCH(BS$11,qx_title,0)+sexB),0)*IF(R87=0,MCi,1)</f>
        <v>0</v>
      </c>
      <c r="BT87" s="131">
        <f t="shared" ca="1" si="1629"/>
        <v>0</v>
      </c>
      <c r="BU87" s="131">
        <f ca="1">SUM(BT87:BT$124)*SSi</f>
        <v>0</v>
      </c>
      <c r="BV87" s="70">
        <f t="shared" ca="1" si="1630"/>
        <v>99999.012970709329</v>
      </c>
      <c r="BW87" s="2">
        <f t="shared" ref="BW87" ca="1" si="1870">IFERROR(VLOOKUP($S87,qx_table,MATCH(BW$11,qx_title,0)+sexB),0)</f>
        <v>0</v>
      </c>
      <c r="BX87" s="131">
        <f t="shared" ca="1" si="1632"/>
        <v>0</v>
      </c>
      <c r="BY87" s="131">
        <f ca="1">SUM(BX87:BX$124)*SSj</f>
        <v>0</v>
      </c>
      <c r="BZ87" s="70">
        <f t="shared" ca="1" si="1633"/>
        <v>99999.012970709329</v>
      </c>
      <c r="CA87" s="2">
        <f t="shared" ref="CA87" ca="1" si="1871">IFERROR(VLOOKUP($S87,qx_table,MATCH(CA$11,qx_title,0)+sexB),0)</f>
        <v>0</v>
      </c>
      <c r="CB87" s="131">
        <f t="shared" ca="1" si="1635"/>
        <v>0</v>
      </c>
      <c r="CC87" s="131">
        <f ca="1">SUM(CB87:CB$124)*SSk</f>
        <v>0</v>
      </c>
      <c r="CD87" s="8">
        <f t="shared" ca="1" si="1636"/>
        <v>99999.012970709329</v>
      </c>
      <c r="CE87" s="2">
        <f t="shared" ref="CE87" ca="1" si="1872">IFERROR(VLOOKUP($S87,qx_table,MATCH(CE$11,qx_title,0)+sexB),0)</f>
        <v>0</v>
      </c>
      <c r="CF87" s="131">
        <f t="shared" ca="1" si="1638"/>
        <v>0</v>
      </c>
      <c r="CG87" s="131">
        <f ca="1">SUM(CF87:CF$124)*SSl</f>
        <v>0</v>
      </c>
      <c r="CH87" s="101">
        <f t="shared" ca="1" si="1639"/>
        <v>0</v>
      </c>
      <c r="CI87" s="154">
        <f t="shared" ca="1" si="1582"/>
        <v>0</v>
      </c>
      <c r="CJ87" s="32">
        <f t="shared" ref="CJ87" ca="1" si="1873">+MAX(VLOOKUP(xB+$R87,기수표B,$AH$1)-VLOOKUP(xB+mB,기수표B,$AH$1),0)</f>
        <v>0</v>
      </c>
      <c r="CK87" s="32">
        <f t="shared" ref="CK87" ca="1" si="1874">+MAX(VLOOKUP(xB+$R87,기수표B,$AH$1)-VLOOKUP(xB+mB,기수표B,$AH$1)-11/24*(VLOOKUP(xB+$R87,기수표B,$AG$1)-VLOOKUP(xB+mB,기수표B,$AG$1)),0)</f>
        <v>0</v>
      </c>
      <c r="CL87" s="32">
        <f t="shared" ref="CL87" ca="1" si="1875">+MAX(VLOOKUP(xB+$R87,기수표B,$AA$1)-VLOOKUP(xB+mB,기수표B,$AA$1),0)</f>
        <v>0</v>
      </c>
      <c r="CM87" s="32">
        <f t="shared" ref="CM87" ca="1" si="1876">+MAX(VLOOKUP(xB+$R87,기수표B,$AA$1)-VLOOKUP(xB+mB,기수표B,$AA$1)-11/24*(VLOOKUP(xB+$R87,기수표B,$AA$1)-VLOOKUP(xB+mB,기수표B,$AA$1)),0)</f>
        <v>0</v>
      </c>
      <c r="CN87" s="32">
        <f t="shared" si="1587"/>
        <v>0</v>
      </c>
      <c r="CO87" s="32">
        <f t="shared" ca="1" si="1588"/>
        <v>0</v>
      </c>
      <c r="CP87" s="259">
        <f t="shared" ca="1" si="1589"/>
        <v>0</v>
      </c>
      <c r="CQ87" s="259">
        <f t="shared" ca="1" si="1590"/>
        <v>0</v>
      </c>
      <c r="CR87" s="259" t="e">
        <f t="shared" ca="1" si="1591"/>
        <v>#DIV/0!</v>
      </c>
      <c r="CS87" s="31">
        <f t="shared" ref="CS87" si="1877">+MIN(mB,7)</f>
        <v>5</v>
      </c>
      <c r="CU87" s="13">
        <v>75</v>
      </c>
      <c r="CV87" s="477">
        <f t="shared" ca="1" si="1593"/>
        <v>420</v>
      </c>
      <c r="CW87" s="477" t="e">
        <f t="shared" ca="1" si="1594"/>
        <v>#DIV/0!</v>
      </c>
      <c r="CX87" s="477">
        <f t="shared" ca="1" si="1595"/>
        <v>0</v>
      </c>
      <c r="CY87" s="478">
        <f t="shared" ca="1" si="1645"/>
        <v>0</v>
      </c>
    </row>
    <row r="88" spans="14:103">
      <c r="N88" s="5">
        <f t="shared" si="1646"/>
        <v>76</v>
      </c>
      <c r="O88" s="2">
        <f t="shared" ref="O88" ca="1" si="1878">+(1+iB)^-N88</f>
        <v>0.18432656604293529</v>
      </c>
      <c r="P88" s="2">
        <f t="shared" ref="P88" ca="1" si="1879">+(1+iB)^-(N88+0.5)</f>
        <v>0.18228724195923743</v>
      </c>
      <c r="Q88" s="91"/>
      <c r="R88" s="20">
        <f t="shared" si="1649"/>
        <v>76</v>
      </c>
      <c r="S88" s="20" t="str">
        <f t="shared" ref="S88" si="1880">+IF(xB+R88&lt;=xB+nB,xB+R88,"")</f>
        <v/>
      </c>
      <c r="T88" s="2">
        <f t="shared" ref="T88:U88" ca="1" si="1881">IFERROR(VLOOKUP($S88,qx_table,MATCH(T$11,qx_title,0)+sexB),0)</f>
        <v>0</v>
      </c>
      <c r="U88" s="2">
        <f t="shared" ca="1" si="1881"/>
        <v>0</v>
      </c>
      <c r="V88" s="300">
        <f>IF(JRB=2,0,IF(R88&gt;=mB-1,_xlfn.XLOOKUP(R88-mB,해지율!#REF!,해지율!#REF!,,1),_xlfn.XLOOKUP(R88,해지율!#REF!,해지율!#REF!,,-1)))</f>
        <v>0</v>
      </c>
      <c r="W88" s="8">
        <f t="shared" ref="W88" si="1882">IF(R88=0,100000,IF(R88&gt;nB,0,W87*(1-X87)*(1-Y87)))</f>
        <v>0</v>
      </c>
      <c r="X88" s="10">
        <f t="shared" ca="1" si="1561"/>
        <v>0</v>
      </c>
      <c r="Y88" s="10">
        <f t="shared" ca="1" si="1562"/>
        <v>0</v>
      </c>
      <c r="Z88" s="5">
        <f t="shared" ca="1" si="1601"/>
        <v>0</v>
      </c>
      <c r="AA88" s="5">
        <f ca="1">+SUM(Z88:Z$124)</f>
        <v>0</v>
      </c>
      <c r="AB88" s="8">
        <f t="shared" ca="1" si="1563"/>
        <v>0</v>
      </c>
      <c r="AC88" s="209">
        <f ca="1">+SUM(AB88:AB$124)*SSSM</f>
        <v>0</v>
      </c>
      <c r="AD88" s="209">
        <f t="shared" ref="AD88" si="1883">IF(R88&gt;nB,0,AD87*(1-X87)*(1-Y87)*(1-AE87)*(1-AF87))</f>
        <v>0</v>
      </c>
      <c r="AE88" s="92">
        <f t="shared" ca="1" si="1565"/>
        <v>0</v>
      </c>
      <c r="AF88" s="92">
        <f t="shared" ca="1" si="1566"/>
        <v>0</v>
      </c>
      <c r="AG88" s="664">
        <f t="shared" ca="1" si="1567"/>
        <v>0</v>
      </c>
      <c r="AH88" s="5">
        <f ca="1">+SUM(AG88:AG$124)</f>
        <v>0</v>
      </c>
      <c r="AI88" s="70">
        <f t="shared" ca="1" si="1568"/>
        <v>0</v>
      </c>
      <c r="AJ88" s="208">
        <f ca="1">+SUM(AB88:AB$124)*SS50J</f>
        <v>0</v>
      </c>
      <c r="AK88" s="5">
        <f t="shared" ca="1" si="1603"/>
        <v>99999.012970709329</v>
      </c>
      <c r="AL88" s="2">
        <f t="shared" ref="AL88" ca="1" si="1884">IFERROR(VLOOKUP($S88,qx_table,MATCH(AL$11,qx_title,0)+sexB),0)</f>
        <v>0</v>
      </c>
      <c r="AM88" s="131">
        <f t="shared" ca="1" si="1605"/>
        <v>18432.474668573795</v>
      </c>
      <c r="AN88" s="129">
        <f t="shared" ca="1" si="1606"/>
        <v>0</v>
      </c>
      <c r="AO88" s="129">
        <f ca="1">SUM(AN88:AN$124)*SSa</f>
        <v>0</v>
      </c>
      <c r="AP88" s="70">
        <f t="shared" ca="1" si="1607"/>
        <v>99999.012970709329</v>
      </c>
      <c r="AQ88" s="2">
        <f t="shared" ref="AQ88" ca="1" si="1885">IFERROR(VLOOKUP($S88,qx_table,MATCH(AQ$11,qx_title,0)+sexB),0)</f>
        <v>0</v>
      </c>
      <c r="AR88" s="127">
        <f t="shared" ca="1" si="1609"/>
        <v>0</v>
      </c>
      <c r="AS88" s="127">
        <f ca="1">SUM(AR88:AR$124)*SSb</f>
        <v>0</v>
      </c>
      <c r="AT88" s="70">
        <f t="shared" ca="1" si="1610"/>
        <v>99999.012970709329</v>
      </c>
      <c r="AU88" s="2">
        <f t="shared" ref="AU88" ca="1" si="1886">IFERROR(VLOOKUP($S88,qx_table,MATCH(AU$11,qx_title,0)+sexB),0)</f>
        <v>0</v>
      </c>
      <c r="AV88" s="268">
        <f t="shared" ca="1" si="1612"/>
        <v>0</v>
      </c>
      <c r="AW88" s="131">
        <f ca="1">SUM(AV88:AV$124)*SSc</f>
        <v>0</v>
      </c>
      <c r="AX88" s="70">
        <f t="shared" ca="1" si="1613"/>
        <v>99999.012970709329</v>
      </c>
      <c r="AY88" s="2">
        <f t="shared" ref="AY88" ca="1" si="1887">IFERROR(VLOOKUP($S88,qx_table,MATCH(AY$11,qx_title,0)+sexB),0)</f>
        <v>0</v>
      </c>
      <c r="AZ88" s="268">
        <f t="shared" ca="1" si="1573"/>
        <v>0</v>
      </c>
      <c r="BA88" s="129">
        <f ca="1">SUM(AZ88:AZ$124)*SSd</f>
        <v>0</v>
      </c>
      <c r="BB88" s="70">
        <f t="shared" ca="1" si="1615"/>
        <v>99999.012970709329</v>
      </c>
      <c r="BC88" s="257">
        <f t="shared" ref="BC88" ca="1" si="1888">IFERROR(VLOOKUP($S88,qx_table,MATCH(BC$11,qx_title,0)+sexB),0)</f>
        <v>0</v>
      </c>
      <c r="BD88" s="268">
        <f t="shared" ca="1" si="1617"/>
        <v>0</v>
      </c>
      <c r="BE88" s="131">
        <f ca="1">SUM(BD88:BD$124)*SSe</f>
        <v>0</v>
      </c>
      <c r="BF88" s="70">
        <f t="shared" ca="1" si="1618"/>
        <v>99999.012970709329</v>
      </c>
      <c r="BG88" s="2">
        <f t="shared" ref="BG88" ca="1" si="1889">IFERROR(VLOOKUP($S88,qx_table,MATCH(BG$11,qx_title,0)+sexB),0)</f>
        <v>0</v>
      </c>
      <c r="BH88" s="131">
        <f t="shared" ca="1" si="1620"/>
        <v>0</v>
      </c>
      <c r="BI88" s="2">
        <f ca="1">SUM(BH88:BH$124)*SSf</f>
        <v>0</v>
      </c>
      <c r="BJ88" s="70">
        <f t="shared" ca="1" si="1621"/>
        <v>99999.012970709329</v>
      </c>
      <c r="BK88" s="2">
        <f t="shared" ref="BK88" ca="1" si="1890">IFERROR(VLOOKUP($S88,qx_table,MATCH(BK$11,qx_title,0)+sexB),0)</f>
        <v>0</v>
      </c>
      <c r="BL88" s="131">
        <f t="shared" ca="1" si="1623"/>
        <v>0</v>
      </c>
      <c r="BM88" s="131">
        <f ca="1">SUM(BL88:BL$124)*SSg</f>
        <v>0</v>
      </c>
      <c r="BN88" s="70">
        <f t="shared" ca="1" si="1624"/>
        <v>99999.012970709329</v>
      </c>
      <c r="BO88" s="2">
        <f t="shared" ref="BO88" ca="1" si="1891">IFERROR(VLOOKUP($S88,qx_table,MATCH(BO$11,qx_title,0)+sexB),0)</f>
        <v>0</v>
      </c>
      <c r="BP88" s="131">
        <f t="shared" ca="1" si="1626"/>
        <v>0</v>
      </c>
      <c r="BQ88" s="131">
        <f ca="1">SUM(BP88:BP$124)*SSh</f>
        <v>0</v>
      </c>
      <c r="BR88" s="70">
        <f t="shared" ca="1" si="1627"/>
        <v>99999.012970709329</v>
      </c>
      <c r="BS88" s="2">
        <f t="shared" ref="BS88" ca="1" si="1892">IFERROR(VLOOKUP($S88,qx_table,MATCH(BS$11,qx_title,0)+sexB),0)*IF(R88=0,MCi,1)</f>
        <v>0</v>
      </c>
      <c r="BT88" s="131">
        <f t="shared" ca="1" si="1629"/>
        <v>0</v>
      </c>
      <c r="BU88" s="131">
        <f ca="1">SUM(BT88:BT$124)*SSi</f>
        <v>0</v>
      </c>
      <c r="BV88" s="70">
        <f t="shared" ca="1" si="1630"/>
        <v>99999.012970709329</v>
      </c>
      <c r="BW88" s="2">
        <f t="shared" ref="BW88" ca="1" si="1893">IFERROR(VLOOKUP($S88,qx_table,MATCH(BW$11,qx_title,0)+sexB),0)</f>
        <v>0</v>
      </c>
      <c r="BX88" s="131">
        <f t="shared" ca="1" si="1632"/>
        <v>0</v>
      </c>
      <c r="BY88" s="131">
        <f ca="1">SUM(BX88:BX$124)*SSj</f>
        <v>0</v>
      </c>
      <c r="BZ88" s="70">
        <f t="shared" ca="1" si="1633"/>
        <v>99999.012970709329</v>
      </c>
      <c r="CA88" s="2">
        <f t="shared" ref="CA88" ca="1" si="1894">IFERROR(VLOOKUP($S88,qx_table,MATCH(CA$11,qx_title,0)+sexB),0)</f>
        <v>0</v>
      </c>
      <c r="CB88" s="131">
        <f t="shared" ca="1" si="1635"/>
        <v>0</v>
      </c>
      <c r="CC88" s="131">
        <f ca="1">SUM(CB88:CB$124)*SSk</f>
        <v>0</v>
      </c>
      <c r="CD88" s="8">
        <f t="shared" ca="1" si="1636"/>
        <v>99999.012970709329</v>
      </c>
      <c r="CE88" s="2">
        <f t="shared" ref="CE88" ca="1" si="1895">IFERROR(VLOOKUP($S88,qx_table,MATCH(CE$11,qx_title,0)+sexB),0)</f>
        <v>0</v>
      </c>
      <c r="CF88" s="131">
        <f t="shared" ca="1" si="1638"/>
        <v>0</v>
      </c>
      <c r="CG88" s="131">
        <f ca="1">SUM(CF88:CF$124)*SSl</f>
        <v>0</v>
      </c>
      <c r="CH88" s="101">
        <f t="shared" ca="1" si="1639"/>
        <v>0</v>
      </c>
      <c r="CI88" s="154">
        <f t="shared" ca="1" si="1582"/>
        <v>0</v>
      </c>
      <c r="CJ88" s="32">
        <f t="shared" ref="CJ88" ca="1" si="1896">+MAX(VLOOKUP(xB+$R88,기수표B,$AH$1)-VLOOKUP(xB+mB,기수표B,$AH$1),0)</f>
        <v>0</v>
      </c>
      <c r="CK88" s="32">
        <f t="shared" ref="CK88" ca="1" si="1897">+MAX(VLOOKUP(xB+$R88,기수표B,$AH$1)-VLOOKUP(xB+mB,기수표B,$AH$1)-11/24*(VLOOKUP(xB+$R88,기수표B,$AG$1)-VLOOKUP(xB+mB,기수표B,$AG$1)),0)</f>
        <v>0</v>
      </c>
      <c r="CL88" s="32">
        <f t="shared" ref="CL88" ca="1" si="1898">+MAX(VLOOKUP(xB+$R88,기수표B,$AA$1)-VLOOKUP(xB+mB,기수표B,$AA$1),0)</f>
        <v>0</v>
      </c>
      <c r="CM88" s="32">
        <f t="shared" ref="CM88" ca="1" si="1899">+MAX(VLOOKUP(xB+$R88,기수표B,$AA$1)-VLOOKUP(xB+mB,기수표B,$AA$1)-11/24*(VLOOKUP(xB+$R88,기수표B,$AA$1)-VLOOKUP(xB+mB,기수표B,$AA$1)),0)</f>
        <v>0</v>
      </c>
      <c r="CN88" s="32">
        <f t="shared" si="1587"/>
        <v>0</v>
      </c>
      <c r="CO88" s="32">
        <f t="shared" ca="1" si="1588"/>
        <v>0</v>
      </c>
      <c r="CP88" s="259">
        <f t="shared" ca="1" si="1589"/>
        <v>0</v>
      </c>
      <c r="CQ88" s="259">
        <f t="shared" ca="1" si="1590"/>
        <v>0</v>
      </c>
      <c r="CR88" s="259" t="e">
        <f t="shared" ca="1" si="1591"/>
        <v>#DIV/0!</v>
      </c>
      <c r="CS88" s="31">
        <f t="shared" ref="CS88" si="1900">+MIN(mB,7)</f>
        <v>5</v>
      </c>
      <c r="CU88" s="13">
        <v>76</v>
      </c>
      <c r="CV88" s="477">
        <f t="shared" ca="1" si="1593"/>
        <v>420</v>
      </c>
      <c r="CW88" s="477" t="e">
        <f t="shared" ca="1" si="1594"/>
        <v>#DIV/0!</v>
      </c>
      <c r="CX88" s="477">
        <f t="shared" ca="1" si="1595"/>
        <v>0</v>
      </c>
      <c r="CY88" s="478">
        <f t="shared" ca="1" si="1645"/>
        <v>0</v>
      </c>
    </row>
    <row r="89" spans="14:103">
      <c r="N89" s="5">
        <f t="shared" si="1646"/>
        <v>77</v>
      </c>
      <c r="O89" s="2">
        <f t="shared" ref="O89" ca="1" si="1901">+(1+iB)^-N89</f>
        <v>0.18027048023758951</v>
      </c>
      <c r="P89" s="2">
        <f t="shared" ref="P89" ca="1" si="1902">+(1+iB)^-(N89+0.5)</f>
        <v>0.17827603125597791</v>
      </c>
      <c r="Q89" s="91"/>
      <c r="R89" s="20">
        <f t="shared" si="1649"/>
        <v>77</v>
      </c>
      <c r="S89" s="20" t="str">
        <f t="shared" ref="S89" si="1903">+IF(xB+R89&lt;=xB+nB,xB+R89,"")</f>
        <v/>
      </c>
      <c r="T89" s="2">
        <f t="shared" ref="T89:U89" ca="1" si="1904">IFERROR(VLOOKUP($S89,qx_table,MATCH(T$11,qx_title,0)+sexB),0)</f>
        <v>0</v>
      </c>
      <c r="U89" s="2">
        <f t="shared" ca="1" si="1904"/>
        <v>0</v>
      </c>
      <c r="V89" s="300">
        <f>IF(JRB=2,0,IF(R89&gt;=mB-1,_xlfn.XLOOKUP(R89-mB,해지율!#REF!,해지율!#REF!,,1),_xlfn.XLOOKUP(R89,해지율!#REF!,해지율!#REF!,,-1)))</f>
        <v>0</v>
      </c>
      <c r="W89" s="8">
        <f t="shared" ref="W89" si="1905">IF(R89=0,100000,IF(R89&gt;nB,0,W88*(1-X88)*(1-Y88)))</f>
        <v>0</v>
      </c>
      <c r="X89" s="10">
        <f t="shared" ca="1" si="1561"/>
        <v>0</v>
      </c>
      <c r="Y89" s="10">
        <f t="shared" ca="1" si="1562"/>
        <v>0</v>
      </c>
      <c r="Z89" s="5">
        <f t="shared" ca="1" si="1601"/>
        <v>0</v>
      </c>
      <c r="AA89" s="5">
        <f ca="1">+SUM(Z89:Z$124)</f>
        <v>0</v>
      </c>
      <c r="AB89" s="8">
        <f t="shared" ca="1" si="1563"/>
        <v>0</v>
      </c>
      <c r="AC89" s="209">
        <f ca="1">+SUM(AB89:AB$124)*SSSM</f>
        <v>0</v>
      </c>
      <c r="AD89" s="209">
        <f t="shared" ref="AD89" si="1906">IF(R89&gt;nB,0,AD88*(1-X88)*(1-Y88)*(1-AE88)*(1-AF88))</f>
        <v>0</v>
      </c>
      <c r="AE89" s="92">
        <f t="shared" ca="1" si="1565"/>
        <v>0</v>
      </c>
      <c r="AF89" s="92">
        <f t="shared" ca="1" si="1566"/>
        <v>0</v>
      </c>
      <c r="AG89" s="664">
        <f t="shared" ca="1" si="1567"/>
        <v>0</v>
      </c>
      <c r="AH89" s="208">
        <f ca="1">+SUM(AG89:AG$124)</f>
        <v>0</v>
      </c>
      <c r="AI89" s="70">
        <f t="shared" ca="1" si="1568"/>
        <v>0</v>
      </c>
      <c r="AJ89" s="208">
        <f ca="1">+SUM(AB89:AB$124)*SS50J</f>
        <v>0</v>
      </c>
      <c r="AK89" s="5">
        <f t="shared" ca="1" si="1603"/>
        <v>99999.012970709329</v>
      </c>
      <c r="AL89" s="2">
        <f t="shared" ref="AL89" ca="1" si="1907">IFERROR(VLOOKUP($S89,qx_table,MATCH(AL$11,qx_title,0)+sexB),0)</f>
        <v>0</v>
      </c>
      <c r="AM89" s="131">
        <f t="shared" ca="1" si="1605"/>
        <v>18026.870091514713</v>
      </c>
      <c r="AN89" s="129">
        <f t="shared" ca="1" si="1606"/>
        <v>0</v>
      </c>
      <c r="AO89" s="129">
        <f ca="1">SUM(AN89:AN$124)*SSa</f>
        <v>0</v>
      </c>
      <c r="AP89" s="70">
        <f t="shared" ca="1" si="1607"/>
        <v>99999.012970709329</v>
      </c>
      <c r="AQ89" s="2">
        <f t="shared" ref="AQ89" ca="1" si="1908">IFERROR(VLOOKUP($S89,qx_table,MATCH(AQ$11,qx_title,0)+sexB),0)</f>
        <v>0</v>
      </c>
      <c r="AR89" s="127">
        <f t="shared" ca="1" si="1609"/>
        <v>0</v>
      </c>
      <c r="AS89" s="127">
        <f ca="1">SUM(AR89:AR$124)*SSb</f>
        <v>0</v>
      </c>
      <c r="AT89" s="70">
        <f t="shared" ca="1" si="1610"/>
        <v>99999.012970709329</v>
      </c>
      <c r="AU89" s="2">
        <f t="shared" ref="AU89" ca="1" si="1909">IFERROR(VLOOKUP($S89,qx_table,MATCH(AU$11,qx_title,0)+sexB),0)</f>
        <v>0</v>
      </c>
      <c r="AV89" s="268">
        <f t="shared" ca="1" si="1612"/>
        <v>0</v>
      </c>
      <c r="AW89" s="131">
        <f ca="1">SUM(AV89:AV$124)*SSc</f>
        <v>0</v>
      </c>
      <c r="AX89" s="70">
        <f t="shared" ca="1" si="1613"/>
        <v>99999.012970709329</v>
      </c>
      <c r="AY89" s="2">
        <f t="shared" ref="AY89" ca="1" si="1910">IFERROR(VLOOKUP($S89,qx_table,MATCH(AY$11,qx_title,0)+sexB),0)</f>
        <v>0</v>
      </c>
      <c r="AZ89" s="268">
        <f t="shared" ca="1" si="1573"/>
        <v>0</v>
      </c>
      <c r="BA89" s="129">
        <f ca="1">SUM(AZ89:AZ$124)*SSd</f>
        <v>0</v>
      </c>
      <c r="BB89" s="70">
        <f t="shared" ca="1" si="1615"/>
        <v>99999.012970709329</v>
      </c>
      <c r="BC89" s="257">
        <f t="shared" ref="BC89" ca="1" si="1911">IFERROR(VLOOKUP($S89,qx_table,MATCH(BC$11,qx_title,0)+sexB),0)</f>
        <v>0</v>
      </c>
      <c r="BD89" s="268">
        <f t="shared" ca="1" si="1617"/>
        <v>0</v>
      </c>
      <c r="BE89" s="131">
        <f ca="1">SUM(BD89:BD$124)*SSe</f>
        <v>0</v>
      </c>
      <c r="BF89" s="70">
        <f t="shared" ca="1" si="1618"/>
        <v>99999.012970709329</v>
      </c>
      <c r="BG89" s="2">
        <f t="shared" ref="BG89" ca="1" si="1912">IFERROR(VLOOKUP($S89,qx_table,MATCH(BG$11,qx_title,0)+sexB),0)</f>
        <v>0</v>
      </c>
      <c r="BH89" s="131">
        <f t="shared" ca="1" si="1620"/>
        <v>0</v>
      </c>
      <c r="BI89" s="2">
        <f ca="1">SUM(BH89:BH$124)*SSf</f>
        <v>0</v>
      </c>
      <c r="BJ89" s="70">
        <f t="shared" ca="1" si="1621"/>
        <v>99999.012970709329</v>
      </c>
      <c r="BK89" s="2">
        <f t="shared" ref="BK89" ca="1" si="1913">IFERROR(VLOOKUP($S89,qx_table,MATCH(BK$11,qx_title,0)+sexB),0)</f>
        <v>0</v>
      </c>
      <c r="BL89" s="131">
        <f t="shared" ca="1" si="1623"/>
        <v>0</v>
      </c>
      <c r="BM89" s="131">
        <f ca="1">SUM(BL89:BL$124)*SSg</f>
        <v>0</v>
      </c>
      <c r="BN89" s="70">
        <f t="shared" ca="1" si="1624"/>
        <v>99999.012970709329</v>
      </c>
      <c r="BO89" s="2">
        <f t="shared" ref="BO89" ca="1" si="1914">IFERROR(VLOOKUP($S89,qx_table,MATCH(BO$11,qx_title,0)+sexB),0)</f>
        <v>0</v>
      </c>
      <c r="BP89" s="131">
        <f t="shared" ca="1" si="1626"/>
        <v>0</v>
      </c>
      <c r="BQ89" s="131">
        <f ca="1">SUM(BP89:BP$124)*SSh</f>
        <v>0</v>
      </c>
      <c r="BR89" s="70">
        <f t="shared" ca="1" si="1627"/>
        <v>99999.012970709329</v>
      </c>
      <c r="BS89" s="2">
        <f t="shared" ref="BS89" ca="1" si="1915">IFERROR(VLOOKUP($S89,qx_table,MATCH(BS$11,qx_title,0)+sexB),0)*IF(R89=0,MCi,1)</f>
        <v>0</v>
      </c>
      <c r="BT89" s="131">
        <f t="shared" ca="1" si="1629"/>
        <v>0</v>
      </c>
      <c r="BU89" s="131">
        <f ca="1">SUM(BT89:BT$124)*SSi</f>
        <v>0</v>
      </c>
      <c r="BV89" s="70">
        <f t="shared" ca="1" si="1630"/>
        <v>99999.012970709329</v>
      </c>
      <c r="BW89" s="2">
        <f t="shared" ref="BW89" ca="1" si="1916">IFERROR(VLOOKUP($S89,qx_table,MATCH(BW$11,qx_title,0)+sexB),0)</f>
        <v>0</v>
      </c>
      <c r="BX89" s="131">
        <f t="shared" ca="1" si="1632"/>
        <v>0</v>
      </c>
      <c r="BY89" s="131">
        <f ca="1">SUM(BX89:BX$124)*SSj</f>
        <v>0</v>
      </c>
      <c r="BZ89" s="70">
        <f t="shared" ca="1" si="1633"/>
        <v>99999.012970709329</v>
      </c>
      <c r="CA89" s="2">
        <f t="shared" ref="CA89" ca="1" si="1917">IFERROR(VLOOKUP($S89,qx_table,MATCH(CA$11,qx_title,0)+sexB),0)</f>
        <v>0</v>
      </c>
      <c r="CB89" s="131">
        <f t="shared" ca="1" si="1635"/>
        <v>0</v>
      </c>
      <c r="CC89" s="131">
        <f ca="1">SUM(CB89:CB$124)*SSk</f>
        <v>0</v>
      </c>
      <c r="CD89" s="8">
        <f t="shared" ca="1" si="1636"/>
        <v>99999.012970709329</v>
      </c>
      <c r="CE89" s="2">
        <f t="shared" ref="CE89" ca="1" si="1918">IFERROR(VLOOKUP($S89,qx_table,MATCH(CE$11,qx_title,0)+sexB),0)</f>
        <v>0</v>
      </c>
      <c r="CF89" s="131">
        <f t="shared" ca="1" si="1638"/>
        <v>0</v>
      </c>
      <c r="CG89" s="131">
        <f ca="1">SUM(CF89:CF$124)*SSl</f>
        <v>0</v>
      </c>
      <c r="CH89" s="101">
        <f t="shared" ca="1" si="1639"/>
        <v>0</v>
      </c>
      <c r="CI89" s="154">
        <f t="shared" ca="1" si="1582"/>
        <v>0</v>
      </c>
      <c r="CJ89" s="32">
        <f t="shared" ref="CJ89" ca="1" si="1919">+MAX(VLOOKUP(xB+$R89,기수표B,$AH$1)-VLOOKUP(xB+mB,기수표B,$AH$1),0)</f>
        <v>0</v>
      </c>
      <c r="CK89" s="32">
        <f t="shared" ref="CK89" ca="1" si="1920">+MAX(VLOOKUP(xB+$R89,기수표B,$AH$1)-VLOOKUP(xB+mB,기수표B,$AH$1)-11/24*(VLOOKUP(xB+$R89,기수표B,$AG$1)-VLOOKUP(xB+mB,기수표B,$AG$1)),0)</f>
        <v>0</v>
      </c>
      <c r="CL89" s="32">
        <f t="shared" ref="CL89" ca="1" si="1921">+MAX(VLOOKUP(xB+$R89,기수표B,$AA$1)-VLOOKUP(xB+mB,기수표B,$AA$1),0)</f>
        <v>0</v>
      </c>
      <c r="CM89" s="32">
        <f t="shared" ref="CM89" ca="1" si="1922">+MAX(VLOOKUP(xB+$R89,기수표B,$AA$1)-VLOOKUP(xB+mB,기수표B,$AA$1)-11/24*(VLOOKUP(xB+$R89,기수표B,$AA$1)-VLOOKUP(xB+mB,기수표B,$AA$1)),0)</f>
        <v>0</v>
      </c>
      <c r="CN89" s="32">
        <f t="shared" si="1587"/>
        <v>0</v>
      </c>
      <c r="CO89" s="32">
        <f t="shared" ca="1" si="1588"/>
        <v>0</v>
      </c>
      <c r="CP89" s="259">
        <f t="shared" ca="1" si="1589"/>
        <v>0</v>
      </c>
      <c r="CQ89" s="259">
        <f t="shared" ca="1" si="1590"/>
        <v>0</v>
      </c>
      <c r="CR89" s="259" t="e">
        <f t="shared" ca="1" si="1591"/>
        <v>#DIV/0!</v>
      </c>
      <c r="CS89" s="31">
        <f t="shared" ref="CS89" si="1923">+MIN(mB,7)</f>
        <v>5</v>
      </c>
      <c r="CU89" s="13">
        <v>77</v>
      </c>
      <c r="CV89" s="477">
        <f t="shared" ca="1" si="1593"/>
        <v>420</v>
      </c>
      <c r="CW89" s="477" t="e">
        <f t="shared" ca="1" si="1594"/>
        <v>#DIV/0!</v>
      </c>
      <c r="CX89" s="477">
        <f t="shared" ca="1" si="1595"/>
        <v>0</v>
      </c>
      <c r="CY89" s="478">
        <f t="shared" ca="1" si="1645"/>
        <v>0</v>
      </c>
    </row>
    <row r="90" spans="14:103">
      <c r="N90" s="5">
        <f t="shared" si="1646"/>
        <v>78</v>
      </c>
      <c r="O90" s="2">
        <f t="shared" ref="O90" ca="1" si="1924">+(1+iB)^-N90</f>
        <v>0.17630364815412175</v>
      </c>
      <c r="P90" s="2">
        <f t="shared" ref="P90" ca="1" si="1925">+(1+iB)^-(N90+0.5)</f>
        <v>0.17435308680291239</v>
      </c>
      <c r="Q90" s="91"/>
      <c r="R90" s="20">
        <f t="shared" si="1649"/>
        <v>78</v>
      </c>
      <c r="S90" s="20" t="str">
        <f t="shared" ref="S90" si="1926">+IF(xB+R90&lt;=xB+nB,xB+R90,"")</f>
        <v/>
      </c>
      <c r="T90" s="2">
        <f t="shared" ref="T90:U90" ca="1" si="1927">IFERROR(VLOOKUP($S90,qx_table,MATCH(T$11,qx_title,0)+sexB),0)</f>
        <v>0</v>
      </c>
      <c r="U90" s="2">
        <f t="shared" ca="1" si="1927"/>
        <v>0</v>
      </c>
      <c r="V90" s="300">
        <f>IF(JRB=2,0,IF(R90&gt;=mB-1,_xlfn.XLOOKUP(R90-mB,해지율!#REF!,해지율!#REF!,,1),_xlfn.XLOOKUP(R90,해지율!#REF!,해지율!#REF!,,-1)))</f>
        <v>0</v>
      </c>
      <c r="W90" s="8">
        <f t="shared" ref="W90" si="1928">IF(R90=0,100000,IF(R90&gt;nB,0,W89*(1-X89)*(1-Y89)))</f>
        <v>0</v>
      </c>
      <c r="X90" s="10">
        <f t="shared" ca="1" si="1561"/>
        <v>0</v>
      </c>
      <c r="Y90" s="10">
        <f t="shared" ca="1" si="1562"/>
        <v>0</v>
      </c>
      <c r="Z90" s="5">
        <f t="shared" ca="1" si="1601"/>
        <v>0</v>
      </c>
      <c r="AA90" s="5">
        <f ca="1">+SUM(Z90:Z$124)</f>
        <v>0</v>
      </c>
      <c r="AB90" s="8">
        <f t="shared" ca="1" si="1563"/>
        <v>0</v>
      </c>
      <c r="AC90" s="209">
        <f ca="1">+SUM(AB90:AB$124)*SSSM</f>
        <v>0</v>
      </c>
      <c r="AD90" s="209">
        <f t="shared" ref="AD90" si="1929">IF(R90&gt;nB,0,AD89*(1-X89)*(1-Y89)*(1-AE89)*(1-AF89))</f>
        <v>0</v>
      </c>
      <c r="AE90" s="92">
        <f t="shared" ca="1" si="1565"/>
        <v>0</v>
      </c>
      <c r="AF90" s="92">
        <f t="shared" ca="1" si="1566"/>
        <v>0</v>
      </c>
      <c r="AG90" s="664">
        <f t="shared" ca="1" si="1567"/>
        <v>0</v>
      </c>
      <c r="AH90" s="208">
        <f ca="1">+SUM(AG90:AG$124)</f>
        <v>0</v>
      </c>
      <c r="AI90" s="70">
        <f t="shared" ca="1" si="1568"/>
        <v>0</v>
      </c>
      <c r="AJ90" s="208">
        <f ca="1">+SUM(AB90:AB$124)*SS50J</f>
        <v>0</v>
      </c>
      <c r="AK90" s="5">
        <f t="shared" ca="1" si="1603"/>
        <v>99999.012970709329</v>
      </c>
      <c r="AL90" s="2">
        <f t="shared" ref="AL90" ca="1" si="1930">IFERROR(VLOOKUP($S90,qx_table,MATCH(AL$11,qx_title,0)+sexB),0)</f>
        <v>0</v>
      </c>
      <c r="AM90" s="131">
        <f t="shared" ca="1" si="1605"/>
        <v>17630.190798547395</v>
      </c>
      <c r="AN90" s="129">
        <f t="shared" ca="1" si="1606"/>
        <v>0</v>
      </c>
      <c r="AO90" s="129">
        <f ca="1">SUM(AN90:AN$124)*SSa</f>
        <v>0</v>
      </c>
      <c r="AP90" s="70">
        <f t="shared" ca="1" si="1607"/>
        <v>99999.012970709329</v>
      </c>
      <c r="AQ90" s="2">
        <f t="shared" ref="AQ90" ca="1" si="1931">IFERROR(VLOOKUP($S90,qx_table,MATCH(AQ$11,qx_title,0)+sexB),0)</f>
        <v>0</v>
      </c>
      <c r="AR90" s="127">
        <f t="shared" ca="1" si="1609"/>
        <v>0</v>
      </c>
      <c r="AS90" s="127">
        <f ca="1">SUM(AR90:AR$124)*SSb</f>
        <v>0</v>
      </c>
      <c r="AT90" s="70">
        <f t="shared" ca="1" si="1610"/>
        <v>99999.012970709329</v>
      </c>
      <c r="AU90" s="2">
        <f t="shared" ref="AU90" ca="1" si="1932">IFERROR(VLOOKUP($S90,qx_table,MATCH(AU$11,qx_title,0)+sexB),0)</f>
        <v>0</v>
      </c>
      <c r="AV90" s="268">
        <f t="shared" ca="1" si="1612"/>
        <v>0</v>
      </c>
      <c r="AW90" s="131">
        <f ca="1">SUM(AV90:AV$124)*SSc</f>
        <v>0</v>
      </c>
      <c r="AX90" s="70">
        <f t="shared" ca="1" si="1613"/>
        <v>99999.012970709329</v>
      </c>
      <c r="AY90" s="2">
        <f t="shared" ref="AY90" ca="1" si="1933">IFERROR(VLOOKUP($S90,qx_table,MATCH(AY$11,qx_title,0)+sexB),0)</f>
        <v>0</v>
      </c>
      <c r="AZ90" s="268">
        <f t="shared" ca="1" si="1573"/>
        <v>0</v>
      </c>
      <c r="BA90" s="129">
        <f ca="1">SUM(AZ90:AZ$124)*SSd</f>
        <v>0</v>
      </c>
      <c r="BB90" s="70">
        <f t="shared" ca="1" si="1615"/>
        <v>99999.012970709329</v>
      </c>
      <c r="BC90" s="257">
        <f t="shared" ref="BC90" ca="1" si="1934">IFERROR(VLOOKUP($S90,qx_table,MATCH(BC$11,qx_title,0)+sexB),0)</f>
        <v>0</v>
      </c>
      <c r="BD90" s="268">
        <f t="shared" ca="1" si="1617"/>
        <v>0</v>
      </c>
      <c r="BE90" s="131">
        <f ca="1">SUM(BD90:BD$124)*SSe</f>
        <v>0</v>
      </c>
      <c r="BF90" s="70">
        <f t="shared" ca="1" si="1618"/>
        <v>99999.012970709329</v>
      </c>
      <c r="BG90" s="2">
        <f t="shared" ref="BG90" ca="1" si="1935">IFERROR(VLOOKUP($S90,qx_table,MATCH(BG$11,qx_title,0)+sexB),0)</f>
        <v>0</v>
      </c>
      <c r="BH90" s="131">
        <f t="shared" ca="1" si="1620"/>
        <v>0</v>
      </c>
      <c r="BI90" s="2">
        <f ca="1">SUM(BH90:BH$124)*SSf</f>
        <v>0</v>
      </c>
      <c r="BJ90" s="70">
        <f t="shared" ca="1" si="1621"/>
        <v>99999.012970709329</v>
      </c>
      <c r="BK90" s="2">
        <f t="shared" ref="BK90" ca="1" si="1936">IFERROR(VLOOKUP($S90,qx_table,MATCH(BK$11,qx_title,0)+sexB),0)</f>
        <v>0</v>
      </c>
      <c r="BL90" s="131">
        <f t="shared" ca="1" si="1623"/>
        <v>0</v>
      </c>
      <c r="BM90" s="131">
        <f ca="1">SUM(BL90:BL$124)*SSg</f>
        <v>0</v>
      </c>
      <c r="BN90" s="70">
        <f t="shared" ca="1" si="1624"/>
        <v>99999.012970709329</v>
      </c>
      <c r="BO90" s="2">
        <f t="shared" ref="BO90" ca="1" si="1937">IFERROR(VLOOKUP($S90,qx_table,MATCH(BO$11,qx_title,0)+sexB),0)</f>
        <v>0</v>
      </c>
      <c r="BP90" s="131">
        <f t="shared" ca="1" si="1626"/>
        <v>0</v>
      </c>
      <c r="BQ90" s="131">
        <f ca="1">SUM(BP90:BP$124)*SSh</f>
        <v>0</v>
      </c>
      <c r="BR90" s="70">
        <f t="shared" ca="1" si="1627"/>
        <v>99999.012970709329</v>
      </c>
      <c r="BS90" s="2">
        <f t="shared" ref="BS90" ca="1" si="1938">IFERROR(VLOOKUP($S90,qx_table,MATCH(BS$11,qx_title,0)+sexB),0)*IF(R90=0,MCi,1)</f>
        <v>0</v>
      </c>
      <c r="BT90" s="131">
        <f t="shared" ca="1" si="1629"/>
        <v>0</v>
      </c>
      <c r="BU90" s="131">
        <f ca="1">SUM(BT90:BT$124)*SSi</f>
        <v>0</v>
      </c>
      <c r="BV90" s="70">
        <f t="shared" ca="1" si="1630"/>
        <v>99999.012970709329</v>
      </c>
      <c r="BW90" s="2">
        <f t="shared" ref="BW90" ca="1" si="1939">IFERROR(VLOOKUP($S90,qx_table,MATCH(BW$11,qx_title,0)+sexB),0)</f>
        <v>0</v>
      </c>
      <c r="BX90" s="131">
        <f t="shared" ca="1" si="1632"/>
        <v>0</v>
      </c>
      <c r="BY90" s="131">
        <f ca="1">SUM(BX90:BX$124)*SSj</f>
        <v>0</v>
      </c>
      <c r="BZ90" s="70">
        <f t="shared" ca="1" si="1633"/>
        <v>99999.012970709329</v>
      </c>
      <c r="CA90" s="2">
        <f t="shared" ref="CA90" ca="1" si="1940">IFERROR(VLOOKUP($S90,qx_table,MATCH(CA$11,qx_title,0)+sexB),0)</f>
        <v>0</v>
      </c>
      <c r="CB90" s="131">
        <f t="shared" ca="1" si="1635"/>
        <v>0</v>
      </c>
      <c r="CC90" s="131">
        <f ca="1">SUM(CB90:CB$124)*SSk</f>
        <v>0</v>
      </c>
      <c r="CD90" s="8">
        <f t="shared" ca="1" si="1636"/>
        <v>99999.012970709329</v>
      </c>
      <c r="CE90" s="2">
        <f t="shared" ref="CE90" ca="1" si="1941">IFERROR(VLOOKUP($S90,qx_table,MATCH(CE$11,qx_title,0)+sexB),0)</f>
        <v>0</v>
      </c>
      <c r="CF90" s="131">
        <f t="shared" ca="1" si="1638"/>
        <v>0</v>
      </c>
      <c r="CG90" s="131">
        <f ca="1">SUM(CF90:CF$124)*SSl</f>
        <v>0</v>
      </c>
      <c r="CH90" s="101">
        <f t="shared" ca="1" si="1639"/>
        <v>0</v>
      </c>
      <c r="CI90" s="154">
        <f t="shared" ca="1" si="1582"/>
        <v>0</v>
      </c>
      <c r="CJ90" s="32">
        <f t="shared" ref="CJ90" ca="1" si="1942">+MAX(VLOOKUP(xB+$R90,기수표B,$AH$1)-VLOOKUP(xB+mB,기수표B,$AH$1),0)</f>
        <v>0</v>
      </c>
      <c r="CK90" s="32">
        <f t="shared" ref="CK90" ca="1" si="1943">+MAX(VLOOKUP(xB+$R90,기수표B,$AH$1)-VLOOKUP(xB+mB,기수표B,$AH$1)-11/24*(VLOOKUP(xB+$R90,기수표B,$AG$1)-VLOOKUP(xB+mB,기수표B,$AG$1)),0)</f>
        <v>0</v>
      </c>
      <c r="CL90" s="32">
        <f t="shared" ref="CL90" ca="1" si="1944">+MAX(VLOOKUP(xB+$R90,기수표B,$AA$1)-VLOOKUP(xB+mB,기수표B,$AA$1),0)</f>
        <v>0</v>
      </c>
      <c r="CM90" s="32">
        <f t="shared" ref="CM90" ca="1" si="1945">+MAX(VLOOKUP(xB+$R90,기수표B,$AA$1)-VLOOKUP(xB+mB,기수표B,$AA$1)-11/24*(VLOOKUP(xB+$R90,기수표B,$AA$1)-VLOOKUP(xB+mB,기수표B,$AA$1)),0)</f>
        <v>0</v>
      </c>
      <c r="CN90" s="32">
        <f t="shared" si="1587"/>
        <v>0</v>
      </c>
      <c r="CO90" s="32">
        <f t="shared" ca="1" si="1588"/>
        <v>0</v>
      </c>
      <c r="CP90" s="259">
        <f t="shared" ca="1" si="1589"/>
        <v>0</v>
      </c>
      <c r="CQ90" s="259">
        <f t="shared" ca="1" si="1590"/>
        <v>0</v>
      </c>
      <c r="CR90" s="259" t="e">
        <f t="shared" ca="1" si="1591"/>
        <v>#DIV/0!</v>
      </c>
      <c r="CS90" s="31">
        <f t="shared" ref="CS90" si="1946">+MIN(mB,7)</f>
        <v>5</v>
      </c>
      <c r="CU90" s="13">
        <v>78</v>
      </c>
      <c r="CV90" s="477">
        <f t="shared" ca="1" si="1593"/>
        <v>420</v>
      </c>
      <c r="CW90" s="477" t="e">
        <f t="shared" ca="1" si="1594"/>
        <v>#DIV/0!</v>
      </c>
      <c r="CX90" s="477">
        <f t="shared" ca="1" si="1595"/>
        <v>0</v>
      </c>
      <c r="CY90" s="478">
        <f t="shared" ca="1" si="1645"/>
        <v>0</v>
      </c>
    </row>
    <row r="91" spans="14:103">
      <c r="N91" s="5">
        <f t="shared" si="1646"/>
        <v>79</v>
      </c>
      <c r="O91" s="2">
        <f t="shared" ref="O91" ca="1" si="1947">+(1+iB)^-N91</f>
        <v>0.17242410577420222</v>
      </c>
      <c r="P91" s="2">
        <f t="shared" ref="P91" ca="1" si="1948">+(1+iB)^-(N91+0.5)</f>
        <v>0.1705164663109168</v>
      </c>
      <c r="Q91" s="91"/>
      <c r="R91" s="20">
        <f t="shared" si="1649"/>
        <v>79</v>
      </c>
      <c r="S91" s="20" t="str">
        <f t="shared" ref="S91" si="1949">+IF(xB+R91&lt;=xB+nB,xB+R91,"")</f>
        <v/>
      </c>
      <c r="T91" s="2">
        <f t="shared" ref="T91:U91" ca="1" si="1950">IFERROR(VLOOKUP($S91,qx_table,MATCH(T$11,qx_title,0)+sexB),0)</f>
        <v>0</v>
      </c>
      <c r="U91" s="2">
        <f t="shared" ca="1" si="1950"/>
        <v>0</v>
      </c>
      <c r="V91" s="300">
        <f>IF(JRB=2,0,IF(R91&gt;=mB-1,_xlfn.XLOOKUP(R91-mB,해지율!#REF!,해지율!#REF!,,1),_xlfn.XLOOKUP(R91,해지율!#REF!,해지율!#REF!,,-1)))</f>
        <v>0</v>
      </c>
      <c r="W91" s="8">
        <f t="shared" ref="W91" si="1951">IF(R91=0,100000,IF(R91&gt;nB,0,W90*(1-X90)*(1-Y90)))</f>
        <v>0</v>
      </c>
      <c r="X91" s="10">
        <f t="shared" ca="1" si="1561"/>
        <v>0</v>
      </c>
      <c r="Y91" s="10">
        <f t="shared" ca="1" si="1562"/>
        <v>0</v>
      </c>
      <c r="Z91" s="5">
        <f t="shared" ca="1" si="1601"/>
        <v>0</v>
      </c>
      <c r="AA91" s="5">
        <f ca="1">+SUM(Z91:Z$124)</f>
        <v>0</v>
      </c>
      <c r="AB91" s="8">
        <f t="shared" ca="1" si="1563"/>
        <v>0</v>
      </c>
      <c r="AC91" s="209">
        <f ca="1">+SUM(AB91:AB$124)*SSSM</f>
        <v>0</v>
      </c>
      <c r="AD91" s="209">
        <f t="shared" ref="AD91" si="1952">IF(R91&gt;nB,0,AD90*(1-X90)*(1-Y90)*(1-AE90)*(1-AF90))</f>
        <v>0</v>
      </c>
      <c r="AE91" s="92">
        <f t="shared" ca="1" si="1565"/>
        <v>0</v>
      </c>
      <c r="AF91" s="92">
        <f t="shared" ca="1" si="1566"/>
        <v>0</v>
      </c>
      <c r="AG91" s="664">
        <f t="shared" ca="1" si="1567"/>
        <v>0</v>
      </c>
      <c r="AH91" s="208">
        <f ca="1">+SUM(AG91:AG$124)</f>
        <v>0</v>
      </c>
      <c r="AI91" s="70">
        <f t="shared" ca="1" si="1568"/>
        <v>0</v>
      </c>
      <c r="AJ91" s="208">
        <f ca="1">+SUM(AB91:AB$124)*SS50J</f>
        <v>0</v>
      </c>
      <c r="AK91" s="5">
        <f t="shared" ca="1" si="1603"/>
        <v>99999.012970709329</v>
      </c>
      <c r="AL91" s="2">
        <f t="shared" ref="AL91" ca="1" si="1953">IFERROR(VLOOKUP($S91,qx_table,MATCH(AL$11,qx_title,0)+sexB),0)</f>
        <v>0</v>
      </c>
      <c r="AM91" s="131">
        <f t="shared" ca="1" si="1605"/>
        <v>17242.240389777406</v>
      </c>
      <c r="AN91" s="129">
        <f t="shared" ca="1" si="1606"/>
        <v>0</v>
      </c>
      <c r="AO91" s="129">
        <f ca="1">SUM(AN91:AN$124)*SSa</f>
        <v>0</v>
      </c>
      <c r="AP91" s="70">
        <f t="shared" ca="1" si="1607"/>
        <v>99999.012970709329</v>
      </c>
      <c r="AQ91" s="2">
        <f t="shared" ref="AQ91" ca="1" si="1954">IFERROR(VLOOKUP($S91,qx_table,MATCH(AQ$11,qx_title,0)+sexB),0)</f>
        <v>0</v>
      </c>
      <c r="AR91" s="127">
        <f t="shared" ca="1" si="1609"/>
        <v>0</v>
      </c>
      <c r="AS91" s="127">
        <f ca="1">SUM(AR91:AR$124)*SSb</f>
        <v>0</v>
      </c>
      <c r="AT91" s="70">
        <f t="shared" ca="1" si="1610"/>
        <v>99999.012970709329</v>
      </c>
      <c r="AU91" s="2">
        <f t="shared" ref="AU91" ca="1" si="1955">IFERROR(VLOOKUP($S91,qx_table,MATCH(AU$11,qx_title,0)+sexB),0)</f>
        <v>0</v>
      </c>
      <c r="AV91" s="268">
        <f t="shared" ca="1" si="1612"/>
        <v>0</v>
      </c>
      <c r="AW91" s="131">
        <f ca="1">SUM(AV91:AV$124)*SSc</f>
        <v>0</v>
      </c>
      <c r="AX91" s="70">
        <f t="shared" ca="1" si="1613"/>
        <v>99999.012970709329</v>
      </c>
      <c r="AY91" s="2">
        <f t="shared" ref="AY91" ca="1" si="1956">IFERROR(VLOOKUP($S91,qx_table,MATCH(AY$11,qx_title,0)+sexB),0)</f>
        <v>0</v>
      </c>
      <c r="AZ91" s="268">
        <f t="shared" ca="1" si="1573"/>
        <v>0</v>
      </c>
      <c r="BA91" s="129">
        <f ca="1">SUM(AZ91:AZ$124)*SSd</f>
        <v>0</v>
      </c>
      <c r="BB91" s="70">
        <f t="shared" ca="1" si="1615"/>
        <v>99999.012970709329</v>
      </c>
      <c r="BC91" s="257">
        <f t="shared" ref="BC91" ca="1" si="1957">IFERROR(VLOOKUP($S91,qx_table,MATCH(BC$11,qx_title,0)+sexB),0)</f>
        <v>0</v>
      </c>
      <c r="BD91" s="268">
        <f t="shared" ca="1" si="1617"/>
        <v>0</v>
      </c>
      <c r="BE91" s="131">
        <f ca="1">SUM(BD91:BD$124)*SSe</f>
        <v>0</v>
      </c>
      <c r="BF91" s="70">
        <f t="shared" ca="1" si="1618"/>
        <v>99999.012970709329</v>
      </c>
      <c r="BG91" s="2">
        <f t="shared" ref="BG91" ca="1" si="1958">IFERROR(VLOOKUP($S91,qx_table,MATCH(BG$11,qx_title,0)+sexB),0)</f>
        <v>0</v>
      </c>
      <c r="BH91" s="131">
        <f t="shared" ca="1" si="1620"/>
        <v>0</v>
      </c>
      <c r="BI91" s="2">
        <f ca="1">SUM(BH91:BH$124)*SSf</f>
        <v>0</v>
      </c>
      <c r="BJ91" s="70">
        <f t="shared" ca="1" si="1621"/>
        <v>99999.012970709329</v>
      </c>
      <c r="BK91" s="2">
        <f t="shared" ref="BK91" ca="1" si="1959">IFERROR(VLOOKUP($S91,qx_table,MATCH(BK$11,qx_title,0)+sexB),0)</f>
        <v>0</v>
      </c>
      <c r="BL91" s="131">
        <f t="shared" ca="1" si="1623"/>
        <v>0</v>
      </c>
      <c r="BM91" s="131">
        <f ca="1">SUM(BL91:BL$124)*SSg</f>
        <v>0</v>
      </c>
      <c r="BN91" s="70">
        <f t="shared" ca="1" si="1624"/>
        <v>99999.012970709329</v>
      </c>
      <c r="BO91" s="2">
        <f t="shared" ref="BO91" ca="1" si="1960">IFERROR(VLOOKUP($S91,qx_table,MATCH(BO$11,qx_title,0)+sexB),0)</f>
        <v>0</v>
      </c>
      <c r="BP91" s="131">
        <f t="shared" ca="1" si="1626"/>
        <v>0</v>
      </c>
      <c r="BQ91" s="131">
        <f ca="1">SUM(BP91:BP$124)*SSh</f>
        <v>0</v>
      </c>
      <c r="BR91" s="70">
        <f t="shared" ca="1" si="1627"/>
        <v>99999.012970709329</v>
      </c>
      <c r="BS91" s="2">
        <f t="shared" ref="BS91" ca="1" si="1961">IFERROR(VLOOKUP($S91,qx_table,MATCH(BS$11,qx_title,0)+sexB),0)*IF(R91=0,MCi,1)</f>
        <v>0</v>
      </c>
      <c r="BT91" s="131">
        <f t="shared" ca="1" si="1629"/>
        <v>0</v>
      </c>
      <c r="BU91" s="131">
        <f ca="1">SUM(BT91:BT$124)*SSi</f>
        <v>0</v>
      </c>
      <c r="BV91" s="70">
        <f t="shared" ca="1" si="1630"/>
        <v>99999.012970709329</v>
      </c>
      <c r="BW91" s="2">
        <f t="shared" ref="BW91" ca="1" si="1962">IFERROR(VLOOKUP($S91,qx_table,MATCH(BW$11,qx_title,0)+sexB),0)</f>
        <v>0</v>
      </c>
      <c r="BX91" s="131">
        <f t="shared" ca="1" si="1632"/>
        <v>0</v>
      </c>
      <c r="BY91" s="131">
        <f ca="1">SUM(BX91:BX$124)*SSj</f>
        <v>0</v>
      </c>
      <c r="BZ91" s="70">
        <f t="shared" ca="1" si="1633"/>
        <v>99999.012970709329</v>
      </c>
      <c r="CA91" s="2">
        <f t="shared" ref="CA91" ca="1" si="1963">IFERROR(VLOOKUP($S91,qx_table,MATCH(CA$11,qx_title,0)+sexB),0)</f>
        <v>0</v>
      </c>
      <c r="CB91" s="131">
        <f t="shared" ca="1" si="1635"/>
        <v>0</v>
      </c>
      <c r="CC91" s="131">
        <f ca="1">SUM(CB91:CB$124)*SSk</f>
        <v>0</v>
      </c>
      <c r="CD91" s="8">
        <f t="shared" ca="1" si="1636"/>
        <v>99999.012970709329</v>
      </c>
      <c r="CE91" s="2">
        <f t="shared" ref="CE91" ca="1" si="1964">IFERROR(VLOOKUP($S91,qx_table,MATCH(CE$11,qx_title,0)+sexB),0)</f>
        <v>0</v>
      </c>
      <c r="CF91" s="131">
        <f t="shared" ca="1" si="1638"/>
        <v>0</v>
      </c>
      <c r="CG91" s="131">
        <f ca="1">SUM(CF91:CF$124)*SSl</f>
        <v>0</v>
      </c>
      <c r="CH91" s="101">
        <f t="shared" ca="1" si="1639"/>
        <v>0</v>
      </c>
      <c r="CI91" s="154">
        <f t="shared" ca="1" si="1582"/>
        <v>0</v>
      </c>
      <c r="CJ91" s="32">
        <f t="shared" ref="CJ91" ca="1" si="1965">+MAX(VLOOKUP(xB+$R91,기수표B,$AH$1)-VLOOKUP(xB+mB,기수표B,$AH$1),0)</f>
        <v>0</v>
      </c>
      <c r="CK91" s="32">
        <f t="shared" ref="CK91" ca="1" si="1966">+MAX(VLOOKUP(xB+$R91,기수표B,$AH$1)-VLOOKUP(xB+mB,기수표B,$AH$1)-11/24*(VLOOKUP(xB+$R91,기수표B,$AG$1)-VLOOKUP(xB+mB,기수표B,$AG$1)),0)</f>
        <v>0</v>
      </c>
      <c r="CL91" s="32">
        <f t="shared" ref="CL91" ca="1" si="1967">+MAX(VLOOKUP(xB+$R91,기수표B,$AA$1)-VLOOKUP(xB+mB,기수표B,$AA$1),0)</f>
        <v>0</v>
      </c>
      <c r="CM91" s="32">
        <f t="shared" ref="CM91" ca="1" si="1968">+MAX(VLOOKUP(xB+$R91,기수표B,$AA$1)-VLOOKUP(xB+mB,기수표B,$AA$1)-11/24*(VLOOKUP(xB+$R91,기수표B,$AA$1)-VLOOKUP(xB+mB,기수표B,$AA$1)),0)</f>
        <v>0</v>
      </c>
      <c r="CN91" s="32">
        <f t="shared" si="1587"/>
        <v>0</v>
      </c>
      <c r="CO91" s="32">
        <f t="shared" ca="1" si="1588"/>
        <v>0</v>
      </c>
      <c r="CP91" s="259">
        <f t="shared" ca="1" si="1589"/>
        <v>0</v>
      </c>
      <c r="CQ91" s="259">
        <f t="shared" ca="1" si="1590"/>
        <v>0</v>
      </c>
      <c r="CR91" s="259" t="e">
        <f t="shared" ca="1" si="1591"/>
        <v>#DIV/0!</v>
      </c>
      <c r="CS91" s="31">
        <f t="shared" ref="CS91" si="1969">+MIN(mB,7)</f>
        <v>5</v>
      </c>
      <c r="CU91" s="13">
        <v>79</v>
      </c>
      <c r="CV91" s="477">
        <f t="shared" ca="1" si="1593"/>
        <v>420</v>
      </c>
      <c r="CW91" s="477" t="e">
        <f t="shared" ca="1" si="1594"/>
        <v>#DIV/0!</v>
      </c>
      <c r="CX91" s="477">
        <f t="shared" ca="1" si="1595"/>
        <v>0</v>
      </c>
      <c r="CY91" s="478">
        <f t="shared" ca="1" si="1645"/>
        <v>0</v>
      </c>
    </row>
    <row r="92" spans="14:103">
      <c r="N92" s="5">
        <f t="shared" si="1646"/>
        <v>80</v>
      </c>
      <c r="O92" s="2">
        <f t="shared" ref="O92" ca="1" si="1970">+(1+iB)^-N92</f>
        <v>0.16862993229750833</v>
      </c>
      <c r="P92" s="2">
        <f t="shared" ref="P92" ca="1" si="1971">+(1+iB)^-(N92+0.5)</f>
        <v>0.16676427023072546</v>
      </c>
      <c r="Q92" s="91"/>
      <c r="R92" s="20">
        <f t="shared" si="1649"/>
        <v>80</v>
      </c>
      <c r="S92" s="20" t="str">
        <f t="shared" ref="S92" si="1972">+IF(xB+R92&lt;=xB+nB,xB+R92,"")</f>
        <v/>
      </c>
      <c r="T92" s="2">
        <f t="shared" ref="T92:U92" ca="1" si="1973">IFERROR(VLOOKUP($S92,qx_table,MATCH(T$11,qx_title,0)+sexB),0)</f>
        <v>0</v>
      </c>
      <c r="U92" s="2">
        <f t="shared" ca="1" si="1973"/>
        <v>0</v>
      </c>
      <c r="V92" s="300">
        <f>IF(JRB=2,0,IF(R92&gt;=mB-1,_xlfn.XLOOKUP(R92-mB,해지율!#REF!,해지율!#REF!,,1),_xlfn.XLOOKUP(R92,해지율!#REF!,해지율!#REF!,,-1)))</f>
        <v>0</v>
      </c>
      <c r="W92" s="8">
        <f t="shared" ref="W92" si="1974">IF(R92=0,100000,IF(R92&gt;nB,0,W91*(1-X91)*(1-Y91)))</f>
        <v>0</v>
      </c>
      <c r="X92" s="10">
        <f t="shared" ca="1" si="1561"/>
        <v>0</v>
      </c>
      <c r="Y92" s="10">
        <f t="shared" ca="1" si="1562"/>
        <v>0</v>
      </c>
      <c r="Z92" s="5">
        <f t="shared" ca="1" si="1601"/>
        <v>0</v>
      </c>
      <c r="AA92" s="5">
        <f ca="1">+SUM(Z92:Z$124)</f>
        <v>0</v>
      </c>
      <c r="AB92" s="8">
        <f t="shared" ca="1" si="1563"/>
        <v>0</v>
      </c>
      <c r="AC92" s="209">
        <f ca="1">+SUM(AB92:AB$124)*SSSM</f>
        <v>0</v>
      </c>
      <c r="AD92" s="209">
        <f t="shared" ref="AD92" si="1975">IF(R92&gt;nB,0,AD91*(1-X91)*(1-Y91)*(1-AE91)*(1-AF91))</f>
        <v>0</v>
      </c>
      <c r="AE92" s="92">
        <f t="shared" ca="1" si="1565"/>
        <v>0</v>
      </c>
      <c r="AF92" s="92">
        <f t="shared" ca="1" si="1566"/>
        <v>0</v>
      </c>
      <c r="AG92" s="664">
        <f t="shared" ca="1" si="1567"/>
        <v>0</v>
      </c>
      <c r="AH92" s="208">
        <f ca="1">+SUM(AG92:AG$124)</f>
        <v>0</v>
      </c>
      <c r="AI92" s="70">
        <f t="shared" ca="1" si="1568"/>
        <v>0</v>
      </c>
      <c r="AJ92" s="208">
        <f ca="1">+SUM(AB92:AB$124)*SS50J</f>
        <v>0</v>
      </c>
      <c r="AK92" s="5">
        <f t="shared" ca="1" si="1603"/>
        <v>99999.012970709329</v>
      </c>
      <c r="AL92" s="2">
        <f t="shared" ref="AL92" ca="1" si="1976">IFERROR(VLOOKUP($S92,qx_table,MATCH(AL$11,qx_title,0)+sexB),0)</f>
        <v>0</v>
      </c>
      <c r="AM92" s="131">
        <f t="shared" ca="1" si="1605"/>
        <v>16862.82678706837</v>
      </c>
      <c r="AN92" s="129">
        <f t="shared" ca="1" si="1606"/>
        <v>0</v>
      </c>
      <c r="AO92" s="129">
        <f ca="1">SUM(AN92:AN$124)*SSa</f>
        <v>0</v>
      </c>
      <c r="AP92" s="70">
        <f t="shared" ca="1" si="1607"/>
        <v>99999.012970709329</v>
      </c>
      <c r="AQ92" s="2">
        <f t="shared" ref="AQ92" ca="1" si="1977">IFERROR(VLOOKUP($S92,qx_table,MATCH(AQ$11,qx_title,0)+sexB),0)</f>
        <v>0</v>
      </c>
      <c r="AR92" s="127">
        <f t="shared" ca="1" si="1609"/>
        <v>0</v>
      </c>
      <c r="AS92" s="127">
        <f ca="1">SUM(AR92:AR$124)*SSb</f>
        <v>0</v>
      </c>
      <c r="AT92" s="70">
        <f t="shared" ca="1" si="1610"/>
        <v>99999.012970709329</v>
      </c>
      <c r="AU92" s="2">
        <f t="shared" ref="AU92" ca="1" si="1978">IFERROR(VLOOKUP($S92,qx_table,MATCH(AU$11,qx_title,0)+sexB),0)</f>
        <v>0</v>
      </c>
      <c r="AV92" s="268">
        <f t="shared" ca="1" si="1612"/>
        <v>0</v>
      </c>
      <c r="AW92" s="131">
        <f ca="1">SUM(AV92:AV$124)*SSc</f>
        <v>0</v>
      </c>
      <c r="AX92" s="70">
        <f t="shared" ca="1" si="1613"/>
        <v>99999.012970709329</v>
      </c>
      <c r="AY92" s="2">
        <f t="shared" ref="AY92" ca="1" si="1979">IFERROR(VLOOKUP($S92,qx_table,MATCH(AY$11,qx_title,0)+sexB),0)</f>
        <v>0</v>
      </c>
      <c r="AZ92" s="268">
        <f t="shared" ca="1" si="1573"/>
        <v>0</v>
      </c>
      <c r="BA92" s="129">
        <f ca="1">SUM(AZ92:AZ$124)*SSd</f>
        <v>0</v>
      </c>
      <c r="BB92" s="70">
        <f t="shared" ca="1" si="1615"/>
        <v>99999.012970709329</v>
      </c>
      <c r="BC92" s="257">
        <f t="shared" ref="BC92" ca="1" si="1980">IFERROR(VLOOKUP($S92,qx_table,MATCH(BC$11,qx_title,0)+sexB),0)</f>
        <v>0</v>
      </c>
      <c r="BD92" s="268">
        <f t="shared" ca="1" si="1617"/>
        <v>0</v>
      </c>
      <c r="BE92" s="131">
        <f ca="1">SUM(BD92:BD$124)*SSe</f>
        <v>0</v>
      </c>
      <c r="BF92" s="70">
        <f t="shared" ca="1" si="1618"/>
        <v>99999.012970709329</v>
      </c>
      <c r="BG92" s="2">
        <f t="shared" ref="BG92" ca="1" si="1981">IFERROR(VLOOKUP($S92,qx_table,MATCH(BG$11,qx_title,0)+sexB),0)</f>
        <v>0</v>
      </c>
      <c r="BH92" s="131">
        <f t="shared" ca="1" si="1620"/>
        <v>0</v>
      </c>
      <c r="BI92" s="2">
        <f ca="1">SUM(BH92:BH$124)*SSf</f>
        <v>0</v>
      </c>
      <c r="BJ92" s="70">
        <f t="shared" ca="1" si="1621"/>
        <v>99999.012970709329</v>
      </c>
      <c r="BK92" s="2">
        <f t="shared" ref="BK92" ca="1" si="1982">IFERROR(VLOOKUP($S92,qx_table,MATCH(BK$11,qx_title,0)+sexB),0)</f>
        <v>0</v>
      </c>
      <c r="BL92" s="131">
        <f t="shared" ca="1" si="1623"/>
        <v>0</v>
      </c>
      <c r="BM92" s="131">
        <f ca="1">SUM(BL92:BL$124)*SSg</f>
        <v>0</v>
      </c>
      <c r="BN92" s="70">
        <f t="shared" ca="1" si="1624"/>
        <v>99999.012970709329</v>
      </c>
      <c r="BO92" s="2">
        <f t="shared" ref="BO92" ca="1" si="1983">IFERROR(VLOOKUP($S92,qx_table,MATCH(BO$11,qx_title,0)+sexB),0)</f>
        <v>0</v>
      </c>
      <c r="BP92" s="131">
        <f t="shared" ca="1" si="1626"/>
        <v>0</v>
      </c>
      <c r="BQ92" s="131">
        <f ca="1">SUM(BP92:BP$124)*SSh</f>
        <v>0</v>
      </c>
      <c r="BR92" s="70">
        <f t="shared" ca="1" si="1627"/>
        <v>99999.012970709329</v>
      </c>
      <c r="BS92" s="2">
        <f t="shared" ref="BS92" ca="1" si="1984">IFERROR(VLOOKUP($S92,qx_table,MATCH(BS$11,qx_title,0)+sexB),0)*IF(R92=0,MCi,1)</f>
        <v>0</v>
      </c>
      <c r="BT92" s="131">
        <f t="shared" ca="1" si="1629"/>
        <v>0</v>
      </c>
      <c r="BU92" s="131">
        <f ca="1">SUM(BT92:BT$124)*SSi</f>
        <v>0</v>
      </c>
      <c r="BV92" s="70">
        <f t="shared" ca="1" si="1630"/>
        <v>99999.012970709329</v>
      </c>
      <c r="BW92" s="2">
        <f t="shared" ref="BW92" ca="1" si="1985">IFERROR(VLOOKUP($S92,qx_table,MATCH(BW$11,qx_title,0)+sexB),0)</f>
        <v>0</v>
      </c>
      <c r="BX92" s="131">
        <f t="shared" ca="1" si="1632"/>
        <v>0</v>
      </c>
      <c r="BY92" s="131">
        <f ca="1">SUM(BX92:BX$124)*SSj</f>
        <v>0</v>
      </c>
      <c r="BZ92" s="70">
        <f t="shared" ca="1" si="1633"/>
        <v>99999.012970709329</v>
      </c>
      <c r="CA92" s="2">
        <f t="shared" ref="CA92" ca="1" si="1986">IFERROR(VLOOKUP($S92,qx_table,MATCH(CA$11,qx_title,0)+sexB),0)</f>
        <v>0</v>
      </c>
      <c r="CB92" s="131">
        <f t="shared" ca="1" si="1635"/>
        <v>0</v>
      </c>
      <c r="CC92" s="131">
        <f ca="1">SUM(CB92:CB$124)*SSk</f>
        <v>0</v>
      </c>
      <c r="CD92" s="8">
        <f t="shared" ca="1" si="1636"/>
        <v>99999.012970709329</v>
      </c>
      <c r="CE92" s="2">
        <f t="shared" ref="CE92" ca="1" si="1987">IFERROR(VLOOKUP($S92,qx_table,MATCH(CE$11,qx_title,0)+sexB),0)</f>
        <v>0</v>
      </c>
      <c r="CF92" s="131">
        <f t="shared" ca="1" si="1638"/>
        <v>0</v>
      </c>
      <c r="CG92" s="131">
        <f ca="1">SUM(CF92:CF$124)*SSl</f>
        <v>0</v>
      </c>
      <c r="CH92" s="101">
        <f t="shared" ca="1" si="1639"/>
        <v>0</v>
      </c>
      <c r="CI92" s="154">
        <f t="shared" ca="1" si="1582"/>
        <v>0</v>
      </c>
      <c r="CJ92" s="32">
        <f t="shared" ref="CJ92" ca="1" si="1988">+MAX(VLOOKUP(xB+$R92,기수표B,$AH$1)-VLOOKUP(xB+mB,기수표B,$AH$1),0)</f>
        <v>0</v>
      </c>
      <c r="CK92" s="32">
        <f t="shared" ref="CK92" ca="1" si="1989">+MAX(VLOOKUP(xB+$R92,기수표B,$AH$1)-VLOOKUP(xB+mB,기수표B,$AH$1)-11/24*(VLOOKUP(xB+$R92,기수표B,$AG$1)-VLOOKUP(xB+mB,기수표B,$AG$1)),0)</f>
        <v>0</v>
      </c>
      <c r="CL92" s="32">
        <f t="shared" ref="CL92" ca="1" si="1990">+MAX(VLOOKUP(xB+$R92,기수표B,$AA$1)-VLOOKUP(xB+mB,기수표B,$AA$1),0)</f>
        <v>0</v>
      </c>
      <c r="CM92" s="32">
        <f t="shared" ref="CM92" ca="1" si="1991">+MAX(VLOOKUP(xB+$R92,기수표B,$AA$1)-VLOOKUP(xB+mB,기수표B,$AA$1)-11/24*(VLOOKUP(xB+$R92,기수표B,$AA$1)-VLOOKUP(xB+mB,기수표B,$AA$1)),0)</f>
        <v>0</v>
      </c>
      <c r="CN92" s="32">
        <f t="shared" si="1587"/>
        <v>0</v>
      </c>
      <c r="CO92" s="32">
        <f t="shared" ca="1" si="1588"/>
        <v>0</v>
      </c>
      <c r="CP92" s="259">
        <f t="shared" ca="1" si="1589"/>
        <v>0</v>
      </c>
      <c r="CQ92" s="259">
        <f t="shared" ca="1" si="1590"/>
        <v>0</v>
      </c>
      <c r="CR92" s="259" t="e">
        <f t="shared" ca="1" si="1591"/>
        <v>#DIV/0!</v>
      </c>
      <c r="CS92" s="31">
        <f t="shared" ref="CS92" si="1992">+MIN(mB,7)</f>
        <v>5</v>
      </c>
      <c r="CU92" s="13">
        <v>80</v>
      </c>
      <c r="CV92" s="477">
        <f t="shared" ca="1" si="1593"/>
        <v>420</v>
      </c>
      <c r="CW92" s="477" t="e">
        <f t="shared" ca="1" si="1594"/>
        <v>#DIV/0!</v>
      </c>
      <c r="CX92" s="477">
        <f t="shared" ca="1" si="1595"/>
        <v>0</v>
      </c>
      <c r="CY92" s="478">
        <f t="shared" ca="1" si="1645"/>
        <v>0</v>
      </c>
    </row>
    <row r="93" spans="14:103">
      <c r="N93" s="5">
        <f t="shared" si="1646"/>
        <v>81</v>
      </c>
      <c r="O93" s="2">
        <f t="shared" ref="O93" ca="1" si="1993">+(1+iB)^-N93</f>
        <v>0.16491924919071718</v>
      </c>
      <c r="P93" s="2">
        <f t="shared" ref="P93" ca="1" si="1994">+(1+iB)^-(N93+0.5)</f>
        <v>0.16309464081244546</v>
      </c>
      <c r="Q93" s="91"/>
      <c r="R93" s="20">
        <f t="shared" si="1649"/>
        <v>81</v>
      </c>
      <c r="S93" s="20" t="str">
        <f t="shared" ref="S93" si="1995">+IF(xB+R93&lt;=xB+nB,xB+R93,"")</f>
        <v/>
      </c>
      <c r="T93" s="2">
        <f t="shared" ref="T93:U93" ca="1" si="1996">IFERROR(VLOOKUP($S93,qx_table,MATCH(T$11,qx_title,0)+sexB),0)</f>
        <v>0</v>
      </c>
      <c r="U93" s="2">
        <f t="shared" ca="1" si="1996"/>
        <v>0</v>
      </c>
      <c r="V93" s="300">
        <f>IF(JRB=2,0,IF(R93&gt;=mB-1,_xlfn.XLOOKUP(R93-mB,해지율!#REF!,해지율!#REF!,,1),_xlfn.XLOOKUP(R93,해지율!#REF!,해지율!#REF!,,-1)))</f>
        <v>0</v>
      </c>
      <c r="W93" s="8">
        <f t="shared" ref="W93" si="1997">IF(R93=0,100000,IF(R93&gt;nB,0,W92*(1-X92)*(1-Y92)))</f>
        <v>0</v>
      </c>
      <c r="X93" s="10">
        <f t="shared" ca="1" si="1561"/>
        <v>0</v>
      </c>
      <c r="Y93" s="10">
        <f t="shared" ca="1" si="1562"/>
        <v>0</v>
      </c>
      <c r="Z93" s="5">
        <f t="shared" ca="1" si="1601"/>
        <v>0</v>
      </c>
      <c r="AA93" s="5">
        <f ca="1">+SUM(Z93:Z$124)</f>
        <v>0</v>
      </c>
      <c r="AB93" s="8">
        <f t="shared" ca="1" si="1563"/>
        <v>0</v>
      </c>
      <c r="AC93" s="209">
        <f ca="1">+SUM(AB93:AB$124)*SSSM</f>
        <v>0</v>
      </c>
      <c r="AD93" s="209">
        <f t="shared" ref="AD93" si="1998">IF(R93&gt;nB,0,AD92*(1-X92)*(1-Y92)*(1-AE92)*(1-AF92))</f>
        <v>0</v>
      </c>
      <c r="AE93" s="92">
        <f t="shared" ca="1" si="1565"/>
        <v>0</v>
      </c>
      <c r="AF93" s="92">
        <f t="shared" ca="1" si="1566"/>
        <v>0</v>
      </c>
      <c r="AG93" s="664">
        <f t="shared" ca="1" si="1567"/>
        <v>0</v>
      </c>
      <c r="AH93" s="208">
        <f ca="1">+SUM(AG93:AG$124)</f>
        <v>0</v>
      </c>
      <c r="AI93" s="70">
        <f t="shared" ca="1" si="1568"/>
        <v>0</v>
      </c>
      <c r="AJ93" s="208">
        <f ca="1">+SUM(AB93:AB$124)*SS50J</f>
        <v>0</v>
      </c>
      <c r="AK93" s="5">
        <f t="shared" ca="1" si="1603"/>
        <v>99999.012970709329</v>
      </c>
      <c r="AL93" s="2">
        <f t="shared" ref="AL93" ca="1" si="1999">IFERROR(VLOOKUP($S93,qx_table,MATCH(AL$11,qx_title,0)+sexB),0)</f>
        <v>0</v>
      </c>
      <c r="AM93" s="131">
        <f t="shared" ca="1" si="1605"/>
        <v>16491.762138942173</v>
      </c>
      <c r="AN93" s="129">
        <f t="shared" ca="1" si="1606"/>
        <v>0</v>
      </c>
      <c r="AO93" s="129">
        <f ca="1">SUM(AN93:AN$124)*SSa</f>
        <v>0</v>
      </c>
      <c r="AP93" s="70">
        <f t="shared" ca="1" si="1607"/>
        <v>99999.012970709329</v>
      </c>
      <c r="AQ93" s="2">
        <f t="shared" ref="AQ93" ca="1" si="2000">IFERROR(VLOOKUP($S93,qx_table,MATCH(AQ$11,qx_title,0)+sexB),0)</f>
        <v>0</v>
      </c>
      <c r="AR93" s="127">
        <f t="shared" ca="1" si="1609"/>
        <v>0</v>
      </c>
      <c r="AS93" s="127">
        <f ca="1">SUM(AR93:AR$124)*SSb</f>
        <v>0</v>
      </c>
      <c r="AT93" s="70">
        <f t="shared" ca="1" si="1610"/>
        <v>99999.012970709329</v>
      </c>
      <c r="AU93" s="2">
        <f t="shared" ref="AU93" ca="1" si="2001">IFERROR(VLOOKUP($S93,qx_table,MATCH(AU$11,qx_title,0)+sexB),0)</f>
        <v>0</v>
      </c>
      <c r="AV93" s="268">
        <f t="shared" ca="1" si="1612"/>
        <v>0</v>
      </c>
      <c r="AW93" s="131">
        <f ca="1">SUM(AV93:AV$124)*SSc</f>
        <v>0</v>
      </c>
      <c r="AX93" s="70">
        <f t="shared" ca="1" si="1613"/>
        <v>99999.012970709329</v>
      </c>
      <c r="AY93" s="2">
        <f t="shared" ref="AY93" ca="1" si="2002">IFERROR(VLOOKUP($S93,qx_table,MATCH(AY$11,qx_title,0)+sexB),0)</f>
        <v>0</v>
      </c>
      <c r="AZ93" s="268">
        <f t="shared" ca="1" si="1573"/>
        <v>0</v>
      </c>
      <c r="BA93" s="129">
        <f ca="1">SUM(AZ93:AZ$124)*SSd</f>
        <v>0</v>
      </c>
      <c r="BB93" s="70">
        <f t="shared" ca="1" si="1615"/>
        <v>99999.012970709329</v>
      </c>
      <c r="BC93" s="257">
        <f t="shared" ref="BC93" ca="1" si="2003">IFERROR(VLOOKUP($S93,qx_table,MATCH(BC$11,qx_title,0)+sexB),0)</f>
        <v>0</v>
      </c>
      <c r="BD93" s="268">
        <f t="shared" ca="1" si="1617"/>
        <v>0</v>
      </c>
      <c r="BE93" s="131">
        <f ca="1">SUM(BD93:BD$124)*SSe</f>
        <v>0</v>
      </c>
      <c r="BF93" s="70">
        <f t="shared" ca="1" si="1618"/>
        <v>99999.012970709329</v>
      </c>
      <c r="BG93" s="2">
        <f t="shared" ref="BG93" ca="1" si="2004">IFERROR(VLOOKUP($S93,qx_table,MATCH(BG$11,qx_title,0)+sexB),0)</f>
        <v>0</v>
      </c>
      <c r="BH93" s="131">
        <f t="shared" ca="1" si="1620"/>
        <v>0</v>
      </c>
      <c r="BI93" s="2">
        <f ca="1">SUM(BH93:BH$124)*SSf</f>
        <v>0</v>
      </c>
      <c r="BJ93" s="70">
        <f t="shared" ca="1" si="1621"/>
        <v>99999.012970709329</v>
      </c>
      <c r="BK93" s="2">
        <f t="shared" ref="BK93" ca="1" si="2005">IFERROR(VLOOKUP($S93,qx_table,MATCH(BK$11,qx_title,0)+sexB),0)</f>
        <v>0</v>
      </c>
      <c r="BL93" s="131">
        <f t="shared" ca="1" si="1623"/>
        <v>0</v>
      </c>
      <c r="BM93" s="131">
        <f ca="1">SUM(BL93:BL$124)*SSg</f>
        <v>0</v>
      </c>
      <c r="BN93" s="70">
        <f t="shared" ca="1" si="1624"/>
        <v>99999.012970709329</v>
      </c>
      <c r="BO93" s="2">
        <f t="shared" ref="BO93" ca="1" si="2006">IFERROR(VLOOKUP($S93,qx_table,MATCH(BO$11,qx_title,0)+sexB),0)</f>
        <v>0</v>
      </c>
      <c r="BP93" s="131">
        <f t="shared" ca="1" si="1626"/>
        <v>0</v>
      </c>
      <c r="BQ93" s="131">
        <f ca="1">SUM(BP93:BP$124)*SSh</f>
        <v>0</v>
      </c>
      <c r="BR93" s="70">
        <f t="shared" ca="1" si="1627"/>
        <v>99999.012970709329</v>
      </c>
      <c r="BS93" s="2">
        <f t="shared" ref="BS93" ca="1" si="2007">IFERROR(VLOOKUP($S93,qx_table,MATCH(BS$11,qx_title,0)+sexB),0)*IF(R93=0,MCi,1)</f>
        <v>0</v>
      </c>
      <c r="BT93" s="131">
        <f t="shared" ca="1" si="1629"/>
        <v>0</v>
      </c>
      <c r="BU93" s="131">
        <f ca="1">SUM(BT93:BT$124)*SSi</f>
        <v>0</v>
      </c>
      <c r="BV93" s="70">
        <f t="shared" ca="1" si="1630"/>
        <v>99999.012970709329</v>
      </c>
      <c r="BW93" s="2">
        <f t="shared" ref="BW93" ca="1" si="2008">IFERROR(VLOOKUP($S93,qx_table,MATCH(BW$11,qx_title,0)+sexB),0)</f>
        <v>0</v>
      </c>
      <c r="BX93" s="131">
        <f t="shared" ca="1" si="1632"/>
        <v>0</v>
      </c>
      <c r="BY93" s="131">
        <f ca="1">SUM(BX93:BX$124)*SSj</f>
        <v>0</v>
      </c>
      <c r="BZ93" s="70">
        <f t="shared" ca="1" si="1633"/>
        <v>99999.012970709329</v>
      </c>
      <c r="CA93" s="2">
        <f t="shared" ref="CA93" ca="1" si="2009">IFERROR(VLOOKUP($S93,qx_table,MATCH(CA$11,qx_title,0)+sexB),0)</f>
        <v>0</v>
      </c>
      <c r="CB93" s="131">
        <f t="shared" ca="1" si="1635"/>
        <v>0</v>
      </c>
      <c r="CC93" s="131">
        <f ca="1">SUM(CB93:CB$124)*SSk</f>
        <v>0</v>
      </c>
      <c r="CD93" s="8">
        <f t="shared" ca="1" si="1636"/>
        <v>99999.012970709329</v>
      </c>
      <c r="CE93" s="2">
        <f t="shared" ref="CE93" ca="1" si="2010">IFERROR(VLOOKUP($S93,qx_table,MATCH(CE$11,qx_title,0)+sexB),0)</f>
        <v>0</v>
      </c>
      <c r="CF93" s="131">
        <f t="shared" ca="1" si="1638"/>
        <v>0</v>
      </c>
      <c r="CG93" s="131">
        <f ca="1">SUM(CF93:CF$124)*SSl</f>
        <v>0</v>
      </c>
      <c r="CH93" s="101">
        <f t="shared" ca="1" si="1639"/>
        <v>0</v>
      </c>
      <c r="CI93" s="154">
        <f t="shared" ca="1" si="1582"/>
        <v>0</v>
      </c>
      <c r="CJ93" s="32">
        <f t="shared" ref="CJ93" ca="1" si="2011">+MAX(VLOOKUP(xB+$R93,기수표B,$AH$1)-VLOOKUP(xB+mB,기수표B,$AH$1),0)</f>
        <v>0</v>
      </c>
      <c r="CK93" s="32">
        <f t="shared" ref="CK93" ca="1" si="2012">+MAX(VLOOKUP(xB+$R93,기수표B,$AH$1)-VLOOKUP(xB+mB,기수표B,$AH$1)-11/24*(VLOOKUP(xB+$R93,기수표B,$AG$1)-VLOOKUP(xB+mB,기수표B,$AG$1)),0)</f>
        <v>0</v>
      </c>
      <c r="CL93" s="32">
        <f t="shared" ref="CL93" ca="1" si="2013">+MAX(VLOOKUP(xB+$R93,기수표B,$AA$1)-VLOOKUP(xB+mB,기수표B,$AA$1),0)</f>
        <v>0</v>
      </c>
      <c r="CM93" s="32">
        <f t="shared" ref="CM93" ca="1" si="2014">+MAX(VLOOKUP(xB+$R93,기수표B,$AA$1)-VLOOKUP(xB+mB,기수표B,$AA$1)-11/24*(VLOOKUP(xB+$R93,기수표B,$AA$1)-VLOOKUP(xB+mB,기수표B,$AA$1)),0)</f>
        <v>0</v>
      </c>
      <c r="CN93" s="32">
        <f t="shared" si="1587"/>
        <v>0</v>
      </c>
      <c r="CO93" s="32">
        <f t="shared" ca="1" si="1588"/>
        <v>0</v>
      </c>
      <c r="CP93" s="259">
        <f t="shared" ca="1" si="1589"/>
        <v>0</v>
      </c>
      <c r="CQ93" s="259">
        <f t="shared" ca="1" si="1590"/>
        <v>0</v>
      </c>
      <c r="CR93" s="259" t="e">
        <f t="shared" ca="1" si="1591"/>
        <v>#DIV/0!</v>
      </c>
      <c r="CS93" s="31">
        <f t="shared" ref="CS93" si="2015">+MIN(mB,7)</f>
        <v>5</v>
      </c>
      <c r="CU93" s="13">
        <v>81</v>
      </c>
      <c r="CV93" s="477">
        <f t="shared" ca="1" si="1593"/>
        <v>420</v>
      </c>
      <c r="CW93" s="477" t="e">
        <f t="shared" ca="1" si="1594"/>
        <v>#DIV/0!</v>
      </c>
      <c r="CX93" s="477">
        <f t="shared" ca="1" si="1595"/>
        <v>0</v>
      </c>
      <c r="CY93" s="478">
        <f t="shared" ca="1" si="1645"/>
        <v>0</v>
      </c>
    </row>
    <row r="94" spans="14:103">
      <c r="N94" s="5">
        <f t="shared" si="1646"/>
        <v>82</v>
      </c>
      <c r="O94" s="2">
        <f t="shared" ref="O94" ca="1" si="2016">+(1+iB)^-N94</f>
        <v>0.16129021925742518</v>
      </c>
      <c r="P94" s="2">
        <f t="shared" ref="P94" ca="1" si="2017">+(1+iB)^-(N94+0.5)</f>
        <v>0.1595057611857657</v>
      </c>
      <c r="Q94" s="91"/>
      <c r="R94" s="20">
        <f t="shared" si="1649"/>
        <v>82</v>
      </c>
      <c r="S94" s="20" t="str">
        <f t="shared" ref="S94" si="2018">+IF(xB+R94&lt;=xB+nB,xB+R94,"")</f>
        <v/>
      </c>
      <c r="T94" s="2">
        <f t="shared" ref="T94:U94" ca="1" si="2019">IFERROR(VLOOKUP($S94,qx_table,MATCH(T$11,qx_title,0)+sexB),0)</f>
        <v>0</v>
      </c>
      <c r="U94" s="2">
        <f t="shared" ca="1" si="2019"/>
        <v>0</v>
      </c>
      <c r="V94" s="300">
        <f>IF(JRB=2,0,IF(R94&gt;=mB-1,_xlfn.XLOOKUP(R94-mB,해지율!#REF!,해지율!#REF!,,1),_xlfn.XLOOKUP(R94,해지율!#REF!,해지율!#REF!,,-1)))</f>
        <v>0</v>
      </c>
      <c r="W94" s="8">
        <f t="shared" ref="W94" si="2020">IF(R94=0,100000,IF(R94&gt;nB,0,W93*(1-X93)*(1-Y93)))</f>
        <v>0</v>
      </c>
      <c r="X94" s="10">
        <f t="shared" ca="1" si="1561"/>
        <v>0</v>
      </c>
      <c r="Y94" s="10">
        <f t="shared" ca="1" si="1562"/>
        <v>0</v>
      </c>
      <c r="Z94" s="5">
        <f t="shared" ca="1" si="1601"/>
        <v>0</v>
      </c>
      <c r="AA94" s="5">
        <f ca="1">+SUM(Z94:Z$124)</f>
        <v>0</v>
      </c>
      <c r="AB94" s="8">
        <f t="shared" ca="1" si="1563"/>
        <v>0</v>
      </c>
      <c r="AC94" s="209">
        <f ca="1">+SUM(AB94:AB$124)*SSSM</f>
        <v>0</v>
      </c>
      <c r="AD94" s="209">
        <f t="shared" ref="AD94" si="2021">IF(R94&gt;nB,0,AD93*(1-X93)*(1-Y93)*(1-AE93)*(1-AF93))</f>
        <v>0</v>
      </c>
      <c r="AE94" s="92">
        <f t="shared" ca="1" si="1565"/>
        <v>0</v>
      </c>
      <c r="AF94" s="92">
        <f t="shared" ca="1" si="1566"/>
        <v>0</v>
      </c>
      <c r="AG94" s="664">
        <f t="shared" ca="1" si="1567"/>
        <v>0</v>
      </c>
      <c r="AH94" s="208">
        <f ca="1">+SUM(AG94:AG$124)</f>
        <v>0</v>
      </c>
      <c r="AI94" s="70">
        <f t="shared" ca="1" si="1568"/>
        <v>0</v>
      </c>
      <c r="AJ94" s="208">
        <f ca="1">+SUM(AB94:AB$124)*SS50J</f>
        <v>0</v>
      </c>
      <c r="AK94" s="5">
        <f t="shared" ca="1" si="1603"/>
        <v>99999.012970709329</v>
      </c>
      <c r="AL94" s="2">
        <f t="shared" ref="AL94" ca="1" si="2022">IFERROR(VLOOKUP($S94,qx_table,MATCH(AL$11,qx_title,0)+sexB),0)</f>
        <v>0</v>
      </c>
      <c r="AM94" s="131">
        <f t="shared" ca="1" si="1605"/>
        <v>16128.862727571812</v>
      </c>
      <c r="AN94" s="129">
        <f t="shared" ca="1" si="1606"/>
        <v>0</v>
      </c>
      <c r="AO94" s="129">
        <f ca="1">SUM(AN94:AN$124)*SSa</f>
        <v>0</v>
      </c>
      <c r="AP94" s="70">
        <f t="shared" ca="1" si="1607"/>
        <v>99999.012970709329</v>
      </c>
      <c r="AQ94" s="2">
        <f t="shared" ref="AQ94" ca="1" si="2023">IFERROR(VLOOKUP($S94,qx_table,MATCH(AQ$11,qx_title,0)+sexB),0)</f>
        <v>0</v>
      </c>
      <c r="AR94" s="127">
        <f t="shared" ca="1" si="1609"/>
        <v>0</v>
      </c>
      <c r="AS94" s="127">
        <f ca="1">SUM(AR94:AR$124)*SSb</f>
        <v>0</v>
      </c>
      <c r="AT94" s="70">
        <f t="shared" ca="1" si="1610"/>
        <v>99999.012970709329</v>
      </c>
      <c r="AU94" s="2">
        <f t="shared" ref="AU94" ca="1" si="2024">IFERROR(VLOOKUP($S94,qx_table,MATCH(AU$11,qx_title,0)+sexB),0)</f>
        <v>0</v>
      </c>
      <c r="AV94" s="268">
        <f t="shared" ca="1" si="1612"/>
        <v>0</v>
      </c>
      <c r="AW94" s="131">
        <f ca="1">SUM(AV94:AV$124)*SSc</f>
        <v>0</v>
      </c>
      <c r="AX94" s="70">
        <f t="shared" ca="1" si="1613"/>
        <v>99999.012970709329</v>
      </c>
      <c r="AY94" s="2">
        <f t="shared" ref="AY94" ca="1" si="2025">IFERROR(VLOOKUP($S94,qx_table,MATCH(AY$11,qx_title,0)+sexB),0)</f>
        <v>0</v>
      </c>
      <c r="AZ94" s="268">
        <f t="shared" ca="1" si="1573"/>
        <v>0</v>
      </c>
      <c r="BA94" s="129">
        <f ca="1">SUM(AZ94:AZ$124)*SSd</f>
        <v>0</v>
      </c>
      <c r="BB94" s="70">
        <f t="shared" ca="1" si="1615"/>
        <v>99999.012970709329</v>
      </c>
      <c r="BC94" s="257">
        <f t="shared" ref="BC94" ca="1" si="2026">IFERROR(VLOOKUP($S94,qx_table,MATCH(BC$11,qx_title,0)+sexB),0)</f>
        <v>0</v>
      </c>
      <c r="BD94" s="268">
        <f t="shared" ca="1" si="1617"/>
        <v>0</v>
      </c>
      <c r="BE94" s="131">
        <f ca="1">SUM(BD94:BD$124)*SSe</f>
        <v>0</v>
      </c>
      <c r="BF94" s="70">
        <f t="shared" ca="1" si="1618"/>
        <v>99999.012970709329</v>
      </c>
      <c r="BG94" s="2">
        <f t="shared" ref="BG94" ca="1" si="2027">IFERROR(VLOOKUP($S94,qx_table,MATCH(BG$11,qx_title,0)+sexB),0)</f>
        <v>0</v>
      </c>
      <c r="BH94" s="131">
        <f t="shared" ca="1" si="1620"/>
        <v>0</v>
      </c>
      <c r="BI94" s="2">
        <f ca="1">SUM(BH94:BH$124)*SSf</f>
        <v>0</v>
      </c>
      <c r="BJ94" s="70">
        <f t="shared" ca="1" si="1621"/>
        <v>99999.012970709329</v>
      </c>
      <c r="BK94" s="2">
        <f t="shared" ref="BK94" ca="1" si="2028">IFERROR(VLOOKUP($S94,qx_table,MATCH(BK$11,qx_title,0)+sexB),0)</f>
        <v>0</v>
      </c>
      <c r="BL94" s="131">
        <f t="shared" ca="1" si="1623"/>
        <v>0</v>
      </c>
      <c r="BM94" s="131">
        <f ca="1">SUM(BL94:BL$124)*SSg</f>
        <v>0</v>
      </c>
      <c r="BN94" s="70">
        <f t="shared" ca="1" si="1624"/>
        <v>99999.012970709329</v>
      </c>
      <c r="BO94" s="2">
        <f t="shared" ref="BO94" ca="1" si="2029">IFERROR(VLOOKUP($S94,qx_table,MATCH(BO$11,qx_title,0)+sexB),0)</f>
        <v>0</v>
      </c>
      <c r="BP94" s="131">
        <f t="shared" ca="1" si="1626"/>
        <v>0</v>
      </c>
      <c r="BQ94" s="131">
        <f ca="1">SUM(BP94:BP$124)*SSh</f>
        <v>0</v>
      </c>
      <c r="BR94" s="70">
        <f t="shared" ca="1" si="1627"/>
        <v>99999.012970709329</v>
      </c>
      <c r="BS94" s="2">
        <f t="shared" ref="BS94" ca="1" si="2030">IFERROR(VLOOKUP($S94,qx_table,MATCH(BS$11,qx_title,0)+sexB),0)*IF(R94=0,MCi,1)</f>
        <v>0</v>
      </c>
      <c r="BT94" s="131">
        <f t="shared" ca="1" si="1629"/>
        <v>0</v>
      </c>
      <c r="BU94" s="131">
        <f ca="1">SUM(BT94:BT$124)*SSi</f>
        <v>0</v>
      </c>
      <c r="BV94" s="70">
        <f t="shared" ca="1" si="1630"/>
        <v>99999.012970709329</v>
      </c>
      <c r="BW94" s="2">
        <f t="shared" ref="BW94" ca="1" si="2031">IFERROR(VLOOKUP($S94,qx_table,MATCH(BW$11,qx_title,0)+sexB),0)</f>
        <v>0</v>
      </c>
      <c r="BX94" s="131">
        <f t="shared" ca="1" si="1632"/>
        <v>0</v>
      </c>
      <c r="BY94" s="131">
        <f ca="1">SUM(BX94:BX$124)*SSj</f>
        <v>0</v>
      </c>
      <c r="BZ94" s="70">
        <f t="shared" ca="1" si="1633"/>
        <v>99999.012970709329</v>
      </c>
      <c r="CA94" s="2">
        <f t="shared" ref="CA94" ca="1" si="2032">IFERROR(VLOOKUP($S94,qx_table,MATCH(CA$11,qx_title,0)+sexB),0)</f>
        <v>0</v>
      </c>
      <c r="CB94" s="131">
        <f t="shared" ca="1" si="1635"/>
        <v>0</v>
      </c>
      <c r="CC94" s="131">
        <f ca="1">SUM(CB94:CB$124)*SSk</f>
        <v>0</v>
      </c>
      <c r="CD94" s="8">
        <f t="shared" ca="1" si="1636"/>
        <v>99999.012970709329</v>
      </c>
      <c r="CE94" s="2">
        <f t="shared" ref="CE94" ca="1" si="2033">IFERROR(VLOOKUP($S94,qx_table,MATCH(CE$11,qx_title,0)+sexB),0)</f>
        <v>0</v>
      </c>
      <c r="CF94" s="131">
        <f t="shared" ca="1" si="1638"/>
        <v>0</v>
      </c>
      <c r="CG94" s="131">
        <f ca="1">SUM(CF94:CF$124)*SSl</f>
        <v>0</v>
      </c>
      <c r="CH94" s="101">
        <f t="shared" ca="1" si="1639"/>
        <v>0</v>
      </c>
      <c r="CI94" s="154">
        <f t="shared" ca="1" si="1582"/>
        <v>0</v>
      </c>
      <c r="CJ94" s="32">
        <f t="shared" ref="CJ94" ca="1" si="2034">+MAX(VLOOKUP(xB+$R94,기수표B,$AH$1)-VLOOKUP(xB+mB,기수표B,$AH$1),0)</f>
        <v>0</v>
      </c>
      <c r="CK94" s="32">
        <f t="shared" ref="CK94" ca="1" si="2035">+MAX(VLOOKUP(xB+$R94,기수표B,$AH$1)-VLOOKUP(xB+mB,기수표B,$AH$1)-11/24*(VLOOKUP(xB+$R94,기수표B,$AG$1)-VLOOKUP(xB+mB,기수표B,$AG$1)),0)</f>
        <v>0</v>
      </c>
      <c r="CL94" s="32">
        <f t="shared" ref="CL94" ca="1" si="2036">+MAX(VLOOKUP(xB+$R94,기수표B,$AA$1)-VLOOKUP(xB+mB,기수표B,$AA$1),0)</f>
        <v>0</v>
      </c>
      <c r="CM94" s="32">
        <f t="shared" ref="CM94" ca="1" si="2037">+MAX(VLOOKUP(xB+$R94,기수표B,$AA$1)-VLOOKUP(xB+mB,기수표B,$AA$1)-11/24*(VLOOKUP(xB+$R94,기수표B,$AA$1)-VLOOKUP(xB+mB,기수표B,$AA$1)),0)</f>
        <v>0</v>
      </c>
      <c r="CN94" s="32">
        <f t="shared" si="1587"/>
        <v>0</v>
      </c>
      <c r="CO94" s="32">
        <f t="shared" ca="1" si="1588"/>
        <v>0</v>
      </c>
      <c r="CP94" s="259">
        <f t="shared" ca="1" si="1589"/>
        <v>0</v>
      </c>
      <c r="CQ94" s="259">
        <f t="shared" ca="1" si="1590"/>
        <v>0</v>
      </c>
      <c r="CR94" s="259" t="e">
        <f t="shared" ca="1" si="1591"/>
        <v>#DIV/0!</v>
      </c>
      <c r="CS94" s="31">
        <f t="shared" ref="CS94" si="2038">+MIN(mB,7)</f>
        <v>5</v>
      </c>
      <c r="CU94" s="13">
        <v>82</v>
      </c>
      <c r="CV94" s="477">
        <f t="shared" ca="1" si="1593"/>
        <v>420</v>
      </c>
      <c r="CW94" s="477" t="e">
        <f t="shared" ca="1" si="1594"/>
        <v>#DIV/0!</v>
      </c>
      <c r="CX94" s="477">
        <f t="shared" ca="1" si="1595"/>
        <v>0</v>
      </c>
      <c r="CY94" s="478">
        <f t="shared" ca="1" si="1645"/>
        <v>0</v>
      </c>
    </row>
    <row r="95" spans="14:103">
      <c r="N95" s="5">
        <f t="shared" si="1646"/>
        <v>83</v>
      </c>
      <c r="O95" s="2">
        <f t="shared" ref="O95" ca="1" si="2039">+(1+iB)^-N95</f>
        <v>0.15774104572853317</v>
      </c>
      <c r="P95" s="2">
        <f t="shared" ref="P95" ca="1" si="2040">+(1+iB)^-(N95+0.5)</f>
        <v>0.15599585446040659</v>
      </c>
      <c r="Q95" s="91"/>
      <c r="R95" s="20">
        <f t="shared" si="1649"/>
        <v>83</v>
      </c>
      <c r="S95" s="20" t="str">
        <f t="shared" ref="S95" si="2041">+IF(xB+R95&lt;=xB+nB,xB+R95,"")</f>
        <v/>
      </c>
      <c r="T95" s="2">
        <f t="shared" ref="T95:U95" ca="1" si="2042">IFERROR(VLOOKUP($S95,qx_table,MATCH(T$11,qx_title,0)+sexB),0)</f>
        <v>0</v>
      </c>
      <c r="U95" s="2">
        <f t="shared" ca="1" si="2042"/>
        <v>0</v>
      </c>
      <c r="V95" s="300">
        <f>IF(JRB=2,0,IF(R95&gt;=mB-1,_xlfn.XLOOKUP(R95-mB,해지율!#REF!,해지율!#REF!,,1),_xlfn.XLOOKUP(R95,해지율!#REF!,해지율!#REF!,,-1)))</f>
        <v>0</v>
      </c>
      <c r="W95" s="8">
        <f t="shared" ref="W95" si="2043">IF(R95=0,100000,IF(R95&gt;nB,0,W94*(1-X94)*(1-Y94)))</f>
        <v>0</v>
      </c>
      <c r="X95" s="10">
        <f t="shared" ca="1" si="1561"/>
        <v>0</v>
      </c>
      <c r="Y95" s="10">
        <f t="shared" ca="1" si="1562"/>
        <v>0</v>
      </c>
      <c r="Z95" s="5">
        <f t="shared" ca="1" si="1601"/>
        <v>0</v>
      </c>
      <c r="AA95" s="5">
        <f ca="1">+SUM(Z95:Z$124)</f>
        <v>0</v>
      </c>
      <c r="AB95" s="8">
        <f t="shared" ca="1" si="1563"/>
        <v>0</v>
      </c>
      <c r="AC95" s="209">
        <f ca="1">+SUM(AB95:AB$124)*SSSM</f>
        <v>0</v>
      </c>
      <c r="AD95" s="209">
        <f t="shared" ref="AD95" si="2044">IF(R95&gt;nB,0,AD94*(1-X94)*(1-Y94)*(1-AE94)*(1-AF94))</f>
        <v>0</v>
      </c>
      <c r="AE95" s="92">
        <f t="shared" ca="1" si="1565"/>
        <v>0</v>
      </c>
      <c r="AF95" s="92">
        <f t="shared" ca="1" si="1566"/>
        <v>0</v>
      </c>
      <c r="AG95" s="664">
        <f t="shared" ca="1" si="1567"/>
        <v>0</v>
      </c>
      <c r="AH95" s="208">
        <f ca="1">+SUM(AG95:AG$124)</f>
        <v>0</v>
      </c>
      <c r="AI95" s="70">
        <f t="shared" ca="1" si="1568"/>
        <v>0</v>
      </c>
      <c r="AJ95" s="208">
        <f ca="1">+SUM(AB95:AB$124)*SS50J</f>
        <v>0</v>
      </c>
      <c r="AK95" s="5">
        <f t="shared" ca="1" si="1603"/>
        <v>99999.012970709329</v>
      </c>
      <c r="AL95" s="2">
        <f t="shared" ref="AL95" ca="1" si="2045">IFERROR(VLOOKUP($S95,qx_table,MATCH(AL$11,qx_title,0)+sexB),0)</f>
        <v>0</v>
      </c>
      <c r="AM95" s="131">
        <f t="shared" ca="1" si="1605"/>
        <v>15773.948877820842</v>
      </c>
      <c r="AN95" s="129">
        <f t="shared" ca="1" si="1606"/>
        <v>0</v>
      </c>
      <c r="AO95" s="129">
        <f ca="1">SUM(AN95:AN$124)*SSa</f>
        <v>0</v>
      </c>
      <c r="AP95" s="70">
        <f t="shared" ca="1" si="1607"/>
        <v>99999.012970709329</v>
      </c>
      <c r="AQ95" s="2">
        <f t="shared" ref="AQ95" ca="1" si="2046">IFERROR(VLOOKUP($S95,qx_table,MATCH(AQ$11,qx_title,0)+sexB),0)</f>
        <v>0</v>
      </c>
      <c r="AR95" s="127">
        <f t="shared" ca="1" si="1609"/>
        <v>0</v>
      </c>
      <c r="AS95" s="127">
        <f ca="1">SUM(AR95:AR$124)*SSb</f>
        <v>0</v>
      </c>
      <c r="AT95" s="70">
        <f t="shared" ca="1" si="1610"/>
        <v>99999.012970709329</v>
      </c>
      <c r="AU95" s="2">
        <f t="shared" ref="AU95" ca="1" si="2047">IFERROR(VLOOKUP($S95,qx_table,MATCH(AU$11,qx_title,0)+sexB),0)</f>
        <v>0</v>
      </c>
      <c r="AV95" s="268">
        <f t="shared" ca="1" si="1612"/>
        <v>0</v>
      </c>
      <c r="AW95" s="131">
        <f ca="1">SUM(AV95:AV$124)*SSc</f>
        <v>0</v>
      </c>
      <c r="AX95" s="70">
        <f t="shared" ca="1" si="1613"/>
        <v>99999.012970709329</v>
      </c>
      <c r="AY95" s="2">
        <f t="shared" ref="AY95" ca="1" si="2048">IFERROR(VLOOKUP($S95,qx_table,MATCH(AY$11,qx_title,0)+sexB),0)</f>
        <v>0</v>
      </c>
      <c r="AZ95" s="268">
        <f t="shared" ca="1" si="1573"/>
        <v>0</v>
      </c>
      <c r="BA95" s="129">
        <f ca="1">SUM(AZ95:AZ$124)*SSd</f>
        <v>0</v>
      </c>
      <c r="BB95" s="70">
        <f t="shared" ca="1" si="1615"/>
        <v>99999.012970709329</v>
      </c>
      <c r="BC95" s="257">
        <f t="shared" ref="BC95" ca="1" si="2049">IFERROR(VLOOKUP($S95,qx_table,MATCH(BC$11,qx_title,0)+sexB),0)</f>
        <v>0</v>
      </c>
      <c r="BD95" s="268">
        <f t="shared" ca="1" si="1617"/>
        <v>0</v>
      </c>
      <c r="BE95" s="131">
        <f ca="1">SUM(BD95:BD$124)*SSe</f>
        <v>0</v>
      </c>
      <c r="BF95" s="70">
        <f t="shared" ca="1" si="1618"/>
        <v>99999.012970709329</v>
      </c>
      <c r="BG95" s="2">
        <f t="shared" ref="BG95" ca="1" si="2050">IFERROR(VLOOKUP($S95,qx_table,MATCH(BG$11,qx_title,0)+sexB),0)</f>
        <v>0</v>
      </c>
      <c r="BH95" s="131">
        <f t="shared" ca="1" si="1620"/>
        <v>0</v>
      </c>
      <c r="BI95" s="2">
        <f ca="1">SUM(BH95:BH$124)*SSf</f>
        <v>0</v>
      </c>
      <c r="BJ95" s="70">
        <f t="shared" ca="1" si="1621"/>
        <v>99999.012970709329</v>
      </c>
      <c r="BK95" s="2">
        <f t="shared" ref="BK95" ca="1" si="2051">IFERROR(VLOOKUP($S95,qx_table,MATCH(BK$11,qx_title,0)+sexB),0)</f>
        <v>0</v>
      </c>
      <c r="BL95" s="131">
        <f t="shared" ca="1" si="1623"/>
        <v>0</v>
      </c>
      <c r="BM95" s="131">
        <f ca="1">SUM(BL95:BL$124)*SSg</f>
        <v>0</v>
      </c>
      <c r="BN95" s="70">
        <f t="shared" ca="1" si="1624"/>
        <v>99999.012970709329</v>
      </c>
      <c r="BO95" s="2">
        <f t="shared" ref="BO95" ca="1" si="2052">IFERROR(VLOOKUP($S95,qx_table,MATCH(BO$11,qx_title,0)+sexB),0)</f>
        <v>0</v>
      </c>
      <c r="BP95" s="131">
        <f t="shared" ca="1" si="1626"/>
        <v>0</v>
      </c>
      <c r="BQ95" s="131">
        <f ca="1">SUM(BP95:BP$124)*SSh</f>
        <v>0</v>
      </c>
      <c r="BR95" s="70">
        <f t="shared" ca="1" si="1627"/>
        <v>99999.012970709329</v>
      </c>
      <c r="BS95" s="2">
        <f t="shared" ref="BS95" ca="1" si="2053">IFERROR(VLOOKUP($S95,qx_table,MATCH(BS$11,qx_title,0)+sexB),0)*IF(R95=0,MCi,1)</f>
        <v>0</v>
      </c>
      <c r="BT95" s="131">
        <f t="shared" ca="1" si="1629"/>
        <v>0</v>
      </c>
      <c r="BU95" s="131">
        <f ca="1">SUM(BT95:BT$124)*SSi</f>
        <v>0</v>
      </c>
      <c r="BV95" s="70">
        <f t="shared" ca="1" si="1630"/>
        <v>99999.012970709329</v>
      </c>
      <c r="BW95" s="2">
        <f t="shared" ref="BW95" ca="1" si="2054">IFERROR(VLOOKUP($S95,qx_table,MATCH(BW$11,qx_title,0)+sexB),0)</f>
        <v>0</v>
      </c>
      <c r="BX95" s="131">
        <f t="shared" ca="1" si="1632"/>
        <v>0</v>
      </c>
      <c r="BY95" s="131">
        <f ca="1">SUM(BX95:BX$124)*SSj</f>
        <v>0</v>
      </c>
      <c r="BZ95" s="70">
        <f t="shared" ca="1" si="1633"/>
        <v>99999.012970709329</v>
      </c>
      <c r="CA95" s="2">
        <f t="shared" ref="CA95" ca="1" si="2055">IFERROR(VLOOKUP($S95,qx_table,MATCH(CA$11,qx_title,0)+sexB),0)</f>
        <v>0</v>
      </c>
      <c r="CB95" s="131">
        <f t="shared" ca="1" si="1635"/>
        <v>0</v>
      </c>
      <c r="CC95" s="131">
        <f ca="1">SUM(CB95:CB$124)*SSk</f>
        <v>0</v>
      </c>
      <c r="CD95" s="8">
        <f t="shared" ca="1" si="1636"/>
        <v>99999.012970709329</v>
      </c>
      <c r="CE95" s="2">
        <f t="shared" ref="CE95" ca="1" si="2056">IFERROR(VLOOKUP($S95,qx_table,MATCH(CE$11,qx_title,0)+sexB),0)</f>
        <v>0</v>
      </c>
      <c r="CF95" s="131">
        <f t="shared" ca="1" si="1638"/>
        <v>0</v>
      </c>
      <c r="CG95" s="131">
        <f ca="1">SUM(CF95:CF$124)*SSl</f>
        <v>0</v>
      </c>
      <c r="CH95" s="101">
        <f t="shared" ca="1" si="1639"/>
        <v>0</v>
      </c>
      <c r="CI95" s="154">
        <f t="shared" ca="1" si="1582"/>
        <v>0</v>
      </c>
      <c r="CJ95" s="32">
        <f t="shared" ref="CJ95" ca="1" si="2057">+MAX(VLOOKUP(xB+$R95,기수표B,$AH$1)-VLOOKUP(xB+mB,기수표B,$AH$1),0)</f>
        <v>0</v>
      </c>
      <c r="CK95" s="32">
        <f t="shared" ref="CK95" ca="1" si="2058">+MAX(VLOOKUP(xB+$R95,기수표B,$AH$1)-VLOOKUP(xB+mB,기수표B,$AH$1)-11/24*(VLOOKUP(xB+$R95,기수표B,$AG$1)-VLOOKUP(xB+mB,기수표B,$AG$1)),0)</f>
        <v>0</v>
      </c>
      <c r="CL95" s="32">
        <f t="shared" ref="CL95" ca="1" si="2059">+MAX(VLOOKUP(xB+$R95,기수표B,$AA$1)-VLOOKUP(xB+mB,기수표B,$AA$1),0)</f>
        <v>0</v>
      </c>
      <c r="CM95" s="32">
        <f t="shared" ref="CM95" ca="1" si="2060">+MAX(VLOOKUP(xB+$R95,기수표B,$AA$1)-VLOOKUP(xB+mB,기수표B,$AA$1)-11/24*(VLOOKUP(xB+$R95,기수표B,$AA$1)-VLOOKUP(xB+mB,기수표B,$AA$1)),0)</f>
        <v>0</v>
      </c>
      <c r="CN95" s="32">
        <f t="shared" si="1587"/>
        <v>0</v>
      </c>
      <c r="CO95" s="32">
        <f t="shared" ca="1" si="1588"/>
        <v>0</v>
      </c>
      <c r="CP95" s="259">
        <f t="shared" ca="1" si="1589"/>
        <v>0</v>
      </c>
      <c r="CQ95" s="259">
        <f t="shared" ca="1" si="1590"/>
        <v>0</v>
      </c>
      <c r="CR95" s="259" t="e">
        <f t="shared" ca="1" si="1591"/>
        <v>#DIV/0!</v>
      </c>
      <c r="CS95" s="31">
        <f t="shared" ref="CS95" si="2061">+MIN(mB,7)</f>
        <v>5</v>
      </c>
      <c r="CU95" s="13">
        <v>83</v>
      </c>
      <c r="CV95" s="477">
        <f t="shared" ca="1" si="1593"/>
        <v>420</v>
      </c>
      <c r="CW95" s="477" t="e">
        <f t="shared" ca="1" si="1594"/>
        <v>#DIV/0!</v>
      </c>
      <c r="CX95" s="477">
        <f t="shared" ca="1" si="1595"/>
        <v>0</v>
      </c>
      <c r="CY95" s="478">
        <f t="shared" ca="1" si="1645"/>
        <v>0</v>
      </c>
    </row>
    <row r="96" spans="14:103">
      <c r="N96" s="5">
        <f t="shared" si="1646"/>
        <v>84</v>
      </c>
      <c r="O96" s="2">
        <f t="shared" ref="O96" ca="1" si="2062">+(1+iB)^-N96</f>
        <v>0.15426997137264856</v>
      </c>
      <c r="P96" s="2">
        <f t="shared" ref="P96" ca="1" si="2063">+(1+iB)^-(N96+0.5)</f>
        <v>0.15256318284636342</v>
      </c>
      <c r="Q96" s="91"/>
      <c r="R96" s="20">
        <f t="shared" si="1649"/>
        <v>84</v>
      </c>
      <c r="S96" s="20" t="str">
        <f t="shared" ref="S96" si="2064">+IF(xB+R96&lt;=xB+nB,xB+R96,"")</f>
        <v/>
      </c>
      <c r="T96" s="2">
        <f t="shared" ref="T96:U96" ca="1" si="2065">IFERROR(VLOOKUP($S96,qx_table,MATCH(T$11,qx_title,0)+sexB),0)</f>
        <v>0</v>
      </c>
      <c r="U96" s="2">
        <f t="shared" ca="1" si="2065"/>
        <v>0</v>
      </c>
      <c r="V96" s="300">
        <f>IF(JRB=2,0,IF(R96&gt;=mB-1,_xlfn.XLOOKUP(R96-mB,해지율!#REF!,해지율!#REF!,,1),_xlfn.XLOOKUP(R96,해지율!#REF!,해지율!#REF!,,-1)))</f>
        <v>0</v>
      </c>
      <c r="W96" s="8">
        <f t="shared" ref="W96" si="2066">IF(R96=0,100000,IF(R96&gt;nB,0,W95*(1-X95)*(1-Y95)))</f>
        <v>0</v>
      </c>
      <c r="X96" s="10">
        <f t="shared" ca="1" si="1561"/>
        <v>0</v>
      </c>
      <c r="Y96" s="10">
        <f t="shared" ca="1" si="1562"/>
        <v>0</v>
      </c>
      <c r="Z96" s="5">
        <f t="shared" ca="1" si="1601"/>
        <v>0</v>
      </c>
      <c r="AA96" s="5">
        <f ca="1">+SUM(Z96:Z$124)</f>
        <v>0</v>
      </c>
      <c r="AB96" s="8">
        <f t="shared" ca="1" si="1563"/>
        <v>0</v>
      </c>
      <c r="AC96" s="209">
        <f ca="1">+SUM(AB96:AB$124)*SSSM</f>
        <v>0</v>
      </c>
      <c r="AD96" s="209">
        <f t="shared" ref="AD96" si="2067">IF(R96&gt;nB,0,AD95*(1-X95)*(1-Y95)*(1-AE95)*(1-AF95))</f>
        <v>0</v>
      </c>
      <c r="AE96" s="92">
        <f t="shared" ca="1" si="1565"/>
        <v>0</v>
      </c>
      <c r="AF96" s="92">
        <f t="shared" ca="1" si="1566"/>
        <v>0</v>
      </c>
      <c r="AG96" s="664">
        <f t="shared" ca="1" si="1567"/>
        <v>0</v>
      </c>
      <c r="AH96" s="208">
        <f ca="1">+SUM(AG96:AG$124)</f>
        <v>0</v>
      </c>
      <c r="AI96" s="70">
        <f t="shared" ca="1" si="1568"/>
        <v>0</v>
      </c>
      <c r="AJ96" s="208">
        <f ca="1">+SUM(AB96:AB$124)*SS50J</f>
        <v>0</v>
      </c>
      <c r="AK96" s="5">
        <f t="shared" ca="1" si="1603"/>
        <v>99999.012970709329</v>
      </c>
      <c r="AL96" s="2">
        <f t="shared" ref="AL96" ca="1" si="2068">IFERROR(VLOOKUP($S96,qx_table,MATCH(AL$11,qx_title,0)+sexB),0)</f>
        <v>0</v>
      </c>
      <c r="AM96" s="131">
        <f t="shared" ca="1" si="1605"/>
        <v>15426.844868284439</v>
      </c>
      <c r="AN96" s="129">
        <f t="shared" ca="1" si="1606"/>
        <v>0</v>
      </c>
      <c r="AO96" s="129">
        <f ca="1">SUM(AN96:AN$124)*SSa</f>
        <v>0</v>
      </c>
      <c r="AP96" s="70">
        <f t="shared" ca="1" si="1607"/>
        <v>99999.012970709329</v>
      </c>
      <c r="AQ96" s="2">
        <f t="shared" ref="AQ96" ca="1" si="2069">IFERROR(VLOOKUP($S96,qx_table,MATCH(AQ$11,qx_title,0)+sexB),0)</f>
        <v>0</v>
      </c>
      <c r="AR96" s="127">
        <f t="shared" ca="1" si="1609"/>
        <v>0</v>
      </c>
      <c r="AS96" s="127">
        <f ca="1">SUM(AR96:AR$124)*SSb</f>
        <v>0</v>
      </c>
      <c r="AT96" s="70">
        <f t="shared" ca="1" si="1610"/>
        <v>99999.012970709329</v>
      </c>
      <c r="AU96" s="2">
        <f t="shared" ref="AU96" ca="1" si="2070">IFERROR(VLOOKUP($S96,qx_table,MATCH(AU$11,qx_title,0)+sexB),0)</f>
        <v>0</v>
      </c>
      <c r="AV96" s="268">
        <f t="shared" ca="1" si="1612"/>
        <v>0</v>
      </c>
      <c r="AW96" s="131">
        <f ca="1">SUM(AV96:AV$124)*SSc</f>
        <v>0</v>
      </c>
      <c r="AX96" s="70">
        <f t="shared" ca="1" si="1613"/>
        <v>99999.012970709329</v>
      </c>
      <c r="AY96" s="2">
        <f t="shared" ref="AY96" ca="1" si="2071">IFERROR(VLOOKUP($S96,qx_table,MATCH(AY$11,qx_title,0)+sexB),0)</f>
        <v>0</v>
      </c>
      <c r="AZ96" s="268">
        <f t="shared" ca="1" si="1573"/>
        <v>0</v>
      </c>
      <c r="BA96" s="129">
        <f ca="1">SUM(AZ96:AZ$124)*SSd</f>
        <v>0</v>
      </c>
      <c r="BB96" s="70">
        <f t="shared" ca="1" si="1615"/>
        <v>99999.012970709329</v>
      </c>
      <c r="BC96" s="257">
        <f t="shared" ref="BC96" ca="1" si="2072">IFERROR(VLOOKUP($S96,qx_table,MATCH(BC$11,qx_title,0)+sexB),0)</f>
        <v>0</v>
      </c>
      <c r="BD96" s="268">
        <f t="shared" ca="1" si="1617"/>
        <v>0</v>
      </c>
      <c r="BE96" s="131">
        <f ca="1">SUM(BD96:BD$124)*SSe</f>
        <v>0</v>
      </c>
      <c r="BF96" s="70">
        <f t="shared" ca="1" si="1618"/>
        <v>99999.012970709329</v>
      </c>
      <c r="BG96" s="2">
        <f t="shared" ref="BG96" ca="1" si="2073">IFERROR(VLOOKUP($S96,qx_table,MATCH(BG$11,qx_title,0)+sexB),0)</f>
        <v>0</v>
      </c>
      <c r="BH96" s="131">
        <f t="shared" ca="1" si="1620"/>
        <v>0</v>
      </c>
      <c r="BI96" s="2">
        <f ca="1">SUM(BH96:BH$124)*SSf</f>
        <v>0</v>
      </c>
      <c r="BJ96" s="70">
        <f t="shared" ca="1" si="1621"/>
        <v>99999.012970709329</v>
      </c>
      <c r="BK96" s="2">
        <f t="shared" ref="BK96" ca="1" si="2074">IFERROR(VLOOKUP($S96,qx_table,MATCH(BK$11,qx_title,0)+sexB),0)</f>
        <v>0</v>
      </c>
      <c r="BL96" s="131">
        <f t="shared" ca="1" si="1623"/>
        <v>0</v>
      </c>
      <c r="BM96" s="131">
        <f ca="1">SUM(BL96:BL$124)*SSg</f>
        <v>0</v>
      </c>
      <c r="BN96" s="70">
        <f t="shared" ca="1" si="1624"/>
        <v>99999.012970709329</v>
      </c>
      <c r="BO96" s="2">
        <f t="shared" ref="BO96" ca="1" si="2075">IFERROR(VLOOKUP($S96,qx_table,MATCH(BO$11,qx_title,0)+sexB),0)</f>
        <v>0</v>
      </c>
      <c r="BP96" s="131">
        <f t="shared" ca="1" si="1626"/>
        <v>0</v>
      </c>
      <c r="BQ96" s="131">
        <f ca="1">SUM(BP96:BP$124)*SSh</f>
        <v>0</v>
      </c>
      <c r="BR96" s="70">
        <f t="shared" ca="1" si="1627"/>
        <v>99999.012970709329</v>
      </c>
      <c r="BS96" s="2">
        <f t="shared" ref="BS96" ca="1" si="2076">IFERROR(VLOOKUP($S96,qx_table,MATCH(BS$11,qx_title,0)+sexB),0)*IF(R96=0,MCi,1)</f>
        <v>0</v>
      </c>
      <c r="BT96" s="131">
        <f t="shared" ca="1" si="1629"/>
        <v>0</v>
      </c>
      <c r="BU96" s="131">
        <f ca="1">SUM(BT96:BT$124)*SSi</f>
        <v>0</v>
      </c>
      <c r="BV96" s="70">
        <f t="shared" ca="1" si="1630"/>
        <v>99999.012970709329</v>
      </c>
      <c r="BW96" s="2">
        <f t="shared" ref="BW96" ca="1" si="2077">IFERROR(VLOOKUP($S96,qx_table,MATCH(BW$11,qx_title,0)+sexB),0)</f>
        <v>0</v>
      </c>
      <c r="BX96" s="131">
        <f t="shared" ca="1" si="1632"/>
        <v>0</v>
      </c>
      <c r="BY96" s="131">
        <f ca="1">SUM(BX96:BX$124)*SSj</f>
        <v>0</v>
      </c>
      <c r="BZ96" s="70">
        <f t="shared" ca="1" si="1633"/>
        <v>99999.012970709329</v>
      </c>
      <c r="CA96" s="2">
        <f t="shared" ref="CA96" ca="1" si="2078">IFERROR(VLOOKUP($S96,qx_table,MATCH(CA$11,qx_title,0)+sexB),0)</f>
        <v>0</v>
      </c>
      <c r="CB96" s="131">
        <f t="shared" ca="1" si="1635"/>
        <v>0</v>
      </c>
      <c r="CC96" s="131">
        <f ca="1">SUM(CB96:CB$124)*SSk</f>
        <v>0</v>
      </c>
      <c r="CD96" s="8">
        <f t="shared" ca="1" si="1636"/>
        <v>99999.012970709329</v>
      </c>
      <c r="CE96" s="2">
        <f t="shared" ref="CE96" ca="1" si="2079">IFERROR(VLOOKUP($S96,qx_table,MATCH(CE$11,qx_title,0)+sexB),0)</f>
        <v>0</v>
      </c>
      <c r="CF96" s="131">
        <f t="shared" ca="1" si="1638"/>
        <v>0</v>
      </c>
      <c r="CG96" s="131">
        <f ca="1">SUM(CF96:CF$124)*SSl</f>
        <v>0</v>
      </c>
      <c r="CH96" s="101">
        <f t="shared" ca="1" si="1639"/>
        <v>0</v>
      </c>
      <c r="CI96" s="154">
        <f t="shared" ca="1" si="1582"/>
        <v>0</v>
      </c>
      <c r="CJ96" s="32">
        <f t="shared" ref="CJ96" ca="1" si="2080">+MAX(VLOOKUP(xB+$R96,기수표B,$AH$1)-VLOOKUP(xB+mB,기수표B,$AH$1),0)</f>
        <v>0</v>
      </c>
      <c r="CK96" s="32">
        <f t="shared" ref="CK96" ca="1" si="2081">+MAX(VLOOKUP(xB+$R96,기수표B,$AH$1)-VLOOKUP(xB+mB,기수표B,$AH$1)-11/24*(VLOOKUP(xB+$R96,기수표B,$AG$1)-VLOOKUP(xB+mB,기수표B,$AG$1)),0)</f>
        <v>0</v>
      </c>
      <c r="CL96" s="32">
        <f t="shared" ref="CL96" ca="1" si="2082">+MAX(VLOOKUP(xB+$R96,기수표B,$AA$1)-VLOOKUP(xB+mB,기수표B,$AA$1),0)</f>
        <v>0</v>
      </c>
      <c r="CM96" s="32">
        <f t="shared" ref="CM96" ca="1" si="2083">+MAX(VLOOKUP(xB+$R96,기수표B,$AA$1)-VLOOKUP(xB+mB,기수표B,$AA$1)-11/24*(VLOOKUP(xB+$R96,기수표B,$AA$1)-VLOOKUP(xB+mB,기수표B,$AA$1)),0)</f>
        <v>0</v>
      </c>
      <c r="CN96" s="32">
        <f t="shared" si="1587"/>
        <v>0</v>
      </c>
      <c r="CO96" s="32">
        <f t="shared" ca="1" si="1588"/>
        <v>0</v>
      </c>
      <c r="CP96" s="259">
        <f t="shared" ca="1" si="1589"/>
        <v>0</v>
      </c>
      <c r="CQ96" s="259">
        <f t="shared" ca="1" si="1590"/>
        <v>0</v>
      </c>
      <c r="CR96" s="259" t="e">
        <f t="shared" ca="1" si="1591"/>
        <v>#DIV/0!</v>
      </c>
      <c r="CS96" s="31">
        <f t="shared" ref="CS96" si="2084">+MIN(mB,7)</f>
        <v>5</v>
      </c>
      <c r="CU96" s="13">
        <v>84</v>
      </c>
      <c r="CV96" s="477">
        <f t="shared" ca="1" si="1593"/>
        <v>420</v>
      </c>
      <c r="CW96" s="477" t="e">
        <f t="shared" ca="1" si="1594"/>
        <v>#DIV/0!</v>
      </c>
      <c r="CX96" s="477">
        <f t="shared" ca="1" si="1595"/>
        <v>0</v>
      </c>
      <c r="CY96" s="478">
        <f t="shared" ca="1" si="1645"/>
        <v>0</v>
      </c>
    </row>
    <row r="97" spans="3:103">
      <c r="N97" s="5">
        <f t="shared" si="1646"/>
        <v>85</v>
      </c>
      <c r="O97" s="2">
        <f t="shared" ref="O97" ca="1" si="2085">+(1+iB)^-N97</f>
        <v>0.15087527762606218</v>
      </c>
      <c r="P97" s="2">
        <f t="shared" ref="P97" ca="1" si="2086">+(1+iB)^-(N97+0.5)</f>
        <v>0.14920604679350946</v>
      </c>
      <c r="Q97" s="91"/>
      <c r="R97" s="20">
        <f t="shared" si="1649"/>
        <v>85</v>
      </c>
      <c r="S97" s="20" t="str">
        <f t="shared" ref="S97" si="2087">+IF(xB+R97&lt;=xB+nB,xB+R97,"")</f>
        <v/>
      </c>
      <c r="T97" s="2">
        <f t="shared" ref="T97:U97" ca="1" si="2088">IFERROR(VLOOKUP($S97,qx_table,MATCH(T$11,qx_title,0)+sexB),0)</f>
        <v>0</v>
      </c>
      <c r="U97" s="2">
        <f t="shared" ca="1" si="2088"/>
        <v>0</v>
      </c>
      <c r="V97" s="300">
        <f>IF(JRB=2,0,IF(R97&gt;=mB-1,_xlfn.XLOOKUP(R97-mB,해지율!#REF!,해지율!#REF!,,1),_xlfn.XLOOKUP(R97,해지율!#REF!,해지율!#REF!,,-1)))</f>
        <v>0</v>
      </c>
      <c r="W97" s="8">
        <f t="shared" ref="W97" si="2089">IF(R97=0,100000,IF(R97&gt;nB,0,W96*(1-X96)*(1-Y96)))</f>
        <v>0</v>
      </c>
      <c r="X97" s="10">
        <f t="shared" ca="1" si="1561"/>
        <v>0</v>
      </c>
      <c r="Y97" s="10">
        <f t="shared" ca="1" si="1562"/>
        <v>0</v>
      </c>
      <c r="Z97" s="5">
        <f t="shared" ca="1" si="1601"/>
        <v>0</v>
      </c>
      <c r="AA97" s="5">
        <f ca="1">+SUM(Z97:Z$124)</f>
        <v>0</v>
      </c>
      <c r="AB97" s="8">
        <f t="shared" ca="1" si="1563"/>
        <v>0</v>
      </c>
      <c r="AC97" s="209">
        <f ca="1">+SUM(AB97:AB$124)*SSSM</f>
        <v>0</v>
      </c>
      <c r="AD97" s="209">
        <f t="shared" ref="AD97" si="2090">IF(R97&gt;nB,0,AD96*(1-X96)*(1-Y96)*(1-AE96)*(1-AF96))</f>
        <v>0</v>
      </c>
      <c r="AE97" s="92">
        <f t="shared" ca="1" si="1565"/>
        <v>0</v>
      </c>
      <c r="AF97" s="92">
        <f t="shared" ca="1" si="1566"/>
        <v>0</v>
      </c>
      <c r="AG97" s="664">
        <f t="shared" ca="1" si="1567"/>
        <v>0</v>
      </c>
      <c r="AH97" s="208">
        <f ca="1">+SUM(AG97:AG$124)</f>
        <v>0</v>
      </c>
      <c r="AI97" s="70">
        <f t="shared" ca="1" si="1568"/>
        <v>0</v>
      </c>
      <c r="AJ97" s="208">
        <f ca="1">+SUM(AB97:AB$124)*SS50J</f>
        <v>0</v>
      </c>
      <c r="AK97" s="5">
        <f t="shared" ca="1" si="1603"/>
        <v>99999.012970709329</v>
      </c>
      <c r="AL97" s="2">
        <f t="shared" ref="AL97" ca="1" si="2091">IFERROR(VLOOKUP($S97,qx_table,MATCH(AL$11,qx_title,0)+sexB),0)</f>
        <v>0</v>
      </c>
      <c r="AM97" s="131">
        <f t="shared" ca="1" si="1605"/>
        <v>15087.378844287963</v>
      </c>
      <c r="AN97" s="129">
        <f t="shared" ca="1" si="1606"/>
        <v>0</v>
      </c>
      <c r="AO97" s="129">
        <f ca="1">SUM(AN97:AN$124)*SSa</f>
        <v>0</v>
      </c>
      <c r="AP97" s="70">
        <f t="shared" ca="1" si="1607"/>
        <v>99999.012970709329</v>
      </c>
      <c r="AQ97" s="2">
        <f t="shared" ref="AQ97" ca="1" si="2092">IFERROR(VLOOKUP($S97,qx_table,MATCH(AQ$11,qx_title,0)+sexB),0)</f>
        <v>0</v>
      </c>
      <c r="AR97" s="127">
        <f t="shared" ca="1" si="1609"/>
        <v>0</v>
      </c>
      <c r="AS97" s="127">
        <f ca="1">SUM(AR97:AR$124)*SSb</f>
        <v>0</v>
      </c>
      <c r="AT97" s="70">
        <f t="shared" ca="1" si="1610"/>
        <v>99999.012970709329</v>
      </c>
      <c r="AU97" s="2">
        <f t="shared" ref="AU97" ca="1" si="2093">IFERROR(VLOOKUP($S97,qx_table,MATCH(AU$11,qx_title,0)+sexB),0)</f>
        <v>0</v>
      </c>
      <c r="AV97" s="268">
        <f t="shared" ca="1" si="1612"/>
        <v>0</v>
      </c>
      <c r="AW97" s="131">
        <f ca="1">SUM(AV97:AV$124)*SSc</f>
        <v>0</v>
      </c>
      <c r="AX97" s="70">
        <f t="shared" ca="1" si="1613"/>
        <v>99999.012970709329</v>
      </c>
      <c r="AY97" s="2">
        <f t="shared" ref="AY97" ca="1" si="2094">IFERROR(VLOOKUP($S97,qx_table,MATCH(AY$11,qx_title,0)+sexB),0)</f>
        <v>0</v>
      </c>
      <c r="AZ97" s="268">
        <f t="shared" ca="1" si="1573"/>
        <v>0</v>
      </c>
      <c r="BA97" s="129">
        <f ca="1">SUM(AZ97:AZ$124)*SSd</f>
        <v>0</v>
      </c>
      <c r="BB97" s="70">
        <f t="shared" ca="1" si="1615"/>
        <v>99999.012970709329</v>
      </c>
      <c r="BC97" s="257">
        <f t="shared" ref="BC97" ca="1" si="2095">IFERROR(VLOOKUP($S97,qx_table,MATCH(BC$11,qx_title,0)+sexB),0)</f>
        <v>0</v>
      </c>
      <c r="BD97" s="268">
        <f t="shared" ca="1" si="1617"/>
        <v>0</v>
      </c>
      <c r="BE97" s="131">
        <f ca="1">SUM(BD97:BD$124)*SSe</f>
        <v>0</v>
      </c>
      <c r="BF97" s="70">
        <f t="shared" ca="1" si="1618"/>
        <v>99999.012970709329</v>
      </c>
      <c r="BG97" s="2">
        <f t="shared" ref="BG97" ca="1" si="2096">IFERROR(VLOOKUP($S97,qx_table,MATCH(BG$11,qx_title,0)+sexB),0)</f>
        <v>0</v>
      </c>
      <c r="BH97" s="131">
        <f t="shared" ca="1" si="1620"/>
        <v>0</v>
      </c>
      <c r="BI97" s="2">
        <f ca="1">SUM(BH97:BH$124)*SSf</f>
        <v>0</v>
      </c>
      <c r="BJ97" s="70">
        <f t="shared" ca="1" si="1621"/>
        <v>99999.012970709329</v>
      </c>
      <c r="BK97" s="2">
        <f t="shared" ref="BK97" ca="1" si="2097">IFERROR(VLOOKUP($S97,qx_table,MATCH(BK$11,qx_title,0)+sexB),0)</f>
        <v>0</v>
      </c>
      <c r="BL97" s="131">
        <f t="shared" ca="1" si="1623"/>
        <v>0</v>
      </c>
      <c r="BM97" s="131">
        <f ca="1">SUM(BL97:BL$124)*SSg</f>
        <v>0</v>
      </c>
      <c r="BN97" s="70">
        <f t="shared" ca="1" si="1624"/>
        <v>99999.012970709329</v>
      </c>
      <c r="BO97" s="2">
        <f t="shared" ref="BO97" ca="1" si="2098">IFERROR(VLOOKUP($S97,qx_table,MATCH(BO$11,qx_title,0)+sexB),0)</f>
        <v>0</v>
      </c>
      <c r="BP97" s="131">
        <f t="shared" ca="1" si="1626"/>
        <v>0</v>
      </c>
      <c r="BQ97" s="131">
        <f ca="1">SUM(BP97:BP$124)*SSh</f>
        <v>0</v>
      </c>
      <c r="BR97" s="70">
        <f t="shared" ca="1" si="1627"/>
        <v>99999.012970709329</v>
      </c>
      <c r="BS97" s="2">
        <f t="shared" ref="BS97" ca="1" si="2099">IFERROR(VLOOKUP($S97,qx_table,MATCH(BS$11,qx_title,0)+sexB),0)*IF(R97=0,MCi,1)</f>
        <v>0</v>
      </c>
      <c r="BT97" s="131">
        <f t="shared" ca="1" si="1629"/>
        <v>0</v>
      </c>
      <c r="BU97" s="131">
        <f ca="1">SUM(BT97:BT$124)*SSi</f>
        <v>0</v>
      </c>
      <c r="BV97" s="70">
        <f t="shared" ca="1" si="1630"/>
        <v>99999.012970709329</v>
      </c>
      <c r="BW97" s="2">
        <f t="shared" ref="BW97" ca="1" si="2100">IFERROR(VLOOKUP($S97,qx_table,MATCH(BW$11,qx_title,0)+sexB),0)</f>
        <v>0</v>
      </c>
      <c r="BX97" s="131">
        <f t="shared" ca="1" si="1632"/>
        <v>0</v>
      </c>
      <c r="BY97" s="131">
        <f ca="1">SUM(BX97:BX$124)*SSj</f>
        <v>0</v>
      </c>
      <c r="BZ97" s="70">
        <f t="shared" ca="1" si="1633"/>
        <v>99999.012970709329</v>
      </c>
      <c r="CA97" s="2">
        <f t="shared" ref="CA97" ca="1" si="2101">IFERROR(VLOOKUP($S97,qx_table,MATCH(CA$11,qx_title,0)+sexB),0)</f>
        <v>0</v>
      </c>
      <c r="CB97" s="131">
        <f t="shared" ca="1" si="1635"/>
        <v>0</v>
      </c>
      <c r="CC97" s="131">
        <f ca="1">SUM(CB97:CB$124)*SSk</f>
        <v>0</v>
      </c>
      <c r="CD97" s="8">
        <f t="shared" ca="1" si="1636"/>
        <v>99999.012970709329</v>
      </c>
      <c r="CE97" s="2">
        <f t="shared" ref="CE97" ca="1" si="2102">IFERROR(VLOOKUP($S97,qx_table,MATCH(CE$11,qx_title,0)+sexB),0)</f>
        <v>0</v>
      </c>
      <c r="CF97" s="131">
        <f t="shared" ca="1" si="1638"/>
        <v>0</v>
      </c>
      <c r="CG97" s="131">
        <f ca="1">SUM(CF97:CF$124)*SSl</f>
        <v>0</v>
      </c>
      <c r="CH97" s="101">
        <f t="shared" ca="1" si="1639"/>
        <v>0</v>
      </c>
      <c r="CI97" s="154">
        <f t="shared" ca="1" si="1582"/>
        <v>0</v>
      </c>
      <c r="CJ97" s="32">
        <f t="shared" ref="CJ97" ca="1" si="2103">+MAX(VLOOKUP(xB+$R97,기수표B,$AH$1)-VLOOKUP(xB+mB,기수표B,$AH$1),0)</f>
        <v>0</v>
      </c>
      <c r="CK97" s="32">
        <f t="shared" ref="CK97" ca="1" si="2104">+MAX(VLOOKUP(xB+$R97,기수표B,$AH$1)-VLOOKUP(xB+mB,기수표B,$AH$1)-11/24*(VLOOKUP(xB+$R97,기수표B,$AG$1)-VLOOKUP(xB+mB,기수표B,$AG$1)),0)</f>
        <v>0</v>
      </c>
      <c r="CL97" s="32">
        <f t="shared" ref="CL97" ca="1" si="2105">+MAX(VLOOKUP(xB+$R97,기수표B,$AA$1)-VLOOKUP(xB+mB,기수표B,$AA$1),0)</f>
        <v>0</v>
      </c>
      <c r="CM97" s="32">
        <f t="shared" ref="CM97" ca="1" si="2106">+MAX(VLOOKUP(xB+$R97,기수표B,$AA$1)-VLOOKUP(xB+mB,기수표B,$AA$1)-11/24*(VLOOKUP(xB+$R97,기수표B,$AA$1)-VLOOKUP(xB+mB,기수표B,$AA$1)),0)</f>
        <v>0</v>
      </c>
      <c r="CN97" s="32">
        <f t="shared" si="1587"/>
        <v>0</v>
      </c>
      <c r="CO97" s="32">
        <f t="shared" ca="1" si="1588"/>
        <v>0</v>
      </c>
      <c r="CP97" s="259">
        <f t="shared" ca="1" si="1589"/>
        <v>0</v>
      </c>
      <c r="CQ97" s="259">
        <f t="shared" ca="1" si="1590"/>
        <v>0</v>
      </c>
      <c r="CR97" s="259" t="e">
        <f t="shared" ca="1" si="1591"/>
        <v>#DIV/0!</v>
      </c>
      <c r="CS97" s="31">
        <f t="shared" ref="CS97" si="2107">+MIN(mB,7)</f>
        <v>5</v>
      </c>
      <c r="CU97" s="13">
        <v>85</v>
      </c>
      <c r="CV97" s="477">
        <f t="shared" ca="1" si="1593"/>
        <v>420</v>
      </c>
      <c r="CW97" s="477" t="e">
        <f t="shared" ca="1" si="1594"/>
        <v>#DIV/0!</v>
      </c>
      <c r="CX97" s="477">
        <f t="shared" ca="1" si="1595"/>
        <v>0</v>
      </c>
      <c r="CY97" s="478">
        <f t="shared" ca="1" si="1645"/>
        <v>0</v>
      </c>
    </row>
    <row r="98" spans="3:103">
      <c r="N98" s="5">
        <f t="shared" si="1646"/>
        <v>86</v>
      </c>
      <c r="O98" s="2">
        <f t="shared" ref="O98" ca="1" si="2108">+(1+iB)^-N98</f>
        <v>0.1475552837418701</v>
      </c>
      <c r="P98" s="2">
        <f t="shared" ref="P98" ca="1" si="2109">+(1+iB)^-(N98+0.5)</f>
        <v>0.14592278415013149</v>
      </c>
      <c r="Q98" s="91"/>
      <c r="R98" s="20">
        <f t="shared" si="1649"/>
        <v>86</v>
      </c>
      <c r="S98" s="20" t="str">
        <f t="shared" ref="S98" si="2110">+IF(xB+R98&lt;=xB+nB,xB+R98,"")</f>
        <v/>
      </c>
      <c r="T98" s="2">
        <f t="shared" ref="T98:U98" ca="1" si="2111">IFERROR(VLOOKUP($S98,qx_table,MATCH(T$11,qx_title,0)+sexB),0)</f>
        <v>0</v>
      </c>
      <c r="U98" s="2">
        <f t="shared" ca="1" si="2111"/>
        <v>0</v>
      </c>
      <c r="V98" s="300">
        <f>IF(JRB=2,0,IF(R98&gt;=mB-1,_xlfn.XLOOKUP(R98-mB,해지율!#REF!,해지율!#REF!,,1),_xlfn.XLOOKUP(R98,해지율!#REF!,해지율!#REF!,,-1)))</f>
        <v>0</v>
      </c>
      <c r="W98" s="8">
        <f t="shared" ref="W98" si="2112">IF(R98=0,100000,IF(R98&gt;nB,0,W97*(1-X97)*(1-Y97)))</f>
        <v>0</v>
      </c>
      <c r="X98" s="10">
        <f t="shared" ca="1" si="1561"/>
        <v>0</v>
      </c>
      <c r="Y98" s="10">
        <f t="shared" ca="1" si="1562"/>
        <v>0</v>
      </c>
      <c r="Z98" s="5">
        <f t="shared" ca="1" si="1601"/>
        <v>0</v>
      </c>
      <c r="AA98" s="5">
        <f ca="1">+SUM(Z98:Z$124)</f>
        <v>0</v>
      </c>
      <c r="AB98" s="8">
        <f t="shared" ca="1" si="1563"/>
        <v>0</v>
      </c>
      <c r="AC98" s="209">
        <f ca="1">+SUM(AB98:AB$124)*SSSM</f>
        <v>0</v>
      </c>
      <c r="AD98" s="209">
        <f t="shared" ref="AD98" si="2113">IF(R98&gt;nB,0,AD97*(1-X97)*(1-Y97)*(1-AE97)*(1-AF97))</f>
        <v>0</v>
      </c>
      <c r="AE98" s="92">
        <f t="shared" ca="1" si="1565"/>
        <v>0</v>
      </c>
      <c r="AF98" s="92">
        <f t="shared" ca="1" si="1566"/>
        <v>0</v>
      </c>
      <c r="AG98" s="664">
        <f t="shared" ca="1" si="1567"/>
        <v>0</v>
      </c>
      <c r="AH98" s="208">
        <f ca="1">+SUM(AG98:AG$124)</f>
        <v>0</v>
      </c>
      <c r="AI98" s="70">
        <f t="shared" ca="1" si="1568"/>
        <v>0</v>
      </c>
      <c r="AJ98" s="208">
        <f ca="1">+SUM(AB98:AB$124)*SS50J</f>
        <v>0</v>
      </c>
      <c r="AK98" s="5">
        <f t="shared" ca="1" si="1603"/>
        <v>99999.012970709329</v>
      </c>
      <c r="AL98" s="2">
        <f t="shared" ref="AL98" ca="1" si="2114">IFERROR(VLOOKUP($S98,qx_table,MATCH(AL$11,qx_title,0)+sexB),0)</f>
        <v>0</v>
      </c>
      <c r="AM98" s="131">
        <f t="shared" ca="1" si="1605"/>
        <v>14755.382732799964</v>
      </c>
      <c r="AN98" s="129">
        <f t="shared" ca="1" si="1606"/>
        <v>0</v>
      </c>
      <c r="AO98" s="129">
        <f ca="1">SUM(AN98:AN$124)*SSa</f>
        <v>0</v>
      </c>
      <c r="AP98" s="70">
        <f t="shared" ca="1" si="1607"/>
        <v>99999.012970709329</v>
      </c>
      <c r="AQ98" s="2">
        <f t="shared" ref="AQ98" ca="1" si="2115">IFERROR(VLOOKUP($S98,qx_table,MATCH(AQ$11,qx_title,0)+sexB),0)</f>
        <v>0</v>
      </c>
      <c r="AR98" s="127">
        <f t="shared" ca="1" si="1609"/>
        <v>0</v>
      </c>
      <c r="AS98" s="127">
        <f ca="1">SUM(AR98:AR$124)*SSb</f>
        <v>0</v>
      </c>
      <c r="AT98" s="70">
        <f t="shared" ca="1" si="1610"/>
        <v>99999.012970709329</v>
      </c>
      <c r="AU98" s="2">
        <f t="shared" ref="AU98" ca="1" si="2116">IFERROR(VLOOKUP($S98,qx_table,MATCH(AU$11,qx_title,0)+sexB),0)</f>
        <v>0</v>
      </c>
      <c r="AV98" s="268">
        <f t="shared" ca="1" si="1612"/>
        <v>0</v>
      </c>
      <c r="AW98" s="131">
        <f ca="1">SUM(AV98:AV$124)*SSc</f>
        <v>0</v>
      </c>
      <c r="AX98" s="70">
        <f t="shared" ca="1" si="1613"/>
        <v>99999.012970709329</v>
      </c>
      <c r="AY98" s="2">
        <f t="shared" ref="AY98" ca="1" si="2117">IFERROR(VLOOKUP($S98,qx_table,MATCH(AY$11,qx_title,0)+sexB),0)</f>
        <v>0</v>
      </c>
      <c r="AZ98" s="268">
        <f t="shared" ca="1" si="1573"/>
        <v>0</v>
      </c>
      <c r="BA98" s="129">
        <f ca="1">SUM(AZ98:AZ$124)*SSd</f>
        <v>0</v>
      </c>
      <c r="BB98" s="70">
        <f t="shared" ca="1" si="1615"/>
        <v>99999.012970709329</v>
      </c>
      <c r="BC98" s="257">
        <f t="shared" ref="BC98" ca="1" si="2118">IFERROR(VLOOKUP($S98,qx_table,MATCH(BC$11,qx_title,0)+sexB),0)</f>
        <v>0</v>
      </c>
      <c r="BD98" s="268">
        <f t="shared" ca="1" si="1617"/>
        <v>0</v>
      </c>
      <c r="BE98" s="131">
        <f ca="1">SUM(BD98:BD$124)*SSe</f>
        <v>0</v>
      </c>
      <c r="BF98" s="70">
        <f t="shared" ca="1" si="1618"/>
        <v>99999.012970709329</v>
      </c>
      <c r="BG98" s="2">
        <f t="shared" ref="BG98" ca="1" si="2119">IFERROR(VLOOKUP($S98,qx_table,MATCH(BG$11,qx_title,0)+sexB),0)</f>
        <v>0</v>
      </c>
      <c r="BH98" s="131">
        <f t="shared" ca="1" si="1620"/>
        <v>0</v>
      </c>
      <c r="BI98" s="2">
        <f ca="1">SUM(BH98:BH$124)*SSf</f>
        <v>0</v>
      </c>
      <c r="BJ98" s="70">
        <f t="shared" ca="1" si="1621"/>
        <v>99999.012970709329</v>
      </c>
      <c r="BK98" s="2">
        <f t="shared" ref="BK98" ca="1" si="2120">IFERROR(VLOOKUP($S98,qx_table,MATCH(BK$11,qx_title,0)+sexB),0)</f>
        <v>0</v>
      </c>
      <c r="BL98" s="131">
        <f t="shared" ca="1" si="1623"/>
        <v>0</v>
      </c>
      <c r="BM98" s="131">
        <f ca="1">SUM(BL98:BL$124)*SSg</f>
        <v>0</v>
      </c>
      <c r="BN98" s="70">
        <f t="shared" ca="1" si="1624"/>
        <v>99999.012970709329</v>
      </c>
      <c r="BO98" s="2">
        <f t="shared" ref="BO98" ca="1" si="2121">IFERROR(VLOOKUP($S98,qx_table,MATCH(BO$11,qx_title,0)+sexB),0)</f>
        <v>0</v>
      </c>
      <c r="BP98" s="131">
        <f t="shared" ca="1" si="1626"/>
        <v>0</v>
      </c>
      <c r="BQ98" s="131">
        <f ca="1">SUM(BP98:BP$124)*SSh</f>
        <v>0</v>
      </c>
      <c r="BR98" s="70">
        <f t="shared" ca="1" si="1627"/>
        <v>99999.012970709329</v>
      </c>
      <c r="BS98" s="2">
        <f t="shared" ref="BS98" ca="1" si="2122">IFERROR(VLOOKUP($S98,qx_table,MATCH(BS$11,qx_title,0)+sexB),0)*IF(R98=0,MCi,1)</f>
        <v>0</v>
      </c>
      <c r="BT98" s="131">
        <f t="shared" ca="1" si="1629"/>
        <v>0</v>
      </c>
      <c r="BU98" s="131">
        <f ca="1">SUM(BT98:BT$124)*SSi</f>
        <v>0</v>
      </c>
      <c r="BV98" s="70">
        <f t="shared" ca="1" si="1630"/>
        <v>99999.012970709329</v>
      </c>
      <c r="BW98" s="2">
        <f t="shared" ref="BW98" ca="1" si="2123">IFERROR(VLOOKUP($S98,qx_table,MATCH(BW$11,qx_title,0)+sexB),0)</f>
        <v>0</v>
      </c>
      <c r="BX98" s="131">
        <f t="shared" ca="1" si="1632"/>
        <v>0</v>
      </c>
      <c r="BY98" s="131">
        <f ca="1">SUM(BX98:BX$124)*SSj</f>
        <v>0</v>
      </c>
      <c r="BZ98" s="70">
        <f t="shared" ca="1" si="1633"/>
        <v>99999.012970709329</v>
      </c>
      <c r="CA98" s="2">
        <f t="shared" ref="CA98" ca="1" si="2124">IFERROR(VLOOKUP($S98,qx_table,MATCH(CA$11,qx_title,0)+sexB),0)</f>
        <v>0</v>
      </c>
      <c r="CB98" s="131">
        <f t="shared" ca="1" si="1635"/>
        <v>0</v>
      </c>
      <c r="CC98" s="131">
        <f ca="1">SUM(CB98:CB$124)*SSk</f>
        <v>0</v>
      </c>
      <c r="CD98" s="8">
        <f t="shared" ca="1" si="1636"/>
        <v>99999.012970709329</v>
      </c>
      <c r="CE98" s="2">
        <f t="shared" ref="CE98" ca="1" si="2125">IFERROR(VLOOKUP($S98,qx_table,MATCH(CE$11,qx_title,0)+sexB),0)</f>
        <v>0</v>
      </c>
      <c r="CF98" s="131">
        <f t="shared" ca="1" si="1638"/>
        <v>0</v>
      </c>
      <c r="CG98" s="131">
        <f ca="1">SUM(CF98:CF$124)*SSl</f>
        <v>0</v>
      </c>
      <c r="CH98" s="101">
        <f t="shared" ca="1" si="1639"/>
        <v>0</v>
      </c>
      <c r="CI98" s="154">
        <f t="shared" ca="1" si="1582"/>
        <v>0</v>
      </c>
      <c r="CJ98" s="32">
        <f t="shared" ref="CJ98" ca="1" si="2126">+MAX(VLOOKUP(xB+$R98,기수표B,$AH$1)-VLOOKUP(xB+mB,기수표B,$AH$1),0)</f>
        <v>0</v>
      </c>
      <c r="CK98" s="32">
        <f t="shared" ref="CK98" ca="1" si="2127">+MAX(VLOOKUP(xB+$R98,기수표B,$AH$1)-VLOOKUP(xB+mB,기수표B,$AH$1)-11/24*(VLOOKUP(xB+$R98,기수표B,$AG$1)-VLOOKUP(xB+mB,기수표B,$AG$1)),0)</f>
        <v>0</v>
      </c>
      <c r="CL98" s="32">
        <f t="shared" ref="CL98" ca="1" si="2128">+MAX(VLOOKUP(xB+$R98,기수표B,$AA$1)-VLOOKUP(xB+mB,기수표B,$AA$1),0)</f>
        <v>0</v>
      </c>
      <c r="CM98" s="32">
        <f t="shared" ref="CM98" ca="1" si="2129">+MAX(VLOOKUP(xB+$R98,기수표B,$AA$1)-VLOOKUP(xB+mB,기수표B,$AA$1)-11/24*(VLOOKUP(xB+$R98,기수표B,$AA$1)-VLOOKUP(xB+mB,기수표B,$AA$1)),0)</f>
        <v>0</v>
      </c>
      <c r="CN98" s="32">
        <f t="shared" si="1587"/>
        <v>0</v>
      </c>
      <c r="CO98" s="32">
        <f t="shared" ca="1" si="1588"/>
        <v>0</v>
      </c>
      <c r="CP98" s="259">
        <f t="shared" ca="1" si="1589"/>
        <v>0</v>
      </c>
      <c r="CQ98" s="259">
        <f t="shared" ca="1" si="1590"/>
        <v>0</v>
      </c>
      <c r="CR98" s="259" t="e">
        <f t="shared" ca="1" si="1591"/>
        <v>#DIV/0!</v>
      </c>
      <c r="CS98" s="31">
        <f t="shared" ref="CS98" si="2130">+MIN(mB,7)</f>
        <v>5</v>
      </c>
      <c r="CU98" s="13">
        <v>86</v>
      </c>
      <c r="CV98" s="477">
        <f t="shared" ca="1" si="1593"/>
        <v>420</v>
      </c>
      <c r="CW98" s="477" t="e">
        <f t="shared" ca="1" si="1594"/>
        <v>#DIV/0!</v>
      </c>
      <c r="CX98" s="477">
        <f t="shared" ca="1" si="1595"/>
        <v>0</v>
      </c>
      <c r="CY98" s="478">
        <f t="shared" ca="1" si="1645"/>
        <v>0</v>
      </c>
    </row>
    <row r="99" spans="3:103">
      <c r="N99" s="5">
        <f t="shared" si="1646"/>
        <v>87</v>
      </c>
      <c r="O99" s="2">
        <f t="shared" ref="O99" ca="1" si="2131">+(1+iB)^-N99</f>
        <v>0.14430834595781919</v>
      </c>
      <c r="P99" s="2">
        <f t="shared" ref="P99" ca="1" si="2132">+(1+iB)^-(N99+0.5)</f>
        <v>0.14271176933998192</v>
      </c>
      <c r="Q99" s="91"/>
      <c r="R99" s="20">
        <f t="shared" si="1649"/>
        <v>87</v>
      </c>
      <c r="S99" s="20" t="str">
        <f t="shared" ref="S99" si="2133">+IF(xB+R99&lt;=xB+nB,xB+R99,"")</f>
        <v/>
      </c>
      <c r="T99" s="2">
        <f t="shared" ref="T99:U99" ca="1" si="2134">IFERROR(VLOOKUP($S99,qx_table,MATCH(T$11,qx_title,0)+sexB),0)</f>
        <v>0</v>
      </c>
      <c r="U99" s="2">
        <f t="shared" ca="1" si="2134"/>
        <v>0</v>
      </c>
      <c r="V99" s="300">
        <f>IF(JRB=2,0,IF(R99&gt;=mB-1,_xlfn.XLOOKUP(R99-mB,해지율!#REF!,해지율!#REF!,,1),_xlfn.XLOOKUP(R99,해지율!#REF!,해지율!#REF!,,-1)))</f>
        <v>0</v>
      </c>
      <c r="W99" s="8">
        <f t="shared" ref="W99" si="2135">IF(R99=0,100000,IF(R99&gt;nB,0,W98*(1-X98)*(1-Y98)))</f>
        <v>0</v>
      </c>
      <c r="X99" s="10">
        <f t="shared" ca="1" si="1561"/>
        <v>0</v>
      </c>
      <c r="Y99" s="10">
        <f t="shared" ca="1" si="1562"/>
        <v>0</v>
      </c>
      <c r="Z99" s="5">
        <f t="shared" ca="1" si="1601"/>
        <v>0</v>
      </c>
      <c r="AA99" s="5">
        <f ca="1">+SUM(Z99:Z$124)</f>
        <v>0</v>
      </c>
      <c r="AB99" s="8">
        <f t="shared" ca="1" si="1563"/>
        <v>0</v>
      </c>
      <c r="AC99" s="209">
        <f ca="1">+SUM(AB99:AB$124)*SSSM</f>
        <v>0</v>
      </c>
      <c r="AD99" s="209">
        <f t="shared" ref="AD99" si="2136">IF(R99&gt;nB,0,AD98*(1-X98)*(1-Y98)*(1-AE98)*(1-AF98))</f>
        <v>0</v>
      </c>
      <c r="AE99" s="92">
        <f t="shared" ca="1" si="1565"/>
        <v>0</v>
      </c>
      <c r="AF99" s="92">
        <f t="shared" ca="1" si="1566"/>
        <v>0</v>
      </c>
      <c r="AG99" s="664">
        <f t="shared" ca="1" si="1567"/>
        <v>0</v>
      </c>
      <c r="AH99" s="208">
        <f ca="1">+SUM(AG99:AG$124)</f>
        <v>0</v>
      </c>
      <c r="AI99" s="70">
        <f t="shared" ca="1" si="1568"/>
        <v>0</v>
      </c>
      <c r="AJ99" s="208">
        <f ca="1">+SUM(AB99:AB$124)*SS50J</f>
        <v>0</v>
      </c>
      <c r="AK99" s="5">
        <f t="shared" ca="1" si="1603"/>
        <v>99999.012970709329</v>
      </c>
      <c r="AL99" s="2">
        <f t="shared" ref="AL99" ca="1" si="2137">IFERROR(VLOOKUP($S99,qx_table,MATCH(AL$11,qx_title,0)+sexB),0)</f>
        <v>0</v>
      </c>
      <c r="AM99" s="131">
        <f t="shared" ca="1" si="1605"/>
        <v>14430.692159217569</v>
      </c>
      <c r="AN99" s="129">
        <f t="shared" ca="1" si="1606"/>
        <v>0</v>
      </c>
      <c r="AO99" s="129">
        <f ca="1">SUM(AN99:AN$124)*SSa</f>
        <v>0</v>
      </c>
      <c r="AP99" s="70">
        <f t="shared" ca="1" si="1607"/>
        <v>99999.012970709329</v>
      </c>
      <c r="AQ99" s="2">
        <f t="shared" ref="AQ99" ca="1" si="2138">IFERROR(VLOOKUP($S99,qx_table,MATCH(AQ$11,qx_title,0)+sexB),0)</f>
        <v>0</v>
      </c>
      <c r="AR99" s="127">
        <f t="shared" ca="1" si="1609"/>
        <v>0</v>
      </c>
      <c r="AS99" s="127">
        <f ca="1">SUM(AR99:AR$124)*SSb</f>
        <v>0</v>
      </c>
      <c r="AT99" s="70">
        <f t="shared" ca="1" si="1610"/>
        <v>99999.012970709329</v>
      </c>
      <c r="AU99" s="2">
        <f t="shared" ref="AU99" ca="1" si="2139">IFERROR(VLOOKUP($S99,qx_table,MATCH(AU$11,qx_title,0)+sexB),0)</f>
        <v>0</v>
      </c>
      <c r="AV99" s="268">
        <f t="shared" ca="1" si="1612"/>
        <v>0</v>
      </c>
      <c r="AW99" s="131">
        <f ca="1">SUM(AV99:AV$124)*SSc</f>
        <v>0</v>
      </c>
      <c r="AX99" s="70">
        <f t="shared" ca="1" si="1613"/>
        <v>99999.012970709329</v>
      </c>
      <c r="AY99" s="2">
        <f t="shared" ref="AY99" ca="1" si="2140">IFERROR(VLOOKUP($S99,qx_table,MATCH(AY$11,qx_title,0)+sexB),0)</f>
        <v>0</v>
      </c>
      <c r="AZ99" s="268">
        <f t="shared" ca="1" si="1573"/>
        <v>0</v>
      </c>
      <c r="BA99" s="129">
        <f ca="1">SUM(AZ99:AZ$124)*SSd</f>
        <v>0</v>
      </c>
      <c r="BB99" s="70">
        <f t="shared" ca="1" si="1615"/>
        <v>99999.012970709329</v>
      </c>
      <c r="BC99" s="257">
        <f t="shared" ref="BC99" ca="1" si="2141">IFERROR(VLOOKUP($S99,qx_table,MATCH(BC$11,qx_title,0)+sexB),0)</f>
        <v>0</v>
      </c>
      <c r="BD99" s="268">
        <f t="shared" ca="1" si="1617"/>
        <v>0</v>
      </c>
      <c r="BE99" s="131">
        <f ca="1">SUM(BD99:BD$124)*SSe</f>
        <v>0</v>
      </c>
      <c r="BF99" s="70">
        <f t="shared" ca="1" si="1618"/>
        <v>99999.012970709329</v>
      </c>
      <c r="BG99" s="2">
        <f t="shared" ref="BG99" ca="1" si="2142">IFERROR(VLOOKUP($S99,qx_table,MATCH(BG$11,qx_title,0)+sexB),0)</f>
        <v>0</v>
      </c>
      <c r="BH99" s="131">
        <f t="shared" ca="1" si="1620"/>
        <v>0</v>
      </c>
      <c r="BI99" s="2">
        <f ca="1">SUM(BH99:BH$124)*SSf</f>
        <v>0</v>
      </c>
      <c r="BJ99" s="70">
        <f t="shared" ca="1" si="1621"/>
        <v>99999.012970709329</v>
      </c>
      <c r="BK99" s="2">
        <f t="shared" ref="BK99" ca="1" si="2143">IFERROR(VLOOKUP($S99,qx_table,MATCH(BK$11,qx_title,0)+sexB),0)</f>
        <v>0</v>
      </c>
      <c r="BL99" s="131">
        <f t="shared" ca="1" si="1623"/>
        <v>0</v>
      </c>
      <c r="BM99" s="131">
        <f ca="1">SUM(BL99:BL$124)*SSg</f>
        <v>0</v>
      </c>
      <c r="BN99" s="70">
        <f t="shared" ca="1" si="1624"/>
        <v>99999.012970709329</v>
      </c>
      <c r="BO99" s="2">
        <f t="shared" ref="BO99" ca="1" si="2144">IFERROR(VLOOKUP($S99,qx_table,MATCH(BO$11,qx_title,0)+sexB),0)</f>
        <v>0</v>
      </c>
      <c r="BP99" s="131">
        <f t="shared" ca="1" si="1626"/>
        <v>0</v>
      </c>
      <c r="BQ99" s="131">
        <f ca="1">SUM(BP99:BP$124)*SSh</f>
        <v>0</v>
      </c>
      <c r="BR99" s="70">
        <f t="shared" ca="1" si="1627"/>
        <v>99999.012970709329</v>
      </c>
      <c r="BS99" s="2">
        <f t="shared" ref="BS99" ca="1" si="2145">IFERROR(VLOOKUP($S99,qx_table,MATCH(BS$11,qx_title,0)+sexB),0)*IF(R99=0,MCi,1)</f>
        <v>0</v>
      </c>
      <c r="BT99" s="131">
        <f t="shared" ca="1" si="1629"/>
        <v>0</v>
      </c>
      <c r="BU99" s="131">
        <f ca="1">SUM(BT99:BT$124)*SSi</f>
        <v>0</v>
      </c>
      <c r="BV99" s="70">
        <f t="shared" ca="1" si="1630"/>
        <v>99999.012970709329</v>
      </c>
      <c r="BW99" s="2">
        <f t="shared" ref="BW99" ca="1" si="2146">IFERROR(VLOOKUP($S99,qx_table,MATCH(BW$11,qx_title,0)+sexB),0)</f>
        <v>0</v>
      </c>
      <c r="BX99" s="131">
        <f t="shared" ca="1" si="1632"/>
        <v>0</v>
      </c>
      <c r="BY99" s="131">
        <f ca="1">SUM(BX99:BX$124)*SSj</f>
        <v>0</v>
      </c>
      <c r="BZ99" s="70">
        <f t="shared" ca="1" si="1633"/>
        <v>99999.012970709329</v>
      </c>
      <c r="CA99" s="2">
        <f t="shared" ref="CA99" ca="1" si="2147">IFERROR(VLOOKUP($S99,qx_table,MATCH(CA$11,qx_title,0)+sexB),0)</f>
        <v>0</v>
      </c>
      <c r="CB99" s="131">
        <f t="shared" ca="1" si="1635"/>
        <v>0</v>
      </c>
      <c r="CC99" s="131">
        <f ca="1">SUM(CB99:CB$124)*SSk</f>
        <v>0</v>
      </c>
      <c r="CD99" s="8">
        <f t="shared" ca="1" si="1636"/>
        <v>99999.012970709329</v>
      </c>
      <c r="CE99" s="2">
        <f t="shared" ref="CE99" ca="1" si="2148">IFERROR(VLOOKUP($S99,qx_table,MATCH(CE$11,qx_title,0)+sexB),0)</f>
        <v>0</v>
      </c>
      <c r="CF99" s="131">
        <f t="shared" ca="1" si="1638"/>
        <v>0</v>
      </c>
      <c r="CG99" s="131">
        <f ca="1">SUM(CF99:CF$124)*SSl</f>
        <v>0</v>
      </c>
      <c r="CH99" s="101">
        <f t="shared" ca="1" si="1639"/>
        <v>0</v>
      </c>
      <c r="CI99" s="154">
        <f t="shared" ca="1" si="1582"/>
        <v>0</v>
      </c>
      <c r="CJ99" s="32">
        <f t="shared" ref="CJ99" ca="1" si="2149">+MAX(VLOOKUP(xB+$R99,기수표B,$AH$1)-VLOOKUP(xB+mB,기수표B,$AH$1),0)</f>
        <v>0</v>
      </c>
      <c r="CK99" s="32">
        <f t="shared" ref="CK99" ca="1" si="2150">+MAX(VLOOKUP(xB+$R99,기수표B,$AH$1)-VLOOKUP(xB+mB,기수표B,$AH$1)-11/24*(VLOOKUP(xB+$R99,기수표B,$AG$1)-VLOOKUP(xB+mB,기수표B,$AG$1)),0)</f>
        <v>0</v>
      </c>
      <c r="CL99" s="32">
        <f t="shared" ref="CL99" ca="1" si="2151">+MAX(VLOOKUP(xB+$R99,기수표B,$AA$1)-VLOOKUP(xB+mB,기수표B,$AA$1),0)</f>
        <v>0</v>
      </c>
      <c r="CM99" s="32">
        <f t="shared" ref="CM99" ca="1" si="2152">+MAX(VLOOKUP(xB+$R99,기수표B,$AA$1)-VLOOKUP(xB+mB,기수표B,$AA$1)-11/24*(VLOOKUP(xB+$R99,기수표B,$AA$1)-VLOOKUP(xB+mB,기수표B,$AA$1)),0)</f>
        <v>0</v>
      </c>
      <c r="CN99" s="32">
        <f t="shared" si="1587"/>
        <v>0</v>
      </c>
      <c r="CO99" s="32">
        <f t="shared" ca="1" si="1588"/>
        <v>0</v>
      </c>
      <c r="CP99" s="259">
        <f t="shared" ca="1" si="1589"/>
        <v>0</v>
      </c>
      <c r="CQ99" s="259">
        <f t="shared" ca="1" si="1590"/>
        <v>0</v>
      </c>
      <c r="CR99" s="259" t="e">
        <f t="shared" ca="1" si="1591"/>
        <v>#DIV/0!</v>
      </c>
      <c r="CS99" s="31">
        <f t="shared" ref="CS99" si="2153">+MIN(mB,7)</f>
        <v>5</v>
      </c>
      <c r="CU99" s="13">
        <v>87</v>
      </c>
      <c r="CV99" s="477">
        <f t="shared" ca="1" si="1593"/>
        <v>420</v>
      </c>
      <c r="CW99" s="477" t="e">
        <f t="shared" ca="1" si="1594"/>
        <v>#DIV/0!</v>
      </c>
      <c r="CX99" s="477">
        <f t="shared" ca="1" si="1595"/>
        <v>0</v>
      </c>
      <c r="CY99" s="478">
        <f t="shared" ca="1" si="1645"/>
        <v>0</v>
      </c>
    </row>
    <row r="100" spans="3:103">
      <c r="N100" s="5">
        <f t="shared" si="1646"/>
        <v>88</v>
      </c>
      <c r="O100" s="2">
        <f t="shared" ref="O100" ca="1" si="2154">+(1+iB)^-N100</f>
        <v>0.14113285668246378</v>
      </c>
      <c r="P100" s="2">
        <f t="shared" ref="P100" ca="1" si="2155">+(1+iB)^-(N100+0.5)</f>
        <v>0.13957141255743954</v>
      </c>
      <c r="Q100" s="91"/>
      <c r="R100" s="20">
        <f t="shared" si="1649"/>
        <v>88</v>
      </c>
      <c r="S100" s="20" t="str">
        <f t="shared" ref="S100" si="2156">+IF(xB+R100&lt;=xB+nB,xB+R100,"")</f>
        <v/>
      </c>
      <c r="T100" s="2">
        <f t="shared" ref="T100:U100" ca="1" si="2157">IFERROR(VLOOKUP($S100,qx_table,MATCH(T$11,qx_title,0)+sexB),0)</f>
        <v>0</v>
      </c>
      <c r="U100" s="2">
        <f t="shared" ca="1" si="2157"/>
        <v>0</v>
      </c>
      <c r="V100" s="300">
        <f>IF(JRB=2,0,IF(R100&gt;=mB-1,_xlfn.XLOOKUP(R100-mB,해지율!#REF!,해지율!#REF!,,1),_xlfn.XLOOKUP(R100,해지율!#REF!,해지율!#REF!,,-1)))</f>
        <v>0</v>
      </c>
      <c r="W100" s="8">
        <f t="shared" ref="W100" si="2158">IF(R100=0,100000,IF(R100&gt;nB,0,W99*(1-X99)*(1-Y99)))</f>
        <v>0</v>
      </c>
      <c r="X100" s="10">
        <f t="shared" ca="1" si="1561"/>
        <v>0</v>
      </c>
      <c r="Y100" s="10">
        <f t="shared" ca="1" si="1562"/>
        <v>0</v>
      </c>
      <c r="Z100" s="5">
        <f t="shared" ca="1" si="1601"/>
        <v>0</v>
      </c>
      <c r="AA100" s="5">
        <f ca="1">+SUM(Z100:Z$124)</f>
        <v>0</v>
      </c>
      <c r="AB100" s="8">
        <f t="shared" ca="1" si="1563"/>
        <v>0</v>
      </c>
      <c r="AC100" s="209">
        <f ca="1">+SUM(AB100:AB$124)*SSSM</f>
        <v>0</v>
      </c>
      <c r="AD100" s="209">
        <f t="shared" ref="AD100" si="2159">IF(R100&gt;nB,0,AD99*(1-X99)*(1-Y99)*(1-AE99)*(1-AF99))</f>
        <v>0</v>
      </c>
      <c r="AE100" s="92">
        <f t="shared" ca="1" si="1565"/>
        <v>0</v>
      </c>
      <c r="AF100" s="92">
        <f t="shared" ca="1" si="1566"/>
        <v>0</v>
      </c>
      <c r="AG100" s="664">
        <f t="shared" ca="1" si="1567"/>
        <v>0</v>
      </c>
      <c r="AH100" s="208">
        <f ca="1">+SUM(AG100:AG$124)</f>
        <v>0</v>
      </c>
      <c r="AI100" s="70">
        <f t="shared" ca="1" si="1568"/>
        <v>0</v>
      </c>
      <c r="AJ100" s="208">
        <f ca="1">+SUM(AB100:AB$124)*SS50J</f>
        <v>0</v>
      </c>
      <c r="AK100" s="5">
        <f t="shared" ca="1" si="1603"/>
        <v>99999.012970709329</v>
      </c>
      <c r="AL100" s="2">
        <f t="shared" ref="AL100" ca="1" si="2160">IFERROR(VLOOKUP($S100,qx_table,MATCH(AL$11,qx_title,0)+sexB),0)</f>
        <v>0</v>
      </c>
      <c r="AM100" s="131">
        <f t="shared" ca="1" si="1605"/>
        <v>14113.146365982957</v>
      </c>
      <c r="AN100" s="129">
        <f t="shared" ca="1" si="1606"/>
        <v>0</v>
      </c>
      <c r="AO100" s="129">
        <f ca="1">SUM(AN100:AN$124)*SSa</f>
        <v>0</v>
      </c>
      <c r="AP100" s="70">
        <f t="shared" ca="1" si="1607"/>
        <v>99999.012970709329</v>
      </c>
      <c r="AQ100" s="2">
        <f t="shared" ref="AQ100" ca="1" si="2161">IFERROR(VLOOKUP($S100,qx_table,MATCH(AQ$11,qx_title,0)+sexB),0)</f>
        <v>0</v>
      </c>
      <c r="AR100" s="127">
        <f t="shared" ca="1" si="1609"/>
        <v>0</v>
      </c>
      <c r="AS100" s="127">
        <f ca="1">SUM(AR100:AR$124)*SSb</f>
        <v>0</v>
      </c>
      <c r="AT100" s="70">
        <f t="shared" ca="1" si="1610"/>
        <v>99999.012970709329</v>
      </c>
      <c r="AU100" s="2">
        <f t="shared" ref="AU100" ca="1" si="2162">IFERROR(VLOOKUP($S100,qx_table,MATCH(AU$11,qx_title,0)+sexB),0)</f>
        <v>0</v>
      </c>
      <c r="AV100" s="268">
        <f t="shared" ca="1" si="1612"/>
        <v>0</v>
      </c>
      <c r="AW100" s="131">
        <f ca="1">SUM(AV100:AV$124)*SSc</f>
        <v>0</v>
      </c>
      <c r="AX100" s="70">
        <f t="shared" ca="1" si="1613"/>
        <v>99999.012970709329</v>
      </c>
      <c r="AY100" s="2">
        <f t="shared" ref="AY100" ca="1" si="2163">IFERROR(VLOOKUP($S100,qx_table,MATCH(AY$11,qx_title,0)+sexB),0)</f>
        <v>0</v>
      </c>
      <c r="AZ100" s="268">
        <f t="shared" ca="1" si="1573"/>
        <v>0</v>
      </c>
      <c r="BA100" s="129">
        <f ca="1">SUM(AZ100:AZ$124)*SSd</f>
        <v>0</v>
      </c>
      <c r="BB100" s="70">
        <f t="shared" ca="1" si="1615"/>
        <v>99999.012970709329</v>
      </c>
      <c r="BC100" s="257">
        <f t="shared" ref="BC100" ca="1" si="2164">IFERROR(VLOOKUP($S100,qx_table,MATCH(BC$11,qx_title,0)+sexB),0)</f>
        <v>0</v>
      </c>
      <c r="BD100" s="268">
        <f t="shared" ca="1" si="1617"/>
        <v>0</v>
      </c>
      <c r="BE100" s="131">
        <f ca="1">SUM(BD100:BD$124)*SSe</f>
        <v>0</v>
      </c>
      <c r="BF100" s="70">
        <f t="shared" ca="1" si="1618"/>
        <v>99999.012970709329</v>
      </c>
      <c r="BG100" s="2">
        <f t="shared" ref="BG100" ca="1" si="2165">IFERROR(VLOOKUP($S100,qx_table,MATCH(BG$11,qx_title,0)+sexB),0)</f>
        <v>0</v>
      </c>
      <c r="BH100" s="131">
        <f t="shared" ca="1" si="1620"/>
        <v>0</v>
      </c>
      <c r="BI100" s="2">
        <f ca="1">SUM(BH100:BH$124)*SSf</f>
        <v>0</v>
      </c>
      <c r="BJ100" s="70">
        <f t="shared" ca="1" si="1621"/>
        <v>99999.012970709329</v>
      </c>
      <c r="BK100" s="2">
        <f t="shared" ref="BK100" ca="1" si="2166">IFERROR(VLOOKUP($S100,qx_table,MATCH(BK$11,qx_title,0)+sexB),0)</f>
        <v>0</v>
      </c>
      <c r="BL100" s="131">
        <f t="shared" ca="1" si="1623"/>
        <v>0</v>
      </c>
      <c r="BM100" s="131">
        <f ca="1">SUM(BL100:BL$124)*SSg</f>
        <v>0</v>
      </c>
      <c r="BN100" s="70">
        <f t="shared" ca="1" si="1624"/>
        <v>99999.012970709329</v>
      </c>
      <c r="BO100" s="2">
        <f t="shared" ref="BO100" ca="1" si="2167">IFERROR(VLOOKUP($S100,qx_table,MATCH(BO$11,qx_title,0)+sexB),0)</f>
        <v>0</v>
      </c>
      <c r="BP100" s="131">
        <f t="shared" ca="1" si="1626"/>
        <v>0</v>
      </c>
      <c r="BQ100" s="131">
        <f ca="1">SUM(BP100:BP$124)*SSh</f>
        <v>0</v>
      </c>
      <c r="BR100" s="70">
        <f t="shared" ca="1" si="1627"/>
        <v>99999.012970709329</v>
      </c>
      <c r="BS100" s="2">
        <f t="shared" ref="BS100" ca="1" si="2168">IFERROR(VLOOKUP($S100,qx_table,MATCH(BS$11,qx_title,0)+sexB),0)*IF(R100=0,MCi,1)</f>
        <v>0</v>
      </c>
      <c r="BT100" s="131">
        <f t="shared" ca="1" si="1629"/>
        <v>0</v>
      </c>
      <c r="BU100" s="131">
        <f ca="1">SUM(BT100:BT$124)*SSi</f>
        <v>0</v>
      </c>
      <c r="BV100" s="70">
        <f t="shared" ca="1" si="1630"/>
        <v>99999.012970709329</v>
      </c>
      <c r="BW100" s="2">
        <f t="shared" ref="BW100" ca="1" si="2169">IFERROR(VLOOKUP($S100,qx_table,MATCH(BW$11,qx_title,0)+sexB),0)</f>
        <v>0</v>
      </c>
      <c r="BX100" s="131">
        <f t="shared" ca="1" si="1632"/>
        <v>0</v>
      </c>
      <c r="BY100" s="131">
        <f ca="1">SUM(BX100:BX$124)*SSj</f>
        <v>0</v>
      </c>
      <c r="BZ100" s="70">
        <f t="shared" ca="1" si="1633"/>
        <v>99999.012970709329</v>
      </c>
      <c r="CA100" s="2">
        <f t="shared" ref="CA100" ca="1" si="2170">IFERROR(VLOOKUP($S100,qx_table,MATCH(CA$11,qx_title,0)+sexB),0)</f>
        <v>0</v>
      </c>
      <c r="CB100" s="131">
        <f t="shared" ca="1" si="1635"/>
        <v>0</v>
      </c>
      <c r="CC100" s="131">
        <f ca="1">SUM(CB100:CB$124)*SSk</f>
        <v>0</v>
      </c>
      <c r="CD100" s="8">
        <f t="shared" ca="1" si="1636"/>
        <v>99999.012970709329</v>
      </c>
      <c r="CE100" s="2">
        <f t="shared" ref="CE100" ca="1" si="2171">IFERROR(VLOOKUP($S100,qx_table,MATCH(CE$11,qx_title,0)+sexB),0)</f>
        <v>0</v>
      </c>
      <c r="CF100" s="131">
        <f t="shared" ca="1" si="1638"/>
        <v>0</v>
      </c>
      <c r="CG100" s="131">
        <f ca="1">SUM(CF100:CF$124)*SSl</f>
        <v>0</v>
      </c>
      <c r="CH100" s="101">
        <f t="shared" ca="1" si="1639"/>
        <v>0</v>
      </c>
      <c r="CI100" s="154">
        <f t="shared" ca="1" si="1582"/>
        <v>0</v>
      </c>
      <c r="CJ100" s="32">
        <f t="shared" ref="CJ100" ca="1" si="2172">+MAX(VLOOKUP(xB+$R100,기수표B,$AH$1)-VLOOKUP(xB+mB,기수표B,$AH$1),0)</f>
        <v>0</v>
      </c>
      <c r="CK100" s="32">
        <f t="shared" ref="CK100" ca="1" si="2173">+MAX(VLOOKUP(xB+$R100,기수표B,$AH$1)-VLOOKUP(xB+mB,기수표B,$AH$1)-11/24*(VLOOKUP(xB+$R100,기수표B,$AG$1)-VLOOKUP(xB+mB,기수표B,$AG$1)),0)</f>
        <v>0</v>
      </c>
      <c r="CL100" s="32">
        <f t="shared" ref="CL100" ca="1" si="2174">+MAX(VLOOKUP(xB+$R100,기수표B,$AA$1)-VLOOKUP(xB+mB,기수표B,$AA$1),0)</f>
        <v>0</v>
      </c>
      <c r="CM100" s="32">
        <f t="shared" ref="CM100" ca="1" si="2175">+MAX(VLOOKUP(xB+$R100,기수표B,$AA$1)-VLOOKUP(xB+mB,기수표B,$AA$1)-11/24*(VLOOKUP(xB+$R100,기수표B,$AA$1)-VLOOKUP(xB+mB,기수표B,$AA$1)),0)</f>
        <v>0</v>
      </c>
      <c r="CN100" s="32">
        <f t="shared" si="1587"/>
        <v>0</v>
      </c>
      <c r="CO100" s="32">
        <f t="shared" ca="1" si="1588"/>
        <v>0</v>
      </c>
      <c r="CP100" s="259">
        <f t="shared" ca="1" si="1589"/>
        <v>0</v>
      </c>
      <c r="CQ100" s="259">
        <f t="shared" ca="1" si="1590"/>
        <v>0</v>
      </c>
      <c r="CR100" s="259" t="e">
        <f t="shared" ca="1" si="1591"/>
        <v>#DIV/0!</v>
      </c>
      <c r="CS100" s="31">
        <f t="shared" ref="CS100" si="2176">+MIN(mB,7)</f>
        <v>5</v>
      </c>
      <c r="CU100" s="13">
        <v>88</v>
      </c>
      <c r="CV100" s="477">
        <f t="shared" ca="1" si="1593"/>
        <v>420</v>
      </c>
      <c r="CW100" s="477" t="e">
        <f t="shared" ca="1" si="1594"/>
        <v>#DIV/0!</v>
      </c>
      <c r="CX100" s="477">
        <f t="shared" ca="1" si="1595"/>
        <v>0</v>
      </c>
      <c r="CY100" s="478">
        <f t="shared" ca="1" si="1645"/>
        <v>0</v>
      </c>
    </row>
    <row r="101" spans="3:103">
      <c r="N101" s="5">
        <f t="shared" si="1646"/>
        <v>89</v>
      </c>
      <c r="O101" s="2">
        <f t="shared" ref="O101" ca="1" si="2177">+(1+iB)^-N101</f>
        <v>0.13802724369923108</v>
      </c>
      <c r="P101" s="2">
        <f t="shared" ref="P101" ca="1" si="2178">+(1+iB)^-(N101+0.5)</f>
        <v>0.13650015898038095</v>
      </c>
      <c r="Q101" s="91"/>
      <c r="R101" s="20">
        <f t="shared" si="1649"/>
        <v>89</v>
      </c>
      <c r="S101" s="20" t="str">
        <f t="shared" ref="S101" si="2179">+IF(xB+R101&lt;=xB+nB,xB+R101,"")</f>
        <v/>
      </c>
      <c r="T101" s="2">
        <f t="shared" ref="T101:U101" ca="1" si="2180">IFERROR(VLOOKUP($S101,qx_table,MATCH(T$11,qx_title,0)+sexB),0)</f>
        <v>0</v>
      </c>
      <c r="U101" s="2">
        <f t="shared" ca="1" si="2180"/>
        <v>0</v>
      </c>
      <c r="V101" s="300">
        <f>IF(JRB=2,0,IF(R101&gt;=mB-1,_xlfn.XLOOKUP(R101-mB,해지율!#REF!,해지율!#REF!,,1),_xlfn.XLOOKUP(R101,해지율!#REF!,해지율!#REF!,,-1)))</f>
        <v>0</v>
      </c>
      <c r="W101" s="8">
        <f t="shared" ref="W101" si="2181">IF(R101=0,100000,IF(R101&gt;nB,0,W100*(1-X100)*(1-Y100)))</f>
        <v>0</v>
      </c>
      <c r="X101" s="10">
        <f t="shared" ca="1" si="1561"/>
        <v>0</v>
      </c>
      <c r="Y101" s="10">
        <f t="shared" ca="1" si="1562"/>
        <v>0</v>
      </c>
      <c r="Z101" s="5">
        <f t="shared" ca="1" si="1601"/>
        <v>0</v>
      </c>
      <c r="AA101" s="5">
        <f ca="1">+SUM(Z101:Z$124)</f>
        <v>0</v>
      </c>
      <c r="AB101" s="8">
        <f t="shared" ca="1" si="1563"/>
        <v>0</v>
      </c>
      <c r="AC101" s="209">
        <f ca="1">+SUM(AB101:AB$124)*SSSM</f>
        <v>0</v>
      </c>
      <c r="AD101" s="209">
        <f t="shared" ref="AD101" si="2182">IF(R101&gt;nB,0,AD100*(1-X100)*(1-Y100)*(1-AE100)*(1-AF100))</f>
        <v>0</v>
      </c>
      <c r="AE101" s="92">
        <f t="shared" ca="1" si="1565"/>
        <v>0</v>
      </c>
      <c r="AF101" s="92">
        <f t="shared" ca="1" si="1566"/>
        <v>0</v>
      </c>
      <c r="AG101" s="664">
        <f t="shared" ca="1" si="1567"/>
        <v>0</v>
      </c>
      <c r="AH101" s="208">
        <f ca="1">+SUM(AG101:AG$124)</f>
        <v>0</v>
      </c>
      <c r="AI101" s="70">
        <f t="shared" ca="1" si="1568"/>
        <v>0</v>
      </c>
      <c r="AJ101" s="208">
        <f ca="1">+SUM(AB101:AB$124)*SS50J</f>
        <v>0</v>
      </c>
      <c r="AK101" s="5">
        <f t="shared" ca="1" si="1603"/>
        <v>99999.012970709329</v>
      </c>
      <c r="AL101" s="2">
        <f t="shared" ref="AL101" ca="1" si="2183">IFERROR(VLOOKUP($S101,qx_table,MATCH(AL$11,qx_title,0)+sexB),0)</f>
        <v>0</v>
      </c>
      <c r="AM101" s="131">
        <f t="shared" ca="1" si="1605"/>
        <v>13802.588132990666</v>
      </c>
      <c r="AN101" s="129">
        <f t="shared" ca="1" si="1606"/>
        <v>0</v>
      </c>
      <c r="AO101" s="129">
        <f ca="1">SUM(AN101:AN$124)*SSa</f>
        <v>0</v>
      </c>
      <c r="AP101" s="70">
        <f t="shared" ca="1" si="1607"/>
        <v>99999.012970709329</v>
      </c>
      <c r="AQ101" s="2">
        <f t="shared" ref="AQ101" ca="1" si="2184">IFERROR(VLOOKUP($S101,qx_table,MATCH(AQ$11,qx_title,0)+sexB),0)</f>
        <v>0</v>
      </c>
      <c r="AR101" s="127">
        <f t="shared" ca="1" si="1609"/>
        <v>0</v>
      </c>
      <c r="AS101" s="127">
        <f ca="1">SUM(AR101:AR$124)*SSb</f>
        <v>0</v>
      </c>
      <c r="AT101" s="70">
        <f t="shared" ca="1" si="1610"/>
        <v>99999.012970709329</v>
      </c>
      <c r="AU101" s="2">
        <f t="shared" ref="AU101" ca="1" si="2185">IFERROR(VLOOKUP($S101,qx_table,MATCH(AU$11,qx_title,0)+sexB),0)</f>
        <v>0</v>
      </c>
      <c r="AV101" s="268">
        <f t="shared" ca="1" si="1612"/>
        <v>0</v>
      </c>
      <c r="AW101" s="131">
        <f ca="1">SUM(AV101:AV$124)*SSc</f>
        <v>0</v>
      </c>
      <c r="AX101" s="70">
        <f t="shared" ca="1" si="1613"/>
        <v>99999.012970709329</v>
      </c>
      <c r="AY101" s="2">
        <f t="shared" ref="AY101" ca="1" si="2186">IFERROR(VLOOKUP($S101,qx_table,MATCH(AY$11,qx_title,0)+sexB),0)</f>
        <v>0</v>
      </c>
      <c r="AZ101" s="268">
        <f t="shared" ca="1" si="1573"/>
        <v>0</v>
      </c>
      <c r="BA101" s="129">
        <f ca="1">SUM(AZ101:AZ$124)*SSd</f>
        <v>0</v>
      </c>
      <c r="BB101" s="70">
        <f t="shared" ca="1" si="1615"/>
        <v>99999.012970709329</v>
      </c>
      <c r="BC101" s="257">
        <f t="shared" ref="BC101" ca="1" si="2187">IFERROR(VLOOKUP($S101,qx_table,MATCH(BC$11,qx_title,0)+sexB),0)</f>
        <v>0</v>
      </c>
      <c r="BD101" s="268">
        <f t="shared" ca="1" si="1617"/>
        <v>0</v>
      </c>
      <c r="BE101" s="131">
        <f ca="1">SUM(BD101:BD$124)*SSe</f>
        <v>0</v>
      </c>
      <c r="BF101" s="70">
        <f t="shared" ca="1" si="1618"/>
        <v>99999.012970709329</v>
      </c>
      <c r="BG101" s="2">
        <f t="shared" ref="BG101" ca="1" si="2188">IFERROR(VLOOKUP($S101,qx_table,MATCH(BG$11,qx_title,0)+sexB),0)</f>
        <v>0</v>
      </c>
      <c r="BH101" s="131">
        <f t="shared" ca="1" si="1620"/>
        <v>0</v>
      </c>
      <c r="BI101" s="2">
        <f ca="1">SUM(BH101:BH$124)*SSf</f>
        <v>0</v>
      </c>
      <c r="BJ101" s="70">
        <f t="shared" ca="1" si="1621"/>
        <v>99999.012970709329</v>
      </c>
      <c r="BK101" s="2">
        <f t="shared" ref="BK101" ca="1" si="2189">IFERROR(VLOOKUP($S101,qx_table,MATCH(BK$11,qx_title,0)+sexB),0)</f>
        <v>0</v>
      </c>
      <c r="BL101" s="131">
        <f t="shared" ca="1" si="1623"/>
        <v>0</v>
      </c>
      <c r="BM101" s="131">
        <f ca="1">SUM(BL101:BL$124)*SSg</f>
        <v>0</v>
      </c>
      <c r="BN101" s="70">
        <f t="shared" ca="1" si="1624"/>
        <v>99999.012970709329</v>
      </c>
      <c r="BO101" s="2">
        <f t="shared" ref="BO101" ca="1" si="2190">IFERROR(VLOOKUP($S101,qx_table,MATCH(BO$11,qx_title,0)+sexB),0)</f>
        <v>0</v>
      </c>
      <c r="BP101" s="131">
        <f t="shared" ca="1" si="1626"/>
        <v>0</v>
      </c>
      <c r="BQ101" s="131">
        <f ca="1">SUM(BP101:BP$124)*SSh</f>
        <v>0</v>
      </c>
      <c r="BR101" s="70">
        <f t="shared" ca="1" si="1627"/>
        <v>99999.012970709329</v>
      </c>
      <c r="BS101" s="2">
        <f t="shared" ref="BS101" ca="1" si="2191">IFERROR(VLOOKUP($S101,qx_table,MATCH(BS$11,qx_title,0)+sexB),0)*IF(R101=0,MCi,1)</f>
        <v>0</v>
      </c>
      <c r="BT101" s="131">
        <f t="shared" ca="1" si="1629"/>
        <v>0</v>
      </c>
      <c r="BU101" s="131">
        <f ca="1">SUM(BT101:BT$124)*SSi</f>
        <v>0</v>
      </c>
      <c r="BV101" s="70">
        <f t="shared" ca="1" si="1630"/>
        <v>99999.012970709329</v>
      </c>
      <c r="BW101" s="2">
        <f t="shared" ref="BW101" ca="1" si="2192">IFERROR(VLOOKUP($S101,qx_table,MATCH(BW$11,qx_title,0)+sexB),0)</f>
        <v>0</v>
      </c>
      <c r="BX101" s="131">
        <f t="shared" ca="1" si="1632"/>
        <v>0</v>
      </c>
      <c r="BY101" s="131">
        <f ca="1">SUM(BX101:BX$124)*SSj</f>
        <v>0</v>
      </c>
      <c r="BZ101" s="70">
        <f t="shared" ca="1" si="1633"/>
        <v>99999.012970709329</v>
      </c>
      <c r="CA101" s="2">
        <f t="shared" ref="CA101" ca="1" si="2193">IFERROR(VLOOKUP($S101,qx_table,MATCH(CA$11,qx_title,0)+sexB),0)</f>
        <v>0</v>
      </c>
      <c r="CB101" s="131">
        <f t="shared" ca="1" si="1635"/>
        <v>0</v>
      </c>
      <c r="CC101" s="131">
        <f ca="1">SUM(CB101:CB$124)*SSk</f>
        <v>0</v>
      </c>
      <c r="CD101" s="8">
        <f t="shared" ca="1" si="1636"/>
        <v>99999.012970709329</v>
      </c>
      <c r="CE101" s="2">
        <f t="shared" ref="CE101" ca="1" si="2194">IFERROR(VLOOKUP($S101,qx_table,MATCH(CE$11,qx_title,0)+sexB),0)</f>
        <v>0</v>
      </c>
      <c r="CF101" s="131">
        <f t="shared" ca="1" si="1638"/>
        <v>0</v>
      </c>
      <c r="CG101" s="131">
        <f ca="1">SUM(CF101:CF$124)*SSl</f>
        <v>0</v>
      </c>
      <c r="CH101" s="101">
        <f t="shared" ca="1" si="1639"/>
        <v>0</v>
      </c>
      <c r="CI101" s="154">
        <f t="shared" ca="1" si="1582"/>
        <v>0</v>
      </c>
      <c r="CJ101" s="32">
        <f t="shared" ref="CJ101" ca="1" si="2195">+MAX(VLOOKUP(xB+$R101,기수표B,$AH$1)-VLOOKUP(xB+mB,기수표B,$AH$1),0)</f>
        <v>0</v>
      </c>
      <c r="CK101" s="32">
        <f t="shared" ref="CK101" ca="1" si="2196">+MAX(VLOOKUP(xB+$R101,기수표B,$AH$1)-VLOOKUP(xB+mB,기수표B,$AH$1)-11/24*(VLOOKUP(xB+$R101,기수표B,$AG$1)-VLOOKUP(xB+mB,기수표B,$AG$1)),0)</f>
        <v>0</v>
      </c>
      <c r="CL101" s="32">
        <f t="shared" ref="CL101" ca="1" si="2197">+MAX(VLOOKUP(xB+$R101,기수표B,$AA$1)-VLOOKUP(xB+mB,기수표B,$AA$1),0)</f>
        <v>0</v>
      </c>
      <c r="CM101" s="32">
        <f t="shared" ref="CM101" ca="1" si="2198">+MAX(VLOOKUP(xB+$R101,기수표B,$AA$1)-VLOOKUP(xB+mB,기수표B,$AA$1)-11/24*(VLOOKUP(xB+$R101,기수표B,$AA$1)-VLOOKUP(xB+mB,기수표B,$AA$1)),0)</f>
        <v>0</v>
      </c>
      <c r="CN101" s="32">
        <f t="shared" si="1587"/>
        <v>0</v>
      </c>
      <c r="CO101" s="32">
        <f t="shared" ca="1" si="1588"/>
        <v>0</v>
      </c>
      <c r="CP101" s="259">
        <f t="shared" ca="1" si="1589"/>
        <v>0</v>
      </c>
      <c r="CQ101" s="259">
        <f t="shared" ca="1" si="1590"/>
        <v>0</v>
      </c>
      <c r="CR101" s="259" t="e">
        <f t="shared" ca="1" si="1591"/>
        <v>#DIV/0!</v>
      </c>
      <c r="CS101" s="31">
        <f t="shared" ref="CS101" si="2199">+MIN(mB,7)</f>
        <v>5</v>
      </c>
      <c r="CU101" s="13">
        <v>89</v>
      </c>
      <c r="CV101" s="477">
        <f t="shared" ca="1" si="1593"/>
        <v>420</v>
      </c>
      <c r="CW101" s="477" t="e">
        <f t="shared" ca="1" si="1594"/>
        <v>#DIV/0!</v>
      </c>
      <c r="CX101" s="477">
        <f t="shared" ca="1" si="1595"/>
        <v>0</v>
      </c>
      <c r="CY101" s="478">
        <f t="shared" ca="1" si="1645"/>
        <v>0</v>
      </c>
    </row>
    <row r="102" spans="3:103">
      <c r="N102" s="5">
        <f t="shared" si="1646"/>
        <v>90</v>
      </c>
      <c r="O102" s="2">
        <f t="shared" ref="O102" ca="1" si="2200">+(1+iB)^-N102</f>
        <v>0.13498996938800106</v>
      </c>
      <c r="P102" s="2">
        <f t="shared" ref="P102" ca="1" si="2201">+(1+iB)^-(N102+0.5)</f>
        <v>0.13349648800037262</v>
      </c>
      <c r="Q102" s="91"/>
      <c r="R102" s="20">
        <f t="shared" si="1649"/>
        <v>90</v>
      </c>
      <c r="S102" s="20" t="str">
        <f t="shared" ref="S102" si="2202">+IF(xB+R102&lt;=xB+nB,xB+R102,"")</f>
        <v/>
      </c>
      <c r="T102" s="2">
        <f t="shared" ref="T102:U102" ca="1" si="2203">IFERROR(VLOOKUP($S102,qx_table,MATCH(T$11,qx_title,0)+sexB),0)</f>
        <v>0</v>
      </c>
      <c r="U102" s="2">
        <f t="shared" ca="1" si="2203"/>
        <v>0</v>
      </c>
      <c r="V102" s="300">
        <f>IF(JRB=2,0,IF(R102&gt;=mB-1,_xlfn.XLOOKUP(R102-mB,해지율!#REF!,해지율!#REF!,,1),_xlfn.XLOOKUP(R102,해지율!#REF!,해지율!#REF!,,-1)))</f>
        <v>0</v>
      </c>
      <c r="W102" s="8">
        <f t="shared" ref="W102" si="2204">IF(R102=0,100000,IF(R102&gt;nB,0,W101*(1-X101)*(1-Y101)))</f>
        <v>0</v>
      </c>
      <c r="X102" s="10">
        <f t="shared" ca="1" si="1561"/>
        <v>0</v>
      </c>
      <c r="Y102" s="10">
        <f t="shared" ca="1" si="1562"/>
        <v>0</v>
      </c>
      <c r="Z102" s="5">
        <f t="shared" ca="1" si="1601"/>
        <v>0</v>
      </c>
      <c r="AA102" s="5">
        <f ca="1">+SUM(Z102:Z$124)</f>
        <v>0</v>
      </c>
      <c r="AB102" s="8">
        <f t="shared" ca="1" si="1563"/>
        <v>0</v>
      </c>
      <c r="AC102" s="209">
        <f ca="1">+SUM(AB102:AB$124)*SSSM</f>
        <v>0</v>
      </c>
      <c r="AD102" s="209">
        <f t="shared" ref="AD102" si="2205">IF(R102&gt;nB,0,AD101*(1-X101)*(1-Y101)*(1-AE101)*(1-AF101))</f>
        <v>0</v>
      </c>
      <c r="AE102" s="92">
        <f t="shared" ca="1" si="1565"/>
        <v>0</v>
      </c>
      <c r="AF102" s="92">
        <f t="shared" ca="1" si="1566"/>
        <v>0</v>
      </c>
      <c r="AG102" s="664">
        <f t="shared" ca="1" si="1567"/>
        <v>0</v>
      </c>
      <c r="AH102" s="208">
        <f ca="1">+SUM(AG102:AG$124)</f>
        <v>0</v>
      </c>
      <c r="AI102" s="70">
        <f t="shared" ca="1" si="1568"/>
        <v>0</v>
      </c>
      <c r="AJ102" s="208">
        <f ca="1">+SUM(AB102:AB$124)*SS50J</f>
        <v>0</v>
      </c>
      <c r="AK102" s="5">
        <f t="shared" ca="1" si="1603"/>
        <v>99999.012970709329</v>
      </c>
      <c r="AL102" s="2">
        <f t="shared" ref="AL102" ca="1" si="2206">IFERROR(VLOOKUP($S102,qx_table,MATCH(AL$11,qx_title,0)+sexB),0)</f>
        <v>0</v>
      </c>
      <c r="AM102" s="131">
        <f t="shared" ca="1" si="1605"/>
        <v>13498.863699746373</v>
      </c>
      <c r="AN102" s="129">
        <f t="shared" ca="1" si="1606"/>
        <v>0</v>
      </c>
      <c r="AO102" s="129">
        <f ca="1">SUM(AN102:AN$124)*SSa</f>
        <v>0</v>
      </c>
      <c r="AP102" s="70">
        <f t="shared" ca="1" si="1607"/>
        <v>99999.012970709329</v>
      </c>
      <c r="AQ102" s="2">
        <f t="shared" ref="AQ102" ca="1" si="2207">IFERROR(VLOOKUP($S102,qx_table,MATCH(AQ$11,qx_title,0)+sexB),0)</f>
        <v>0</v>
      </c>
      <c r="AR102" s="127">
        <f t="shared" ca="1" si="1609"/>
        <v>0</v>
      </c>
      <c r="AS102" s="127">
        <f ca="1">SUM(AR102:AR$124)*SSb</f>
        <v>0</v>
      </c>
      <c r="AT102" s="70">
        <f t="shared" ca="1" si="1610"/>
        <v>99999.012970709329</v>
      </c>
      <c r="AU102" s="2">
        <f t="shared" ref="AU102" ca="1" si="2208">IFERROR(VLOOKUP($S102,qx_table,MATCH(AU$11,qx_title,0)+sexB),0)</f>
        <v>0</v>
      </c>
      <c r="AV102" s="268">
        <f t="shared" ca="1" si="1612"/>
        <v>0</v>
      </c>
      <c r="AW102" s="131">
        <f ca="1">SUM(AV102:AV$124)*SSc</f>
        <v>0</v>
      </c>
      <c r="AX102" s="70">
        <f t="shared" ca="1" si="1613"/>
        <v>99999.012970709329</v>
      </c>
      <c r="AY102" s="2">
        <f t="shared" ref="AY102" ca="1" si="2209">IFERROR(VLOOKUP($S102,qx_table,MATCH(AY$11,qx_title,0)+sexB),0)</f>
        <v>0</v>
      </c>
      <c r="AZ102" s="268">
        <f t="shared" ca="1" si="1573"/>
        <v>0</v>
      </c>
      <c r="BA102" s="129">
        <f ca="1">SUM(AZ102:AZ$124)*SSd</f>
        <v>0</v>
      </c>
      <c r="BB102" s="70">
        <f t="shared" ca="1" si="1615"/>
        <v>99999.012970709329</v>
      </c>
      <c r="BC102" s="257">
        <f t="shared" ref="BC102" ca="1" si="2210">IFERROR(VLOOKUP($S102,qx_table,MATCH(BC$11,qx_title,0)+sexB),0)</f>
        <v>0</v>
      </c>
      <c r="BD102" s="268">
        <f t="shared" ca="1" si="1617"/>
        <v>0</v>
      </c>
      <c r="BE102" s="131">
        <f ca="1">SUM(BD102:BD$124)*SSe</f>
        <v>0</v>
      </c>
      <c r="BF102" s="70">
        <f t="shared" ca="1" si="1618"/>
        <v>99999.012970709329</v>
      </c>
      <c r="BG102" s="2">
        <f t="shared" ref="BG102" ca="1" si="2211">IFERROR(VLOOKUP($S102,qx_table,MATCH(BG$11,qx_title,0)+sexB),0)</f>
        <v>0</v>
      </c>
      <c r="BH102" s="131">
        <f t="shared" ca="1" si="1620"/>
        <v>0</v>
      </c>
      <c r="BI102" s="2">
        <f ca="1">SUM(BH102:BH$124)*SSf</f>
        <v>0</v>
      </c>
      <c r="BJ102" s="70">
        <f t="shared" ca="1" si="1621"/>
        <v>99999.012970709329</v>
      </c>
      <c r="BK102" s="2">
        <f t="shared" ref="BK102" ca="1" si="2212">IFERROR(VLOOKUP($S102,qx_table,MATCH(BK$11,qx_title,0)+sexB),0)</f>
        <v>0</v>
      </c>
      <c r="BL102" s="131">
        <f t="shared" ca="1" si="1623"/>
        <v>0</v>
      </c>
      <c r="BM102" s="131">
        <f ca="1">SUM(BL102:BL$124)*SSg</f>
        <v>0</v>
      </c>
      <c r="BN102" s="70">
        <f t="shared" ca="1" si="1624"/>
        <v>99999.012970709329</v>
      </c>
      <c r="BO102" s="2">
        <f t="shared" ref="BO102" ca="1" si="2213">IFERROR(VLOOKUP($S102,qx_table,MATCH(BO$11,qx_title,0)+sexB),0)</f>
        <v>0</v>
      </c>
      <c r="BP102" s="131">
        <f t="shared" ca="1" si="1626"/>
        <v>0</v>
      </c>
      <c r="BQ102" s="131">
        <f ca="1">SUM(BP102:BP$124)*SSh</f>
        <v>0</v>
      </c>
      <c r="BR102" s="70">
        <f t="shared" ca="1" si="1627"/>
        <v>99999.012970709329</v>
      </c>
      <c r="BS102" s="2">
        <f t="shared" ref="BS102" ca="1" si="2214">IFERROR(VLOOKUP($S102,qx_table,MATCH(BS$11,qx_title,0)+sexB),0)*IF(R102=0,MCi,1)</f>
        <v>0</v>
      </c>
      <c r="BT102" s="131">
        <f t="shared" ca="1" si="1629"/>
        <v>0</v>
      </c>
      <c r="BU102" s="131">
        <f ca="1">SUM(BT102:BT$124)*SSi</f>
        <v>0</v>
      </c>
      <c r="BV102" s="70">
        <f t="shared" ca="1" si="1630"/>
        <v>99999.012970709329</v>
      </c>
      <c r="BW102" s="2">
        <f t="shared" ref="BW102" ca="1" si="2215">IFERROR(VLOOKUP($S102,qx_table,MATCH(BW$11,qx_title,0)+sexB),0)</f>
        <v>0</v>
      </c>
      <c r="BX102" s="131">
        <f t="shared" ca="1" si="1632"/>
        <v>0</v>
      </c>
      <c r="BY102" s="131">
        <f ca="1">SUM(BX102:BX$124)*SSj</f>
        <v>0</v>
      </c>
      <c r="BZ102" s="70">
        <f t="shared" ca="1" si="1633"/>
        <v>99999.012970709329</v>
      </c>
      <c r="CA102" s="2">
        <f t="shared" ref="CA102" ca="1" si="2216">IFERROR(VLOOKUP($S102,qx_table,MATCH(CA$11,qx_title,0)+sexB),0)</f>
        <v>0</v>
      </c>
      <c r="CB102" s="131">
        <f t="shared" ca="1" si="1635"/>
        <v>0</v>
      </c>
      <c r="CC102" s="131">
        <f ca="1">SUM(CB102:CB$124)*SSk</f>
        <v>0</v>
      </c>
      <c r="CD102" s="8">
        <f t="shared" ca="1" si="1636"/>
        <v>99999.012970709329</v>
      </c>
      <c r="CE102" s="2">
        <f t="shared" ref="CE102" ca="1" si="2217">IFERROR(VLOOKUP($S102,qx_table,MATCH(CE$11,qx_title,0)+sexB),0)</f>
        <v>0</v>
      </c>
      <c r="CF102" s="131">
        <f t="shared" ca="1" si="1638"/>
        <v>0</v>
      </c>
      <c r="CG102" s="131">
        <f ca="1">SUM(CF102:CF$124)*SSl</f>
        <v>0</v>
      </c>
      <c r="CH102" s="101">
        <f t="shared" ca="1" si="1639"/>
        <v>0</v>
      </c>
      <c r="CI102" s="154">
        <f t="shared" ca="1" si="1582"/>
        <v>0</v>
      </c>
      <c r="CJ102" s="32">
        <f t="shared" ref="CJ102" ca="1" si="2218">+MAX(VLOOKUP(xB+$R102,기수표B,$AH$1)-VLOOKUP(xB+mB,기수표B,$AH$1),0)</f>
        <v>0</v>
      </c>
      <c r="CK102" s="32">
        <f t="shared" ref="CK102" ca="1" si="2219">+MAX(VLOOKUP(xB+$R102,기수표B,$AH$1)-VLOOKUP(xB+mB,기수표B,$AH$1)-11/24*(VLOOKUP(xB+$R102,기수표B,$AG$1)-VLOOKUP(xB+mB,기수표B,$AG$1)),0)</f>
        <v>0</v>
      </c>
      <c r="CL102" s="32">
        <f t="shared" ref="CL102" ca="1" si="2220">+MAX(VLOOKUP(xB+$R102,기수표B,$AA$1)-VLOOKUP(xB+mB,기수표B,$AA$1),0)</f>
        <v>0</v>
      </c>
      <c r="CM102" s="32">
        <f t="shared" ref="CM102" ca="1" si="2221">+MAX(VLOOKUP(xB+$R102,기수표B,$AA$1)-VLOOKUP(xB+mB,기수표B,$AA$1)-11/24*(VLOOKUP(xB+$R102,기수표B,$AA$1)-VLOOKUP(xB+mB,기수표B,$AA$1)),0)</f>
        <v>0</v>
      </c>
      <c r="CN102" s="32">
        <f t="shared" si="1587"/>
        <v>0</v>
      </c>
      <c r="CO102" s="32">
        <f t="shared" ca="1" si="1588"/>
        <v>0</v>
      </c>
      <c r="CP102" s="259">
        <f t="shared" ca="1" si="1589"/>
        <v>0</v>
      </c>
      <c r="CQ102" s="259">
        <f t="shared" ca="1" si="1590"/>
        <v>0</v>
      </c>
      <c r="CR102" s="259" t="e">
        <f t="shared" ca="1" si="1591"/>
        <v>#DIV/0!</v>
      </c>
      <c r="CS102" s="31">
        <f t="shared" ref="CS102" si="2222">+MIN(mB,7)</f>
        <v>5</v>
      </c>
      <c r="CU102" s="13">
        <v>90</v>
      </c>
      <c r="CV102" s="477">
        <f t="shared" ca="1" si="1593"/>
        <v>420</v>
      </c>
      <c r="CW102" s="477" t="e">
        <f t="shared" ca="1" si="1594"/>
        <v>#DIV/0!</v>
      </c>
      <c r="CX102" s="477">
        <f t="shared" ca="1" si="1595"/>
        <v>0</v>
      </c>
      <c r="CY102" s="478">
        <f t="shared" ca="1" si="1645"/>
        <v>0</v>
      </c>
    </row>
    <row r="103" spans="3:103">
      <c r="N103" s="5">
        <f t="shared" si="1646"/>
        <v>91</v>
      </c>
      <c r="O103" s="2">
        <f t="shared" ref="O103" ca="1" si="2223">+(1+iB)^-N103</f>
        <v>0.13201952996381525</v>
      </c>
      <c r="P103" s="2">
        <f t="shared" ref="P103" ca="1" si="2224">+(1+iB)^-(N103+0.5)</f>
        <v>0.13055891246980203</v>
      </c>
      <c r="Q103" s="91"/>
      <c r="R103" s="20">
        <f t="shared" si="1649"/>
        <v>91</v>
      </c>
      <c r="S103" s="20" t="str">
        <f t="shared" ref="S103" si="2225">+IF(xB+R103&lt;=xB+nB,xB+R103,"")</f>
        <v/>
      </c>
      <c r="T103" s="2">
        <f t="shared" ref="T103:U103" ca="1" si="2226">IFERROR(VLOOKUP($S103,qx_table,MATCH(T$11,qx_title,0)+sexB),0)</f>
        <v>0</v>
      </c>
      <c r="U103" s="2">
        <f t="shared" ca="1" si="2226"/>
        <v>0</v>
      </c>
      <c r="V103" s="300">
        <f>IF(JRB=2,0,IF(R103&gt;=mB-1,_xlfn.XLOOKUP(R103-mB,해지율!#REF!,해지율!#REF!,,1),_xlfn.XLOOKUP(R103,해지율!#REF!,해지율!#REF!,,-1)))</f>
        <v>0</v>
      </c>
      <c r="W103" s="8">
        <f t="shared" ref="W103" si="2227">IF(R103=0,100000,IF(R103&gt;nB,0,W102*(1-X102)*(1-Y102)))</f>
        <v>0</v>
      </c>
      <c r="X103" s="10">
        <f t="shared" ca="1" si="1561"/>
        <v>0</v>
      </c>
      <c r="Y103" s="10">
        <f t="shared" ca="1" si="1562"/>
        <v>0</v>
      </c>
      <c r="Z103" s="5">
        <f t="shared" ca="1" si="1601"/>
        <v>0</v>
      </c>
      <c r="AA103" s="5">
        <f ca="1">+SUM(Z103:Z$124)</f>
        <v>0</v>
      </c>
      <c r="AB103" s="8">
        <f t="shared" ca="1" si="1563"/>
        <v>0</v>
      </c>
      <c r="AC103" s="209">
        <f ca="1">+SUM(AB103:AB$124)*SSSM</f>
        <v>0</v>
      </c>
      <c r="AD103" s="209">
        <f t="shared" ref="AD103" si="2228">IF(R103&gt;nB,0,AD102*(1-X102)*(1-Y102)*(1-AE102)*(1-AF102))</f>
        <v>0</v>
      </c>
      <c r="AE103" s="92">
        <f t="shared" ca="1" si="1565"/>
        <v>0</v>
      </c>
      <c r="AF103" s="92">
        <f t="shared" ca="1" si="1566"/>
        <v>0</v>
      </c>
      <c r="AG103" s="664">
        <f t="shared" ca="1" si="1567"/>
        <v>0</v>
      </c>
      <c r="AH103" s="208">
        <f ca="1">+SUM(AG103:AG$124)</f>
        <v>0</v>
      </c>
      <c r="AI103" s="70">
        <f t="shared" ca="1" si="1568"/>
        <v>0</v>
      </c>
      <c r="AJ103" s="208">
        <f ca="1">+SUM(AB103:AB$124)*SS50J</f>
        <v>0</v>
      </c>
      <c r="AK103" s="5">
        <f t="shared" ca="1" si="1603"/>
        <v>99999.012970709329</v>
      </c>
      <c r="AL103" s="2">
        <f t="shared" ref="AL103" ca="1" si="2229">IFERROR(VLOOKUP($S103,qx_table,MATCH(AL$11,qx_title,0)+sexB),0)</f>
        <v>0</v>
      </c>
      <c r="AM103" s="131">
        <f t="shared" ca="1" si="1605"/>
        <v>13201.82268923851</v>
      </c>
      <c r="AN103" s="129">
        <f t="shared" ca="1" si="1606"/>
        <v>0</v>
      </c>
      <c r="AO103" s="129">
        <f ca="1">SUM(AN103:AN$124)*SSa</f>
        <v>0</v>
      </c>
      <c r="AP103" s="70">
        <f t="shared" ca="1" si="1607"/>
        <v>99999.012970709329</v>
      </c>
      <c r="AQ103" s="2">
        <f t="shared" ref="AQ103" ca="1" si="2230">IFERROR(VLOOKUP($S103,qx_table,MATCH(AQ$11,qx_title,0)+sexB),0)</f>
        <v>0</v>
      </c>
      <c r="AR103" s="127">
        <f t="shared" ca="1" si="1609"/>
        <v>0</v>
      </c>
      <c r="AS103" s="127">
        <f ca="1">SUM(AR103:AR$124)*SSb</f>
        <v>0</v>
      </c>
      <c r="AT103" s="70">
        <f t="shared" ca="1" si="1610"/>
        <v>99999.012970709329</v>
      </c>
      <c r="AU103" s="2">
        <f t="shared" ref="AU103" ca="1" si="2231">IFERROR(VLOOKUP($S103,qx_table,MATCH(AU$11,qx_title,0)+sexB),0)</f>
        <v>0</v>
      </c>
      <c r="AV103" s="268">
        <f t="shared" ca="1" si="1612"/>
        <v>0</v>
      </c>
      <c r="AW103" s="131">
        <f ca="1">SUM(AV103:AV$124)*SSc</f>
        <v>0</v>
      </c>
      <c r="AX103" s="70">
        <f t="shared" ca="1" si="1613"/>
        <v>99999.012970709329</v>
      </c>
      <c r="AY103" s="2">
        <f t="shared" ref="AY103" ca="1" si="2232">IFERROR(VLOOKUP($S103,qx_table,MATCH(AY$11,qx_title,0)+sexB),0)</f>
        <v>0</v>
      </c>
      <c r="AZ103" s="268">
        <f t="shared" ca="1" si="1573"/>
        <v>0</v>
      </c>
      <c r="BA103" s="129">
        <f ca="1">SUM(AZ103:AZ$124)*SSd</f>
        <v>0</v>
      </c>
      <c r="BB103" s="70">
        <f t="shared" ca="1" si="1615"/>
        <v>99999.012970709329</v>
      </c>
      <c r="BC103" s="257">
        <f t="shared" ref="BC103" ca="1" si="2233">IFERROR(VLOOKUP($S103,qx_table,MATCH(BC$11,qx_title,0)+sexB),0)</f>
        <v>0</v>
      </c>
      <c r="BD103" s="268">
        <f t="shared" ca="1" si="1617"/>
        <v>0</v>
      </c>
      <c r="BE103" s="131">
        <f ca="1">SUM(BD103:BD$124)*SSe</f>
        <v>0</v>
      </c>
      <c r="BF103" s="70">
        <f t="shared" ca="1" si="1618"/>
        <v>99999.012970709329</v>
      </c>
      <c r="BG103" s="2">
        <f t="shared" ref="BG103" ca="1" si="2234">IFERROR(VLOOKUP($S103,qx_table,MATCH(BG$11,qx_title,0)+sexB),0)</f>
        <v>0</v>
      </c>
      <c r="BH103" s="131">
        <f t="shared" ca="1" si="1620"/>
        <v>0</v>
      </c>
      <c r="BI103" s="2">
        <f ca="1">SUM(BH103:BH$124)*SSf</f>
        <v>0</v>
      </c>
      <c r="BJ103" s="70">
        <f t="shared" ca="1" si="1621"/>
        <v>99999.012970709329</v>
      </c>
      <c r="BK103" s="2">
        <f t="shared" ref="BK103" ca="1" si="2235">IFERROR(VLOOKUP($S103,qx_table,MATCH(BK$11,qx_title,0)+sexB),0)</f>
        <v>0</v>
      </c>
      <c r="BL103" s="131">
        <f t="shared" ca="1" si="1623"/>
        <v>0</v>
      </c>
      <c r="BM103" s="131">
        <f ca="1">SUM(BL103:BL$124)*SSg</f>
        <v>0</v>
      </c>
      <c r="BN103" s="70">
        <f t="shared" ca="1" si="1624"/>
        <v>99999.012970709329</v>
      </c>
      <c r="BO103" s="2">
        <f t="shared" ref="BO103" ca="1" si="2236">IFERROR(VLOOKUP($S103,qx_table,MATCH(BO$11,qx_title,0)+sexB),0)</f>
        <v>0</v>
      </c>
      <c r="BP103" s="131">
        <f t="shared" ca="1" si="1626"/>
        <v>0</v>
      </c>
      <c r="BQ103" s="131">
        <f ca="1">SUM(BP103:BP$124)*SSh</f>
        <v>0</v>
      </c>
      <c r="BR103" s="70">
        <f t="shared" ca="1" si="1627"/>
        <v>99999.012970709329</v>
      </c>
      <c r="BS103" s="2">
        <f t="shared" ref="BS103" ca="1" si="2237">IFERROR(VLOOKUP($S103,qx_table,MATCH(BS$11,qx_title,0)+sexB),0)*IF(R103=0,MCi,1)</f>
        <v>0</v>
      </c>
      <c r="BT103" s="131">
        <f t="shared" ca="1" si="1629"/>
        <v>0</v>
      </c>
      <c r="BU103" s="131">
        <f ca="1">SUM(BT103:BT$124)*SSi</f>
        <v>0</v>
      </c>
      <c r="BV103" s="70">
        <f t="shared" ca="1" si="1630"/>
        <v>99999.012970709329</v>
      </c>
      <c r="BW103" s="2">
        <f t="shared" ref="BW103" ca="1" si="2238">IFERROR(VLOOKUP($S103,qx_table,MATCH(BW$11,qx_title,0)+sexB),0)</f>
        <v>0</v>
      </c>
      <c r="BX103" s="131">
        <f t="shared" ca="1" si="1632"/>
        <v>0</v>
      </c>
      <c r="BY103" s="131">
        <f ca="1">SUM(BX103:BX$124)*SSj</f>
        <v>0</v>
      </c>
      <c r="BZ103" s="70">
        <f t="shared" ca="1" si="1633"/>
        <v>99999.012970709329</v>
      </c>
      <c r="CA103" s="2">
        <f t="shared" ref="CA103" ca="1" si="2239">IFERROR(VLOOKUP($S103,qx_table,MATCH(CA$11,qx_title,0)+sexB),0)</f>
        <v>0</v>
      </c>
      <c r="CB103" s="131">
        <f t="shared" ca="1" si="1635"/>
        <v>0</v>
      </c>
      <c r="CC103" s="131">
        <f ca="1">SUM(CB103:CB$124)*SSk</f>
        <v>0</v>
      </c>
      <c r="CD103" s="8">
        <f t="shared" ca="1" si="1636"/>
        <v>99999.012970709329</v>
      </c>
      <c r="CE103" s="2">
        <f t="shared" ref="CE103" ca="1" si="2240">IFERROR(VLOOKUP($S103,qx_table,MATCH(CE$11,qx_title,0)+sexB),0)</f>
        <v>0</v>
      </c>
      <c r="CF103" s="131">
        <f t="shared" ca="1" si="1638"/>
        <v>0</v>
      </c>
      <c r="CG103" s="131">
        <f ca="1">SUM(CF103:CF$124)*SSl</f>
        <v>0</v>
      </c>
      <c r="CH103" s="101">
        <f t="shared" ca="1" si="1639"/>
        <v>0</v>
      </c>
      <c r="CI103" s="154">
        <f t="shared" ca="1" si="1582"/>
        <v>0</v>
      </c>
      <c r="CJ103" s="32">
        <f t="shared" ref="CJ103" ca="1" si="2241">+MAX(VLOOKUP(xB+$R103,기수표B,$AH$1)-VLOOKUP(xB+mB,기수표B,$AH$1),0)</f>
        <v>0</v>
      </c>
      <c r="CK103" s="32">
        <f t="shared" ref="CK103" ca="1" si="2242">+MAX(VLOOKUP(xB+$R103,기수표B,$AH$1)-VLOOKUP(xB+mB,기수표B,$AH$1)-11/24*(VLOOKUP(xB+$R103,기수표B,$AG$1)-VLOOKUP(xB+mB,기수표B,$AG$1)),0)</f>
        <v>0</v>
      </c>
      <c r="CL103" s="32">
        <f t="shared" ref="CL103" ca="1" si="2243">+MAX(VLOOKUP(xB+$R103,기수표B,$AA$1)-VLOOKUP(xB+mB,기수표B,$AA$1),0)</f>
        <v>0</v>
      </c>
      <c r="CM103" s="32">
        <f t="shared" ref="CM103" ca="1" si="2244">+MAX(VLOOKUP(xB+$R103,기수표B,$AA$1)-VLOOKUP(xB+mB,기수표B,$AA$1)-11/24*(VLOOKUP(xB+$R103,기수표B,$AA$1)-VLOOKUP(xB+mB,기수표B,$AA$1)),0)</f>
        <v>0</v>
      </c>
      <c r="CN103" s="32">
        <f t="shared" si="1587"/>
        <v>0</v>
      </c>
      <c r="CO103" s="32">
        <f t="shared" ca="1" si="1588"/>
        <v>0</v>
      </c>
      <c r="CP103" s="259">
        <f t="shared" ca="1" si="1589"/>
        <v>0</v>
      </c>
      <c r="CQ103" s="259">
        <f t="shared" ca="1" si="1590"/>
        <v>0</v>
      </c>
      <c r="CR103" s="259" t="e">
        <f t="shared" ca="1" si="1591"/>
        <v>#DIV/0!</v>
      </c>
      <c r="CS103" s="31">
        <f t="shared" ref="CS103" si="2245">+MIN(mB,7)</f>
        <v>5</v>
      </c>
      <c r="CU103" s="13">
        <v>91</v>
      </c>
      <c r="CV103" s="477">
        <f t="shared" ca="1" si="1593"/>
        <v>420</v>
      </c>
      <c r="CW103" s="477" t="e">
        <f t="shared" ca="1" si="1594"/>
        <v>#DIV/0!</v>
      </c>
      <c r="CX103" s="477">
        <f t="shared" ca="1" si="1595"/>
        <v>0</v>
      </c>
      <c r="CY103" s="478">
        <f t="shared" ca="1" si="1645"/>
        <v>0</v>
      </c>
    </row>
    <row r="104" spans="3:103">
      <c r="N104" s="5">
        <f t="shared" si="1646"/>
        <v>92</v>
      </c>
      <c r="O104" s="2">
        <f t="shared" ref="O104" ca="1" si="2246">+(1+iB)^-N104</f>
        <v>0.12911445473233762</v>
      </c>
      <c r="P104" s="2">
        <f t="shared" ref="P104" ca="1" si="2247">+(1+iB)^-(N104+0.5)</f>
        <v>0.12768597796557657</v>
      </c>
      <c r="Q104" s="91"/>
      <c r="R104" s="20">
        <f t="shared" si="1649"/>
        <v>92</v>
      </c>
      <c r="S104" s="20" t="str">
        <f t="shared" ref="S104" si="2248">+IF(xB+R104&lt;=xB+nB,xB+R104,"")</f>
        <v/>
      </c>
      <c r="T104" s="2">
        <f t="shared" ref="T104:U104" ca="1" si="2249">IFERROR(VLOOKUP($S104,qx_table,MATCH(T$11,qx_title,0)+sexB),0)</f>
        <v>0</v>
      </c>
      <c r="U104" s="2">
        <f t="shared" ca="1" si="2249"/>
        <v>0</v>
      </c>
      <c r="V104" s="300">
        <f>IF(JRB=2,0,IF(R104&gt;=mB-1,_xlfn.XLOOKUP(R104-mB,해지율!#REF!,해지율!#REF!,,1),_xlfn.XLOOKUP(R104,해지율!#REF!,해지율!#REF!,,-1)))</f>
        <v>0</v>
      </c>
      <c r="W104" s="8">
        <f t="shared" ref="W104" si="2250">IF(R104=0,100000,IF(R104&gt;nB,0,W103*(1-X103)*(1-Y103)))</f>
        <v>0</v>
      </c>
      <c r="X104" s="10">
        <f t="shared" ca="1" si="1561"/>
        <v>0</v>
      </c>
      <c r="Y104" s="10">
        <f t="shared" ca="1" si="1562"/>
        <v>0</v>
      </c>
      <c r="Z104" s="5">
        <f t="shared" ca="1" si="1601"/>
        <v>0</v>
      </c>
      <c r="AA104" s="5">
        <f ca="1">+SUM(Z104:Z$124)</f>
        <v>0</v>
      </c>
      <c r="AB104" s="8">
        <f t="shared" ca="1" si="1563"/>
        <v>0</v>
      </c>
      <c r="AC104" s="209">
        <f ca="1">+SUM(AB104:AB$124)*SSSM</f>
        <v>0</v>
      </c>
      <c r="AD104" s="209">
        <f t="shared" ref="AD104" si="2251">IF(R104&gt;nB,0,AD103*(1-X103)*(1-Y103)*(1-AE103)*(1-AF103))</f>
        <v>0</v>
      </c>
      <c r="AE104" s="92">
        <f t="shared" ca="1" si="1565"/>
        <v>0</v>
      </c>
      <c r="AF104" s="92">
        <f t="shared" ca="1" si="1566"/>
        <v>0</v>
      </c>
      <c r="AG104" s="664">
        <f t="shared" ca="1" si="1567"/>
        <v>0</v>
      </c>
      <c r="AH104" s="208">
        <f ca="1">+SUM(AG104:AG$124)</f>
        <v>0</v>
      </c>
      <c r="AI104" s="70">
        <f t="shared" ca="1" si="1568"/>
        <v>0</v>
      </c>
      <c r="AJ104" s="208">
        <f ca="1">+SUM(AB104:AB$124)*SS50J</f>
        <v>0</v>
      </c>
      <c r="AK104" s="5">
        <f t="shared" ca="1" si="1603"/>
        <v>99999.012970709329</v>
      </c>
      <c r="AL104" s="2">
        <f t="shared" ref="AL104" ca="1" si="2252">IFERROR(VLOOKUP($S104,qx_table,MATCH(AL$11,qx_title,0)+sexB),0)</f>
        <v>0</v>
      </c>
      <c r="AM104" s="131">
        <f t="shared" ca="1" si="1605"/>
        <v>12911.318033485093</v>
      </c>
      <c r="AN104" s="129">
        <f t="shared" ca="1" si="1606"/>
        <v>0</v>
      </c>
      <c r="AO104" s="129">
        <f ca="1">SUM(AN104:AN$124)*SSa</f>
        <v>0</v>
      </c>
      <c r="AP104" s="70">
        <f t="shared" ca="1" si="1607"/>
        <v>99999.012970709329</v>
      </c>
      <c r="AQ104" s="2">
        <f t="shared" ref="AQ104" ca="1" si="2253">IFERROR(VLOOKUP($S104,qx_table,MATCH(AQ$11,qx_title,0)+sexB),0)</f>
        <v>0</v>
      </c>
      <c r="AR104" s="127">
        <f t="shared" ca="1" si="1609"/>
        <v>0</v>
      </c>
      <c r="AS104" s="127">
        <f ca="1">SUM(AR104:AR$124)*SSb</f>
        <v>0</v>
      </c>
      <c r="AT104" s="70">
        <f t="shared" ca="1" si="1610"/>
        <v>99999.012970709329</v>
      </c>
      <c r="AU104" s="2">
        <f t="shared" ref="AU104" ca="1" si="2254">IFERROR(VLOOKUP($S104,qx_table,MATCH(AU$11,qx_title,0)+sexB),0)</f>
        <v>0</v>
      </c>
      <c r="AV104" s="268">
        <f t="shared" ca="1" si="1612"/>
        <v>0</v>
      </c>
      <c r="AW104" s="131">
        <f ca="1">SUM(AV104:AV$124)*SSc</f>
        <v>0</v>
      </c>
      <c r="AX104" s="70">
        <f t="shared" ca="1" si="1613"/>
        <v>99999.012970709329</v>
      </c>
      <c r="AY104" s="2">
        <f t="shared" ref="AY104" ca="1" si="2255">IFERROR(VLOOKUP($S104,qx_table,MATCH(AY$11,qx_title,0)+sexB),0)</f>
        <v>0</v>
      </c>
      <c r="AZ104" s="268">
        <f t="shared" ca="1" si="1573"/>
        <v>0</v>
      </c>
      <c r="BA104" s="129">
        <f ca="1">SUM(AZ104:AZ$124)*SSd</f>
        <v>0</v>
      </c>
      <c r="BB104" s="70">
        <f t="shared" ca="1" si="1615"/>
        <v>99999.012970709329</v>
      </c>
      <c r="BC104" s="257">
        <f t="shared" ref="BC104" ca="1" si="2256">IFERROR(VLOOKUP($S104,qx_table,MATCH(BC$11,qx_title,0)+sexB),0)</f>
        <v>0</v>
      </c>
      <c r="BD104" s="268">
        <f t="shared" ca="1" si="1617"/>
        <v>0</v>
      </c>
      <c r="BE104" s="131">
        <f ca="1">SUM(BD104:BD$124)*SSe</f>
        <v>0</v>
      </c>
      <c r="BF104" s="70">
        <f t="shared" ca="1" si="1618"/>
        <v>99999.012970709329</v>
      </c>
      <c r="BG104" s="2">
        <f t="shared" ref="BG104" ca="1" si="2257">IFERROR(VLOOKUP($S104,qx_table,MATCH(BG$11,qx_title,0)+sexB),0)</f>
        <v>0</v>
      </c>
      <c r="BH104" s="131">
        <f t="shared" ca="1" si="1620"/>
        <v>0</v>
      </c>
      <c r="BI104" s="2">
        <f ca="1">SUM(BH104:BH$124)*SSf</f>
        <v>0</v>
      </c>
      <c r="BJ104" s="70">
        <f t="shared" ca="1" si="1621"/>
        <v>99999.012970709329</v>
      </c>
      <c r="BK104" s="2">
        <f t="shared" ref="BK104" ca="1" si="2258">IFERROR(VLOOKUP($S104,qx_table,MATCH(BK$11,qx_title,0)+sexB),0)</f>
        <v>0</v>
      </c>
      <c r="BL104" s="131">
        <f t="shared" ca="1" si="1623"/>
        <v>0</v>
      </c>
      <c r="BM104" s="131">
        <f ca="1">SUM(BL104:BL$124)*SSg</f>
        <v>0</v>
      </c>
      <c r="BN104" s="70">
        <f t="shared" ca="1" si="1624"/>
        <v>99999.012970709329</v>
      </c>
      <c r="BO104" s="2">
        <f t="shared" ref="BO104" ca="1" si="2259">IFERROR(VLOOKUP($S104,qx_table,MATCH(BO$11,qx_title,0)+sexB),0)</f>
        <v>0</v>
      </c>
      <c r="BP104" s="131">
        <f t="shared" ca="1" si="1626"/>
        <v>0</v>
      </c>
      <c r="BQ104" s="131">
        <f ca="1">SUM(BP104:BP$124)*SSh</f>
        <v>0</v>
      </c>
      <c r="BR104" s="70">
        <f t="shared" ca="1" si="1627"/>
        <v>99999.012970709329</v>
      </c>
      <c r="BS104" s="2">
        <f t="shared" ref="BS104" ca="1" si="2260">IFERROR(VLOOKUP($S104,qx_table,MATCH(BS$11,qx_title,0)+sexB),0)*IF(R104=0,MCi,1)</f>
        <v>0</v>
      </c>
      <c r="BT104" s="131">
        <f t="shared" ca="1" si="1629"/>
        <v>0</v>
      </c>
      <c r="BU104" s="131">
        <f ca="1">SUM(BT104:BT$124)*SSi</f>
        <v>0</v>
      </c>
      <c r="BV104" s="70">
        <f t="shared" ca="1" si="1630"/>
        <v>99999.012970709329</v>
      </c>
      <c r="BW104" s="2">
        <f t="shared" ref="BW104" ca="1" si="2261">IFERROR(VLOOKUP($S104,qx_table,MATCH(BW$11,qx_title,0)+sexB),0)</f>
        <v>0</v>
      </c>
      <c r="BX104" s="131">
        <f t="shared" ca="1" si="1632"/>
        <v>0</v>
      </c>
      <c r="BY104" s="131">
        <f ca="1">SUM(BX104:BX$124)*SSj</f>
        <v>0</v>
      </c>
      <c r="BZ104" s="70">
        <f t="shared" ca="1" si="1633"/>
        <v>99999.012970709329</v>
      </c>
      <c r="CA104" s="2">
        <f t="shared" ref="CA104" ca="1" si="2262">IFERROR(VLOOKUP($S104,qx_table,MATCH(CA$11,qx_title,0)+sexB),0)</f>
        <v>0</v>
      </c>
      <c r="CB104" s="131">
        <f t="shared" ca="1" si="1635"/>
        <v>0</v>
      </c>
      <c r="CC104" s="131">
        <f ca="1">SUM(CB104:CB$124)*SSk</f>
        <v>0</v>
      </c>
      <c r="CD104" s="8">
        <f t="shared" ca="1" si="1636"/>
        <v>99999.012970709329</v>
      </c>
      <c r="CE104" s="2">
        <f t="shared" ref="CE104" ca="1" si="2263">IFERROR(VLOOKUP($S104,qx_table,MATCH(CE$11,qx_title,0)+sexB),0)</f>
        <v>0</v>
      </c>
      <c r="CF104" s="131">
        <f t="shared" ca="1" si="1638"/>
        <v>0</v>
      </c>
      <c r="CG104" s="131">
        <f ca="1">SUM(CF104:CF$124)*SSl</f>
        <v>0</v>
      </c>
      <c r="CH104" s="101">
        <f t="shared" ca="1" si="1639"/>
        <v>0</v>
      </c>
      <c r="CI104" s="154">
        <f t="shared" ca="1" si="1582"/>
        <v>0</v>
      </c>
      <c r="CJ104" s="32">
        <f t="shared" ref="CJ104" ca="1" si="2264">+MAX(VLOOKUP(xB+$R104,기수표B,$AH$1)-VLOOKUP(xB+mB,기수표B,$AH$1),0)</f>
        <v>0</v>
      </c>
      <c r="CK104" s="32">
        <f t="shared" ref="CK104" ca="1" si="2265">+MAX(VLOOKUP(xB+$R104,기수표B,$AH$1)-VLOOKUP(xB+mB,기수표B,$AH$1)-11/24*(VLOOKUP(xB+$R104,기수표B,$AG$1)-VLOOKUP(xB+mB,기수표B,$AG$1)),0)</f>
        <v>0</v>
      </c>
      <c r="CL104" s="32">
        <f t="shared" ref="CL104" ca="1" si="2266">+MAX(VLOOKUP(xB+$R104,기수표B,$AA$1)-VLOOKUP(xB+mB,기수표B,$AA$1),0)</f>
        <v>0</v>
      </c>
      <c r="CM104" s="32">
        <f t="shared" ref="CM104" ca="1" si="2267">+MAX(VLOOKUP(xB+$R104,기수표B,$AA$1)-VLOOKUP(xB+mB,기수표B,$AA$1)-11/24*(VLOOKUP(xB+$R104,기수표B,$AA$1)-VLOOKUP(xB+mB,기수표B,$AA$1)),0)</f>
        <v>0</v>
      </c>
      <c r="CN104" s="32">
        <f t="shared" si="1587"/>
        <v>0</v>
      </c>
      <c r="CO104" s="32">
        <f t="shared" ca="1" si="1588"/>
        <v>0</v>
      </c>
      <c r="CP104" s="259">
        <f t="shared" ca="1" si="1589"/>
        <v>0</v>
      </c>
      <c r="CQ104" s="259">
        <f t="shared" ca="1" si="1590"/>
        <v>0</v>
      </c>
      <c r="CR104" s="259" t="e">
        <f t="shared" ca="1" si="1591"/>
        <v>#DIV/0!</v>
      </c>
      <c r="CS104" s="31">
        <f t="shared" ref="CS104" si="2268">+MIN(mB,7)</f>
        <v>5</v>
      </c>
      <c r="CU104" s="13">
        <v>92</v>
      </c>
      <c r="CV104" s="477">
        <f t="shared" ca="1" si="1593"/>
        <v>420</v>
      </c>
      <c r="CW104" s="477" t="e">
        <f t="shared" ca="1" si="1594"/>
        <v>#DIV/0!</v>
      </c>
      <c r="CX104" s="477">
        <f t="shared" ca="1" si="1595"/>
        <v>0</v>
      </c>
      <c r="CY104" s="478">
        <f t="shared" ca="1" si="1645"/>
        <v>0</v>
      </c>
    </row>
    <row r="105" spans="3:103">
      <c r="N105" s="5">
        <f t="shared" si="1646"/>
        <v>93</v>
      </c>
      <c r="O105" s="2">
        <f t="shared" ref="O105" ca="1" si="2269">+(1+iB)^-N105</f>
        <v>0.1262733053616994</v>
      </c>
      <c r="P105" s="2">
        <f t="shared" ref="P105" ca="1" si="2270">+(1+iB)^-(N105+0.5)</f>
        <v>0.12487626206902358</v>
      </c>
      <c r="Q105" s="91"/>
      <c r="R105" s="20">
        <f t="shared" si="1649"/>
        <v>93</v>
      </c>
      <c r="S105" s="20" t="str">
        <f t="shared" ref="S105" si="2271">+IF(xB+R105&lt;=xB+nB,xB+R105,"")</f>
        <v/>
      </c>
      <c r="T105" s="2">
        <f t="shared" ref="T105:U105" ca="1" si="2272">IFERROR(VLOOKUP($S105,qx_table,MATCH(T$11,qx_title,0)+sexB),0)</f>
        <v>0</v>
      </c>
      <c r="U105" s="2">
        <f t="shared" ca="1" si="2272"/>
        <v>0</v>
      </c>
      <c r="V105" s="300">
        <f>IF(JRB=2,0,IF(R105&gt;=mB-1,_xlfn.XLOOKUP(R105-mB,해지율!#REF!,해지율!#REF!,,1),_xlfn.XLOOKUP(R105,해지율!#REF!,해지율!#REF!,,-1)))</f>
        <v>0</v>
      </c>
      <c r="W105" s="8">
        <f t="shared" ref="W105" si="2273">IF(R105=0,100000,IF(R105&gt;nB,0,W104*(1-X104)*(1-Y104)))</f>
        <v>0</v>
      </c>
      <c r="X105" s="10">
        <f t="shared" ca="1" si="1561"/>
        <v>0</v>
      </c>
      <c r="Y105" s="10">
        <f t="shared" ca="1" si="1562"/>
        <v>0</v>
      </c>
      <c r="Z105" s="5">
        <f t="shared" ca="1" si="1601"/>
        <v>0</v>
      </c>
      <c r="AA105" s="5">
        <f ca="1">+SUM(Z105:Z$124)</f>
        <v>0</v>
      </c>
      <c r="AB105" s="8">
        <f t="shared" ca="1" si="1563"/>
        <v>0</v>
      </c>
      <c r="AC105" s="209">
        <f ca="1">+SUM(AB105:AB$124)*SSSM</f>
        <v>0</v>
      </c>
      <c r="AD105" s="209">
        <f t="shared" ref="AD105" si="2274">IF(R105&gt;nB,0,AD104*(1-X104)*(1-Y104)*(1-AE104)*(1-AF104))</f>
        <v>0</v>
      </c>
      <c r="AE105" s="92">
        <f t="shared" ca="1" si="1565"/>
        <v>0</v>
      </c>
      <c r="AF105" s="92">
        <f t="shared" ca="1" si="1566"/>
        <v>0</v>
      </c>
      <c r="AG105" s="664">
        <f t="shared" ca="1" si="1567"/>
        <v>0</v>
      </c>
      <c r="AH105" s="208">
        <f ca="1">+SUM(AG105:AG$124)</f>
        <v>0</v>
      </c>
      <c r="AI105" s="70">
        <f t="shared" ca="1" si="1568"/>
        <v>0</v>
      </c>
      <c r="AJ105" s="208">
        <f ca="1">+SUM(AB105:AB$124)*SS50J</f>
        <v>0</v>
      </c>
      <c r="AK105" s="5">
        <f t="shared" ca="1" si="1603"/>
        <v>99999.012970709329</v>
      </c>
      <c r="AL105" s="2">
        <f t="shared" ref="AL105" ca="1" si="2275">IFERROR(VLOOKUP($S105,qx_table,MATCH(AL$11,qx_title,0)+sexB),0)</f>
        <v>0</v>
      </c>
      <c r="AM105" s="131">
        <f t="shared" ca="1" si="1605"/>
        <v>12627.205900718918</v>
      </c>
      <c r="AN105" s="129">
        <f t="shared" ca="1" si="1606"/>
        <v>0</v>
      </c>
      <c r="AO105" s="129">
        <f ca="1">SUM(AN105:AN$124)*SSa</f>
        <v>0</v>
      </c>
      <c r="AP105" s="70">
        <f t="shared" ca="1" si="1607"/>
        <v>99999.012970709329</v>
      </c>
      <c r="AQ105" s="2">
        <f t="shared" ref="AQ105" ca="1" si="2276">IFERROR(VLOOKUP($S105,qx_table,MATCH(AQ$11,qx_title,0)+sexB),0)</f>
        <v>0</v>
      </c>
      <c r="AR105" s="127">
        <f t="shared" ca="1" si="1609"/>
        <v>0</v>
      </c>
      <c r="AS105" s="127">
        <f ca="1">SUM(AR105:AR$124)*SSb</f>
        <v>0</v>
      </c>
      <c r="AT105" s="70">
        <f t="shared" ca="1" si="1610"/>
        <v>99999.012970709329</v>
      </c>
      <c r="AU105" s="2">
        <f t="shared" ref="AU105" ca="1" si="2277">IFERROR(VLOOKUP($S105,qx_table,MATCH(AU$11,qx_title,0)+sexB),0)</f>
        <v>0</v>
      </c>
      <c r="AV105" s="268">
        <f t="shared" ca="1" si="1612"/>
        <v>0</v>
      </c>
      <c r="AW105" s="131">
        <f ca="1">SUM(AV105:AV$124)*SSc</f>
        <v>0</v>
      </c>
      <c r="AX105" s="70">
        <f t="shared" ca="1" si="1613"/>
        <v>99999.012970709329</v>
      </c>
      <c r="AY105" s="2">
        <f t="shared" ref="AY105" ca="1" si="2278">IFERROR(VLOOKUP($S105,qx_table,MATCH(AY$11,qx_title,0)+sexB),0)</f>
        <v>0</v>
      </c>
      <c r="AZ105" s="268">
        <f t="shared" ca="1" si="1573"/>
        <v>0</v>
      </c>
      <c r="BA105" s="129">
        <f ca="1">SUM(AZ105:AZ$124)*SSd</f>
        <v>0</v>
      </c>
      <c r="BB105" s="70">
        <f t="shared" ca="1" si="1615"/>
        <v>99999.012970709329</v>
      </c>
      <c r="BC105" s="257">
        <f t="shared" ref="BC105" ca="1" si="2279">IFERROR(VLOOKUP($S105,qx_table,MATCH(BC$11,qx_title,0)+sexB),0)</f>
        <v>0</v>
      </c>
      <c r="BD105" s="268">
        <f t="shared" ca="1" si="1617"/>
        <v>0</v>
      </c>
      <c r="BE105" s="131">
        <f ca="1">SUM(BD105:BD$124)*SSe</f>
        <v>0</v>
      </c>
      <c r="BF105" s="70">
        <f t="shared" ca="1" si="1618"/>
        <v>99999.012970709329</v>
      </c>
      <c r="BG105" s="2">
        <f t="shared" ref="BG105" ca="1" si="2280">IFERROR(VLOOKUP($S105,qx_table,MATCH(BG$11,qx_title,0)+sexB),0)</f>
        <v>0</v>
      </c>
      <c r="BH105" s="131">
        <f t="shared" ca="1" si="1620"/>
        <v>0</v>
      </c>
      <c r="BI105" s="2">
        <f ca="1">SUM(BH105:BH$124)*SSf</f>
        <v>0</v>
      </c>
      <c r="BJ105" s="70">
        <f t="shared" ca="1" si="1621"/>
        <v>99999.012970709329</v>
      </c>
      <c r="BK105" s="2">
        <f t="shared" ref="BK105" ca="1" si="2281">IFERROR(VLOOKUP($S105,qx_table,MATCH(BK$11,qx_title,0)+sexB),0)</f>
        <v>0</v>
      </c>
      <c r="BL105" s="131">
        <f t="shared" ca="1" si="1623"/>
        <v>0</v>
      </c>
      <c r="BM105" s="131">
        <f ca="1">SUM(BL105:BL$124)*SSg</f>
        <v>0</v>
      </c>
      <c r="BN105" s="70">
        <f t="shared" ca="1" si="1624"/>
        <v>99999.012970709329</v>
      </c>
      <c r="BO105" s="2">
        <f t="shared" ref="BO105" ca="1" si="2282">IFERROR(VLOOKUP($S105,qx_table,MATCH(BO$11,qx_title,0)+sexB),0)</f>
        <v>0</v>
      </c>
      <c r="BP105" s="131">
        <f t="shared" ca="1" si="1626"/>
        <v>0</v>
      </c>
      <c r="BQ105" s="131">
        <f ca="1">SUM(BP105:BP$124)*SSh</f>
        <v>0</v>
      </c>
      <c r="BR105" s="70">
        <f t="shared" ca="1" si="1627"/>
        <v>99999.012970709329</v>
      </c>
      <c r="BS105" s="2">
        <f t="shared" ref="BS105" ca="1" si="2283">IFERROR(VLOOKUP($S105,qx_table,MATCH(BS$11,qx_title,0)+sexB),0)*IF(R105=0,MCi,1)</f>
        <v>0</v>
      </c>
      <c r="BT105" s="131">
        <f t="shared" ca="1" si="1629"/>
        <v>0</v>
      </c>
      <c r="BU105" s="131">
        <f ca="1">SUM(BT105:BT$124)*SSi</f>
        <v>0</v>
      </c>
      <c r="BV105" s="70">
        <f t="shared" ca="1" si="1630"/>
        <v>99999.012970709329</v>
      </c>
      <c r="BW105" s="2">
        <f t="shared" ref="BW105" ca="1" si="2284">IFERROR(VLOOKUP($S105,qx_table,MATCH(BW$11,qx_title,0)+sexB),0)</f>
        <v>0</v>
      </c>
      <c r="BX105" s="131">
        <f t="shared" ca="1" si="1632"/>
        <v>0</v>
      </c>
      <c r="BY105" s="131">
        <f ca="1">SUM(BX105:BX$124)*SSj</f>
        <v>0</v>
      </c>
      <c r="BZ105" s="70">
        <f t="shared" ca="1" si="1633"/>
        <v>99999.012970709329</v>
      </c>
      <c r="CA105" s="2">
        <f t="shared" ref="CA105" ca="1" si="2285">IFERROR(VLOOKUP($S105,qx_table,MATCH(CA$11,qx_title,0)+sexB),0)</f>
        <v>0</v>
      </c>
      <c r="CB105" s="131">
        <f t="shared" ca="1" si="1635"/>
        <v>0</v>
      </c>
      <c r="CC105" s="131">
        <f ca="1">SUM(CB105:CB$124)*SSk</f>
        <v>0</v>
      </c>
      <c r="CD105" s="8">
        <f t="shared" ca="1" si="1636"/>
        <v>99999.012970709329</v>
      </c>
      <c r="CE105" s="2">
        <f t="shared" ref="CE105" ca="1" si="2286">IFERROR(VLOOKUP($S105,qx_table,MATCH(CE$11,qx_title,0)+sexB),0)</f>
        <v>0</v>
      </c>
      <c r="CF105" s="131">
        <f t="shared" ca="1" si="1638"/>
        <v>0</v>
      </c>
      <c r="CG105" s="131">
        <f ca="1">SUM(CF105:CF$124)*SSl</f>
        <v>0</v>
      </c>
      <c r="CH105" s="101">
        <f t="shared" ca="1" si="1639"/>
        <v>0</v>
      </c>
      <c r="CI105" s="154">
        <f t="shared" ca="1" si="1582"/>
        <v>0</v>
      </c>
      <c r="CJ105" s="32">
        <f t="shared" ref="CJ105" ca="1" si="2287">+MAX(VLOOKUP(xB+$R105,기수표B,$AH$1)-VLOOKUP(xB+mB,기수표B,$AH$1),0)</f>
        <v>0</v>
      </c>
      <c r="CK105" s="32">
        <f t="shared" ref="CK105" ca="1" si="2288">+MAX(VLOOKUP(xB+$R105,기수표B,$AH$1)-VLOOKUP(xB+mB,기수표B,$AH$1)-11/24*(VLOOKUP(xB+$R105,기수표B,$AG$1)-VLOOKUP(xB+mB,기수표B,$AG$1)),0)</f>
        <v>0</v>
      </c>
      <c r="CL105" s="32">
        <f t="shared" ref="CL105" ca="1" si="2289">+MAX(VLOOKUP(xB+$R105,기수표B,$AA$1)-VLOOKUP(xB+mB,기수표B,$AA$1),0)</f>
        <v>0</v>
      </c>
      <c r="CM105" s="32">
        <f t="shared" ref="CM105" ca="1" si="2290">+MAX(VLOOKUP(xB+$R105,기수표B,$AA$1)-VLOOKUP(xB+mB,기수표B,$AA$1)-11/24*(VLOOKUP(xB+$R105,기수표B,$AA$1)-VLOOKUP(xB+mB,기수표B,$AA$1)),0)</f>
        <v>0</v>
      </c>
      <c r="CN105" s="32">
        <f t="shared" si="1587"/>
        <v>0</v>
      </c>
      <c r="CO105" s="32">
        <f t="shared" ca="1" si="1588"/>
        <v>0</v>
      </c>
      <c r="CP105" s="259">
        <f t="shared" ca="1" si="1589"/>
        <v>0</v>
      </c>
      <c r="CQ105" s="259">
        <f t="shared" ca="1" si="1590"/>
        <v>0</v>
      </c>
      <c r="CR105" s="259" t="e">
        <f t="shared" ca="1" si="1591"/>
        <v>#DIV/0!</v>
      </c>
      <c r="CS105" s="31">
        <f t="shared" ref="CS105" si="2291">+MIN(mB,7)</f>
        <v>5</v>
      </c>
      <c r="CU105" s="13">
        <v>93</v>
      </c>
      <c r="CV105" s="477">
        <f t="shared" ca="1" si="1593"/>
        <v>420</v>
      </c>
      <c r="CW105" s="477" t="e">
        <f t="shared" ca="1" si="1594"/>
        <v>#DIV/0!</v>
      </c>
      <c r="CX105" s="477">
        <f t="shared" ca="1" si="1595"/>
        <v>0</v>
      </c>
      <c r="CY105" s="478">
        <f t="shared" ca="1" si="1645"/>
        <v>0</v>
      </c>
    </row>
    <row r="106" spans="3:103">
      <c r="N106" s="5">
        <f t="shared" si="1646"/>
        <v>94</v>
      </c>
      <c r="O106" s="2">
        <f t="shared" ref="O106" ca="1" si="2292">+(1+iB)^-N106</f>
        <v>0.12349467517036616</v>
      </c>
      <c r="P106" s="2">
        <f t="shared" ref="P106" ca="1" si="2293">+(1+iB)^-(N106+0.5)</f>
        <v>0.12212837366163673</v>
      </c>
      <c r="Q106" s="91"/>
      <c r="R106" s="20">
        <f t="shared" si="1649"/>
        <v>94</v>
      </c>
      <c r="S106" s="20" t="str">
        <f t="shared" ref="S106" si="2294">+IF(xB+R106&lt;=xB+nB,xB+R106,"")</f>
        <v/>
      </c>
      <c r="T106" s="2">
        <f t="shared" ref="T106:U106" ca="1" si="2295">IFERROR(VLOOKUP($S106,qx_table,MATCH(T$11,qx_title,0)+sexB),0)</f>
        <v>0</v>
      </c>
      <c r="U106" s="2">
        <f t="shared" ca="1" si="2295"/>
        <v>0</v>
      </c>
      <c r="V106" s="300">
        <f>IF(JRB=2,0,IF(R106&gt;=mB-1,_xlfn.XLOOKUP(R106-mB,해지율!#REF!,해지율!#REF!,,1),_xlfn.XLOOKUP(R106,해지율!#REF!,해지율!#REF!,,-1)))</f>
        <v>0</v>
      </c>
      <c r="W106" s="8">
        <f t="shared" ref="W106" si="2296">IF(R106=0,100000,IF(R106&gt;nB,0,W105*(1-X105)*(1-Y105)))</f>
        <v>0</v>
      </c>
      <c r="X106" s="10">
        <f t="shared" ca="1" si="1561"/>
        <v>0</v>
      </c>
      <c r="Y106" s="10">
        <f t="shared" ca="1" si="1562"/>
        <v>0</v>
      </c>
      <c r="Z106" s="5">
        <f t="shared" ca="1" si="1601"/>
        <v>0</v>
      </c>
      <c r="AA106" s="5">
        <f ca="1">+SUM(Z106:Z$124)</f>
        <v>0</v>
      </c>
      <c r="AB106" s="8">
        <f t="shared" ca="1" si="1563"/>
        <v>0</v>
      </c>
      <c r="AC106" s="209">
        <f ca="1">+SUM(AB106:AB$124)*SSSM</f>
        <v>0</v>
      </c>
      <c r="AD106" s="209">
        <f t="shared" ref="AD106" si="2297">IF(R106&gt;nB,0,AD105*(1-X105)*(1-Y105)*(1-AE105)*(1-AF105))</f>
        <v>0</v>
      </c>
      <c r="AE106" s="92">
        <f t="shared" ca="1" si="1565"/>
        <v>0</v>
      </c>
      <c r="AF106" s="92">
        <f t="shared" ca="1" si="1566"/>
        <v>0</v>
      </c>
      <c r="AG106" s="664">
        <f t="shared" ca="1" si="1567"/>
        <v>0</v>
      </c>
      <c r="AH106" s="208">
        <f ca="1">+SUM(AG106:AG$124)</f>
        <v>0</v>
      </c>
      <c r="AI106" s="70">
        <f t="shared" ca="1" si="1568"/>
        <v>0</v>
      </c>
      <c r="AJ106" s="208">
        <f ca="1">+SUM(AB106:AB$124)*SS50J</f>
        <v>0</v>
      </c>
      <c r="AK106" s="5">
        <f t="shared" ca="1" si="1603"/>
        <v>99999.012970709329</v>
      </c>
      <c r="AL106" s="2">
        <f t="shared" ref="AL106" ca="1" si="2298">IFERROR(VLOOKUP($S106,qx_table,MATCH(AL$11,qx_title,0)+sexB),0)</f>
        <v>0</v>
      </c>
      <c r="AM106" s="131">
        <f t="shared" ca="1" si="1605"/>
        <v>12349.345624174981</v>
      </c>
      <c r="AN106" s="129">
        <f t="shared" ca="1" si="1606"/>
        <v>0</v>
      </c>
      <c r="AO106" s="129">
        <f ca="1">SUM(AN106:AN$124)*SSa</f>
        <v>0</v>
      </c>
      <c r="AP106" s="70">
        <f t="shared" ca="1" si="1607"/>
        <v>99999.012970709329</v>
      </c>
      <c r="AQ106" s="2">
        <f t="shared" ref="AQ106" ca="1" si="2299">IFERROR(VLOOKUP($S106,qx_table,MATCH(AQ$11,qx_title,0)+sexB),0)</f>
        <v>0</v>
      </c>
      <c r="AR106" s="127">
        <f t="shared" ca="1" si="1609"/>
        <v>0</v>
      </c>
      <c r="AS106" s="127">
        <f ca="1">SUM(AR106:AR$124)*SSb</f>
        <v>0</v>
      </c>
      <c r="AT106" s="70">
        <f t="shared" ca="1" si="1610"/>
        <v>99999.012970709329</v>
      </c>
      <c r="AU106" s="2">
        <f t="shared" ref="AU106" ca="1" si="2300">IFERROR(VLOOKUP($S106,qx_table,MATCH(AU$11,qx_title,0)+sexB),0)</f>
        <v>0</v>
      </c>
      <c r="AV106" s="268">
        <f t="shared" ca="1" si="1612"/>
        <v>0</v>
      </c>
      <c r="AW106" s="131">
        <f ca="1">SUM(AV106:AV$124)*SSc</f>
        <v>0</v>
      </c>
      <c r="AX106" s="70">
        <f t="shared" ca="1" si="1613"/>
        <v>99999.012970709329</v>
      </c>
      <c r="AY106" s="2">
        <f t="shared" ref="AY106" ca="1" si="2301">IFERROR(VLOOKUP($S106,qx_table,MATCH(AY$11,qx_title,0)+sexB),0)</f>
        <v>0</v>
      </c>
      <c r="AZ106" s="268">
        <f t="shared" ca="1" si="1573"/>
        <v>0</v>
      </c>
      <c r="BA106" s="129">
        <f ca="1">SUM(AZ106:AZ$124)*SSd</f>
        <v>0</v>
      </c>
      <c r="BB106" s="70">
        <f t="shared" ca="1" si="1615"/>
        <v>99999.012970709329</v>
      </c>
      <c r="BC106" s="257">
        <f t="shared" ref="BC106" ca="1" si="2302">IFERROR(VLOOKUP($S106,qx_table,MATCH(BC$11,qx_title,0)+sexB),0)</f>
        <v>0</v>
      </c>
      <c r="BD106" s="268">
        <f t="shared" ca="1" si="1617"/>
        <v>0</v>
      </c>
      <c r="BE106" s="131">
        <f ca="1">SUM(BD106:BD$124)*SSe</f>
        <v>0</v>
      </c>
      <c r="BF106" s="70">
        <f t="shared" ca="1" si="1618"/>
        <v>99999.012970709329</v>
      </c>
      <c r="BG106" s="2">
        <f t="shared" ref="BG106" ca="1" si="2303">IFERROR(VLOOKUP($S106,qx_table,MATCH(BG$11,qx_title,0)+sexB),0)</f>
        <v>0</v>
      </c>
      <c r="BH106" s="131">
        <f t="shared" ca="1" si="1620"/>
        <v>0</v>
      </c>
      <c r="BI106" s="2">
        <f ca="1">SUM(BH106:BH$124)*SSf</f>
        <v>0</v>
      </c>
      <c r="BJ106" s="70">
        <f t="shared" ca="1" si="1621"/>
        <v>99999.012970709329</v>
      </c>
      <c r="BK106" s="2">
        <f t="shared" ref="BK106" ca="1" si="2304">IFERROR(VLOOKUP($S106,qx_table,MATCH(BK$11,qx_title,0)+sexB),0)</f>
        <v>0</v>
      </c>
      <c r="BL106" s="131">
        <f t="shared" ca="1" si="1623"/>
        <v>0</v>
      </c>
      <c r="BM106" s="131">
        <f ca="1">SUM(BL106:BL$124)*SSg</f>
        <v>0</v>
      </c>
      <c r="BN106" s="70">
        <f t="shared" ca="1" si="1624"/>
        <v>99999.012970709329</v>
      </c>
      <c r="BO106" s="2">
        <f t="shared" ref="BO106" ca="1" si="2305">IFERROR(VLOOKUP($S106,qx_table,MATCH(BO$11,qx_title,0)+sexB),0)</f>
        <v>0</v>
      </c>
      <c r="BP106" s="131">
        <f t="shared" ca="1" si="1626"/>
        <v>0</v>
      </c>
      <c r="BQ106" s="131">
        <f ca="1">SUM(BP106:BP$124)*SSh</f>
        <v>0</v>
      </c>
      <c r="BR106" s="70">
        <f t="shared" ca="1" si="1627"/>
        <v>99999.012970709329</v>
      </c>
      <c r="BS106" s="2">
        <f t="shared" ref="BS106" ca="1" si="2306">IFERROR(VLOOKUP($S106,qx_table,MATCH(BS$11,qx_title,0)+sexB),0)*IF(R106=0,MCi,1)</f>
        <v>0</v>
      </c>
      <c r="BT106" s="131">
        <f t="shared" ca="1" si="1629"/>
        <v>0</v>
      </c>
      <c r="BU106" s="131">
        <f ca="1">SUM(BT106:BT$124)*SSi</f>
        <v>0</v>
      </c>
      <c r="BV106" s="70">
        <f t="shared" ca="1" si="1630"/>
        <v>99999.012970709329</v>
      </c>
      <c r="BW106" s="2">
        <f t="shared" ref="BW106" ca="1" si="2307">IFERROR(VLOOKUP($S106,qx_table,MATCH(BW$11,qx_title,0)+sexB),0)</f>
        <v>0</v>
      </c>
      <c r="BX106" s="131">
        <f t="shared" ca="1" si="1632"/>
        <v>0</v>
      </c>
      <c r="BY106" s="131">
        <f ca="1">SUM(BX106:BX$124)*SSj</f>
        <v>0</v>
      </c>
      <c r="BZ106" s="70">
        <f t="shared" ca="1" si="1633"/>
        <v>99999.012970709329</v>
      </c>
      <c r="CA106" s="2">
        <f t="shared" ref="CA106" ca="1" si="2308">IFERROR(VLOOKUP($S106,qx_table,MATCH(CA$11,qx_title,0)+sexB),0)</f>
        <v>0</v>
      </c>
      <c r="CB106" s="131">
        <f t="shared" ca="1" si="1635"/>
        <v>0</v>
      </c>
      <c r="CC106" s="131">
        <f ca="1">SUM(CB106:CB$124)*SSk</f>
        <v>0</v>
      </c>
      <c r="CD106" s="8">
        <f t="shared" ca="1" si="1636"/>
        <v>99999.012970709329</v>
      </c>
      <c r="CE106" s="2">
        <f t="shared" ref="CE106" ca="1" si="2309">IFERROR(VLOOKUP($S106,qx_table,MATCH(CE$11,qx_title,0)+sexB),0)</f>
        <v>0</v>
      </c>
      <c r="CF106" s="131">
        <f t="shared" ca="1" si="1638"/>
        <v>0</v>
      </c>
      <c r="CG106" s="131">
        <f ca="1">SUM(CF106:CF$124)*SSl</f>
        <v>0</v>
      </c>
      <c r="CH106" s="101">
        <f t="shared" ca="1" si="1639"/>
        <v>0</v>
      </c>
      <c r="CI106" s="154">
        <f t="shared" ca="1" si="1582"/>
        <v>0</v>
      </c>
      <c r="CJ106" s="32">
        <f t="shared" ref="CJ106" ca="1" si="2310">+MAX(VLOOKUP(xB+$R106,기수표B,$AH$1)-VLOOKUP(xB+mB,기수표B,$AH$1),0)</f>
        <v>0</v>
      </c>
      <c r="CK106" s="32">
        <f t="shared" ref="CK106" ca="1" si="2311">+MAX(VLOOKUP(xB+$R106,기수표B,$AH$1)-VLOOKUP(xB+mB,기수표B,$AH$1)-11/24*(VLOOKUP(xB+$R106,기수표B,$AG$1)-VLOOKUP(xB+mB,기수표B,$AG$1)),0)</f>
        <v>0</v>
      </c>
      <c r="CL106" s="32">
        <f t="shared" ref="CL106" ca="1" si="2312">+MAX(VLOOKUP(xB+$R106,기수표B,$AA$1)-VLOOKUP(xB+mB,기수표B,$AA$1),0)</f>
        <v>0</v>
      </c>
      <c r="CM106" s="32">
        <f t="shared" ref="CM106" ca="1" si="2313">+MAX(VLOOKUP(xB+$R106,기수표B,$AA$1)-VLOOKUP(xB+mB,기수표B,$AA$1)-11/24*(VLOOKUP(xB+$R106,기수표B,$AA$1)-VLOOKUP(xB+mB,기수표B,$AA$1)),0)</f>
        <v>0</v>
      </c>
      <c r="CN106" s="32">
        <f t="shared" si="1587"/>
        <v>0</v>
      </c>
      <c r="CO106" s="32">
        <f t="shared" ca="1" si="1588"/>
        <v>0</v>
      </c>
      <c r="CP106" s="259">
        <f t="shared" ca="1" si="1589"/>
        <v>0</v>
      </c>
      <c r="CQ106" s="259">
        <f t="shared" ca="1" si="1590"/>
        <v>0</v>
      </c>
      <c r="CR106" s="259" t="e">
        <f t="shared" ca="1" si="1591"/>
        <v>#DIV/0!</v>
      </c>
      <c r="CS106" s="31">
        <f t="shared" ref="CS106" si="2314">+MIN(mB,7)</f>
        <v>5</v>
      </c>
      <c r="CU106" s="13">
        <v>94</v>
      </c>
      <c r="CV106" s="477">
        <f t="shared" ca="1" si="1593"/>
        <v>420</v>
      </c>
      <c r="CW106" s="477" t="e">
        <f t="shared" ca="1" si="1594"/>
        <v>#DIV/0!</v>
      </c>
      <c r="CX106" s="477">
        <f t="shared" ca="1" si="1595"/>
        <v>0</v>
      </c>
      <c r="CY106" s="478">
        <f t="shared" ca="1" si="1645"/>
        <v>0</v>
      </c>
    </row>
    <row r="107" spans="3:103">
      <c r="N107" s="5">
        <f t="shared" si="1646"/>
        <v>95</v>
      </c>
      <c r="O107" s="2">
        <f t="shared" ref="O107" ca="1" si="2315">+(1+iB)^-N107</f>
        <v>0.12077718843067596</v>
      </c>
      <c r="P107" s="2">
        <f t="shared" ref="P107" ca="1" si="2316">+(1+iB)^-(N107+0.5)</f>
        <v>0.11944095223631956</v>
      </c>
      <c r="Q107" s="91"/>
      <c r="R107" s="20">
        <f t="shared" si="1649"/>
        <v>95</v>
      </c>
      <c r="S107" s="20" t="str">
        <f t="shared" ref="S107" si="2317">+IF(xB+R107&lt;=xB+nB,xB+R107,"")</f>
        <v/>
      </c>
      <c r="T107" s="2">
        <f t="shared" ref="T107:U107" ca="1" si="2318">IFERROR(VLOOKUP($S107,qx_table,MATCH(T$11,qx_title,0)+sexB),0)</f>
        <v>0</v>
      </c>
      <c r="U107" s="2">
        <f t="shared" ca="1" si="2318"/>
        <v>0</v>
      </c>
      <c r="V107" s="300">
        <f>IF(JRB=2,0,IF(R107&gt;=mB-1,_xlfn.XLOOKUP(R107-mB,해지율!#REF!,해지율!#REF!,,1),_xlfn.XLOOKUP(R107,해지율!#REF!,해지율!#REF!,,-1)))</f>
        <v>0</v>
      </c>
      <c r="W107" s="8">
        <f t="shared" ref="W107" si="2319">IF(R107=0,100000,IF(R107&gt;nB,0,W106*(1-X106)*(1-Y106)))</f>
        <v>0</v>
      </c>
      <c r="X107" s="10">
        <f t="shared" ca="1" si="1561"/>
        <v>0</v>
      </c>
      <c r="Y107" s="10">
        <f t="shared" ca="1" si="1562"/>
        <v>0</v>
      </c>
      <c r="Z107" s="5">
        <f t="shared" ca="1" si="1601"/>
        <v>0</v>
      </c>
      <c r="AA107" s="5">
        <f ca="1">+SUM(Z107:Z$124)</f>
        <v>0</v>
      </c>
      <c r="AB107" s="8">
        <f t="shared" ca="1" si="1563"/>
        <v>0</v>
      </c>
      <c r="AC107" s="209">
        <f ca="1">+SUM(AB107:AB$124)*SSSM</f>
        <v>0</v>
      </c>
      <c r="AD107" s="209">
        <f t="shared" ref="AD107" si="2320">IF(R107&gt;nB,0,AD106*(1-X106)*(1-Y106)*(1-AE106)*(1-AF106))</f>
        <v>0</v>
      </c>
      <c r="AE107" s="92">
        <f t="shared" ca="1" si="1565"/>
        <v>0</v>
      </c>
      <c r="AF107" s="92">
        <f t="shared" ca="1" si="1566"/>
        <v>0</v>
      </c>
      <c r="AG107" s="664">
        <f t="shared" ca="1" si="1567"/>
        <v>0</v>
      </c>
      <c r="AH107" s="208">
        <f ca="1">+SUM(AG107:AG$124)</f>
        <v>0</v>
      </c>
      <c r="AI107" s="70">
        <f t="shared" ca="1" si="1568"/>
        <v>0</v>
      </c>
      <c r="AJ107" s="208">
        <f ca="1">+SUM(AB107:AB$124)*SS50J</f>
        <v>0</v>
      </c>
      <c r="AK107" s="5">
        <f t="shared" ca="1" si="1603"/>
        <v>99999.012970709329</v>
      </c>
      <c r="AL107" s="2">
        <f t="shared" ref="AL107" ca="1" si="2321">IFERROR(VLOOKUP($S107,qx_table,MATCH(AL$11,qx_title,0)+sexB),0)</f>
        <v>0</v>
      </c>
      <c r="AM107" s="131">
        <f t="shared" ca="1" si="1605"/>
        <v>12077.59963244497</v>
      </c>
      <c r="AN107" s="129">
        <f t="shared" ca="1" si="1606"/>
        <v>0</v>
      </c>
      <c r="AO107" s="129">
        <f ca="1">SUM(AN107:AN$124)*SSa</f>
        <v>0</v>
      </c>
      <c r="AP107" s="70">
        <f t="shared" ca="1" si="1607"/>
        <v>99999.012970709329</v>
      </c>
      <c r="AQ107" s="2">
        <f t="shared" ref="AQ107" ca="1" si="2322">IFERROR(VLOOKUP($S107,qx_table,MATCH(AQ$11,qx_title,0)+sexB),0)</f>
        <v>0</v>
      </c>
      <c r="AR107" s="127">
        <f t="shared" ca="1" si="1609"/>
        <v>0</v>
      </c>
      <c r="AS107" s="127">
        <f ca="1">SUM(AR107:AR$124)*SSb</f>
        <v>0</v>
      </c>
      <c r="AT107" s="70">
        <f t="shared" ca="1" si="1610"/>
        <v>99999.012970709329</v>
      </c>
      <c r="AU107" s="2">
        <f t="shared" ref="AU107" ca="1" si="2323">IFERROR(VLOOKUP($S107,qx_table,MATCH(AU$11,qx_title,0)+sexB),0)</f>
        <v>0</v>
      </c>
      <c r="AV107" s="268">
        <f t="shared" ca="1" si="1612"/>
        <v>0</v>
      </c>
      <c r="AW107" s="131">
        <f ca="1">SUM(AV107:AV$124)*SSc</f>
        <v>0</v>
      </c>
      <c r="AX107" s="70">
        <f t="shared" ca="1" si="1613"/>
        <v>99999.012970709329</v>
      </c>
      <c r="AY107" s="2">
        <f t="shared" ref="AY107" ca="1" si="2324">IFERROR(VLOOKUP($S107,qx_table,MATCH(AY$11,qx_title,0)+sexB),0)</f>
        <v>0</v>
      </c>
      <c r="AZ107" s="268">
        <f t="shared" ca="1" si="1573"/>
        <v>0</v>
      </c>
      <c r="BA107" s="129">
        <f ca="1">SUM(AZ107:AZ$124)*SSd</f>
        <v>0</v>
      </c>
      <c r="BB107" s="70">
        <f t="shared" ca="1" si="1615"/>
        <v>99999.012970709329</v>
      </c>
      <c r="BC107" s="257">
        <f t="shared" ref="BC107" ca="1" si="2325">IFERROR(VLOOKUP($S107,qx_table,MATCH(BC$11,qx_title,0)+sexB),0)</f>
        <v>0</v>
      </c>
      <c r="BD107" s="268">
        <f t="shared" ca="1" si="1617"/>
        <v>0</v>
      </c>
      <c r="BE107" s="131">
        <f ca="1">SUM(BD107:BD$124)*SSe</f>
        <v>0</v>
      </c>
      <c r="BF107" s="70">
        <f t="shared" ca="1" si="1618"/>
        <v>99999.012970709329</v>
      </c>
      <c r="BG107" s="2">
        <f t="shared" ref="BG107" ca="1" si="2326">IFERROR(VLOOKUP($S107,qx_table,MATCH(BG$11,qx_title,0)+sexB),0)</f>
        <v>0</v>
      </c>
      <c r="BH107" s="131">
        <f t="shared" ca="1" si="1620"/>
        <v>0</v>
      </c>
      <c r="BI107" s="2">
        <f ca="1">SUM(BH107:BH$124)*SSf</f>
        <v>0</v>
      </c>
      <c r="BJ107" s="70">
        <f t="shared" ca="1" si="1621"/>
        <v>99999.012970709329</v>
      </c>
      <c r="BK107" s="2">
        <f t="shared" ref="BK107" ca="1" si="2327">IFERROR(VLOOKUP($S107,qx_table,MATCH(BK$11,qx_title,0)+sexB),0)</f>
        <v>0</v>
      </c>
      <c r="BL107" s="131">
        <f t="shared" ca="1" si="1623"/>
        <v>0</v>
      </c>
      <c r="BM107" s="131">
        <f ca="1">SUM(BL107:BL$124)*SSg</f>
        <v>0</v>
      </c>
      <c r="BN107" s="70">
        <f t="shared" ca="1" si="1624"/>
        <v>99999.012970709329</v>
      </c>
      <c r="BO107" s="2">
        <f t="shared" ref="BO107" ca="1" si="2328">IFERROR(VLOOKUP($S107,qx_table,MATCH(BO$11,qx_title,0)+sexB),0)</f>
        <v>0</v>
      </c>
      <c r="BP107" s="131">
        <f t="shared" ca="1" si="1626"/>
        <v>0</v>
      </c>
      <c r="BQ107" s="131">
        <f ca="1">SUM(BP107:BP$124)*SSh</f>
        <v>0</v>
      </c>
      <c r="BR107" s="70">
        <f t="shared" ca="1" si="1627"/>
        <v>99999.012970709329</v>
      </c>
      <c r="BS107" s="2">
        <f t="shared" ref="BS107" ca="1" si="2329">IFERROR(VLOOKUP($S107,qx_table,MATCH(BS$11,qx_title,0)+sexB),0)*IF(R107=0,MCi,1)</f>
        <v>0</v>
      </c>
      <c r="BT107" s="131">
        <f t="shared" ca="1" si="1629"/>
        <v>0</v>
      </c>
      <c r="BU107" s="131">
        <f ca="1">SUM(BT107:BT$124)*SSi</f>
        <v>0</v>
      </c>
      <c r="BV107" s="70">
        <f t="shared" ca="1" si="1630"/>
        <v>99999.012970709329</v>
      </c>
      <c r="BW107" s="2">
        <f t="shared" ref="BW107" ca="1" si="2330">IFERROR(VLOOKUP($S107,qx_table,MATCH(BW$11,qx_title,0)+sexB),0)</f>
        <v>0</v>
      </c>
      <c r="BX107" s="131">
        <f t="shared" ca="1" si="1632"/>
        <v>0</v>
      </c>
      <c r="BY107" s="131">
        <f ca="1">SUM(BX107:BX$124)*SSj</f>
        <v>0</v>
      </c>
      <c r="BZ107" s="70">
        <f t="shared" ca="1" si="1633"/>
        <v>99999.012970709329</v>
      </c>
      <c r="CA107" s="2">
        <f t="shared" ref="CA107" ca="1" si="2331">IFERROR(VLOOKUP($S107,qx_table,MATCH(CA$11,qx_title,0)+sexB),0)</f>
        <v>0</v>
      </c>
      <c r="CB107" s="131">
        <f t="shared" ca="1" si="1635"/>
        <v>0</v>
      </c>
      <c r="CC107" s="131">
        <f ca="1">SUM(CB107:CB$124)*SSk</f>
        <v>0</v>
      </c>
      <c r="CD107" s="8">
        <f t="shared" ca="1" si="1636"/>
        <v>99999.012970709329</v>
      </c>
      <c r="CE107" s="2">
        <f t="shared" ref="CE107" ca="1" si="2332">IFERROR(VLOOKUP($S107,qx_table,MATCH(CE$11,qx_title,0)+sexB),0)</f>
        <v>0</v>
      </c>
      <c r="CF107" s="131">
        <f t="shared" ca="1" si="1638"/>
        <v>0</v>
      </c>
      <c r="CG107" s="131">
        <f ca="1">SUM(CF107:CF$124)*SSl</f>
        <v>0</v>
      </c>
      <c r="CH107" s="101">
        <f t="shared" ca="1" si="1639"/>
        <v>0</v>
      </c>
      <c r="CI107" s="154">
        <f t="shared" ca="1" si="1582"/>
        <v>0</v>
      </c>
      <c r="CJ107" s="32">
        <f t="shared" ref="CJ107" ca="1" si="2333">+MAX(VLOOKUP(xB+$R107,기수표B,$AH$1)-VLOOKUP(xB+mB,기수표B,$AH$1),0)</f>
        <v>0</v>
      </c>
      <c r="CK107" s="32">
        <f t="shared" ref="CK107" ca="1" si="2334">+MAX(VLOOKUP(xB+$R107,기수표B,$AH$1)-VLOOKUP(xB+mB,기수표B,$AH$1)-11/24*(VLOOKUP(xB+$R107,기수표B,$AG$1)-VLOOKUP(xB+mB,기수표B,$AG$1)),0)</f>
        <v>0</v>
      </c>
      <c r="CL107" s="32">
        <f t="shared" ref="CL107" ca="1" si="2335">+MAX(VLOOKUP(xB+$R107,기수표B,$AA$1)-VLOOKUP(xB+mB,기수표B,$AA$1),0)</f>
        <v>0</v>
      </c>
      <c r="CM107" s="32">
        <f t="shared" ref="CM107" ca="1" si="2336">+MAX(VLOOKUP(xB+$R107,기수표B,$AA$1)-VLOOKUP(xB+mB,기수표B,$AA$1)-11/24*(VLOOKUP(xB+$R107,기수표B,$AA$1)-VLOOKUP(xB+mB,기수표B,$AA$1)),0)</f>
        <v>0</v>
      </c>
      <c r="CN107" s="32">
        <f t="shared" si="1587"/>
        <v>0</v>
      </c>
      <c r="CO107" s="32">
        <f t="shared" ca="1" si="1588"/>
        <v>0</v>
      </c>
      <c r="CP107" s="259">
        <f t="shared" ca="1" si="1589"/>
        <v>0</v>
      </c>
      <c r="CQ107" s="259">
        <f t="shared" ca="1" si="1590"/>
        <v>0</v>
      </c>
      <c r="CR107" s="259" t="e">
        <f t="shared" ca="1" si="1591"/>
        <v>#DIV/0!</v>
      </c>
      <c r="CS107" s="31">
        <f t="shared" ref="CS107" si="2337">+MIN(mB,7)</f>
        <v>5</v>
      </c>
      <c r="CU107" s="13">
        <v>95</v>
      </c>
      <c r="CV107" s="477">
        <f t="shared" ca="1" si="1593"/>
        <v>420</v>
      </c>
      <c r="CW107" s="477" t="e">
        <f t="shared" ca="1" si="1594"/>
        <v>#DIV/0!</v>
      </c>
      <c r="CX107" s="477">
        <f t="shared" ca="1" si="1595"/>
        <v>0</v>
      </c>
      <c r="CY107" s="478">
        <f t="shared" ca="1" si="1645"/>
        <v>0</v>
      </c>
    </row>
    <row r="108" spans="3:103">
      <c r="C108" s="33"/>
      <c r="D108" s="33"/>
      <c r="E108" s="16"/>
      <c r="N108" s="5">
        <f t="shared" si="1646"/>
        <v>96</v>
      </c>
      <c r="O108" s="2">
        <f t="shared" ref="O108" ca="1" si="2338">+(1+iB)^-N108</f>
        <v>0.11811949968770268</v>
      </c>
      <c r="P108" s="2">
        <f t="shared" ref="P108" ca="1" si="2339">+(1+iB)^-(N108+0.5)</f>
        <v>0.11681266722378442</v>
      </c>
      <c r="Q108" s="91"/>
      <c r="R108" s="20">
        <f t="shared" si="1649"/>
        <v>96</v>
      </c>
      <c r="S108" s="20" t="str">
        <f t="shared" ref="S108" si="2340">+IF(xB+R108&lt;=xB+nB,xB+R108,"")</f>
        <v/>
      </c>
      <c r="T108" s="2">
        <f t="shared" ref="T108:U108" ca="1" si="2341">IFERROR(VLOOKUP($S108,qx_table,MATCH(T$11,qx_title,0)+sexB),0)</f>
        <v>0</v>
      </c>
      <c r="U108" s="2">
        <f t="shared" ca="1" si="2341"/>
        <v>0</v>
      </c>
      <c r="V108" s="300">
        <f>IF(JRB=2,0,IF(R108&gt;=mB-1,_xlfn.XLOOKUP(R108-mB,해지율!#REF!,해지율!#REF!,,1),_xlfn.XLOOKUP(R108,해지율!#REF!,해지율!#REF!,,-1)))</f>
        <v>0</v>
      </c>
      <c r="W108" s="8">
        <f t="shared" ref="W108" si="2342">IF(R108=0,100000,IF(R108&gt;nB,0,W107*(1-X107)*(1-Y107)))</f>
        <v>0</v>
      </c>
      <c r="X108" s="10">
        <f t="shared" ca="1" si="1561"/>
        <v>0</v>
      </c>
      <c r="Y108" s="10">
        <f t="shared" ca="1" si="1562"/>
        <v>0</v>
      </c>
      <c r="Z108" s="5">
        <f t="shared" ca="1" si="1601"/>
        <v>0</v>
      </c>
      <c r="AA108" s="5">
        <f ca="1">+SUM(Z108:Z$124)</f>
        <v>0</v>
      </c>
      <c r="AB108" s="8">
        <f t="shared" ca="1" si="1563"/>
        <v>0</v>
      </c>
      <c r="AC108" s="209">
        <f ca="1">+SUM(AB108:AB$124)*SSSM</f>
        <v>0</v>
      </c>
      <c r="AD108" s="209">
        <f t="shared" ref="AD108" si="2343">IF(R108&gt;nB,0,AD107*(1-X107)*(1-Y107)*(1-AE107)*(1-AF107))</f>
        <v>0</v>
      </c>
      <c r="AE108" s="92">
        <f t="shared" ca="1" si="1565"/>
        <v>0</v>
      </c>
      <c r="AF108" s="92">
        <f t="shared" ca="1" si="1566"/>
        <v>0</v>
      </c>
      <c r="AG108" s="664">
        <f t="shared" ca="1" si="1567"/>
        <v>0</v>
      </c>
      <c r="AH108" s="5">
        <f ca="1">+SUM(AG108:AG$124)</f>
        <v>0</v>
      </c>
      <c r="AI108" s="70">
        <f t="shared" ca="1" si="1568"/>
        <v>0</v>
      </c>
      <c r="AJ108" s="208">
        <f ca="1">+SUM(AB108:AB$124)*SS50J</f>
        <v>0</v>
      </c>
      <c r="AK108" s="5">
        <f t="shared" ca="1" si="1603"/>
        <v>99999.012970709329</v>
      </c>
      <c r="AL108" s="2">
        <f t="shared" ref="AL108" ca="1" si="2344">IFERROR(VLOOKUP($S108,qx_table,MATCH(AL$11,qx_title,0)+sexB),0)</f>
        <v>0</v>
      </c>
      <c r="AM108" s="131">
        <f t="shared" ca="1" si="1605"/>
        <v>11811.833381364277</v>
      </c>
      <c r="AN108" s="129">
        <f t="shared" ca="1" si="1606"/>
        <v>0</v>
      </c>
      <c r="AO108" s="129">
        <f ca="1">SUM(AN108:AN$124)*SSa</f>
        <v>0</v>
      </c>
      <c r="AP108" s="70">
        <f t="shared" ca="1" si="1607"/>
        <v>99999.012970709329</v>
      </c>
      <c r="AQ108" s="2">
        <f t="shared" ref="AQ108" ca="1" si="2345">IFERROR(VLOOKUP($S108,qx_table,MATCH(AQ$11,qx_title,0)+sexB),0)</f>
        <v>0</v>
      </c>
      <c r="AR108" s="127">
        <f t="shared" ca="1" si="1609"/>
        <v>0</v>
      </c>
      <c r="AS108" s="127">
        <f ca="1">SUM(AR108:AR$124)*SSb</f>
        <v>0</v>
      </c>
      <c r="AT108" s="70">
        <f t="shared" ca="1" si="1610"/>
        <v>99999.012970709329</v>
      </c>
      <c r="AU108" s="2">
        <f t="shared" ref="AU108" ca="1" si="2346">IFERROR(VLOOKUP($S108,qx_table,MATCH(AU$11,qx_title,0)+sexB),0)</f>
        <v>0</v>
      </c>
      <c r="AV108" s="268">
        <f t="shared" ca="1" si="1612"/>
        <v>0</v>
      </c>
      <c r="AW108" s="131">
        <f ca="1">SUM(AV108:AV$124)*SSc</f>
        <v>0</v>
      </c>
      <c r="AX108" s="70">
        <f t="shared" ca="1" si="1613"/>
        <v>99999.012970709329</v>
      </c>
      <c r="AY108" s="2">
        <f t="shared" ref="AY108" ca="1" si="2347">IFERROR(VLOOKUP($S108,qx_table,MATCH(AY$11,qx_title,0)+sexB),0)</f>
        <v>0</v>
      </c>
      <c r="AZ108" s="268">
        <f t="shared" ref="AZ108:AZ124" ca="1" si="2348">AX108*AY108*(1-CHOOSE(JRB,1,0)*$V108/2)*$P108</f>
        <v>0</v>
      </c>
      <c r="BA108" s="129">
        <f ca="1">SUM(AZ108:AZ$124)*SSd</f>
        <v>0</v>
      </c>
      <c r="BB108" s="70">
        <f t="shared" ca="1" si="1615"/>
        <v>99999.012970709329</v>
      </c>
      <c r="BC108" s="257">
        <f t="shared" ref="BC108" ca="1" si="2349">IFERROR(VLOOKUP($S108,qx_table,MATCH(BC$11,qx_title,0)+sexB),0)</f>
        <v>0</v>
      </c>
      <c r="BD108" s="268">
        <f t="shared" ca="1" si="1617"/>
        <v>0</v>
      </c>
      <c r="BE108" s="131">
        <f ca="1">SUM(BD108:BD$124)*SSe</f>
        <v>0</v>
      </c>
      <c r="BF108" s="70">
        <f t="shared" ca="1" si="1618"/>
        <v>99999.012970709329</v>
      </c>
      <c r="BG108" s="2">
        <f t="shared" ref="BG108" ca="1" si="2350">IFERROR(VLOOKUP($S108,qx_table,MATCH(BG$11,qx_title,0)+sexB),0)</f>
        <v>0</v>
      </c>
      <c r="BH108" s="131">
        <f t="shared" ca="1" si="1620"/>
        <v>0</v>
      </c>
      <c r="BI108" s="2">
        <f ca="1">SUM(BH108:BH$124)*SSf</f>
        <v>0</v>
      </c>
      <c r="BJ108" s="70">
        <f t="shared" ca="1" si="1621"/>
        <v>99999.012970709329</v>
      </c>
      <c r="BK108" s="2">
        <f t="shared" ref="BK108" ca="1" si="2351">IFERROR(VLOOKUP($S108,qx_table,MATCH(BK$11,qx_title,0)+sexB),0)</f>
        <v>0</v>
      </c>
      <c r="BL108" s="131">
        <f t="shared" ca="1" si="1623"/>
        <v>0</v>
      </c>
      <c r="BM108" s="131">
        <f ca="1">SUM(BL108:BL$124)*SSg</f>
        <v>0</v>
      </c>
      <c r="BN108" s="70">
        <f t="shared" ca="1" si="1624"/>
        <v>99999.012970709329</v>
      </c>
      <c r="BO108" s="2">
        <f t="shared" ref="BO108" ca="1" si="2352">IFERROR(VLOOKUP($S108,qx_table,MATCH(BO$11,qx_title,0)+sexB),0)</f>
        <v>0</v>
      </c>
      <c r="BP108" s="131">
        <f t="shared" ca="1" si="1626"/>
        <v>0</v>
      </c>
      <c r="BQ108" s="131">
        <f ca="1">SUM(BP108:BP$124)*SSh</f>
        <v>0</v>
      </c>
      <c r="BR108" s="70">
        <f t="shared" ca="1" si="1627"/>
        <v>99999.012970709329</v>
      </c>
      <c r="BS108" s="2">
        <f t="shared" ref="BS108" ca="1" si="2353">IFERROR(VLOOKUP($S108,qx_table,MATCH(BS$11,qx_title,0)+sexB),0)*IF(R108=0,MCi,1)</f>
        <v>0</v>
      </c>
      <c r="BT108" s="131">
        <f t="shared" ca="1" si="1629"/>
        <v>0</v>
      </c>
      <c r="BU108" s="131">
        <f ca="1">SUM(BT108:BT$124)*SSi</f>
        <v>0</v>
      </c>
      <c r="BV108" s="70">
        <f t="shared" ca="1" si="1630"/>
        <v>99999.012970709329</v>
      </c>
      <c r="BW108" s="2">
        <f t="shared" ref="BW108" ca="1" si="2354">IFERROR(VLOOKUP($S108,qx_table,MATCH(BW$11,qx_title,0)+sexB),0)</f>
        <v>0</v>
      </c>
      <c r="BX108" s="131">
        <f t="shared" ca="1" si="1632"/>
        <v>0</v>
      </c>
      <c r="BY108" s="131">
        <f ca="1">SUM(BX108:BX$124)*SSj</f>
        <v>0</v>
      </c>
      <c r="BZ108" s="70">
        <f t="shared" ca="1" si="1633"/>
        <v>99999.012970709329</v>
      </c>
      <c r="CA108" s="2">
        <f t="shared" ref="CA108" ca="1" si="2355">IFERROR(VLOOKUP($S108,qx_table,MATCH(CA$11,qx_title,0)+sexB),0)</f>
        <v>0</v>
      </c>
      <c r="CB108" s="131">
        <f t="shared" ca="1" si="1635"/>
        <v>0</v>
      </c>
      <c r="CC108" s="131">
        <f ca="1">SUM(CB108:CB$124)*SSk</f>
        <v>0</v>
      </c>
      <c r="CD108" s="8">
        <f t="shared" ca="1" si="1636"/>
        <v>99999.012970709329</v>
      </c>
      <c r="CE108" s="2">
        <f t="shared" ref="CE108" ca="1" si="2356">IFERROR(VLOOKUP($S108,qx_table,MATCH(CE$11,qx_title,0)+sexB),0)</f>
        <v>0</v>
      </c>
      <c r="CF108" s="131">
        <f t="shared" ca="1" si="1638"/>
        <v>0</v>
      </c>
      <c r="CG108" s="131">
        <f ca="1">SUM(CF108:CF$124)*SSl</f>
        <v>0</v>
      </c>
      <c r="CH108" s="101">
        <f t="shared" ca="1" si="1639"/>
        <v>0</v>
      </c>
      <c r="CI108" s="154">
        <f t="shared" ref="CI108:CI124" ca="1" si="2357">MAX((VLOOKUP(xB+R108,기수표B,$CH$1)-VLOOKUP(xB+nB,기수표B,$CH$1)),0)</f>
        <v>0</v>
      </c>
      <c r="CJ108" s="32">
        <f t="shared" ref="CJ108" ca="1" si="2358">+MAX(VLOOKUP(xB+$R108,기수표B,$AH$1)-VLOOKUP(xB+mB,기수표B,$AH$1),0)</f>
        <v>0</v>
      </c>
      <c r="CK108" s="32">
        <f t="shared" ref="CK108" ca="1" si="2359">+MAX(VLOOKUP(xB+$R108,기수표B,$AH$1)-VLOOKUP(xB+mB,기수표B,$AH$1)-11/24*(VLOOKUP(xB+$R108,기수표B,$AG$1)-VLOOKUP(xB+mB,기수표B,$AG$1)),0)</f>
        <v>0</v>
      </c>
      <c r="CL108" s="32">
        <f t="shared" ref="CL108" ca="1" si="2360">+MAX(VLOOKUP(xB+$R108,기수표B,$AA$1)-VLOOKUP(xB+mB,기수표B,$AA$1),0)</f>
        <v>0</v>
      </c>
      <c r="CM108" s="32">
        <f t="shared" ref="CM108" ca="1" si="2361">+MAX(VLOOKUP(xB+$R108,기수표B,$AA$1)-VLOOKUP(xB+mB,기수표B,$AA$1)-11/24*(VLOOKUP(xB+$R108,기수표B,$AA$1)-VLOOKUP(xB+mB,기수표B,$AA$1)),0)</f>
        <v>0</v>
      </c>
      <c r="CN108" s="32">
        <f t="shared" ref="CN108:CN124" si="2362">IF(R108&gt;nB,0,VLOOKUP(xB+MAX($R108,mB),기수표B,$AA$1)-VLOOKUP(xB+nB,기수표B,$AA$1))</f>
        <v>0</v>
      </c>
      <c r="CO108" s="32">
        <f t="shared" ref="CO108:CO124" ca="1" si="2363">IF(JRB=1,mmB*H$25*$CK108,H$35*$CJ108)</f>
        <v>0</v>
      </c>
      <c r="CP108" s="259">
        <f t="shared" ref="CP108:CP124" ca="1" si="2364">ROUND(IF($R108&gt;nB,0,$CR108-MAX($CS108-$R108,0)/$CS108*$C$31),roundB)</f>
        <v>0</v>
      </c>
      <c r="CQ108" s="259">
        <f t="shared" ref="CQ108:CQ124" ca="1" si="2365">+IF(JRB=1,CP108,MAX(0,ROUND(IF($R108&gt;nB,0,CR108-MAX($CS108-$R108,0)/$CS108*$C$33),round)))</f>
        <v>0</v>
      </c>
      <c r="CR108" s="259" t="e">
        <f t="shared" ref="CR108:CR124" ca="1" si="2366">(CI108+BETAD_SB*$CN108-CO108)/Z108</f>
        <v>#DIV/0!</v>
      </c>
      <c r="CS108" s="31">
        <f t="shared" ref="CS108" si="2367">+MIN(mB,7)</f>
        <v>5</v>
      </c>
      <c r="CU108" s="13">
        <v>96</v>
      </c>
      <c r="CV108" s="477">
        <f t="shared" ref="CV108:CV124" ca="1" si="2368">$CW$8*12*MIN(CU108,mB)</f>
        <v>420</v>
      </c>
      <c r="CW108" s="477" t="e">
        <f t="shared" ref="CW108:CW124" ca="1" si="2369">ROUND(CR108*S,0)</f>
        <v>#DIV/0!</v>
      </c>
      <c r="CX108" s="477">
        <f t="shared" ref="CX108:CX124" ca="1" si="2370">MAX(0,ROUND(CP108*S,0))</f>
        <v>0</v>
      </c>
      <c r="CY108" s="478">
        <f t="shared" ca="1" si="1645"/>
        <v>0</v>
      </c>
    </row>
    <row r="109" spans="3:103">
      <c r="C109" s="33"/>
      <c r="D109" s="33"/>
      <c r="E109" s="16"/>
      <c r="N109" s="5">
        <f t="shared" si="1646"/>
        <v>97</v>
      </c>
      <c r="O109" s="2">
        <f t="shared" ref="O109" ca="1" si="2371">+(1+iB)^-N109</f>
        <v>0.11552029309310777</v>
      </c>
      <c r="P109" s="2">
        <f t="shared" ref="P109" ca="1" si="2372">+(1+iB)^-(N109+0.5)</f>
        <v>0.11424221733377446</v>
      </c>
      <c r="Q109" s="91"/>
      <c r="R109" s="20">
        <f t="shared" si="1649"/>
        <v>97</v>
      </c>
      <c r="S109" s="20" t="str">
        <f t="shared" ref="S109" si="2373">+IF(xB+R109&lt;=xB+nB,xB+R109,"")</f>
        <v/>
      </c>
      <c r="T109" s="2">
        <f t="shared" ref="T109:U109" ca="1" si="2374">IFERROR(VLOOKUP($S109,qx_table,MATCH(T$11,qx_title,0)+sexB),0)</f>
        <v>0</v>
      </c>
      <c r="U109" s="2">
        <f t="shared" ca="1" si="2374"/>
        <v>0</v>
      </c>
      <c r="V109" s="300">
        <f>IF(JRB=2,0,IF(R109&gt;=mB-1,_xlfn.XLOOKUP(R109-mB,해지율!#REF!,해지율!#REF!,,1),_xlfn.XLOOKUP(R109,해지율!#REF!,해지율!#REF!,,-1)))</f>
        <v>0</v>
      </c>
      <c r="W109" s="8">
        <f t="shared" ref="W109" si="2375">IF(R109=0,100000,IF(R109&gt;nB,0,W108*(1-X108)*(1-Y108)))</f>
        <v>0</v>
      </c>
      <c r="X109" s="10">
        <f t="shared" ca="1" si="1561"/>
        <v>0</v>
      </c>
      <c r="Y109" s="10">
        <f t="shared" ca="1" si="1562"/>
        <v>0</v>
      </c>
      <c r="Z109" s="5">
        <f t="shared" ca="1" si="1601"/>
        <v>0</v>
      </c>
      <c r="AA109" s="5">
        <f ca="1">+SUM(Z109:Z$124)</f>
        <v>0</v>
      </c>
      <c r="AB109" s="8">
        <f t="shared" ca="1" si="1563"/>
        <v>0</v>
      </c>
      <c r="AC109" s="209">
        <f ca="1">+SUM(AB109:AB$124)*SSSM</f>
        <v>0</v>
      </c>
      <c r="AD109" s="209">
        <f t="shared" ref="AD109" si="2376">IF(R109&gt;nB,0,AD108*(1-X108)*(1-Y108)*(1-AE108)*(1-AF108))</f>
        <v>0</v>
      </c>
      <c r="AE109" s="92">
        <f t="shared" ca="1" si="1565"/>
        <v>0</v>
      </c>
      <c r="AF109" s="92">
        <f t="shared" ca="1" si="1566"/>
        <v>0</v>
      </c>
      <c r="AG109" s="664">
        <f t="shared" ca="1" si="1567"/>
        <v>0</v>
      </c>
      <c r="AH109" s="5">
        <f ca="1">+SUM(AG109:AG$124)</f>
        <v>0</v>
      </c>
      <c r="AI109" s="70">
        <f t="shared" ca="1" si="1568"/>
        <v>0</v>
      </c>
      <c r="AJ109" s="208">
        <f ca="1">+SUM(AB109:AB$124)*SS50J</f>
        <v>0</v>
      </c>
      <c r="AK109" s="5">
        <f t="shared" ca="1" si="1603"/>
        <v>99999.012970709329</v>
      </c>
      <c r="AL109" s="2">
        <f t="shared" ref="AL109" ca="1" si="2377">IFERROR(VLOOKUP($S109,qx_table,MATCH(AL$11,qx_title,0)+sexB),0)</f>
        <v>0</v>
      </c>
      <c r="AM109" s="131">
        <f t="shared" ca="1" si="1605"/>
        <v>11551.915287397827</v>
      </c>
      <c r="AN109" s="129">
        <f t="shared" ref="AN109:AN124" ca="1" si="2378">AK109*AL109*(1-CHOOSE(JRB,1,0)*$V109/2)*$P109</f>
        <v>0</v>
      </c>
      <c r="AO109" s="129">
        <f ca="1">SUM(AN109:AN$124)*SSa</f>
        <v>0</v>
      </c>
      <c r="AP109" s="70">
        <f t="shared" ca="1" si="1607"/>
        <v>99999.012970709329</v>
      </c>
      <c r="AQ109" s="2">
        <f t="shared" ref="AQ109" ca="1" si="2379">IFERROR(VLOOKUP($S109,qx_table,MATCH(AQ$11,qx_title,0)+sexB),0)</f>
        <v>0</v>
      </c>
      <c r="AR109" s="127">
        <f t="shared" ref="AR109:AR124" ca="1" si="2380">AP109*AQ109*(1-CHOOSE(JRB,1,0)*$V109/2)*$P109</f>
        <v>0</v>
      </c>
      <c r="AS109" s="127">
        <f ca="1">SUM(AR109:AR$124)*SSb</f>
        <v>0</v>
      </c>
      <c r="AT109" s="70">
        <f t="shared" ca="1" si="1610"/>
        <v>99999.012970709329</v>
      </c>
      <c r="AU109" s="2">
        <f t="shared" ref="AU109" ca="1" si="2381">IFERROR(VLOOKUP($S109,qx_table,MATCH(AU$11,qx_title,0)+sexB),0)</f>
        <v>0</v>
      </c>
      <c r="AV109" s="268">
        <f t="shared" ref="AV109:AV124" ca="1" si="2382">AT109*AU109*(1-CHOOSE(JRB,1,0)*$V109/2)*$P109</f>
        <v>0</v>
      </c>
      <c r="AW109" s="131">
        <f ca="1">SUM(AV109:AV$124)*SSc</f>
        <v>0</v>
      </c>
      <c r="AX109" s="70">
        <f t="shared" ca="1" si="1613"/>
        <v>99999.012970709329</v>
      </c>
      <c r="AY109" s="2">
        <f t="shared" ref="AY109" ca="1" si="2383">IFERROR(VLOOKUP($S109,qx_table,MATCH(AY$11,qx_title,0)+sexB),0)</f>
        <v>0</v>
      </c>
      <c r="AZ109" s="268">
        <f t="shared" ca="1" si="2348"/>
        <v>0</v>
      </c>
      <c r="BA109" s="129">
        <f ca="1">SUM(AZ109:AZ$124)*SSd</f>
        <v>0</v>
      </c>
      <c r="BB109" s="70">
        <f t="shared" ca="1" si="1615"/>
        <v>99999.012970709329</v>
      </c>
      <c r="BC109" s="257">
        <f t="shared" ref="BC109" ca="1" si="2384">IFERROR(VLOOKUP($S109,qx_table,MATCH(BC$11,qx_title,0)+sexB),0)</f>
        <v>0</v>
      </c>
      <c r="BD109" s="268">
        <f t="shared" ref="BD109:BD124" ca="1" si="2385">BB109*BC109*(1-CHOOSE(JRB,1,0)*$V109/2)*$P109</f>
        <v>0</v>
      </c>
      <c r="BE109" s="131">
        <f ca="1">SUM(BD109:BD$124)*SSe</f>
        <v>0</v>
      </c>
      <c r="BF109" s="70">
        <f t="shared" ca="1" si="1618"/>
        <v>99999.012970709329</v>
      </c>
      <c r="BG109" s="2">
        <f t="shared" ref="BG109" ca="1" si="2386">IFERROR(VLOOKUP($S109,qx_table,MATCH(BG$11,qx_title,0)+sexB),0)</f>
        <v>0</v>
      </c>
      <c r="BH109" s="131">
        <f t="shared" ref="BH109:BH124" ca="1" si="2387">BF109*BG109*(1-CHOOSE(JRB,1,0)*$V109/2)*$P109</f>
        <v>0</v>
      </c>
      <c r="BI109" s="2">
        <f ca="1">SUM(BH109:BH$124)*SSf</f>
        <v>0</v>
      </c>
      <c r="BJ109" s="70">
        <f t="shared" ca="1" si="1621"/>
        <v>99999.012970709329</v>
      </c>
      <c r="BK109" s="2">
        <f t="shared" ref="BK109" ca="1" si="2388">IFERROR(VLOOKUP($S109,qx_table,MATCH(BK$11,qx_title,0)+sexB),0)</f>
        <v>0</v>
      </c>
      <c r="BL109" s="131">
        <f t="shared" ref="BL109:BL124" ca="1" si="2389">BJ109*BK109*(1-CHOOSE(JRB,1,0)*$V109/2)*$P109</f>
        <v>0</v>
      </c>
      <c r="BM109" s="131">
        <f ca="1">SUM(BL109:BL$124)*SSg</f>
        <v>0</v>
      </c>
      <c r="BN109" s="70">
        <f t="shared" ca="1" si="1624"/>
        <v>99999.012970709329</v>
      </c>
      <c r="BO109" s="2">
        <f t="shared" ref="BO109" ca="1" si="2390">IFERROR(VLOOKUP($S109,qx_table,MATCH(BO$11,qx_title,0)+sexB),0)</f>
        <v>0</v>
      </c>
      <c r="BP109" s="131">
        <f t="shared" ref="BP109:BP124" ca="1" si="2391">BN109*BO109*(1-CHOOSE(JRB,1,0)*$V109/2)*$P109</f>
        <v>0</v>
      </c>
      <c r="BQ109" s="131">
        <f ca="1">SUM(BP109:BP$124)*SSh</f>
        <v>0</v>
      </c>
      <c r="BR109" s="70">
        <f t="shared" ca="1" si="1627"/>
        <v>99999.012970709329</v>
      </c>
      <c r="BS109" s="2">
        <f t="shared" ref="BS109" ca="1" si="2392">IFERROR(VLOOKUP($S109,qx_table,MATCH(BS$11,qx_title,0)+sexB),0)*IF(R109=0,MCi,1)</f>
        <v>0</v>
      </c>
      <c r="BT109" s="131">
        <f t="shared" ref="BT109:BT124" ca="1" si="2393">BR109*BS109*(1-CHOOSE(JRB,1,0)*$V109/2)*$P109</f>
        <v>0</v>
      </c>
      <c r="BU109" s="131">
        <f ca="1">SUM(BT109:BT$124)*SSi</f>
        <v>0</v>
      </c>
      <c r="BV109" s="70">
        <f t="shared" ca="1" si="1630"/>
        <v>99999.012970709329</v>
      </c>
      <c r="BW109" s="2">
        <f t="shared" ref="BW109" ca="1" si="2394">IFERROR(VLOOKUP($S109,qx_table,MATCH(BW$11,qx_title,0)+sexB),0)</f>
        <v>0</v>
      </c>
      <c r="BX109" s="131">
        <f t="shared" ref="BX109:BX124" ca="1" si="2395">BV109*BW109*(1-CHOOSE(JRB,1,0)*$V109/2)*$P109</f>
        <v>0</v>
      </c>
      <c r="BY109" s="131">
        <f ca="1">SUM(BX109:BX$124)*SSj</f>
        <v>0</v>
      </c>
      <c r="BZ109" s="70">
        <f t="shared" ca="1" si="1633"/>
        <v>99999.012970709329</v>
      </c>
      <c r="CA109" s="2">
        <f t="shared" ref="CA109" ca="1" si="2396">IFERROR(VLOOKUP($S109,qx_table,MATCH(CA$11,qx_title,0)+sexB),0)</f>
        <v>0</v>
      </c>
      <c r="CB109" s="131">
        <f t="shared" ref="CB109:CB124" ca="1" si="2397">BZ109*CA109*(1-CHOOSE(JRB,1,0)*$V109/2)*$P109</f>
        <v>0</v>
      </c>
      <c r="CC109" s="131">
        <f ca="1">SUM(CB109:CB$124)*SSk</f>
        <v>0</v>
      </c>
      <c r="CD109" s="8">
        <f t="shared" ca="1" si="1636"/>
        <v>99999.012970709329</v>
      </c>
      <c r="CE109" s="2">
        <f t="shared" ref="CE109" ca="1" si="2398">IFERROR(VLOOKUP($S109,qx_table,MATCH(CE$11,qx_title,0)+sexB),0)</f>
        <v>0</v>
      </c>
      <c r="CF109" s="131">
        <f t="shared" ref="CF109:CF124" ca="1" si="2399">CD109*CE109*(1-CHOOSE(JRB,1,0)*$V109/2)*$P109</f>
        <v>0</v>
      </c>
      <c r="CG109" s="131">
        <f ca="1">SUM(CF109:CF$124)*SSl</f>
        <v>0</v>
      </c>
      <c r="CH109" s="101">
        <f t="shared" ca="1" si="1639"/>
        <v>0</v>
      </c>
      <c r="CI109" s="154">
        <f t="shared" ca="1" si="2357"/>
        <v>0</v>
      </c>
      <c r="CJ109" s="32">
        <f t="shared" ref="CJ109" ca="1" si="2400">+MAX(VLOOKUP(xB+$R109,기수표B,$AH$1)-VLOOKUP(xB+mB,기수표B,$AH$1),0)</f>
        <v>0</v>
      </c>
      <c r="CK109" s="32">
        <f t="shared" ref="CK109" ca="1" si="2401">+MAX(VLOOKUP(xB+$R109,기수표B,$AH$1)-VLOOKUP(xB+mB,기수표B,$AH$1)-11/24*(VLOOKUP(xB+$R109,기수표B,$AG$1)-VLOOKUP(xB+mB,기수표B,$AG$1)),0)</f>
        <v>0</v>
      </c>
      <c r="CL109" s="32">
        <f t="shared" ref="CL109" ca="1" si="2402">+MAX(VLOOKUP(xB+$R109,기수표B,$AA$1)-VLOOKUP(xB+mB,기수표B,$AA$1),0)</f>
        <v>0</v>
      </c>
      <c r="CM109" s="32">
        <f t="shared" ref="CM109" ca="1" si="2403">+MAX(VLOOKUP(xB+$R109,기수표B,$AA$1)-VLOOKUP(xB+mB,기수표B,$AA$1)-11/24*(VLOOKUP(xB+$R109,기수표B,$AA$1)-VLOOKUP(xB+mB,기수표B,$AA$1)),0)</f>
        <v>0</v>
      </c>
      <c r="CN109" s="32">
        <f t="shared" si="2362"/>
        <v>0</v>
      </c>
      <c r="CO109" s="32">
        <f t="shared" ca="1" si="2363"/>
        <v>0</v>
      </c>
      <c r="CP109" s="259">
        <f t="shared" ca="1" si="2364"/>
        <v>0</v>
      </c>
      <c r="CQ109" s="259">
        <f t="shared" ca="1" si="2365"/>
        <v>0</v>
      </c>
      <c r="CR109" s="259" t="e">
        <f t="shared" ca="1" si="2366"/>
        <v>#DIV/0!</v>
      </c>
      <c r="CS109" s="31">
        <f t="shared" ref="CS109" si="2404">+MIN(mB,7)</f>
        <v>5</v>
      </c>
      <c r="CU109" s="13">
        <v>97</v>
      </c>
      <c r="CV109" s="477">
        <f t="shared" ca="1" si="2368"/>
        <v>420</v>
      </c>
      <c r="CW109" s="477" t="e">
        <f t="shared" ca="1" si="2369"/>
        <v>#DIV/0!</v>
      </c>
      <c r="CX109" s="477">
        <f t="shared" ca="1" si="2370"/>
        <v>0</v>
      </c>
      <c r="CY109" s="478">
        <f t="shared" ca="1" si="1645"/>
        <v>0</v>
      </c>
    </row>
    <row r="110" spans="3:103">
      <c r="C110" s="33"/>
      <c r="D110" s="33"/>
      <c r="E110" s="16"/>
      <c r="N110" s="5">
        <f t="shared" si="1646"/>
        <v>98</v>
      </c>
      <c r="O110" s="2">
        <f t="shared" ref="O110" ca="1" si="2405">+(1+iB)^-N110</f>
        <v>0.11297828175365064</v>
      </c>
      <c r="P110" s="2">
        <f t="shared" ref="P110" ca="1" si="2406">+(1+iB)^-(N110+0.5)</f>
        <v>0.1117283299107819</v>
      </c>
      <c r="Q110" s="91"/>
      <c r="R110" s="20">
        <f t="shared" si="1649"/>
        <v>98</v>
      </c>
      <c r="S110" s="20" t="str">
        <f t="shared" ref="S110" si="2407">+IF(xB+R110&lt;=xB+nB,xB+R110,"")</f>
        <v/>
      </c>
      <c r="T110" s="2">
        <f t="shared" ref="T110:U110" ca="1" si="2408">IFERROR(VLOOKUP($S110,qx_table,MATCH(T$11,qx_title,0)+sexB),0)</f>
        <v>0</v>
      </c>
      <c r="U110" s="2">
        <f t="shared" ca="1" si="2408"/>
        <v>0</v>
      </c>
      <c r="V110" s="300">
        <f>IF(JRB=2,0,IF(R110&gt;=mB-1,_xlfn.XLOOKUP(R110-mB,해지율!#REF!,해지율!#REF!,,1),_xlfn.XLOOKUP(R110,해지율!#REF!,해지율!#REF!,,-1)))</f>
        <v>0</v>
      </c>
      <c r="W110" s="8">
        <f t="shared" ref="W110" si="2409">IF(R110=0,100000,IF(R110&gt;nB,0,W109*(1-X109)*(1-Y109)))</f>
        <v>0</v>
      </c>
      <c r="X110" s="10">
        <f t="shared" ca="1" si="1561"/>
        <v>0</v>
      </c>
      <c r="Y110" s="10">
        <f t="shared" ca="1" si="1562"/>
        <v>0</v>
      </c>
      <c r="Z110" s="5">
        <f t="shared" ca="1" si="1601"/>
        <v>0</v>
      </c>
      <c r="AA110" s="5">
        <f ca="1">+SUM(Z110:Z$124)</f>
        <v>0</v>
      </c>
      <c r="AB110" s="8">
        <f t="shared" ca="1" si="1563"/>
        <v>0</v>
      </c>
      <c r="AC110" s="209">
        <f ca="1">+SUM(AB110:AB$124)*SSSM</f>
        <v>0</v>
      </c>
      <c r="AD110" s="209">
        <f t="shared" ref="AD110" si="2410">IF(R110&gt;nB,0,AD109*(1-X109)*(1-Y109)*(1-AE109)*(1-AF109))</f>
        <v>0</v>
      </c>
      <c r="AE110" s="92">
        <f t="shared" ca="1" si="1565"/>
        <v>0</v>
      </c>
      <c r="AF110" s="92">
        <f t="shared" ca="1" si="1566"/>
        <v>0</v>
      </c>
      <c r="AG110" s="664">
        <f t="shared" ca="1" si="1567"/>
        <v>0</v>
      </c>
      <c r="AH110" s="5">
        <f ca="1">+SUM(AG110:AG$124)</f>
        <v>0</v>
      </c>
      <c r="AI110" s="70">
        <f t="shared" ca="1" si="1568"/>
        <v>0</v>
      </c>
      <c r="AJ110" s="208">
        <f ca="1">+SUM(AB110:AB$124)*SS50J</f>
        <v>0</v>
      </c>
      <c r="AK110" s="5">
        <f t="shared" ca="1" si="1603"/>
        <v>99999.012970709329</v>
      </c>
      <c r="AL110" s="2">
        <f t="shared" ref="AL110" ca="1" si="2411">IFERROR(VLOOKUP($S110,qx_table,MATCH(AL$11,qx_title,0)+sexB),0)</f>
        <v>0</v>
      </c>
      <c r="AM110" s="131">
        <f t="shared" ca="1" si="1605"/>
        <v>11297.716662491765</v>
      </c>
      <c r="AN110" s="129">
        <f t="shared" ca="1" si="2378"/>
        <v>0</v>
      </c>
      <c r="AO110" s="129">
        <f ca="1">SUM(AN110:AN$124)*SSa</f>
        <v>0</v>
      </c>
      <c r="AP110" s="70">
        <f t="shared" ca="1" si="1607"/>
        <v>99999.012970709329</v>
      </c>
      <c r="AQ110" s="2">
        <f t="shared" ref="AQ110" ca="1" si="2412">IFERROR(VLOOKUP($S110,qx_table,MATCH(AQ$11,qx_title,0)+sexB),0)</f>
        <v>0</v>
      </c>
      <c r="AR110" s="127">
        <f t="shared" ca="1" si="2380"/>
        <v>0</v>
      </c>
      <c r="AS110" s="127">
        <f ca="1">SUM(AR110:AR$124)*SSb</f>
        <v>0</v>
      </c>
      <c r="AT110" s="70">
        <f t="shared" ca="1" si="1610"/>
        <v>99999.012970709329</v>
      </c>
      <c r="AU110" s="2">
        <f t="shared" ref="AU110" ca="1" si="2413">IFERROR(VLOOKUP($S110,qx_table,MATCH(AU$11,qx_title,0)+sexB),0)</f>
        <v>0</v>
      </c>
      <c r="AV110" s="268">
        <f t="shared" ca="1" si="2382"/>
        <v>0</v>
      </c>
      <c r="AW110" s="131">
        <f ca="1">SUM(AV110:AV$124)*SSc</f>
        <v>0</v>
      </c>
      <c r="AX110" s="70">
        <f t="shared" ca="1" si="1613"/>
        <v>99999.012970709329</v>
      </c>
      <c r="AY110" s="2">
        <f t="shared" ref="AY110" ca="1" si="2414">IFERROR(VLOOKUP($S110,qx_table,MATCH(AY$11,qx_title,0)+sexB),0)</f>
        <v>0</v>
      </c>
      <c r="AZ110" s="268">
        <f t="shared" ca="1" si="2348"/>
        <v>0</v>
      </c>
      <c r="BA110" s="129">
        <f ca="1">SUM(AZ110:AZ$124)*SSd</f>
        <v>0</v>
      </c>
      <c r="BB110" s="70">
        <f t="shared" ca="1" si="1615"/>
        <v>99999.012970709329</v>
      </c>
      <c r="BC110" s="257">
        <f t="shared" ref="BC110" ca="1" si="2415">IFERROR(VLOOKUP($S110,qx_table,MATCH(BC$11,qx_title,0)+sexB),0)</f>
        <v>0</v>
      </c>
      <c r="BD110" s="268">
        <f t="shared" ca="1" si="2385"/>
        <v>0</v>
      </c>
      <c r="BE110" s="131">
        <f ca="1">SUM(BD110:BD$124)*SSe</f>
        <v>0</v>
      </c>
      <c r="BF110" s="70">
        <f t="shared" ca="1" si="1618"/>
        <v>99999.012970709329</v>
      </c>
      <c r="BG110" s="2">
        <f t="shared" ref="BG110" ca="1" si="2416">IFERROR(VLOOKUP($S110,qx_table,MATCH(BG$11,qx_title,0)+sexB),0)</f>
        <v>0</v>
      </c>
      <c r="BH110" s="131">
        <f t="shared" ca="1" si="2387"/>
        <v>0</v>
      </c>
      <c r="BI110" s="2">
        <f ca="1">SUM(BH110:BH$124)*SSf</f>
        <v>0</v>
      </c>
      <c r="BJ110" s="70">
        <f t="shared" ca="1" si="1621"/>
        <v>99999.012970709329</v>
      </c>
      <c r="BK110" s="2">
        <f t="shared" ref="BK110" ca="1" si="2417">IFERROR(VLOOKUP($S110,qx_table,MATCH(BK$11,qx_title,0)+sexB),0)</f>
        <v>0</v>
      </c>
      <c r="BL110" s="131">
        <f t="shared" ca="1" si="2389"/>
        <v>0</v>
      </c>
      <c r="BM110" s="131">
        <f ca="1">SUM(BL110:BL$124)*SSg</f>
        <v>0</v>
      </c>
      <c r="BN110" s="70">
        <f t="shared" ca="1" si="1624"/>
        <v>99999.012970709329</v>
      </c>
      <c r="BO110" s="2">
        <f t="shared" ref="BO110" ca="1" si="2418">IFERROR(VLOOKUP($S110,qx_table,MATCH(BO$11,qx_title,0)+sexB),0)</f>
        <v>0</v>
      </c>
      <c r="BP110" s="131">
        <f t="shared" ca="1" si="2391"/>
        <v>0</v>
      </c>
      <c r="BQ110" s="131">
        <f ca="1">SUM(BP110:BP$124)*SSh</f>
        <v>0</v>
      </c>
      <c r="BR110" s="70">
        <f t="shared" ca="1" si="1627"/>
        <v>99999.012970709329</v>
      </c>
      <c r="BS110" s="2">
        <f t="shared" ref="BS110" ca="1" si="2419">IFERROR(VLOOKUP($S110,qx_table,MATCH(BS$11,qx_title,0)+sexB),0)*IF(R110=0,MCi,1)</f>
        <v>0</v>
      </c>
      <c r="BT110" s="131">
        <f t="shared" ca="1" si="2393"/>
        <v>0</v>
      </c>
      <c r="BU110" s="131">
        <f ca="1">SUM(BT110:BT$124)*SSi</f>
        <v>0</v>
      </c>
      <c r="BV110" s="70">
        <f t="shared" ca="1" si="1630"/>
        <v>99999.012970709329</v>
      </c>
      <c r="BW110" s="2">
        <f t="shared" ref="BW110" ca="1" si="2420">IFERROR(VLOOKUP($S110,qx_table,MATCH(BW$11,qx_title,0)+sexB),0)</f>
        <v>0</v>
      </c>
      <c r="BX110" s="131">
        <f t="shared" ca="1" si="2395"/>
        <v>0</v>
      </c>
      <c r="BY110" s="131">
        <f ca="1">SUM(BX110:BX$124)*SSj</f>
        <v>0</v>
      </c>
      <c r="BZ110" s="70">
        <f t="shared" ca="1" si="1633"/>
        <v>99999.012970709329</v>
      </c>
      <c r="CA110" s="2">
        <f t="shared" ref="CA110" ca="1" si="2421">IFERROR(VLOOKUP($S110,qx_table,MATCH(CA$11,qx_title,0)+sexB),0)</f>
        <v>0</v>
      </c>
      <c r="CB110" s="131">
        <f t="shared" ca="1" si="2397"/>
        <v>0</v>
      </c>
      <c r="CC110" s="131">
        <f ca="1">SUM(CB110:CB$124)*SSk</f>
        <v>0</v>
      </c>
      <c r="CD110" s="8">
        <f t="shared" ca="1" si="1636"/>
        <v>99999.012970709329</v>
      </c>
      <c r="CE110" s="2">
        <f t="shared" ref="CE110" ca="1" si="2422">IFERROR(VLOOKUP($S110,qx_table,MATCH(CE$11,qx_title,0)+sexB),0)</f>
        <v>0</v>
      </c>
      <c r="CF110" s="131">
        <f t="shared" ca="1" si="2399"/>
        <v>0</v>
      </c>
      <c r="CG110" s="131">
        <f ca="1">SUM(CF110:CF$124)*SSl</f>
        <v>0</v>
      </c>
      <c r="CH110" s="101">
        <f t="shared" ca="1" si="1639"/>
        <v>0</v>
      </c>
      <c r="CI110" s="154">
        <f t="shared" ca="1" si="2357"/>
        <v>0</v>
      </c>
      <c r="CJ110" s="32">
        <f t="shared" ref="CJ110" ca="1" si="2423">+MAX(VLOOKUP(xB+$R110,기수표B,$AH$1)-VLOOKUP(xB+mB,기수표B,$AH$1),0)</f>
        <v>0</v>
      </c>
      <c r="CK110" s="32">
        <f t="shared" ref="CK110" ca="1" si="2424">+MAX(VLOOKUP(xB+$R110,기수표B,$AH$1)-VLOOKUP(xB+mB,기수표B,$AH$1)-11/24*(VLOOKUP(xB+$R110,기수표B,$AG$1)-VLOOKUP(xB+mB,기수표B,$AG$1)),0)</f>
        <v>0</v>
      </c>
      <c r="CL110" s="32">
        <f t="shared" ref="CL110" ca="1" si="2425">+MAX(VLOOKUP(xB+$R110,기수표B,$AA$1)-VLOOKUP(xB+mB,기수표B,$AA$1),0)</f>
        <v>0</v>
      </c>
      <c r="CM110" s="32">
        <f t="shared" ref="CM110" ca="1" si="2426">+MAX(VLOOKUP(xB+$R110,기수표B,$AA$1)-VLOOKUP(xB+mB,기수표B,$AA$1)-11/24*(VLOOKUP(xB+$R110,기수표B,$AA$1)-VLOOKUP(xB+mB,기수표B,$AA$1)),0)</f>
        <v>0</v>
      </c>
      <c r="CN110" s="32">
        <f t="shared" si="2362"/>
        <v>0</v>
      </c>
      <c r="CO110" s="32">
        <f t="shared" ca="1" si="2363"/>
        <v>0</v>
      </c>
      <c r="CP110" s="259">
        <f t="shared" ca="1" si="2364"/>
        <v>0</v>
      </c>
      <c r="CQ110" s="259">
        <f t="shared" ca="1" si="2365"/>
        <v>0</v>
      </c>
      <c r="CR110" s="259" t="e">
        <f t="shared" ca="1" si="2366"/>
        <v>#DIV/0!</v>
      </c>
      <c r="CS110" s="31">
        <f t="shared" ref="CS110" si="2427">+MIN(mB,7)</f>
        <v>5</v>
      </c>
      <c r="CU110" s="13">
        <v>98</v>
      </c>
      <c r="CV110" s="477">
        <f t="shared" ca="1" si="2368"/>
        <v>420</v>
      </c>
      <c r="CW110" s="477" t="e">
        <f t="shared" ca="1" si="2369"/>
        <v>#DIV/0!</v>
      </c>
      <c r="CX110" s="477">
        <f t="shared" ca="1" si="2370"/>
        <v>0</v>
      </c>
      <c r="CY110" s="478">
        <f t="shared" ca="1" si="1645"/>
        <v>0</v>
      </c>
    </row>
    <row r="111" spans="3:103">
      <c r="C111" s="33"/>
      <c r="D111" s="33"/>
      <c r="E111" s="16"/>
      <c r="N111" s="5">
        <f t="shared" si="1646"/>
        <v>99</v>
      </c>
      <c r="O111" s="2">
        <f t="shared" ref="O111" ca="1" si="2428">+(1+iB)^-N111</f>
        <v>0.11049220709403487</v>
      </c>
      <c r="P111" s="2">
        <f t="shared" ref="P111" ca="1" si="2429">+(1+iB)^-(N111+0.5)</f>
        <v>0.10926976030394316</v>
      </c>
      <c r="Q111" s="91"/>
      <c r="R111" s="20">
        <f t="shared" si="1649"/>
        <v>99</v>
      </c>
      <c r="S111" s="20" t="str">
        <f t="shared" ref="S111" si="2430">+IF(xB+R111&lt;=xB+nB,xB+R111,"")</f>
        <v/>
      </c>
      <c r="T111" s="2">
        <f t="shared" ref="T111:U111" ca="1" si="2431">IFERROR(VLOOKUP($S111,qx_table,MATCH(T$11,qx_title,0)+sexB),0)</f>
        <v>0</v>
      </c>
      <c r="U111" s="2">
        <f t="shared" ca="1" si="2431"/>
        <v>0</v>
      </c>
      <c r="V111" s="300">
        <f>IF(JRB=2,0,IF(R111&gt;=mB-1,_xlfn.XLOOKUP(R111-mB,해지율!#REF!,해지율!#REF!,,1),_xlfn.XLOOKUP(R111,해지율!#REF!,해지율!#REF!,,-1)))</f>
        <v>0</v>
      </c>
      <c r="W111" s="8">
        <f t="shared" ref="W111" si="2432">IF(R111=0,100000,IF(R111&gt;nB,0,W110*(1-X110)*(1-Y110)))</f>
        <v>0</v>
      </c>
      <c r="X111" s="10">
        <f t="shared" ca="1" si="1561"/>
        <v>0</v>
      </c>
      <c r="Y111" s="10">
        <f t="shared" ca="1" si="1562"/>
        <v>0</v>
      </c>
      <c r="Z111" s="5">
        <f t="shared" ca="1" si="1601"/>
        <v>0</v>
      </c>
      <c r="AA111" s="5">
        <f ca="1">+SUM(Z111:Z$124)</f>
        <v>0</v>
      </c>
      <c r="AB111" s="8">
        <f t="shared" ca="1" si="1563"/>
        <v>0</v>
      </c>
      <c r="AC111" s="209">
        <f ca="1">+SUM(AB111:AB$124)*SSSM</f>
        <v>0</v>
      </c>
      <c r="AD111" s="209">
        <f t="shared" ref="AD111" si="2433">IF(R111&gt;nB,0,AD110*(1-X110)*(1-Y110)*(1-AE110)*(1-AF110))</f>
        <v>0</v>
      </c>
      <c r="AE111" s="92">
        <f t="shared" ca="1" si="1565"/>
        <v>0</v>
      </c>
      <c r="AF111" s="92">
        <f t="shared" ca="1" si="1566"/>
        <v>0</v>
      </c>
      <c r="AG111" s="664">
        <f t="shared" ca="1" si="1567"/>
        <v>0</v>
      </c>
      <c r="AH111" s="5">
        <f ca="1">+SUM(AG111:AG$124)</f>
        <v>0</v>
      </c>
      <c r="AI111" s="70">
        <f t="shared" ca="1" si="1568"/>
        <v>0</v>
      </c>
      <c r="AJ111" s="208">
        <f ca="1">+SUM(AB111:AB$124)*SS50J</f>
        <v>0</v>
      </c>
      <c r="AK111" s="5">
        <f t="shared" ca="1" si="1603"/>
        <v>99999.012970709329</v>
      </c>
      <c r="AL111" s="2">
        <f t="shared" ref="AL111" ca="1" si="2434">IFERROR(VLOOKUP($S111,qx_table,MATCH(AL$11,qx_title,0)+sexB),0)</f>
        <v>0</v>
      </c>
      <c r="AM111" s="131">
        <f t="shared" ca="1" si="1605"/>
        <v>11049.111650358695</v>
      </c>
      <c r="AN111" s="129">
        <f t="shared" ca="1" si="2378"/>
        <v>0</v>
      </c>
      <c r="AO111" s="129">
        <f ca="1">SUM(AN111:AN$124)*SSa</f>
        <v>0</v>
      </c>
      <c r="AP111" s="70">
        <f t="shared" ca="1" si="1607"/>
        <v>99999.012970709329</v>
      </c>
      <c r="AQ111" s="2">
        <f t="shared" ref="AQ111" ca="1" si="2435">IFERROR(VLOOKUP($S111,qx_table,MATCH(AQ$11,qx_title,0)+sexB),0)</f>
        <v>0</v>
      </c>
      <c r="AR111" s="127">
        <f t="shared" ca="1" si="2380"/>
        <v>0</v>
      </c>
      <c r="AS111" s="127">
        <f ca="1">SUM(AR111:AR$124)*SSb</f>
        <v>0</v>
      </c>
      <c r="AT111" s="70">
        <f t="shared" ca="1" si="1610"/>
        <v>99999.012970709329</v>
      </c>
      <c r="AU111" s="2">
        <f t="shared" ref="AU111" ca="1" si="2436">IFERROR(VLOOKUP($S111,qx_table,MATCH(AU$11,qx_title,0)+sexB),0)</f>
        <v>0</v>
      </c>
      <c r="AV111" s="268">
        <f t="shared" ca="1" si="2382"/>
        <v>0</v>
      </c>
      <c r="AW111" s="131">
        <f ca="1">SUM(AV111:AV$124)*SSc</f>
        <v>0</v>
      </c>
      <c r="AX111" s="70">
        <f t="shared" ca="1" si="1613"/>
        <v>99999.012970709329</v>
      </c>
      <c r="AY111" s="2">
        <f t="shared" ref="AY111" ca="1" si="2437">IFERROR(VLOOKUP($S111,qx_table,MATCH(AY$11,qx_title,0)+sexB),0)</f>
        <v>0</v>
      </c>
      <c r="AZ111" s="268">
        <f t="shared" ca="1" si="2348"/>
        <v>0</v>
      </c>
      <c r="BA111" s="129">
        <f ca="1">SUM(AZ111:AZ$124)*SSd</f>
        <v>0</v>
      </c>
      <c r="BB111" s="70">
        <f t="shared" ca="1" si="1615"/>
        <v>99999.012970709329</v>
      </c>
      <c r="BC111" s="257">
        <f t="shared" ref="BC111" ca="1" si="2438">IFERROR(VLOOKUP($S111,qx_table,MATCH(BC$11,qx_title,0)+sexB),0)</f>
        <v>0</v>
      </c>
      <c r="BD111" s="268">
        <f t="shared" ca="1" si="2385"/>
        <v>0</v>
      </c>
      <c r="BE111" s="131">
        <f ca="1">SUM(BD111:BD$124)*SSe</f>
        <v>0</v>
      </c>
      <c r="BF111" s="70">
        <f t="shared" ca="1" si="1618"/>
        <v>99999.012970709329</v>
      </c>
      <c r="BG111" s="2">
        <f t="shared" ref="BG111" ca="1" si="2439">IFERROR(VLOOKUP($S111,qx_table,MATCH(BG$11,qx_title,0)+sexB),0)</f>
        <v>0</v>
      </c>
      <c r="BH111" s="131">
        <f t="shared" ca="1" si="2387"/>
        <v>0</v>
      </c>
      <c r="BI111" s="2">
        <f ca="1">SUM(BH111:BH$124)*SSf</f>
        <v>0</v>
      </c>
      <c r="BJ111" s="70">
        <f t="shared" ca="1" si="1621"/>
        <v>99999.012970709329</v>
      </c>
      <c r="BK111" s="2">
        <f t="shared" ref="BK111" ca="1" si="2440">IFERROR(VLOOKUP($S111,qx_table,MATCH(BK$11,qx_title,0)+sexB),0)</f>
        <v>0</v>
      </c>
      <c r="BL111" s="131">
        <f t="shared" ca="1" si="2389"/>
        <v>0</v>
      </c>
      <c r="BM111" s="131">
        <f ca="1">SUM(BL111:BL$124)*SSg</f>
        <v>0</v>
      </c>
      <c r="BN111" s="70">
        <f t="shared" ca="1" si="1624"/>
        <v>99999.012970709329</v>
      </c>
      <c r="BO111" s="2">
        <f t="shared" ref="BO111" ca="1" si="2441">IFERROR(VLOOKUP($S111,qx_table,MATCH(BO$11,qx_title,0)+sexB),0)</f>
        <v>0</v>
      </c>
      <c r="BP111" s="131">
        <f t="shared" ca="1" si="2391"/>
        <v>0</v>
      </c>
      <c r="BQ111" s="131">
        <f ca="1">SUM(BP111:BP$124)*SSh</f>
        <v>0</v>
      </c>
      <c r="BR111" s="70">
        <f t="shared" ca="1" si="1627"/>
        <v>99999.012970709329</v>
      </c>
      <c r="BS111" s="2">
        <f t="shared" ref="BS111" ca="1" si="2442">IFERROR(VLOOKUP($S111,qx_table,MATCH(BS$11,qx_title,0)+sexB),0)*IF(R111=0,MCi,1)</f>
        <v>0</v>
      </c>
      <c r="BT111" s="131">
        <f t="shared" ca="1" si="2393"/>
        <v>0</v>
      </c>
      <c r="BU111" s="131">
        <f ca="1">SUM(BT111:BT$124)*SSi</f>
        <v>0</v>
      </c>
      <c r="BV111" s="70">
        <f t="shared" ca="1" si="1630"/>
        <v>99999.012970709329</v>
      </c>
      <c r="BW111" s="2">
        <f t="shared" ref="BW111" ca="1" si="2443">IFERROR(VLOOKUP($S111,qx_table,MATCH(BW$11,qx_title,0)+sexB),0)</f>
        <v>0</v>
      </c>
      <c r="BX111" s="131">
        <f t="shared" ca="1" si="2395"/>
        <v>0</v>
      </c>
      <c r="BY111" s="131">
        <f ca="1">SUM(BX111:BX$124)*SSj</f>
        <v>0</v>
      </c>
      <c r="BZ111" s="70">
        <f t="shared" ca="1" si="1633"/>
        <v>99999.012970709329</v>
      </c>
      <c r="CA111" s="2">
        <f t="shared" ref="CA111" ca="1" si="2444">IFERROR(VLOOKUP($S111,qx_table,MATCH(CA$11,qx_title,0)+sexB),0)</f>
        <v>0</v>
      </c>
      <c r="CB111" s="131">
        <f t="shared" ca="1" si="2397"/>
        <v>0</v>
      </c>
      <c r="CC111" s="131">
        <f ca="1">SUM(CB111:CB$124)*SSk</f>
        <v>0</v>
      </c>
      <c r="CD111" s="8">
        <f t="shared" ca="1" si="1636"/>
        <v>99999.012970709329</v>
      </c>
      <c r="CE111" s="2">
        <f t="shared" ref="CE111" ca="1" si="2445">IFERROR(VLOOKUP($S111,qx_table,MATCH(CE$11,qx_title,0)+sexB),0)</f>
        <v>0</v>
      </c>
      <c r="CF111" s="131">
        <f t="shared" ca="1" si="2399"/>
        <v>0</v>
      </c>
      <c r="CG111" s="131">
        <f ca="1">SUM(CF111:CF$124)*SSl</f>
        <v>0</v>
      </c>
      <c r="CH111" s="101">
        <f t="shared" ca="1" si="1639"/>
        <v>0</v>
      </c>
      <c r="CI111" s="154">
        <f t="shared" ca="1" si="2357"/>
        <v>0</v>
      </c>
      <c r="CJ111" s="32">
        <f t="shared" ref="CJ111" ca="1" si="2446">+MAX(VLOOKUP(xB+$R111,기수표B,$AH$1)-VLOOKUP(xB+mB,기수표B,$AH$1),0)</f>
        <v>0</v>
      </c>
      <c r="CK111" s="32">
        <f t="shared" ref="CK111" ca="1" si="2447">+MAX(VLOOKUP(xB+$R111,기수표B,$AH$1)-VLOOKUP(xB+mB,기수표B,$AH$1)-11/24*(VLOOKUP(xB+$R111,기수표B,$AG$1)-VLOOKUP(xB+mB,기수표B,$AG$1)),0)</f>
        <v>0</v>
      </c>
      <c r="CL111" s="32">
        <f t="shared" ref="CL111" ca="1" si="2448">+MAX(VLOOKUP(xB+$R111,기수표B,$AA$1)-VLOOKUP(xB+mB,기수표B,$AA$1),0)</f>
        <v>0</v>
      </c>
      <c r="CM111" s="32">
        <f t="shared" ref="CM111" ca="1" si="2449">+MAX(VLOOKUP(xB+$R111,기수표B,$AA$1)-VLOOKUP(xB+mB,기수표B,$AA$1)-11/24*(VLOOKUP(xB+$R111,기수표B,$AA$1)-VLOOKUP(xB+mB,기수표B,$AA$1)),0)</f>
        <v>0</v>
      </c>
      <c r="CN111" s="32">
        <f t="shared" si="2362"/>
        <v>0</v>
      </c>
      <c r="CO111" s="32">
        <f t="shared" ca="1" si="2363"/>
        <v>0</v>
      </c>
      <c r="CP111" s="259">
        <f t="shared" ca="1" si="2364"/>
        <v>0</v>
      </c>
      <c r="CQ111" s="259">
        <f t="shared" ca="1" si="2365"/>
        <v>0</v>
      </c>
      <c r="CR111" s="259" t="e">
        <f t="shared" ca="1" si="2366"/>
        <v>#DIV/0!</v>
      </c>
      <c r="CS111" s="31">
        <f t="shared" ref="CS111" si="2450">+MIN(mB,7)</f>
        <v>5</v>
      </c>
      <c r="CU111" s="13">
        <v>99</v>
      </c>
      <c r="CV111" s="477">
        <f t="shared" ca="1" si="2368"/>
        <v>420</v>
      </c>
      <c r="CW111" s="477" t="e">
        <f t="shared" ca="1" si="2369"/>
        <v>#DIV/0!</v>
      </c>
      <c r="CX111" s="477">
        <f t="shared" ca="1" si="2370"/>
        <v>0</v>
      </c>
      <c r="CY111" s="478">
        <f t="shared" ca="1" si="1645"/>
        <v>0</v>
      </c>
    </row>
    <row r="112" spans="3:103">
      <c r="C112" s="33"/>
      <c r="D112" s="33"/>
      <c r="N112" s="5">
        <f t="shared" si="1646"/>
        <v>100</v>
      </c>
      <c r="O112" s="2">
        <f t="shared" ref="O112" ca="1" si="2451">+(1+iB)^-N112</f>
        <v>0.10806083823377494</v>
      </c>
      <c r="P112" s="2">
        <f t="shared" ref="P112" ca="1" si="2452">+(1+iB)^-(N112+0.5)</f>
        <v>0.10686529125080016</v>
      </c>
      <c r="Q112" s="91"/>
      <c r="R112" s="20">
        <f t="shared" si="1649"/>
        <v>100</v>
      </c>
      <c r="S112" s="20" t="str">
        <f t="shared" ref="S112" si="2453">+IF(xB+R112&lt;=xB+nB,xB+R112,"")</f>
        <v/>
      </c>
      <c r="T112" s="2">
        <f t="shared" ref="T112:U112" ca="1" si="2454">IFERROR(VLOOKUP($S112,qx_table,MATCH(T$11,qx_title,0)+sexB),0)</f>
        <v>0</v>
      </c>
      <c r="U112" s="2">
        <f t="shared" ca="1" si="2454"/>
        <v>0</v>
      </c>
      <c r="V112" s="300">
        <f>IF(JRB=2,0,IF(R112&gt;=mB-1,_xlfn.XLOOKUP(R112-mB,해지율!#REF!,해지율!#REF!,,1),_xlfn.XLOOKUP(R112,해지율!#REF!,해지율!#REF!,,-1)))</f>
        <v>0</v>
      </c>
      <c r="W112" s="8">
        <f t="shared" ref="W112" si="2455">IF(R112=0,100000,IF(R112&gt;nB,0,W111*(1-X111)*(1-Y111)))</f>
        <v>0</v>
      </c>
      <c r="X112" s="10">
        <f t="shared" ca="1" si="1561"/>
        <v>0</v>
      </c>
      <c r="Y112" s="10">
        <f t="shared" ca="1" si="1562"/>
        <v>0</v>
      </c>
      <c r="Z112" s="5">
        <f t="shared" ca="1" si="1601"/>
        <v>0</v>
      </c>
      <c r="AA112" s="5">
        <f ca="1">+SUM(Z112:Z$124)</f>
        <v>0</v>
      </c>
      <c r="AB112" s="8">
        <f t="shared" ca="1" si="1563"/>
        <v>0</v>
      </c>
      <c r="AC112" s="209">
        <f ca="1">+SUM(AB112:AB$124)*SSSM</f>
        <v>0</v>
      </c>
      <c r="AD112" s="209">
        <f t="shared" ref="AD112" si="2456">IF(R112&gt;nB,0,AD111*(1-X111)*(1-Y111)*(1-AE111)*(1-AF111))</f>
        <v>0</v>
      </c>
      <c r="AE112" s="92">
        <f t="shared" ca="1" si="1565"/>
        <v>0</v>
      </c>
      <c r="AF112" s="92">
        <f t="shared" ca="1" si="1566"/>
        <v>0</v>
      </c>
      <c r="AG112" s="664">
        <f t="shared" ca="1" si="1567"/>
        <v>0</v>
      </c>
      <c r="AH112" s="5">
        <f ca="1">+SUM(AG112:AG$124)</f>
        <v>0</v>
      </c>
      <c r="AI112" s="70">
        <f t="shared" ca="1" si="1568"/>
        <v>0</v>
      </c>
      <c r="AJ112" s="208">
        <f ca="1">+SUM(AB112:AB$124)*SS50J</f>
        <v>0</v>
      </c>
      <c r="AK112" s="5">
        <f t="shared" ca="1" si="1603"/>
        <v>99999.012970709329</v>
      </c>
      <c r="AL112" s="2">
        <f t="shared" ref="AL112" ca="1" si="2457">IFERROR(VLOOKUP($S112,qx_table,MATCH(AL$11,qx_title,0)+sexB),0)</f>
        <v>0</v>
      </c>
      <c r="AM112" s="131">
        <f t="shared" ca="1" si="1605"/>
        <v>10805.977164164982</v>
      </c>
      <c r="AN112" s="129">
        <f t="shared" ca="1" si="2378"/>
        <v>0</v>
      </c>
      <c r="AO112" s="129">
        <f ca="1">SUM(AN112:AN$124)*SSa</f>
        <v>0</v>
      </c>
      <c r="AP112" s="70">
        <f t="shared" ca="1" si="1607"/>
        <v>99999.012970709329</v>
      </c>
      <c r="AQ112" s="2">
        <f t="shared" ref="AQ112" ca="1" si="2458">IFERROR(VLOOKUP($S112,qx_table,MATCH(AQ$11,qx_title,0)+sexB),0)</f>
        <v>0</v>
      </c>
      <c r="AR112" s="127">
        <f t="shared" ca="1" si="2380"/>
        <v>0</v>
      </c>
      <c r="AS112" s="127">
        <f ca="1">SUM(AR112:AR$124)*SSb</f>
        <v>0</v>
      </c>
      <c r="AT112" s="70">
        <f t="shared" ca="1" si="1610"/>
        <v>99999.012970709329</v>
      </c>
      <c r="AU112" s="2">
        <f t="shared" ref="AU112" ca="1" si="2459">IFERROR(VLOOKUP($S112,qx_table,MATCH(AU$11,qx_title,0)+sexB),0)</f>
        <v>0</v>
      </c>
      <c r="AV112" s="268">
        <f t="shared" ca="1" si="2382"/>
        <v>0</v>
      </c>
      <c r="AW112" s="131">
        <f ca="1">SUM(AV112:AV$124)*SSc</f>
        <v>0</v>
      </c>
      <c r="AX112" s="70">
        <f t="shared" ca="1" si="1613"/>
        <v>99999.012970709329</v>
      </c>
      <c r="AY112" s="2">
        <f t="shared" ref="AY112" ca="1" si="2460">IFERROR(VLOOKUP($S112,qx_table,MATCH(AY$11,qx_title,0)+sexB),0)</f>
        <v>0</v>
      </c>
      <c r="AZ112" s="268">
        <f t="shared" ca="1" si="2348"/>
        <v>0</v>
      </c>
      <c r="BA112" s="129">
        <f ca="1">SUM(AZ112:AZ$124)*SSd</f>
        <v>0</v>
      </c>
      <c r="BB112" s="70">
        <f t="shared" ca="1" si="1615"/>
        <v>99999.012970709329</v>
      </c>
      <c r="BC112" s="257">
        <f t="shared" ref="BC112" ca="1" si="2461">IFERROR(VLOOKUP($S112,qx_table,MATCH(BC$11,qx_title,0)+sexB),0)</f>
        <v>0</v>
      </c>
      <c r="BD112" s="268">
        <f t="shared" ca="1" si="2385"/>
        <v>0</v>
      </c>
      <c r="BE112" s="131">
        <f ca="1">SUM(BD112:BD$124)*SSe</f>
        <v>0</v>
      </c>
      <c r="BF112" s="70">
        <f t="shared" ca="1" si="1618"/>
        <v>99999.012970709329</v>
      </c>
      <c r="BG112" s="2">
        <f t="shared" ref="BG112" ca="1" si="2462">IFERROR(VLOOKUP($S112,qx_table,MATCH(BG$11,qx_title,0)+sexB),0)</f>
        <v>0</v>
      </c>
      <c r="BH112" s="131">
        <f t="shared" ca="1" si="2387"/>
        <v>0</v>
      </c>
      <c r="BI112" s="2">
        <f ca="1">SUM(BH112:BH$124)*SSf</f>
        <v>0</v>
      </c>
      <c r="BJ112" s="70">
        <f t="shared" ca="1" si="1621"/>
        <v>99999.012970709329</v>
      </c>
      <c r="BK112" s="2">
        <f t="shared" ref="BK112" ca="1" si="2463">IFERROR(VLOOKUP($S112,qx_table,MATCH(BK$11,qx_title,0)+sexB),0)</f>
        <v>0</v>
      </c>
      <c r="BL112" s="131">
        <f t="shared" ca="1" si="2389"/>
        <v>0</v>
      </c>
      <c r="BM112" s="131">
        <f ca="1">SUM(BL112:BL$124)*SSg</f>
        <v>0</v>
      </c>
      <c r="BN112" s="70">
        <f t="shared" ca="1" si="1624"/>
        <v>99999.012970709329</v>
      </c>
      <c r="BO112" s="2">
        <f t="shared" ref="BO112" ca="1" si="2464">IFERROR(VLOOKUP($S112,qx_table,MATCH(BO$11,qx_title,0)+sexB),0)</f>
        <v>0</v>
      </c>
      <c r="BP112" s="131">
        <f t="shared" ca="1" si="2391"/>
        <v>0</v>
      </c>
      <c r="BQ112" s="131">
        <f ca="1">SUM(BP112:BP$124)*SSh</f>
        <v>0</v>
      </c>
      <c r="BR112" s="70">
        <f t="shared" ca="1" si="1627"/>
        <v>99999.012970709329</v>
      </c>
      <c r="BS112" s="2">
        <f t="shared" ref="BS112" ca="1" si="2465">IFERROR(VLOOKUP($S112,qx_table,MATCH(BS$11,qx_title,0)+sexB),0)*IF(R112=0,MCi,1)</f>
        <v>0</v>
      </c>
      <c r="BT112" s="131">
        <f t="shared" ca="1" si="2393"/>
        <v>0</v>
      </c>
      <c r="BU112" s="131">
        <f ca="1">SUM(BT112:BT$124)*SSi</f>
        <v>0</v>
      </c>
      <c r="BV112" s="70">
        <f t="shared" ca="1" si="1630"/>
        <v>99999.012970709329</v>
      </c>
      <c r="BW112" s="2">
        <f t="shared" ref="BW112" ca="1" si="2466">IFERROR(VLOOKUP($S112,qx_table,MATCH(BW$11,qx_title,0)+sexB),0)</f>
        <v>0</v>
      </c>
      <c r="BX112" s="131">
        <f t="shared" ca="1" si="2395"/>
        <v>0</v>
      </c>
      <c r="BY112" s="131">
        <f ca="1">SUM(BX112:BX$124)*SSj</f>
        <v>0</v>
      </c>
      <c r="BZ112" s="70">
        <f t="shared" ca="1" si="1633"/>
        <v>99999.012970709329</v>
      </c>
      <c r="CA112" s="2">
        <f t="shared" ref="CA112" ca="1" si="2467">IFERROR(VLOOKUP($S112,qx_table,MATCH(CA$11,qx_title,0)+sexB),0)</f>
        <v>0</v>
      </c>
      <c r="CB112" s="131">
        <f t="shared" ca="1" si="2397"/>
        <v>0</v>
      </c>
      <c r="CC112" s="131">
        <f ca="1">SUM(CB112:CB$124)*SSk</f>
        <v>0</v>
      </c>
      <c r="CD112" s="8">
        <f t="shared" ca="1" si="1636"/>
        <v>99999.012970709329</v>
      </c>
      <c r="CE112" s="2">
        <f t="shared" ref="CE112" ca="1" si="2468">IFERROR(VLOOKUP($S112,qx_table,MATCH(CE$11,qx_title,0)+sexB),0)</f>
        <v>0</v>
      </c>
      <c r="CF112" s="131">
        <f t="shared" ca="1" si="2399"/>
        <v>0</v>
      </c>
      <c r="CG112" s="131">
        <f ca="1">SUM(CF112:CF$124)*SSl</f>
        <v>0</v>
      </c>
      <c r="CH112" s="101">
        <f t="shared" ca="1" si="1639"/>
        <v>0</v>
      </c>
      <c r="CI112" s="154">
        <f t="shared" ca="1" si="2357"/>
        <v>0</v>
      </c>
      <c r="CJ112" s="32">
        <f t="shared" ref="CJ112" ca="1" si="2469">+MAX(VLOOKUP(xB+$R112,기수표B,$AH$1)-VLOOKUP(xB+mB,기수표B,$AH$1),0)</f>
        <v>0</v>
      </c>
      <c r="CK112" s="32">
        <f t="shared" ref="CK112" ca="1" si="2470">+MAX(VLOOKUP(xB+$R112,기수표B,$AH$1)-VLOOKUP(xB+mB,기수표B,$AH$1)-11/24*(VLOOKUP(xB+$R112,기수표B,$AG$1)-VLOOKUP(xB+mB,기수표B,$AG$1)),0)</f>
        <v>0</v>
      </c>
      <c r="CL112" s="32">
        <f t="shared" ref="CL112" ca="1" si="2471">+MAX(VLOOKUP(xB+$R112,기수표B,$AA$1)-VLOOKUP(xB+mB,기수표B,$AA$1),0)</f>
        <v>0</v>
      </c>
      <c r="CM112" s="32">
        <f t="shared" ref="CM112" ca="1" si="2472">+MAX(VLOOKUP(xB+$R112,기수표B,$AA$1)-VLOOKUP(xB+mB,기수표B,$AA$1)-11/24*(VLOOKUP(xB+$R112,기수표B,$AA$1)-VLOOKUP(xB+mB,기수표B,$AA$1)),0)</f>
        <v>0</v>
      </c>
      <c r="CN112" s="32">
        <f t="shared" si="2362"/>
        <v>0</v>
      </c>
      <c r="CO112" s="32">
        <f t="shared" ca="1" si="2363"/>
        <v>0</v>
      </c>
      <c r="CP112" s="259">
        <f t="shared" ca="1" si="2364"/>
        <v>0</v>
      </c>
      <c r="CQ112" s="259">
        <f t="shared" ca="1" si="2365"/>
        <v>0</v>
      </c>
      <c r="CR112" s="259" t="e">
        <f t="shared" ca="1" si="2366"/>
        <v>#DIV/0!</v>
      </c>
      <c r="CS112" s="31">
        <f t="shared" ref="CS112" si="2473">+MIN(mB,7)</f>
        <v>5</v>
      </c>
      <c r="CU112" s="13">
        <v>100</v>
      </c>
      <c r="CV112" s="477">
        <f t="shared" ca="1" si="2368"/>
        <v>420</v>
      </c>
      <c r="CW112" s="477" t="e">
        <f t="shared" ca="1" si="2369"/>
        <v>#DIV/0!</v>
      </c>
      <c r="CX112" s="477">
        <f t="shared" ca="1" si="2370"/>
        <v>0</v>
      </c>
      <c r="CY112" s="478">
        <f t="shared" ca="1" si="1645"/>
        <v>0</v>
      </c>
    </row>
    <row r="113" spans="3:103">
      <c r="C113" s="33"/>
      <c r="D113" s="33"/>
      <c r="N113" s="5">
        <f t="shared" si="1646"/>
        <v>101</v>
      </c>
      <c r="O113" s="2">
        <f t="shared" ref="O113" ca="1" si="2474">+(1+iB)^-N113</f>
        <v>0.10568297137777498</v>
      </c>
      <c r="P113" s="2">
        <f t="shared" ref="P113" ca="1" si="2475">+(1+iB)^-(N113+0.5)</f>
        <v>0.10451373227462121</v>
      </c>
      <c r="Q113" s="91"/>
      <c r="R113" s="20">
        <f t="shared" si="1649"/>
        <v>101</v>
      </c>
      <c r="S113" s="20" t="str">
        <f t="shared" ref="S113" si="2476">+IF(xB+R113&lt;=xB+nB,xB+R113,"")</f>
        <v/>
      </c>
      <c r="T113" s="2">
        <f t="shared" ref="T113:U113" ca="1" si="2477">IFERROR(VLOOKUP($S113,qx_table,MATCH(T$11,qx_title,0)+sexB),0)</f>
        <v>0</v>
      </c>
      <c r="U113" s="2">
        <f t="shared" ca="1" si="2477"/>
        <v>0</v>
      </c>
      <c r="V113" s="300">
        <f>IF(JRB=2,0,IF(R113&gt;=mB-1,_xlfn.XLOOKUP(R113-mB,해지율!#REF!,해지율!#REF!,,1),_xlfn.XLOOKUP(R113,해지율!#REF!,해지율!#REF!,,-1)))</f>
        <v>0</v>
      </c>
      <c r="W113" s="8">
        <f t="shared" ref="W113" si="2478">IF(R113=0,100000,IF(R113&gt;nB,0,W112*(1-X112)*(1-Y112)))</f>
        <v>0</v>
      </c>
      <c r="X113" s="10">
        <f t="shared" ca="1" si="1561"/>
        <v>0</v>
      </c>
      <c r="Y113" s="10">
        <f t="shared" ca="1" si="1562"/>
        <v>0</v>
      </c>
      <c r="Z113" s="5">
        <f t="shared" ca="1" si="1601"/>
        <v>0</v>
      </c>
      <c r="AA113" s="5">
        <f ca="1">+SUM(Z113:Z$124)</f>
        <v>0</v>
      </c>
      <c r="AB113" s="8">
        <f t="shared" ca="1" si="1563"/>
        <v>0</v>
      </c>
      <c r="AC113" s="209">
        <f ca="1">+SUM(AB113:AB$124)*SSSM</f>
        <v>0</v>
      </c>
      <c r="AD113" s="209">
        <f t="shared" ref="AD113" si="2479">IF(R113&gt;nB,0,AD112*(1-X112)*(1-Y112)*(1-AE112)*(1-AF112))</f>
        <v>0</v>
      </c>
      <c r="AE113" s="92">
        <f t="shared" ca="1" si="1565"/>
        <v>0</v>
      </c>
      <c r="AF113" s="92">
        <f t="shared" ca="1" si="1566"/>
        <v>0</v>
      </c>
      <c r="AG113" s="664">
        <f t="shared" ca="1" si="1567"/>
        <v>0</v>
      </c>
      <c r="AH113" s="5">
        <f ca="1">+SUM(AG113:AG$124)</f>
        <v>0</v>
      </c>
      <c r="AI113" s="70">
        <f t="shared" ca="1" si="1568"/>
        <v>0</v>
      </c>
      <c r="AJ113" s="208">
        <f ca="1">+SUM(AB113:AB$124)*SS50J</f>
        <v>0</v>
      </c>
      <c r="AK113" s="5">
        <f t="shared" ca="1" si="1603"/>
        <v>99999.012970709329</v>
      </c>
      <c r="AL113" s="2">
        <f t="shared" ref="AL113" ca="1" si="2480">IFERROR(VLOOKUP($S113,qx_table,MATCH(AL$11,qx_title,0)+sexB),0)</f>
        <v>0</v>
      </c>
      <c r="AM113" s="131">
        <f t="shared" ca="1" si="1605"/>
        <v>10568.192825589224</v>
      </c>
      <c r="AN113" s="129">
        <f t="shared" ca="1" si="2378"/>
        <v>0</v>
      </c>
      <c r="AO113" s="129">
        <f ca="1">SUM(AN113:AN$124)*SSa</f>
        <v>0</v>
      </c>
      <c r="AP113" s="70">
        <f t="shared" ca="1" si="1607"/>
        <v>99999.012970709329</v>
      </c>
      <c r="AQ113" s="2">
        <f t="shared" ref="AQ113" ca="1" si="2481">IFERROR(VLOOKUP($S113,qx_table,MATCH(AQ$11,qx_title,0)+sexB),0)</f>
        <v>0</v>
      </c>
      <c r="AR113" s="127">
        <f t="shared" ca="1" si="2380"/>
        <v>0</v>
      </c>
      <c r="AS113" s="127">
        <f ca="1">SUM(AR113:AR$124)*SSb</f>
        <v>0</v>
      </c>
      <c r="AT113" s="70">
        <f t="shared" ca="1" si="1610"/>
        <v>99999.012970709329</v>
      </c>
      <c r="AU113" s="2">
        <f t="shared" ref="AU113" ca="1" si="2482">IFERROR(VLOOKUP($S113,qx_table,MATCH(AU$11,qx_title,0)+sexB),0)</f>
        <v>0</v>
      </c>
      <c r="AV113" s="268">
        <f t="shared" ca="1" si="2382"/>
        <v>0</v>
      </c>
      <c r="AW113" s="131">
        <f ca="1">SUM(AV113:AV$124)*SSc</f>
        <v>0</v>
      </c>
      <c r="AX113" s="70">
        <f t="shared" ca="1" si="1613"/>
        <v>99999.012970709329</v>
      </c>
      <c r="AY113" s="2">
        <f t="shared" ref="AY113" ca="1" si="2483">IFERROR(VLOOKUP($S113,qx_table,MATCH(AY$11,qx_title,0)+sexB),0)</f>
        <v>0</v>
      </c>
      <c r="AZ113" s="268">
        <f t="shared" ca="1" si="2348"/>
        <v>0</v>
      </c>
      <c r="BA113" s="129">
        <f ca="1">SUM(AZ113:AZ$124)*SSd</f>
        <v>0</v>
      </c>
      <c r="BB113" s="70">
        <f t="shared" ca="1" si="1615"/>
        <v>99999.012970709329</v>
      </c>
      <c r="BC113" s="257">
        <f t="shared" ref="BC113" ca="1" si="2484">IFERROR(VLOOKUP($S113,qx_table,MATCH(BC$11,qx_title,0)+sexB),0)</f>
        <v>0</v>
      </c>
      <c r="BD113" s="268">
        <f t="shared" ca="1" si="2385"/>
        <v>0</v>
      </c>
      <c r="BE113" s="131">
        <f ca="1">SUM(BD113:BD$124)*SSe</f>
        <v>0</v>
      </c>
      <c r="BF113" s="70">
        <f t="shared" ca="1" si="1618"/>
        <v>99999.012970709329</v>
      </c>
      <c r="BG113" s="2">
        <f t="shared" ref="BG113" ca="1" si="2485">IFERROR(VLOOKUP($S113,qx_table,MATCH(BG$11,qx_title,0)+sexB),0)</f>
        <v>0</v>
      </c>
      <c r="BH113" s="131">
        <f t="shared" ca="1" si="2387"/>
        <v>0</v>
      </c>
      <c r="BI113" s="2">
        <f ca="1">SUM(BH113:BH$124)*SSf</f>
        <v>0</v>
      </c>
      <c r="BJ113" s="70">
        <f t="shared" ca="1" si="1621"/>
        <v>99999.012970709329</v>
      </c>
      <c r="BK113" s="2">
        <f t="shared" ref="BK113" ca="1" si="2486">IFERROR(VLOOKUP($S113,qx_table,MATCH(BK$11,qx_title,0)+sexB),0)</f>
        <v>0</v>
      </c>
      <c r="BL113" s="131">
        <f t="shared" ca="1" si="2389"/>
        <v>0</v>
      </c>
      <c r="BM113" s="131">
        <f ca="1">SUM(BL113:BL$124)*SSg</f>
        <v>0</v>
      </c>
      <c r="BN113" s="70">
        <f t="shared" ca="1" si="1624"/>
        <v>99999.012970709329</v>
      </c>
      <c r="BO113" s="2">
        <f t="shared" ref="BO113" ca="1" si="2487">IFERROR(VLOOKUP($S113,qx_table,MATCH(BO$11,qx_title,0)+sexB),0)</f>
        <v>0</v>
      </c>
      <c r="BP113" s="131">
        <f t="shared" ca="1" si="2391"/>
        <v>0</v>
      </c>
      <c r="BQ113" s="131">
        <f ca="1">SUM(BP113:BP$124)*SSh</f>
        <v>0</v>
      </c>
      <c r="BR113" s="70">
        <f t="shared" ca="1" si="1627"/>
        <v>99999.012970709329</v>
      </c>
      <c r="BS113" s="2">
        <f t="shared" ref="BS113" ca="1" si="2488">IFERROR(VLOOKUP($S113,qx_table,MATCH(BS$11,qx_title,0)+sexB),0)*IF(R113=0,MCi,1)</f>
        <v>0</v>
      </c>
      <c r="BT113" s="131">
        <f t="shared" ca="1" si="2393"/>
        <v>0</v>
      </c>
      <c r="BU113" s="131">
        <f ca="1">SUM(BT113:BT$124)*SSi</f>
        <v>0</v>
      </c>
      <c r="BV113" s="70">
        <f t="shared" ca="1" si="1630"/>
        <v>99999.012970709329</v>
      </c>
      <c r="BW113" s="2">
        <f t="shared" ref="BW113" ca="1" si="2489">IFERROR(VLOOKUP($S113,qx_table,MATCH(BW$11,qx_title,0)+sexB),0)</f>
        <v>0</v>
      </c>
      <c r="BX113" s="131">
        <f t="shared" ca="1" si="2395"/>
        <v>0</v>
      </c>
      <c r="BY113" s="131">
        <f ca="1">SUM(BX113:BX$124)*SSj</f>
        <v>0</v>
      </c>
      <c r="BZ113" s="70">
        <f t="shared" ca="1" si="1633"/>
        <v>99999.012970709329</v>
      </c>
      <c r="CA113" s="2">
        <f t="shared" ref="CA113" ca="1" si="2490">IFERROR(VLOOKUP($S113,qx_table,MATCH(CA$11,qx_title,0)+sexB),0)</f>
        <v>0</v>
      </c>
      <c r="CB113" s="131">
        <f t="shared" ca="1" si="2397"/>
        <v>0</v>
      </c>
      <c r="CC113" s="131">
        <f ca="1">SUM(CB113:CB$124)*SSk</f>
        <v>0</v>
      </c>
      <c r="CD113" s="8">
        <f t="shared" ca="1" si="1636"/>
        <v>99999.012970709329</v>
      </c>
      <c r="CE113" s="2">
        <f t="shared" ref="CE113" ca="1" si="2491">IFERROR(VLOOKUP($S113,qx_table,MATCH(CE$11,qx_title,0)+sexB),0)</f>
        <v>0</v>
      </c>
      <c r="CF113" s="131">
        <f t="shared" ca="1" si="2399"/>
        <v>0</v>
      </c>
      <c r="CG113" s="131">
        <f ca="1">SUM(CF113:CF$124)*SSl</f>
        <v>0</v>
      </c>
      <c r="CH113" s="101">
        <f t="shared" ca="1" si="1639"/>
        <v>0</v>
      </c>
      <c r="CI113" s="154">
        <f t="shared" ca="1" si="2357"/>
        <v>0</v>
      </c>
      <c r="CJ113" s="32">
        <f t="shared" ref="CJ113" ca="1" si="2492">+MAX(VLOOKUP(xB+$R113,기수표B,$AH$1)-VLOOKUP(xB+mB,기수표B,$AH$1),0)</f>
        <v>0</v>
      </c>
      <c r="CK113" s="32">
        <f t="shared" ref="CK113" ca="1" si="2493">+MAX(VLOOKUP(xB+$R113,기수표B,$AH$1)-VLOOKUP(xB+mB,기수표B,$AH$1)-11/24*(VLOOKUP(xB+$R113,기수표B,$AG$1)-VLOOKUP(xB+mB,기수표B,$AG$1)),0)</f>
        <v>0</v>
      </c>
      <c r="CL113" s="32">
        <f t="shared" ref="CL113" ca="1" si="2494">+MAX(VLOOKUP(xB+$R113,기수표B,$AA$1)-VLOOKUP(xB+mB,기수표B,$AA$1),0)</f>
        <v>0</v>
      </c>
      <c r="CM113" s="32">
        <f t="shared" ref="CM113" ca="1" si="2495">+MAX(VLOOKUP(xB+$R113,기수표B,$AA$1)-VLOOKUP(xB+mB,기수표B,$AA$1)-11/24*(VLOOKUP(xB+$R113,기수표B,$AA$1)-VLOOKUP(xB+mB,기수표B,$AA$1)),0)</f>
        <v>0</v>
      </c>
      <c r="CN113" s="32">
        <f t="shared" si="2362"/>
        <v>0</v>
      </c>
      <c r="CO113" s="32">
        <f t="shared" ca="1" si="2363"/>
        <v>0</v>
      </c>
      <c r="CP113" s="259">
        <f t="shared" ca="1" si="2364"/>
        <v>0</v>
      </c>
      <c r="CQ113" s="259">
        <f t="shared" ca="1" si="2365"/>
        <v>0</v>
      </c>
      <c r="CR113" s="259" t="e">
        <f t="shared" ca="1" si="2366"/>
        <v>#DIV/0!</v>
      </c>
      <c r="CS113" s="31">
        <f t="shared" ref="CS113" si="2496">+MIN(mB,7)</f>
        <v>5</v>
      </c>
      <c r="CU113" s="13">
        <v>101</v>
      </c>
      <c r="CV113" s="477">
        <f t="shared" ca="1" si="2368"/>
        <v>420</v>
      </c>
      <c r="CW113" s="477" t="e">
        <f t="shared" ca="1" si="2369"/>
        <v>#DIV/0!</v>
      </c>
      <c r="CX113" s="477">
        <f t="shared" ca="1" si="2370"/>
        <v>0</v>
      </c>
      <c r="CY113" s="478">
        <f t="shared" ca="1" si="1645"/>
        <v>0</v>
      </c>
    </row>
    <row r="114" spans="3:103">
      <c r="C114" s="33"/>
      <c r="D114" s="33"/>
      <c r="N114" s="5">
        <f t="shared" si="1646"/>
        <v>102</v>
      </c>
      <c r="O114" s="2">
        <f t="shared" ref="O114" ca="1" si="2497">+(1+iB)^-N114</f>
        <v>0.10335742922031785</v>
      </c>
      <c r="P114" s="2">
        <f t="shared" ref="P114" ca="1" si="2498">+(1+iB)^-(N114+0.5)</f>
        <v>0.10221391909498405</v>
      </c>
      <c r="Q114" s="91"/>
      <c r="R114" s="20">
        <f t="shared" si="1649"/>
        <v>102</v>
      </c>
      <c r="S114" s="20" t="str">
        <f t="shared" ref="S114" si="2499">+IF(xB+R114&lt;=xB+nB,xB+R114,"")</f>
        <v/>
      </c>
      <c r="T114" s="2">
        <f t="shared" ref="T114:U114" ca="1" si="2500">IFERROR(VLOOKUP($S114,qx_table,MATCH(T$11,qx_title,0)+sexB),0)</f>
        <v>0</v>
      </c>
      <c r="U114" s="2">
        <f t="shared" ca="1" si="2500"/>
        <v>0</v>
      </c>
      <c r="V114" s="300">
        <f>IF(JRB=2,0,IF(R114&gt;=mB-1,_xlfn.XLOOKUP(R114-mB,해지율!#REF!,해지율!#REF!,,1),_xlfn.XLOOKUP(R114,해지율!#REF!,해지율!#REF!,,-1)))</f>
        <v>0</v>
      </c>
      <c r="W114" s="8">
        <f t="shared" ref="W114" si="2501">IF(R114=0,100000,IF(R114&gt;nB,0,W113*(1-X113)*(1-Y113)))</f>
        <v>0</v>
      </c>
      <c r="X114" s="10">
        <f t="shared" ca="1" si="1561"/>
        <v>0</v>
      </c>
      <c r="Y114" s="10">
        <f t="shared" ca="1" si="1562"/>
        <v>0</v>
      </c>
      <c r="Z114" s="5">
        <f t="shared" ca="1" si="1601"/>
        <v>0</v>
      </c>
      <c r="AA114" s="5">
        <f ca="1">+SUM(Z114:Z$124)</f>
        <v>0</v>
      </c>
      <c r="AB114" s="8">
        <f t="shared" ca="1" si="1563"/>
        <v>0</v>
      </c>
      <c r="AC114" s="209">
        <f ca="1">+SUM(AB114:AB$124)*SSSM</f>
        <v>0</v>
      </c>
      <c r="AD114" s="209">
        <f t="shared" ref="AD114" si="2502">IF(R114&gt;nB,0,AD113*(1-X113)*(1-Y113)*(1-AE113)*(1-AF113))</f>
        <v>0</v>
      </c>
      <c r="AE114" s="92">
        <f t="shared" ca="1" si="1565"/>
        <v>0</v>
      </c>
      <c r="AF114" s="92">
        <f t="shared" ca="1" si="1566"/>
        <v>0</v>
      </c>
      <c r="AG114" s="664">
        <f t="shared" ca="1" si="1567"/>
        <v>0</v>
      </c>
      <c r="AH114" s="5">
        <f ca="1">+SUM(AG114:AG$124)</f>
        <v>0</v>
      </c>
      <c r="AI114" s="70">
        <f t="shared" ca="1" si="1568"/>
        <v>0</v>
      </c>
      <c r="AJ114" s="208">
        <f ca="1">+SUM(AB114:AB$124)*SS50J</f>
        <v>0</v>
      </c>
      <c r="AK114" s="5">
        <f t="shared" ca="1" si="1603"/>
        <v>99999.012970709329</v>
      </c>
      <c r="AL114" s="2">
        <f t="shared" ref="AL114" ca="1" si="2503">IFERROR(VLOOKUP($S114,qx_table,MATCH(AL$11,qx_title,0)+sexB),0)</f>
        <v>0</v>
      </c>
      <c r="AM114" s="131">
        <f t="shared" ca="1" si="1605"/>
        <v>10335.640905221735</v>
      </c>
      <c r="AN114" s="129">
        <f t="shared" ca="1" si="2378"/>
        <v>0</v>
      </c>
      <c r="AO114" s="129">
        <f ca="1">SUM(AN114:AN$124)*SSa</f>
        <v>0</v>
      </c>
      <c r="AP114" s="70">
        <f t="shared" ca="1" si="1607"/>
        <v>99999.012970709329</v>
      </c>
      <c r="AQ114" s="2">
        <f t="shared" ref="AQ114" ca="1" si="2504">IFERROR(VLOOKUP($S114,qx_table,MATCH(AQ$11,qx_title,0)+sexB),0)</f>
        <v>0</v>
      </c>
      <c r="AR114" s="127">
        <f t="shared" ca="1" si="2380"/>
        <v>0</v>
      </c>
      <c r="AS114" s="127">
        <f ca="1">SUM(AR114:AR$124)*SSb</f>
        <v>0</v>
      </c>
      <c r="AT114" s="70">
        <f t="shared" ca="1" si="1610"/>
        <v>99999.012970709329</v>
      </c>
      <c r="AU114" s="2">
        <f t="shared" ref="AU114" ca="1" si="2505">IFERROR(VLOOKUP($S114,qx_table,MATCH(AU$11,qx_title,0)+sexB),0)</f>
        <v>0</v>
      </c>
      <c r="AV114" s="268">
        <f t="shared" ca="1" si="2382"/>
        <v>0</v>
      </c>
      <c r="AW114" s="131">
        <f ca="1">SUM(AV114:AV$124)*SSc</f>
        <v>0</v>
      </c>
      <c r="AX114" s="70">
        <f t="shared" ca="1" si="1613"/>
        <v>99999.012970709329</v>
      </c>
      <c r="AY114" s="2">
        <f t="shared" ref="AY114" ca="1" si="2506">IFERROR(VLOOKUP($S114,qx_table,MATCH(AY$11,qx_title,0)+sexB),0)</f>
        <v>0</v>
      </c>
      <c r="AZ114" s="268">
        <f t="shared" ca="1" si="2348"/>
        <v>0</v>
      </c>
      <c r="BA114" s="129">
        <f ca="1">SUM(AZ114:AZ$124)*SSd</f>
        <v>0</v>
      </c>
      <c r="BB114" s="70">
        <f t="shared" ca="1" si="1615"/>
        <v>99999.012970709329</v>
      </c>
      <c r="BC114" s="257">
        <f t="shared" ref="BC114" ca="1" si="2507">IFERROR(VLOOKUP($S114,qx_table,MATCH(BC$11,qx_title,0)+sexB),0)</f>
        <v>0</v>
      </c>
      <c r="BD114" s="268">
        <f t="shared" ca="1" si="2385"/>
        <v>0</v>
      </c>
      <c r="BE114" s="131">
        <f ca="1">SUM(BD114:BD$124)*SSe</f>
        <v>0</v>
      </c>
      <c r="BF114" s="70">
        <f t="shared" ca="1" si="1618"/>
        <v>99999.012970709329</v>
      </c>
      <c r="BG114" s="2">
        <f t="shared" ref="BG114" ca="1" si="2508">IFERROR(VLOOKUP($S114,qx_table,MATCH(BG$11,qx_title,0)+sexB),0)</f>
        <v>0</v>
      </c>
      <c r="BH114" s="131">
        <f t="shared" ca="1" si="2387"/>
        <v>0</v>
      </c>
      <c r="BI114" s="2">
        <f ca="1">SUM(BH114:BH$124)*SSf</f>
        <v>0</v>
      </c>
      <c r="BJ114" s="70">
        <f t="shared" ca="1" si="1621"/>
        <v>99999.012970709329</v>
      </c>
      <c r="BK114" s="2">
        <f t="shared" ref="BK114" ca="1" si="2509">IFERROR(VLOOKUP($S114,qx_table,MATCH(BK$11,qx_title,0)+sexB),0)</f>
        <v>0</v>
      </c>
      <c r="BL114" s="131">
        <f t="shared" ca="1" si="2389"/>
        <v>0</v>
      </c>
      <c r="BM114" s="131">
        <f ca="1">SUM(BL114:BL$124)*SSg</f>
        <v>0</v>
      </c>
      <c r="BN114" s="70">
        <f t="shared" ca="1" si="1624"/>
        <v>99999.012970709329</v>
      </c>
      <c r="BO114" s="2">
        <f t="shared" ref="BO114" ca="1" si="2510">IFERROR(VLOOKUP($S114,qx_table,MATCH(BO$11,qx_title,0)+sexB),0)</f>
        <v>0</v>
      </c>
      <c r="BP114" s="131">
        <f t="shared" ca="1" si="2391"/>
        <v>0</v>
      </c>
      <c r="BQ114" s="131">
        <f ca="1">SUM(BP114:BP$124)*SSh</f>
        <v>0</v>
      </c>
      <c r="BR114" s="70">
        <f t="shared" ca="1" si="1627"/>
        <v>99999.012970709329</v>
      </c>
      <c r="BS114" s="2">
        <f t="shared" ref="BS114" ca="1" si="2511">IFERROR(VLOOKUP($S114,qx_table,MATCH(BS$11,qx_title,0)+sexB),0)*IF(R114=0,MCi,1)</f>
        <v>0</v>
      </c>
      <c r="BT114" s="131">
        <f t="shared" ca="1" si="2393"/>
        <v>0</v>
      </c>
      <c r="BU114" s="131">
        <f ca="1">SUM(BT114:BT$124)*SSi</f>
        <v>0</v>
      </c>
      <c r="BV114" s="70">
        <f t="shared" ca="1" si="1630"/>
        <v>99999.012970709329</v>
      </c>
      <c r="BW114" s="2">
        <f t="shared" ref="BW114" ca="1" si="2512">IFERROR(VLOOKUP($S114,qx_table,MATCH(BW$11,qx_title,0)+sexB),0)</f>
        <v>0</v>
      </c>
      <c r="BX114" s="131">
        <f t="shared" ca="1" si="2395"/>
        <v>0</v>
      </c>
      <c r="BY114" s="131">
        <f ca="1">SUM(BX114:BX$124)*SSj</f>
        <v>0</v>
      </c>
      <c r="BZ114" s="70">
        <f t="shared" ca="1" si="1633"/>
        <v>99999.012970709329</v>
      </c>
      <c r="CA114" s="2">
        <f t="shared" ref="CA114" ca="1" si="2513">IFERROR(VLOOKUP($S114,qx_table,MATCH(CA$11,qx_title,0)+sexB),0)</f>
        <v>0</v>
      </c>
      <c r="CB114" s="131">
        <f t="shared" ca="1" si="2397"/>
        <v>0</v>
      </c>
      <c r="CC114" s="131">
        <f ca="1">SUM(CB114:CB$124)*SSk</f>
        <v>0</v>
      </c>
      <c r="CD114" s="8">
        <f t="shared" ca="1" si="1636"/>
        <v>99999.012970709329</v>
      </c>
      <c r="CE114" s="2">
        <f t="shared" ref="CE114" ca="1" si="2514">IFERROR(VLOOKUP($S114,qx_table,MATCH(CE$11,qx_title,0)+sexB),0)</f>
        <v>0</v>
      </c>
      <c r="CF114" s="131">
        <f t="shared" ca="1" si="2399"/>
        <v>0</v>
      </c>
      <c r="CG114" s="131">
        <f ca="1">SUM(CF114:CF$124)*SSl</f>
        <v>0</v>
      </c>
      <c r="CH114" s="101">
        <f t="shared" ca="1" si="1639"/>
        <v>0</v>
      </c>
      <c r="CI114" s="154">
        <f t="shared" ca="1" si="2357"/>
        <v>0</v>
      </c>
      <c r="CJ114" s="32">
        <f t="shared" ref="CJ114" ca="1" si="2515">+MAX(VLOOKUP(xB+$R114,기수표B,$AH$1)-VLOOKUP(xB+mB,기수표B,$AH$1),0)</f>
        <v>0</v>
      </c>
      <c r="CK114" s="32">
        <f t="shared" ref="CK114" ca="1" si="2516">+MAX(VLOOKUP(xB+$R114,기수표B,$AH$1)-VLOOKUP(xB+mB,기수표B,$AH$1)-11/24*(VLOOKUP(xB+$R114,기수표B,$AG$1)-VLOOKUP(xB+mB,기수표B,$AG$1)),0)</f>
        <v>0</v>
      </c>
      <c r="CL114" s="32">
        <f t="shared" ref="CL114" ca="1" si="2517">+MAX(VLOOKUP(xB+$R114,기수표B,$AA$1)-VLOOKUP(xB+mB,기수표B,$AA$1),0)</f>
        <v>0</v>
      </c>
      <c r="CM114" s="32">
        <f t="shared" ref="CM114" ca="1" si="2518">+MAX(VLOOKUP(xB+$R114,기수표B,$AA$1)-VLOOKUP(xB+mB,기수표B,$AA$1)-11/24*(VLOOKUP(xB+$R114,기수표B,$AA$1)-VLOOKUP(xB+mB,기수표B,$AA$1)),0)</f>
        <v>0</v>
      </c>
      <c r="CN114" s="32">
        <f t="shared" si="2362"/>
        <v>0</v>
      </c>
      <c r="CO114" s="32">
        <f t="shared" ca="1" si="2363"/>
        <v>0</v>
      </c>
      <c r="CP114" s="259">
        <f t="shared" ca="1" si="2364"/>
        <v>0</v>
      </c>
      <c r="CQ114" s="259">
        <f t="shared" ca="1" si="2365"/>
        <v>0</v>
      </c>
      <c r="CR114" s="259" t="e">
        <f t="shared" ca="1" si="2366"/>
        <v>#DIV/0!</v>
      </c>
      <c r="CS114" s="31">
        <f t="shared" ref="CS114" si="2519">+MIN(mB,7)</f>
        <v>5</v>
      </c>
      <c r="CU114" s="13">
        <v>102</v>
      </c>
      <c r="CV114" s="477">
        <f t="shared" ca="1" si="2368"/>
        <v>420</v>
      </c>
      <c r="CW114" s="477" t="e">
        <f t="shared" ca="1" si="2369"/>
        <v>#DIV/0!</v>
      </c>
      <c r="CX114" s="477">
        <f t="shared" ca="1" si="2370"/>
        <v>0</v>
      </c>
      <c r="CY114" s="478">
        <f t="shared" ca="1" si="1645"/>
        <v>0</v>
      </c>
    </row>
    <row r="115" spans="3:103">
      <c r="C115" s="33"/>
      <c r="D115" s="33"/>
      <c r="N115" s="5">
        <f t="shared" si="1646"/>
        <v>103</v>
      </c>
      <c r="O115" s="2">
        <f t="shared" ref="O115" ca="1" si="2520">+(1+iB)^-N115</f>
        <v>0.10108306036216905</v>
      </c>
      <c r="P115" s="2">
        <f t="shared" ref="P115" ca="1" si="2521">+(1+iB)^-(N115+0.5)</f>
        <v>9.996471305132916E-2</v>
      </c>
      <c r="Q115" s="91"/>
      <c r="R115" s="20">
        <f t="shared" si="1649"/>
        <v>103</v>
      </c>
      <c r="S115" s="20" t="str">
        <f t="shared" ref="S115" si="2522">+IF(xB+R115&lt;=xB+nB,xB+R115,"")</f>
        <v/>
      </c>
      <c r="T115" s="2">
        <f t="shared" ref="T115:U115" ca="1" si="2523">IFERROR(VLOOKUP($S115,qx_table,MATCH(T$11,qx_title,0)+sexB),0)</f>
        <v>0</v>
      </c>
      <c r="U115" s="2">
        <f t="shared" ca="1" si="2523"/>
        <v>0</v>
      </c>
      <c r="V115" s="300">
        <f>IF(JRB=2,0,IF(R115&gt;=mB-1,_xlfn.XLOOKUP(R115-mB,해지율!#REF!,해지율!#REF!,,1),_xlfn.XLOOKUP(R115,해지율!#REF!,해지율!#REF!,,-1)))</f>
        <v>0</v>
      </c>
      <c r="W115" s="8">
        <f t="shared" ref="W115" si="2524">IF(R115=0,100000,IF(R115&gt;nB,0,W114*(1-X114)*(1-Y114)))</f>
        <v>0</v>
      </c>
      <c r="X115" s="10">
        <f t="shared" ca="1" si="1561"/>
        <v>0</v>
      </c>
      <c r="Y115" s="10">
        <f t="shared" ca="1" si="1562"/>
        <v>0</v>
      </c>
      <c r="Z115" s="5">
        <f t="shared" ca="1" si="1601"/>
        <v>0</v>
      </c>
      <c r="AA115" s="5">
        <f ca="1">+SUM(Z115:Z$124)</f>
        <v>0</v>
      </c>
      <c r="AB115" s="8">
        <f t="shared" ca="1" si="1563"/>
        <v>0</v>
      </c>
      <c r="AC115" s="209">
        <f ca="1">+SUM(AB115:AB$124)*SSSM</f>
        <v>0</v>
      </c>
      <c r="AD115" s="209">
        <f t="shared" ref="AD115" si="2525">IF(R115&gt;nB,0,AD114*(1-X114)*(1-Y114)*(1-AE114)*(1-AF114))</f>
        <v>0</v>
      </c>
      <c r="AE115" s="92">
        <f t="shared" ca="1" si="1565"/>
        <v>0</v>
      </c>
      <c r="AF115" s="92">
        <f t="shared" ca="1" si="1566"/>
        <v>0</v>
      </c>
      <c r="AG115" s="664">
        <f t="shared" ca="1" si="1567"/>
        <v>0</v>
      </c>
      <c r="AH115" s="5">
        <f ca="1">+SUM(AG115:AG$124)</f>
        <v>0</v>
      </c>
      <c r="AI115" s="70">
        <f t="shared" ca="1" si="1568"/>
        <v>0</v>
      </c>
      <c r="AJ115" s="208">
        <f ca="1">+SUM(AB115:AB$124)*SS50J</f>
        <v>0</v>
      </c>
      <c r="AK115" s="5">
        <f t="shared" ca="1" si="1603"/>
        <v>99999.012970709329</v>
      </c>
      <c r="AL115" s="2">
        <f t="shared" ref="AL115" ca="1" si="2526">IFERROR(VLOOKUP($S115,qx_table,MATCH(AL$11,qx_title,0)+sexB),0)</f>
        <v>0</v>
      </c>
      <c r="AM115" s="131">
        <f t="shared" ca="1" si="1605"/>
        <v>10108.206264275537</v>
      </c>
      <c r="AN115" s="129">
        <f t="shared" ca="1" si="2378"/>
        <v>0</v>
      </c>
      <c r="AO115" s="129">
        <f ca="1">SUM(AN115:AN$124)*SSa</f>
        <v>0</v>
      </c>
      <c r="AP115" s="70">
        <f t="shared" ca="1" si="1607"/>
        <v>99999.012970709329</v>
      </c>
      <c r="AQ115" s="2">
        <f t="shared" ref="AQ115" ca="1" si="2527">IFERROR(VLOOKUP($S115,qx_table,MATCH(AQ$11,qx_title,0)+sexB),0)</f>
        <v>0</v>
      </c>
      <c r="AR115" s="127">
        <f t="shared" ca="1" si="2380"/>
        <v>0</v>
      </c>
      <c r="AS115" s="127">
        <f ca="1">SUM(AR115:AR$124)*SSb</f>
        <v>0</v>
      </c>
      <c r="AT115" s="70">
        <f t="shared" ca="1" si="1610"/>
        <v>99999.012970709329</v>
      </c>
      <c r="AU115" s="2">
        <f t="shared" ref="AU115" ca="1" si="2528">IFERROR(VLOOKUP($S115,qx_table,MATCH(AU$11,qx_title,0)+sexB),0)</f>
        <v>0</v>
      </c>
      <c r="AV115" s="268">
        <f t="shared" ca="1" si="2382"/>
        <v>0</v>
      </c>
      <c r="AW115" s="131">
        <f ca="1">SUM(AV115:AV$124)*SSc</f>
        <v>0</v>
      </c>
      <c r="AX115" s="70">
        <f t="shared" ca="1" si="1613"/>
        <v>99999.012970709329</v>
      </c>
      <c r="AY115" s="2">
        <f t="shared" ref="AY115" ca="1" si="2529">IFERROR(VLOOKUP($S115,qx_table,MATCH(AY$11,qx_title,0)+sexB),0)</f>
        <v>0</v>
      </c>
      <c r="AZ115" s="268">
        <f t="shared" ca="1" si="2348"/>
        <v>0</v>
      </c>
      <c r="BA115" s="129">
        <f ca="1">SUM(AZ115:AZ$124)*SSd</f>
        <v>0</v>
      </c>
      <c r="BB115" s="70">
        <f t="shared" ca="1" si="1615"/>
        <v>99999.012970709329</v>
      </c>
      <c r="BC115" s="257">
        <f t="shared" ref="BC115" ca="1" si="2530">IFERROR(VLOOKUP($S115,qx_table,MATCH(BC$11,qx_title,0)+sexB),0)</f>
        <v>0</v>
      </c>
      <c r="BD115" s="268">
        <f t="shared" ca="1" si="2385"/>
        <v>0</v>
      </c>
      <c r="BE115" s="131">
        <f ca="1">SUM(BD115:BD$124)*SSe</f>
        <v>0</v>
      </c>
      <c r="BF115" s="70">
        <f t="shared" ca="1" si="1618"/>
        <v>99999.012970709329</v>
      </c>
      <c r="BG115" s="2">
        <f t="shared" ref="BG115" ca="1" si="2531">IFERROR(VLOOKUP($S115,qx_table,MATCH(BG$11,qx_title,0)+sexB),0)</f>
        <v>0</v>
      </c>
      <c r="BH115" s="131">
        <f t="shared" ca="1" si="2387"/>
        <v>0</v>
      </c>
      <c r="BI115" s="2">
        <f ca="1">SUM(BH115:BH$124)*SSf</f>
        <v>0</v>
      </c>
      <c r="BJ115" s="70">
        <f t="shared" ca="1" si="1621"/>
        <v>99999.012970709329</v>
      </c>
      <c r="BK115" s="2">
        <f t="shared" ref="BK115" ca="1" si="2532">IFERROR(VLOOKUP($S115,qx_table,MATCH(BK$11,qx_title,0)+sexB),0)</f>
        <v>0</v>
      </c>
      <c r="BL115" s="131">
        <f t="shared" ca="1" si="2389"/>
        <v>0</v>
      </c>
      <c r="BM115" s="131">
        <f ca="1">SUM(BL115:BL$124)*SSg</f>
        <v>0</v>
      </c>
      <c r="BN115" s="70">
        <f t="shared" ca="1" si="1624"/>
        <v>99999.012970709329</v>
      </c>
      <c r="BO115" s="2">
        <f t="shared" ref="BO115" ca="1" si="2533">IFERROR(VLOOKUP($S115,qx_table,MATCH(BO$11,qx_title,0)+sexB),0)</f>
        <v>0</v>
      </c>
      <c r="BP115" s="131">
        <f t="shared" ca="1" si="2391"/>
        <v>0</v>
      </c>
      <c r="BQ115" s="131">
        <f ca="1">SUM(BP115:BP$124)*SSh</f>
        <v>0</v>
      </c>
      <c r="BR115" s="70">
        <f t="shared" ca="1" si="1627"/>
        <v>99999.012970709329</v>
      </c>
      <c r="BS115" s="2">
        <f t="shared" ref="BS115" ca="1" si="2534">IFERROR(VLOOKUP($S115,qx_table,MATCH(BS$11,qx_title,0)+sexB),0)*IF(R115=0,MCi,1)</f>
        <v>0</v>
      </c>
      <c r="BT115" s="131">
        <f t="shared" ca="1" si="2393"/>
        <v>0</v>
      </c>
      <c r="BU115" s="131">
        <f ca="1">SUM(BT115:BT$124)*SSi</f>
        <v>0</v>
      </c>
      <c r="BV115" s="70">
        <f t="shared" ca="1" si="1630"/>
        <v>99999.012970709329</v>
      </c>
      <c r="BW115" s="2">
        <f t="shared" ref="BW115" ca="1" si="2535">IFERROR(VLOOKUP($S115,qx_table,MATCH(BW$11,qx_title,0)+sexB),0)</f>
        <v>0</v>
      </c>
      <c r="BX115" s="131">
        <f t="shared" ca="1" si="2395"/>
        <v>0</v>
      </c>
      <c r="BY115" s="131">
        <f ca="1">SUM(BX115:BX$124)*SSj</f>
        <v>0</v>
      </c>
      <c r="BZ115" s="70">
        <f t="shared" ca="1" si="1633"/>
        <v>99999.012970709329</v>
      </c>
      <c r="CA115" s="2">
        <f t="shared" ref="CA115" ca="1" si="2536">IFERROR(VLOOKUP($S115,qx_table,MATCH(CA$11,qx_title,0)+sexB),0)</f>
        <v>0</v>
      </c>
      <c r="CB115" s="131">
        <f t="shared" ca="1" si="2397"/>
        <v>0</v>
      </c>
      <c r="CC115" s="131">
        <f ca="1">SUM(CB115:CB$124)*SSk</f>
        <v>0</v>
      </c>
      <c r="CD115" s="8">
        <f t="shared" ca="1" si="1636"/>
        <v>99999.012970709329</v>
      </c>
      <c r="CE115" s="2">
        <f t="shared" ref="CE115" ca="1" si="2537">IFERROR(VLOOKUP($S115,qx_table,MATCH(CE$11,qx_title,0)+sexB),0)</f>
        <v>0</v>
      </c>
      <c r="CF115" s="131">
        <f t="shared" ca="1" si="2399"/>
        <v>0</v>
      </c>
      <c r="CG115" s="131">
        <f ca="1">SUM(CF115:CF$124)*SSl</f>
        <v>0</v>
      </c>
      <c r="CH115" s="101">
        <f t="shared" ca="1" si="1639"/>
        <v>0</v>
      </c>
      <c r="CI115" s="154">
        <f t="shared" ca="1" si="2357"/>
        <v>0</v>
      </c>
      <c r="CJ115" s="32">
        <f t="shared" ref="CJ115" ca="1" si="2538">+MAX(VLOOKUP(xB+$R115,기수표B,$AH$1)-VLOOKUP(xB+mB,기수표B,$AH$1),0)</f>
        <v>0</v>
      </c>
      <c r="CK115" s="32">
        <f t="shared" ref="CK115" ca="1" si="2539">+MAX(VLOOKUP(xB+$R115,기수표B,$AH$1)-VLOOKUP(xB+mB,기수표B,$AH$1)-11/24*(VLOOKUP(xB+$R115,기수표B,$AG$1)-VLOOKUP(xB+mB,기수표B,$AG$1)),0)</f>
        <v>0</v>
      </c>
      <c r="CL115" s="32">
        <f t="shared" ref="CL115" ca="1" si="2540">+MAX(VLOOKUP(xB+$R115,기수표B,$AA$1)-VLOOKUP(xB+mB,기수표B,$AA$1),0)</f>
        <v>0</v>
      </c>
      <c r="CM115" s="32">
        <f t="shared" ref="CM115" ca="1" si="2541">+MAX(VLOOKUP(xB+$R115,기수표B,$AA$1)-VLOOKUP(xB+mB,기수표B,$AA$1)-11/24*(VLOOKUP(xB+$R115,기수표B,$AA$1)-VLOOKUP(xB+mB,기수표B,$AA$1)),0)</f>
        <v>0</v>
      </c>
      <c r="CN115" s="32">
        <f t="shared" si="2362"/>
        <v>0</v>
      </c>
      <c r="CO115" s="32">
        <f t="shared" ca="1" si="2363"/>
        <v>0</v>
      </c>
      <c r="CP115" s="259">
        <f t="shared" ca="1" si="2364"/>
        <v>0</v>
      </c>
      <c r="CQ115" s="259">
        <f t="shared" ca="1" si="2365"/>
        <v>0</v>
      </c>
      <c r="CR115" s="259" t="e">
        <f t="shared" ca="1" si="2366"/>
        <v>#DIV/0!</v>
      </c>
      <c r="CS115" s="31">
        <f t="shared" ref="CS115" si="2542">+MIN(mB,7)</f>
        <v>5</v>
      </c>
      <c r="CU115" s="13">
        <v>103</v>
      </c>
      <c r="CV115" s="477">
        <f t="shared" ca="1" si="2368"/>
        <v>420</v>
      </c>
      <c r="CW115" s="477" t="e">
        <f t="shared" ca="1" si="2369"/>
        <v>#DIV/0!</v>
      </c>
      <c r="CX115" s="477">
        <f t="shared" ca="1" si="2370"/>
        <v>0</v>
      </c>
      <c r="CY115" s="478">
        <f t="shared" ca="1" si="1645"/>
        <v>0</v>
      </c>
    </row>
    <row r="116" spans="3:103">
      <c r="C116" s="33"/>
      <c r="D116" s="33"/>
      <c r="N116" s="5">
        <f t="shared" si="1646"/>
        <v>104</v>
      </c>
      <c r="O116" s="2">
        <f t="shared" ref="O116" ca="1" si="2543">+(1+iB)^-N116</f>
        <v>9.8858738740507629E-2</v>
      </c>
      <c r="P116" s="2">
        <f t="shared" ref="P116" ca="1" si="2544">+(1+iB)^-(N116+0.5)</f>
        <v>9.7765000539197247E-2</v>
      </c>
      <c r="Q116" s="91"/>
      <c r="R116" s="20">
        <f t="shared" si="1649"/>
        <v>104</v>
      </c>
      <c r="S116" s="20" t="str">
        <f t="shared" ref="S116" si="2545">+IF(xB+R116&lt;=xB+nB,xB+R116,"")</f>
        <v/>
      </c>
      <c r="T116" s="2">
        <f t="shared" ref="T116:U116" ca="1" si="2546">IFERROR(VLOOKUP($S116,qx_table,MATCH(T$11,qx_title,0)+sexB),0)</f>
        <v>0</v>
      </c>
      <c r="U116" s="2">
        <f t="shared" ca="1" si="2546"/>
        <v>0</v>
      </c>
      <c r="V116" s="300">
        <f>IF(JRB=2,0,IF(R116&gt;=mB-1,_xlfn.XLOOKUP(R116-mB,해지율!#REF!,해지율!#REF!,,1),_xlfn.XLOOKUP(R116,해지율!#REF!,해지율!#REF!,,-1)))</f>
        <v>0</v>
      </c>
      <c r="W116" s="8">
        <f t="shared" ref="W116" si="2547">IF(R116=0,100000,IF(R116&gt;nB,0,W115*(1-X115)*(1-Y115)))</f>
        <v>0</v>
      </c>
      <c r="X116" s="10">
        <f t="shared" ca="1" si="1561"/>
        <v>0</v>
      </c>
      <c r="Y116" s="10">
        <f t="shared" ca="1" si="1562"/>
        <v>0</v>
      </c>
      <c r="Z116" s="5">
        <f t="shared" ca="1" si="1601"/>
        <v>0</v>
      </c>
      <c r="AA116" s="5">
        <f ca="1">+SUM(Z116:Z$124)</f>
        <v>0</v>
      </c>
      <c r="AB116" s="8">
        <f t="shared" ca="1" si="1563"/>
        <v>0</v>
      </c>
      <c r="AC116" s="209">
        <f ca="1">+SUM(AB116:AB$124)*SSSM</f>
        <v>0</v>
      </c>
      <c r="AD116" s="209">
        <f t="shared" ref="AD116" si="2548">IF(R116&gt;nB,0,AD115*(1-X115)*(1-Y115)*(1-AE115)*(1-AF115))</f>
        <v>0</v>
      </c>
      <c r="AE116" s="92">
        <f t="shared" ca="1" si="1565"/>
        <v>0</v>
      </c>
      <c r="AF116" s="92">
        <f t="shared" ca="1" si="1566"/>
        <v>0</v>
      </c>
      <c r="AG116" s="664">
        <f t="shared" ca="1" si="1567"/>
        <v>0</v>
      </c>
      <c r="AH116" s="5">
        <f ca="1">+SUM(AG116:AG$124)</f>
        <v>0</v>
      </c>
      <c r="AI116" s="70">
        <f t="shared" ca="1" si="1568"/>
        <v>0</v>
      </c>
      <c r="AJ116" s="208">
        <f ca="1">+SUM(AB116:AB$124)*SS50J</f>
        <v>0</v>
      </c>
      <c r="AK116" s="5">
        <f t="shared" ca="1" si="1603"/>
        <v>99999.012970709329</v>
      </c>
      <c r="AL116" s="2">
        <f t="shared" ref="AL116" ca="1" si="2549">IFERROR(VLOOKUP($S116,qx_table,MATCH(AL$11,qx_title,0)+sexB),0)</f>
        <v>0</v>
      </c>
      <c r="AM116" s="131">
        <f t="shared" ca="1" si="1605"/>
        <v>9885.7762975799869</v>
      </c>
      <c r="AN116" s="129">
        <f t="shared" ca="1" si="2378"/>
        <v>0</v>
      </c>
      <c r="AO116" s="129">
        <f ca="1">SUM(AN116:AN$124)*SSa</f>
        <v>0</v>
      </c>
      <c r="AP116" s="70">
        <f t="shared" ca="1" si="1607"/>
        <v>99999.012970709329</v>
      </c>
      <c r="AQ116" s="2">
        <f t="shared" ref="AQ116" ca="1" si="2550">IFERROR(VLOOKUP($S116,qx_table,MATCH(AQ$11,qx_title,0)+sexB),0)</f>
        <v>0</v>
      </c>
      <c r="AR116" s="127">
        <f t="shared" ca="1" si="2380"/>
        <v>0</v>
      </c>
      <c r="AS116" s="127">
        <f ca="1">SUM(AR116:AR$124)*SSb</f>
        <v>0</v>
      </c>
      <c r="AT116" s="70">
        <f t="shared" ca="1" si="1610"/>
        <v>99999.012970709329</v>
      </c>
      <c r="AU116" s="2">
        <f t="shared" ref="AU116" ca="1" si="2551">IFERROR(VLOOKUP($S116,qx_table,MATCH(AU$11,qx_title,0)+sexB),0)</f>
        <v>0</v>
      </c>
      <c r="AV116" s="268">
        <f t="shared" ca="1" si="2382"/>
        <v>0</v>
      </c>
      <c r="AW116" s="131">
        <f ca="1">SUM(AV116:AV$124)*SSc</f>
        <v>0</v>
      </c>
      <c r="AX116" s="70">
        <f t="shared" ca="1" si="1613"/>
        <v>99999.012970709329</v>
      </c>
      <c r="AY116" s="2">
        <f t="shared" ref="AY116" ca="1" si="2552">IFERROR(VLOOKUP($S116,qx_table,MATCH(AY$11,qx_title,0)+sexB),0)</f>
        <v>0</v>
      </c>
      <c r="AZ116" s="268">
        <f t="shared" ca="1" si="2348"/>
        <v>0</v>
      </c>
      <c r="BA116" s="129">
        <f ca="1">SUM(AZ116:AZ$124)*SSd</f>
        <v>0</v>
      </c>
      <c r="BB116" s="70">
        <f t="shared" ca="1" si="1615"/>
        <v>99999.012970709329</v>
      </c>
      <c r="BC116" s="257">
        <f t="shared" ref="BC116" ca="1" si="2553">IFERROR(VLOOKUP($S116,qx_table,MATCH(BC$11,qx_title,0)+sexB),0)</f>
        <v>0</v>
      </c>
      <c r="BD116" s="268">
        <f t="shared" ca="1" si="2385"/>
        <v>0</v>
      </c>
      <c r="BE116" s="131">
        <f ca="1">SUM(BD116:BD$124)*SSe</f>
        <v>0</v>
      </c>
      <c r="BF116" s="70">
        <f t="shared" ca="1" si="1618"/>
        <v>99999.012970709329</v>
      </c>
      <c r="BG116" s="2">
        <f t="shared" ref="BG116" ca="1" si="2554">IFERROR(VLOOKUP($S116,qx_table,MATCH(BG$11,qx_title,0)+sexB),0)</f>
        <v>0</v>
      </c>
      <c r="BH116" s="131">
        <f t="shared" ca="1" si="2387"/>
        <v>0</v>
      </c>
      <c r="BI116" s="2">
        <f ca="1">SUM(BH116:BH$124)*SSf</f>
        <v>0</v>
      </c>
      <c r="BJ116" s="70">
        <f t="shared" ca="1" si="1621"/>
        <v>99999.012970709329</v>
      </c>
      <c r="BK116" s="2">
        <f t="shared" ref="BK116" ca="1" si="2555">IFERROR(VLOOKUP($S116,qx_table,MATCH(BK$11,qx_title,0)+sexB),0)</f>
        <v>0</v>
      </c>
      <c r="BL116" s="131">
        <f t="shared" ca="1" si="2389"/>
        <v>0</v>
      </c>
      <c r="BM116" s="131">
        <f ca="1">SUM(BL116:BL$124)*SSg</f>
        <v>0</v>
      </c>
      <c r="BN116" s="70">
        <f t="shared" ca="1" si="1624"/>
        <v>99999.012970709329</v>
      </c>
      <c r="BO116" s="2">
        <f t="shared" ref="BO116" ca="1" si="2556">IFERROR(VLOOKUP($S116,qx_table,MATCH(BO$11,qx_title,0)+sexB),0)</f>
        <v>0</v>
      </c>
      <c r="BP116" s="131">
        <f t="shared" ca="1" si="2391"/>
        <v>0</v>
      </c>
      <c r="BQ116" s="131">
        <f ca="1">SUM(BP116:BP$124)*SSh</f>
        <v>0</v>
      </c>
      <c r="BR116" s="70">
        <f t="shared" ca="1" si="1627"/>
        <v>99999.012970709329</v>
      </c>
      <c r="BS116" s="2">
        <f t="shared" ref="BS116" ca="1" si="2557">IFERROR(VLOOKUP($S116,qx_table,MATCH(BS$11,qx_title,0)+sexB),0)*IF(R116=0,MCi,1)</f>
        <v>0</v>
      </c>
      <c r="BT116" s="131">
        <f t="shared" ca="1" si="2393"/>
        <v>0</v>
      </c>
      <c r="BU116" s="131">
        <f ca="1">SUM(BT116:BT$124)*SSi</f>
        <v>0</v>
      </c>
      <c r="BV116" s="70">
        <f t="shared" ca="1" si="1630"/>
        <v>99999.012970709329</v>
      </c>
      <c r="BW116" s="2">
        <f t="shared" ref="BW116" ca="1" si="2558">IFERROR(VLOOKUP($S116,qx_table,MATCH(BW$11,qx_title,0)+sexB),0)</f>
        <v>0</v>
      </c>
      <c r="BX116" s="131">
        <f t="shared" ca="1" si="2395"/>
        <v>0</v>
      </c>
      <c r="BY116" s="131">
        <f ca="1">SUM(BX116:BX$124)*SSj</f>
        <v>0</v>
      </c>
      <c r="BZ116" s="70">
        <f t="shared" ca="1" si="1633"/>
        <v>99999.012970709329</v>
      </c>
      <c r="CA116" s="2">
        <f t="shared" ref="CA116" ca="1" si="2559">IFERROR(VLOOKUP($S116,qx_table,MATCH(CA$11,qx_title,0)+sexB),0)</f>
        <v>0</v>
      </c>
      <c r="CB116" s="131">
        <f t="shared" ca="1" si="2397"/>
        <v>0</v>
      </c>
      <c r="CC116" s="131">
        <f ca="1">SUM(CB116:CB$124)*SSk</f>
        <v>0</v>
      </c>
      <c r="CD116" s="8">
        <f t="shared" ca="1" si="1636"/>
        <v>99999.012970709329</v>
      </c>
      <c r="CE116" s="2">
        <f t="shared" ref="CE116" ca="1" si="2560">IFERROR(VLOOKUP($S116,qx_table,MATCH(CE$11,qx_title,0)+sexB),0)</f>
        <v>0</v>
      </c>
      <c r="CF116" s="131">
        <f t="shared" ca="1" si="2399"/>
        <v>0</v>
      </c>
      <c r="CG116" s="131">
        <f ca="1">SUM(CF116:CF$124)*SSl</f>
        <v>0</v>
      </c>
      <c r="CH116" s="101">
        <f t="shared" ca="1" si="1639"/>
        <v>0</v>
      </c>
      <c r="CI116" s="154">
        <f t="shared" ca="1" si="2357"/>
        <v>0</v>
      </c>
      <c r="CJ116" s="32">
        <f t="shared" ref="CJ116" ca="1" si="2561">+MAX(VLOOKUP(xB+$R116,기수표B,$AH$1)-VLOOKUP(xB+mB,기수표B,$AH$1),0)</f>
        <v>0</v>
      </c>
      <c r="CK116" s="32">
        <f t="shared" ref="CK116" ca="1" si="2562">+MAX(VLOOKUP(xB+$R116,기수표B,$AH$1)-VLOOKUP(xB+mB,기수표B,$AH$1)-11/24*(VLOOKUP(xB+$R116,기수표B,$AG$1)-VLOOKUP(xB+mB,기수표B,$AG$1)),0)</f>
        <v>0</v>
      </c>
      <c r="CL116" s="32">
        <f t="shared" ref="CL116" ca="1" si="2563">+MAX(VLOOKUP(xB+$R116,기수표B,$AA$1)-VLOOKUP(xB+mB,기수표B,$AA$1),0)</f>
        <v>0</v>
      </c>
      <c r="CM116" s="32">
        <f t="shared" ref="CM116" ca="1" si="2564">+MAX(VLOOKUP(xB+$R116,기수표B,$AA$1)-VLOOKUP(xB+mB,기수표B,$AA$1)-11/24*(VLOOKUP(xB+$R116,기수표B,$AA$1)-VLOOKUP(xB+mB,기수표B,$AA$1)),0)</f>
        <v>0</v>
      </c>
      <c r="CN116" s="32">
        <f t="shared" si="2362"/>
        <v>0</v>
      </c>
      <c r="CO116" s="32">
        <f t="shared" ca="1" si="2363"/>
        <v>0</v>
      </c>
      <c r="CP116" s="259">
        <f t="shared" ca="1" si="2364"/>
        <v>0</v>
      </c>
      <c r="CQ116" s="259">
        <f t="shared" ca="1" si="2365"/>
        <v>0</v>
      </c>
      <c r="CR116" s="259" t="e">
        <f t="shared" ca="1" si="2366"/>
        <v>#DIV/0!</v>
      </c>
      <c r="CS116" s="31">
        <f t="shared" ref="CS116" si="2565">+MIN(mB,7)</f>
        <v>5</v>
      </c>
      <c r="CU116" s="13">
        <v>104</v>
      </c>
      <c r="CV116" s="477">
        <f t="shared" ca="1" si="2368"/>
        <v>420</v>
      </c>
      <c r="CW116" s="477" t="e">
        <f t="shared" ca="1" si="2369"/>
        <v>#DIV/0!</v>
      </c>
      <c r="CX116" s="477">
        <f t="shared" ca="1" si="2370"/>
        <v>0</v>
      </c>
      <c r="CY116" s="478">
        <f t="shared" ca="1" si="1645"/>
        <v>0</v>
      </c>
    </row>
    <row r="117" spans="3:103">
      <c r="C117" s="33"/>
      <c r="D117" s="33"/>
      <c r="N117" s="5">
        <f t="shared" si="1646"/>
        <v>105</v>
      </c>
      <c r="O117" s="2">
        <f t="shared" ref="O117" ca="1" si="2566">+(1+iB)^-N117</f>
        <v>9.6683363071401129E-2</v>
      </c>
      <c r="P117" s="2">
        <f t="shared" ref="P117" ca="1" si="2567">+(1+iB)^-(N117+0.5)</f>
        <v>9.5613692458872579E-2</v>
      </c>
      <c r="Q117" s="91"/>
      <c r="R117" s="20">
        <f t="shared" si="1649"/>
        <v>105</v>
      </c>
      <c r="S117" s="20" t="str">
        <f t="shared" ref="S117" si="2568">+IF(xB+R117&lt;=xB+nB,xB+R117,"")</f>
        <v/>
      </c>
      <c r="T117" s="2">
        <f t="shared" ref="T117:U117" ca="1" si="2569">IFERROR(VLOOKUP($S117,qx_table,MATCH(T$11,qx_title,0)+sexB),0)</f>
        <v>0</v>
      </c>
      <c r="U117" s="2">
        <f t="shared" ca="1" si="2569"/>
        <v>0</v>
      </c>
      <c r="V117" s="300">
        <f>IF(JRB=2,0,IF(R117&gt;=mB-1,_xlfn.XLOOKUP(R117-mB,해지율!#REF!,해지율!#REF!,,1),_xlfn.XLOOKUP(R117,해지율!#REF!,해지율!#REF!,,-1)))</f>
        <v>0</v>
      </c>
      <c r="W117" s="8">
        <f t="shared" ref="W117" si="2570">IF(R117=0,100000,IF(R117&gt;nB,0,W116*(1-X116)*(1-Y116)))</f>
        <v>0</v>
      </c>
      <c r="X117" s="10">
        <f t="shared" ca="1" si="1561"/>
        <v>0</v>
      </c>
      <c r="Y117" s="10">
        <f t="shared" ca="1" si="1562"/>
        <v>0</v>
      </c>
      <c r="Z117" s="5">
        <f t="shared" ca="1" si="1601"/>
        <v>0</v>
      </c>
      <c r="AA117" s="5">
        <f ca="1">+SUM(Z117:Z$124)</f>
        <v>0</v>
      </c>
      <c r="AB117" s="8">
        <f t="shared" ca="1" si="1563"/>
        <v>0</v>
      </c>
      <c r="AC117" s="209">
        <f ca="1">+SUM(AB117:AB$124)*SSSM</f>
        <v>0</v>
      </c>
      <c r="AD117" s="209">
        <f t="shared" ref="AD117" si="2571">IF(R117&gt;nB,0,AD116*(1-X116)*(1-Y116)*(1-AE116)*(1-AF116))</f>
        <v>0</v>
      </c>
      <c r="AE117" s="92">
        <f t="shared" ca="1" si="1565"/>
        <v>0</v>
      </c>
      <c r="AF117" s="92">
        <f t="shared" ca="1" si="1566"/>
        <v>0</v>
      </c>
      <c r="AG117" s="664">
        <f t="shared" ca="1" si="1567"/>
        <v>0</v>
      </c>
      <c r="AH117" s="5">
        <f ca="1">+SUM(AG117:AG$124)</f>
        <v>0</v>
      </c>
      <c r="AI117" s="70">
        <f t="shared" ca="1" si="1568"/>
        <v>0</v>
      </c>
      <c r="AJ117" s="208">
        <f ca="1">+SUM(AB117:AB$124)*SS50J</f>
        <v>0</v>
      </c>
      <c r="AK117" s="5">
        <f t="shared" ca="1" si="1603"/>
        <v>99999.012970709329</v>
      </c>
      <c r="AL117" s="2">
        <f t="shared" ref="AL117" ca="1" si="2572">IFERROR(VLOOKUP($S117,qx_table,MATCH(AL$11,qx_title,0)+sexB),0)</f>
        <v>0</v>
      </c>
      <c r="AM117" s="131">
        <f t="shared" ca="1" si="1605"/>
        <v>9668.2408778288409</v>
      </c>
      <c r="AN117" s="129">
        <f t="shared" ca="1" si="2378"/>
        <v>0</v>
      </c>
      <c r="AO117" s="129">
        <f ca="1">SUM(AN117:AN$124)*SSa</f>
        <v>0</v>
      </c>
      <c r="AP117" s="70">
        <f t="shared" ca="1" si="1607"/>
        <v>99999.012970709329</v>
      </c>
      <c r="AQ117" s="2">
        <f t="shared" ref="AQ117" ca="1" si="2573">IFERROR(VLOOKUP($S117,qx_table,MATCH(AQ$11,qx_title,0)+sexB),0)</f>
        <v>0</v>
      </c>
      <c r="AR117" s="127">
        <f t="shared" ca="1" si="2380"/>
        <v>0</v>
      </c>
      <c r="AS117" s="127">
        <f ca="1">SUM(AR117:AR$124)*SSb</f>
        <v>0</v>
      </c>
      <c r="AT117" s="70">
        <f t="shared" ca="1" si="1610"/>
        <v>99999.012970709329</v>
      </c>
      <c r="AU117" s="2">
        <f t="shared" ref="AU117" ca="1" si="2574">IFERROR(VLOOKUP($S117,qx_table,MATCH(AU$11,qx_title,0)+sexB),0)</f>
        <v>0</v>
      </c>
      <c r="AV117" s="268">
        <f t="shared" ca="1" si="2382"/>
        <v>0</v>
      </c>
      <c r="AW117" s="131">
        <f ca="1">SUM(AV117:AV$124)*SSc</f>
        <v>0</v>
      </c>
      <c r="AX117" s="70">
        <f t="shared" ca="1" si="1613"/>
        <v>99999.012970709329</v>
      </c>
      <c r="AY117" s="2">
        <f t="shared" ref="AY117" ca="1" si="2575">IFERROR(VLOOKUP($S117,qx_table,MATCH(AY$11,qx_title,0)+sexB),0)</f>
        <v>0</v>
      </c>
      <c r="AZ117" s="268">
        <f t="shared" ca="1" si="2348"/>
        <v>0</v>
      </c>
      <c r="BA117" s="129">
        <f ca="1">SUM(AZ117:AZ$124)*SSd</f>
        <v>0</v>
      </c>
      <c r="BB117" s="70">
        <f t="shared" ca="1" si="1615"/>
        <v>99999.012970709329</v>
      </c>
      <c r="BC117" s="257">
        <f t="shared" ref="BC117" ca="1" si="2576">IFERROR(VLOOKUP($S117,qx_table,MATCH(BC$11,qx_title,0)+sexB),0)</f>
        <v>0</v>
      </c>
      <c r="BD117" s="268">
        <f t="shared" ca="1" si="2385"/>
        <v>0</v>
      </c>
      <c r="BE117" s="131">
        <f ca="1">SUM(BD117:BD$124)*SSe</f>
        <v>0</v>
      </c>
      <c r="BF117" s="70">
        <f t="shared" ca="1" si="1618"/>
        <v>99999.012970709329</v>
      </c>
      <c r="BG117" s="2">
        <f t="shared" ref="BG117" ca="1" si="2577">IFERROR(VLOOKUP($S117,qx_table,MATCH(BG$11,qx_title,0)+sexB),0)</f>
        <v>0</v>
      </c>
      <c r="BH117" s="131">
        <f t="shared" ca="1" si="2387"/>
        <v>0</v>
      </c>
      <c r="BI117" s="2">
        <f ca="1">SUM(BH117:BH$124)*SSf</f>
        <v>0</v>
      </c>
      <c r="BJ117" s="70">
        <f t="shared" ca="1" si="1621"/>
        <v>99999.012970709329</v>
      </c>
      <c r="BK117" s="2">
        <f t="shared" ref="BK117" ca="1" si="2578">IFERROR(VLOOKUP($S117,qx_table,MATCH(BK$11,qx_title,0)+sexB),0)</f>
        <v>0</v>
      </c>
      <c r="BL117" s="131">
        <f t="shared" ca="1" si="2389"/>
        <v>0</v>
      </c>
      <c r="BM117" s="131">
        <f ca="1">SUM(BL117:BL$124)*SSg</f>
        <v>0</v>
      </c>
      <c r="BN117" s="70">
        <f t="shared" ca="1" si="1624"/>
        <v>99999.012970709329</v>
      </c>
      <c r="BO117" s="2">
        <f t="shared" ref="BO117" ca="1" si="2579">IFERROR(VLOOKUP($S117,qx_table,MATCH(BO$11,qx_title,0)+sexB),0)</f>
        <v>0</v>
      </c>
      <c r="BP117" s="131">
        <f t="shared" ca="1" si="2391"/>
        <v>0</v>
      </c>
      <c r="BQ117" s="131">
        <f ca="1">SUM(BP117:BP$124)*SSh</f>
        <v>0</v>
      </c>
      <c r="BR117" s="70">
        <f t="shared" ca="1" si="1627"/>
        <v>99999.012970709329</v>
      </c>
      <c r="BS117" s="2">
        <f t="shared" ref="BS117" ca="1" si="2580">IFERROR(VLOOKUP($S117,qx_table,MATCH(BS$11,qx_title,0)+sexB),0)*IF(R117=0,MCi,1)</f>
        <v>0</v>
      </c>
      <c r="BT117" s="131">
        <f t="shared" ca="1" si="2393"/>
        <v>0</v>
      </c>
      <c r="BU117" s="131">
        <f ca="1">SUM(BT117:BT$124)*SSi</f>
        <v>0</v>
      </c>
      <c r="BV117" s="70">
        <f t="shared" ca="1" si="1630"/>
        <v>99999.012970709329</v>
      </c>
      <c r="BW117" s="2">
        <f t="shared" ref="BW117" ca="1" si="2581">IFERROR(VLOOKUP($S117,qx_table,MATCH(BW$11,qx_title,0)+sexB),0)</f>
        <v>0</v>
      </c>
      <c r="BX117" s="131">
        <f t="shared" ca="1" si="2395"/>
        <v>0</v>
      </c>
      <c r="BY117" s="131">
        <f ca="1">SUM(BX117:BX$124)*SSj</f>
        <v>0</v>
      </c>
      <c r="BZ117" s="70">
        <f t="shared" ca="1" si="1633"/>
        <v>99999.012970709329</v>
      </c>
      <c r="CA117" s="2">
        <f t="shared" ref="CA117" ca="1" si="2582">IFERROR(VLOOKUP($S117,qx_table,MATCH(CA$11,qx_title,0)+sexB),0)</f>
        <v>0</v>
      </c>
      <c r="CB117" s="131">
        <f t="shared" ca="1" si="2397"/>
        <v>0</v>
      </c>
      <c r="CC117" s="131">
        <f ca="1">SUM(CB117:CB$124)*SSk</f>
        <v>0</v>
      </c>
      <c r="CD117" s="8">
        <f t="shared" ca="1" si="1636"/>
        <v>99999.012970709329</v>
      </c>
      <c r="CE117" s="2">
        <f t="shared" ref="CE117" ca="1" si="2583">IFERROR(VLOOKUP($S117,qx_table,MATCH(CE$11,qx_title,0)+sexB),0)</f>
        <v>0</v>
      </c>
      <c r="CF117" s="131">
        <f t="shared" ca="1" si="2399"/>
        <v>0</v>
      </c>
      <c r="CG117" s="131">
        <f ca="1">SUM(CF117:CF$124)*SSl</f>
        <v>0</v>
      </c>
      <c r="CH117" s="101">
        <f t="shared" ca="1" si="1639"/>
        <v>0</v>
      </c>
      <c r="CI117" s="154">
        <f t="shared" ca="1" si="2357"/>
        <v>0</v>
      </c>
      <c r="CJ117" s="32">
        <f t="shared" ref="CJ117" ca="1" si="2584">+MAX(VLOOKUP(xB+$R117,기수표B,$AH$1)-VLOOKUP(xB+mB,기수표B,$AH$1),0)</f>
        <v>0</v>
      </c>
      <c r="CK117" s="32">
        <f t="shared" ref="CK117" ca="1" si="2585">+MAX(VLOOKUP(xB+$R117,기수표B,$AH$1)-VLOOKUP(xB+mB,기수표B,$AH$1)-11/24*(VLOOKUP(xB+$R117,기수표B,$AG$1)-VLOOKUP(xB+mB,기수표B,$AG$1)),0)</f>
        <v>0</v>
      </c>
      <c r="CL117" s="32">
        <f t="shared" ref="CL117" ca="1" si="2586">+MAX(VLOOKUP(xB+$R117,기수표B,$AA$1)-VLOOKUP(xB+mB,기수표B,$AA$1),0)</f>
        <v>0</v>
      </c>
      <c r="CM117" s="32">
        <f t="shared" ref="CM117" ca="1" si="2587">+MAX(VLOOKUP(xB+$R117,기수표B,$AA$1)-VLOOKUP(xB+mB,기수표B,$AA$1)-11/24*(VLOOKUP(xB+$R117,기수표B,$AA$1)-VLOOKUP(xB+mB,기수표B,$AA$1)),0)</f>
        <v>0</v>
      </c>
      <c r="CN117" s="32">
        <f t="shared" si="2362"/>
        <v>0</v>
      </c>
      <c r="CO117" s="32">
        <f t="shared" ca="1" si="2363"/>
        <v>0</v>
      </c>
      <c r="CP117" s="259">
        <f t="shared" ca="1" si="2364"/>
        <v>0</v>
      </c>
      <c r="CQ117" s="259">
        <f t="shared" ca="1" si="2365"/>
        <v>0</v>
      </c>
      <c r="CR117" s="259" t="e">
        <f t="shared" ca="1" si="2366"/>
        <v>#DIV/0!</v>
      </c>
      <c r="CS117" s="31">
        <f t="shared" ref="CS117" si="2588">+MIN(mB,7)</f>
        <v>5</v>
      </c>
      <c r="CU117" s="13">
        <v>105</v>
      </c>
      <c r="CV117" s="477">
        <f t="shared" ca="1" si="2368"/>
        <v>420</v>
      </c>
      <c r="CW117" s="477" t="e">
        <f t="shared" ca="1" si="2369"/>
        <v>#DIV/0!</v>
      </c>
      <c r="CX117" s="477">
        <f t="shared" ca="1" si="2370"/>
        <v>0</v>
      </c>
      <c r="CY117" s="478">
        <f t="shared" ca="1" si="1645"/>
        <v>0</v>
      </c>
    </row>
    <row r="118" spans="3:103">
      <c r="C118" s="33"/>
      <c r="D118" s="33"/>
      <c r="N118" s="5">
        <f t="shared" si="1646"/>
        <v>106</v>
      </c>
      <c r="O118" s="2">
        <f t="shared" ref="O118" ca="1" si="2589">+(1+iB)^-N118</f>
        <v>9.4555856304548797E-2</v>
      </c>
      <c r="P118" s="2">
        <f t="shared" ref="P118" ca="1" si="2590">+(1+iB)^-(N118+0.5)</f>
        <v>9.3509723676159021E-2</v>
      </c>
      <c r="Q118" s="91"/>
      <c r="R118" s="20">
        <f t="shared" si="1649"/>
        <v>106</v>
      </c>
      <c r="S118" s="20" t="str">
        <f t="shared" ref="S118" si="2591">+IF(xB+R118&lt;=xB+nB,xB+R118,"")</f>
        <v/>
      </c>
      <c r="T118" s="2">
        <f t="shared" ref="T118:U118" ca="1" si="2592">IFERROR(VLOOKUP($S118,qx_table,MATCH(T$11,qx_title,0)+sexB),0)</f>
        <v>0</v>
      </c>
      <c r="U118" s="2">
        <f t="shared" ca="1" si="2592"/>
        <v>0</v>
      </c>
      <c r="V118" s="300">
        <f>IF(JRB=2,0,IF(R118&gt;=mB-1,_xlfn.XLOOKUP(R118-mB,해지율!#REF!,해지율!#REF!,,1),_xlfn.XLOOKUP(R118,해지율!#REF!,해지율!#REF!,,-1)))</f>
        <v>0</v>
      </c>
      <c r="W118" s="8">
        <f t="shared" ref="W118" si="2593">IF(R118=0,100000,IF(R118&gt;nB,0,W117*(1-X117)*(1-Y117)))</f>
        <v>0</v>
      </c>
      <c r="X118" s="10">
        <f t="shared" ca="1" si="1561"/>
        <v>0</v>
      </c>
      <c r="Y118" s="10">
        <f t="shared" ca="1" si="1562"/>
        <v>0</v>
      </c>
      <c r="Z118" s="5">
        <f t="shared" ca="1" si="1601"/>
        <v>0</v>
      </c>
      <c r="AA118" s="5">
        <f ca="1">+SUM(Z118:Z$124)</f>
        <v>0</v>
      </c>
      <c r="AB118" s="8">
        <f t="shared" ca="1" si="1563"/>
        <v>0</v>
      </c>
      <c r="AC118" s="209">
        <f ca="1">+SUM(AB118:AB$124)*SSSM</f>
        <v>0</v>
      </c>
      <c r="AD118" s="209">
        <f t="shared" ref="AD118" si="2594">IF(R118&gt;nB,0,AD117*(1-X117)*(1-Y117)*(1-AE117)*(1-AF117))</f>
        <v>0</v>
      </c>
      <c r="AE118" s="92">
        <f t="shared" ca="1" si="1565"/>
        <v>0</v>
      </c>
      <c r="AF118" s="92">
        <f t="shared" ca="1" si="1566"/>
        <v>0</v>
      </c>
      <c r="AG118" s="664">
        <f t="shared" ca="1" si="1567"/>
        <v>0</v>
      </c>
      <c r="AH118" s="5">
        <f ca="1">+SUM(AG118:AG$124)</f>
        <v>0</v>
      </c>
      <c r="AI118" s="70">
        <f t="shared" ca="1" si="1568"/>
        <v>0</v>
      </c>
      <c r="AJ118" s="208">
        <f ca="1">+SUM(AB118:AB$124)*SS50J</f>
        <v>0</v>
      </c>
      <c r="AK118" s="5">
        <f t="shared" ca="1" si="1603"/>
        <v>99999.012970709329</v>
      </c>
      <c r="AL118" s="2">
        <f t="shared" ref="AL118" ca="1" si="2595">IFERROR(VLOOKUP($S118,qx_table,MATCH(AL$11,qx_title,0)+sexB),0)</f>
        <v>0</v>
      </c>
      <c r="AM118" s="131">
        <f t="shared" ca="1" si="1605"/>
        <v>9455.4923010551029</v>
      </c>
      <c r="AN118" s="129">
        <f t="shared" ca="1" si="2378"/>
        <v>0</v>
      </c>
      <c r="AO118" s="129">
        <f ca="1">SUM(AN118:AN$124)*SSa</f>
        <v>0</v>
      </c>
      <c r="AP118" s="70">
        <f t="shared" ca="1" si="1607"/>
        <v>99999.012970709329</v>
      </c>
      <c r="AQ118" s="2">
        <f t="shared" ref="AQ118" ca="1" si="2596">IFERROR(VLOOKUP($S118,qx_table,MATCH(AQ$11,qx_title,0)+sexB),0)</f>
        <v>0</v>
      </c>
      <c r="AR118" s="127">
        <f t="shared" ca="1" si="2380"/>
        <v>0</v>
      </c>
      <c r="AS118" s="127">
        <f ca="1">SUM(AR118:AR$124)*SSb</f>
        <v>0</v>
      </c>
      <c r="AT118" s="70">
        <f t="shared" ca="1" si="1610"/>
        <v>99999.012970709329</v>
      </c>
      <c r="AU118" s="2">
        <f t="shared" ref="AU118" ca="1" si="2597">IFERROR(VLOOKUP($S118,qx_table,MATCH(AU$11,qx_title,0)+sexB),0)</f>
        <v>0</v>
      </c>
      <c r="AV118" s="268">
        <f t="shared" ca="1" si="2382"/>
        <v>0</v>
      </c>
      <c r="AW118" s="131">
        <f ca="1">SUM(AV118:AV$124)*SSc</f>
        <v>0</v>
      </c>
      <c r="AX118" s="70">
        <f t="shared" ca="1" si="1613"/>
        <v>99999.012970709329</v>
      </c>
      <c r="AY118" s="2">
        <f t="shared" ref="AY118" ca="1" si="2598">IFERROR(VLOOKUP($S118,qx_table,MATCH(AY$11,qx_title,0)+sexB),0)</f>
        <v>0</v>
      </c>
      <c r="AZ118" s="268">
        <f t="shared" ca="1" si="2348"/>
        <v>0</v>
      </c>
      <c r="BA118" s="129">
        <f ca="1">SUM(AZ118:AZ$124)*SSd</f>
        <v>0</v>
      </c>
      <c r="BB118" s="70">
        <f t="shared" ca="1" si="1615"/>
        <v>99999.012970709329</v>
      </c>
      <c r="BC118" s="257">
        <f t="shared" ref="BC118" ca="1" si="2599">IFERROR(VLOOKUP($S118,qx_table,MATCH(BC$11,qx_title,0)+sexB),0)</f>
        <v>0</v>
      </c>
      <c r="BD118" s="268">
        <f t="shared" ca="1" si="2385"/>
        <v>0</v>
      </c>
      <c r="BE118" s="131">
        <f ca="1">SUM(BD118:BD$124)*SSe</f>
        <v>0</v>
      </c>
      <c r="BF118" s="70">
        <f t="shared" ca="1" si="1618"/>
        <v>99999.012970709329</v>
      </c>
      <c r="BG118" s="2">
        <f t="shared" ref="BG118" ca="1" si="2600">IFERROR(VLOOKUP($S118,qx_table,MATCH(BG$11,qx_title,0)+sexB),0)</f>
        <v>0</v>
      </c>
      <c r="BH118" s="131">
        <f t="shared" ca="1" si="2387"/>
        <v>0</v>
      </c>
      <c r="BI118" s="2">
        <f ca="1">SUM(BH118:BH$124)*SSf</f>
        <v>0</v>
      </c>
      <c r="BJ118" s="70">
        <f t="shared" ca="1" si="1621"/>
        <v>99999.012970709329</v>
      </c>
      <c r="BK118" s="2">
        <f t="shared" ref="BK118" ca="1" si="2601">IFERROR(VLOOKUP($S118,qx_table,MATCH(BK$11,qx_title,0)+sexB),0)</f>
        <v>0</v>
      </c>
      <c r="BL118" s="131">
        <f t="shared" ca="1" si="2389"/>
        <v>0</v>
      </c>
      <c r="BM118" s="131">
        <f ca="1">SUM(BL118:BL$124)*SSg</f>
        <v>0</v>
      </c>
      <c r="BN118" s="70">
        <f t="shared" ca="1" si="1624"/>
        <v>99999.012970709329</v>
      </c>
      <c r="BO118" s="2">
        <f t="shared" ref="BO118" ca="1" si="2602">IFERROR(VLOOKUP($S118,qx_table,MATCH(BO$11,qx_title,0)+sexB),0)</f>
        <v>0</v>
      </c>
      <c r="BP118" s="131">
        <f t="shared" ca="1" si="2391"/>
        <v>0</v>
      </c>
      <c r="BQ118" s="131">
        <f ca="1">SUM(BP118:BP$124)*SSh</f>
        <v>0</v>
      </c>
      <c r="BR118" s="70">
        <f t="shared" ca="1" si="1627"/>
        <v>99999.012970709329</v>
      </c>
      <c r="BS118" s="2">
        <f t="shared" ref="BS118" ca="1" si="2603">IFERROR(VLOOKUP($S118,qx_table,MATCH(BS$11,qx_title,0)+sexB),0)*IF(R118=0,MCi,1)</f>
        <v>0</v>
      </c>
      <c r="BT118" s="131">
        <f t="shared" ca="1" si="2393"/>
        <v>0</v>
      </c>
      <c r="BU118" s="131">
        <f ca="1">SUM(BT118:BT$124)*SSi</f>
        <v>0</v>
      </c>
      <c r="BV118" s="70">
        <f t="shared" ca="1" si="1630"/>
        <v>99999.012970709329</v>
      </c>
      <c r="BW118" s="2">
        <f t="shared" ref="BW118" ca="1" si="2604">IFERROR(VLOOKUP($S118,qx_table,MATCH(BW$11,qx_title,0)+sexB),0)</f>
        <v>0</v>
      </c>
      <c r="BX118" s="131">
        <f t="shared" ca="1" si="2395"/>
        <v>0</v>
      </c>
      <c r="BY118" s="131">
        <f ca="1">SUM(BX118:BX$124)*SSj</f>
        <v>0</v>
      </c>
      <c r="BZ118" s="70">
        <f t="shared" ca="1" si="1633"/>
        <v>99999.012970709329</v>
      </c>
      <c r="CA118" s="2">
        <f t="shared" ref="CA118" ca="1" si="2605">IFERROR(VLOOKUP($S118,qx_table,MATCH(CA$11,qx_title,0)+sexB),0)</f>
        <v>0</v>
      </c>
      <c r="CB118" s="131">
        <f t="shared" ca="1" si="2397"/>
        <v>0</v>
      </c>
      <c r="CC118" s="131">
        <f ca="1">SUM(CB118:CB$124)*SSk</f>
        <v>0</v>
      </c>
      <c r="CD118" s="8">
        <f t="shared" ca="1" si="1636"/>
        <v>99999.012970709329</v>
      </c>
      <c r="CE118" s="2">
        <f t="shared" ref="CE118" ca="1" si="2606">IFERROR(VLOOKUP($S118,qx_table,MATCH(CE$11,qx_title,0)+sexB),0)</f>
        <v>0</v>
      </c>
      <c r="CF118" s="131">
        <f t="shared" ca="1" si="2399"/>
        <v>0</v>
      </c>
      <c r="CG118" s="131">
        <f ca="1">SUM(CF118:CF$124)*SSl</f>
        <v>0</v>
      </c>
      <c r="CH118" s="101">
        <f t="shared" ca="1" si="1639"/>
        <v>0</v>
      </c>
      <c r="CI118" s="154">
        <f t="shared" ca="1" si="2357"/>
        <v>0</v>
      </c>
      <c r="CJ118" s="32">
        <f t="shared" ref="CJ118" ca="1" si="2607">+MAX(VLOOKUP(xB+$R118,기수표B,$AH$1)-VLOOKUP(xB+mB,기수표B,$AH$1),0)</f>
        <v>0</v>
      </c>
      <c r="CK118" s="32">
        <f t="shared" ref="CK118" ca="1" si="2608">+MAX(VLOOKUP(xB+$R118,기수표B,$AH$1)-VLOOKUP(xB+mB,기수표B,$AH$1)-11/24*(VLOOKUP(xB+$R118,기수표B,$AG$1)-VLOOKUP(xB+mB,기수표B,$AG$1)),0)</f>
        <v>0</v>
      </c>
      <c r="CL118" s="32">
        <f t="shared" ref="CL118" ca="1" si="2609">+MAX(VLOOKUP(xB+$R118,기수표B,$AA$1)-VLOOKUP(xB+mB,기수표B,$AA$1),0)</f>
        <v>0</v>
      </c>
      <c r="CM118" s="32">
        <f t="shared" ref="CM118" ca="1" si="2610">+MAX(VLOOKUP(xB+$R118,기수표B,$AA$1)-VLOOKUP(xB+mB,기수표B,$AA$1)-11/24*(VLOOKUP(xB+$R118,기수표B,$AA$1)-VLOOKUP(xB+mB,기수표B,$AA$1)),0)</f>
        <v>0</v>
      </c>
      <c r="CN118" s="32">
        <f t="shared" si="2362"/>
        <v>0</v>
      </c>
      <c r="CO118" s="32">
        <f t="shared" ca="1" si="2363"/>
        <v>0</v>
      </c>
      <c r="CP118" s="259">
        <f t="shared" ca="1" si="2364"/>
        <v>0</v>
      </c>
      <c r="CQ118" s="259">
        <f t="shared" ca="1" si="2365"/>
        <v>0</v>
      </c>
      <c r="CR118" s="259" t="e">
        <f t="shared" ca="1" si="2366"/>
        <v>#DIV/0!</v>
      </c>
      <c r="CS118" s="31">
        <f t="shared" ref="CS118" si="2611">+MIN(mB,7)</f>
        <v>5</v>
      </c>
      <c r="CU118" s="13">
        <v>106</v>
      </c>
      <c r="CV118" s="477">
        <f t="shared" ca="1" si="2368"/>
        <v>420</v>
      </c>
      <c r="CW118" s="477" t="e">
        <f t="shared" ca="1" si="2369"/>
        <v>#DIV/0!</v>
      </c>
      <c r="CX118" s="477">
        <f t="shared" ca="1" si="2370"/>
        <v>0</v>
      </c>
      <c r="CY118" s="478">
        <f t="shared" ca="1" si="1645"/>
        <v>0</v>
      </c>
    </row>
    <row r="119" spans="3:103">
      <c r="C119" s="33"/>
      <c r="D119" s="33"/>
      <c r="N119" s="5">
        <f t="shared" si="1646"/>
        <v>107</v>
      </c>
      <c r="O119" s="2">
        <f t="shared" ref="O119" ca="1" si="2612">+(1+iB)^-N119</f>
        <v>9.2475165090023265E-2</v>
      </c>
      <c r="P119" s="2">
        <f t="shared" ref="P119" ca="1" si="2613">+(1+iB)^-(N119+0.5)</f>
        <v>9.1452052495021072E-2</v>
      </c>
      <c r="Q119" s="91"/>
      <c r="R119" s="20">
        <f t="shared" si="1649"/>
        <v>107</v>
      </c>
      <c r="S119" s="20" t="str">
        <f t="shared" ref="S119" si="2614">+IF(xB+R119&lt;=xB+nB,xB+R119,"")</f>
        <v/>
      </c>
      <c r="T119" s="2">
        <f t="shared" ref="T119:U119" ca="1" si="2615">IFERROR(VLOOKUP($S119,qx_table,MATCH(T$11,qx_title,0)+sexB),0)</f>
        <v>0</v>
      </c>
      <c r="U119" s="2">
        <f t="shared" ca="1" si="2615"/>
        <v>0</v>
      </c>
      <c r="V119" s="300">
        <f>IF(JRB=2,0,IF(R119&gt;=mB-1,_xlfn.XLOOKUP(R119-mB,해지율!#REF!,해지율!#REF!,,1),_xlfn.XLOOKUP(R119,해지율!#REF!,해지율!#REF!,,-1)))</f>
        <v>0</v>
      </c>
      <c r="W119" s="8">
        <f t="shared" ref="W119" si="2616">IF(R119=0,100000,IF(R119&gt;nB,0,W118*(1-X118)*(1-Y118)))</f>
        <v>0</v>
      </c>
      <c r="X119" s="10">
        <f t="shared" ca="1" si="1561"/>
        <v>0</v>
      </c>
      <c r="Y119" s="10">
        <f t="shared" ca="1" si="1562"/>
        <v>0</v>
      </c>
      <c r="Z119" s="5">
        <f t="shared" ca="1" si="1601"/>
        <v>0</v>
      </c>
      <c r="AA119" s="5">
        <f ca="1">+SUM(Z119:Z$124)</f>
        <v>0</v>
      </c>
      <c r="AB119" s="8">
        <f t="shared" ca="1" si="1563"/>
        <v>0</v>
      </c>
      <c r="AC119" s="209">
        <f ca="1">+SUM(AB119:AB$124)*SSSM</f>
        <v>0</v>
      </c>
      <c r="AD119" s="209">
        <f t="shared" ref="AD119" si="2617">IF(R119&gt;nB,0,AD118*(1-X118)*(1-Y118)*(1-AE118)*(1-AF118))</f>
        <v>0</v>
      </c>
      <c r="AE119" s="92">
        <f t="shared" ca="1" si="1565"/>
        <v>0</v>
      </c>
      <c r="AF119" s="92">
        <f t="shared" ca="1" si="1566"/>
        <v>0</v>
      </c>
      <c r="AG119" s="664">
        <f t="shared" ca="1" si="1567"/>
        <v>0</v>
      </c>
      <c r="AH119" s="5">
        <f ca="1">+SUM(AG119:AG$124)</f>
        <v>0</v>
      </c>
      <c r="AI119" s="70">
        <f t="shared" ca="1" si="1568"/>
        <v>0</v>
      </c>
      <c r="AJ119" s="208">
        <f ca="1">+SUM(AB119:AB$124)*SS50J</f>
        <v>0</v>
      </c>
      <c r="AK119" s="5">
        <f t="shared" ca="1" si="1603"/>
        <v>99999.012970709329</v>
      </c>
      <c r="AL119" s="2">
        <f t="shared" ref="AL119" ca="1" si="2618">IFERROR(VLOOKUP($S119,qx_table,MATCH(AL$11,qx_title,0)+sexB),0)</f>
        <v>0</v>
      </c>
      <c r="AM119" s="131">
        <f t="shared" ca="1" si="1605"/>
        <v>9247.4252333057229</v>
      </c>
      <c r="AN119" s="129">
        <f t="shared" ca="1" si="2378"/>
        <v>0</v>
      </c>
      <c r="AO119" s="129">
        <f ca="1">SUM(AN119:AN$124)*SSa</f>
        <v>0</v>
      </c>
      <c r="AP119" s="70">
        <f t="shared" ca="1" si="1607"/>
        <v>99999.012970709329</v>
      </c>
      <c r="AQ119" s="2">
        <f t="shared" ref="AQ119" ca="1" si="2619">IFERROR(VLOOKUP($S119,qx_table,MATCH(AQ$11,qx_title,0)+sexB),0)</f>
        <v>0</v>
      </c>
      <c r="AR119" s="127">
        <f t="shared" ca="1" si="2380"/>
        <v>0</v>
      </c>
      <c r="AS119" s="127">
        <f ca="1">SUM(AR119:AR$124)*SSb</f>
        <v>0</v>
      </c>
      <c r="AT119" s="70">
        <f t="shared" ca="1" si="1610"/>
        <v>99999.012970709329</v>
      </c>
      <c r="AU119" s="2">
        <f t="shared" ref="AU119" ca="1" si="2620">IFERROR(VLOOKUP($S119,qx_table,MATCH(AU$11,qx_title,0)+sexB),0)</f>
        <v>0</v>
      </c>
      <c r="AV119" s="268">
        <f t="shared" ca="1" si="2382"/>
        <v>0</v>
      </c>
      <c r="AW119" s="131">
        <f ca="1">SUM(AV119:AV$124)*SSc</f>
        <v>0</v>
      </c>
      <c r="AX119" s="70">
        <f t="shared" ca="1" si="1613"/>
        <v>99999.012970709329</v>
      </c>
      <c r="AY119" s="2">
        <f t="shared" ref="AY119" ca="1" si="2621">IFERROR(VLOOKUP($S119,qx_table,MATCH(AY$11,qx_title,0)+sexB),0)</f>
        <v>0</v>
      </c>
      <c r="AZ119" s="268">
        <f t="shared" ca="1" si="2348"/>
        <v>0</v>
      </c>
      <c r="BA119" s="129">
        <f ca="1">SUM(AZ119:AZ$124)*SSd</f>
        <v>0</v>
      </c>
      <c r="BB119" s="70">
        <f t="shared" ca="1" si="1615"/>
        <v>99999.012970709329</v>
      </c>
      <c r="BC119" s="257">
        <f t="shared" ref="BC119" ca="1" si="2622">IFERROR(VLOOKUP($S119,qx_table,MATCH(BC$11,qx_title,0)+sexB),0)</f>
        <v>0</v>
      </c>
      <c r="BD119" s="268">
        <f t="shared" ca="1" si="2385"/>
        <v>0</v>
      </c>
      <c r="BE119" s="131">
        <f ca="1">SUM(BD119:BD$124)*SSe</f>
        <v>0</v>
      </c>
      <c r="BF119" s="70">
        <f t="shared" ca="1" si="1618"/>
        <v>99999.012970709329</v>
      </c>
      <c r="BG119" s="2">
        <f t="shared" ref="BG119" ca="1" si="2623">IFERROR(VLOOKUP($S119,qx_table,MATCH(BG$11,qx_title,0)+sexB),0)</f>
        <v>0</v>
      </c>
      <c r="BH119" s="131">
        <f t="shared" ca="1" si="2387"/>
        <v>0</v>
      </c>
      <c r="BI119" s="2">
        <f ca="1">SUM(BH119:BH$124)*SSf</f>
        <v>0</v>
      </c>
      <c r="BJ119" s="70">
        <f t="shared" ca="1" si="1621"/>
        <v>99999.012970709329</v>
      </c>
      <c r="BK119" s="2">
        <f t="shared" ref="BK119" ca="1" si="2624">IFERROR(VLOOKUP($S119,qx_table,MATCH(BK$11,qx_title,0)+sexB),0)</f>
        <v>0</v>
      </c>
      <c r="BL119" s="131">
        <f t="shared" ca="1" si="2389"/>
        <v>0</v>
      </c>
      <c r="BM119" s="131">
        <f ca="1">SUM(BL119:BL$124)*SSg</f>
        <v>0</v>
      </c>
      <c r="BN119" s="70">
        <f t="shared" ca="1" si="1624"/>
        <v>99999.012970709329</v>
      </c>
      <c r="BO119" s="2">
        <f t="shared" ref="BO119" ca="1" si="2625">IFERROR(VLOOKUP($S119,qx_table,MATCH(BO$11,qx_title,0)+sexB),0)</f>
        <v>0</v>
      </c>
      <c r="BP119" s="131">
        <f t="shared" ca="1" si="2391"/>
        <v>0</v>
      </c>
      <c r="BQ119" s="131">
        <f ca="1">SUM(BP119:BP$124)*SSh</f>
        <v>0</v>
      </c>
      <c r="BR119" s="70">
        <f t="shared" ca="1" si="1627"/>
        <v>99999.012970709329</v>
      </c>
      <c r="BS119" s="2">
        <f t="shared" ref="BS119" ca="1" si="2626">IFERROR(VLOOKUP($S119,qx_table,MATCH(BS$11,qx_title,0)+sexB),0)*IF(R119=0,MCi,1)</f>
        <v>0</v>
      </c>
      <c r="BT119" s="131">
        <f t="shared" ca="1" si="2393"/>
        <v>0</v>
      </c>
      <c r="BU119" s="131">
        <f ca="1">SUM(BT119:BT$124)*SSi</f>
        <v>0</v>
      </c>
      <c r="BV119" s="70">
        <f t="shared" ca="1" si="1630"/>
        <v>99999.012970709329</v>
      </c>
      <c r="BW119" s="2">
        <f t="shared" ref="BW119" ca="1" si="2627">IFERROR(VLOOKUP($S119,qx_table,MATCH(BW$11,qx_title,0)+sexB),0)</f>
        <v>0</v>
      </c>
      <c r="BX119" s="131">
        <f t="shared" ca="1" si="2395"/>
        <v>0</v>
      </c>
      <c r="BY119" s="131">
        <f ca="1">SUM(BX119:BX$124)*SSj</f>
        <v>0</v>
      </c>
      <c r="BZ119" s="70">
        <f t="shared" ca="1" si="1633"/>
        <v>99999.012970709329</v>
      </c>
      <c r="CA119" s="2">
        <f t="shared" ref="CA119" ca="1" si="2628">IFERROR(VLOOKUP($S119,qx_table,MATCH(CA$11,qx_title,0)+sexB),0)</f>
        <v>0</v>
      </c>
      <c r="CB119" s="131">
        <f t="shared" ca="1" si="2397"/>
        <v>0</v>
      </c>
      <c r="CC119" s="131">
        <f ca="1">SUM(CB119:CB$124)*SSk</f>
        <v>0</v>
      </c>
      <c r="CD119" s="8">
        <f t="shared" ca="1" si="1636"/>
        <v>99999.012970709329</v>
      </c>
      <c r="CE119" s="2">
        <f t="shared" ref="CE119" ca="1" si="2629">IFERROR(VLOOKUP($S119,qx_table,MATCH(CE$11,qx_title,0)+sexB),0)</f>
        <v>0</v>
      </c>
      <c r="CF119" s="131">
        <f t="shared" ca="1" si="2399"/>
        <v>0</v>
      </c>
      <c r="CG119" s="131">
        <f ca="1">SUM(CF119:CF$124)*SSl</f>
        <v>0</v>
      </c>
      <c r="CH119" s="101">
        <f t="shared" ca="1" si="1639"/>
        <v>0</v>
      </c>
      <c r="CI119" s="154">
        <f t="shared" ca="1" si="2357"/>
        <v>0</v>
      </c>
      <c r="CJ119" s="32">
        <f t="shared" ref="CJ119" ca="1" si="2630">+MAX(VLOOKUP(xB+$R119,기수표B,$AH$1)-VLOOKUP(xB+mB,기수표B,$AH$1),0)</f>
        <v>0</v>
      </c>
      <c r="CK119" s="32">
        <f t="shared" ref="CK119" ca="1" si="2631">+MAX(VLOOKUP(xB+$R119,기수표B,$AH$1)-VLOOKUP(xB+mB,기수표B,$AH$1)-11/24*(VLOOKUP(xB+$R119,기수표B,$AG$1)-VLOOKUP(xB+mB,기수표B,$AG$1)),0)</f>
        <v>0</v>
      </c>
      <c r="CL119" s="32">
        <f t="shared" ref="CL119" ca="1" si="2632">+MAX(VLOOKUP(xB+$R119,기수표B,$AA$1)-VLOOKUP(xB+mB,기수표B,$AA$1),0)</f>
        <v>0</v>
      </c>
      <c r="CM119" s="32">
        <f t="shared" ref="CM119" ca="1" si="2633">+MAX(VLOOKUP(xB+$R119,기수표B,$AA$1)-VLOOKUP(xB+mB,기수표B,$AA$1)-11/24*(VLOOKUP(xB+$R119,기수표B,$AA$1)-VLOOKUP(xB+mB,기수표B,$AA$1)),0)</f>
        <v>0</v>
      </c>
      <c r="CN119" s="32">
        <f t="shared" si="2362"/>
        <v>0</v>
      </c>
      <c r="CO119" s="32">
        <f t="shared" ca="1" si="2363"/>
        <v>0</v>
      </c>
      <c r="CP119" s="259">
        <f t="shared" ca="1" si="2364"/>
        <v>0</v>
      </c>
      <c r="CQ119" s="259">
        <f t="shared" ca="1" si="2365"/>
        <v>0</v>
      </c>
      <c r="CR119" s="259" t="e">
        <f t="shared" ca="1" si="2366"/>
        <v>#DIV/0!</v>
      </c>
      <c r="CS119" s="31">
        <f t="shared" ref="CS119" si="2634">+MIN(mB,7)</f>
        <v>5</v>
      </c>
      <c r="CU119" s="13">
        <v>107</v>
      </c>
      <c r="CV119" s="477">
        <f t="shared" ca="1" si="2368"/>
        <v>420</v>
      </c>
      <c r="CW119" s="477" t="e">
        <f t="shared" ca="1" si="2369"/>
        <v>#DIV/0!</v>
      </c>
      <c r="CX119" s="477">
        <f t="shared" ca="1" si="2370"/>
        <v>0</v>
      </c>
      <c r="CY119" s="478">
        <f t="shared" ca="1" si="1645"/>
        <v>0</v>
      </c>
    </row>
    <row r="120" spans="3:103">
      <c r="C120" s="33"/>
      <c r="D120" s="33"/>
      <c r="N120" s="5">
        <f t="shared" si="1646"/>
        <v>108</v>
      </c>
      <c r="O120" s="2">
        <f t="shared" ref="O120" ca="1" si="2635">+(1+iB)^-N120</f>
        <v>9.0440259256746452E-2</v>
      </c>
      <c r="P120" s="2">
        <f t="shared" ref="P120" ca="1" si="2636">+(1+iB)^-(N120+0.5)</f>
        <v>8.9439660141829871E-2</v>
      </c>
      <c r="Q120" s="91"/>
      <c r="R120" s="20">
        <f t="shared" si="1649"/>
        <v>108</v>
      </c>
      <c r="S120" s="20" t="str">
        <f t="shared" ref="S120" si="2637">+IF(xB+R120&lt;=xB+nB,xB+R120,"")</f>
        <v/>
      </c>
      <c r="T120" s="2">
        <f t="shared" ref="T120:U120" ca="1" si="2638">IFERROR(VLOOKUP($S120,qx_table,MATCH(T$11,qx_title,0)+sexB),0)</f>
        <v>0</v>
      </c>
      <c r="U120" s="2">
        <f t="shared" ca="1" si="2638"/>
        <v>0</v>
      </c>
      <c r="V120" s="300">
        <f>IF(JRB=2,0,IF(R120&gt;=mB-1,_xlfn.XLOOKUP(R120-mB,해지율!#REF!,해지율!#REF!,,1),_xlfn.XLOOKUP(R120,해지율!#REF!,해지율!#REF!,,-1)))</f>
        <v>0</v>
      </c>
      <c r="W120" s="8">
        <f t="shared" ref="W120" si="2639">IF(R120=0,100000,IF(R120&gt;nB,0,W119*(1-X119)*(1-Y119)))</f>
        <v>0</v>
      </c>
      <c r="X120" s="10">
        <f t="shared" ca="1" si="1561"/>
        <v>0</v>
      </c>
      <c r="Y120" s="10">
        <f t="shared" ca="1" si="1562"/>
        <v>0</v>
      </c>
      <c r="Z120" s="5">
        <f t="shared" ca="1" si="1601"/>
        <v>0</v>
      </c>
      <c r="AA120" s="5">
        <f ca="1">+SUM(Z120:Z$124)</f>
        <v>0</v>
      </c>
      <c r="AB120" s="8">
        <f t="shared" ca="1" si="1563"/>
        <v>0</v>
      </c>
      <c r="AC120" s="209">
        <f ca="1">+SUM(AB120:AB$124)*SSSM</f>
        <v>0</v>
      </c>
      <c r="AD120" s="209">
        <f t="shared" ref="AD120" si="2640">IF(R120&gt;nB,0,AD119*(1-X119)*(1-Y119)*(1-AE119)*(1-AF119))</f>
        <v>0</v>
      </c>
      <c r="AE120" s="92">
        <f t="shared" ca="1" si="1565"/>
        <v>0</v>
      </c>
      <c r="AF120" s="92">
        <f t="shared" ca="1" si="1566"/>
        <v>0</v>
      </c>
      <c r="AG120" s="664">
        <f t="shared" ca="1" si="1567"/>
        <v>0</v>
      </c>
      <c r="AH120" s="5">
        <f ca="1">+SUM(AG120:AG$124)</f>
        <v>0</v>
      </c>
      <c r="AI120" s="70">
        <f t="shared" ca="1" si="1568"/>
        <v>0</v>
      </c>
      <c r="AJ120" s="208">
        <f ca="1">+SUM(AB120:AB$124)*SS50J</f>
        <v>0</v>
      </c>
      <c r="AK120" s="5">
        <f t="shared" ca="1" si="1603"/>
        <v>99999.012970709329</v>
      </c>
      <c r="AL120" s="2">
        <f t="shared" ref="AL120" ca="1" si="2641">IFERROR(VLOOKUP($S120,qx_table,MATCH(AL$11,qx_title,0)+sexB),0)</f>
        <v>0</v>
      </c>
      <c r="AM120" s="131">
        <f t="shared" ca="1" si="1605"/>
        <v>9043.9366584897034</v>
      </c>
      <c r="AN120" s="129">
        <f t="shared" ca="1" si="2378"/>
        <v>0</v>
      </c>
      <c r="AO120" s="129">
        <f ca="1">SUM(AN120:AN$124)*SSa</f>
        <v>0</v>
      </c>
      <c r="AP120" s="70">
        <f t="shared" ca="1" si="1607"/>
        <v>99999.012970709329</v>
      </c>
      <c r="AQ120" s="2">
        <f t="shared" ref="AQ120" ca="1" si="2642">IFERROR(VLOOKUP($S120,qx_table,MATCH(AQ$11,qx_title,0)+sexB),0)</f>
        <v>0</v>
      </c>
      <c r="AR120" s="127">
        <f t="shared" ca="1" si="2380"/>
        <v>0</v>
      </c>
      <c r="AS120" s="127">
        <f ca="1">SUM(AR120:AR$124)*SSb</f>
        <v>0</v>
      </c>
      <c r="AT120" s="70">
        <f t="shared" ca="1" si="1610"/>
        <v>99999.012970709329</v>
      </c>
      <c r="AU120" s="2">
        <f t="shared" ref="AU120" ca="1" si="2643">IFERROR(VLOOKUP($S120,qx_table,MATCH(AU$11,qx_title,0)+sexB),0)</f>
        <v>0</v>
      </c>
      <c r="AV120" s="268">
        <f t="shared" ca="1" si="2382"/>
        <v>0</v>
      </c>
      <c r="AW120" s="131">
        <f ca="1">SUM(AV120:AV$124)*SSc</f>
        <v>0</v>
      </c>
      <c r="AX120" s="70">
        <f t="shared" ca="1" si="1613"/>
        <v>99999.012970709329</v>
      </c>
      <c r="AY120" s="2">
        <f t="shared" ref="AY120" ca="1" si="2644">IFERROR(VLOOKUP($S120,qx_table,MATCH(AY$11,qx_title,0)+sexB),0)</f>
        <v>0</v>
      </c>
      <c r="AZ120" s="268">
        <f t="shared" ca="1" si="2348"/>
        <v>0</v>
      </c>
      <c r="BA120" s="129">
        <f ca="1">SUM(AZ120:AZ$124)*SSd</f>
        <v>0</v>
      </c>
      <c r="BB120" s="70">
        <f t="shared" ca="1" si="1615"/>
        <v>99999.012970709329</v>
      </c>
      <c r="BC120" s="257">
        <f t="shared" ref="BC120" ca="1" si="2645">IFERROR(VLOOKUP($S120,qx_table,MATCH(BC$11,qx_title,0)+sexB),0)</f>
        <v>0</v>
      </c>
      <c r="BD120" s="268">
        <f t="shared" ca="1" si="2385"/>
        <v>0</v>
      </c>
      <c r="BE120" s="131">
        <f ca="1">SUM(BD120:BD$124)*SSe</f>
        <v>0</v>
      </c>
      <c r="BF120" s="70">
        <f t="shared" ca="1" si="1618"/>
        <v>99999.012970709329</v>
      </c>
      <c r="BG120" s="2">
        <f t="shared" ref="BG120" ca="1" si="2646">IFERROR(VLOOKUP($S120,qx_table,MATCH(BG$11,qx_title,0)+sexB),0)</f>
        <v>0</v>
      </c>
      <c r="BH120" s="131">
        <f t="shared" ca="1" si="2387"/>
        <v>0</v>
      </c>
      <c r="BI120" s="2">
        <f ca="1">SUM(BH120:BH$124)*SSf</f>
        <v>0</v>
      </c>
      <c r="BJ120" s="70">
        <f t="shared" ca="1" si="1621"/>
        <v>99999.012970709329</v>
      </c>
      <c r="BK120" s="2">
        <f t="shared" ref="BK120" ca="1" si="2647">IFERROR(VLOOKUP($S120,qx_table,MATCH(BK$11,qx_title,0)+sexB),0)</f>
        <v>0</v>
      </c>
      <c r="BL120" s="131">
        <f t="shared" ca="1" si="2389"/>
        <v>0</v>
      </c>
      <c r="BM120" s="131">
        <f ca="1">SUM(BL120:BL$124)*SSg</f>
        <v>0</v>
      </c>
      <c r="BN120" s="70">
        <f t="shared" ca="1" si="1624"/>
        <v>99999.012970709329</v>
      </c>
      <c r="BO120" s="2">
        <f t="shared" ref="BO120" ca="1" si="2648">IFERROR(VLOOKUP($S120,qx_table,MATCH(BO$11,qx_title,0)+sexB),0)</f>
        <v>0</v>
      </c>
      <c r="BP120" s="131">
        <f t="shared" ca="1" si="2391"/>
        <v>0</v>
      </c>
      <c r="BQ120" s="131">
        <f ca="1">SUM(BP120:BP$124)*SSh</f>
        <v>0</v>
      </c>
      <c r="BR120" s="70">
        <f t="shared" ca="1" si="1627"/>
        <v>99999.012970709329</v>
      </c>
      <c r="BS120" s="2">
        <f t="shared" ref="BS120" ca="1" si="2649">IFERROR(VLOOKUP($S120,qx_table,MATCH(BS$11,qx_title,0)+sexB),0)*IF(R120=0,MCi,1)</f>
        <v>0</v>
      </c>
      <c r="BT120" s="131">
        <f t="shared" ca="1" si="2393"/>
        <v>0</v>
      </c>
      <c r="BU120" s="131">
        <f ca="1">SUM(BT120:BT$124)*SSi</f>
        <v>0</v>
      </c>
      <c r="BV120" s="70">
        <f t="shared" ca="1" si="1630"/>
        <v>99999.012970709329</v>
      </c>
      <c r="BW120" s="2">
        <f t="shared" ref="BW120" ca="1" si="2650">IFERROR(VLOOKUP($S120,qx_table,MATCH(BW$11,qx_title,0)+sexB),0)</f>
        <v>0</v>
      </c>
      <c r="BX120" s="131">
        <f t="shared" ca="1" si="2395"/>
        <v>0</v>
      </c>
      <c r="BY120" s="131">
        <f ca="1">SUM(BX120:BX$124)*SSj</f>
        <v>0</v>
      </c>
      <c r="BZ120" s="70">
        <f t="shared" ca="1" si="1633"/>
        <v>99999.012970709329</v>
      </c>
      <c r="CA120" s="2">
        <f t="shared" ref="CA120" ca="1" si="2651">IFERROR(VLOOKUP($S120,qx_table,MATCH(CA$11,qx_title,0)+sexB),0)</f>
        <v>0</v>
      </c>
      <c r="CB120" s="131">
        <f t="shared" ca="1" si="2397"/>
        <v>0</v>
      </c>
      <c r="CC120" s="131">
        <f ca="1">SUM(CB120:CB$124)*SSk</f>
        <v>0</v>
      </c>
      <c r="CD120" s="8">
        <f t="shared" ca="1" si="1636"/>
        <v>99999.012970709329</v>
      </c>
      <c r="CE120" s="2">
        <f t="shared" ref="CE120" ca="1" si="2652">IFERROR(VLOOKUP($S120,qx_table,MATCH(CE$11,qx_title,0)+sexB),0)</f>
        <v>0</v>
      </c>
      <c r="CF120" s="131">
        <f t="shared" ca="1" si="2399"/>
        <v>0</v>
      </c>
      <c r="CG120" s="131">
        <f ca="1">SUM(CF120:CF$124)*SSl</f>
        <v>0</v>
      </c>
      <c r="CH120" s="101">
        <f t="shared" ca="1" si="1639"/>
        <v>0</v>
      </c>
      <c r="CI120" s="154">
        <f t="shared" ca="1" si="2357"/>
        <v>0</v>
      </c>
      <c r="CJ120" s="32">
        <f t="shared" ref="CJ120" ca="1" si="2653">+MAX(VLOOKUP(xB+$R120,기수표B,$AH$1)-VLOOKUP(xB+mB,기수표B,$AH$1),0)</f>
        <v>0</v>
      </c>
      <c r="CK120" s="32">
        <f t="shared" ref="CK120" ca="1" si="2654">+MAX(VLOOKUP(xB+$R120,기수표B,$AH$1)-VLOOKUP(xB+mB,기수표B,$AH$1)-11/24*(VLOOKUP(xB+$R120,기수표B,$AG$1)-VLOOKUP(xB+mB,기수표B,$AG$1)),0)</f>
        <v>0</v>
      </c>
      <c r="CL120" s="32">
        <f t="shared" ref="CL120" ca="1" si="2655">+MAX(VLOOKUP(xB+$R120,기수표B,$AA$1)-VLOOKUP(xB+mB,기수표B,$AA$1),0)</f>
        <v>0</v>
      </c>
      <c r="CM120" s="32">
        <f t="shared" ref="CM120" ca="1" si="2656">+MAX(VLOOKUP(xB+$R120,기수표B,$AA$1)-VLOOKUP(xB+mB,기수표B,$AA$1)-11/24*(VLOOKUP(xB+$R120,기수표B,$AA$1)-VLOOKUP(xB+mB,기수표B,$AA$1)),0)</f>
        <v>0</v>
      </c>
      <c r="CN120" s="32">
        <f t="shared" si="2362"/>
        <v>0</v>
      </c>
      <c r="CO120" s="32">
        <f t="shared" ca="1" si="2363"/>
        <v>0</v>
      </c>
      <c r="CP120" s="259">
        <f t="shared" ca="1" si="2364"/>
        <v>0</v>
      </c>
      <c r="CQ120" s="259">
        <f t="shared" ca="1" si="2365"/>
        <v>0</v>
      </c>
      <c r="CR120" s="259" t="e">
        <f t="shared" ca="1" si="2366"/>
        <v>#DIV/0!</v>
      </c>
      <c r="CS120" s="31">
        <f t="shared" ref="CS120" si="2657">+MIN(mB,7)</f>
        <v>5</v>
      </c>
      <c r="CU120" s="13">
        <v>108</v>
      </c>
      <c r="CV120" s="477">
        <f t="shared" ca="1" si="2368"/>
        <v>420</v>
      </c>
      <c r="CW120" s="477" t="e">
        <f t="shared" ca="1" si="2369"/>
        <v>#DIV/0!</v>
      </c>
      <c r="CX120" s="477">
        <f t="shared" ca="1" si="2370"/>
        <v>0</v>
      </c>
      <c r="CY120" s="478">
        <f t="shared" ca="1" si="1645"/>
        <v>0</v>
      </c>
    </row>
    <row r="121" spans="3:103">
      <c r="C121" s="33"/>
      <c r="D121" s="33"/>
      <c r="N121" s="5">
        <f t="shared" si="1646"/>
        <v>109</v>
      </c>
      <c r="O121" s="2">
        <f t="shared" ref="O121" ca="1" si="2658">+(1+iB)^-N121</f>
        <v>8.8450131302441531E-2</v>
      </c>
      <c r="P121" s="2">
        <f t="shared" ref="P121" ca="1" si="2659">+(1+iB)^-(N121+0.5)</f>
        <v>8.7471550260958333E-2</v>
      </c>
      <c r="Q121" s="91"/>
      <c r="R121" s="20">
        <f t="shared" si="1649"/>
        <v>109</v>
      </c>
      <c r="S121" s="20" t="str">
        <f t="shared" ref="S121" si="2660">+IF(xB+R121&lt;=xB+nB,xB+R121,"")</f>
        <v/>
      </c>
      <c r="T121" s="2">
        <f t="shared" ref="T121:U121" ca="1" si="2661">IFERROR(VLOOKUP($S121,qx_table,MATCH(T$11,qx_title,0)+sexB),0)</f>
        <v>0</v>
      </c>
      <c r="U121" s="2">
        <f t="shared" ca="1" si="2661"/>
        <v>0</v>
      </c>
      <c r="V121" s="300">
        <f>IF(JRB=2,0,IF(R121&gt;=mB-1,_xlfn.XLOOKUP(R121-mB,해지율!#REF!,해지율!#REF!,,1),_xlfn.XLOOKUP(R121,해지율!#REF!,해지율!#REF!,,-1)))</f>
        <v>0</v>
      </c>
      <c r="W121" s="8">
        <f t="shared" ref="W121" si="2662">IF(R121=0,100000,IF(R121&gt;nB,0,W120*(1-X120)*(1-Y120)))</f>
        <v>0</v>
      </c>
      <c r="X121" s="10">
        <f t="shared" ca="1" si="1561"/>
        <v>0</v>
      </c>
      <c r="Y121" s="10">
        <f t="shared" ca="1" si="1562"/>
        <v>0</v>
      </c>
      <c r="Z121" s="5">
        <f t="shared" ca="1" si="1601"/>
        <v>0</v>
      </c>
      <c r="AA121" s="5">
        <f ca="1">+SUM(Z121:Z$124)</f>
        <v>0</v>
      </c>
      <c r="AB121" s="8">
        <f t="shared" ca="1" si="1563"/>
        <v>0</v>
      </c>
      <c r="AC121" s="209">
        <f ca="1">+SUM(AB121:AB$124)*SSSM</f>
        <v>0</v>
      </c>
      <c r="AD121" s="209">
        <f t="shared" ref="AD121" si="2663">IF(R121&gt;nB,0,AD120*(1-X120)*(1-Y120)*(1-AE120)*(1-AF120))</f>
        <v>0</v>
      </c>
      <c r="AE121" s="92">
        <f t="shared" ca="1" si="1565"/>
        <v>0</v>
      </c>
      <c r="AF121" s="92">
        <f t="shared" ca="1" si="1566"/>
        <v>0</v>
      </c>
      <c r="AG121" s="664">
        <f t="shared" ca="1" si="1567"/>
        <v>0</v>
      </c>
      <c r="AH121" s="5">
        <f ca="1">+SUM(AG121:AG$124)</f>
        <v>0</v>
      </c>
      <c r="AI121" s="70">
        <f t="shared" ca="1" si="1568"/>
        <v>0</v>
      </c>
      <c r="AJ121" s="208">
        <f ca="1">+SUM(AB121:AB$124)*SS50J</f>
        <v>0</v>
      </c>
      <c r="AK121" s="5">
        <f t="shared" ca="1" si="1603"/>
        <v>99999.012970709329</v>
      </c>
      <c r="AL121" s="2">
        <f t="shared" ref="AL121" ca="1" si="2664">IFERROR(VLOOKUP($S121,qx_table,MATCH(AL$11,qx_title,0)+sexB),0)</f>
        <v>0</v>
      </c>
      <c r="AM121" s="131">
        <f t="shared" ca="1" si="1605"/>
        <v>8844.9258273737942</v>
      </c>
      <c r="AN121" s="129">
        <f t="shared" ca="1" si="2378"/>
        <v>0</v>
      </c>
      <c r="AO121" s="129">
        <f ca="1">SUM(AN121:AN$124)*SSa</f>
        <v>0</v>
      </c>
      <c r="AP121" s="70">
        <f t="shared" ca="1" si="1607"/>
        <v>99999.012970709329</v>
      </c>
      <c r="AQ121" s="2">
        <f t="shared" ref="AQ121" ca="1" si="2665">IFERROR(VLOOKUP($S121,qx_table,MATCH(AQ$11,qx_title,0)+sexB),0)</f>
        <v>0</v>
      </c>
      <c r="AR121" s="127">
        <f t="shared" ca="1" si="2380"/>
        <v>0</v>
      </c>
      <c r="AS121" s="127">
        <f ca="1">SUM(AR121:AR$124)*SSb</f>
        <v>0</v>
      </c>
      <c r="AT121" s="70">
        <f t="shared" ca="1" si="1610"/>
        <v>99999.012970709329</v>
      </c>
      <c r="AU121" s="2">
        <f t="shared" ref="AU121" ca="1" si="2666">IFERROR(VLOOKUP($S121,qx_table,MATCH(AU$11,qx_title,0)+sexB),0)</f>
        <v>0</v>
      </c>
      <c r="AV121" s="268">
        <f t="shared" ca="1" si="2382"/>
        <v>0</v>
      </c>
      <c r="AW121" s="131">
        <f ca="1">SUM(AV121:AV$124)*SSc</f>
        <v>0</v>
      </c>
      <c r="AX121" s="70">
        <f t="shared" ca="1" si="1613"/>
        <v>99999.012970709329</v>
      </c>
      <c r="AY121" s="2">
        <f t="shared" ref="AY121" ca="1" si="2667">IFERROR(VLOOKUP($S121,qx_table,MATCH(AY$11,qx_title,0)+sexB),0)</f>
        <v>0</v>
      </c>
      <c r="AZ121" s="268">
        <f t="shared" ca="1" si="2348"/>
        <v>0</v>
      </c>
      <c r="BA121" s="129">
        <f ca="1">SUM(AZ121:AZ$124)*SSd</f>
        <v>0</v>
      </c>
      <c r="BB121" s="70">
        <f t="shared" ca="1" si="1615"/>
        <v>99999.012970709329</v>
      </c>
      <c r="BC121" s="257">
        <f t="shared" ref="BC121" ca="1" si="2668">IFERROR(VLOOKUP($S121,qx_table,MATCH(BC$11,qx_title,0)+sexB),0)</f>
        <v>0</v>
      </c>
      <c r="BD121" s="268">
        <f t="shared" ca="1" si="2385"/>
        <v>0</v>
      </c>
      <c r="BE121" s="131">
        <f ca="1">SUM(BD121:BD$124)*SSe</f>
        <v>0</v>
      </c>
      <c r="BF121" s="70">
        <f t="shared" ca="1" si="1618"/>
        <v>99999.012970709329</v>
      </c>
      <c r="BG121" s="2">
        <f t="shared" ref="BG121" ca="1" si="2669">IFERROR(VLOOKUP($S121,qx_table,MATCH(BG$11,qx_title,0)+sexB),0)</f>
        <v>0</v>
      </c>
      <c r="BH121" s="131">
        <f t="shared" ca="1" si="2387"/>
        <v>0</v>
      </c>
      <c r="BI121" s="2">
        <f ca="1">SUM(BH121:BH$124)*SSf</f>
        <v>0</v>
      </c>
      <c r="BJ121" s="70">
        <f t="shared" ca="1" si="1621"/>
        <v>99999.012970709329</v>
      </c>
      <c r="BK121" s="2">
        <f t="shared" ref="BK121" ca="1" si="2670">IFERROR(VLOOKUP($S121,qx_table,MATCH(BK$11,qx_title,0)+sexB),0)</f>
        <v>0</v>
      </c>
      <c r="BL121" s="131">
        <f t="shared" ca="1" si="2389"/>
        <v>0</v>
      </c>
      <c r="BM121" s="131">
        <f ca="1">SUM(BL121:BL$124)*SSg</f>
        <v>0</v>
      </c>
      <c r="BN121" s="70">
        <f t="shared" ca="1" si="1624"/>
        <v>99999.012970709329</v>
      </c>
      <c r="BO121" s="2">
        <f t="shared" ref="BO121" ca="1" si="2671">IFERROR(VLOOKUP($S121,qx_table,MATCH(BO$11,qx_title,0)+sexB),0)</f>
        <v>0</v>
      </c>
      <c r="BP121" s="131">
        <f t="shared" ca="1" si="2391"/>
        <v>0</v>
      </c>
      <c r="BQ121" s="131">
        <f ca="1">SUM(BP121:BP$124)*SSh</f>
        <v>0</v>
      </c>
      <c r="BR121" s="70">
        <f t="shared" ca="1" si="1627"/>
        <v>99999.012970709329</v>
      </c>
      <c r="BS121" s="2">
        <f t="shared" ref="BS121" ca="1" si="2672">IFERROR(VLOOKUP($S121,qx_table,MATCH(BS$11,qx_title,0)+sexB),0)*IF(R121=0,MCi,1)</f>
        <v>0</v>
      </c>
      <c r="BT121" s="131">
        <f t="shared" ca="1" si="2393"/>
        <v>0</v>
      </c>
      <c r="BU121" s="131">
        <f ca="1">SUM(BT121:BT$124)*SSi</f>
        <v>0</v>
      </c>
      <c r="BV121" s="70">
        <f t="shared" ca="1" si="1630"/>
        <v>99999.012970709329</v>
      </c>
      <c r="BW121" s="2">
        <f t="shared" ref="BW121" ca="1" si="2673">IFERROR(VLOOKUP($S121,qx_table,MATCH(BW$11,qx_title,0)+sexB),0)</f>
        <v>0</v>
      </c>
      <c r="BX121" s="131">
        <f t="shared" ca="1" si="2395"/>
        <v>0</v>
      </c>
      <c r="BY121" s="131">
        <f ca="1">SUM(BX121:BX$124)*SSj</f>
        <v>0</v>
      </c>
      <c r="BZ121" s="70">
        <f t="shared" ca="1" si="1633"/>
        <v>99999.012970709329</v>
      </c>
      <c r="CA121" s="2">
        <f t="shared" ref="CA121" ca="1" si="2674">IFERROR(VLOOKUP($S121,qx_table,MATCH(CA$11,qx_title,0)+sexB),0)</f>
        <v>0</v>
      </c>
      <c r="CB121" s="131">
        <f t="shared" ca="1" si="2397"/>
        <v>0</v>
      </c>
      <c r="CC121" s="131">
        <f ca="1">SUM(CB121:CB$124)*SSk</f>
        <v>0</v>
      </c>
      <c r="CD121" s="8">
        <f t="shared" ca="1" si="1636"/>
        <v>99999.012970709329</v>
      </c>
      <c r="CE121" s="2">
        <f t="shared" ref="CE121" ca="1" si="2675">IFERROR(VLOOKUP($S121,qx_table,MATCH(CE$11,qx_title,0)+sexB),0)</f>
        <v>0</v>
      </c>
      <c r="CF121" s="131">
        <f t="shared" ca="1" si="2399"/>
        <v>0</v>
      </c>
      <c r="CG121" s="131">
        <f ca="1">SUM(CF121:CF$124)*SSl</f>
        <v>0</v>
      </c>
      <c r="CH121" s="101">
        <f t="shared" ca="1" si="1639"/>
        <v>0</v>
      </c>
      <c r="CI121" s="154">
        <f t="shared" ca="1" si="2357"/>
        <v>0</v>
      </c>
      <c r="CJ121" s="32">
        <f t="shared" ref="CJ121" ca="1" si="2676">+MAX(VLOOKUP(xB+$R121,기수표B,$AH$1)-VLOOKUP(xB+mB,기수표B,$AH$1),0)</f>
        <v>0</v>
      </c>
      <c r="CK121" s="32">
        <f t="shared" ref="CK121" ca="1" si="2677">+MAX(VLOOKUP(xB+$R121,기수표B,$AH$1)-VLOOKUP(xB+mB,기수표B,$AH$1)-11/24*(VLOOKUP(xB+$R121,기수표B,$AG$1)-VLOOKUP(xB+mB,기수표B,$AG$1)),0)</f>
        <v>0</v>
      </c>
      <c r="CL121" s="32">
        <f t="shared" ref="CL121" ca="1" si="2678">+MAX(VLOOKUP(xB+$R121,기수표B,$AA$1)-VLOOKUP(xB+mB,기수표B,$AA$1),0)</f>
        <v>0</v>
      </c>
      <c r="CM121" s="32">
        <f t="shared" ref="CM121" ca="1" si="2679">+MAX(VLOOKUP(xB+$R121,기수표B,$AA$1)-VLOOKUP(xB+mB,기수표B,$AA$1)-11/24*(VLOOKUP(xB+$R121,기수표B,$AA$1)-VLOOKUP(xB+mB,기수표B,$AA$1)),0)</f>
        <v>0</v>
      </c>
      <c r="CN121" s="32">
        <f t="shared" si="2362"/>
        <v>0</v>
      </c>
      <c r="CO121" s="32">
        <f t="shared" ca="1" si="2363"/>
        <v>0</v>
      </c>
      <c r="CP121" s="259">
        <f t="shared" ca="1" si="2364"/>
        <v>0</v>
      </c>
      <c r="CQ121" s="259">
        <f t="shared" ca="1" si="2365"/>
        <v>0</v>
      </c>
      <c r="CR121" s="259" t="e">
        <f t="shared" ca="1" si="2366"/>
        <v>#DIV/0!</v>
      </c>
      <c r="CS121" s="31">
        <f t="shared" ref="CS121" si="2680">+MIN(mB,7)</f>
        <v>5</v>
      </c>
      <c r="CU121" s="13">
        <v>109</v>
      </c>
      <c r="CV121" s="477">
        <f t="shared" ca="1" si="2368"/>
        <v>420</v>
      </c>
      <c r="CW121" s="477" t="e">
        <f t="shared" ca="1" si="2369"/>
        <v>#DIV/0!</v>
      </c>
      <c r="CX121" s="477">
        <f t="shared" ca="1" si="2370"/>
        <v>0</v>
      </c>
      <c r="CY121" s="478">
        <f t="shared" ca="1" si="1645"/>
        <v>0</v>
      </c>
    </row>
    <row r="122" spans="3:103">
      <c r="C122" s="33"/>
      <c r="D122" s="33"/>
      <c r="N122" s="5">
        <f t="shared" si="1646"/>
        <v>110</v>
      </c>
      <c r="O122" s="2">
        <f t="shared" ref="O122" ca="1" si="2681">+(1+iB)^-N122</f>
        <v>8.6503795894808347E-2</v>
      </c>
      <c r="P122" s="2">
        <f t="shared" ref="P122" ca="1" si="2682">+(1+iB)^-(N122+0.5)</f>
        <v>8.5546748421475124E-2</v>
      </c>
      <c r="Q122" s="91"/>
      <c r="R122" s="20">
        <f t="shared" si="1649"/>
        <v>110</v>
      </c>
      <c r="S122" s="20" t="str">
        <f t="shared" ref="S122" si="2683">+IF(xB+R122&lt;=xB+nB,xB+R122,"")</f>
        <v/>
      </c>
      <c r="T122" s="2">
        <f t="shared" ref="T122:U122" ca="1" si="2684">IFERROR(VLOOKUP($S122,qx_table,MATCH(T$11,qx_title,0)+sexB),0)</f>
        <v>0</v>
      </c>
      <c r="U122" s="2">
        <f t="shared" ca="1" si="2684"/>
        <v>0</v>
      </c>
      <c r="V122" s="300">
        <f>IF(JRB=2,0,IF(R122&gt;=mB-1,_xlfn.XLOOKUP(R122-mB,해지율!#REF!,해지율!#REF!,,1),_xlfn.XLOOKUP(R122,해지율!#REF!,해지율!#REF!,,-1)))</f>
        <v>0</v>
      </c>
      <c r="W122" s="8">
        <f t="shared" ref="W122" si="2685">IF(R122=0,100000,IF(R122&gt;nB,0,W121*(1-X121)*(1-Y121)))</f>
        <v>0</v>
      </c>
      <c r="X122" s="10">
        <f t="shared" ca="1" si="1561"/>
        <v>0</v>
      </c>
      <c r="Y122" s="10">
        <f t="shared" ca="1" si="1562"/>
        <v>0</v>
      </c>
      <c r="Z122" s="5">
        <f t="shared" ca="1" si="1601"/>
        <v>0</v>
      </c>
      <c r="AA122" s="5">
        <f ca="1">+SUM(Z122:Z$124)</f>
        <v>0</v>
      </c>
      <c r="AB122" s="8">
        <f t="shared" ca="1" si="1563"/>
        <v>0</v>
      </c>
      <c r="AC122" s="209">
        <f ca="1">+SUM(AB122:AB$124)*SSSM</f>
        <v>0</v>
      </c>
      <c r="AD122" s="209">
        <f t="shared" ref="AD122" si="2686">IF(R122&gt;nB,0,AD121*(1-X121)*(1-Y121)*(1-AE121)*(1-AF121))</f>
        <v>0</v>
      </c>
      <c r="AE122" s="92">
        <f t="shared" ca="1" si="1565"/>
        <v>0</v>
      </c>
      <c r="AF122" s="92">
        <f t="shared" ca="1" si="1566"/>
        <v>0</v>
      </c>
      <c r="AG122" s="664">
        <f t="shared" ca="1" si="1567"/>
        <v>0</v>
      </c>
      <c r="AH122" s="5">
        <f ca="1">+SUM(AG122:AG$124)</f>
        <v>0</v>
      </c>
      <c r="AI122" s="70">
        <f t="shared" ca="1" si="1568"/>
        <v>0</v>
      </c>
      <c r="AJ122" s="208">
        <f ca="1">+SUM(AB122:AB$124)*SS50J</f>
        <v>0</v>
      </c>
      <c r="AK122" s="5">
        <f t="shared" ca="1" si="1603"/>
        <v>99999.012970709329</v>
      </c>
      <c r="AL122" s="2">
        <f t="shared" ref="AL122" ca="1" si="2687">IFERROR(VLOOKUP($S122,qx_table,MATCH(AL$11,qx_title,0)+sexB),0)</f>
        <v>0</v>
      </c>
      <c r="AM122" s="131">
        <f t="shared" ca="1" si="1605"/>
        <v>8650.2942077005318</v>
      </c>
      <c r="AN122" s="129">
        <f t="shared" ca="1" si="2378"/>
        <v>0</v>
      </c>
      <c r="AO122" s="129">
        <f ca="1">SUM(AN122:AN$124)*SSa</f>
        <v>0</v>
      </c>
      <c r="AP122" s="70">
        <f t="shared" ca="1" si="1607"/>
        <v>99999.012970709329</v>
      </c>
      <c r="AQ122" s="2">
        <f t="shared" ref="AQ122" ca="1" si="2688">IFERROR(VLOOKUP($S122,qx_table,MATCH(AQ$11,qx_title,0)+sexB),0)</f>
        <v>0</v>
      </c>
      <c r="AR122" s="127">
        <f t="shared" ca="1" si="2380"/>
        <v>0</v>
      </c>
      <c r="AS122" s="127">
        <f ca="1">SUM(AR122:AR$124)*SSb</f>
        <v>0</v>
      </c>
      <c r="AT122" s="70">
        <f t="shared" ca="1" si="1610"/>
        <v>99999.012970709329</v>
      </c>
      <c r="AU122" s="2">
        <f t="shared" ref="AU122" ca="1" si="2689">IFERROR(VLOOKUP($S122,qx_table,MATCH(AU$11,qx_title,0)+sexB),0)</f>
        <v>0</v>
      </c>
      <c r="AV122" s="268">
        <f t="shared" ca="1" si="2382"/>
        <v>0</v>
      </c>
      <c r="AW122" s="131">
        <f ca="1">SUM(AV122:AV$124)*SSc</f>
        <v>0</v>
      </c>
      <c r="AX122" s="70">
        <f t="shared" ca="1" si="1613"/>
        <v>99999.012970709329</v>
      </c>
      <c r="AY122" s="2">
        <f t="shared" ref="AY122" ca="1" si="2690">IFERROR(VLOOKUP($S122,qx_table,MATCH(AY$11,qx_title,0)+sexB),0)</f>
        <v>0</v>
      </c>
      <c r="AZ122" s="268">
        <f t="shared" ca="1" si="2348"/>
        <v>0</v>
      </c>
      <c r="BA122" s="129">
        <f ca="1">SUM(AZ122:AZ$124)*SSd</f>
        <v>0</v>
      </c>
      <c r="BB122" s="70">
        <f t="shared" ca="1" si="1615"/>
        <v>99999.012970709329</v>
      </c>
      <c r="BC122" s="257">
        <f t="shared" ref="BC122" ca="1" si="2691">IFERROR(VLOOKUP($S122,qx_table,MATCH(BC$11,qx_title,0)+sexB),0)</f>
        <v>0</v>
      </c>
      <c r="BD122" s="268">
        <f t="shared" ca="1" si="2385"/>
        <v>0</v>
      </c>
      <c r="BE122" s="131">
        <f ca="1">SUM(BD122:BD$124)*SSe</f>
        <v>0</v>
      </c>
      <c r="BF122" s="70">
        <f t="shared" ca="1" si="1618"/>
        <v>99999.012970709329</v>
      </c>
      <c r="BG122" s="2">
        <f t="shared" ref="BG122" ca="1" si="2692">IFERROR(VLOOKUP($S122,qx_table,MATCH(BG$11,qx_title,0)+sexB),0)</f>
        <v>0</v>
      </c>
      <c r="BH122" s="131">
        <f t="shared" ca="1" si="2387"/>
        <v>0</v>
      </c>
      <c r="BI122" s="2">
        <f ca="1">SUM(BH122:BH$124)*SSf</f>
        <v>0</v>
      </c>
      <c r="BJ122" s="70">
        <f t="shared" ca="1" si="1621"/>
        <v>99999.012970709329</v>
      </c>
      <c r="BK122" s="2">
        <f t="shared" ref="BK122" ca="1" si="2693">IFERROR(VLOOKUP($S122,qx_table,MATCH(BK$11,qx_title,0)+sexB),0)</f>
        <v>0</v>
      </c>
      <c r="BL122" s="131">
        <f t="shared" ca="1" si="2389"/>
        <v>0</v>
      </c>
      <c r="BM122" s="131">
        <f ca="1">SUM(BL122:BL$124)*SSg</f>
        <v>0</v>
      </c>
      <c r="BN122" s="70">
        <f t="shared" ca="1" si="1624"/>
        <v>99999.012970709329</v>
      </c>
      <c r="BO122" s="2">
        <f t="shared" ref="BO122" ca="1" si="2694">IFERROR(VLOOKUP($S122,qx_table,MATCH(BO$11,qx_title,0)+sexB),0)</f>
        <v>0</v>
      </c>
      <c r="BP122" s="131">
        <f t="shared" ca="1" si="2391"/>
        <v>0</v>
      </c>
      <c r="BQ122" s="131">
        <f ca="1">SUM(BP122:BP$124)*SSh</f>
        <v>0</v>
      </c>
      <c r="BR122" s="70">
        <f t="shared" ca="1" si="1627"/>
        <v>99999.012970709329</v>
      </c>
      <c r="BS122" s="2">
        <f t="shared" ref="BS122" ca="1" si="2695">IFERROR(VLOOKUP($S122,qx_table,MATCH(BS$11,qx_title,0)+sexB),0)*IF(R122=0,MCi,1)</f>
        <v>0</v>
      </c>
      <c r="BT122" s="131">
        <f t="shared" ca="1" si="2393"/>
        <v>0</v>
      </c>
      <c r="BU122" s="131">
        <f ca="1">SUM(BT122:BT$124)*SSi</f>
        <v>0</v>
      </c>
      <c r="BV122" s="70">
        <f t="shared" ca="1" si="1630"/>
        <v>99999.012970709329</v>
      </c>
      <c r="BW122" s="2">
        <f t="shared" ref="BW122" ca="1" si="2696">IFERROR(VLOOKUP($S122,qx_table,MATCH(BW$11,qx_title,0)+sexB),0)</f>
        <v>0</v>
      </c>
      <c r="BX122" s="131">
        <f t="shared" ca="1" si="2395"/>
        <v>0</v>
      </c>
      <c r="BY122" s="131">
        <f ca="1">SUM(BX122:BX$124)*SSj</f>
        <v>0</v>
      </c>
      <c r="BZ122" s="70">
        <f t="shared" ca="1" si="1633"/>
        <v>99999.012970709329</v>
      </c>
      <c r="CA122" s="2">
        <f t="shared" ref="CA122" ca="1" si="2697">IFERROR(VLOOKUP($S122,qx_table,MATCH(CA$11,qx_title,0)+sexB),0)</f>
        <v>0</v>
      </c>
      <c r="CB122" s="131">
        <f t="shared" ca="1" si="2397"/>
        <v>0</v>
      </c>
      <c r="CC122" s="131">
        <f ca="1">SUM(CB122:CB$124)*SSk</f>
        <v>0</v>
      </c>
      <c r="CD122" s="8">
        <f t="shared" ca="1" si="1636"/>
        <v>99999.012970709329</v>
      </c>
      <c r="CE122" s="2">
        <f t="shared" ref="CE122" ca="1" si="2698">IFERROR(VLOOKUP($S122,qx_table,MATCH(CE$11,qx_title,0)+sexB),0)</f>
        <v>0</v>
      </c>
      <c r="CF122" s="131">
        <f t="shared" ca="1" si="2399"/>
        <v>0</v>
      </c>
      <c r="CG122" s="131">
        <f ca="1">SUM(CF122:CF$124)*SSl</f>
        <v>0</v>
      </c>
      <c r="CH122" s="101">
        <f t="shared" ca="1" si="1639"/>
        <v>0</v>
      </c>
      <c r="CI122" s="154">
        <f t="shared" ca="1" si="2357"/>
        <v>0</v>
      </c>
      <c r="CJ122" s="32">
        <f t="shared" ref="CJ122" ca="1" si="2699">+MAX(VLOOKUP(xB+$R122,기수표B,$AH$1)-VLOOKUP(xB+mB,기수표B,$AH$1),0)</f>
        <v>0</v>
      </c>
      <c r="CK122" s="32">
        <f t="shared" ref="CK122" ca="1" si="2700">+MAX(VLOOKUP(xB+$R122,기수표B,$AH$1)-VLOOKUP(xB+mB,기수표B,$AH$1)-11/24*(VLOOKUP(xB+$R122,기수표B,$AG$1)-VLOOKUP(xB+mB,기수표B,$AG$1)),0)</f>
        <v>0</v>
      </c>
      <c r="CL122" s="32">
        <f t="shared" ref="CL122" ca="1" si="2701">+MAX(VLOOKUP(xB+$R122,기수표B,$AA$1)-VLOOKUP(xB+mB,기수표B,$AA$1),0)</f>
        <v>0</v>
      </c>
      <c r="CM122" s="32">
        <f t="shared" ref="CM122" ca="1" si="2702">+MAX(VLOOKUP(xB+$R122,기수표B,$AA$1)-VLOOKUP(xB+mB,기수표B,$AA$1)-11/24*(VLOOKUP(xB+$R122,기수표B,$AA$1)-VLOOKUP(xB+mB,기수표B,$AA$1)),0)</f>
        <v>0</v>
      </c>
      <c r="CN122" s="32">
        <f t="shared" si="2362"/>
        <v>0</v>
      </c>
      <c r="CO122" s="32">
        <f t="shared" ca="1" si="2363"/>
        <v>0</v>
      </c>
      <c r="CP122" s="259">
        <f t="shared" ca="1" si="2364"/>
        <v>0</v>
      </c>
      <c r="CQ122" s="259">
        <f t="shared" ca="1" si="2365"/>
        <v>0</v>
      </c>
      <c r="CR122" s="259" t="e">
        <f t="shared" ca="1" si="2366"/>
        <v>#DIV/0!</v>
      </c>
      <c r="CS122" s="31">
        <f t="shared" ref="CS122" si="2703">+MIN(mB,7)</f>
        <v>5</v>
      </c>
      <c r="CU122" s="13">
        <v>110</v>
      </c>
      <c r="CV122" s="477">
        <f t="shared" ca="1" si="2368"/>
        <v>420</v>
      </c>
      <c r="CW122" s="477" t="e">
        <f t="shared" ca="1" si="2369"/>
        <v>#DIV/0!</v>
      </c>
      <c r="CX122" s="477">
        <f t="shared" ca="1" si="2370"/>
        <v>0</v>
      </c>
      <c r="CY122" s="478">
        <f t="shared" ca="1" si="1645"/>
        <v>0</v>
      </c>
    </row>
    <row r="123" spans="3:103">
      <c r="C123" s="33"/>
      <c r="D123" s="33"/>
      <c r="N123" s="5">
        <f t="shared" si="1646"/>
        <v>111</v>
      </c>
      <c r="O123" s="2">
        <f t="shared" ref="O123" ca="1" si="2704">+(1+iB)^-N123</f>
        <v>8.4600289383675656E-2</v>
      </c>
      <c r="P123" s="2">
        <f t="shared" ref="P123" ca="1" si="2705">+(1+iB)^-(N123+0.5)</f>
        <v>8.3664301634694516E-2</v>
      </c>
      <c r="Q123" s="91"/>
      <c r="R123" s="20">
        <f t="shared" si="1649"/>
        <v>111</v>
      </c>
      <c r="S123" s="20" t="str">
        <f t="shared" ref="S123" si="2706">+IF(xB+R123&lt;=xB+nB,xB+R123,"")</f>
        <v/>
      </c>
      <c r="T123" s="2">
        <f t="shared" ref="T123:U123" ca="1" si="2707">IFERROR(VLOOKUP($S123,qx_table,MATCH(T$11,qx_title,0)+sexB),0)</f>
        <v>0</v>
      </c>
      <c r="U123" s="2">
        <f t="shared" ca="1" si="2707"/>
        <v>0</v>
      </c>
      <c r="V123" s="300">
        <f>IF(JRB=2,0,IF(R123&gt;=mB-1,_xlfn.XLOOKUP(R123-mB,해지율!#REF!,해지율!#REF!,,1),_xlfn.XLOOKUP(R123,해지율!#REF!,해지율!#REF!,,-1)))</f>
        <v>0</v>
      </c>
      <c r="W123" s="8">
        <f t="shared" ref="W123" si="2708">IF(R123=0,100000,IF(R123&gt;nB,0,W122*(1-X122)*(1-Y122)))</f>
        <v>0</v>
      </c>
      <c r="X123" s="10">
        <f t="shared" ca="1" si="1561"/>
        <v>0</v>
      </c>
      <c r="Y123" s="10">
        <f t="shared" ca="1" si="1562"/>
        <v>0</v>
      </c>
      <c r="Z123" s="5">
        <f t="shared" ca="1" si="1601"/>
        <v>0</v>
      </c>
      <c r="AA123" s="5">
        <f ca="1">+SUM(Z123:Z$124)</f>
        <v>0</v>
      </c>
      <c r="AB123" s="8">
        <f t="shared" ca="1" si="1563"/>
        <v>0</v>
      </c>
      <c r="AC123" s="209">
        <f ca="1">+SUM(AB123:AB$124)*SSSM</f>
        <v>0</v>
      </c>
      <c r="AD123" s="209">
        <f t="shared" ref="AD123" si="2709">IF(R123&gt;nB,0,AD122*(1-X122)*(1-Y122)*(1-AE122)*(1-AF122))</f>
        <v>0</v>
      </c>
      <c r="AE123" s="92">
        <f t="shared" ca="1" si="1565"/>
        <v>0</v>
      </c>
      <c r="AF123" s="92">
        <f t="shared" ca="1" si="1566"/>
        <v>0</v>
      </c>
      <c r="AG123" s="664">
        <f t="shared" ca="1" si="1567"/>
        <v>0</v>
      </c>
      <c r="AH123" s="5">
        <f ca="1">+SUM(AG123:AG$124)</f>
        <v>0</v>
      </c>
      <c r="AI123" s="70">
        <f t="shared" ca="1" si="1568"/>
        <v>0</v>
      </c>
      <c r="AJ123" s="208">
        <f ca="1">+SUM(AB123:AB$124)*SS50J</f>
        <v>0</v>
      </c>
      <c r="AK123" s="5">
        <f t="shared" ca="1" si="1603"/>
        <v>99999.012970709329</v>
      </c>
      <c r="AL123" s="2">
        <f t="shared" ref="AL123" ca="1" si="2710">IFERROR(VLOOKUP($S123,qx_table,MATCH(AL$11,qx_title,0)+sexB),0)</f>
        <v>0</v>
      </c>
      <c r="AM123" s="131">
        <f t="shared" ca="1" si="1605"/>
        <v>8459.9454354039444</v>
      </c>
      <c r="AN123" s="129">
        <f t="shared" ca="1" si="2378"/>
        <v>0</v>
      </c>
      <c r="AO123" s="129">
        <f ca="1">SUM(AN123:AN$124)*SSa</f>
        <v>0</v>
      </c>
      <c r="AP123" s="70">
        <f t="shared" ca="1" si="1607"/>
        <v>99999.012970709329</v>
      </c>
      <c r="AQ123" s="2">
        <f t="shared" ref="AQ123" ca="1" si="2711">IFERROR(VLOOKUP($S123,qx_table,MATCH(AQ$11,qx_title,0)+sexB),0)</f>
        <v>0</v>
      </c>
      <c r="AR123" s="127">
        <f t="shared" ca="1" si="2380"/>
        <v>0</v>
      </c>
      <c r="AS123" s="127">
        <f ca="1">SUM(AR123:AR$124)*SSb</f>
        <v>0</v>
      </c>
      <c r="AT123" s="70">
        <f t="shared" ca="1" si="1610"/>
        <v>99999.012970709329</v>
      </c>
      <c r="AU123" s="2">
        <f t="shared" ref="AU123" ca="1" si="2712">IFERROR(VLOOKUP($S123,qx_table,MATCH(AU$11,qx_title,0)+sexB),0)</f>
        <v>0</v>
      </c>
      <c r="AV123" s="268">
        <f t="shared" ca="1" si="2382"/>
        <v>0</v>
      </c>
      <c r="AW123" s="131">
        <f ca="1">SUM(AV123:AV$124)*SSc</f>
        <v>0</v>
      </c>
      <c r="AX123" s="70">
        <f t="shared" ca="1" si="1613"/>
        <v>99999.012970709329</v>
      </c>
      <c r="AY123" s="2">
        <f t="shared" ref="AY123" ca="1" si="2713">IFERROR(VLOOKUP($S123,qx_table,MATCH(AY$11,qx_title,0)+sexB),0)</f>
        <v>0</v>
      </c>
      <c r="AZ123" s="268">
        <f t="shared" ca="1" si="2348"/>
        <v>0</v>
      </c>
      <c r="BA123" s="129">
        <f ca="1">SUM(AZ123:AZ$124)*SSd</f>
        <v>0</v>
      </c>
      <c r="BB123" s="70">
        <f t="shared" ca="1" si="1615"/>
        <v>99999.012970709329</v>
      </c>
      <c r="BC123" s="257">
        <f t="shared" ref="BC123" ca="1" si="2714">IFERROR(VLOOKUP($S123,qx_table,MATCH(BC$11,qx_title,0)+sexB),0)</f>
        <v>0</v>
      </c>
      <c r="BD123" s="268">
        <f t="shared" ca="1" si="2385"/>
        <v>0</v>
      </c>
      <c r="BE123" s="131">
        <f ca="1">SUM(BD123:BD$124)*SSe</f>
        <v>0</v>
      </c>
      <c r="BF123" s="70">
        <f t="shared" ca="1" si="1618"/>
        <v>99999.012970709329</v>
      </c>
      <c r="BG123" s="2">
        <f t="shared" ref="BG123" ca="1" si="2715">IFERROR(VLOOKUP($S123,qx_table,MATCH(BG$11,qx_title,0)+sexB),0)</f>
        <v>0</v>
      </c>
      <c r="BH123" s="131">
        <f t="shared" ca="1" si="2387"/>
        <v>0</v>
      </c>
      <c r="BI123" s="2">
        <f ca="1">SUM(BH123:BH$124)*SSf</f>
        <v>0</v>
      </c>
      <c r="BJ123" s="70">
        <f t="shared" ca="1" si="1621"/>
        <v>99999.012970709329</v>
      </c>
      <c r="BK123" s="2">
        <f t="shared" ref="BK123" ca="1" si="2716">IFERROR(VLOOKUP($S123,qx_table,MATCH(BK$11,qx_title,0)+sexB),0)</f>
        <v>0</v>
      </c>
      <c r="BL123" s="131">
        <f t="shared" ca="1" si="2389"/>
        <v>0</v>
      </c>
      <c r="BM123" s="131">
        <f ca="1">SUM(BL123:BL$124)*SSg</f>
        <v>0</v>
      </c>
      <c r="BN123" s="70">
        <f t="shared" ca="1" si="1624"/>
        <v>99999.012970709329</v>
      </c>
      <c r="BO123" s="2">
        <f t="shared" ref="BO123" ca="1" si="2717">IFERROR(VLOOKUP($S123,qx_table,MATCH(BO$11,qx_title,0)+sexB),0)</f>
        <v>0</v>
      </c>
      <c r="BP123" s="131">
        <f t="shared" ca="1" si="2391"/>
        <v>0</v>
      </c>
      <c r="BQ123" s="131">
        <f ca="1">SUM(BP123:BP$124)*SSh</f>
        <v>0</v>
      </c>
      <c r="BR123" s="70">
        <f t="shared" ca="1" si="1627"/>
        <v>99999.012970709329</v>
      </c>
      <c r="BS123" s="2">
        <f t="shared" ref="BS123" ca="1" si="2718">IFERROR(VLOOKUP($S123,qx_table,MATCH(BS$11,qx_title,0)+sexB),0)*IF(R123=0,MCi,1)</f>
        <v>0</v>
      </c>
      <c r="BT123" s="131">
        <f t="shared" ca="1" si="2393"/>
        <v>0</v>
      </c>
      <c r="BU123" s="131">
        <f ca="1">SUM(BT123:BT$124)*SSi</f>
        <v>0</v>
      </c>
      <c r="BV123" s="70">
        <f t="shared" ca="1" si="1630"/>
        <v>99999.012970709329</v>
      </c>
      <c r="BW123" s="2">
        <f t="shared" ref="BW123" ca="1" si="2719">IFERROR(VLOOKUP($S123,qx_table,MATCH(BW$11,qx_title,0)+sexB),0)</f>
        <v>0</v>
      </c>
      <c r="BX123" s="131">
        <f t="shared" ca="1" si="2395"/>
        <v>0</v>
      </c>
      <c r="BY123" s="131">
        <f ca="1">SUM(BX123:BX$124)*SSj</f>
        <v>0</v>
      </c>
      <c r="BZ123" s="70">
        <f t="shared" ca="1" si="1633"/>
        <v>99999.012970709329</v>
      </c>
      <c r="CA123" s="2">
        <f t="shared" ref="CA123" ca="1" si="2720">IFERROR(VLOOKUP($S123,qx_table,MATCH(CA$11,qx_title,0)+sexB),0)</f>
        <v>0</v>
      </c>
      <c r="CB123" s="131">
        <f t="shared" ca="1" si="2397"/>
        <v>0</v>
      </c>
      <c r="CC123" s="131">
        <f ca="1">SUM(CB123:CB$124)*SSk</f>
        <v>0</v>
      </c>
      <c r="CD123" s="8">
        <f t="shared" ca="1" si="1636"/>
        <v>99999.012970709329</v>
      </c>
      <c r="CE123" s="2">
        <f t="shared" ref="CE123" ca="1" si="2721">IFERROR(VLOOKUP($S123,qx_table,MATCH(CE$11,qx_title,0)+sexB),0)</f>
        <v>0</v>
      </c>
      <c r="CF123" s="131">
        <f t="shared" ca="1" si="2399"/>
        <v>0</v>
      </c>
      <c r="CG123" s="131">
        <f ca="1">SUM(CF123:CF$124)*SSl</f>
        <v>0</v>
      </c>
      <c r="CH123" s="101">
        <f t="shared" ca="1" si="1639"/>
        <v>0</v>
      </c>
      <c r="CI123" s="154">
        <f t="shared" ca="1" si="2357"/>
        <v>0</v>
      </c>
      <c r="CJ123" s="32">
        <f t="shared" ref="CJ123" ca="1" si="2722">+MAX(VLOOKUP(xB+$R123,기수표B,$AH$1)-VLOOKUP(xB+mB,기수표B,$AH$1),0)</f>
        <v>0</v>
      </c>
      <c r="CK123" s="32">
        <f t="shared" ref="CK123" ca="1" si="2723">+MAX(VLOOKUP(xB+$R123,기수표B,$AH$1)-VLOOKUP(xB+mB,기수표B,$AH$1)-11/24*(VLOOKUP(xB+$R123,기수표B,$AG$1)-VLOOKUP(xB+mB,기수표B,$AG$1)),0)</f>
        <v>0</v>
      </c>
      <c r="CL123" s="32">
        <f t="shared" ref="CL123" ca="1" si="2724">+MAX(VLOOKUP(xB+$R123,기수표B,$AA$1)-VLOOKUP(xB+mB,기수표B,$AA$1),0)</f>
        <v>0</v>
      </c>
      <c r="CM123" s="32">
        <f t="shared" ref="CM123" ca="1" si="2725">+MAX(VLOOKUP(xB+$R123,기수표B,$AA$1)-VLOOKUP(xB+mB,기수표B,$AA$1)-11/24*(VLOOKUP(xB+$R123,기수표B,$AA$1)-VLOOKUP(xB+mB,기수표B,$AA$1)),0)</f>
        <v>0</v>
      </c>
      <c r="CN123" s="32">
        <f t="shared" si="2362"/>
        <v>0</v>
      </c>
      <c r="CO123" s="32">
        <f t="shared" ca="1" si="2363"/>
        <v>0</v>
      </c>
      <c r="CP123" s="259">
        <f t="shared" ca="1" si="2364"/>
        <v>0</v>
      </c>
      <c r="CQ123" s="259">
        <f t="shared" ca="1" si="2365"/>
        <v>0</v>
      </c>
      <c r="CR123" s="259" t="e">
        <f t="shared" ca="1" si="2366"/>
        <v>#DIV/0!</v>
      </c>
      <c r="CS123" s="31">
        <f t="shared" ref="CS123" si="2726">+MIN(mB,7)</f>
        <v>5</v>
      </c>
      <c r="CU123" s="13">
        <v>111</v>
      </c>
      <c r="CV123" s="477">
        <f t="shared" ca="1" si="2368"/>
        <v>420</v>
      </c>
      <c r="CW123" s="477" t="e">
        <f t="shared" ca="1" si="2369"/>
        <v>#DIV/0!</v>
      </c>
      <c r="CX123" s="477">
        <f t="shared" ca="1" si="2370"/>
        <v>0</v>
      </c>
      <c r="CY123" s="478">
        <f t="shared" ca="1" si="1645"/>
        <v>0</v>
      </c>
    </row>
    <row r="124" spans="3:103">
      <c r="C124" s="33"/>
      <c r="D124" s="33"/>
      <c r="N124" s="6">
        <f t="shared" si="1646"/>
        <v>112</v>
      </c>
      <c r="O124" s="3">
        <f t="shared" ref="O124" ca="1" si="2727">+(1+iB)^-N124</f>
        <v>8.2738669323888181E-2</v>
      </c>
      <c r="P124" s="3">
        <f t="shared" ref="P124" ca="1" si="2728">+(1+iB)^-(N124+0.5)</f>
        <v>8.1823277882341824E-2</v>
      </c>
      <c r="Q124" s="91"/>
      <c r="R124" s="20">
        <f t="shared" si="1649"/>
        <v>112</v>
      </c>
      <c r="S124" s="20" t="str">
        <f t="shared" ref="S124" si="2729">+IF(xB+R124&lt;=xB+nB,xB+R124,"")</f>
        <v/>
      </c>
      <c r="T124" s="2">
        <f t="shared" ref="T124:U124" ca="1" si="2730">IFERROR(VLOOKUP($S124,qx_table,MATCH(T$11,qx_title,0)+sexB),0)</f>
        <v>0</v>
      </c>
      <c r="U124" s="2">
        <f t="shared" ca="1" si="2730"/>
        <v>0</v>
      </c>
      <c r="V124" s="300">
        <f>IF(JRB=2,0,IF(R124&gt;=mB-1,_xlfn.XLOOKUP(R124-mB,해지율!#REF!,해지율!#REF!,,1),_xlfn.XLOOKUP(R124,해지율!#REF!,해지율!#REF!,,-1)))</f>
        <v>0</v>
      </c>
      <c r="W124" s="8">
        <f t="shared" ref="W124" si="2731">IF(R124=0,100000,IF(R124&gt;nB,0,W123*(1-X123)*(1-Y123)))</f>
        <v>0</v>
      </c>
      <c r="X124" s="10">
        <f t="shared" ca="1" si="1561"/>
        <v>0</v>
      </c>
      <c r="Y124" s="10">
        <f t="shared" ca="1" si="1562"/>
        <v>0</v>
      </c>
      <c r="Z124" s="6">
        <f t="shared" ca="1" si="1601"/>
        <v>0</v>
      </c>
      <c r="AA124" s="6">
        <f ca="1">+SUM(Z124:Z$124)</f>
        <v>0</v>
      </c>
      <c r="AB124" s="8">
        <f t="shared" ca="1" si="1563"/>
        <v>0</v>
      </c>
      <c r="AC124" s="209">
        <f ca="1">+SUM(AB124:AB$124)*SSSM</f>
        <v>0</v>
      </c>
      <c r="AD124" s="209">
        <f t="shared" ref="AD124" si="2732">IF(R124&gt;nB,0,AD123*(1-X123)*(1-Y123)*(1-AE123)*(1-AF123))</f>
        <v>0</v>
      </c>
      <c r="AE124" s="92">
        <f t="shared" ca="1" si="1565"/>
        <v>0</v>
      </c>
      <c r="AF124" s="92">
        <f t="shared" ca="1" si="1566"/>
        <v>0</v>
      </c>
      <c r="AG124" s="665">
        <f t="shared" ca="1" si="1567"/>
        <v>0</v>
      </c>
      <c r="AH124" s="6">
        <f ca="1">+SUM(AG124:AG$124)</f>
        <v>0</v>
      </c>
      <c r="AI124" s="70">
        <f t="shared" ca="1" si="1568"/>
        <v>0</v>
      </c>
      <c r="AJ124" s="208">
        <f ca="1">+SUM(AB124:AB$124)*SS50J</f>
        <v>0</v>
      </c>
      <c r="AK124" s="5">
        <f t="shared" ca="1" si="1603"/>
        <v>99999.012970709329</v>
      </c>
      <c r="AL124" s="2">
        <f t="shared" ref="AL124" ca="1" si="2733">IFERROR(VLOOKUP($S124,qx_table,MATCH(AL$11,qx_title,0)+sexB),0)</f>
        <v>0</v>
      </c>
      <c r="AM124" s="131">
        <f t="shared" ca="1" si="1605"/>
        <v>8273.7852668987234</v>
      </c>
      <c r="AN124" s="129">
        <f t="shared" ca="1" si="2378"/>
        <v>0</v>
      </c>
      <c r="AO124" s="129">
        <f ca="1">SUM(AN124:AN$124)*SSa</f>
        <v>0</v>
      </c>
      <c r="AP124" s="70">
        <f t="shared" ca="1" si="1607"/>
        <v>99999.012970709329</v>
      </c>
      <c r="AQ124" s="2">
        <f t="shared" ref="AQ124" ca="1" si="2734">IFERROR(VLOOKUP($S124,qx_table,MATCH(AQ$11,qx_title,0)+sexB),0)</f>
        <v>0</v>
      </c>
      <c r="AR124" s="127">
        <f t="shared" ca="1" si="2380"/>
        <v>0</v>
      </c>
      <c r="AS124" s="127">
        <f ca="1">SUM(AR124:AR$124)*SSb</f>
        <v>0</v>
      </c>
      <c r="AT124" s="70">
        <f t="shared" ca="1" si="1610"/>
        <v>99999.012970709329</v>
      </c>
      <c r="AU124" s="2">
        <f t="shared" ref="AU124" ca="1" si="2735">IFERROR(VLOOKUP($S124,qx_table,MATCH(AU$11,qx_title,0)+sexB),0)</f>
        <v>0</v>
      </c>
      <c r="AV124" s="268">
        <f t="shared" ca="1" si="2382"/>
        <v>0</v>
      </c>
      <c r="AW124" s="131">
        <f ca="1">SUM(AV124:AV$124)*SSc</f>
        <v>0</v>
      </c>
      <c r="AX124" s="70">
        <f t="shared" ca="1" si="1613"/>
        <v>99999.012970709329</v>
      </c>
      <c r="AY124" s="2">
        <f t="shared" ref="AY124" ca="1" si="2736">IFERROR(VLOOKUP($S124,qx_table,MATCH(AY$11,qx_title,0)+sexB),0)</f>
        <v>0</v>
      </c>
      <c r="AZ124" s="268">
        <f t="shared" ca="1" si="2348"/>
        <v>0</v>
      </c>
      <c r="BA124" s="129">
        <f ca="1">SUM(AZ124:AZ$124)*SSd</f>
        <v>0</v>
      </c>
      <c r="BB124" s="70">
        <f t="shared" ca="1" si="1615"/>
        <v>99999.012970709329</v>
      </c>
      <c r="BC124" s="257">
        <f t="shared" ref="BC124" ca="1" si="2737">IFERROR(VLOOKUP($S124,qx_table,MATCH(BC$11,qx_title,0)+sexB),0)</f>
        <v>0</v>
      </c>
      <c r="BD124" s="268">
        <f t="shared" ca="1" si="2385"/>
        <v>0</v>
      </c>
      <c r="BE124" s="131">
        <f ca="1">SUM(BD124:BD$124)*SSe</f>
        <v>0</v>
      </c>
      <c r="BF124" s="70">
        <f t="shared" ca="1" si="1618"/>
        <v>99999.012970709329</v>
      </c>
      <c r="BG124" s="2">
        <f t="shared" ref="BG124" ca="1" si="2738">IFERROR(VLOOKUP($S124,qx_table,MATCH(BG$11,qx_title,0)+sexB),0)</f>
        <v>0</v>
      </c>
      <c r="BH124" s="131">
        <f t="shared" ca="1" si="2387"/>
        <v>0</v>
      </c>
      <c r="BI124" s="2">
        <f ca="1">SUM(BH124:BH$124)*SSf</f>
        <v>0</v>
      </c>
      <c r="BJ124" s="70">
        <f t="shared" ca="1" si="1621"/>
        <v>99999.012970709329</v>
      </c>
      <c r="BK124" s="2">
        <f t="shared" ref="BK124" ca="1" si="2739">IFERROR(VLOOKUP($S124,qx_table,MATCH(BK$11,qx_title,0)+sexB),0)</f>
        <v>0</v>
      </c>
      <c r="BL124" s="131">
        <f t="shared" ca="1" si="2389"/>
        <v>0</v>
      </c>
      <c r="BM124" s="131">
        <f ca="1">SUM(BL124:BL$124)*SSg</f>
        <v>0</v>
      </c>
      <c r="BN124" s="70">
        <f t="shared" ca="1" si="1624"/>
        <v>99999.012970709329</v>
      </c>
      <c r="BO124" s="2">
        <f t="shared" ref="BO124" ca="1" si="2740">IFERROR(VLOOKUP($S124,qx_table,MATCH(BO$11,qx_title,0)+sexB),0)</f>
        <v>0</v>
      </c>
      <c r="BP124" s="131">
        <f t="shared" ca="1" si="2391"/>
        <v>0</v>
      </c>
      <c r="BQ124" s="131">
        <f ca="1">SUM(BP124:BP$124)*SSh</f>
        <v>0</v>
      </c>
      <c r="BR124" s="70">
        <f t="shared" ca="1" si="1627"/>
        <v>99999.012970709329</v>
      </c>
      <c r="BS124" s="2">
        <f t="shared" ref="BS124" ca="1" si="2741">IFERROR(VLOOKUP($S124,qx_table,MATCH(BS$11,qx_title,0)+sexB),0)*IF(R124=0,MCi,1)</f>
        <v>0</v>
      </c>
      <c r="BT124" s="131">
        <f t="shared" ca="1" si="2393"/>
        <v>0</v>
      </c>
      <c r="BU124" s="131">
        <f ca="1">SUM(BT124:BT$124)*SSi</f>
        <v>0</v>
      </c>
      <c r="BV124" s="70">
        <f t="shared" ca="1" si="1630"/>
        <v>99999.012970709329</v>
      </c>
      <c r="BW124" s="2">
        <f t="shared" ref="BW124" ca="1" si="2742">IFERROR(VLOOKUP($S124,qx_table,MATCH(BW$11,qx_title,0)+sexB),0)</f>
        <v>0</v>
      </c>
      <c r="BX124" s="131">
        <f t="shared" ca="1" si="2395"/>
        <v>0</v>
      </c>
      <c r="BY124" s="131">
        <f ca="1">SUM(BX124:BX$124)*SSj</f>
        <v>0</v>
      </c>
      <c r="BZ124" s="70">
        <f t="shared" ca="1" si="1633"/>
        <v>99999.012970709329</v>
      </c>
      <c r="CA124" s="2">
        <f t="shared" ref="CA124" ca="1" si="2743">IFERROR(VLOOKUP($S124,qx_table,MATCH(CA$11,qx_title,0)+sexB),0)</f>
        <v>0</v>
      </c>
      <c r="CB124" s="131">
        <f t="shared" ca="1" si="2397"/>
        <v>0</v>
      </c>
      <c r="CC124" s="131">
        <f ca="1">SUM(CB124:CB$124)*SSk</f>
        <v>0</v>
      </c>
      <c r="CD124" s="8">
        <f t="shared" ca="1" si="1636"/>
        <v>99999.012970709329</v>
      </c>
      <c r="CE124" s="2">
        <f t="shared" ref="CE124" ca="1" si="2744">IFERROR(VLOOKUP($S124,qx_table,MATCH(CE$11,qx_title,0)+sexB),0)</f>
        <v>0</v>
      </c>
      <c r="CF124" s="131">
        <f t="shared" ca="1" si="2399"/>
        <v>0</v>
      </c>
      <c r="CG124" s="131">
        <f ca="1">SUM(CF124:CF$124)*SSl</f>
        <v>0</v>
      </c>
      <c r="CH124" s="101">
        <f t="shared" ca="1" si="1639"/>
        <v>0</v>
      </c>
      <c r="CI124" s="154">
        <f t="shared" ca="1" si="2357"/>
        <v>0</v>
      </c>
      <c r="CJ124" s="32">
        <f t="shared" ref="CJ124" ca="1" si="2745">+MAX(VLOOKUP(xB+$R124,기수표B,$AH$1)-VLOOKUP(xB+mB,기수표B,$AH$1),0)</f>
        <v>0</v>
      </c>
      <c r="CK124" s="32">
        <f t="shared" ref="CK124" ca="1" si="2746">+MAX(VLOOKUP(xB+$R124,기수표B,$AH$1)-VLOOKUP(xB+mB,기수표B,$AH$1)-11/24*(VLOOKUP(xB+$R124,기수표B,$AG$1)-VLOOKUP(xB+mB,기수표B,$AG$1)),0)</f>
        <v>0</v>
      </c>
      <c r="CL124" s="32">
        <f t="shared" ref="CL124" ca="1" si="2747">+MAX(VLOOKUP(xB+$R124,기수표B,$AA$1)-VLOOKUP(xB+mB,기수표B,$AA$1),0)</f>
        <v>0</v>
      </c>
      <c r="CM124" s="32">
        <f t="shared" ref="CM124" ca="1" si="2748">+MAX(VLOOKUP(xB+$R124,기수표B,$AA$1)-VLOOKUP(xB+mB,기수표B,$AA$1)-11/24*(VLOOKUP(xB+$R124,기수표B,$AA$1)-VLOOKUP(xB+mB,기수표B,$AA$1)),0)</f>
        <v>0</v>
      </c>
      <c r="CN124" s="95">
        <f t="shared" si="2362"/>
        <v>0</v>
      </c>
      <c r="CO124" s="32">
        <f t="shared" ca="1" si="2363"/>
        <v>0</v>
      </c>
      <c r="CP124" s="259">
        <f t="shared" ca="1" si="2364"/>
        <v>0</v>
      </c>
      <c r="CQ124" s="259">
        <f t="shared" ca="1" si="2365"/>
        <v>0</v>
      </c>
      <c r="CR124" s="259" t="e">
        <f t="shared" ca="1" si="2366"/>
        <v>#DIV/0!</v>
      </c>
      <c r="CS124" s="96">
        <f t="shared" ref="CS124" si="2749">+MIN(mB,7)</f>
        <v>5</v>
      </c>
      <c r="CU124" s="13">
        <v>112</v>
      </c>
      <c r="CV124" s="477">
        <f t="shared" ca="1" si="2368"/>
        <v>420</v>
      </c>
      <c r="CW124" s="477" t="e">
        <f t="shared" ca="1" si="2369"/>
        <v>#DIV/0!</v>
      </c>
      <c r="CX124" s="477">
        <f t="shared" ca="1" si="2370"/>
        <v>0</v>
      </c>
      <c r="CY124" s="478">
        <f t="shared" ca="1" si="1645"/>
        <v>0</v>
      </c>
    </row>
    <row r="125" spans="3:103">
      <c r="C125" s="33"/>
      <c r="D125" s="33"/>
      <c r="R125" s="88"/>
      <c r="V125" s="301"/>
      <c r="AM125" s="131">
        <f t="shared" si="1605"/>
        <v>0</v>
      </c>
    </row>
    <row r="126" spans="3:103">
      <c r="C126" s="33"/>
      <c r="D126" s="33"/>
    </row>
    <row r="127" spans="3:103">
      <c r="C127" s="33"/>
      <c r="D127" s="33"/>
    </row>
    <row r="128" spans="3:103">
      <c r="C128" s="33"/>
      <c r="D128" s="33"/>
    </row>
    <row r="129" spans="3:4">
      <c r="C129" s="33"/>
      <c r="D129" s="33"/>
    </row>
    <row r="130" spans="3:4">
      <c r="C130" s="33"/>
      <c r="D130" s="33"/>
    </row>
    <row r="131" spans="3:4">
      <c r="C131" s="33"/>
      <c r="D131" s="33"/>
    </row>
    <row r="132" spans="3:4">
      <c r="C132" s="33"/>
      <c r="D132" s="33"/>
    </row>
    <row r="133" spans="3:4">
      <c r="C133" s="33"/>
      <c r="D133" s="33"/>
    </row>
    <row r="134" spans="3:4">
      <c r="C134" s="33"/>
      <c r="D134" s="33"/>
    </row>
    <row r="135" spans="3:4">
      <c r="C135" s="33"/>
      <c r="D135" s="33"/>
    </row>
    <row r="136" spans="3:4">
      <c r="C136" s="33"/>
      <c r="D136" s="33"/>
    </row>
    <row r="137" spans="3:4">
      <c r="C137" s="33"/>
      <c r="D137" s="33"/>
    </row>
    <row r="138" spans="3:4">
      <c r="C138" s="33"/>
      <c r="D138" s="33"/>
    </row>
    <row r="139" spans="3:4">
      <c r="C139" s="33"/>
      <c r="D139" s="33"/>
    </row>
    <row r="140" spans="3:4">
      <c r="C140" s="33"/>
      <c r="D140" s="33"/>
    </row>
    <row r="141" spans="3:4">
      <c r="C141" s="33"/>
      <c r="D141" s="33"/>
    </row>
    <row r="142" spans="3:4">
      <c r="C142" s="33"/>
      <c r="D142" s="33"/>
    </row>
    <row r="143" spans="3:4">
      <c r="C143" s="33"/>
      <c r="D143" s="33"/>
    </row>
    <row r="144" spans="3:4">
      <c r="C144" s="33"/>
      <c r="D144" s="33"/>
    </row>
    <row r="145" spans="3:4">
      <c r="C145" s="33"/>
      <c r="D145" s="33"/>
    </row>
    <row r="146" spans="3:4">
      <c r="C146" s="33"/>
      <c r="D146" s="33"/>
    </row>
    <row r="147" spans="3:4">
      <c r="C147" s="33"/>
      <c r="D147" s="33"/>
    </row>
    <row r="148" spans="3:4">
      <c r="C148" s="33"/>
      <c r="D148" s="33"/>
    </row>
    <row r="149" spans="3:4">
      <c r="C149" s="33"/>
      <c r="D149" s="33"/>
    </row>
    <row r="150" spans="3:4">
      <c r="C150" s="33"/>
      <c r="D150" s="33"/>
    </row>
    <row r="151" spans="3:4">
      <c r="C151" s="33"/>
      <c r="D151" s="33"/>
    </row>
    <row r="152" spans="3:4">
      <c r="C152" s="33"/>
      <c r="D152" s="33"/>
    </row>
    <row r="153" spans="3:4">
      <c r="C153" s="33"/>
      <c r="D153" s="33"/>
    </row>
    <row r="154" spans="3:4">
      <c r="C154" s="33"/>
      <c r="D154" s="33"/>
    </row>
    <row r="155" spans="3:4">
      <c r="C155" s="33"/>
      <c r="D155" s="33"/>
    </row>
    <row r="156" spans="3:4">
      <c r="C156" s="33"/>
      <c r="D156" s="33"/>
    </row>
    <row r="157" spans="3:4">
      <c r="C157" s="33"/>
      <c r="D157" s="33"/>
    </row>
  </sheetData>
  <mergeCells count="24">
    <mergeCell ref="AT9:AW9"/>
    <mergeCell ref="W9:AA9"/>
    <mergeCell ref="T9:V9"/>
    <mergeCell ref="AB9:AC9"/>
    <mergeCell ref="AD9:AH9"/>
    <mergeCell ref="AI9:AJ9"/>
    <mergeCell ref="AK9:AO9"/>
    <mergeCell ref="AP9:AS9"/>
    <mergeCell ref="BV9:BY9"/>
    <mergeCell ref="BZ9:CC9"/>
    <mergeCell ref="CD9:CG9"/>
    <mergeCell ref="CP9:CR9"/>
    <mergeCell ref="AX9:BA9"/>
    <mergeCell ref="BB9:BE9"/>
    <mergeCell ref="BF9:BI9"/>
    <mergeCell ref="BJ9:BM9"/>
    <mergeCell ref="BN9:BQ9"/>
    <mergeCell ref="BR9:BU9"/>
    <mergeCell ref="F30:F35"/>
    <mergeCell ref="B2:D2"/>
    <mergeCell ref="N9:P9"/>
    <mergeCell ref="R9:R11"/>
    <mergeCell ref="S9:S11"/>
    <mergeCell ref="F20:F29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B5839-3DF1-40D9-9B10-0283F2C82777}">
  <sheetPr codeName="Sheet14">
    <tabColor rgb="FF7030A0"/>
  </sheetPr>
  <dimension ref="A1:CZ157"/>
  <sheetViews>
    <sheetView topLeftCell="A42" workbookViewId="0">
      <selection activeCell="CW13" sqref="CW13"/>
    </sheetView>
  </sheetViews>
  <sheetFormatPr defaultColWidth="9" defaultRowHeight="17.399999999999999"/>
  <cols>
    <col min="1" max="1" width="9" style="13"/>
    <col min="2" max="2" width="17.59765625" style="13" customWidth="1"/>
    <col min="3" max="3" width="20.09765625" style="13" customWidth="1"/>
    <col min="4" max="4" width="17.69921875" style="13" bestFit="1" customWidth="1"/>
    <col min="5" max="5" width="13.69921875" style="13" customWidth="1"/>
    <col min="6" max="6" width="10" style="13" customWidth="1"/>
    <col min="7" max="7" width="15.09765625" style="13" customWidth="1"/>
    <col min="8" max="8" width="18.8984375" style="13" customWidth="1"/>
    <col min="9" max="9" width="17.69921875" style="13" customWidth="1"/>
    <col min="10" max="10" width="18.5" style="13" customWidth="1"/>
    <col min="11" max="11" width="16.8984375" style="13" customWidth="1"/>
    <col min="12" max="12" width="18.09765625" style="13" customWidth="1"/>
    <col min="13" max="13" width="15" style="13" customWidth="1"/>
    <col min="14" max="14" width="4.5" style="13" customWidth="1"/>
    <col min="15" max="15" width="9.09765625" style="13" customWidth="1"/>
    <col min="16" max="16" width="12.59765625" style="13" customWidth="1"/>
    <col min="17" max="17" width="9.09765625" style="13" customWidth="1"/>
    <col min="18" max="18" width="7.69921875" style="13" customWidth="1"/>
    <col min="19" max="19" width="9" style="13" customWidth="1"/>
    <col min="20" max="22" width="10" style="13" customWidth="1"/>
    <col min="23" max="23" width="12.8984375" style="13" customWidth="1"/>
    <col min="24" max="25" width="10" style="13" customWidth="1"/>
    <col min="26" max="26" width="12.3984375" style="13" customWidth="1"/>
    <col min="27" max="27" width="16.5" style="13" customWidth="1"/>
    <col min="28" max="28" width="12.8984375" style="13" hidden="1" customWidth="1"/>
    <col min="29" max="29" width="17.8984375" style="13" hidden="1" customWidth="1"/>
    <col min="30" max="30" width="12.3984375" style="13" customWidth="1"/>
    <col min="31" max="32" width="10" style="13" customWidth="1"/>
    <col min="33" max="33" width="14.8984375" style="16" customWidth="1"/>
    <col min="34" max="34" width="10" style="13" customWidth="1"/>
    <col min="35" max="36" width="10" style="13" hidden="1" customWidth="1"/>
    <col min="37" max="37" width="13.19921875" style="13" customWidth="1"/>
    <col min="38" max="39" width="12.19921875" style="13" customWidth="1"/>
    <col min="40" max="40" width="12.09765625" style="128" customWidth="1"/>
    <col min="41" max="41" width="15.19921875" style="128" customWidth="1"/>
    <col min="42" max="42" width="10" style="13" customWidth="1"/>
    <col min="43" max="43" width="15.19921875" style="13" customWidth="1"/>
    <col min="44" max="45" width="14.8984375" style="126" customWidth="1"/>
    <col min="46" max="46" width="10" style="13" customWidth="1"/>
    <col min="47" max="47" width="11.09765625" style="13" customWidth="1"/>
    <col min="48" max="48" width="11.09765625" style="130" customWidth="1"/>
    <col min="49" max="49" width="15.09765625" style="130" customWidth="1"/>
    <col min="50" max="50" width="11.09765625" style="13" customWidth="1"/>
    <col min="51" max="51" width="12.59765625" style="13" customWidth="1"/>
    <col min="52" max="52" width="12.59765625" style="128" customWidth="1"/>
    <col min="53" max="53" width="15.5" style="128" customWidth="1"/>
    <col min="54" max="54" width="12.59765625" style="13" customWidth="1"/>
    <col min="55" max="55" width="12.09765625" style="13" customWidth="1"/>
    <col min="56" max="56" width="10" style="130" customWidth="1"/>
    <col min="57" max="57" width="14" style="130" customWidth="1"/>
    <col min="58" max="60" width="10" style="130" customWidth="1"/>
    <col min="61" max="61" width="11.8984375" style="130" customWidth="1"/>
    <col min="62" max="64" width="10" style="130" customWidth="1"/>
    <col min="65" max="65" width="13.19921875" style="130" customWidth="1"/>
    <col min="66" max="68" width="10" style="130" customWidth="1"/>
    <col min="69" max="69" width="14.09765625" style="130" customWidth="1"/>
    <col min="70" max="80" width="10" style="130" customWidth="1"/>
    <col min="81" max="81" width="13.69921875" style="130" customWidth="1"/>
    <col min="82" max="82" width="14" style="130" customWidth="1"/>
    <col min="83" max="84" width="10" style="130" customWidth="1"/>
    <col min="85" max="85" width="13.3984375" style="130" customWidth="1"/>
    <col min="86" max="86" width="17.8984375" style="13" customWidth="1"/>
    <col min="87" max="87" width="16.8984375" style="13" customWidth="1"/>
    <col min="88" max="93" width="12.69921875" style="13" customWidth="1"/>
    <col min="94" max="95" width="15.09765625" style="13" customWidth="1"/>
    <col min="96" max="96" width="12.69921875" style="13" customWidth="1"/>
    <col min="97" max="97" width="13.3984375" style="13" customWidth="1"/>
    <col min="98" max="16384" width="9" style="13"/>
  </cols>
  <sheetData>
    <row r="1" spans="2:104">
      <c r="S1" s="13">
        <v>1</v>
      </c>
      <c r="T1" s="13">
        <f t="shared" ref="T1:CE1" si="0">+S1+1</f>
        <v>2</v>
      </c>
      <c r="U1" s="13">
        <f t="shared" si="0"/>
        <v>3</v>
      </c>
      <c r="V1" s="13">
        <f t="shared" si="0"/>
        <v>4</v>
      </c>
      <c r="W1" s="13">
        <f t="shared" si="0"/>
        <v>5</v>
      </c>
      <c r="X1" s="13">
        <f t="shared" si="0"/>
        <v>6</v>
      </c>
      <c r="Y1" s="13">
        <f t="shared" si="0"/>
        <v>7</v>
      </c>
      <c r="Z1" s="13">
        <f t="shared" si="0"/>
        <v>8</v>
      </c>
      <c r="AA1" s="13">
        <f t="shared" si="0"/>
        <v>9</v>
      </c>
      <c r="AB1" s="13">
        <f t="shared" si="0"/>
        <v>10</v>
      </c>
      <c r="AC1" s="13">
        <f t="shared" si="0"/>
        <v>11</v>
      </c>
      <c r="AD1" s="13">
        <f t="shared" si="0"/>
        <v>12</v>
      </c>
      <c r="AE1" s="13">
        <f t="shared" si="0"/>
        <v>13</v>
      </c>
      <c r="AF1" s="13">
        <f t="shared" si="0"/>
        <v>14</v>
      </c>
      <c r="AG1" s="13">
        <f t="shared" si="0"/>
        <v>15</v>
      </c>
      <c r="AH1" s="13">
        <f t="shared" si="0"/>
        <v>16</v>
      </c>
      <c r="AI1" s="13">
        <f t="shared" si="0"/>
        <v>17</v>
      </c>
      <c r="AJ1" s="13">
        <f t="shared" si="0"/>
        <v>18</v>
      </c>
      <c r="AK1" s="13">
        <f t="shared" si="0"/>
        <v>19</v>
      </c>
      <c r="AL1" s="13">
        <f t="shared" si="0"/>
        <v>20</v>
      </c>
      <c r="AM1" s="13">
        <f t="shared" si="0"/>
        <v>21</v>
      </c>
      <c r="AN1" s="13">
        <f t="shared" si="0"/>
        <v>22</v>
      </c>
      <c r="AO1" s="13">
        <f t="shared" si="0"/>
        <v>23</v>
      </c>
      <c r="AP1" s="13">
        <f t="shared" si="0"/>
        <v>24</v>
      </c>
      <c r="AQ1" s="13">
        <f t="shared" si="0"/>
        <v>25</v>
      </c>
      <c r="AR1" s="13">
        <f t="shared" si="0"/>
        <v>26</v>
      </c>
      <c r="AS1" s="13">
        <f t="shared" si="0"/>
        <v>27</v>
      </c>
      <c r="AT1" s="13">
        <f t="shared" si="0"/>
        <v>28</v>
      </c>
      <c r="AU1" s="13">
        <f t="shared" si="0"/>
        <v>29</v>
      </c>
      <c r="AV1" s="13">
        <f t="shared" si="0"/>
        <v>30</v>
      </c>
      <c r="AW1" s="13">
        <f t="shared" si="0"/>
        <v>31</v>
      </c>
      <c r="AX1" s="13">
        <f t="shared" si="0"/>
        <v>32</v>
      </c>
      <c r="AY1" s="134">
        <f t="shared" si="0"/>
        <v>33</v>
      </c>
      <c r="AZ1" s="134">
        <f t="shared" si="0"/>
        <v>34</v>
      </c>
      <c r="BA1" s="134">
        <f t="shared" si="0"/>
        <v>35</v>
      </c>
      <c r="BB1" s="134">
        <f t="shared" si="0"/>
        <v>36</v>
      </c>
      <c r="BC1" s="134">
        <f t="shared" si="0"/>
        <v>37</v>
      </c>
      <c r="BD1" s="134">
        <f t="shared" si="0"/>
        <v>38</v>
      </c>
      <c r="BE1" s="134">
        <f t="shared" si="0"/>
        <v>39</v>
      </c>
      <c r="BF1" s="134">
        <f t="shared" si="0"/>
        <v>40</v>
      </c>
      <c r="BG1" s="134">
        <f t="shared" si="0"/>
        <v>41</v>
      </c>
      <c r="BH1" s="134">
        <f t="shared" si="0"/>
        <v>42</v>
      </c>
      <c r="BI1" s="134">
        <f t="shared" si="0"/>
        <v>43</v>
      </c>
      <c r="BJ1" s="134">
        <f t="shared" si="0"/>
        <v>44</v>
      </c>
      <c r="BK1" s="134">
        <f t="shared" si="0"/>
        <v>45</v>
      </c>
      <c r="BL1" s="134">
        <f t="shared" si="0"/>
        <v>46</v>
      </c>
      <c r="BM1" s="134">
        <f t="shared" si="0"/>
        <v>47</v>
      </c>
      <c r="BN1" s="134">
        <f t="shared" si="0"/>
        <v>48</v>
      </c>
      <c r="BO1" s="134">
        <f t="shared" si="0"/>
        <v>49</v>
      </c>
      <c r="BP1" s="134">
        <f t="shared" si="0"/>
        <v>50</v>
      </c>
      <c r="BQ1" s="134">
        <f t="shared" si="0"/>
        <v>51</v>
      </c>
      <c r="BR1" s="134">
        <f t="shared" si="0"/>
        <v>52</v>
      </c>
      <c r="BS1" s="134">
        <f t="shared" si="0"/>
        <v>53</v>
      </c>
      <c r="BT1" s="134">
        <f t="shared" si="0"/>
        <v>54</v>
      </c>
      <c r="BU1" s="134">
        <f t="shared" si="0"/>
        <v>55</v>
      </c>
      <c r="BV1" s="134">
        <f t="shared" si="0"/>
        <v>56</v>
      </c>
      <c r="BW1" s="134">
        <f t="shared" si="0"/>
        <v>57</v>
      </c>
      <c r="BX1" s="134">
        <f t="shared" si="0"/>
        <v>58</v>
      </c>
      <c r="BY1" s="134">
        <f t="shared" si="0"/>
        <v>59</v>
      </c>
      <c r="BZ1" s="134">
        <f t="shared" si="0"/>
        <v>60</v>
      </c>
      <c r="CA1" s="134">
        <f t="shared" si="0"/>
        <v>61</v>
      </c>
      <c r="CB1" s="134">
        <f t="shared" si="0"/>
        <v>62</v>
      </c>
      <c r="CC1" s="134">
        <f t="shared" si="0"/>
        <v>63</v>
      </c>
      <c r="CD1" s="134">
        <f t="shared" si="0"/>
        <v>64</v>
      </c>
      <c r="CE1" s="134">
        <f t="shared" si="0"/>
        <v>65</v>
      </c>
      <c r="CF1" s="134">
        <f t="shared" ref="CF1:CG1" si="1">+CE1+1</f>
        <v>66</v>
      </c>
      <c r="CG1" s="134">
        <f t="shared" si="1"/>
        <v>67</v>
      </c>
      <c r="CH1" s="134">
        <f t="shared" ref="CH1" si="2">+CG1+1</f>
        <v>68</v>
      </c>
      <c r="CI1" s="134">
        <f t="shared" ref="CI1" si="3">+CH1+1</f>
        <v>69</v>
      </c>
      <c r="CJ1" s="134">
        <f t="shared" ref="CJ1" si="4">+CI1+1</f>
        <v>70</v>
      </c>
      <c r="CK1" s="134">
        <f t="shared" ref="CK1" si="5">+CJ1+1</f>
        <v>71</v>
      </c>
      <c r="CL1" s="134">
        <f t="shared" ref="CL1" si="6">+CK1+1</f>
        <v>72</v>
      </c>
      <c r="CM1" s="134">
        <f t="shared" ref="CM1" si="7">+CL1+1</f>
        <v>73</v>
      </c>
      <c r="CN1" s="134">
        <f t="shared" ref="CN1" si="8">+CM1+1</f>
        <v>74</v>
      </c>
      <c r="CO1" s="134">
        <f t="shared" ref="CO1" si="9">+CN1+1</f>
        <v>75</v>
      </c>
      <c r="CP1" s="134">
        <f t="shared" ref="CP1" si="10">+CO1+1</f>
        <v>76</v>
      </c>
      <c r="CQ1" s="134">
        <f t="shared" ref="CQ1" si="11">+CP1+1</f>
        <v>77</v>
      </c>
      <c r="CR1" s="134">
        <f t="shared" ref="CR1" si="12">+CQ1+1</f>
        <v>78</v>
      </c>
      <c r="CS1" s="134">
        <f t="shared" ref="CS1" si="13">+CR1+1</f>
        <v>79</v>
      </c>
      <c r="CT1" s="134">
        <f t="shared" ref="CT1" si="14">+CS1+1</f>
        <v>80</v>
      </c>
    </row>
    <row r="2" spans="2:104" ht="21">
      <c r="B2" s="603" t="str">
        <f ca="1">MAIN!B2</f>
        <v>■ 상품 요율체크 : 남녀특정암진단특약(무배당, 무해지)</v>
      </c>
      <c r="C2" s="604"/>
      <c r="D2" s="605"/>
      <c r="AG2" s="13"/>
      <c r="BL2" s="153"/>
      <c r="BM2" s="153"/>
      <c r="BN2" s="153"/>
      <c r="BO2" s="153"/>
      <c r="BP2" s="153"/>
      <c r="CI2" s="17" t="s">
        <v>154</v>
      </c>
    </row>
    <row r="3" spans="2:104">
      <c r="B3" s="17"/>
      <c r="W3" s="103" t="s">
        <v>155</v>
      </c>
      <c r="X3" s="82" t="s">
        <v>105</v>
      </c>
      <c r="Y3" s="77"/>
      <c r="AD3" s="103" t="s">
        <v>155</v>
      </c>
      <c r="AE3" s="85" t="s">
        <v>106</v>
      </c>
      <c r="AF3" s="87"/>
      <c r="AG3" s="27"/>
      <c r="AH3" s="27"/>
      <c r="AI3" s="27"/>
      <c r="AJ3" s="27"/>
      <c r="AK3" s="103" t="s">
        <v>155</v>
      </c>
      <c r="AL3" s="85" t="s">
        <v>107</v>
      </c>
      <c r="AM3" s="87"/>
      <c r="AN3" s="150"/>
      <c r="AO3" s="150"/>
      <c r="AP3" s="103" t="s">
        <v>155</v>
      </c>
      <c r="AQ3" s="85" t="s">
        <v>108</v>
      </c>
      <c r="AR3" s="151"/>
      <c r="AS3" s="151"/>
      <c r="AT3" s="103" t="s">
        <v>155</v>
      </c>
      <c r="AU3" s="85" t="s">
        <v>156</v>
      </c>
      <c r="AV3" s="153"/>
      <c r="AW3" s="153"/>
      <c r="AX3" s="103" t="s">
        <v>155</v>
      </c>
      <c r="AY3" s="85" t="s">
        <v>109</v>
      </c>
      <c r="BB3" s="103" t="s">
        <v>155</v>
      </c>
      <c r="BC3" s="85" t="s">
        <v>110</v>
      </c>
      <c r="BF3" s="103" t="s">
        <v>155</v>
      </c>
      <c r="BG3" s="85" t="s">
        <v>179</v>
      </c>
      <c r="BH3" s="128"/>
      <c r="BI3" s="128"/>
      <c r="BJ3" s="103" t="s">
        <v>155</v>
      </c>
      <c r="BK3" s="85" t="s">
        <v>180</v>
      </c>
      <c r="BL3" s="85" t="s">
        <v>527</v>
      </c>
      <c r="BM3" s="85" t="s">
        <v>528</v>
      </c>
      <c r="BN3" s="85" t="s">
        <v>529</v>
      </c>
      <c r="BO3" s="85" t="s">
        <v>530</v>
      </c>
      <c r="BP3" s="85" t="s">
        <v>531</v>
      </c>
    </row>
    <row r="4" spans="2:104" ht="19.2">
      <c r="B4" s="13" t="s">
        <v>79</v>
      </c>
      <c r="G4" s="13" t="s">
        <v>75</v>
      </c>
      <c r="N4" s="102" t="s">
        <v>118</v>
      </c>
      <c r="R4" s="102" t="s">
        <v>8</v>
      </c>
      <c r="W4" s="85" t="s">
        <v>112</v>
      </c>
      <c r="X4" s="85">
        <f ca="1">YTSM</f>
        <v>0</v>
      </c>
      <c r="Y4" s="87"/>
      <c r="AA4" s="213"/>
      <c r="AD4" s="85" t="s">
        <v>112</v>
      </c>
      <c r="AE4" s="85">
        <f ca="1">YT50J</f>
        <v>0</v>
      </c>
      <c r="AF4" s="87"/>
      <c r="AG4" s="13"/>
      <c r="AK4" s="85" t="s">
        <v>112</v>
      </c>
      <c r="AL4" s="85">
        <f ca="1">YTa</f>
        <v>1</v>
      </c>
      <c r="AM4" s="87"/>
      <c r="AP4" s="85" t="s">
        <v>112</v>
      </c>
      <c r="AQ4" s="85">
        <f ca="1">YTb</f>
        <v>0</v>
      </c>
      <c r="AT4" s="85" t="s">
        <v>112</v>
      </c>
      <c r="AU4" s="85">
        <f ca="1">YTc</f>
        <v>0</v>
      </c>
      <c r="AX4" s="85" t="s">
        <v>112</v>
      </c>
      <c r="AY4" s="85">
        <f ca="1">YTd</f>
        <v>0</v>
      </c>
      <c r="BB4" s="85" t="s">
        <v>112</v>
      </c>
      <c r="BC4" s="85">
        <f ca="1">YTe</f>
        <v>0</v>
      </c>
      <c r="BF4" s="85" t="s">
        <v>112</v>
      </c>
      <c r="BG4" s="85">
        <f ca="1">YTf</f>
        <v>0</v>
      </c>
      <c r="BH4" s="128"/>
      <c r="BI4" s="128"/>
      <c r="BJ4" s="85" t="s">
        <v>112</v>
      </c>
      <c r="BK4" s="85">
        <f ca="1">YTg</f>
        <v>0</v>
      </c>
      <c r="BL4" s="85" cm="1">
        <f t="array" aca="1" ref="BL4" ca="1">YTh</f>
        <v>0</v>
      </c>
      <c r="BM4" s="85">
        <f ca="1">YTi</f>
        <v>0</v>
      </c>
      <c r="BN4" s="85">
        <f ca="1">YTj</f>
        <v>0</v>
      </c>
      <c r="BO4" s="85">
        <f ca="1">YTk</f>
        <v>0</v>
      </c>
      <c r="BP4" s="85">
        <f ca="1">YTl</f>
        <v>0</v>
      </c>
    </row>
    <row r="5" spans="2:104">
      <c r="W5" s="85" t="s">
        <v>113</v>
      </c>
      <c r="X5" s="85">
        <f ca="1">NTSM</f>
        <v>0</v>
      </c>
      <c r="Y5" s="87"/>
      <c r="AA5" s="213"/>
      <c r="AD5" s="85" t="s">
        <v>113</v>
      </c>
      <c r="AE5" s="85">
        <f ca="1">NT50J</f>
        <v>1</v>
      </c>
      <c r="AF5" s="87"/>
      <c r="AG5" s="13"/>
      <c r="AK5" s="85" t="s">
        <v>113</v>
      </c>
      <c r="AL5" s="85">
        <f ca="1">NTa</f>
        <v>0</v>
      </c>
      <c r="AM5" s="87"/>
      <c r="AP5" s="85" t="s">
        <v>113</v>
      </c>
      <c r="AQ5" s="85">
        <f ca="1">NTb</f>
        <v>0</v>
      </c>
      <c r="AT5" s="85" t="s">
        <v>113</v>
      </c>
      <c r="AU5" s="85">
        <f ca="1">NTc</f>
        <v>0</v>
      </c>
      <c r="AX5" s="85" t="s">
        <v>113</v>
      </c>
      <c r="AY5" s="85">
        <f ca="1">NTd</f>
        <v>0</v>
      </c>
      <c r="BB5" s="85" t="s">
        <v>113</v>
      </c>
      <c r="BC5" s="85">
        <f ca="1">NTe</f>
        <v>0</v>
      </c>
      <c r="BF5" s="85" t="s">
        <v>113</v>
      </c>
      <c r="BG5" s="85">
        <f ca="1">NTf</f>
        <v>0</v>
      </c>
      <c r="BH5" s="128"/>
      <c r="BI5" s="128"/>
      <c r="BJ5" s="85" t="s">
        <v>113</v>
      </c>
      <c r="BK5" s="85">
        <f ca="1">NTg</f>
        <v>0</v>
      </c>
      <c r="BL5" s="85">
        <f ca="1">NTh</f>
        <v>0</v>
      </c>
      <c r="BM5" s="85">
        <f ca="1">NTi</f>
        <v>0</v>
      </c>
      <c r="BN5" s="85">
        <f ca="1">NTj</f>
        <v>0</v>
      </c>
      <c r="BO5" s="85">
        <f ca="1">NTk</f>
        <v>0</v>
      </c>
      <c r="BP5" s="85">
        <f ca="1">NTl</f>
        <v>0</v>
      </c>
    </row>
    <row r="6" spans="2:104">
      <c r="B6" s="106" t="s">
        <v>212</v>
      </c>
      <c r="C6" s="118">
        <v>2</v>
      </c>
      <c r="D6" s="44" t="str">
        <f>CHOOSE(JRB,"무해지","유해지")</f>
        <v>유해지</v>
      </c>
      <c r="E6" s="44"/>
      <c r="G6" s="13" t="s">
        <v>77</v>
      </c>
      <c r="W6" s="82" t="s">
        <v>117</v>
      </c>
      <c r="X6" s="89" t="s">
        <v>119</v>
      </c>
      <c r="AA6" s="213"/>
      <c r="AD6" s="85" t="s">
        <v>117</v>
      </c>
      <c r="AE6" s="89">
        <f ca="1">BT50J</f>
        <v>0</v>
      </c>
      <c r="AF6" s="87"/>
      <c r="AG6" s="13"/>
      <c r="AK6" s="85" t="s">
        <v>117</v>
      </c>
      <c r="AL6" s="85">
        <f ca="1">BTa</f>
        <v>0</v>
      </c>
      <c r="AM6" s="87"/>
      <c r="AP6" s="85" t="s">
        <v>117</v>
      </c>
      <c r="AQ6" s="85">
        <f ca="1">BTb</f>
        <v>0</v>
      </c>
      <c r="AT6" s="85" t="s">
        <v>117</v>
      </c>
      <c r="AU6" s="85">
        <f ca="1">BTc</f>
        <v>0</v>
      </c>
      <c r="AX6" s="85" t="s">
        <v>117</v>
      </c>
      <c r="AY6" s="85">
        <f ca="1">BTd</f>
        <v>0</v>
      </c>
      <c r="BB6" s="85" t="s">
        <v>117</v>
      </c>
      <c r="BC6" s="85">
        <f ca="1">BTe</f>
        <v>0</v>
      </c>
      <c r="BF6" s="85" t="s">
        <v>117</v>
      </c>
      <c r="BG6" s="85">
        <f ca="1">BTf</f>
        <v>0</v>
      </c>
      <c r="BH6" s="128"/>
      <c r="BI6" s="128"/>
      <c r="BJ6" s="85" t="s">
        <v>117</v>
      </c>
      <c r="BK6" s="85">
        <f ca="1">BTg</f>
        <v>0</v>
      </c>
      <c r="BL6" s="85">
        <f ca="1">BTh</f>
        <v>0</v>
      </c>
      <c r="BM6" s="85">
        <f ca="1">BTi</f>
        <v>0</v>
      </c>
      <c r="BN6" s="85">
        <f ca="1">BTj</f>
        <v>0</v>
      </c>
      <c r="BO6" s="85">
        <f ca="1">BTk</f>
        <v>0</v>
      </c>
      <c r="BP6" s="85">
        <f ca="1">BTl</f>
        <v>0</v>
      </c>
    </row>
    <row r="7" spans="2:104">
      <c r="B7" s="106" t="str">
        <f>MAIN!B9</f>
        <v>형태</v>
      </c>
      <c r="C7" s="118">
        <f>MAIN!C9</f>
        <v>2</v>
      </c>
      <c r="D7" s="44" t="str">
        <f>CHOOSE(YHB,"만기환급형","순수형")</f>
        <v>순수형</v>
      </c>
      <c r="E7" s="44"/>
      <c r="F7" s="19"/>
      <c r="G7" s="122" t="s">
        <v>82</v>
      </c>
      <c r="H7" s="67">
        <v>0</v>
      </c>
      <c r="I7" s="67" t="s">
        <v>88</v>
      </c>
      <c r="J7" s="67" t="s">
        <v>12</v>
      </c>
      <c r="K7" s="19"/>
      <c r="W7" s="85" t="s">
        <v>111</v>
      </c>
      <c r="X7" s="85">
        <f ca="1">SSSM</f>
        <v>0</v>
      </c>
      <c r="Y7" s="87"/>
      <c r="AA7" s="213"/>
      <c r="AD7" s="85" t="s">
        <v>111</v>
      </c>
      <c r="AE7" s="85">
        <f ca="1">SS50J</f>
        <v>0</v>
      </c>
      <c r="AF7" s="87"/>
      <c r="AG7" s="13"/>
      <c r="AK7" s="85" t="s">
        <v>111</v>
      </c>
      <c r="AL7" s="85">
        <f ca="1">SSa</f>
        <v>1</v>
      </c>
      <c r="AM7" s="87"/>
      <c r="AP7" s="85" t="s">
        <v>111</v>
      </c>
      <c r="AQ7" s="85">
        <f ca="1">SSb</f>
        <v>0</v>
      </c>
      <c r="AT7" s="85" t="s">
        <v>111</v>
      </c>
      <c r="AU7" s="85">
        <f ca="1">SSc</f>
        <v>0</v>
      </c>
      <c r="AX7" s="85" t="s">
        <v>111</v>
      </c>
      <c r="AY7" s="258">
        <f ca="1">SSd</f>
        <v>0</v>
      </c>
      <c r="BB7" s="85" t="s">
        <v>111</v>
      </c>
      <c r="BC7" s="258">
        <f ca="1">SSe</f>
        <v>0</v>
      </c>
      <c r="BF7" s="85" t="s">
        <v>111</v>
      </c>
      <c r="BG7" s="258">
        <f ca="1">SSf</f>
        <v>0</v>
      </c>
      <c r="BH7" s="128"/>
      <c r="BI7" s="128"/>
      <c r="BJ7" s="85" t="s">
        <v>111</v>
      </c>
      <c r="BK7" s="258">
        <f ca="1">SSg</f>
        <v>0</v>
      </c>
      <c r="BL7" s="243" cm="1">
        <f t="array" aca="1" ref="BL7" ca="1">SSh</f>
        <v>0</v>
      </c>
      <c r="BM7" s="243">
        <f ca="1">SSi</f>
        <v>0</v>
      </c>
      <c r="BN7" s="243">
        <f ca="1">SSj</f>
        <v>0</v>
      </c>
      <c r="BO7" s="243">
        <f ca="1">SSk</f>
        <v>0</v>
      </c>
      <c r="BP7" s="243">
        <f ca="1">SSl</f>
        <v>0</v>
      </c>
    </row>
    <row r="8" spans="2:104">
      <c r="B8" s="106" t="s">
        <v>0</v>
      </c>
      <c r="C8" s="118">
        <f>sex</f>
        <v>1</v>
      </c>
      <c r="D8" s="44" t="str">
        <f>+IF(sexB=1,"남자","여자")</f>
        <v>남자</v>
      </c>
      <c r="E8" s="44"/>
      <c r="F8" s="16"/>
      <c r="G8" s="122" t="s">
        <v>17</v>
      </c>
      <c r="H8" s="22">
        <f ca="1">HLOOKUP($G8,기수표B,2,FALSE)</f>
        <v>100000</v>
      </c>
      <c r="I8" s="125">
        <f ca="1">HLOOKUP($G8,기수표B,mB+2,FALSE)</f>
        <v>64081.174459775852</v>
      </c>
      <c r="J8" s="125">
        <f ca="1">HLOOKUP($G8,기수표B,nB+2,FALSE)</f>
        <v>61291.902361237946</v>
      </c>
      <c r="K8" s="16"/>
      <c r="AG8" s="13"/>
      <c r="CH8" s="13" t="s">
        <v>54</v>
      </c>
      <c r="CJ8" s="13" t="s">
        <v>1012</v>
      </c>
      <c r="CL8" s="13" t="s">
        <v>1011</v>
      </c>
      <c r="CN8" s="13" t="s">
        <v>1013</v>
      </c>
      <c r="CQ8"/>
      <c r="CR8"/>
      <c r="CW8" s="13" t="s">
        <v>1020</v>
      </c>
      <c r="CX8" s="13">
        <f ca="1">ROUND(NGPB*S,0)</f>
        <v>24</v>
      </c>
    </row>
    <row r="9" spans="2:104">
      <c r="B9" s="106" t="s">
        <v>1</v>
      </c>
      <c r="C9" s="250">
        <f>MAIN!C11</f>
        <v>8</v>
      </c>
      <c r="D9" s="44"/>
      <c r="E9" s="44"/>
      <c r="F9" s="16"/>
      <c r="G9" s="122" t="s">
        <v>18</v>
      </c>
      <c r="H9" s="22">
        <f ca="1">HLOOKUP($G9,기수표B,2,FALSE)</f>
        <v>1820329.4833286363</v>
      </c>
      <c r="I9" s="125">
        <f ca="1">HLOOKUP($G9,기수표B,mB+2,FALSE)</f>
        <v>188044.09965254038</v>
      </c>
      <c r="J9" s="125">
        <f ca="1">HLOOKUP($G9,기수표B,nB+2,FALSE)</f>
        <v>61291.902361237946</v>
      </c>
      <c r="K9" s="16"/>
      <c r="N9" s="606" t="s">
        <v>15</v>
      </c>
      <c r="O9" s="607"/>
      <c r="P9" s="608"/>
      <c r="Q9" s="97"/>
      <c r="R9" s="622" t="s">
        <v>152</v>
      </c>
      <c r="S9" s="622" t="s">
        <v>7</v>
      </c>
      <c r="T9" s="629" t="s">
        <v>47</v>
      </c>
      <c r="U9" s="630"/>
      <c r="V9" s="631"/>
      <c r="W9" s="628" t="s">
        <v>48</v>
      </c>
      <c r="X9" s="628"/>
      <c r="Y9" s="628"/>
      <c r="Z9" s="628"/>
      <c r="AA9" s="628"/>
      <c r="AB9" s="612" t="s">
        <v>198</v>
      </c>
      <c r="AC9" s="614"/>
      <c r="AD9" s="628" t="s">
        <v>49</v>
      </c>
      <c r="AE9" s="628"/>
      <c r="AF9" s="628"/>
      <c r="AG9" s="628"/>
      <c r="AH9" s="628"/>
      <c r="AI9" s="612" t="s">
        <v>199</v>
      </c>
      <c r="AJ9" s="614"/>
      <c r="AK9" s="632" t="s">
        <v>147</v>
      </c>
      <c r="AL9" s="633"/>
      <c r="AM9" s="633"/>
      <c r="AN9" s="633"/>
      <c r="AO9" s="634"/>
      <c r="AP9" s="612" t="s">
        <v>148</v>
      </c>
      <c r="AQ9" s="613"/>
      <c r="AR9" s="613"/>
      <c r="AS9" s="614"/>
      <c r="AT9" s="612" t="s">
        <v>149</v>
      </c>
      <c r="AU9" s="613"/>
      <c r="AV9" s="613"/>
      <c r="AW9" s="614"/>
      <c r="AX9" s="612" t="s">
        <v>150</v>
      </c>
      <c r="AY9" s="613"/>
      <c r="AZ9" s="613"/>
      <c r="BA9" s="614"/>
      <c r="BB9" s="612" t="s">
        <v>151</v>
      </c>
      <c r="BC9" s="613"/>
      <c r="BD9" s="613"/>
      <c r="BE9" s="614"/>
      <c r="BF9" s="612" t="s">
        <v>177</v>
      </c>
      <c r="BG9" s="613"/>
      <c r="BH9" s="613"/>
      <c r="BI9" s="614"/>
      <c r="BJ9" s="612" t="s">
        <v>178</v>
      </c>
      <c r="BK9" s="613"/>
      <c r="BL9" s="613"/>
      <c r="BM9" s="614"/>
      <c r="BN9" s="612" t="s">
        <v>499</v>
      </c>
      <c r="BO9" s="613"/>
      <c r="BP9" s="613"/>
      <c r="BQ9" s="614"/>
      <c r="BR9" s="612" t="s">
        <v>500</v>
      </c>
      <c r="BS9" s="613"/>
      <c r="BT9" s="613"/>
      <c r="BU9" s="614"/>
      <c r="BV9" s="612" t="s">
        <v>501</v>
      </c>
      <c r="BW9" s="613"/>
      <c r="BX9" s="613"/>
      <c r="BY9" s="614"/>
      <c r="BZ9" s="612" t="s">
        <v>502</v>
      </c>
      <c r="CA9" s="613"/>
      <c r="CB9" s="613"/>
      <c r="CC9" s="614"/>
      <c r="CD9" s="612" t="s">
        <v>503</v>
      </c>
      <c r="CE9" s="613"/>
      <c r="CF9" s="613"/>
      <c r="CG9" s="614"/>
      <c r="CH9" s="468" t="s">
        <v>89</v>
      </c>
      <c r="CI9" s="295" t="s">
        <v>1009</v>
      </c>
      <c r="CJ9" s="93" t="s">
        <v>1010</v>
      </c>
      <c r="CK9" s="93"/>
      <c r="CL9" s="93" t="s">
        <v>1010</v>
      </c>
      <c r="CM9" s="93"/>
      <c r="CN9" s="93"/>
      <c r="CO9" s="298"/>
      <c r="CP9" s="625" t="s">
        <v>540</v>
      </c>
      <c r="CQ9" s="626"/>
      <c r="CR9" s="627"/>
      <c r="CS9" s="93" t="s">
        <v>22</v>
      </c>
      <c r="CT9" s="93"/>
    </row>
    <row r="10" spans="2:104">
      <c r="B10" s="106" t="s">
        <v>2</v>
      </c>
      <c r="C10" s="250">
        <f>MAIN!C12</f>
        <v>30</v>
      </c>
      <c r="D10" s="120" t="str">
        <f>MAIN!D12</f>
        <v>세만기</v>
      </c>
      <c r="E10" s="44"/>
      <c r="F10" s="16"/>
      <c r="G10" s="122" t="s">
        <v>51</v>
      </c>
      <c r="H10" s="22">
        <f ca="1">HLOOKUP($G10,기수표B,2,FALSE)</f>
        <v>100000</v>
      </c>
      <c r="I10" s="125">
        <f ca="1">HLOOKUP($G10,기수표B,mB+2,FALSE)</f>
        <v>64038.829975600253</v>
      </c>
      <c r="J10" s="125">
        <f ca="1">HLOOKUP($G10,기수표B,nB+2,FALSE)</f>
        <v>61244.847287966586</v>
      </c>
      <c r="K10" s="16"/>
      <c r="N10" s="35" t="s">
        <v>12</v>
      </c>
      <c r="O10" s="35" t="s">
        <v>13</v>
      </c>
      <c r="P10" s="35" t="s">
        <v>14</v>
      </c>
      <c r="Q10" s="97"/>
      <c r="R10" s="623"/>
      <c r="S10" s="623"/>
      <c r="T10" s="469" t="s">
        <v>58</v>
      </c>
      <c r="U10" s="470" t="s">
        <v>126</v>
      </c>
      <c r="V10" s="471" t="s">
        <v>10</v>
      </c>
      <c r="W10" s="469" t="s">
        <v>11</v>
      </c>
      <c r="X10" s="469" t="s">
        <v>53</v>
      </c>
      <c r="Y10" s="469" t="s">
        <v>184</v>
      </c>
      <c r="Z10" s="470" t="s">
        <v>17</v>
      </c>
      <c r="AA10" s="470" t="s">
        <v>18</v>
      </c>
      <c r="AB10" s="35" t="s">
        <v>61</v>
      </c>
      <c r="AC10" s="35" t="s">
        <v>54</v>
      </c>
      <c r="AD10" s="469" t="s">
        <v>50</v>
      </c>
      <c r="AE10" s="469" t="s">
        <v>124</v>
      </c>
      <c r="AF10" s="469" t="s">
        <v>185</v>
      </c>
      <c r="AG10" s="470" t="s">
        <v>51</v>
      </c>
      <c r="AH10" s="470" t="s">
        <v>52</v>
      </c>
      <c r="AI10" s="35"/>
      <c r="AJ10" s="35"/>
      <c r="AK10" s="470" t="s">
        <v>127</v>
      </c>
      <c r="AL10" s="470" t="s">
        <v>128</v>
      </c>
      <c r="AM10" s="470" t="s">
        <v>544</v>
      </c>
      <c r="AN10" s="472" t="s">
        <v>129</v>
      </c>
      <c r="AO10" s="472" t="s">
        <v>130</v>
      </c>
      <c r="AP10" s="35" t="s">
        <v>131</v>
      </c>
      <c r="AQ10" s="35" t="s">
        <v>132</v>
      </c>
      <c r="AR10" s="152" t="s">
        <v>133</v>
      </c>
      <c r="AS10" s="152" t="s">
        <v>134</v>
      </c>
      <c r="AT10" s="35" t="s">
        <v>135</v>
      </c>
      <c r="AU10" s="35" t="s">
        <v>136</v>
      </c>
      <c r="AV10" s="135" t="s">
        <v>137</v>
      </c>
      <c r="AW10" s="135" t="s">
        <v>138</v>
      </c>
      <c r="AX10" s="35" t="s">
        <v>139</v>
      </c>
      <c r="AY10" s="35" t="s">
        <v>140</v>
      </c>
      <c r="AZ10" s="136" t="s">
        <v>141</v>
      </c>
      <c r="BA10" s="136" t="s">
        <v>142</v>
      </c>
      <c r="BB10" s="35" t="s">
        <v>143</v>
      </c>
      <c r="BC10" s="35" t="s">
        <v>144</v>
      </c>
      <c r="BD10" s="135" t="s">
        <v>145</v>
      </c>
      <c r="BE10" s="135" t="s">
        <v>146</v>
      </c>
      <c r="BF10" s="35" t="s">
        <v>169</v>
      </c>
      <c r="BG10" s="35" t="s">
        <v>170</v>
      </c>
      <c r="BH10" s="135" t="s">
        <v>171</v>
      </c>
      <c r="BI10" s="135" t="s">
        <v>172</v>
      </c>
      <c r="BJ10" s="35" t="s">
        <v>173</v>
      </c>
      <c r="BK10" s="35" t="s">
        <v>174</v>
      </c>
      <c r="BL10" s="135" t="s">
        <v>175</v>
      </c>
      <c r="BM10" s="135" t="s">
        <v>176</v>
      </c>
      <c r="BN10" s="35" t="s">
        <v>504</v>
      </c>
      <c r="BO10" s="35" t="s">
        <v>505</v>
      </c>
      <c r="BP10" s="135" t="s">
        <v>506</v>
      </c>
      <c r="BQ10" s="135" t="s">
        <v>507</v>
      </c>
      <c r="BR10" s="35" t="s">
        <v>508</v>
      </c>
      <c r="BS10" s="35" t="s">
        <v>509</v>
      </c>
      <c r="BT10" s="135" t="s">
        <v>510</v>
      </c>
      <c r="BU10" s="135" t="s">
        <v>511</v>
      </c>
      <c r="BV10" s="35" t="s">
        <v>512</v>
      </c>
      <c r="BW10" s="35" t="s">
        <v>513</v>
      </c>
      <c r="BX10" s="135" t="s">
        <v>514</v>
      </c>
      <c r="BY10" s="135" t="s">
        <v>515</v>
      </c>
      <c r="BZ10" s="35" t="s">
        <v>516</v>
      </c>
      <c r="CA10" s="35" t="s">
        <v>517</v>
      </c>
      <c r="CB10" s="135" t="s">
        <v>518</v>
      </c>
      <c r="CC10" s="135" t="s">
        <v>519</v>
      </c>
      <c r="CD10" s="35" t="s">
        <v>520</v>
      </c>
      <c r="CE10" s="35" t="s">
        <v>521</v>
      </c>
      <c r="CF10" s="135" t="s">
        <v>522</v>
      </c>
      <c r="CG10" s="135" t="s">
        <v>523</v>
      </c>
      <c r="CH10" s="34"/>
      <c r="CI10" s="295" t="s">
        <v>25</v>
      </c>
      <c r="CJ10" s="93" t="s">
        <v>26</v>
      </c>
      <c r="CK10" s="93" t="s">
        <v>535</v>
      </c>
      <c r="CL10" s="93" t="s">
        <v>538</v>
      </c>
      <c r="CM10" s="93" t="s">
        <v>539</v>
      </c>
      <c r="CN10" s="93" t="s">
        <v>27</v>
      </c>
      <c r="CO10" s="93" t="s">
        <v>543</v>
      </c>
      <c r="CP10" s="93" t="s">
        <v>23</v>
      </c>
      <c r="CQ10" s="93" t="s">
        <v>24</v>
      </c>
      <c r="CR10" s="93" t="s">
        <v>40</v>
      </c>
      <c r="CS10" s="93" t="s">
        <v>21</v>
      </c>
      <c r="CT10" s="93" t="s">
        <v>153</v>
      </c>
      <c r="CV10" s="13" t="s">
        <v>980</v>
      </c>
      <c r="CW10" s="13" t="s">
        <v>1019</v>
      </c>
      <c r="CX10" s="13" t="s">
        <v>1014</v>
      </c>
      <c r="CY10" s="13" t="s">
        <v>1021</v>
      </c>
      <c r="CZ10" s="13" t="s">
        <v>1022</v>
      </c>
    </row>
    <row r="11" spans="2:104">
      <c r="B11" s="106" t="s">
        <v>232</v>
      </c>
      <c r="C11" s="250">
        <f>+IF(D10="년만기",C10,C10-xB)</f>
        <v>22</v>
      </c>
      <c r="D11" s="44" t="s">
        <v>234</v>
      </c>
      <c r="E11" s="119"/>
      <c r="F11" s="15"/>
      <c r="G11" s="122" t="s">
        <v>52</v>
      </c>
      <c r="H11" s="22">
        <f ca="1">HLOOKUP($G11,기수표B,2,FALSE)</f>
        <v>1819842.6262510212</v>
      </c>
      <c r="I11" s="125">
        <f ca="1">HLOOKUP($G11,기수표B,mB+2,FALSE)</f>
        <v>187909.9680619429</v>
      </c>
      <c r="J11" s="125">
        <f ca="1">HLOOKUP($G11,기수표B,nB+2,FALSE)</f>
        <v>61244.847287966586</v>
      </c>
      <c r="K11" s="15"/>
      <c r="N11" s="62"/>
      <c r="O11" s="62"/>
      <c r="P11" s="62"/>
      <c r="Q11" s="97"/>
      <c r="R11" s="624"/>
      <c r="S11" s="624"/>
      <c r="T11" s="469">
        <f ca="1">QQSM</f>
        <v>0</v>
      </c>
      <c r="U11" s="470" t="str">
        <f ca="1">QQ50J</f>
        <v>qx_ad50%</v>
      </c>
      <c r="V11" s="471" t="s">
        <v>123</v>
      </c>
      <c r="W11" s="469"/>
      <c r="X11" s="469">
        <f ca="1">QQSM</f>
        <v>0</v>
      </c>
      <c r="Y11" s="469"/>
      <c r="Z11" s="470" t="s">
        <v>17</v>
      </c>
      <c r="AA11" s="470" t="s">
        <v>18</v>
      </c>
      <c r="AB11" s="35" t="s">
        <v>61</v>
      </c>
      <c r="AC11" s="35" t="s">
        <v>54</v>
      </c>
      <c r="AD11" s="469"/>
      <c r="AE11" s="469" t="str">
        <f ca="1">QQ50J</f>
        <v>qx_ad50%</v>
      </c>
      <c r="AF11" s="469"/>
      <c r="AG11" s="470" t="s">
        <v>51</v>
      </c>
      <c r="AH11" s="470" t="s">
        <v>52</v>
      </c>
      <c r="AI11" s="176" t="s">
        <v>201</v>
      </c>
      <c r="AJ11" s="35" t="s">
        <v>202</v>
      </c>
      <c r="AK11" s="473"/>
      <c r="AL11" s="473" t="str">
        <f ca="1">QQa</f>
        <v>qx_am2</v>
      </c>
      <c r="AM11" s="473"/>
      <c r="AN11" s="472"/>
      <c r="AO11" s="472"/>
      <c r="AP11" s="147"/>
      <c r="AQ11" s="147">
        <f ca="1">QQb</f>
        <v>0</v>
      </c>
      <c r="AR11" s="152"/>
      <c r="AS11" s="152"/>
      <c r="AT11" s="147"/>
      <c r="AU11" s="148">
        <f ca="1">QQc</f>
        <v>0</v>
      </c>
      <c r="AV11" s="135"/>
      <c r="AW11" s="135"/>
      <c r="AX11" s="148"/>
      <c r="AY11" s="148">
        <f ca="1">QQd</f>
        <v>0</v>
      </c>
      <c r="AZ11" s="136"/>
      <c r="BA11" s="136"/>
      <c r="BB11" s="148"/>
      <c r="BC11" s="148">
        <f ca="1">QQe</f>
        <v>0</v>
      </c>
      <c r="BD11" s="135"/>
      <c r="BE11" s="135"/>
      <c r="BF11" s="148"/>
      <c r="BG11" s="148">
        <f ca="1">QQf</f>
        <v>0</v>
      </c>
      <c r="BH11" s="135"/>
      <c r="BI11" s="135"/>
      <c r="BJ11" s="148"/>
      <c r="BK11" s="148">
        <f ca="1">QQg</f>
        <v>0</v>
      </c>
      <c r="BL11" s="135"/>
      <c r="BM11" s="135"/>
      <c r="BN11" s="148"/>
      <c r="BO11" s="148">
        <f ca="1">QQh</f>
        <v>0</v>
      </c>
      <c r="BP11" s="135"/>
      <c r="BQ11" s="135"/>
      <c r="BR11" s="148"/>
      <c r="BS11" s="148">
        <f ca="1">QQi</f>
        <v>0</v>
      </c>
      <c r="BT11" s="135"/>
      <c r="BU11" s="135"/>
      <c r="BV11" s="148"/>
      <c r="BW11" s="148">
        <f ca="1">QQj</f>
        <v>0</v>
      </c>
      <c r="BX11" s="135"/>
      <c r="BY11" s="135"/>
      <c r="BZ11" s="148"/>
      <c r="CA11" s="148">
        <f ca="1">QQk</f>
        <v>0</v>
      </c>
      <c r="CB11" s="135"/>
      <c r="CC11" s="135"/>
      <c r="CD11" s="148"/>
      <c r="CE11" s="148">
        <f ca="1">QQl</f>
        <v>0</v>
      </c>
      <c r="CF11" s="135"/>
      <c r="CG11" s="135"/>
      <c r="CH11" s="468" t="s">
        <v>93</v>
      </c>
      <c r="CI11" s="296" t="s">
        <v>541</v>
      </c>
      <c r="CJ11" s="149"/>
      <c r="CK11" s="149"/>
      <c r="CL11" s="149"/>
      <c r="CM11" s="149"/>
      <c r="CN11" s="93" t="s">
        <v>27</v>
      </c>
      <c r="CO11" s="149"/>
      <c r="CP11" s="149"/>
      <c r="CQ11" s="149"/>
      <c r="CR11" s="149"/>
      <c r="CS11" s="149"/>
      <c r="CT11" s="149"/>
    </row>
    <row r="12" spans="2:104">
      <c r="B12" s="106" t="s">
        <v>3</v>
      </c>
      <c r="C12" s="474">
        <f>MIN(nB,20)</f>
        <v>20</v>
      </c>
      <c r="D12" s="44" t="s">
        <v>233</v>
      </c>
      <c r="E12" s="119"/>
      <c r="F12" s="15"/>
      <c r="G12" s="123" t="s">
        <v>42</v>
      </c>
      <c r="H12" s="139">
        <f ca="1">H9-J9</f>
        <v>1759037.5809673984</v>
      </c>
      <c r="I12" s="21"/>
      <c r="K12" s="21"/>
      <c r="L12" s="241"/>
      <c r="M12" s="242"/>
      <c r="N12" s="4">
        <v>0</v>
      </c>
      <c r="O12" s="1">
        <f t="shared" ref="O12" ca="1" si="15">+(1+iB)^-N12</f>
        <v>1</v>
      </c>
      <c r="P12" s="11">
        <f t="shared" ref="P12" ca="1" si="16">+(1+iB)^-(N12+0.5)</f>
        <v>0.98893635286829751</v>
      </c>
      <c r="Q12" s="98"/>
      <c r="R12" s="20">
        <v>0</v>
      </c>
      <c r="S12" s="20">
        <f t="shared" ref="S12" si="17">+IF(xB+R12&lt;=xB+nB,xB+R12,"")</f>
        <v>8</v>
      </c>
      <c r="T12" s="2">
        <f t="shared" ref="T12:U12" ca="1" si="18">IFERROR(VLOOKUP($S12,qx_table,MATCH(T$11,qx_title,0)+sexB),0)</f>
        <v>0</v>
      </c>
      <c r="U12" s="2">
        <f t="shared" ca="1" si="18"/>
        <v>1.9000000000000001E-5</v>
      </c>
      <c r="V12" s="300">
        <v>0</v>
      </c>
      <c r="W12" s="8">
        <f>IF(R12=0,100000,IF(R12&gt;nB,0,W11*(1-X11)*(1-Y11)))</f>
        <v>100000</v>
      </c>
      <c r="X12" s="10">
        <f t="shared" ref="X12:X75" ca="1" si="19">1-IFERROR((1-YTSM*$T12)*(1-V12*(1-T12/2)/(1-T12)),0)</f>
        <v>0</v>
      </c>
      <c r="Y12" s="92">
        <f ca="1">IFERROR(1-(1-YT50J*U12*(1-T12/2)/(1-T12))*(1-YTa*AL12*(1-T12/2)/(1-T12))*(1-YTb*AQ12*(1-T12/2)/(1-T12))*(1-YTc*AU12*(1-T12/2)/(1-T12)),0)</f>
        <v>2.2232200003191593E-7</v>
      </c>
      <c r="Z12" s="8">
        <f ca="1">+W12*$O12</f>
        <v>100000</v>
      </c>
      <c r="AA12" s="8">
        <f ca="1">+SUM(Z12:Z$124)</f>
        <v>1820329.4833286363</v>
      </c>
      <c r="AB12" s="8">
        <f t="shared" ref="AB12:AB75" ca="1" si="20">W12*X12*P12</f>
        <v>0</v>
      </c>
      <c r="AC12" s="209">
        <f ca="1">+SUM(AB12:AB$124)*SSSM</f>
        <v>0</v>
      </c>
      <c r="AD12" s="209">
        <f>+$W$12</f>
        <v>100000</v>
      </c>
      <c r="AE12" s="92">
        <f t="shared" ref="AE12:AE75" ca="1" si="21">1-IFERROR((1-NT50J*U12*(1-T12/2)/(1-T12)),0)</f>
        <v>1.8999999999991246E-5</v>
      </c>
      <c r="AF12" s="92">
        <f t="shared" ref="AF12:AF75" ca="1" si="22">IFERROR(1-(1-NTa*AL12*(1-T12/2)/(1-T12))*(1-NTb*AQ12*(1-T12/2)/(1-T12))*(1-NTc*AU12*(1-T12/2)/(1-T12)),0)</f>
        <v>0</v>
      </c>
      <c r="AG12" s="8">
        <f t="shared" ref="AG12:AG75" ca="1" si="23">+AD12*$O12</f>
        <v>100000</v>
      </c>
      <c r="AH12" s="5">
        <f ca="1">+SUM(AG12:AG$124)</f>
        <v>1819842.6262510212</v>
      </c>
      <c r="AI12" s="70">
        <f t="shared" ref="AI12:AI75" ca="1" si="24">AD12*AE12*P12</f>
        <v>1.8789790704488996</v>
      </c>
      <c r="AJ12" s="208">
        <f ca="1">+SUM(AB12:AB$124)*SS50J</f>
        <v>0</v>
      </c>
      <c r="AK12" s="209">
        <v>100000</v>
      </c>
      <c r="AL12" s="257">
        <f t="shared" ref="AL12" ca="1" si="25">IFERROR(VLOOKUP($S12,qx_table,MATCH(AL$11,qx_title,0)+sexB),0)</f>
        <v>2.2232199999999997E-7</v>
      </c>
      <c r="AM12" s="131">
        <f ca="1">AK12*O12</f>
        <v>100000</v>
      </c>
      <c r="AN12" s="129">
        <f ca="1">AK12*AL12*(1-CHOOSE(JRB,1,0)*$V12/2)*$P12*IF(cost_location=0,1,MCa)</f>
        <v>1.0993115392119281E-2</v>
      </c>
      <c r="AO12" s="129">
        <f ca="1">SUM(AN12:AN$124)*SSa</f>
        <v>0.71519897440659197</v>
      </c>
      <c r="AP12" s="70">
        <v>100000</v>
      </c>
      <c r="AQ12" s="2">
        <f t="shared" ref="AQ12" ca="1" si="26">IFERROR(VLOOKUP($S12,qx_table,MATCH(AQ$11,qx_title,0)+sexB),0)</f>
        <v>0</v>
      </c>
      <c r="AR12" s="127">
        <f ca="1">AP12*AQ12*(1-CHOOSE(JRB,1,0)*$V12/2)*$P12*IF(cost_location=0,1,MCb)</f>
        <v>0</v>
      </c>
      <c r="AS12" s="127">
        <f ca="1">SUM(AR12:AR$124)*SSb</f>
        <v>0</v>
      </c>
      <c r="AT12" s="70">
        <v>100000</v>
      </c>
      <c r="AU12" s="2">
        <f t="shared" ref="AU12" ca="1" si="27">IFERROR(VLOOKUP($S12,qx_table,MATCH(AU$11,qx_title,0)+sexB),0)</f>
        <v>0</v>
      </c>
      <c r="AV12" s="268">
        <f ca="1">AT12*AU12*(1-CHOOSE(JRB,1,0)*$V12/2)*$P12*IF(cost_location=0,1,MCc)</f>
        <v>0</v>
      </c>
      <c r="AW12" s="131">
        <f ca="1">SUM(AV12:AV$124)*SSc</f>
        <v>0</v>
      </c>
      <c r="AX12" s="70">
        <v>100000</v>
      </c>
      <c r="AY12" s="2">
        <f t="shared" ref="AY12" ca="1" si="28">IFERROR(VLOOKUP($S12,qx_table,MATCH(AY$11,qx_title,0)+sexB),0)</f>
        <v>0</v>
      </c>
      <c r="AZ12" s="268">
        <f ca="1">AX12*AY12*(1-CHOOSE(JRB,1,0)*$V12/2)*$P12*IF(cost_location=0,1,MCd)</f>
        <v>0</v>
      </c>
      <c r="BA12" s="129">
        <f ca="1">SUM(AZ12:AZ$124)*SSd</f>
        <v>0</v>
      </c>
      <c r="BB12" s="70">
        <v>100000</v>
      </c>
      <c r="BC12" s="257">
        <f t="shared" ref="BC12" ca="1" si="29">IFERROR(VLOOKUP($S12,qx_table,MATCH(BC$11,qx_title,0)+sexB),0)</f>
        <v>0</v>
      </c>
      <c r="BD12" s="268">
        <f ca="1">BB12*BC12*(1-CHOOSE(JRB,1,0)*$V12/2)*$P12*IF(cost_location=0,1,MCe)</f>
        <v>0</v>
      </c>
      <c r="BE12" s="131">
        <f ca="1">SUM(BD12:BD$124)*SSe</f>
        <v>0</v>
      </c>
      <c r="BF12" s="70">
        <v>100000</v>
      </c>
      <c r="BG12" s="2">
        <f t="shared" ref="BG12" ca="1" si="30">IFERROR(VLOOKUP($S12,qx_table,MATCH(BG$11,qx_title,0)+sexB),0)</f>
        <v>0</v>
      </c>
      <c r="BH12" s="131">
        <f ca="1">BF12*BG12*(1-CHOOSE(JRB,1,0)*$V12/2)*$P12*IF(cost_location=0,1,MCf)</f>
        <v>0</v>
      </c>
      <c r="BI12" s="2">
        <f ca="1">SUM(BH12:BH$124)*SSf</f>
        <v>0</v>
      </c>
      <c r="BJ12" s="70">
        <v>100000</v>
      </c>
      <c r="BK12" s="2">
        <f t="shared" ref="BK12" ca="1" si="31">IFERROR(VLOOKUP($S12,qx_table,MATCH(BK$11,qx_title,0)+sexB),0)</f>
        <v>0</v>
      </c>
      <c r="BL12" s="131">
        <f ca="1">BJ12*BK12*(1-CHOOSE(JRB,1,0)*$V12/2)*$P12*IF(cost_location=0,1,MCg)</f>
        <v>0</v>
      </c>
      <c r="BM12" s="131">
        <f ca="1">SUM(BL12:BL$124)*SSg</f>
        <v>0</v>
      </c>
      <c r="BN12" s="70">
        <v>100000</v>
      </c>
      <c r="BO12" s="2">
        <f t="shared" ref="BO12" ca="1" si="32">IFERROR(VLOOKUP($S12,qx_table,MATCH(BO$11,qx_title,0)+sexB),0)</f>
        <v>0</v>
      </c>
      <c r="BP12" s="131">
        <f ca="1">BN12*BO12*(1-CHOOSE(JRB,1,0)*$V12/2)*$P12*IF(cost_location=0,1,MCh)</f>
        <v>0</v>
      </c>
      <c r="BQ12" s="131">
        <f ca="1">SUM(BP12:BP$124)*SSh</f>
        <v>0</v>
      </c>
      <c r="BR12" s="70">
        <v>100000</v>
      </c>
      <c r="BS12" s="2">
        <f t="shared" ref="BS12" ca="1" si="33">IFERROR(VLOOKUP($S12,qx_table,MATCH(BS$11,qx_title,0)+sexB),0)*IF(R12=0,MCi,1)</f>
        <v>0</v>
      </c>
      <c r="BT12" s="131">
        <f ca="1">BR12*BS12*(1-CHOOSE(JRB,1,0)*$V12/2)*$P12*IF(cost_location=0,1,MCi)</f>
        <v>0</v>
      </c>
      <c r="BU12" s="131">
        <f ca="1">SUM(BT12:BT$124)*SSi</f>
        <v>0</v>
      </c>
      <c r="BV12" s="70">
        <v>100000</v>
      </c>
      <c r="BW12" s="2">
        <f t="shared" ref="BW12" ca="1" si="34">IFERROR(VLOOKUP($S12,qx_table,MATCH(BW$11,qx_title,0)+sexB),0)</f>
        <v>0</v>
      </c>
      <c r="BX12" s="131">
        <f ca="1">BV12*BW12*(1-CHOOSE(JRB,1,0)*$V12/2)*$P12*IF(cost_location=0,1,MCj)</f>
        <v>0</v>
      </c>
      <c r="BY12" s="131">
        <f ca="1">SUM(BX12:BX$124)*SSj</f>
        <v>0</v>
      </c>
      <c r="BZ12" s="70">
        <v>100000</v>
      </c>
      <c r="CA12" s="2">
        <f t="shared" ref="CA12" ca="1" si="35">IFERROR(VLOOKUP($S12,qx_table,MATCH(CA$11,qx_title,0)+sexB),0)</f>
        <v>0</v>
      </c>
      <c r="CB12" s="131">
        <f ca="1">BZ12*CA12*(1-CHOOSE(JRB,1,0)*$V12/2)*$P12*IF(cost_location=0,1,MCk)</f>
        <v>0</v>
      </c>
      <c r="CC12" s="131">
        <f ca="1">SUM(CB12:CB$124)*SSk</f>
        <v>0</v>
      </c>
      <c r="CD12" s="70">
        <v>100000</v>
      </c>
      <c r="CE12" s="2">
        <f t="shared" ref="CE12" ca="1" si="36">IFERROR(VLOOKUP($S12,qx_table,MATCH(CE$11,qx_title,0)+sexB),0)</f>
        <v>0</v>
      </c>
      <c r="CF12" s="131">
        <f ca="1">CD12*CE12*(1-CHOOSE(JRB,1,0)*$V12/2)*$P12*IF(cost_location=0,1,MCl)</f>
        <v>0</v>
      </c>
      <c r="CG12" s="131">
        <f ca="1">SUM(CF12:CF$124)*SSl</f>
        <v>0</v>
      </c>
      <c r="CH12" s="101">
        <f ca="1">AC12+AJ12+AO12+AS12+AW12+BA12+BE12+BI12+BM12+BQ12+BU12+BY12+CC12+CG12</f>
        <v>0.71519897440659197</v>
      </c>
      <c r="CI12" s="154">
        <f t="shared" ref="CI12:CI43" ca="1" si="37">MAX((VLOOKUP(xB+R12,기수표B,$CH$1)-VLOOKUP(xB+nB,기수표B,$CH$1)),0)</f>
        <v>0.66570029845010426</v>
      </c>
      <c r="CJ12" s="32">
        <f t="shared" ref="CJ12:CJ75" ca="1" si="38">+MAX(VLOOKUP(xB+$R12,기수표B,$AH$1)-VLOOKUP(xB+mB,기수표B,$AH$1),0)</f>
        <v>1631932.6581890783</v>
      </c>
      <c r="CK12" s="32">
        <f ca="1">+MAX(VLOOKUP(xB+$R12,기수표B,$AH$1)-VLOOKUP(xB+mB,기수표B,$AH$1)-11/24*(VLOOKUP(xB+$R12,기수표B,$AG$1)-VLOOKUP(xB+mB,기수표B,$AG$1)),0)</f>
        <v>1615450.4552612284</v>
      </c>
      <c r="CL12" s="32">
        <f t="shared" ref="CL12" ca="1" si="39">+MAX(VLOOKUP(xB+$R12,기수표B,$AA$1)-VLOOKUP(xB+mB,기수표B,$AA$1),0)</f>
        <v>1632285.3836760959</v>
      </c>
      <c r="CM12" s="32">
        <f t="shared" ref="CM12" ca="1" si="40">+MAX(VLOOKUP(xB+$R12,기수표B,$AA$1)-VLOOKUP(xB+mB,기수표B,$AA$1)-11/24*(VLOOKUP(xB+$R12,기수표B,$AA$1)-VLOOKUP(xB+mB,기수표B,$AA$1)),0)</f>
        <v>884154.58282455197</v>
      </c>
      <c r="CN12" s="32">
        <f t="shared" ref="CN12:CN43" ca="1" si="41">IF(R12&gt;nB,0,VLOOKUP(xB+MAX($R12,mB),기수표B,$AA$1)-VLOOKUP(xB+nB,기수표B,$AA$1))</f>
        <v>126752.19729130244</v>
      </c>
      <c r="CO12" s="32">
        <f t="shared" ref="CO12:CO43" ca="1" si="42">IF(JRB=1,mmB*L$25*$CK12,H$35*$CJ12)</f>
        <v>0.79245249574140664</v>
      </c>
      <c r="CP12" s="259">
        <f t="shared" ref="CP12:CP43" ca="1" si="43">ROUND(IF($R12&gt;nB,0,$CR12-MAX($CT12-$R12,0)/$CT12*$C$31),roundB)</f>
        <v>-2.9999999999999999E-7</v>
      </c>
      <c r="CQ12" s="262">
        <f t="shared" ref="CQ12:CQ43" ca="1" si="44">+IF(JRB=1,CP12,MAX(0,ROUND(IF($R12&gt;nB,0,CR12-MAX($CT12-$R12,0)/$CT12*$C$33),round)))</f>
        <v>0</v>
      </c>
      <c r="CR12" s="259">
        <f t="shared" ref="CR12:CR43" ca="1" si="45">(CI12+BETAD_SB*$CN12-CO12)/Z12</f>
        <v>1.1102230246251566E-21</v>
      </c>
      <c r="CS12" s="259">
        <f t="shared" ref="CS12:CS43" ca="1" si="46">+$H$29*mmB*MIN(R12,mB)</f>
        <v>0</v>
      </c>
      <c r="CT12" s="31">
        <f t="shared" ref="CT12" si="47">+MIN(mB,7)</f>
        <v>7</v>
      </c>
      <c r="CV12" s="13">
        <v>0</v>
      </c>
      <c r="CW12" s="477">
        <f t="shared" ref="CW12:CW43" ca="1" si="48">$CX$8*MIN(mB,CV12)</f>
        <v>0</v>
      </c>
      <c r="CX12" s="477">
        <f t="shared" ref="CX12:CX43" ca="1" si="49">ROUND(CR12*S,0)</f>
        <v>0</v>
      </c>
      <c r="CY12" s="477">
        <f t="shared" ref="CY12:CY43" ca="1" si="50">MAX(ROUND(CP12*S,0),0)</f>
        <v>0</v>
      </c>
      <c r="CZ12" s="478" t="e">
        <f ca="1">ROUNDDOWN(CY12/CW12,3)</f>
        <v>#DIV/0!</v>
      </c>
    </row>
    <row r="13" spans="2:104">
      <c r="B13" s="106" t="s">
        <v>4</v>
      </c>
      <c r="C13" s="118">
        <v>1</v>
      </c>
      <c r="D13" s="44" t="str">
        <f>CHOOSE(mmB,"년납","6월납",,"3월납",,,,,,,,"월납")</f>
        <v>년납</v>
      </c>
      <c r="F13" s="21"/>
      <c r="G13" s="122" t="s">
        <v>20</v>
      </c>
      <c r="H13" s="23">
        <f ca="1">I9-J9</f>
        <v>126752.19729130244</v>
      </c>
      <c r="I13" s="69"/>
      <c r="J13" s="69"/>
      <c r="M13" s="242"/>
      <c r="N13" s="5">
        <f>+N12+1</f>
        <v>1</v>
      </c>
      <c r="O13" s="2">
        <f t="shared" ref="O13" ca="1" si="51">+(1+iB)^-N13</f>
        <v>0.97799511002444994</v>
      </c>
      <c r="P13" s="12">
        <f t="shared" ref="P13" ca="1" si="52">+(1+iB)^-(N13+0.5)</f>
        <v>0.96717491723060878</v>
      </c>
      <c r="Q13" s="98"/>
      <c r="R13" s="20">
        <f>R12+1</f>
        <v>1</v>
      </c>
      <c r="S13" s="20">
        <f t="shared" ref="S13" si="53">+IF(xB+R13&lt;=xB+nB,xB+R13,"")</f>
        <v>9</v>
      </c>
      <c r="T13" s="2">
        <f t="shared" ref="T13:U13" ca="1" si="54">IFERROR(VLOOKUP($S13,qx_table,MATCH(T$11,qx_title,0)+sexB),0)</f>
        <v>0</v>
      </c>
      <c r="U13" s="2">
        <f t="shared" ca="1" si="54"/>
        <v>1.8E-5</v>
      </c>
      <c r="V13" s="300">
        <v>0</v>
      </c>
      <c r="W13" s="8">
        <f t="shared" ref="W13" ca="1" si="55">IF(R13=0,100000,IF(R13&gt;nB,0,W12*(1-X12)*(1-Y12)))</f>
        <v>99999.977767799995</v>
      </c>
      <c r="X13" s="10">
        <f t="shared" ca="1" si="19"/>
        <v>0</v>
      </c>
      <c r="Y13" s="92">
        <f t="shared" ref="Y13:Y75" ca="1" si="56">IFERROR(1-(1-YT50J*U13*(1-T13/2)/(1-T13))*(1-YTa*AL13*(1-T13/2)/(1-T13))*(1-YTb*AQ13*(1-T13/2)/(1-T13))*(1-YTc*AU13*(1-T13/2)/(1-T13)),0)</f>
        <v>2.2947800004669006E-7</v>
      </c>
      <c r="Z13" s="8">
        <f ca="1">+W13*O13</f>
        <v>97799.489259462105</v>
      </c>
      <c r="AA13" s="8">
        <f ca="1">+SUM(Z13:Z$124)</f>
        <v>1720329.4833286363</v>
      </c>
      <c r="AB13" s="8">
        <f t="shared" ca="1" si="20"/>
        <v>0</v>
      </c>
      <c r="AC13" s="209">
        <f ca="1">+SUM(AB13:AB$124)*SSSM</f>
        <v>0</v>
      </c>
      <c r="AD13" s="209">
        <f t="shared" ref="AD13" ca="1" si="57">IF(R13&gt;nB,0,AD12*(1-X12)*(1-Y12)*(1-AE12)*(1-AF12))</f>
        <v>99998.077768222414</v>
      </c>
      <c r="AE13" s="92">
        <f t="shared" ca="1" si="21"/>
        <v>1.799999999996249E-5</v>
      </c>
      <c r="AF13" s="92">
        <f t="shared" ca="1" si="22"/>
        <v>0</v>
      </c>
      <c r="AG13" s="8">
        <f t="shared" ca="1" si="23"/>
        <v>97797.631069166178</v>
      </c>
      <c r="AH13" s="5">
        <f ca="1">+SUM(AG13:AG$124)</f>
        <v>1719842.6262510216</v>
      </c>
      <c r="AI13" s="70">
        <f t="shared" ca="1" si="24"/>
        <v>1.7408813865929811</v>
      </c>
      <c r="AJ13" s="208">
        <f ca="1">+SUM(AB13:AB$124)*SS50J</f>
        <v>0</v>
      </c>
      <c r="AK13" s="209">
        <f t="shared" ref="AK13:AK76" ca="1" si="58">IFERROR(AK12*(1-$X12)*(1-$Y12)*(1-BTa*AL12*(1-$T12/2)/(1-$T12)),0)</f>
        <v>99999.977767799995</v>
      </c>
      <c r="AL13" s="257">
        <f t="shared" ref="AL13" ca="1" si="59">IFERROR(VLOOKUP($S13,qx_table,MATCH(AL$11,qx_title,0)+sexB),0)</f>
        <v>2.2947799999999996E-7</v>
      </c>
      <c r="AM13" s="131">
        <f ca="1">AK13*O13</f>
        <v>97799.489259462105</v>
      </c>
      <c r="AN13" s="129">
        <f ca="1">AK13*AL13*(1-CHOOSE(JRB,1,0)*$V13/2)*$P13</f>
        <v>2.2194531631290801E-2</v>
      </c>
      <c r="AO13" s="129">
        <f ca="1">SUM(AN13:AN$124)*SSa</f>
        <v>0.70420585901447263</v>
      </c>
      <c r="AP13" s="70">
        <f t="shared" ref="AP13:AP76" ca="1" si="60">IFERROR(AP12*(1-$X12)*(1-$Y12)*(1-BTb*AQ12*(1-$T12/2)/(1-$T12)),0)</f>
        <v>99999.977767799995</v>
      </c>
      <c r="AQ13" s="2">
        <f t="shared" ref="AQ13" ca="1" si="61">IFERROR(VLOOKUP($S13,qx_table,MATCH(AQ$11,qx_title,0)+sexB),0)</f>
        <v>0</v>
      </c>
      <c r="AR13" s="127">
        <f t="shared" ref="AR13:AR44" ca="1" si="62">AP13*AQ13*(1-CHOOSE(JRB,1,0)*$V13/2)*$P13</f>
        <v>0</v>
      </c>
      <c r="AS13" s="127">
        <f ca="1">SUM(AR13:AR$124)*SSb</f>
        <v>0</v>
      </c>
      <c r="AT13" s="70">
        <f t="shared" ref="AT13:AT76" ca="1" si="63">IFERROR(AT12*(1-$X12)*(1-$Y12)*(1-BTc*AU12*(1-$T12/2)/(1-$T12)),0)</f>
        <v>99999.977767799995</v>
      </c>
      <c r="AU13" s="2">
        <f t="shared" ref="AU13" ca="1" si="64">IFERROR(VLOOKUP($S13,qx_table,MATCH(AU$11,qx_title,0)+sexB),0)</f>
        <v>0</v>
      </c>
      <c r="AV13" s="268">
        <f t="shared" ref="AV13:AV44" ca="1" si="65">AT13*AU13*(1-CHOOSE(JRB,1,0)*$V13/2)*$P13</f>
        <v>0</v>
      </c>
      <c r="AW13" s="131">
        <f ca="1">SUM(AV13:AV$124)*SSc</f>
        <v>0</v>
      </c>
      <c r="AX13" s="70">
        <f t="shared" ref="AX13:AX76" ca="1" si="66">IFERROR(AX12*(1-$X12)*(1-$Y12)*(1-BTd*AY12*(1-$T12/2)/(1-$T12)),0)</f>
        <v>99999.977767799995</v>
      </c>
      <c r="AY13" s="2">
        <f t="shared" ref="AY13" ca="1" si="67">IFERROR(VLOOKUP($S13,qx_table,MATCH(AY$11,qx_title,0)+sexB),0)</f>
        <v>0</v>
      </c>
      <c r="AZ13" s="268">
        <f t="shared" ref="AZ13:AZ44" ca="1" si="68">AX13*AY13*(1-CHOOSE(JRB,1,0)*$V13/2)*$P13</f>
        <v>0</v>
      </c>
      <c r="BA13" s="129">
        <f ca="1">SUM(AZ13:AZ$124)*SSd</f>
        <v>0</v>
      </c>
      <c r="BB13" s="70">
        <f t="shared" ref="BB13:BB76" ca="1" si="69">IFERROR(BB12*(1-$X12)*(1-$Y12)*(1-BTe*BC12*(1-$T12/2)/(1-$T12)),0)</f>
        <v>99999.977767799995</v>
      </c>
      <c r="BC13" s="257">
        <f t="shared" ref="BC13" ca="1" si="70">IFERROR(VLOOKUP($S13,qx_table,MATCH(BC$11,qx_title,0)+sexB),0)</f>
        <v>0</v>
      </c>
      <c r="BD13" s="268">
        <f t="shared" ref="BD13:BD44" ca="1" si="71">BB13*BC13*(1-CHOOSE(JRB,1,0)*$V13/2)*$P13</f>
        <v>0</v>
      </c>
      <c r="BE13" s="131">
        <f ca="1">SUM(BD13:BD$124)*SSe</f>
        <v>0</v>
      </c>
      <c r="BF13" s="70">
        <f t="shared" ref="BF13:BF76" ca="1" si="72">IFERROR(BF12*(1-$X12)*(1-$Y12)*(1-BTf*BG12*(1-$T12/2)/(1-$T12)),0)</f>
        <v>99999.977767799995</v>
      </c>
      <c r="BG13" s="2">
        <f t="shared" ref="BG13" ca="1" si="73">IFERROR(VLOOKUP($S13,qx_table,MATCH(BG$11,qx_title,0)+sexB),0)</f>
        <v>0</v>
      </c>
      <c r="BH13" s="131">
        <f t="shared" ref="BH13:BH44" ca="1" si="74">BF13*BG13*(1-CHOOSE(JRB,1,0)*$V13/2)*$P13</f>
        <v>0</v>
      </c>
      <c r="BI13" s="2">
        <f ca="1">SUM(BH13:BH$124)*SSf</f>
        <v>0</v>
      </c>
      <c r="BJ13" s="70">
        <f t="shared" ref="BJ13:BJ76" ca="1" si="75">IFERROR(BJ12*(1-$X12)*(1-$Y12)*(1-BTg*BK12*(1-$T12/2)/(1-$T12)),0)</f>
        <v>99999.977767799995</v>
      </c>
      <c r="BK13" s="2">
        <f t="shared" ref="BK13" ca="1" si="76">IFERROR(VLOOKUP($S13,qx_table,MATCH(BK$11,qx_title,0)+sexB),0)</f>
        <v>0</v>
      </c>
      <c r="BL13" s="131">
        <f t="shared" ref="BL13:BL44" ca="1" si="77">BJ13*BK13*(1-CHOOSE(JRB,1,0)*$V13/2)*$P13</f>
        <v>0</v>
      </c>
      <c r="BM13" s="131">
        <f ca="1">SUM(BL13:BL$124)*SSg</f>
        <v>0</v>
      </c>
      <c r="BN13" s="70">
        <f t="shared" ref="BN13:BN76" ca="1" si="78">IFERROR(BN12*(1-$X12)*(1-$Y12)*(1-BTh*BO12*(1-$T12/2)/(1-$T12)),0)</f>
        <v>99999.977767799995</v>
      </c>
      <c r="BO13" s="2">
        <f t="shared" ref="BO13" ca="1" si="79">IFERROR(VLOOKUP($S13,qx_table,MATCH(BO$11,qx_title,0)+sexB),0)</f>
        <v>0</v>
      </c>
      <c r="BP13" s="131">
        <f t="shared" ref="BP13:BP44" ca="1" si="80">BN13*BO13*(1-CHOOSE(JRB,1,0)*$V13/2)*$P13</f>
        <v>0</v>
      </c>
      <c r="BQ13" s="131">
        <f ca="1">SUM(BP13:BP$124)*SSh</f>
        <v>0</v>
      </c>
      <c r="BR13" s="70">
        <f t="shared" ref="BR13:BR76" ca="1" si="81">IFERROR(BR12*(1-$X12)*(1-$Y12)*(1-BTi*BS12*(1-$T12/2)/(1-$T12)),0)</f>
        <v>99999.977767799995</v>
      </c>
      <c r="BS13" s="2">
        <f t="shared" ref="BS13" ca="1" si="82">IFERROR(VLOOKUP($S13,qx_table,MATCH(BS$11,qx_title,0)+sexB),0)*IF(R13=0,MCi,1)</f>
        <v>0</v>
      </c>
      <c r="BT13" s="131">
        <f t="shared" ref="BT13:BT44" ca="1" si="83">BR13*BS13*(1-CHOOSE(JRB,1,0)*$V13/2)*$P13</f>
        <v>0</v>
      </c>
      <c r="BU13" s="131">
        <f ca="1">SUM(BT13:BT$124)*SSi</f>
        <v>0</v>
      </c>
      <c r="BV13" s="70">
        <f t="shared" ref="BV13:BV76" ca="1" si="84">IFERROR(BV12*(1-$X12)*(1-$Y12)*(1-BTj*BW12*(1-$T12/2)/(1-$T12)),0)</f>
        <v>99999.977767799995</v>
      </c>
      <c r="BW13" s="2">
        <f t="shared" ref="BW13" ca="1" si="85">IFERROR(VLOOKUP($S13,qx_table,MATCH(BW$11,qx_title,0)+sexB),0)</f>
        <v>0</v>
      </c>
      <c r="BX13" s="131">
        <f t="shared" ref="BX13:BX44" ca="1" si="86">BV13*BW13*(1-CHOOSE(JRB,1,0)*$V13/2)*$P13</f>
        <v>0</v>
      </c>
      <c r="BY13" s="131">
        <f ca="1">SUM(BX13:BX$124)*SSj</f>
        <v>0</v>
      </c>
      <c r="BZ13" s="70">
        <f t="shared" ref="BZ13:BZ76" ca="1" si="87">IFERROR(BZ12*(1-$X12)*(1-$Y12)*(1-BTk*CA12*(1-$T12/2)/(1-$T12)),0)</f>
        <v>99999.977767799995</v>
      </c>
      <c r="CA13" s="2">
        <f t="shared" ref="CA13" ca="1" si="88">IFERROR(VLOOKUP($S13,qx_table,MATCH(CA$11,qx_title,0)+sexB),0)</f>
        <v>0</v>
      </c>
      <c r="CB13" s="131">
        <f t="shared" ref="CB13:CB44" ca="1" si="89">BZ13*CA13*(1-CHOOSE(JRB,1,0)*$V13/2)*$P13</f>
        <v>0</v>
      </c>
      <c r="CC13" s="131">
        <f ca="1">SUM(CB13:CB$124)*SSk</f>
        <v>0</v>
      </c>
      <c r="CD13" s="8">
        <f t="shared" ref="CD13:CD76" ca="1" si="90">IFERROR(CD12*(1-$X12)*(1-$Y12)*(1-BTl*CE12*(1-$T12/2)/(1-$T12)),0)</f>
        <v>99999.977767799995</v>
      </c>
      <c r="CE13" s="2">
        <f t="shared" ref="CE13" ca="1" si="91">IFERROR(VLOOKUP($S13,qx_table,MATCH(CE$11,qx_title,0)+sexB),0)</f>
        <v>0</v>
      </c>
      <c r="CF13" s="131">
        <f t="shared" ref="CF13:CF44" ca="1" si="92">CD13*CE13*(1-CHOOSE(JRB,1,0)*$V13/2)*$P13</f>
        <v>0</v>
      </c>
      <c r="CG13" s="131">
        <f ca="1">SUM(CF13:CF$124)*SSl</f>
        <v>0</v>
      </c>
      <c r="CH13" s="101">
        <f t="shared" ref="CH13:CH76" ca="1" si="93">AC13+AJ13+AO13+AS13+AW13+BA13+BE13+BI13+BM13+BQ13+BU13+BY13+CC13+CG13</f>
        <v>0.70420585901447263</v>
      </c>
      <c r="CI13" s="154">
        <f t="shared" ca="1" si="37"/>
        <v>0.65470718305798492</v>
      </c>
      <c r="CJ13" s="32">
        <f t="shared" ca="1" si="38"/>
        <v>1531932.6581890788</v>
      </c>
      <c r="CK13" s="32">
        <f t="shared" ref="CK13" ca="1" si="94">+MAX(VLOOKUP(xB+$R13,기수표B,$AH$1)-VLOOKUP(xB+mB,기수표B,$AH$1)-11/24*(VLOOKUP(xB+$R13,기수표B,$AG$1)-VLOOKUP(xB+mB,기수표B,$AG$1)),0)</f>
        <v>1516459.8743545278</v>
      </c>
      <c r="CL13" s="32">
        <f t="shared" ref="CL13" ca="1" si="95">+MAX(VLOOKUP(xB+$R13,기수표B,$AA$1)-VLOOKUP(xB+mB,기수표B,$AA$1),0)</f>
        <v>1532285.3836760959</v>
      </c>
      <c r="CM13" s="32">
        <f t="shared" ref="CM13" ca="1" si="96">+MAX(VLOOKUP(xB+$R13,기수표B,$AA$1)-VLOOKUP(xB+mB,기수표B,$AA$1)-11/24*(VLOOKUP(xB+$R13,기수표B,$AA$1)-VLOOKUP(xB+mB,기수표B,$AA$1)),0)</f>
        <v>829987.91615788534</v>
      </c>
      <c r="CN13" s="32">
        <f t="shared" ca="1" si="41"/>
        <v>126752.19729130244</v>
      </c>
      <c r="CO13" s="32">
        <f t="shared" ca="1" si="42"/>
        <v>0.74389335380838284</v>
      </c>
      <c r="CP13" s="259">
        <f t="shared" ca="1" si="43"/>
        <v>9.9999999999999995E-8</v>
      </c>
      <c r="CQ13" s="262">
        <f t="shared" ca="1" si="44"/>
        <v>9.9999999999999995E-8</v>
      </c>
      <c r="CR13" s="259">
        <f t="shared" ca="1" si="45"/>
        <v>3.8411270677745331E-7</v>
      </c>
      <c r="CS13" s="259">
        <f t="shared" ca="1" si="46"/>
        <v>7.9999999999999996E-7</v>
      </c>
      <c r="CT13" s="31">
        <f t="shared" ref="CT13" si="97">+MIN(mB,7)</f>
        <v>7</v>
      </c>
      <c r="CV13" s="13">
        <v>1</v>
      </c>
      <c r="CW13" s="477">
        <f t="shared" ca="1" si="48"/>
        <v>24</v>
      </c>
      <c r="CX13" s="477">
        <f t="shared" ca="1" si="49"/>
        <v>4</v>
      </c>
      <c r="CY13" s="477">
        <f t="shared" ca="1" si="50"/>
        <v>1</v>
      </c>
      <c r="CZ13" s="478">
        <f t="shared" ref="CZ13:CZ76" ca="1" si="98">ROUNDDOWN(CY13/CW13,3)</f>
        <v>4.1000000000000002E-2</v>
      </c>
    </row>
    <row r="14" spans="2:104">
      <c r="B14" s="106" t="s">
        <v>5</v>
      </c>
      <c r="C14" s="118">
        <f ca="1">MAIN!C16</f>
        <v>2.2499999999999999E-2</v>
      </c>
      <c r="D14" s="44"/>
      <c r="F14" s="21"/>
      <c r="G14" s="122" t="s">
        <v>160</v>
      </c>
      <c r="H14" s="291">
        <f ca="1">VLOOKUP(xB,기수표B,CI$1,FALSE)</f>
        <v>0.66570029845010426</v>
      </c>
      <c r="I14" s="291"/>
      <c r="J14" s="291"/>
      <c r="M14" s="242"/>
      <c r="N14" s="5">
        <f t="shared" ref="N14:N77" si="99">+N13+1</f>
        <v>2</v>
      </c>
      <c r="O14" s="2">
        <f t="shared" ref="O14" ca="1" si="100">+(1+iB)^-N14</f>
        <v>0.95647443523173592</v>
      </c>
      <c r="P14" s="2">
        <f t="shared" ref="P14" ca="1" si="101">+(1+iB)^-(N14+0.5)</f>
        <v>0.94589233958983754</v>
      </c>
      <c r="Q14" s="91"/>
      <c r="R14" s="20">
        <f t="shared" ref="R14:R77" si="102">R13+1</f>
        <v>2</v>
      </c>
      <c r="S14" s="20">
        <f t="shared" ref="S14" si="103">+IF(xB+R14&lt;=xB+nB,xB+R14,"")</f>
        <v>10</v>
      </c>
      <c r="T14" s="2">
        <f t="shared" ref="T14:U14" ca="1" si="104">IFERROR(VLOOKUP($S14,qx_table,MATCH(T$11,qx_title,0)+sexB),0)</f>
        <v>0</v>
      </c>
      <c r="U14" s="2">
        <f t="shared" ca="1" si="104"/>
        <v>1.5999999999999999E-5</v>
      </c>
      <c r="V14" s="300">
        <v>0</v>
      </c>
      <c r="W14" s="8">
        <f t="shared" ref="W14" ca="1" si="105">IF(R14=0,100000,IF(R14&gt;nB,0,W13*(1-X13)*(1-Y13)))</f>
        <v>99999.954820005092</v>
      </c>
      <c r="X14" s="10">
        <f t="shared" ca="1" si="19"/>
        <v>0</v>
      </c>
      <c r="Y14" s="92">
        <f t="shared" ca="1" si="56"/>
        <v>2.4196000003584572E-7</v>
      </c>
      <c r="Z14" s="8">
        <f t="shared" ref="Z14:Z76" ca="1" si="106">+W14*O14</f>
        <v>95647.400309663484</v>
      </c>
      <c r="AA14" s="8">
        <f ca="1">+SUM(Z14:Z$124)</f>
        <v>1622529.9940691742</v>
      </c>
      <c r="AB14" s="8">
        <f t="shared" ca="1" si="20"/>
        <v>0</v>
      </c>
      <c r="AC14" s="209">
        <f ca="1">+SUM(AB14:AB$124)*SSSM</f>
        <v>0</v>
      </c>
      <c r="AD14" s="209">
        <f t="shared" ref="AD14" ca="1" si="107">IF(R14&gt;nB,0,AD13*(1-X13)*(1-Y13)*(1-AE13)*(1-AF13))</f>
        <v>99996.254855876745</v>
      </c>
      <c r="AE14" s="92">
        <f t="shared" ca="1" si="21"/>
        <v>1.6000000000016001E-5</v>
      </c>
      <c r="AF14" s="92">
        <f t="shared" ca="1" si="22"/>
        <v>0</v>
      </c>
      <c r="AG14" s="8">
        <f t="shared" ca="1" si="23"/>
        <v>95643.86138856344</v>
      </c>
      <c r="AH14" s="5">
        <f ca="1">+SUM(AG14:AG$124)</f>
        <v>1622044.995181855</v>
      </c>
      <c r="AI14" s="70">
        <f t="shared" ca="1" si="24"/>
        <v>1.5133710632950641</v>
      </c>
      <c r="AJ14" s="208">
        <f ca="1">+SUM(AB14:AB$124)*SS50J</f>
        <v>0</v>
      </c>
      <c r="AK14" s="209">
        <f t="shared" ca="1" si="58"/>
        <v>99999.954820005092</v>
      </c>
      <c r="AL14" s="257">
        <f t="shared" ref="AL14" ca="1" si="108">IFERROR(VLOOKUP($S14,qx_table,MATCH(AL$11,qx_title,0)+sexB),0)</f>
        <v>2.4195999999999998E-7</v>
      </c>
      <c r="AM14" s="131">
        <f t="shared" ref="AM14:AM76" ca="1" si="109">AK14*O14</f>
        <v>95647.400309663484</v>
      </c>
      <c r="AN14" s="129">
        <f t="shared" ref="AN14:AN43" ca="1" si="110">AK14*AL14*(1-CHOOSE(JRB,1,0)*$V14/2)*$P14*IF(R14=0,MCa,1)</f>
        <v>2.288680070845564E-2</v>
      </c>
      <c r="AO14" s="129">
        <f ca="1">SUM(AN14:AN$124)*SSa</f>
        <v>0.68201132738318182</v>
      </c>
      <c r="AP14" s="70">
        <f t="shared" ca="1" si="60"/>
        <v>99999.954820005092</v>
      </c>
      <c r="AQ14" s="2">
        <f t="shared" ref="AQ14" ca="1" si="111">IFERROR(VLOOKUP($S14,qx_table,MATCH(AQ$11,qx_title,0)+sexB),0)</f>
        <v>0</v>
      </c>
      <c r="AR14" s="127">
        <f t="shared" ca="1" si="62"/>
        <v>0</v>
      </c>
      <c r="AS14" s="127">
        <f ca="1">SUM(AR14:AR$124)*SSb</f>
        <v>0</v>
      </c>
      <c r="AT14" s="70">
        <f t="shared" ca="1" si="63"/>
        <v>99999.954820005092</v>
      </c>
      <c r="AU14" s="2">
        <f t="shared" ref="AU14" ca="1" si="112">IFERROR(VLOOKUP($S14,qx_table,MATCH(AU$11,qx_title,0)+sexB),0)</f>
        <v>0</v>
      </c>
      <c r="AV14" s="268">
        <f t="shared" ca="1" si="65"/>
        <v>0</v>
      </c>
      <c r="AW14" s="131">
        <f ca="1">SUM(AV14:AV$124)*SSc</f>
        <v>0</v>
      </c>
      <c r="AX14" s="70">
        <f t="shared" ca="1" si="66"/>
        <v>99999.954820005092</v>
      </c>
      <c r="AY14" s="2">
        <f t="shared" ref="AY14" ca="1" si="113">IFERROR(VLOOKUP($S14,qx_table,MATCH(AY$11,qx_title,0)+sexB),0)</f>
        <v>0</v>
      </c>
      <c r="AZ14" s="268">
        <f t="shared" ca="1" si="68"/>
        <v>0</v>
      </c>
      <c r="BA14" s="129">
        <f ca="1">SUM(AZ14:AZ$124)*SSd</f>
        <v>0</v>
      </c>
      <c r="BB14" s="70">
        <f t="shared" ca="1" si="69"/>
        <v>99999.954820005092</v>
      </c>
      <c r="BC14" s="257">
        <f t="shared" ref="BC14" ca="1" si="114">IFERROR(VLOOKUP($S14,qx_table,MATCH(BC$11,qx_title,0)+sexB),0)</f>
        <v>0</v>
      </c>
      <c r="BD14" s="268">
        <f t="shared" ca="1" si="71"/>
        <v>0</v>
      </c>
      <c r="BE14" s="131">
        <f ca="1">SUM(BD14:BD$124)*SSe</f>
        <v>0</v>
      </c>
      <c r="BF14" s="70">
        <f t="shared" ca="1" si="72"/>
        <v>99999.954820005092</v>
      </c>
      <c r="BG14" s="2">
        <f t="shared" ref="BG14" ca="1" si="115">IFERROR(VLOOKUP($S14,qx_table,MATCH(BG$11,qx_title,0)+sexB),0)</f>
        <v>0</v>
      </c>
      <c r="BH14" s="131">
        <f t="shared" ca="1" si="74"/>
        <v>0</v>
      </c>
      <c r="BI14" s="2">
        <f ca="1">SUM(BH14:BH$124)*SSf</f>
        <v>0</v>
      </c>
      <c r="BJ14" s="70">
        <f t="shared" ca="1" si="75"/>
        <v>99999.954820005092</v>
      </c>
      <c r="BK14" s="2">
        <f t="shared" ref="BK14" ca="1" si="116">IFERROR(VLOOKUP($S14,qx_table,MATCH(BK$11,qx_title,0)+sexB),0)</f>
        <v>0</v>
      </c>
      <c r="BL14" s="131">
        <f t="shared" ca="1" si="77"/>
        <v>0</v>
      </c>
      <c r="BM14" s="131">
        <f ca="1">SUM(BL14:BL$124)*SSg</f>
        <v>0</v>
      </c>
      <c r="BN14" s="70">
        <f t="shared" ca="1" si="78"/>
        <v>99999.954820005092</v>
      </c>
      <c r="BO14" s="2">
        <f t="shared" ref="BO14" ca="1" si="117">IFERROR(VLOOKUP($S14,qx_table,MATCH(BO$11,qx_title,0)+sexB),0)</f>
        <v>0</v>
      </c>
      <c r="BP14" s="131">
        <f t="shared" ca="1" si="80"/>
        <v>0</v>
      </c>
      <c r="BQ14" s="131">
        <f ca="1">SUM(BP14:BP$124)*SSh</f>
        <v>0</v>
      </c>
      <c r="BR14" s="70">
        <f t="shared" ca="1" si="81"/>
        <v>99999.954820005092</v>
      </c>
      <c r="BS14" s="2">
        <f t="shared" ref="BS14" ca="1" si="118">IFERROR(VLOOKUP($S14,qx_table,MATCH(BS$11,qx_title,0)+sexB),0)*IF(R14=0,MCi,1)</f>
        <v>0</v>
      </c>
      <c r="BT14" s="131">
        <f t="shared" ca="1" si="83"/>
        <v>0</v>
      </c>
      <c r="BU14" s="131">
        <f ca="1">SUM(BT14:BT$124)*SSi</f>
        <v>0</v>
      </c>
      <c r="BV14" s="70">
        <f t="shared" ca="1" si="84"/>
        <v>99999.954820005092</v>
      </c>
      <c r="BW14" s="2">
        <f t="shared" ref="BW14" ca="1" si="119">IFERROR(VLOOKUP($S14,qx_table,MATCH(BW$11,qx_title,0)+sexB),0)</f>
        <v>0</v>
      </c>
      <c r="BX14" s="131">
        <f t="shared" ca="1" si="86"/>
        <v>0</v>
      </c>
      <c r="BY14" s="131">
        <f ca="1">SUM(BX14:BX$124)*SSj</f>
        <v>0</v>
      </c>
      <c r="BZ14" s="70">
        <f t="shared" ca="1" si="87"/>
        <v>99999.954820005092</v>
      </c>
      <c r="CA14" s="2">
        <f t="shared" ref="CA14" ca="1" si="120">IFERROR(VLOOKUP($S14,qx_table,MATCH(CA$11,qx_title,0)+sexB),0)</f>
        <v>0</v>
      </c>
      <c r="CB14" s="131">
        <f t="shared" ca="1" si="89"/>
        <v>0</v>
      </c>
      <c r="CC14" s="131">
        <f ca="1">SUM(CB14:CB$124)*SSk</f>
        <v>0</v>
      </c>
      <c r="CD14" s="8">
        <f t="shared" ca="1" si="90"/>
        <v>99999.954820005092</v>
      </c>
      <c r="CE14" s="2">
        <f t="shared" ref="CE14" ca="1" si="121">IFERROR(VLOOKUP($S14,qx_table,MATCH(CE$11,qx_title,0)+sexB),0)</f>
        <v>0</v>
      </c>
      <c r="CF14" s="131">
        <f t="shared" ca="1" si="92"/>
        <v>0</v>
      </c>
      <c r="CG14" s="131">
        <f ca="1">SUM(CF14:CF$124)*SSl</f>
        <v>0</v>
      </c>
      <c r="CH14" s="101">
        <f t="shared" ca="1" si="93"/>
        <v>0.68201132738318182</v>
      </c>
      <c r="CI14" s="154">
        <f t="shared" ca="1" si="37"/>
        <v>0.63251265142669411</v>
      </c>
      <c r="CJ14" s="32">
        <f t="shared" ca="1" si="38"/>
        <v>1434135.0271199122</v>
      </c>
      <c r="CK14" s="32">
        <f t="shared" ref="CK14" ca="1" si="122">+MAX(VLOOKUP(xB+$R14,기수표B,$AH$1)-VLOOKUP(xB+mB,기수표B,$AH$1)-11/24*(VLOOKUP(xB+$R14,기수표B,$AG$1)-VLOOKUP(xB+mB,기수표B,$AG$1)),0)</f>
        <v>1419649.3877223041</v>
      </c>
      <c r="CL14" s="32">
        <f t="shared" ref="CL14" ca="1" si="123">+MAX(VLOOKUP(xB+$R14,기수표B,$AA$1)-VLOOKUP(xB+mB,기수표B,$AA$1),0)</f>
        <v>1434485.8944166338</v>
      </c>
      <c r="CM14" s="32">
        <f t="shared" ref="CM14" ca="1" si="124">+MAX(VLOOKUP(xB+$R14,기수표B,$AA$1)-VLOOKUP(xB+mB,기수표B,$AA$1)-11/24*(VLOOKUP(xB+$R14,기수표B,$AA$1)-VLOOKUP(xB+mB,기수표B,$AA$1)),0)</f>
        <v>777013.19280900992</v>
      </c>
      <c r="CN14" s="32">
        <f t="shared" ca="1" si="41"/>
        <v>126752.19729130244</v>
      </c>
      <c r="CO14" s="32">
        <f t="shared" ca="1" si="42"/>
        <v>0.69640366333037096</v>
      </c>
      <c r="CP14" s="259">
        <f t="shared" ca="1" si="43"/>
        <v>3.9999999999999998E-7</v>
      </c>
      <c r="CQ14" s="262">
        <f t="shared" ca="1" si="44"/>
        <v>3.9999999999999998E-7</v>
      </c>
      <c r="CR14" s="259">
        <f t="shared" ca="1" si="45"/>
        <v>6.5721791898273389E-7</v>
      </c>
      <c r="CS14" s="259">
        <f t="shared" ca="1" si="46"/>
        <v>1.5999999999999999E-6</v>
      </c>
      <c r="CT14" s="31">
        <f t="shared" ref="CT14" si="125">+MIN(mB,7)</f>
        <v>7</v>
      </c>
      <c r="CV14" s="13">
        <v>2</v>
      </c>
      <c r="CW14" s="477">
        <f t="shared" ca="1" si="48"/>
        <v>48</v>
      </c>
      <c r="CX14" s="477">
        <f t="shared" ca="1" si="49"/>
        <v>7</v>
      </c>
      <c r="CY14" s="477">
        <f t="shared" ca="1" si="50"/>
        <v>4</v>
      </c>
      <c r="CZ14" s="478">
        <f t="shared" ca="1" si="98"/>
        <v>8.3000000000000004E-2</v>
      </c>
    </row>
    <row r="15" spans="2:104">
      <c r="B15" s="106" t="s">
        <v>6</v>
      </c>
      <c r="C15" s="118">
        <f ca="1">MAIN!C17</f>
        <v>0.97799511002444994</v>
      </c>
      <c r="D15" s="44"/>
      <c r="F15" s="16"/>
      <c r="G15" s="122" t="s">
        <v>186</v>
      </c>
      <c r="H15" s="291"/>
      <c r="I15" s="291"/>
      <c r="J15" s="291"/>
      <c r="M15" s="242"/>
      <c r="N15" s="5">
        <f t="shared" si="99"/>
        <v>3</v>
      </c>
      <c r="O15" s="2">
        <f t="shared" ref="O15" ca="1" si="126">+(1+iB)^-N15</f>
        <v>0.93542732052003519</v>
      </c>
      <c r="P15" s="2">
        <f t="shared" ref="P15" ca="1" si="127">+(1+iB)^-(N15+0.5)</f>
        <v>0.9250780827284476</v>
      </c>
      <c r="Q15" s="91"/>
      <c r="R15" s="20">
        <f t="shared" si="102"/>
        <v>3</v>
      </c>
      <c r="S15" s="20">
        <f t="shared" ref="S15" si="128">+IF(xB+R15&lt;=xB+nB,xB+R15,"")</f>
        <v>11</v>
      </c>
      <c r="T15" s="2">
        <f t="shared" ref="T15:U15" ca="1" si="129">IFERROR(VLOOKUP($S15,qx_table,MATCH(T$11,qx_title,0)+sexB),0)</f>
        <v>0</v>
      </c>
      <c r="U15" s="2">
        <f t="shared" ca="1" si="129"/>
        <v>1.5999999999999999E-5</v>
      </c>
      <c r="V15" s="300">
        <v>0</v>
      </c>
      <c r="W15" s="8">
        <f t="shared" ref="W15" ca="1" si="130">IF(R15=0,100000,IF(R15&gt;nB,0,W14*(1-X14)*(1-Y14)))</f>
        <v>99999.930624016022</v>
      </c>
      <c r="X15" s="10">
        <f t="shared" ca="1" si="19"/>
        <v>0</v>
      </c>
      <c r="Y15" s="92">
        <f t="shared" ca="1" si="56"/>
        <v>2.5611999998620405E-7</v>
      </c>
      <c r="Z15" s="8">
        <f t="shared" ca="1" si="106"/>
        <v>93542.667155812713</v>
      </c>
      <c r="AA15" s="8">
        <f ca="1">+SUM(Z15:Z$124)</f>
        <v>1526882.5937595107</v>
      </c>
      <c r="AB15" s="8">
        <f t="shared" ca="1" si="20"/>
        <v>0</v>
      </c>
      <c r="AC15" s="209">
        <f ca="1">+SUM(AB15:AB$124)*SSSM</f>
        <v>0</v>
      </c>
      <c r="AD15" s="209">
        <f t="shared" ref="AD15" ca="1" si="131">IF(R15&gt;nB,0,AD14*(1-X14)*(1-Y14)*(1-AE14)*(1-AF14))</f>
        <v>99994.630721092355</v>
      </c>
      <c r="AE15" s="92">
        <f t="shared" ca="1" si="21"/>
        <v>1.6000000000016001E-5</v>
      </c>
      <c r="AF15" s="92">
        <f t="shared" ca="1" si="22"/>
        <v>0</v>
      </c>
      <c r="AG15" s="8">
        <f t="shared" ca="1" si="23"/>
        <v>93537.709481821817</v>
      </c>
      <c r="AH15" s="5">
        <f ca="1">+SUM(AG15:AG$124)</f>
        <v>1526401.1337932914</v>
      </c>
      <c r="AI15" s="70">
        <f t="shared" ca="1" si="24"/>
        <v>1.4800454603311961</v>
      </c>
      <c r="AJ15" s="208">
        <f ca="1">+SUM(AB15:AB$124)*SS50J</f>
        <v>0</v>
      </c>
      <c r="AK15" s="209">
        <f t="shared" ca="1" si="58"/>
        <v>99999.930624016022</v>
      </c>
      <c r="AL15" s="257">
        <f t="shared" ref="AL15" ca="1" si="132">IFERROR(VLOOKUP($S15,qx_table,MATCH(AL$11,qx_title,0)+sexB),0)</f>
        <v>2.5611999999999999E-7</v>
      </c>
      <c r="AM15" s="131">
        <f t="shared" ca="1" si="109"/>
        <v>93542.667155812713</v>
      </c>
      <c r="AN15" s="129">
        <f t="shared" ca="1" si="110"/>
        <v>2.3693083417519842E-2</v>
      </c>
      <c r="AO15" s="129">
        <f ca="1">SUM(AN15:AN$124)*SSa</f>
        <v>0.65912452667472632</v>
      </c>
      <c r="AP15" s="70">
        <f t="shared" ca="1" si="60"/>
        <v>99999.930624016022</v>
      </c>
      <c r="AQ15" s="2">
        <f t="shared" ref="AQ15" ca="1" si="133">IFERROR(VLOOKUP($S15,qx_table,MATCH(AQ$11,qx_title,0)+sexB),0)</f>
        <v>0</v>
      </c>
      <c r="AR15" s="127">
        <f t="shared" ca="1" si="62"/>
        <v>0</v>
      </c>
      <c r="AS15" s="127">
        <f ca="1">SUM(AR15:AR$124)*SSb</f>
        <v>0</v>
      </c>
      <c r="AT15" s="70">
        <f t="shared" ca="1" si="63"/>
        <v>99999.930624016022</v>
      </c>
      <c r="AU15" s="2">
        <f t="shared" ref="AU15" ca="1" si="134">IFERROR(VLOOKUP($S15,qx_table,MATCH(AU$11,qx_title,0)+sexB),0)</f>
        <v>0</v>
      </c>
      <c r="AV15" s="268">
        <f t="shared" ca="1" si="65"/>
        <v>0</v>
      </c>
      <c r="AW15" s="131">
        <f ca="1">SUM(AV15:AV$124)*SSc</f>
        <v>0</v>
      </c>
      <c r="AX15" s="70">
        <f t="shared" ca="1" si="66"/>
        <v>99999.930624016022</v>
      </c>
      <c r="AY15" s="2">
        <f t="shared" ref="AY15" ca="1" si="135">IFERROR(VLOOKUP($S15,qx_table,MATCH(AY$11,qx_title,0)+sexB),0)</f>
        <v>0</v>
      </c>
      <c r="AZ15" s="268">
        <f t="shared" ca="1" si="68"/>
        <v>0</v>
      </c>
      <c r="BA15" s="129">
        <f ca="1">SUM(AZ15:AZ$124)*SSd</f>
        <v>0</v>
      </c>
      <c r="BB15" s="70">
        <f t="shared" ca="1" si="69"/>
        <v>99999.930624016022</v>
      </c>
      <c r="BC15" s="257">
        <f t="shared" ref="BC15" ca="1" si="136">IFERROR(VLOOKUP($S15,qx_table,MATCH(BC$11,qx_title,0)+sexB),0)</f>
        <v>0</v>
      </c>
      <c r="BD15" s="268">
        <f t="shared" ca="1" si="71"/>
        <v>0</v>
      </c>
      <c r="BE15" s="131">
        <f ca="1">SUM(BD15:BD$124)*SSe</f>
        <v>0</v>
      </c>
      <c r="BF15" s="70">
        <f t="shared" ca="1" si="72"/>
        <v>99999.930624016022</v>
      </c>
      <c r="BG15" s="2">
        <f t="shared" ref="BG15" ca="1" si="137">IFERROR(VLOOKUP($S15,qx_table,MATCH(BG$11,qx_title,0)+sexB),0)</f>
        <v>0</v>
      </c>
      <c r="BH15" s="131">
        <f t="shared" ca="1" si="74"/>
        <v>0</v>
      </c>
      <c r="BI15" s="2">
        <f ca="1">SUM(BH15:BH$124)*SSf</f>
        <v>0</v>
      </c>
      <c r="BJ15" s="70">
        <f t="shared" ca="1" si="75"/>
        <v>99999.930624016022</v>
      </c>
      <c r="BK15" s="2">
        <f t="shared" ref="BK15" ca="1" si="138">IFERROR(VLOOKUP($S15,qx_table,MATCH(BK$11,qx_title,0)+sexB),0)</f>
        <v>0</v>
      </c>
      <c r="BL15" s="131">
        <f t="shared" ca="1" si="77"/>
        <v>0</v>
      </c>
      <c r="BM15" s="131">
        <f ca="1">SUM(BL15:BL$124)*SSg</f>
        <v>0</v>
      </c>
      <c r="BN15" s="70">
        <f t="shared" ca="1" si="78"/>
        <v>99999.930624016022</v>
      </c>
      <c r="BO15" s="2">
        <f t="shared" ref="BO15" ca="1" si="139">IFERROR(VLOOKUP($S15,qx_table,MATCH(BO$11,qx_title,0)+sexB),0)</f>
        <v>0</v>
      </c>
      <c r="BP15" s="131">
        <f t="shared" ca="1" si="80"/>
        <v>0</v>
      </c>
      <c r="BQ15" s="131">
        <f ca="1">SUM(BP15:BP$124)*SSh</f>
        <v>0</v>
      </c>
      <c r="BR15" s="70">
        <f t="shared" ca="1" si="81"/>
        <v>99999.930624016022</v>
      </c>
      <c r="BS15" s="2">
        <f t="shared" ref="BS15" ca="1" si="140">IFERROR(VLOOKUP($S15,qx_table,MATCH(BS$11,qx_title,0)+sexB),0)*IF(R15=0,MCi,1)</f>
        <v>0</v>
      </c>
      <c r="BT15" s="131">
        <f t="shared" ca="1" si="83"/>
        <v>0</v>
      </c>
      <c r="BU15" s="131">
        <f ca="1">SUM(BT15:BT$124)*SSi</f>
        <v>0</v>
      </c>
      <c r="BV15" s="70">
        <f t="shared" ca="1" si="84"/>
        <v>99999.930624016022</v>
      </c>
      <c r="BW15" s="2">
        <f t="shared" ref="BW15" ca="1" si="141">IFERROR(VLOOKUP($S15,qx_table,MATCH(BW$11,qx_title,0)+sexB),0)</f>
        <v>0</v>
      </c>
      <c r="BX15" s="131">
        <f t="shared" ca="1" si="86"/>
        <v>0</v>
      </c>
      <c r="BY15" s="131">
        <f ca="1">SUM(BX15:BX$124)*SSj</f>
        <v>0</v>
      </c>
      <c r="BZ15" s="70">
        <f t="shared" ca="1" si="87"/>
        <v>99999.930624016022</v>
      </c>
      <c r="CA15" s="2">
        <f t="shared" ref="CA15" ca="1" si="142">IFERROR(VLOOKUP($S15,qx_table,MATCH(CA$11,qx_title,0)+sexB),0)</f>
        <v>0</v>
      </c>
      <c r="CB15" s="131">
        <f t="shared" ca="1" si="89"/>
        <v>0</v>
      </c>
      <c r="CC15" s="131">
        <f ca="1">SUM(CB15:CB$124)*SSk</f>
        <v>0</v>
      </c>
      <c r="CD15" s="8">
        <f t="shared" ca="1" si="90"/>
        <v>99999.930624016022</v>
      </c>
      <c r="CE15" s="2">
        <f t="shared" ref="CE15" ca="1" si="143">IFERROR(VLOOKUP($S15,qx_table,MATCH(CE$11,qx_title,0)+sexB),0)</f>
        <v>0</v>
      </c>
      <c r="CF15" s="131">
        <f t="shared" ca="1" si="92"/>
        <v>0</v>
      </c>
      <c r="CG15" s="131">
        <f ca="1">SUM(CF15:CF$124)*SSl</f>
        <v>0</v>
      </c>
      <c r="CH15" s="101">
        <f t="shared" ca="1" si="93"/>
        <v>0.65912452667472632</v>
      </c>
      <c r="CI15" s="154">
        <f t="shared" ca="1" si="37"/>
        <v>0.6096258507182386</v>
      </c>
      <c r="CJ15" s="32">
        <f t="shared" ca="1" si="38"/>
        <v>1338491.1657313486</v>
      </c>
      <c r="CK15" s="32">
        <f t="shared" ref="CK15" ca="1" si="144">+MAX(VLOOKUP(xB+$R15,기수표B,$AH$1)-VLOOKUP(xB+mB,기수표B,$AH$1)-11/24*(VLOOKUP(xB+$R15,기수표B,$AG$1)-VLOOKUP(xB+mB,기수표B,$AG$1)),0)</f>
        <v>1324970.8459576636</v>
      </c>
      <c r="CL15" s="32">
        <f t="shared" ref="CL15" ca="1" si="145">+MAX(VLOOKUP(xB+$R15,기수표B,$AA$1)-VLOOKUP(xB+mB,기수표B,$AA$1),0)</f>
        <v>1338838.4941069703</v>
      </c>
      <c r="CM15" s="32">
        <f t="shared" ref="CM15" ca="1" si="146">+MAX(VLOOKUP(xB+$R15,기수표B,$AA$1)-VLOOKUP(xB+mB,기수표B,$AA$1)-11/24*(VLOOKUP(xB+$R15,기수표B,$AA$1)-VLOOKUP(xB+mB,기수표B,$AA$1)),0)</f>
        <v>725204.18430794228</v>
      </c>
      <c r="CN15" s="32">
        <f t="shared" ca="1" si="41"/>
        <v>126752.19729130244</v>
      </c>
      <c r="CO15" s="32">
        <f t="shared" ca="1" si="42"/>
        <v>0.6499598249284736</v>
      </c>
      <c r="CP15" s="259">
        <f t="shared" ca="1" si="43"/>
        <v>7.9999999999999996E-7</v>
      </c>
      <c r="CQ15" s="262">
        <f t="shared" ca="1" si="44"/>
        <v>7.9999999999999996E-7</v>
      </c>
      <c r="CR15" s="259">
        <f t="shared" ca="1" si="45"/>
        <v>9.2383749265051177E-7</v>
      </c>
      <c r="CS15" s="259">
        <f t="shared" ca="1" si="46"/>
        <v>2.3999999999999999E-6</v>
      </c>
      <c r="CT15" s="31">
        <f t="shared" ref="CT15" si="147">+MIN(mB,7)</f>
        <v>7</v>
      </c>
      <c r="CV15" s="13">
        <v>3</v>
      </c>
      <c r="CW15" s="477">
        <f t="shared" ca="1" si="48"/>
        <v>72</v>
      </c>
      <c r="CX15" s="477">
        <f t="shared" ca="1" si="49"/>
        <v>9</v>
      </c>
      <c r="CY15" s="477">
        <f t="shared" ca="1" si="50"/>
        <v>8</v>
      </c>
      <c r="CZ15" s="478">
        <f t="shared" ca="1" si="98"/>
        <v>0.111</v>
      </c>
    </row>
    <row r="16" spans="2:104">
      <c r="B16" s="106" t="s">
        <v>16</v>
      </c>
      <c r="C16" s="227">
        <f ca="1">S</f>
        <v>10000000</v>
      </c>
      <c r="D16" s="44"/>
      <c r="F16" s="21"/>
      <c r="G16" s="122" t="s">
        <v>187</v>
      </c>
      <c r="H16" s="291">
        <f ca="1">H14+H15</f>
        <v>0.66570029845010426</v>
      </c>
      <c r="I16" s="291"/>
      <c r="J16" s="291"/>
      <c r="M16" s="242"/>
      <c r="N16" s="5">
        <f t="shared" si="99"/>
        <v>4</v>
      </c>
      <c r="O16" s="2">
        <f t="shared" ref="O16" ca="1" si="148">+(1+iB)^-N16</f>
        <v>0.91484334525186817</v>
      </c>
      <c r="P16" s="2">
        <f t="shared" ref="P16" ca="1" si="149">+(1+iB)^-(N16+0.5)</f>
        <v>0.90472184129921518</v>
      </c>
      <c r="Q16" s="91"/>
      <c r="R16" s="20">
        <f t="shared" si="102"/>
        <v>4</v>
      </c>
      <c r="S16" s="20">
        <f t="shared" ref="S16" si="150">+IF(xB+R16&lt;=xB+nB,xB+R16,"")</f>
        <v>12</v>
      </c>
      <c r="T16" s="231">
        <f t="shared" ref="T16:U16" ca="1" si="151">IFERROR(VLOOKUP($S16,qx_table,MATCH(T$11,qx_title,0)+sexB),0)</f>
        <v>0</v>
      </c>
      <c r="U16" s="231">
        <f t="shared" ca="1" si="151"/>
        <v>1.4999999999999999E-5</v>
      </c>
      <c r="V16" s="300">
        <v>0</v>
      </c>
      <c r="W16" s="8">
        <f t="shared" ref="W16" ca="1" si="152">IF(R16=0,100000,IF(R16&gt;nB,0,W15*(1-X15)*(1-Y15)))</f>
        <v>99999.905012033792</v>
      </c>
      <c r="X16" s="233">
        <f t="shared" ca="1" si="19"/>
        <v>0</v>
      </c>
      <c r="Y16" s="235">
        <f t="shared" ca="1" si="56"/>
        <v>2.7481900000125847E-7</v>
      </c>
      <c r="Z16" s="232">
        <f t="shared" ca="1" si="106"/>
        <v>91484.247626078053</v>
      </c>
      <c r="AA16" s="232">
        <f ca="1">+SUM(Z16:Z$124)</f>
        <v>1433339.9266036979</v>
      </c>
      <c r="AB16" s="232">
        <f t="shared" ca="1" si="20"/>
        <v>0</v>
      </c>
      <c r="AC16" s="234">
        <f ca="1">+SUM(AB16:AB$124)*SSSM</f>
        <v>0</v>
      </c>
      <c r="AD16" s="209">
        <f t="shared" ref="AD16" ca="1" si="153">IF(R16&gt;nB,0,AD15*(1-X15)*(1-Y15)*(1-AE15)*(1-AF15))</f>
        <v>99993.005196785773</v>
      </c>
      <c r="AE16" s="235">
        <f t="shared" ca="1" si="21"/>
        <v>1.4999999999987246E-5</v>
      </c>
      <c r="AF16" s="235">
        <f t="shared" ca="1" si="22"/>
        <v>0</v>
      </c>
      <c r="AG16" s="232">
        <f t="shared" ca="1" si="23"/>
        <v>91477.935376014939</v>
      </c>
      <c r="AH16" s="236">
        <f ca="1">+SUM(AG16:AG$124)</f>
        <v>1432863.4243114695</v>
      </c>
      <c r="AI16" s="237">
        <f t="shared" ca="1" si="24"/>
        <v>1.3569878366790165</v>
      </c>
      <c r="AJ16" s="238">
        <f ca="1">+SUM(AB16:AB$124)*SS50J</f>
        <v>0</v>
      </c>
      <c r="AK16" s="209">
        <f t="shared" ca="1" si="58"/>
        <v>99999.905012033792</v>
      </c>
      <c r="AL16" s="257">
        <f t="shared" ref="AL16" ca="1" si="154">IFERROR(VLOOKUP($S16,qx_table,MATCH(AL$11,qx_title,0)+sexB),0)</f>
        <v>2.7481900000000005E-7</v>
      </c>
      <c r="AM16" s="131">
        <f t="shared" ca="1" si="109"/>
        <v>91484.247626078053</v>
      </c>
      <c r="AN16" s="129">
        <f t="shared" ca="1" si="110"/>
        <v>2.4863451553091515E-2</v>
      </c>
      <c r="AO16" s="129">
        <f ca="1">SUM(AN16:AN$124)*SSa</f>
        <v>0.63543144325720646</v>
      </c>
      <c r="AP16" s="70">
        <f t="shared" ca="1" si="60"/>
        <v>99999.905012033792</v>
      </c>
      <c r="AQ16" s="2">
        <f t="shared" ref="AQ16" ca="1" si="155">IFERROR(VLOOKUP($S16,qx_table,MATCH(AQ$11,qx_title,0)+sexB),0)</f>
        <v>0</v>
      </c>
      <c r="AR16" s="127">
        <f t="shared" ca="1" si="62"/>
        <v>0</v>
      </c>
      <c r="AS16" s="127">
        <f ca="1">SUM(AR16:AR$124)*SSb</f>
        <v>0</v>
      </c>
      <c r="AT16" s="70">
        <f t="shared" ca="1" si="63"/>
        <v>99999.905012033792</v>
      </c>
      <c r="AU16" s="2">
        <f t="shared" ref="AU16" ca="1" si="156">IFERROR(VLOOKUP($S16,qx_table,MATCH(AU$11,qx_title,0)+sexB),0)</f>
        <v>0</v>
      </c>
      <c r="AV16" s="268">
        <f t="shared" ca="1" si="65"/>
        <v>0</v>
      </c>
      <c r="AW16" s="131">
        <f ca="1">SUM(AV16:AV$124)*SSc</f>
        <v>0</v>
      </c>
      <c r="AX16" s="70">
        <f t="shared" ca="1" si="66"/>
        <v>99999.905012033792</v>
      </c>
      <c r="AY16" s="2">
        <f t="shared" ref="AY16" ca="1" si="157">IFERROR(VLOOKUP($S16,qx_table,MATCH(AY$11,qx_title,0)+sexB),0)</f>
        <v>0</v>
      </c>
      <c r="AZ16" s="268">
        <f t="shared" ca="1" si="68"/>
        <v>0</v>
      </c>
      <c r="BA16" s="129">
        <f ca="1">SUM(AZ16:AZ$124)*SSd</f>
        <v>0</v>
      </c>
      <c r="BB16" s="70">
        <f t="shared" ca="1" si="69"/>
        <v>99999.905012033792</v>
      </c>
      <c r="BC16" s="257">
        <f t="shared" ref="BC16" ca="1" si="158">IFERROR(VLOOKUP($S16,qx_table,MATCH(BC$11,qx_title,0)+sexB),0)</f>
        <v>0</v>
      </c>
      <c r="BD16" s="268">
        <f t="shared" ca="1" si="71"/>
        <v>0</v>
      </c>
      <c r="BE16" s="131">
        <f ca="1">SUM(BD16:BD$124)*SSe</f>
        <v>0</v>
      </c>
      <c r="BF16" s="70">
        <f t="shared" ca="1" si="72"/>
        <v>99999.905012033792</v>
      </c>
      <c r="BG16" s="2">
        <f t="shared" ref="BG16" ca="1" si="159">IFERROR(VLOOKUP($S16,qx_table,MATCH(BG$11,qx_title,0)+sexB),0)</f>
        <v>0</v>
      </c>
      <c r="BH16" s="131">
        <f t="shared" ca="1" si="74"/>
        <v>0</v>
      </c>
      <c r="BI16" s="2">
        <f ca="1">SUM(BH16:BH$124)*SSf</f>
        <v>0</v>
      </c>
      <c r="BJ16" s="70">
        <f t="shared" ca="1" si="75"/>
        <v>99999.905012033792</v>
      </c>
      <c r="BK16" s="2">
        <f t="shared" ref="BK16" ca="1" si="160">IFERROR(VLOOKUP($S16,qx_table,MATCH(BK$11,qx_title,0)+sexB),0)</f>
        <v>0</v>
      </c>
      <c r="BL16" s="131">
        <f t="shared" ca="1" si="77"/>
        <v>0</v>
      </c>
      <c r="BM16" s="131">
        <f ca="1">SUM(BL16:BL$124)*SSg</f>
        <v>0</v>
      </c>
      <c r="BN16" s="70">
        <f t="shared" ca="1" si="78"/>
        <v>99999.905012033792</v>
      </c>
      <c r="BO16" s="2">
        <f t="shared" ref="BO16" ca="1" si="161">IFERROR(VLOOKUP($S16,qx_table,MATCH(BO$11,qx_title,0)+sexB),0)</f>
        <v>0</v>
      </c>
      <c r="BP16" s="131">
        <f t="shared" ca="1" si="80"/>
        <v>0</v>
      </c>
      <c r="BQ16" s="131">
        <f ca="1">SUM(BP16:BP$124)*SSh</f>
        <v>0</v>
      </c>
      <c r="BR16" s="70">
        <f t="shared" ca="1" si="81"/>
        <v>99999.905012033792</v>
      </c>
      <c r="BS16" s="2">
        <f t="shared" ref="BS16" ca="1" si="162">IFERROR(VLOOKUP($S16,qx_table,MATCH(BS$11,qx_title,0)+sexB),0)*IF(R16=0,MCi,1)</f>
        <v>0</v>
      </c>
      <c r="BT16" s="131">
        <f t="shared" ca="1" si="83"/>
        <v>0</v>
      </c>
      <c r="BU16" s="131">
        <f ca="1">SUM(BT16:BT$124)*SSi</f>
        <v>0</v>
      </c>
      <c r="BV16" s="70">
        <f t="shared" ca="1" si="84"/>
        <v>99999.905012033792</v>
      </c>
      <c r="BW16" s="2">
        <f t="shared" ref="BW16" ca="1" si="163">IFERROR(VLOOKUP($S16,qx_table,MATCH(BW$11,qx_title,0)+sexB),0)</f>
        <v>0</v>
      </c>
      <c r="BX16" s="131">
        <f t="shared" ca="1" si="86"/>
        <v>0</v>
      </c>
      <c r="BY16" s="131">
        <f ca="1">SUM(BX16:BX$124)*SSj</f>
        <v>0</v>
      </c>
      <c r="BZ16" s="70">
        <f t="shared" ca="1" si="87"/>
        <v>99999.905012033792</v>
      </c>
      <c r="CA16" s="2">
        <f t="shared" ref="CA16" ca="1" si="164">IFERROR(VLOOKUP($S16,qx_table,MATCH(CA$11,qx_title,0)+sexB),0)</f>
        <v>0</v>
      </c>
      <c r="CB16" s="131">
        <f t="shared" ca="1" si="89"/>
        <v>0</v>
      </c>
      <c r="CC16" s="131">
        <f ca="1">SUM(CB16:CB$124)*SSk</f>
        <v>0</v>
      </c>
      <c r="CD16" s="8">
        <f t="shared" ca="1" si="90"/>
        <v>99999.905012033792</v>
      </c>
      <c r="CE16" s="2">
        <f t="shared" ref="CE16" ca="1" si="165">IFERROR(VLOOKUP($S16,qx_table,MATCH(CE$11,qx_title,0)+sexB),0)</f>
        <v>0</v>
      </c>
      <c r="CF16" s="131">
        <f t="shared" ca="1" si="92"/>
        <v>0</v>
      </c>
      <c r="CG16" s="131">
        <f ca="1">SUM(CF16:CF$124)*SSl</f>
        <v>0</v>
      </c>
      <c r="CH16" s="101">
        <f t="shared" ca="1" si="93"/>
        <v>0.63543144325720646</v>
      </c>
      <c r="CI16" s="154">
        <f t="shared" ca="1" si="37"/>
        <v>0.58593276730071875</v>
      </c>
      <c r="CJ16" s="32">
        <f t="shared" ca="1" si="38"/>
        <v>1244953.4562495267</v>
      </c>
      <c r="CK16" s="32">
        <f t="shared" ref="CK16" ca="1" si="166">+MAX(VLOOKUP(xB+$R16,기수표B,$AH$1)-VLOOKUP(xB+mB,기수표B,$AH$1)-11/24*(VLOOKUP(xB+$R16,기수표B,$AG$1)-VLOOKUP(xB+mB,기수표B,$AG$1)),0)</f>
        <v>1232377.1996076701</v>
      </c>
      <c r="CL16" s="32">
        <f t="shared" ref="CL16" ca="1" si="167">+MAX(VLOOKUP(xB+$R16,기수표B,$AA$1)-VLOOKUP(xB+mB,기수표B,$AA$1),0)</f>
        <v>1245295.8269511575</v>
      </c>
      <c r="CM16" s="32">
        <f t="shared" ref="CM16" ca="1" si="168">+MAX(VLOOKUP(xB+$R16,기수표B,$AA$1)-VLOOKUP(xB+mB,기수표B,$AA$1)-11/24*(VLOOKUP(xB+$R16,기수표B,$AA$1)-VLOOKUP(xB+mB,기수표B,$AA$1)),0)</f>
        <v>674535.23959854373</v>
      </c>
      <c r="CN16" s="239">
        <f t="shared" ca="1" si="41"/>
        <v>126752.19729130244</v>
      </c>
      <c r="CO16" s="32">
        <f t="shared" ca="1" si="42"/>
        <v>0.60453871582029606</v>
      </c>
      <c r="CP16" s="259">
        <f t="shared" ca="1" si="43"/>
        <v>1.1000000000000001E-6</v>
      </c>
      <c r="CQ16" s="262">
        <f t="shared" ca="1" si="44"/>
        <v>1.1000000000000001E-6</v>
      </c>
      <c r="CR16" s="259">
        <f t="shared" ca="1" si="45"/>
        <v>1.1821297281008358E-6</v>
      </c>
      <c r="CS16" s="260">
        <f t="shared" ca="1" si="46"/>
        <v>3.1999999999999999E-6</v>
      </c>
      <c r="CT16" s="240">
        <f t="shared" ref="CT16" si="169">+MIN(mB,7)</f>
        <v>7</v>
      </c>
      <c r="CV16" s="13">
        <v>4</v>
      </c>
      <c r="CW16" s="477">
        <f t="shared" ca="1" si="48"/>
        <v>96</v>
      </c>
      <c r="CX16" s="477">
        <f t="shared" ca="1" si="49"/>
        <v>12</v>
      </c>
      <c r="CY16" s="477">
        <f t="shared" ca="1" si="50"/>
        <v>11</v>
      </c>
      <c r="CZ16" s="478">
        <f t="shared" ca="1" si="98"/>
        <v>0.114</v>
      </c>
    </row>
    <row r="17" spans="2:104">
      <c r="B17" s="106" t="s">
        <v>29</v>
      </c>
      <c r="C17" s="118">
        <f ca="1">LEN(SB)-1</f>
        <v>7</v>
      </c>
      <c r="D17" s="44"/>
      <c r="F17" s="21"/>
      <c r="J17" s="241"/>
      <c r="L17" s="241"/>
      <c r="M17" s="242"/>
      <c r="N17" s="5">
        <f t="shared" si="99"/>
        <v>5</v>
      </c>
      <c r="O17" s="2">
        <f t="shared" ref="O17" ca="1" si="170">+(1+iB)^-N17</f>
        <v>0.89471231809473661</v>
      </c>
      <c r="P17" s="2">
        <f t="shared" ref="P17" ca="1" si="171">+(1+iB)^-(N17+0.5)</f>
        <v>0.88481353672294882</v>
      </c>
      <c r="Q17" s="91"/>
      <c r="R17" s="20">
        <f t="shared" si="102"/>
        <v>5</v>
      </c>
      <c r="S17" s="20">
        <f t="shared" ref="S17" si="172">+IF(xB+R17&lt;=xB+nB,xB+R17,"")</f>
        <v>13</v>
      </c>
      <c r="T17" s="2">
        <f t="shared" ref="T17:U17" ca="1" si="173">IFERROR(VLOOKUP($S17,qx_table,MATCH(T$11,qx_title,0)+sexB),0)</f>
        <v>0</v>
      </c>
      <c r="U17" s="2">
        <f t="shared" ca="1" si="173"/>
        <v>1.4999999999999999E-5</v>
      </c>
      <c r="V17" s="300">
        <v>0</v>
      </c>
      <c r="W17" s="8">
        <f t="shared" ref="W17" ca="1" si="174">IF(R17=0,100000,IF(R17&gt;nB,0,W16*(1-X16)*(1-Y16)))</f>
        <v>99999.877530159894</v>
      </c>
      <c r="X17" s="10">
        <f t="shared" ca="1" si="19"/>
        <v>0</v>
      </c>
      <c r="Y17" s="92">
        <f t="shared" ca="1" si="56"/>
        <v>2.9835399995015166E-7</v>
      </c>
      <c r="Z17" s="8">
        <f t="shared" ca="1" si="106"/>
        <v>89471.122234199123</v>
      </c>
      <c r="AA17" s="8">
        <f ca="1">+SUM(Z17:Z$124)</f>
        <v>1341855.6789776201</v>
      </c>
      <c r="AB17" s="8">
        <f t="shared" ca="1" si="20"/>
        <v>0</v>
      </c>
      <c r="AC17" s="209">
        <f ca="1">+SUM(AB17:AB$124)*SSSM</f>
        <v>0</v>
      </c>
      <c r="AD17" s="209">
        <f t="shared" ref="AD17" ca="1" si="175">IF(R17&gt;nB,0,AD16*(1-X16)*(1-Y16)*(1-AE16)*(1-AF16))</f>
        <v>99991.477822142318</v>
      </c>
      <c r="AE17" s="92">
        <f t="shared" ca="1" si="21"/>
        <v>1.4999999999987246E-5</v>
      </c>
      <c r="AF17" s="92">
        <f t="shared" ca="1" si="22"/>
        <v>0</v>
      </c>
      <c r="AG17" s="8">
        <f t="shared" ca="1" si="23"/>
        <v>89463.606911967407</v>
      </c>
      <c r="AH17" s="5">
        <f ca="1">+SUM(AG17:AG$124)</f>
        <v>1341385.4889354545</v>
      </c>
      <c r="AI17" s="70">
        <f t="shared" ca="1" si="24"/>
        <v>1.3271071970083324</v>
      </c>
      <c r="AJ17" s="208">
        <f ca="1">+SUM(AB17:AB$124)*SS50J</f>
        <v>0</v>
      </c>
      <c r="AK17" s="209">
        <f t="shared" ca="1" si="58"/>
        <v>99999.877530159894</v>
      </c>
      <c r="AL17" s="257">
        <f t="shared" ref="AL17" ca="1" si="176">IFERROR(VLOOKUP($S17,qx_table,MATCH(AL$11,qx_title,0)+sexB),0)</f>
        <v>2.9835399999999997E-7</v>
      </c>
      <c r="AM17" s="131">
        <f t="shared" ca="1" si="109"/>
        <v>89471.122234199123</v>
      </c>
      <c r="AN17" s="129">
        <f t="shared" ca="1" si="110"/>
        <v>2.6398733463017608E-2</v>
      </c>
      <c r="AO17" s="129">
        <f ca="1">SUM(AN17:AN$124)*SSa</f>
        <v>0.61056799170411491</v>
      </c>
      <c r="AP17" s="70">
        <f t="shared" ca="1" si="60"/>
        <v>99999.877530159894</v>
      </c>
      <c r="AQ17" s="2">
        <f t="shared" ref="AQ17" ca="1" si="177">IFERROR(VLOOKUP($S17,qx_table,MATCH(AQ$11,qx_title,0)+sexB),0)</f>
        <v>0</v>
      </c>
      <c r="AR17" s="127">
        <f t="shared" ca="1" si="62"/>
        <v>0</v>
      </c>
      <c r="AS17" s="127">
        <f ca="1">SUM(AR17:AR$124)*SSb</f>
        <v>0</v>
      </c>
      <c r="AT17" s="70">
        <f t="shared" ca="1" si="63"/>
        <v>99999.877530159894</v>
      </c>
      <c r="AU17" s="2">
        <f t="shared" ref="AU17" ca="1" si="178">IFERROR(VLOOKUP($S17,qx_table,MATCH(AU$11,qx_title,0)+sexB),0)</f>
        <v>0</v>
      </c>
      <c r="AV17" s="268">
        <f t="shared" ca="1" si="65"/>
        <v>0</v>
      </c>
      <c r="AW17" s="131">
        <f ca="1">SUM(AV17:AV$124)*SSc</f>
        <v>0</v>
      </c>
      <c r="AX17" s="70">
        <f t="shared" ca="1" si="66"/>
        <v>99999.877530159894</v>
      </c>
      <c r="AY17" s="2">
        <f t="shared" ref="AY17" ca="1" si="179">IFERROR(VLOOKUP($S17,qx_table,MATCH(AY$11,qx_title,0)+sexB),0)</f>
        <v>0</v>
      </c>
      <c r="AZ17" s="268">
        <f t="shared" ca="1" si="68"/>
        <v>0</v>
      </c>
      <c r="BA17" s="129">
        <f ca="1">SUM(AZ17:AZ$124)*SSd</f>
        <v>0</v>
      </c>
      <c r="BB17" s="70">
        <f t="shared" ca="1" si="69"/>
        <v>99999.877530159894</v>
      </c>
      <c r="BC17" s="257">
        <f t="shared" ref="BC17" ca="1" si="180">IFERROR(VLOOKUP($S17,qx_table,MATCH(BC$11,qx_title,0)+sexB),0)</f>
        <v>0</v>
      </c>
      <c r="BD17" s="268">
        <f t="shared" ca="1" si="71"/>
        <v>0</v>
      </c>
      <c r="BE17" s="131">
        <f ca="1">SUM(BD17:BD$124)*SSe</f>
        <v>0</v>
      </c>
      <c r="BF17" s="70">
        <f t="shared" ca="1" si="72"/>
        <v>99999.877530159894</v>
      </c>
      <c r="BG17" s="2">
        <f t="shared" ref="BG17" ca="1" si="181">IFERROR(VLOOKUP($S17,qx_table,MATCH(BG$11,qx_title,0)+sexB),0)</f>
        <v>0</v>
      </c>
      <c r="BH17" s="131">
        <f t="shared" ca="1" si="74"/>
        <v>0</v>
      </c>
      <c r="BI17" s="2">
        <f ca="1">SUM(BH17:BH$124)*SSf</f>
        <v>0</v>
      </c>
      <c r="BJ17" s="70">
        <f t="shared" ca="1" si="75"/>
        <v>99999.877530159894</v>
      </c>
      <c r="BK17" s="2">
        <f t="shared" ref="BK17" ca="1" si="182">IFERROR(VLOOKUP($S17,qx_table,MATCH(BK$11,qx_title,0)+sexB),0)</f>
        <v>0</v>
      </c>
      <c r="BL17" s="131">
        <f t="shared" ca="1" si="77"/>
        <v>0</v>
      </c>
      <c r="BM17" s="131">
        <f ca="1">SUM(BL17:BL$124)*SSg</f>
        <v>0</v>
      </c>
      <c r="BN17" s="70">
        <f t="shared" ca="1" si="78"/>
        <v>99999.877530159894</v>
      </c>
      <c r="BO17" s="2">
        <f t="shared" ref="BO17" ca="1" si="183">IFERROR(VLOOKUP($S17,qx_table,MATCH(BO$11,qx_title,0)+sexB),0)</f>
        <v>0</v>
      </c>
      <c r="BP17" s="131">
        <f t="shared" ca="1" si="80"/>
        <v>0</v>
      </c>
      <c r="BQ17" s="131">
        <f ca="1">SUM(BP17:BP$124)*SSh</f>
        <v>0</v>
      </c>
      <c r="BR17" s="70">
        <f t="shared" ca="1" si="81"/>
        <v>99999.877530159894</v>
      </c>
      <c r="BS17" s="2">
        <f t="shared" ref="BS17" ca="1" si="184">IFERROR(VLOOKUP($S17,qx_table,MATCH(BS$11,qx_title,0)+sexB),0)*IF(R17=0,MCi,1)</f>
        <v>0</v>
      </c>
      <c r="BT17" s="131">
        <f t="shared" ca="1" si="83"/>
        <v>0</v>
      </c>
      <c r="BU17" s="131">
        <f ca="1">SUM(BT17:BT$124)*SSi</f>
        <v>0</v>
      </c>
      <c r="BV17" s="70">
        <f t="shared" ca="1" si="84"/>
        <v>99999.877530159894</v>
      </c>
      <c r="BW17" s="2">
        <f t="shared" ref="BW17" ca="1" si="185">IFERROR(VLOOKUP($S17,qx_table,MATCH(BW$11,qx_title,0)+sexB),0)</f>
        <v>0</v>
      </c>
      <c r="BX17" s="131">
        <f t="shared" ca="1" si="86"/>
        <v>0</v>
      </c>
      <c r="BY17" s="131">
        <f ca="1">SUM(BX17:BX$124)*SSj</f>
        <v>0</v>
      </c>
      <c r="BZ17" s="70">
        <f t="shared" ca="1" si="87"/>
        <v>99999.877530159894</v>
      </c>
      <c r="CA17" s="2">
        <f t="shared" ref="CA17" ca="1" si="186">IFERROR(VLOOKUP($S17,qx_table,MATCH(CA$11,qx_title,0)+sexB),0)</f>
        <v>0</v>
      </c>
      <c r="CB17" s="131">
        <f t="shared" ca="1" si="89"/>
        <v>0</v>
      </c>
      <c r="CC17" s="131">
        <f ca="1">SUM(CB17:CB$124)*SSk</f>
        <v>0</v>
      </c>
      <c r="CD17" s="8">
        <f t="shared" ca="1" si="90"/>
        <v>99999.877530159894</v>
      </c>
      <c r="CE17" s="2">
        <f t="shared" ref="CE17" ca="1" si="187">IFERROR(VLOOKUP($S17,qx_table,MATCH(CE$11,qx_title,0)+sexB),0)</f>
        <v>0</v>
      </c>
      <c r="CF17" s="131">
        <f t="shared" ca="1" si="92"/>
        <v>0</v>
      </c>
      <c r="CG17" s="131">
        <f ca="1">SUM(CF17:CF$124)*SSl</f>
        <v>0</v>
      </c>
      <c r="CH17" s="101">
        <f t="shared" ca="1" si="93"/>
        <v>0.61056799170411491</v>
      </c>
      <c r="CI17" s="154">
        <f t="shared" ca="1" si="37"/>
        <v>0.5610693157476272</v>
      </c>
      <c r="CJ17" s="32">
        <f t="shared" ca="1" si="38"/>
        <v>1153475.5208735117</v>
      </c>
      <c r="CK17" s="32">
        <f t="shared" ref="CK17" ca="1" si="188">+MAX(VLOOKUP(xB+$R17,기수표B,$AH$1)-VLOOKUP(xB+mB,기수표B,$AH$1)-11/24*(VLOOKUP(xB+$R17,기수표B,$AG$1)-VLOOKUP(xB+mB,기수표B,$AG$1)),0)</f>
        <v>1141822.4981110101</v>
      </c>
      <c r="CL17" s="32">
        <f t="shared" ref="CL17" ca="1" si="189">+MAX(VLOOKUP(xB+$R17,기수표B,$AA$1)-VLOOKUP(xB+mB,기수표B,$AA$1),0)</f>
        <v>1153811.5793250797</v>
      </c>
      <c r="CM17" s="32">
        <f t="shared" ref="CM17" ca="1" si="190">+MAX(VLOOKUP(xB+$R17,기수표B,$AA$1)-VLOOKUP(xB+mB,기수표B,$AA$1)-11/24*(VLOOKUP(xB+$R17,기수표B,$AA$1)-VLOOKUP(xB+mB,기수표B,$AA$1)),0)</f>
        <v>624981.27213441813</v>
      </c>
      <c r="CN17" s="32">
        <f t="shared" ca="1" si="41"/>
        <v>126752.19729130244</v>
      </c>
      <c r="CO17" s="32">
        <f t="shared" ca="1" si="42"/>
        <v>0.5601178153436569</v>
      </c>
      <c r="CP17" s="259">
        <f t="shared" ca="1" si="43"/>
        <v>1.3E-6</v>
      </c>
      <c r="CQ17" s="262">
        <f t="shared" ca="1" si="44"/>
        <v>1.3E-6</v>
      </c>
      <c r="CR17" s="259">
        <f t="shared" ca="1" si="45"/>
        <v>1.427317490899423E-6</v>
      </c>
      <c r="CS17" s="259">
        <f t="shared" ca="1" si="46"/>
        <v>3.9999999999999998E-6</v>
      </c>
      <c r="CT17" s="31">
        <f t="shared" ref="CT17" si="191">+MIN(mB,7)</f>
        <v>7</v>
      </c>
      <c r="CV17" s="13">
        <v>5</v>
      </c>
      <c r="CW17" s="477">
        <f t="shared" ca="1" si="48"/>
        <v>120</v>
      </c>
      <c r="CX17" s="477">
        <f t="shared" ca="1" si="49"/>
        <v>14</v>
      </c>
      <c r="CY17" s="477">
        <f t="shared" ca="1" si="50"/>
        <v>13</v>
      </c>
      <c r="CZ17" s="478">
        <f t="shared" ca="1" si="98"/>
        <v>0.108</v>
      </c>
    </row>
    <row r="18" spans="2:104">
      <c r="F18" s="16"/>
      <c r="G18" s="13" t="s">
        <v>76</v>
      </c>
      <c r="I18" s="16"/>
      <c r="K18" s="16"/>
      <c r="L18" s="13" t="s">
        <v>19</v>
      </c>
      <c r="M18" s="242"/>
      <c r="N18" s="5">
        <f t="shared" si="99"/>
        <v>6</v>
      </c>
      <c r="O18" s="2">
        <f t="shared" ref="O18" ca="1" si="192">+(1+iB)^-N18</f>
        <v>0.87502427197529253</v>
      </c>
      <c r="P18" s="2">
        <f t="shared" ref="P18" ca="1" si="193">+(1+iB)^-(N18+0.5)</f>
        <v>0.86534331219848315</v>
      </c>
      <c r="Q18" s="91"/>
      <c r="R18" s="20">
        <f t="shared" si="102"/>
        <v>6</v>
      </c>
      <c r="S18" s="20">
        <f t="shared" ref="S18" si="194">+IF(xB+R18&lt;=xB+nB,xB+R18,"")</f>
        <v>14</v>
      </c>
      <c r="T18" s="2">
        <f t="shared" ref="T18:U18" ca="1" si="195">IFERROR(VLOOKUP($S18,qx_table,MATCH(T$11,qx_title,0)+sexB),0)</f>
        <v>0</v>
      </c>
      <c r="U18" s="2">
        <f t="shared" ca="1" si="195"/>
        <v>1.4000000000000001E-5</v>
      </c>
      <c r="V18" s="300">
        <v>0</v>
      </c>
      <c r="W18" s="8">
        <f t="shared" ref="W18" ca="1" si="196">IF(R18=0,100000,IF(R18&gt;nB,0,W17*(1-X17)*(1-Y17)))</f>
        <v>99999.847694796437</v>
      </c>
      <c r="X18" s="10">
        <f t="shared" ca="1" si="19"/>
        <v>0</v>
      </c>
      <c r="Y18" s="92">
        <f t="shared" ca="1" si="56"/>
        <v>3.2724800003158805E-7</v>
      </c>
      <c r="Z18" s="8">
        <f t="shared" ca="1" si="106"/>
        <v>87502.293926779384</v>
      </c>
      <c r="AA18" s="8">
        <f ca="1">+SUM(Z18:Z$124)</f>
        <v>1252384.5567434211</v>
      </c>
      <c r="AB18" s="8">
        <f t="shared" ca="1" si="20"/>
        <v>0</v>
      </c>
      <c r="AC18" s="209">
        <f ca="1">+SUM(AB18:AB$124)*SSSM</f>
        <v>0</v>
      </c>
      <c r="AD18" s="209">
        <f t="shared" ref="AD18" ca="1" si="197">IF(R18&gt;nB,0,AD17*(1-X17)*(1-Y17)*(1-AE17)*(1-AF17))</f>
        <v>99989.948117565116</v>
      </c>
      <c r="AE18" s="92">
        <f t="shared" ca="1" si="21"/>
        <v>1.399999999995849E-5</v>
      </c>
      <c r="AF18" s="92">
        <f t="shared" ca="1" si="22"/>
        <v>0</v>
      </c>
      <c r="AG18" s="8">
        <f t="shared" ca="1" si="23"/>
        <v>87493.631556419685</v>
      </c>
      <c r="AH18" s="5">
        <f ca="1">+SUM(AG18:AG$124)</f>
        <v>1251921.8820234872</v>
      </c>
      <c r="AI18" s="70">
        <f t="shared" ca="1" si="24"/>
        <v>1.2113588604649241</v>
      </c>
      <c r="AJ18" s="208">
        <f ca="1">+SUM(AB18:AB$124)*SS50J</f>
        <v>0</v>
      </c>
      <c r="AK18" s="209">
        <f t="shared" ca="1" si="58"/>
        <v>99999.847694796437</v>
      </c>
      <c r="AL18" s="257">
        <f t="shared" ref="AL18" ca="1" si="198">IFERROR(VLOOKUP($S18,qx_table,MATCH(AL$11,qx_title,0)+sexB),0)</f>
        <v>3.2724800000000002E-7</v>
      </c>
      <c r="AM18" s="131">
        <f t="shared" ca="1" si="109"/>
        <v>87502.293926779384</v>
      </c>
      <c r="AN18" s="129">
        <f t="shared" ca="1" si="110"/>
        <v>2.8318143692960838E-2</v>
      </c>
      <c r="AO18" s="129">
        <f ca="1">SUM(AN18:AN$124)*SSa</f>
        <v>0.58416925824109733</v>
      </c>
      <c r="AP18" s="70">
        <f t="shared" ca="1" si="60"/>
        <v>99999.847694796437</v>
      </c>
      <c r="AQ18" s="2">
        <f t="shared" ref="AQ18" ca="1" si="199">IFERROR(VLOOKUP($S18,qx_table,MATCH(AQ$11,qx_title,0)+sexB),0)</f>
        <v>0</v>
      </c>
      <c r="AR18" s="127">
        <f t="shared" ca="1" si="62"/>
        <v>0</v>
      </c>
      <c r="AS18" s="127">
        <f ca="1">SUM(AR18:AR$124)*SSb</f>
        <v>0</v>
      </c>
      <c r="AT18" s="70">
        <f t="shared" ca="1" si="63"/>
        <v>99999.847694796437</v>
      </c>
      <c r="AU18" s="2">
        <f t="shared" ref="AU18" ca="1" si="200">IFERROR(VLOOKUP($S18,qx_table,MATCH(AU$11,qx_title,0)+sexB),0)</f>
        <v>0</v>
      </c>
      <c r="AV18" s="268">
        <f t="shared" ca="1" si="65"/>
        <v>0</v>
      </c>
      <c r="AW18" s="131">
        <f ca="1">SUM(AV18:AV$124)*SSc</f>
        <v>0</v>
      </c>
      <c r="AX18" s="70">
        <f t="shared" ca="1" si="66"/>
        <v>99999.847694796437</v>
      </c>
      <c r="AY18" s="2">
        <f t="shared" ref="AY18" ca="1" si="201">IFERROR(VLOOKUP($S18,qx_table,MATCH(AY$11,qx_title,0)+sexB),0)</f>
        <v>0</v>
      </c>
      <c r="AZ18" s="268">
        <f t="shared" ca="1" si="68"/>
        <v>0</v>
      </c>
      <c r="BA18" s="129">
        <f ca="1">SUM(AZ18:AZ$124)*SSd</f>
        <v>0</v>
      </c>
      <c r="BB18" s="70">
        <f t="shared" ca="1" si="69"/>
        <v>99999.847694796437</v>
      </c>
      <c r="BC18" s="257">
        <f t="shared" ref="BC18" ca="1" si="202">IFERROR(VLOOKUP($S18,qx_table,MATCH(BC$11,qx_title,0)+sexB),0)</f>
        <v>0</v>
      </c>
      <c r="BD18" s="268">
        <f t="shared" ca="1" si="71"/>
        <v>0</v>
      </c>
      <c r="BE18" s="131">
        <f ca="1">SUM(BD18:BD$124)*SSe</f>
        <v>0</v>
      </c>
      <c r="BF18" s="70">
        <f t="shared" ca="1" si="72"/>
        <v>99999.847694796437</v>
      </c>
      <c r="BG18" s="2">
        <f t="shared" ref="BG18" ca="1" si="203">IFERROR(VLOOKUP($S18,qx_table,MATCH(BG$11,qx_title,0)+sexB),0)</f>
        <v>0</v>
      </c>
      <c r="BH18" s="131">
        <f t="shared" ca="1" si="74"/>
        <v>0</v>
      </c>
      <c r="BI18" s="2">
        <f ca="1">SUM(BH18:BH$124)*SSf</f>
        <v>0</v>
      </c>
      <c r="BJ18" s="70">
        <f t="shared" ca="1" si="75"/>
        <v>99999.847694796437</v>
      </c>
      <c r="BK18" s="2">
        <f t="shared" ref="BK18" ca="1" si="204">IFERROR(VLOOKUP($S18,qx_table,MATCH(BK$11,qx_title,0)+sexB),0)</f>
        <v>0</v>
      </c>
      <c r="BL18" s="131">
        <f t="shared" ca="1" si="77"/>
        <v>0</v>
      </c>
      <c r="BM18" s="131">
        <f ca="1">SUM(BL18:BL$124)*SSg</f>
        <v>0</v>
      </c>
      <c r="BN18" s="70">
        <f t="shared" ca="1" si="78"/>
        <v>99999.847694796437</v>
      </c>
      <c r="BO18" s="2">
        <f t="shared" ref="BO18" ca="1" si="205">IFERROR(VLOOKUP($S18,qx_table,MATCH(BO$11,qx_title,0)+sexB),0)</f>
        <v>0</v>
      </c>
      <c r="BP18" s="131">
        <f t="shared" ca="1" si="80"/>
        <v>0</v>
      </c>
      <c r="BQ18" s="131">
        <f ca="1">SUM(BP18:BP$124)*SSh</f>
        <v>0</v>
      </c>
      <c r="BR18" s="70">
        <f t="shared" ca="1" si="81"/>
        <v>99999.847694796437</v>
      </c>
      <c r="BS18" s="2">
        <f t="shared" ref="BS18" ca="1" si="206">IFERROR(VLOOKUP($S18,qx_table,MATCH(BS$11,qx_title,0)+sexB),0)*IF(R18=0,MCi,1)</f>
        <v>0</v>
      </c>
      <c r="BT18" s="131">
        <f t="shared" ca="1" si="83"/>
        <v>0</v>
      </c>
      <c r="BU18" s="131">
        <f ca="1">SUM(BT18:BT$124)*SSi</f>
        <v>0</v>
      </c>
      <c r="BV18" s="70">
        <f t="shared" ca="1" si="84"/>
        <v>99999.847694796437</v>
      </c>
      <c r="BW18" s="2">
        <f t="shared" ref="BW18" ca="1" si="207">IFERROR(VLOOKUP($S18,qx_table,MATCH(BW$11,qx_title,0)+sexB),0)</f>
        <v>0</v>
      </c>
      <c r="BX18" s="131">
        <f t="shared" ca="1" si="86"/>
        <v>0</v>
      </c>
      <c r="BY18" s="131">
        <f ca="1">SUM(BX18:BX$124)*SSj</f>
        <v>0</v>
      </c>
      <c r="BZ18" s="70">
        <f t="shared" ca="1" si="87"/>
        <v>99999.847694796437</v>
      </c>
      <c r="CA18" s="2">
        <f t="shared" ref="CA18" ca="1" si="208">IFERROR(VLOOKUP($S18,qx_table,MATCH(CA$11,qx_title,0)+sexB),0)</f>
        <v>0</v>
      </c>
      <c r="CB18" s="131">
        <f t="shared" ca="1" si="89"/>
        <v>0</v>
      </c>
      <c r="CC18" s="131">
        <f ca="1">SUM(CB18:CB$124)*SSk</f>
        <v>0</v>
      </c>
      <c r="CD18" s="8">
        <f t="shared" ca="1" si="90"/>
        <v>99999.847694796437</v>
      </c>
      <c r="CE18" s="2">
        <f t="shared" ref="CE18" ca="1" si="209">IFERROR(VLOOKUP($S18,qx_table,MATCH(CE$11,qx_title,0)+sexB),0)</f>
        <v>0</v>
      </c>
      <c r="CF18" s="131">
        <f t="shared" ca="1" si="92"/>
        <v>0</v>
      </c>
      <c r="CG18" s="131">
        <f ca="1">SUM(CF18:CF$124)*SSl</f>
        <v>0</v>
      </c>
      <c r="CH18" s="101">
        <f t="shared" ca="1" si="93"/>
        <v>0.58416925824109733</v>
      </c>
      <c r="CI18" s="154">
        <f t="shared" ca="1" si="37"/>
        <v>0.53467058228460962</v>
      </c>
      <c r="CJ18" s="32">
        <f t="shared" ca="1" si="38"/>
        <v>1064011.9139615444</v>
      </c>
      <c r="CK18" s="32">
        <f t="shared" ref="CK18" ca="1" si="210">+MAX(VLOOKUP(xB+$R18,기수표B,$AH$1)-VLOOKUP(xB+mB,기수표B,$AH$1)-11/24*(VLOOKUP(xB+$R18,기수표B,$AG$1)-VLOOKUP(xB+mB,기수표B,$AG$1)),0)</f>
        <v>1053261.7965703355</v>
      </c>
      <c r="CL18" s="32">
        <f t="shared" ref="CL18" ca="1" si="211">+MAX(VLOOKUP(xB+$R18,기수표B,$AA$1)-VLOOKUP(xB+mB,기수표B,$AA$1),0)</f>
        <v>1064340.4570908807</v>
      </c>
      <c r="CM18" s="32">
        <f t="shared" ref="CM18" ca="1" si="212">+MAX(VLOOKUP(xB+$R18,기수표B,$AA$1)-VLOOKUP(xB+mB,기수표B,$AA$1)-11/24*(VLOOKUP(xB+$R18,기수표B,$AA$1)-VLOOKUP(xB+mB,기수표B,$AA$1)),0)</f>
        <v>576517.74759089376</v>
      </c>
      <c r="CN18" s="32">
        <f t="shared" ca="1" si="41"/>
        <v>126752.19729130244</v>
      </c>
      <c r="CO18" s="32">
        <f t="shared" ca="1" si="42"/>
        <v>0.51667505548487203</v>
      </c>
      <c r="CP18" s="259">
        <f t="shared" ca="1" si="43"/>
        <v>1.5999999999999999E-6</v>
      </c>
      <c r="CQ18" s="262">
        <f t="shared" ca="1" si="44"/>
        <v>1.5999999999999999E-6</v>
      </c>
      <c r="CR18" s="259">
        <f t="shared" ca="1" si="45"/>
        <v>1.6542163364558502E-6</v>
      </c>
      <c r="CS18" s="259">
        <f t="shared" ca="1" si="46"/>
        <v>4.7999999999999998E-6</v>
      </c>
      <c r="CT18" s="31">
        <f t="shared" ref="CT18" si="213">+MIN(mB,7)</f>
        <v>7</v>
      </c>
      <c r="CV18" s="13">
        <v>6</v>
      </c>
      <c r="CW18" s="477">
        <f t="shared" ca="1" si="48"/>
        <v>144</v>
      </c>
      <c r="CX18" s="477">
        <f t="shared" ca="1" si="49"/>
        <v>17</v>
      </c>
      <c r="CY18" s="477">
        <f t="shared" ca="1" si="50"/>
        <v>16</v>
      </c>
      <c r="CZ18" s="478">
        <f t="shared" ca="1" si="98"/>
        <v>0.111</v>
      </c>
    </row>
    <row r="19" spans="2:104">
      <c r="C19" s="44"/>
      <c r="D19" s="44"/>
      <c r="F19" s="16"/>
      <c r="G19" s="18"/>
      <c r="H19" s="66" t="s">
        <v>540</v>
      </c>
      <c r="I19" s="66"/>
      <c r="J19" s="66"/>
      <c r="K19" s="66" t="s">
        <v>70</v>
      </c>
      <c r="L19" s="66" t="s">
        <v>71</v>
      </c>
      <c r="M19" s="242"/>
      <c r="N19" s="5">
        <f t="shared" si="99"/>
        <v>7</v>
      </c>
      <c r="O19" s="2">
        <f t="shared" ref="O19" ca="1" si="214">+(1+iB)^-N19</f>
        <v>0.8557694591445405</v>
      </c>
      <c r="P19" s="2">
        <f t="shared" ref="P19" ca="1" si="215">+(1+iB)^-(N19+0.5)</f>
        <v>0.84630152782247736</v>
      </c>
      <c r="Q19" s="91"/>
      <c r="R19" s="20">
        <f t="shared" si="102"/>
        <v>7</v>
      </c>
      <c r="S19" s="20">
        <f t="shared" ref="S19" si="216">+IF(xB+R19&lt;=xB+nB,xB+R19,"")</f>
        <v>15</v>
      </c>
      <c r="T19" s="2">
        <f t="shared" ref="T19:U19" ca="1" si="217">IFERROR(VLOOKUP($S19,qx_table,MATCH(T$11,qx_title,0)+sexB),0)</f>
        <v>0</v>
      </c>
      <c r="U19" s="2">
        <f t="shared" ca="1" si="217"/>
        <v>3.3000000000000003E-5</v>
      </c>
      <c r="V19" s="300">
        <v>0</v>
      </c>
      <c r="W19" s="8">
        <f t="shared" ref="W19" ca="1" si="218">IF(R19=0,100000,IF(R19&gt;nB,0,W18*(1-X18)*(1-Y18)))</f>
        <v>99999.814970046282</v>
      </c>
      <c r="X19" s="10">
        <f t="shared" ca="1" si="19"/>
        <v>0</v>
      </c>
      <c r="Y19" s="92">
        <f t="shared" ca="1" si="56"/>
        <v>3.4194599995984731E-7</v>
      </c>
      <c r="Z19" s="8">
        <f t="shared" ca="1" si="106"/>
        <v>85576.787571470632</v>
      </c>
      <c r="AA19" s="8">
        <f ca="1">+SUM(Z19:Z$124)</f>
        <v>1164882.2628166417</v>
      </c>
      <c r="AB19" s="8">
        <f t="shared" ca="1" si="20"/>
        <v>0</v>
      </c>
      <c r="AC19" s="209">
        <f ca="1">+SUM(AB19:AB$124)*SSSM</f>
        <v>0</v>
      </c>
      <c r="AD19" s="209">
        <f t="shared" ref="AD19" ca="1" si="219">IF(R19&gt;nB,0,AD18*(1-X18)*(1-Y18)*(1-AE18)*(1-AF18))</f>
        <v>99988.515537239029</v>
      </c>
      <c r="AE19" s="92">
        <f t="shared" ca="1" si="21"/>
        <v>3.2999999999949736E-5</v>
      </c>
      <c r="AF19" s="92">
        <f t="shared" ca="1" si="22"/>
        <v>0</v>
      </c>
      <c r="AG19" s="8">
        <f t="shared" ca="1" si="23"/>
        <v>85567.117861968523</v>
      </c>
      <c r="AH19" s="5">
        <f ca="1">+SUM(AG19:AG$124)</f>
        <v>1164428.2504670674</v>
      </c>
      <c r="AI19" s="70">
        <f t="shared" ca="1" si="24"/>
        <v>2.7924743043033544</v>
      </c>
      <c r="AJ19" s="208">
        <f ca="1">+SUM(AB19:AB$124)*SS50J</f>
        <v>0</v>
      </c>
      <c r="AK19" s="209">
        <f t="shared" ca="1" si="58"/>
        <v>99999.814970046282</v>
      </c>
      <c r="AL19" s="257">
        <f t="shared" ref="AL19" ca="1" si="220">IFERROR(VLOOKUP($S19,qx_table,MATCH(AL$11,qx_title,0)+sexB),0)</f>
        <v>3.4194600000000001E-7</v>
      </c>
      <c r="AM19" s="131">
        <f t="shared" ca="1" si="109"/>
        <v>85576.787571470632</v>
      </c>
      <c r="AN19" s="129">
        <f t="shared" ca="1" si="110"/>
        <v>2.8938888677567085E-2</v>
      </c>
      <c r="AO19" s="129">
        <f ca="1">SUM(AN19:AN$124)*SSa</f>
        <v>0.5558511145481364</v>
      </c>
      <c r="AP19" s="70">
        <f t="shared" ca="1" si="60"/>
        <v>99999.814970046282</v>
      </c>
      <c r="AQ19" s="2">
        <f t="shared" ref="AQ19" ca="1" si="221">IFERROR(VLOOKUP($S19,qx_table,MATCH(AQ$11,qx_title,0)+sexB),0)</f>
        <v>0</v>
      </c>
      <c r="AR19" s="127">
        <f t="shared" ca="1" si="62"/>
        <v>0</v>
      </c>
      <c r="AS19" s="127">
        <f ca="1">SUM(AR19:AR$124)*SSb</f>
        <v>0</v>
      </c>
      <c r="AT19" s="70">
        <f t="shared" ca="1" si="63"/>
        <v>99999.814970046282</v>
      </c>
      <c r="AU19" s="2">
        <f t="shared" ref="AU19" ca="1" si="222">IFERROR(VLOOKUP($S19,qx_table,MATCH(AU$11,qx_title,0)+sexB),0)</f>
        <v>0</v>
      </c>
      <c r="AV19" s="268">
        <f t="shared" ca="1" si="65"/>
        <v>0</v>
      </c>
      <c r="AW19" s="131">
        <f ca="1">SUM(AV19:AV$124)*SSc</f>
        <v>0</v>
      </c>
      <c r="AX19" s="70">
        <f t="shared" ca="1" si="66"/>
        <v>99999.814970046282</v>
      </c>
      <c r="AY19" s="2">
        <f t="shared" ref="AY19" ca="1" si="223">IFERROR(VLOOKUP($S19,qx_table,MATCH(AY$11,qx_title,0)+sexB),0)</f>
        <v>0</v>
      </c>
      <c r="AZ19" s="268">
        <f t="shared" ca="1" si="68"/>
        <v>0</v>
      </c>
      <c r="BA19" s="129">
        <f ca="1">SUM(AZ19:AZ$124)*SSd</f>
        <v>0</v>
      </c>
      <c r="BB19" s="70">
        <f t="shared" ca="1" si="69"/>
        <v>99999.814970046282</v>
      </c>
      <c r="BC19" s="257">
        <f t="shared" ref="BC19" ca="1" si="224">IFERROR(VLOOKUP($S19,qx_table,MATCH(BC$11,qx_title,0)+sexB),0)</f>
        <v>0</v>
      </c>
      <c r="BD19" s="268">
        <f t="shared" ca="1" si="71"/>
        <v>0</v>
      </c>
      <c r="BE19" s="131">
        <f ca="1">SUM(BD19:BD$124)*SSe</f>
        <v>0</v>
      </c>
      <c r="BF19" s="70">
        <f t="shared" ca="1" si="72"/>
        <v>99999.814970046282</v>
      </c>
      <c r="BG19" s="2">
        <f t="shared" ref="BG19" ca="1" si="225">IFERROR(VLOOKUP($S19,qx_table,MATCH(BG$11,qx_title,0)+sexB),0)</f>
        <v>0</v>
      </c>
      <c r="BH19" s="131">
        <f t="shared" ca="1" si="74"/>
        <v>0</v>
      </c>
      <c r="BI19" s="2">
        <f ca="1">SUM(BH19:BH$124)*SSf</f>
        <v>0</v>
      </c>
      <c r="BJ19" s="70">
        <f t="shared" ca="1" si="75"/>
        <v>99999.814970046282</v>
      </c>
      <c r="BK19" s="2">
        <f t="shared" ref="BK19" ca="1" si="226">IFERROR(VLOOKUP($S19,qx_table,MATCH(BK$11,qx_title,0)+sexB),0)</f>
        <v>0</v>
      </c>
      <c r="BL19" s="131">
        <f t="shared" ca="1" si="77"/>
        <v>0</v>
      </c>
      <c r="BM19" s="131">
        <f ca="1">SUM(BL19:BL$124)*SSg</f>
        <v>0</v>
      </c>
      <c r="BN19" s="70">
        <f t="shared" ca="1" si="78"/>
        <v>99999.814970046282</v>
      </c>
      <c r="BO19" s="2">
        <f t="shared" ref="BO19" ca="1" si="227">IFERROR(VLOOKUP($S19,qx_table,MATCH(BO$11,qx_title,0)+sexB),0)</f>
        <v>0</v>
      </c>
      <c r="BP19" s="131">
        <f t="shared" ca="1" si="80"/>
        <v>0</v>
      </c>
      <c r="BQ19" s="131">
        <f ca="1">SUM(BP19:BP$124)*SSh</f>
        <v>0</v>
      </c>
      <c r="BR19" s="70">
        <f t="shared" ca="1" si="81"/>
        <v>99999.814970046282</v>
      </c>
      <c r="BS19" s="2">
        <f t="shared" ref="BS19" ca="1" si="228">IFERROR(VLOOKUP($S19,qx_table,MATCH(BS$11,qx_title,0)+sexB),0)*IF(R19=0,MCi,1)</f>
        <v>0</v>
      </c>
      <c r="BT19" s="131">
        <f t="shared" ca="1" si="83"/>
        <v>0</v>
      </c>
      <c r="BU19" s="131">
        <f ca="1">SUM(BT19:BT$124)*SSi</f>
        <v>0</v>
      </c>
      <c r="BV19" s="70">
        <f t="shared" ca="1" si="84"/>
        <v>99999.814970046282</v>
      </c>
      <c r="BW19" s="2">
        <f t="shared" ref="BW19" ca="1" si="229">IFERROR(VLOOKUP($S19,qx_table,MATCH(BW$11,qx_title,0)+sexB),0)</f>
        <v>0</v>
      </c>
      <c r="BX19" s="131">
        <f t="shared" ca="1" si="86"/>
        <v>0</v>
      </c>
      <c r="BY19" s="131">
        <f ca="1">SUM(BX19:BX$124)*SSj</f>
        <v>0</v>
      </c>
      <c r="BZ19" s="70">
        <f t="shared" ca="1" si="87"/>
        <v>99999.814970046282</v>
      </c>
      <c r="CA19" s="2">
        <f t="shared" ref="CA19" ca="1" si="230">IFERROR(VLOOKUP($S19,qx_table,MATCH(CA$11,qx_title,0)+sexB),0)</f>
        <v>0</v>
      </c>
      <c r="CB19" s="131">
        <f t="shared" ca="1" si="89"/>
        <v>0</v>
      </c>
      <c r="CC19" s="131">
        <f ca="1">SUM(CB19:CB$124)*SSk</f>
        <v>0</v>
      </c>
      <c r="CD19" s="8">
        <f t="shared" ca="1" si="90"/>
        <v>99999.814970046282</v>
      </c>
      <c r="CE19" s="2">
        <f t="shared" ref="CE19" ca="1" si="231">IFERROR(VLOOKUP($S19,qx_table,MATCH(CE$11,qx_title,0)+sexB),0)</f>
        <v>0</v>
      </c>
      <c r="CF19" s="131">
        <f t="shared" ca="1" si="92"/>
        <v>0</v>
      </c>
      <c r="CG19" s="131">
        <f ca="1">SUM(CF19:CF$124)*SSl</f>
        <v>0</v>
      </c>
      <c r="CH19" s="101">
        <f t="shared" ca="1" si="93"/>
        <v>0.5558511145481364</v>
      </c>
      <c r="CI19" s="154">
        <f t="shared" ca="1" si="37"/>
        <v>0.50635243859164869</v>
      </c>
      <c r="CJ19" s="32">
        <f t="shared" ca="1" si="38"/>
        <v>976518.28240512451</v>
      </c>
      <c r="CK19" s="32">
        <f t="shared" ref="CK19" ca="1" si="232">+MAX(VLOOKUP(xB+$R19,기수표B,$AH$1)-VLOOKUP(xB+mB,기수표B,$AH$1)-11/24*(VLOOKUP(xB+$R19,기수표B,$AG$1)-VLOOKUP(xB+mB,기수표B,$AG$1)),0)</f>
        <v>966651.15045720572</v>
      </c>
      <c r="CL19" s="32">
        <f t="shared" ref="CL19" ca="1" si="233">+MAX(VLOOKUP(xB+$R19,기수표B,$AA$1)-VLOOKUP(xB+mB,기수표B,$AA$1),0)</f>
        <v>976838.16316410131</v>
      </c>
      <c r="CM19" s="32">
        <f t="shared" ref="CM19" ca="1" si="234">+MAX(VLOOKUP(xB+$R19,기수표B,$AA$1)-VLOOKUP(xB+mB,기수표B,$AA$1)-11/24*(VLOOKUP(xB+$R19,기수표B,$AA$1)-VLOOKUP(xB+mB,기수표B,$AA$1)),0)</f>
        <v>529120.67171388818</v>
      </c>
      <c r="CN19" s="32">
        <f t="shared" ca="1" si="41"/>
        <v>126752.19729130244</v>
      </c>
      <c r="CO19" s="32">
        <f t="shared" ca="1" si="42"/>
        <v>0.47418889875503295</v>
      </c>
      <c r="CP19" s="259">
        <f t="shared" ca="1" si="43"/>
        <v>1.9E-6</v>
      </c>
      <c r="CQ19" s="262">
        <f t="shared" ca="1" si="44"/>
        <v>1.9E-6</v>
      </c>
      <c r="CR19" s="259">
        <f t="shared" ca="1" si="45"/>
        <v>1.8569958237237809E-6</v>
      </c>
      <c r="CS19" s="259">
        <f t="shared" ca="1" si="46"/>
        <v>5.5999999999999997E-6</v>
      </c>
      <c r="CT19" s="31">
        <f t="shared" ref="CT19" si="235">+MIN(mB,7)</f>
        <v>7</v>
      </c>
      <c r="CV19" s="13">
        <v>7</v>
      </c>
      <c r="CW19" s="477">
        <f t="shared" ca="1" si="48"/>
        <v>168</v>
      </c>
      <c r="CX19" s="477">
        <f t="shared" ca="1" si="49"/>
        <v>19</v>
      </c>
      <c r="CY19" s="477">
        <f t="shared" ca="1" si="50"/>
        <v>19</v>
      </c>
      <c r="CZ19" s="478">
        <f t="shared" ca="1" si="98"/>
        <v>0.113</v>
      </c>
    </row>
    <row r="20" spans="2:104">
      <c r="B20" s="124" t="s">
        <v>45</v>
      </c>
      <c r="C20" s="121">
        <f>MAIN!I9</f>
        <v>0</v>
      </c>
      <c r="D20" s="44" t="s">
        <v>526</v>
      </c>
      <c r="F20" s="600" t="s">
        <v>68</v>
      </c>
      <c r="G20" s="69" t="s">
        <v>158</v>
      </c>
      <c r="H20" s="230">
        <f ca="1">+$H$11-$I$11-11/24*($H$10-$I$10)</f>
        <v>1615450.4552612284</v>
      </c>
      <c r="I20" s="230"/>
      <c r="J20" s="230"/>
      <c r="K20" s="228">
        <f ca="1">H11-I11</f>
        <v>1631932.6581890783</v>
      </c>
      <c r="L20" s="228">
        <f ca="1">K20</f>
        <v>1631932.6581890783</v>
      </c>
      <c r="M20" s="242"/>
      <c r="N20" s="5">
        <f t="shared" si="99"/>
        <v>8</v>
      </c>
      <c r="O20" s="2">
        <f t="shared" ref="O20" ca="1" si="236">+(1+iB)^-N20</f>
        <v>0.836938346351629</v>
      </c>
      <c r="P20" s="2">
        <f t="shared" ref="P20" ca="1" si="237">+(1+iB)^-(N20+0.5)</f>
        <v>0.82767875581660377</v>
      </c>
      <c r="Q20" s="91"/>
      <c r="R20" s="20">
        <f t="shared" si="102"/>
        <v>8</v>
      </c>
      <c r="S20" s="20">
        <f t="shared" ref="S20" si="238">+IF(xB+R20&lt;=xB+nB,xB+R20,"")</f>
        <v>16</v>
      </c>
      <c r="T20" s="2">
        <f t="shared" ref="T20:U20" ca="1" si="239">IFERROR(VLOOKUP($S20,qx_table,MATCH(T$11,qx_title,0)+sexB),0)</f>
        <v>0</v>
      </c>
      <c r="U20" s="2">
        <f t="shared" ca="1" si="239"/>
        <v>3.3000000000000003E-5</v>
      </c>
      <c r="V20" s="300">
        <v>0</v>
      </c>
      <c r="W20" s="8">
        <f t="shared" ref="W20" ca="1" si="240">IF(R20=0,100000,IF(R20&gt;nB,0,W19*(1-X19)*(1-Y19)))</f>
        <v>99999.780775509556</v>
      </c>
      <c r="X20" s="10">
        <f t="shared" ca="1" si="19"/>
        <v>0</v>
      </c>
      <c r="Y20" s="92">
        <f t="shared" ca="1" si="56"/>
        <v>3.4086000000321803E-7</v>
      </c>
      <c r="Z20" s="8">
        <f t="shared" ca="1" si="106"/>
        <v>83693.65115778039</v>
      </c>
      <c r="AA20" s="8">
        <f ca="1">+SUM(Z20:Z$124)</f>
        <v>1079305.475245171</v>
      </c>
      <c r="AB20" s="8">
        <f t="shared" ca="1" si="20"/>
        <v>0</v>
      </c>
      <c r="AC20" s="209">
        <f ca="1">+SUM(AB20:AB$124)*SSSM</f>
        <v>0</v>
      </c>
      <c r="AD20" s="209">
        <f t="shared" ref="AD20" ca="1" si="241">IF(R20&gt;nB,0,AD19*(1-X19)*(1-Y19)*(1-AE19)*(1-AF19))</f>
        <v>99985.181726681665</v>
      </c>
      <c r="AE20" s="92">
        <f t="shared" ca="1" si="21"/>
        <v>3.2999999999949736E-5</v>
      </c>
      <c r="AF20" s="92">
        <f t="shared" ca="1" si="22"/>
        <v>0</v>
      </c>
      <c r="AG20" s="8">
        <f t="shared" ca="1" si="23"/>
        <v>83681.43265399606</v>
      </c>
      <c r="AH20" s="5">
        <f ca="1">+SUM(AG20:AG$124)</f>
        <v>1078861.1326050989</v>
      </c>
      <c r="AI20" s="70">
        <f t="shared" ca="1" si="24"/>
        <v>2.7309351567798585</v>
      </c>
      <c r="AJ20" s="208">
        <f ca="1">+SUM(AB20:AB$124)*SS50J</f>
        <v>0</v>
      </c>
      <c r="AK20" s="209">
        <f t="shared" ca="1" si="58"/>
        <v>99999.780775509556</v>
      </c>
      <c r="AL20" s="257">
        <f t="shared" ref="AL20" ca="1" si="242">IFERROR(VLOOKUP($S20,qx_table,MATCH(AL$11,qx_title,0)+sexB),0)</f>
        <v>3.4086E-7</v>
      </c>
      <c r="AM20" s="131">
        <f t="shared" ca="1" si="109"/>
        <v>83693.65115778039</v>
      </c>
      <c r="AN20" s="129">
        <f t="shared" ca="1" si="110"/>
        <v>2.8212196222585757E-2</v>
      </c>
      <c r="AO20" s="129">
        <f ca="1">SUM(AN20:AN$124)*SSa</f>
        <v>0.52691222587056941</v>
      </c>
      <c r="AP20" s="70">
        <f t="shared" ca="1" si="60"/>
        <v>99999.780775509556</v>
      </c>
      <c r="AQ20" s="2">
        <f t="shared" ref="AQ20" ca="1" si="243">IFERROR(VLOOKUP($S20,qx_table,MATCH(AQ$11,qx_title,0)+sexB),0)</f>
        <v>0</v>
      </c>
      <c r="AR20" s="127">
        <f t="shared" ca="1" si="62"/>
        <v>0</v>
      </c>
      <c r="AS20" s="127">
        <f ca="1">SUM(AR20:AR$124)*SSb</f>
        <v>0</v>
      </c>
      <c r="AT20" s="70">
        <f t="shared" ca="1" si="63"/>
        <v>99999.780775509556</v>
      </c>
      <c r="AU20" s="2">
        <f t="shared" ref="AU20" ca="1" si="244">IFERROR(VLOOKUP($S20,qx_table,MATCH(AU$11,qx_title,0)+sexB),0)</f>
        <v>0</v>
      </c>
      <c r="AV20" s="268">
        <f t="shared" ca="1" si="65"/>
        <v>0</v>
      </c>
      <c r="AW20" s="131">
        <f ca="1">SUM(AV20:AV$124)*SSc</f>
        <v>0</v>
      </c>
      <c r="AX20" s="70">
        <f t="shared" ca="1" si="66"/>
        <v>99999.780775509556</v>
      </c>
      <c r="AY20" s="2">
        <f t="shared" ref="AY20" ca="1" si="245">IFERROR(VLOOKUP($S20,qx_table,MATCH(AY$11,qx_title,0)+sexB),0)</f>
        <v>0</v>
      </c>
      <c r="AZ20" s="268">
        <f t="shared" ca="1" si="68"/>
        <v>0</v>
      </c>
      <c r="BA20" s="129">
        <f ca="1">SUM(AZ20:AZ$124)*SSd</f>
        <v>0</v>
      </c>
      <c r="BB20" s="70">
        <f t="shared" ca="1" si="69"/>
        <v>99999.780775509556</v>
      </c>
      <c r="BC20" s="257">
        <f t="shared" ref="BC20" ca="1" si="246">IFERROR(VLOOKUP($S20,qx_table,MATCH(BC$11,qx_title,0)+sexB),0)</f>
        <v>0</v>
      </c>
      <c r="BD20" s="268">
        <f t="shared" ca="1" si="71"/>
        <v>0</v>
      </c>
      <c r="BE20" s="131">
        <f ca="1">SUM(BD20:BD$124)*SSe</f>
        <v>0</v>
      </c>
      <c r="BF20" s="70">
        <f t="shared" ca="1" si="72"/>
        <v>99999.780775509556</v>
      </c>
      <c r="BG20" s="2">
        <f t="shared" ref="BG20" ca="1" si="247">IFERROR(VLOOKUP($S20,qx_table,MATCH(BG$11,qx_title,0)+sexB),0)</f>
        <v>0</v>
      </c>
      <c r="BH20" s="131">
        <f t="shared" ca="1" si="74"/>
        <v>0</v>
      </c>
      <c r="BI20" s="2">
        <f ca="1">SUM(BH20:BH$124)*SSf</f>
        <v>0</v>
      </c>
      <c r="BJ20" s="70">
        <f t="shared" ca="1" si="75"/>
        <v>99999.780775509556</v>
      </c>
      <c r="BK20" s="2">
        <f t="shared" ref="BK20" ca="1" si="248">IFERROR(VLOOKUP($S20,qx_table,MATCH(BK$11,qx_title,0)+sexB),0)</f>
        <v>0</v>
      </c>
      <c r="BL20" s="131">
        <f t="shared" ca="1" si="77"/>
        <v>0</v>
      </c>
      <c r="BM20" s="131">
        <f ca="1">SUM(BL20:BL$124)*SSg</f>
        <v>0</v>
      </c>
      <c r="BN20" s="70">
        <f t="shared" ca="1" si="78"/>
        <v>99999.780775509556</v>
      </c>
      <c r="BO20" s="2">
        <f t="shared" ref="BO20" ca="1" si="249">IFERROR(VLOOKUP($S20,qx_table,MATCH(BO$11,qx_title,0)+sexB),0)</f>
        <v>0</v>
      </c>
      <c r="BP20" s="131">
        <f t="shared" ca="1" si="80"/>
        <v>0</v>
      </c>
      <c r="BQ20" s="131">
        <f ca="1">SUM(BP20:BP$124)*SSh</f>
        <v>0</v>
      </c>
      <c r="BR20" s="70">
        <f t="shared" ca="1" si="81"/>
        <v>99999.780775509556</v>
      </c>
      <c r="BS20" s="2">
        <f t="shared" ref="BS20" ca="1" si="250">IFERROR(VLOOKUP($S20,qx_table,MATCH(BS$11,qx_title,0)+sexB),0)*IF(R20=0,MCi,1)</f>
        <v>0</v>
      </c>
      <c r="BT20" s="131">
        <f t="shared" ca="1" si="83"/>
        <v>0</v>
      </c>
      <c r="BU20" s="131">
        <f ca="1">SUM(BT20:BT$124)*SSi</f>
        <v>0</v>
      </c>
      <c r="BV20" s="70">
        <f t="shared" ca="1" si="84"/>
        <v>99999.780775509556</v>
      </c>
      <c r="BW20" s="2">
        <f t="shared" ref="BW20" ca="1" si="251">IFERROR(VLOOKUP($S20,qx_table,MATCH(BW$11,qx_title,0)+sexB),0)</f>
        <v>0</v>
      </c>
      <c r="BX20" s="131">
        <f t="shared" ca="1" si="86"/>
        <v>0</v>
      </c>
      <c r="BY20" s="131">
        <f ca="1">SUM(BX20:BX$124)*SSj</f>
        <v>0</v>
      </c>
      <c r="BZ20" s="70">
        <f t="shared" ca="1" si="87"/>
        <v>99999.780775509556</v>
      </c>
      <c r="CA20" s="2">
        <f t="shared" ref="CA20" ca="1" si="252">IFERROR(VLOOKUP($S20,qx_table,MATCH(CA$11,qx_title,0)+sexB),0)</f>
        <v>0</v>
      </c>
      <c r="CB20" s="131">
        <f t="shared" ca="1" si="89"/>
        <v>0</v>
      </c>
      <c r="CC20" s="131">
        <f ca="1">SUM(CB20:CB$124)*SSk</f>
        <v>0</v>
      </c>
      <c r="CD20" s="8">
        <f t="shared" ca="1" si="90"/>
        <v>99999.780775509556</v>
      </c>
      <c r="CE20" s="2">
        <f t="shared" ref="CE20" ca="1" si="253">IFERROR(VLOOKUP($S20,qx_table,MATCH(CE$11,qx_title,0)+sexB),0)</f>
        <v>0</v>
      </c>
      <c r="CF20" s="131">
        <f t="shared" ca="1" si="92"/>
        <v>0</v>
      </c>
      <c r="CG20" s="131">
        <f ca="1">SUM(CF20:CF$124)*SSl</f>
        <v>0</v>
      </c>
      <c r="CH20" s="101">
        <f t="shared" ca="1" si="93"/>
        <v>0.52691222587056941</v>
      </c>
      <c r="CI20" s="154">
        <f t="shared" ca="1" si="37"/>
        <v>0.47741354991408169</v>
      </c>
      <c r="CJ20" s="32">
        <f t="shared" ca="1" si="38"/>
        <v>890951.16454315605</v>
      </c>
      <c r="CK20" s="32">
        <f t="shared" ref="CK20" ca="1" si="254">+MAX(VLOOKUP(xB+$R20,기수표B,$AH$1)-VLOOKUP(xB+mB,기수표B,$AH$1)-11/24*(VLOOKUP(xB+$R20,기수표B,$AG$1)-VLOOKUP(xB+mB,기수표B,$AG$1)),0)</f>
        <v>881948.3049822246</v>
      </c>
      <c r="CL20" s="32">
        <f t="shared" ref="CL20" ca="1" si="255">+MAX(VLOOKUP(xB+$R20,기수표B,$AA$1)-VLOOKUP(xB+mB,기수표B,$AA$1),0)</f>
        <v>891261.37559263059</v>
      </c>
      <c r="CM20" s="32">
        <f t="shared" ref="CM20" ca="1" si="256">+MAX(VLOOKUP(xB+$R20,기수표B,$AA$1)-VLOOKUP(xB+mB,기수표B,$AA$1)-11/24*(VLOOKUP(xB+$R20,기수표B,$AA$1)-VLOOKUP(xB+mB,기수표B,$AA$1)),0)</f>
        <v>482766.57844600827</v>
      </c>
      <c r="CN20" s="32">
        <f t="shared" ca="1" si="41"/>
        <v>126752.19729130244</v>
      </c>
      <c r="CO20" s="32">
        <f t="shared" ca="1" si="42"/>
        <v>0.43263824054444172</v>
      </c>
      <c r="CP20" s="259">
        <f t="shared" ca="1" si="43"/>
        <v>1.9999999999999999E-6</v>
      </c>
      <c r="CQ20" s="262">
        <f t="shared" ca="1" si="44"/>
        <v>1.9999999999999999E-6</v>
      </c>
      <c r="CR20" s="259">
        <f t="shared" ca="1" si="45"/>
        <v>2.0494685593005904E-6</v>
      </c>
      <c r="CS20" s="259">
        <f t="shared" ca="1" si="46"/>
        <v>6.3999999999999997E-6</v>
      </c>
      <c r="CT20" s="31">
        <f t="shared" ref="CT20" si="257">+MIN(mB,7)</f>
        <v>7</v>
      </c>
      <c r="CV20" s="13">
        <v>8</v>
      </c>
      <c r="CW20" s="477">
        <f t="shared" ca="1" si="48"/>
        <v>192</v>
      </c>
      <c r="CX20" s="477">
        <f t="shared" ca="1" si="49"/>
        <v>20</v>
      </c>
      <c r="CY20" s="477">
        <f t="shared" ca="1" si="50"/>
        <v>20</v>
      </c>
      <c r="CZ20" s="478">
        <f t="shared" ca="1" si="98"/>
        <v>0.104</v>
      </c>
    </row>
    <row r="21" spans="2:104">
      <c r="B21" s="124" t="s">
        <v>157</v>
      </c>
      <c r="C21" s="121">
        <f ca="1">MAIN!I11</f>
        <v>0.8</v>
      </c>
      <c r="F21" s="601"/>
      <c r="G21" s="69" t="s">
        <v>542</v>
      </c>
      <c r="H21" s="230">
        <f ca="1">+$H$9-$I$9-11/24*($H$8-$I$8)</f>
        <v>1615822.5886368265</v>
      </c>
      <c r="I21" s="230"/>
      <c r="J21" s="230"/>
      <c r="K21" s="230">
        <f ca="1">+$H$9-$I$9</f>
        <v>1632285.3836760959</v>
      </c>
      <c r="L21" s="228">
        <f ca="1">K21</f>
        <v>1632285.3836760959</v>
      </c>
      <c r="N21" s="5">
        <f t="shared" si="99"/>
        <v>9</v>
      </c>
      <c r="O21" s="2">
        <f t="shared" ref="O21" ca="1" si="258">+(1+iB)^-N21</f>
        <v>0.81852161012384261</v>
      </c>
      <c r="P21" s="2">
        <f t="shared" ref="P21" ca="1" si="259">+(1+iB)^-(N21+0.5)</f>
        <v>0.80946577585975921</v>
      </c>
      <c r="Q21" s="91"/>
      <c r="R21" s="20">
        <f t="shared" si="102"/>
        <v>9</v>
      </c>
      <c r="S21" s="20">
        <f t="shared" ref="S21" si="260">+IF(xB+R21&lt;=xB+nB,xB+R21,"")</f>
        <v>17</v>
      </c>
      <c r="T21" s="2">
        <f t="shared" ref="T21:U21" ca="1" si="261">IFERROR(VLOOKUP($S21,qx_table,MATCH(T$11,qx_title,0)+sexB),0)</f>
        <v>0</v>
      </c>
      <c r="U21" s="2">
        <f t="shared" ca="1" si="261"/>
        <v>3.1999999999999999E-5</v>
      </c>
      <c r="V21" s="300">
        <v>0</v>
      </c>
      <c r="W21" s="8">
        <f t="shared" ref="W21" ca="1" si="262">IF(R21=0,100000,IF(R21&gt;nB,0,W20*(1-X20)*(1-Y20)))</f>
        <v>99999.746689584281</v>
      </c>
      <c r="X21" s="10">
        <f t="shared" ca="1" si="19"/>
        <v>0</v>
      </c>
      <c r="Y21" s="92">
        <f t="shared" ca="1" si="56"/>
        <v>3.3972900004286544E-7</v>
      </c>
      <c r="Z21" s="8">
        <f t="shared" ca="1" si="106"/>
        <v>81851.95367233493</v>
      </c>
      <c r="AA21" s="8">
        <f ca="1">+SUM(Z21:Z$124)</f>
        <v>995611.82408739044</v>
      </c>
      <c r="AB21" s="8">
        <f t="shared" ca="1" si="20"/>
        <v>0</v>
      </c>
      <c r="AC21" s="209">
        <f ca="1">+SUM(AB21:AB$124)*SSSM</f>
        <v>0</v>
      </c>
      <c r="AD21" s="209">
        <f t="shared" ref="AD21" ca="1" si="263">IF(R21&gt;nB,0,AD20*(1-X20)*(1-Y20)*(1-AE20)*(1-AF20))</f>
        <v>99981.848135860317</v>
      </c>
      <c r="AE21" s="92">
        <f t="shared" ca="1" si="21"/>
        <v>3.2000000000032003E-5</v>
      </c>
      <c r="AF21" s="92">
        <f t="shared" ca="1" si="22"/>
        <v>0</v>
      </c>
      <c r="AG21" s="8">
        <f t="shared" ca="1" si="23"/>
        <v>81837.303319321902</v>
      </c>
      <c r="AH21" s="5">
        <f ca="1">+SUM(AG21:AG$124)</f>
        <v>995179.69995110272</v>
      </c>
      <c r="AI21" s="70">
        <f t="shared" ca="1" si="24"/>
        <v>2.5898202967445676</v>
      </c>
      <c r="AJ21" s="208">
        <f ca="1">+SUM(AB21:AB$124)*SS50J</f>
        <v>0</v>
      </c>
      <c r="AK21" s="209">
        <f t="shared" ca="1" si="58"/>
        <v>99999.746689584281</v>
      </c>
      <c r="AL21" s="257">
        <f t="shared" ref="AL21" ca="1" si="264">IFERROR(VLOOKUP($S21,qx_table,MATCH(AL$11,qx_title,0)+sexB),0)</f>
        <v>3.3972900000000001E-7</v>
      </c>
      <c r="AM21" s="131">
        <f t="shared" ca="1" si="109"/>
        <v>81851.95367233493</v>
      </c>
      <c r="AN21" s="129">
        <f t="shared" ca="1" si="110"/>
        <v>2.7499830196595364E-2</v>
      </c>
      <c r="AO21" s="129">
        <f ca="1">SUM(AN21:AN$124)*SSa</f>
        <v>0.49870002964798366</v>
      </c>
      <c r="AP21" s="70">
        <f t="shared" ca="1" si="60"/>
        <v>99999.746689584281</v>
      </c>
      <c r="AQ21" s="2">
        <f t="shared" ref="AQ21" ca="1" si="265">IFERROR(VLOOKUP($S21,qx_table,MATCH(AQ$11,qx_title,0)+sexB),0)</f>
        <v>0</v>
      </c>
      <c r="AR21" s="127">
        <f t="shared" ca="1" si="62"/>
        <v>0</v>
      </c>
      <c r="AS21" s="127">
        <f ca="1">SUM(AR21:AR$124)*SSb</f>
        <v>0</v>
      </c>
      <c r="AT21" s="70">
        <f t="shared" ca="1" si="63"/>
        <v>99999.746689584281</v>
      </c>
      <c r="AU21" s="2">
        <f t="shared" ref="AU21" ca="1" si="266">IFERROR(VLOOKUP($S21,qx_table,MATCH(AU$11,qx_title,0)+sexB),0)</f>
        <v>0</v>
      </c>
      <c r="AV21" s="268">
        <f t="shared" ca="1" si="65"/>
        <v>0</v>
      </c>
      <c r="AW21" s="131">
        <f ca="1">SUM(AV21:AV$124)*SSc</f>
        <v>0</v>
      </c>
      <c r="AX21" s="70">
        <f t="shared" ca="1" si="66"/>
        <v>99999.746689584281</v>
      </c>
      <c r="AY21" s="2">
        <f t="shared" ref="AY21" ca="1" si="267">IFERROR(VLOOKUP($S21,qx_table,MATCH(AY$11,qx_title,0)+sexB),0)</f>
        <v>0</v>
      </c>
      <c r="AZ21" s="268">
        <f t="shared" ca="1" si="68"/>
        <v>0</v>
      </c>
      <c r="BA21" s="129">
        <f ca="1">SUM(AZ21:AZ$124)*SSd</f>
        <v>0</v>
      </c>
      <c r="BB21" s="70">
        <f t="shared" ca="1" si="69"/>
        <v>99999.746689584281</v>
      </c>
      <c r="BC21" s="257">
        <f t="shared" ref="BC21" ca="1" si="268">IFERROR(VLOOKUP($S21,qx_table,MATCH(BC$11,qx_title,0)+sexB),0)</f>
        <v>0</v>
      </c>
      <c r="BD21" s="268">
        <f t="shared" ca="1" si="71"/>
        <v>0</v>
      </c>
      <c r="BE21" s="131">
        <f ca="1">SUM(BD21:BD$124)*SSe</f>
        <v>0</v>
      </c>
      <c r="BF21" s="70">
        <f t="shared" ca="1" si="72"/>
        <v>99999.746689584281</v>
      </c>
      <c r="BG21" s="2">
        <f t="shared" ref="BG21" ca="1" si="269">IFERROR(VLOOKUP($S21,qx_table,MATCH(BG$11,qx_title,0)+sexB),0)</f>
        <v>0</v>
      </c>
      <c r="BH21" s="131">
        <f t="shared" ca="1" si="74"/>
        <v>0</v>
      </c>
      <c r="BI21" s="2">
        <f ca="1">SUM(BH21:BH$124)*SSf</f>
        <v>0</v>
      </c>
      <c r="BJ21" s="70">
        <f t="shared" ca="1" si="75"/>
        <v>99999.746689584281</v>
      </c>
      <c r="BK21" s="2">
        <f t="shared" ref="BK21" ca="1" si="270">IFERROR(VLOOKUP($S21,qx_table,MATCH(BK$11,qx_title,0)+sexB),0)</f>
        <v>0</v>
      </c>
      <c r="BL21" s="131">
        <f t="shared" ca="1" si="77"/>
        <v>0</v>
      </c>
      <c r="BM21" s="131">
        <f ca="1">SUM(BL21:BL$124)*SSg</f>
        <v>0</v>
      </c>
      <c r="BN21" s="70">
        <f t="shared" ca="1" si="78"/>
        <v>99999.746689584281</v>
      </c>
      <c r="BO21" s="2">
        <f t="shared" ref="BO21" ca="1" si="271">IFERROR(VLOOKUP($S21,qx_table,MATCH(BO$11,qx_title,0)+sexB),0)</f>
        <v>0</v>
      </c>
      <c r="BP21" s="131">
        <f t="shared" ca="1" si="80"/>
        <v>0</v>
      </c>
      <c r="BQ21" s="131">
        <f ca="1">SUM(BP21:BP$124)*SSh</f>
        <v>0</v>
      </c>
      <c r="BR21" s="70">
        <f t="shared" ca="1" si="81"/>
        <v>99999.746689584281</v>
      </c>
      <c r="BS21" s="2">
        <f t="shared" ref="BS21" ca="1" si="272">IFERROR(VLOOKUP($S21,qx_table,MATCH(BS$11,qx_title,0)+sexB),0)*IF(R21=0,MCi,1)</f>
        <v>0</v>
      </c>
      <c r="BT21" s="131">
        <f t="shared" ca="1" si="83"/>
        <v>0</v>
      </c>
      <c r="BU21" s="131">
        <f ca="1">SUM(BT21:BT$124)*SSi</f>
        <v>0</v>
      </c>
      <c r="BV21" s="70">
        <f t="shared" ca="1" si="84"/>
        <v>99999.746689584281</v>
      </c>
      <c r="BW21" s="2">
        <f t="shared" ref="BW21" ca="1" si="273">IFERROR(VLOOKUP($S21,qx_table,MATCH(BW$11,qx_title,0)+sexB),0)</f>
        <v>0</v>
      </c>
      <c r="BX21" s="131">
        <f t="shared" ca="1" si="86"/>
        <v>0</v>
      </c>
      <c r="BY21" s="131">
        <f ca="1">SUM(BX21:BX$124)*SSj</f>
        <v>0</v>
      </c>
      <c r="BZ21" s="70">
        <f t="shared" ca="1" si="87"/>
        <v>99999.746689584281</v>
      </c>
      <c r="CA21" s="2">
        <f t="shared" ref="CA21" ca="1" si="274">IFERROR(VLOOKUP($S21,qx_table,MATCH(CA$11,qx_title,0)+sexB),0)</f>
        <v>0</v>
      </c>
      <c r="CB21" s="131">
        <f t="shared" ca="1" si="89"/>
        <v>0</v>
      </c>
      <c r="CC21" s="131">
        <f ca="1">SUM(CB21:CB$124)*SSk</f>
        <v>0</v>
      </c>
      <c r="CD21" s="8">
        <f t="shared" ca="1" si="90"/>
        <v>99999.746689584281</v>
      </c>
      <c r="CE21" s="2">
        <f t="shared" ref="CE21" ca="1" si="275">IFERROR(VLOOKUP($S21,qx_table,MATCH(CE$11,qx_title,0)+sexB),0)</f>
        <v>0</v>
      </c>
      <c r="CF21" s="131">
        <f t="shared" ca="1" si="92"/>
        <v>0</v>
      </c>
      <c r="CG21" s="131">
        <f ca="1">SUM(CF21:CF$124)*SSl</f>
        <v>0</v>
      </c>
      <c r="CH21" s="101">
        <f t="shared" ca="1" si="93"/>
        <v>0.49870002964798366</v>
      </c>
      <c r="CI21" s="154">
        <f t="shared" ca="1" si="37"/>
        <v>0.44920135369149594</v>
      </c>
      <c r="CJ21" s="32">
        <f t="shared" ca="1" si="38"/>
        <v>807269.73188915988</v>
      </c>
      <c r="CK21" s="32">
        <f t="shared" ref="CK21" ca="1" si="276">+MAX(VLOOKUP(xB+$R21,기수표B,$AH$1)-VLOOKUP(xB+mB,기수표B,$AH$1)-11/24*(VLOOKUP(xB+$R21,기수표B,$AG$1)-VLOOKUP(xB+mB,기수표B,$AG$1)),0)</f>
        <v>799112.09827328741</v>
      </c>
      <c r="CL21" s="32">
        <f t="shared" ref="CL21" ca="1" si="277">+MAX(VLOOKUP(xB+$R21,기수표B,$AA$1)-VLOOKUP(xB+mB,기수표B,$AA$1),0)</f>
        <v>807567.72443485004</v>
      </c>
      <c r="CM21" s="32">
        <f t="shared" ref="CM21" ca="1" si="278">+MAX(VLOOKUP(xB+$R21,기수표B,$AA$1)-VLOOKUP(xB+mB,기수표B,$AA$1)-11/24*(VLOOKUP(xB+$R21,기수표B,$AA$1)-VLOOKUP(xB+mB,기수표B,$AA$1)),0)</f>
        <v>437432.51740221045</v>
      </c>
      <c r="CN21" s="32">
        <f t="shared" ca="1" si="41"/>
        <v>126752.19729130244</v>
      </c>
      <c r="CO21" s="32">
        <f t="shared" ca="1" si="42"/>
        <v>0.39200325489039978</v>
      </c>
      <c r="CP21" s="259">
        <f t="shared" ca="1" si="43"/>
        <v>2.2000000000000001E-6</v>
      </c>
      <c r="CQ21" s="262">
        <f t="shared" ca="1" si="44"/>
        <v>2.2000000000000001E-6</v>
      </c>
      <c r="CR21" s="259">
        <f t="shared" ca="1" si="45"/>
        <v>2.2473537629752611E-6</v>
      </c>
      <c r="CS21" s="259">
        <f t="shared" ca="1" si="46"/>
        <v>7.1999999999999997E-6</v>
      </c>
      <c r="CT21" s="31">
        <f t="shared" ref="CT21" si="279">+MIN(mB,7)</f>
        <v>7</v>
      </c>
      <c r="CV21" s="13">
        <v>9</v>
      </c>
      <c r="CW21" s="477">
        <f t="shared" ca="1" si="48"/>
        <v>216</v>
      </c>
      <c r="CX21" s="477">
        <f t="shared" ca="1" si="49"/>
        <v>22</v>
      </c>
      <c r="CY21" s="477">
        <f t="shared" ca="1" si="50"/>
        <v>22</v>
      </c>
      <c r="CZ21" s="478">
        <f t="shared" ca="1" si="98"/>
        <v>0.10100000000000001</v>
      </c>
    </row>
    <row r="22" spans="2:104">
      <c r="B22" s="124" t="s">
        <v>91</v>
      </c>
      <c r="C22" s="121">
        <f ca="1">MAIN!I10</f>
        <v>0</v>
      </c>
      <c r="D22" s="44" t="s">
        <v>90</v>
      </c>
      <c r="E22" s="44"/>
      <c r="F22" s="601"/>
      <c r="G22" s="18" t="s">
        <v>63</v>
      </c>
      <c r="H22" s="251">
        <f ca="1">H$16</f>
        <v>0.66570029845010426</v>
      </c>
      <c r="I22" s="251"/>
      <c r="J22" s="251"/>
      <c r="K22" s="251">
        <f t="shared" ref="K22" ca="1" si="280">$H$16</f>
        <v>0.66570029845010426</v>
      </c>
      <c r="L22" s="251">
        <f ca="1">$H$16</f>
        <v>0.66570029845010426</v>
      </c>
      <c r="N22" s="5">
        <f t="shared" si="99"/>
        <v>10</v>
      </c>
      <c r="O22" s="2">
        <f t="shared" ref="O22" ca="1" si="281">+(1+iB)^-N22</f>
        <v>0.8005101321504573</v>
      </c>
      <c r="P22" s="2">
        <f t="shared" ref="P22" ca="1" si="282">+(1+iB)^-(N22+0.5)</f>
        <v>0.79165357052299201</v>
      </c>
      <c r="Q22" s="91"/>
      <c r="R22" s="20">
        <f t="shared" si="102"/>
        <v>10</v>
      </c>
      <c r="S22" s="20">
        <f t="shared" ref="S22" si="283">+IF(xB+R22&lt;=xB+nB,xB+R22,"")</f>
        <v>18</v>
      </c>
      <c r="T22" s="2">
        <f t="shared" ref="T22:U22" ca="1" si="284">IFERROR(VLOOKUP($S22,qx_table,MATCH(T$11,qx_title,0)+sexB),0)</f>
        <v>0</v>
      </c>
      <c r="U22" s="2">
        <f t="shared" ca="1" si="284"/>
        <v>3.1999999999999999E-5</v>
      </c>
      <c r="V22" s="300">
        <v>0</v>
      </c>
      <c r="W22" s="8">
        <f t="shared" ref="W22" ca="1" si="285">IF(R22=0,100000,IF(R22&gt;nB,0,W21*(1-X21)*(1-Y21)))</f>
        <v>99999.712716770329</v>
      </c>
      <c r="X22" s="10">
        <f t="shared" ca="1" si="19"/>
        <v>0</v>
      </c>
      <c r="Y22" s="10">
        <f t="shared" ca="1" si="56"/>
        <v>3.3763499995842494E-7</v>
      </c>
      <c r="Z22" s="8">
        <f t="shared" ca="1" si="106"/>
        <v>80050.783241909579</v>
      </c>
      <c r="AA22" s="8">
        <f ca="1">+SUM(Z22:Z$124)</f>
        <v>913759.87041505543</v>
      </c>
      <c r="AB22" s="8">
        <f t="shared" ca="1" si="20"/>
        <v>0</v>
      </c>
      <c r="AC22" s="209">
        <f ca="1">+SUM(AB22:AB$124)*SSSM</f>
        <v>0</v>
      </c>
      <c r="AD22" s="209">
        <f t="shared" ref="AD22" ca="1" si="286">IF(R22&gt;nB,0,AD21*(1-X21)*(1-Y21)*(1-AE21)*(1-AF21))</f>
        <v>99978.614751073619</v>
      </c>
      <c r="AE22" s="92">
        <f t="shared" ca="1" si="21"/>
        <v>3.2000000000032003E-5</v>
      </c>
      <c r="AF22" s="92">
        <f t="shared" ca="1" si="22"/>
        <v>0</v>
      </c>
      <c r="AG22" s="8">
        <f t="shared" ca="1" si="23"/>
        <v>80033.894106601598</v>
      </c>
      <c r="AH22" s="5">
        <f ca="1">+SUM(AG22:AG$124)</f>
        <v>913342.3966317809</v>
      </c>
      <c r="AI22" s="70">
        <f t="shared" ca="1" si="24"/>
        <v>2.5327496749986964</v>
      </c>
      <c r="AJ22" s="208">
        <f ca="1">+SUM(AB22:AB$124)*SS50J</f>
        <v>0</v>
      </c>
      <c r="AK22" s="209">
        <f t="shared" ca="1" si="58"/>
        <v>99999.712716770329</v>
      </c>
      <c r="AL22" s="257">
        <f t="shared" ref="AL22" ca="1" si="287">IFERROR(VLOOKUP($S22,qx_table,MATCH(AL$11,qx_title,0)+sexB),0)</f>
        <v>3.3763499999999997E-7</v>
      </c>
      <c r="AM22" s="131">
        <f t="shared" ca="1" si="109"/>
        <v>80050.783241909579</v>
      </c>
      <c r="AN22" s="129">
        <f t="shared" ca="1" si="110"/>
        <v>2.6728918540431999E-2</v>
      </c>
      <c r="AO22" s="129">
        <f ca="1">SUM(AN22:AN$124)*SSa</f>
        <v>0.47120019945138825</v>
      </c>
      <c r="AP22" s="70">
        <f t="shared" ca="1" si="60"/>
        <v>99999.712716770329</v>
      </c>
      <c r="AQ22" s="2">
        <f t="shared" ref="AQ22" ca="1" si="288">IFERROR(VLOOKUP($S22,qx_table,MATCH(AQ$11,qx_title,0)+sexB),0)</f>
        <v>0</v>
      </c>
      <c r="AR22" s="127">
        <f t="shared" ca="1" si="62"/>
        <v>0</v>
      </c>
      <c r="AS22" s="127">
        <f ca="1">SUM(AR22:AR$124)*SSb</f>
        <v>0</v>
      </c>
      <c r="AT22" s="70">
        <f t="shared" ca="1" si="63"/>
        <v>99999.712716770329</v>
      </c>
      <c r="AU22" s="2">
        <f t="shared" ref="AU22" ca="1" si="289">IFERROR(VLOOKUP($S22,qx_table,MATCH(AU$11,qx_title,0)+sexB),0)</f>
        <v>0</v>
      </c>
      <c r="AV22" s="268">
        <f t="shared" ca="1" si="65"/>
        <v>0</v>
      </c>
      <c r="AW22" s="131">
        <f ca="1">SUM(AV22:AV$124)*SSc</f>
        <v>0</v>
      </c>
      <c r="AX22" s="70">
        <f t="shared" ca="1" si="66"/>
        <v>99999.712716770329</v>
      </c>
      <c r="AY22" s="2">
        <f t="shared" ref="AY22" ca="1" si="290">IFERROR(VLOOKUP($S22,qx_table,MATCH(AY$11,qx_title,0)+sexB),0)</f>
        <v>0</v>
      </c>
      <c r="AZ22" s="268">
        <f t="shared" ca="1" si="68"/>
        <v>0</v>
      </c>
      <c r="BA22" s="129">
        <f ca="1">SUM(AZ22:AZ$124)*SSd</f>
        <v>0</v>
      </c>
      <c r="BB22" s="70">
        <f t="shared" ca="1" si="69"/>
        <v>99999.712716770329</v>
      </c>
      <c r="BC22" s="257">
        <f t="shared" ref="BC22" ca="1" si="291">IFERROR(VLOOKUP($S22,qx_table,MATCH(BC$11,qx_title,0)+sexB),0)</f>
        <v>0</v>
      </c>
      <c r="BD22" s="268">
        <f t="shared" ca="1" si="71"/>
        <v>0</v>
      </c>
      <c r="BE22" s="131">
        <f ca="1">SUM(BD22:BD$124)*SSe</f>
        <v>0</v>
      </c>
      <c r="BF22" s="70">
        <f t="shared" ca="1" si="72"/>
        <v>99999.712716770329</v>
      </c>
      <c r="BG22" s="2">
        <f t="shared" ref="BG22" ca="1" si="292">IFERROR(VLOOKUP($S22,qx_table,MATCH(BG$11,qx_title,0)+sexB),0)</f>
        <v>0</v>
      </c>
      <c r="BH22" s="131">
        <f t="shared" ca="1" si="74"/>
        <v>0</v>
      </c>
      <c r="BI22" s="2">
        <f ca="1">SUM(BH22:BH$124)*SSf</f>
        <v>0</v>
      </c>
      <c r="BJ22" s="70">
        <f t="shared" ca="1" si="75"/>
        <v>99999.712716770329</v>
      </c>
      <c r="BK22" s="2">
        <f t="shared" ref="BK22" ca="1" si="293">IFERROR(VLOOKUP($S22,qx_table,MATCH(BK$11,qx_title,0)+sexB),0)</f>
        <v>0</v>
      </c>
      <c r="BL22" s="131">
        <f t="shared" ca="1" si="77"/>
        <v>0</v>
      </c>
      <c r="BM22" s="131">
        <f ca="1">SUM(BL22:BL$124)*SSg</f>
        <v>0</v>
      </c>
      <c r="BN22" s="70">
        <f t="shared" ca="1" si="78"/>
        <v>99999.712716770329</v>
      </c>
      <c r="BO22" s="2">
        <f t="shared" ref="BO22" ca="1" si="294">IFERROR(VLOOKUP($S22,qx_table,MATCH(BO$11,qx_title,0)+sexB),0)</f>
        <v>0</v>
      </c>
      <c r="BP22" s="131">
        <f t="shared" ca="1" si="80"/>
        <v>0</v>
      </c>
      <c r="BQ22" s="131">
        <f ca="1">SUM(BP22:BP$124)*SSh</f>
        <v>0</v>
      </c>
      <c r="BR22" s="70">
        <f t="shared" ca="1" si="81"/>
        <v>99999.712716770329</v>
      </c>
      <c r="BS22" s="2">
        <f t="shared" ref="BS22" ca="1" si="295">IFERROR(VLOOKUP($S22,qx_table,MATCH(BS$11,qx_title,0)+sexB),0)*IF(R22=0,MCi,1)</f>
        <v>0</v>
      </c>
      <c r="BT22" s="131">
        <f t="shared" ca="1" si="83"/>
        <v>0</v>
      </c>
      <c r="BU22" s="131">
        <f ca="1">SUM(BT22:BT$124)*SSi</f>
        <v>0</v>
      </c>
      <c r="BV22" s="70">
        <f t="shared" ca="1" si="84"/>
        <v>99999.712716770329</v>
      </c>
      <c r="BW22" s="2">
        <f t="shared" ref="BW22" ca="1" si="296">IFERROR(VLOOKUP($S22,qx_table,MATCH(BW$11,qx_title,0)+sexB),0)</f>
        <v>0</v>
      </c>
      <c r="BX22" s="131">
        <f t="shared" ca="1" si="86"/>
        <v>0</v>
      </c>
      <c r="BY22" s="131">
        <f ca="1">SUM(BX22:BX$124)*SSj</f>
        <v>0</v>
      </c>
      <c r="BZ22" s="70">
        <f t="shared" ca="1" si="87"/>
        <v>99999.712716770329</v>
      </c>
      <c r="CA22" s="2">
        <f t="shared" ref="CA22" ca="1" si="297">IFERROR(VLOOKUP($S22,qx_table,MATCH(CA$11,qx_title,0)+sexB),0)</f>
        <v>0</v>
      </c>
      <c r="CB22" s="131">
        <f t="shared" ca="1" si="89"/>
        <v>0</v>
      </c>
      <c r="CC22" s="131">
        <f ca="1">SUM(CB22:CB$124)*SSk</f>
        <v>0</v>
      </c>
      <c r="CD22" s="8">
        <f t="shared" ca="1" si="90"/>
        <v>99999.712716770329</v>
      </c>
      <c r="CE22" s="2">
        <f t="shared" ref="CE22" ca="1" si="298">IFERROR(VLOOKUP($S22,qx_table,MATCH(CE$11,qx_title,0)+sexB),0)</f>
        <v>0</v>
      </c>
      <c r="CF22" s="131">
        <f t="shared" ca="1" si="92"/>
        <v>0</v>
      </c>
      <c r="CG22" s="131">
        <f ca="1">SUM(CF22:CF$124)*SSl</f>
        <v>0</v>
      </c>
      <c r="CH22" s="101">
        <f t="shared" ca="1" si="93"/>
        <v>0.47120019945138825</v>
      </c>
      <c r="CI22" s="154">
        <f t="shared" ca="1" si="37"/>
        <v>0.42170152349490053</v>
      </c>
      <c r="CJ22" s="32">
        <f t="shared" ca="1" si="38"/>
        <v>725432.42856983794</v>
      </c>
      <c r="CK22" s="32">
        <f t="shared" ref="CK22" ca="1" si="299">+MAX(VLOOKUP(xB+$R22,기수표B,$AH$1)-VLOOKUP(xB+mB,기수표B,$AH$1)-11/24*(VLOOKUP(xB+$R22,기수표B,$AG$1)-VLOOKUP(xB+mB,기수표B,$AG$1)),0)</f>
        <v>718101.35750979569</v>
      </c>
      <c r="CL22" s="32">
        <f t="shared" ref="CL22" ca="1" si="300">+MAX(VLOOKUP(xB+$R22,기수표B,$AA$1)-VLOOKUP(xB+mB,기수표B,$AA$1),0)</f>
        <v>725715.77076251502</v>
      </c>
      <c r="CM22" s="32">
        <f t="shared" ref="CM22" ca="1" si="301">+MAX(VLOOKUP(xB+$R22,기수표B,$AA$1)-VLOOKUP(xB+mB,기수표B,$AA$1)-11/24*(VLOOKUP(xB+$R22,기수표B,$AA$1)-VLOOKUP(xB+mB,기수표B,$AA$1)),0)</f>
        <v>393096.04249636229</v>
      </c>
      <c r="CN22" s="32">
        <f t="shared" ca="1" si="41"/>
        <v>126752.19729130244</v>
      </c>
      <c r="CO22" s="32">
        <f t="shared" ca="1" si="42"/>
        <v>0.35226376261741088</v>
      </c>
      <c r="CP22" s="259">
        <f t="shared" ca="1" si="43"/>
        <v>2.5000000000000002E-6</v>
      </c>
      <c r="CQ22" s="262">
        <f t="shared" ca="1" si="44"/>
        <v>2.5000000000000002E-6</v>
      </c>
      <c r="CR22" s="259">
        <f t="shared" ca="1" si="45"/>
        <v>2.450818720610336E-6</v>
      </c>
      <c r="CS22" s="259">
        <f t="shared" ca="1" si="46"/>
        <v>7.9999999999999996E-6</v>
      </c>
      <c r="CT22" s="31">
        <f t="shared" ref="CT22" si="302">+MIN(mB,7)</f>
        <v>7</v>
      </c>
      <c r="CV22" s="13">
        <v>10</v>
      </c>
      <c r="CW22" s="477">
        <f t="shared" ca="1" si="48"/>
        <v>240</v>
      </c>
      <c r="CX22" s="477">
        <f t="shared" ca="1" si="49"/>
        <v>25</v>
      </c>
      <c r="CY22" s="477">
        <f t="shared" ca="1" si="50"/>
        <v>25</v>
      </c>
      <c r="CZ22" s="478">
        <f t="shared" ca="1" si="98"/>
        <v>0.104</v>
      </c>
    </row>
    <row r="23" spans="2:104">
      <c r="B23" s="124" t="s">
        <v>524</v>
      </c>
      <c r="C23" s="261">
        <v>0</v>
      </c>
      <c r="D23" s="44"/>
      <c r="E23" s="44"/>
      <c r="F23" s="601"/>
      <c r="G23" s="18" t="s">
        <v>64</v>
      </c>
      <c r="H23" s="228">
        <f ca="1">H21</f>
        <v>1615822.5886368265</v>
      </c>
      <c r="I23" s="228"/>
      <c r="J23" s="228"/>
      <c r="K23" s="228">
        <f ca="1">K20</f>
        <v>1631932.6581890783</v>
      </c>
      <c r="L23" s="228">
        <f ca="1">L20</f>
        <v>1631932.6581890783</v>
      </c>
      <c r="N23" s="5">
        <f t="shared" si="99"/>
        <v>11</v>
      </c>
      <c r="O23" s="2">
        <f t="shared" ref="O23" ca="1" si="303">+(1+iB)^-N23</f>
        <v>0.78289499476817348</v>
      </c>
      <c r="P23" s="2">
        <f t="shared" ref="P23" ca="1" si="304">+(1+iB)^-(N23+0.5)</f>
        <v>0.77423332080488216</v>
      </c>
      <c r="Q23" s="91"/>
      <c r="R23" s="20">
        <f t="shared" si="102"/>
        <v>11</v>
      </c>
      <c r="S23" s="20">
        <f t="shared" ref="S23" si="305">+IF(xB+R23&lt;=xB+nB,xB+R23,"")</f>
        <v>19</v>
      </c>
      <c r="T23" s="2">
        <f t="shared" ref="T23:U23" ca="1" si="306">IFERROR(VLOOKUP($S23,qx_table,MATCH(T$11,qx_title,0)+sexB),0)</f>
        <v>0</v>
      </c>
      <c r="U23" s="2">
        <f t="shared" ca="1" si="306"/>
        <v>3.1999999999999999E-5</v>
      </c>
      <c r="V23" s="300">
        <v>0</v>
      </c>
      <c r="W23" s="8">
        <f t="shared" ref="W23" ca="1" si="307">IF(R23=0,100000,IF(R23&gt;nB,0,W22*(1-X22)*(1-Y22)))</f>
        <v>99999.678953367329</v>
      </c>
      <c r="X23" s="10">
        <f t="shared" ca="1" si="19"/>
        <v>0</v>
      </c>
      <c r="Y23" s="10">
        <f t="shared" ca="1" si="56"/>
        <v>3.323239999852845E-7</v>
      </c>
      <c r="Z23" s="8">
        <f t="shared" ca="1" si="106"/>
        <v>78289.248131015542</v>
      </c>
      <c r="AA23" s="8">
        <f ca="1">+SUM(Z23:Z$124)</f>
        <v>833709.08717314596</v>
      </c>
      <c r="AB23" s="8">
        <f t="shared" ca="1" si="20"/>
        <v>0</v>
      </c>
      <c r="AC23" s="209">
        <f ca="1">+SUM(AB23:AB$124)*SSSM</f>
        <v>0</v>
      </c>
      <c r="AD23" s="209">
        <f t="shared" ref="AD23" ca="1" si="308">IF(R23&gt;nB,0,AD22*(1-X22)*(1-Y22)*(1-AE22)*(1-AF22))</f>
        <v>99975.38168020219</v>
      </c>
      <c r="AE23" s="92">
        <f t="shared" ca="1" si="21"/>
        <v>3.2000000000032003E-5</v>
      </c>
      <c r="AF23" s="92">
        <f t="shared" ca="1" si="22"/>
        <v>0</v>
      </c>
      <c r="AG23" s="8">
        <f t="shared" ca="1" si="23"/>
        <v>78270.225917468037</v>
      </c>
      <c r="AH23" s="5">
        <f ca="1">+SUM(AG23:AG$124)</f>
        <v>833308.5025251793</v>
      </c>
      <c r="AI23" s="70">
        <f t="shared" ca="1" si="24"/>
        <v>2.4769366962264301</v>
      </c>
      <c r="AJ23" s="208">
        <f ca="1">+SUM(AB23:AB$124)*SS50J</f>
        <v>0</v>
      </c>
      <c r="AK23" s="209">
        <f t="shared" ca="1" si="58"/>
        <v>99999.678953367329</v>
      </c>
      <c r="AL23" s="257">
        <f t="shared" ref="AL23" ca="1" si="309">IFERROR(VLOOKUP($S23,qx_table,MATCH(AL$11,qx_title,0)+sexB),0)</f>
        <v>3.3232400000000001E-7</v>
      </c>
      <c r="AM23" s="131">
        <f t="shared" ca="1" si="109"/>
        <v>78289.248131015542</v>
      </c>
      <c r="AN23" s="129">
        <f t="shared" ca="1" si="110"/>
        <v>2.5729548806200927E-2</v>
      </c>
      <c r="AO23" s="129">
        <f ca="1">SUM(AN23:AN$124)*SSa</f>
        <v>0.44447128091095622</v>
      </c>
      <c r="AP23" s="70">
        <f t="shared" ca="1" si="60"/>
        <v>99999.678953367329</v>
      </c>
      <c r="AQ23" s="2">
        <f t="shared" ref="AQ23" ca="1" si="310">IFERROR(VLOOKUP($S23,qx_table,MATCH(AQ$11,qx_title,0)+sexB),0)</f>
        <v>0</v>
      </c>
      <c r="AR23" s="127">
        <f t="shared" ca="1" si="62"/>
        <v>0</v>
      </c>
      <c r="AS23" s="127">
        <f ca="1">SUM(AR23:AR$124)*SSb</f>
        <v>0</v>
      </c>
      <c r="AT23" s="70">
        <f t="shared" ca="1" si="63"/>
        <v>99999.678953367329</v>
      </c>
      <c r="AU23" s="2">
        <f t="shared" ref="AU23" ca="1" si="311">IFERROR(VLOOKUP($S23,qx_table,MATCH(AU$11,qx_title,0)+sexB),0)</f>
        <v>0</v>
      </c>
      <c r="AV23" s="268">
        <f t="shared" ca="1" si="65"/>
        <v>0</v>
      </c>
      <c r="AW23" s="131">
        <f ca="1">SUM(AV23:AV$124)*SSc</f>
        <v>0</v>
      </c>
      <c r="AX23" s="70">
        <f t="shared" ca="1" si="66"/>
        <v>99999.678953367329</v>
      </c>
      <c r="AY23" s="2">
        <f t="shared" ref="AY23" ca="1" si="312">IFERROR(VLOOKUP($S23,qx_table,MATCH(AY$11,qx_title,0)+sexB),0)</f>
        <v>0</v>
      </c>
      <c r="AZ23" s="268">
        <f t="shared" ca="1" si="68"/>
        <v>0</v>
      </c>
      <c r="BA23" s="129">
        <f ca="1">SUM(AZ23:AZ$124)*SSd</f>
        <v>0</v>
      </c>
      <c r="BB23" s="70">
        <f t="shared" ca="1" si="69"/>
        <v>99999.678953367329</v>
      </c>
      <c r="BC23" s="257">
        <f t="shared" ref="BC23" ca="1" si="313">IFERROR(VLOOKUP($S23,qx_table,MATCH(BC$11,qx_title,0)+sexB),0)</f>
        <v>0</v>
      </c>
      <c r="BD23" s="268">
        <f t="shared" ca="1" si="71"/>
        <v>0</v>
      </c>
      <c r="BE23" s="131">
        <f ca="1">SUM(BD23:BD$124)*SSe</f>
        <v>0</v>
      </c>
      <c r="BF23" s="70">
        <f t="shared" ca="1" si="72"/>
        <v>99999.678953367329</v>
      </c>
      <c r="BG23" s="2">
        <f t="shared" ref="BG23" ca="1" si="314">IFERROR(VLOOKUP($S23,qx_table,MATCH(BG$11,qx_title,0)+sexB),0)</f>
        <v>0</v>
      </c>
      <c r="BH23" s="131">
        <f t="shared" ca="1" si="74"/>
        <v>0</v>
      </c>
      <c r="BI23" s="2">
        <f ca="1">SUM(BH23:BH$124)*SSf</f>
        <v>0</v>
      </c>
      <c r="BJ23" s="70">
        <f t="shared" ca="1" si="75"/>
        <v>99999.678953367329</v>
      </c>
      <c r="BK23" s="2">
        <f t="shared" ref="BK23" ca="1" si="315">IFERROR(VLOOKUP($S23,qx_table,MATCH(BK$11,qx_title,0)+sexB),0)</f>
        <v>0</v>
      </c>
      <c r="BL23" s="131">
        <f t="shared" ca="1" si="77"/>
        <v>0</v>
      </c>
      <c r="BM23" s="131">
        <f ca="1">SUM(BL23:BL$124)*SSg</f>
        <v>0</v>
      </c>
      <c r="BN23" s="70">
        <f t="shared" ca="1" si="78"/>
        <v>99999.678953367329</v>
      </c>
      <c r="BO23" s="2">
        <f t="shared" ref="BO23" ca="1" si="316">IFERROR(VLOOKUP($S23,qx_table,MATCH(BO$11,qx_title,0)+sexB),0)</f>
        <v>0</v>
      </c>
      <c r="BP23" s="131">
        <f t="shared" ca="1" si="80"/>
        <v>0</v>
      </c>
      <c r="BQ23" s="131">
        <f ca="1">SUM(BP23:BP$124)*SSh</f>
        <v>0</v>
      </c>
      <c r="BR23" s="70">
        <f t="shared" ca="1" si="81"/>
        <v>99999.678953367329</v>
      </c>
      <c r="BS23" s="2">
        <f t="shared" ref="BS23" ca="1" si="317">IFERROR(VLOOKUP($S23,qx_table,MATCH(BS$11,qx_title,0)+sexB),0)*IF(R23=0,MCi,1)</f>
        <v>0</v>
      </c>
      <c r="BT23" s="131">
        <f t="shared" ca="1" si="83"/>
        <v>0</v>
      </c>
      <c r="BU23" s="131">
        <f ca="1">SUM(BT23:BT$124)*SSi</f>
        <v>0</v>
      </c>
      <c r="BV23" s="70">
        <f t="shared" ca="1" si="84"/>
        <v>99999.678953367329</v>
      </c>
      <c r="BW23" s="2">
        <f t="shared" ref="BW23" ca="1" si="318">IFERROR(VLOOKUP($S23,qx_table,MATCH(BW$11,qx_title,0)+sexB),0)</f>
        <v>0</v>
      </c>
      <c r="BX23" s="131">
        <f t="shared" ca="1" si="86"/>
        <v>0</v>
      </c>
      <c r="BY23" s="131">
        <f ca="1">SUM(BX23:BX$124)*SSj</f>
        <v>0</v>
      </c>
      <c r="BZ23" s="70">
        <f t="shared" ca="1" si="87"/>
        <v>99999.678953367329</v>
      </c>
      <c r="CA23" s="2">
        <f t="shared" ref="CA23" ca="1" si="319">IFERROR(VLOOKUP($S23,qx_table,MATCH(CA$11,qx_title,0)+sexB),0)</f>
        <v>0</v>
      </c>
      <c r="CB23" s="131">
        <f t="shared" ca="1" si="89"/>
        <v>0</v>
      </c>
      <c r="CC23" s="131">
        <f ca="1">SUM(CB23:CB$124)*SSk</f>
        <v>0</v>
      </c>
      <c r="CD23" s="8">
        <f t="shared" ca="1" si="90"/>
        <v>99999.678953367329</v>
      </c>
      <c r="CE23" s="2">
        <f t="shared" ref="CE23" ca="1" si="320">IFERROR(VLOOKUP($S23,qx_table,MATCH(CE$11,qx_title,0)+sexB),0)</f>
        <v>0</v>
      </c>
      <c r="CF23" s="131">
        <f t="shared" ca="1" si="92"/>
        <v>0</v>
      </c>
      <c r="CG23" s="131">
        <f ca="1">SUM(CF23:CF$124)*SSl</f>
        <v>0</v>
      </c>
      <c r="CH23" s="101">
        <f t="shared" ca="1" si="93"/>
        <v>0.44447128091095622</v>
      </c>
      <c r="CI23" s="154">
        <f t="shared" ca="1" si="37"/>
        <v>0.39497260495446851</v>
      </c>
      <c r="CJ23" s="32">
        <f t="shared" ca="1" si="38"/>
        <v>645398.53446323634</v>
      </c>
      <c r="CK23" s="32">
        <f t="shared" ref="CK23" ca="1" si="321">+MAX(VLOOKUP(xB+$R23,기수표B,$AH$1)-VLOOKUP(xB+mB,기수표B,$AH$1)-11/24*(VLOOKUP(xB+$R23,기수표B,$AG$1)-VLOOKUP(xB+mB,기수표B,$AG$1)),0)</f>
        <v>638875.81132321362</v>
      </c>
      <c r="CL23" s="32">
        <f t="shared" ref="CL23" ca="1" si="322">+MAX(VLOOKUP(xB+$R23,기수표B,$AA$1)-VLOOKUP(xB+mB,기수표B,$AA$1),0)</f>
        <v>645664.98752060556</v>
      </c>
      <c r="CM23" s="32">
        <f t="shared" ref="CM23" ca="1" si="323">+MAX(VLOOKUP(xB+$R23,기수표B,$AA$1)-VLOOKUP(xB+mB,기수표B,$AA$1)-11/24*(VLOOKUP(xB+$R23,기수표B,$AA$1)-VLOOKUP(xB+mB,기수표B,$AA$1)),0)</f>
        <v>349735.20157366135</v>
      </c>
      <c r="CN23" s="32">
        <f t="shared" ca="1" si="41"/>
        <v>126752.19729130244</v>
      </c>
      <c r="CO23" s="32">
        <f t="shared" ca="1" si="42"/>
        <v>0.31339999038366001</v>
      </c>
      <c r="CP23" s="259">
        <f t="shared" ca="1" si="43"/>
        <v>2.7E-6</v>
      </c>
      <c r="CQ23" s="262">
        <f t="shared" ca="1" si="44"/>
        <v>2.7E-6</v>
      </c>
      <c r="CR23" s="259">
        <f t="shared" ca="1" si="45"/>
        <v>2.6609632463640915E-6</v>
      </c>
      <c r="CS23" s="259">
        <f t="shared" ca="1" si="46"/>
        <v>8.8000000000000004E-6</v>
      </c>
      <c r="CT23" s="31">
        <f t="shared" ref="CT23" si="324">+MIN(mB,7)</f>
        <v>7</v>
      </c>
      <c r="CV23" s="13">
        <v>11</v>
      </c>
      <c r="CW23" s="477">
        <f t="shared" ca="1" si="48"/>
        <v>264</v>
      </c>
      <c r="CX23" s="477">
        <f t="shared" ca="1" si="49"/>
        <v>27</v>
      </c>
      <c r="CY23" s="477">
        <f t="shared" ca="1" si="50"/>
        <v>27</v>
      </c>
      <c r="CZ23" s="478">
        <f t="shared" ca="1" si="98"/>
        <v>0.10199999999999999</v>
      </c>
    </row>
    <row r="24" spans="2:104">
      <c r="B24" s="124" t="s">
        <v>43</v>
      </c>
      <c r="C24" s="121">
        <f ca="1">MAIN!I12</f>
        <v>0.35</v>
      </c>
      <c r="D24" s="44"/>
      <c r="E24" s="44"/>
      <c r="F24" s="601"/>
      <c r="G24" s="18" t="s">
        <v>55</v>
      </c>
      <c r="H24" s="244">
        <f ca="1">+H22/H23</f>
        <v>4.1198848384197677E-7</v>
      </c>
      <c r="I24" s="244"/>
      <c r="J24" s="244"/>
      <c r="K24" s="475">
        <f ca="1">+K22/K23</f>
        <v>4.0792142684908213E-7</v>
      </c>
      <c r="L24" s="476">
        <f ca="1">+L22/L23</f>
        <v>4.0792142684908213E-7</v>
      </c>
      <c r="N24" s="5">
        <f t="shared" si="99"/>
        <v>12</v>
      </c>
      <c r="O24" s="2">
        <f t="shared" ref="O24" ca="1" si="325">+(1+iB)^-N24</f>
        <v>0.76566747654589096</v>
      </c>
      <c r="P24" s="2">
        <f t="shared" ref="P24" ca="1" si="326">+(1+iB)^-(N24+0.5)</f>
        <v>0.75719640176516601</v>
      </c>
      <c r="Q24" s="91"/>
      <c r="R24" s="20">
        <f t="shared" si="102"/>
        <v>12</v>
      </c>
      <c r="S24" s="20">
        <f t="shared" ref="S24" si="327">+IF(xB+R24&lt;=xB+nB,xB+R24,"")</f>
        <v>20</v>
      </c>
      <c r="T24" s="2">
        <f t="shared" ref="T24:U24" ca="1" si="328">IFERROR(VLOOKUP($S24,qx_table,MATCH(T$11,qx_title,0)+sexB),0)</f>
        <v>0</v>
      </c>
      <c r="U24" s="2">
        <f t="shared" ca="1" si="328"/>
        <v>4.8000000000000001E-5</v>
      </c>
      <c r="V24" s="300">
        <v>0</v>
      </c>
      <c r="W24" s="8">
        <f t="shared" ref="W24" ca="1" si="329">IF(R24=0,100000,IF(R24&gt;nB,0,W23*(1-X23)*(1-Y23)))</f>
        <v>99999.645721074019</v>
      </c>
      <c r="X24" s="10">
        <f t="shared" ca="1" si="19"/>
        <v>0</v>
      </c>
      <c r="Y24" s="10">
        <f t="shared" ca="1" si="56"/>
        <v>3.2291600005063259E-7</v>
      </c>
      <c r="Z24" s="8">
        <f t="shared" ca="1" si="106"/>
        <v>76566.476394737852</v>
      </c>
      <c r="AA24" s="8">
        <f ca="1">+SUM(Z24:Z$124)</f>
        <v>755419.83904213039</v>
      </c>
      <c r="AB24" s="8">
        <f t="shared" ca="1" si="20"/>
        <v>0</v>
      </c>
      <c r="AC24" s="209">
        <f ca="1">+SUM(AB24:AB$124)*SSSM</f>
        <v>0</v>
      </c>
      <c r="AD24" s="209">
        <f t="shared" ref="AD24" ca="1" si="330">IF(R24&gt;nB,0,AD23*(1-X23)*(1-Y23)*(1-AE23)*(1-AF23))</f>
        <v>99972.14924483285</v>
      </c>
      <c r="AE24" s="92">
        <f t="shared" ca="1" si="21"/>
        <v>4.8000000000048004E-5</v>
      </c>
      <c r="AF24" s="92">
        <f t="shared" ca="1" si="22"/>
        <v>0</v>
      </c>
      <c r="AG24" s="8">
        <f t="shared" ca="1" si="23"/>
        <v>76545.423237160372</v>
      </c>
      <c r="AH24" s="5">
        <f ca="1">+SUM(AG24:AG$124)</f>
        <v>755038.27660771122</v>
      </c>
      <c r="AI24" s="70">
        <f t="shared" ca="1" si="24"/>
        <v>3.6335304808796782</v>
      </c>
      <c r="AJ24" s="208">
        <f ca="1">+SUM(AB24:AB$124)*SS50J</f>
        <v>0</v>
      </c>
      <c r="AK24" s="209">
        <f t="shared" ca="1" si="58"/>
        <v>99999.645721074019</v>
      </c>
      <c r="AL24" s="257">
        <f t="shared" ref="AL24" ca="1" si="331">IFERROR(VLOOKUP($S24,qx_table,MATCH(AL$11,qx_title,0)+sexB),0)</f>
        <v>3.2291599999999998E-7</v>
      </c>
      <c r="AM24" s="131">
        <f t="shared" ca="1" si="109"/>
        <v>76566.476394737852</v>
      </c>
      <c r="AN24" s="129">
        <f t="shared" ca="1" si="110"/>
        <v>2.445099670220463E-2</v>
      </c>
      <c r="AO24" s="129">
        <f ca="1">SUM(AN24:AN$124)*SSa</f>
        <v>0.41874173210475529</v>
      </c>
      <c r="AP24" s="70">
        <f t="shared" ca="1" si="60"/>
        <v>99999.645721074019</v>
      </c>
      <c r="AQ24" s="2">
        <f t="shared" ref="AQ24" ca="1" si="332">IFERROR(VLOOKUP($S24,qx_table,MATCH(AQ$11,qx_title,0)+sexB),0)</f>
        <v>0</v>
      </c>
      <c r="AR24" s="127">
        <f t="shared" ca="1" si="62"/>
        <v>0</v>
      </c>
      <c r="AS24" s="127">
        <f ca="1">SUM(AR24:AR$124)*SSb</f>
        <v>0</v>
      </c>
      <c r="AT24" s="70">
        <f t="shared" ca="1" si="63"/>
        <v>99999.645721074019</v>
      </c>
      <c r="AU24" s="2">
        <f t="shared" ref="AU24" ca="1" si="333">IFERROR(VLOOKUP($S24,qx_table,MATCH(AU$11,qx_title,0)+sexB),0)</f>
        <v>0</v>
      </c>
      <c r="AV24" s="268">
        <f t="shared" ca="1" si="65"/>
        <v>0</v>
      </c>
      <c r="AW24" s="131">
        <f ca="1">SUM(AV24:AV$124)*SSc</f>
        <v>0</v>
      </c>
      <c r="AX24" s="70">
        <f t="shared" ca="1" si="66"/>
        <v>99999.645721074019</v>
      </c>
      <c r="AY24" s="2">
        <f t="shared" ref="AY24" ca="1" si="334">IFERROR(VLOOKUP($S24,qx_table,MATCH(AY$11,qx_title,0)+sexB),0)</f>
        <v>0</v>
      </c>
      <c r="AZ24" s="268">
        <f t="shared" ca="1" si="68"/>
        <v>0</v>
      </c>
      <c r="BA24" s="129">
        <f ca="1">SUM(AZ24:AZ$124)*SSd</f>
        <v>0</v>
      </c>
      <c r="BB24" s="70">
        <f t="shared" ca="1" si="69"/>
        <v>99999.645721074019</v>
      </c>
      <c r="BC24" s="257">
        <f t="shared" ref="BC24" ca="1" si="335">IFERROR(VLOOKUP($S24,qx_table,MATCH(BC$11,qx_title,0)+sexB),0)</f>
        <v>0</v>
      </c>
      <c r="BD24" s="268">
        <f t="shared" ca="1" si="71"/>
        <v>0</v>
      </c>
      <c r="BE24" s="131">
        <f ca="1">SUM(BD24:BD$124)*SSe</f>
        <v>0</v>
      </c>
      <c r="BF24" s="70">
        <f t="shared" ca="1" si="72"/>
        <v>99999.645721074019</v>
      </c>
      <c r="BG24" s="2">
        <f t="shared" ref="BG24" ca="1" si="336">IFERROR(VLOOKUP($S24,qx_table,MATCH(BG$11,qx_title,0)+sexB),0)</f>
        <v>0</v>
      </c>
      <c r="BH24" s="131">
        <f t="shared" ca="1" si="74"/>
        <v>0</v>
      </c>
      <c r="BI24" s="2">
        <f ca="1">SUM(BH24:BH$124)*SSf</f>
        <v>0</v>
      </c>
      <c r="BJ24" s="70">
        <f t="shared" ca="1" si="75"/>
        <v>99999.645721074019</v>
      </c>
      <c r="BK24" s="2">
        <f t="shared" ref="BK24" ca="1" si="337">IFERROR(VLOOKUP($S24,qx_table,MATCH(BK$11,qx_title,0)+sexB),0)</f>
        <v>0</v>
      </c>
      <c r="BL24" s="131">
        <f t="shared" ca="1" si="77"/>
        <v>0</v>
      </c>
      <c r="BM24" s="131">
        <f ca="1">SUM(BL24:BL$124)*SSg</f>
        <v>0</v>
      </c>
      <c r="BN24" s="70">
        <f t="shared" ca="1" si="78"/>
        <v>99999.645721074019</v>
      </c>
      <c r="BO24" s="2">
        <f t="shared" ref="BO24" ca="1" si="338">IFERROR(VLOOKUP($S24,qx_table,MATCH(BO$11,qx_title,0)+sexB),0)</f>
        <v>0</v>
      </c>
      <c r="BP24" s="131">
        <f t="shared" ca="1" si="80"/>
        <v>0</v>
      </c>
      <c r="BQ24" s="131">
        <f ca="1">SUM(BP24:BP$124)*SSh</f>
        <v>0</v>
      </c>
      <c r="BR24" s="70">
        <f t="shared" ca="1" si="81"/>
        <v>99999.645721074019</v>
      </c>
      <c r="BS24" s="2">
        <f t="shared" ref="BS24" ca="1" si="339">IFERROR(VLOOKUP($S24,qx_table,MATCH(BS$11,qx_title,0)+sexB),0)*IF(R24=0,MCi,1)</f>
        <v>0</v>
      </c>
      <c r="BT24" s="131">
        <f t="shared" ca="1" si="83"/>
        <v>0</v>
      </c>
      <c r="BU24" s="131">
        <f ca="1">SUM(BT24:BT$124)*SSi</f>
        <v>0</v>
      </c>
      <c r="BV24" s="70">
        <f t="shared" ca="1" si="84"/>
        <v>99999.645721074019</v>
      </c>
      <c r="BW24" s="2">
        <f t="shared" ref="BW24" ca="1" si="340">IFERROR(VLOOKUP($S24,qx_table,MATCH(BW$11,qx_title,0)+sexB),0)</f>
        <v>0</v>
      </c>
      <c r="BX24" s="131">
        <f t="shared" ca="1" si="86"/>
        <v>0</v>
      </c>
      <c r="BY24" s="131">
        <f ca="1">SUM(BX24:BX$124)*SSj</f>
        <v>0</v>
      </c>
      <c r="BZ24" s="70">
        <f t="shared" ca="1" si="87"/>
        <v>99999.645721074019</v>
      </c>
      <c r="CA24" s="2">
        <f t="shared" ref="CA24" ca="1" si="341">IFERROR(VLOOKUP($S24,qx_table,MATCH(CA$11,qx_title,0)+sexB),0)</f>
        <v>0</v>
      </c>
      <c r="CB24" s="131">
        <f t="shared" ca="1" si="89"/>
        <v>0</v>
      </c>
      <c r="CC24" s="131">
        <f ca="1">SUM(CB24:CB$124)*SSk</f>
        <v>0</v>
      </c>
      <c r="CD24" s="8">
        <f t="shared" ca="1" si="90"/>
        <v>99999.645721074019</v>
      </c>
      <c r="CE24" s="2">
        <f t="shared" ref="CE24" ca="1" si="342">IFERROR(VLOOKUP($S24,qx_table,MATCH(CE$11,qx_title,0)+sexB),0)</f>
        <v>0</v>
      </c>
      <c r="CF24" s="131">
        <f t="shared" ca="1" si="92"/>
        <v>0</v>
      </c>
      <c r="CG24" s="131">
        <f ca="1">SUM(CF24:CF$124)*SSl</f>
        <v>0</v>
      </c>
      <c r="CH24" s="101">
        <f t="shared" ca="1" si="93"/>
        <v>0.41874173210475529</v>
      </c>
      <c r="CI24" s="154">
        <f t="shared" ca="1" si="37"/>
        <v>0.36924305614826758</v>
      </c>
      <c r="CJ24" s="32">
        <f t="shared" ca="1" si="38"/>
        <v>567128.30854576826</v>
      </c>
      <c r="CK24" s="32">
        <f t="shared" ref="CK24" ca="1" si="343">+MAX(VLOOKUP(xB+$R24,기수표B,$AH$1)-VLOOKUP(xB+mB,기수표B,$AH$1)-11/24*(VLOOKUP(xB+$R24,기수표B,$AG$1)-VLOOKUP(xB+mB,기수표B,$AG$1)),0)</f>
        <v>561396.11996755318</v>
      </c>
      <c r="CL24" s="32">
        <f t="shared" ref="CL24" ca="1" si="344">+MAX(VLOOKUP(xB+$R24,기수표B,$AA$1)-VLOOKUP(xB+mB,기수표B,$AA$1),0)</f>
        <v>567375.73938958999</v>
      </c>
      <c r="CM24" s="32">
        <f t="shared" ref="CM24" ca="1" si="345">+MAX(VLOOKUP(xB+$R24,기수표B,$AA$1)-VLOOKUP(xB+mB,기수표B,$AA$1)-11/24*(VLOOKUP(xB+$R24,기수표B,$AA$1)-VLOOKUP(xB+mB,기수표B,$AA$1)),0)</f>
        <v>307328.5255026946</v>
      </c>
      <c r="CN24" s="32">
        <f t="shared" ca="1" si="41"/>
        <v>126752.19729130244</v>
      </c>
      <c r="CO24" s="32">
        <f t="shared" ca="1" si="42"/>
        <v>0.2753926402890981</v>
      </c>
      <c r="CP24" s="259">
        <f t="shared" ca="1" si="43"/>
        <v>2.9000000000000002E-6</v>
      </c>
      <c r="CQ24" s="262">
        <f t="shared" ca="1" si="44"/>
        <v>2.9000000000000002E-6</v>
      </c>
      <c r="CR24" s="259">
        <f t="shared" ca="1" si="45"/>
        <v>2.8811906141946106E-6</v>
      </c>
      <c r="CS24" s="259">
        <f t="shared" ca="1" si="46"/>
        <v>9.5999999999999996E-6</v>
      </c>
      <c r="CT24" s="31">
        <f t="shared" ref="CT24" si="346">+MIN(mB,7)</f>
        <v>7</v>
      </c>
      <c r="CV24" s="13">
        <v>12</v>
      </c>
      <c r="CW24" s="477">
        <f t="shared" ca="1" si="48"/>
        <v>288</v>
      </c>
      <c r="CX24" s="477">
        <f t="shared" ca="1" si="49"/>
        <v>29</v>
      </c>
      <c r="CY24" s="477">
        <f t="shared" ca="1" si="50"/>
        <v>29</v>
      </c>
      <c r="CZ24" s="478">
        <f t="shared" ca="1" si="98"/>
        <v>0.1</v>
      </c>
    </row>
    <row r="25" spans="2:104">
      <c r="B25" s="124" t="s">
        <v>95</v>
      </c>
      <c r="C25" s="245">
        <f ca="1">MAIN!I13</f>
        <v>9.9999999999999995E-7</v>
      </c>
      <c r="D25" s="44"/>
      <c r="E25" s="44"/>
      <c r="F25" s="601"/>
      <c r="G25" s="18" t="s">
        <v>72</v>
      </c>
      <c r="H25" s="299">
        <f ca="1">+H24+$C$26*$H$13/(12*H20)</f>
        <v>4.1852702117266854E-7</v>
      </c>
      <c r="I25" s="299"/>
      <c r="J25" s="299"/>
      <c r="K25" s="299">
        <f ca="1">+K24+$C$26*$H$13/K20</f>
        <v>4.8559141933024042E-7</v>
      </c>
      <c r="L25" s="299">
        <f ca="1">+L24+$C$26*$H$13/L20</f>
        <v>4.8559141933024042E-7</v>
      </c>
      <c r="N25" s="5">
        <f t="shared" si="99"/>
        <v>13</v>
      </c>
      <c r="O25" s="2">
        <f t="shared" ref="O25" ca="1" si="347">+(1+iB)^-N25</f>
        <v>0.74881904796664145</v>
      </c>
      <c r="P25" s="2">
        <f t="shared" ref="P25" ca="1" si="348">+(1+iB)^-(N25+0.5)</f>
        <v>0.74053437825444102</v>
      </c>
      <c r="Q25" s="91"/>
      <c r="R25" s="20">
        <f t="shared" si="102"/>
        <v>13</v>
      </c>
      <c r="S25" s="20">
        <f t="shared" ref="S25" si="349">+IF(xB+R25&lt;=xB+nB,xB+R25,"")</f>
        <v>21</v>
      </c>
      <c r="T25" s="2">
        <f t="shared" ref="T25:U25" ca="1" si="350">IFERROR(VLOOKUP($S25,qx_table,MATCH(T$11,qx_title,0)+sexB),0)</f>
        <v>0</v>
      </c>
      <c r="U25" s="2">
        <f t="shared" ca="1" si="350"/>
        <v>4.8000000000000001E-5</v>
      </c>
      <c r="V25" s="300">
        <v>0</v>
      </c>
      <c r="W25" s="8">
        <f t="shared" ref="W25" ca="1" si="351">IF(R25=0,100000,IF(R25&gt;nB,0,W24*(1-X24)*(1-Y24)))</f>
        <v>99999.613429588411</v>
      </c>
      <c r="X25" s="10">
        <f t="shared" ca="1" si="19"/>
        <v>0</v>
      </c>
      <c r="Y25" s="10">
        <f t="shared" ca="1" si="56"/>
        <v>3.1199999994679928E-7</v>
      </c>
      <c r="Z25" s="8">
        <f t="shared" ca="1" si="106"/>
        <v>74881.615325376566</v>
      </c>
      <c r="AA25" s="8">
        <f ca="1">+SUM(Z25:Z$124)</f>
        <v>678853.36264739255</v>
      </c>
      <c r="AB25" s="8">
        <f t="shared" ca="1" si="20"/>
        <v>0</v>
      </c>
      <c r="AC25" s="209">
        <f ca="1">+SUM(AB25:AB$124)*SSSM</f>
        <v>0</v>
      </c>
      <c r="AD25" s="209">
        <f t="shared" ref="AD25" ca="1" si="352">IF(R25&gt;nB,0,AD24*(1-X24)*(1-Y24)*(1-AE24)*(1-AF24))</f>
        <v>99967.318300612111</v>
      </c>
      <c r="AE25" s="92">
        <f t="shared" ca="1" si="21"/>
        <v>4.8000000000048004E-5</v>
      </c>
      <c r="AF25" s="92">
        <f t="shared" ca="1" si="22"/>
        <v>0</v>
      </c>
      <c r="AG25" s="8">
        <f t="shared" ca="1" si="23"/>
        <v>74857.432117642573</v>
      </c>
      <c r="AH25" s="5">
        <f ca="1">+SUM(AG25:AG$124)</f>
        <v>678492.8533705509</v>
      </c>
      <c r="AI25" s="70">
        <f t="shared" ca="1" si="24"/>
        <v>3.5534033233719184</v>
      </c>
      <c r="AJ25" s="208">
        <f ca="1">+SUM(AB25:AB$124)*SS50J</f>
        <v>0</v>
      </c>
      <c r="AK25" s="209">
        <f t="shared" ca="1" si="58"/>
        <v>99999.613429588411</v>
      </c>
      <c r="AL25" s="257">
        <f t="shared" ref="AL25" ca="1" si="353">IFERROR(VLOOKUP($S25,qx_table,MATCH(AL$11,qx_title,0)+sexB),0)</f>
        <v>3.1199999999999999E-7</v>
      </c>
      <c r="AM25" s="131">
        <f t="shared" ca="1" si="109"/>
        <v>74881.615325376566</v>
      </c>
      <c r="AN25" s="129">
        <f t="shared" ca="1" si="110"/>
        <v>2.3104583285710589E-2</v>
      </c>
      <c r="AO25" s="129">
        <f ca="1">SUM(AN25:AN$124)*SSa</f>
        <v>0.39429073540255066</v>
      </c>
      <c r="AP25" s="70">
        <f t="shared" ca="1" si="60"/>
        <v>99999.613429588411</v>
      </c>
      <c r="AQ25" s="2">
        <f t="shared" ref="AQ25" ca="1" si="354">IFERROR(VLOOKUP($S25,qx_table,MATCH(AQ$11,qx_title,0)+sexB),0)</f>
        <v>0</v>
      </c>
      <c r="AR25" s="127">
        <f t="shared" ca="1" si="62"/>
        <v>0</v>
      </c>
      <c r="AS25" s="127">
        <f ca="1">SUM(AR25:AR$124)*SSb</f>
        <v>0</v>
      </c>
      <c r="AT25" s="70">
        <f t="shared" ca="1" si="63"/>
        <v>99999.613429588411</v>
      </c>
      <c r="AU25" s="2">
        <f t="shared" ref="AU25" ca="1" si="355">IFERROR(VLOOKUP($S25,qx_table,MATCH(AU$11,qx_title,0)+sexB),0)</f>
        <v>0</v>
      </c>
      <c r="AV25" s="268">
        <f t="shared" ca="1" si="65"/>
        <v>0</v>
      </c>
      <c r="AW25" s="131">
        <f ca="1">SUM(AV25:AV$124)*SSc</f>
        <v>0</v>
      </c>
      <c r="AX25" s="70">
        <f t="shared" ca="1" si="66"/>
        <v>99999.613429588411</v>
      </c>
      <c r="AY25" s="2">
        <f t="shared" ref="AY25" ca="1" si="356">IFERROR(VLOOKUP($S25,qx_table,MATCH(AY$11,qx_title,0)+sexB),0)</f>
        <v>0</v>
      </c>
      <c r="AZ25" s="268">
        <f t="shared" ca="1" si="68"/>
        <v>0</v>
      </c>
      <c r="BA25" s="129">
        <f ca="1">SUM(AZ25:AZ$124)*SSd</f>
        <v>0</v>
      </c>
      <c r="BB25" s="70">
        <f t="shared" ca="1" si="69"/>
        <v>99999.613429588411</v>
      </c>
      <c r="BC25" s="257">
        <f t="shared" ref="BC25" ca="1" si="357">IFERROR(VLOOKUP($S25,qx_table,MATCH(BC$11,qx_title,0)+sexB),0)</f>
        <v>0</v>
      </c>
      <c r="BD25" s="268">
        <f t="shared" ca="1" si="71"/>
        <v>0</v>
      </c>
      <c r="BE25" s="131">
        <f ca="1">SUM(BD25:BD$124)*SSe</f>
        <v>0</v>
      </c>
      <c r="BF25" s="70">
        <f t="shared" ca="1" si="72"/>
        <v>99999.613429588411</v>
      </c>
      <c r="BG25" s="2">
        <f t="shared" ref="BG25" ca="1" si="358">IFERROR(VLOOKUP($S25,qx_table,MATCH(BG$11,qx_title,0)+sexB),0)</f>
        <v>0</v>
      </c>
      <c r="BH25" s="131">
        <f t="shared" ca="1" si="74"/>
        <v>0</v>
      </c>
      <c r="BI25" s="2">
        <f ca="1">SUM(BH25:BH$124)*SSf</f>
        <v>0</v>
      </c>
      <c r="BJ25" s="70">
        <f t="shared" ca="1" si="75"/>
        <v>99999.613429588411</v>
      </c>
      <c r="BK25" s="2">
        <f t="shared" ref="BK25" ca="1" si="359">IFERROR(VLOOKUP($S25,qx_table,MATCH(BK$11,qx_title,0)+sexB),0)</f>
        <v>0</v>
      </c>
      <c r="BL25" s="131">
        <f t="shared" ca="1" si="77"/>
        <v>0</v>
      </c>
      <c r="BM25" s="131">
        <f ca="1">SUM(BL25:BL$124)*SSg</f>
        <v>0</v>
      </c>
      <c r="BN25" s="70">
        <f t="shared" ca="1" si="78"/>
        <v>99999.613429588411</v>
      </c>
      <c r="BO25" s="2">
        <f t="shared" ref="BO25" ca="1" si="360">IFERROR(VLOOKUP($S25,qx_table,MATCH(BO$11,qx_title,0)+sexB),0)</f>
        <v>0</v>
      </c>
      <c r="BP25" s="131">
        <f t="shared" ca="1" si="80"/>
        <v>0</v>
      </c>
      <c r="BQ25" s="131">
        <f ca="1">SUM(BP25:BP$124)*SSh</f>
        <v>0</v>
      </c>
      <c r="BR25" s="70">
        <f t="shared" ca="1" si="81"/>
        <v>99999.613429588411</v>
      </c>
      <c r="BS25" s="2">
        <f t="shared" ref="BS25" ca="1" si="361">IFERROR(VLOOKUP($S25,qx_table,MATCH(BS$11,qx_title,0)+sexB),0)*IF(R25=0,MCi,1)</f>
        <v>0</v>
      </c>
      <c r="BT25" s="131">
        <f t="shared" ca="1" si="83"/>
        <v>0</v>
      </c>
      <c r="BU25" s="131">
        <f ca="1">SUM(BT25:BT$124)*SSi</f>
        <v>0</v>
      </c>
      <c r="BV25" s="70">
        <f t="shared" ca="1" si="84"/>
        <v>99999.613429588411</v>
      </c>
      <c r="BW25" s="2">
        <f t="shared" ref="BW25" ca="1" si="362">IFERROR(VLOOKUP($S25,qx_table,MATCH(BW$11,qx_title,0)+sexB),0)</f>
        <v>0</v>
      </c>
      <c r="BX25" s="131">
        <f t="shared" ca="1" si="86"/>
        <v>0</v>
      </c>
      <c r="BY25" s="131">
        <f ca="1">SUM(BX25:BX$124)*SSj</f>
        <v>0</v>
      </c>
      <c r="BZ25" s="70">
        <f t="shared" ca="1" si="87"/>
        <v>99999.613429588411</v>
      </c>
      <c r="CA25" s="2">
        <f t="shared" ref="CA25" ca="1" si="363">IFERROR(VLOOKUP($S25,qx_table,MATCH(CA$11,qx_title,0)+sexB),0)</f>
        <v>0</v>
      </c>
      <c r="CB25" s="131">
        <f t="shared" ca="1" si="89"/>
        <v>0</v>
      </c>
      <c r="CC25" s="131">
        <f ca="1">SUM(CB25:CB$124)*SSk</f>
        <v>0</v>
      </c>
      <c r="CD25" s="8">
        <f t="shared" ca="1" si="90"/>
        <v>99999.613429588411</v>
      </c>
      <c r="CE25" s="2">
        <f t="shared" ref="CE25" ca="1" si="364">IFERROR(VLOOKUP($S25,qx_table,MATCH(CE$11,qx_title,0)+sexB),0)</f>
        <v>0</v>
      </c>
      <c r="CF25" s="131">
        <f t="shared" ca="1" si="92"/>
        <v>0</v>
      </c>
      <c r="CG25" s="131">
        <f ca="1">SUM(CF25:CF$124)*SSl</f>
        <v>0</v>
      </c>
      <c r="CH25" s="101">
        <f t="shared" ca="1" si="93"/>
        <v>0.39429073540255066</v>
      </c>
      <c r="CI25" s="154">
        <f t="shared" ca="1" si="37"/>
        <v>0.34479205944606295</v>
      </c>
      <c r="CJ25" s="32">
        <f t="shared" ca="1" si="38"/>
        <v>490582.88530860801</v>
      </c>
      <c r="CK25" s="32">
        <f t="shared" ref="CK25" ca="1" si="365">+MAX(VLOOKUP(xB+$R25,기수표B,$AH$1)-VLOOKUP(xB+mB,기수표B,$AH$1)-11/24*(VLOOKUP(xB+$R25,기수표B,$AG$1)-VLOOKUP(xB+mB,기수표B,$AG$1)),0)</f>
        <v>485624.35932683863</v>
      </c>
      <c r="CL25" s="32">
        <f t="shared" ref="CL25" ca="1" si="366">+MAX(VLOOKUP(xB+$R25,기수표B,$AA$1)-VLOOKUP(xB+mB,기수표B,$AA$1),0)</f>
        <v>490809.26299485215</v>
      </c>
      <c r="CM25" s="32">
        <f t="shared" ref="CM25" ca="1" si="367">+MAX(VLOOKUP(xB+$R25,기수표B,$AA$1)-VLOOKUP(xB+mB,기수표B,$AA$1)-11/24*(VLOOKUP(xB+$R25,기수표B,$AA$1)-VLOOKUP(xB+mB,기수표B,$AA$1)),0)</f>
        <v>265855.0174555449</v>
      </c>
      <c r="CN25" s="32">
        <f t="shared" ca="1" si="41"/>
        <v>126752.19729130244</v>
      </c>
      <c r="CO25" s="32">
        <f t="shared" ca="1" si="42"/>
        <v>0.23822283957613152</v>
      </c>
      <c r="CP25" s="259">
        <f t="shared" ca="1" si="43"/>
        <v>3.1E-6</v>
      </c>
      <c r="CQ25" s="262">
        <f t="shared" ca="1" si="44"/>
        <v>3.1E-6</v>
      </c>
      <c r="CR25" s="259">
        <f t="shared" ca="1" si="45"/>
        <v>3.1158705130411867E-6</v>
      </c>
      <c r="CS25" s="259">
        <f t="shared" ca="1" si="46"/>
        <v>1.0399999999999999E-5</v>
      </c>
      <c r="CT25" s="31">
        <f t="shared" ref="CT25" si="368">+MIN(mB,7)</f>
        <v>7</v>
      </c>
      <c r="CV25" s="13">
        <v>13</v>
      </c>
      <c r="CW25" s="477">
        <f t="shared" ca="1" si="48"/>
        <v>312</v>
      </c>
      <c r="CX25" s="477">
        <f t="shared" ca="1" si="49"/>
        <v>31</v>
      </c>
      <c r="CY25" s="477">
        <f t="shared" ca="1" si="50"/>
        <v>31</v>
      </c>
      <c r="CZ25" s="478">
        <f t="shared" ca="1" si="98"/>
        <v>9.9000000000000005E-2</v>
      </c>
    </row>
    <row r="26" spans="2:104">
      <c r="B26" s="124" t="s">
        <v>94</v>
      </c>
      <c r="C26" s="245">
        <f ca="1">MAIN!I14</f>
        <v>9.9999999999999995E-7</v>
      </c>
      <c r="F26" s="601"/>
      <c r="G26" s="18" t="s">
        <v>66</v>
      </c>
      <c r="H26" s="244">
        <f ca="1">+H$24+(($C$22+$C$21*$C$28)*$H$8+($C$23+$C$25)*(H$20)+$C$26*$H$13)/(12*H20)</f>
        <v>5.0354377114693755E-7</v>
      </c>
      <c r="I26" s="244"/>
      <c r="J26" s="244"/>
      <c r="K26" s="244">
        <f ca="1">+K$24+(($C$22+$C$21*$C$28)*$H$8+($C$23+$C$25)*(K$20)+$C$26*$H$13)/(K20)</f>
        <v>1.5055883928476031E-6</v>
      </c>
      <c r="N26" s="5">
        <f t="shared" si="99"/>
        <v>14</v>
      </c>
      <c r="O26" s="2">
        <f t="shared" ref="O26" ca="1" si="369">+(1+iB)^-N26</f>
        <v>0.73234136720453935</v>
      </c>
      <c r="P26" s="2">
        <f t="shared" ref="P26" ca="1" si="370">+(1+iB)^-(N26+0.5)</f>
        <v>0.72423900073783964</v>
      </c>
      <c r="Q26" s="91"/>
      <c r="R26" s="20">
        <f t="shared" si="102"/>
        <v>14</v>
      </c>
      <c r="S26" s="20">
        <f t="shared" ref="S26" si="371">+IF(xB+R26&lt;=xB+nB,xB+R26,"")</f>
        <v>22</v>
      </c>
      <c r="T26" s="2">
        <f t="shared" ref="T26:U26" ca="1" si="372">IFERROR(VLOOKUP($S26,qx_table,MATCH(T$11,qx_title,0)+sexB),0)</f>
        <v>0</v>
      </c>
      <c r="U26" s="2">
        <f t="shared" ca="1" si="372"/>
        <v>4.7000000000000004E-5</v>
      </c>
      <c r="V26" s="300">
        <v>0</v>
      </c>
      <c r="W26" s="8">
        <f t="shared" ref="W26" ca="1" si="373">IF(R26=0,100000,IF(R26&gt;nB,0,W25*(1-X25)*(1-Y25)))</f>
        <v>99999.58222970902</v>
      </c>
      <c r="X26" s="10">
        <f t="shared" ca="1" si="19"/>
        <v>0</v>
      </c>
      <c r="Y26" s="10">
        <f t="shared" ca="1" si="56"/>
        <v>3.0432800002255789E-7</v>
      </c>
      <c r="Z26" s="8">
        <f t="shared" ca="1" si="106"/>
        <v>73233.830769987864</v>
      </c>
      <c r="AA26" s="8">
        <f ca="1">+SUM(Z26:Z$124)</f>
        <v>603971.74732201605</v>
      </c>
      <c r="AB26" s="8">
        <f t="shared" ca="1" si="20"/>
        <v>0</v>
      </c>
      <c r="AC26" s="209">
        <f ca="1">+SUM(AB26:AB$124)*SSSM</f>
        <v>0</v>
      </c>
      <c r="AD26" s="209">
        <f t="shared" ref="AD26" ca="1" si="374">IF(R26&gt;nB,0,AD25*(1-X25)*(1-Y25)*(1-AE25)*(1-AF25))</f>
        <v>99962.488681027477</v>
      </c>
      <c r="AE26" s="92">
        <f t="shared" ca="1" si="21"/>
        <v>4.7000000000019249E-5</v>
      </c>
      <c r="AF26" s="92">
        <f t="shared" ca="1" si="22"/>
        <v>0</v>
      </c>
      <c r="AG26" s="8">
        <f t="shared" ca="1" si="23"/>
        <v>73206.665629831958</v>
      </c>
      <c r="AH26" s="5">
        <f ca="1">+SUM(AG26:AG$124)</f>
        <v>603635.4212529083</v>
      </c>
      <c r="AI26" s="70">
        <f t="shared" ca="1" si="24"/>
        <v>3.4026464469412963</v>
      </c>
      <c r="AJ26" s="208">
        <f ca="1">+SUM(AB26:AB$124)*SS50J</f>
        <v>0</v>
      </c>
      <c r="AK26" s="209">
        <f t="shared" ca="1" si="58"/>
        <v>99999.58222970902</v>
      </c>
      <c r="AL26" s="257">
        <f t="shared" ref="AL26" ca="1" si="375">IFERROR(VLOOKUP($S26,qx_table,MATCH(AL$11,qx_title,0)+sexB),0)</f>
        <v>3.0432800000000002E-7</v>
      </c>
      <c r="AM26" s="131">
        <f t="shared" ca="1" si="109"/>
        <v>73233.830769987864</v>
      </c>
      <c r="AN26" s="129">
        <f t="shared" ca="1" si="110"/>
        <v>2.2040528582489456E-2</v>
      </c>
      <c r="AO26" s="129">
        <f ca="1">SUM(AN26:AN$124)*SSa</f>
        <v>0.37118615211684014</v>
      </c>
      <c r="AP26" s="70">
        <f t="shared" ca="1" si="60"/>
        <v>99999.58222970902</v>
      </c>
      <c r="AQ26" s="2">
        <f t="shared" ref="AQ26" ca="1" si="376">IFERROR(VLOOKUP($S26,qx_table,MATCH(AQ$11,qx_title,0)+sexB),0)</f>
        <v>0</v>
      </c>
      <c r="AR26" s="127">
        <f t="shared" ca="1" si="62"/>
        <v>0</v>
      </c>
      <c r="AS26" s="127">
        <f ca="1">SUM(AR26:AR$124)*SSb</f>
        <v>0</v>
      </c>
      <c r="AT26" s="70">
        <f t="shared" ca="1" si="63"/>
        <v>99999.58222970902</v>
      </c>
      <c r="AU26" s="2">
        <f t="shared" ref="AU26" ca="1" si="377">IFERROR(VLOOKUP($S26,qx_table,MATCH(AU$11,qx_title,0)+sexB),0)</f>
        <v>0</v>
      </c>
      <c r="AV26" s="268">
        <f t="shared" ca="1" si="65"/>
        <v>0</v>
      </c>
      <c r="AW26" s="131">
        <f ca="1">SUM(AV26:AV$124)*SSc</f>
        <v>0</v>
      </c>
      <c r="AX26" s="70">
        <f t="shared" ca="1" si="66"/>
        <v>99999.58222970902</v>
      </c>
      <c r="AY26" s="2">
        <f t="shared" ref="AY26" ca="1" si="378">IFERROR(VLOOKUP($S26,qx_table,MATCH(AY$11,qx_title,0)+sexB),0)</f>
        <v>0</v>
      </c>
      <c r="AZ26" s="268">
        <f t="shared" ca="1" si="68"/>
        <v>0</v>
      </c>
      <c r="BA26" s="129">
        <f ca="1">SUM(AZ26:AZ$124)*SSd</f>
        <v>0</v>
      </c>
      <c r="BB26" s="70">
        <f t="shared" ca="1" si="69"/>
        <v>99999.58222970902</v>
      </c>
      <c r="BC26" s="257">
        <f t="shared" ref="BC26" ca="1" si="379">IFERROR(VLOOKUP($S26,qx_table,MATCH(BC$11,qx_title,0)+sexB),0)</f>
        <v>0</v>
      </c>
      <c r="BD26" s="268">
        <f t="shared" ca="1" si="71"/>
        <v>0</v>
      </c>
      <c r="BE26" s="131">
        <f ca="1">SUM(BD26:BD$124)*SSe</f>
        <v>0</v>
      </c>
      <c r="BF26" s="70">
        <f t="shared" ca="1" si="72"/>
        <v>99999.58222970902</v>
      </c>
      <c r="BG26" s="2">
        <f t="shared" ref="BG26" ca="1" si="380">IFERROR(VLOOKUP($S26,qx_table,MATCH(BG$11,qx_title,0)+sexB),0)</f>
        <v>0</v>
      </c>
      <c r="BH26" s="131">
        <f t="shared" ca="1" si="74"/>
        <v>0</v>
      </c>
      <c r="BI26" s="2">
        <f ca="1">SUM(BH26:BH$124)*SSf</f>
        <v>0</v>
      </c>
      <c r="BJ26" s="70">
        <f t="shared" ca="1" si="75"/>
        <v>99999.58222970902</v>
      </c>
      <c r="BK26" s="2">
        <f t="shared" ref="BK26" ca="1" si="381">IFERROR(VLOOKUP($S26,qx_table,MATCH(BK$11,qx_title,0)+sexB),0)</f>
        <v>0</v>
      </c>
      <c r="BL26" s="131">
        <f t="shared" ca="1" si="77"/>
        <v>0</v>
      </c>
      <c r="BM26" s="131">
        <f ca="1">SUM(BL26:BL$124)*SSg</f>
        <v>0</v>
      </c>
      <c r="BN26" s="70">
        <f t="shared" ca="1" si="78"/>
        <v>99999.58222970902</v>
      </c>
      <c r="BO26" s="2">
        <f t="shared" ref="BO26" ca="1" si="382">IFERROR(VLOOKUP($S26,qx_table,MATCH(BO$11,qx_title,0)+sexB),0)</f>
        <v>0</v>
      </c>
      <c r="BP26" s="131">
        <f t="shared" ca="1" si="80"/>
        <v>0</v>
      </c>
      <c r="BQ26" s="131">
        <f ca="1">SUM(BP26:BP$124)*SSh</f>
        <v>0</v>
      </c>
      <c r="BR26" s="70">
        <f t="shared" ca="1" si="81"/>
        <v>99999.58222970902</v>
      </c>
      <c r="BS26" s="2">
        <f t="shared" ref="BS26" ca="1" si="383">IFERROR(VLOOKUP($S26,qx_table,MATCH(BS$11,qx_title,0)+sexB),0)*IF(R26=0,MCi,1)</f>
        <v>0</v>
      </c>
      <c r="BT26" s="131">
        <f t="shared" ca="1" si="83"/>
        <v>0</v>
      </c>
      <c r="BU26" s="131">
        <f ca="1">SUM(BT26:BT$124)*SSi</f>
        <v>0</v>
      </c>
      <c r="BV26" s="70">
        <f t="shared" ca="1" si="84"/>
        <v>99999.58222970902</v>
      </c>
      <c r="BW26" s="2">
        <f t="shared" ref="BW26" ca="1" si="384">IFERROR(VLOOKUP($S26,qx_table,MATCH(BW$11,qx_title,0)+sexB),0)</f>
        <v>0</v>
      </c>
      <c r="BX26" s="131">
        <f t="shared" ca="1" si="86"/>
        <v>0</v>
      </c>
      <c r="BY26" s="131">
        <f ca="1">SUM(BX26:BX$124)*SSj</f>
        <v>0</v>
      </c>
      <c r="BZ26" s="70">
        <f t="shared" ca="1" si="87"/>
        <v>99999.58222970902</v>
      </c>
      <c r="CA26" s="2">
        <f t="shared" ref="CA26" ca="1" si="385">IFERROR(VLOOKUP($S26,qx_table,MATCH(CA$11,qx_title,0)+sexB),0)</f>
        <v>0</v>
      </c>
      <c r="CB26" s="131">
        <f t="shared" ca="1" si="89"/>
        <v>0</v>
      </c>
      <c r="CC26" s="131">
        <f ca="1">SUM(CB26:CB$124)*SSk</f>
        <v>0</v>
      </c>
      <c r="CD26" s="8">
        <f t="shared" ca="1" si="90"/>
        <v>99999.58222970902</v>
      </c>
      <c r="CE26" s="2">
        <f t="shared" ref="CE26" ca="1" si="386">IFERROR(VLOOKUP($S26,qx_table,MATCH(CE$11,qx_title,0)+sexB),0)</f>
        <v>0</v>
      </c>
      <c r="CF26" s="131">
        <f t="shared" ca="1" si="92"/>
        <v>0</v>
      </c>
      <c r="CG26" s="131">
        <f ca="1">SUM(CF26:CF$124)*SSl</f>
        <v>0</v>
      </c>
      <c r="CH26" s="101">
        <f t="shared" ca="1" si="93"/>
        <v>0.37118615211684014</v>
      </c>
      <c r="CI26" s="154">
        <f t="shared" ca="1" si="37"/>
        <v>0.32168747616035243</v>
      </c>
      <c r="CJ26" s="32">
        <f t="shared" ca="1" si="38"/>
        <v>415725.4531909654</v>
      </c>
      <c r="CK26" s="32">
        <f t="shared" ref="CK26" ca="1" si="387">+MAX(VLOOKUP(xB+$R26,기수표B,$AH$1)-VLOOKUP(xB+mB,기수표B,$AH$1)-11/24*(VLOOKUP(xB+$R26,기수표B,$AG$1)-VLOOKUP(xB+mB,기수표B,$AG$1)),0)</f>
        <v>411523.52851610922</v>
      </c>
      <c r="CL26" s="32">
        <f t="shared" ref="CL26" ca="1" si="388">+MAX(VLOOKUP(xB+$R26,기수표B,$AA$1)-VLOOKUP(xB+mB,기수표B,$AA$1),0)</f>
        <v>415927.64766947564</v>
      </c>
      <c r="CM26" s="32">
        <f t="shared" ref="CM26" ca="1" si="389">+MAX(VLOOKUP(xB+$R26,기수표B,$AA$1)-VLOOKUP(xB+mB,기수표B,$AA$1)-11/24*(VLOOKUP(xB+$R26,기수표B,$AA$1)-VLOOKUP(xB+mB,기수표B,$AA$1)),0)</f>
        <v>225294.14248763263</v>
      </c>
      <c r="CN26" s="32">
        <f t="shared" ca="1" si="41"/>
        <v>126752.19729130244</v>
      </c>
      <c r="CO26" s="32">
        <f t="shared" ca="1" si="42"/>
        <v>0.20187271286670833</v>
      </c>
      <c r="CP26" s="259">
        <f t="shared" ca="1" si="43"/>
        <v>3.4000000000000001E-6</v>
      </c>
      <c r="CQ26" s="262">
        <f t="shared" ca="1" si="44"/>
        <v>3.4000000000000001E-6</v>
      </c>
      <c r="CR26" s="259">
        <f t="shared" ca="1" si="45"/>
        <v>3.366845049514913E-6</v>
      </c>
      <c r="CS26" s="259">
        <f t="shared" ca="1" si="46"/>
        <v>1.1199999999999999E-5</v>
      </c>
      <c r="CT26" s="31">
        <f t="shared" ref="CT26" si="390">+MIN(mB,7)</f>
        <v>7</v>
      </c>
      <c r="CV26" s="13">
        <v>14</v>
      </c>
      <c r="CW26" s="477">
        <f t="shared" ca="1" si="48"/>
        <v>336</v>
      </c>
      <c r="CX26" s="477">
        <f t="shared" ca="1" si="49"/>
        <v>34</v>
      </c>
      <c r="CY26" s="477">
        <f t="shared" ca="1" si="50"/>
        <v>34</v>
      </c>
      <c r="CZ26" s="478">
        <f t="shared" ca="1" si="98"/>
        <v>0.10100000000000001</v>
      </c>
    </row>
    <row r="27" spans="2:104">
      <c r="B27" s="124" t="s">
        <v>46</v>
      </c>
      <c r="C27" s="121">
        <f ca="1">MAIN!I15</f>
        <v>2.5000000000000001E-2</v>
      </c>
      <c r="F27" s="601"/>
      <c r="G27" s="18" t="s">
        <v>67</v>
      </c>
      <c r="H27" s="244">
        <f ca="1">(1-$C$24-$C$27)</f>
        <v>0.625</v>
      </c>
      <c r="I27" s="244"/>
      <c r="J27" s="244"/>
      <c r="K27" s="244">
        <f t="shared" ref="K27" ca="1" si="391">(1-$C$24-$C$27)</f>
        <v>0.625</v>
      </c>
      <c r="N27" s="5">
        <f t="shared" si="99"/>
        <v>15</v>
      </c>
      <c r="O27" s="2">
        <f t="shared" ref="O27" ca="1" si="392">+(1+iB)^-N27</f>
        <v>0.7162262759946596</v>
      </c>
      <c r="P27" s="2">
        <f t="shared" ref="P27" ca="1" si="393">+(1+iB)^-(N27+0.5)</f>
        <v>0.70830220121060106</v>
      </c>
      <c r="Q27" s="91"/>
      <c r="R27" s="20">
        <f t="shared" si="102"/>
        <v>15</v>
      </c>
      <c r="S27" s="20">
        <f t="shared" ref="S27" si="394">+IF(xB+R27&lt;=xB+nB,xB+R27,"")</f>
        <v>23</v>
      </c>
      <c r="T27" s="2">
        <f t="shared" ref="T27:U27" ca="1" si="395">IFERROR(VLOOKUP($S27,qx_table,MATCH(T$11,qx_title,0)+sexB),0)</f>
        <v>0</v>
      </c>
      <c r="U27" s="2">
        <f t="shared" ca="1" si="395"/>
        <v>4.7000000000000004E-5</v>
      </c>
      <c r="V27" s="300">
        <v>0</v>
      </c>
      <c r="W27" s="8">
        <f t="shared" ref="W27" ca="1" si="396">IF(R27=0,100000,IF(R27&gt;nB,0,W26*(1-X26)*(1-Y26)))</f>
        <v>99999.551797036154</v>
      </c>
      <c r="X27" s="10">
        <f t="shared" ca="1" si="19"/>
        <v>0</v>
      </c>
      <c r="Y27" s="10">
        <f t="shared" ca="1" si="56"/>
        <v>3.7524800000632297E-7</v>
      </c>
      <c r="Z27" s="8">
        <f t="shared" ca="1" si="106"/>
        <v>71622.306584726277</v>
      </c>
      <c r="AA27" s="8">
        <f ca="1">+SUM(Z27:Z$124)</f>
        <v>530737.91655202815</v>
      </c>
      <c r="AB27" s="8">
        <f t="shared" ca="1" si="20"/>
        <v>0</v>
      </c>
      <c r="AC27" s="209">
        <f ca="1">+SUM(AB27:AB$124)*SSSM</f>
        <v>0</v>
      </c>
      <c r="AD27" s="209">
        <f t="shared" ref="AD27" ca="1" si="397">IF(R27&gt;nB,0,AD26*(1-X26)*(1-Y26)*(1-AE26)*(1-AF26))</f>
        <v>99957.76002410501</v>
      </c>
      <c r="AE27" s="92">
        <f t="shared" ca="1" si="21"/>
        <v>4.7000000000019249E-5</v>
      </c>
      <c r="AF27" s="92">
        <f t="shared" ca="1" si="22"/>
        <v>0</v>
      </c>
      <c r="AG27" s="8">
        <f t="shared" ca="1" si="23"/>
        <v>71592.374218832585</v>
      </c>
      <c r="AH27" s="5">
        <f ca="1">+SUM(AG27:AG$124)</f>
        <v>530428.75562307634</v>
      </c>
      <c r="AI27" s="70">
        <f t="shared" ca="1" si="24"/>
        <v>3.327614168299629</v>
      </c>
      <c r="AJ27" s="208">
        <f ca="1">+SUM(AB27:AB$124)*SS50J</f>
        <v>0</v>
      </c>
      <c r="AK27" s="209">
        <f t="shared" ca="1" si="58"/>
        <v>99999.551797036154</v>
      </c>
      <c r="AL27" s="257">
        <f t="shared" ref="AL27" ca="1" si="398">IFERROR(VLOOKUP($S27,qx_table,MATCH(AL$11,qx_title,0)+sexB),0)</f>
        <v>3.7524799999999997E-7</v>
      </c>
      <c r="AM27" s="131">
        <f t="shared" ca="1" si="109"/>
        <v>71622.306584726277</v>
      </c>
      <c r="AN27" s="129">
        <f t="shared" ca="1" si="110"/>
        <v>2.6578779312576996E-2</v>
      </c>
      <c r="AO27" s="129">
        <f ca="1">SUM(AN27:AN$124)*SSa</f>
        <v>0.34914562353435064</v>
      </c>
      <c r="AP27" s="70">
        <f t="shared" ca="1" si="60"/>
        <v>99999.551797036154</v>
      </c>
      <c r="AQ27" s="2">
        <f t="shared" ref="AQ27" ca="1" si="399">IFERROR(VLOOKUP($S27,qx_table,MATCH(AQ$11,qx_title,0)+sexB),0)</f>
        <v>0</v>
      </c>
      <c r="AR27" s="127">
        <f t="shared" ca="1" si="62"/>
        <v>0</v>
      </c>
      <c r="AS27" s="127">
        <f ca="1">SUM(AR27:AR$124)*SSb</f>
        <v>0</v>
      </c>
      <c r="AT27" s="70">
        <f t="shared" ca="1" si="63"/>
        <v>99999.551797036154</v>
      </c>
      <c r="AU27" s="2">
        <f t="shared" ref="AU27" ca="1" si="400">IFERROR(VLOOKUP($S27,qx_table,MATCH(AU$11,qx_title,0)+sexB),0)</f>
        <v>0</v>
      </c>
      <c r="AV27" s="268">
        <f t="shared" ca="1" si="65"/>
        <v>0</v>
      </c>
      <c r="AW27" s="131">
        <f ca="1">SUM(AV27:AV$124)*SSc</f>
        <v>0</v>
      </c>
      <c r="AX27" s="70">
        <f t="shared" ca="1" si="66"/>
        <v>99999.551797036154</v>
      </c>
      <c r="AY27" s="2">
        <f t="shared" ref="AY27" ca="1" si="401">IFERROR(VLOOKUP($S27,qx_table,MATCH(AY$11,qx_title,0)+sexB),0)</f>
        <v>0</v>
      </c>
      <c r="AZ27" s="268">
        <f t="shared" ca="1" si="68"/>
        <v>0</v>
      </c>
      <c r="BA27" s="129">
        <f ca="1">SUM(AZ27:AZ$124)*SSd</f>
        <v>0</v>
      </c>
      <c r="BB27" s="70">
        <f t="shared" ca="1" si="69"/>
        <v>99999.551797036154</v>
      </c>
      <c r="BC27" s="257">
        <f t="shared" ref="BC27" ca="1" si="402">IFERROR(VLOOKUP($S27,qx_table,MATCH(BC$11,qx_title,0)+sexB),0)</f>
        <v>0</v>
      </c>
      <c r="BD27" s="268">
        <f t="shared" ca="1" si="71"/>
        <v>0</v>
      </c>
      <c r="BE27" s="131">
        <f ca="1">SUM(BD27:BD$124)*SSe</f>
        <v>0</v>
      </c>
      <c r="BF27" s="70">
        <f t="shared" ca="1" si="72"/>
        <v>99999.551797036154</v>
      </c>
      <c r="BG27" s="2">
        <f t="shared" ref="BG27" ca="1" si="403">IFERROR(VLOOKUP($S27,qx_table,MATCH(BG$11,qx_title,0)+sexB),0)</f>
        <v>0</v>
      </c>
      <c r="BH27" s="131">
        <f t="shared" ca="1" si="74"/>
        <v>0</v>
      </c>
      <c r="BI27" s="2">
        <f ca="1">SUM(BH27:BH$124)*SSf</f>
        <v>0</v>
      </c>
      <c r="BJ27" s="70">
        <f t="shared" ca="1" si="75"/>
        <v>99999.551797036154</v>
      </c>
      <c r="BK27" s="2">
        <f t="shared" ref="BK27" ca="1" si="404">IFERROR(VLOOKUP($S27,qx_table,MATCH(BK$11,qx_title,0)+sexB),0)</f>
        <v>0</v>
      </c>
      <c r="BL27" s="131">
        <f t="shared" ca="1" si="77"/>
        <v>0</v>
      </c>
      <c r="BM27" s="131">
        <f ca="1">SUM(BL27:BL$124)*SSg</f>
        <v>0</v>
      </c>
      <c r="BN27" s="70">
        <f t="shared" ca="1" si="78"/>
        <v>99999.551797036154</v>
      </c>
      <c r="BO27" s="2">
        <f t="shared" ref="BO27" ca="1" si="405">IFERROR(VLOOKUP($S27,qx_table,MATCH(BO$11,qx_title,0)+sexB),0)</f>
        <v>0</v>
      </c>
      <c r="BP27" s="131">
        <f t="shared" ca="1" si="80"/>
        <v>0</v>
      </c>
      <c r="BQ27" s="131">
        <f ca="1">SUM(BP27:BP$124)*SSh</f>
        <v>0</v>
      </c>
      <c r="BR27" s="70">
        <f t="shared" ca="1" si="81"/>
        <v>99999.551797036154</v>
      </c>
      <c r="BS27" s="2">
        <f t="shared" ref="BS27" ca="1" si="406">IFERROR(VLOOKUP($S27,qx_table,MATCH(BS$11,qx_title,0)+sexB),0)*IF(R27=0,MCi,1)</f>
        <v>0</v>
      </c>
      <c r="BT27" s="131">
        <f t="shared" ca="1" si="83"/>
        <v>0</v>
      </c>
      <c r="BU27" s="131">
        <f ca="1">SUM(BT27:BT$124)*SSi</f>
        <v>0</v>
      </c>
      <c r="BV27" s="70">
        <f t="shared" ca="1" si="84"/>
        <v>99999.551797036154</v>
      </c>
      <c r="BW27" s="2">
        <f t="shared" ref="BW27" ca="1" si="407">IFERROR(VLOOKUP($S27,qx_table,MATCH(BW$11,qx_title,0)+sexB),0)</f>
        <v>0</v>
      </c>
      <c r="BX27" s="131">
        <f t="shared" ca="1" si="86"/>
        <v>0</v>
      </c>
      <c r="BY27" s="131">
        <f ca="1">SUM(BX27:BX$124)*SSj</f>
        <v>0</v>
      </c>
      <c r="BZ27" s="70">
        <f t="shared" ca="1" si="87"/>
        <v>99999.551797036154</v>
      </c>
      <c r="CA27" s="2">
        <f t="shared" ref="CA27" ca="1" si="408">IFERROR(VLOOKUP($S27,qx_table,MATCH(CA$11,qx_title,0)+sexB),0)</f>
        <v>0</v>
      </c>
      <c r="CB27" s="131">
        <f t="shared" ca="1" si="89"/>
        <v>0</v>
      </c>
      <c r="CC27" s="131">
        <f ca="1">SUM(CB27:CB$124)*SSk</f>
        <v>0</v>
      </c>
      <c r="CD27" s="8">
        <f t="shared" ca="1" si="90"/>
        <v>99999.551797036154</v>
      </c>
      <c r="CE27" s="2">
        <f t="shared" ref="CE27" ca="1" si="409">IFERROR(VLOOKUP($S27,qx_table,MATCH(CE$11,qx_title,0)+sexB),0)</f>
        <v>0</v>
      </c>
      <c r="CF27" s="131">
        <f t="shared" ca="1" si="92"/>
        <v>0</v>
      </c>
      <c r="CG27" s="131">
        <f ca="1">SUM(CF27:CF$124)*SSl</f>
        <v>0</v>
      </c>
      <c r="CH27" s="101">
        <f t="shared" ca="1" si="93"/>
        <v>0.34914562353435064</v>
      </c>
      <c r="CI27" s="154">
        <f t="shared" ca="1" si="37"/>
        <v>0.29964694757786292</v>
      </c>
      <c r="CJ27" s="32">
        <f t="shared" ca="1" si="38"/>
        <v>342518.78756113345</v>
      </c>
      <c r="CK27" s="32">
        <f t="shared" ref="CK27" ca="1" si="410">+MAX(VLOOKUP(xB+$R27,기수표B,$AH$1)-VLOOKUP(xB+mB,기수표B,$AH$1)-11/24*(VLOOKUP(xB+$R27,기수표B,$AG$1)-VLOOKUP(xB+mB,기수표B,$AG$1)),0)</f>
        <v>339056.74644965195</v>
      </c>
      <c r="CL27" s="32">
        <f t="shared" ref="CL27" ca="1" si="411">+MAX(VLOOKUP(xB+$R27,기수표B,$AA$1)-VLOOKUP(xB+mB,기수표B,$AA$1),0)</f>
        <v>342693.81689948775</v>
      </c>
      <c r="CM27" s="32">
        <f t="shared" ref="CM27" ca="1" si="412">+MAX(VLOOKUP(xB+$R27,기수표B,$AA$1)-VLOOKUP(xB+mB,기수표B,$AA$1)-11/24*(VLOOKUP(xB+$R27,기수표B,$AA$1)-VLOOKUP(xB+mB,기수표B,$AA$1)),0)</f>
        <v>185625.81748722255</v>
      </c>
      <c r="CN27" s="32">
        <f t="shared" ca="1" si="41"/>
        <v>126752.19729130244</v>
      </c>
      <c r="CO27" s="32">
        <f t="shared" ca="1" si="42"/>
        <v>0.16632418419908387</v>
      </c>
      <c r="CP27" s="259">
        <f t="shared" ca="1" si="43"/>
        <v>3.5999999999999998E-6</v>
      </c>
      <c r="CQ27" s="262">
        <f t="shared" ca="1" si="44"/>
        <v>3.5999999999999998E-6</v>
      </c>
      <c r="CR27" s="259">
        <f t="shared" ca="1" si="45"/>
        <v>3.6312005724420983E-6</v>
      </c>
      <c r="CS27" s="259">
        <f t="shared" ca="1" si="46"/>
        <v>1.2E-5</v>
      </c>
      <c r="CT27" s="31">
        <f t="shared" ref="CT27" si="413">+MIN(mB,7)</f>
        <v>7</v>
      </c>
      <c r="CV27" s="13">
        <v>15</v>
      </c>
      <c r="CW27" s="477">
        <f t="shared" ca="1" si="48"/>
        <v>360</v>
      </c>
      <c r="CX27" s="477">
        <f t="shared" ca="1" si="49"/>
        <v>36</v>
      </c>
      <c r="CY27" s="477">
        <f t="shared" ca="1" si="50"/>
        <v>36</v>
      </c>
      <c r="CZ27" s="478">
        <f t="shared" ca="1" si="98"/>
        <v>0.1</v>
      </c>
    </row>
    <row r="28" spans="2:104">
      <c r="B28" s="118" t="s">
        <v>159</v>
      </c>
      <c r="C28" s="18">
        <f ca="1">NPPB_STD</f>
        <v>4.0792142684908213E-7</v>
      </c>
      <c r="F28" s="601"/>
      <c r="G28" s="18" t="s">
        <v>73</v>
      </c>
      <c r="H28" s="244">
        <f ca="1">+H26/H27</f>
        <v>8.0567003383510005E-7</v>
      </c>
      <c r="I28" s="244"/>
      <c r="J28" s="244"/>
      <c r="K28" s="244">
        <f ca="1">+K26/K27</f>
        <v>2.4089414285561651E-6</v>
      </c>
      <c r="N28" s="5">
        <f t="shared" si="99"/>
        <v>16</v>
      </c>
      <c r="O28" s="2">
        <f t="shared" ref="O28" ca="1" si="414">+(1+iB)^-N28</f>
        <v>0.70046579559379929</v>
      </c>
      <c r="P28" s="2">
        <f t="shared" ref="P28" ca="1" si="415">+(1+iB)^-(N28+0.5)</f>
        <v>0.69271608920352201</v>
      </c>
      <c r="Q28" s="91"/>
      <c r="R28" s="20">
        <f t="shared" si="102"/>
        <v>16</v>
      </c>
      <c r="S28" s="20">
        <f t="shared" ref="S28" si="416">+IF(xB+R28&lt;=xB+nB,xB+R28,"")</f>
        <v>24</v>
      </c>
      <c r="T28" s="2">
        <f t="shared" ref="T28:U28" ca="1" si="417">IFERROR(VLOOKUP($S28,qx_table,MATCH(T$11,qx_title,0)+sexB),0)</f>
        <v>0</v>
      </c>
      <c r="U28" s="2">
        <f t="shared" ca="1" si="417"/>
        <v>4.7000000000000004E-5</v>
      </c>
      <c r="V28" s="300">
        <v>0</v>
      </c>
      <c r="W28" s="8">
        <f t="shared" ref="W28" ca="1" si="418">IF(R28=0,100000,IF(R28&gt;nB,0,W27*(1-X27)*(1-Y27)))</f>
        <v>99999.51427240434</v>
      </c>
      <c r="X28" s="10">
        <f t="shared" ca="1" si="19"/>
        <v>0</v>
      </c>
      <c r="Y28" s="10">
        <f t="shared" ca="1" si="56"/>
        <v>4.6241100004618119E-7</v>
      </c>
      <c r="Z28" s="8">
        <f t="shared" ca="1" si="106"/>
        <v>70046.239323813192</v>
      </c>
      <c r="AA28" s="8">
        <f ca="1">+SUM(Z28:Z$124)</f>
        <v>459115.60996730183</v>
      </c>
      <c r="AB28" s="8">
        <f t="shared" ca="1" si="20"/>
        <v>0</v>
      </c>
      <c r="AC28" s="209">
        <f ca="1">+SUM(AB28:AB$124)*SSSM</f>
        <v>0</v>
      </c>
      <c r="AD28" s="209">
        <f t="shared" ref="AD28" ca="1" si="419">IF(R28&gt;nB,0,AD27*(1-X27)*(1-Y27)*(1-AE27)*(1-AF27))</f>
        <v>99953.024502197266</v>
      </c>
      <c r="AE28" s="92">
        <f t="shared" ca="1" si="21"/>
        <v>4.7000000000019249E-5</v>
      </c>
      <c r="AF28" s="92">
        <f t="shared" ca="1" si="22"/>
        <v>0</v>
      </c>
      <c r="AG28" s="8">
        <f t="shared" ca="1" si="23"/>
        <v>70013.674829938129</v>
      </c>
      <c r="AH28" s="5">
        <f ca="1">+SUM(AG28:AG$124)</f>
        <v>458836.3814042437</v>
      </c>
      <c r="AI28" s="70">
        <f t="shared" ca="1" si="24"/>
        <v>3.2542362071509503</v>
      </c>
      <c r="AJ28" s="208">
        <f ca="1">+SUM(AB28:AB$124)*SS50J</f>
        <v>0</v>
      </c>
      <c r="AK28" s="209">
        <f t="shared" ca="1" si="58"/>
        <v>99999.51427240434</v>
      </c>
      <c r="AL28" s="257">
        <f t="shared" ref="AL28" ca="1" si="420">IFERROR(VLOOKUP($S28,qx_table,MATCH(AL$11,qx_title,0)+sexB),0)</f>
        <v>4.6241100000000005E-7</v>
      </c>
      <c r="AM28" s="131">
        <f t="shared" ca="1" si="109"/>
        <v>70046.239323813192</v>
      </c>
      <c r="AN28" s="129">
        <f t="shared" ca="1" si="110"/>
        <v>3.2031798364429209E-2</v>
      </c>
      <c r="AO28" s="129">
        <f ca="1">SUM(AN28:AN$124)*SSa</f>
        <v>0.32256684422177362</v>
      </c>
      <c r="AP28" s="70">
        <f t="shared" ca="1" si="60"/>
        <v>99999.51427240434</v>
      </c>
      <c r="AQ28" s="2">
        <f t="shared" ref="AQ28" ca="1" si="421">IFERROR(VLOOKUP($S28,qx_table,MATCH(AQ$11,qx_title,0)+sexB),0)</f>
        <v>0</v>
      </c>
      <c r="AR28" s="127">
        <f t="shared" ca="1" si="62"/>
        <v>0</v>
      </c>
      <c r="AS28" s="127">
        <f ca="1">SUM(AR28:AR$124)*SSb</f>
        <v>0</v>
      </c>
      <c r="AT28" s="70">
        <f t="shared" ca="1" si="63"/>
        <v>99999.51427240434</v>
      </c>
      <c r="AU28" s="2">
        <f t="shared" ref="AU28" ca="1" si="422">IFERROR(VLOOKUP($S28,qx_table,MATCH(AU$11,qx_title,0)+sexB),0)</f>
        <v>0</v>
      </c>
      <c r="AV28" s="268">
        <f t="shared" ca="1" si="65"/>
        <v>0</v>
      </c>
      <c r="AW28" s="131">
        <f ca="1">SUM(AV28:AV$124)*SSc</f>
        <v>0</v>
      </c>
      <c r="AX28" s="70">
        <f t="shared" ca="1" si="66"/>
        <v>99999.51427240434</v>
      </c>
      <c r="AY28" s="2">
        <f t="shared" ref="AY28" ca="1" si="423">IFERROR(VLOOKUP($S28,qx_table,MATCH(AY$11,qx_title,0)+sexB),0)</f>
        <v>0</v>
      </c>
      <c r="AZ28" s="268">
        <f t="shared" ca="1" si="68"/>
        <v>0</v>
      </c>
      <c r="BA28" s="129">
        <f ca="1">SUM(AZ28:AZ$124)*SSd</f>
        <v>0</v>
      </c>
      <c r="BB28" s="70">
        <f t="shared" ca="1" si="69"/>
        <v>99999.51427240434</v>
      </c>
      <c r="BC28" s="257">
        <f t="shared" ref="BC28" ca="1" si="424">IFERROR(VLOOKUP($S28,qx_table,MATCH(BC$11,qx_title,0)+sexB),0)</f>
        <v>0</v>
      </c>
      <c r="BD28" s="268">
        <f t="shared" ca="1" si="71"/>
        <v>0</v>
      </c>
      <c r="BE28" s="131">
        <f ca="1">SUM(BD28:BD$124)*SSe</f>
        <v>0</v>
      </c>
      <c r="BF28" s="70">
        <f t="shared" ca="1" si="72"/>
        <v>99999.51427240434</v>
      </c>
      <c r="BG28" s="2">
        <f t="shared" ref="BG28" ca="1" si="425">IFERROR(VLOOKUP($S28,qx_table,MATCH(BG$11,qx_title,0)+sexB),0)</f>
        <v>0</v>
      </c>
      <c r="BH28" s="131">
        <f t="shared" ca="1" si="74"/>
        <v>0</v>
      </c>
      <c r="BI28" s="2">
        <f ca="1">SUM(BH28:BH$124)*SSf</f>
        <v>0</v>
      </c>
      <c r="BJ28" s="70">
        <f t="shared" ca="1" si="75"/>
        <v>99999.51427240434</v>
      </c>
      <c r="BK28" s="2">
        <f t="shared" ref="BK28" ca="1" si="426">IFERROR(VLOOKUP($S28,qx_table,MATCH(BK$11,qx_title,0)+sexB),0)</f>
        <v>0</v>
      </c>
      <c r="BL28" s="131">
        <f t="shared" ca="1" si="77"/>
        <v>0</v>
      </c>
      <c r="BM28" s="131">
        <f ca="1">SUM(BL28:BL$124)*SSg</f>
        <v>0</v>
      </c>
      <c r="BN28" s="70">
        <f t="shared" ca="1" si="78"/>
        <v>99999.51427240434</v>
      </c>
      <c r="BO28" s="2">
        <f t="shared" ref="BO28" ca="1" si="427">IFERROR(VLOOKUP($S28,qx_table,MATCH(BO$11,qx_title,0)+sexB),0)</f>
        <v>0</v>
      </c>
      <c r="BP28" s="131">
        <f t="shared" ca="1" si="80"/>
        <v>0</v>
      </c>
      <c r="BQ28" s="131">
        <f ca="1">SUM(BP28:BP$124)*SSh</f>
        <v>0</v>
      </c>
      <c r="BR28" s="70">
        <f t="shared" ca="1" si="81"/>
        <v>99999.51427240434</v>
      </c>
      <c r="BS28" s="2">
        <f t="shared" ref="BS28" ca="1" si="428">IFERROR(VLOOKUP($S28,qx_table,MATCH(BS$11,qx_title,0)+sexB),0)*IF(R28=0,MCi,1)</f>
        <v>0</v>
      </c>
      <c r="BT28" s="131">
        <f t="shared" ca="1" si="83"/>
        <v>0</v>
      </c>
      <c r="BU28" s="131">
        <f ca="1">SUM(BT28:BT$124)*SSi</f>
        <v>0</v>
      </c>
      <c r="BV28" s="70">
        <f t="shared" ca="1" si="84"/>
        <v>99999.51427240434</v>
      </c>
      <c r="BW28" s="2">
        <f t="shared" ref="BW28" ca="1" si="429">IFERROR(VLOOKUP($S28,qx_table,MATCH(BW$11,qx_title,0)+sexB),0)</f>
        <v>0</v>
      </c>
      <c r="BX28" s="131">
        <f t="shared" ca="1" si="86"/>
        <v>0</v>
      </c>
      <c r="BY28" s="131">
        <f ca="1">SUM(BX28:BX$124)*SSj</f>
        <v>0</v>
      </c>
      <c r="BZ28" s="70">
        <f t="shared" ca="1" si="87"/>
        <v>99999.51427240434</v>
      </c>
      <c r="CA28" s="2">
        <f t="shared" ref="CA28" ca="1" si="430">IFERROR(VLOOKUP($S28,qx_table,MATCH(CA$11,qx_title,0)+sexB),0)</f>
        <v>0</v>
      </c>
      <c r="CB28" s="131">
        <f t="shared" ca="1" si="89"/>
        <v>0</v>
      </c>
      <c r="CC28" s="131">
        <f ca="1">SUM(CB28:CB$124)*SSk</f>
        <v>0</v>
      </c>
      <c r="CD28" s="8">
        <f t="shared" ca="1" si="90"/>
        <v>99999.51427240434</v>
      </c>
      <c r="CE28" s="2">
        <f t="shared" ref="CE28" ca="1" si="431">IFERROR(VLOOKUP($S28,qx_table,MATCH(CE$11,qx_title,0)+sexB),0)</f>
        <v>0</v>
      </c>
      <c r="CF28" s="131">
        <f t="shared" ca="1" si="92"/>
        <v>0</v>
      </c>
      <c r="CG28" s="131">
        <f ca="1">SUM(CF28:CF$124)*SSl</f>
        <v>0</v>
      </c>
      <c r="CH28" s="101">
        <f t="shared" ca="1" si="93"/>
        <v>0.32256684422177362</v>
      </c>
      <c r="CI28" s="154">
        <f t="shared" ca="1" si="37"/>
        <v>0.2730681682652859</v>
      </c>
      <c r="CJ28" s="32">
        <f t="shared" ca="1" si="38"/>
        <v>270926.4133423008</v>
      </c>
      <c r="CK28" s="32">
        <f t="shared" ref="CK28" ca="1" si="432">+MAX(VLOOKUP(xB+$R28,기수표B,$AH$1)-VLOOKUP(xB+mB,기수표B,$AH$1)-11/24*(VLOOKUP(xB+$R28,기수표B,$AG$1)-VLOOKUP(xB+mB,기수표B,$AG$1)),0)</f>
        <v>268187.94278406259</v>
      </c>
      <c r="CL28" s="32">
        <f t="shared" ref="CL28" ca="1" si="433">+MAX(VLOOKUP(xB+$R28,기수표B,$AA$1)-VLOOKUP(xB+mB,기수표B,$AA$1),0)</f>
        <v>271071.51031476143</v>
      </c>
      <c r="CM28" s="32">
        <f t="shared" ref="CM28" ca="1" si="434">+MAX(VLOOKUP(xB+$R28,기수표B,$AA$1)-VLOOKUP(xB+mB,기수표B,$AA$1)-11/24*(VLOOKUP(xB+$R28,기수표B,$AA$1)-VLOOKUP(xB+mB,기수표B,$AA$1)),0)</f>
        <v>146830.40142049576</v>
      </c>
      <c r="CN28" s="32">
        <f t="shared" ca="1" si="41"/>
        <v>126752.19729130244</v>
      </c>
      <c r="CO28" s="32">
        <f t="shared" ca="1" si="42"/>
        <v>0.13155954158893923</v>
      </c>
      <c r="CP28" s="259">
        <f t="shared" ca="1" si="43"/>
        <v>3.8E-6</v>
      </c>
      <c r="CQ28" s="262">
        <f t="shared" ca="1" si="44"/>
        <v>3.8E-6</v>
      </c>
      <c r="CR28" s="259">
        <f t="shared" ca="1" si="45"/>
        <v>3.8297676871347769E-6</v>
      </c>
      <c r="CS28" s="259">
        <f t="shared" ca="1" si="46"/>
        <v>1.2799999999999999E-5</v>
      </c>
      <c r="CT28" s="31">
        <f t="shared" ref="CT28" si="435">+MIN(mB,7)</f>
        <v>7</v>
      </c>
      <c r="CV28" s="13">
        <v>16</v>
      </c>
      <c r="CW28" s="477">
        <f t="shared" ca="1" si="48"/>
        <v>384</v>
      </c>
      <c r="CX28" s="477">
        <f t="shared" ca="1" si="49"/>
        <v>38</v>
      </c>
      <c r="CY28" s="477">
        <f t="shared" ca="1" si="50"/>
        <v>38</v>
      </c>
      <c r="CZ28" s="478">
        <f t="shared" ca="1" si="98"/>
        <v>9.8000000000000004E-2</v>
      </c>
    </row>
    <row r="29" spans="2:104">
      <c r="F29" s="602"/>
      <c r="G29" s="18" t="s">
        <v>74</v>
      </c>
      <c r="H29" s="253">
        <f ca="1">+ROUND(H28,roundB)</f>
        <v>7.9999999999999996E-7</v>
      </c>
      <c r="I29" s="304"/>
      <c r="J29" s="304"/>
      <c r="K29" s="253">
        <f ca="1">+ROUND(K28,roundB)</f>
        <v>2.3999999999999999E-6</v>
      </c>
      <c r="N29" s="5">
        <f t="shared" si="99"/>
        <v>17</v>
      </c>
      <c r="O29" s="2">
        <f t="shared" ref="O29" ca="1" si="436">+(1+iB)^-N29</f>
        <v>0.68505212283012151</v>
      </c>
      <c r="P29" s="2">
        <f t="shared" ref="P29" ca="1" si="437">+(1+iB)^-(N29+0.5)</f>
        <v>0.67747294787630519</v>
      </c>
      <c r="Q29" s="91"/>
      <c r="R29" s="20">
        <f t="shared" si="102"/>
        <v>17</v>
      </c>
      <c r="S29" s="20">
        <f t="shared" ref="S29" si="438">+IF(xB+R29&lt;=xB+nB,xB+R29,"")</f>
        <v>25</v>
      </c>
      <c r="T29" s="2">
        <f t="shared" ref="T29:U29" ca="1" si="439">IFERROR(VLOOKUP($S29,qx_table,MATCH(T$11,qx_title,0)+sexB),0)</f>
        <v>0</v>
      </c>
      <c r="U29" s="2">
        <f t="shared" ca="1" si="439"/>
        <v>4.8000000000000001E-5</v>
      </c>
      <c r="V29" s="300">
        <v>0</v>
      </c>
      <c r="W29" s="8">
        <f t="shared" ref="W29" ca="1" si="440">IF(R29=0,100000,IF(R29&gt;nB,0,W28*(1-X28)*(1-Y28)))</f>
        <v>99999.468031528944</v>
      </c>
      <c r="X29" s="10">
        <f t="shared" ca="1" si="19"/>
        <v>0</v>
      </c>
      <c r="Y29" s="10">
        <f t="shared" ca="1" si="56"/>
        <v>5.613719999963962E-7</v>
      </c>
      <c r="Z29" s="8">
        <f t="shared" ca="1" si="106"/>
        <v>68504.847856881781</v>
      </c>
      <c r="AA29" s="8">
        <f ca="1">+SUM(Z29:Z$124)</f>
        <v>389069.37064348866</v>
      </c>
      <c r="AB29" s="8">
        <f t="shared" ca="1" si="20"/>
        <v>0</v>
      </c>
      <c r="AC29" s="209">
        <f ca="1">+SUM(AB29:AB$124)*SSSM</f>
        <v>0</v>
      </c>
      <c r="AD29" s="209">
        <f t="shared" ref="AD29" ca="1" si="441">IF(R29&gt;nB,0,AD28*(1-X28)*(1-Y28)*(1-AE28)*(1-AF28))</f>
        <v>99948.280492839956</v>
      </c>
      <c r="AE29" s="92">
        <f t="shared" ca="1" si="21"/>
        <v>4.8000000000048004E-5</v>
      </c>
      <c r="AF29" s="92">
        <f t="shared" ca="1" si="22"/>
        <v>0</v>
      </c>
      <c r="AG29" s="8">
        <f t="shared" ca="1" si="23"/>
        <v>68469.781724840432</v>
      </c>
      <c r="AH29" s="5">
        <f ca="1">+SUM(AG29:AG$124)</f>
        <v>388822.7065743056</v>
      </c>
      <c r="AI29" s="70">
        <f t="shared" ca="1" si="24"/>
        <v>3.2501882985945509</v>
      </c>
      <c r="AJ29" s="208">
        <f ca="1">+SUM(AB29:AB$124)*SS50J</f>
        <v>0</v>
      </c>
      <c r="AK29" s="209">
        <f t="shared" ca="1" si="58"/>
        <v>99999.468031528944</v>
      </c>
      <c r="AL29" s="257">
        <f t="shared" ref="AL29" ca="1" si="442">IFERROR(VLOOKUP($S29,qx_table,MATCH(AL$11,qx_title,0)+sexB),0)</f>
        <v>5.6137200000000001E-7</v>
      </c>
      <c r="AM29" s="131">
        <f t="shared" ca="1" si="109"/>
        <v>68504.847856881781</v>
      </c>
      <c r="AN29" s="129">
        <f t="shared" ca="1" si="110"/>
        <v>3.8031232054281779E-2</v>
      </c>
      <c r="AO29" s="129">
        <f ca="1">SUM(AN29:AN$124)*SSa</f>
        <v>0.29053504585734441</v>
      </c>
      <c r="AP29" s="70">
        <f t="shared" ca="1" si="60"/>
        <v>99999.468031528944</v>
      </c>
      <c r="AQ29" s="2">
        <f t="shared" ref="AQ29" ca="1" si="443">IFERROR(VLOOKUP($S29,qx_table,MATCH(AQ$11,qx_title,0)+sexB),0)</f>
        <v>0</v>
      </c>
      <c r="AR29" s="127">
        <f t="shared" ca="1" si="62"/>
        <v>0</v>
      </c>
      <c r="AS29" s="127">
        <f ca="1">SUM(AR29:AR$124)*SSb</f>
        <v>0</v>
      </c>
      <c r="AT29" s="70">
        <f t="shared" ca="1" si="63"/>
        <v>99999.468031528944</v>
      </c>
      <c r="AU29" s="2">
        <f t="shared" ref="AU29" ca="1" si="444">IFERROR(VLOOKUP($S29,qx_table,MATCH(AU$11,qx_title,0)+sexB),0)</f>
        <v>0</v>
      </c>
      <c r="AV29" s="268">
        <f t="shared" ca="1" si="65"/>
        <v>0</v>
      </c>
      <c r="AW29" s="131">
        <f ca="1">SUM(AV29:AV$124)*SSc</f>
        <v>0</v>
      </c>
      <c r="AX29" s="70">
        <f t="shared" ca="1" si="66"/>
        <v>99999.468031528944</v>
      </c>
      <c r="AY29" s="2">
        <f t="shared" ref="AY29" ca="1" si="445">IFERROR(VLOOKUP($S29,qx_table,MATCH(AY$11,qx_title,0)+sexB),0)</f>
        <v>0</v>
      </c>
      <c r="AZ29" s="268">
        <f t="shared" ca="1" si="68"/>
        <v>0</v>
      </c>
      <c r="BA29" s="129">
        <f ca="1">SUM(AZ29:AZ$124)*SSd</f>
        <v>0</v>
      </c>
      <c r="BB29" s="70">
        <f t="shared" ca="1" si="69"/>
        <v>99999.468031528944</v>
      </c>
      <c r="BC29" s="257">
        <f t="shared" ref="BC29" ca="1" si="446">IFERROR(VLOOKUP($S29,qx_table,MATCH(BC$11,qx_title,0)+sexB),0)</f>
        <v>0</v>
      </c>
      <c r="BD29" s="268">
        <f t="shared" ca="1" si="71"/>
        <v>0</v>
      </c>
      <c r="BE29" s="131">
        <f ca="1">SUM(BD29:BD$124)*SSe</f>
        <v>0</v>
      </c>
      <c r="BF29" s="70">
        <f t="shared" ca="1" si="72"/>
        <v>99999.468031528944</v>
      </c>
      <c r="BG29" s="2">
        <f t="shared" ref="BG29" ca="1" si="447">IFERROR(VLOOKUP($S29,qx_table,MATCH(BG$11,qx_title,0)+sexB),0)</f>
        <v>0</v>
      </c>
      <c r="BH29" s="131">
        <f t="shared" ca="1" si="74"/>
        <v>0</v>
      </c>
      <c r="BI29" s="2">
        <f ca="1">SUM(BH29:BH$124)*SSf</f>
        <v>0</v>
      </c>
      <c r="BJ29" s="70">
        <f t="shared" ca="1" si="75"/>
        <v>99999.468031528944</v>
      </c>
      <c r="BK29" s="2">
        <f t="shared" ref="BK29" ca="1" si="448">IFERROR(VLOOKUP($S29,qx_table,MATCH(BK$11,qx_title,0)+sexB),0)</f>
        <v>0</v>
      </c>
      <c r="BL29" s="131">
        <f t="shared" ca="1" si="77"/>
        <v>0</v>
      </c>
      <c r="BM29" s="131">
        <f ca="1">SUM(BL29:BL$124)*SSg</f>
        <v>0</v>
      </c>
      <c r="BN29" s="70">
        <f t="shared" ca="1" si="78"/>
        <v>99999.468031528944</v>
      </c>
      <c r="BO29" s="2">
        <f t="shared" ref="BO29" ca="1" si="449">IFERROR(VLOOKUP($S29,qx_table,MATCH(BO$11,qx_title,0)+sexB),0)</f>
        <v>0</v>
      </c>
      <c r="BP29" s="131">
        <f t="shared" ca="1" si="80"/>
        <v>0</v>
      </c>
      <c r="BQ29" s="131">
        <f ca="1">SUM(BP29:BP$124)*SSh</f>
        <v>0</v>
      </c>
      <c r="BR29" s="70">
        <f t="shared" ca="1" si="81"/>
        <v>99999.468031528944</v>
      </c>
      <c r="BS29" s="2">
        <f t="shared" ref="BS29" ca="1" si="450">IFERROR(VLOOKUP($S29,qx_table,MATCH(BS$11,qx_title,0)+sexB),0)*IF(R29=0,MCi,1)</f>
        <v>0</v>
      </c>
      <c r="BT29" s="131">
        <f t="shared" ca="1" si="83"/>
        <v>0</v>
      </c>
      <c r="BU29" s="131">
        <f ca="1">SUM(BT29:BT$124)*SSi</f>
        <v>0</v>
      </c>
      <c r="BV29" s="70">
        <f t="shared" ca="1" si="84"/>
        <v>99999.468031528944</v>
      </c>
      <c r="BW29" s="2">
        <f t="shared" ref="BW29" ca="1" si="451">IFERROR(VLOOKUP($S29,qx_table,MATCH(BW$11,qx_title,0)+sexB),0)</f>
        <v>0</v>
      </c>
      <c r="BX29" s="131">
        <f t="shared" ca="1" si="86"/>
        <v>0</v>
      </c>
      <c r="BY29" s="131">
        <f ca="1">SUM(BX29:BX$124)*SSj</f>
        <v>0</v>
      </c>
      <c r="BZ29" s="70">
        <f t="shared" ca="1" si="87"/>
        <v>99999.468031528944</v>
      </c>
      <c r="CA29" s="2">
        <f t="shared" ref="CA29" ca="1" si="452">IFERROR(VLOOKUP($S29,qx_table,MATCH(CA$11,qx_title,0)+sexB),0)</f>
        <v>0</v>
      </c>
      <c r="CB29" s="131">
        <f t="shared" ca="1" si="89"/>
        <v>0</v>
      </c>
      <c r="CC29" s="131">
        <f ca="1">SUM(CB29:CB$124)*SSk</f>
        <v>0</v>
      </c>
      <c r="CD29" s="8">
        <f t="shared" ca="1" si="90"/>
        <v>99999.468031528944</v>
      </c>
      <c r="CE29" s="2">
        <f t="shared" ref="CE29" ca="1" si="453">IFERROR(VLOOKUP($S29,qx_table,MATCH(CE$11,qx_title,0)+sexB),0)</f>
        <v>0</v>
      </c>
      <c r="CF29" s="131">
        <f t="shared" ca="1" si="92"/>
        <v>0</v>
      </c>
      <c r="CG29" s="131">
        <f ca="1">SUM(CF29:CF$124)*SSl</f>
        <v>0</v>
      </c>
      <c r="CH29" s="101">
        <f t="shared" ca="1" si="93"/>
        <v>0.29053504585734441</v>
      </c>
      <c r="CI29" s="154">
        <f t="shared" ca="1" si="37"/>
        <v>0.24103636990085672</v>
      </c>
      <c r="CJ29" s="32">
        <f t="shared" ca="1" si="38"/>
        <v>200912.7385123627</v>
      </c>
      <c r="CK29" s="32">
        <f t="shared" ref="CK29" ca="1" si="454">+MAX(VLOOKUP(xB+$R29,기수표B,$AH$1)-VLOOKUP(xB+mB,기수표B,$AH$1)-11/24*(VLOOKUP(xB+$R29,기수표B,$AG$1)-VLOOKUP(xB+mB,기수표B,$AG$1)),0)</f>
        <v>198881.88562729428</v>
      </c>
      <c r="CL29" s="32">
        <f t="shared" ref="CL29" ca="1" si="455">+MAX(VLOOKUP(xB+$R29,기수표B,$AA$1)-VLOOKUP(xB+mB,기수표B,$AA$1),0)</f>
        <v>201025.27099094828</v>
      </c>
      <c r="CM29" s="32">
        <f t="shared" ref="CM29" ca="1" si="456">+MAX(VLOOKUP(xB+$R29,기수표B,$AA$1)-VLOOKUP(xB+mB,기수표B,$AA$1)-11/24*(VLOOKUP(xB+$R29,기수표B,$AA$1)-VLOOKUP(xB+mB,기수표B,$AA$1)),0)</f>
        <v>108888.68845343032</v>
      </c>
      <c r="CN29" s="32">
        <f t="shared" ca="1" si="41"/>
        <v>126752.19729130244</v>
      </c>
      <c r="CO29" s="32">
        <f t="shared" ca="1" si="42"/>
        <v>9.7561501855743665E-2</v>
      </c>
      <c r="CP29" s="259">
        <f t="shared" ca="1" si="43"/>
        <v>3.8999999999999999E-6</v>
      </c>
      <c r="CQ29" s="262">
        <f t="shared" ca="1" si="44"/>
        <v>3.8999999999999999E-6</v>
      </c>
      <c r="CR29" s="259">
        <f t="shared" ca="1" si="45"/>
        <v>3.9446414931241885E-6</v>
      </c>
      <c r="CS29" s="259">
        <f t="shared" ca="1" si="46"/>
        <v>1.3599999999999999E-5</v>
      </c>
      <c r="CT29" s="31">
        <f t="shared" ref="CT29" si="457">+MIN(mB,7)</f>
        <v>7</v>
      </c>
      <c r="CV29" s="13">
        <v>17</v>
      </c>
      <c r="CW29" s="477">
        <f t="shared" ca="1" si="48"/>
        <v>408</v>
      </c>
      <c r="CX29" s="477">
        <f t="shared" ca="1" si="49"/>
        <v>39</v>
      </c>
      <c r="CY29" s="477">
        <f t="shared" ca="1" si="50"/>
        <v>39</v>
      </c>
      <c r="CZ29" s="478">
        <f t="shared" ca="1" si="98"/>
        <v>9.5000000000000001E-2</v>
      </c>
    </row>
    <row r="30" spans="2:104">
      <c r="B30" s="13" t="s">
        <v>161</v>
      </c>
      <c r="F30" s="600" t="s">
        <v>70</v>
      </c>
      <c r="G30" s="69" t="s">
        <v>158</v>
      </c>
      <c r="H30" s="230">
        <f ca="1">+$H$11-$I$11</f>
        <v>1631932.6581890783</v>
      </c>
      <c r="I30" s="230"/>
      <c r="J30" s="230"/>
      <c r="K30" s="230">
        <f t="shared" ref="K30" ca="1" si="458">+$H$11-$I$11</f>
        <v>1631932.6581890783</v>
      </c>
      <c r="N30" s="5">
        <f t="shared" si="99"/>
        <v>18</v>
      </c>
      <c r="O30" s="2">
        <f t="shared" ref="O30" ca="1" si="459">+(1+iB)^-N30</f>
        <v>0.66997762623972779</v>
      </c>
      <c r="P30" s="2">
        <f t="shared" ref="P30" ca="1" si="460">+(1+iB)^-(N30+0.5)</f>
        <v>0.66256523019687541</v>
      </c>
      <c r="Q30" s="91"/>
      <c r="R30" s="20">
        <f t="shared" si="102"/>
        <v>18</v>
      </c>
      <c r="S30" s="20">
        <f t="shared" ref="S30" si="461">+IF(xB+R30&lt;=xB+nB,xB+R30,"")</f>
        <v>26</v>
      </c>
      <c r="T30" s="2">
        <f t="shared" ref="T30:U30" ca="1" si="462">IFERROR(VLOOKUP($S30,qx_table,MATCH(T$11,qx_title,0)+sexB),0)</f>
        <v>0</v>
      </c>
      <c r="U30" s="2">
        <f t="shared" ca="1" si="462"/>
        <v>5.0000000000000002E-5</v>
      </c>
      <c r="V30" s="300">
        <v>0</v>
      </c>
      <c r="W30" s="8">
        <f t="shared" ref="W30" ca="1" si="463">IF(R30=0,100000,IF(R30&gt;nB,0,W29*(1-X29)*(1-Y29)))</f>
        <v>99999.41189462757</v>
      </c>
      <c r="X30" s="10">
        <f t="shared" ca="1" si="19"/>
        <v>0</v>
      </c>
      <c r="Y30" s="10">
        <f t="shared" ca="1" si="56"/>
        <v>6.7692399996488462E-7</v>
      </c>
      <c r="Z30" s="8">
        <f t="shared" ca="1" si="106"/>
        <v>66997.368606531381</v>
      </c>
      <c r="AA30" s="8">
        <f ca="1">+SUM(Z30:Z$124)</f>
        <v>320564.52278660686</v>
      </c>
      <c r="AB30" s="8">
        <f t="shared" ca="1" si="20"/>
        <v>0</v>
      </c>
      <c r="AC30" s="209">
        <f ca="1">+SUM(AB30:AB$124)*SSSM</f>
        <v>0</v>
      </c>
      <c r="AD30" s="209">
        <f t="shared" ref="AD30" ca="1" si="464">IF(R30&gt;nB,0,AD29*(1-X29)*(1-Y29)*(1-AE29)*(1-AF29))</f>
        <v>99943.426869903371</v>
      </c>
      <c r="AE30" s="92">
        <f t="shared" ca="1" si="21"/>
        <v>4.9999999999994493E-5</v>
      </c>
      <c r="AF30" s="92">
        <f t="shared" ca="1" si="22"/>
        <v>0</v>
      </c>
      <c r="AG30" s="8">
        <f t="shared" ca="1" si="23"/>
        <v>66959.859892561682</v>
      </c>
      <c r="AH30" s="5">
        <f ca="1">+SUM(AG30:AG$124)</f>
        <v>320352.9248494652</v>
      </c>
      <c r="AI30" s="70">
        <f t="shared" ca="1" si="24"/>
        <v>3.3109519815357409</v>
      </c>
      <c r="AJ30" s="208">
        <f ca="1">+SUM(AB30:AB$124)*SS50J</f>
        <v>0</v>
      </c>
      <c r="AK30" s="209">
        <f t="shared" ca="1" si="58"/>
        <v>99999.41189462757</v>
      </c>
      <c r="AL30" s="257">
        <f t="shared" ref="AL30" ca="1" si="465">IFERROR(VLOOKUP($S30,qx_table,MATCH(AL$11,qx_title,0)+sexB),0)</f>
        <v>6.7692399999999995E-7</v>
      </c>
      <c r="AM30" s="131">
        <f t="shared" ca="1" si="109"/>
        <v>66997.368606531381</v>
      </c>
      <c r="AN30" s="129">
        <f t="shared" ca="1" si="110"/>
        <v>4.485036681961091E-2</v>
      </c>
      <c r="AO30" s="129">
        <f ca="1">SUM(AN30:AN$124)*SSa</f>
        <v>0.25250381380306264</v>
      </c>
      <c r="AP30" s="70">
        <f t="shared" ca="1" si="60"/>
        <v>99999.41189462757</v>
      </c>
      <c r="AQ30" s="2">
        <f t="shared" ref="AQ30" ca="1" si="466">IFERROR(VLOOKUP($S30,qx_table,MATCH(AQ$11,qx_title,0)+sexB),0)</f>
        <v>0</v>
      </c>
      <c r="AR30" s="127">
        <f t="shared" ca="1" si="62"/>
        <v>0</v>
      </c>
      <c r="AS30" s="127">
        <f ca="1">SUM(AR30:AR$124)*SSb</f>
        <v>0</v>
      </c>
      <c r="AT30" s="70">
        <f t="shared" ca="1" si="63"/>
        <v>99999.41189462757</v>
      </c>
      <c r="AU30" s="2">
        <f t="shared" ref="AU30" ca="1" si="467">IFERROR(VLOOKUP($S30,qx_table,MATCH(AU$11,qx_title,0)+sexB),0)</f>
        <v>0</v>
      </c>
      <c r="AV30" s="268">
        <f t="shared" ca="1" si="65"/>
        <v>0</v>
      </c>
      <c r="AW30" s="131">
        <f ca="1">SUM(AV30:AV$124)*SSc</f>
        <v>0</v>
      </c>
      <c r="AX30" s="70">
        <f t="shared" ca="1" si="66"/>
        <v>99999.41189462757</v>
      </c>
      <c r="AY30" s="2">
        <f t="shared" ref="AY30" ca="1" si="468">IFERROR(VLOOKUP($S30,qx_table,MATCH(AY$11,qx_title,0)+sexB),0)</f>
        <v>0</v>
      </c>
      <c r="AZ30" s="268">
        <f t="shared" ca="1" si="68"/>
        <v>0</v>
      </c>
      <c r="BA30" s="129">
        <f ca="1">SUM(AZ30:AZ$124)*SSd</f>
        <v>0</v>
      </c>
      <c r="BB30" s="70">
        <f t="shared" ca="1" si="69"/>
        <v>99999.41189462757</v>
      </c>
      <c r="BC30" s="257">
        <f t="shared" ref="BC30" ca="1" si="469">IFERROR(VLOOKUP($S30,qx_table,MATCH(BC$11,qx_title,0)+sexB),0)</f>
        <v>0</v>
      </c>
      <c r="BD30" s="268">
        <f t="shared" ca="1" si="71"/>
        <v>0</v>
      </c>
      <c r="BE30" s="131">
        <f ca="1">SUM(BD30:BD$124)*SSe</f>
        <v>0</v>
      </c>
      <c r="BF30" s="70">
        <f t="shared" ca="1" si="72"/>
        <v>99999.41189462757</v>
      </c>
      <c r="BG30" s="2">
        <f t="shared" ref="BG30" ca="1" si="470">IFERROR(VLOOKUP($S30,qx_table,MATCH(BG$11,qx_title,0)+sexB),0)</f>
        <v>0</v>
      </c>
      <c r="BH30" s="131">
        <f t="shared" ca="1" si="74"/>
        <v>0</v>
      </c>
      <c r="BI30" s="2">
        <f ca="1">SUM(BH30:BH$124)*SSf</f>
        <v>0</v>
      </c>
      <c r="BJ30" s="70">
        <f t="shared" ca="1" si="75"/>
        <v>99999.41189462757</v>
      </c>
      <c r="BK30" s="2">
        <f t="shared" ref="BK30" ca="1" si="471">IFERROR(VLOOKUP($S30,qx_table,MATCH(BK$11,qx_title,0)+sexB),0)</f>
        <v>0</v>
      </c>
      <c r="BL30" s="131">
        <f t="shared" ca="1" si="77"/>
        <v>0</v>
      </c>
      <c r="BM30" s="131">
        <f ca="1">SUM(BL30:BL$124)*SSg</f>
        <v>0</v>
      </c>
      <c r="BN30" s="70">
        <f t="shared" ca="1" si="78"/>
        <v>99999.41189462757</v>
      </c>
      <c r="BO30" s="2">
        <f t="shared" ref="BO30" ca="1" si="472">IFERROR(VLOOKUP($S30,qx_table,MATCH(BO$11,qx_title,0)+sexB),0)</f>
        <v>0</v>
      </c>
      <c r="BP30" s="131">
        <f t="shared" ca="1" si="80"/>
        <v>0</v>
      </c>
      <c r="BQ30" s="131">
        <f ca="1">SUM(BP30:BP$124)*SSh</f>
        <v>0</v>
      </c>
      <c r="BR30" s="70">
        <f t="shared" ca="1" si="81"/>
        <v>99999.41189462757</v>
      </c>
      <c r="BS30" s="2">
        <f t="shared" ref="BS30" ca="1" si="473">IFERROR(VLOOKUP($S30,qx_table,MATCH(BS$11,qx_title,0)+sexB),0)*IF(R30=0,MCi,1)</f>
        <v>0</v>
      </c>
      <c r="BT30" s="131">
        <f t="shared" ca="1" si="83"/>
        <v>0</v>
      </c>
      <c r="BU30" s="131">
        <f ca="1">SUM(BT30:BT$124)*SSi</f>
        <v>0</v>
      </c>
      <c r="BV30" s="70">
        <f t="shared" ca="1" si="84"/>
        <v>99999.41189462757</v>
      </c>
      <c r="BW30" s="2">
        <f t="shared" ref="BW30" ca="1" si="474">IFERROR(VLOOKUP($S30,qx_table,MATCH(BW$11,qx_title,0)+sexB),0)</f>
        <v>0</v>
      </c>
      <c r="BX30" s="131">
        <f t="shared" ca="1" si="86"/>
        <v>0</v>
      </c>
      <c r="BY30" s="131">
        <f ca="1">SUM(BX30:BX$124)*SSj</f>
        <v>0</v>
      </c>
      <c r="BZ30" s="70">
        <f t="shared" ca="1" si="87"/>
        <v>99999.41189462757</v>
      </c>
      <c r="CA30" s="2">
        <f t="shared" ref="CA30" ca="1" si="475">IFERROR(VLOOKUP($S30,qx_table,MATCH(CA$11,qx_title,0)+sexB),0)</f>
        <v>0</v>
      </c>
      <c r="CB30" s="131">
        <f t="shared" ca="1" si="89"/>
        <v>0</v>
      </c>
      <c r="CC30" s="131">
        <f ca="1">SUM(CB30:CB$124)*SSk</f>
        <v>0</v>
      </c>
      <c r="CD30" s="8">
        <f t="shared" ca="1" si="90"/>
        <v>99999.41189462757</v>
      </c>
      <c r="CE30" s="2">
        <f t="shared" ref="CE30" ca="1" si="476">IFERROR(VLOOKUP($S30,qx_table,MATCH(CE$11,qx_title,0)+sexB),0)</f>
        <v>0</v>
      </c>
      <c r="CF30" s="131">
        <f t="shared" ca="1" si="92"/>
        <v>0</v>
      </c>
      <c r="CG30" s="131">
        <f ca="1">SUM(CF30:CF$124)*SSl</f>
        <v>0</v>
      </c>
      <c r="CH30" s="101">
        <f t="shared" ca="1" si="93"/>
        <v>0.25250381380306264</v>
      </c>
      <c r="CI30" s="154">
        <f t="shared" ca="1" si="37"/>
        <v>0.20300513784657495</v>
      </c>
      <c r="CJ30" s="32">
        <f t="shared" ca="1" si="38"/>
        <v>132442.9567875223</v>
      </c>
      <c r="CK30" s="32">
        <f t="shared" ref="CK30" ca="1" si="477">+MAX(VLOOKUP(xB+$R30,기수표B,$AH$1)-VLOOKUP(xB+mB,기수표B,$AH$1)-11/24*(VLOOKUP(xB+$R30,기수표B,$AG$1)-VLOOKUP(xB+mB,기수표B,$AG$1)),0)</f>
        <v>131104.15140891497</v>
      </c>
      <c r="CL30" s="32">
        <f t="shared" ref="CL30" ca="1" si="478">+MAX(VLOOKUP(xB+$R30,기수표B,$AA$1)-VLOOKUP(xB+mB,기수표B,$AA$1),0)</f>
        <v>132520.42313406648</v>
      </c>
      <c r="CM30" s="32">
        <f t="shared" ref="CM30" ca="1" si="479">+MAX(VLOOKUP(xB+$R30,기수표B,$AA$1)-VLOOKUP(xB+mB,기수표B,$AA$1)-11/24*(VLOOKUP(xB+$R30,기수표B,$AA$1)-VLOOKUP(xB+mB,기수표B,$AA$1)),0)</f>
        <v>71781.895864286023</v>
      </c>
      <c r="CN30" s="32">
        <f t="shared" ca="1" si="41"/>
        <v>126752.19729130244</v>
      </c>
      <c r="CO30" s="32">
        <f t="shared" ca="1" si="42"/>
        <v>6.4313163366746653E-2</v>
      </c>
      <c r="CP30" s="259">
        <f t="shared" ca="1" si="43"/>
        <v>3.9999999999999998E-6</v>
      </c>
      <c r="CQ30" s="262">
        <f t="shared" ca="1" si="44"/>
        <v>3.9999999999999998E-6</v>
      </c>
      <c r="CR30" s="259">
        <f t="shared" ca="1" si="45"/>
        <v>3.9620089160524636E-6</v>
      </c>
      <c r="CS30" s="259">
        <f t="shared" ca="1" si="46"/>
        <v>1.4399999999999999E-5</v>
      </c>
      <c r="CT30" s="31">
        <f t="shared" ref="CT30" si="480">+MIN(mB,7)</f>
        <v>7</v>
      </c>
      <c r="CV30" s="13">
        <v>18</v>
      </c>
      <c r="CW30" s="477">
        <f t="shared" ca="1" si="48"/>
        <v>432</v>
      </c>
      <c r="CX30" s="477">
        <f t="shared" ca="1" si="49"/>
        <v>40</v>
      </c>
      <c r="CY30" s="477">
        <f t="shared" ca="1" si="50"/>
        <v>40</v>
      </c>
      <c r="CZ30" s="478">
        <f t="shared" ca="1" si="98"/>
        <v>9.1999999999999998E-2</v>
      </c>
    </row>
    <row r="31" spans="2:104">
      <c r="B31" s="18" t="s">
        <v>162</v>
      </c>
      <c r="C31" s="256">
        <f ca="1">ROUND((ALP_GP*H28+ALP_S+ALP_PP*C28)*SB,0)/SB</f>
        <v>2.9999999999999999E-7</v>
      </c>
      <c r="D31" s="293">
        <f ca="1">C31*S</f>
        <v>3</v>
      </c>
      <c r="F31" s="601"/>
      <c r="G31" s="69" t="s">
        <v>542</v>
      </c>
      <c r="H31" s="230">
        <f ca="1">+$H$9-$I$9</f>
        <v>1632285.3836760959</v>
      </c>
      <c r="I31" s="230"/>
      <c r="J31" s="230"/>
      <c r="K31" s="230">
        <f t="shared" ref="K31" ca="1" si="481">+$H$9-$I$9</f>
        <v>1632285.3836760959</v>
      </c>
      <c r="N31" s="5">
        <f t="shared" si="99"/>
        <v>19</v>
      </c>
      <c r="O31" s="2">
        <f t="shared" ref="O31" ca="1" si="482">+(1+iB)^-N31</f>
        <v>0.65523484228824225</v>
      </c>
      <c r="P31" s="2">
        <f t="shared" ref="P31" ca="1" si="483">+(1+iB)^-(N31+0.5)</f>
        <v>0.64798555520476819</v>
      </c>
      <c r="Q31" s="91"/>
      <c r="R31" s="20">
        <f t="shared" si="102"/>
        <v>19</v>
      </c>
      <c r="S31" s="20">
        <f t="shared" ref="S31" si="484">+IF(xB+R31&lt;=xB+nB,xB+R31,"")</f>
        <v>27</v>
      </c>
      <c r="T31" s="2">
        <f t="shared" ref="T31:U31" ca="1" si="485">IFERROR(VLOOKUP($S31,qx_table,MATCH(T$11,qx_title,0)+sexB),0)</f>
        <v>0</v>
      </c>
      <c r="U31" s="2">
        <f t="shared" ca="1" si="485"/>
        <v>5.1E-5</v>
      </c>
      <c r="V31" s="300">
        <v>0</v>
      </c>
      <c r="W31" s="8">
        <f t="shared" ref="W31" ca="1" si="486">IF(R31=0,100000,IF(R31&gt;nB,0,W30*(1-X30)*(1-Y30)))</f>
        <v>99999.344202625682</v>
      </c>
      <c r="X31" s="10">
        <f t="shared" ca="1" si="19"/>
        <v>0</v>
      </c>
      <c r="Y31" s="10">
        <f t="shared" ca="1" si="56"/>
        <v>8.1868000001428243E-7</v>
      </c>
      <c r="Z31" s="8">
        <f t="shared" ca="1" si="106"/>
        <v>65523.054527535089</v>
      </c>
      <c r="AA31" s="8">
        <f ca="1">+SUM(Z31:Z$124)</f>
        <v>253567.15418007548</v>
      </c>
      <c r="AB31" s="8">
        <f t="shared" ca="1" si="20"/>
        <v>0</v>
      </c>
      <c r="AC31" s="209">
        <f ca="1">+SUM(AB31:AB$124)*SSSM</f>
        <v>0</v>
      </c>
      <c r="AD31" s="209">
        <f t="shared" ref="AD31" ca="1" si="487">IF(R31&gt;nB,0,AD30*(1-X30)*(1-Y30)*(1-AE30)*(1-AF30))</f>
        <v>99938.362047838295</v>
      </c>
      <c r="AE31" s="92">
        <f t="shared" ca="1" si="21"/>
        <v>5.1000000000023249E-5</v>
      </c>
      <c r="AF31" s="92">
        <f t="shared" ca="1" si="22"/>
        <v>0</v>
      </c>
      <c r="AG31" s="8">
        <f t="shared" ca="1" si="23"/>
        <v>65483.096894960581</v>
      </c>
      <c r="AH31" s="5">
        <f ca="1">+SUM(AG31:AG$124)</f>
        <v>253393.06495690346</v>
      </c>
      <c r="AI31" s="70">
        <f t="shared" ca="1" si="24"/>
        <v>3.3026893659105108</v>
      </c>
      <c r="AJ31" s="208">
        <f ca="1">+SUM(AB31:AB$124)*SS50J</f>
        <v>0</v>
      </c>
      <c r="AK31" s="209">
        <f t="shared" ca="1" si="58"/>
        <v>99999.344202625682</v>
      </c>
      <c r="AL31" s="257">
        <f t="shared" ref="AL31" ca="1" si="488">IFERROR(VLOOKUP($S31,qx_table,MATCH(AL$11,qx_title,0)+sexB),0)</f>
        <v>8.1868000000000008E-7</v>
      </c>
      <c r="AM31" s="131">
        <f t="shared" ca="1" si="109"/>
        <v>65523.054527535089</v>
      </c>
      <c r="AN31" s="129">
        <f t="shared" ca="1" si="110"/>
        <v>5.3048933537709231E-2</v>
      </c>
      <c r="AO31" s="129">
        <f ca="1">SUM(AN31:AN$124)*SSa</f>
        <v>0.20765344698345173</v>
      </c>
      <c r="AP31" s="70">
        <f t="shared" ca="1" si="60"/>
        <v>99999.344202625682</v>
      </c>
      <c r="AQ31" s="2">
        <f t="shared" ref="AQ31" ca="1" si="489">IFERROR(VLOOKUP($S31,qx_table,MATCH(AQ$11,qx_title,0)+sexB),0)</f>
        <v>0</v>
      </c>
      <c r="AR31" s="127">
        <f t="shared" ca="1" si="62"/>
        <v>0</v>
      </c>
      <c r="AS31" s="127">
        <f ca="1">SUM(AR31:AR$124)*SSb</f>
        <v>0</v>
      </c>
      <c r="AT31" s="70">
        <f t="shared" ca="1" si="63"/>
        <v>99999.344202625682</v>
      </c>
      <c r="AU31" s="2">
        <f t="shared" ref="AU31" ca="1" si="490">IFERROR(VLOOKUP($S31,qx_table,MATCH(AU$11,qx_title,0)+sexB),0)</f>
        <v>0</v>
      </c>
      <c r="AV31" s="268">
        <f t="shared" ca="1" si="65"/>
        <v>0</v>
      </c>
      <c r="AW31" s="131">
        <f ca="1">SUM(AV31:AV$124)*SSc</f>
        <v>0</v>
      </c>
      <c r="AX31" s="70">
        <f t="shared" ca="1" si="66"/>
        <v>99999.344202625682</v>
      </c>
      <c r="AY31" s="2">
        <f t="shared" ref="AY31" ca="1" si="491">IFERROR(VLOOKUP($S31,qx_table,MATCH(AY$11,qx_title,0)+sexB),0)</f>
        <v>0</v>
      </c>
      <c r="AZ31" s="268">
        <f t="shared" ca="1" si="68"/>
        <v>0</v>
      </c>
      <c r="BA31" s="129">
        <f ca="1">SUM(AZ31:AZ$124)*SSd</f>
        <v>0</v>
      </c>
      <c r="BB31" s="70">
        <f t="shared" ca="1" si="69"/>
        <v>99999.344202625682</v>
      </c>
      <c r="BC31" s="257">
        <f t="shared" ref="BC31" ca="1" si="492">IFERROR(VLOOKUP($S31,qx_table,MATCH(BC$11,qx_title,0)+sexB),0)</f>
        <v>0</v>
      </c>
      <c r="BD31" s="268">
        <f t="shared" ca="1" si="71"/>
        <v>0</v>
      </c>
      <c r="BE31" s="131">
        <f ca="1">SUM(BD31:BD$124)*SSe</f>
        <v>0</v>
      </c>
      <c r="BF31" s="70">
        <f t="shared" ca="1" si="72"/>
        <v>99999.344202625682</v>
      </c>
      <c r="BG31" s="2">
        <f t="shared" ref="BG31" ca="1" si="493">IFERROR(VLOOKUP($S31,qx_table,MATCH(BG$11,qx_title,0)+sexB),0)</f>
        <v>0</v>
      </c>
      <c r="BH31" s="131">
        <f t="shared" ca="1" si="74"/>
        <v>0</v>
      </c>
      <c r="BI31" s="2">
        <f ca="1">SUM(BH31:BH$124)*SSf</f>
        <v>0</v>
      </c>
      <c r="BJ31" s="70">
        <f t="shared" ca="1" si="75"/>
        <v>99999.344202625682</v>
      </c>
      <c r="BK31" s="2">
        <f t="shared" ref="BK31" ca="1" si="494">IFERROR(VLOOKUP($S31,qx_table,MATCH(BK$11,qx_title,0)+sexB),0)</f>
        <v>0</v>
      </c>
      <c r="BL31" s="131">
        <f t="shared" ca="1" si="77"/>
        <v>0</v>
      </c>
      <c r="BM31" s="131">
        <f ca="1">SUM(BL31:BL$124)*SSg</f>
        <v>0</v>
      </c>
      <c r="BN31" s="70">
        <f t="shared" ca="1" si="78"/>
        <v>99999.344202625682</v>
      </c>
      <c r="BO31" s="2">
        <f t="shared" ref="BO31" ca="1" si="495">IFERROR(VLOOKUP($S31,qx_table,MATCH(BO$11,qx_title,0)+sexB),0)</f>
        <v>0</v>
      </c>
      <c r="BP31" s="131">
        <f t="shared" ca="1" si="80"/>
        <v>0</v>
      </c>
      <c r="BQ31" s="131">
        <f ca="1">SUM(BP31:BP$124)*SSh</f>
        <v>0</v>
      </c>
      <c r="BR31" s="70">
        <f t="shared" ca="1" si="81"/>
        <v>99999.344202625682</v>
      </c>
      <c r="BS31" s="2">
        <f t="shared" ref="BS31" ca="1" si="496">IFERROR(VLOOKUP($S31,qx_table,MATCH(BS$11,qx_title,0)+sexB),0)*IF(R31=0,MCi,1)</f>
        <v>0</v>
      </c>
      <c r="BT31" s="131">
        <f t="shared" ca="1" si="83"/>
        <v>0</v>
      </c>
      <c r="BU31" s="131">
        <f ca="1">SUM(BT31:BT$124)*SSi</f>
        <v>0</v>
      </c>
      <c r="BV31" s="70">
        <f t="shared" ca="1" si="84"/>
        <v>99999.344202625682</v>
      </c>
      <c r="BW31" s="2">
        <f t="shared" ref="BW31" ca="1" si="497">IFERROR(VLOOKUP($S31,qx_table,MATCH(BW$11,qx_title,0)+sexB),0)</f>
        <v>0</v>
      </c>
      <c r="BX31" s="131">
        <f t="shared" ca="1" si="86"/>
        <v>0</v>
      </c>
      <c r="BY31" s="131">
        <f ca="1">SUM(BX31:BX$124)*SSj</f>
        <v>0</v>
      </c>
      <c r="BZ31" s="70">
        <f t="shared" ca="1" si="87"/>
        <v>99999.344202625682</v>
      </c>
      <c r="CA31" s="2">
        <f t="shared" ref="CA31" ca="1" si="498">IFERROR(VLOOKUP($S31,qx_table,MATCH(CA$11,qx_title,0)+sexB),0)</f>
        <v>0</v>
      </c>
      <c r="CB31" s="131">
        <f t="shared" ca="1" si="89"/>
        <v>0</v>
      </c>
      <c r="CC31" s="131">
        <f ca="1">SUM(CB31:CB$124)*SSk</f>
        <v>0</v>
      </c>
      <c r="CD31" s="8">
        <f t="shared" ca="1" si="90"/>
        <v>99999.344202625682</v>
      </c>
      <c r="CE31" s="2">
        <f t="shared" ref="CE31" ca="1" si="499">IFERROR(VLOOKUP($S31,qx_table,MATCH(CE$11,qx_title,0)+sexB),0)</f>
        <v>0</v>
      </c>
      <c r="CF31" s="131">
        <f t="shared" ca="1" si="92"/>
        <v>0</v>
      </c>
      <c r="CG31" s="131">
        <f ca="1">SUM(CF31:CF$124)*SSl</f>
        <v>0</v>
      </c>
      <c r="CH31" s="101">
        <f t="shared" ca="1" si="93"/>
        <v>0.20765344698345173</v>
      </c>
      <c r="CI31" s="154">
        <f t="shared" ca="1" si="37"/>
        <v>0.15815477102696404</v>
      </c>
      <c r="CJ31" s="32">
        <f t="shared" ca="1" si="38"/>
        <v>65483.096894960559</v>
      </c>
      <c r="CK31" s="32">
        <f t="shared" ref="CK31" ca="1" si="500">+MAX(VLOOKUP(xB+$R31,기수표B,$AH$1)-VLOOKUP(xB+mB,기수표B,$AH$1)-11/24*(VLOOKUP(xB+$R31,기수표B,$AG$1)-VLOOKUP(xB+mB,기수표B,$AG$1)),0)</f>
        <v>64821.141223587074</v>
      </c>
      <c r="CL31" s="32">
        <f t="shared" ref="CL31" ca="1" si="501">+MAX(VLOOKUP(xB+$R31,기수표B,$AA$1)-VLOOKUP(xB+mB,기수표B,$AA$1),0)</f>
        <v>65523.054527535103</v>
      </c>
      <c r="CM31" s="32">
        <f t="shared" ref="CM31" ca="1" si="502">+MAX(VLOOKUP(xB+$R31,기수표B,$AA$1)-VLOOKUP(xB+mB,기수표B,$AA$1)-11/24*(VLOOKUP(xB+$R31,기수표B,$AA$1)-VLOOKUP(xB+mB,기수표B,$AA$1)),0)</f>
        <v>35491.654535748181</v>
      </c>
      <c r="CN31" s="32">
        <f t="shared" ca="1" si="41"/>
        <v>126752.19729130244</v>
      </c>
      <c r="CO31" s="32">
        <f t="shared" ca="1" si="42"/>
        <v>3.1798029963363554E-2</v>
      </c>
      <c r="CP31" s="259">
        <f t="shared" ca="1" si="43"/>
        <v>3.8999999999999999E-6</v>
      </c>
      <c r="CQ31" s="262">
        <f t="shared" ca="1" si="44"/>
        <v>3.8999999999999999E-6</v>
      </c>
      <c r="CR31" s="259">
        <f t="shared" ca="1" si="45"/>
        <v>3.8628989472482183E-6</v>
      </c>
      <c r="CS31" s="259">
        <f t="shared" ca="1" si="46"/>
        <v>1.52E-5</v>
      </c>
      <c r="CT31" s="31">
        <f t="shared" ref="CT31" si="503">+MIN(mB,7)</f>
        <v>7</v>
      </c>
      <c r="CV31" s="13">
        <v>19</v>
      </c>
      <c r="CW31" s="477">
        <f t="shared" ca="1" si="48"/>
        <v>456</v>
      </c>
      <c r="CX31" s="477">
        <f t="shared" ca="1" si="49"/>
        <v>39</v>
      </c>
      <c r="CY31" s="477">
        <f t="shared" ca="1" si="50"/>
        <v>39</v>
      </c>
      <c r="CZ31" s="478">
        <f t="shared" ca="1" si="98"/>
        <v>8.5000000000000006E-2</v>
      </c>
    </row>
    <row r="32" spans="2:104">
      <c r="B32" s="18" t="s">
        <v>28</v>
      </c>
      <c r="C32" s="256">
        <f ca="1">ROUND(L24*5%*MIN(nB,20)+C34*10/1000,roundB)*MAIN!$C$20</f>
        <v>1.494E-4</v>
      </c>
      <c r="D32" s="293">
        <f ca="1">C32*S</f>
        <v>1494</v>
      </c>
      <c r="F32" s="601"/>
      <c r="G32" s="18" t="s">
        <v>63</v>
      </c>
      <c r="H32" s="251">
        <f ca="1">H$16</f>
        <v>0.66570029845010426</v>
      </c>
      <c r="I32" s="251"/>
      <c r="J32" s="251"/>
      <c r="K32" s="251">
        <f t="shared" ref="K32" ca="1" si="504">$H$16</f>
        <v>0.66570029845010426</v>
      </c>
      <c r="L32" s="229"/>
      <c r="N32" s="5">
        <f t="shared" si="99"/>
        <v>20</v>
      </c>
      <c r="O32" s="2">
        <f t="shared" ref="O32" ca="1" si="505">+(1+iB)^-N32</f>
        <v>0.64081647167554256</v>
      </c>
      <c r="P32" s="2">
        <f t="shared" ref="P32" ca="1" si="506">+(1+iB)^-(N32+0.5)</f>
        <v>0.6337267043567415</v>
      </c>
      <c r="Q32" s="91"/>
      <c r="R32" s="20">
        <f t="shared" si="102"/>
        <v>20</v>
      </c>
      <c r="S32" s="20">
        <f t="shared" ref="S32" si="507">+IF(xB+R32&lt;=xB+nB,xB+R32,"")</f>
        <v>28</v>
      </c>
      <c r="T32" s="2">
        <f t="shared" ref="T32:U32" ca="1" si="508">IFERROR(VLOOKUP($S32,qx_table,MATCH(T$11,qx_title,0)+sexB),0)</f>
        <v>0</v>
      </c>
      <c r="U32" s="2">
        <f t="shared" ca="1" si="508"/>
        <v>5.3000000000000001E-5</v>
      </c>
      <c r="V32" s="300">
        <v>0</v>
      </c>
      <c r="W32" s="8">
        <f t="shared" ref="W32" ca="1" si="509">IF(R32=0,100000,IF(R32&gt;nB,0,W31*(1-X31)*(1-Y31)))</f>
        <v>99999.262335162566</v>
      </c>
      <c r="X32" s="10">
        <f t="shared" ca="1" si="19"/>
        <v>0</v>
      </c>
      <c r="Y32" s="10">
        <f t="shared" ca="1" si="56"/>
        <v>8.3666600003695635E-7</v>
      </c>
      <c r="Z32" s="8">
        <f t="shared" ca="1" si="106"/>
        <v>64081.174459775852</v>
      </c>
      <c r="AA32" s="8">
        <f ca="1">+SUM(Z32:Z$124)</f>
        <v>188044.09965254038</v>
      </c>
      <c r="AB32" s="8">
        <f t="shared" ca="1" si="20"/>
        <v>0</v>
      </c>
      <c r="AC32" s="209">
        <f ca="1">+SUM(AB32:AB$124)*SSSM</f>
        <v>0</v>
      </c>
      <c r="AD32" s="209">
        <f t="shared" ref="AD32" ca="1" si="510">IF(R32&gt;nB,0,AD31*(1-X31)*(1-Y31)*(1-AE31)*(1-AF31))</f>
        <v>99933.183378008296</v>
      </c>
      <c r="AE32" s="92">
        <f t="shared" ca="1" si="21"/>
        <v>5.2999999999969738E-5</v>
      </c>
      <c r="AF32" s="92">
        <f t="shared" ca="1" si="22"/>
        <v>0</v>
      </c>
      <c r="AG32" s="8">
        <f t="shared" ca="1" si="23"/>
        <v>64038.829975600253</v>
      </c>
      <c r="AH32" s="5">
        <f ca="1">+SUM(AG32:AG$124)</f>
        <v>187909.9680619429</v>
      </c>
      <c r="AI32" s="70">
        <f t="shared" ca="1" si="24"/>
        <v>3.3565073287733074</v>
      </c>
      <c r="AJ32" s="208">
        <f ca="1">+SUM(AB32:AB$124)*SS50J</f>
        <v>0</v>
      </c>
      <c r="AK32" s="209">
        <f t="shared" ca="1" si="58"/>
        <v>99999.262335162566</v>
      </c>
      <c r="AL32" s="257">
        <f t="shared" ref="AL32" ca="1" si="511">IFERROR(VLOOKUP($S32,qx_table,MATCH(AL$11,qx_title,0)+sexB),0)</f>
        <v>8.3666599999999998E-7</v>
      </c>
      <c r="AM32" s="131">
        <f t="shared" ca="1" si="109"/>
        <v>64081.174459775852</v>
      </c>
      <c r="AN32" s="129">
        <f t="shared" ca="1" si="110"/>
        <v>5.3021367559863752E-2</v>
      </c>
      <c r="AO32" s="129">
        <f ca="1">SUM(AN32:AN$124)*SSa</f>
        <v>0.1546045134457425</v>
      </c>
      <c r="AP32" s="70">
        <f t="shared" ca="1" si="60"/>
        <v>99999.262335162566</v>
      </c>
      <c r="AQ32" s="2">
        <f t="shared" ref="AQ32" ca="1" si="512">IFERROR(VLOOKUP($S32,qx_table,MATCH(AQ$11,qx_title,0)+sexB),0)</f>
        <v>0</v>
      </c>
      <c r="AR32" s="127">
        <f t="shared" ca="1" si="62"/>
        <v>0</v>
      </c>
      <c r="AS32" s="127">
        <f ca="1">SUM(AR32:AR$124)*SSb</f>
        <v>0</v>
      </c>
      <c r="AT32" s="70">
        <f t="shared" ca="1" si="63"/>
        <v>99999.262335162566</v>
      </c>
      <c r="AU32" s="2">
        <f t="shared" ref="AU32" ca="1" si="513">IFERROR(VLOOKUP($S32,qx_table,MATCH(AU$11,qx_title,0)+sexB),0)</f>
        <v>0</v>
      </c>
      <c r="AV32" s="268">
        <f t="shared" ca="1" si="65"/>
        <v>0</v>
      </c>
      <c r="AW32" s="131">
        <f ca="1">SUM(AV32:AV$124)*SSc</f>
        <v>0</v>
      </c>
      <c r="AX32" s="70">
        <f t="shared" ca="1" si="66"/>
        <v>99999.262335162566</v>
      </c>
      <c r="AY32" s="2">
        <f t="shared" ref="AY32" ca="1" si="514">IFERROR(VLOOKUP($S32,qx_table,MATCH(AY$11,qx_title,0)+sexB),0)</f>
        <v>0</v>
      </c>
      <c r="AZ32" s="268">
        <f t="shared" ca="1" si="68"/>
        <v>0</v>
      </c>
      <c r="BA32" s="129">
        <f ca="1">SUM(AZ32:AZ$124)*SSd</f>
        <v>0</v>
      </c>
      <c r="BB32" s="70">
        <f t="shared" ca="1" si="69"/>
        <v>99999.262335162566</v>
      </c>
      <c r="BC32" s="257">
        <f t="shared" ref="BC32" ca="1" si="515">IFERROR(VLOOKUP($S32,qx_table,MATCH(BC$11,qx_title,0)+sexB),0)</f>
        <v>0</v>
      </c>
      <c r="BD32" s="268">
        <f t="shared" ca="1" si="71"/>
        <v>0</v>
      </c>
      <c r="BE32" s="131">
        <f ca="1">SUM(BD32:BD$124)*SSe</f>
        <v>0</v>
      </c>
      <c r="BF32" s="70">
        <f t="shared" ca="1" si="72"/>
        <v>99999.262335162566</v>
      </c>
      <c r="BG32" s="2">
        <f t="shared" ref="BG32" ca="1" si="516">IFERROR(VLOOKUP($S32,qx_table,MATCH(BG$11,qx_title,0)+sexB),0)</f>
        <v>0</v>
      </c>
      <c r="BH32" s="131">
        <f t="shared" ca="1" si="74"/>
        <v>0</v>
      </c>
      <c r="BI32" s="2">
        <f ca="1">SUM(BH32:BH$124)*SSf</f>
        <v>0</v>
      </c>
      <c r="BJ32" s="70">
        <f t="shared" ca="1" si="75"/>
        <v>99999.262335162566</v>
      </c>
      <c r="BK32" s="2">
        <f t="shared" ref="BK32" ca="1" si="517">IFERROR(VLOOKUP($S32,qx_table,MATCH(BK$11,qx_title,0)+sexB),0)</f>
        <v>0</v>
      </c>
      <c r="BL32" s="131">
        <f t="shared" ca="1" si="77"/>
        <v>0</v>
      </c>
      <c r="BM32" s="131">
        <f ca="1">SUM(BL32:BL$124)*SSg</f>
        <v>0</v>
      </c>
      <c r="BN32" s="70">
        <f t="shared" ca="1" si="78"/>
        <v>99999.262335162566</v>
      </c>
      <c r="BO32" s="2">
        <f t="shared" ref="BO32" ca="1" si="518">IFERROR(VLOOKUP($S32,qx_table,MATCH(BO$11,qx_title,0)+sexB),0)</f>
        <v>0</v>
      </c>
      <c r="BP32" s="131">
        <f t="shared" ca="1" si="80"/>
        <v>0</v>
      </c>
      <c r="BQ32" s="131">
        <f ca="1">SUM(BP32:BP$124)*SSh</f>
        <v>0</v>
      </c>
      <c r="BR32" s="70">
        <f t="shared" ca="1" si="81"/>
        <v>99999.262335162566</v>
      </c>
      <c r="BS32" s="2">
        <f t="shared" ref="BS32" ca="1" si="519">IFERROR(VLOOKUP($S32,qx_table,MATCH(BS$11,qx_title,0)+sexB),0)*IF(R32=0,MCi,1)</f>
        <v>0</v>
      </c>
      <c r="BT32" s="131">
        <f t="shared" ca="1" si="83"/>
        <v>0</v>
      </c>
      <c r="BU32" s="131">
        <f ca="1">SUM(BT32:BT$124)*SSi</f>
        <v>0</v>
      </c>
      <c r="BV32" s="70">
        <f t="shared" ca="1" si="84"/>
        <v>99999.262335162566</v>
      </c>
      <c r="BW32" s="2">
        <f t="shared" ref="BW32" ca="1" si="520">IFERROR(VLOOKUP($S32,qx_table,MATCH(BW$11,qx_title,0)+sexB),0)</f>
        <v>0</v>
      </c>
      <c r="BX32" s="131">
        <f t="shared" ca="1" si="86"/>
        <v>0</v>
      </c>
      <c r="BY32" s="131">
        <f ca="1">SUM(BX32:BX$124)*SSj</f>
        <v>0</v>
      </c>
      <c r="BZ32" s="70">
        <f t="shared" ca="1" si="87"/>
        <v>99999.262335162566</v>
      </c>
      <c r="CA32" s="2">
        <f t="shared" ref="CA32" ca="1" si="521">IFERROR(VLOOKUP($S32,qx_table,MATCH(CA$11,qx_title,0)+sexB),0)</f>
        <v>0</v>
      </c>
      <c r="CB32" s="131">
        <f t="shared" ca="1" si="89"/>
        <v>0</v>
      </c>
      <c r="CC32" s="131">
        <f ca="1">SUM(CB32:CB$124)*SSk</f>
        <v>0</v>
      </c>
      <c r="CD32" s="8">
        <f t="shared" ca="1" si="90"/>
        <v>99999.262335162566</v>
      </c>
      <c r="CE32" s="2">
        <f t="shared" ref="CE32" ca="1" si="522">IFERROR(VLOOKUP($S32,qx_table,MATCH(CE$11,qx_title,0)+sexB),0)</f>
        <v>0</v>
      </c>
      <c r="CF32" s="131">
        <f t="shared" ca="1" si="92"/>
        <v>0</v>
      </c>
      <c r="CG32" s="131">
        <f ca="1">SUM(CF32:CF$124)*SSl</f>
        <v>0</v>
      </c>
      <c r="CH32" s="101">
        <f t="shared" ca="1" si="93"/>
        <v>0.1546045134457425</v>
      </c>
      <c r="CI32" s="154">
        <f t="shared" ca="1" si="37"/>
        <v>0.10510583748925481</v>
      </c>
      <c r="CJ32" s="32">
        <f t="shared" ca="1" si="38"/>
        <v>0</v>
      </c>
      <c r="CK32" s="32">
        <f t="shared" ref="CK32" ca="1" si="523">+MAX(VLOOKUP(xB+$R32,기수표B,$AH$1)-VLOOKUP(xB+mB,기수표B,$AH$1)-11/24*(VLOOKUP(xB+$R32,기수표B,$AG$1)-VLOOKUP(xB+mB,기수표B,$AG$1)),0)</f>
        <v>0</v>
      </c>
      <c r="CL32" s="32">
        <f t="shared" ref="CL32" ca="1" si="524">+MAX(VLOOKUP(xB+$R32,기수표B,$AA$1)-VLOOKUP(xB+mB,기수표B,$AA$1),0)</f>
        <v>0</v>
      </c>
      <c r="CM32" s="32">
        <f t="shared" ref="CM32" ca="1" si="525">+MAX(VLOOKUP(xB+$R32,기수표B,$AA$1)-VLOOKUP(xB+mB,기수표B,$AA$1)-11/24*(VLOOKUP(xB+$R32,기수표B,$AA$1)-VLOOKUP(xB+mB,기수표B,$AA$1)),0)</f>
        <v>0</v>
      </c>
      <c r="CN32" s="32">
        <f t="shared" ca="1" si="41"/>
        <v>126752.19729130244</v>
      </c>
      <c r="CO32" s="32">
        <f t="shared" ca="1" si="42"/>
        <v>0</v>
      </c>
      <c r="CP32" s="32">
        <f t="shared" ca="1" si="43"/>
        <v>3.5999999999999998E-6</v>
      </c>
      <c r="CQ32" s="262">
        <f t="shared" ca="1" si="44"/>
        <v>3.5999999999999998E-6</v>
      </c>
      <c r="CR32" s="259">
        <f t="shared" ca="1" si="45"/>
        <v>3.6181926554123311E-6</v>
      </c>
      <c r="CS32" s="32">
        <f t="shared" ca="1" si="46"/>
        <v>1.5999999999999999E-5</v>
      </c>
      <c r="CT32" s="31">
        <f t="shared" ref="CT32" si="526">+MIN(mB,7)</f>
        <v>7</v>
      </c>
      <c r="CV32" s="13">
        <v>20</v>
      </c>
      <c r="CW32" s="477">
        <f t="shared" ca="1" si="48"/>
        <v>480</v>
      </c>
      <c r="CX32" s="477">
        <f t="shared" ca="1" si="49"/>
        <v>36</v>
      </c>
      <c r="CY32" s="477">
        <f t="shared" ca="1" si="50"/>
        <v>36</v>
      </c>
      <c r="CZ32" s="478">
        <f t="shared" ca="1" si="98"/>
        <v>7.4999999999999997E-2</v>
      </c>
    </row>
    <row r="33" spans="1:104">
      <c r="B33" s="18" t="s">
        <v>163</v>
      </c>
      <c r="C33" s="292">
        <f ca="1">MIN(C31,C32)</f>
        <v>2.9999999999999999E-7</v>
      </c>
      <c r="D33" s="293">
        <f ca="1">C33*S</f>
        <v>3</v>
      </c>
      <c r="F33" s="601"/>
      <c r="G33" s="18" t="s">
        <v>64</v>
      </c>
      <c r="H33" s="228">
        <f ca="1">H30</f>
        <v>1631932.6581890783</v>
      </c>
      <c r="I33" s="228"/>
      <c r="J33" s="228"/>
      <c r="K33" s="228">
        <f ca="1">K30</f>
        <v>1631932.6581890783</v>
      </c>
      <c r="L33" s="229"/>
      <c r="N33" s="5">
        <f t="shared" si="99"/>
        <v>21</v>
      </c>
      <c r="O33" s="2">
        <f t="shared" ref="O33" ca="1" si="527">+(1+iB)^-N33</f>
        <v>0.62671537572180203</v>
      </c>
      <c r="P33" s="2">
        <f t="shared" ref="P33" ca="1" si="528">+(1+iB)^-(N33+0.5)</f>
        <v>0.6197816179528034</v>
      </c>
      <c r="Q33" s="91"/>
      <c r="R33" s="20">
        <f t="shared" si="102"/>
        <v>21</v>
      </c>
      <c r="S33" s="20">
        <f t="shared" ref="S33" si="529">+IF(xB+R33&lt;=xB+nB,xB+R33,"")</f>
        <v>29</v>
      </c>
      <c r="T33" s="2">
        <f t="shared" ref="T33:U33" ca="1" si="530">IFERROR(VLOOKUP($S33,qx_table,MATCH(T$11,qx_title,0)+sexB),0)</f>
        <v>0</v>
      </c>
      <c r="U33" s="2">
        <f t="shared" ca="1" si="530"/>
        <v>5.3999999999999998E-5</v>
      </c>
      <c r="V33" s="300">
        <v>0</v>
      </c>
      <c r="W33" s="8">
        <f t="shared" ref="W33" ca="1" si="531">IF(R33=0,100000,IF(R33&gt;nB,0,W32*(1-X32)*(1-Y32)))</f>
        <v>99999.178669179746</v>
      </c>
      <c r="X33" s="10">
        <f t="shared" ca="1" si="19"/>
        <v>0</v>
      </c>
      <c r="Y33" s="10">
        <f t="shared" ca="1" si="56"/>
        <v>8.4037500003297794E-7</v>
      </c>
      <c r="Z33" s="8">
        <f t="shared" ca="1" si="106"/>
        <v>62671.022831526592</v>
      </c>
      <c r="AA33" s="8">
        <f ca="1">+SUM(Z33:Z$124)</f>
        <v>123962.92519276454</v>
      </c>
      <c r="AB33" s="8">
        <f t="shared" ca="1" si="20"/>
        <v>0</v>
      </c>
      <c r="AC33" s="209">
        <f ca="1">+SUM(AB33:AB$124)*SSSM</f>
        <v>0</v>
      </c>
      <c r="AD33" s="209">
        <f t="shared" ref="AD33" ca="1" si="532">IF(R33&gt;nB,0,AD32*(1-X32)*(1-Y32)*(1-AE32)*(1-AF32))</f>
        <v>99927.803313023833</v>
      </c>
      <c r="AE33" s="92">
        <f t="shared" ca="1" si="21"/>
        <v>5.3999999999998494E-5</v>
      </c>
      <c r="AF33" s="92">
        <f t="shared" ca="1" si="22"/>
        <v>0</v>
      </c>
      <c r="AG33" s="8">
        <f t="shared" ca="1" si="23"/>
        <v>62626.290798376067</v>
      </c>
      <c r="AH33" s="5">
        <f ca="1">+SUM(AG33:AG$124)</f>
        <v>123871.13808634266</v>
      </c>
      <c r="AI33" s="70">
        <f t="shared" ca="1" si="24"/>
        <v>3.3444044432539393</v>
      </c>
      <c r="AJ33" s="208">
        <f ca="1">+SUM(AB33:AB$124)*SS50J</f>
        <v>0</v>
      </c>
      <c r="AK33" s="209">
        <f t="shared" ca="1" si="58"/>
        <v>99999.178669179746</v>
      </c>
      <c r="AL33" s="257">
        <f t="shared" ref="AL33" ca="1" si="533">IFERROR(VLOOKUP($S33,qx_table,MATCH(AL$11,qx_title,0)+sexB),0)</f>
        <v>8.4037499999999998E-7</v>
      </c>
      <c r="AM33" s="131">
        <f t="shared" ca="1" si="109"/>
        <v>62671.022831526592</v>
      </c>
      <c r="AN33" s="129">
        <f t="shared" ca="1" si="110"/>
        <v>5.2084469929391058E-2</v>
      </c>
      <c r="AO33" s="129">
        <f ca="1">SUM(AN33:AN$124)*SSa</f>
        <v>0.10158314588587875</v>
      </c>
      <c r="AP33" s="70">
        <f t="shared" ca="1" si="60"/>
        <v>99999.178669179746</v>
      </c>
      <c r="AQ33" s="2">
        <f t="shared" ref="AQ33" ca="1" si="534">IFERROR(VLOOKUP($S33,qx_table,MATCH(AQ$11,qx_title,0)+sexB),0)</f>
        <v>0</v>
      </c>
      <c r="AR33" s="127">
        <f t="shared" ca="1" si="62"/>
        <v>0</v>
      </c>
      <c r="AS33" s="127">
        <f ca="1">SUM(AR33:AR$124)*SSb</f>
        <v>0</v>
      </c>
      <c r="AT33" s="70">
        <f t="shared" ca="1" si="63"/>
        <v>99999.178669179746</v>
      </c>
      <c r="AU33" s="2">
        <f t="shared" ref="AU33" ca="1" si="535">IFERROR(VLOOKUP($S33,qx_table,MATCH(AU$11,qx_title,0)+sexB),0)</f>
        <v>0</v>
      </c>
      <c r="AV33" s="268">
        <f t="shared" ca="1" si="65"/>
        <v>0</v>
      </c>
      <c r="AW33" s="131">
        <f ca="1">SUM(AV33:AV$124)*SSc</f>
        <v>0</v>
      </c>
      <c r="AX33" s="70">
        <f t="shared" ca="1" si="66"/>
        <v>99999.178669179746</v>
      </c>
      <c r="AY33" s="2">
        <f t="shared" ref="AY33" ca="1" si="536">IFERROR(VLOOKUP($S33,qx_table,MATCH(AY$11,qx_title,0)+sexB),0)</f>
        <v>0</v>
      </c>
      <c r="AZ33" s="268">
        <f t="shared" ca="1" si="68"/>
        <v>0</v>
      </c>
      <c r="BA33" s="129">
        <f ca="1">SUM(AZ33:AZ$124)*SSd</f>
        <v>0</v>
      </c>
      <c r="BB33" s="70">
        <f t="shared" ca="1" si="69"/>
        <v>99999.178669179746</v>
      </c>
      <c r="BC33" s="257">
        <f t="shared" ref="BC33" ca="1" si="537">IFERROR(VLOOKUP($S33,qx_table,MATCH(BC$11,qx_title,0)+sexB),0)</f>
        <v>0</v>
      </c>
      <c r="BD33" s="268">
        <f t="shared" ca="1" si="71"/>
        <v>0</v>
      </c>
      <c r="BE33" s="131">
        <f ca="1">SUM(BD33:BD$124)*SSe</f>
        <v>0</v>
      </c>
      <c r="BF33" s="70">
        <f t="shared" ca="1" si="72"/>
        <v>99999.178669179746</v>
      </c>
      <c r="BG33" s="2">
        <f t="shared" ref="BG33" ca="1" si="538">IFERROR(VLOOKUP($S33,qx_table,MATCH(BG$11,qx_title,0)+sexB),0)</f>
        <v>0</v>
      </c>
      <c r="BH33" s="131">
        <f t="shared" ca="1" si="74"/>
        <v>0</v>
      </c>
      <c r="BI33" s="2">
        <f ca="1">SUM(BH33:BH$124)*SSf</f>
        <v>0</v>
      </c>
      <c r="BJ33" s="70">
        <f t="shared" ca="1" si="75"/>
        <v>99999.178669179746</v>
      </c>
      <c r="BK33" s="2">
        <f t="shared" ref="BK33" ca="1" si="539">IFERROR(VLOOKUP($S33,qx_table,MATCH(BK$11,qx_title,0)+sexB),0)</f>
        <v>0</v>
      </c>
      <c r="BL33" s="131">
        <f t="shared" ca="1" si="77"/>
        <v>0</v>
      </c>
      <c r="BM33" s="131">
        <f ca="1">SUM(BL33:BL$124)*SSg</f>
        <v>0</v>
      </c>
      <c r="BN33" s="70">
        <f t="shared" ca="1" si="78"/>
        <v>99999.178669179746</v>
      </c>
      <c r="BO33" s="2">
        <f t="shared" ref="BO33" ca="1" si="540">IFERROR(VLOOKUP($S33,qx_table,MATCH(BO$11,qx_title,0)+sexB),0)</f>
        <v>0</v>
      </c>
      <c r="BP33" s="131">
        <f t="shared" ca="1" si="80"/>
        <v>0</v>
      </c>
      <c r="BQ33" s="131">
        <f ca="1">SUM(BP33:BP$124)*SSh</f>
        <v>0</v>
      </c>
      <c r="BR33" s="70">
        <f t="shared" ca="1" si="81"/>
        <v>99999.178669179746</v>
      </c>
      <c r="BS33" s="2">
        <f t="shared" ref="BS33" ca="1" si="541">IFERROR(VLOOKUP($S33,qx_table,MATCH(BS$11,qx_title,0)+sexB),0)*IF(R33=0,MCi,1)</f>
        <v>0</v>
      </c>
      <c r="BT33" s="131">
        <f t="shared" ca="1" si="83"/>
        <v>0</v>
      </c>
      <c r="BU33" s="131">
        <f ca="1">SUM(BT33:BT$124)*SSi</f>
        <v>0</v>
      </c>
      <c r="BV33" s="70">
        <f t="shared" ca="1" si="84"/>
        <v>99999.178669179746</v>
      </c>
      <c r="BW33" s="2">
        <f t="shared" ref="BW33" ca="1" si="542">IFERROR(VLOOKUP($S33,qx_table,MATCH(BW$11,qx_title,0)+sexB),0)</f>
        <v>0</v>
      </c>
      <c r="BX33" s="131">
        <f t="shared" ca="1" si="86"/>
        <v>0</v>
      </c>
      <c r="BY33" s="131">
        <f ca="1">SUM(BX33:BX$124)*SSj</f>
        <v>0</v>
      </c>
      <c r="BZ33" s="70">
        <f t="shared" ca="1" si="87"/>
        <v>99999.178669179746</v>
      </c>
      <c r="CA33" s="2">
        <f t="shared" ref="CA33" ca="1" si="543">IFERROR(VLOOKUP($S33,qx_table,MATCH(CA$11,qx_title,0)+sexB),0)</f>
        <v>0</v>
      </c>
      <c r="CB33" s="131">
        <f t="shared" ca="1" si="89"/>
        <v>0</v>
      </c>
      <c r="CC33" s="131">
        <f ca="1">SUM(CB33:CB$124)*SSk</f>
        <v>0</v>
      </c>
      <c r="CD33" s="8">
        <f t="shared" ca="1" si="90"/>
        <v>99999.178669179746</v>
      </c>
      <c r="CE33" s="2">
        <f t="shared" ref="CE33" ca="1" si="544">IFERROR(VLOOKUP($S33,qx_table,MATCH(CE$11,qx_title,0)+sexB),0)</f>
        <v>0</v>
      </c>
      <c r="CF33" s="131">
        <f t="shared" ca="1" si="92"/>
        <v>0</v>
      </c>
      <c r="CG33" s="131">
        <f ca="1">SUM(CF33:CF$124)*SSl</f>
        <v>0</v>
      </c>
      <c r="CH33" s="101">
        <f t="shared" ca="1" si="93"/>
        <v>0.10158314588587875</v>
      </c>
      <c r="CI33" s="154">
        <f t="shared" ca="1" si="37"/>
        <v>5.2084469929391052E-2</v>
      </c>
      <c r="CJ33" s="32">
        <f t="shared" ca="1" si="38"/>
        <v>0</v>
      </c>
      <c r="CK33" s="32">
        <f t="shared" ref="CK33" ca="1" si="545">+MAX(VLOOKUP(xB+$R33,기수표B,$AH$1)-VLOOKUP(xB+mB,기수표B,$AH$1)-11/24*(VLOOKUP(xB+$R33,기수표B,$AG$1)-VLOOKUP(xB+mB,기수표B,$AG$1)),0)</f>
        <v>0</v>
      </c>
      <c r="CL33" s="32">
        <f t="shared" ref="CL33" ca="1" si="546">+MAX(VLOOKUP(xB+$R33,기수표B,$AA$1)-VLOOKUP(xB+mB,기수표B,$AA$1),0)</f>
        <v>0</v>
      </c>
      <c r="CM33" s="32">
        <f t="shared" ref="CM33" ca="1" si="547">+MAX(VLOOKUP(xB+$R33,기수표B,$AA$1)-VLOOKUP(xB+mB,기수표B,$AA$1)-11/24*(VLOOKUP(xB+$R33,기수표B,$AA$1)-VLOOKUP(xB+mB,기수표B,$AA$1)),0)</f>
        <v>0</v>
      </c>
      <c r="CN33" s="32">
        <f t="shared" ca="1" si="41"/>
        <v>62671.022831526592</v>
      </c>
      <c r="CO33" s="32">
        <f t="shared" ca="1" si="42"/>
        <v>0</v>
      </c>
      <c r="CP33" s="32">
        <f t="shared" ca="1" si="43"/>
        <v>1.7999999999999999E-6</v>
      </c>
      <c r="CQ33" s="262">
        <f t="shared" ca="1" si="44"/>
        <v>1.7999999999999999E-6</v>
      </c>
      <c r="CR33" s="259">
        <f t="shared" ca="1" si="45"/>
        <v>1.8310773875416953E-6</v>
      </c>
      <c r="CS33" s="32">
        <f t="shared" ca="1" si="46"/>
        <v>1.5999999999999999E-5</v>
      </c>
      <c r="CT33" s="31">
        <f t="shared" ref="CT33" si="548">+MIN(mB,7)</f>
        <v>7</v>
      </c>
      <c r="CV33" s="13">
        <v>21</v>
      </c>
      <c r="CW33" s="477">
        <f t="shared" ca="1" si="48"/>
        <v>480</v>
      </c>
      <c r="CX33" s="477">
        <f t="shared" ca="1" si="49"/>
        <v>18</v>
      </c>
      <c r="CY33" s="477">
        <f t="shared" ca="1" si="50"/>
        <v>18</v>
      </c>
      <c r="CZ33" s="478">
        <f t="shared" ca="1" si="98"/>
        <v>3.6999999999999998E-2</v>
      </c>
    </row>
    <row r="34" spans="1:104">
      <c r="B34" s="18" t="s">
        <v>62</v>
      </c>
      <c r="C34" s="255">
        <f ca="1">유해지!C34</f>
        <v>1.49E-2</v>
      </c>
      <c r="D34" s="13" t="s">
        <v>536</v>
      </c>
      <c r="F34" s="601"/>
      <c r="G34" s="18" t="s">
        <v>55</v>
      </c>
      <c r="H34" s="244">
        <f ca="1">+H32/H33</f>
        <v>4.0792142684908213E-7</v>
      </c>
      <c r="I34" s="244"/>
      <c r="J34" s="244"/>
      <c r="K34" s="254">
        <f ca="1">+K32/K33</f>
        <v>4.0792142684908213E-7</v>
      </c>
      <c r="L34" s="229"/>
      <c r="N34" s="5">
        <f t="shared" si="99"/>
        <v>22</v>
      </c>
      <c r="O34" s="2">
        <f t="shared" ref="O34" ca="1" si="549">+(1+iB)^-N34</f>
        <v>0.61292457283305835</v>
      </c>
      <c r="P34" s="2">
        <f t="shared" ref="P34" ca="1" si="550">+(1+iB)^-(N34+0.5)</f>
        <v>0.6061433916408836</v>
      </c>
      <c r="Q34" s="91"/>
      <c r="R34" s="20">
        <f t="shared" si="102"/>
        <v>22</v>
      </c>
      <c r="S34" s="20">
        <f t="shared" ref="S34" si="551">+IF(xB+R34&lt;=xB+nB,xB+R34,"")</f>
        <v>30</v>
      </c>
      <c r="T34" s="2">
        <f t="shared" ref="T34:U34" ca="1" si="552">IFERROR(VLOOKUP($S34,qx_table,MATCH(T$11,qx_title,0)+sexB),0)</f>
        <v>0</v>
      </c>
      <c r="U34" s="2">
        <f t="shared" ca="1" si="552"/>
        <v>6.1000000000000005E-5</v>
      </c>
      <c r="V34" s="300">
        <v>0</v>
      </c>
      <c r="W34" s="8">
        <f t="shared" ref="W34" ca="1" si="553">IF(R34=0,100000,IF(R34&gt;nB,0,W33*(1-X33)*(1-Y33)))</f>
        <v>99999.094632369975</v>
      </c>
      <c r="X34" s="10">
        <f t="shared" ca="1" si="19"/>
        <v>0</v>
      </c>
      <c r="Y34" s="10">
        <f t="shared" ca="1" si="56"/>
        <v>8.1662399997739499E-7</v>
      </c>
      <c r="Z34" s="8">
        <f t="shared" ca="1" si="106"/>
        <v>61291.902361237946</v>
      </c>
      <c r="AA34" s="8">
        <f ca="1">+SUM(Z34:Z$124)</f>
        <v>61291.902361237946</v>
      </c>
      <c r="AB34" s="8">
        <f t="shared" ca="1" si="20"/>
        <v>0</v>
      </c>
      <c r="AC34" s="209">
        <f ca="1">+SUM(AB34:AB$124)*SSSM</f>
        <v>0</v>
      </c>
      <c r="AD34" s="209">
        <f t="shared" ref="AD34" ca="1" si="554">IF(R34&gt;nB,0,AD33*(1-X33)*(1-Y33)*(1-AE33)*(1-AF33))</f>
        <v>99922.323239351972</v>
      </c>
      <c r="AE34" s="92">
        <f t="shared" ca="1" si="21"/>
        <v>6.0999999999977739E-5</v>
      </c>
      <c r="AF34" s="92">
        <f t="shared" ca="1" si="22"/>
        <v>0</v>
      </c>
      <c r="AG34" s="8">
        <f t="shared" ca="1" si="23"/>
        <v>61244.847287966586</v>
      </c>
      <c r="AH34" s="5">
        <f ca="1">+SUM(AG34:AG$124)</f>
        <v>61244.847287966586</v>
      </c>
      <c r="AI34" s="70">
        <f t="shared" ca="1" si="24"/>
        <v>3.6946026104438383</v>
      </c>
      <c r="AJ34" s="208">
        <f ca="1">+SUM(AB34:AB$124)*SS50J</f>
        <v>0</v>
      </c>
      <c r="AK34" s="209">
        <f t="shared" ca="1" si="58"/>
        <v>99999.094632369975</v>
      </c>
      <c r="AL34" s="257">
        <f t="shared" ref="AL34" ca="1" si="555">IFERROR(VLOOKUP($S34,qx_table,MATCH(AL$11,qx_title,0)+sexB),0)</f>
        <v>8.1662399999999997E-7</v>
      </c>
      <c r="AM34" s="131">
        <f t="shared" ca="1" si="109"/>
        <v>61291.902361237946</v>
      </c>
      <c r="AN34" s="129">
        <f t="shared" ca="1" si="110"/>
        <v>4.9498675956487694E-2</v>
      </c>
      <c r="AO34" s="129">
        <f ca="1">SUM(AN34:AN$124)*SSa</f>
        <v>4.9498675956487694E-2</v>
      </c>
      <c r="AP34" s="70">
        <f t="shared" ca="1" si="60"/>
        <v>99999.094632369975</v>
      </c>
      <c r="AQ34" s="2">
        <f t="shared" ref="AQ34" ca="1" si="556">IFERROR(VLOOKUP($S34,qx_table,MATCH(AQ$11,qx_title,0)+sexB),0)</f>
        <v>0</v>
      </c>
      <c r="AR34" s="127">
        <f t="shared" ca="1" si="62"/>
        <v>0</v>
      </c>
      <c r="AS34" s="127">
        <f ca="1">SUM(AR34:AR$124)*SSb</f>
        <v>0</v>
      </c>
      <c r="AT34" s="70">
        <f t="shared" ca="1" si="63"/>
        <v>99999.094632369975</v>
      </c>
      <c r="AU34" s="2">
        <f t="shared" ref="AU34" ca="1" si="557">IFERROR(VLOOKUP($S34,qx_table,MATCH(AU$11,qx_title,0)+sexB),0)</f>
        <v>0</v>
      </c>
      <c r="AV34" s="268">
        <f t="shared" ca="1" si="65"/>
        <v>0</v>
      </c>
      <c r="AW34" s="131">
        <f ca="1">SUM(AV34:AV$124)*SSc</f>
        <v>0</v>
      </c>
      <c r="AX34" s="70">
        <f t="shared" ca="1" si="66"/>
        <v>99999.094632369975</v>
      </c>
      <c r="AY34" s="2">
        <f t="shared" ref="AY34" ca="1" si="558">IFERROR(VLOOKUP($S34,qx_table,MATCH(AY$11,qx_title,0)+sexB),0)</f>
        <v>0</v>
      </c>
      <c r="AZ34" s="268">
        <f t="shared" ca="1" si="68"/>
        <v>0</v>
      </c>
      <c r="BA34" s="129">
        <f ca="1">SUM(AZ34:AZ$124)*SSd</f>
        <v>0</v>
      </c>
      <c r="BB34" s="70">
        <f t="shared" ca="1" si="69"/>
        <v>99999.094632369975</v>
      </c>
      <c r="BC34" s="257">
        <f t="shared" ref="BC34" ca="1" si="559">IFERROR(VLOOKUP($S34,qx_table,MATCH(BC$11,qx_title,0)+sexB),0)</f>
        <v>0</v>
      </c>
      <c r="BD34" s="268">
        <f t="shared" ca="1" si="71"/>
        <v>0</v>
      </c>
      <c r="BE34" s="131">
        <f ca="1">SUM(BD34:BD$124)*SSe</f>
        <v>0</v>
      </c>
      <c r="BF34" s="70">
        <f t="shared" ca="1" si="72"/>
        <v>99999.094632369975</v>
      </c>
      <c r="BG34" s="2">
        <f t="shared" ref="BG34" ca="1" si="560">IFERROR(VLOOKUP($S34,qx_table,MATCH(BG$11,qx_title,0)+sexB),0)</f>
        <v>0</v>
      </c>
      <c r="BH34" s="131">
        <f t="shared" ca="1" si="74"/>
        <v>0</v>
      </c>
      <c r="BI34" s="2">
        <f ca="1">SUM(BH34:BH$124)*SSf</f>
        <v>0</v>
      </c>
      <c r="BJ34" s="70">
        <f t="shared" ca="1" si="75"/>
        <v>99999.094632369975</v>
      </c>
      <c r="BK34" s="2">
        <f t="shared" ref="BK34" ca="1" si="561">IFERROR(VLOOKUP($S34,qx_table,MATCH(BK$11,qx_title,0)+sexB),0)</f>
        <v>0</v>
      </c>
      <c r="BL34" s="131">
        <f t="shared" ca="1" si="77"/>
        <v>0</v>
      </c>
      <c r="BM34" s="131">
        <f ca="1">SUM(BL34:BL$124)*SSg</f>
        <v>0</v>
      </c>
      <c r="BN34" s="70">
        <f t="shared" ca="1" si="78"/>
        <v>99999.094632369975</v>
      </c>
      <c r="BO34" s="2">
        <f t="shared" ref="BO34" ca="1" si="562">IFERROR(VLOOKUP($S34,qx_table,MATCH(BO$11,qx_title,0)+sexB),0)</f>
        <v>0</v>
      </c>
      <c r="BP34" s="131">
        <f t="shared" ca="1" si="80"/>
        <v>0</v>
      </c>
      <c r="BQ34" s="131">
        <f ca="1">SUM(BP34:BP$124)*SSh</f>
        <v>0</v>
      </c>
      <c r="BR34" s="70">
        <f t="shared" ca="1" si="81"/>
        <v>99999.094632369975</v>
      </c>
      <c r="BS34" s="2">
        <f t="shared" ref="BS34" ca="1" si="563">IFERROR(VLOOKUP($S34,qx_table,MATCH(BS$11,qx_title,0)+sexB),0)*IF(R34=0,MCi,1)</f>
        <v>0</v>
      </c>
      <c r="BT34" s="131">
        <f t="shared" ca="1" si="83"/>
        <v>0</v>
      </c>
      <c r="BU34" s="131">
        <f ca="1">SUM(BT34:BT$124)*SSi</f>
        <v>0</v>
      </c>
      <c r="BV34" s="70">
        <f t="shared" ca="1" si="84"/>
        <v>99999.094632369975</v>
      </c>
      <c r="BW34" s="2">
        <f t="shared" ref="BW34" ca="1" si="564">IFERROR(VLOOKUP($S34,qx_table,MATCH(BW$11,qx_title,0)+sexB),0)</f>
        <v>0</v>
      </c>
      <c r="BX34" s="131">
        <f t="shared" ca="1" si="86"/>
        <v>0</v>
      </c>
      <c r="BY34" s="131">
        <f ca="1">SUM(BX34:BX$124)*SSj</f>
        <v>0</v>
      </c>
      <c r="BZ34" s="70">
        <f t="shared" ca="1" si="87"/>
        <v>99999.094632369975</v>
      </c>
      <c r="CA34" s="2">
        <f t="shared" ref="CA34" ca="1" si="565">IFERROR(VLOOKUP($S34,qx_table,MATCH(CA$11,qx_title,0)+sexB),0)</f>
        <v>0</v>
      </c>
      <c r="CB34" s="131">
        <f t="shared" ca="1" si="89"/>
        <v>0</v>
      </c>
      <c r="CC34" s="131">
        <f ca="1">SUM(CB34:CB$124)*SSk</f>
        <v>0</v>
      </c>
      <c r="CD34" s="8">
        <f t="shared" ca="1" si="90"/>
        <v>99999.094632369975</v>
      </c>
      <c r="CE34" s="2">
        <f t="shared" ref="CE34" ca="1" si="566">IFERROR(VLOOKUP($S34,qx_table,MATCH(CE$11,qx_title,0)+sexB),0)</f>
        <v>0</v>
      </c>
      <c r="CF34" s="131">
        <f t="shared" ca="1" si="92"/>
        <v>0</v>
      </c>
      <c r="CG34" s="131">
        <f ca="1">SUM(CF34:CF$124)*SSl</f>
        <v>0</v>
      </c>
      <c r="CH34" s="101">
        <f t="shared" ca="1" si="93"/>
        <v>4.9498675956487694E-2</v>
      </c>
      <c r="CI34" s="154">
        <f t="shared" ca="1" si="37"/>
        <v>0</v>
      </c>
      <c r="CJ34" s="32">
        <f t="shared" ca="1" si="38"/>
        <v>0</v>
      </c>
      <c r="CK34" s="32">
        <f t="shared" ref="CK34" ca="1" si="567">+MAX(VLOOKUP(xB+$R34,기수표B,$AH$1)-VLOOKUP(xB+mB,기수표B,$AH$1)-11/24*(VLOOKUP(xB+$R34,기수표B,$AG$1)-VLOOKUP(xB+mB,기수표B,$AG$1)),0)</f>
        <v>0</v>
      </c>
      <c r="CL34" s="32">
        <f t="shared" ref="CL34" ca="1" si="568">+MAX(VLOOKUP(xB+$R34,기수표B,$AA$1)-VLOOKUP(xB+mB,기수표B,$AA$1),0)</f>
        <v>0</v>
      </c>
      <c r="CM34" s="32">
        <f t="shared" ref="CM34" ca="1" si="569">+MAX(VLOOKUP(xB+$R34,기수표B,$AA$1)-VLOOKUP(xB+mB,기수표B,$AA$1)-11/24*(VLOOKUP(xB+$R34,기수표B,$AA$1)-VLOOKUP(xB+mB,기수표B,$AA$1)),0)</f>
        <v>0</v>
      </c>
      <c r="CN34" s="32">
        <f t="shared" ca="1" si="41"/>
        <v>0</v>
      </c>
      <c r="CO34" s="32">
        <f t="shared" ca="1" si="42"/>
        <v>0</v>
      </c>
      <c r="CP34" s="32">
        <f t="shared" ca="1" si="43"/>
        <v>0</v>
      </c>
      <c r="CQ34" s="262">
        <f t="shared" ca="1" si="44"/>
        <v>0</v>
      </c>
      <c r="CR34" s="259">
        <f t="shared" ca="1" si="45"/>
        <v>0</v>
      </c>
      <c r="CS34" s="32">
        <f t="shared" ca="1" si="46"/>
        <v>1.5999999999999999E-5</v>
      </c>
      <c r="CT34" s="31">
        <f t="shared" ref="CT34" si="570">+MIN(mB,7)</f>
        <v>7</v>
      </c>
      <c r="CV34" s="13">
        <v>22</v>
      </c>
      <c r="CW34" s="477">
        <f t="shared" ca="1" si="48"/>
        <v>480</v>
      </c>
      <c r="CX34" s="477">
        <f t="shared" ca="1" si="49"/>
        <v>0</v>
      </c>
      <c r="CY34" s="477">
        <f t="shared" ca="1" si="50"/>
        <v>0</v>
      </c>
      <c r="CZ34" s="478">
        <f t="shared" ca="1" si="98"/>
        <v>0</v>
      </c>
    </row>
    <row r="35" spans="1:104">
      <c r="C35" s="265">
        <f ca="1">C34*SB</f>
        <v>149000</v>
      </c>
      <c r="F35" s="602"/>
      <c r="G35" s="18" t="s">
        <v>72</v>
      </c>
      <c r="H35" s="299">
        <f ca="1">+H34+$C$26*$H$13/(H30)</f>
        <v>4.8559141933024042E-7</v>
      </c>
      <c r="I35" s="299"/>
      <c r="J35" s="299"/>
      <c r="K35" s="299">
        <f t="shared" ref="K35" ca="1" si="571">+K34+$C$26*$H$13/(K30)</f>
        <v>4.8559141933024042E-7</v>
      </c>
      <c r="L35" s="229"/>
      <c r="N35" s="5">
        <f t="shared" si="99"/>
        <v>23</v>
      </c>
      <c r="O35" s="2">
        <f t="shared" ref="O35" ca="1" si="572">+(1+iB)^-N35</f>
        <v>0.59943723504455593</v>
      </c>
      <c r="P35" s="2">
        <f t="shared" ref="P35" ca="1" si="573">+(1+iB)^-(N35+0.5)</f>
        <v>0.59280527299841912</v>
      </c>
      <c r="Q35" s="91"/>
      <c r="R35" s="20">
        <f t="shared" si="102"/>
        <v>23</v>
      </c>
      <c r="S35" s="20" t="str">
        <f t="shared" ref="S35" si="574">+IF(xB+R35&lt;=xB+nB,xB+R35,"")</f>
        <v/>
      </c>
      <c r="T35" s="2">
        <f t="shared" ref="T35:U35" ca="1" si="575">IFERROR(VLOOKUP($S35,qx_table,MATCH(T$11,qx_title,0)+sexB),0)</f>
        <v>0</v>
      </c>
      <c r="U35" s="2">
        <f t="shared" ca="1" si="575"/>
        <v>0</v>
      </c>
      <c r="V35" s="300">
        <v>0</v>
      </c>
      <c r="W35" s="8">
        <f t="shared" ref="W35" si="576">IF(R35=0,100000,IF(R35&gt;nB,0,W34*(1-X34)*(1-Y34)))</f>
        <v>0</v>
      </c>
      <c r="X35" s="10">
        <f t="shared" ca="1" si="19"/>
        <v>0</v>
      </c>
      <c r="Y35" s="10">
        <f t="shared" ca="1" si="56"/>
        <v>0</v>
      </c>
      <c r="Z35" s="8">
        <f t="shared" ca="1" si="106"/>
        <v>0</v>
      </c>
      <c r="AA35" s="8">
        <f ca="1">+SUM(Z35:Z$124)</f>
        <v>0</v>
      </c>
      <c r="AB35" s="8">
        <f t="shared" ca="1" si="20"/>
        <v>0</v>
      </c>
      <c r="AC35" s="209">
        <f ca="1">+SUM(AB35:AB$124)*SSSM</f>
        <v>0</v>
      </c>
      <c r="AD35" s="209">
        <f t="shared" ref="AD35" si="577">IF(R35&gt;nB,0,AD34*(1-X34)*(1-Y34)*(1-AE34)*(1-AF34))</f>
        <v>0</v>
      </c>
      <c r="AE35" s="92">
        <f t="shared" ca="1" si="21"/>
        <v>0</v>
      </c>
      <c r="AF35" s="92">
        <f t="shared" ca="1" si="22"/>
        <v>0</v>
      </c>
      <c r="AG35" s="8">
        <f t="shared" ca="1" si="23"/>
        <v>0</v>
      </c>
      <c r="AH35" s="5">
        <f ca="1">+SUM(AG35:AG$124)</f>
        <v>0</v>
      </c>
      <c r="AI35" s="70">
        <f t="shared" ca="1" si="24"/>
        <v>0</v>
      </c>
      <c r="AJ35" s="208">
        <f ca="1">+SUM(AB35:AB$124)*SS50J</f>
        <v>0</v>
      </c>
      <c r="AK35" s="209">
        <f t="shared" ca="1" si="58"/>
        <v>99999.012970709329</v>
      </c>
      <c r="AL35" s="257">
        <f t="shared" ref="AL35" ca="1" si="578">IFERROR(VLOOKUP($S35,qx_table,MATCH(AL$11,qx_title,0)+sexB),0)</f>
        <v>0</v>
      </c>
      <c r="AM35" s="131">
        <f t="shared" ca="1" si="109"/>
        <v>59943.131842346687</v>
      </c>
      <c r="AN35" s="129">
        <f t="shared" ca="1" si="110"/>
        <v>0</v>
      </c>
      <c r="AO35" s="129">
        <f ca="1">SUM(AN35:AN$124)*SSa</f>
        <v>0</v>
      </c>
      <c r="AP35" s="70">
        <f t="shared" ca="1" si="60"/>
        <v>99999.012970709329</v>
      </c>
      <c r="AQ35" s="2">
        <f t="shared" ref="AQ35" ca="1" si="579">IFERROR(VLOOKUP($S35,qx_table,MATCH(AQ$11,qx_title,0)+sexB),0)</f>
        <v>0</v>
      </c>
      <c r="AR35" s="127">
        <f t="shared" ca="1" si="62"/>
        <v>0</v>
      </c>
      <c r="AS35" s="127">
        <f ca="1">SUM(AR35:AR$124)*SSb</f>
        <v>0</v>
      </c>
      <c r="AT35" s="70">
        <f t="shared" ca="1" si="63"/>
        <v>99999.012970709329</v>
      </c>
      <c r="AU35" s="2">
        <f t="shared" ref="AU35" ca="1" si="580">IFERROR(VLOOKUP($S35,qx_table,MATCH(AU$11,qx_title,0)+sexB),0)</f>
        <v>0</v>
      </c>
      <c r="AV35" s="268">
        <f t="shared" ca="1" si="65"/>
        <v>0</v>
      </c>
      <c r="AW35" s="131">
        <f ca="1">SUM(AV35:AV$124)*SSc</f>
        <v>0</v>
      </c>
      <c r="AX35" s="70">
        <f t="shared" ca="1" si="66"/>
        <v>99999.012970709329</v>
      </c>
      <c r="AY35" s="2">
        <f t="shared" ref="AY35" ca="1" si="581">IFERROR(VLOOKUP($S35,qx_table,MATCH(AY$11,qx_title,0)+sexB),0)</f>
        <v>0</v>
      </c>
      <c r="AZ35" s="268">
        <f t="shared" ca="1" si="68"/>
        <v>0</v>
      </c>
      <c r="BA35" s="129">
        <f ca="1">SUM(AZ35:AZ$124)*SSd</f>
        <v>0</v>
      </c>
      <c r="BB35" s="70">
        <f t="shared" ca="1" si="69"/>
        <v>99999.012970709329</v>
      </c>
      <c r="BC35" s="257">
        <f t="shared" ref="BC35" ca="1" si="582">IFERROR(VLOOKUP($S35,qx_table,MATCH(BC$11,qx_title,0)+sexB),0)</f>
        <v>0</v>
      </c>
      <c r="BD35" s="268">
        <f t="shared" ca="1" si="71"/>
        <v>0</v>
      </c>
      <c r="BE35" s="131">
        <f ca="1">SUM(BD35:BD$124)*SSe</f>
        <v>0</v>
      </c>
      <c r="BF35" s="70">
        <f t="shared" ca="1" si="72"/>
        <v>99999.012970709329</v>
      </c>
      <c r="BG35" s="2">
        <f t="shared" ref="BG35" ca="1" si="583">IFERROR(VLOOKUP($S35,qx_table,MATCH(BG$11,qx_title,0)+sexB),0)</f>
        <v>0</v>
      </c>
      <c r="BH35" s="131">
        <f t="shared" ca="1" si="74"/>
        <v>0</v>
      </c>
      <c r="BI35" s="2">
        <f ca="1">SUM(BH35:BH$124)*SSf</f>
        <v>0</v>
      </c>
      <c r="BJ35" s="70">
        <f t="shared" ca="1" si="75"/>
        <v>99999.012970709329</v>
      </c>
      <c r="BK35" s="2">
        <f t="shared" ref="BK35" ca="1" si="584">IFERROR(VLOOKUP($S35,qx_table,MATCH(BK$11,qx_title,0)+sexB),0)</f>
        <v>0</v>
      </c>
      <c r="BL35" s="131">
        <f t="shared" ca="1" si="77"/>
        <v>0</v>
      </c>
      <c r="BM35" s="131">
        <f ca="1">SUM(BL35:BL$124)*SSg</f>
        <v>0</v>
      </c>
      <c r="BN35" s="70">
        <f t="shared" ca="1" si="78"/>
        <v>99999.012970709329</v>
      </c>
      <c r="BO35" s="2">
        <f t="shared" ref="BO35" ca="1" si="585">IFERROR(VLOOKUP($S35,qx_table,MATCH(BO$11,qx_title,0)+sexB),0)</f>
        <v>0</v>
      </c>
      <c r="BP35" s="131">
        <f t="shared" ca="1" si="80"/>
        <v>0</v>
      </c>
      <c r="BQ35" s="131">
        <f ca="1">SUM(BP35:BP$124)*SSh</f>
        <v>0</v>
      </c>
      <c r="BR35" s="70">
        <f t="shared" ca="1" si="81"/>
        <v>99999.012970709329</v>
      </c>
      <c r="BS35" s="2">
        <f t="shared" ref="BS35" ca="1" si="586">IFERROR(VLOOKUP($S35,qx_table,MATCH(BS$11,qx_title,0)+sexB),0)*IF(R35=0,MCi,1)</f>
        <v>0</v>
      </c>
      <c r="BT35" s="131">
        <f t="shared" ca="1" si="83"/>
        <v>0</v>
      </c>
      <c r="BU35" s="131">
        <f ca="1">SUM(BT35:BT$124)*SSi</f>
        <v>0</v>
      </c>
      <c r="BV35" s="70">
        <f t="shared" ca="1" si="84"/>
        <v>99999.012970709329</v>
      </c>
      <c r="BW35" s="2">
        <f t="shared" ref="BW35" ca="1" si="587">IFERROR(VLOOKUP($S35,qx_table,MATCH(BW$11,qx_title,0)+sexB),0)</f>
        <v>0</v>
      </c>
      <c r="BX35" s="131">
        <f t="shared" ca="1" si="86"/>
        <v>0</v>
      </c>
      <c r="BY35" s="131">
        <f ca="1">SUM(BX35:BX$124)*SSj</f>
        <v>0</v>
      </c>
      <c r="BZ35" s="70">
        <f t="shared" ca="1" si="87"/>
        <v>99999.012970709329</v>
      </c>
      <c r="CA35" s="2">
        <f t="shared" ref="CA35" ca="1" si="588">IFERROR(VLOOKUP($S35,qx_table,MATCH(CA$11,qx_title,0)+sexB),0)</f>
        <v>0</v>
      </c>
      <c r="CB35" s="131">
        <f t="shared" ca="1" si="89"/>
        <v>0</v>
      </c>
      <c r="CC35" s="131">
        <f ca="1">SUM(CB35:CB$124)*SSk</f>
        <v>0</v>
      </c>
      <c r="CD35" s="8">
        <f t="shared" ca="1" si="90"/>
        <v>99999.012970709329</v>
      </c>
      <c r="CE35" s="2">
        <f t="shared" ref="CE35" ca="1" si="589">IFERROR(VLOOKUP($S35,qx_table,MATCH(CE$11,qx_title,0)+sexB),0)</f>
        <v>0</v>
      </c>
      <c r="CF35" s="131">
        <f t="shared" ca="1" si="92"/>
        <v>0</v>
      </c>
      <c r="CG35" s="131">
        <f ca="1">SUM(CF35:CF$124)*SSl</f>
        <v>0</v>
      </c>
      <c r="CH35" s="101">
        <f t="shared" ca="1" si="93"/>
        <v>0</v>
      </c>
      <c r="CI35" s="154">
        <f t="shared" ca="1" si="37"/>
        <v>0</v>
      </c>
      <c r="CJ35" s="32">
        <f t="shared" ca="1" si="38"/>
        <v>0</v>
      </c>
      <c r="CK35" s="32">
        <f t="shared" ref="CK35" ca="1" si="590">+MAX(VLOOKUP(xB+$R35,기수표B,$AH$1)-VLOOKUP(xB+mB,기수표B,$AH$1)-11/24*(VLOOKUP(xB+$R35,기수표B,$AG$1)-VLOOKUP(xB+mB,기수표B,$AG$1)),0)</f>
        <v>0</v>
      </c>
      <c r="CL35" s="32">
        <f t="shared" ref="CL35" ca="1" si="591">+MAX(VLOOKUP(xB+$R35,기수표B,$AA$1)-VLOOKUP(xB+mB,기수표B,$AA$1),0)</f>
        <v>0</v>
      </c>
      <c r="CM35" s="32">
        <f t="shared" ref="CM35" ca="1" si="592">+MAX(VLOOKUP(xB+$R35,기수표B,$AA$1)-VLOOKUP(xB+mB,기수표B,$AA$1)-11/24*(VLOOKUP(xB+$R35,기수표B,$AA$1)-VLOOKUP(xB+mB,기수표B,$AA$1)),0)</f>
        <v>0</v>
      </c>
      <c r="CN35" s="32">
        <f t="shared" si="41"/>
        <v>0</v>
      </c>
      <c r="CO35" s="32">
        <f t="shared" ca="1" si="42"/>
        <v>0</v>
      </c>
      <c r="CP35" s="32">
        <f t="shared" ca="1" si="43"/>
        <v>0</v>
      </c>
      <c r="CQ35" s="262">
        <f t="shared" ca="1" si="44"/>
        <v>0</v>
      </c>
      <c r="CR35" s="259" t="e">
        <f t="shared" ca="1" si="45"/>
        <v>#DIV/0!</v>
      </c>
      <c r="CS35" s="32">
        <f t="shared" ca="1" si="46"/>
        <v>1.5999999999999999E-5</v>
      </c>
      <c r="CT35" s="31">
        <f t="shared" ref="CT35" si="593">+MIN(mB,7)</f>
        <v>7</v>
      </c>
      <c r="CV35" s="13">
        <v>23</v>
      </c>
      <c r="CW35" s="477">
        <f t="shared" ca="1" si="48"/>
        <v>480</v>
      </c>
      <c r="CX35" s="477" t="e">
        <f t="shared" ca="1" si="49"/>
        <v>#DIV/0!</v>
      </c>
      <c r="CY35" s="477">
        <f t="shared" ca="1" si="50"/>
        <v>0</v>
      </c>
      <c r="CZ35" s="478">
        <f t="shared" ca="1" si="98"/>
        <v>0</v>
      </c>
    </row>
    <row r="36" spans="1:104">
      <c r="N36" s="5">
        <f t="shared" si="99"/>
        <v>24</v>
      </c>
      <c r="O36" s="2">
        <f t="shared" ref="O36" ca="1" si="594">+(1+iB)^-N36</f>
        <v>0.5862466846401525</v>
      </c>
      <c r="P36" s="2">
        <f t="shared" ref="P36" ca="1" si="595">+(1+iB)^-(N36+0.5)</f>
        <v>0.579760658189163</v>
      </c>
      <c r="Q36" s="91"/>
      <c r="R36" s="20">
        <f t="shared" si="102"/>
        <v>24</v>
      </c>
      <c r="S36" s="20" t="str">
        <f t="shared" ref="S36" si="596">+IF(xB+R36&lt;=xB+nB,xB+R36,"")</f>
        <v/>
      </c>
      <c r="T36" s="2">
        <f t="shared" ref="T36:U36" ca="1" si="597">IFERROR(VLOOKUP($S36,qx_table,MATCH(T$11,qx_title,0)+sexB),0)</f>
        <v>0</v>
      </c>
      <c r="U36" s="2">
        <f t="shared" ca="1" si="597"/>
        <v>0</v>
      </c>
      <c r="V36" s="300">
        <v>0</v>
      </c>
      <c r="W36" s="8">
        <f t="shared" ref="W36" si="598">IF(R36=0,100000,IF(R36&gt;nB,0,W35*(1-X35)*(1-Y35)))</f>
        <v>0</v>
      </c>
      <c r="X36" s="10">
        <f t="shared" ca="1" si="19"/>
        <v>0</v>
      </c>
      <c r="Y36" s="10">
        <f t="shared" ca="1" si="56"/>
        <v>0</v>
      </c>
      <c r="Z36" s="8">
        <f t="shared" ca="1" si="106"/>
        <v>0</v>
      </c>
      <c r="AA36" s="8">
        <f ca="1">+SUM(Z36:Z$124)</f>
        <v>0</v>
      </c>
      <c r="AB36" s="8">
        <f t="shared" ca="1" si="20"/>
        <v>0</v>
      </c>
      <c r="AC36" s="209">
        <f ca="1">+SUM(AB36:AB$124)*SSSM</f>
        <v>0</v>
      </c>
      <c r="AD36" s="209">
        <f t="shared" ref="AD36" si="599">IF(R36&gt;nB,0,AD35*(1-X35)*(1-Y35)*(1-AE35)*(1-AF35))</f>
        <v>0</v>
      </c>
      <c r="AE36" s="92">
        <f t="shared" ca="1" si="21"/>
        <v>0</v>
      </c>
      <c r="AF36" s="92">
        <f t="shared" ca="1" si="22"/>
        <v>0</v>
      </c>
      <c r="AG36" s="8">
        <f t="shared" ca="1" si="23"/>
        <v>0</v>
      </c>
      <c r="AH36" s="5">
        <f ca="1">+SUM(AG36:AG$124)</f>
        <v>0</v>
      </c>
      <c r="AI36" s="70">
        <f t="shared" ca="1" si="24"/>
        <v>0</v>
      </c>
      <c r="AJ36" s="208">
        <f ca="1">+SUM(AB36:AB$124)*SS50J</f>
        <v>0</v>
      </c>
      <c r="AK36" s="209">
        <f t="shared" ca="1" si="58"/>
        <v>99999.012970709329</v>
      </c>
      <c r="AL36" s="257">
        <f t="shared" ref="AL36" ca="1" si="600">IFERROR(VLOOKUP($S36,qx_table,MATCH(AL$11,qx_title,0)+sexB),0)</f>
        <v>0</v>
      </c>
      <c r="AM36" s="131">
        <f t="shared" ca="1" si="109"/>
        <v>58624.089821365953</v>
      </c>
      <c r="AN36" s="129">
        <f t="shared" ca="1" si="110"/>
        <v>0</v>
      </c>
      <c r="AO36" s="129">
        <f ca="1">SUM(AN36:AN$124)*SSa</f>
        <v>0</v>
      </c>
      <c r="AP36" s="70">
        <f t="shared" ca="1" si="60"/>
        <v>99999.012970709329</v>
      </c>
      <c r="AQ36" s="2">
        <f t="shared" ref="AQ36" ca="1" si="601">IFERROR(VLOOKUP($S36,qx_table,MATCH(AQ$11,qx_title,0)+sexB),0)</f>
        <v>0</v>
      </c>
      <c r="AR36" s="127">
        <f t="shared" ca="1" si="62"/>
        <v>0</v>
      </c>
      <c r="AS36" s="127">
        <f ca="1">SUM(AR36:AR$124)*SSb</f>
        <v>0</v>
      </c>
      <c r="AT36" s="70">
        <f t="shared" ca="1" si="63"/>
        <v>99999.012970709329</v>
      </c>
      <c r="AU36" s="2">
        <f t="shared" ref="AU36" ca="1" si="602">IFERROR(VLOOKUP($S36,qx_table,MATCH(AU$11,qx_title,0)+sexB),0)</f>
        <v>0</v>
      </c>
      <c r="AV36" s="268">
        <f t="shared" ca="1" si="65"/>
        <v>0</v>
      </c>
      <c r="AW36" s="131">
        <f ca="1">SUM(AV36:AV$124)*SSc</f>
        <v>0</v>
      </c>
      <c r="AX36" s="70">
        <f t="shared" ca="1" si="66"/>
        <v>99999.012970709329</v>
      </c>
      <c r="AY36" s="2">
        <f t="shared" ref="AY36" ca="1" si="603">IFERROR(VLOOKUP($S36,qx_table,MATCH(AY$11,qx_title,0)+sexB),0)</f>
        <v>0</v>
      </c>
      <c r="AZ36" s="268">
        <f t="shared" ca="1" si="68"/>
        <v>0</v>
      </c>
      <c r="BA36" s="129">
        <f ca="1">SUM(AZ36:AZ$124)*SSd</f>
        <v>0</v>
      </c>
      <c r="BB36" s="70">
        <f t="shared" ca="1" si="69"/>
        <v>99999.012970709329</v>
      </c>
      <c r="BC36" s="257">
        <f t="shared" ref="BC36" ca="1" si="604">IFERROR(VLOOKUP($S36,qx_table,MATCH(BC$11,qx_title,0)+sexB),0)</f>
        <v>0</v>
      </c>
      <c r="BD36" s="268">
        <f t="shared" ca="1" si="71"/>
        <v>0</v>
      </c>
      <c r="BE36" s="131">
        <f ca="1">SUM(BD36:BD$124)*SSe</f>
        <v>0</v>
      </c>
      <c r="BF36" s="70">
        <f t="shared" ca="1" si="72"/>
        <v>99999.012970709329</v>
      </c>
      <c r="BG36" s="2">
        <f t="shared" ref="BG36" ca="1" si="605">IFERROR(VLOOKUP($S36,qx_table,MATCH(BG$11,qx_title,0)+sexB),0)</f>
        <v>0</v>
      </c>
      <c r="BH36" s="131">
        <f t="shared" ca="1" si="74"/>
        <v>0</v>
      </c>
      <c r="BI36" s="2">
        <f ca="1">SUM(BH36:BH$124)*SSf</f>
        <v>0</v>
      </c>
      <c r="BJ36" s="70">
        <f t="shared" ca="1" si="75"/>
        <v>99999.012970709329</v>
      </c>
      <c r="BK36" s="2">
        <f t="shared" ref="BK36" ca="1" si="606">IFERROR(VLOOKUP($S36,qx_table,MATCH(BK$11,qx_title,0)+sexB),0)</f>
        <v>0</v>
      </c>
      <c r="BL36" s="131">
        <f t="shared" ca="1" si="77"/>
        <v>0</v>
      </c>
      <c r="BM36" s="131">
        <f ca="1">SUM(BL36:BL$124)*SSg</f>
        <v>0</v>
      </c>
      <c r="BN36" s="70">
        <f t="shared" ca="1" si="78"/>
        <v>99999.012970709329</v>
      </c>
      <c r="BO36" s="2">
        <f t="shared" ref="BO36" ca="1" si="607">IFERROR(VLOOKUP($S36,qx_table,MATCH(BO$11,qx_title,0)+sexB),0)</f>
        <v>0</v>
      </c>
      <c r="BP36" s="131">
        <f t="shared" ca="1" si="80"/>
        <v>0</v>
      </c>
      <c r="BQ36" s="131">
        <f ca="1">SUM(BP36:BP$124)*SSh</f>
        <v>0</v>
      </c>
      <c r="BR36" s="70">
        <f t="shared" ca="1" si="81"/>
        <v>99999.012970709329</v>
      </c>
      <c r="BS36" s="2">
        <f t="shared" ref="BS36" ca="1" si="608">IFERROR(VLOOKUP($S36,qx_table,MATCH(BS$11,qx_title,0)+sexB),0)*IF(R36=0,MCi,1)</f>
        <v>0</v>
      </c>
      <c r="BT36" s="131">
        <f t="shared" ca="1" si="83"/>
        <v>0</v>
      </c>
      <c r="BU36" s="131">
        <f ca="1">SUM(BT36:BT$124)*SSi</f>
        <v>0</v>
      </c>
      <c r="BV36" s="70">
        <f t="shared" ca="1" si="84"/>
        <v>99999.012970709329</v>
      </c>
      <c r="BW36" s="2">
        <f t="shared" ref="BW36" ca="1" si="609">IFERROR(VLOOKUP($S36,qx_table,MATCH(BW$11,qx_title,0)+sexB),0)</f>
        <v>0</v>
      </c>
      <c r="BX36" s="131">
        <f t="shared" ca="1" si="86"/>
        <v>0</v>
      </c>
      <c r="BY36" s="131">
        <f ca="1">SUM(BX36:BX$124)*SSj</f>
        <v>0</v>
      </c>
      <c r="BZ36" s="70">
        <f t="shared" ca="1" si="87"/>
        <v>99999.012970709329</v>
      </c>
      <c r="CA36" s="2">
        <f t="shared" ref="CA36" ca="1" si="610">IFERROR(VLOOKUP($S36,qx_table,MATCH(CA$11,qx_title,0)+sexB),0)</f>
        <v>0</v>
      </c>
      <c r="CB36" s="131">
        <f t="shared" ca="1" si="89"/>
        <v>0</v>
      </c>
      <c r="CC36" s="131">
        <f ca="1">SUM(CB36:CB$124)*SSk</f>
        <v>0</v>
      </c>
      <c r="CD36" s="8">
        <f t="shared" ca="1" si="90"/>
        <v>99999.012970709329</v>
      </c>
      <c r="CE36" s="2">
        <f t="shared" ref="CE36" ca="1" si="611">IFERROR(VLOOKUP($S36,qx_table,MATCH(CE$11,qx_title,0)+sexB),0)</f>
        <v>0</v>
      </c>
      <c r="CF36" s="131">
        <f t="shared" ca="1" si="92"/>
        <v>0</v>
      </c>
      <c r="CG36" s="131">
        <f ca="1">SUM(CF36:CF$124)*SSl</f>
        <v>0</v>
      </c>
      <c r="CH36" s="101">
        <f t="shared" ca="1" si="93"/>
        <v>0</v>
      </c>
      <c r="CI36" s="154">
        <f t="shared" ca="1" si="37"/>
        <v>0</v>
      </c>
      <c r="CJ36" s="32">
        <f t="shared" ca="1" si="38"/>
        <v>0</v>
      </c>
      <c r="CK36" s="32">
        <f t="shared" ref="CK36" ca="1" si="612">+MAX(VLOOKUP(xB+$R36,기수표B,$AH$1)-VLOOKUP(xB+mB,기수표B,$AH$1)-11/24*(VLOOKUP(xB+$R36,기수표B,$AG$1)-VLOOKUP(xB+mB,기수표B,$AG$1)),0)</f>
        <v>0</v>
      </c>
      <c r="CL36" s="32">
        <f t="shared" ref="CL36" ca="1" si="613">+MAX(VLOOKUP(xB+$R36,기수표B,$AA$1)-VLOOKUP(xB+mB,기수표B,$AA$1),0)</f>
        <v>0</v>
      </c>
      <c r="CM36" s="32">
        <f t="shared" ref="CM36" ca="1" si="614">+MAX(VLOOKUP(xB+$R36,기수표B,$AA$1)-VLOOKUP(xB+mB,기수표B,$AA$1)-11/24*(VLOOKUP(xB+$R36,기수표B,$AA$1)-VLOOKUP(xB+mB,기수표B,$AA$1)),0)</f>
        <v>0</v>
      </c>
      <c r="CN36" s="32">
        <f t="shared" si="41"/>
        <v>0</v>
      </c>
      <c r="CO36" s="32">
        <f t="shared" ca="1" si="42"/>
        <v>0</v>
      </c>
      <c r="CP36" s="32">
        <f t="shared" ca="1" si="43"/>
        <v>0</v>
      </c>
      <c r="CQ36" s="262">
        <f t="shared" ca="1" si="44"/>
        <v>0</v>
      </c>
      <c r="CR36" s="259" t="e">
        <f t="shared" ca="1" si="45"/>
        <v>#DIV/0!</v>
      </c>
      <c r="CS36" s="32">
        <f t="shared" ca="1" si="46"/>
        <v>1.5999999999999999E-5</v>
      </c>
      <c r="CT36" s="31">
        <f t="shared" ref="CT36" si="615">+MIN(mB,7)</f>
        <v>7</v>
      </c>
      <c r="CV36" s="13">
        <v>24</v>
      </c>
      <c r="CW36" s="477">
        <f t="shared" ca="1" si="48"/>
        <v>480</v>
      </c>
      <c r="CX36" s="477" t="e">
        <f t="shared" ca="1" si="49"/>
        <v>#DIV/0!</v>
      </c>
      <c r="CY36" s="477">
        <f t="shared" ca="1" si="50"/>
        <v>0</v>
      </c>
      <c r="CZ36" s="478">
        <f t="shared" ca="1" si="98"/>
        <v>0</v>
      </c>
    </row>
    <row r="37" spans="1:104">
      <c r="N37" s="5">
        <f t="shared" si="99"/>
        <v>25</v>
      </c>
      <c r="O37" s="2">
        <f t="shared" ref="O37" ca="1" si="616">+(1+iB)^-N37</f>
        <v>0.57334639084611505</v>
      </c>
      <c r="P37" s="2">
        <f t="shared" ref="P37" ca="1" si="617">+(1+iB)^-(N37+0.5)</f>
        <v>0.56700308869355798</v>
      </c>
      <c r="Q37" s="91"/>
      <c r="R37" s="20">
        <f t="shared" si="102"/>
        <v>25</v>
      </c>
      <c r="S37" s="20" t="str">
        <f t="shared" ref="S37" si="618">+IF(xB+R37&lt;=xB+nB,xB+R37,"")</f>
        <v/>
      </c>
      <c r="T37" s="2">
        <f t="shared" ref="T37:U37" ca="1" si="619">IFERROR(VLOOKUP($S37,qx_table,MATCH(T$11,qx_title,0)+sexB),0)</f>
        <v>0</v>
      </c>
      <c r="U37" s="2">
        <f t="shared" ca="1" si="619"/>
        <v>0</v>
      </c>
      <c r="V37" s="300">
        <v>0</v>
      </c>
      <c r="W37" s="8">
        <f t="shared" ref="W37" si="620">IF(R37=0,100000,IF(R37&gt;nB,0,W36*(1-X36)*(1-Y36)))</f>
        <v>0</v>
      </c>
      <c r="X37" s="10">
        <f t="shared" ca="1" si="19"/>
        <v>0</v>
      </c>
      <c r="Y37" s="10">
        <f t="shared" ca="1" si="56"/>
        <v>0</v>
      </c>
      <c r="Z37" s="8">
        <f t="shared" ca="1" si="106"/>
        <v>0</v>
      </c>
      <c r="AA37" s="8">
        <f ca="1">+SUM(Z37:Z$124)</f>
        <v>0</v>
      </c>
      <c r="AB37" s="8">
        <f t="shared" ca="1" si="20"/>
        <v>0</v>
      </c>
      <c r="AC37" s="209">
        <f ca="1">+SUM(AB37:AB$124)*SSSM</f>
        <v>0</v>
      </c>
      <c r="AD37" s="209">
        <f t="shared" ref="AD37" si="621">IF(R37&gt;nB,0,AD36*(1-X36)*(1-Y36)*(1-AE36)*(1-AF36))</f>
        <v>0</v>
      </c>
      <c r="AE37" s="92">
        <f t="shared" ca="1" si="21"/>
        <v>0</v>
      </c>
      <c r="AF37" s="92">
        <f t="shared" ca="1" si="22"/>
        <v>0</v>
      </c>
      <c r="AG37" s="8">
        <f t="shared" ca="1" si="23"/>
        <v>0</v>
      </c>
      <c r="AH37" s="5">
        <f ca="1">+SUM(AG37:AG$124)</f>
        <v>0</v>
      </c>
      <c r="AI37" s="70">
        <f t="shared" ca="1" si="24"/>
        <v>0</v>
      </c>
      <c r="AJ37" s="208">
        <f ca="1">+SUM(AB37:AB$124)*SS50J</f>
        <v>0</v>
      </c>
      <c r="AK37" s="209">
        <f t="shared" ca="1" si="58"/>
        <v>99999.012970709329</v>
      </c>
      <c r="AL37" s="257">
        <f t="shared" ref="AL37" ca="1" si="622">IFERROR(VLOOKUP($S37,qx_table,MATCH(AL$11,qx_title,0)+sexB),0)</f>
        <v>0</v>
      </c>
      <c r="AM37" s="131">
        <f t="shared" ca="1" si="109"/>
        <v>57334.073174930039</v>
      </c>
      <c r="AN37" s="129">
        <f t="shared" ca="1" si="110"/>
        <v>0</v>
      </c>
      <c r="AO37" s="129">
        <f ca="1">SUM(AN37:AN$124)*SSa</f>
        <v>0</v>
      </c>
      <c r="AP37" s="70">
        <f t="shared" ca="1" si="60"/>
        <v>99999.012970709329</v>
      </c>
      <c r="AQ37" s="2">
        <f t="shared" ref="AQ37" ca="1" si="623">IFERROR(VLOOKUP($S37,qx_table,MATCH(AQ$11,qx_title,0)+sexB),0)</f>
        <v>0</v>
      </c>
      <c r="AR37" s="127">
        <f t="shared" ca="1" si="62"/>
        <v>0</v>
      </c>
      <c r="AS37" s="127">
        <f ca="1">SUM(AR37:AR$124)*SSb</f>
        <v>0</v>
      </c>
      <c r="AT37" s="70">
        <f t="shared" ca="1" si="63"/>
        <v>99999.012970709329</v>
      </c>
      <c r="AU37" s="2">
        <f t="shared" ref="AU37" ca="1" si="624">IFERROR(VLOOKUP($S37,qx_table,MATCH(AU$11,qx_title,0)+sexB),0)</f>
        <v>0</v>
      </c>
      <c r="AV37" s="268">
        <f t="shared" ca="1" si="65"/>
        <v>0</v>
      </c>
      <c r="AW37" s="131">
        <f ca="1">SUM(AV37:AV$124)*SSc</f>
        <v>0</v>
      </c>
      <c r="AX37" s="70">
        <f t="shared" ca="1" si="66"/>
        <v>99999.012970709329</v>
      </c>
      <c r="AY37" s="2">
        <f t="shared" ref="AY37" ca="1" si="625">IFERROR(VLOOKUP($S37,qx_table,MATCH(AY$11,qx_title,0)+sexB),0)</f>
        <v>0</v>
      </c>
      <c r="AZ37" s="268">
        <f t="shared" ca="1" si="68"/>
        <v>0</v>
      </c>
      <c r="BA37" s="129">
        <f ca="1">SUM(AZ37:AZ$124)*SSd</f>
        <v>0</v>
      </c>
      <c r="BB37" s="70">
        <f t="shared" ca="1" si="69"/>
        <v>99999.012970709329</v>
      </c>
      <c r="BC37" s="257">
        <f t="shared" ref="BC37" ca="1" si="626">IFERROR(VLOOKUP($S37,qx_table,MATCH(BC$11,qx_title,0)+sexB),0)</f>
        <v>0</v>
      </c>
      <c r="BD37" s="268">
        <f t="shared" ca="1" si="71"/>
        <v>0</v>
      </c>
      <c r="BE37" s="131">
        <f ca="1">SUM(BD37:BD$124)*SSe</f>
        <v>0</v>
      </c>
      <c r="BF37" s="70">
        <f t="shared" ca="1" si="72"/>
        <v>99999.012970709329</v>
      </c>
      <c r="BG37" s="2">
        <f t="shared" ref="BG37" ca="1" si="627">IFERROR(VLOOKUP($S37,qx_table,MATCH(BG$11,qx_title,0)+sexB),0)</f>
        <v>0</v>
      </c>
      <c r="BH37" s="131">
        <f t="shared" ca="1" si="74"/>
        <v>0</v>
      </c>
      <c r="BI37" s="2">
        <f ca="1">SUM(BH37:BH$124)*SSf</f>
        <v>0</v>
      </c>
      <c r="BJ37" s="70">
        <f t="shared" ca="1" si="75"/>
        <v>99999.012970709329</v>
      </c>
      <c r="BK37" s="2">
        <f t="shared" ref="BK37" ca="1" si="628">IFERROR(VLOOKUP($S37,qx_table,MATCH(BK$11,qx_title,0)+sexB),0)</f>
        <v>0</v>
      </c>
      <c r="BL37" s="131">
        <f t="shared" ca="1" si="77"/>
        <v>0</v>
      </c>
      <c r="BM37" s="131">
        <f ca="1">SUM(BL37:BL$124)*SSg</f>
        <v>0</v>
      </c>
      <c r="BN37" s="70">
        <f t="shared" ca="1" si="78"/>
        <v>99999.012970709329</v>
      </c>
      <c r="BO37" s="2">
        <f t="shared" ref="BO37" ca="1" si="629">IFERROR(VLOOKUP($S37,qx_table,MATCH(BO$11,qx_title,0)+sexB),0)</f>
        <v>0</v>
      </c>
      <c r="BP37" s="131">
        <f t="shared" ca="1" si="80"/>
        <v>0</v>
      </c>
      <c r="BQ37" s="131">
        <f ca="1">SUM(BP37:BP$124)*SSh</f>
        <v>0</v>
      </c>
      <c r="BR37" s="70">
        <f t="shared" ca="1" si="81"/>
        <v>99999.012970709329</v>
      </c>
      <c r="BS37" s="2">
        <f t="shared" ref="BS37" ca="1" si="630">IFERROR(VLOOKUP($S37,qx_table,MATCH(BS$11,qx_title,0)+sexB),0)*IF(R37=0,MCi,1)</f>
        <v>0</v>
      </c>
      <c r="BT37" s="131">
        <f t="shared" ca="1" si="83"/>
        <v>0</v>
      </c>
      <c r="BU37" s="131">
        <f ca="1">SUM(BT37:BT$124)*SSi</f>
        <v>0</v>
      </c>
      <c r="BV37" s="70">
        <f t="shared" ca="1" si="84"/>
        <v>99999.012970709329</v>
      </c>
      <c r="BW37" s="2">
        <f t="shared" ref="BW37" ca="1" si="631">IFERROR(VLOOKUP($S37,qx_table,MATCH(BW$11,qx_title,0)+sexB),0)</f>
        <v>0</v>
      </c>
      <c r="BX37" s="131">
        <f t="shared" ca="1" si="86"/>
        <v>0</v>
      </c>
      <c r="BY37" s="131">
        <f ca="1">SUM(BX37:BX$124)*SSj</f>
        <v>0</v>
      </c>
      <c r="BZ37" s="70">
        <f t="shared" ca="1" si="87"/>
        <v>99999.012970709329</v>
      </c>
      <c r="CA37" s="2">
        <f t="shared" ref="CA37" ca="1" si="632">IFERROR(VLOOKUP($S37,qx_table,MATCH(CA$11,qx_title,0)+sexB),0)</f>
        <v>0</v>
      </c>
      <c r="CB37" s="131">
        <f t="shared" ca="1" si="89"/>
        <v>0</v>
      </c>
      <c r="CC37" s="131">
        <f ca="1">SUM(CB37:CB$124)*SSk</f>
        <v>0</v>
      </c>
      <c r="CD37" s="8">
        <f t="shared" ca="1" si="90"/>
        <v>99999.012970709329</v>
      </c>
      <c r="CE37" s="2">
        <f t="shared" ref="CE37" ca="1" si="633">IFERROR(VLOOKUP($S37,qx_table,MATCH(CE$11,qx_title,0)+sexB),0)</f>
        <v>0</v>
      </c>
      <c r="CF37" s="131">
        <f t="shared" ca="1" si="92"/>
        <v>0</v>
      </c>
      <c r="CG37" s="131">
        <f ca="1">SUM(CF37:CF$124)*SSl</f>
        <v>0</v>
      </c>
      <c r="CH37" s="101">
        <f t="shared" ca="1" si="93"/>
        <v>0</v>
      </c>
      <c r="CI37" s="154">
        <f t="shared" ca="1" si="37"/>
        <v>0</v>
      </c>
      <c r="CJ37" s="32">
        <f t="shared" ca="1" si="38"/>
        <v>0</v>
      </c>
      <c r="CK37" s="32">
        <f t="shared" ref="CK37" ca="1" si="634">+MAX(VLOOKUP(xB+$R37,기수표B,$AH$1)-VLOOKUP(xB+mB,기수표B,$AH$1)-11/24*(VLOOKUP(xB+$R37,기수표B,$AG$1)-VLOOKUP(xB+mB,기수표B,$AG$1)),0)</f>
        <v>0</v>
      </c>
      <c r="CL37" s="32">
        <f t="shared" ref="CL37" ca="1" si="635">+MAX(VLOOKUP(xB+$R37,기수표B,$AA$1)-VLOOKUP(xB+mB,기수표B,$AA$1),0)</f>
        <v>0</v>
      </c>
      <c r="CM37" s="32">
        <f t="shared" ref="CM37" ca="1" si="636">+MAX(VLOOKUP(xB+$R37,기수표B,$AA$1)-VLOOKUP(xB+mB,기수표B,$AA$1)-11/24*(VLOOKUP(xB+$R37,기수표B,$AA$1)-VLOOKUP(xB+mB,기수표B,$AA$1)),0)</f>
        <v>0</v>
      </c>
      <c r="CN37" s="32">
        <f t="shared" si="41"/>
        <v>0</v>
      </c>
      <c r="CO37" s="32">
        <f t="shared" ca="1" si="42"/>
        <v>0</v>
      </c>
      <c r="CP37" s="32">
        <f t="shared" ca="1" si="43"/>
        <v>0</v>
      </c>
      <c r="CQ37" s="262">
        <f t="shared" ca="1" si="44"/>
        <v>0</v>
      </c>
      <c r="CR37" s="259" t="e">
        <f t="shared" ca="1" si="45"/>
        <v>#DIV/0!</v>
      </c>
      <c r="CS37" s="32">
        <f t="shared" ca="1" si="46"/>
        <v>1.5999999999999999E-5</v>
      </c>
      <c r="CT37" s="31">
        <f t="shared" ref="CT37" si="637">+MIN(mB,7)</f>
        <v>7</v>
      </c>
      <c r="CV37" s="13">
        <v>25</v>
      </c>
      <c r="CW37" s="477">
        <f t="shared" ca="1" si="48"/>
        <v>480</v>
      </c>
      <c r="CX37" s="477" t="e">
        <f t="shared" ca="1" si="49"/>
        <v>#DIV/0!</v>
      </c>
      <c r="CY37" s="477">
        <f t="shared" ca="1" si="50"/>
        <v>0</v>
      </c>
      <c r="CZ37" s="478">
        <f t="shared" ca="1" si="98"/>
        <v>0</v>
      </c>
    </row>
    <row r="38" spans="1:104">
      <c r="N38" s="5">
        <f t="shared" si="99"/>
        <v>26</v>
      </c>
      <c r="O38" s="2">
        <f t="shared" ref="O38" ca="1" si="638">+(1+iB)^-N38</f>
        <v>0.5607299665976675</v>
      </c>
      <c r="P38" s="2">
        <f t="shared" ref="P38" ca="1" si="639">+(1+iB)^-(N38+0.5)</f>
        <v>0.55452624811105922</v>
      </c>
      <c r="Q38" s="91"/>
      <c r="R38" s="20">
        <f t="shared" si="102"/>
        <v>26</v>
      </c>
      <c r="S38" s="20" t="str">
        <f t="shared" ref="S38" si="640">+IF(xB+R38&lt;=xB+nB,xB+R38,"")</f>
        <v/>
      </c>
      <c r="T38" s="2">
        <f t="shared" ref="T38:U38" ca="1" si="641">IFERROR(VLOOKUP($S38,qx_table,MATCH(T$11,qx_title,0)+sexB),0)</f>
        <v>0</v>
      </c>
      <c r="U38" s="2">
        <f t="shared" ca="1" si="641"/>
        <v>0</v>
      </c>
      <c r="V38" s="300">
        <v>0</v>
      </c>
      <c r="W38" s="8">
        <f t="shared" ref="W38" si="642">IF(R38=0,100000,IF(R38&gt;nB,0,W37*(1-X37)*(1-Y37)))</f>
        <v>0</v>
      </c>
      <c r="X38" s="10">
        <f t="shared" ca="1" si="19"/>
        <v>0</v>
      </c>
      <c r="Y38" s="10">
        <f t="shared" ca="1" si="56"/>
        <v>0</v>
      </c>
      <c r="Z38" s="8">
        <f t="shared" ca="1" si="106"/>
        <v>0</v>
      </c>
      <c r="AA38" s="8">
        <f ca="1">+SUM(Z38:Z$124)</f>
        <v>0</v>
      </c>
      <c r="AB38" s="8">
        <f t="shared" ca="1" si="20"/>
        <v>0</v>
      </c>
      <c r="AC38" s="209">
        <f ca="1">+SUM(AB38:AB$124)*SSSM</f>
        <v>0</v>
      </c>
      <c r="AD38" s="209">
        <f t="shared" ref="AD38" si="643">IF(R38&gt;nB,0,AD37*(1-X37)*(1-Y37)*(1-AE37)*(1-AF37))</f>
        <v>0</v>
      </c>
      <c r="AE38" s="92">
        <f t="shared" ca="1" si="21"/>
        <v>0</v>
      </c>
      <c r="AF38" s="92">
        <f t="shared" ca="1" si="22"/>
        <v>0</v>
      </c>
      <c r="AG38" s="8">
        <f t="shared" ca="1" si="23"/>
        <v>0</v>
      </c>
      <c r="AH38" s="5">
        <f ca="1">+SUM(AG38:AG$124)</f>
        <v>0</v>
      </c>
      <c r="AI38" s="70">
        <f t="shared" ca="1" si="24"/>
        <v>0</v>
      </c>
      <c r="AJ38" s="208">
        <f ca="1">+SUM(AB38:AB$124)*SS50J</f>
        <v>0</v>
      </c>
      <c r="AK38" s="209">
        <f t="shared" ca="1" si="58"/>
        <v>99999.012970709329</v>
      </c>
      <c r="AL38" s="257">
        <f t="shared" ref="AL38" ca="1" si="644">IFERROR(VLOOKUP($S38,qx_table,MATCH(AL$11,qx_title,0)+sexB),0)</f>
        <v>0</v>
      </c>
      <c r="AM38" s="131">
        <f t="shared" ca="1" si="109"/>
        <v>56072.443202865557</v>
      </c>
      <c r="AN38" s="129">
        <f t="shared" ca="1" si="110"/>
        <v>0</v>
      </c>
      <c r="AO38" s="129">
        <f ca="1">SUM(AN38:AN$124)*SSa</f>
        <v>0</v>
      </c>
      <c r="AP38" s="70">
        <f t="shared" ca="1" si="60"/>
        <v>99999.012970709329</v>
      </c>
      <c r="AQ38" s="2">
        <f t="shared" ref="AQ38" ca="1" si="645">IFERROR(VLOOKUP($S38,qx_table,MATCH(AQ$11,qx_title,0)+sexB),0)</f>
        <v>0</v>
      </c>
      <c r="AR38" s="127">
        <f t="shared" ca="1" si="62"/>
        <v>0</v>
      </c>
      <c r="AS38" s="127">
        <f ca="1">SUM(AR38:AR$124)*SSb</f>
        <v>0</v>
      </c>
      <c r="AT38" s="70">
        <f t="shared" ca="1" si="63"/>
        <v>99999.012970709329</v>
      </c>
      <c r="AU38" s="2">
        <f t="shared" ref="AU38" ca="1" si="646">IFERROR(VLOOKUP($S38,qx_table,MATCH(AU$11,qx_title,0)+sexB),0)</f>
        <v>0</v>
      </c>
      <c r="AV38" s="268">
        <f t="shared" ca="1" si="65"/>
        <v>0</v>
      </c>
      <c r="AW38" s="131">
        <f ca="1">SUM(AV38:AV$124)*SSc</f>
        <v>0</v>
      </c>
      <c r="AX38" s="70">
        <f t="shared" ca="1" si="66"/>
        <v>99999.012970709329</v>
      </c>
      <c r="AY38" s="2">
        <f t="shared" ref="AY38" ca="1" si="647">IFERROR(VLOOKUP($S38,qx_table,MATCH(AY$11,qx_title,0)+sexB),0)</f>
        <v>0</v>
      </c>
      <c r="AZ38" s="268">
        <f t="shared" ca="1" si="68"/>
        <v>0</v>
      </c>
      <c r="BA38" s="129">
        <f ca="1">SUM(AZ38:AZ$124)*SSd</f>
        <v>0</v>
      </c>
      <c r="BB38" s="70">
        <f t="shared" ca="1" si="69"/>
        <v>99999.012970709329</v>
      </c>
      <c r="BC38" s="257">
        <f t="shared" ref="BC38" ca="1" si="648">IFERROR(VLOOKUP($S38,qx_table,MATCH(BC$11,qx_title,0)+sexB),0)</f>
        <v>0</v>
      </c>
      <c r="BD38" s="268">
        <f t="shared" ca="1" si="71"/>
        <v>0</v>
      </c>
      <c r="BE38" s="131">
        <f ca="1">SUM(BD38:BD$124)*SSe</f>
        <v>0</v>
      </c>
      <c r="BF38" s="70">
        <f t="shared" ca="1" si="72"/>
        <v>99999.012970709329</v>
      </c>
      <c r="BG38" s="2">
        <f t="shared" ref="BG38" ca="1" si="649">IFERROR(VLOOKUP($S38,qx_table,MATCH(BG$11,qx_title,0)+sexB),0)</f>
        <v>0</v>
      </c>
      <c r="BH38" s="131">
        <f t="shared" ca="1" si="74"/>
        <v>0</v>
      </c>
      <c r="BI38" s="2">
        <f ca="1">SUM(BH38:BH$124)*SSf</f>
        <v>0</v>
      </c>
      <c r="BJ38" s="70">
        <f t="shared" ca="1" si="75"/>
        <v>99999.012970709329</v>
      </c>
      <c r="BK38" s="2">
        <f t="shared" ref="BK38" ca="1" si="650">IFERROR(VLOOKUP($S38,qx_table,MATCH(BK$11,qx_title,0)+sexB),0)</f>
        <v>0</v>
      </c>
      <c r="BL38" s="131">
        <f t="shared" ca="1" si="77"/>
        <v>0</v>
      </c>
      <c r="BM38" s="131">
        <f ca="1">SUM(BL38:BL$124)*SSg</f>
        <v>0</v>
      </c>
      <c r="BN38" s="70">
        <f t="shared" ca="1" si="78"/>
        <v>99999.012970709329</v>
      </c>
      <c r="BO38" s="2">
        <f t="shared" ref="BO38" ca="1" si="651">IFERROR(VLOOKUP($S38,qx_table,MATCH(BO$11,qx_title,0)+sexB),0)</f>
        <v>0</v>
      </c>
      <c r="BP38" s="131">
        <f t="shared" ca="1" si="80"/>
        <v>0</v>
      </c>
      <c r="BQ38" s="131">
        <f ca="1">SUM(BP38:BP$124)*SSh</f>
        <v>0</v>
      </c>
      <c r="BR38" s="70">
        <f t="shared" ca="1" si="81"/>
        <v>99999.012970709329</v>
      </c>
      <c r="BS38" s="2">
        <f t="shared" ref="BS38" ca="1" si="652">IFERROR(VLOOKUP($S38,qx_table,MATCH(BS$11,qx_title,0)+sexB),0)*IF(R38=0,MCi,1)</f>
        <v>0</v>
      </c>
      <c r="BT38" s="131">
        <f t="shared" ca="1" si="83"/>
        <v>0</v>
      </c>
      <c r="BU38" s="131">
        <f ca="1">SUM(BT38:BT$124)*SSi</f>
        <v>0</v>
      </c>
      <c r="BV38" s="70">
        <f t="shared" ca="1" si="84"/>
        <v>99999.012970709329</v>
      </c>
      <c r="BW38" s="2">
        <f t="shared" ref="BW38" ca="1" si="653">IFERROR(VLOOKUP($S38,qx_table,MATCH(BW$11,qx_title,0)+sexB),0)</f>
        <v>0</v>
      </c>
      <c r="BX38" s="131">
        <f t="shared" ca="1" si="86"/>
        <v>0</v>
      </c>
      <c r="BY38" s="131">
        <f ca="1">SUM(BX38:BX$124)*SSj</f>
        <v>0</v>
      </c>
      <c r="BZ38" s="70">
        <f t="shared" ca="1" si="87"/>
        <v>99999.012970709329</v>
      </c>
      <c r="CA38" s="2">
        <f t="shared" ref="CA38" ca="1" si="654">IFERROR(VLOOKUP($S38,qx_table,MATCH(CA$11,qx_title,0)+sexB),0)</f>
        <v>0</v>
      </c>
      <c r="CB38" s="131">
        <f t="shared" ca="1" si="89"/>
        <v>0</v>
      </c>
      <c r="CC38" s="131">
        <f ca="1">SUM(CB38:CB$124)*SSk</f>
        <v>0</v>
      </c>
      <c r="CD38" s="8">
        <f t="shared" ca="1" si="90"/>
        <v>99999.012970709329</v>
      </c>
      <c r="CE38" s="2">
        <f t="shared" ref="CE38" ca="1" si="655">IFERROR(VLOOKUP($S38,qx_table,MATCH(CE$11,qx_title,0)+sexB),0)</f>
        <v>0</v>
      </c>
      <c r="CF38" s="131">
        <f t="shared" ca="1" si="92"/>
        <v>0</v>
      </c>
      <c r="CG38" s="131">
        <f ca="1">SUM(CF38:CF$124)*SSl</f>
        <v>0</v>
      </c>
      <c r="CH38" s="101">
        <f t="shared" ca="1" si="93"/>
        <v>0</v>
      </c>
      <c r="CI38" s="154">
        <f t="shared" ca="1" si="37"/>
        <v>0</v>
      </c>
      <c r="CJ38" s="32">
        <f t="shared" ca="1" si="38"/>
        <v>0</v>
      </c>
      <c r="CK38" s="32">
        <f t="shared" ref="CK38" ca="1" si="656">+MAX(VLOOKUP(xB+$R38,기수표B,$AH$1)-VLOOKUP(xB+mB,기수표B,$AH$1)-11/24*(VLOOKUP(xB+$R38,기수표B,$AG$1)-VLOOKUP(xB+mB,기수표B,$AG$1)),0)</f>
        <v>0</v>
      </c>
      <c r="CL38" s="32">
        <f t="shared" ref="CL38" ca="1" si="657">+MAX(VLOOKUP(xB+$R38,기수표B,$AA$1)-VLOOKUP(xB+mB,기수표B,$AA$1),0)</f>
        <v>0</v>
      </c>
      <c r="CM38" s="32">
        <f t="shared" ref="CM38" ca="1" si="658">+MAX(VLOOKUP(xB+$R38,기수표B,$AA$1)-VLOOKUP(xB+mB,기수표B,$AA$1)-11/24*(VLOOKUP(xB+$R38,기수표B,$AA$1)-VLOOKUP(xB+mB,기수표B,$AA$1)),0)</f>
        <v>0</v>
      </c>
      <c r="CN38" s="32">
        <f t="shared" si="41"/>
        <v>0</v>
      </c>
      <c r="CO38" s="32">
        <f t="shared" ca="1" si="42"/>
        <v>0</v>
      </c>
      <c r="CP38" s="32">
        <f t="shared" ca="1" si="43"/>
        <v>0</v>
      </c>
      <c r="CQ38" s="262">
        <f t="shared" ca="1" si="44"/>
        <v>0</v>
      </c>
      <c r="CR38" s="259" t="e">
        <f t="shared" ca="1" si="45"/>
        <v>#DIV/0!</v>
      </c>
      <c r="CS38" s="32">
        <f t="shared" ca="1" si="46"/>
        <v>1.5999999999999999E-5</v>
      </c>
      <c r="CT38" s="31">
        <f t="shared" ref="CT38" si="659">+MIN(mB,7)</f>
        <v>7</v>
      </c>
      <c r="CV38" s="13">
        <v>26</v>
      </c>
      <c r="CW38" s="477">
        <f t="shared" ca="1" si="48"/>
        <v>480</v>
      </c>
      <c r="CX38" s="477" t="e">
        <f t="shared" ca="1" si="49"/>
        <v>#DIV/0!</v>
      </c>
      <c r="CY38" s="477">
        <f t="shared" ca="1" si="50"/>
        <v>0</v>
      </c>
      <c r="CZ38" s="478">
        <f t="shared" ca="1" si="98"/>
        <v>0</v>
      </c>
    </row>
    <row r="39" spans="1:104">
      <c r="N39" s="5">
        <f t="shared" si="99"/>
        <v>27</v>
      </c>
      <c r="O39" s="2">
        <f t="shared" ref="O39" ca="1" si="660">+(1+iB)^-N39</f>
        <v>0.54839116537669197</v>
      </c>
      <c r="P39" s="2">
        <f t="shared" ref="P39" ca="1" si="661">+(1+iB)^-(N39+0.5)</f>
        <v>0.54232395903282082</v>
      </c>
      <c r="Q39" s="91"/>
      <c r="R39" s="20">
        <f t="shared" si="102"/>
        <v>27</v>
      </c>
      <c r="S39" s="20" t="str">
        <f t="shared" ref="S39" si="662">+IF(xB+R39&lt;=xB+nB,xB+R39,"")</f>
        <v/>
      </c>
      <c r="T39" s="2">
        <f t="shared" ref="T39:U39" ca="1" si="663">IFERROR(VLOOKUP($S39,qx_table,MATCH(T$11,qx_title,0)+sexB),0)</f>
        <v>0</v>
      </c>
      <c r="U39" s="2">
        <f t="shared" ca="1" si="663"/>
        <v>0</v>
      </c>
      <c r="V39" s="300">
        <v>0</v>
      </c>
      <c r="W39" s="8">
        <f t="shared" ref="W39" si="664">IF(R39=0,100000,IF(R39&gt;nB,0,W38*(1-X38)*(1-Y38)))</f>
        <v>0</v>
      </c>
      <c r="X39" s="10">
        <f t="shared" ca="1" si="19"/>
        <v>0</v>
      </c>
      <c r="Y39" s="10">
        <f t="shared" ca="1" si="56"/>
        <v>0</v>
      </c>
      <c r="Z39" s="8">
        <f t="shared" ca="1" si="106"/>
        <v>0</v>
      </c>
      <c r="AA39" s="8">
        <f ca="1">+SUM(Z39:Z$124)</f>
        <v>0</v>
      </c>
      <c r="AB39" s="8">
        <f t="shared" ca="1" si="20"/>
        <v>0</v>
      </c>
      <c r="AC39" s="209">
        <f ca="1">+SUM(AB39:AB$124)*SSSM</f>
        <v>0</v>
      </c>
      <c r="AD39" s="209">
        <f t="shared" ref="AD39" si="665">IF(R39&gt;nB,0,AD38*(1-X38)*(1-Y38)*(1-AE38)*(1-AF38))</f>
        <v>0</v>
      </c>
      <c r="AE39" s="92">
        <f t="shared" ca="1" si="21"/>
        <v>0</v>
      </c>
      <c r="AF39" s="92">
        <f t="shared" ca="1" si="22"/>
        <v>0</v>
      </c>
      <c r="AG39" s="8">
        <f t="shared" ca="1" si="23"/>
        <v>0</v>
      </c>
      <c r="AH39" s="5">
        <f ca="1">+SUM(AG39:AG$124)</f>
        <v>0</v>
      </c>
      <c r="AI39" s="70">
        <f t="shared" ca="1" si="24"/>
        <v>0</v>
      </c>
      <c r="AJ39" s="208">
        <f ca="1">+SUM(AB39:AB$124)*SS50J</f>
        <v>0</v>
      </c>
      <c r="AK39" s="209">
        <f t="shared" ca="1" si="58"/>
        <v>99999.012970709329</v>
      </c>
      <c r="AL39" s="257">
        <f t="shared" ref="AL39" ca="1" si="666">IFERROR(VLOOKUP($S39,qx_table,MATCH(AL$11,qx_title,0)+sexB),0)</f>
        <v>0</v>
      </c>
      <c r="AM39" s="131">
        <f t="shared" ca="1" si="109"/>
        <v>54838.575259526224</v>
      </c>
      <c r="AN39" s="129">
        <f t="shared" ca="1" si="110"/>
        <v>0</v>
      </c>
      <c r="AO39" s="129">
        <f ca="1">SUM(AN39:AN$124)*SSa</f>
        <v>0</v>
      </c>
      <c r="AP39" s="70">
        <f t="shared" ca="1" si="60"/>
        <v>99999.012970709329</v>
      </c>
      <c r="AQ39" s="2">
        <f t="shared" ref="AQ39" ca="1" si="667">IFERROR(VLOOKUP($S39,qx_table,MATCH(AQ$11,qx_title,0)+sexB),0)</f>
        <v>0</v>
      </c>
      <c r="AR39" s="127">
        <f t="shared" ca="1" si="62"/>
        <v>0</v>
      </c>
      <c r="AS39" s="127">
        <f ca="1">SUM(AR39:AR$124)*SSb</f>
        <v>0</v>
      </c>
      <c r="AT39" s="70">
        <f t="shared" ca="1" si="63"/>
        <v>99999.012970709329</v>
      </c>
      <c r="AU39" s="2">
        <f t="shared" ref="AU39" ca="1" si="668">IFERROR(VLOOKUP($S39,qx_table,MATCH(AU$11,qx_title,0)+sexB),0)</f>
        <v>0</v>
      </c>
      <c r="AV39" s="268">
        <f t="shared" ca="1" si="65"/>
        <v>0</v>
      </c>
      <c r="AW39" s="131">
        <f ca="1">SUM(AV39:AV$124)*SSc</f>
        <v>0</v>
      </c>
      <c r="AX39" s="70">
        <f t="shared" ca="1" si="66"/>
        <v>99999.012970709329</v>
      </c>
      <c r="AY39" s="2">
        <f t="shared" ref="AY39" ca="1" si="669">IFERROR(VLOOKUP($S39,qx_table,MATCH(AY$11,qx_title,0)+sexB),0)</f>
        <v>0</v>
      </c>
      <c r="AZ39" s="268">
        <f t="shared" ca="1" si="68"/>
        <v>0</v>
      </c>
      <c r="BA39" s="129">
        <f ca="1">SUM(AZ39:AZ$124)*SSd</f>
        <v>0</v>
      </c>
      <c r="BB39" s="70">
        <f t="shared" ca="1" si="69"/>
        <v>99999.012970709329</v>
      </c>
      <c r="BC39" s="257">
        <f t="shared" ref="BC39" ca="1" si="670">IFERROR(VLOOKUP($S39,qx_table,MATCH(BC$11,qx_title,0)+sexB),0)</f>
        <v>0</v>
      </c>
      <c r="BD39" s="268">
        <f t="shared" ca="1" si="71"/>
        <v>0</v>
      </c>
      <c r="BE39" s="131">
        <f ca="1">SUM(BD39:BD$124)*SSe</f>
        <v>0</v>
      </c>
      <c r="BF39" s="70">
        <f t="shared" ca="1" si="72"/>
        <v>99999.012970709329</v>
      </c>
      <c r="BG39" s="2">
        <f t="shared" ref="BG39" ca="1" si="671">IFERROR(VLOOKUP($S39,qx_table,MATCH(BG$11,qx_title,0)+sexB),0)</f>
        <v>0</v>
      </c>
      <c r="BH39" s="131">
        <f t="shared" ca="1" si="74"/>
        <v>0</v>
      </c>
      <c r="BI39" s="2">
        <f ca="1">SUM(BH39:BH$124)*SSf</f>
        <v>0</v>
      </c>
      <c r="BJ39" s="70">
        <f t="shared" ca="1" si="75"/>
        <v>99999.012970709329</v>
      </c>
      <c r="BK39" s="2">
        <f t="shared" ref="BK39" ca="1" si="672">IFERROR(VLOOKUP($S39,qx_table,MATCH(BK$11,qx_title,0)+sexB),0)</f>
        <v>0</v>
      </c>
      <c r="BL39" s="131">
        <f t="shared" ca="1" si="77"/>
        <v>0</v>
      </c>
      <c r="BM39" s="131">
        <f ca="1">SUM(BL39:BL$124)*SSg</f>
        <v>0</v>
      </c>
      <c r="BN39" s="70">
        <f t="shared" ca="1" si="78"/>
        <v>99999.012970709329</v>
      </c>
      <c r="BO39" s="2">
        <f t="shared" ref="BO39" ca="1" si="673">IFERROR(VLOOKUP($S39,qx_table,MATCH(BO$11,qx_title,0)+sexB),0)</f>
        <v>0</v>
      </c>
      <c r="BP39" s="131">
        <f t="shared" ca="1" si="80"/>
        <v>0</v>
      </c>
      <c r="BQ39" s="131">
        <f ca="1">SUM(BP39:BP$124)*SSh</f>
        <v>0</v>
      </c>
      <c r="BR39" s="70">
        <f t="shared" ca="1" si="81"/>
        <v>99999.012970709329</v>
      </c>
      <c r="BS39" s="2">
        <f t="shared" ref="BS39" ca="1" si="674">IFERROR(VLOOKUP($S39,qx_table,MATCH(BS$11,qx_title,0)+sexB),0)*IF(R39=0,MCi,1)</f>
        <v>0</v>
      </c>
      <c r="BT39" s="131">
        <f t="shared" ca="1" si="83"/>
        <v>0</v>
      </c>
      <c r="BU39" s="131">
        <f ca="1">SUM(BT39:BT$124)*SSi</f>
        <v>0</v>
      </c>
      <c r="BV39" s="70">
        <f t="shared" ca="1" si="84"/>
        <v>99999.012970709329</v>
      </c>
      <c r="BW39" s="2">
        <f t="shared" ref="BW39" ca="1" si="675">IFERROR(VLOOKUP($S39,qx_table,MATCH(BW$11,qx_title,0)+sexB),0)</f>
        <v>0</v>
      </c>
      <c r="BX39" s="131">
        <f t="shared" ca="1" si="86"/>
        <v>0</v>
      </c>
      <c r="BY39" s="131">
        <f ca="1">SUM(BX39:BX$124)*SSj</f>
        <v>0</v>
      </c>
      <c r="BZ39" s="70">
        <f t="shared" ca="1" si="87"/>
        <v>99999.012970709329</v>
      </c>
      <c r="CA39" s="2">
        <f t="shared" ref="CA39" ca="1" si="676">IFERROR(VLOOKUP($S39,qx_table,MATCH(CA$11,qx_title,0)+sexB),0)</f>
        <v>0</v>
      </c>
      <c r="CB39" s="131">
        <f t="shared" ca="1" si="89"/>
        <v>0</v>
      </c>
      <c r="CC39" s="131">
        <f ca="1">SUM(CB39:CB$124)*SSk</f>
        <v>0</v>
      </c>
      <c r="CD39" s="8">
        <f t="shared" ca="1" si="90"/>
        <v>99999.012970709329</v>
      </c>
      <c r="CE39" s="2">
        <f t="shared" ref="CE39" ca="1" si="677">IFERROR(VLOOKUP($S39,qx_table,MATCH(CE$11,qx_title,0)+sexB),0)</f>
        <v>0</v>
      </c>
      <c r="CF39" s="131">
        <f t="shared" ca="1" si="92"/>
        <v>0</v>
      </c>
      <c r="CG39" s="131">
        <f ca="1">SUM(CF39:CF$124)*SSl</f>
        <v>0</v>
      </c>
      <c r="CH39" s="101">
        <f t="shared" ca="1" si="93"/>
        <v>0</v>
      </c>
      <c r="CI39" s="154">
        <f t="shared" ca="1" si="37"/>
        <v>0</v>
      </c>
      <c r="CJ39" s="32">
        <f t="shared" ca="1" si="38"/>
        <v>0</v>
      </c>
      <c r="CK39" s="32">
        <f t="shared" ref="CK39" ca="1" si="678">+MAX(VLOOKUP(xB+$R39,기수표B,$AH$1)-VLOOKUP(xB+mB,기수표B,$AH$1)-11/24*(VLOOKUP(xB+$R39,기수표B,$AG$1)-VLOOKUP(xB+mB,기수표B,$AG$1)),0)</f>
        <v>0</v>
      </c>
      <c r="CL39" s="32">
        <f t="shared" ref="CL39" ca="1" si="679">+MAX(VLOOKUP(xB+$R39,기수표B,$AA$1)-VLOOKUP(xB+mB,기수표B,$AA$1),0)</f>
        <v>0</v>
      </c>
      <c r="CM39" s="32">
        <f t="shared" ref="CM39" ca="1" si="680">+MAX(VLOOKUP(xB+$R39,기수표B,$AA$1)-VLOOKUP(xB+mB,기수표B,$AA$1)-11/24*(VLOOKUP(xB+$R39,기수표B,$AA$1)-VLOOKUP(xB+mB,기수표B,$AA$1)),0)</f>
        <v>0</v>
      </c>
      <c r="CN39" s="32">
        <f t="shared" si="41"/>
        <v>0</v>
      </c>
      <c r="CO39" s="32">
        <f t="shared" ca="1" si="42"/>
        <v>0</v>
      </c>
      <c r="CP39" s="32">
        <f t="shared" ca="1" si="43"/>
        <v>0</v>
      </c>
      <c r="CQ39" s="262">
        <f t="shared" ca="1" si="44"/>
        <v>0</v>
      </c>
      <c r="CR39" s="259" t="e">
        <f t="shared" ca="1" si="45"/>
        <v>#DIV/0!</v>
      </c>
      <c r="CS39" s="32">
        <f t="shared" ca="1" si="46"/>
        <v>1.5999999999999999E-5</v>
      </c>
      <c r="CT39" s="31">
        <f t="shared" ref="CT39" si="681">+MIN(mB,7)</f>
        <v>7</v>
      </c>
      <c r="CV39" s="13">
        <v>27</v>
      </c>
      <c r="CW39" s="477">
        <f t="shared" ca="1" si="48"/>
        <v>480</v>
      </c>
      <c r="CX39" s="477" t="e">
        <f t="shared" ca="1" si="49"/>
        <v>#DIV/0!</v>
      </c>
      <c r="CY39" s="477">
        <f t="shared" ca="1" si="50"/>
        <v>0</v>
      </c>
      <c r="CZ39" s="478">
        <f t="shared" ca="1" si="98"/>
        <v>0</v>
      </c>
    </row>
    <row r="40" spans="1:104">
      <c r="A40" s="59"/>
      <c r="E40" s="60"/>
      <c r="N40" s="5">
        <f t="shared" si="99"/>
        <v>28</v>
      </c>
      <c r="O40" s="2">
        <f t="shared" ref="O40" ca="1" si="682">+(1+iB)^-N40</f>
        <v>0.53632387811901416</v>
      </c>
      <c r="P40" s="2">
        <f t="shared" ref="P40" ca="1" si="683">+(1+iB)^-(N40+0.5)</f>
        <v>0.53039017998319882</v>
      </c>
      <c r="Q40" s="91"/>
      <c r="R40" s="20">
        <f t="shared" si="102"/>
        <v>28</v>
      </c>
      <c r="S40" s="20" t="str">
        <f t="shared" ref="S40" si="684">+IF(xB+R40&lt;=xB+nB,xB+R40,"")</f>
        <v/>
      </c>
      <c r="T40" s="2">
        <f t="shared" ref="T40:U40" ca="1" si="685">IFERROR(VLOOKUP($S40,qx_table,MATCH(T$11,qx_title,0)+sexB),0)</f>
        <v>0</v>
      </c>
      <c r="U40" s="2">
        <f t="shared" ca="1" si="685"/>
        <v>0</v>
      </c>
      <c r="V40" s="300">
        <v>0</v>
      </c>
      <c r="W40" s="8">
        <f t="shared" ref="W40" si="686">IF(R40=0,100000,IF(R40&gt;nB,0,W39*(1-X39)*(1-Y39)))</f>
        <v>0</v>
      </c>
      <c r="X40" s="10">
        <f t="shared" ca="1" si="19"/>
        <v>0</v>
      </c>
      <c r="Y40" s="10">
        <f t="shared" ca="1" si="56"/>
        <v>0</v>
      </c>
      <c r="Z40" s="8">
        <f t="shared" ca="1" si="106"/>
        <v>0</v>
      </c>
      <c r="AA40" s="8">
        <f ca="1">+SUM(Z40:Z$124)</f>
        <v>0</v>
      </c>
      <c r="AB40" s="8">
        <f t="shared" ca="1" si="20"/>
        <v>0</v>
      </c>
      <c r="AC40" s="209">
        <f ca="1">+SUM(AB40:AB$124)*SSSM</f>
        <v>0</v>
      </c>
      <c r="AD40" s="209">
        <f t="shared" ref="AD40" si="687">IF(R40&gt;nB,0,AD39*(1-X39)*(1-Y39)*(1-AE39)*(1-AF39))</f>
        <v>0</v>
      </c>
      <c r="AE40" s="92">
        <f t="shared" ca="1" si="21"/>
        <v>0</v>
      </c>
      <c r="AF40" s="92">
        <f t="shared" ca="1" si="22"/>
        <v>0</v>
      </c>
      <c r="AG40" s="8">
        <f t="shared" ca="1" si="23"/>
        <v>0</v>
      </c>
      <c r="AH40" s="5">
        <f ca="1">+SUM(AG40:AG$124)</f>
        <v>0</v>
      </c>
      <c r="AI40" s="70">
        <f t="shared" ca="1" si="24"/>
        <v>0</v>
      </c>
      <c r="AJ40" s="208">
        <f ca="1">+SUM(AB40:AB$124)*SS50J</f>
        <v>0</v>
      </c>
      <c r="AK40" s="209">
        <f t="shared" ca="1" si="58"/>
        <v>99999.012970709329</v>
      </c>
      <c r="AL40" s="257">
        <f t="shared" ref="AL40" ca="1" si="688">IFERROR(VLOOKUP($S40,qx_table,MATCH(AL$11,qx_title,0)+sexB),0)</f>
        <v>0</v>
      </c>
      <c r="AM40" s="131">
        <f t="shared" ca="1" si="109"/>
        <v>53631.858444524427</v>
      </c>
      <c r="AN40" s="129">
        <f t="shared" ca="1" si="110"/>
        <v>0</v>
      </c>
      <c r="AO40" s="129">
        <f ca="1">SUM(AN40:AN$124)*SSa</f>
        <v>0</v>
      </c>
      <c r="AP40" s="70">
        <f t="shared" ca="1" si="60"/>
        <v>99999.012970709329</v>
      </c>
      <c r="AQ40" s="2">
        <f t="shared" ref="AQ40" ca="1" si="689">IFERROR(VLOOKUP($S40,qx_table,MATCH(AQ$11,qx_title,0)+sexB),0)</f>
        <v>0</v>
      </c>
      <c r="AR40" s="127">
        <f t="shared" ca="1" si="62"/>
        <v>0</v>
      </c>
      <c r="AS40" s="127">
        <f ca="1">SUM(AR40:AR$124)*SSb</f>
        <v>0</v>
      </c>
      <c r="AT40" s="70">
        <f t="shared" ca="1" si="63"/>
        <v>99999.012970709329</v>
      </c>
      <c r="AU40" s="2">
        <f t="shared" ref="AU40" ca="1" si="690">IFERROR(VLOOKUP($S40,qx_table,MATCH(AU$11,qx_title,0)+sexB),0)</f>
        <v>0</v>
      </c>
      <c r="AV40" s="268">
        <f t="shared" ca="1" si="65"/>
        <v>0</v>
      </c>
      <c r="AW40" s="131">
        <f ca="1">SUM(AV40:AV$124)*SSc</f>
        <v>0</v>
      </c>
      <c r="AX40" s="70">
        <f t="shared" ca="1" si="66"/>
        <v>99999.012970709329</v>
      </c>
      <c r="AY40" s="2">
        <f t="shared" ref="AY40" ca="1" si="691">IFERROR(VLOOKUP($S40,qx_table,MATCH(AY$11,qx_title,0)+sexB),0)</f>
        <v>0</v>
      </c>
      <c r="AZ40" s="268">
        <f t="shared" ca="1" si="68"/>
        <v>0</v>
      </c>
      <c r="BA40" s="129">
        <f ca="1">SUM(AZ40:AZ$124)*SSd</f>
        <v>0</v>
      </c>
      <c r="BB40" s="70">
        <f t="shared" ca="1" si="69"/>
        <v>99999.012970709329</v>
      </c>
      <c r="BC40" s="257">
        <f t="shared" ref="BC40" ca="1" si="692">IFERROR(VLOOKUP($S40,qx_table,MATCH(BC$11,qx_title,0)+sexB),0)</f>
        <v>0</v>
      </c>
      <c r="BD40" s="268">
        <f t="shared" ca="1" si="71"/>
        <v>0</v>
      </c>
      <c r="BE40" s="131">
        <f ca="1">SUM(BD40:BD$124)*SSe</f>
        <v>0</v>
      </c>
      <c r="BF40" s="70">
        <f t="shared" ca="1" si="72"/>
        <v>99999.012970709329</v>
      </c>
      <c r="BG40" s="2">
        <f t="shared" ref="BG40" ca="1" si="693">IFERROR(VLOOKUP($S40,qx_table,MATCH(BG$11,qx_title,0)+sexB),0)</f>
        <v>0</v>
      </c>
      <c r="BH40" s="131">
        <f t="shared" ca="1" si="74"/>
        <v>0</v>
      </c>
      <c r="BI40" s="2">
        <f ca="1">SUM(BH40:BH$124)*SSf</f>
        <v>0</v>
      </c>
      <c r="BJ40" s="70">
        <f t="shared" ca="1" si="75"/>
        <v>99999.012970709329</v>
      </c>
      <c r="BK40" s="2">
        <f t="shared" ref="BK40" ca="1" si="694">IFERROR(VLOOKUP($S40,qx_table,MATCH(BK$11,qx_title,0)+sexB),0)</f>
        <v>0</v>
      </c>
      <c r="BL40" s="131">
        <f t="shared" ca="1" si="77"/>
        <v>0</v>
      </c>
      <c r="BM40" s="131">
        <f ca="1">SUM(BL40:BL$124)*SSg</f>
        <v>0</v>
      </c>
      <c r="BN40" s="70">
        <f t="shared" ca="1" si="78"/>
        <v>99999.012970709329</v>
      </c>
      <c r="BO40" s="2">
        <f t="shared" ref="BO40" ca="1" si="695">IFERROR(VLOOKUP($S40,qx_table,MATCH(BO$11,qx_title,0)+sexB),0)</f>
        <v>0</v>
      </c>
      <c r="BP40" s="131">
        <f t="shared" ca="1" si="80"/>
        <v>0</v>
      </c>
      <c r="BQ40" s="131">
        <f ca="1">SUM(BP40:BP$124)*SSh</f>
        <v>0</v>
      </c>
      <c r="BR40" s="70">
        <f t="shared" ca="1" si="81"/>
        <v>99999.012970709329</v>
      </c>
      <c r="BS40" s="2">
        <f t="shared" ref="BS40" ca="1" si="696">IFERROR(VLOOKUP($S40,qx_table,MATCH(BS$11,qx_title,0)+sexB),0)*IF(R40=0,MCi,1)</f>
        <v>0</v>
      </c>
      <c r="BT40" s="131">
        <f t="shared" ca="1" si="83"/>
        <v>0</v>
      </c>
      <c r="BU40" s="131">
        <f ca="1">SUM(BT40:BT$124)*SSi</f>
        <v>0</v>
      </c>
      <c r="BV40" s="70">
        <f t="shared" ca="1" si="84"/>
        <v>99999.012970709329</v>
      </c>
      <c r="BW40" s="2">
        <f t="shared" ref="BW40" ca="1" si="697">IFERROR(VLOOKUP($S40,qx_table,MATCH(BW$11,qx_title,0)+sexB),0)</f>
        <v>0</v>
      </c>
      <c r="BX40" s="131">
        <f t="shared" ca="1" si="86"/>
        <v>0</v>
      </c>
      <c r="BY40" s="131">
        <f ca="1">SUM(BX40:BX$124)*SSj</f>
        <v>0</v>
      </c>
      <c r="BZ40" s="70">
        <f t="shared" ca="1" si="87"/>
        <v>99999.012970709329</v>
      </c>
      <c r="CA40" s="2">
        <f t="shared" ref="CA40" ca="1" si="698">IFERROR(VLOOKUP($S40,qx_table,MATCH(CA$11,qx_title,0)+sexB),0)</f>
        <v>0</v>
      </c>
      <c r="CB40" s="131">
        <f t="shared" ca="1" si="89"/>
        <v>0</v>
      </c>
      <c r="CC40" s="131">
        <f ca="1">SUM(CB40:CB$124)*SSk</f>
        <v>0</v>
      </c>
      <c r="CD40" s="8">
        <f t="shared" ca="1" si="90"/>
        <v>99999.012970709329</v>
      </c>
      <c r="CE40" s="2">
        <f t="shared" ref="CE40" ca="1" si="699">IFERROR(VLOOKUP($S40,qx_table,MATCH(CE$11,qx_title,0)+sexB),0)</f>
        <v>0</v>
      </c>
      <c r="CF40" s="131">
        <f t="shared" ca="1" si="92"/>
        <v>0</v>
      </c>
      <c r="CG40" s="131">
        <f ca="1">SUM(CF40:CF$124)*SSl</f>
        <v>0</v>
      </c>
      <c r="CH40" s="101">
        <f t="shared" ca="1" si="93"/>
        <v>0</v>
      </c>
      <c r="CI40" s="154">
        <f t="shared" ca="1" si="37"/>
        <v>0</v>
      </c>
      <c r="CJ40" s="32">
        <f t="shared" ca="1" si="38"/>
        <v>0</v>
      </c>
      <c r="CK40" s="32">
        <f t="shared" ref="CK40" ca="1" si="700">+MAX(VLOOKUP(xB+$R40,기수표B,$AH$1)-VLOOKUP(xB+mB,기수표B,$AH$1)-11/24*(VLOOKUP(xB+$R40,기수표B,$AG$1)-VLOOKUP(xB+mB,기수표B,$AG$1)),0)</f>
        <v>0</v>
      </c>
      <c r="CL40" s="32">
        <f t="shared" ref="CL40" ca="1" si="701">+MAX(VLOOKUP(xB+$R40,기수표B,$AA$1)-VLOOKUP(xB+mB,기수표B,$AA$1),0)</f>
        <v>0</v>
      </c>
      <c r="CM40" s="32">
        <f t="shared" ref="CM40" ca="1" si="702">+MAX(VLOOKUP(xB+$R40,기수표B,$AA$1)-VLOOKUP(xB+mB,기수표B,$AA$1)-11/24*(VLOOKUP(xB+$R40,기수표B,$AA$1)-VLOOKUP(xB+mB,기수표B,$AA$1)),0)</f>
        <v>0</v>
      </c>
      <c r="CN40" s="32">
        <f t="shared" si="41"/>
        <v>0</v>
      </c>
      <c r="CO40" s="32">
        <f t="shared" ca="1" si="42"/>
        <v>0</v>
      </c>
      <c r="CP40" s="32">
        <f t="shared" ca="1" si="43"/>
        <v>0</v>
      </c>
      <c r="CQ40" s="262">
        <f t="shared" ca="1" si="44"/>
        <v>0</v>
      </c>
      <c r="CR40" s="259" t="e">
        <f t="shared" ca="1" si="45"/>
        <v>#DIV/0!</v>
      </c>
      <c r="CS40" s="32">
        <f t="shared" ca="1" si="46"/>
        <v>1.5999999999999999E-5</v>
      </c>
      <c r="CT40" s="31">
        <f t="shared" ref="CT40" si="703">+MIN(mB,7)</f>
        <v>7</v>
      </c>
      <c r="CV40" s="13">
        <v>28</v>
      </c>
      <c r="CW40" s="477">
        <f t="shared" ca="1" si="48"/>
        <v>480</v>
      </c>
      <c r="CX40" s="477" t="e">
        <f t="shared" ca="1" si="49"/>
        <v>#DIV/0!</v>
      </c>
      <c r="CY40" s="477">
        <f t="shared" ca="1" si="50"/>
        <v>0</v>
      </c>
      <c r="CZ40" s="478">
        <f t="shared" ca="1" si="98"/>
        <v>0</v>
      </c>
    </row>
    <row r="41" spans="1:104">
      <c r="A41" s="59"/>
      <c r="E41" s="60"/>
      <c r="N41" s="5">
        <f t="shared" si="99"/>
        <v>29</v>
      </c>
      <c r="O41" s="2">
        <f t="shared" ref="O41" ca="1" si="704">+(1+iB)^-N41</f>
        <v>0.52452213018974492</v>
      </c>
      <c r="P41" s="2">
        <f t="shared" ref="P41" ca="1" si="705">+(1+iB)^-(N41+0.5)</f>
        <v>0.51871900242855629</v>
      </c>
      <c r="Q41" s="91"/>
      <c r="R41" s="20">
        <f t="shared" si="102"/>
        <v>29</v>
      </c>
      <c r="S41" s="20" t="str">
        <f t="shared" ref="S41" si="706">+IF(xB+R41&lt;=xB+nB,xB+R41,"")</f>
        <v/>
      </c>
      <c r="T41" s="2">
        <f t="shared" ref="T41:U41" ca="1" si="707">IFERROR(VLOOKUP($S41,qx_table,MATCH(T$11,qx_title,0)+sexB),0)</f>
        <v>0</v>
      </c>
      <c r="U41" s="2">
        <f t="shared" ca="1" si="707"/>
        <v>0</v>
      </c>
      <c r="V41" s="300">
        <v>0</v>
      </c>
      <c r="W41" s="8">
        <f t="shared" ref="W41" si="708">IF(R41=0,100000,IF(R41&gt;nB,0,W40*(1-X40)*(1-Y40)))</f>
        <v>0</v>
      </c>
      <c r="X41" s="10">
        <f t="shared" ca="1" si="19"/>
        <v>0</v>
      </c>
      <c r="Y41" s="10">
        <f t="shared" ca="1" si="56"/>
        <v>0</v>
      </c>
      <c r="Z41" s="8">
        <f t="shared" ca="1" si="106"/>
        <v>0</v>
      </c>
      <c r="AA41" s="8">
        <f ca="1">+SUM(Z41:Z$124)</f>
        <v>0</v>
      </c>
      <c r="AB41" s="8">
        <f t="shared" ca="1" si="20"/>
        <v>0</v>
      </c>
      <c r="AC41" s="209">
        <f ca="1">+SUM(AB41:AB$124)*SSSM</f>
        <v>0</v>
      </c>
      <c r="AD41" s="209">
        <f t="shared" ref="AD41" si="709">IF(R41&gt;nB,0,AD40*(1-X40)*(1-Y40)*(1-AE40)*(1-AF40))</f>
        <v>0</v>
      </c>
      <c r="AE41" s="92">
        <f t="shared" ca="1" si="21"/>
        <v>0</v>
      </c>
      <c r="AF41" s="92">
        <f t="shared" ca="1" si="22"/>
        <v>0</v>
      </c>
      <c r="AG41" s="8">
        <f t="shared" ca="1" si="23"/>
        <v>0</v>
      </c>
      <c r="AH41" s="5">
        <f ca="1">+SUM(AG41:AG$124)</f>
        <v>0</v>
      </c>
      <c r="AI41" s="70">
        <f t="shared" ca="1" si="24"/>
        <v>0</v>
      </c>
      <c r="AJ41" s="208">
        <f ca="1">+SUM(AB41:AB$124)*SS50J</f>
        <v>0</v>
      </c>
      <c r="AK41" s="209">
        <f t="shared" ca="1" si="58"/>
        <v>99999.012970709329</v>
      </c>
      <c r="AL41" s="257">
        <f t="shared" ref="AL41" ca="1" si="710">IFERROR(VLOOKUP($S41,qx_table,MATCH(AL$11,qx_title,0)+sexB),0)</f>
        <v>0</v>
      </c>
      <c r="AM41" s="131">
        <f t="shared" ca="1" si="109"/>
        <v>52451.695300268388</v>
      </c>
      <c r="AN41" s="129">
        <f t="shared" ca="1" si="110"/>
        <v>0</v>
      </c>
      <c r="AO41" s="129">
        <f ca="1">SUM(AN41:AN$124)*SSa</f>
        <v>0</v>
      </c>
      <c r="AP41" s="70">
        <f t="shared" ca="1" si="60"/>
        <v>99999.012970709329</v>
      </c>
      <c r="AQ41" s="2">
        <f t="shared" ref="AQ41" ca="1" si="711">IFERROR(VLOOKUP($S41,qx_table,MATCH(AQ$11,qx_title,0)+sexB),0)</f>
        <v>0</v>
      </c>
      <c r="AR41" s="127">
        <f t="shared" ca="1" si="62"/>
        <v>0</v>
      </c>
      <c r="AS41" s="127">
        <f ca="1">SUM(AR41:AR$124)*SSb</f>
        <v>0</v>
      </c>
      <c r="AT41" s="70">
        <f t="shared" ca="1" si="63"/>
        <v>99999.012970709329</v>
      </c>
      <c r="AU41" s="2">
        <f t="shared" ref="AU41" ca="1" si="712">IFERROR(VLOOKUP($S41,qx_table,MATCH(AU$11,qx_title,0)+sexB),0)</f>
        <v>0</v>
      </c>
      <c r="AV41" s="268">
        <f t="shared" ca="1" si="65"/>
        <v>0</v>
      </c>
      <c r="AW41" s="131">
        <f ca="1">SUM(AV41:AV$124)*SSc</f>
        <v>0</v>
      </c>
      <c r="AX41" s="70">
        <f t="shared" ca="1" si="66"/>
        <v>99999.012970709329</v>
      </c>
      <c r="AY41" s="2">
        <f t="shared" ref="AY41" ca="1" si="713">IFERROR(VLOOKUP($S41,qx_table,MATCH(AY$11,qx_title,0)+sexB),0)</f>
        <v>0</v>
      </c>
      <c r="AZ41" s="268">
        <f t="shared" ca="1" si="68"/>
        <v>0</v>
      </c>
      <c r="BA41" s="129">
        <f ca="1">SUM(AZ41:AZ$124)*SSd</f>
        <v>0</v>
      </c>
      <c r="BB41" s="70">
        <f t="shared" ca="1" si="69"/>
        <v>99999.012970709329</v>
      </c>
      <c r="BC41" s="257">
        <f t="shared" ref="BC41" ca="1" si="714">IFERROR(VLOOKUP($S41,qx_table,MATCH(BC$11,qx_title,0)+sexB),0)</f>
        <v>0</v>
      </c>
      <c r="BD41" s="268">
        <f t="shared" ca="1" si="71"/>
        <v>0</v>
      </c>
      <c r="BE41" s="131">
        <f ca="1">SUM(BD41:BD$124)*SSe</f>
        <v>0</v>
      </c>
      <c r="BF41" s="70">
        <f t="shared" ca="1" si="72"/>
        <v>99999.012970709329</v>
      </c>
      <c r="BG41" s="2">
        <f t="shared" ref="BG41" ca="1" si="715">IFERROR(VLOOKUP($S41,qx_table,MATCH(BG$11,qx_title,0)+sexB),0)</f>
        <v>0</v>
      </c>
      <c r="BH41" s="131">
        <f t="shared" ca="1" si="74"/>
        <v>0</v>
      </c>
      <c r="BI41" s="2">
        <f ca="1">SUM(BH41:BH$124)*SSf</f>
        <v>0</v>
      </c>
      <c r="BJ41" s="70">
        <f t="shared" ca="1" si="75"/>
        <v>99999.012970709329</v>
      </c>
      <c r="BK41" s="2">
        <f t="shared" ref="BK41" ca="1" si="716">IFERROR(VLOOKUP($S41,qx_table,MATCH(BK$11,qx_title,0)+sexB),0)</f>
        <v>0</v>
      </c>
      <c r="BL41" s="131">
        <f t="shared" ca="1" si="77"/>
        <v>0</v>
      </c>
      <c r="BM41" s="131">
        <f ca="1">SUM(BL41:BL$124)*SSg</f>
        <v>0</v>
      </c>
      <c r="BN41" s="70">
        <f t="shared" ca="1" si="78"/>
        <v>99999.012970709329</v>
      </c>
      <c r="BO41" s="2">
        <f t="shared" ref="BO41" ca="1" si="717">IFERROR(VLOOKUP($S41,qx_table,MATCH(BO$11,qx_title,0)+sexB),0)</f>
        <v>0</v>
      </c>
      <c r="BP41" s="131">
        <f t="shared" ca="1" si="80"/>
        <v>0</v>
      </c>
      <c r="BQ41" s="131">
        <f ca="1">SUM(BP41:BP$124)*SSh</f>
        <v>0</v>
      </c>
      <c r="BR41" s="70">
        <f t="shared" ca="1" si="81"/>
        <v>99999.012970709329</v>
      </c>
      <c r="BS41" s="2">
        <f t="shared" ref="BS41" ca="1" si="718">IFERROR(VLOOKUP($S41,qx_table,MATCH(BS$11,qx_title,0)+sexB),0)*IF(R41=0,MCi,1)</f>
        <v>0</v>
      </c>
      <c r="BT41" s="131">
        <f t="shared" ca="1" si="83"/>
        <v>0</v>
      </c>
      <c r="BU41" s="131">
        <f ca="1">SUM(BT41:BT$124)*SSi</f>
        <v>0</v>
      </c>
      <c r="BV41" s="70">
        <f t="shared" ca="1" si="84"/>
        <v>99999.012970709329</v>
      </c>
      <c r="BW41" s="2">
        <f t="shared" ref="BW41" ca="1" si="719">IFERROR(VLOOKUP($S41,qx_table,MATCH(BW$11,qx_title,0)+sexB),0)</f>
        <v>0</v>
      </c>
      <c r="BX41" s="131">
        <f t="shared" ca="1" si="86"/>
        <v>0</v>
      </c>
      <c r="BY41" s="131">
        <f ca="1">SUM(BX41:BX$124)*SSj</f>
        <v>0</v>
      </c>
      <c r="BZ41" s="70">
        <f t="shared" ca="1" si="87"/>
        <v>99999.012970709329</v>
      </c>
      <c r="CA41" s="2">
        <f t="shared" ref="CA41" ca="1" si="720">IFERROR(VLOOKUP($S41,qx_table,MATCH(CA$11,qx_title,0)+sexB),0)</f>
        <v>0</v>
      </c>
      <c r="CB41" s="131">
        <f t="shared" ca="1" si="89"/>
        <v>0</v>
      </c>
      <c r="CC41" s="131">
        <f ca="1">SUM(CB41:CB$124)*SSk</f>
        <v>0</v>
      </c>
      <c r="CD41" s="8">
        <f t="shared" ca="1" si="90"/>
        <v>99999.012970709329</v>
      </c>
      <c r="CE41" s="2">
        <f t="shared" ref="CE41" ca="1" si="721">IFERROR(VLOOKUP($S41,qx_table,MATCH(CE$11,qx_title,0)+sexB),0)</f>
        <v>0</v>
      </c>
      <c r="CF41" s="131">
        <f t="shared" ca="1" si="92"/>
        <v>0</v>
      </c>
      <c r="CG41" s="131">
        <f ca="1">SUM(CF41:CF$124)*SSl</f>
        <v>0</v>
      </c>
      <c r="CH41" s="101">
        <f t="shared" ca="1" si="93"/>
        <v>0</v>
      </c>
      <c r="CI41" s="154">
        <f t="shared" ca="1" si="37"/>
        <v>0</v>
      </c>
      <c r="CJ41" s="32">
        <f t="shared" ca="1" si="38"/>
        <v>0</v>
      </c>
      <c r="CK41" s="32">
        <f t="shared" ref="CK41" ca="1" si="722">+MAX(VLOOKUP(xB+$R41,기수표B,$AH$1)-VLOOKUP(xB+mB,기수표B,$AH$1)-11/24*(VLOOKUP(xB+$R41,기수표B,$AG$1)-VLOOKUP(xB+mB,기수표B,$AG$1)),0)</f>
        <v>0</v>
      </c>
      <c r="CL41" s="32">
        <f t="shared" ref="CL41" ca="1" si="723">+MAX(VLOOKUP(xB+$R41,기수표B,$AA$1)-VLOOKUP(xB+mB,기수표B,$AA$1),0)</f>
        <v>0</v>
      </c>
      <c r="CM41" s="32">
        <f t="shared" ref="CM41" ca="1" si="724">+MAX(VLOOKUP(xB+$R41,기수표B,$AA$1)-VLOOKUP(xB+mB,기수표B,$AA$1)-11/24*(VLOOKUP(xB+$R41,기수표B,$AA$1)-VLOOKUP(xB+mB,기수표B,$AA$1)),0)</f>
        <v>0</v>
      </c>
      <c r="CN41" s="32">
        <f t="shared" si="41"/>
        <v>0</v>
      </c>
      <c r="CO41" s="32">
        <f t="shared" ca="1" si="42"/>
        <v>0</v>
      </c>
      <c r="CP41" s="32">
        <f t="shared" ca="1" si="43"/>
        <v>0</v>
      </c>
      <c r="CQ41" s="262">
        <f t="shared" ca="1" si="44"/>
        <v>0</v>
      </c>
      <c r="CR41" s="259" t="e">
        <f t="shared" ca="1" si="45"/>
        <v>#DIV/0!</v>
      </c>
      <c r="CS41" s="32">
        <f t="shared" ca="1" si="46"/>
        <v>1.5999999999999999E-5</v>
      </c>
      <c r="CT41" s="31">
        <f t="shared" ref="CT41" si="725">+MIN(mB,7)</f>
        <v>7</v>
      </c>
      <c r="CV41" s="13">
        <v>29</v>
      </c>
      <c r="CW41" s="477">
        <f t="shared" ca="1" si="48"/>
        <v>480</v>
      </c>
      <c r="CX41" s="477" t="e">
        <f t="shared" ca="1" si="49"/>
        <v>#DIV/0!</v>
      </c>
      <c r="CY41" s="477">
        <f t="shared" ca="1" si="50"/>
        <v>0</v>
      </c>
      <c r="CZ41" s="478">
        <f t="shared" ca="1" si="98"/>
        <v>0</v>
      </c>
    </row>
    <row r="42" spans="1:104">
      <c r="B42" s="269"/>
      <c r="C42" s="140"/>
      <c r="N42" s="5">
        <f t="shared" si="99"/>
        <v>30</v>
      </c>
      <c r="O42" s="2">
        <f t="shared" ref="O42" ca="1" si="726">+(1+iB)^-N42</f>
        <v>0.51298007842517834</v>
      </c>
      <c r="P42" s="2">
        <f t="shared" ref="P42" ca="1" si="727">+(1+iB)^-(N42+0.5)</f>
        <v>0.50730464785188878</v>
      </c>
      <c r="Q42" s="91"/>
      <c r="R42" s="20">
        <f t="shared" si="102"/>
        <v>30</v>
      </c>
      <c r="S42" s="20" t="str">
        <f t="shared" ref="S42" si="728">+IF(xB+R42&lt;=xB+nB,xB+R42,"")</f>
        <v/>
      </c>
      <c r="T42" s="2">
        <f t="shared" ref="T42:U42" ca="1" si="729">IFERROR(VLOOKUP($S42,qx_table,MATCH(T$11,qx_title,0)+sexB),0)</f>
        <v>0</v>
      </c>
      <c r="U42" s="2">
        <f t="shared" ca="1" si="729"/>
        <v>0</v>
      </c>
      <c r="V42" s="300">
        <v>0</v>
      </c>
      <c r="W42" s="8">
        <f t="shared" ref="W42" si="730">IF(R42=0,100000,IF(R42&gt;nB,0,W41*(1-X41)*(1-Y41)))</f>
        <v>0</v>
      </c>
      <c r="X42" s="10">
        <f t="shared" ca="1" si="19"/>
        <v>0</v>
      </c>
      <c r="Y42" s="10">
        <f t="shared" ca="1" si="56"/>
        <v>0</v>
      </c>
      <c r="Z42" s="8">
        <f t="shared" ca="1" si="106"/>
        <v>0</v>
      </c>
      <c r="AA42" s="8">
        <f ca="1">+SUM(Z42:Z$124)</f>
        <v>0</v>
      </c>
      <c r="AB42" s="8">
        <f t="shared" ca="1" si="20"/>
        <v>0</v>
      </c>
      <c r="AC42" s="209">
        <f ca="1">+SUM(AB42:AB$124)*SSSM</f>
        <v>0</v>
      </c>
      <c r="AD42" s="209">
        <f t="shared" ref="AD42" si="731">IF(R42&gt;nB,0,AD41*(1-X41)*(1-Y41)*(1-AE41)*(1-AF41))</f>
        <v>0</v>
      </c>
      <c r="AE42" s="92">
        <f t="shared" ca="1" si="21"/>
        <v>0</v>
      </c>
      <c r="AF42" s="92">
        <f t="shared" ca="1" si="22"/>
        <v>0</v>
      </c>
      <c r="AG42" s="8">
        <f t="shared" ca="1" si="23"/>
        <v>0</v>
      </c>
      <c r="AH42" s="5">
        <f ca="1">+SUM(AG42:AG$124)</f>
        <v>0</v>
      </c>
      <c r="AI42" s="70">
        <f t="shared" ca="1" si="24"/>
        <v>0</v>
      </c>
      <c r="AJ42" s="208">
        <f ca="1">+SUM(AB42:AB$124)*SS50J</f>
        <v>0</v>
      </c>
      <c r="AK42" s="209">
        <f t="shared" ca="1" si="58"/>
        <v>99999.012970709329</v>
      </c>
      <c r="AL42" s="2">
        <f t="shared" ref="AL42" ca="1" si="732">IFERROR(VLOOKUP($S42,qx_table,MATCH(AL$11,qx_title,0)+sexB),0)</f>
        <v>0</v>
      </c>
      <c r="AM42" s="131">
        <f t="shared" ca="1" si="109"/>
        <v>51297.501516154894</v>
      </c>
      <c r="AN42" s="129">
        <f t="shared" ca="1" si="110"/>
        <v>0</v>
      </c>
      <c r="AO42" s="129">
        <f ca="1">SUM(AN42:AN$124)*SSa</f>
        <v>0</v>
      </c>
      <c r="AP42" s="70">
        <f t="shared" ca="1" si="60"/>
        <v>99999.012970709329</v>
      </c>
      <c r="AQ42" s="2">
        <f t="shared" ref="AQ42" ca="1" si="733">IFERROR(VLOOKUP($S42,qx_table,MATCH(AQ$11,qx_title,0)+sexB),0)</f>
        <v>0</v>
      </c>
      <c r="AR42" s="127">
        <f t="shared" ca="1" si="62"/>
        <v>0</v>
      </c>
      <c r="AS42" s="127">
        <f ca="1">SUM(AR42:AR$124)*SSb</f>
        <v>0</v>
      </c>
      <c r="AT42" s="70">
        <f t="shared" ca="1" si="63"/>
        <v>99999.012970709329</v>
      </c>
      <c r="AU42" s="2">
        <f t="shared" ref="AU42" ca="1" si="734">IFERROR(VLOOKUP($S42,qx_table,MATCH(AU$11,qx_title,0)+sexB),0)</f>
        <v>0</v>
      </c>
      <c r="AV42" s="268">
        <f t="shared" ca="1" si="65"/>
        <v>0</v>
      </c>
      <c r="AW42" s="131">
        <f ca="1">SUM(AV42:AV$124)*SSc</f>
        <v>0</v>
      </c>
      <c r="AX42" s="70">
        <f t="shared" ca="1" si="66"/>
        <v>99999.012970709329</v>
      </c>
      <c r="AY42" s="2">
        <f t="shared" ref="AY42" ca="1" si="735">IFERROR(VLOOKUP($S42,qx_table,MATCH(AY$11,qx_title,0)+sexB),0)</f>
        <v>0</v>
      </c>
      <c r="AZ42" s="268">
        <f t="shared" ca="1" si="68"/>
        <v>0</v>
      </c>
      <c r="BA42" s="129">
        <f ca="1">SUM(AZ42:AZ$124)*SSd</f>
        <v>0</v>
      </c>
      <c r="BB42" s="70">
        <f t="shared" ca="1" si="69"/>
        <v>99999.012970709329</v>
      </c>
      <c r="BC42" s="257">
        <f t="shared" ref="BC42" ca="1" si="736">IFERROR(VLOOKUP($S42,qx_table,MATCH(BC$11,qx_title,0)+sexB),0)</f>
        <v>0</v>
      </c>
      <c r="BD42" s="268">
        <f t="shared" ca="1" si="71"/>
        <v>0</v>
      </c>
      <c r="BE42" s="131">
        <f ca="1">SUM(BD42:BD$124)*SSe</f>
        <v>0</v>
      </c>
      <c r="BF42" s="70">
        <f t="shared" ca="1" si="72"/>
        <v>99999.012970709329</v>
      </c>
      <c r="BG42" s="2">
        <f t="shared" ref="BG42" ca="1" si="737">IFERROR(VLOOKUP($S42,qx_table,MATCH(BG$11,qx_title,0)+sexB),0)</f>
        <v>0</v>
      </c>
      <c r="BH42" s="131">
        <f t="shared" ca="1" si="74"/>
        <v>0</v>
      </c>
      <c r="BI42" s="2">
        <f ca="1">SUM(BH42:BH$124)*SSf</f>
        <v>0</v>
      </c>
      <c r="BJ42" s="70">
        <f t="shared" ca="1" si="75"/>
        <v>99999.012970709329</v>
      </c>
      <c r="BK42" s="2">
        <f t="shared" ref="BK42" ca="1" si="738">IFERROR(VLOOKUP($S42,qx_table,MATCH(BK$11,qx_title,0)+sexB),0)</f>
        <v>0</v>
      </c>
      <c r="BL42" s="131">
        <f t="shared" ca="1" si="77"/>
        <v>0</v>
      </c>
      <c r="BM42" s="131">
        <f ca="1">SUM(BL42:BL$124)*SSg</f>
        <v>0</v>
      </c>
      <c r="BN42" s="70">
        <f t="shared" ca="1" si="78"/>
        <v>99999.012970709329</v>
      </c>
      <c r="BO42" s="2">
        <f t="shared" ref="BO42" ca="1" si="739">IFERROR(VLOOKUP($S42,qx_table,MATCH(BO$11,qx_title,0)+sexB),0)</f>
        <v>0</v>
      </c>
      <c r="BP42" s="131">
        <f t="shared" ca="1" si="80"/>
        <v>0</v>
      </c>
      <c r="BQ42" s="131">
        <f ca="1">SUM(BP42:BP$124)*SSh</f>
        <v>0</v>
      </c>
      <c r="BR42" s="70">
        <f t="shared" ca="1" si="81"/>
        <v>99999.012970709329</v>
      </c>
      <c r="BS42" s="2">
        <f t="shared" ref="BS42" ca="1" si="740">IFERROR(VLOOKUP($S42,qx_table,MATCH(BS$11,qx_title,0)+sexB),0)*IF(R42=0,MCi,1)</f>
        <v>0</v>
      </c>
      <c r="BT42" s="131">
        <f t="shared" ca="1" si="83"/>
        <v>0</v>
      </c>
      <c r="BU42" s="131">
        <f ca="1">SUM(BT42:BT$124)*SSi</f>
        <v>0</v>
      </c>
      <c r="BV42" s="70">
        <f t="shared" ca="1" si="84"/>
        <v>99999.012970709329</v>
      </c>
      <c r="BW42" s="2">
        <f t="shared" ref="BW42" ca="1" si="741">IFERROR(VLOOKUP($S42,qx_table,MATCH(BW$11,qx_title,0)+sexB),0)</f>
        <v>0</v>
      </c>
      <c r="BX42" s="131">
        <f t="shared" ca="1" si="86"/>
        <v>0</v>
      </c>
      <c r="BY42" s="131">
        <f ca="1">SUM(BX42:BX$124)*SSj</f>
        <v>0</v>
      </c>
      <c r="BZ42" s="70">
        <f t="shared" ca="1" si="87"/>
        <v>99999.012970709329</v>
      </c>
      <c r="CA42" s="2">
        <f t="shared" ref="CA42" ca="1" si="742">IFERROR(VLOOKUP($S42,qx_table,MATCH(CA$11,qx_title,0)+sexB),0)</f>
        <v>0</v>
      </c>
      <c r="CB42" s="131">
        <f t="shared" ca="1" si="89"/>
        <v>0</v>
      </c>
      <c r="CC42" s="131">
        <f ca="1">SUM(CB42:CB$124)*SSk</f>
        <v>0</v>
      </c>
      <c r="CD42" s="8">
        <f t="shared" ca="1" si="90"/>
        <v>99999.012970709329</v>
      </c>
      <c r="CE42" s="2">
        <f t="shared" ref="CE42" ca="1" si="743">IFERROR(VLOOKUP($S42,qx_table,MATCH(CE$11,qx_title,0)+sexB),0)</f>
        <v>0</v>
      </c>
      <c r="CF42" s="131">
        <f t="shared" ca="1" si="92"/>
        <v>0</v>
      </c>
      <c r="CG42" s="131">
        <f ca="1">SUM(CF42:CF$124)*SSl</f>
        <v>0</v>
      </c>
      <c r="CH42" s="101">
        <f t="shared" ca="1" si="93"/>
        <v>0</v>
      </c>
      <c r="CI42" s="154">
        <f t="shared" ca="1" si="37"/>
        <v>0</v>
      </c>
      <c r="CJ42" s="32">
        <f t="shared" ca="1" si="38"/>
        <v>0</v>
      </c>
      <c r="CK42" s="32">
        <f t="shared" ref="CK42" ca="1" si="744">+MAX(VLOOKUP(xB+$R42,기수표B,$AH$1)-VLOOKUP(xB+mB,기수표B,$AH$1)-11/24*(VLOOKUP(xB+$R42,기수표B,$AG$1)-VLOOKUP(xB+mB,기수표B,$AG$1)),0)</f>
        <v>0</v>
      </c>
      <c r="CL42" s="32">
        <f t="shared" ref="CL42" ca="1" si="745">+MAX(VLOOKUP(xB+$R42,기수표B,$AA$1)-VLOOKUP(xB+mB,기수표B,$AA$1),0)</f>
        <v>0</v>
      </c>
      <c r="CM42" s="32">
        <f t="shared" ref="CM42" ca="1" si="746">+MAX(VLOOKUP(xB+$R42,기수표B,$AA$1)-VLOOKUP(xB+mB,기수표B,$AA$1)-11/24*(VLOOKUP(xB+$R42,기수표B,$AA$1)-VLOOKUP(xB+mB,기수표B,$AA$1)),0)</f>
        <v>0</v>
      </c>
      <c r="CN42" s="32">
        <f t="shared" si="41"/>
        <v>0</v>
      </c>
      <c r="CO42" s="32">
        <f t="shared" ca="1" si="42"/>
        <v>0</v>
      </c>
      <c r="CP42" s="32">
        <f t="shared" ca="1" si="43"/>
        <v>0</v>
      </c>
      <c r="CQ42" s="262">
        <f t="shared" ca="1" si="44"/>
        <v>0</v>
      </c>
      <c r="CR42" s="259" t="e">
        <f t="shared" ca="1" si="45"/>
        <v>#DIV/0!</v>
      </c>
      <c r="CS42" s="32">
        <f t="shared" ca="1" si="46"/>
        <v>1.5999999999999999E-5</v>
      </c>
      <c r="CT42" s="31">
        <f t="shared" ref="CT42" si="747">+MIN(mB,7)</f>
        <v>7</v>
      </c>
      <c r="CV42" s="13">
        <v>30</v>
      </c>
      <c r="CW42" s="477">
        <f t="shared" ca="1" si="48"/>
        <v>480</v>
      </c>
      <c r="CX42" s="477" t="e">
        <f t="shared" ca="1" si="49"/>
        <v>#DIV/0!</v>
      </c>
      <c r="CY42" s="477">
        <f t="shared" ca="1" si="50"/>
        <v>0</v>
      </c>
      <c r="CZ42" s="478">
        <f t="shared" ca="1" si="98"/>
        <v>0</v>
      </c>
    </row>
    <row r="43" spans="1:104">
      <c r="A43" s="59"/>
      <c r="B43" s="270"/>
      <c r="C43" s="271"/>
      <c r="D43" s="60"/>
      <c r="E43" s="60"/>
      <c r="L43" s="16"/>
      <c r="N43" s="5">
        <f t="shared" si="99"/>
        <v>31</v>
      </c>
      <c r="O43" s="2">
        <f t="shared" ref="O43" ca="1" si="748">+(1+iB)^-N43</f>
        <v>0.50169200823978322</v>
      </c>
      <c r="P43" s="2">
        <f t="shared" ref="P43" ca="1" si="749">+(1+iB)^-(N43+0.5)</f>
        <v>0.49614146489182287</v>
      </c>
      <c r="Q43" s="91"/>
      <c r="R43" s="20">
        <f t="shared" si="102"/>
        <v>31</v>
      </c>
      <c r="S43" s="20" t="str">
        <f t="shared" ref="S43" si="750">+IF(xB+R43&lt;=xB+nB,xB+R43,"")</f>
        <v/>
      </c>
      <c r="T43" s="2">
        <f t="shared" ref="T43:U43" ca="1" si="751">IFERROR(VLOOKUP($S43,qx_table,MATCH(T$11,qx_title,0)+sexB),0)</f>
        <v>0</v>
      </c>
      <c r="U43" s="2">
        <f t="shared" ca="1" si="751"/>
        <v>0</v>
      </c>
      <c r="V43" s="300">
        <v>0</v>
      </c>
      <c r="W43" s="8">
        <f t="shared" ref="W43" si="752">IF(R43=0,100000,IF(R43&gt;nB,0,W42*(1-X42)*(1-Y42)))</f>
        <v>0</v>
      </c>
      <c r="X43" s="10">
        <f t="shared" ca="1" si="19"/>
        <v>0</v>
      </c>
      <c r="Y43" s="10">
        <f t="shared" ca="1" si="56"/>
        <v>0</v>
      </c>
      <c r="Z43" s="8">
        <f t="shared" ca="1" si="106"/>
        <v>0</v>
      </c>
      <c r="AA43" s="8">
        <f ca="1">+SUM(Z43:Z$124)</f>
        <v>0</v>
      </c>
      <c r="AB43" s="8">
        <f t="shared" ca="1" si="20"/>
        <v>0</v>
      </c>
      <c r="AC43" s="209">
        <f ca="1">+SUM(AB43:AB$124)*SSSM</f>
        <v>0</v>
      </c>
      <c r="AD43" s="209">
        <f t="shared" ref="AD43" si="753">IF(R43&gt;nB,0,AD42*(1-X42)*(1-Y42)*(1-AE42)*(1-AF42))</f>
        <v>0</v>
      </c>
      <c r="AE43" s="92">
        <f t="shared" ca="1" si="21"/>
        <v>0</v>
      </c>
      <c r="AF43" s="92">
        <f t="shared" ca="1" si="22"/>
        <v>0</v>
      </c>
      <c r="AG43" s="8">
        <f t="shared" ca="1" si="23"/>
        <v>0</v>
      </c>
      <c r="AH43" s="5">
        <f ca="1">+SUM(AG43:AG$124)</f>
        <v>0</v>
      </c>
      <c r="AI43" s="70">
        <f t="shared" ca="1" si="24"/>
        <v>0</v>
      </c>
      <c r="AJ43" s="208">
        <f ca="1">+SUM(AB43:AB$124)*SS50J</f>
        <v>0</v>
      </c>
      <c r="AK43" s="209">
        <f t="shared" ca="1" si="58"/>
        <v>99999.012970709329</v>
      </c>
      <c r="AL43" s="2">
        <f t="shared" ref="AL43" ca="1" si="754">IFERROR(VLOOKUP($S43,qx_table,MATCH(AL$11,qx_title,0)+sexB),0)</f>
        <v>0</v>
      </c>
      <c r="AM43" s="131">
        <f t="shared" ca="1" si="109"/>
        <v>50168.705639271291</v>
      </c>
      <c r="AN43" s="129">
        <f t="shared" ca="1" si="110"/>
        <v>0</v>
      </c>
      <c r="AO43" s="129">
        <f ca="1">SUM(AN43:AN$124)*SSa</f>
        <v>0</v>
      </c>
      <c r="AP43" s="70">
        <f t="shared" ca="1" si="60"/>
        <v>99999.012970709329</v>
      </c>
      <c r="AQ43" s="2">
        <f t="shared" ref="AQ43" ca="1" si="755">IFERROR(VLOOKUP($S43,qx_table,MATCH(AQ$11,qx_title,0)+sexB),0)</f>
        <v>0</v>
      </c>
      <c r="AR43" s="127">
        <f t="shared" ca="1" si="62"/>
        <v>0</v>
      </c>
      <c r="AS43" s="127">
        <f ca="1">SUM(AR43:AR$124)*SSb</f>
        <v>0</v>
      </c>
      <c r="AT43" s="70">
        <f t="shared" ca="1" si="63"/>
        <v>99999.012970709329</v>
      </c>
      <c r="AU43" s="2">
        <f t="shared" ref="AU43" ca="1" si="756">IFERROR(VLOOKUP($S43,qx_table,MATCH(AU$11,qx_title,0)+sexB),0)</f>
        <v>0</v>
      </c>
      <c r="AV43" s="268">
        <f t="shared" ca="1" si="65"/>
        <v>0</v>
      </c>
      <c r="AW43" s="131">
        <f ca="1">SUM(AV43:AV$124)*SSc</f>
        <v>0</v>
      </c>
      <c r="AX43" s="70">
        <f t="shared" ca="1" si="66"/>
        <v>99999.012970709329</v>
      </c>
      <c r="AY43" s="2">
        <f t="shared" ref="AY43" ca="1" si="757">IFERROR(VLOOKUP($S43,qx_table,MATCH(AY$11,qx_title,0)+sexB),0)</f>
        <v>0</v>
      </c>
      <c r="AZ43" s="268">
        <f t="shared" ca="1" si="68"/>
        <v>0</v>
      </c>
      <c r="BA43" s="129">
        <f ca="1">SUM(AZ43:AZ$124)*SSd</f>
        <v>0</v>
      </c>
      <c r="BB43" s="70">
        <f t="shared" ca="1" si="69"/>
        <v>99999.012970709329</v>
      </c>
      <c r="BC43" s="257">
        <f t="shared" ref="BC43" ca="1" si="758">IFERROR(VLOOKUP($S43,qx_table,MATCH(BC$11,qx_title,0)+sexB),0)</f>
        <v>0</v>
      </c>
      <c r="BD43" s="268">
        <f t="shared" ca="1" si="71"/>
        <v>0</v>
      </c>
      <c r="BE43" s="131">
        <f ca="1">SUM(BD43:BD$124)*SSe</f>
        <v>0</v>
      </c>
      <c r="BF43" s="70">
        <f t="shared" ca="1" si="72"/>
        <v>99999.012970709329</v>
      </c>
      <c r="BG43" s="2">
        <f t="shared" ref="BG43" ca="1" si="759">IFERROR(VLOOKUP($S43,qx_table,MATCH(BG$11,qx_title,0)+sexB),0)</f>
        <v>0</v>
      </c>
      <c r="BH43" s="131">
        <f t="shared" ca="1" si="74"/>
        <v>0</v>
      </c>
      <c r="BI43" s="2">
        <f ca="1">SUM(BH43:BH$124)*SSf</f>
        <v>0</v>
      </c>
      <c r="BJ43" s="70">
        <f t="shared" ca="1" si="75"/>
        <v>99999.012970709329</v>
      </c>
      <c r="BK43" s="2">
        <f t="shared" ref="BK43" ca="1" si="760">IFERROR(VLOOKUP($S43,qx_table,MATCH(BK$11,qx_title,0)+sexB),0)</f>
        <v>0</v>
      </c>
      <c r="BL43" s="131">
        <f t="shared" ca="1" si="77"/>
        <v>0</v>
      </c>
      <c r="BM43" s="131">
        <f ca="1">SUM(BL43:BL$124)*SSg</f>
        <v>0</v>
      </c>
      <c r="BN43" s="70">
        <f t="shared" ca="1" si="78"/>
        <v>99999.012970709329</v>
      </c>
      <c r="BO43" s="2">
        <f t="shared" ref="BO43" ca="1" si="761">IFERROR(VLOOKUP($S43,qx_table,MATCH(BO$11,qx_title,0)+sexB),0)</f>
        <v>0</v>
      </c>
      <c r="BP43" s="131">
        <f t="shared" ca="1" si="80"/>
        <v>0</v>
      </c>
      <c r="BQ43" s="131">
        <f ca="1">SUM(BP43:BP$124)*SSh</f>
        <v>0</v>
      </c>
      <c r="BR43" s="70">
        <f t="shared" ca="1" si="81"/>
        <v>99999.012970709329</v>
      </c>
      <c r="BS43" s="2">
        <f t="shared" ref="BS43" ca="1" si="762">IFERROR(VLOOKUP($S43,qx_table,MATCH(BS$11,qx_title,0)+sexB),0)*IF(R43=0,MCi,1)</f>
        <v>0</v>
      </c>
      <c r="BT43" s="131">
        <f t="shared" ca="1" si="83"/>
        <v>0</v>
      </c>
      <c r="BU43" s="131">
        <f ca="1">SUM(BT43:BT$124)*SSi</f>
        <v>0</v>
      </c>
      <c r="BV43" s="70">
        <f t="shared" ca="1" si="84"/>
        <v>99999.012970709329</v>
      </c>
      <c r="BW43" s="2">
        <f t="shared" ref="BW43" ca="1" si="763">IFERROR(VLOOKUP($S43,qx_table,MATCH(BW$11,qx_title,0)+sexB),0)</f>
        <v>0</v>
      </c>
      <c r="BX43" s="131">
        <f t="shared" ca="1" si="86"/>
        <v>0</v>
      </c>
      <c r="BY43" s="131">
        <f ca="1">SUM(BX43:BX$124)*SSj</f>
        <v>0</v>
      </c>
      <c r="BZ43" s="70">
        <f t="shared" ca="1" si="87"/>
        <v>99999.012970709329</v>
      </c>
      <c r="CA43" s="2">
        <f t="shared" ref="CA43" ca="1" si="764">IFERROR(VLOOKUP($S43,qx_table,MATCH(CA$11,qx_title,0)+sexB),0)</f>
        <v>0</v>
      </c>
      <c r="CB43" s="131">
        <f t="shared" ca="1" si="89"/>
        <v>0</v>
      </c>
      <c r="CC43" s="131">
        <f ca="1">SUM(CB43:CB$124)*SSk</f>
        <v>0</v>
      </c>
      <c r="CD43" s="8">
        <f t="shared" ca="1" si="90"/>
        <v>99999.012970709329</v>
      </c>
      <c r="CE43" s="2">
        <f t="shared" ref="CE43" ca="1" si="765">IFERROR(VLOOKUP($S43,qx_table,MATCH(CE$11,qx_title,0)+sexB),0)</f>
        <v>0</v>
      </c>
      <c r="CF43" s="131">
        <f t="shared" ca="1" si="92"/>
        <v>0</v>
      </c>
      <c r="CG43" s="131">
        <f ca="1">SUM(CF43:CF$124)*SSl</f>
        <v>0</v>
      </c>
      <c r="CH43" s="101">
        <f t="shared" ca="1" si="93"/>
        <v>0</v>
      </c>
      <c r="CI43" s="154">
        <f t="shared" ca="1" si="37"/>
        <v>0</v>
      </c>
      <c r="CJ43" s="32">
        <f t="shared" ca="1" si="38"/>
        <v>0</v>
      </c>
      <c r="CK43" s="32">
        <f t="shared" ref="CK43" ca="1" si="766">+MAX(VLOOKUP(xB+$R43,기수표B,$AH$1)-VLOOKUP(xB+mB,기수표B,$AH$1)-11/24*(VLOOKUP(xB+$R43,기수표B,$AG$1)-VLOOKUP(xB+mB,기수표B,$AG$1)),0)</f>
        <v>0</v>
      </c>
      <c r="CL43" s="32">
        <f t="shared" ref="CL43" ca="1" si="767">+MAX(VLOOKUP(xB+$R43,기수표B,$AA$1)-VLOOKUP(xB+mB,기수표B,$AA$1),0)</f>
        <v>0</v>
      </c>
      <c r="CM43" s="32">
        <f t="shared" ref="CM43" ca="1" si="768">+MAX(VLOOKUP(xB+$R43,기수표B,$AA$1)-VLOOKUP(xB+mB,기수표B,$AA$1)-11/24*(VLOOKUP(xB+$R43,기수표B,$AA$1)-VLOOKUP(xB+mB,기수표B,$AA$1)),0)</f>
        <v>0</v>
      </c>
      <c r="CN43" s="32">
        <f t="shared" si="41"/>
        <v>0</v>
      </c>
      <c r="CO43" s="32">
        <f t="shared" ca="1" si="42"/>
        <v>0</v>
      </c>
      <c r="CP43" s="32">
        <f t="shared" ca="1" si="43"/>
        <v>0</v>
      </c>
      <c r="CQ43" s="262">
        <f t="shared" ca="1" si="44"/>
        <v>0</v>
      </c>
      <c r="CR43" s="259" t="e">
        <f t="shared" ca="1" si="45"/>
        <v>#DIV/0!</v>
      </c>
      <c r="CS43" s="32">
        <f t="shared" ca="1" si="46"/>
        <v>1.5999999999999999E-5</v>
      </c>
      <c r="CT43" s="31">
        <f t="shared" ref="CT43" si="769">+MIN(mB,7)</f>
        <v>7</v>
      </c>
      <c r="CV43" s="13">
        <v>31</v>
      </c>
      <c r="CW43" s="477">
        <f t="shared" ca="1" si="48"/>
        <v>480</v>
      </c>
      <c r="CX43" s="477" t="e">
        <f t="shared" ca="1" si="49"/>
        <v>#DIV/0!</v>
      </c>
      <c r="CY43" s="477">
        <f t="shared" ca="1" si="50"/>
        <v>0</v>
      </c>
      <c r="CZ43" s="478">
        <f t="shared" ca="1" si="98"/>
        <v>0</v>
      </c>
    </row>
    <row r="44" spans="1:104">
      <c r="A44" s="59"/>
      <c r="C44" s="272"/>
      <c r="D44" s="60"/>
      <c r="E44" s="61"/>
      <c r="G44" s="13" t="s">
        <v>30</v>
      </c>
      <c r="I44" s="24"/>
      <c r="J44" s="24" t="str">
        <f>+IF(sexB=1," 남자"," 여자")&amp;", "&amp;xB&amp;"세"</f>
        <v xml:space="preserve"> 남자, 8세</v>
      </c>
      <c r="N44" s="5">
        <f t="shared" si="99"/>
        <v>32</v>
      </c>
      <c r="O44" s="2">
        <f t="shared" ref="O44" ca="1" si="770">+(1+iB)^-N44</f>
        <v>0.49065233079685422</v>
      </c>
      <c r="P44" s="2">
        <f t="shared" ref="P44" ca="1" si="771">+(1+iB)^-(N44+0.5)</f>
        <v>0.48522392654456997</v>
      </c>
      <c r="Q44" s="91"/>
      <c r="R44" s="20">
        <f t="shared" si="102"/>
        <v>32</v>
      </c>
      <c r="S44" s="20" t="str">
        <f t="shared" ref="S44" si="772">+IF(xB+R44&lt;=xB+nB,xB+R44,"")</f>
        <v/>
      </c>
      <c r="T44" s="2">
        <f t="shared" ref="T44:U44" ca="1" si="773">IFERROR(VLOOKUP($S44,qx_table,MATCH(T$11,qx_title,0)+sexB),0)</f>
        <v>0</v>
      </c>
      <c r="U44" s="2">
        <f t="shared" ca="1" si="773"/>
        <v>0</v>
      </c>
      <c r="V44" s="300">
        <v>0</v>
      </c>
      <c r="W44" s="8">
        <f t="shared" ref="W44" si="774">IF(R44=0,100000,IF(R44&gt;nB,0,W43*(1-X43)*(1-Y43)))</f>
        <v>0</v>
      </c>
      <c r="X44" s="10">
        <f t="shared" ca="1" si="19"/>
        <v>0</v>
      </c>
      <c r="Y44" s="10">
        <f t="shared" ca="1" si="56"/>
        <v>0</v>
      </c>
      <c r="Z44" s="8">
        <f t="shared" ca="1" si="106"/>
        <v>0</v>
      </c>
      <c r="AA44" s="8">
        <f ca="1">+SUM(Z44:Z$124)</f>
        <v>0</v>
      </c>
      <c r="AB44" s="8">
        <f t="shared" ca="1" si="20"/>
        <v>0</v>
      </c>
      <c r="AC44" s="209">
        <f ca="1">+SUM(AB44:AB$124)*SSSM</f>
        <v>0</v>
      </c>
      <c r="AD44" s="209">
        <f t="shared" ref="AD44" si="775">IF(R44&gt;nB,0,AD43*(1-X43)*(1-Y43)*(1-AE43)*(1-AF43))</f>
        <v>0</v>
      </c>
      <c r="AE44" s="92">
        <f t="shared" ca="1" si="21"/>
        <v>0</v>
      </c>
      <c r="AF44" s="92">
        <f t="shared" ca="1" si="22"/>
        <v>0</v>
      </c>
      <c r="AG44" s="8">
        <f t="shared" ca="1" si="23"/>
        <v>0</v>
      </c>
      <c r="AH44" s="5">
        <f ca="1">+SUM(AG44:AG$124)</f>
        <v>0</v>
      </c>
      <c r="AI44" s="70">
        <f t="shared" ca="1" si="24"/>
        <v>0</v>
      </c>
      <c r="AJ44" s="208">
        <f ca="1">+SUM(AB44:AB$124)*SS50J</f>
        <v>0</v>
      </c>
      <c r="AK44" s="209">
        <f t="shared" ca="1" si="58"/>
        <v>99999.012970709329</v>
      </c>
      <c r="AL44" s="2">
        <f t="shared" ref="AL44" ca="1" si="776">IFERROR(VLOOKUP($S44,qx_table,MATCH(AL$11,qx_title,0)+sexB),0)</f>
        <v>0</v>
      </c>
      <c r="AM44" s="131">
        <f t="shared" ca="1" si="109"/>
        <v>49064.748791463389</v>
      </c>
      <c r="AN44" s="129">
        <f t="shared" ref="AN44:AN75" ca="1" si="777">AK44*AL44*(1-CHOOSE(JRB,1,0)*$V44/2)*$P44*IF(R44=0,MCa,1)</f>
        <v>0</v>
      </c>
      <c r="AO44" s="129">
        <f ca="1">SUM(AN44:AN$124)*SSa</f>
        <v>0</v>
      </c>
      <c r="AP44" s="70">
        <f t="shared" ca="1" si="60"/>
        <v>99999.012970709329</v>
      </c>
      <c r="AQ44" s="2">
        <f t="shared" ref="AQ44" ca="1" si="778">IFERROR(VLOOKUP($S44,qx_table,MATCH(AQ$11,qx_title,0)+sexB),0)</f>
        <v>0</v>
      </c>
      <c r="AR44" s="127">
        <f t="shared" ca="1" si="62"/>
        <v>0</v>
      </c>
      <c r="AS44" s="127">
        <f ca="1">SUM(AR44:AR$124)*SSb</f>
        <v>0</v>
      </c>
      <c r="AT44" s="70">
        <f t="shared" ca="1" si="63"/>
        <v>99999.012970709329</v>
      </c>
      <c r="AU44" s="2">
        <f t="shared" ref="AU44" ca="1" si="779">IFERROR(VLOOKUP($S44,qx_table,MATCH(AU$11,qx_title,0)+sexB),0)</f>
        <v>0</v>
      </c>
      <c r="AV44" s="268">
        <f t="shared" ca="1" si="65"/>
        <v>0</v>
      </c>
      <c r="AW44" s="131">
        <f ca="1">SUM(AV44:AV$124)*SSc</f>
        <v>0</v>
      </c>
      <c r="AX44" s="70">
        <f t="shared" ca="1" si="66"/>
        <v>99999.012970709329</v>
      </c>
      <c r="AY44" s="2">
        <f t="shared" ref="AY44" ca="1" si="780">IFERROR(VLOOKUP($S44,qx_table,MATCH(AY$11,qx_title,0)+sexB),0)</f>
        <v>0</v>
      </c>
      <c r="AZ44" s="268">
        <f t="shared" ca="1" si="68"/>
        <v>0</v>
      </c>
      <c r="BA44" s="129">
        <f ca="1">SUM(AZ44:AZ$124)*SSd</f>
        <v>0</v>
      </c>
      <c r="BB44" s="70">
        <f t="shared" ca="1" si="69"/>
        <v>99999.012970709329</v>
      </c>
      <c r="BC44" s="257">
        <f t="shared" ref="BC44" ca="1" si="781">IFERROR(VLOOKUP($S44,qx_table,MATCH(BC$11,qx_title,0)+sexB),0)</f>
        <v>0</v>
      </c>
      <c r="BD44" s="268">
        <f t="shared" ca="1" si="71"/>
        <v>0</v>
      </c>
      <c r="BE44" s="131">
        <f ca="1">SUM(BD44:BD$124)*SSe</f>
        <v>0</v>
      </c>
      <c r="BF44" s="70">
        <f t="shared" ca="1" si="72"/>
        <v>99999.012970709329</v>
      </c>
      <c r="BG44" s="2">
        <f t="shared" ref="BG44" ca="1" si="782">IFERROR(VLOOKUP($S44,qx_table,MATCH(BG$11,qx_title,0)+sexB),0)</f>
        <v>0</v>
      </c>
      <c r="BH44" s="131">
        <f t="shared" ca="1" si="74"/>
        <v>0</v>
      </c>
      <c r="BI44" s="2">
        <f ca="1">SUM(BH44:BH$124)*SSf</f>
        <v>0</v>
      </c>
      <c r="BJ44" s="70">
        <f t="shared" ca="1" si="75"/>
        <v>99999.012970709329</v>
      </c>
      <c r="BK44" s="2">
        <f t="shared" ref="BK44" ca="1" si="783">IFERROR(VLOOKUP($S44,qx_table,MATCH(BK$11,qx_title,0)+sexB),0)</f>
        <v>0</v>
      </c>
      <c r="BL44" s="131">
        <f t="shared" ca="1" si="77"/>
        <v>0</v>
      </c>
      <c r="BM44" s="131">
        <f ca="1">SUM(BL44:BL$124)*SSg</f>
        <v>0</v>
      </c>
      <c r="BN44" s="70">
        <f t="shared" ca="1" si="78"/>
        <v>99999.012970709329</v>
      </c>
      <c r="BO44" s="2">
        <f t="shared" ref="BO44" ca="1" si="784">IFERROR(VLOOKUP($S44,qx_table,MATCH(BO$11,qx_title,0)+sexB),0)</f>
        <v>0</v>
      </c>
      <c r="BP44" s="131">
        <f t="shared" ca="1" si="80"/>
        <v>0</v>
      </c>
      <c r="BQ44" s="131">
        <f ca="1">SUM(BP44:BP$124)*SSh</f>
        <v>0</v>
      </c>
      <c r="BR44" s="70">
        <f t="shared" ca="1" si="81"/>
        <v>99999.012970709329</v>
      </c>
      <c r="BS44" s="2">
        <f t="shared" ref="BS44" ca="1" si="785">IFERROR(VLOOKUP($S44,qx_table,MATCH(BS$11,qx_title,0)+sexB),0)*IF(R44=0,MCi,1)</f>
        <v>0</v>
      </c>
      <c r="BT44" s="131">
        <f t="shared" ca="1" si="83"/>
        <v>0</v>
      </c>
      <c r="BU44" s="131">
        <f ca="1">SUM(BT44:BT$124)*SSi</f>
        <v>0</v>
      </c>
      <c r="BV44" s="70">
        <f t="shared" ca="1" si="84"/>
        <v>99999.012970709329</v>
      </c>
      <c r="BW44" s="2">
        <f t="shared" ref="BW44" ca="1" si="786">IFERROR(VLOOKUP($S44,qx_table,MATCH(BW$11,qx_title,0)+sexB),0)</f>
        <v>0</v>
      </c>
      <c r="BX44" s="131">
        <f t="shared" ca="1" si="86"/>
        <v>0</v>
      </c>
      <c r="BY44" s="131">
        <f ca="1">SUM(BX44:BX$124)*SSj</f>
        <v>0</v>
      </c>
      <c r="BZ44" s="70">
        <f t="shared" ca="1" si="87"/>
        <v>99999.012970709329</v>
      </c>
      <c r="CA44" s="2">
        <f t="shared" ref="CA44" ca="1" si="787">IFERROR(VLOOKUP($S44,qx_table,MATCH(CA$11,qx_title,0)+sexB),0)</f>
        <v>0</v>
      </c>
      <c r="CB44" s="131">
        <f t="shared" ca="1" si="89"/>
        <v>0</v>
      </c>
      <c r="CC44" s="131">
        <f ca="1">SUM(CB44:CB$124)*SSk</f>
        <v>0</v>
      </c>
      <c r="CD44" s="8">
        <f t="shared" ca="1" si="90"/>
        <v>99999.012970709329</v>
      </c>
      <c r="CE44" s="2">
        <f t="shared" ref="CE44" ca="1" si="788">IFERROR(VLOOKUP($S44,qx_table,MATCH(CE$11,qx_title,0)+sexB),0)</f>
        <v>0</v>
      </c>
      <c r="CF44" s="131">
        <f t="shared" ca="1" si="92"/>
        <v>0</v>
      </c>
      <c r="CG44" s="131">
        <f ca="1">SUM(CF44:CF$124)*SSl</f>
        <v>0</v>
      </c>
      <c r="CH44" s="101">
        <f t="shared" ca="1" si="93"/>
        <v>0</v>
      </c>
      <c r="CI44" s="154">
        <f t="shared" ref="CI44:CI75" ca="1" si="789">MAX((VLOOKUP(xB+R44,기수표B,$CH$1)-VLOOKUP(xB+nB,기수표B,$CH$1)),0)</f>
        <v>0</v>
      </c>
      <c r="CJ44" s="32">
        <f t="shared" ca="1" si="38"/>
        <v>0</v>
      </c>
      <c r="CK44" s="32">
        <f t="shared" ref="CK44" ca="1" si="790">+MAX(VLOOKUP(xB+$R44,기수표B,$AH$1)-VLOOKUP(xB+mB,기수표B,$AH$1)-11/24*(VLOOKUP(xB+$R44,기수표B,$AG$1)-VLOOKUP(xB+mB,기수표B,$AG$1)),0)</f>
        <v>0</v>
      </c>
      <c r="CL44" s="32">
        <f t="shared" ref="CL44" ca="1" si="791">+MAX(VLOOKUP(xB+$R44,기수표B,$AA$1)-VLOOKUP(xB+mB,기수표B,$AA$1),0)</f>
        <v>0</v>
      </c>
      <c r="CM44" s="32">
        <f t="shared" ref="CM44" ca="1" si="792">+MAX(VLOOKUP(xB+$R44,기수표B,$AA$1)-VLOOKUP(xB+mB,기수표B,$AA$1)-11/24*(VLOOKUP(xB+$R44,기수표B,$AA$1)-VLOOKUP(xB+mB,기수표B,$AA$1)),0)</f>
        <v>0</v>
      </c>
      <c r="CN44" s="32">
        <f t="shared" ref="CN44:CN75" si="793">IF(R44&gt;nB,0,VLOOKUP(xB+MAX($R44,mB),기수표B,$AA$1)-VLOOKUP(xB+nB,기수표B,$AA$1))</f>
        <v>0</v>
      </c>
      <c r="CO44" s="32">
        <f t="shared" ref="CO44:CO75" ca="1" si="794">IF(JRB=1,mmB*L$25*$CK44,H$35*$CJ44)</f>
        <v>0</v>
      </c>
      <c r="CP44" s="32">
        <f t="shared" ref="CP44:CP75" ca="1" si="795">ROUND(IF($R44&gt;nB,0,$CR44-MAX($CT44-$R44,0)/$CT44*$C$31),roundB)</f>
        <v>0</v>
      </c>
      <c r="CQ44" s="262">
        <f t="shared" ref="CQ44:CQ75" ca="1" si="796">+IF(JRB=1,CP44,MAX(0,ROUND(IF($R44&gt;nB,0,CR44-MAX($CT44-$R44,0)/$CT44*$C$33),round)))</f>
        <v>0</v>
      </c>
      <c r="CR44" s="259" t="e">
        <f t="shared" ref="CR44:CR75" ca="1" si="797">(CI44+BETAD_SB*$CN44-CO44)/Z44</f>
        <v>#DIV/0!</v>
      </c>
      <c r="CS44" s="32">
        <f t="shared" ref="CS44:CS75" ca="1" si="798">+$H$29*mmB*MIN(R44,mB)</f>
        <v>1.5999999999999999E-5</v>
      </c>
      <c r="CT44" s="31">
        <f t="shared" ref="CT44" si="799">+MIN(mB,7)</f>
        <v>7</v>
      </c>
      <c r="CV44" s="13">
        <v>32</v>
      </c>
      <c r="CW44" s="477">
        <f t="shared" ref="CW44:CW75" ca="1" si="800">$CX$8*MIN(mB,CV44)</f>
        <v>480</v>
      </c>
      <c r="CX44" s="477" t="e">
        <f t="shared" ref="CX44:CX75" ca="1" si="801">ROUND(CR44*S,0)</f>
        <v>#DIV/0!</v>
      </c>
      <c r="CY44" s="477">
        <f t="shared" ref="CY44:CY75" ca="1" si="802">MAX(ROUND(CP44*S,0),0)</f>
        <v>0</v>
      </c>
      <c r="CZ44" s="478">
        <f t="shared" ca="1" si="98"/>
        <v>0</v>
      </c>
    </row>
    <row r="45" spans="1:104">
      <c r="G45" s="51" t="s">
        <v>31</v>
      </c>
      <c r="H45" s="52"/>
      <c r="I45" s="25">
        <f ca="1">+H29*SB</f>
        <v>8</v>
      </c>
      <c r="J45" s="26">
        <f t="shared" ref="J45:J52" ca="1" si="803">+I45/$I$45</f>
        <v>1</v>
      </c>
      <c r="N45" s="5">
        <f t="shared" si="99"/>
        <v>33</v>
      </c>
      <c r="O45" s="2">
        <f t="shared" ref="O45" ca="1" si="804">+(1+iB)^-N45</f>
        <v>0.47985558024142216</v>
      </c>
      <c r="P45" s="2">
        <f t="shared" ref="P45" ca="1" si="805">+(1+iB)^-(N45+0.5)</f>
        <v>0.47454662742745235</v>
      </c>
      <c r="Q45" s="91"/>
      <c r="R45" s="20">
        <f t="shared" si="102"/>
        <v>33</v>
      </c>
      <c r="S45" s="20" t="str">
        <f t="shared" ref="S45" si="806">+IF(xB+R45&lt;=xB+nB,xB+R45,"")</f>
        <v/>
      </c>
      <c r="T45" s="2">
        <f t="shared" ref="T45:U45" ca="1" si="807">IFERROR(VLOOKUP($S45,qx_table,MATCH(T$11,qx_title,0)+sexB),0)</f>
        <v>0</v>
      </c>
      <c r="U45" s="2">
        <f t="shared" ca="1" si="807"/>
        <v>0</v>
      </c>
      <c r="V45" s="300">
        <v>0</v>
      </c>
      <c r="W45" s="8">
        <f t="shared" ref="W45" si="808">IF(R45=0,100000,IF(R45&gt;nB,0,W44*(1-X44)*(1-Y44)))</f>
        <v>0</v>
      </c>
      <c r="X45" s="10">
        <f t="shared" ca="1" si="19"/>
        <v>0</v>
      </c>
      <c r="Y45" s="10">
        <f t="shared" ca="1" si="56"/>
        <v>0</v>
      </c>
      <c r="Z45" s="8">
        <f t="shared" ca="1" si="106"/>
        <v>0</v>
      </c>
      <c r="AA45" s="8">
        <f ca="1">+SUM(Z45:Z$124)</f>
        <v>0</v>
      </c>
      <c r="AB45" s="8">
        <f t="shared" ca="1" si="20"/>
        <v>0</v>
      </c>
      <c r="AC45" s="209">
        <f ca="1">+SUM(AB45:AB$124)*SSSM</f>
        <v>0</v>
      </c>
      <c r="AD45" s="209">
        <f t="shared" ref="AD45" si="809">IF(R45&gt;nB,0,AD44*(1-X44)*(1-Y44)*(1-AE44)*(1-AF44))</f>
        <v>0</v>
      </c>
      <c r="AE45" s="92">
        <f t="shared" ca="1" si="21"/>
        <v>0</v>
      </c>
      <c r="AF45" s="92">
        <f t="shared" ca="1" si="22"/>
        <v>0</v>
      </c>
      <c r="AG45" s="8">
        <f t="shared" ca="1" si="23"/>
        <v>0</v>
      </c>
      <c r="AH45" s="5">
        <f ca="1">+SUM(AG45:AG$124)</f>
        <v>0</v>
      </c>
      <c r="AI45" s="70">
        <f t="shared" ca="1" si="24"/>
        <v>0</v>
      </c>
      <c r="AJ45" s="208">
        <f ca="1">+SUM(AB45:AB$124)*SS50J</f>
        <v>0</v>
      </c>
      <c r="AK45" s="5">
        <f t="shared" ca="1" si="58"/>
        <v>99999.012970709329</v>
      </c>
      <c r="AL45" s="2">
        <f t="shared" ref="AL45" ca="1" si="810">IFERROR(VLOOKUP($S45,qx_table,MATCH(AL$11,qx_title,0)+sexB),0)</f>
        <v>0</v>
      </c>
      <c r="AM45" s="131">
        <f t="shared" ca="1" si="109"/>
        <v>47985.084392629229</v>
      </c>
      <c r="AN45" s="129">
        <f t="shared" ca="1" si="777"/>
        <v>0</v>
      </c>
      <c r="AO45" s="129">
        <f ca="1">SUM(AN45:AN$124)*SSa</f>
        <v>0</v>
      </c>
      <c r="AP45" s="70">
        <f t="shared" ca="1" si="60"/>
        <v>99999.012970709329</v>
      </c>
      <c r="AQ45" s="2">
        <f t="shared" ref="AQ45" ca="1" si="811">IFERROR(VLOOKUP($S45,qx_table,MATCH(AQ$11,qx_title,0)+sexB),0)</f>
        <v>0</v>
      </c>
      <c r="AR45" s="127">
        <f t="shared" ref="AR45:AR76" ca="1" si="812">AP45*AQ45*(1-CHOOSE(JRB,1,0)*$V45/2)*$P45</f>
        <v>0</v>
      </c>
      <c r="AS45" s="127">
        <f ca="1">SUM(AR45:AR$124)*SSb</f>
        <v>0</v>
      </c>
      <c r="AT45" s="70">
        <f t="shared" ca="1" si="63"/>
        <v>99999.012970709329</v>
      </c>
      <c r="AU45" s="2">
        <f t="shared" ref="AU45" ca="1" si="813">IFERROR(VLOOKUP($S45,qx_table,MATCH(AU$11,qx_title,0)+sexB),0)</f>
        <v>0</v>
      </c>
      <c r="AV45" s="268">
        <f t="shared" ref="AV45:AV76" ca="1" si="814">AT45*AU45*(1-CHOOSE(JRB,1,0)*$V45/2)*$P45</f>
        <v>0</v>
      </c>
      <c r="AW45" s="131">
        <f ca="1">SUM(AV45:AV$124)*SSc</f>
        <v>0</v>
      </c>
      <c r="AX45" s="70">
        <f t="shared" ca="1" si="66"/>
        <v>99999.012970709329</v>
      </c>
      <c r="AY45" s="2">
        <f t="shared" ref="AY45" ca="1" si="815">IFERROR(VLOOKUP($S45,qx_table,MATCH(AY$11,qx_title,0)+sexB),0)</f>
        <v>0</v>
      </c>
      <c r="AZ45" s="268">
        <f t="shared" ref="AZ45:AZ76" ca="1" si="816">AX45*AY45*(1-CHOOSE(JRB,1,0)*$V45/2)*$P45</f>
        <v>0</v>
      </c>
      <c r="BA45" s="129">
        <f ca="1">SUM(AZ45:AZ$124)*SSd</f>
        <v>0</v>
      </c>
      <c r="BB45" s="70">
        <f t="shared" ca="1" si="69"/>
        <v>99999.012970709329</v>
      </c>
      <c r="BC45" s="257">
        <f t="shared" ref="BC45" ca="1" si="817">IFERROR(VLOOKUP($S45,qx_table,MATCH(BC$11,qx_title,0)+sexB),0)</f>
        <v>0</v>
      </c>
      <c r="BD45" s="268">
        <f t="shared" ref="BD45:BD76" ca="1" si="818">BB45*BC45*(1-CHOOSE(JRB,1,0)*$V45/2)*$P45</f>
        <v>0</v>
      </c>
      <c r="BE45" s="131">
        <f ca="1">SUM(BD45:BD$124)*SSe</f>
        <v>0</v>
      </c>
      <c r="BF45" s="70">
        <f t="shared" ca="1" si="72"/>
        <v>99999.012970709329</v>
      </c>
      <c r="BG45" s="2">
        <f t="shared" ref="BG45" ca="1" si="819">IFERROR(VLOOKUP($S45,qx_table,MATCH(BG$11,qx_title,0)+sexB),0)</f>
        <v>0</v>
      </c>
      <c r="BH45" s="131">
        <f t="shared" ref="BH45:BH76" ca="1" si="820">BF45*BG45*(1-CHOOSE(JRB,1,0)*$V45/2)*$P45</f>
        <v>0</v>
      </c>
      <c r="BI45" s="2">
        <f ca="1">SUM(BH45:BH$124)*SSf</f>
        <v>0</v>
      </c>
      <c r="BJ45" s="70">
        <f t="shared" ca="1" si="75"/>
        <v>99999.012970709329</v>
      </c>
      <c r="BK45" s="2">
        <f t="shared" ref="BK45" ca="1" si="821">IFERROR(VLOOKUP($S45,qx_table,MATCH(BK$11,qx_title,0)+sexB),0)</f>
        <v>0</v>
      </c>
      <c r="BL45" s="131">
        <f t="shared" ref="BL45:BL76" ca="1" si="822">BJ45*BK45*(1-CHOOSE(JRB,1,0)*$V45/2)*$P45</f>
        <v>0</v>
      </c>
      <c r="BM45" s="131">
        <f ca="1">SUM(BL45:BL$124)*SSg</f>
        <v>0</v>
      </c>
      <c r="BN45" s="70">
        <f t="shared" ca="1" si="78"/>
        <v>99999.012970709329</v>
      </c>
      <c r="BO45" s="2">
        <f t="shared" ref="BO45" ca="1" si="823">IFERROR(VLOOKUP($S45,qx_table,MATCH(BO$11,qx_title,0)+sexB),0)</f>
        <v>0</v>
      </c>
      <c r="BP45" s="131">
        <f t="shared" ref="BP45:BP76" ca="1" si="824">BN45*BO45*(1-CHOOSE(JRB,1,0)*$V45/2)*$P45</f>
        <v>0</v>
      </c>
      <c r="BQ45" s="131">
        <f ca="1">SUM(BP45:BP$124)*SSh</f>
        <v>0</v>
      </c>
      <c r="BR45" s="70">
        <f t="shared" ca="1" si="81"/>
        <v>99999.012970709329</v>
      </c>
      <c r="BS45" s="2">
        <f t="shared" ref="BS45" ca="1" si="825">IFERROR(VLOOKUP($S45,qx_table,MATCH(BS$11,qx_title,0)+sexB),0)*IF(R45=0,MCi,1)</f>
        <v>0</v>
      </c>
      <c r="BT45" s="131">
        <f t="shared" ref="BT45:BT76" ca="1" si="826">BR45*BS45*(1-CHOOSE(JRB,1,0)*$V45/2)*$P45</f>
        <v>0</v>
      </c>
      <c r="BU45" s="131">
        <f ca="1">SUM(BT45:BT$124)*SSi</f>
        <v>0</v>
      </c>
      <c r="BV45" s="70">
        <f t="shared" ca="1" si="84"/>
        <v>99999.012970709329</v>
      </c>
      <c r="BW45" s="2">
        <f t="shared" ref="BW45" ca="1" si="827">IFERROR(VLOOKUP($S45,qx_table,MATCH(BW$11,qx_title,0)+sexB),0)</f>
        <v>0</v>
      </c>
      <c r="BX45" s="131">
        <f t="shared" ref="BX45:BX76" ca="1" si="828">BV45*BW45*(1-CHOOSE(JRB,1,0)*$V45/2)*$P45</f>
        <v>0</v>
      </c>
      <c r="BY45" s="131">
        <f ca="1">SUM(BX45:BX$124)*SSj</f>
        <v>0</v>
      </c>
      <c r="BZ45" s="70">
        <f t="shared" ca="1" si="87"/>
        <v>99999.012970709329</v>
      </c>
      <c r="CA45" s="2">
        <f t="shared" ref="CA45" ca="1" si="829">IFERROR(VLOOKUP($S45,qx_table,MATCH(CA$11,qx_title,0)+sexB),0)</f>
        <v>0</v>
      </c>
      <c r="CB45" s="131">
        <f t="shared" ref="CB45:CB76" ca="1" si="830">BZ45*CA45*(1-CHOOSE(JRB,1,0)*$V45/2)*$P45</f>
        <v>0</v>
      </c>
      <c r="CC45" s="131">
        <f ca="1">SUM(CB45:CB$124)*SSk</f>
        <v>0</v>
      </c>
      <c r="CD45" s="8">
        <f t="shared" ca="1" si="90"/>
        <v>99999.012970709329</v>
      </c>
      <c r="CE45" s="2">
        <f t="shared" ref="CE45" ca="1" si="831">IFERROR(VLOOKUP($S45,qx_table,MATCH(CE$11,qx_title,0)+sexB),0)</f>
        <v>0</v>
      </c>
      <c r="CF45" s="131">
        <f t="shared" ref="CF45:CF76" ca="1" si="832">CD45*CE45*(1-CHOOSE(JRB,1,0)*$V45/2)*$P45</f>
        <v>0</v>
      </c>
      <c r="CG45" s="131">
        <f ca="1">SUM(CF45:CF$124)*SSl</f>
        <v>0</v>
      </c>
      <c r="CH45" s="101">
        <f t="shared" ca="1" si="93"/>
        <v>0</v>
      </c>
      <c r="CI45" s="154">
        <f t="shared" ca="1" si="789"/>
        <v>0</v>
      </c>
      <c r="CJ45" s="32">
        <f t="shared" ca="1" si="38"/>
        <v>0</v>
      </c>
      <c r="CK45" s="32">
        <f t="shared" ref="CK45" ca="1" si="833">+MAX(VLOOKUP(xB+$R45,기수표B,$AH$1)-VLOOKUP(xB+mB,기수표B,$AH$1)-11/24*(VLOOKUP(xB+$R45,기수표B,$AG$1)-VLOOKUP(xB+mB,기수표B,$AG$1)),0)</f>
        <v>0</v>
      </c>
      <c r="CL45" s="32">
        <f t="shared" ref="CL45" ca="1" si="834">+MAX(VLOOKUP(xB+$R45,기수표B,$AA$1)-VLOOKUP(xB+mB,기수표B,$AA$1),0)</f>
        <v>0</v>
      </c>
      <c r="CM45" s="32">
        <f t="shared" ref="CM45" ca="1" si="835">+MAX(VLOOKUP(xB+$R45,기수표B,$AA$1)-VLOOKUP(xB+mB,기수표B,$AA$1)-11/24*(VLOOKUP(xB+$R45,기수표B,$AA$1)-VLOOKUP(xB+mB,기수표B,$AA$1)),0)</f>
        <v>0</v>
      </c>
      <c r="CN45" s="32">
        <f t="shared" si="793"/>
        <v>0</v>
      </c>
      <c r="CO45" s="32">
        <f t="shared" ca="1" si="794"/>
        <v>0</v>
      </c>
      <c r="CP45" s="32">
        <f t="shared" ca="1" si="795"/>
        <v>0</v>
      </c>
      <c r="CQ45" s="262">
        <f t="shared" ca="1" si="796"/>
        <v>0</v>
      </c>
      <c r="CR45" s="259" t="e">
        <f t="shared" ca="1" si="797"/>
        <v>#DIV/0!</v>
      </c>
      <c r="CS45" s="32">
        <f t="shared" ca="1" si="798"/>
        <v>1.5999999999999999E-5</v>
      </c>
      <c r="CT45" s="31">
        <f t="shared" ref="CT45" si="836">+MIN(mB,7)</f>
        <v>7</v>
      </c>
      <c r="CV45" s="13">
        <v>33</v>
      </c>
      <c r="CW45" s="477">
        <f t="shared" ca="1" si="800"/>
        <v>480</v>
      </c>
      <c r="CX45" s="477" t="e">
        <f t="shared" ca="1" si="801"/>
        <v>#DIV/0!</v>
      </c>
      <c r="CY45" s="477">
        <f t="shared" ca="1" si="802"/>
        <v>0</v>
      </c>
      <c r="CZ45" s="478">
        <f t="shared" ca="1" si="98"/>
        <v>0</v>
      </c>
    </row>
    <row r="46" spans="1:104">
      <c r="G46" s="74" t="s">
        <v>32</v>
      </c>
      <c r="H46" s="75"/>
      <c r="I46" s="28">
        <f ca="1">+ROUND($H$24,roundB)*SB</f>
        <v>4</v>
      </c>
      <c r="J46" s="26">
        <f t="shared" ca="1" si="803"/>
        <v>0.5</v>
      </c>
      <c r="N46" s="5">
        <f t="shared" si="99"/>
        <v>34</v>
      </c>
      <c r="O46" s="2">
        <f t="shared" ref="O46" ca="1" si="837">+(1+iB)^-N46</f>
        <v>0.469296410994056</v>
      </c>
      <c r="P46" s="2">
        <f t="shared" ref="P46" ca="1" si="838">+(1+iB)^-(N46+0.5)</f>
        <v>0.4641042811026429</v>
      </c>
      <c r="Q46" s="91"/>
      <c r="R46" s="20">
        <f t="shared" si="102"/>
        <v>34</v>
      </c>
      <c r="S46" s="20" t="str">
        <f t="shared" ref="S46" si="839">+IF(xB+R46&lt;=xB+nB,xB+R46,"")</f>
        <v/>
      </c>
      <c r="T46" s="2">
        <f t="shared" ref="T46:U46" ca="1" si="840">IFERROR(VLOOKUP($S46,qx_table,MATCH(T$11,qx_title,0)+sexB),0)</f>
        <v>0</v>
      </c>
      <c r="U46" s="2">
        <f t="shared" ca="1" si="840"/>
        <v>0</v>
      </c>
      <c r="V46" s="300">
        <v>0</v>
      </c>
      <c r="W46" s="8">
        <f t="shared" ref="W46" si="841">IF(R46=0,100000,IF(R46&gt;nB,0,W45*(1-X45)*(1-Y45)))</f>
        <v>0</v>
      </c>
      <c r="X46" s="10">
        <f t="shared" ca="1" si="19"/>
        <v>0</v>
      </c>
      <c r="Y46" s="10">
        <f t="shared" ca="1" si="56"/>
        <v>0</v>
      </c>
      <c r="Z46" s="8">
        <f t="shared" ca="1" si="106"/>
        <v>0</v>
      </c>
      <c r="AA46" s="8">
        <f ca="1">+SUM(Z46:Z$124)</f>
        <v>0</v>
      </c>
      <c r="AB46" s="8">
        <f t="shared" ca="1" si="20"/>
        <v>0</v>
      </c>
      <c r="AC46" s="209">
        <f ca="1">+SUM(AB46:AB$124)*SSSM</f>
        <v>0</v>
      </c>
      <c r="AD46" s="209">
        <f t="shared" ref="AD46" si="842">IF(R46&gt;nB,0,AD45*(1-X45)*(1-Y45)*(1-AE45)*(1-AF45))</f>
        <v>0</v>
      </c>
      <c r="AE46" s="92">
        <f t="shared" ca="1" si="21"/>
        <v>0</v>
      </c>
      <c r="AF46" s="92">
        <f t="shared" ca="1" si="22"/>
        <v>0</v>
      </c>
      <c r="AG46" s="8">
        <f t="shared" ca="1" si="23"/>
        <v>0</v>
      </c>
      <c r="AH46" s="5">
        <f ca="1">+SUM(AG46:AG$124)</f>
        <v>0</v>
      </c>
      <c r="AI46" s="70">
        <f t="shared" ca="1" si="24"/>
        <v>0</v>
      </c>
      <c r="AJ46" s="208">
        <f ca="1">+SUM(AB46:AB$124)*SS50J</f>
        <v>0</v>
      </c>
      <c r="AK46" s="5">
        <f t="shared" ca="1" si="58"/>
        <v>99999.012970709329</v>
      </c>
      <c r="AL46" s="2">
        <f t="shared" ref="AL46" ca="1" si="843">IFERROR(VLOOKUP($S46,qx_table,MATCH(AL$11,qx_title,0)+sexB),0)</f>
        <v>0</v>
      </c>
      <c r="AM46" s="131">
        <f t="shared" ca="1" si="109"/>
        <v>46929.177890101942</v>
      </c>
      <c r="AN46" s="129">
        <f t="shared" ca="1" si="777"/>
        <v>0</v>
      </c>
      <c r="AO46" s="129">
        <f ca="1">SUM(AN46:AN$124)*SSa</f>
        <v>0</v>
      </c>
      <c r="AP46" s="70">
        <f t="shared" ca="1" si="60"/>
        <v>99999.012970709329</v>
      </c>
      <c r="AQ46" s="2">
        <f t="shared" ref="AQ46" ca="1" si="844">IFERROR(VLOOKUP($S46,qx_table,MATCH(AQ$11,qx_title,0)+sexB),0)</f>
        <v>0</v>
      </c>
      <c r="AR46" s="127">
        <f t="shared" ca="1" si="812"/>
        <v>0</v>
      </c>
      <c r="AS46" s="127">
        <f ca="1">SUM(AR46:AR$124)*SSb</f>
        <v>0</v>
      </c>
      <c r="AT46" s="70">
        <f t="shared" ca="1" si="63"/>
        <v>99999.012970709329</v>
      </c>
      <c r="AU46" s="2">
        <f t="shared" ref="AU46" ca="1" si="845">IFERROR(VLOOKUP($S46,qx_table,MATCH(AU$11,qx_title,0)+sexB),0)</f>
        <v>0</v>
      </c>
      <c r="AV46" s="268">
        <f t="shared" ca="1" si="814"/>
        <v>0</v>
      </c>
      <c r="AW46" s="131">
        <f ca="1">SUM(AV46:AV$124)*SSc</f>
        <v>0</v>
      </c>
      <c r="AX46" s="70">
        <f t="shared" ca="1" si="66"/>
        <v>99999.012970709329</v>
      </c>
      <c r="AY46" s="2">
        <f t="shared" ref="AY46" ca="1" si="846">IFERROR(VLOOKUP($S46,qx_table,MATCH(AY$11,qx_title,0)+sexB),0)</f>
        <v>0</v>
      </c>
      <c r="AZ46" s="268">
        <f t="shared" ca="1" si="816"/>
        <v>0</v>
      </c>
      <c r="BA46" s="129">
        <f ca="1">SUM(AZ46:AZ$124)*SSd</f>
        <v>0</v>
      </c>
      <c r="BB46" s="70">
        <f t="shared" ca="1" si="69"/>
        <v>99999.012970709329</v>
      </c>
      <c r="BC46" s="257">
        <f t="shared" ref="BC46" ca="1" si="847">IFERROR(VLOOKUP($S46,qx_table,MATCH(BC$11,qx_title,0)+sexB),0)</f>
        <v>0</v>
      </c>
      <c r="BD46" s="268">
        <f t="shared" ca="1" si="818"/>
        <v>0</v>
      </c>
      <c r="BE46" s="131">
        <f ca="1">SUM(BD46:BD$124)*SSe</f>
        <v>0</v>
      </c>
      <c r="BF46" s="70">
        <f t="shared" ca="1" si="72"/>
        <v>99999.012970709329</v>
      </c>
      <c r="BG46" s="2">
        <f t="shared" ref="BG46" ca="1" si="848">IFERROR(VLOOKUP($S46,qx_table,MATCH(BG$11,qx_title,0)+sexB),0)</f>
        <v>0</v>
      </c>
      <c r="BH46" s="131">
        <f t="shared" ca="1" si="820"/>
        <v>0</v>
      </c>
      <c r="BI46" s="2">
        <f ca="1">SUM(BH46:BH$124)*SSf</f>
        <v>0</v>
      </c>
      <c r="BJ46" s="70">
        <f t="shared" ca="1" si="75"/>
        <v>99999.012970709329</v>
      </c>
      <c r="BK46" s="2">
        <f t="shared" ref="BK46" ca="1" si="849">IFERROR(VLOOKUP($S46,qx_table,MATCH(BK$11,qx_title,0)+sexB),0)</f>
        <v>0</v>
      </c>
      <c r="BL46" s="131">
        <f t="shared" ca="1" si="822"/>
        <v>0</v>
      </c>
      <c r="BM46" s="131">
        <f ca="1">SUM(BL46:BL$124)*SSg</f>
        <v>0</v>
      </c>
      <c r="BN46" s="70">
        <f t="shared" ca="1" si="78"/>
        <v>99999.012970709329</v>
      </c>
      <c r="BO46" s="2">
        <f t="shared" ref="BO46" ca="1" si="850">IFERROR(VLOOKUP($S46,qx_table,MATCH(BO$11,qx_title,0)+sexB),0)</f>
        <v>0</v>
      </c>
      <c r="BP46" s="131">
        <f t="shared" ca="1" si="824"/>
        <v>0</v>
      </c>
      <c r="BQ46" s="131">
        <f ca="1">SUM(BP46:BP$124)*SSh</f>
        <v>0</v>
      </c>
      <c r="BR46" s="70">
        <f t="shared" ca="1" si="81"/>
        <v>99999.012970709329</v>
      </c>
      <c r="BS46" s="2">
        <f t="shared" ref="BS46" ca="1" si="851">IFERROR(VLOOKUP($S46,qx_table,MATCH(BS$11,qx_title,0)+sexB),0)*IF(R46=0,MCi,1)</f>
        <v>0</v>
      </c>
      <c r="BT46" s="131">
        <f t="shared" ca="1" si="826"/>
        <v>0</v>
      </c>
      <c r="BU46" s="131">
        <f ca="1">SUM(BT46:BT$124)*SSi</f>
        <v>0</v>
      </c>
      <c r="BV46" s="70">
        <f t="shared" ca="1" si="84"/>
        <v>99999.012970709329</v>
      </c>
      <c r="BW46" s="2">
        <f t="shared" ref="BW46" ca="1" si="852">IFERROR(VLOOKUP($S46,qx_table,MATCH(BW$11,qx_title,0)+sexB),0)</f>
        <v>0</v>
      </c>
      <c r="BX46" s="131">
        <f t="shared" ca="1" si="828"/>
        <v>0</v>
      </c>
      <c r="BY46" s="131">
        <f ca="1">SUM(BX46:BX$124)*SSj</f>
        <v>0</v>
      </c>
      <c r="BZ46" s="70">
        <f t="shared" ca="1" si="87"/>
        <v>99999.012970709329</v>
      </c>
      <c r="CA46" s="2">
        <f t="shared" ref="CA46" ca="1" si="853">IFERROR(VLOOKUP($S46,qx_table,MATCH(CA$11,qx_title,0)+sexB),0)</f>
        <v>0</v>
      </c>
      <c r="CB46" s="131">
        <f t="shared" ca="1" si="830"/>
        <v>0</v>
      </c>
      <c r="CC46" s="131">
        <f ca="1">SUM(CB46:CB$124)*SSk</f>
        <v>0</v>
      </c>
      <c r="CD46" s="8">
        <f t="shared" ca="1" si="90"/>
        <v>99999.012970709329</v>
      </c>
      <c r="CE46" s="2">
        <f t="shared" ref="CE46" ca="1" si="854">IFERROR(VLOOKUP($S46,qx_table,MATCH(CE$11,qx_title,0)+sexB),0)</f>
        <v>0</v>
      </c>
      <c r="CF46" s="131">
        <f t="shared" ca="1" si="832"/>
        <v>0</v>
      </c>
      <c r="CG46" s="131">
        <f ca="1">SUM(CF46:CF$124)*SSl</f>
        <v>0</v>
      </c>
      <c r="CH46" s="101">
        <f t="shared" ca="1" si="93"/>
        <v>0</v>
      </c>
      <c r="CI46" s="154">
        <f t="shared" ca="1" si="789"/>
        <v>0</v>
      </c>
      <c r="CJ46" s="32">
        <f t="shared" ca="1" si="38"/>
        <v>0</v>
      </c>
      <c r="CK46" s="32">
        <f t="shared" ref="CK46" ca="1" si="855">+MAX(VLOOKUP(xB+$R46,기수표B,$AH$1)-VLOOKUP(xB+mB,기수표B,$AH$1)-11/24*(VLOOKUP(xB+$R46,기수표B,$AG$1)-VLOOKUP(xB+mB,기수표B,$AG$1)),0)</f>
        <v>0</v>
      </c>
      <c r="CL46" s="32">
        <f t="shared" ref="CL46" ca="1" si="856">+MAX(VLOOKUP(xB+$R46,기수표B,$AA$1)-VLOOKUP(xB+mB,기수표B,$AA$1),0)</f>
        <v>0</v>
      </c>
      <c r="CM46" s="32">
        <f t="shared" ref="CM46" ca="1" si="857">+MAX(VLOOKUP(xB+$R46,기수표B,$AA$1)-VLOOKUP(xB+mB,기수표B,$AA$1)-11/24*(VLOOKUP(xB+$R46,기수표B,$AA$1)-VLOOKUP(xB+mB,기수표B,$AA$1)),0)</f>
        <v>0</v>
      </c>
      <c r="CN46" s="32">
        <f t="shared" si="793"/>
        <v>0</v>
      </c>
      <c r="CO46" s="32">
        <f t="shared" ca="1" si="794"/>
        <v>0</v>
      </c>
      <c r="CP46" s="32">
        <f t="shared" ca="1" si="795"/>
        <v>0</v>
      </c>
      <c r="CQ46" s="262">
        <f t="shared" ca="1" si="796"/>
        <v>0</v>
      </c>
      <c r="CR46" s="259" t="e">
        <f t="shared" ca="1" si="797"/>
        <v>#DIV/0!</v>
      </c>
      <c r="CS46" s="32">
        <f t="shared" ca="1" si="798"/>
        <v>1.5999999999999999E-5</v>
      </c>
      <c r="CT46" s="31">
        <f t="shared" ref="CT46" si="858">+MIN(mB,7)</f>
        <v>7</v>
      </c>
      <c r="CV46" s="13">
        <v>34</v>
      </c>
      <c r="CW46" s="477">
        <f t="shared" ca="1" si="800"/>
        <v>480</v>
      </c>
      <c r="CX46" s="477" t="e">
        <f t="shared" ca="1" si="801"/>
        <v>#DIV/0!</v>
      </c>
      <c r="CY46" s="477">
        <f t="shared" ca="1" si="802"/>
        <v>0</v>
      </c>
      <c r="CZ46" s="478">
        <f t="shared" ca="1" si="98"/>
        <v>0</v>
      </c>
    </row>
    <row r="47" spans="1:104">
      <c r="G47" s="53"/>
      <c r="H47" s="54" t="s">
        <v>34</v>
      </c>
      <c r="I47" s="16">
        <f ca="1">+I46-I48</f>
        <v>0</v>
      </c>
      <c r="J47" s="29">
        <f t="shared" ca="1" si="803"/>
        <v>0</v>
      </c>
      <c r="K47" s="16"/>
      <c r="N47" s="5">
        <f t="shared" si="99"/>
        <v>35</v>
      </c>
      <c r="O47" s="2">
        <f t="shared" ref="O47" ca="1" si="859">+(1+iB)^-N47</f>
        <v>0.45896959510421126</v>
      </c>
      <c r="P47" s="2">
        <f t="shared" ref="P47" ca="1" si="860">+(1+iB)^-(N47+0.5)</f>
        <v>0.45389171745979745</v>
      </c>
      <c r="Q47" s="91"/>
      <c r="R47" s="20">
        <f t="shared" si="102"/>
        <v>35</v>
      </c>
      <c r="S47" s="20" t="str">
        <f t="shared" ref="S47" si="861">+IF(xB+R47&lt;=xB+nB,xB+R47,"")</f>
        <v/>
      </c>
      <c r="T47" s="2">
        <f t="shared" ref="T47:U47" ca="1" si="862">IFERROR(VLOOKUP($S47,qx_table,MATCH(T$11,qx_title,0)+sexB),0)</f>
        <v>0</v>
      </c>
      <c r="U47" s="2">
        <f t="shared" ca="1" si="862"/>
        <v>0</v>
      </c>
      <c r="V47" s="300">
        <v>0</v>
      </c>
      <c r="W47" s="8">
        <f t="shared" ref="W47" si="863">IF(R47=0,100000,IF(R47&gt;nB,0,W46*(1-X46)*(1-Y46)))</f>
        <v>0</v>
      </c>
      <c r="X47" s="10">
        <f t="shared" ca="1" si="19"/>
        <v>0</v>
      </c>
      <c r="Y47" s="10">
        <f t="shared" ca="1" si="56"/>
        <v>0</v>
      </c>
      <c r="Z47" s="8">
        <f t="shared" ca="1" si="106"/>
        <v>0</v>
      </c>
      <c r="AA47" s="8">
        <f ca="1">+SUM(Z47:Z$124)</f>
        <v>0</v>
      </c>
      <c r="AB47" s="8">
        <f t="shared" ca="1" si="20"/>
        <v>0</v>
      </c>
      <c r="AC47" s="209">
        <f ca="1">+SUM(AB47:AB$124)*SSSM</f>
        <v>0</v>
      </c>
      <c r="AD47" s="209">
        <f t="shared" ref="AD47" si="864">IF(R47&gt;nB,0,AD46*(1-X46)*(1-Y46)*(1-AE46)*(1-AF46))</f>
        <v>0</v>
      </c>
      <c r="AE47" s="92">
        <f t="shared" ca="1" si="21"/>
        <v>0</v>
      </c>
      <c r="AF47" s="92">
        <f t="shared" ca="1" si="22"/>
        <v>0</v>
      </c>
      <c r="AG47" s="8">
        <f t="shared" ca="1" si="23"/>
        <v>0</v>
      </c>
      <c r="AH47" s="5">
        <f ca="1">+SUM(AG47:AG$124)</f>
        <v>0</v>
      </c>
      <c r="AI47" s="70">
        <f t="shared" ca="1" si="24"/>
        <v>0</v>
      </c>
      <c r="AJ47" s="208">
        <f ca="1">+SUM(AB47:AB$124)*SS50J</f>
        <v>0</v>
      </c>
      <c r="AK47" s="5">
        <f t="shared" ca="1" si="58"/>
        <v>99999.012970709329</v>
      </c>
      <c r="AL47" s="2">
        <f t="shared" ref="AL47" ca="1" si="865">IFERROR(VLOOKUP($S47,qx_table,MATCH(AL$11,qx_title,0)+sexB),0)</f>
        <v>0</v>
      </c>
      <c r="AM47" s="131">
        <f t="shared" ca="1" si="109"/>
        <v>45896.506493987232</v>
      </c>
      <c r="AN47" s="129">
        <f t="shared" ca="1" si="777"/>
        <v>0</v>
      </c>
      <c r="AO47" s="129">
        <f ca="1">SUM(AN47:AN$124)*SSa</f>
        <v>0</v>
      </c>
      <c r="AP47" s="70">
        <f t="shared" ca="1" si="60"/>
        <v>99999.012970709329</v>
      </c>
      <c r="AQ47" s="2">
        <f t="shared" ref="AQ47" ca="1" si="866">IFERROR(VLOOKUP($S47,qx_table,MATCH(AQ$11,qx_title,0)+sexB),0)</f>
        <v>0</v>
      </c>
      <c r="AR47" s="127">
        <f t="shared" ca="1" si="812"/>
        <v>0</v>
      </c>
      <c r="AS47" s="127">
        <f ca="1">SUM(AR47:AR$124)*SSb</f>
        <v>0</v>
      </c>
      <c r="AT47" s="70">
        <f t="shared" ca="1" si="63"/>
        <v>99999.012970709329</v>
      </c>
      <c r="AU47" s="2">
        <f t="shared" ref="AU47" ca="1" si="867">IFERROR(VLOOKUP($S47,qx_table,MATCH(AU$11,qx_title,0)+sexB),0)</f>
        <v>0</v>
      </c>
      <c r="AV47" s="268">
        <f t="shared" ca="1" si="814"/>
        <v>0</v>
      </c>
      <c r="AW47" s="131">
        <f ca="1">SUM(AV47:AV$124)*SSc</f>
        <v>0</v>
      </c>
      <c r="AX47" s="70">
        <f t="shared" ca="1" si="66"/>
        <v>99999.012970709329</v>
      </c>
      <c r="AY47" s="2">
        <f t="shared" ref="AY47" ca="1" si="868">IFERROR(VLOOKUP($S47,qx_table,MATCH(AY$11,qx_title,0)+sexB),0)</f>
        <v>0</v>
      </c>
      <c r="AZ47" s="268">
        <f t="shared" ca="1" si="816"/>
        <v>0</v>
      </c>
      <c r="BA47" s="129">
        <f ca="1">SUM(AZ47:AZ$124)*SSd</f>
        <v>0</v>
      </c>
      <c r="BB47" s="70">
        <f t="shared" ca="1" si="69"/>
        <v>99999.012970709329</v>
      </c>
      <c r="BC47" s="257">
        <f t="shared" ref="BC47" ca="1" si="869">IFERROR(VLOOKUP($S47,qx_table,MATCH(BC$11,qx_title,0)+sexB),0)</f>
        <v>0</v>
      </c>
      <c r="BD47" s="268">
        <f t="shared" ca="1" si="818"/>
        <v>0</v>
      </c>
      <c r="BE47" s="131">
        <f ca="1">SUM(BD47:BD$124)*SSe</f>
        <v>0</v>
      </c>
      <c r="BF47" s="70">
        <f t="shared" ca="1" si="72"/>
        <v>99999.012970709329</v>
      </c>
      <c r="BG47" s="2">
        <f t="shared" ref="BG47" ca="1" si="870">IFERROR(VLOOKUP($S47,qx_table,MATCH(BG$11,qx_title,0)+sexB),0)</f>
        <v>0</v>
      </c>
      <c r="BH47" s="131">
        <f t="shared" ca="1" si="820"/>
        <v>0</v>
      </c>
      <c r="BI47" s="2">
        <f ca="1">SUM(BH47:BH$124)*SSf</f>
        <v>0</v>
      </c>
      <c r="BJ47" s="70">
        <f t="shared" ca="1" si="75"/>
        <v>99999.012970709329</v>
      </c>
      <c r="BK47" s="2">
        <f t="shared" ref="BK47" ca="1" si="871">IFERROR(VLOOKUP($S47,qx_table,MATCH(BK$11,qx_title,0)+sexB),0)</f>
        <v>0</v>
      </c>
      <c r="BL47" s="131">
        <f t="shared" ca="1" si="822"/>
        <v>0</v>
      </c>
      <c r="BM47" s="131">
        <f ca="1">SUM(BL47:BL$124)*SSg</f>
        <v>0</v>
      </c>
      <c r="BN47" s="70">
        <f t="shared" ca="1" si="78"/>
        <v>99999.012970709329</v>
      </c>
      <c r="BO47" s="2">
        <f t="shared" ref="BO47" ca="1" si="872">IFERROR(VLOOKUP($S47,qx_table,MATCH(BO$11,qx_title,0)+sexB),0)</f>
        <v>0</v>
      </c>
      <c r="BP47" s="131">
        <f t="shared" ca="1" si="824"/>
        <v>0</v>
      </c>
      <c r="BQ47" s="131">
        <f ca="1">SUM(BP47:BP$124)*SSh</f>
        <v>0</v>
      </c>
      <c r="BR47" s="70">
        <f t="shared" ca="1" si="81"/>
        <v>99999.012970709329</v>
      </c>
      <c r="BS47" s="2">
        <f t="shared" ref="BS47" ca="1" si="873">IFERROR(VLOOKUP($S47,qx_table,MATCH(BS$11,qx_title,0)+sexB),0)*IF(R47=0,MCi,1)</f>
        <v>0</v>
      </c>
      <c r="BT47" s="131">
        <f t="shared" ca="1" si="826"/>
        <v>0</v>
      </c>
      <c r="BU47" s="131">
        <f ca="1">SUM(BT47:BT$124)*SSi</f>
        <v>0</v>
      </c>
      <c r="BV47" s="70">
        <f t="shared" ca="1" si="84"/>
        <v>99999.012970709329</v>
      </c>
      <c r="BW47" s="2">
        <f t="shared" ref="BW47" ca="1" si="874">IFERROR(VLOOKUP($S47,qx_table,MATCH(BW$11,qx_title,0)+sexB),0)</f>
        <v>0</v>
      </c>
      <c r="BX47" s="131">
        <f t="shared" ca="1" si="828"/>
        <v>0</v>
      </c>
      <c r="BY47" s="131">
        <f ca="1">SUM(BX47:BX$124)*SSj</f>
        <v>0</v>
      </c>
      <c r="BZ47" s="70">
        <f t="shared" ca="1" si="87"/>
        <v>99999.012970709329</v>
      </c>
      <c r="CA47" s="2">
        <f t="shared" ref="CA47" ca="1" si="875">IFERROR(VLOOKUP($S47,qx_table,MATCH(CA$11,qx_title,0)+sexB),0)</f>
        <v>0</v>
      </c>
      <c r="CB47" s="131">
        <f t="shared" ca="1" si="830"/>
        <v>0</v>
      </c>
      <c r="CC47" s="131">
        <f ca="1">SUM(CB47:CB$124)*SSk</f>
        <v>0</v>
      </c>
      <c r="CD47" s="8">
        <f t="shared" ca="1" si="90"/>
        <v>99999.012970709329</v>
      </c>
      <c r="CE47" s="2">
        <f t="shared" ref="CE47" ca="1" si="876">IFERROR(VLOOKUP($S47,qx_table,MATCH(CE$11,qx_title,0)+sexB),0)</f>
        <v>0</v>
      </c>
      <c r="CF47" s="131">
        <f t="shared" ca="1" si="832"/>
        <v>0</v>
      </c>
      <c r="CG47" s="131">
        <f ca="1">SUM(CF47:CF$124)*SSl</f>
        <v>0</v>
      </c>
      <c r="CH47" s="101">
        <f t="shared" ca="1" si="93"/>
        <v>0</v>
      </c>
      <c r="CI47" s="154">
        <f t="shared" ca="1" si="789"/>
        <v>0</v>
      </c>
      <c r="CJ47" s="32">
        <f t="shared" ca="1" si="38"/>
        <v>0</v>
      </c>
      <c r="CK47" s="32">
        <f t="shared" ref="CK47" ca="1" si="877">+MAX(VLOOKUP(xB+$R47,기수표B,$AH$1)-VLOOKUP(xB+mB,기수표B,$AH$1)-11/24*(VLOOKUP(xB+$R47,기수표B,$AG$1)-VLOOKUP(xB+mB,기수표B,$AG$1)),0)</f>
        <v>0</v>
      </c>
      <c r="CL47" s="32">
        <f t="shared" ref="CL47" ca="1" si="878">+MAX(VLOOKUP(xB+$R47,기수표B,$AA$1)-VLOOKUP(xB+mB,기수표B,$AA$1),0)</f>
        <v>0</v>
      </c>
      <c r="CM47" s="32">
        <f t="shared" ref="CM47" ca="1" si="879">+MAX(VLOOKUP(xB+$R47,기수표B,$AA$1)-VLOOKUP(xB+mB,기수표B,$AA$1)-11/24*(VLOOKUP(xB+$R47,기수표B,$AA$1)-VLOOKUP(xB+mB,기수표B,$AA$1)),0)</f>
        <v>0</v>
      </c>
      <c r="CN47" s="32">
        <f t="shared" si="793"/>
        <v>0</v>
      </c>
      <c r="CO47" s="32">
        <f t="shared" ca="1" si="794"/>
        <v>0</v>
      </c>
      <c r="CP47" s="32">
        <f t="shared" ca="1" si="795"/>
        <v>0</v>
      </c>
      <c r="CQ47" s="262">
        <f t="shared" ca="1" si="796"/>
        <v>0</v>
      </c>
      <c r="CR47" s="259" t="e">
        <f t="shared" ca="1" si="797"/>
        <v>#DIV/0!</v>
      </c>
      <c r="CS47" s="32">
        <f t="shared" ca="1" si="798"/>
        <v>1.5999999999999999E-5</v>
      </c>
      <c r="CT47" s="31">
        <f t="shared" ref="CT47" si="880">+MIN(mB,7)</f>
        <v>7</v>
      </c>
      <c r="CV47" s="13">
        <v>35</v>
      </c>
      <c r="CW47" s="477">
        <f t="shared" ca="1" si="800"/>
        <v>480</v>
      </c>
      <c r="CX47" s="477" t="e">
        <f t="shared" ca="1" si="801"/>
        <v>#DIV/0!</v>
      </c>
      <c r="CY47" s="477">
        <f t="shared" ca="1" si="802"/>
        <v>0</v>
      </c>
      <c r="CZ47" s="478">
        <f t="shared" ca="1" si="98"/>
        <v>0</v>
      </c>
    </row>
    <row r="48" spans="1:104">
      <c r="G48" s="55"/>
      <c r="H48" s="56" t="s">
        <v>35</v>
      </c>
      <c r="I48" s="25">
        <f ca="1">+I46</f>
        <v>4</v>
      </c>
      <c r="J48" s="30">
        <f t="shared" ca="1" si="803"/>
        <v>0.5</v>
      </c>
      <c r="N48" s="5">
        <f t="shared" si="99"/>
        <v>36</v>
      </c>
      <c r="O48" s="2">
        <f t="shared" ref="O48" ca="1" si="881">+(1+iB)^-N48</f>
        <v>0.44887001966182033</v>
      </c>
      <c r="P48" s="2">
        <f t="shared" ref="P48" ca="1" si="882">+(1+iB)^-(N48+0.5)</f>
        <v>0.44390388015628113</v>
      </c>
      <c r="Q48" s="91"/>
      <c r="R48" s="20">
        <f t="shared" si="102"/>
        <v>36</v>
      </c>
      <c r="S48" s="20" t="str">
        <f t="shared" ref="S48" si="883">+IF(xB+R48&lt;=xB+nB,xB+R48,"")</f>
        <v/>
      </c>
      <c r="T48" s="2">
        <f t="shared" ref="T48:U48" ca="1" si="884">IFERROR(VLOOKUP($S48,qx_table,MATCH(T$11,qx_title,0)+sexB),0)</f>
        <v>0</v>
      </c>
      <c r="U48" s="2">
        <f t="shared" ca="1" si="884"/>
        <v>0</v>
      </c>
      <c r="V48" s="300">
        <v>0</v>
      </c>
      <c r="W48" s="8">
        <f t="shared" ref="W48" si="885">IF(R48=0,100000,IF(R48&gt;nB,0,W47*(1-X47)*(1-Y47)))</f>
        <v>0</v>
      </c>
      <c r="X48" s="10">
        <f t="shared" ca="1" si="19"/>
        <v>0</v>
      </c>
      <c r="Y48" s="10">
        <f t="shared" ca="1" si="56"/>
        <v>0</v>
      </c>
      <c r="Z48" s="8">
        <f t="shared" ca="1" si="106"/>
        <v>0</v>
      </c>
      <c r="AA48" s="8">
        <f ca="1">+SUM(Z48:Z$124)</f>
        <v>0</v>
      </c>
      <c r="AB48" s="8">
        <f t="shared" ca="1" si="20"/>
        <v>0</v>
      </c>
      <c r="AC48" s="209">
        <f ca="1">+SUM(AB48:AB$124)*SSSM</f>
        <v>0</v>
      </c>
      <c r="AD48" s="209">
        <f t="shared" ref="AD48" si="886">IF(R48&gt;nB,0,AD47*(1-X47)*(1-Y47)*(1-AE47)*(1-AF47))</f>
        <v>0</v>
      </c>
      <c r="AE48" s="92">
        <f t="shared" ca="1" si="21"/>
        <v>0</v>
      </c>
      <c r="AF48" s="92">
        <f t="shared" ca="1" si="22"/>
        <v>0</v>
      </c>
      <c r="AG48" s="8">
        <f t="shared" ca="1" si="23"/>
        <v>0</v>
      </c>
      <c r="AH48" s="5">
        <f ca="1">+SUM(AG48:AG$124)</f>
        <v>0</v>
      </c>
      <c r="AI48" s="70">
        <f t="shared" ca="1" si="24"/>
        <v>0</v>
      </c>
      <c r="AJ48" s="208">
        <f ca="1">+SUM(AB48:AB$124)*SS50J</f>
        <v>0</v>
      </c>
      <c r="AK48" s="5">
        <f t="shared" ca="1" si="58"/>
        <v>99999.012970709329</v>
      </c>
      <c r="AL48" s="2">
        <f t="shared" ref="AL48" ca="1" si="887">IFERROR(VLOOKUP($S48,qx_table,MATCH(AL$11,qx_title,0)+sexB),0)</f>
        <v>0</v>
      </c>
      <c r="AM48" s="131">
        <f t="shared" ca="1" si="109"/>
        <v>44886.558918324925</v>
      </c>
      <c r="AN48" s="129">
        <f t="shared" ca="1" si="777"/>
        <v>0</v>
      </c>
      <c r="AO48" s="129">
        <f ca="1">SUM(AN48:AN$124)*SSa</f>
        <v>0</v>
      </c>
      <c r="AP48" s="70">
        <f t="shared" ca="1" si="60"/>
        <v>99999.012970709329</v>
      </c>
      <c r="AQ48" s="2">
        <f t="shared" ref="AQ48" ca="1" si="888">IFERROR(VLOOKUP($S48,qx_table,MATCH(AQ$11,qx_title,0)+sexB),0)</f>
        <v>0</v>
      </c>
      <c r="AR48" s="127">
        <f t="shared" ca="1" si="812"/>
        <v>0</v>
      </c>
      <c r="AS48" s="127">
        <f ca="1">SUM(AR48:AR$124)*SSb</f>
        <v>0</v>
      </c>
      <c r="AT48" s="70">
        <f t="shared" ca="1" si="63"/>
        <v>99999.012970709329</v>
      </c>
      <c r="AU48" s="2">
        <f t="shared" ref="AU48" ca="1" si="889">IFERROR(VLOOKUP($S48,qx_table,MATCH(AU$11,qx_title,0)+sexB),0)</f>
        <v>0</v>
      </c>
      <c r="AV48" s="268">
        <f t="shared" ca="1" si="814"/>
        <v>0</v>
      </c>
      <c r="AW48" s="131">
        <f ca="1">SUM(AV48:AV$124)*SSc</f>
        <v>0</v>
      </c>
      <c r="AX48" s="70">
        <f t="shared" ca="1" si="66"/>
        <v>99999.012970709329</v>
      </c>
      <c r="AY48" s="2">
        <f t="shared" ref="AY48" ca="1" si="890">IFERROR(VLOOKUP($S48,qx_table,MATCH(AY$11,qx_title,0)+sexB),0)</f>
        <v>0</v>
      </c>
      <c r="AZ48" s="268">
        <f t="shared" ca="1" si="816"/>
        <v>0</v>
      </c>
      <c r="BA48" s="129">
        <f ca="1">SUM(AZ48:AZ$124)*SSd</f>
        <v>0</v>
      </c>
      <c r="BB48" s="70">
        <f t="shared" ca="1" si="69"/>
        <v>99999.012970709329</v>
      </c>
      <c r="BC48" s="257">
        <f t="shared" ref="BC48" ca="1" si="891">IFERROR(VLOOKUP($S48,qx_table,MATCH(BC$11,qx_title,0)+sexB),0)</f>
        <v>0</v>
      </c>
      <c r="BD48" s="268">
        <f t="shared" ca="1" si="818"/>
        <v>0</v>
      </c>
      <c r="BE48" s="131">
        <f ca="1">SUM(BD48:BD$124)*SSe</f>
        <v>0</v>
      </c>
      <c r="BF48" s="70">
        <f t="shared" ca="1" si="72"/>
        <v>99999.012970709329</v>
      </c>
      <c r="BG48" s="2">
        <f t="shared" ref="BG48" ca="1" si="892">IFERROR(VLOOKUP($S48,qx_table,MATCH(BG$11,qx_title,0)+sexB),0)</f>
        <v>0</v>
      </c>
      <c r="BH48" s="131">
        <f t="shared" ca="1" si="820"/>
        <v>0</v>
      </c>
      <c r="BI48" s="2">
        <f ca="1">SUM(BH48:BH$124)*SSf</f>
        <v>0</v>
      </c>
      <c r="BJ48" s="70">
        <f t="shared" ca="1" si="75"/>
        <v>99999.012970709329</v>
      </c>
      <c r="BK48" s="2">
        <f t="shared" ref="BK48" ca="1" si="893">IFERROR(VLOOKUP($S48,qx_table,MATCH(BK$11,qx_title,0)+sexB),0)</f>
        <v>0</v>
      </c>
      <c r="BL48" s="131">
        <f t="shared" ca="1" si="822"/>
        <v>0</v>
      </c>
      <c r="BM48" s="131">
        <f ca="1">SUM(BL48:BL$124)*SSg</f>
        <v>0</v>
      </c>
      <c r="BN48" s="70">
        <f t="shared" ca="1" si="78"/>
        <v>99999.012970709329</v>
      </c>
      <c r="BO48" s="2">
        <f t="shared" ref="BO48" ca="1" si="894">IFERROR(VLOOKUP($S48,qx_table,MATCH(BO$11,qx_title,0)+sexB),0)</f>
        <v>0</v>
      </c>
      <c r="BP48" s="131">
        <f t="shared" ca="1" si="824"/>
        <v>0</v>
      </c>
      <c r="BQ48" s="131">
        <f ca="1">SUM(BP48:BP$124)*SSh</f>
        <v>0</v>
      </c>
      <c r="BR48" s="70">
        <f t="shared" ca="1" si="81"/>
        <v>99999.012970709329</v>
      </c>
      <c r="BS48" s="2">
        <f t="shared" ref="BS48" ca="1" si="895">IFERROR(VLOOKUP($S48,qx_table,MATCH(BS$11,qx_title,0)+sexB),0)*IF(R48=0,MCi,1)</f>
        <v>0</v>
      </c>
      <c r="BT48" s="131">
        <f t="shared" ca="1" si="826"/>
        <v>0</v>
      </c>
      <c r="BU48" s="131">
        <f ca="1">SUM(BT48:BT$124)*SSi</f>
        <v>0</v>
      </c>
      <c r="BV48" s="70">
        <f t="shared" ca="1" si="84"/>
        <v>99999.012970709329</v>
      </c>
      <c r="BW48" s="2">
        <f t="shared" ref="BW48" ca="1" si="896">IFERROR(VLOOKUP($S48,qx_table,MATCH(BW$11,qx_title,0)+sexB),0)</f>
        <v>0</v>
      </c>
      <c r="BX48" s="131">
        <f t="shared" ca="1" si="828"/>
        <v>0</v>
      </c>
      <c r="BY48" s="131">
        <f ca="1">SUM(BX48:BX$124)*SSj</f>
        <v>0</v>
      </c>
      <c r="BZ48" s="70">
        <f t="shared" ca="1" si="87"/>
        <v>99999.012970709329</v>
      </c>
      <c r="CA48" s="2">
        <f t="shared" ref="CA48" ca="1" si="897">IFERROR(VLOOKUP($S48,qx_table,MATCH(CA$11,qx_title,0)+sexB),0)</f>
        <v>0</v>
      </c>
      <c r="CB48" s="131">
        <f t="shared" ca="1" si="830"/>
        <v>0</v>
      </c>
      <c r="CC48" s="131">
        <f ca="1">SUM(CB48:CB$124)*SSk</f>
        <v>0</v>
      </c>
      <c r="CD48" s="8">
        <f t="shared" ca="1" si="90"/>
        <v>99999.012970709329</v>
      </c>
      <c r="CE48" s="2">
        <f t="shared" ref="CE48" ca="1" si="898">IFERROR(VLOOKUP($S48,qx_table,MATCH(CE$11,qx_title,0)+sexB),0)</f>
        <v>0</v>
      </c>
      <c r="CF48" s="131">
        <f t="shared" ca="1" si="832"/>
        <v>0</v>
      </c>
      <c r="CG48" s="131">
        <f ca="1">SUM(CF48:CF$124)*SSl</f>
        <v>0</v>
      </c>
      <c r="CH48" s="101">
        <f t="shared" ca="1" si="93"/>
        <v>0</v>
      </c>
      <c r="CI48" s="154">
        <f t="shared" ca="1" si="789"/>
        <v>0</v>
      </c>
      <c r="CJ48" s="32">
        <f t="shared" ca="1" si="38"/>
        <v>0</v>
      </c>
      <c r="CK48" s="32">
        <f t="shared" ref="CK48" ca="1" si="899">+MAX(VLOOKUP(xB+$R48,기수표B,$AH$1)-VLOOKUP(xB+mB,기수표B,$AH$1)-11/24*(VLOOKUP(xB+$R48,기수표B,$AG$1)-VLOOKUP(xB+mB,기수표B,$AG$1)),0)</f>
        <v>0</v>
      </c>
      <c r="CL48" s="32">
        <f t="shared" ref="CL48" ca="1" si="900">+MAX(VLOOKUP(xB+$R48,기수표B,$AA$1)-VLOOKUP(xB+mB,기수표B,$AA$1),0)</f>
        <v>0</v>
      </c>
      <c r="CM48" s="32">
        <f t="shared" ref="CM48" ca="1" si="901">+MAX(VLOOKUP(xB+$R48,기수표B,$AA$1)-VLOOKUP(xB+mB,기수표B,$AA$1)-11/24*(VLOOKUP(xB+$R48,기수표B,$AA$1)-VLOOKUP(xB+mB,기수표B,$AA$1)),0)</f>
        <v>0</v>
      </c>
      <c r="CN48" s="32">
        <f t="shared" si="793"/>
        <v>0</v>
      </c>
      <c r="CO48" s="32">
        <f t="shared" ca="1" si="794"/>
        <v>0</v>
      </c>
      <c r="CP48" s="32">
        <f t="shared" ca="1" si="795"/>
        <v>0</v>
      </c>
      <c r="CQ48" s="262">
        <f t="shared" ca="1" si="796"/>
        <v>0</v>
      </c>
      <c r="CR48" s="259" t="e">
        <f t="shared" ca="1" si="797"/>
        <v>#DIV/0!</v>
      </c>
      <c r="CS48" s="32">
        <f t="shared" ca="1" si="798"/>
        <v>1.5999999999999999E-5</v>
      </c>
      <c r="CT48" s="31">
        <f t="shared" ref="CT48" si="902">+MIN(mB,7)</f>
        <v>7</v>
      </c>
      <c r="CV48" s="13">
        <v>36</v>
      </c>
      <c r="CW48" s="477">
        <f t="shared" ca="1" si="800"/>
        <v>480</v>
      </c>
      <c r="CX48" s="477" t="e">
        <f t="shared" ca="1" si="801"/>
        <v>#DIV/0!</v>
      </c>
      <c r="CY48" s="477">
        <f t="shared" ca="1" si="802"/>
        <v>0</v>
      </c>
      <c r="CZ48" s="478">
        <f t="shared" ca="1" si="98"/>
        <v>0</v>
      </c>
    </row>
    <row r="49" spans="2:104">
      <c r="G49" s="74" t="s">
        <v>33</v>
      </c>
      <c r="H49" s="75"/>
      <c r="I49" s="25">
        <f ca="1">+SUM(I50:I52)</f>
        <v>4</v>
      </c>
      <c r="J49" s="30">
        <f t="shared" ca="1" si="803"/>
        <v>0.5</v>
      </c>
      <c r="N49" s="5">
        <f t="shared" si="99"/>
        <v>37</v>
      </c>
      <c r="O49" s="2">
        <f t="shared" ref="O49" ca="1" si="903">+(1+iB)^-N49</f>
        <v>0.43899268426583893</v>
      </c>
      <c r="P49" s="2">
        <f t="shared" ref="P49" ca="1" si="904">+(1+iB)^-(N49+0.5)</f>
        <v>0.43413582411372242</v>
      </c>
      <c r="Q49" s="91"/>
      <c r="R49" s="20">
        <f t="shared" si="102"/>
        <v>37</v>
      </c>
      <c r="S49" s="20" t="str">
        <f t="shared" ref="S49" si="905">+IF(xB+R49&lt;=xB+nB,xB+R49,"")</f>
        <v/>
      </c>
      <c r="T49" s="2">
        <f t="shared" ref="T49:U49" ca="1" si="906">IFERROR(VLOOKUP($S49,qx_table,MATCH(T$11,qx_title,0)+sexB),0)</f>
        <v>0</v>
      </c>
      <c r="U49" s="2">
        <f t="shared" ca="1" si="906"/>
        <v>0</v>
      </c>
      <c r="V49" s="300">
        <v>0</v>
      </c>
      <c r="W49" s="8">
        <f t="shared" ref="W49" si="907">IF(R49=0,100000,IF(R49&gt;nB,0,W48*(1-X48)*(1-Y48)))</f>
        <v>0</v>
      </c>
      <c r="X49" s="10">
        <f t="shared" ca="1" si="19"/>
        <v>0</v>
      </c>
      <c r="Y49" s="10">
        <f t="shared" ca="1" si="56"/>
        <v>0</v>
      </c>
      <c r="Z49" s="8">
        <f t="shared" ca="1" si="106"/>
        <v>0</v>
      </c>
      <c r="AA49" s="8">
        <f ca="1">+SUM(Z49:Z$124)</f>
        <v>0</v>
      </c>
      <c r="AB49" s="8">
        <f t="shared" ca="1" si="20"/>
        <v>0</v>
      </c>
      <c r="AC49" s="209">
        <f ca="1">+SUM(AB49:AB$124)*SSSM</f>
        <v>0</v>
      </c>
      <c r="AD49" s="209">
        <f t="shared" ref="AD49" si="908">IF(R49&gt;nB,0,AD48*(1-X48)*(1-Y48)*(1-AE48)*(1-AF48))</f>
        <v>0</v>
      </c>
      <c r="AE49" s="92">
        <f t="shared" ca="1" si="21"/>
        <v>0</v>
      </c>
      <c r="AF49" s="92">
        <f t="shared" ca="1" si="22"/>
        <v>0</v>
      </c>
      <c r="AG49" s="8">
        <f t="shared" ca="1" si="23"/>
        <v>0</v>
      </c>
      <c r="AH49" s="5">
        <f ca="1">+SUM(AG49:AG$124)</f>
        <v>0</v>
      </c>
      <c r="AI49" s="70">
        <f t="shared" ca="1" si="24"/>
        <v>0</v>
      </c>
      <c r="AJ49" s="208">
        <f ca="1">+SUM(AB49:AB$124)*SS50J</f>
        <v>0</v>
      </c>
      <c r="AK49" s="5">
        <f t="shared" ca="1" si="58"/>
        <v>99999.012970709329</v>
      </c>
      <c r="AL49" s="2">
        <f t="shared" ref="AL49" ca="1" si="909">IFERROR(VLOOKUP($S49,qx_table,MATCH(AL$11,qx_title,0)+sexB),0)</f>
        <v>0</v>
      </c>
      <c r="AM49" s="131">
        <f t="shared" ca="1" si="109"/>
        <v>43898.835127946135</v>
      </c>
      <c r="AN49" s="129">
        <f t="shared" ca="1" si="777"/>
        <v>0</v>
      </c>
      <c r="AO49" s="129">
        <f ca="1">SUM(AN49:AN$124)*SSa</f>
        <v>0</v>
      </c>
      <c r="AP49" s="70">
        <f t="shared" ca="1" si="60"/>
        <v>99999.012970709329</v>
      </c>
      <c r="AQ49" s="2">
        <f t="shared" ref="AQ49" ca="1" si="910">IFERROR(VLOOKUP($S49,qx_table,MATCH(AQ$11,qx_title,0)+sexB),0)</f>
        <v>0</v>
      </c>
      <c r="AR49" s="127">
        <f t="shared" ca="1" si="812"/>
        <v>0</v>
      </c>
      <c r="AS49" s="127">
        <f ca="1">SUM(AR49:AR$124)*SSb</f>
        <v>0</v>
      </c>
      <c r="AT49" s="70">
        <f t="shared" ca="1" si="63"/>
        <v>99999.012970709329</v>
      </c>
      <c r="AU49" s="2">
        <f t="shared" ref="AU49" ca="1" si="911">IFERROR(VLOOKUP($S49,qx_table,MATCH(AU$11,qx_title,0)+sexB),0)</f>
        <v>0</v>
      </c>
      <c r="AV49" s="268">
        <f t="shared" ca="1" si="814"/>
        <v>0</v>
      </c>
      <c r="AW49" s="131">
        <f ca="1">SUM(AV49:AV$124)*SSc</f>
        <v>0</v>
      </c>
      <c r="AX49" s="70">
        <f t="shared" ca="1" si="66"/>
        <v>99999.012970709329</v>
      </c>
      <c r="AY49" s="2">
        <f t="shared" ref="AY49" ca="1" si="912">IFERROR(VLOOKUP($S49,qx_table,MATCH(AY$11,qx_title,0)+sexB),0)</f>
        <v>0</v>
      </c>
      <c r="AZ49" s="268">
        <f t="shared" ca="1" si="816"/>
        <v>0</v>
      </c>
      <c r="BA49" s="129">
        <f ca="1">SUM(AZ49:AZ$124)*SSd</f>
        <v>0</v>
      </c>
      <c r="BB49" s="70">
        <f t="shared" ca="1" si="69"/>
        <v>99999.012970709329</v>
      </c>
      <c r="BC49" s="257">
        <f t="shared" ref="BC49" ca="1" si="913">IFERROR(VLOOKUP($S49,qx_table,MATCH(BC$11,qx_title,0)+sexB),0)</f>
        <v>0</v>
      </c>
      <c r="BD49" s="268">
        <f t="shared" ca="1" si="818"/>
        <v>0</v>
      </c>
      <c r="BE49" s="131">
        <f ca="1">SUM(BD49:BD$124)*SSe</f>
        <v>0</v>
      </c>
      <c r="BF49" s="70">
        <f t="shared" ca="1" si="72"/>
        <v>99999.012970709329</v>
      </c>
      <c r="BG49" s="2">
        <f t="shared" ref="BG49" ca="1" si="914">IFERROR(VLOOKUP($S49,qx_table,MATCH(BG$11,qx_title,0)+sexB),0)</f>
        <v>0</v>
      </c>
      <c r="BH49" s="131">
        <f t="shared" ca="1" si="820"/>
        <v>0</v>
      </c>
      <c r="BI49" s="2">
        <f ca="1">SUM(BH49:BH$124)*SSf</f>
        <v>0</v>
      </c>
      <c r="BJ49" s="70">
        <f t="shared" ca="1" si="75"/>
        <v>99999.012970709329</v>
      </c>
      <c r="BK49" s="2">
        <f t="shared" ref="BK49" ca="1" si="915">IFERROR(VLOOKUP($S49,qx_table,MATCH(BK$11,qx_title,0)+sexB),0)</f>
        <v>0</v>
      </c>
      <c r="BL49" s="131">
        <f t="shared" ca="1" si="822"/>
        <v>0</v>
      </c>
      <c r="BM49" s="131">
        <f ca="1">SUM(BL49:BL$124)*SSg</f>
        <v>0</v>
      </c>
      <c r="BN49" s="70">
        <f t="shared" ca="1" si="78"/>
        <v>99999.012970709329</v>
      </c>
      <c r="BO49" s="2">
        <f t="shared" ref="BO49" ca="1" si="916">IFERROR(VLOOKUP($S49,qx_table,MATCH(BO$11,qx_title,0)+sexB),0)</f>
        <v>0</v>
      </c>
      <c r="BP49" s="131">
        <f t="shared" ca="1" si="824"/>
        <v>0</v>
      </c>
      <c r="BQ49" s="131">
        <f ca="1">SUM(BP49:BP$124)*SSh</f>
        <v>0</v>
      </c>
      <c r="BR49" s="70">
        <f t="shared" ca="1" si="81"/>
        <v>99999.012970709329</v>
      </c>
      <c r="BS49" s="2">
        <f t="shared" ref="BS49" ca="1" si="917">IFERROR(VLOOKUP($S49,qx_table,MATCH(BS$11,qx_title,0)+sexB),0)*IF(R49=0,MCi,1)</f>
        <v>0</v>
      </c>
      <c r="BT49" s="131">
        <f t="shared" ca="1" si="826"/>
        <v>0</v>
      </c>
      <c r="BU49" s="131">
        <f ca="1">SUM(BT49:BT$124)*SSi</f>
        <v>0</v>
      </c>
      <c r="BV49" s="70">
        <f t="shared" ca="1" si="84"/>
        <v>99999.012970709329</v>
      </c>
      <c r="BW49" s="2">
        <f t="shared" ref="BW49" ca="1" si="918">IFERROR(VLOOKUP($S49,qx_table,MATCH(BW$11,qx_title,0)+sexB),0)</f>
        <v>0</v>
      </c>
      <c r="BX49" s="131">
        <f t="shared" ca="1" si="828"/>
        <v>0</v>
      </c>
      <c r="BY49" s="131">
        <f ca="1">SUM(BX49:BX$124)*SSj</f>
        <v>0</v>
      </c>
      <c r="BZ49" s="70">
        <f t="shared" ca="1" si="87"/>
        <v>99999.012970709329</v>
      </c>
      <c r="CA49" s="2">
        <f t="shared" ref="CA49" ca="1" si="919">IFERROR(VLOOKUP($S49,qx_table,MATCH(CA$11,qx_title,0)+sexB),0)</f>
        <v>0</v>
      </c>
      <c r="CB49" s="131">
        <f t="shared" ca="1" si="830"/>
        <v>0</v>
      </c>
      <c r="CC49" s="131">
        <f ca="1">SUM(CB49:CB$124)*SSk</f>
        <v>0</v>
      </c>
      <c r="CD49" s="8">
        <f t="shared" ca="1" si="90"/>
        <v>99999.012970709329</v>
      </c>
      <c r="CE49" s="2">
        <f t="shared" ref="CE49" ca="1" si="920">IFERROR(VLOOKUP($S49,qx_table,MATCH(CE$11,qx_title,0)+sexB),0)</f>
        <v>0</v>
      </c>
      <c r="CF49" s="131">
        <f t="shared" ca="1" si="832"/>
        <v>0</v>
      </c>
      <c r="CG49" s="131">
        <f ca="1">SUM(CF49:CF$124)*SSl</f>
        <v>0</v>
      </c>
      <c r="CH49" s="101">
        <f t="shared" ca="1" si="93"/>
        <v>0</v>
      </c>
      <c r="CI49" s="154">
        <f t="shared" ca="1" si="789"/>
        <v>0</v>
      </c>
      <c r="CJ49" s="32">
        <f t="shared" ca="1" si="38"/>
        <v>0</v>
      </c>
      <c r="CK49" s="32">
        <f t="shared" ref="CK49" ca="1" si="921">+MAX(VLOOKUP(xB+$R49,기수표B,$AH$1)-VLOOKUP(xB+mB,기수표B,$AH$1)-11/24*(VLOOKUP(xB+$R49,기수표B,$AG$1)-VLOOKUP(xB+mB,기수표B,$AG$1)),0)</f>
        <v>0</v>
      </c>
      <c r="CL49" s="32">
        <f t="shared" ref="CL49" ca="1" si="922">+MAX(VLOOKUP(xB+$R49,기수표B,$AA$1)-VLOOKUP(xB+mB,기수표B,$AA$1),0)</f>
        <v>0</v>
      </c>
      <c r="CM49" s="32">
        <f t="shared" ref="CM49" ca="1" si="923">+MAX(VLOOKUP(xB+$R49,기수표B,$AA$1)-VLOOKUP(xB+mB,기수표B,$AA$1)-11/24*(VLOOKUP(xB+$R49,기수표B,$AA$1)-VLOOKUP(xB+mB,기수표B,$AA$1)),0)</f>
        <v>0</v>
      </c>
      <c r="CN49" s="32">
        <f t="shared" si="793"/>
        <v>0</v>
      </c>
      <c r="CO49" s="32">
        <f t="shared" ca="1" si="794"/>
        <v>0</v>
      </c>
      <c r="CP49" s="32">
        <f t="shared" ca="1" si="795"/>
        <v>0</v>
      </c>
      <c r="CQ49" s="262">
        <f t="shared" ca="1" si="796"/>
        <v>0</v>
      </c>
      <c r="CR49" s="259" t="e">
        <f t="shared" ca="1" si="797"/>
        <v>#DIV/0!</v>
      </c>
      <c r="CS49" s="32">
        <f t="shared" ca="1" si="798"/>
        <v>1.5999999999999999E-5</v>
      </c>
      <c r="CT49" s="31">
        <f t="shared" ref="CT49" si="924">+MIN(mB,7)</f>
        <v>7</v>
      </c>
      <c r="CV49" s="13">
        <v>37</v>
      </c>
      <c r="CW49" s="477">
        <f t="shared" ca="1" si="800"/>
        <v>480</v>
      </c>
      <c r="CX49" s="477" t="e">
        <f t="shared" ca="1" si="801"/>
        <v>#DIV/0!</v>
      </c>
      <c r="CY49" s="477">
        <f t="shared" ca="1" si="802"/>
        <v>0</v>
      </c>
      <c r="CZ49" s="478">
        <f t="shared" ca="1" si="98"/>
        <v>0</v>
      </c>
    </row>
    <row r="50" spans="2:104">
      <c r="G50" s="53"/>
      <c r="H50" s="54" t="s">
        <v>36</v>
      </c>
      <c r="I50" s="16">
        <f ca="1">+(ALP_GP*12*$H$29+C22+C21*C28)*H8*SB/(12*H20)</f>
        <v>1.6834166409356859E-2</v>
      </c>
      <c r="J50" s="29">
        <f t="shared" ca="1" si="803"/>
        <v>2.1042708011696073E-3</v>
      </c>
      <c r="N50" s="5">
        <f t="shared" si="99"/>
        <v>38</v>
      </c>
      <c r="O50" s="2">
        <f t="shared" ref="O50" ca="1" si="925">+(1+iB)^-N50</f>
        <v>0.42933269854849776</v>
      </c>
      <c r="P50" s="2">
        <f t="shared" ref="P50" ca="1" si="926">+(1+iB)^-(N50+0.5)</f>
        <v>0.42458271306965517</v>
      </c>
      <c r="Q50" s="91"/>
      <c r="R50" s="20">
        <f t="shared" si="102"/>
        <v>38</v>
      </c>
      <c r="S50" s="20" t="str">
        <f t="shared" ref="S50" si="927">+IF(xB+R50&lt;=xB+nB,xB+R50,"")</f>
        <v/>
      </c>
      <c r="T50" s="2">
        <f t="shared" ref="T50:U50" ca="1" si="928">IFERROR(VLOOKUP($S50,qx_table,MATCH(T$11,qx_title,0)+sexB),0)</f>
        <v>0</v>
      </c>
      <c r="U50" s="2">
        <f t="shared" ca="1" si="928"/>
        <v>0</v>
      </c>
      <c r="V50" s="300">
        <v>0</v>
      </c>
      <c r="W50" s="8">
        <f t="shared" ref="W50" si="929">IF(R50=0,100000,IF(R50&gt;nB,0,W49*(1-X49)*(1-Y49)))</f>
        <v>0</v>
      </c>
      <c r="X50" s="10">
        <f t="shared" ca="1" si="19"/>
        <v>0</v>
      </c>
      <c r="Y50" s="10">
        <f t="shared" ca="1" si="56"/>
        <v>0</v>
      </c>
      <c r="Z50" s="8">
        <f t="shared" ca="1" si="106"/>
        <v>0</v>
      </c>
      <c r="AA50" s="8">
        <f ca="1">+SUM(Z50:Z$124)</f>
        <v>0</v>
      </c>
      <c r="AB50" s="8">
        <f t="shared" ca="1" si="20"/>
        <v>0</v>
      </c>
      <c r="AC50" s="209">
        <f ca="1">+SUM(AB50:AB$124)*SSSM</f>
        <v>0</v>
      </c>
      <c r="AD50" s="209">
        <f t="shared" ref="AD50" si="930">IF(R50&gt;nB,0,AD49*(1-X49)*(1-Y49)*(1-AE49)*(1-AF49))</f>
        <v>0</v>
      </c>
      <c r="AE50" s="92">
        <f t="shared" ca="1" si="21"/>
        <v>0</v>
      </c>
      <c r="AF50" s="92">
        <f t="shared" ca="1" si="22"/>
        <v>0</v>
      </c>
      <c r="AG50" s="8">
        <f t="shared" ca="1" si="23"/>
        <v>0</v>
      </c>
      <c r="AH50" s="5">
        <f ca="1">+SUM(AG50:AG$124)</f>
        <v>0</v>
      </c>
      <c r="AI50" s="70">
        <f t="shared" ca="1" si="24"/>
        <v>0</v>
      </c>
      <c r="AJ50" s="208">
        <f ca="1">+SUM(AB50:AB$124)*SS50J</f>
        <v>0</v>
      </c>
      <c r="AK50" s="5">
        <f t="shared" ca="1" si="58"/>
        <v>99999.012970709329</v>
      </c>
      <c r="AL50" s="2">
        <f t="shared" ref="AL50" ca="1" si="931">IFERROR(VLOOKUP($S50,qx_table,MATCH(AL$11,qx_title,0)+sexB),0)</f>
        <v>0</v>
      </c>
      <c r="AM50" s="131">
        <f t="shared" ca="1" si="109"/>
        <v>42932.846090900865</v>
      </c>
      <c r="AN50" s="129">
        <f t="shared" ca="1" si="777"/>
        <v>0</v>
      </c>
      <c r="AO50" s="129">
        <f ca="1">SUM(AN50:AN$124)*SSa</f>
        <v>0</v>
      </c>
      <c r="AP50" s="70">
        <f t="shared" ca="1" si="60"/>
        <v>99999.012970709329</v>
      </c>
      <c r="AQ50" s="2">
        <f t="shared" ref="AQ50" ca="1" si="932">IFERROR(VLOOKUP($S50,qx_table,MATCH(AQ$11,qx_title,0)+sexB),0)</f>
        <v>0</v>
      </c>
      <c r="AR50" s="127">
        <f t="shared" ca="1" si="812"/>
        <v>0</v>
      </c>
      <c r="AS50" s="127">
        <f ca="1">SUM(AR50:AR$124)*SSb</f>
        <v>0</v>
      </c>
      <c r="AT50" s="70">
        <f t="shared" ca="1" si="63"/>
        <v>99999.012970709329</v>
      </c>
      <c r="AU50" s="2">
        <f t="shared" ref="AU50" ca="1" si="933">IFERROR(VLOOKUP($S50,qx_table,MATCH(AU$11,qx_title,0)+sexB),0)</f>
        <v>0</v>
      </c>
      <c r="AV50" s="268">
        <f t="shared" ca="1" si="814"/>
        <v>0</v>
      </c>
      <c r="AW50" s="131">
        <f ca="1">SUM(AV50:AV$124)*SSc</f>
        <v>0</v>
      </c>
      <c r="AX50" s="70">
        <f t="shared" ca="1" si="66"/>
        <v>99999.012970709329</v>
      </c>
      <c r="AY50" s="2">
        <f t="shared" ref="AY50" ca="1" si="934">IFERROR(VLOOKUP($S50,qx_table,MATCH(AY$11,qx_title,0)+sexB),0)</f>
        <v>0</v>
      </c>
      <c r="AZ50" s="268">
        <f t="shared" ca="1" si="816"/>
        <v>0</v>
      </c>
      <c r="BA50" s="129">
        <f ca="1">SUM(AZ50:AZ$124)*SSd</f>
        <v>0</v>
      </c>
      <c r="BB50" s="70">
        <f t="shared" ca="1" si="69"/>
        <v>99999.012970709329</v>
      </c>
      <c r="BC50" s="257">
        <f t="shared" ref="BC50" ca="1" si="935">IFERROR(VLOOKUP($S50,qx_table,MATCH(BC$11,qx_title,0)+sexB),0)</f>
        <v>0</v>
      </c>
      <c r="BD50" s="268">
        <f t="shared" ca="1" si="818"/>
        <v>0</v>
      </c>
      <c r="BE50" s="131">
        <f ca="1">SUM(BD50:BD$124)*SSe</f>
        <v>0</v>
      </c>
      <c r="BF50" s="70">
        <f t="shared" ca="1" si="72"/>
        <v>99999.012970709329</v>
      </c>
      <c r="BG50" s="2">
        <f t="shared" ref="BG50" ca="1" si="936">IFERROR(VLOOKUP($S50,qx_table,MATCH(BG$11,qx_title,0)+sexB),0)</f>
        <v>0</v>
      </c>
      <c r="BH50" s="131">
        <f t="shared" ca="1" si="820"/>
        <v>0</v>
      </c>
      <c r="BI50" s="2">
        <f ca="1">SUM(BH50:BH$124)*SSf</f>
        <v>0</v>
      </c>
      <c r="BJ50" s="70">
        <f t="shared" ca="1" si="75"/>
        <v>99999.012970709329</v>
      </c>
      <c r="BK50" s="2">
        <f t="shared" ref="BK50" ca="1" si="937">IFERROR(VLOOKUP($S50,qx_table,MATCH(BK$11,qx_title,0)+sexB),0)</f>
        <v>0</v>
      </c>
      <c r="BL50" s="131">
        <f t="shared" ca="1" si="822"/>
        <v>0</v>
      </c>
      <c r="BM50" s="131">
        <f ca="1">SUM(BL50:BL$124)*SSg</f>
        <v>0</v>
      </c>
      <c r="BN50" s="70">
        <f t="shared" ca="1" si="78"/>
        <v>99999.012970709329</v>
      </c>
      <c r="BO50" s="2">
        <f t="shared" ref="BO50" ca="1" si="938">IFERROR(VLOOKUP($S50,qx_table,MATCH(BO$11,qx_title,0)+sexB),0)</f>
        <v>0</v>
      </c>
      <c r="BP50" s="131">
        <f t="shared" ca="1" si="824"/>
        <v>0</v>
      </c>
      <c r="BQ50" s="131">
        <f ca="1">SUM(BP50:BP$124)*SSh</f>
        <v>0</v>
      </c>
      <c r="BR50" s="70">
        <f t="shared" ca="1" si="81"/>
        <v>99999.012970709329</v>
      </c>
      <c r="BS50" s="2">
        <f t="shared" ref="BS50" ca="1" si="939">IFERROR(VLOOKUP($S50,qx_table,MATCH(BS$11,qx_title,0)+sexB),0)*IF(R50=0,MCi,1)</f>
        <v>0</v>
      </c>
      <c r="BT50" s="131">
        <f t="shared" ca="1" si="826"/>
        <v>0</v>
      </c>
      <c r="BU50" s="131">
        <f ca="1">SUM(BT50:BT$124)*SSi</f>
        <v>0</v>
      </c>
      <c r="BV50" s="70">
        <f t="shared" ca="1" si="84"/>
        <v>99999.012970709329</v>
      </c>
      <c r="BW50" s="2">
        <f t="shared" ref="BW50" ca="1" si="940">IFERROR(VLOOKUP($S50,qx_table,MATCH(BW$11,qx_title,0)+sexB),0)</f>
        <v>0</v>
      </c>
      <c r="BX50" s="131">
        <f t="shared" ca="1" si="828"/>
        <v>0</v>
      </c>
      <c r="BY50" s="131">
        <f ca="1">SUM(BX50:BX$124)*SSj</f>
        <v>0</v>
      </c>
      <c r="BZ50" s="70">
        <f t="shared" ca="1" si="87"/>
        <v>99999.012970709329</v>
      </c>
      <c r="CA50" s="2">
        <f t="shared" ref="CA50" ca="1" si="941">IFERROR(VLOOKUP($S50,qx_table,MATCH(CA$11,qx_title,0)+sexB),0)</f>
        <v>0</v>
      </c>
      <c r="CB50" s="131">
        <f t="shared" ca="1" si="830"/>
        <v>0</v>
      </c>
      <c r="CC50" s="131">
        <f ca="1">SUM(CB50:CB$124)*SSk</f>
        <v>0</v>
      </c>
      <c r="CD50" s="8">
        <f t="shared" ca="1" si="90"/>
        <v>99999.012970709329</v>
      </c>
      <c r="CE50" s="2">
        <f t="shared" ref="CE50" ca="1" si="942">IFERROR(VLOOKUP($S50,qx_table,MATCH(CE$11,qx_title,0)+sexB),0)</f>
        <v>0</v>
      </c>
      <c r="CF50" s="131">
        <f t="shared" ca="1" si="832"/>
        <v>0</v>
      </c>
      <c r="CG50" s="131">
        <f ca="1">SUM(CF50:CF$124)*SSl</f>
        <v>0</v>
      </c>
      <c r="CH50" s="101">
        <f t="shared" ca="1" si="93"/>
        <v>0</v>
      </c>
      <c r="CI50" s="154">
        <f t="shared" ca="1" si="789"/>
        <v>0</v>
      </c>
      <c r="CJ50" s="32">
        <f t="shared" ca="1" si="38"/>
        <v>0</v>
      </c>
      <c r="CK50" s="32">
        <f t="shared" ref="CK50" ca="1" si="943">+MAX(VLOOKUP(xB+$R50,기수표B,$AH$1)-VLOOKUP(xB+mB,기수표B,$AH$1)-11/24*(VLOOKUP(xB+$R50,기수표B,$AG$1)-VLOOKUP(xB+mB,기수표B,$AG$1)),0)</f>
        <v>0</v>
      </c>
      <c r="CL50" s="32">
        <f t="shared" ref="CL50" ca="1" si="944">+MAX(VLOOKUP(xB+$R50,기수표B,$AA$1)-VLOOKUP(xB+mB,기수표B,$AA$1),0)</f>
        <v>0</v>
      </c>
      <c r="CM50" s="32">
        <f t="shared" ref="CM50" ca="1" si="945">+MAX(VLOOKUP(xB+$R50,기수표B,$AA$1)-VLOOKUP(xB+mB,기수표B,$AA$1)-11/24*(VLOOKUP(xB+$R50,기수표B,$AA$1)-VLOOKUP(xB+mB,기수표B,$AA$1)),0)</f>
        <v>0</v>
      </c>
      <c r="CN50" s="32">
        <f t="shared" si="793"/>
        <v>0</v>
      </c>
      <c r="CO50" s="32">
        <f t="shared" ca="1" si="794"/>
        <v>0</v>
      </c>
      <c r="CP50" s="32">
        <f t="shared" ca="1" si="795"/>
        <v>0</v>
      </c>
      <c r="CQ50" s="262">
        <f t="shared" ca="1" si="796"/>
        <v>0</v>
      </c>
      <c r="CR50" s="259" t="e">
        <f t="shared" ca="1" si="797"/>
        <v>#DIV/0!</v>
      </c>
      <c r="CS50" s="32">
        <f t="shared" ca="1" si="798"/>
        <v>1.5999999999999999E-5</v>
      </c>
      <c r="CT50" s="31">
        <f t="shared" ref="CT50" si="946">+MIN(mB,7)</f>
        <v>7</v>
      </c>
      <c r="CV50" s="13">
        <v>38</v>
      </c>
      <c r="CW50" s="477">
        <f t="shared" ca="1" si="800"/>
        <v>480</v>
      </c>
      <c r="CX50" s="477" t="e">
        <f t="shared" ca="1" si="801"/>
        <v>#DIV/0!</v>
      </c>
      <c r="CY50" s="477">
        <f t="shared" ca="1" si="802"/>
        <v>0</v>
      </c>
      <c r="CZ50" s="478">
        <f t="shared" ca="1" si="98"/>
        <v>0</v>
      </c>
    </row>
    <row r="51" spans="2:104">
      <c r="G51" s="53"/>
      <c r="H51" s="54" t="s">
        <v>37</v>
      </c>
      <c r="I51" s="16">
        <f ca="1">+I45-I46-I50-I52</f>
        <v>3.7831658335906431</v>
      </c>
      <c r="J51" s="29">
        <f t="shared" ca="1" si="803"/>
        <v>0.47289572919883038</v>
      </c>
      <c r="N51" s="5">
        <f t="shared" si="99"/>
        <v>39</v>
      </c>
      <c r="O51" s="2">
        <f t="shared" ref="O51" ca="1" si="947">+(1+iB)^-N51</f>
        <v>0.41988527975403206</v>
      </c>
      <c r="P51" s="2">
        <f t="shared" ref="P51" ca="1" si="948">+(1+iB)^-(N51+0.5)</f>
        <v>0.41523981718303687</v>
      </c>
      <c r="Q51" s="91"/>
      <c r="R51" s="20">
        <f t="shared" si="102"/>
        <v>39</v>
      </c>
      <c r="S51" s="20" t="str">
        <f t="shared" ref="S51" si="949">+IF(xB+R51&lt;=xB+nB,xB+R51,"")</f>
        <v/>
      </c>
      <c r="T51" s="2">
        <f t="shared" ref="T51:U51" ca="1" si="950">IFERROR(VLOOKUP($S51,qx_table,MATCH(T$11,qx_title,0)+sexB),0)</f>
        <v>0</v>
      </c>
      <c r="U51" s="2">
        <f t="shared" ca="1" si="950"/>
        <v>0</v>
      </c>
      <c r="V51" s="300">
        <v>0</v>
      </c>
      <c r="W51" s="8">
        <f t="shared" ref="W51" si="951">IF(R51=0,100000,IF(R51&gt;nB,0,W50*(1-X50)*(1-Y50)))</f>
        <v>0</v>
      </c>
      <c r="X51" s="10">
        <f t="shared" ca="1" si="19"/>
        <v>0</v>
      </c>
      <c r="Y51" s="10">
        <f t="shared" ca="1" si="56"/>
        <v>0</v>
      </c>
      <c r="Z51" s="8">
        <f t="shared" ca="1" si="106"/>
        <v>0</v>
      </c>
      <c r="AA51" s="8">
        <f ca="1">+SUM(Z51:Z$124)</f>
        <v>0</v>
      </c>
      <c r="AB51" s="8">
        <f t="shared" ca="1" si="20"/>
        <v>0</v>
      </c>
      <c r="AC51" s="209">
        <f ca="1">+SUM(AB51:AB$124)*SSSM</f>
        <v>0</v>
      </c>
      <c r="AD51" s="209">
        <f t="shared" ref="AD51" si="952">IF(R51&gt;nB,0,AD50*(1-X50)*(1-Y50)*(1-AE50)*(1-AF50))</f>
        <v>0</v>
      </c>
      <c r="AE51" s="92">
        <f t="shared" ca="1" si="21"/>
        <v>0</v>
      </c>
      <c r="AF51" s="92">
        <f t="shared" ca="1" si="22"/>
        <v>0</v>
      </c>
      <c r="AG51" s="8">
        <f t="shared" ca="1" si="23"/>
        <v>0</v>
      </c>
      <c r="AH51" s="5">
        <f ca="1">+SUM(AG51:AG$124)</f>
        <v>0</v>
      </c>
      <c r="AI51" s="70">
        <f t="shared" ca="1" si="24"/>
        <v>0</v>
      </c>
      <c r="AJ51" s="208">
        <f ca="1">+SUM(AB51:AB$124)*SS50J</f>
        <v>0</v>
      </c>
      <c r="AK51" s="5">
        <f t="shared" ca="1" si="58"/>
        <v>99999.012970709329</v>
      </c>
      <c r="AL51" s="2">
        <f t="shared" ref="AL51" ca="1" si="953">IFERROR(VLOOKUP($S51,qx_table,MATCH(AL$11,qx_title,0)+sexB),0)</f>
        <v>0</v>
      </c>
      <c r="AM51" s="131">
        <f t="shared" ca="1" si="109"/>
        <v>41988.113536333367</v>
      </c>
      <c r="AN51" s="129">
        <f t="shared" ca="1" si="777"/>
        <v>0</v>
      </c>
      <c r="AO51" s="129">
        <f ca="1">SUM(AN51:AN$124)*SSa</f>
        <v>0</v>
      </c>
      <c r="AP51" s="70">
        <f t="shared" ca="1" si="60"/>
        <v>99999.012970709329</v>
      </c>
      <c r="AQ51" s="2">
        <f t="shared" ref="AQ51" ca="1" si="954">IFERROR(VLOOKUP($S51,qx_table,MATCH(AQ$11,qx_title,0)+sexB),0)</f>
        <v>0</v>
      </c>
      <c r="AR51" s="127">
        <f t="shared" ca="1" si="812"/>
        <v>0</v>
      </c>
      <c r="AS51" s="127">
        <f ca="1">SUM(AR51:AR$124)*SSb</f>
        <v>0</v>
      </c>
      <c r="AT51" s="70">
        <f t="shared" ca="1" si="63"/>
        <v>99999.012970709329</v>
      </c>
      <c r="AU51" s="2">
        <f t="shared" ref="AU51" ca="1" si="955">IFERROR(VLOOKUP($S51,qx_table,MATCH(AU$11,qx_title,0)+sexB),0)</f>
        <v>0</v>
      </c>
      <c r="AV51" s="268">
        <f t="shared" ca="1" si="814"/>
        <v>0</v>
      </c>
      <c r="AW51" s="131">
        <f ca="1">SUM(AV51:AV$124)*SSc</f>
        <v>0</v>
      </c>
      <c r="AX51" s="70">
        <f t="shared" ca="1" si="66"/>
        <v>99999.012970709329</v>
      </c>
      <c r="AY51" s="2">
        <f t="shared" ref="AY51" ca="1" si="956">IFERROR(VLOOKUP($S51,qx_table,MATCH(AY$11,qx_title,0)+sexB),0)</f>
        <v>0</v>
      </c>
      <c r="AZ51" s="268">
        <f t="shared" ca="1" si="816"/>
        <v>0</v>
      </c>
      <c r="BA51" s="129">
        <f ca="1">SUM(AZ51:AZ$124)*SSd</f>
        <v>0</v>
      </c>
      <c r="BB51" s="70">
        <f t="shared" ca="1" si="69"/>
        <v>99999.012970709329</v>
      </c>
      <c r="BC51" s="257">
        <f t="shared" ref="BC51" ca="1" si="957">IFERROR(VLOOKUP($S51,qx_table,MATCH(BC$11,qx_title,0)+sexB),0)</f>
        <v>0</v>
      </c>
      <c r="BD51" s="268">
        <f t="shared" ca="1" si="818"/>
        <v>0</v>
      </c>
      <c r="BE51" s="131">
        <f ca="1">SUM(BD51:BD$124)*SSe</f>
        <v>0</v>
      </c>
      <c r="BF51" s="70">
        <f t="shared" ca="1" si="72"/>
        <v>99999.012970709329</v>
      </c>
      <c r="BG51" s="2">
        <f t="shared" ref="BG51" ca="1" si="958">IFERROR(VLOOKUP($S51,qx_table,MATCH(BG$11,qx_title,0)+sexB),0)</f>
        <v>0</v>
      </c>
      <c r="BH51" s="131">
        <f t="shared" ca="1" si="820"/>
        <v>0</v>
      </c>
      <c r="BI51" s="2">
        <f ca="1">SUM(BH51:BH$124)*SSf</f>
        <v>0</v>
      </c>
      <c r="BJ51" s="70">
        <f t="shared" ca="1" si="75"/>
        <v>99999.012970709329</v>
      </c>
      <c r="BK51" s="2">
        <f t="shared" ref="BK51" ca="1" si="959">IFERROR(VLOOKUP($S51,qx_table,MATCH(BK$11,qx_title,0)+sexB),0)</f>
        <v>0</v>
      </c>
      <c r="BL51" s="131">
        <f t="shared" ca="1" si="822"/>
        <v>0</v>
      </c>
      <c r="BM51" s="131">
        <f ca="1">SUM(BL51:BL$124)*SSg</f>
        <v>0</v>
      </c>
      <c r="BN51" s="70">
        <f t="shared" ca="1" si="78"/>
        <v>99999.012970709329</v>
      </c>
      <c r="BO51" s="2">
        <f t="shared" ref="BO51" ca="1" si="960">IFERROR(VLOOKUP($S51,qx_table,MATCH(BO$11,qx_title,0)+sexB),0)</f>
        <v>0</v>
      </c>
      <c r="BP51" s="131">
        <f t="shared" ca="1" si="824"/>
        <v>0</v>
      </c>
      <c r="BQ51" s="131">
        <f ca="1">SUM(BP51:BP$124)*SSh</f>
        <v>0</v>
      </c>
      <c r="BR51" s="70">
        <f t="shared" ca="1" si="81"/>
        <v>99999.012970709329</v>
      </c>
      <c r="BS51" s="2">
        <f t="shared" ref="BS51" ca="1" si="961">IFERROR(VLOOKUP($S51,qx_table,MATCH(BS$11,qx_title,0)+sexB),0)*IF(R51=0,MCi,1)</f>
        <v>0</v>
      </c>
      <c r="BT51" s="131">
        <f t="shared" ca="1" si="826"/>
        <v>0</v>
      </c>
      <c r="BU51" s="131">
        <f ca="1">SUM(BT51:BT$124)*SSi</f>
        <v>0</v>
      </c>
      <c r="BV51" s="70">
        <f t="shared" ca="1" si="84"/>
        <v>99999.012970709329</v>
      </c>
      <c r="BW51" s="2">
        <f t="shared" ref="BW51" ca="1" si="962">IFERROR(VLOOKUP($S51,qx_table,MATCH(BW$11,qx_title,0)+sexB),0)</f>
        <v>0</v>
      </c>
      <c r="BX51" s="131">
        <f t="shared" ca="1" si="828"/>
        <v>0</v>
      </c>
      <c r="BY51" s="131">
        <f ca="1">SUM(BX51:BX$124)*SSj</f>
        <v>0</v>
      </c>
      <c r="BZ51" s="70">
        <f t="shared" ca="1" si="87"/>
        <v>99999.012970709329</v>
      </c>
      <c r="CA51" s="2">
        <f t="shared" ref="CA51" ca="1" si="963">IFERROR(VLOOKUP($S51,qx_table,MATCH(CA$11,qx_title,0)+sexB),0)</f>
        <v>0</v>
      </c>
      <c r="CB51" s="131">
        <f t="shared" ca="1" si="830"/>
        <v>0</v>
      </c>
      <c r="CC51" s="131">
        <f ca="1">SUM(CB51:CB$124)*SSk</f>
        <v>0</v>
      </c>
      <c r="CD51" s="8">
        <f t="shared" ca="1" si="90"/>
        <v>99999.012970709329</v>
      </c>
      <c r="CE51" s="2">
        <f t="shared" ref="CE51" ca="1" si="964">IFERROR(VLOOKUP($S51,qx_table,MATCH(CE$11,qx_title,0)+sexB),0)</f>
        <v>0</v>
      </c>
      <c r="CF51" s="131">
        <f t="shared" ca="1" si="832"/>
        <v>0</v>
      </c>
      <c r="CG51" s="131">
        <f ca="1">SUM(CF51:CF$124)*SSl</f>
        <v>0</v>
      </c>
      <c r="CH51" s="101">
        <f t="shared" ca="1" si="93"/>
        <v>0</v>
      </c>
      <c r="CI51" s="154">
        <f t="shared" ca="1" si="789"/>
        <v>0</v>
      </c>
      <c r="CJ51" s="32">
        <f t="shared" ca="1" si="38"/>
        <v>0</v>
      </c>
      <c r="CK51" s="32">
        <f t="shared" ref="CK51" ca="1" si="965">+MAX(VLOOKUP(xB+$R51,기수표B,$AH$1)-VLOOKUP(xB+mB,기수표B,$AH$1)-11/24*(VLOOKUP(xB+$R51,기수표B,$AG$1)-VLOOKUP(xB+mB,기수표B,$AG$1)),0)</f>
        <v>0</v>
      </c>
      <c r="CL51" s="32">
        <f t="shared" ref="CL51" ca="1" si="966">+MAX(VLOOKUP(xB+$R51,기수표B,$AA$1)-VLOOKUP(xB+mB,기수표B,$AA$1),0)</f>
        <v>0</v>
      </c>
      <c r="CM51" s="32">
        <f t="shared" ref="CM51" ca="1" si="967">+MAX(VLOOKUP(xB+$R51,기수표B,$AA$1)-VLOOKUP(xB+mB,기수표B,$AA$1)-11/24*(VLOOKUP(xB+$R51,기수표B,$AA$1)-VLOOKUP(xB+mB,기수표B,$AA$1)),0)</f>
        <v>0</v>
      </c>
      <c r="CN51" s="32">
        <f t="shared" si="793"/>
        <v>0</v>
      </c>
      <c r="CO51" s="32">
        <f t="shared" ca="1" si="794"/>
        <v>0</v>
      </c>
      <c r="CP51" s="32">
        <f t="shared" ca="1" si="795"/>
        <v>0</v>
      </c>
      <c r="CQ51" s="262">
        <f t="shared" ca="1" si="796"/>
        <v>0</v>
      </c>
      <c r="CR51" s="259" t="e">
        <f t="shared" ca="1" si="797"/>
        <v>#DIV/0!</v>
      </c>
      <c r="CS51" s="32">
        <f t="shared" ca="1" si="798"/>
        <v>1.5999999999999999E-5</v>
      </c>
      <c r="CT51" s="31">
        <f t="shared" ref="CT51" si="968">+MIN(mB,7)</f>
        <v>7</v>
      </c>
      <c r="CV51" s="13">
        <v>39</v>
      </c>
      <c r="CW51" s="477">
        <f t="shared" ca="1" si="800"/>
        <v>480</v>
      </c>
      <c r="CX51" s="477" t="e">
        <f t="shared" ca="1" si="801"/>
        <v>#DIV/0!</v>
      </c>
      <c r="CY51" s="477">
        <f t="shared" ca="1" si="802"/>
        <v>0</v>
      </c>
      <c r="CZ51" s="478">
        <f t="shared" ca="1" si="98"/>
        <v>0</v>
      </c>
    </row>
    <row r="52" spans="2:104">
      <c r="G52" s="57"/>
      <c r="H52" s="58" t="s">
        <v>38</v>
      </c>
      <c r="I52" s="25">
        <f ca="1">+GAM*H29*SB</f>
        <v>0.2</v>
      </c>
      <c r="J52" s="30">
        <f t="shared" ca="1" si="803"/>
        <v>2.5000000000000001E-2</v>
      </c>
      <c r="N52" s="5">
        <f t="shared" si="99"/>
        <v>40</v>
      </c>
      <c r="O52" s="2">
        <f t="shared" ref="O52" ca="1" si="969">+(1+iB)^-N52</f>
        <v>0.41064575037069156</v>
      </c>
      <c r="P52" s="2">
        <f t="shared" ref="P52" ca="1" si="970">+(1+iB)^-(N52+0.5)</f>
        <v>0.40610251069245662</v>
      </c>
      <c r="Q52" s="91"/>
      <c r="R52" s="20">
        <f t="shared" si="102"/>
        <v>40</v>
      </c>
      <c r="S52" s="20" t="str">
        <f t="shared" ref="S52" si="971">+IF(xB+R52&lt;=xB+nB,xB+R52,"")</f>
        <v/>
      </c>
      <c r="T52" s="2">
        <f t="shared" ref="T52:U52" ca="1" si="972">IFERROR(VLOOKUP($S52,qx_table,MATCH(T$11,qx_title,0)+sexB),0)</f>
        <v>0</v>
      </c>
      <c r="U52" s="2">
        <f t="shared" ca="1" si="972"/>
        <v>0</v>
      </c>
      <c r="V52" s="300">
        <v>0</v>
      </c>
      <c r="W52" s="8">
        <f t="shared" ref="W52" si="973">IF(R52=0,100000,IF(R52&gt;nB,0,W51*(1-X51)*(1-Y51)))</f>
        <v>0</v>
      </c>
      <c r="X52" s="10">
        <f t="shared" ca="1" si="19"/>
        <v>0</v>
      </c>
      <c r="Y52" s="10">
        <f t="shared" ca="1" si="56"/>
        <v>0</v>
      </c>
      <c r="Z52" s="8">
        <f t="shared" ca="1" si="106"/>
        <v>0</v>
      </c>
      <c r="AA52" s="8">
        <f ca="1">+SUM(Z52:Z$124)</f>
        <v>0</v>
      </c>
      <c r="AB52" s="8">
        <f t="shared" ca="1" si="20"/>
        <v>0</v>
      </c>
      <c r="AC52" s="209">
        <f ca="1">+SUM(AB52:AB$124)*SSSM</f>
        <v>0</v>
      </c>
      <c r="AD52" s="209">
        <f t="shared" ref="AD52" si="974">IF(R52&gt;nB,0,AD51*(1-X51)*(1-Y51)*(1-AE51)*(1-AF51))</f>
        <v>0</v>
      </c>
      <c r="AE52" s="92">
        <f t="shared" ca="1" si="21"/>
        <v>0</v>
      </c>
      <c r="AF52" s="92">
        <f t="shared" ca="1" si="22"/>
        <v>0</v>
      </c>
      <c r="AG52" s="8">
        <f t="shared" ca="1" si="23"/>
        <v>0</v>
      </c>
      <c r="AH52" s="5">
        <f ca="1">+SUM(AG52:AG$124)</f>
        <v>0</v>
      </c>
      <c r="AI52" s="70">
        <f t="shared" ca="1" si="24"/>
        <v>0</v>
      </c>
      <c r="AJ52" s="208">
        <f ca="1">+SUM(AB52:AB$124)*SS50J</f>
        <v>0</v>
      </c>
      <c r="AK52" s="5">
        <f t="shared" ca="1" si="58"/>
        <v>99999.012970709329</v>
      </c>
      <c r="AL52" s="2">
        <f t="shared" ref="AL52" ca="1" si="975">IFERROR(VLOOKUP($S52,qx_table,MATCH(AL$11,qx_title,0)+sexB),0)</f>
        <v>0</v>
      </c>
      <c r="AM52" s="131">
        <f t="shared" ca="1" si="109"/>
        <v>41064.16971768545</v>
      </c>
      <c r="AN52" s="129">
        <f t="shared" ca="1" si="777"/>
        <v>0</v>
      </c>
      <c r="AO52" s="129">
        <f ca="1">SUM(AN52:AN$124)*SSa</f>
        <v>0</v>
      </c>
      <c r="AP52" s="70">
        <f t="shared" ca="1" si="60"/>
        <v>99999.012970709329</v>
      </c>
      <c r="AQ52" s="2">
        <f t="shared" ref="AQ52" ca="1" si="976">IFERROR(VLOOKUP($S52,qx_table,MATCH(AQ$11,qx_title,0)+sexB),0)</f>
        <v>0</v>
      </c>
      <c r="AR52" s="127">
        <f t="shared" ca="1" si="812"/>
        <v>0</v>
      </c>
      <c r="AS52" s="127">
        <f ca="1">SUM(AR52:AR$124)*SSb</f>
        <v>0</v>
      </c>
      <c r="AT52" s="70">
        <f t="shared" ca="1" si="63"/>
        <v>99999.012970709329</v>
      </c>
      <c r="AU52" s="2">
        <f t="shared" ref="AU52" ca="1" si="977">IFERROR(VLOOKUP($S52,qx_table,MATCH(AU$11,qx_title,0)+sexB),0)</f>
        <v>0</v>
      </c>
      <c r="AV52" s="268">
        <f t="shared" ca="1" si="814"/>
        <v>0</v>
      </c>
      <c r="AW52" s="131">
        <f ca="1">SUM(AV52:AV$124)*SSc</f>
        <v>0</v>
      </c>
      <c r="AX52" s="70">
        <f t="shared" ca="1" si="66"/>
        <v>99999.012970709329</v>
      </c>
      <c r="AY52" s="2">
        <f t="shared" ref="AY52" ca="1" si="978">IFERROR(VLOOKUP($S52,qx_table,MATCH(AY$11,qx_title,0)+sexB),0)</f>
        <v>0</v>
      </c>
      <c r="AZ52" s="268">
        <f t="shared" ca="1" si="816"/>
        <v>0</v>
      </c>
      <c r="BA52" s="129">
        <f ca="1">SUM(AZ52:AZ$124)*SSd</f>
        <v>0</v>
      </c>
      <c r="BB52" s="70">
        <f t="shared" ca="1" si="69"/>
        <v>99999.012970709329</v>
      </c>
      <c r="BC52" s="257">
        <f t="shared" ref="BC52" ca="1" si="979">IFERROR(VLOOKUP($S52,qx_table,MATCH(BC$11,qx_title,0)+sexB),0)</f>
        <v>0</v>
      </c>
      <c r="BD52" s="268">
        <f t="shared" ca="1" si="818"/>
        <v>0</v>
      </c>
      <c r="BE52" s="131">
        <f ca="1">SUM(BD52:BD$124)*SSe</f>
        <v>0</v>
      </c>
      <c r="BF52" s="70">
        <f t="shared" ca="1" si="72"/>
        <v>99999.012970709329</v>
      </c>
      <c r="BG52" s="2">
        <f t="shared" ref="BG52" ca="1" si="980">IFERROR(VLOOKUP($S52,qx_table,MATCH(BG$11,qx_title,0)+sexB),0)</f>
        <v>0</v>
      </c>
      <c r="BH52" s="131">
        <f t="shared" ca="1" si="820"/>
        <v>0</v>
      </c>
      <c r="BI52" s="2">
        <f ca="1">SUM(BH52:BH$124)*SSf</f>
        <v>0</v>
      </c>
      <c r="BJ52" s="70">
        <f t="shared" ca="1" si="75"/>
        <v>99999.012970709329</v>
      </c>
      <c r="BK52" s="2">
        <f t="shared" ref="BK52" ca="1" si="981">IFERROR(VLOOKUP($S52,qx_table,MATCH(BK$11,qx_title,0)+sexB),0)</f>
        <v>0</v>
      </c>
      <c r="BL52" s="131">
        <f t="shared" ca="1" si="822"/>
        <v>0</v>
      </c>
      <c r="BM52" s="131">
        <f ca="1">SUM(BL52:BL$124)*SSg</f>
        <v>0</v>
      </c>
      <c r="BN52" s="70">
        <f t="shared" ca="1" si="78"/>
        <v>99999.012970709329</v>
      </c>
      <c r="BO52" s="2">
        <f t="shared" ref="BO52" ca="1" si="982">IFERROR(VLOOKUP($S52,qx_table,MATCH(BO$11,qx_title,0)+sexB),0)</f>
        <v>0</v>
      </c>
      <c r="BP52" s="131">
        <f t="shared" ca="1" si="824"/>
        <v>0</v>
      </c>
      <c r="BQ52" s="131">
        <f ca="1">SUM(BP52:BP$124)*SSh</f>
        <v>0</v>
      </c>
      <c r="BR52" s="70">
        <f t="shared" ca="1" si="81"/>
        <v>99999.012970709329</v>
      </c>
      <c r="BS52" s="2">
        <f t="shared" ref="BS52" ca="1" si="983">IFERROR(VLOOKUP($S52,qx_table,MATCH(BS$11,qx_title,0)+sexB),0)*IF(R52=0,MCi,1)</f>
        <v>0</v>
      </c>
      <c r="BT52" s="131">
        <f t="shared" ca="1" si="826"/>
        <v>0</v>
      </c>
      <c r="BU52" s="131">
        <f ca="1">SUM(BT52:BT$124)*SSi</f>
        <v>0</v>
      </c>
      <c r="BV52" s="70">
        <f t="shared" ca="1" si="84"/>
        <v>99999.012970709329</v>
      </c>
      <c r="BW52" s="2">
        <f t="shared" ref="BW52" ca="1" si="984">IFERROR(VLOOKUP($S52,qx_table,MATCH(BW$11,qx_title,0)+sexB),0)</f>
        <v>0</v>
      </c>
      <c r="BX52" s="131">
        <f t="shared" ca="1" si="828"/>
        <v>0</v>
      </c>
      <c r="BY52" s="131">
        <f ca="1">SUM(BX52:BX$124)*SSj</f>
        <v>0</v>
      </c>
      <c r="BZ52" s="70">
        <f t="shared" ca="1" si="87"/>
        <v>99999.012970709329</v>
      </c>
      <c r="CA52" s="2">
        <f t="shared" ref="CA52" ca="1" si="985">IFERROR(VLOOKUP($S52,qx_table,MATCH(CA$11,qx_title,0)+sexB),0)</f>
        <v>0</v>
      </c>
      <c r="CB52" s="131">
        <f t="shared" ca="1" si="830"/>
        <v>0</v>
      </c>
      <c r="CC52" s="131">
        <f ca="1">SUM(CB52:CB$124)*SSk</f>
        <v>0</v>
      </c>
      <c r="CD52" s="8">
        <f t="shared" ca="1" si="90"/>
        <v>99999.012970709329</v>
      </c>
      <c r="CE52" s="2">
        <f t="shared" ref="CE52" ca="1" si="986">IFERROR(VLOOKUP($S52,qx_table,MATCH(CE$11,qx_title,0)+sexB),0)</f>
        <v>0</v>
      </c>
      <c r="CF52" s="131">
        <f t="shared" ca="1" si="832"/>
        <v>0</v>
      </c>
      <c r="CG52" s="131">
        <f ca="1">SUM(CF52:CF$124)*SSl</f>
        <v>0</v>
      </c>
      <c r="CH52" s="101">
        <f t="shared" ca="1" si="93"/>
        <v>0</v>
      </c>
      <c r="CI52" s="154">
        <f t="shared" ca="1" si="789"/>
        <v>0</v>
      </c>
      <c r="CJ52" s="32">
        <f t="shared" ca="1" si="38"/>
        <v>0</v>
      </c>
      <c r="CK52" s="32">
        <f t="shared" ref="CK52" ca="1" si="987">+MAX(VLOOKUP(xB+$R52,기수표B,$AH$1)-VLOOKUP(xB+mB,기수표B,$AH$1)-11/24*(VLOOKUP(xB+$R52,기수표B,$AG$1)-VLOOKUP(xB+mB,기수표B,$AG$1)),0)</f>
        <v>0</v>
      </c>
      <c r="CL52" s="32">
        <f t="shared" ref="CL52" ca="1" si="988">+MAX(VLOOKUP(xB+$R52,기수표B,$AA$1)-VLOOKUP(xB+mB,기수표B,$AA$1),0)</f>
        <v>0</v>
      </c>
      <c r="CM52" s="32">
        <f t="shared" ref="CM52" ca="1" si="989">+MAX(VLOOKUP(xB+$R52,기수표B,$AA$1)-VLOOKUP(xB+mB,기수표B,$AA$1)-11/24*(VLOOKUP(xB+$R52,기수표B,$AA$1)-VLOOKUP(xB+mB,기수표B,$AA$1)),0)</f>
        <v>0</v>
      </c>
      <c r="CN52" s="32">
        <f t="shared" si="793"/>
        <v>0</v>
      </c>
      <c r="CO52" s="32">
        <f t="shared" ca="1" si="794"/>
        <v>0</v>
      </c>
      <c r="CP52" s="32">
        <f t="shared" ca="1" si="795"/>
        <v>0</v>
      </c>
      <c r="CQ52" s="262">
        <f t="shared" ca="1" si="796"/>
        <v>0</v>
      </c>
      <c r="CR52" s="259" t="e">
        <f t="shared" ca="1" si="797"/>
        <v>#DIV/0!</v>
      </c>
      <c r="CS52" s="32">
        <f t="shared" ca="1" si="798"/>
        <v>1.5999999999999999E-5</v>
      </c>
      <c r="CT52" s="31">
        <f t="shared" ref="CT52" si="990">+MIN(mB,7)</f>
        <v>7</v>
      </c>
      <c r="CV52" s="13">
        <v>40</v>
      </c>
      <c r="CW52" s="477">
        <f t="shared" ca="1" si="800"/>
        <v>480</v>
      </c>
      <c r="CX52" s="477" t="e">
        <f t="shared" ca="1" si="801"/>
        <v>#DIV/0!</v>
      </c>
      <c r="CY52" s="477">
        <f t="shared" ca="1" si="802"/>
        <v>0</v>
      </c>
      <c r="CZ52" s="478">
        <f t="shared" ca="1" si="98"/>
        <v>0</v>
      </c>
    </row>
    <row r="53" spans="2:104">
      <c r="N53" s="5">
        <f t="shared" si="99"/>
        <v>41</v>
      </c>
      <c r="O53" s="2">
        <f t="shared" ref="O53" ca="1" si="991">+(1+iB)^-N53</f>
        <v>0.40160953581485731</v>
      </c>
      <c r="P53" s="2">
        <f t="shared" ref="P53" ca="1" si="992">+(1+iB)^-(N53+0.5)</f>
        <v>0.39716626962587448</v>
      </c>
      <c r="Q53" s="91"/>
      <c r="R53" s="20">
        <f t="shared" si="102"/>
        <v>41</v>
      </c>
      <c r="S53" s="20" t="str">
        <f t="shared" ref="S53" si="993">+IF(xB+R53&lt;=xB+nB,xB+R53,"")</f>
        <v/>
      </c>
      <c r="T53" s="2">
        <f t="shared" ref="T53:U53" ca="1" si="994">IFERROR(VLOOKUP($S53,qx_table,MATCH(T$11,qx_title,0)+sexB),0)</f>
        <v>0</v>
      </c>
      <c r="U53" s="2">
        <f t="shared" ca="1" si="994"/>
        <v>0</v>
      </c>
      <c r="V53" s="300">
        <v>0</v>
      </c>
      <c r="W53" s="8">
        <f t="shared" ref="W53" si="995">IF(R53=0,100000,IF(R53&gt;nB,0,W52*(1-X52)*(1-Y52)))</f>
        <v>0</v>
      </c>
      <c r="X53" s="10">
        <f t="shared" ca="1" si="19"/>
        <v>0</v>
      </c>
      <c r="Y53" s="10">
        <f t="shared" ca="1" si="56"/>
        <v>0</v>
      </c>
      <c r="Z53" s="8">
        <f t="shared" ca="1" si="106"/>
        <v>0</v>
      </c>
      <c r="AA53" s="8">
        <f ca="1">+SUM(Z53:Z$124)</f>
        <v>0</v>
      </c>
      <c r="AB53" s="8">
        <f t="shared" ca="1" si="20"/>
        <v>0</v>
      </c>
      <c r="AC53" s="209">
        <f ca="1">+SUM(AB53:AB$124)*SSSM</f>
        <v>0</v>
      </c>
      <c r="AD53" s="209">
        <f t="shared" ref="AD53" si="996">IF(R53&gt;nB,0,AD52*(1-X52)*(1-Y52)*(1-AE52)*(1-AF52))</f>
        <v>0</v>
      </c>
      <c r="AE53" s="92">
        <f t="shared" ca="1" si="21"/>
        <v>0</v>
      </c>
      <c r="AF53" s="92">
        <f t="shared" ca="1" si="22"/>
        <v>0</v>
      </c>
      <c r="AG53" s="8">
        <f t="shared" ca="1" si="23"/>
        <v>0</v>
      </c>
      <c r="AH53" s="5">
        <f ca="1">+SUM(AG53:AG$124)</f>
        <v>0</v>
      </c>
      <c r="AI53" s="70">
        <f t="shared" ca="1" si="24"/>
        <v>0</v>
      </c>
      <c r="AJ53" s="208">
        <f ca="1">+SUM(AB53:AB$124)*SS50J</f>
        <v>0</v>
      </c>
      <c r="AK53" s="5">
        <f t="shared" ca="1" si="58"/>
        <v>99999.012970709329</v>
      </c>
      <c r="AL53" s="2">
        <f t="shared" ref="AL53" ca="1" si="997">IFERROR(VLOOKUP($S53,qx_table,MATCH(AL$11,qx_title,0)+sexB),0)</f>
        <v>0</v>
      </c>
      <c r="AM53" s="131">
        <f t="shared" ca="1" si="109"/>
        <v>40160.557181110467</v>
      </c>
      <c r="AN53" s="129">
        <f t="shared" ca="1" si="777"/>
        <v>0</v>
      </c>
      <c r="AO53" s="129">
        <f ca="1">SUM(AN53:AN$124)*SSa</f>
        <v>0</v>
      </c>
      <c r="AP53" s="70">
        <f t="shared" ca="1" si="60"/>
        <v>99999.012970709329</v>
      </c>
      <c r="AQ53" s="2">
        <f t="shared" ref="AQ53" ca="1" si="998">IFERROR(VLOOKUP($S53,qx_table,MATCH(AQ$11,qx_title,0)+sexB),0)</f>
        <v>0</v>
      </c>
      <c r="AR53" s="127">
        <f t="shared" ca="1" si="812"/>
        <v>0</v>
      </c>
      <c r="AS53" s="127">
        <f ca="1">SUM(AR53:AR$124)*SSb</f>
        <v>0</v>
      </c>
      <c r="AT53" s="70">
        <f t="shared" ca="1" si="63"/>
        <v>99999.012970709329</v>
      </c>
      <c r="AU53" s="2">
        <f t="shared" ref="AU53" ca="1" si="999">IFERROR(VLOOKUP($S53,qx_table,MATCH(AU$11,qx_title,0)+sexB),0)</f>
        <v>0</v>
      </c>
      <c r="AV53" s="268">
        <f t="shared" ca="1" si="814"/>
        <v>0</v>
      </c>
      <c r="AW53" s="131">
        <f ca="1">SUM(AV53:AV$124)*SSc</f>
        <v>0</v>
      </c>
      <c r="AX53" s="70">
        <f t="shared" ca="1" si="66"/>
        <v>99999.012970709329</v>
      </c>
      <c r="AY53" s="2">
        <f t="shared" ref="AY53" ca="1" si="1000">IFERROR(VLOOKUP($S53,qx_table,MATCH(AY$11,qx_title,0)+sexB),0)</f>
        <v>0</v>
      </c>
      <c r="AZ53" s="268">
        <f t="shared" ca="1" si="816"/>
        <v>0</v>
      </c>
      <c r="BA53" s="129">
        <f ca="1">SUM(AZ53:AZ$124)*SSd</f>
        <v>0</v>
      </c>
      <c r="BB53" s="70">
        <f t="shared" ca="1" si="69"/>
        <v>99999.012970709329</v>
      </c>
      <c r="BC53" s="257">
        <f t="shared" ref="BC53" ca="1" si="1001">IFERROR(VLOOKUP($S53,qx_table,MATCH(BC$11,qx_title,0)+sexB),0)</f>
        <v>0</v>
      </c>
      <c r="BD53" s="268">
        <f t="shared" ca="1" si="818"/>
        <v>0</v>
      </c>
      <c r="BE53" s="131">
        <f ca="1">SUM(BD53:BD$124)*SSe</f>
        <v>0</v>
      </c>
      <c r="BF53" s="70">
        <f t="shared" ca="1" si="72"/>
        <v>99999.012970709329</v>
      </c>
      <c r="BG53" s="2">
        <f t="shared" ref="BG53" ca="1" si="1002">IFERROR(VLOOKUP($S53,qx_table,MATCH(BG$11,qx_title,0)+sexB),0)</f>
        <v>0</v>
      </c>
      <c r="BH53" s="131">
        <f t="shared" ca="1" si="820"/>
        <v>0</v>
      </c>
      <c r="BI53" s="2">
        <f ca="1">SUM(BH53:BH$124)*SSf</f>
        <v>0</v>
      </c>
      <c r="BJ53" s="70">
        <f t="shared" ca="1" si="75"/>
        <v>99999.012970709329</v>
      </c>
      <c r="BK53" s="2">
        <f t="shared" ref="BK53" ca="1" si="1003">IFERROR(VLOOKUP($S53,qx_table,MATCH(BK$11,qx_title,0)+sexB),0)</f>
        <v>0</v>
      </c>
      <c r="BL53" s="131">
        <f t="shared" ca="1" si="822"/>
        <v>0</v>
      </c>
      <c r="BM53" s="131">
        <f ca="1">SUM(BL53:BL$124)*SSg</f>
        <v>0</v>
      </c>
      <c r="BN53" s="70">
        <f t="shared" ca="1" si="78"/>
        <v>99999.012970709329</v>
      </c>
      <c r="BO53" s="2">
        <f t="shared" ref="BO53" ca="1" si="1004">IFERROR(VLOOKUP($S53,qx_table,MATCH(BO$11,qx_title,0)+sexB),0)</f>
        <v>0</v>
      </c>
      <c r="BP53" s="131">
        <f t="shared" ca="1" si="824"/>
        <v>0</v>
      </c>
      <c r="BQ53" s="131">
        <f ca="1">SUM(BP53:BP$124)*SSh</f>
        <v>0</v>
      </c>
      <c r="BR53" s="70">
        <f t="shared" ca="1" si="81"/>
        <v>99999.012970709329</v>
      </c>
      <c r="BS53" s="2">
        <f t="shared" ref="BS53" ca="1" si="1005">IFERROR(VLOOKUP($S53,qx_table,MATCH(BS$11,qx_title,0)+sexB),0)*IF(R53=0,MCi,1)</f>
        <v>0</v>
      </c>
      <c r="BT53" s="131">
        <f t="shared" ca="1" si="826"/>
        <v>0</v>
      </c>
      <c r="BU53" s="131">
        <f ca="1">SUM(BT53:BT$124)*SSi</f>
        <v>0</v>
      </c>
      <c r="BV53" s="70">
        <f t="shared" ca="1" si="84"/>
        <v>99999.012970709329</v>
      </c>
      <c r="BW53" s="2">
        <f t="shared" ref="BW53" ca="1" si="1006">IFERROR(VLOOKUP($S53,qx_table,MATCH(BW$11,qx_title,0)+sexB),0)</f>
        <v>0</v>
      </c>
      <c r="BX53" s="131">
        <f t="shared" ca="1" si="828"/>
        <v>0</v>
      </c>
      <c r="BY53" s="131">
        <f ca="1">SUM(BX53:BX$124)*SSj</f>
        <v>0</v>
      </c>
      <c r="BZ53" s="70">
        <f t="shared" ca="1" si="87"/>
        <v>99999.012970709329</v>
      </c>
      <c r="CA53" s="2">
        <f t="shared" ref="CA53" ca="1" si="1007">IFERROR(VLOOKUP($S53,qx_table,MATCH(CA$11,qx_title,0)+sexB),0)</f>
        <v>0</v>
      </c>
      <c r="CB53" s="131">
        <f t="shared" ca="1" si="830"/>
        <v>0</v>
      </c>
      <c r="CC53" s="131">
        <f ca="1">SUM(CB53:CB$124)*SSk</f>
        <v>0</v>
      </c>
      <c r="CD53" s="8">
        <f t="shared" ca="1" si="90"/>
        <v>99999.012970709329</v>
      </c>
      <c r="CE53" s="2">
        <f t="shared" ref="CE53" ca="1" si="1008">IFERROR(VLOOKUP($S53,qx_table,MATCH(CE$11,qx_title,0)+sexB),0)</f>
        <v>0</v>
      </c>
      <c r="CF53" s="131">
        <f t="shared" ca="1" si="832"/>
        <v>0</v>
      </c>
      <c r="CG53" s="131">
        <f ca="1">SUM(CF53:CF$124)*SSl</f>
        <v>0</v>
      </c>
      <c r="CH53" s="101">
        <f t="shared" ca="1" si="93"/>
        <v>0</v>
      </c>
      <c r="CI53" s="154">
        <f t="shared" ca="1" si="789"/>
        <v>0</v>
      </c>
      <c r="CJ53" s="32">
        <f t="shared" ca="1" si="38"/>
        <v>0</v>
      </c>
      <c r="CK53" s="32">
        <f t="shared" ref="CK53" ca="1" si="1009">+MAX(VLOOKUP(xB+$R53,기수표B,$AH$1)-VLOOKUP(xB+mB,기수표B,$AH$1)-11/24*(VLOOKUP(xB+$R53,기수표B,$AG$1)-VLOOKUP(xB+mB,기수표B,$AG$1)),0)</f>
        <v>0</v>
      </c>
      <c r="CL53" s="32">
        <f t="shared" ref="CL53" ca="1" si="1010">+MAX(VLOOKUP(xB+$R53,기수표B,$AA$1)-VLOOKUP(xB+mB,기수표B,$AA$1),0)</f>
        <v>0</v>
      </c>
      <c r="CM53" s="32">
        <f t="shared" ref="CM53" ca="1" si="1011">+MAX(VLOOKUP(xB+$R53,기수표B,$AA$1)-VLOOKUP(xB+mB,기수표B,$AA$1)-11/24*(VLOOKUP(xB+$R53,기수표B,$AA$1)-VLOOKUP(xB+mB,기수표B,$AA$1)),0)</f>
        <v>0</v>
      </c>
      <c r="CN53" s="32">
        <f t="shared" si="793"/>
        <v>0</v>
      </c>
      <c r="CO53" s="32">
        <f t="shared" ca="1" si="794"/>
        <v>0</v>
      </c>
      <c r="CP53" s="32">
        <f t="shared" ca="1" si="795"/>
        <v>0</v>
      </c>
      <c r="CQ53" s="262">
        <f t="shared" ca="1" si="796"/>
        <v>0</v>
      </c>
      <c r="CR53" s="259" t="e">
        <f t="shared" ca="1" si="797"/>
        <v>#DIV/0!</v>
      </c>
      <c r="CS53" s="32">
        <f t="shared" ca="1" si="798"/>
        <v>1.5999999999999999E-5</v>
      </c>
      <c r="CT53" s="31">
        <f t="shared" ref="CT53" si="1012">+MIN(mB,7)</f>
        <v>7</v>
      </c>
      <c r="CV53" s="13">
        <v>41</v>
      </c>
      <c r="CW53" s="477">
        <f t="shared" ca="1" si="800"/>
        <v>480</v>
      </c>
      <c r="CX53" s="477" t="e">
        <f t="shared" ca="1" si="801"/>
        <v>#DIV/0!</v>
      </c>
      <c r="CY53" s="477">
        <f t="shared" ca="1" si="802"/>
        <v>0</v>
      </c>
      <c r="CZ53" s="478">
        <f t="shared" ca="1" si="98"/>
        <v>0</v>
      </c>
    </row>
    <row r="54" spans="2:104">
      <c r="N54" s="5">
        <f t="shared" si="99"/>
        <v>42</v>
      </c>
      <c r="O54" s="2">
        <f t="shared" ref="O54" ca="1" si="1013">+(1+iB)^-N54</f>
        <v>0.39277216216611965</v>
      </c>
      <c r="P54" s="2">
        <f t="shared" ref="P54" ca="1" si="1014">+(1+iB)^-(N54+0.5)</f>
        <v>0.3884266695607575</v>
      </c>
      <c r="Q54" s="91"/>
      <c r="R54" s="20">
        <f t="shared" si="102"/>
        <v>42</v>
      </c>
      <c r="S54" s="20" t="str">
        <f t="shared" ref="S54" si="1015">+IF(xB+R54&lt;=xB+nB,xB+R54,"")</f>
        <v/>
      </c>
      <c r="T54" s="2">
        <f t="shared" ref="T54:U54" ca="1" si="1016">IFERROR(VLOOKUP($S54,qx_table,MATCH(T$11,qx_title,0)+sexB),0)</f>
        <v>0</v>
      </c>
      <c r="U54" s="2">
        <f t="shared" ca="1" si="1016"/>
        <v>0</v>
      </c>
      <c r="V54" s="300">
        <v>0</v>
      </c>
      <c r="W54" s="8">
        <f t="shared" ref="W54" si="1017">IF(R54=0,100000,IF(R54&gt;nB,0,W53*(1-X53)*(1-Y53)))</f>
        <v>0</v>
      </c>
      <c r="X54" s="10">
        <f t="shared" ca="1" si="19"/>
        <v>0</v>
      </c>
      <c r="Y54" s="10">
        <f t="shared" ca="1" si="56"/>
        <v>0</v>
      </c>
      <c r="Z54" s="8">
        <f t="shared" ca="1" si="106"/>
        <v>0</v>
      </c>
      <c r="AA54" s="8">
        <f ca="1">+SUM(Z54:Z$124)</f>
        <v>0</v>
      </c>
      <c r="AB54" s="8">
        <f t="shared" ca="1" si="20"/>
        <v>0</v>
      </c>
      <c r="AC54" s="209">
        <f ca="1">+SUM(AB54:AB$124)*SSSM</f>
        <v>0</v>
      </c>
      <c r="AD54" s="209">
        <f t="shared" ref="AD54" si="1018">IF(R54&gt;nB,0,AD53*(1-X53)*(1-Y53)*(1-AE53)*(1-AF53))</f>
        <v>0</v>
      </c>
      <c r="AE54" s="92">
        <f t="shared" ca="1" si="21"/>
        <v>0</v>
      </c>
      <c r="AF54" s="92">
        <f t="shared" ca="1" si="22"/>
        <v>0</v>
      </c>
      <c r="AG54" s="8">
        <f t="shared" ca="1" si="23"/>
        <v>0</v>
      </c>
      <c r="AH54" s="5">
        <f ca="1">+SUM(AG54:AG$124)</f>
        <v>0</v>
      </c>
      <c r="AI54" s="70">
        <f t="shared" ca="1" si="24"/>
        <v>0</v>
      </c>
      <c r="AJ54" s="208">
        <f ca="1">+SUM(AB54:AB$124)*SS50J</f>
        <v>0</v>
      </c>
      <c r="AK54" s="5">
        <f t="shared" ca="1" si="58"/>
        <v>99999.012970709329</v>
      </c>
      <c r="AL54" s="2">
        <f t="shared" ref="AL54" ca="1" si="1019">IFERROR(VLOOKUP($S54,qx_table,MATCH(AL$11,qx_title,0)+sexB),0)</f>
        <v>0</v>
      </c>
      <c r="AM54" s="131">
        <f t="shared" ca="1" si="109"/>
        <v>39276.828538983347</v>
      </c>
      <c r="AN54" s="129">
        <f t="shared" ca="1" si="777"/>
        <v>0</v>
      </c>
      <c r="AO54" s="129">
        <f ca="1">SUM(AN54:AN$124)*SSa</f>
        <v>0</v>
      </c>
      <c r="AP54" s="70">
        <f t="shared" ca="1" si="60"/>
        <v>99999.012970709329</v>
      </c>
      <c r="AQ54" s="2">
        <f t="shared" ref="AQ54" ca="1" si="1020">IFERROR(VLOOKUP($S54,qx_table,MATCH(AQ$11,qx_title,0)+sexB),0)</f>
        <v>0</v>
      </c>
      <c r="AR54" s="127">
        <f t="shared" ca="1" si="812"/>
        <v>0</v>
      </c>
      <c r="AS54" s="127">
        <f ca="1">SUM(AR54:AR$124)*SSb</f>
        <v>0</v>
      </c>
      <c r="AT54" s="70">
        <f t="shared" ca="1" si="63"/>
        <v>99999.012970709329</v>
      </c>
      <c r="AU54" s="2">
        <f t="shared" ref="AU54" ca="1" si="1021">IFERROR(VLOOKUP($S54,qx_table,MATCH(AU$11,qx_title,0)+sexB),0)</f>
        <v>0</v>
      </c>
      <c r="AV54" s="268">
        <f t="shared" ca="1" si="814"/>
        <v>0</v>
      </c>
      <c r="AW54" s="131">
        <f ca="1">SUM(AV54:AV$124)*SSc</f>
        <v>0</v>
      </c>
      <c r="AX54" s="70">
        <f t="shared" ca="1" si="66"/>
        <v>99999.012970709329</v>
      </c>
      <c r="AY54" s="2">
        <f t="shared" ref="AY54" ca="1" si="1022">IFERROR(VLOOKUP($S54,qx_table,MATCH(AY$11,qx_title,0)+sexB),0)</f>
        <v>0</v>
      </c>
      <c r="AZ54" s="268">
        <f t="shared" ca="1" si="816"/>
        <v>0</v>
      </c>
      <c r="BA54" s="129">
        <f ca="1">SUM(AZ54:AZ$124)*SSd</f>
        <v>0</v>
      </c>
      <c r="BB54" s="70">
        <f t="shared" ca="1" si="69"/>
        <v>99999.012970709329</v>
      </c>
      <c r="BC54" s="257">
        <f t="shared" ref="BC54" ca="1" si="1023">IFERROR(VLOOKUP($S54,qx_table,MATCH(BC$11,qx_title,0)+sexB),0)</f>
        <v>0</v>
      </c>
      <c r="BD54" s="268">
        <f t="shared" ca="1" si="818"/>
        <v>0</v>
      </c>
      <c r="BE54" s="131">
        <f ca="1">SUM(BD54:BD$124)*SSe</f>
        <v>0</v>
      </c>
      <c r="BF54" s="70">
        <f t="shared" ca="1" si="72"/>
        <v>99999.012970709329</v>
      </c>
      <c r="BG54" s="2">
        <f t="shared" ref="BG54" ca="1" si="1024">IFERROR(VLOOKUP($S54,qx_table,MATCH(BG$11,qx_title,0)+sexB),0)</f>
        <v>0</v>
      </c>
      <c r="BH54" s="131">
        <f t="shared" ca="1" si="820"/>
        <v>0</v>
      </c>
      <c r="BI54" s="2">
        <f ca="1">SUM(BH54:BH$124)*SSf</f>
        <v>0</v>
      </c>
      <c r="BJ54" s="70">
        <f t="shared" ca="1" si="75"/>
        <v>99999.012970709329</v>
      </c>
      <c r="BK54" s="2">
        <f t="shared" ref="BK54" ca="1" si="1025">IFERROR(VLOOKUP($S54,qx_table,MATCH(BK$11,qx_title,0)+sexB),0)</f>
        <v>0</v>
      </c>
      <c r="BL54" s="131">
        <f t="shared" ca="1" si="822"/>
        <v>0</v>
      </c>
      <c r="BM54" s="131">
        <f ca="1">SUM(BL54:BL$124)*SSg</f>
        <v>0</v>
      </c>
      <c r="BN54" s="70">
        <f t="shared" ca="1" si="78"/>
        <v>99999.012970709329</v>
      </c>
      <c r="BO54" s="2">
        <f t="shared" ref="BO54" ca="1" si="1026">IFERROR(VLOOKUP($S54,qx_table,MATCH(BO$11,qx_title,0)+sexB),0)</f>
        <v>0</v>
      </c>
      <c r="BP54" s="131">
        <f t="shared" ca="1" si="824"/>
        <v>0</v>
      </c>
      <c r="BQ54" s="131">
        <f ca="1">SUM(BP54:BP$124)*SSh</f>
        <v>0</v>
      </c>
      <c r="BR54" s="70">
        <f t="shared" ca="1" si="81"/>
        <v>99999.012970709329</v>
      </c>
      <c r="BS54" s="2">
        <f t="shared" ref="BS54" ca="1" si="1027">IFERROR(VLOOKUP($S54,qx_table,MATCH(BS$11,qx_title,0)+sexB),0)*IF(R54=0,MCi,1)</f>
        <v>0</v>
      </c>
      <c r="BT54" s="131">
        <f t="shared" ca="1" si="826"/>
        <v>0</v>
      </c>
      <c r="BU54" s="131">
        <f ca="1">SUM(BT54:BT$124)*SSi</f>
        <v>0</v>
      </c>
      <c r="BV54" s="70">
        <f t="shared" ca="1" si="84"/>
        <v>99999.012970709329</v>
      </c>
      <c r="BW54" s="2">
        <f t="shared" ref="BW54" ca="1" si="1028">IFERROR(VLOOKUP($S54,qx_table,MATCH(BW$11,qx_title,0)+sexB),0)</f>
        <v>0</v>
      </c>
      <c r="BX54" s="131">
        <f t="shared" ca="1" si="828"/>
        <v>0</v>
      </c>
      <c r="BY54" s="131">
        <f ca="1">SUM(BX54:BX$124)*SSj</f>
        <v>0</v>
      </c>
      <c r="BZ54" s="70">
        <f t="shared" ca="1" si="87"/>
        <v>99999.012970709329</v>
      </c>
      <c r="CA54" s="2">
        <f t="shared" ref="CA54" ca="1" si="1029">IFERROR(VLOOKUP($S54,qx_table,MATCH(CA$11,qx_title,0)+sexB),0)</f>
        <v>0</v>
      </c>
      <c r="CB54" s="131">
        <f t="shared" ca="1" si="830"/>
        <v>0</v>
      </c>
      <c r="CC54" s="131">
        <f ca="1">SUM(CB54:CB$124)*SSk</f>
        <v>0</v>
      </c>
      <c r="CD54" s="8">
        <f t="shared" ca="1" si="90"/>
        <v>99999.012970709329</v>
      </c>
      <c r="CE54" s="2">
        <f t="shared" ref="CE54" ca="1" si="1030">IFERROR(VLOOKUP($S54,qx_table,MATCH(CE$11,qx_title,0)+sexB),0)</f>
        <v>0</v>
      </c>
      <c r="CF54" s="131">
        <f t="shared" ca="1" si="832"/>
        <v>0</v>
      </c>
      <c r="CG54" s="131">
        <f ca="1">SUM(CF54:CF$124)*SSl</f>
        <v>0</v>
      </c>
      <c r="CH54" s="101">
        <f t="shared" ca="1" si="93"/>
        <v>0</v>
      </c>
      <c r="CI54" s="154">
        <f t="shared" ca="1" si="789"/>
        <v>0</v>
      </c>
      <c r="CJ54" s="32">
        <f t="shared" ca="1" si="38"/>
        <v>0</v>
      </c>
      <c r="CK54" s="32">
        <f t="shared" ref="CK54" ca="1" si="1031">+MAX(VLOOKUP(xB+$R54,기수표B,$AH$1)-VLOOKUP(xB+mB,기수표B,$AH$1)-11/24*(VLOOKUP(xB+$R54,기수표B,$AG$1)-VLOOKUP(xB+mB,기수표B,$AG$1)),0)</f>
        <v>0</v>
      </c>
      <c r="CL54" s="32">
        <f t="shared" ref="CL54" ca="1" si="1032">+MAX(VLOOKUP(xB+$R54,기수표B,$AA$1)-VLOOKUP(xB+mB,기수표B,$AA$1),0)</f>
        <v>0</v>
      </c>
      <c r="CM54" s="32">
        <f t="shared" ref="CM54" ca="1" si="1033">+MAX(VLOOKUP(xB+$R54,기수표B,$AA$1)-VLOOKUP(xB+mB,기수표B,$AA$1)-11/24*(VLOOKUP(xB+$R54,기수표B,$AA$1)-VLOOKUP(xB+mB,기수표B,$AA$1)),0)</f>
        <v>0</v>
      </c>
      <c r="CN54" s="32">
        <f t="shared" si="793"/>
        <v>0</v>
      </c>
      <c r="CO54" s="32">
        <f t="shared" ca="1" si="794"/>
        <v>0</v>
      </c>
      <c r="CP54" s="32">
        <f t="shared" ca="1" si="795"/>
        <v>0</v>
      </c>
      <c r="CQ54" s="262">
        <f t="shared" ca="1" si="796"/>
        <v>0</v>
      </c>
      <c r="CR54" s="259" t="e">
        <f t="shared" ca="1" si="797"/>
        <v>#DIV/0!</v>
      </c>
      <c r="CS54" s="32">
        <f t="shared" ca="1" si="798"/>
        <v>1.5999999999999999E-5</v>
      </c>
      <c r="CT54" s="31">
        <f t="shared" ref="CT54" si="1034">+MIN(mB,7)</f>
        <v>7</v>
      </c>
      <c r="CV54" s="13">
        <v>42</v>
      </c>
      <c r="CW54" s="477">
        <f t="shared" ca="1" si="800"/>
        <v>480</v>
      </c>
      <c r="CX54" s="477" t="e">
        <f t="shared" ca="1" si="801"/>
        <v>#DIV/0!</v>
      </c>
      <c r="CY54" s="477">
        <f t="shared" ca="1" si="802"/>
        <v>0</v>
      </c>
      <c r="CZ54" s="478">
        <f t="shared" ca="1" si="98"/>
        <v>0</v>
      </c>
    </row>
    <row r="55" spans="2:104">
      <c r="N55" s="5">
        <f t="shared" si="99"/>
        <v>43</v>
      </c>
      <c r="O55" s="2">
        <f t="shared" ref="O55" ca="1" si="1035">+(1+iB)^-N55</f>
        <v>0.38412925395219527</v>
      </c>
      <c r="P55" s="2">
        <f t="shared" ref="P55" ca="1" si="1036">+(1+iB)^-(N55+0.5)</f>
        <v>0.37987938343350358</v>
      </c>
      <c r="Q55" s="91"/>
      <c r="R55" s="20">
        <f t="shared" si="102"/>
        <v>43</v>
      </c>
      <c r="S55" s="20" t="str">
        <f t="shared" ref="S55" si="1037">+IF(xB+R55&lt;=xB+nB,xB+R55,"")</f>
        <v/>
      </c>
      <c r="T55" s="2">
        <f t="shared" ref="T55:U55" ca="1" si="1038">IFERROR(VLOOKUP($S55,qx_table,MATCH(T$11,qx_title,0)+sexB),0)</f>
        <v>0</v>
      </c>
      <c r="U55" s="2">
        <f t="shared" ca="1" si="1038"/>
        <v>0</v>
      </c>
      <c r="V55" s="300">
        <v>0</v>
      </c>
      <c r="W55" s="8">
        <f t="shared" ref="W55" si="1039">IF(R55=0,100000,IF(R55&gt;nB,0,W54*(1-X54)*(1-Y54)))</f>
        <v>0</v>
      </c>
      <c r="X55" s="10">
        <f t="shared" ca="1" si="19"/>
        <v>0</v>
      </c>
      <c r="Y55" s="10">
        <f t="shared" ca="1" si="56"/>
        <v>0</v>
      </c>
      <c r="Z55" s="8">
        <f t="shared" ca="1" si="106"/>
        <v>0</v>
      </c>
      <c r="AA55" s="8">
        <f ca="1">+SUM(Z55:Z$124)</f>
        <v>0</v>
      </c>
      <c r="AB55" s="8">
        <f t="shared" ca="1" si="20"/>
        <v>0</v>
      </c>
      <c r="AC55" s="209">
        <f ca="1">+SUM(AB55:AB$124)*SSSM</f>
        <v>0</v>
      </c>
      <c r="AD55" s="209">
        <f t="shared" ref="AD55" si="1040">IF(R55&gt;nB,0,AD54*(1-X54)*(1-Y54)*(1-AE54)*(1-AF54))</f>
        <v>0</v>
      </c>
      <c r="AE55" s="92">
        <f t="shared" ca="1" si="21"/>
        <v>0</v>
      </c>
      <c r="AF55" s="92">
        <f t="shared" ca="1" si="22"/>
        <v>0</v>
      </c>
      <c r="AG55" s="8">
        <f t="shared" ca="1" si="23"/>
        <v>0</v>
      </c>
      <c r="AH55" s="5">
        <f ca="1">+SUM(AG55:AG$124)</f>
        <v>0</v>
      </c>
      <c r="AI55" s="70">
        <f t="shared" ca="1" si="24"/>
        <v>0</v>
      </c>
      <c r="AJ55" s="208">
        <f ca="1">+SUM(AB55:AB$124)*SS50J</f>
        <v>0</v>
      </c>
      <c r="AK55" s="5">
        <f t="shared" ca="1" si="58"/>
        <v>99999.012970709329</v>
      </c>
      <c r="AL55" s="2">
        <f t="shared" ref="AL55" ca="1" si="1041">IFERROR(VLOOKUP($S55,qx_table,MATCH(AL$11,qx_title,0)+sexB),0)</f>
        <v>0</v>
      </c>
      <c r="AM55" s="131">
        <f t="shared" ca="1" si="109"/>
        <v>38412.546248394472</v>
      </c>
      <c r="AN55" s="129">
        <f t="shared" ca="1" si="777"/>
        <v>0</v>
      </c>
      <c r="AO55" s="129">
        <f ca="1">SUM(AN55:AN$124)*SSa</f>
        <v>0</v>
      </c>
      <c r="AP55" s="70">
        <f t="shared" ca="1" si="60"/>
        <v>99999.012970709329</v>
      </c>
      <c r="AQ55" s="2">
        <f t="shared" ref="AQ55" ca="1" si="1042">IFERROR(VLOOKUP($S55,qx_table,MATCH(AQ$11,qx_title,0)+sexB),0)</f>
        <v>0</v>
      </c>
      <c r="AR55" s="127">
        <f t="shared" ca="1" si="812"/>
        <v>0</v>
      </c>
      <c r="AS55" s="127">
        <f ca="1">SUM(AR55:AR$124)*SSb</f>
        <v>0</v>
      </c>
      <c r="AT55" s="70">
        <f t="shared" ca="1" si="63"/>
        <v>99999.012970709329</v>
      </c>
      <c r="AU55" s="2">
        <f t="shared" ref="AU55" ca="1" si="1043">IFERROR(VLOOKUP($S55,qx_table,MATCH(AU$11,qx_title,0)+sexB),0)</f>
        <v>0</v>
      </c>
      <c r="AV55" s="268">
        <f t="shared" ca="1" si="814"/>
        <v>0</v>
      </c>
      <c r="AW55" s="131">
        <f ca="1">SUM(AV55:AV$124)*SSc</f>
        <v>0</v>
      </c>
      <c r="AX55" s="70">
        <f t="shared" ca="1" si="66"/>
        <v>99999.012970709329</v>
      </c>
      <c r="AY55" s="2">
        <f t="shared" ref="AY55" ca="1" si="1044">IFERROR(VLOOKUP($S55,qx_table,MATCH(AY$11,qx_title,0)+sexB),0)</f>
        <v>0</v>
      </c>
      <c r="AZ55" s="268">
        <f t="shared" ca="1" si="816"/>
        <v>0</v>
      </c>
      <c r="BA55" s="129">
        <f ca="1">SUM(AZ55:AZ$124)*SSd</f>
        <v>0</v>
      </c>
      <c r="BB55" s="70">
        <f t="shared" ca="1" si="69"/>
        <v>99999.012970709329</v>
      </c>
      <c r="BC55" s="257">
        <f t="shared" ref="BC55" ca="1" si="1045">IFERROR(VLOOKUP($S55,qx_table,MATCH(BC$11,qx_title,0)+sexB),0)</f>
        <v>0</v>
      </c>
      <c r="BD55" s="268">
        <f t="shared" ca="1" si="818"/>
        <v>0</v>
      </c>
      <c r="BE55" s="131">
        <f ca="1">SUM(BD55:BD$124)*SSe</f>
        <v>0</v>
      </c>
      <c r="BF55" s="70">
        <f t="shared" ca="1" si="72"/>
        <v>99999.012970709329</v>
      </c>
      <c r="BG55" s="2">
        <f t="shared" ref="BG55" ca="1" si="1046">IFERROR(VLOOKUP($S55,qx_table,MATCH(BG$11,qx_title,0)+sexB),0)</f>
        <v>0</v>
      </c>
      <c r="BH55" s="131">
        <f t="shared" ca="1" si="820"/>
        <v>0</v>
      </c>
      <c r="BI55" s="2">
        <f ca="1">SUM(BH55:BH$124)*SSf</f>
        <v>0</v>
      </c>
      <c r="BJ55" s="70">
        <f t="shared" ca="1" si="75"/>
        <v>99999.012970709329</v>
      </c>
      <c r="BK55" s="2">
        <f t="shared" ref="BK55" ca="1" si="1047">IFERROR(VLOOKUP($S55,qx_table,MATCH(BK$11,qx_title,0)+sexB),0)</f>
        <v>0</v>
      </c>
      <c r="BL55" s="131">
        <f t="shared" ca="1" si="822"/>
        <v>0</v>
      </c>
      <c r="BM55" s="131">
        <f ca="1">SUM(BL55:BL$124)*SSg</f>
        <v>0</v>
      </c>
      <c r="BN55" s="70">
        <f t="shared" ca="1" si="78"/>
        <v>99999.012970709329</v>
      </c>
      <c r="BO55" s="2">
        <f t="shared" ref="BO55" ca="1" si="1048">IFERROR(VLOOKUP($S55,qx_table,MATCH(BO$11,qx_title,0)+sexB),0)</f>
        <v>0</v>
      </c>
      <c r="BP55" s="131">
        <f t="shared" ca="1" si="824"/>
        <v>0</v>
      </c>
      <c r="BQ55" s="131">
        <f ca="1">SUM(BP55:BP$124)*SSh</f>
        <v>0</v>
      </c>
      <c r="BR55" s="70">
        <f t="shared" ca="1" si="81"/>
        <v>99999.012970709329</v>
      </c>
      <c r="BS55" s="2">
        <f t="shared" ref="BS55" ca="1" si="1049">IFERROR(VLOOKUP($S55,qx_table,MATCH(BS$11,qx_title,0)+sexB),0)*IF(R55=0,MCi,1)</f>
        <v>0</v>
      </c>
      <c r="BT55" s="131">
        <f t="shared" ca="1" si="826"/>
        <v>0</v>
      </c>
      <c r="BU55" s="131">
        <f ca="1">SUM(BT55:BT$124)*SSi</f>
        <v>0</v>
      </c>
      <c r="BV55" s="70">
        <f t="shared" ca="1" si="84"/>
        <v>99999.012970709329</v>
      </c>
      <c r="BW55" s="2">
        <f t="shared" ref="BW55" ca="1" si="1050">IFERROR(VLOOKUP($S55,qx_table,MATCH(BW$11,qx_title,0)+sexB),0)</f>
        <v>0</v>
      </c>
      <c r="BX55" s="131">
        <f t="shared" ca="1" si="828"/>
        <v>0</v>
      </c>
      <c r="BY55" s="131">
        <f ca="1">SUM(BX55:BX$124)*SSj</f>
        <v>0</v>
      </c>
      <c r="BZ55" s="70">
        <f t="shared" ca="1" si="87"/>
        <v>99999.012970709329</v>
      </c>
      <c r="CA55" s="2">
        <f t="shared" ref="CA55" ca="1" si="1051">IFERROR(VLOOKUP($S55,qx_table,MATCH(CA$11,qx_title,0)+sexB),0)</f>
        <v>0</v>
      </c>
      <c r="CB55" s="131">
        <f t="shared" ca="1" si="830"/>
        <v>0</v>
      </c>
      <c r="CC55" s="131">
        <f ca="1">SUM(CB55:CB$124)*SSk</f>
        <v>0</v>
      </c>
      <c r="CD55" s="8">
        <f t="shared" ca="1" si="90"/>
        <v>99999.012970709329</v>
      </c>
      <c r="CE55" s="2">
        <f t="shared" ref="CE55" ca="1" si="1052">IFERROR(VLOOKUP($S55,qx_table,MATCH(CE$11,qx_title,0)+sexB),0)</f>
        <v>0</v>
      </c>
      <c r="CF55" s="131">
        <f t="shared" ca="1" si="832"/>
        <v>0</v>
      </c>
      <c r="CG55" s="131">
        <f ca="1">SUM(CF55:CF$124)*SSl</f>
        <v>0</v>
      </c>
      <c r="CH55" s="101">
        <f t="shared" ca="1" si="93"/>
        <v>0</v>
      </c>
      <c r="CI55" s="154">
        <f t="shared" ca="1" si="789"/>
        <v>0</v>
      </c>
      <c r="CJ55" s="32">
        <f t="shared" ca="1" si="38"/>
        <v>0</v>
      </c>
      <c r="CK55" s="32">
        <f t="shared" ref="CK55" ca="1" si="1053">+MAX(VLOOKUP(xB+$R55,기수표B,$AH$1)-VLOOKUP(xB+mB,기수표B,$AH$1)-11/24*(VLOOKUP(xB+$R55,기수표B,$AG$1)-VLOOKUP(xB+mB,기수표B,$AG$1)),0)</f>
        <v>0</v>
      </c>
      <c r="CL55" s="32">
        <f t="shared" ref="CL55" ca="1" si="1054">+MAX(VLOOKUP(xB+$R55,기수표B,$AA$1)-VLOOKUP(xB+mB,기수표B,$AA$1),0)</f>
        <v>0</v>
      </c>
      <c r="CM55" s="32">
        <f t="shared" ref="CM55" ca="1" si="1055">+MAX(VLOOKUP(xB+$R55,기수표B,$AA$1)-VLOOKUP(xB+mB,기수표B,$AA$1)-11/24*(VLOOKUP(xB+$R55,기수표B,$AA$1)-VLOOKUP(xB+mB,기수표B,$AA$1)),0)</f>
        <v>0</v>
      </c>
      <c r="CN55" s="32">
        <f t="shared" si="793"/>
        <v>0</v>
      </c>
      <c r="CO55" s="32">
        <f t="shared" ca="1" si="794"/>
        <v>0</v>
      </c>
      <c r="CP55" s="32">
        <f t="shared" ca="1" si="795"/>
        <v>0</v>
      </c>
      <c r="CQ55" s="262">
        <f t="shared" ca="1" si="796"/>
        <v>0</v>
      </c>
      <c r="CR55" s="259" t="e">
        <f t="shared" ca="1" si="797"/>
        <v>#DIV/0!</v>
      </c>
      <c r="CS55" s="32">
        <f t="shared" ca="1" si="798"/>
        <v>1.5999999999999999E-5</v>
      </c>
      <c r="CT55" s="31">
        <f t="shared" ref="CT55" si="1056">+MIN(mB,7)</f>
        <v>7</v>
      </c>
      <c r="CV55" s="13">
        <v>43</v>
      </c>
      <c r="CW55" s="477">
        <f t="shared" ca="1" si="800"/>
        <v>480</v>
      </c>
      <c r="CX55" s="477" t="e">
        <f t="shared" ca="1" si="801"/>
        <v>#DIV/0!</v>
      </c>
      <c r="CY55" s="477">
        <f t="shared" ca="1" si="802"/>
        <v>0</v>
      </c>
      <c r="CZ55" s="478">
        <f t="shared" ca="1" si="98"/>
        <v>0</v>
      </c>
    </row>
    <row r="56" spans="2:104">
      <c r="N56" s="5">
        <f t="shared" si="99"/>
        <v>44</v>
      </c>
      <c r="O56" s="2">
        <f t="shared" ref="O56" ca="1" si="1057">+(1+iB)^-N56</f>
        <v>0.37567653198258705</v>
      </c>
      <c r="P56" s="2">
        <f t="shared" ref="P56" ca="1" si="1058">+(1+iB)^-(N56+0.5)</f>
        <v>0.37152017939706955</v>
      </c>
      <c r="Q56" s="91"/>
      <c r="R56" s="20">
        <f t="shared" si="102"/>
        <v>44</v>
      </c>
      <c r="S56" s="20" t="str">
        <f t="shared" ref="S56" si="1059">+IF(xB+R56&lt;=xB+nB,xB+R56,"")</f>
        <v/>
      </c>
      <c r="T56" s="2">
        <f t="shared" ref="T56:U56" ca="1" si="1060">IFERROR(VLOOKUP($S56,qx_table,MATCH(T$11,qx_title,0)+sexB),0)</f>
        <v>0</v>
      </c>
      <c r="U56" s="2">
        <f t="shared" ca="1" si="1060"/>
        <v>0</v>
      </c>
      <c r="V56" s="300">
        <v>0</v>
      </c>
      <c r="W56" s="8">
        <f t="shared" ref="W56" si="1061">IF(R56=0,100000,IF(R56&gt;nB,0,W55*(1-X55)*(1-Y55)))</f>
        <v>0</v>
      </c>
      <c r="X56" s="10">
        <f t="shared" ca="1" si="19"/>
        <v>0</v>
      </c>
      <c r="Y56" s="10">
        <f t="shared" ca="1" si="56"/>
        <v>0</v>
      </c>
      <c r="Z56" s="8">
        <f t="shared" ca="1" si="106"/>
        <v>0</v>
      </c>
      <c r="AA56" s="8">
        <f ca="1">+SUM(Z56:Z$124)</f>
        <v>0</v>
      </c>
      <c r="AB56" s="8">
        <f t="shared" ca="1" si="20"/>
        <v>0</v>
      </c>
      <c r="AC56" s="209">
        <f ca="1">+SUM(AB56:AB$124)*SSSM</f>
        <v>0</v>
      </c>
      <c r="AD56" s="209">
        <f t="shared" ref="AD56" si="1062">IF(R56&gt;nB,0,AD55*(1-X55)*(1-Y55)*(1-AE55)*(1-AF55))</f>
        <v>0</v>
      </c>
      <c r="AE56" s="92">
        <f t="shared" ca="1" si="21"/>
        <v>0</v>
      </c>
      <c r="AF56" s="92">
        <f t="shared" ca="1" si="22"/>
        <v>0</v>
      </c>
      <c r="AG56" s="8">
        <f t="shared" ca="1" si="23"/>
        <v>0</v>
      </c>
      <c r="AH56" s="5">
        <f ca="1">+SUM(AG56:AG$124)</f>
        <v>0</v>
      </c>
      <c r="AI56" s="70">
        <f t="shared" ca="1" si="24"/>
        <v>0</v>
      </c>
      <c r="AJ56" s="208">
        <f ca="1">+SUM(AB56:AB$124)*SS50J</f>
        <v>0</v>
      </c>
      <c r="AK56" s="5">
        <f t="shared" ca="1" si="58"/>
        <v>99999.012970709329</v>
      </c>
      <c r="AL56" s="2">
        <f t="shared" ref="AL56" ca="1" si="1063">IFERROR(VLOOKUP($S56,qx_table,MATCH(AL$11,qx_title,0)+sexB),0)</f>
        <v>0</v>
      </c>
      <c r="AM56" s="131">
        <f t="shared" ca="1" si="109"/>
        <v>37567.282394517817</v>
      </c>
      <c r="AN56" s="129">
        <f t="shared" ca="1" si="777"/>
        <v>0</v>
      </c>
      <c r="AO56" s="129">
        <f ca="1">SUM(AN56:AN$124)*SSa</f>
        <v>0</v>
      </c>
      <c r="AP56" s="70">
        <f t="shared" ca="1" si="60"/>
        <v>99999.012970709329</v>
      </c>
      <c r="AQ56" s="2">
        <f t="shared" ref="AQ56" ca="1" si="1064">IFERROR(VLOOKUP($S56,qx_table,MATCH(AQ$11,qx_title,0)+sexB),0)</f>
        <v>0</v>
      </c>
      <c r="AR56" s="127">
        <f t="shared" ca="1" si="812"/>
        <v>0</v>
      </c>
      <c r="AS56" s="127">
        <f ca="1">SUM(AR56:AR$124)*SSb</f>
        <v>0</v>
      </c>
      <c r="AT56" s="70">
        <f t="shared" ca="1" si="63"/>
        <v>99999.012970709329</v>
      </c>
      <c r="AU56" s="2">
        <f t="shared" ref="AU56" ca="1" si="1065">IFERROR(VLOOKUP($S56,qx_table,MATCH(AU$11,qx_title,0)+sexB),0)</f>
        <v>0</v>
      </c>
      <c r="AV56" s="268">
        <f t="shared" ca="1" si="814"/>
        <v>0</v>
      </c>
      <c r="AW56" s="131">
        <f ca="1">SUM(AV56:AV$124)*SSc</f>
        <v>0</v>
      </c>
      <c r="AX56" s="70">
        <f t="shared" ca="1" si="66"/>
        <v>99999.012970709329</v>
      </c>
      <c r="AY56" s="2">
        <f t="shared" ref="AY56" ca="1" si="1066">IFERROR(VLOOKUP($S56,qx_table,MATCH(AY$11,qx_title,0)+sexB),0)</f>
        <v>0</v>
      </c>
      <c r="AZ56" s="268">
        <f t="shared" ca="1" si="816"/>
        <v>0</v>
      </c>
      <c r="BA56" s="129">
        <f ca="1">SUM(AZ56:AZ$124)*SSd</f>
        <v>0</v>
      </c>
      <c r="BB56" s="70">
        <f t="shared" ca="1" si="69"/>
        <v>99999.012970709329</v>
      </c>
      <c r="BC56" s="257">
        <f t="shared" ref="BC56" ca="1" si="1067">IFERROR(VLOOKUP($S56,qx_table,MATCH(BC$11,qx_title,0)+sexB),0)</f>
        <v>0</v>
      </c>
      <c r="BD56" s="268">
        <f t="shared" ca="1" si="818"/>
        <v>0</v>
      </c>
      <c r="BE56" s="131">
        <f ca="1">SUM(BD56:BD$124)*SSe</f>
        <v>0</v>
      </c>
      <c r="BF56" s="70">
        <f t="shared" ca="1" si="72"/>
        <v>99999.012970709329</v>
      </c>
      <c r="BG56" s="2">
        <f t="shared" ref="BG56" ca="1" si="1068">IFERROR(VLOOKUP($S56,qx_table,MATCH(BG$11,qx_title,0)+sexB),0)</f>
        <v>0</v>
      </c>
      <c r="BH56" s="131">
        <f t="shared" ca="1" si="820"/>
        <v>0</v>
      </c>
      <c r="BI56" s="2">
        <f ca="1">SUM(BH56:BH$124)*SSf</f>
        <v>0</v>
      </c>
      <c r="BJ56" s="70">
        <f t="shared" ca="1" si="75"/>
        <v>99999.012970709329</v>
      </c>
      <c r="BK56" s="2">
        <f t="shared" ref="BK56" ca="1" si="1069">IFERROR(VLOOKUP($S56,qx_table,MATCH(BK$11,qx_title,0)+sexB),0)</f>
        <v>0</v>
      </c>
      <c r="BL56" s="131">
        <f t="shared" ca="1" si="822"/>
        <v>0</v>
      </c>
      <c r="BM56" s="131">
        <f ca="1">SUM(BL56:BL$124)*SSg</f>
        <v>0</v>
      </c>
      <c r="BN56" s="70">
        <f t="shared" ca="1" si="78"/>
        <v>99999.012970709329</v>
      </c>
      <c r="BO56" s="2">
        <f t="shared" ref="BO56" ca="1" si="1070">IFERROR(VLOOKUP($S56,qx_table,MATCH(BO$11,qx_title,0)+sexB),0)</f>
        <v>0</v>
      </c>
      <c r="BP56" s="131">
        <f t="shared" ca="1" si="824"/>
        <v>0</v>
      </c>
      <c r="BQ56" s="131">
        <f ca="1">SUM(BP56:BP$124)*SSh</f>
        <v>0</v>
      </c>
      <c r="BR56" s="70">
        <f t="shared" ca="1" si="81"/>
        <v>99999.012970709329</v>
      </c>
      <c r="BS56" s="2">
        <f t="shared" ref="BS56" ca="1" si="1071">IFERROR(VLOOKUP($S56,qx_table,MATCH(BS$11,qx_title,0)+sexB),0)*IF(R56=0,MCi,1)</f>
        <v>0</v>
      </c>
      <c r="BT56" s="131">
        <f t="shared" ca="1" si="826"/>
        <v>0</v>
      </c>
      <c r="BU56" s="131">
        <f ca="1">SUM(BT56:BT$124)*SSi</f>
        <v>0</v>
      </c>
      <c r="BV56" s="70">
        <f t="shared" ca="1" si="84"/>
        <v>99999.012970709329</v>
      </c>
      <c r="BW56" s="2">
        <f t="shared" ref="BW56" ca="1" si="1072">IFERROR(VLOOKUP($S56,qx_table,MATCH(BW$11,qx_title,0)+sexB),0)</f>
        <v>0</v>
      </c>
      <c r="BX56" s="131">
        <f t="shared" ca="1" si="828"/>
        <v>0</v>
      </c>
      <c r="BY56" s="131">
        <f ca="1">SUM(BX56:BX$124)*SSj</f>
        <v>0</v>
      </c>
      <c r="BZ56" s="70">
        <f t="shared" ca="1" si="87"/>
        <v>99999.012970709329</v>
      </c>
      <c r="CA56" s="2">
        <f t="shared" ref="CA56" ca="1" si="1073">IFERROR(VLOOKUP($S56,qx_table,MATCH(CA$11,qx_title,0)+sexB),0)</f>
        <v>0</v>
      </c>
      <c r="CB56" s="131">
        <f t="shared" ca="1" si="830"/>
        <v>0</v>
      </c>
      <c r="CC56" s="131">
        <f ca="1">SUM(CB56:CB$124)*SSk</f>
        <v>0</v>
      </c>
      <c r="CD56" s="8">
        <f t="shared" ca="1" si="90"/>
        <v>99999.012970709329</v>
      </c>
      <c r="CE56" s="2">
        <f t="shared" ref="CE56" ca="1" si="1074">IFERROR(VLOOKUP($S56,qx_table,MATCH(CE$11,qx_title,0)+sexB),0)</f>
        <v>0</v>
      </c>
      <c r="CF56" s="131">
        <f t="shared" ca="1" si="832"/>
        <v>0</v>
      </c>
      <c r="CG56" s="131">
        <f ca="1">SUM(CF56:CF$124)*SSl</f>
        <v>0</v>
      </c>
      <c r="CH56" s="101">
        <f t="shared" ca="1" si="93"/>
        <v>0</v>
      </c>
      <c r="CI56" s="154">
        <f t="shared" ca="1" si="789"/>
        <v>0</v>
      </c>
      <c r="CJ56" s="32">
        <f t="shared" ca="1" si="38"/>
        <v>0</v>
      </c>
      <c r="CK56" s="32">
        <f t="shared" ref="CK56" ca="1" si="1075">+MAX(VLOOKUP(xB+$R56,기수표B,$AH$1)-VLOOKUP(xB+mB,기수표B,$AH$1)-11/24*(VLOOKUP(xB+$R56,기수표B,$AG$1)-VLOOKUP(xB+mB,기수표B,$AG$1)),0)</f>
        <v>0</v>
      </c>
      <c r="CL56" s="32">
        <f t="shared" ref="CL56" ca="1" si="1076">+MAX(VLOOKUP(xB+$R56,기수표B,$AA$1)-VLOOKUP(xB+mB,기수표B,$AA$1),0)</f>
        <v>0</v>
      </c>
      <c r="CM56" s="32">
        <f t="shared" ref="CM56" ca="1" si="1077">+MAX(VLOOKUP(xB+$R56,기수표B,$AA$1)-VLOOKUP(xB+mB,기수표B,$AA$1)-11/24*(VLOOKUP(xB+$R56,기수표B,$AA$1)-VLOOKUP(xB+mB,기수표B,$AA$1)),0)</f>
        <v>0</v>
      </c>
      <c r="CN56" s="32">
        <f t="shared" si="793"/>
        <v>0</v>
      </c>
      <c r="CO56" s="32">
        <f t="shared" ca="1" si="794"/>
        <v>0</v>
      </c>
      <c r="CP56" s="32">
        <f t="shared" ca="1" si="795"/>
        <v>0</v>
      </c>
      <c r="CQ56" s="262">
        <f t="shared" ca="1" si="796"/>
        <v>0</v>
      </c>
      <c r="CR56" s="259" t="e">
        <f t="shared" ca="1" si="797"/>
        <v>#DIV/0!</v>
      </c>
      <c r="CS56" s="32">
        <f t="shared" ca="1" si="798"/>
        <v>1.5999999999999999E-5</v>
      </c>
      <c r="CT56" s="31">
        <f t="shared" ref="CT56" si="1078">+MIN(mB,7)</f>
        <v>7</v>
      </c>
      <c r="CV56" s="13">
        <v>44</v>
      </c>
      <c r="CW56" s="477">
        <f t="shared" ca="1" si="800"/>
        <v>480</v>
      </c>
      <c r="CX56" s="477" t="e">
        <f t="shared" ca="1" si="801"/>
        <v>#DIV/0!</v>
      </c>
      <c r="CY56" s="477">
        <f t="shared" ca="1" si="802"/>
        <v>0</v>
      </c>
      <c r="CZ56" s="478">
        <f t="shared" ca="1" si="98"/>
        <v>0</v>
      </c>
    </row>
    <row r="57" spans="2:104">
      <c r="N57" s="5">
        <f t="shared" si="99"/>
        <v>45</v>
      </c>
      <c r="O57" s="2">
        <f t="shared" ref="O57" ca="1" si="1079">+(1+iB)^-N57</f>
        <v>0.36740981122991401</v>
      </c>
      <c r="P57" s="2">
        <f t="shared" ref="P57" ca="1" si="1080">+(1+iB)^-(N57+0.5)</f>
        <v>0.36334491872574043</v>
      </c>
      <c r="Q57" s="91"/>
      <c r="R57" s="20">
        <f t="shared" si="102"/>
        <v>45</v>
      </c>
      <c r="S57" s="20" t="str">
        <f t="shared" ref="S57" si="1081">+IF(xB+R57&lt;=xB+nB,xB+R57,"")</f>
        <v/>
      </c>
      <c r="T57" s="2">
        <f t="shared" ref="T57:U57" ca="1" si="1082">IFERROR(VLOOKUP($S57,qx_table,MATCH(T$11,qx_title,0)+sexB),0)</f>
        <v>0</v>
      </c>
      <c r="U57" s="2">
        <f t="shared" ca="1" si="1082"/>
        <v>0</v>
      </c>
      <c r="V57" s="300">
        <v>0</v>
      </c>
      <c r="W57" s="8">
        <f t="shared" ref="W57" si="1083">IF(R57=0,100000,IF(R57&gt;nB,0,W56*(1-X56)*(1-Y56)))</f>
        <v>0</v>
      </c>
      <c r="X57" s="10">
        <f t="shared" ca="1" si="19"/>
        <v>0</v>
      </c>
      <c r="Y57" s="10">
        <f t="shared" ca="1" si="56"/>
        <v>0</v>
      </c>
      <c r="Z57" s="8">
        <f t="shared" ca="1" si="106"/>
        <v>0</v>
      </c>
      <c r="AA57" s="8">
        <f ca="1">+SUM(Z57:Z$124)</f>
        <v>0</v>
      </c>
      <c r="AB57" s="8">
        <f t="shared" ca="1" si="20"/>
        <v>0</v>
      </c>
      <c r="AC57" s="209">
        <f ca="1">+SUM(AB57:AB$124)*SSSM</f>
        <v>0</v>
      </c>
      <c r="AD57" s="209">
        <f t="shared" ref="AD57" si="1084">IF(R57&gt;nB,0,AD56*(1-X56)*(1-Y56)*(1-AE56)*(1-AF56))</f>
        <v>0</v>
      </c>
      <c r="AE57" s="92">
        <f t="shared" ca="1" si="21"/>
        <v>0</v>
      </c>
      <c r="AF57" s="92">
        <f t="shared" ca="1" si="22"/>
        <v>0</v>
      </c>
      <c r="AG57" s="8">
        <f t="shared" ca="1" si="23"/>
        <v>0</v>
      </c>
      <c r="AH57" s="5">
        <f ca="1">+SUM(AG57:AG$124)</f>
        <v>0</v>
      </c>
      <c r="AI57" s="70">
        <f t="shared" ca="1" si="24"/>
        <v>0</v>
      </c>
      <c r="AJ57" s="208">
        <f ca="1">+SUM(AB57:AB$124)*SS50J</f>
        <v>0</v>
      </c>
      <c r="AK57" s="5">
        <f t="shared" ca="1" si="58"/>
        <v>99999.012970709329</v>
      </c>
      <c r="AL57" s="2">
        <f t="shared" ref="AL57" ca="1" si="1085">IFERROR(VLOOKUP($S57,qx_table,MATCH(AL$11,qx_title,0)+sexB),0)</f>
        <v>0</v>
      </c>
      <c r="AM57" s="131">
        <f t="shared" ca="1" si="109"/>
        <v>36740.618478746037</v>
      </c>
      <c r="AN57" s="129">
        <f t="shared" ca="1" si="777"/>
        <v>0</v>
      </c>
      <c r="AO57" s="129">
        <f ca="1">SUM(AN57:AN$124)*SSa</f>
        <v>0</v>
      </c>
      <c r="AP57" s="70">
        <f t="shared" ca="1" si="60"/>
        <v>99999.012970709329</v>
      </c>
      <c r="AQ57" s="2">
        <f t="shared" ref="AQ57" ca="1" si="1086">IFERROR(VLOOKUP($S57,qx_table,MATCH(AQ$11,qx_title,0)+sexB),0)</f>
        <v>0</v>
      </c>
      <c r="AR57" s="127">
        <f t="shared" ca="1" si="812"/>
        <v>0</v>
      </c>
      <c r="AS57" s="127">
        <f ca="1">SUM(AR57:AR$124)*SSb</f>
        <v>0</v>
      </c>
      <c r="AT57" s="70">
        <f t="shared" ca="1" si="63"/>
        <v>99999.012970709329</v>
      </c>
      <c r="AU57" s="2">
        <f t="shared" ref="AU57" ca="1" si="1087">IFERROR(VLOOKUP($S57,qx_table,MATCH(AU$11,qx_title,0)+sexB),0)</f>
        <v>0</v>
      </c>
      <c r="AV57" s="268">
        <f t="shared" ca="1" si="814"/>
        <v>0</v>
      </c>
      <c r="AW57" s="131">
        <f ca="1">SUM(AV57:AV$124)*SSc</f>
        <v>0</v>
      </c>
      <c r="AX57" s="70">
        <f t="shared" ca="1" si="66"/>
        <v>99999.012970709329</v>
      </c>
      <c r="AY57" s="2">
        <f t="shared" ref="AY57" ca="1" si="1088">IFERROR(VLOOKUP($S57,qx_table,MATCH(AY$11,qx_title,0)+sexB),0)</f>
        <v>0</v>
      </c>
      <c r="AZ57" s="268">
        <f t="shared" ca="1" si="816"/>
        <v>0</v>
      </c>
      <c r="BA57" s="129">
        <f ca="1">SUM(AZ57:AZ$124)*SSd</f>
        <v>0</v>
      </c>
      <c r="BB57" s="70">
        <f t="shared" ca="1" si="69"/>
        <v>99999.012970709329</v>
      </c>
      <c r="BC57" s="257">
        <f t="shared" ref="BC57" ca="1" si="1089">IFERROR(VLOOKUP($S57,qx_table,MATCH(BC$11,qx_title,0)+sexB),0)</f>
        <v>0</v>
      </c>
      <c r="BD57" s="268">
        <f t="shared" ca="1" si="818"/>
        <v>0</v>
      </c>
      <c r="BE57" s="131">
        <f ca="1">SUM(BD57:BD$124)*SSe</f>
        <v>0</v>
      </c>
      <c r="BF57" s="70">
        <f t="shared" ca="1" si="72"/>
        <v>99999.012970709329</v>
      </c>
      <c r="BG57" s="2">
        <f t="shared" ref="BG57" ca="1" si="1090">IFERROR(VLOOKUP($S57,qx_table,MATCH(BG$11,qx_title,0)+sexB),0)</f>
        <v>0</v>
      </c>
      <c r="BH57" s="131">
        <f t="shared" ca="1" si="820"/>
        <v>0</v>
      </c>
      <c r="BI57" s="2">
        <f ca="1">SUM(BH57:BH$124)*SSf</f>
        <v>0</v>
      </c>
      <c r="BJ57" s="70">
        <f t="shared" ca="1" si="75"/>
        <v>99999.012970709329</v>
      </c>
      <c r="BK57" s="2">
        <f t="shared" ref="BK57" ca="1" si="1091">IFERROR(VLOOKUP($S57,qx_table,MATCH(BK$11,qx_title,0)+sexB),0)</f>
        <v>0</v>
      </c>
      <c r="BL57" s="131">
        <f t="shared" ca="1" si="822"/>
        <v>0</v>
      </c>
      <c r="BM57" s="131">
        <f ca="1">SUM(BL57:BL$124)*SSg</f>
        <v>0</v>
      </c>
      <c r="BN57" s="70">
        <f t="shared" ca="1" si="78"/>
        <v>99999.012970709329</v>
      </c>
      <c r="BO57" s="2">
        <f t="shared" ref="BO57" ca="1" si="1092">IFERROR(VLOOKUP($S57,qx_table,MATCH(BO$11,qx_title,0)+sexB),0)</f>
        <v>0</v>
      </c>
      <c r="BP57" s="131">
        <f t="shared" ca="1" si="824"/>
        <v>0</v>
      </c>
      <c r="BQ57" s="131">
        <f ca="1">SUM(BP57:BP$124)*SSh</f>
        <v>0</v>
      </c>
      <c r="BR57" s="70">
        <f t="shared" ca="1" si="81"/>
        <v>99999.012970709329</v>
      </c>
      <c r="BS57" s="2">
        <f t="shared" ref="BS57" ca="1" si="1093">IFERROR(VLOOKUP($S57,qx_table,MATCH(BS$11,qx_title,0)+sexB),0)*IF(R57=0,MCi,1)</f>
        <v>0</v>
      </c>
      <c r="BT57" s="131">
        <f t="shared" ca="1" si="826"/>
        <v>0</v>
      </c>
      <c r="BU57" s="131">
        <f ca="1">SUM(BT57:BT$124)*SSi</f>
        <v>0</v>
      </c>
      <c r="BV57" s="70">
        <f t="shared" ca="1" si="84"/>
        <v>99999.012970709329</v>
      </c>
      <c r="BW57" s="2">
        <f t="shared" ref="BW57" ca="1" si="1094">IFERROR(VLOOKUP($S57,qx_table,MATCH(BW$11,qx_title,0)+sexB),0)</f>
        <v>0</v>
      </c>
      <c r="BX57" s="131">
        <f t="shared" ca="1" si="828"/>
        <v>0</v>
      </c>
      <c r="BY57" s="131">
        <f ca="1">SUM(BX57:BX$124)*SSj</f>
        <v>0</v>
      </c>
      <c r="BZ57" s="70">
        <f t="shared" ca="1" si="87"/>
        <v>99999.012970709329</v>
      </c>
      <c r="CA57" s="2">
        <f t="shared" ref="CA57" ca="1" si="1095">IFERROR(VLOOKUP($S57,qx_table,MATCH(CA$11,qx_title,0)+sexB),0)</f>
        <v>0</v>
      </c>
      <c r="CB57" s="131">
        <f t="shared" ca="1" si="830"/>
        <v>0</v>
      </c>
      <c r="CC57" s="131">
        <f ca="1">SUM(CB57:CB$124)*SSk</f>
        <v>0</v>
      </c>
      <c r="CD57" s="8">
        <f t="shared" ca="1" si="90"/>
        <v>99999.012970709329</v>
      </c>
      <c r="CE57" s="2">
        <f t="shared" ref="CE57" ca="1" si="1096">IFERROR(VLOOKUP($S57,qx_table,MATCH(CE$11,qx_title,0)+sexB),0)</f>
        <v>0</v>
      </c>
      <c r="CF57" s="131">
        <f t="shared" ca="1" si="832"/>
        <v>0</v>
      </c>
      <c r="CG57" s="131">
        <f ca="1">SUM(CF57:CF$124)*SSl</f>
        <v>0</v>
      </c>
      <c r="CH57" s="101">
        <f t="shared" ca="1" si="93"/>
        <v>0</v>
      </c>
      <c r="CI57" s="154">
        <f t="shared" ca="1" si="789"/>
        <v>0</v>
      </c>
      <c r="CJ57" s="32">
        <f t="shared" ca="1" si="38"/>
        <v>0</v>
      </c>
      <c r="CK57" s="32">
        <f t="shared" ref="CK57" ca="1" si="1097">+MAX(VLOOKUP(xB+$R57,기수표B,$AH$1)-VLOOKUP(xB+mB,기수표B,$AH$1)-11/24*(VLOOKUP(xB+$R57,기수표B,$AG$1)-VLOOKUP(xB+mB,기수표B,$AG$1)),0)</f>
        <v>0</v>
      </c>
      <c r="CL57" s="32">
        <f t="shared" ref="CL57" ca="1" si="1098">+MAX(VLOOKUP(xB+$R57,기수표B,$AA$1)-VLOOKUP(xB+mB,기수표B,$AA$1),0)</f>
        <v>0</v>
      </c>
      <c r="CM57" s="32">
        <f t="shared" ref="CM57" ca="1" si="1099">+MAX(VLOOKUP(xB+$R57,기수표B,$AA$1)-VLOOKUP(xB+mB,기수표B,$AA$1)-11/24*(VLOOKUP(xB+$R57,기수표B,$AA$1)-VLOOKUP(xB+mB,기수표B,$AA$1)),0)</f>
        <v>0</v>
      </c>
      <c r="CN57" s="32">
        <f t="shared" si="793"/>
        <v>0</v>
      </c>
      <c r="CO57" s="32">
        <f t="shared" ca="1" si="794"/>
        <v>0</v>
      </c>
      <c r="CP57" s="32">
        <f t="shared" ca="1" si="795"/>
        <v>0</v>
      </c>
      <c r="CQ57" s="262">
        <f t="shared" ca="1" si="796"/>
        <v>0</v>
      </c>
      <c r="CR57" s="259" t="e">
        <f t="shared" ca="1" si="797"/>
        <v>#DIV/0!</v>
      </c>
      <c r="CS57" s="32">
        <f t="shared" ca="1" si="798"/>
        <v>1.5999999999999999E-5</v>
      </c>
      <c r="CT57" s="31">
        <f t="shared" ref="CT57" si="1100">+MIN(mB,7)</f>
        <v>7</v>
      </c>
      <c r="CV57" s="13">
        <v>45</v>
      </c>
      <c r="CW57" s="477">
        <f t="shared" ca="1" si="800"/>
        <v>480</v>
      </c>
      <c r="CX57" s="477" t="e">
        <f t="shared" ca="1" si="801"/>
        <v>#DIV/0!</v>
      </c>
      <c r="CY57" s="477">
        <f t="shared" ca="1" si="802"/>
        <v>0</v>
      </c>
      <c r="CZ57" s="478">
        <f t="shared" ca="1" si="98"/>
        <v>0</v>
      </c>
    </row>
    <row r="58" spans="2:104">
      <c r="B58" s="16"/>
      <c r="N58" s="5">
        <f t="shared" si="99"/>
        <v>46</v>
      </c>
      <c r="O58" s="2">
        <f t="shared" ref="O58" ca="1" si="1101">+(1+iB)^-N58</f>
        <v>0.35932499875786211</v>
      </c>
      <c r="P58" s="2">
        <f t="shared" ref="P58" ca="1" si="1102">+(1+iB)^-(N58+0.5)</f>
        <v>0.3553495537660053</v>
      </c>
      <c r="Q58" s="91"/>
      <c r="R58" s="20">
        <f t="shared" si="102"/>
        <v>46</v>
      </c>
      <c r="S58" s="20" t="str">
        <f t="shared" ref="S58" si="1103">+IF(xB+R58&lt;=xB+nB,xB+R58,"")</f>
        <v/>
      </c>
      <c r="T58" s="2">
        <f t="shared" ref="T58:U58" ca="1" si="1104">IFERROR(VLOOKUP($S58,qx_table,MATCH(T$11,qx_title,0)+sexB),0)</f>
        <v>0</v>
      </c>
      <c r="U58" s="2">
        <f t="shared" ca="1" si="1104"/>
        <v>0</v>
      </c>
      <c r="V58" s="300">
        <v>0</v>
      </c>
      <c r="W58" s="8">
        <f t="shared" ref="W58" si="1105">IF(R58=0,100000,IF(R58&gt;nB,0,W57*(1-X57)*(1-Y57)))</f>
        <v>0</v>
      </c>
      <c r="X58" s="10">
        <f t="shared" ca="1" si="19"/>
        <v>0</v>
      </c>
      <c r="Y58" s="10">
        <f t="shared" ca="1" si="56"/>
        <v>0</v>
      </c>
      <c r="Z58" s="8">
        <f t="shared" ca="1" si="106"/>
        <v>0</v>
      </c>
      <c r="AA58" s="8">
        <f ca="1">+SUM(Z58:Z$124)</f>
        <v>0</v>
      </c>
      <c r="AB58" s="8">
        <f t="shared" ca="1" si="20"/>
        <v>0</v>
      </c>
      <c r="AC58" s="209">
        <f ca="1">+SUM(AB58:AB$124)*SSSM</f>
        <v>0</v>
      </c>
      <c r="AD58" s="209">
        <f t="shared" ref="AD58" si="1106">IF(R58&gt;nB,0,AD57*(1-X57)*(1-Y57)*(1-AE57)*(1-AF57))</f>
        <v>0</v>
      </c>
      <c r="AE58" s="92">
        <f t="shared" ca="1" si="21"/>
        <v>0</v>
      </c>
      <c r="AF58" s="92">
        <f t="shared" ca="1" si="22"/>
        <v>0</v>
      </c>
      <c r="AG58" s="8">
        <f t="shared" ca="1" si="23"/>
        <v>0</v>
      </c>
      <c r="AH58" s="5">
        <f ca="1">+SUM(AG58:AG$124)</f>
        <v>0</v>
      </c>
      <c r="AI58" s="70">
        <f t="shared" ca="1" si="24"/>
        <v>0</v>
      </c>
      <c r="AJ58" s="208">
        <f ca="1">+SUM(AB58:AB$124)*SS50J</f>
        <v>0</v>
      </c>
      <c r="AK58" s="5">
        <f t="shared" ca="1" si="58"/>
        <v>99999.012970709329</v>
      </c>
      <c r="AL58" s="2">
        <f t="shared" ref="AL58" ca="1" si="1107">IFERROR(VLOOKUP($S58,qx_table,MATCH(AL$11,qx_title,0)+sexB),0)</f>
        <v>0</v>
      </c>
      <c r="AM58" s="131">
        <f t="shared" ca="1" si="109"/>
        <v>35932.145211487565</v>
      </c>
      <c r="AN58" s="129">
        <f t="shared" ca="1" si="777"/>
        <v>0</v>
      </c>
      <c r="AO58" s="129">
        <f ca="1">SUM(AN58:AN$124)*SSa</f>
        <v>0</v>
      </c>
      <c r="AP58" s="70">
        <f t="shared" ca="1" si="60"/>
        <v>99999.012970709329</v>
      </c>
      <c r="AQ58" s="2">
        <f t="shared" ref="AQ58" ca="1" si="1108">IFERROR(VLOOKUP($S58,qx_table,MATCH(AQ$11,qx_title,0)+sexB),0)</f>
        <v>0</v>
      </c>
      <c r="AR58" s="127">
        <f t="shared" ca="1" si="812"/>
        <v>0</v>
      </c>
      <c r="AS58" s="127">
        <f ca="1">SUM(AR58:AR$124)*SSb</f>
        <v>0</v>
      </c>
      <c r="AT58" s="70">
        <f t="shared" ca="1" si="63"/>
        <v>99999.012970709329</v>
      </c>
      <c r="AU58" s="2">
        <f t="shared" ref="AU58" ca="1" si="1109">IFERROR(VLOOKUP($S58,qx_table,MATCH(AU$11,qx_title,0)+sexB),0)</f>
        <v>0</v>
      </c>
      <c r="AV58" s="268">
        <f t="shared" ca="1" si="814"/>
        <v>0</v>
      </c>
      <c r="AW58" s="131">
        <f ca="1">SUM(AV58:AV$124)*SSc</f>
        <v>0</v>
      </c>
      <c r="AX58" s="70">
        <f t="shared" ca="1" si="66"/>
        <v>99999.012970709329</v>
      </c>
      <c r="AY58" s="2">
        <f t="shared" ref="AY58" ca="1" si="1110">IFERROR(VLOOKUP($S58,qx_table,MATCH(AY$11,qx_title,0)+sexB),0)</f>
        <v>0</v>
      </c>
      <c r="AZ58" s="268">
        <f t="shared" ca="1" si="816"/>
        <v>0</v>
      </c>
      <c r="BA58" s="129">
        <f ca="1">SUM(AZ58:AZ$124)*SSd</f>
        <v>0</v>
      </c>
      <c r="BB58" s="70">
        <f t="shared" ca="1" si="69"/>
        <v>99999.012970709329</v>
      </c>
      <c r="BC58" s="257">
        <f t="shared" ref="BC58" ca="1" si="1111">IFERROR(VLOOKUP($S58,qx_table,MATCH(BC$11,qx_title,0)+sexB),0)</f>
        <v>0</v>
      </c>
      <c r="BD58" s="268">
        <f t="shared" ca="1" si="818"/>
        <v>0</v>
      </c>
      <c r="BE58" s="131">
        <f ca="1">SUM(BD58:BD$124)*SSe</f>
        <v>0</v>
      </c>
      <c r="BF58" s="70">
        <f t="shared" ca="1" si="72"/>
        <v>99999.012970709329</v>
      </c>
      <c r="BG58" s="2">
        <f t="shared" ref="BG58" ca="1" si="1112">IFERROR(VLOOKUP($S58,qx_table,MATCH(BG$11,qx_title,0)+sexB),0)</f>
        <v>0</v>
      </c>
      <c r="BH58" s="131">
        <f t="shared" ca="1" si="820"/>
        <v>0</v>
      </c>
      <c r="BI58" s="2">
        <f ca="1">SUM(BH58:BH$124)*SSf</f>
        <v>0</v>
      </c>
      <c r="BJ58" s="70">
        <f t="shared" ca="1" si="75"/>
        <v>99999.012970709329</v>
      </c>
      <c r="BK58" s="2">
        <f t="shared" ref="BK58" ca="1" si="1113">IFERROR(VLOOKUP($S58,qx_table,MATCH(BK$11,qx_title,0)+sexB),0)</f>
        <v>0</v>
      </c>
      <c r="BL58" s="131">
        <f t="shared" ca="1" si="822"/>
        <v>0</v>
      </c>
      <c r="BM58" s="131">
        <f ca="1">SUM(BL58:BL$124)*SSg</f>
        <v>0</v>
      </c>
      <c r="BN58" s="70">
        <f t="shared" ca="1" si="78"/>
        <v>99999.012970709329</v>
      </c>
      <c r="BO58" s="2">
        <f t="shared" ref="BO58" ca="1" si="1114">IFERROR(VLOOKUP($S58,qx_table,MATCH(BO$11,qx_title,0)+sexB),0)</f>
        <v>0</v>
      </c>
      <c r="BP58" s="131">
        <f t="shared" ca="1" si="824"/>
        <v>0</v>
      </c>
      <c r="BQ58" s="131">
        <f ca="1">SUM(BP58:BP$124)*SSh</f>
        <v>0</v>
      </c>
      <c r="BR58" s="70">
        <f t="shared" ca="1" si="81"/>
        <v>99999.012970709329</v>
      </c>
      <c r="BS58" s="2">
        <f t="shared" ref="BS58" ca="1" si="1115">IFERROR(VLOOKUP($S58,qx_table,MATCH(BS$11,qx_title,0)+sexB),0)*IF(R58=0,MCi,1)</f>
        <v>0</v>
      </c>
      <c r="BT58" s="131">
        <f t="shared" ca="1" si="826"/>
        <v>0</v>
      </c>
      <c r="BU58" s="131">
        <f ca="1">SUM(BT58:BT$124)*SSi</f>
        <v>0</v>
      </c>
      <c r="BV58" s="70">
        <f t="shared" ca="1" si="84"/>
        <v>99999.012970709329</v>
      </c>
      <c r="BW58" s="2">
        <f t="shared" ref="BW58" ca="1" si="1116">IFERROR(VLOOKUP($S58,qx_table,MATCH(BW$11,qx_title,0)+sexB),0)</f>
        <v>0</v>
      </c>
      <c r="BX58" s="131">
        <f t="shared" ca="1" si="828"/>
        <v>0</v>
      </c>
      <c r="BY58" s="131">
        <f ca="1">SUM(BX58:BX$124)*SSj</f>
        <v>0</v>
      </c>
      <c r="BZ58" s="70">
        <f t="shared" ca="1" si="87"/>
        <v>99999.012970709329</v>
      </c>
      <c r="CA58" s="2">
        <f t="shared" ref="CA58" ca="1" si="1117">IFERROR(VLOOKUP($S58,qx_table,MATCH(CA$11,qx_title,0)+sexB),0)</f>
        <v>0</v>
      </c>
      <c r="CB58" s="131">
        <f t="shared" ca="1" si="830"/>
        <v>0</v>
      </c>
      <c r="CC58" s="131">
        <f ca="1">SUM(CB58:CB$124)*SSk</f>
        <v>0</v>
      </c>
      <c r="CD58" s="8">
        <f t="shared" ca="1" si="90"/>
        <v>99999.012970709329</v>
      </c>
      <c r="CE58" s="2">
        <f t="shared" ref="CE58" ca="1" si="1118">IFERROR(VLOOKUP($S58,qx_table,MATCH(CE$11,qx_title,0)+sexB),0)</f>
        <v>0</v>
      </c>
      <c r="CF58" s="131">
        <f t="shared" ca="1" si="832"/>
        <v>0</v>
      </c>
      <c r="CG58" s="131">
        <f ca="1">SUM(CF58:CF$124)*SSl</f>
        <v>0</v>
      </c>
      <c r="CH58" s="101">
        <f t="shared" ca="1" si="93"/>
        <v>0</v>
      </c>
      <c r="CI58" s="154">
        <f t="shared" ca="1" si="789"/>
        <v>0</v>
      </c>
      <c r="CJ58" s="32">
        <f t="shared" ca="1" si="38"/>
        <v>0</v>
      </c>
      <c r="CK58" s="32">
        <f t="shared" ref="CK58" ca="1" si="1119">+MAX(VLOOKUP(xB+$R58,기수표B,$AH$1)-VLOOKUP(xB+mB,기수표B,$AH$1)-11/24*(VLOOKUP(xB+$R58,기수표B,$AG$1)-VLOOKUP(xB+mB,기수표B,$AG$1)),0)</f>
        <v>0</v>
      </c>
      <c r="CL58" s="32">
        <f t="shared" ref="CL58" ca="1" si="1120">+MAX(VLOOKUP(xB+$R58,기수표B,$AA$1)-VLOOKUP(xB+mB,기수표B,$AA$1),0)</f>
        <v>0</v>
      </c>
      <c r="CM58" s="32">
        <f t="shared" ref="CM58" ca="1" si="1121">+MAX(VLOOKUP(xB+$R58,기수표B,$AA$1)-VLOOKUP(xB+mB,기수표B,$AA$1)-11/24*(VLOOKUP(xB+$R58,기수표B,$AA$1)-VLOOKUP(xB+mB,기수표B,$AA$1)),0)</f>
        <v>0</v>
      </c>
      <c r="CN58" s="32">
        <f t="shared" si="793"/>
        <v>0</v>
      </c>
      <c r="CO58" s="32">
        <f t="shared" ca="1" si="794"/>
        <v>0</v>
      </c>
      <c r="CP58" s="32">
        <f t="shared" ca="1" si="795"/>
        <v>0</v>
      </c>
      <c r="CQ58" s="262">
        <f t="shared" ca="1" si="796"/>
        <v>0</v>
      </c>
      <c r="CR58" s="259" t="e">
        <f t="shared" ca="1" si="797"/>
        <v>#DIV/0!</v>
      </c>
      <c r="CS58" s="32">
        <f t="shared" ca="1" si="798"/>
        <v>1.5999999999999999E-5</v>
      </c>
      <c r="CT58" s="31">
        <f t="shared" ref="CT58" si="1122">+MIN(mB,7)</f>
        <v>7</v>
      </c>
      <c r="CV58" s="13">
        <v>46</v>
      </c>
      <c r="CW58" s="477">
        <f t="shared" ca="1" si="800"/>
        <v>480</v>
      </c>
      <c r="CX58" s="477" t="e">
        <f t="shared" ca="1" si="801"/>
        <v>#DIV/0!</v>
      </c>
      <c r="CY58" s="477">
        <f t="shared" ca="1" si="802"/>
        <v>0</v>
      </c>
      <c r="CZ58" s="478">
        <f t="shared" ca="1" si="98"/>
        <v>0</v>
      </c>
    </row>
    <row r="59" spans="2:104">
      <c r="N59" s="5">
        <f t="shared" si="99"/>
        <v>47</v>
      </c>
      <c r="O59" s="2">
        <f t="shared" ref="O59" ca="1" si="1123">+(1+iB)^-N59</f>
        <v>0.35141809169473071</v>
      </c>
      <c r="P59" s="2">
        <f t="shared" ref="P59" ca="1" si="1124">+(1+iB)^-(N59+0.5)</f>
        <v>0.34753012593252358</v>
      </c>
      <c r="Q59" s="91"/>
      <c r="R59" s="20">
        <f t="shared" si="102"/>
        <v>47</v>
      </c>
      <c r="S59" s="20" t="str">
        <f t="shared" ref="S59" si="1125">+IF(xB+R59&lt;=xB+nB,xB+R59,"")</f>
        <v/>
      </c>
      <c r="T59" s="2">
        <f t="shared" ref="T59:U59" ca="1" si="1126">IFERROR(VLOOKUP($S59,qx_table,MATCH(T$11,qx_title,0)+sexB),0)</f>
        <v>0</v>
      </c>
      <c r="U59" s="2">
        <f t="shared" ca="1" si="1126"/>
        <v>0</v>
      </c>
      <c r="V59" s="300">
        <v>0</v>
      </c>
      <c r="W59" s="8">
        <f t="shared" ref="W59" si="1127">IF(R59=0,100000,IF(R59&gt;nB,0,W58*(1-X58)*(1-Y58)))</f>
        <v>0</v>
      </c>
      <c r="X59" s="10">
        <f t="shared" ca="1" si="19"/>
        <v>0</v>
      </c>
      <c r="Y59" s="10">
        <f t="shared" ca="1" si="56"/>
        <v>0</v>
      </c>
      <c r="Z59" s="8">
        <f t="shared" ca="1" si="106"/>
        <v>0</v>
      </c>
      <c r="AA59" s="8">
        <f ca="1">+SUM(Z59:Z$124)</f>
        <v>0</v>
      </c>
      <c r="AB59" s="8">
        <f t="shared" ca="1" si="20"/>
        <v>0</v>
      </c>
      <c r="AC59" s="209">
        <f ca="1">+SUM(AB59:AB$124)*SSSM</f>
        <v>0</v>
      </c>
      <c r="AD59" s="209">
        <f t="shared" ref="AD59" si="1128">IF(R59&gt;nB,0,AD58*(1-X58)*(1-Y58)*(1-AE58)*(1-AF58))</f>
        <v>0</v>
      </c>
      <c r="AE59" s="92">
        <f t="shared" ca="1" si="21"/>
        <v>0</v>
      </c>
      <c r="AF59" s="92">
        <f t="shared" ca="1" si="22"/>
        <v>0</v>
      </c>
      <c r="AG59" s="8">
        <f t="shared" ca="1" si="23"/>
        <v>0</v>
      </c>
      <c r="AH59" s="5">
        <f ca="1">+SUM(AG59:AG$124)</f>
        <v>0</v>
      </c>
      <c r="AI59" s="70">
        <f t="shared" ca="1" si="24"/>
        <v>0</v>
      </c>
      <c r="AJ59" s="208">
        <f ca="1">+SUM(AB59:AB$124)*SS50J</f>
        <v>0</v>
      </c>
      <c r="AK59" s="5">
        <f t="shared" ca="1" si="58"/>
        <v>99999.012970709329</v>
      </c>
      <c r="AL59" s="2">
        <f t="shared" ref="AL59" ca="1" si="1129">IFERROR(VLOOKUP($S59,qx_table,MATCH(AL$11,qx_title,0)+sexB),0)</f>
        <v>0</v>
      </c>
      <c r="AM59" s="131">
        <f t="shared" ca="1" si="109"/>
        <v>35141.462309523296</v>
      </c>
      <c r="AN59" s="129">
        <f t="shared" ca="1" si="777"/>
        <v>0</v>
      </c>
      <c r="AO59" s="129">
        <f ca="1">SUM(AN59:AN$124)*SSa</f>
        <v>0</v>
      </c>
      <c r="AP59" s="70">
        <f t="shared" ca="1" si="60"/>
        <v>99999.012970709329</v>
      </c>
      <c r="AQ59" s="2">
        <f t="shared" ref="AQ59" ca="1" si="1130">IFERROR(VLOOKUP($S59,qx_table,MATCH(AQ$11,qx_title,0)+sexB),0)</f>
        <v>0</v>
      </c>
      <c r="AR59" s="127">
        <f t="shared" ca="1" si="812"/>
        <v>0</v>
      </c>
      <c r="AS59" s="127">
        <f ca="1">SUM(AR59:AR$124)*SSb</f>
        <v>0</v>
      </c>
      <c r="AT59" s="70">
        <f t="shared" ca="1" si="63"/>
        <v>99999.012970709329</v>
      </c>
      <c r="AU59" s="2">
        <f t="shared" ref="AU59" ca="1" si="1131">IFERROR(VLOOKUP($S59,qx_table,MATCH(AU$11,qx_title,0)+sexB),0)</f>
        <v>0</v>
      </c>
      <c r="AV59" s="268">
        <f t="shared" ca="1" si="814"/>
        <v>0</v>
      </c>
      <c r="AW59" s="131">
        <f ca="1">SUM(AV59:AV$124)*SSc</f>
        <v>0</v>
      </c>
      <c r="AX59" s="70">
        <f t="shared" ca="1" si="66"/>
        <v>99999.012970709329</v>
      </c>
      <c r="AY59" s="2">
        <f t="shared" ref="AY59" ca="1" si="1132">IFERROR(VLOOKUP($S59,qx_table,MATCH(AY$11,qx_title,0)+sexB),0)</f>
        <v>0</v>
      </c>
      <c r="AZ59" s="268">
        <f t="shared" ca="1" si="816"/>
        <v>0</v>
      </c>
      <c r="BA59" s="129">
        <f ca="1">SUM(AZ59:AZ$124)*SSd</f>
        <v>0</v>
      </c>
      <c r="BB59" s="70">
        <f t="shared" ca="1" si="69"/>
        <v>99999.012970709329</v>
      </c>
      <c r="BC59" s="257">
        <f t="shared" ref="BC59" ca="1" si="1133">IFERROR(VLOOKUP($S59,qx_table,MATCH(BC$11,qx_title,0)+sexB),0)</f>
        <v>0</v>
      </c>
      <c r="BD59" s="268">
        <f t="shared" ca="1" si="818"/>
        <v>0</v>
      </c>
      <c r="BE59" s="131">
        <f ca="1">SUM(BD59:BD$124)*SSe</f>
        <v>0</v>
      </c>
      <c r="BF59" s="70">
        <f t="shared" ca="1" si="72"/>
        <v>99999.012970709329</v>
      </c>
      <c r="BG59" s="2">
        <f t="shared" ref="BG59" ca="1" si="1134">IFERROR(VLOOKUP($S59,qx_table,MATCH(BG$11,qx_title,0)+sexB),0)</f>
        <v>0</v>
      </c>
      <c r="BH59" s="131">
        <f t="shared" ca="1" si="820"/>
        <v>0</v>
      </c>
      <c r="BI59" s="2">
        <f ca="1">SUM(BH59:BH$124)*SSf</f>
        <v>0</v>
      </c>
      <c r="BJ59" s="70">
        <f t="shared" ca="1" si="75"/>
        <v>99999.012970709329</v>
      </c>
      <c r="BK59" s="2">
        <f t="shared" ref="BK59" ca="1" si="1135">IFERROR(VLOOKUP($S59,qx_table,MATCH(BK$11,qx_title,0)+sexB),0)</f>
        <v>0</v>
      </c>
      <c r="BL59" s="131">
        <f t="shared" ca="1" si="822"/>
        <v>0</v>
      </c>
      <c r="BM59" s="131">
        <f ca="1">SUM(BL59:BL$124)*SSg</f>
        <v>0</v>
      </c>
      <c r="BN59" s="70">
        <f t="shared" ca="1" si="78"/>
        <v>99999.012970709329</v>
      </c>
      <c r="BO59" s="2">
        <f t="shared" ref="BO59" ca="1" si="1136">IFERROR(VLOOKUP($S59,qx_table,MATCH(BO$11,qx_title,0)+sexB),0)</f>
        <v>0</v>
      </c>
      <c r="BP59" s="131">
        <f t="shared" ca="1" si="824"/>
        <v>0</v>
      </c>
      <c r="BQ59" s="131">
        <f ca="1">SUM(BP59:BP$124)*SSh</f>
        <v>0</v>
      </c>
      <c r="BR59" s="70">
        <f t="shared" ca="1" si="81"/>
        <v>99999.012970709329</v>
      </c>
      <c r="BS59" s="2">
        <f t="shared" ref="BS59" ca="1" si="1137">IFERROR(VLOOKUP($S59,qx_table,MATCH(BS$11,qx_title,0)+sexB),0)*IF(R59=0,MCi,1)</f>
        <v>0</v>
      </c>
      <c r="BT59" s="131">
        <f t="shared" ca="1" si="826"/>
        <v>0</v>
      </c>
      <c r="BU59" s="131">
        <f ca="1">SUM(BT59:BT$124)*SSi</f>
        <v>0</v>
      </c>
      <c r="BV59" s="70">
        <f t="shared" ca="1" si="84"/>
        <v>99999.012970709329</v>
      </c>
      <c r="BW59" s="2">
        <f t="shared" ref="BW59" ca="1" si="1138">IFERROR(VLOOKUP($S59,qx_table,MATCH(BW$11,qx_title,0)+sexB),0)</f>
        <v>0</v>
      </c>
      <c r="BX59" s="131">
        <f t="shared" ca="1" si="828"/>
        <v>0</v>
      </c>
      <c r="BY59" s="131">
        <f ca="1">SUM(BX59:BX$124)*SSj</f>
        <v>0</v>
      </c>
      <c r="BZ59" s="70">
        <f t="shared" ca="1" si="87"/>
        <v>99999.012970709329</v>
      </c>
      <c r="CA59" s="2">
        <f t="shared" ref="CA59" ca="1" si="1139">IFERROR(VLOOKUP($S59,qx_table,MATCH(CA$11,qx_title,0)+sexB),0)</f>
        <v>0</v>
      </c>
      <c r="CB59" s="131">
        <f t="shared" ca="1" si="830"/>
        <v>0</v>
      </c>
      <c r="CC59" s="131">
        <f ca="1">SUM(CB59:CB$124)*SSk</f>
        <v>0</v>
      </c>
      <c r="CD59" s="8">
        <f t="shared" ca="1" si="90"/>
        <v>99999.012970709329</v>
      </c>
      <c r="CE59" s="2">
        <f t="shared" ref="CE59" ca="1" si="1140">IFERROR(VLOOKUP($S59,qx_table,MATCH(CE$11,qx_title,0)+sexB),0)</f>
        <v>0</v>
      </c>
      <c r="CF59" s="131">
        <f t="shared" ca="1" si="832"/>
        <v>0</v>
      </c>
      <c r="CG59" s="131">
        <f ca="1">SUM(CF59:CF$124)*SSl</f>
        <v>0</v>
      </c>
      <c r="CH59" s="101">
        <f t="shared" ca="1" si="93"/>
        <v>0</v>
      </c>
      <c r="CI59" s="154">
        <f t="shared" ca="1" si="789"/>
        <v>0</v>
      </c>
      <c r="CJ59" s="32">
        <f t="shared" ca="1" si="38"/>
        <v>0</v>
      </c>
      <c r="CK59" s="32">
        <f t="shared" ref="CK59" ca="1" si="1141">+MAX(VLOOKUP(xB+$R59,기수표B,$AH$1)-VLOOKUP(xB+mB,기수표B,$AH$1)-11/24*(VLOOKUP(xB+$R59,기수표B,$AG$1)-VLOOKUP(xB+mB,기수표B,$AG$1)),0)</f>
        <v>0</v>
      </c>
      <c r="CL59" s="32">
        <f t="shared" ref="CL59" ca="1" si="1142">+MAX(VLOOKUP(xB+$R59,기수표B,$AA$1)-VLOOKUP(xB+mB,기수표B,$AA$1),0)</f>
        <v>0</v>
      </c>
      <c r="CM59" s="32">
        <f t="shared" ref="CM59" ca="1" si="1143">+MAX(VLOOKUP(xB+$R59,기수표B,$AA$1)-VLOOKUP(xB+mB,기수표B,$AA$1)-11/24*(VLOOKUP(xB+$R59,기수표B,$AA$1)-VLOOKUP(xB+mB,기수표B,$AA$1)),0)</f>
        <v>0</v>
      </c>
      <c r="CN59" s="32">
        <f t="shared" si="793"/>
        <v>0</v>
      </c>
      <c r="CO59" s="32">
        <f t="shared" ca="1" si="794"/>
        <v>0</v>
      </c>
      <c r="CP59" s="32">
        <f t="shared" ca="1" si="795"/>
        <v>0</v>
      </c>
      <c r="CQ59" s="262">
        <f t="shared" ca="1" si="796"/>
        <v>0</v>
      </c>
      <c r="CR59" s="259" t="e">
        <f t="shared" ca="1" si="797"/>
        <v>#DIV/0!</v>
      </c>
      <c r="CS59" s="32">
        <f t="shared" ca="1" si="798"/>
        <v>1.5999999999999999E-5</v>
      </c>
      <c r="CT59" s="31">
        <f t="shared" ref="CT59" si="1144">+MIN(mB,7)</f>
        <v>7</v>
      </c>
      <c r="CV59" s="13">
        <v>47</v>
      </c>
      <c r="CW59" s="477">
        <f t="shared" ca="1" si="800"/>
        <v>480</v>
      </c>
      <c r="CX59" s="477" t="e">
        <f t="shared" ca="1" si="801"/>
        <v>#DIV/0!</v>
      </c>
      <c r="CY59" s="477">
        <f t="shared" ca="1" si="802"/>
        <v>0</v>
      </c>
      <c r="CZ59" s="478">
        <f t="shared" ca="1" si="98"/>
        <v>0</v>
      </c>
    </row>
    <row r="60" spans="2:104">
      <c r="N60" s="5">
        <f t="shared" si="99"/>
        <v>48</v>
      </c>
      <c r="O60" s="2">
        <f t="shared" ref="O60" ca="1" si="1145">+(1+iB)^-N60</f>
        <v>0.34368517525157044</v>
      </c>
      <c r="P60" s="2">
        <f t="shared" ref="P60" ca="1" si="1146">+(1+iB)^-(N60+0.5)</f>
        <v>0.33988276374818926</v>
      </c>
      <c r="Q60" s="91"/>
      <c r="R60" s="20">
        <f t="shared" si="102"/>
        <v>48</v>
      </c>
      <c r="S60" s="20" t="str">
        <f t="shared" ref="S60" si="1147">+IF(xB+R60&lt;=xB+nB,xB+R60,"")</f>
        <v/>
      </c>
      <c r="T60" s="2">
        <f t="shared" ref="T60:U60" ca="1" si="1148">IFERROR(VLOOKUP($S60,qx_table,MATCH(T$11,qx_title,0)+sexB),0)</f>
        <v>0</v>
      </c>
      <c r="U60" s="2">
        <f t="shared" ca="1" si="1148"/>
        <v>0</v>
      </c>
      <c r="V60" s="300">
        <v>0</v>
      </c>
      <c r="W60" s="8">
        <f t="shared" ref="W60" si="1149">IF(R60=0,100000,IF(R60&gt;nB,0,W59*(1-X59)*(1-Y59)))</f>
        <v>0</v>
      </c>
      <c r="X60" s="10">
        <f t="shared" ca="1" si="19"/>
        <v>0</v>
      </c>
      <c r="Y60" s="10">
        <f t="shared" ca="1" si="56"/>
        <v>0</v>
      </c>
      <c r="Z60" s="8">
        <f t="shared" ca="1" si="106"/>
        <v>0</v>
      </c>
      <c r="AA60" s="8">
        <f ca="1">+SUM(Z60:Z$124)</f>
        <v>0</v>
      </c>
      <c r="AB60" s="8">
        <f t="shared" ca="1" si="20"/>
        <v>0</v>
      </c>
      <c r="AC60" s="209">
        <f ca="1">+SUM(AB60:AB$124)*SSSM</f>
        <v>0</v>
      </c>
      <c r="AD60" s="209">
        <f t="shared" ref="AD60" si="1150">IF(R60&gt;nB,0,AD59*(1-X59)*(1-Y59)*(1-AE59)*(1-AF59))</f>
        <v>0</v>
      </c>
      <c r="AE60" s="92">
        <f t="shared" ca="1" si="21"/>
        <v>0</v>
      </c>
      <c r="AF60" s="92">
        <f t="shared" ca="1" si="22"/>
        <v>0</v>
      </c>
      <c r="AG60" s="8">
        <f t="shared" ca="1" si="23"/>
        <v>0</v>
      </c>
      <c r="AH60" s="5">
        <f ca="1">+SUM(AG60:AG$124)</f>
        <v>0</v>
      </c>
      <c r="AI60" s="70">
        <f t="shared" ca="1" si="24"/>
        <v>0</v>
      </c>
      <c r="AJ60" s="208">
        <f ca="1">+SUM(AB60:AB$124)*SS50J</f>
        <v>0</v>
      </c>
      <c r="AK60" s="5">
        <f t="shared" ca="1" si="58"/>
        <v>99999.012970709329</v>
      </c>
      <c r="AL60" s="2">
        <f t="shared" ref="AL60" ca="1" si="1151">IFERROR(VLOOKUP($S60,qx_table,MATCH(AL$11,qx_title,0)+sexB),0)</f>
        <v>0</v>
      </c>
      <c r="AM60" s="131">
        <f t="shared" ca="1" si="109"/>
        <v>34368.178297822298</v>
      </c>
      <c r="AN60" s="129">
        <f t="shared" ca="1" si="777"/>
        <v>0</v>
      </c>
      <c r="AO60" s="129">
        <f ca="1">SUM(AN60:AN$124)*SSa</f>
        <v>0</v>
      </c>
      <c r="AP60" s="70">
        <f t="shared" ca="1" si="60"/>
        <v>99999.012970709329</v>
      </c>
      <c r="AQ60" s="2">
        <f t="shared" ref="AQ60" ca="1" si="1152">IFERROR(VLOOKUP($S60,qx_table,MATCH(AQ$11,qx_title,0)+sexB),0)</f>
        <v>0</v>
      </c>
      <c r="AR60" s="127">
        <f t="shared" ca="1" si="812"/>
        <v>0</v>
      </c>
      <c r="AS60" s="127">
        <f ca="1">SUM(AR60:AR$124)*SSb</f>
        <v>0</v>
      </c>
      <c r="AT60" s="70">
        <f t="shared" ca="1" si="63"/>
        <v>99999.012970709329</v>
      </c>
      <c r="AU60" s="2">
        <f t="shared" ref="AU60" ca="1" si="1153">IFERROR(VLOOKUP($S60,qx_table,MATCH(AU$11,qx_title,0)+sexB),0)</f>
        <v>0</v>
      </c>
      <c r="AV60" s="268">
        <f t="shared" ca="1" si="814"/>
        <v>0</v>
      </c>
      <c r="AW60" s="131">
        <f ca="1">SUM(AV60:AV$124)*SSc</f>
        <v>0</v>
      </c>
      <c r="AX60" s="70">
        <f t="shared" ca="1" si="66"/>
        <v>99999.012970709329</v>
      </c>
      <c r="AY60" s="2">
        <f t="shared" ref="AY60" ca="1" si="1154">IFERROR(VLOOKUP($S60,qx_table,MATCH(AY$11,qx_title,0)+sexB),0)</f>
        <v>0</v>
      </c>
      <c r="AZ60" s="268">
        <f t="shared" ca="1" si="816"/>
        <v>0</v>
      </c>
      <c r="BA60" s="129">
        <f ca="1">SUM(AZ60:AZ$124)*SSd</f>
        <v>0</v>
      </c>
      <c r="BB60" s="70">
        <f t="shared" ca="1" si="69"/>
        <v>99999.012970709329</v>
      </c>
      <c r="BC60" s="257">
        <f t="shared" ref="BC60" ca="1" si="1155">IFERROR(VLOOKUP($S60,qx_table,MATCH(BC$11,qx_title,0)+sexB),0)</f>
        <v>0</v>
      </c>
      <c r="BD60" s="268">
        <f t="shared" ca="1" si="818"/>
        <v>0</v>
      </c>
      <c r="BE60" s="131">
        <f ca="1">SUM(BD60:BD$124)*SSe</f>
        <v>0</v>
      </c>
      <c r="BF60" s="70">
        <f t="shared" ca="1" si="72"/>
        <v>99999.012970709329</v>
      </c>
      <c r="BG60" s="2">
        <f t="shared" ref="BG60" ca="1" si="1156">IFERROR(VLOOKUP($S60,qx_table,MATCH(BG$11,qx_title,0)+sexB),0)</f>
        <v>0</v>
      </c>
      <c r="BH60" s="131">
        <f t="shared" ca="1" si="820"/>
        <v>0</v>
      </c>
      <c r="BI60" s="2">
        <f ca="1">SUM(BH60:BH$124)*SSf</f>
        <v>0</v>
      </c>
      <c r="BJ60" s="70">
        <f t="shared" ca="1" si="75"/>
        <v>99999.012970709329</v>
      </c>
      <c r="BK60" s="2">
        <f t="shared" ref="BK60" ca="1" si="1157">IFERROR(VLOOKUP($S60,qx_table,MATCH(BK$11,qx_title,0)+sexB),0)</f>
        <v>0</v>
      </c>
      <c r="BL60" s="131">
        <f t="shared" ca="1" si="822"/>
        <v>0</v>
      </c>
      <c r="BM60" s="131">
        <f ca="1">SUM(BL60:BL$124)*SSg</f>
        <v>0</v>
      </c>
      <c r="BN60" s="70">
        <f t="shared" ca="1" si="78"/>
        <v>99999.012970709329</v>
      </c>
      <c r="BO60" s="2">
        <f t="shared" ref="BO60" ca="1" si="1158">IFERROR(VLOOKUP($S60,qx_table,MATCH(BO$11,qx_title,0)+sexB),0)</f>
        <v>0</v>
      </c>
      <c r="BP60" s="131">
        <f t="shared" ca="1" si="824"/>
        <v>0</v>
      </c>
      <c r="BQ60" s="131">
        <f ca="1">SUM(BP60:BP$124)*SSh</f>
        <v>0</v>
      </c>
      <c r="BR60" s="70">
        <f t="shared" ca="1" si="81"/>
        <v>99999.012970709329</v>
      </c>
      <c r="BS60" s="2">
        <f t="shared" ref="BS60" ca="1" si="1159">IFERROR(VLOOKUP($S60,qx_table,MATCH(BS$11,qx_title,0)+sexB),0)*IF(R60=0,MCi,1)</f>
        <v>0</v>
      </c>
      <c r="BT60" s="131">
        <f t="shared" ca="1" si="826"/>
        <v>0</v>
      </c>
      <c r="BU60" s="131">
        <f ca="1">SUM(BT60:BT$124)*SSi</f>
        <v>0</v>
      </c>
      <c r="BV60" s="70">
        <f t="shared" ca="1" si="84"/>
        <v>99999.012970709329</v>
      </c>
      <c r="BW60" s="2">
        <f t="shared" ref="BW60" ca="1" si="1160">IFERROR(VLOOKUP($S60,qx_table,MATCH(BW$11,qx_title,0)+sexB),0)</f>
        <v>0</v>
      </c>
      <c r="BX60" s="131">
        <f t="shared" ca="1" si="828"/>
        <v>0</v>
      </c>
      <c r="BY60" s="131">
        <f ca="1">SUM(BX60:BX$124)*SSj</f>
        <v>0</v>
      </c>
      <c r="BZ60" s="70">
        <f t="shared" ca="1" si="87"/>
        <v>99999.012970709329</v>
      </c>
      <c r="CA60" s="2">
        <f t="shared" ref="CA60" ca="1" si="1161">IFERROR(VLOOKUP($S60,qx_table,MATCH(CA$11,qx_title,0)+sexB),0)</f>
        <v>0</v>
      </c>
      <c r="CB60" s="131">
        <f t="shared" ca="1" si="830"/>
        <v>0</v>
      </c>
      <c r="CC60" s="131">
        <f ca="1">SUM(CB60:CB$124)*SSk</f>
        <v>0</v>
      </c>
      <c r="CD60" s="8">
        <f t="shared" ca="1" si="90"/>
        <v>99999.012970709329</v>
      </c>
      <c r="CE60" s="2">
        <f t="shared" ref="CE60" ca="1" si="1162">IFERROR(VLOOKUP($S60,qx_table,MATCH(CE$11,qx_title,0)+sexB),0)</f>
        <v>0</v>
      </c>
      <c r="CF60" s="131">
        <f t="shared" ca="1" si="832"/>
        <v>0</v>
      </c>
      <c r="CG60" s="131">
        <f ca="1">SUM(CF60:CF$124)*SSl</f>
        <v>0</v>
      </c>
      <c r="CH60" s="101">
        <f t="shared" ca="1" si="93"/>
        <v>0</v>
      </c>
      <c r="CI60" s="154">
        <f t="shared" ca="1" si="789"/>
        <v>0</v>
      </c>
      <c r="CJ60" s="32">
        <f t="shared" ca="1" si="38"/>
        <v>0</v>
      </c>
      <c r="CK60" s="32">
        <f t="shared" ref="CK60" ca="1" si="1163">+MAX(VLOOKUP(xB+$R60,기수표B,$AH$1)-VLOOKUP(xB+mB,기수표B,$AH$1)-11/24*(VLOOKUP(xB+$R60,기수표B,$AG$1)-VLOOKUP(xB+mB,기수표B,$AG$1)),0)</f>
        <v>0</v>
      </c>
      <c r="CL60" s="32">
        <f t="shared" ref="CL60" ca="1" si="1164">+MAX(VLOOKUP(xB+$R60,기수표B,$AA$1)-VLOOKUP(xB+mB,기수표B,$AA$1),0)</f>
        <v>0</v>
      </c>
      <c r="CM60" s="32">
        <f t="shared" ref="CM60" ca="1" si="1165">+MAX(VLOOKUP(xB+$R60,기수표B,$AA$1)-VLOOKUP(xB+mB,기수표B,$AA$1)-11/24*(VLOOKUP(xB+$R60,기수표B,$AA$1)-VLOOKUP(xB+mB,기수표B,$AA$1)),0)</f>
        <v>0</v>
      </c>
      <c r="CN60" s="32">
        <f t="shared" si="793"/>
        <v>0</v>
      </c>
      <c r="CO60" s="32">
        <f t="shared" ca="1" si="794"/>
        <v>0</v>
      </c>
      <c r="CP60" s="32">
        <f t="shared" ca="1" si="795"/>
        <v>0</v>
      </c>
      <c r="CQ60" s="262">
        <f t="shared" ca="1" si="796"/>
        <v>0</v>
      </c>
      <c r="CR60" s="259" t="e">
        <f t="shared" ca="1" si="797"/>
        <v>#DIV/0!</v>
      </c>
      <c r="CS60" s="32">
        <f t="shared" ca="1" si="798"/>
        <v>1.5999999999999999E-5</v>
      </c>
      <c r="CT60" s="31">
        <f t="shared" ref="CT60" si="1166">+MIN(mB,7)</f>
        <v>7</v>
      </c>
      <c r="CV60" s="13">
        <v>48</v>
      </c>
      <c r="CW60" s="477">
        <f t="shared" ca="1" si="800"/>
        <v>480</v>
      </c>
      <c r="CX60" s="477" t="e">
        <f t="shared" ca="1" si="801"/>
        <v>#DIV/0!</v>
      </c>
      <c r="CY60" s="477">
        <f t="shared" ca="1" si="802"/>
        <v>0</v>
      </c>
      <c r="CZ60" s="478">
        <f t="shared" ca="1" si="98"/>
        <v>0</v>
      </c>
    </row>
    <row r="61" spans="2:104">
      <c r="N61" s="5">
        <f t="shared" si="99"/>
        <v>49</v>
      </c>
      <c r="O61" s="2">
        <f t="shared" ref="O61" ca="1" si="1167">+(1+iB)^-N61</f>
        <v>0.33612242078393195</v>
      </c>
      <c r="P61" s="2">
        <f t="shared" ref="P61" ca="1" si="1168">+(1+iB)^-(N61+0.5)</f>
        <v>0.33240368092732453</v>
      </c>
      <c r="Q61" s="91"/>
      <c r="R61" s="20">
        <f t="shared" si="102"/>
        <v>49</v>
      </c>
      <c r="S61" s="20" t="str">
        <f t="shared" ref="S61" si="1169">+IF(xB+R61&lt;=xB+nB,xB+R61,"")</f>
        <v/>
      </c>
      <c r="T61" s="2">
        <f t="shared" ref="T61:U61" ca="1" si="1170">IFERROR(VLOOKUP($S61,qx_table,MATCH(T$11,qx_title,0)+sexB),0)</f>
        <v>0</v>
      </c>
      <c r="U61" s="2">
        <f t="shared" ca="1" si="1170"/>
        <v>0</v>
      </c>
      <c r="V61" s="300">
        <v>0</v>
      </c>
      <c r="W61" s="8">
        <f t="shared" ref="W61" si="1171">IF(R61=0,100000,IF(R61&gt;nB,0,W60*(1-X60)*(1-Y60)))</f>
        <v>0</v>
      </c>
      <c r="X61" s="10">
        <f t="shared" ca="1" si="19"/>
        <v>0</v>
      </c>
      <c r="Y61" s="10">
        <f t="shared" ca="1" si="56"/>
        <v>0</v>
      </c>
      <c r="Z61" s="8">
        <f t="shared" ca="1" si="106"/>
        <v>0</v>
      </c>
      <c r="AA61" s="8">
        <f ca="1">+SUM(Z61:Z$124)</f>
        <v>0</v>
      </c>
      <c r="AB61" s="8">
        <f t="shared" ca="1" si="20"/>
        <v>0</v>
      </c>
      <c r="AC61" s="209">
        <f ca="1">+SUM(AB61:AB$124)*SSSM</f>
        <v>0</v>
      </c>
      <c r="AD61" s="209">
        <f t="shared" ref="AD61" si="1172">IF(R61&gt;nB,0,AD60*(1-X60)*(1-Y60)*(1-AE60)*(1-AF60))</f>
        <v>0</v>
      </c>
      <c r="AE61" s="92">
        <f t="shared" ca="1" si="21"/>
        <v>0</v>
      </c>
      <c r="AF61" s="92">
        <f t="shared" ca="1" si="22"/>
        <v>0</v>
      </c>
      <c r="AG61" s="8">
        <f t="shared" ca="1" si="23"/>
        <v>0</v>
      </c>
      <c r="AH61" s="5">
        <f ca="1">+SUM(AG61:AG$124)</f>
        <v>0</v>
      </c>
      <c r="AI61" s="70">
        <f t="shared" ca="1" si="24"/>
        <v>0</v>
      </c>
      <c r="AJ61" s="208">
        <f ca="1">+SUM(AB61:AB$124)*SS50J</f>
        <v>0</v>
      </c>
      <c r="AK61" s="5">
        <f t="shared" ca="1" si="58"/>
        <v>99999.012970709329</v>
      </c>
      <c r="AL61" s="2">
        <f t="shared" ref="AL61" ca="1" si="1173">IFERROR(VLOOKUP($S61,qx_table,MATCH(AL$11,qx_title,0)+sexB),0)</f>
        <v>0</v>
      </c>
      <c r="AM61" s="131">
        <f t="shared" ca="1" si="109"/>
        <v>33611.910315718633</v>
      </c>
      <c r="AN61" s="129">
        <f t="shared" ca="1" si="777"/>
        <v>0</v>
      </c>
      <c r="AO61" s="129">
        <f ca="1">SUM(AN61:AN$124)*SSa</f>
        <v>0</v>
      </c>
      <c r="AP61" s="70">
        <f t="shared" ca="1" si="60"/>
        <v>99999.012970709329</v>
      </c>
      <c r="AQ61" s="2">
        <f t="shared" ref="AQ61" ca="1" si="1174">IFERROR(VLOOKUP($S61,qx_table,MATCH(AQ$11,qx_title,0)+sexB),0)</f>
        <v>0</v>
      </c>
      <c r="AR61" s="127">
        <f t="shared" ca="1" si="812"/>
        <v>0</v>
      </c>
      <c r="AS61" s="127">
        <f ca="1">SUM(AR61:AR$124)*SSb</f>
        <v>0</v>
      </c>
      <c r="AT61" s="70">
        <f t="shared" ca="1" si="63"/>
        <v>99999.012970709329</v>
      </c>
      <c r="AU61" s="2">
        <f t="shared" ref="AU61" ca="1" si="1175">IFERROR(VLOOKUP($S61,qx_table,MATCH(AU$11,qx_title,0)+sexB),0)</f>
        <v>0</v>
      </c>
      <c r="AV61" s="268">
        <f t="shared" ca="1" si="814"/>
        <v>0</v>
      </c>
      <c r="AW61" s="131">
        <f ca="1">SUM(AV61:AV$124)*SSc</f>
        <v>0</v>
      </c>
      <c r="AX61" s="70">
        <f t="shared" ca="1" si="66"/>
        <v>99999.012970709329</v>
      </c>
      <c r="AY61" s="2">
        <f t="shared" ref="AY61" ca="1" si="1176">IFERROR(VLOOKUP($S61,qx_table,MATCH(AY$11,qx_title,0)+sexB),0)</f>
        <v>0</v>
      </c>
      <c r="AZ61" s="268">
        <f t="shared" ca="1" si="816"/>
        <v>0</v>
      </c>
      <c r="BA61" s="129">
        <f ca="1">SUM(AZ61:AZ$124)*SSd</f>
        <v>0</v>
      </c>
      <c r="BB61" s="70">
        <f t="shared" ca="1" si="69"/>
        <v>99999.012970709329</v>
      </c>
      <c r="BC61" s="257">
        <f t="shared" ref="BC61" ca="1" si="1177">IFERROR(VLOOKUP($S61,qx_table,MATCH(BC$11,qx_title,0)+sexB),0)</f>
        <v>0</v>
      </c>
      <c r="BD61" s="268">
        <f t="shared" ca="1" si="818"/>
        <v>0</v>
      </c>
      <c r="BE61" s="131">
        <f ca="1">SUM(BD61:BD$124)*SSe</f>
        <v>0</v>
      </c>
      <c r="BF61" s="70">
        <f t="shared" ca="1" si="72"/>
        <v>99999.012970709329</v>
      </c>
      <c r="BG61" s="2">
        <f t="shared" ref="BG61" ca="1" si="1178">IFERROR(VLOOKUP($S61,qx_table,MATCH(BG$11,qx_title,0)+sexB),0)</f>
        <v>0</v>
      </c>
      <c r="BH61" s="131">
        <f t="shared" ca="1" si="820"/>
        <v>0</v>
      </c>
      <c r="BI61" s="2">
        <f ca="1">SUM(BH61:BH$124)*SSf</f>
        <v>0</v>
      </c>
      <c r="BJ61" s="70">
        <f t="shared" ca="1" si="75"/>
        <v>99999.012970709329</v>
      </c>
      <c r="BK61" s="2">
        <f t="shared" ref="BK61" ca="1" si="1179">IFERROR(VLOOKUP($S61,qx_table,MATCH(BK$11,qx_title,0)+sexB),0)</f>
        <v>0</v>
      </c>
      <c r="BL61" s="131">
        <f t="shared" ca="1" si="822"/>
        <v>0</v>
      </c>
      <c r="BM61" s="131">
        <f ca="1">SUM(BL61:BL$124)*SSg</f>
        <v>0</v>
      </c>
      <c r="BN61" s="70">
        <f t="shared" ca="1" si="78"/>
        <v>99999.012970709329</v>
      </c>
      <c r="BO61" s="2">
        <f t="shared" ref="BO61" ca="1" si="1180">IFERROR(VLOOKUP($S61,qx_table,MATCH(BO$11,qx_title,0)+sexB),0)</f>
        <v>0</v>
      </c>
      <c r="BP61" s="131">
        <f t="shared" ca="1" si="824"/>
        <v>0</v>
      </c>
      <c r="BQ61" s="131">
        <f ca="1">SUM(BP61:BP$124)*SSh</f>
        <v>0</v>
      </c>
      <c r="BR61" s="70">
        <f t="shared" ca="1" si="81"/>
        <v>99999.012970709329</v>
      </c>
      <c r="BS61" s="2">
        <f t="shared" ref="BS61" ca="1" si="1181">IFERROR(VLOOKUP($S61,qx_table,MATCH(BS$11,qx_title,0)+sexB),0)*IF(R61=0,MCi,1)</f>
        <v>0</v>
      </c>
      <c r="BT61" s="131">
        <f t="shared" ca="1" si="826"/>
        <v>0</v>
      </c>
      <c r="BU61" s="131">
        <f ca="1">SUM(BT61:BT$124)*SSi</f>
        <v>0</v>
      </c>
      <c r="BV61" s="70">
        <f t="shared" ca="1" si="84"/>
        <v>99999.012970709329</v>
      </c>
      <c r="BW61" s="2">
        <f t="shared" ref="BW61" ca="1" si="1182">IFERROR(VLOOKUP($S61,qx_table,MATCH(BW$11,qx_title,0)+sexB),0)</f>
        <v>0</v>
      </c>
      <c r="BX61" s="131">
        <f t="shared" ca="1" si="828"/>
        <v>0</v>
      </c>
      <c r="BY61" s="131">
        <f ca="1">SUM(BX61:BX$124)*SSj</f>
        <v>0</v>
      </c>
      <c r="BZ61" s="70">
        <f t="shared" ca="1" si="87"/>
        <v>99999.012970709329</v>
      </c>
      <c r="CA61" s="2">
        <f t="shared" ref="CA61" ca="1" si="1183">IFERROR(VLOOKUP($S61,qx_table,MATCH(CA$11,qx_title,0)+sexB),0)</f>
        <v>0</v>
      </c>
      <c r="CB61" s="131">
        <f t="shared" ca="1" si="830"/>
        <v>0</v>
      </c>
      <c r="CC61" s="131">
        <f ca="1">SUM(CB61:CB$124)*SSk</f>
        <v>0</v>
      </c>
      <c r="CD61" s="8">
        <f t="shared" ca="1" si="90"/>
        <v>99999.012970709329</v>
      </c>
      <c r="CE61" s="2">
        <f t="shared" ref="CE61" ca="1" si="1184">IFERROR(VLOOKUP($S61,qx_table,MATCH(CE$11,qx_title,0)+sexB),0)</f>
        <v>0</v>
      </c>
      <c r="CF61" s="131">
        <f t="shared" ca="1" si="832"/>
        <v>0</v>
      </c>
      <c r="CG61" s="131">
        <f ca="1">SUM(CF61:CF$124)*SSl</f>
        <v>0</v>
      </c>
      <c r="CH61" s="101">
        <f t="shared" ca="1" si="93"/>
        <v>0</v>
      </c>
      <c r="CI61" s="154">
        <f t="shared" ca="1" si="789"/>
        <v>0</v>
      </c>
      <c r="CJ61" s="32">
        <f t="shared" ca="1" si="38"/>
        <v>0</v>
      </c>
      <c r="CK61" s="32">
        <f t="shared" ref="CK61" ca="1" si="1185">+MAX(VLOOKUP(xB+$R61,기수표B,$AH$1)-VLOOKUP(xB+mB,기수표B,$AH$1)-11/24*(VLOOKUP(xB+$R61,기수표B,$AG$1)-VLOOKUP(xB+mB,기수표B,$AG$1)),0)</f>
        <v>0</v>
      </c>
      <c r="CL61" s="32">
        <f t="shared" ref="CL61" ca="1" si="1186">+MAX(VLOOKUP(xB+$R61,기수표B,$AA$1)-VLOOKUP(xB+mB,기수표B,$AA$1),0)</f>
        <v>0</v>
      </c>
      <c r="CM61" s="32">
        <f t="shared" ref="CM61" ca="1" si="1187">+MAX(VLOOKUP(xB+$R61,기수표B,$AA$1)-VLOOKUP(xB+mB,기수표B,$AA$1)-11/24*(VLOOKUP(xB+$R61,기수표B,$AA$1)-VLOOKUP(xB+mB,기수표B,$AA$1)),0)</f>
        <v>0</v>
      </c>
      <c r="CN61" s="32">
        <f t="shared" si="793"/>
        <v>0</v>
      </c>
      <c r="CO61" s="32">
        <f t="shared" ca="1" si="794"/>
        <v>0</v>
      </c>
      <c r="CP61" s="32">
        <f t="shared" ca="1" si="795"/>
        <v>0</v>
      </c>
      <c r="CQ61" s="262">
        <f t="shared" ca="1" si="796"/>
        <v>0</v>
      </c>
      <c r="CR61" s="259" t="e">
        <f t="shared" ca="1" si="797"/>
        <v>#DIV/0!</v>
      </c>
      <c r="CS61" s="32">
        <f t="shared" ca="1" si="798"/>
        <v>1.5999999999999999E-5</v>
      </c>
      <c r="CT61" s="31">
        <f t="shared" ref="CT61" si="1188">+MIN(mB,7)</f>
        <v>7</v>
      </c>
      <c r="CV61" s="13">
        <v>49</v>
      </c>
      <c r="CW61" s="477">
        <f t="shared" ca="1" si="800"/>
        <v>480</v>
      </c>
      <c r="CX61" s="477" t="e">
        <f t="shared" ca="1" si="801"/>
        <v>#DIV/0!</v>
      </c>
      <c r="CY61" s="477">
        <f t="shared" ca="1" si="802"/>
        <v>0</v>
      </c>
      <c r="CZ61" s="478">
        <f t="shared" ca="1" si="98"/>
        <v>0</v>
      </c>
    </row>
    <row r="62" spans="2:104">
      <c r="N62" s="5">
        <f t="shared" si="99"/>
        <v>50</v>
      </c>
      <c r="O62" s="2">
        <f t="shared" ref="O62" ca="1" si="1189">+(1+iB)^-N62</f>
        <v>0.32872608389626606</v>
      </c>
      <c r="P62" s="2">
        <f t="shared" ref="P62" ca="1" si="1190">+(1+iB)^-(N62+0.5)</f>
        <v>0.3250891745010509</v>
      </c>
      <c r="Q62" s="91"/>
      <c r="R62" s="20">
        <f t="shared" si="102"/>
        <v>50</v>
      </c>
      <c r="S62" s="20" t="str">
        <f t="shared" ref="S62" si="1191">+IF(xB+R62&lt;=xB+nB,xB+R62,"")</f>
        <v/>
      </c>
      <c r="T62" s="2">
        <f t="shared" ref="T62:U62" ca="1" si="1192">IFERROR(VLOOKUP($S62,qx_table,MATCH(T$11,qx_title,0)+sexB),0)</f>
        <v>0</v>
      </c>
      <c r="U62" s="2">
        <f t="shared" ca="1" si="1192"/>
        <v>0</v>
      </c>
      <c r="V62" s="300">
        <v>0</v>
      </c>
      <c r="W62" s="8">
        <f t="shared" ref="W62" si="1193">IF(R62=0,100000,IF(R62&gt;nB,0,W61*(1-X61)*(1-Y61)))</f>
        <v>0</v>
      </c>
      <c r="X62" s="10">
        <f t="shared" ca="1" si="19"/>
        <v>0</v>
      </c>
      <c r="Y62" s="10">
        <f t="shared" ca="1" si="56"/>
        <v>0</v>
      </c>
      <c r="Z62" s="8">
        <f t="shared" ca="1" si="106"/>
        <v>0</v>
      </c>
      <c r="AA62" s="8">
        <f ca="1">+SUM(Z62:Z$124)</f>
        <v>0</v>
      </c>
      <c r="AB62" s="8">
        <f t="shared" ca="1" si="20"/>
        <v>0</v>
      </c>
      <c r="AC62" s="209">
        <f ca="1">+SUM(AB62:AB$124)*SSSM</f>
        <v>0</v>
      </c>
      <c r="AD62" s="209">
        <f t="shared" ref="AD62" si="1194">IF(R62&gt;nB,0,AD61*(1-X61)*(1-Y61)*(1-AE61)*(1-AF61))</f>
        <v>0</v>
      </c>
      <c r="AE62" s="92">
        <f t="shared" ca="1" si="21"/>
        <v>0</v>
      </c>
      <c r="AF62" s="92">
        <f t="shared" ca="1" si="22"/>
        <v>0</v>
      </c>
      <c r="AG62" s="8">
        <f t="shared" ca="1" si="23"/>
        <v>0</v>
      </c>
      <c r="AH62" s="5">
        <f ca="1">+SUM(AG62:AG$124)</f>
        <v>0</v>
      </c>
      <c r="AI62" s="70">
        <f t="shared" ca="1" si="24"/>
        <v>0</v>
      </c>
      <c r="AJ62" s="208">
        <f ca="1">+SUM(AB62:AB$124)*SS50J</f>
        <v>0</v>
      </c>
      <c r="AK62" s="5">
        <f t="shared" ca="1" si="58"/>
        <v>99999.012970709329</v>
      </c>
      <c r="AL62" s="2">
        <f t="shared" ref="AL62" ca="1" si="1195">IFERROR(VLOOKUP($S62,qx_table,MATCH(AL$11,qx_title,0)+sexB),0)</f>
        <v>0</v>
      </c>
      <c r="AM62" s="131">
        <f t="shared" ca="1" si="109"/>
        <v>32872.283927353194</v>
      </c>
      <c r="AN62" s="129">
        <f t="shared" ca="1" si="777"/>
        <v>0</v>
      </c>
      <c r="AO62" s="129">
        <f ca="1">SUM(AN62:AN$124)*SSa</f>
        <v>0</v>
      </c>
      <c r="AP62" s="70">
        <f t="shared" ca="1" si="60"/>
        <v>99999.012970709329</v>
      </c>
      <c r="AQ62" s="2">
        <f t="shared" ref="AQ62" ca="1" si="1196">IFERROR(VLOOKUP($S62,qx_table,MATCH(AQ$11,qx_title,0)+sexB),0)</f>
        <v>0</v>
      </c>
      <c r="AR62" s="127">
        <f t="shared" ca="1" si="812"/>
        <v>0</v>
      </c>
      <c r="AS62" s="127">
        <f ca="1">SUM(AR62:AR$124)*SSb</f>
        <v>0</v>
      </c>
      <c r="AT62" s="70">
        <f t="shared" ca="1" si="63"/>
        <v>99999.012970709329</v>
      </c>
      <c r="AU62" s="2">
        <f t="shared" ref="AU62" ca="1" si="1197">IFERROR(VLOOKUP($S62,qx_table,MATCH(AU$11,qx_title,0)+sexB),0)</f>
        <v>0</v>
      </c>
      <c r="AV62" s="268">
        <f t="shared" ca="1" si="814"/>
        <v>0</v>
      </c>
      <c r="AW62" s="131">
        <f ca="1">SUM(AV62:AV$124)*SSc</f>
        <v>0</v>
      </c>
      <c r="AX62" s="70">
        <f t="shared" ca="1" si="66"/>
        <v>99999.012970709329</v>
      </c>
      <c r="AY62" s="2">
        <f t="shared" ref="AY62" ca="1" si="1198">IFERROR(VLOOKUP($S62,qx_table,MATCH(AY$11,qx_title,0)+sexB),0)</f>
        <v>0</v>
      </c>
      <c r="AZ62" s="268">
        <f t="shared" ca="1" si="816"/>
        <v>0</v>
      </c>
      <c r="BA62" s="129">
        <f ca="1">SUM(AZ62:AZ$124)*SSd</f>
        <v>0</v>
      </c>
      <c r="BB62" s="70">
        <f t="shared" ca="1" si="69"/>
        <v>99999.012970709329</v>
      </c>
      <c r="BC62" s="257">
        <f t="shared" ref="BC62" ca="1" si="1199">IFERROR(VLOOKUP($S62,qx_table,MATCH(BC$11,qx_title,0)+sexB),0)</f>
        <v>0</v>
      </c>
      <c r="BD62" s="268">
        <f t="shared" ca="1" si="818"/>
        <v>0</v>
      </c>
      <c r="BE62" s="131">
        <f ca="1">SUM(BD62:BD$124)*SSe</f>
        <v>0</v>
      </c>
      <c r="BF62" s="70">
        <f t="shared" ca="1" si="72"/>
        <v>99999.012970709329</v>
      </c>
      <c r="BG62" s="2">
        <f t="shared" ref="BG62" ca="1" si="1200">IFERROR(VLOOKUP($S62,qx_table,MATCH(BG$11,qx_title,0)+sexB),0)</f>
        <v>0</v>
      </c>
      <c r="BH62" s="131">
        <f t="shared" ca="1" si="820"/>
        <v>0</v>
      </c>
      <c r="BI62" s="2">
        <f ca="1">SUM(BH62:BH$124)*SSf</f>
        <v>0</v>
      </c>
      <c r="BJ62" s="70">
        <f t="shared" ca="1" si="75"/>
        <v>99999.012970709329</v>
      </c>
      <c r="BK62" s="2">
        <f t="shared" ref="BK62" ca="1" si="1201">IFERROR(VLOOKUP($S62,qx_table,MATCH(BK$11,qx_title,0)+sexB),0)</f>
        <v>0</v>
      </c>
      <c r="BL62" s="131">
        <f t="shared" ca="1" si="822"/>
        <v>0</v>
      </c>
      <c r="BM62" s="131">
        <f ca="1">SUM(BL62:BL$124)*SSg</f>
        <v>0</v>
      </c>
      <c r="BN62" s="70">
        <f t="shared" ca="1" si="78"/>
        <v>99999.012970709329</v>
      </c>
      <c r="BO62" s="2">
        <f t="shared" ref="BO62" ca="1" si="1202">IFERROR(VLOOKUP($S62,qx_table,MATCH(BO$11,qx_title,0)+sexB),0)</f>
        <v>0</v>
      </c>
      <c r="BP62" s="131">
        <f t="shared" ca="1" si="824"/>
        <v>0</v>
      </c>
      <c r="BQ62" s="131">
        <f ca="1">SUM(BP62:BP$124)*SSh</f>
        <v>0</v>
      </c>
      <c r="BR62" s="70">
        <f t="shared" ca="1" si="81"/>
        <v>99999.012970709329</v>
      </c>
      <c r="BS62" s="2">
        <f t="shared" ref="BS62" ca="1" si="1203">IFERROR(VLOOKUP($S62,qx_table,MATCH(BS$11,qx_title,0)+sexB),0)*IF(R62=0,MCi,1)</f>
        <v>0</v>
      </c>
      <c r="BT62" s="131">
        <f t="shared" ca="1" si="826"/>
        <v>0</v>
      </c>
      <c r="BU62" s="131">
        <f ca="1">SUM(BT62:BT$124)*SSi</f>
        <v>0</v>
      </c>
      <c r="BV62" s="70">
        <f t="shared" ca="1" si="84"/>
        <v>99999.012970709329</v>
      </c>
      <c r="BW62" s="2">
        <f t="shared" ref="BW62" ca="1" si="1204">IFERROR(VLOOKUP($S62,qx_table,MATCH(BW$11,qx_title,0)+sexB),0)</f>
        <v>0</v>
      </c>
      <c r="BX62" s="131">
        <f t="shared" ca="1" si="828"/>
        <v>0</v>
      </c>
      <c r="BY62" s="131">
        <f ca="1">SUM(BX62:BX$124)*SSj</f>
        <v>0</v>
      </c>
      <c r="BZ62" s="70">
        <f t="shared" ca="1" si="87"/>
        <v>99999.012970709329</v>
      </c>
      <c r="CA62" s="2">
        <f t="shared" ref="CA62" ca="1" si="1205">IFERROR(VLOOKUP($S62,qx_table,MATCH(CA$11,qx_title,0)+sexB),0)</f>
        <v>0</v>
      </c>
      <c r="CB62" s="131">
        <f t="shared" ca="1" si="830"/>
        <v>0</v>
      </c>
      <c r="CC62" s="131">
        <f ca="1">SUM(CB62:CB$124)*SSk</f>
        <v>0</v>
      </c>
      <c r="CD62" s="8">
        <f t="shared" ca="1" si="90"/>
        <v>99999.012970709329</v>
      </c>
      <c r="CE62" s="2">
        <f t="shared" ref="CE62" ca="1" si="1206">IFERROR(VLOOKUP($S62,qx_table,MATCH(CE$11,qx_title,0)+sexB),0)</f>
        <v>0</v>
      </c>
      <c r="CF62" s="131">
        <f t="shared" ca="1" si="832"/>
        <v>0</v>
      </c>
      <c r="CG62" s="131">
        <f ca="1">SUM(CF62:CF$124)*SSl</f>
        <v>0</v>
      </c>
      <c r="CH62" s="101">
        <f t="shared" ca="1" si="93"/>
        <v>0</v>
      </c>
      <c r="CI62" s="154">
        <f t="shared" ca="1" si="789"/>
        <v>0</v>
      </c>
      <c r="CJ62" s="32">
        <f t="shared" ca="1" si="38"/>
        <v>0</v>
      </c>
      <c r="CK62" s="32">
        <f t="shared" ref="CK62" ca="1" si="1207">+MAX(VLOOKUP(xB+$R62,기수표B,$AH$1)-VLOOKUP(xB+mB,기수표B,$AH$1)-11/24*(VLOOKUP(xB+$R62,기수표B,$AG$1)-VLOOKUP(xB+mB,기수표B,$AG$1)),0)</f>
        <v>0</v>
      </c>
      <c r="CL62" s="32">
        <f t="shared" ref="CL62" ca="1" si="1208">+MAX(VLOOKUP(xB+$R62,기수표B,$AA$1)-VLOOKUP(xB+mB,기수표B,$AA$1),0)</f>
        <v>0</v>
      </c>
      <c r="CM62" s="32">
        <f t="shared" ref="CM62" ca="1" si="1209">+MAX(VLOOKUP(xB+$R62,기수표B,$AA$1)-VLOOKUP(xB+mB,기수표B,$AA$1)-11/24*(VLOOKUP(xB+$R62,기수표B,$AA$1)-VLOOKUP(xB+mB,기수표B,$AA$1)),0)</f>
        <v>0</v>
      </c>
      <c r="CN62" s="32">
        <f t="shared" si="793"/>
        <v>0</v>
      </c>
      <c r="CO62" s="32">
        <f t="shared" ca="1" si="794"/>
        <v>0</v>
      </c>
      <c r="CP62" s="32">
        <f t="shared" ca="1" si="795"/>
        <v>0</v>
      </c>
      <c r="CQ62" s="262">
        <f t="shared" ca="1" si="796"/>
        <v>0</v>
      </c>
      <c r="CR62" s="259" t="e">
        <f t="shared" ca="1" si="797"/>
        <v>#DIV/0!</v>
      </c>
      <c r="CS62" s="32">
        <f t="shared" ca="1" si="798"/>
        <v>1.5999999999999999E-5</v>
      </c>
      <c r="CT62" s="31">
        <f t="shared" ref="CT62" si="1210">+MIN(mB,7)</f>
        <v>7</v>
      </c>
      <c r="CV62" s="13">
        <v>50</v>
      </c>
      <c r="CW62" s="477">
        <f t="shared" ca="1" si="800"/>
        <v>480</v>
      </c>
      <c r="CX62" s="477" t="e">
        <f t="shared" ca="1" si="801"/>
        <v>#DIV/0!</v>
      </c>
      <c r="CY62" s="477">
        <f t="shared" ca="1" si="802"/>
        <v>0</v>
      </c>
      <c r="CZ62" s="478">
        <f t="shared" ca="1" si="98"/>
        <v>0</v>
      </c>
    </row>
    <row r="63" spans="2:104">
      <c r="N63" s="5">
        <f t="shared" si="99"/>
        <v>51</v>
      </c>
      <c r="O63" s="2">
        <f t="shared" ref="O63" ca="1" si="1211">+(1+iB)^-N63</f>
        <v>0.32149250258803524</v>
      </c>
      <c r="P63" s="2">
        <f t="shared" ref="P63" ca="1" si="1212">+(1+iB)^-(N63+0.5)</f>
        <v>0.31793562298391287</v>
      </c>
      <c r="Q63" s="91"/>
      <c r="R63" s="20">
        <f t="shared" si="102"/>
        <v>51</v>
      </c>
      <c r="S63" s="20" t="str">
        <f t="shared" ref="S63" si="1213">+IF(xB+R63&lt;=xB+nB,xB+R63,"")</f>
        <v/>
      </c>
      <c r="T63" s="2">
        <f t="shared" ref="T63:U63" ca="1" si="1214">IFERROR(VLOOKUP($S63,qx_table,MATCH(T$11,qx_title,0)+sexB),0)</f>
        <v>0</v>
      </c>
      <c r="U63" s="2">
        <f t="shared" ca="1" si="1214"/>
        <v>0</v>
      </c>
      <c r="V63" s="300">
        <v>0</v>
      </c>
      <c r="W63" s="8">
        <f t="shared" ref="W63" si="1215">IF(R63=0,100000,IF(R63&gt;nB,0,W62*(1-X62)*(1-Y62)))</f>
        <v>0</v>
      </c>
      <c r="X63" s="10">
        <f t="shared" ca="1" si="19"/>
        <v>0</v>
      </c>
      <c r="Y63" s="10">
        <f t="shared" ca="1" si="56"/>
        <v>0</v>
      </c>
      <c r="Z63" s="8">
        <f t="shared" ca="1" si="106"/>
        <v>0</v>
      </c>
      <c r="AA63" s="8">
        <f ca="1">+SUM(Z63:Z$124)</f>
        <v>0</v>
      </c>
      <c r="AB63" s="8">
        <f t="shared" ca="1" si="20"/>
        <v>0</v>
      </c>
      <c r="AC63" s="209">
        <f ca="1">+SUM(AB63:AB$124)*SSSM</f>
        <v>0</v>
      </c>
      <c r="AD63" s="209">
        <f t="shared" ref="AD63" si="1216">IF(R63&gt;nB,0,AD62*(1-X62)*(1-Y62)*(1-AE62)*(1-AF62))</f>
        <v>0</v>
      </c>
      <c r="AE63" s="92">
        <f t="shared" ca="1" si="21"/>
        <v>0</v>
      </c>
      <c r="AF63" s="92">
        <f t="shared" ca="1" si="22"/>
        <v>0</v>
      </c>
      <c r="AG63" s="8">
        <f t="shared" ca="1" si="23"/>
        <v>0</v>
      </c>
      <c r="AH63" s="5">
        <f ca="1">+SUM(AG63:AG$124)</f>
        <v>0</v>
      </c>
      <c r="AI63" s="70">
        <f t="shared" ca="1" si="24"/>
        <v>0</v>
      </c>
      <c r="AJ63" s="208">
        <f ca="1">+SUM(AB63:AB$124)*SS50J</f>
        <v>0</v>
      </c>
      <c r="AK63" s="5">
        <f t="shared" ca="1" si="58"/>
        <v>99999.012970709329</v>
      </c>
      <c r="AL63" s="2">
        <f t="shared" ref="AL63" ca="1" si="1217">IFERROR(VLOOKUP($S63,qx_table,MATCH(AL$11,qx_title,0)+sexB),0)</f>
        <v>0</v>
      </c>
      <c r="AM63" s="131">
        <f t="shared" ca="1" si="109"/>
        <v>32148.932936286739</v>
      </c>
      <c r="AN63" s="129">
        <f t="shared" ca="1" si="777"/>
        <v>0</v>
      </c>
      <c r="AO63" s="129">
        <f ca="1">SUM(AN63:AN$124)*SSa</f>
        <v>0</v>
      </c>
      <c r="AP63" s="70">
        <f t="shared" ca="1" si="60"/>
        <v>99999.012970709329</v>
      </c>
      <c r="AQ63" s="2">
        <f t="shared" ref="AQ63" ca="1" si="1218">IFERROR(VLOOKUP($S63,qx_table,MATCH(AQ$11,qx_title,0)+sexB),0)</f>
        <v>0</v>
      </c>
      <c r="AR63" s="127">
        <f t="shared" ca="1" si="812"/>
        <v>0</v>
      </c>
      <c r="AS63" s="127">
        <f ca="1">SUM(AR63:AR$124)*SSb</f>
        <v>0</v>
      </c>
      <c r="AT63" s="70">
        <f t="shared" ca="1" si="63"/>
        <v>99999.012970709329</v>
      </c>
      <c r="AU63" s="2">
        <f t="shared" ref="AU63" ca="1" si="1219">IFERROR(VLOOKUP($S63,qx_table,MATCH(AU$11,qx_title,0)+sexB),0)</f>
        <v>0</v>
      </c>
      <c r="AV63" s="268">
        <f t="shared" ca="1" si="814"/>
        <v>0</v>
      </c>
      <c r="AW63" s="131">
        <f ca="1">SUM(AV63:AV$124)*SSc</f>
        <v>0</v>
      </c>
      <c r="AX63" s="70">
        <f t="shared" ca="1" si="66"/>
        <v>99999.012970709329</v>
      </c>
      <c r="AY63" s="2">
        <f t="shared" ref="AY63" ca="1" si="1220">IFERROR(VLOOKUP($S63,qx_table,MATCH(AY$11,qx_title,0)+sexB),0)</f>
        <v>0</v>
      </c>
      <c r="AZ63" s="268">
        <f t="shared" ca="1" si="816"/>
        <v>0</v>
      </c>
      <c r="BA63" s="129">
        <f ca="1">SUM(AZ63:AZ$124)*SSd</f>
        <v>0</v>
      </c>
      <c r="BB63" s="70">
        <f t="shared" ca="1" si="69"/>
        <v>99999.012970709329</v>
      </c>
      <c r="BC63" s="257">
        <f t="shared" ref="BC63" ca="1" si="1221">IFERROR(VLOOKUP($S63,qx_table,MATCH(BC$11,qx_title,0)+sexB),0)</f>
        <v>0</v>
      </c>
      <c r="BD63" s="268">
        <f t="shared" ca="1" si="818"/>
        <v>0</v>
      </c>
      <c r="BE63" s="131">
        <f ca="1">SUM(BD63:BD$124)*SSe</f>
        <v>0</v>
      </c>
      <c r="BF63" s="70">
        <f t="shared" ca="1" si="72"/>
        <v>99999.012970709329</v>
      </c>
      <c r="BG63" s="2">
        <f t="shared" ref="BG63" ca="1" si="1222">IFERROR(VLOOKUP($S63,qx_table,MATCH(BG$11,qx_title,0)+sexB),0)</f>
        <v>0</v>
      </c>
      <c r="BH63" s="131">
        <f t="shared" ca="1" si="820"/>
        <v>0</v>
      </c>
      <c r="BI63" s="2">
        <f ca="1">SUM(BH63:BH$124)*SSf</f>
        <v>0</v>
      </c>
      <c r="BJ63" s="70">
        <f t="shared" ca="1" si="75"/>
        <v>99999.012970709329</v>
      </c>
      <c r="BK63" s="2">
        <f t="shared" ref="BK63" ca="1" si="1223">IFERROR(VLOOKUP($S63,qx_table,MATCH(BK$11,qx_title,0)+sexB),0)</f>
        <v>0</v>
      </c>
      <c r="BL63" s="131">
        <f t="shared" ca="1" si="822"/>
        <v>0</v>
      </c>
      <c r="BM63" s="131">
        <f ca="1">SUM(BL63:BL$124)*SSg</f>
        <v>0</v>
      </c>
      <c r="BN63" s="70">
        <f t="shared" ca="1" si="78"/>
        <v>99999.012970709329</v>
      </c>
      <c r="BO63" s="2">
        <f t="shared" ref="BO63" ca="1" si="1224">IFERROR(VLOOKUP($S63,qx_table,MATCH(BO$11,qx_title,0)+sexB),0)</f>
        <v>0</v>
      </c>
      <c r="BP63" s="131">
        <f t="shared" ca="1" si="824"/>
        <v>0</v>
      </c>
      <c r="BQ63" s="131">
        <f ca="1">SUM(BP63:BP$124)*SSh</f>
        <v>0</v>
      </c>
      <c r="BR63" s="70">
        <f t="shared" ca="1" si="81"/>
        <v>99999.012970709329</v>
      </c>
      <c r="BS63" s="2">
        <f t="shared" ref="BS63" ca="1" si="1225">IFERROR(VLOOKUP($S63,qx_table,MATCH(BS$11,qx_title,0)+sexB),0)*IF(R63=0,MCi,1)</f>
        <v>0</v>
      </c>
      <c r="BT63" s="131">
        <f t="shared" ca="1" si="826"/>
        <v>0</v>
      </c>
      <c r="BU63" s="131">
        <f ca="1">SUM(BT63:BT$124)*SSi</f>
        <v>0</v>
      </c>
      <c r="BV63" s="70">
        <f t="shared" ca="1" si="84"/>
        <v>99999.012970709329</v>
      </c>
      <c r="BW63" s="2">
        <f t="shared" ref="BW63" ca="1" si="1226">IFERROR(VLOOKUP($S63,qx_table,MATCH(BW$11,qx_title,0)+sexB),0)</f>
        <v>0</v>
      </c>
      <c r="BX63" s="131">
        <f t="shared" ca="1" si="828"/>
        <v>0</v>
      </c>
      <c r="BY63" s="131">
        <f ca="1">SUM(BX63:BX$124)*SSj</f>
        <v>0</v>
      </c>
      <c r="BZ63" s="70">
        <f t="shared" ca="1" si="87"/>
        <v>99999.012970709329</v>
      </c>
      <c r="CA63" s="2">
        <f t="shared" ref="CA63" ca="1" si="1227">IFERROR(VLOOKUP($S63,qx_table,MATCH(CA$11,qx_title,0)+sexB),0)</f>
        <v>0</v>
      </c>
      <c r="CB63" s="131">
        <f t="shared" ca="1" si="830"/>
        <v>0</v>
      </c>
      <c r="CC63" s="131">
        <f ca="1">SUM(CB63:CB$124)*SSk</f>
        <v>0</v>
      </c>
      <c r="CD63" s="8">
        <f t="shared" ca="1" si="90"/>
        <v>99999.012970709329</v>
      </c>
      <c r="CE63" s="2">
        <f t="shared" ref="CE63" ca="1" si="1228">IFERROR(VLOOKUP($S63,qx_table,MATCH(CE$11,qx_title,0)+sexB),0)</f>
        <v>0</v>
      </c>
      <c r="CF63" s="131">
        <f t="shared" ca="1" si="832"/>
        <v>0</v>
      </c>
      <c r="CG63" s="131">
        <f ca="1">SUM(CF63:CF$124)*SSl</f>
        <v>0</v>
      </c>
      <c r="CH63" s="101">
        <f t="shared" ca="1" si="93"/>
        <v>0</v>
      </c>
      <c r="CI63" s="154">
        <f t="shared" ca="1" si="789"/>
        <v>0</v>
      </c>
      <c r="CJ63" s="32">
        <f t="shared" ca="1" si="38"/>
        <v>0</v>
      </c>
      <c r="CK63" s="32">
        <f t="shared" ref="CK63" ca="1" si="1229">+MAX(VLOOKUP(xB+$R63,기수표B,$AH$1)-VLOOKUP(xB+mB,기수표B,$AH$1)-11/24*(VLOOKUP(xB+$R63,기수표B,$AG$1)-VLOOKUP(xB+mB,기수표B,$AG$1)),0)</f>
        <v>0</v>
      </c>
      <c r="CL63" s="32">
        <f t="shared" ref="CL63" ca="1" si="1230">+MAX(VLOOKUP(xB+$R63,기수표B,$AA$1)-VLOOKUP(xB+mB,기수표B,$AA$1),0)</f>
        <v>0</v>
      </c>
      <c r="CM63" s="32">
        <f t="shared" ref="CM63" ca="1" si="1231">+MAX(VLOOKUP(xB+$R63,기수표B,$AA$1)-VLOOKUP(xB+mB,기수표B,$AA$1)-11/24*(VLOOKUP(xB+$R63,기수표B,$AA$1)-VLOOKUP(xB+mB,기수표B,$AA$1)),0)</f>
        <v>0</v>
      </c>
      <c r="CN63" s="32">
        <f t="shared" si="793"/>
        <v>0</v>
      </c>
      <c r="CO63" s="32">
        <f t="shared" ca="1" si="794"/>
        <v>0</v>
      </c>
      <c r="CP63" s="32">
        <f t="shared" ca="1" si="795"/>
        <v>0</v>
      </c>
      <c r="CQ63" s="262">
        <f t="shared" ca="1" si="796"/>
        <v>0</v>
      </c>
      <c r="CR63" s="259" t="e">
        <f t="shared" ca="1" si="797"/>
        <v>#DIV/0!</v>
      </c>
      <c r="CS63" s="32">
        <f t="shared" ca="1" si="798"/>
        <v>1.5999999999999999E-5</v>
      </c>
      <c r="CT63" s="31">
        <f t="shared" ref="CT63" si="1232">+MIN(mB,7)</f>
        <v>7</v>
      </c>
      <c r="CV63" s="13">
        <v>51</v>
      </c>
      <c r="CW63" s="477">
        <f t="shared" ca="1" si="800"/>
        <v>480</v>
      </c>
      <c r="CX63" s="477" t="e">
        <f t="shared" ca="1" si="801"/>
        <v>#DIV/0!</v>
      </c>
      <c r="CY63" s="477">
        <f t="shared" ca="1" si="802"/>
        <v>0</v>
      </c>
      <c r="CZ63" s="478">
        <f t="shared" ca="1" si="98"/>
        <v>0</v>
      </c>
    </row>
    <row r="64" spans="2:104">
      <c r="N64" s="5">
        <f t="shared" si="99"/>
        <v>52</v>
      </c>
      <c r="O64" s="2">
        <f t="shared" ref="O64" ca="1" si="1233">+(1+iB)^-N64</f>
        <v>0.31441809544062127</v>
      </c>
      <c r="P64" s="2">
        <f t="shared" ref="P64" ca="1" si="1234">+(1+iB)^-(N64+0.5)</f>
        <v>0.31093948458084386</v>
      </c>
      <c r="Q64" s="91"/>
      <c r="R64" s="20">
        <f t="shared" si="102"/>
        <v>52</v>
      </c>
      <c r="S64" s="20" t="str">
        <f t="shared" ref="S64" si="1235">+IF(xB+R64&lt;=xB+nB,xB+R64,"")</f>
        <v/>
      </c>
      <c r="T64" s="2">
        <f t="shared" ref="T64:U64" ca="1" si="1236">IFERROR(VLOOKUP($S64,qx_table,MATCH(T$11,qx_title,0)+sexB),0)</f>
        <v>0</v>
      </c>
      <c r="U64" s="2">
        <f t="shared" ca="1" si="1236"/>
        <v>0</v>
      </c>
      <c r="V64" s="300">
        <v>0</v>
      </c>
      <c r="W64" s="8">
        <f t="shared" ref="W64" si="1237">IF(R64=0,100000,IF(R64&gt;nB,0,W63*(1-X63)*(1-Y63)))</f>
        <v>0</v>
      </c>
      <c r="X64" s="10">
        <f t="shared" ca="1" si="19"/>
        <v>0</v>
      </c>
      <c r="Y64" s="10">
        <f t="shared" ca="1" si="56"/>
        <v>0</v>
      </c>
      <c r="Z64" s="8">
        <f t="shared" ca="1" si="106"/>
        <v>0</v>
      </c>
      <c r="AA64" s="8">
        <f ca="1">+SUM(Z64:Z$124)</f>
        <v>0</v>
      </c>
      <c r="AB64" s="8">
        <f t="shared" ca="1" si="20"/>
        <v>0</v>
      </c>
      <c r="AC64" s="209">
        <f ca="1">+SUM(AB64:AB$124)*SSSM</f>
        <v>0</v>
      </c>
      <c r="AD64" s="209">
        <f t="shared" ref="AD64" si="1238">IF(R64&gt;nB,0,AD63*(1-X63)*(1-Y63)*(1-AE63)*(1-AF63))</f>
        <v>0</v>
      </c>
      <c r="AE64" s="92">
        <f t="shared" ca="1" si="21"/>
        <v>0</v>
      </c>
      <c r="AF64" s="92">
        <f t="shared" ca="1" si="22"/>
        <v>0</v>
      </c>
      <c r="AG64" s="8">
        <f t="shared" ca="1" si="23"/>
        <v>0</v>
      </c>
      <c r="AH64" s="5">
        <f ca="1">+SUM(AG64:AG$124)</f>
        <v>0</v>
      </c>
      <c r="AI64" s="70">
        <f t="shared" ca="1" si="24"/>
        <v>0</v>
      </c>
      <c r="AJ64" s="208">
        <f ca="1">+SUM(AB64:AB$124)*SS50J</f>
        <v>0</v>
      </c>
      <c r="AK64" s="5">
        <f t="shared" ca="1" si="58"/>
        <v>99999.012970709329</v>
      </c>
      <c r="AL64" s="2">
        <f t="shared" ref="AL64" ca="1" si="1239">IFERROR(VLOOKUP($S64,qx_table,MATCH(AL$11,qx_title,0)+sexB),0)</f>
        <v>0</v>
      </c>
      <c r="AM64" s="131">
        <f t="shared" ca="1" si="109"/>
        <v>31441.499204192409</v>
      </c>
      <c r="AN64" s="129">
        <f t="shared" ca="1" si="777"/>
        <v>0</v>
      </c>
      <c r="AO64" s="129">
        <f ca="1">SUM(AN64:AN$124)*SSa</f>
        <v>0</v>
      </c>
      <c r="AP64" s="70">
        <f t="shared" ca="1" si="60"/>
        <v>99999.012970709329</v>
      </c>
      <c r="AQ64" s="2">
        <f t="shared" ref="AQ64" ca="1" si="1240">IFERROR(VLOOKUP($S64,qx_table,MATCH(AQ$11,qx_title,0)+sexB),0)</f>
        <v>0</v>
      </c>
      <c r="AR64" s="127">
        <f t="shared" ca="1" si="812"/>
        <v>0</v>
      </c>
      <c r="AS64" s="127">
        <f ca="1">SUM(AR64:AR$124)*SSb</f>
        <v>0</v>
      </c>
      <c r="AT64" s="70">
        <f t="shared" ca="1" si="63"/>
        <v>99999.012970709329</v>
      </c>
      <c r="AU64" s="2">
        <f t="shared" ref="AU64" ca="1" si="1241">IFERROR(VLOOKUP($S64,qx_table,MATCH(AU$11,qx_title,0)+sexB),0)</f>
        <v>0</v>
      </c>
      <c r="AV64" s="268">
        <f t="shared" ca="1" si="814"/>
        <v>0</v>
      </c>
      <c r="AW64" s="131">
        <f ca="1">SUM(AV64:AV$124)*SSc</f>
        <v>0</v>
      </c>
      <c r="AX64" s="70">
        <f t="shared" ca="1" si="66"/>
        <v>99999.012970709329</v>
      </c>
      <c r="AY64" s="2">
        <f t="shared" ref="AY64" ca="1" si="1242">IFERROR(VLOOKUP($S64,qx_table,MATCH(AY$11,qx_title,0)+sexB),0)</f>
        <v>0</v>
      </c>
      <c r="AZ64" s="268">
        <f t="shared" ca="1" si="816"/>
        <v>0</v>
      </c>
      <c r="BA64" s="129">
        <f ca="1">SUM(AZ64:AZ$124)*SSd</f>
        <v>0</v>
      </c>
      <c r="BB64" s="70">
        <f t="shared" ca="1" si="69"/>
        <v>99999.012970709329</v>
      </c>
      <c r="BC64" s="257">
        <f t="shared" ref="BC64" ca="1" si="1243">IFERROR(VLOOKUP($S64,qx_table,MATCH(BC$11,qx_title,0)+sexB),0)</f>
        <v>0</v>
      </c>
      <c r="BD64" s="268">
        <f t="shared" ca="1" si="818"/>
        <v>0</v>
      </c>
      <c r="BE64" s="131">
        <f ca="1">SUM(BD64:BD$124)*SSe</f>
        <v>0</v>
      </c>
      <c r="BF64" s="70">
        <f t="shared" ca="1" si="72"/>
        <v>99999.012970709329</v>
      </c>
      <c r="BG64" s="2">
        <f t="shared" ref="BG64" ca="1" si="1244">IFERROR(VLOOKUP($S64,qx_table,MATCH(BG$11,qx_title,0)+sexB),0)</f>
        <v>0</v>
      </c>
      <c r="BH64" s="131">
        <f t="shared" ca="1" si="820"/>
        <v>0</v>
      </c>
      <c r="BI64" s="2">
        <f ca="1">SUM(BH64:BH$124)*SSf</f>
        <v>0</v>
      </c>
      <c r="BJ64" s="70">
        <f t="shared" ca="1" si="75"/>
        <v>99999.012970709329</v>
      </c>
      <c r="BK64" s="2">
        <f t="shared" ref="BK64" ca="1" si="1245">IFERROR(VLOOKUP($S64,qx_table,MATCH(BK$11,qx_title,0)+sexB),0)</f>
        <v>0</v>
      </c>
      <c r="BL64" s="131">
        <f t="shared" ca="1" si="822"/>
        <v>0</v>
      </c>
      <c r="BM64" s="131">
        <f ca="1">SUM(BL64:BL$124)*SSg</f>
        <v>0</v>
      </c>
      <c r="BN64" s="70">
        <f t="shared" ca="1" si="78"/>
        <v>99999.012970709329</v>
      </c>
      <c r="BO64" s="2">
        <f t="shared" ref="BO64" ca="1" si="1246">IFERROR(VLOOKUP($S64,qx_table,MATCH(BO$11,qx_title,0)+sexB),0)</f>
        <v>0</v>
      </c>
      <c r="BP64" s="131">
        <f t="shared" ca="1" si="824"/>
        <v>0</v>
      </c>
      <c r="BQ64" s="131">
        <f ca="1">SUM(BP64:BP$124)*SSh</f>
        <v>0</v>
      </c>
      <c r="BR64" s="70">
        <f t="shared" ca="1" si="81"/>
        <v>99999.012970709329</v>
      </c>
      <c r="BS64" s="2">
        <f t="shared" ref="BS64" ca="1" si="1247">IFERROR(VLOOKUP($S64,qx_table,MATCH(BS$11,qx_title,0)+sexB),0)*IF(R64=0,MCi,1)</f>
        <v>0</v>
      </c>
      <c r="BT64" s="131">
        <f t="shared" ca="1" si="826"/>
        <v>0</v>
      </c>
      <c r="BU64" s="131">
        <f ca="1">SUM(BT64:BT$124)*SSi</f>
        <v>0</v>
      </c>
      <c r="BV64" s="70">
        <f t="shared" ca="1" si="84"/>
        <v>99999.012970709329</v>
      </c>
      <c r="BW64" s="2">
        <f t="shared" ref="BW64" ca="1" si="1248">IFERROR(VLOOKUP($S64,qx_table,MATCH(BW$11,qx_title,0)+sexB),0)</f>
        <v>0</v>
      </c>
      <c r="BX64" s="131">
        <f t="shared" ca="1" si="828"/>
        <v>0</v>
      </c>
      <c r="BY64" s="131">
        <f ca="1">SUM(BX64:BX$124)*SSj</f>
        <v>0</v>
      </c>
      <c r="BZ64" s="70">
        <f t="shared" ca="1" si="87"/>
        <v>99999.012970709329</v>
      </c>
      <c r="CA64" s="2">
        <f t="shared" ref="CA64" ca="1" si="1249">IFERROR(VLOOKUP($S64,qx_table,MATCH(CA$11,qx_title,0)+sexB),0)</f>
        <v>0</v>
      </c>
      <c r="CB64" s="131">
        <f t="shared" ca="1" si="830"/>
        <v>0</v>
      </c>
      <c r="CC64" s="131">
        <f ca="1">SUM(CB64:CB$124)*SSk</f>
        <v>0</v>
      </c>
      <c r="CD64" s="8">
        <f t="shared" ca="1" si="90"/>
        <v>99999.012970709329</v>
      </c>
      <c r="CE64" s="2">
        <f t="shared" ref="CE64" ca="1" si="1250">IFERROR(VLOOKUP($S64,qx_table,MATCH(CE$11,qx_title,0)+sexB),0)</f>
        <v>0</v>
      </c>
      <c r="CF64" s="131">
        <f t="shared" ca="1" si="832"/>
        <v>0</v>
      </c>
      <c r="CG64" s="131">
        <f ca="1">SUM(CF64:CF$124)*SSl</f>
        <v>0</v>
      </c>
      <c r="CH64" s="101">
        <f t="shared" ca="1" si="93"/>
        <v>0</v>
      </c>
      <c r="CI64" s="154">
        <f t="shared" ca="1" si="789"/>
        <v>0</v>
      </c>
      <c r="CJ64" s="32">
        <f t="shared" ca="1" si="38"/>
        <v>0</v>
      </c>
      <c r="CK64" s="32">
        <f t="shared" ref="CK64" ca="1" si="1251">+MAX(VLOOKUP(xB+$R64,기수표B,$AH$1)-VLOOKUP(xB+mB,기수표B,$AH$1)-11/24*(VLOOKUP(xB+$R64,기수표B,$AG$1)-VLOOKUP(xB+mB,기수표B,$AG$1)),0)</f>
        <v>0</v>
      </c>
      <c r="CL64" s="32">
        <f t="shared" ref="CL64" ca="1" si="1252">+MAX(VLOOKUP(xB+$R64,기수표B,$AA$1)-VLOOKUP(xB+mB,기수표B,$AA$1),0)</f>
        <v>0</v>
      </c>
      <c r="CM64" s="32">
        <f t="shared" ref="CM64" ca="1" si="1253">+MAX(VLOOKUP(xB+$R64,기수표B,$AA$1)-VLOOKUP(xB+mB,기수표B,$AA$1)-11/24*(VLOOKUP(xB+$R64,기수표B,$AA$1)-VLOOKUP(xB+mB,기수표B,$AA$1)),0)</f>
        <v>0</v>
      </c>
      <c r="CN64" s="32">
        <f t="shared" si="793"/>
        <v>0</v>
      </c>
      <c r="CO64" s="32">
        <f t="shared" ca="1" si="794"/>
        <v>0</v>
      </c>
      <c r="CP64" s="32">
        <f t="shared" ca="1" si="795"/>
        <v>0</v>
      </c>
      <c r="CQ64" s="262">
        <f t="shared" ca="1" si="796"/>
        <v>0</v>
      </c>
      <c r="CR64" s="259" t="e">
        <f t="shared" ca="1" si="797"/>
        <v>#DIV/0!</v>
      </c>
      <c r="CS64" s="32">
        <f t="shared" ca="1" si="798"/>
        <v>1.5999999999999999E-5</v>
      </c>
      <c r="CT64" s="31">
        <f t="shared" ref="CT64" si="1254">+MIN(mB,7)</f>
        <v>7</v>
      </c>
      <c r="CV64" s="13">
        <v>52</v>
      </c>
      <c r="CW64" s="477">
        <f t="shared" ca="1" si="800"/>
        <v>480</v>
      </c>
      <c r="CX64" s="477" t="e">
        <f t="shared" ca="1" si="801"/>
        <v>#DIV/0!</v>
      </c>
      <c r="CY64" s="477">
        <f t="shared" ca="1" si="802"/>
        <v>0</v>
      </c>
      <c r="CZ64" s="478">
        <f t="shared" ca="1" si="98"/>
        <v>0</v>
      </c>
    </row>
    <row r="65" spans="14:104">
      <c r="N65" s="5">
        <f t="shared" si="99"/>
        <v>53</v>
      </c>
      <c r="O65" s="2">
        <f t="shared" ref="O65" ca="1" si="1255">+(1+iB)^-N65</f>
        <v>0.30749935984412835</v>
      </c>
      <c r="P65" s="2">
        <f t="shared" ref="P65" ca="1" si="1256">+(1+iB)^-(N65+0.5)</f>
        <v>0.30409729543358816</v>
      </c>
      <c r="Q65" s="91"/>
      <c r="R65" s="20">
        <f t="shared" si="102"/>
        <v>53</v>
      </c>
      <c r="S65" s="20" t="str">
        <f t="shared" ref="S65" si="1257">+IF(xB+R65&lt;=xB+nB,xB+R65,"")</f>
        <v/>
      </c>
      <c r="T65" s="2">
        <f t="shared" ref="T65:U65" ca="1" si="1258">IFERROR(VLOOKUP($S65,qx_table,MATCH(T$11,qx_title,0)+sexB),0)</f>
        <v>0</v>
      </c>
      <c r="U65" s="2">
        <f t="shared" ca="1" si="1258"/>
        <v>0</v>
      </c>
      <c r="V65" s="300">
        <v>0</v>
      </c>
      <c r="W65" s="8">
        <f t="shared" ref="W65" si="1259">IF(R65=0,100000,IF(R65&gt;nB,0,W64*(1-X64)*(1-Y64)))</f>
        <v>0</v>
      </c>
      <c r="X65" s="10">
        <f t="shared" ca="1" si="19"/>
        <v>0</v>
      </c>
      <c r="Y65" s="10">
        <f t="shared" ca="1" si="56"/>
        <v>0</v>
      </c>
      <c r="Z65" s="8">
        <f t="shared" ca="1" si="106"/>
        <v>0</v>
      </c>
      <c r="AA65" s="8">
        <f ca="1">+SUM(Z65:Z$124)</f>
        <v>0</v>
      </c>
      <c r="AB65" s="8">
        <f t="shared" ca="1" si="20"/>
        <v>0</v>
      </c>
      <c r="AC65" s="209">
        <f ca="1">+SUM(AB65:AB$124)*SSSM</f>
        <v>0</v>
      </c>
      <c r="AD65" s="209">
        <f t="shared" ref="AD65" si="1260">IF(R65&gt;nB,0,AD64*(1-X64)*(1-Y64)*(1-AE64)*(1-AF64))</f>
        <v>0</v>
      </c>
      <c r="AE65" s="92">
        <f t="shared" ca="1" si="21"/>
        <v>0</v>
      </c>
      <c r="AF65" s="92">
        <f t="shared" ca="1" si="22"/>
        <v>0</v>
      </c>
      <c r="AG65" s="8">
        <f t="shared" ca="1" si="23"/>
        <v>0</v>
      </c>
      <c r="AH65" s="5">
        <f ca="1">+SUM(AG65:AG$124)</f>
        <v>0</v>
      </c>
      <c r="AI65" s="70">
        <f t="shared" ca="1" si="24"/>
        <v>0</v>
      </c>
      <c r="AJ65" s="208">
        <f ca="1">+SUM(AB65:AB$124)*SS50J</f>
        <v>0</v>
      </c>
      <c r="AK65" s="5">
        <f t="shared" ca="1" si="58"/>
        <v>99999.012970709329</v>
      </c>
      <c r="AL65" s="2">
        <f t="shared" ref="AL65" ca="1" si="1261">IFERROR(VLOOKUP($S65,qx_table,MATCH(AL$11,qx_title,0)+sexB),0)</f>
        <v>0</v>
      </c>
      <c r="AM65" s="131">
        <f t="shared" ca="1" si="109"/>
        <v>30749.632473537808</v>
      </c>
      <c r="AN65" s="129">
        <f t="shared" ca="1" si="777"/>
        <v>0</v>
      </c>
      <c r="AO65" s="129">
        <f ca="1">SUM(AN65:AN$124)*SSa</f>
        <v>0</v>
      </c>
      <c r="AP65" s="70">
        <f t="shared" ca="1" si="60"/>
        <v>99999.012970709329</v>
      </c>
      <c r="AQ65" s="2">
        <f t="shared" ref="AQ65" ca="1" si="1262">IFERROR(VLOOKUP($S65,qx_table,MATCH(AQ$11,qx_title,0)+sexB),0)</f>
        <v>0</v>
      </c>
      <c r="AR65" s="127">
        <f t="shared" ca="1" si="812"/>
        <v>0</v>
      </c>
      <c r="AS65" s="127">
        <f ca="1">SUM(AR65:AR$124)*SSb</f>
        <v>0</v>
      </c>
      <c r="AT65" s="70">
        <f t="shared" ca="1" si="63"/>
        <v>99999.012970709329</v>
      </c>
      <c r="AU65" s="2">
        <f t="shared" ref="AU65" ca="1" si="1263">IFERROR(VLOOKUP($S65,qx_table,MATCH(AU$11,qx_title,0)+sexB),0)</f>
        <v>0</v>
      </c>
      <c r="AV65" s="268">
        <f t="shared" ca="1" si="814"/>
        <v>0</v>
      </c>
      <c r="AW65" s="131">
        <f ca="1">SUM(AV65:AV$124)*SSc</f>
        <v>0</v>
      </c>
      <c r="AX65" s="70">
        <f t="shared" ca="1" si="66"/>
        <v>99999.012970709329</v>
      </c>
      <c r="AY65" s="2">
        <f t="shared" ref="AY65" ca="1" si="1264">IFERROR(VLOOKUP($S65,qx_table,MATCH(AY$11,qx_title,0)+sexB),0)</f>
        <v>0</v>
      </c>
      <c r="AZ65" s="268">
        <f t="shared" ca="1" si="816"/>
        <v>0</v>
      </c>
      <c r="BA65" s="129">
        <f ca="1">SUM(AZ65:AZ$124)*SSd</f>
        <v>0</v>
      </c>
      <c r="BB65" s="70">
        <f t="shared" ca="1" si="69"/>
        <v>99999.012970709329</v>
      </c>
      <c r="BC65" s="257">
        <f t="shared" ref="BC65" ca="1" si="1265">IFERROR(VLOOKUP($S65,qx_table,MATCH(BC$11,qx_title,0)+sexB),0)</f>
        <v>0</v>
      </c>
      <c r="BD65" s="268">
        <f t="shared" ca="1" si="818"/>
        <v>0</v>
      </c>
      <c r="BE65" s="131">
        <f ca="1">SUM(BD65:BD$124)*SSe</f>
        <v>0</v>
      </c>
      <c r="BF65" s="70">
        <f t="shared" ca="1" si="72"/>
        <v>99999.012970709329</v>
      </c>
      <c r="BG65" s="2">
        <f t="shared" ref="BG65" ca="1" si="1266">IFERROR(VLOOKUP($S65,qx_table,MATCH(BG$11,qx_title,0)+sexB),0)</f>
        <v>0</v>
      </c>
      <c r="BH65" s="131">
        <f t="shared" ca="1" si="820"/>
        <v>0</v>
      </c>
      <c r="BI65" s="2">
        <f ca="1">SUM(BH65:BH$124)*SSf</f>
        <v>0</v>
      </c>
      <c r="BJ65" s="70">
        <f t="shared" ca="1" si="75"/>
        <v>99999.012970709329</v>
      </c>
      <c r="BK65" s="2">
        <f t="shared" ref="BK65" ca="1" si="1267">IFERROR(VLOOKUP($S65,qx_table,MATCH(BK$11,qx_title,0)+sexB),0)</f>
        <v>0</v>
      </c>
      <c r="BL65" s="131">
        <f t="shared" ca="1" si="822"/>
        <v>0</v>
      </c>
      <c r="BM65" s="131">
        <f ca="1">SUM(BL65:BL$124)*SSg</f>
        <v>0</v>
      </c>
      <c r="BN65" s="70">
        <f t="shared" ca="1" si="78"/>
        <v>99999.012970709329</v>
      </c>
      <c r="BO65" s="2">
        <f t="shared" ref="BO65" ca="1" si="1268">IFERROR(VLOOKUP($S65,qx_table,MATCH(BO$11,qx_title,0)+sexB),0)</f>
        <v>0</v>
      </c>
      <c r="BP65" s="131">
        <f t="shared" ca="1" si="824"/>
        <v>0</v>
      </c>
      <c r="BQ65" s="131">
        <f ca="1">SUM(BP65:BP$124)*SSh</f>
        <v>0</v>
      </c>
      <c r="BR65" s="70">
        <f t="shared" ca="1" si="81"/>
        <v>99999.012970709329</v>
      </c>
      <c r="BS65" s="2">
        <f t="shared" ref="BS65" ca="1" si="1269">IFERROR(VLOOKUP($S65,qx_table,MATCH(BS$11,qx_title,0)+sexB),0)*IF(R65=0,MCi,1)</f>
        <v>0</v>
      </c>
      <c r="BT65" s="131">
        <f t="shared" ca="1" si="826"/>
        <v>0</v>
      </c>
      <c r="BU65" s="131">
        <f ca="1">SUM(BT65:BT$124)*SSi</f>
        <v>0</v>
      </c>
      <c r="BV65" s="70">
        <f t="shared" ca="1" si="84"/>
        <v>99999.012970709329</v>
      </c>
      <c r="BW65" s="2">
        <f t="shared" ref="BW65" ca="1" si="1270">IFERROR(VLOOKUP($S65,qx_table,MATCH(BW$11,qx_title,0)+sexB),0)</f>
        <v>0</v>
      </c>
      <c r="BX65" s="131">
        <f t="shared" ca="1" si="828"/>
        <v>0</v>
      </c>
      <c r="BY65" s="131">
        <f ca="1">SUM(BX65:BX$124)*SSj</f>
        <v>0</v>
      </c>
      <c r="BZ65" s="70">
        <f t="shared" ca="1" si="87"/>
        <v>99999.012970709329</v>
      </c>
      <c r="CA65" s="2">
        <f t="shared" ref="CA65" ca="1" si="1271">IFERROR(VLOOKUP($S65,qx_table,MATCH(CA$11,qx_title,0)+sexB),0)</f>
        <v>0</v>
      </c>
      <c r="CB65" s="131">
        <f t="shared" ca="1" si="830"/>
        <v>0</v>
      </c>
      <c r="CC65" s="131">
        <f ca="1">SUM(CB65:CB$124)*SSk</f>
        <v>0</v>
      </c>
      <c r="CD65" s="8">
        <f t="shared" ca="1" si="90"/>
        <v>99999.012970709329</v>
      </c>
      <c r="CE65" s="2">
        <f t="shared" ref="CE65" ca="1" si="1272">IFERROR(VLOOKUP($S65,qx_table,MATCH(CE$11,qx_title,0)+sexB),0)</f>
        <v>0</v>
      </c>
      <c r="CF65" s="131">
        <f t="shared" ca="1" si="832"/>
        <v>0</v>
      </c>
      <c r="CG65" s="131">
        <f ca="1">SUM(CF65:CF$124)*SSl</f>
        <v>0</v>
      </c>
      <c r="CH65" s="101">
        <f t="shared" ca="1" si="93"/>
        <v>0</v>
      </c>
      <c r="CI65" s="154">
        <f t="shared" ca="1" si="789"/>
        <v>0</v>
      </c>
      <c r="CJ65" s="32">
        <f t="shared" ca="1" si="38"/>
        <v>0</v>
      </c>
      <c r="CK65" s="32">
        <f t="shared" ref="CK65" ca="1" si="1273">+MAX(VLOOKUP(xB+$R65,기수표B,$AH$1)-VLOOKUP(xB+mB,기수표B,$AH$1)-11/24*(VLOOKUP(xB+$R65,기수표B,$AG$1)-VLOOKUP(xB+mB,기수표B,$AG$1)),0)</f>
        <v>0</v>
      </c>
      <c r="CL65" s="32">
        <f t="shared" ref="CL65" ca="1" si="1274">+MAX(VLOOKUP(xB+$R65,기수표B,$AA$1)-VLOOKUP(xB+mB,기수표B,$AA$1),0)</f>
        <v>0</v>
      </c>
      <c r="CM65" s="32">
        <f t="shared" ref="CM65" ca="1" si="1275">+MAX(VLOOKUP(xB+$R65,기수표B,$AA$1)-VLOOKUP(xB+mB,기수표B,$AA$1)-11/24*(VLOOKUP(xB+$R65,기수표B,$AA$1)-VLOOKUP(xB+mB,기수표B,$AA$1)),0)</f>
        <v>0</v>
      </c>
      <c r="CN65" s="32">
        <f t="shared" si="793"/>
        <v>0</v>
      </c>
      <c r="CO65" s="32">
        <f t="shared" ca="1" si="794"/>
        <v>0</v>
      </c>
      <c r="CP65" s="32">
        <f t="shared" ca="1" si="795"/>
        <v>0</v>
      </c>
      <c r="CQ65" s="262">
        <f t="shared" ca="1" si="796"/>
        <v>0</v>
      </c>
      <c r="CR65" s="259" t="e">
        <f t="shared" ca="1" si="797"/>
        <v>#DIV/0!</v>
      </c>
      <c r="CS65" s="32">
        <f t="shared" ca="1" si="798"/>
        <v>1.5999999999999999E-5</v>
      </c>
      <c r="CT65" s="31">
        <f t="shared" ref="CT65" si="1276">+MIN(mB,7)</f>
        <v>7</v>
      </c>
      <c r="CV65" s="13">
        <v>53</v>
      </c>
      <c r="CW65" s="477">
        <f t="shared" ca="1" si="800"/>
        <v>480</v>
      </c>
      <c r="CX65" s="477" t="e">
        <f t="shared" ca="1" si="801"/>
        <v>#DIV/0!</v>
      </c>
      <c r="CY65" s="477">
        <f t="shared" ca="1" si="802"/>
        <v>0</v>
      </c>
      <c r="CZ65" s="478">
        <f t="shared" ca="1" si="98"/>
        <v>0</v>
      </c>
    </row>
    <row r="66" spans="14:104">
      <c r="N66" s="5">
        <f t="shared" si="99"/>
        <v>54</v>
      </c>
      <c r="O66" s="2">
        <f t="shared" ref="O66" ca="1" si="1277">+(1+iB)^-N66</f>
        <v>0.30073287026320628</v>
      </c>
      <c r="P66" s="2">
        <f t="shared" ref="P66" ca="1" si="1278">+(1+iB)^-(N66+0.5)</f>
        <v>0.29740566790570971</v>
      </c>
      <c r="Q66" s="91"/>
      <c r="R66" s="20">
        <f t="shared" si="102"/>
        <v>54</v>
      </c>
      <c r="S66" s="20" t="str">
        <f t="shared" ref="S66" si="1279">+IF(xB+R66&lt;=xB+nB,xB+R66,"")</f>
        <v/>
      </c>
      <c r="T66" s="2">
        <f t="shared" ref="T66:U66" ca="1" si="1280">IFERROR(VLOOKUP($S66,qx_table,MATCH(T$11,qx_title,0)+sexB),0)</f>
        <v>0</v>
      </c>
      <c r="U66" s="2">
        <f t="shared" ca="1" si="1280"/>
        <v>0</v>
      </c>
      <c r="V66" s="300">
        <v>0</v>
      </c>
      <c r="W66" s="8">
        <f t="shared" ref="W66" si="1281">IF(R66=0,100000,IF(R66&gt;nB,0,W65*(1-X65)*(1-Y65)))</f>
        <v>0</v>
      </c>
      <c r="X66" s="10">
        <f t="shared" ca="1" si="19"/>
        <v>0</v>
      </c>
      <c r="Y66" s="10">
        <f t="shared" ca="1" si="56"/>
        <v>0</v>
      </c>
      <c r="Z66" s="8">
        <f t="shared" ca="1" si="106"/>
        <v>0</v>
      </c>
      <c r="AA66" s="8">
        <f ca="1">+SUM(Z66:Z$124)</f>
        <v>0</v>
      </c>
      <c r="AB66" s="8">
        <f t="shared" ca="1" si="20"/>
        <v>0</v>
      </c>
      <c r="AC66" s="209">
        <f ca="1">+SUM(AB66:AB$124)*SSSM</f>
        <v>0</v>
      </c>
      <c r="AD66" s="209">
        <f t="shared" ref="AD66" si="1282">IF(R66&gt;nB,0,AD65*(1-X65)*(1-Y65)*(1-AE65)*(1-AF65))</f>
        <v>0</v>
      </c>
      <c r="AE66" s="92">
        <f t="shared" ca="1" si="21"/>
        <v>0</v>
      </c>
      <c r="AF66" s="92">
        <f t="shared" ca="1" si="22"/>
        <v>0</v>
      </c>
      <c r="AG66" s="8">
        <f t="shared" ca="1" si="23"/>
        <v>0</v>
      </c>
      <c r="AH66" s="5">
        <f ca="1">+SUM(AG66:AG$124)</f>
        <v>0</v>
      </c>
      <c r="AI66" s="70">
        <f t="shared" ca="1" si="24"/>
        <v>0</v>
      </c>
      <c r="AJ66" s="208">
        <f ca="1">+SUM(AB66:AB$124)*SS50J</f>
        <v>0</v>
      </c>
      <c r="AK66" s="5">
        <f t="shared" ca="1" si="58"/>
        <v>99999.012970709329</v>
      </c>
      <c r="AL66" s="2">
        <f t="shared" ref="AL66" ca="1" si="1283">IFERROR(VLOOKUP($S66,qx_table,MATCH(AL$11,qx_title,0)+sexB),0)</f>
        <v>0</v>
      </c>
      <c r="AM66" s="131">
        <f t="shared" ca="1" si="109"/>
        <v>30072.990194169011</v>
      </c>
      <c r="AN66" s="129">
        <f t="shared" ca="1" si="777"/>
        <v>0</v>
      </c>
      <c r="AO66" s="129">
        <f ca="1">SUM(AN66:AN$124)*SSa</f>
        <v>0</v>
      </c>
      <c r="AP66" s="70">
        <f t="shared" ca="1" si="60"/>
        <v>99999.012970709329</v>
      </c>
      <c r="AQ66" s="2">
        <f t="shared" ref="AQ66" ca="1" si="1284">IFERROR(VLOOKUP($S66,qx_table,MATCH(AQ$11,qx_title,0)+sexB),0)</f>
        <v>0</v>
      </c>
      <c r="AR66" s="127">
        <f t="shared" ca="1" si="812"/>
        <v>0</v>
      </c>
      <c r="AS66" s="127">
        <f ca="1">SUM(AR66:AR$124)*SSb</f>
        <v>0</v>
      </c>
      <c r="AT66" s="70">
        <f t="shared" ca="1" si="63"/>
        <v>99999.012970709329</v>
      </c>
      <c r="AU66" s="2">
        <f t="shared" ref="AU66" ca="1" si="1285">IFERROR(VLOOKUP($S66,qx_table,MATCH(AU$11,qx_title,0)+sexB),0)</f>
        <v>0</v>
      </c>
      <c r="AV66" s="268">
        <f t="shared" ca="1" si="814"/>
        <v>0</v>
      </c>
      <c r="AW66" s="131">
        <f ca="1">SUM(AV66:AV$124)*SSc</f>
        <v>0</v>
      </c>
      <c r="AX66" s="70">
        <f t="shared" ca="1" si="66"/>
        <v>99999.012970709329</v>
      </c>
      <c r="AY66" s="2">
        <f t="shared" ref="AY66" ca="1" si="1286">IFERROR(VLOOKUP($S66,qx_table,MATCH(AY$11,qx_title,0)+sexB),0)</f>
        <v>0</v>
      </c>
      <c r="AZ66" s="268">
        <f t="shared" ca="1" si="816"/>
        <v>0</v>
      </c>
      <c r="BA66" s="129">
        <f ca="1">SUM(AZ66:AZ$124)*SSd</f>
        <v>0</v>
      </c>
      <c r="BB66" s="70">
        <f t="shared" ca="1" si="69"/>
        <v>99999.012970709329</v>
      </c>
      <c r="BC66" s="257">
        <f t="shared" ref="BC66" ca="1" si="1287">IFERROR(VLOOKUP($S66,qx_table,MATCH(BC$11,qx_title,0)+sexB),0)</f>
        <v>0</v>
      </c>
      <c r="BD66" s="268">
        <f t="shared" ca="1" si="818"/>
        <v>0</v>
      </c>
      <c r="BE66" s="131">
        <f ca="1">SUM(BD66:BD$124)*SSe</f>
        <v>0</v>
      </c>
      <c r="BF66" s="70">
        <f t="shared" ca="1" si="72"/>
        <v>99999.012970709329</v>
      </c>
      <c r="BG66" s="2">
        <f t="shared" ref="BG66" ca="1" si="1288">IFERROR(VLOOKUP($S66,qx_table,MATCH(BG$11,qx_title,0)+sexB),0)</f>
        <v>0</v>
      </c>
      <c r="BH66" s="131">
        <f t="shared" ca="1" si="820"/>
        <v>0</v>
      </c>
      <c r="BI66" s="2">
        <f ca="1">SUM(BH66:BH$124)*SSf</f>
        <v>0</v>
      </c>
      <c r="BJ66" s="70">
        <f t="shared" ca="1" si="75"/>
        <v>99999.012970709329</v>
      </c>
      <c r="BK66" s="2">
        <f t="shared" ref="BK66" ca="1" si="1289">IFERROR(VLOOKUP($S66,qx_table,MATCH(BK$11,qx_title,0)+sexB),0)</f>
        <v>0</v>
      </c>
      <c r="BL66" s="131">
        <f t="shared" ca="1" si="822"/>
        <v>0</v>
      </c>
      <c r="BM66" s="131">
        <f ca="1">SUM(BL66:BL$124)*SSg</f>
        <v>0</v>
      </c>
      <c r="BN66" s="70">
        <f t="shared" ca="1" si="78"/>
        <v>99999.012970709329</v>
      </c>
      <c r="BO66" s="2">
        <f t="shared" ref="BO66" ca="1" si="1290">IFERROR(VLOOKUP($S66,qx_table,MATCH(BO$11,qx_title,0)+sexB),0)</f>
        <v>0</v>
      </c>
      <c r="BP66" s="131">
        <f t="shared" ca="1" si="824"/>
        <v>0</v>
      </c>
      <c r="BQ66" s="131">
        <f ca="1">SUM(BP66:BP$124)*SSh</f>
        <v>0</v>
      </c>
      <c r="BR66" s="70">
        <f t="shared" ca="1" si="81"/>
        <v>99999.012970709329</v>
      </c>
      <c r="BS66" s="2">
        <f t="shared" ref="BS66" ca="1" si="1291">IFERROR(VLOOKUP($S66,qx_table,MATCH(BS$11,qx_title,0)+sexB),0)*IF(R66=0,MCi,1)</f>
        <v>0</v>
      </c>
      <c r="BT66" s="131">
        <f t="shared" ca="1" si="826"/>
        <v>0</v>
      </c>
      <c r="BU66" s="131">
        <f ca="1">SUM(BT66:BT$124)*SSi</f>
        <v>0</v>
      </c>
      <c r="BV66" s="70">
        <f t="shared" ca="1" si="84"/>
        <v>99999.012970709329</v>
      </c>
      <c r="BW66" s="2">
        <f t="shared" ref="BW66" ca="1" si="1292">IFERROR(VLOOKUP($S66,qx_table,MATCH(BW$11,qx_title,0)+sexB),0)</f>
        <v>0</v>
      </c>
      <c r="BX66" s="131">
        <f t="shared" ca="1" si="828"/>
        <v>0</v>
      </c>
      <c r="BY66" s="131">
        <f ca="1">SUM(BX66:BX$124)*SSj</f>
        <v>0</v>
      </c>
      <c r="BZ66" s="70">
        <f t="shared" ca="1" si="87"/>
        <v>99999.012970709329</v>
      </c>
      <c r="CA66" s="2">
        <f t="shared" ref="CA66" ca="1" si="1293">IFERROR(VLOOKUP($S66,qx_table,MATCH(CA$11,qx_title,0)+sexB),0)</f>
        <v>0</v>
      </c>
      <c r="CB66" s="131">
        <f t="shared" ca="1" si="830"/>
        <v>0</v>
      </c>
      <c r="CC66" s="131">
        <f ca="1">SUM(CB66:CB$124)*SSk</f>
        <v>0</v>
      </c>
      <c r="CD66" s="8">
        <f t="shared" ca="1" si="90"/>
        <v>99999.012970709329</v>
      </c>
      <c r="CE66" s="2">
        <f t="shared" ref="CE66" ca="1" si="1294">IFERROR(VLOOKUP($S66,qx_table,MATCH(CE$11,qx_title,0)+sexB),0)</f>
        <v>0</v>
      </c>
      <c r="CF66" s="131">
        <f t="shared" ca="1" si="832"/>
        <v>0</v>
      </c>
      <c r="CG66" s="131">
        <f ca="1">SUM(CF66:CF$124)*SSl</f>
        <v>0</v>
      </c>
      <c r="CH66" s="101">
        <f t="shared" ca="1" si="93"/>
        <v>0</v>
      </c>
      <c r="CI66" s="154">
        <f t="shared" ca="1" si="789"/>
        <v>0</v>
      </c>
      <c r="CJ66" s="32">
        <f t="shared" ca="1" si="38"/>
        <v>0</v>
      </c>
      <c r="CK66" s="32">
        <f t="shared" ref="CK66" ca="1" si="1295">+MAX(VLOOKUP(xB+$R66,기수표B,$AH$1)-VLOOKUP(xB+mB,기수표B,$AH$1)-11/24*(VLOOKUP(xB+$R66,기수표B,$AG$1)-VLOOKUP(xB+mB,기수표B,$AG$1)),0)</f>
        <v>0</v>
      </c>
      <c r="CL66" s="32">
        <f t="shared" ref="CL66" ca="1" si="1296">+MAX(VLOOKUP(xB+$R66,기수표B,$AA$1)-VLOOKUP(xB+mB,기수표B,$AA$1),0)</f>
        <v>0</v>
      </c>
      <c r="CM66" s="32">
        <f t="shared" ref="CM66" ca="1" si="1297">+MAX(VLOOKUP(xB+$R66,기수표B,$AA$1)-VLOOKUP(xB+mB,기수표B,$AA$1)-11/24*(VLOOKUP(xB+$R66,기수표B,$AA$1)-VLOOKUP(xB+mB,기수표B,$AA$1)),0)</f>
        <v>0</v>
      </c>
      <c r="CN66" s="32">
        <f t="shared" si="793"/>
        <v>0</v>
      </c>
      <c r="CO66" s="32">
        <f t="shared" ca="1" si="794"/>
        <v>0</v>
      </c>
      <c r="CP66" s="32">
        <f t="shared" ca="1" si="795"/>
        <v>0</v>
      </c>
      <c r="CQ66" s="262">
        <f t="shared" ca="1" si="796"/>
        <v>0</v>
      </c>
      <c r="CR66" s="259" t="e">
        <f t="shared" ca="1" si="797"/>
        <v>#DIV/0!</v>
      </c>
      <c r="CS66" s="32">
        <f t="shared" ca="1" si="798"/>
        <v>1.5999999999999999E-5</v>
      </c>
      <c r="CT66" s="31">
        <f t="shared" ref="CT66" si="1298">+MIN(mB,7)</f>
        <v>7</v>
      </c>
      <c r="CV66" s="13">
        <v>54</v>
      </c>
      <c r="CW66" s="477">
        <f t="shared" ca="1" si="800"/>
        <v>480</v>
      </c>
      <c r="CX66" s="477" t="e">
        <f t="shared" ca="1" si="801"/>
        <v>#DIV/0!</v>
      </c>
      <c r="CY66" s="477">
        <f t="shared" ca="1" si="802"/>
        <v>0</v>
      </c>
      <c r="CZ66" s="478">
        <f t="shared" ca="1" si="98"/>
        <v>0</v>
      </c>
    </row>
    <row r="67" spans="14:104">
      <c r="N67" s="5">
        <f t="shared" si="99"/>
        <v>55</v>
      </c>
      <c r="O67" s="2">
        <f t="shared" ref="O67" ca="1" si="1299">+(1+iB)^-N67</f>
        <v>0.29411527654103309</v>
      </c>
      <c r="P67" s="2">
        <f t="shared" ref="P67" ca="1" si="1300">+(1+iB)^-(N67+0.5)</f>
        <v>0.29086128890533958</v>
      </c>
      <c r="Q67" s="91"/>
      <c r="R67" s="20">
        <f t="shared" si="102"/>
        <v>55</v>
      </c>
      <c r="S67" s="20" t="str">
        <f t="shared" ref="S67" si="1301">+IF(xB+R67&lt;=xB+nB,xB+R67,"")</f>
        <v/>
      </c>
      <c r="T67" s="2">
        <f t="shared" ref="T67:U67" ca="1" si="1302">IFERROR(VLOOKUP($S67,qx_table,MATCH(T$11,qx_title,0)+sexB),0)</f>
        <v>0</v>
      </c>
      <c r="U67" s="2">
        <f t="shared" ca="1" si="1302"/>
        <v>0</v>
      </c>
      <c r="V67" s="300">
        <v>0</v>
      </c>
      <c r="W67" s="8">
        <f t="shared" ref="W67" si="1303">IF(R67=0,100000,IF(R67&gt;nB,0,W66*(1-X66)*(1-Y66)))</f>
        <v>0</v>
      </c>
      <c r="X67" s="10">
        <f t="shared" ca="1" si="19"/>
        <v>0</v>
      </c>
      <c r="Y67" s="10">
        <f t="shared" ca="1" si="56"/>
        <v>0</v>
      </c>
      <c r="Z67" s="8">
        <f t="shared" ca="1" si="106"/>
        <v>0</v>
      </c>
      <c r="AA67" s="8">
        <f ca="1">+SUM(Z67:Z$124)</f>
        <v>0</v>
      </c>
      <c r="AB67" s="8">
        <f t="shared" ca="1" si="20"/>
        <v>0</v>
      </c>
      <c r="AC67" s="209">
        <f ca="1">+SUM(AB67:AB$124)*SSSM</f>
        <v>0</v>
      </c>
      <c r="AD67" s="209">
        <f t="shared" ref="AD67" si="1304">IF(R67&gt;nB,0,AD66*(1-X66)*(1-Y66)*(1-AE66)*(1-AF66))</f>
        <v>0</v>
      </c>
      <c r="AE67" s="92">
        <f t="shared" ca="1" si="21"/>
        <v>0</v>
      </c>
      <c r="AF67" s="92">
        <f t="shared" ca="1" si="22"/>
        <v>0</v>
      </c>
      <c r="AG67" s="8">
        <f t="shared" ca="1" si="23"/>
        <v>0</v>
      </c>
      <c r="AH67" s="5">
        <f ca="1">+SUM(AG67:AG$124)</f>
        <v>0</v>
      </c>
      <c r="AI67" s="70">
        <f t="shared" ca="1" si="24"/>
        <v>0</v>
      </c>
      <c r="AJ67" s="208">
        <f ca="1">+SUM(AB67:AB$124)*SS50J</f>
        <v>0</v>
      </c>
      <c r="AK67" s="5">
        <f t="shared" ca="1" si="58"/>
        <v>99999.012970709329</v>
      </c>
      <c r="AL67" s="2">
        <f t="shared" ref="AL67" ca="1" si="1305">IFERROR(VLOOKUP($S67,qx_table,MATCH(AL$11,qx_title,0)+sexB),0)</f>
        <v>0</v>
      </c>
      <c r="AM67" s="131">
        <f t="shared" ca="1" si="109"/>
        <v>29411.23735371053</v>
      </c>
      <c r="AN67" s="129">
        <f t="shared" ca="1" si="777"/>
        <v>0</v>
      </c>
      <c r="AO67" s="129">
        <f ca="1">SUM(AN67:AN$124)*SSa</f>
        <v>0</v>
      </c>
      <c r="AP67" s="70">
        <f t="shared" ca="1" si="60"/>
        <v>99999.012970709329</v>
      </c>
      <c r="AQ67" s="2">
        <f t="shared" ref="AQ67" ca="1" si="1306">IFERROR(VLOOKUP($S67,qx_table,MATCH(AQ$11,qx_title,0)+sexB),0)</f>
        <v>0</v>
      </c>
      <c r="AR67" s="127">
        <f t="shared" ca="1" si="812"/>
        <v>0</v>
      </c>
      <c r="AS67" s="127">
        <f ca="1">SUM(AR67:AR$124)*SSb</f>
        <v>0</v>
      </c>
      <c r="AT67" s="70">
        <f t="shared" ca="1" si="63"/>
        <v>99999.012970709329</v>
      </c>
      <c r="AU67" s="2">
        <f t="shared" ref="AU67" ca="1" si="1307">IFERROR(VLOOKUP($S67,qx_table,MATCH(AU$11,qx_title,0)+sexB),0)</f>
        <v>0</v>
      </c>
      <c r="AV67" s="268">
        <f t="shared" ca="1" si="814"/>
        <v>0</v>
      </c>
      <c r="AW67" s="131">
        <f ca="1">SUM(AV67:AV$124)*SSc</f>
        <v>0</v>
      </c>
      <c r="AX67" s="70">
        <f t="shared" ca="1" si="66"/>
        <v>99999.012970709329</v>
      </c>
      <c r="AY67" s="2">
        <f t="shared" ref="AY67" ca="1" si="1308">IFERROR(VLOOKUP($S67,qx_table,MATCH(AY$11,qx_title,0)+sexB),0)</f>
        <v>0</v>
      </c>
      <c r="AZ67" s="268">
        <f t="shared" ca="1" si="816"/>
        <v>0</v>
      </c>
      <c r="BA67" s="129">
        <f ca="1">SUM(AZ67:AZ$124)*SSd</f>
        <v>0</v>
      </c>
      <c r="BB67" s="70">
        <f t="shared" ca="1" si="69"/>
        <v>99999.012970709329</v>
      </c>
      <c r="BC67" s="257">
        <f t="shared" ref="BC67" ca="1" si="1309">IFERROR(VLOOKUP($S67,qx_table,MATCH(BC$11,qx_title,0)+sexB),0)</f>
        <v>0</v>
      </c>
      <c r="BD67" s="268">
        <f t="shared" ca="1" si="818"/>
        <v>0</v>
      </c>
      <c r="BE67" s="131">
        <f ca="1">SUM(BD67:BD$124)*SSe</f>
        <v>0</v>
      </c>
      <c r="BF67" s="70">
        <f t="shared" ca="1" si="72"/>
        <v>99999.012970709329</v>
      </c>
      <c r="BG67" s="2">
        <f t="shared" ref="BG67" ca="1" si="1310">IFERROR(VLOOKUP($S67,qx_table,MATCH(BG$11,qx_title,0)+sexB),0)</f>
        <v>0</v>
      </c>
      <c r="BH67" s="131">
        <f t="shared" ca="1" si="820"/>
        <v>0</v>
      </c>
      <c r="BI67" s="2">
        <f ca="1">SUM(BH67:BH$124)*SSf</f>
        <v>0</v>
      </c>
      <c r="BJ67" s="70">
        <f t="shared" ca="1" si="75"/>
        <v>99999.012970709329</v>
      </c>
      <c r="BK67" s="2">
        <f t="shared" ref="BK67" ca="1" si="1311">IFERROR(VLOOKUP($S67,qx_table,MATCH(BK$11,qx_title,0)+sexB),0)</f>
        <v>0</v>
      </c>
      <c r="BL67" s="131">
        <f t="shared" ca="1" si="822"/>
        <v>0</v>
      </c>
      <c r="BM67" s="131">
        <f ca="1">SUM(BL67:BL$124)*SSg</f>
        <v>0</v>
      </c>
      <c r="BN67" s="70">
        <f t="shared" ca="1" si="78"/>
        <v>99999.012970709329</v>
      </c>
      <c r="BO67" s="2">
        <f t="shared" ref="BO67" ca="1" si="1312">IFERROR(VLOOKUP($S67,qx_table,MATCH(BO$11,qx_title,0)+sexB),0)</f>
        <v>0</v>
      </c>
      <c r="BP67" s="131">
        <f t="shared" ca="1" si="824"/>
        <v>0</v>
      </c>
      <c r="BQ67" s="131">
        <f ca="1">SUM(BP67:BP$124)*SSh</f>
        <v>0</v>
      </c>
      <c r="BR67" s="70">
        <f t="shared" ca="1" si="81"/>
        <v>99999.012970709329</v>
      </c>
      <c r="BS67" s="2">
        <f t="shared" ref="BS67" ca="1" si="1313">IFERROR(VLOOKUP($S67,qx_table,MATCH(BS$11,qx_title,0)+sexB),0)*IF(R67=0,MCi,1)</f>
        <v>0</v>
      </c>
      <c r="BT67" s="131">
        <f t="shared" ca="1" si="826"/>
        <v>0</v>
      </c>
      <c r="BU67" s="131">
        <f ca="1">SUM(BT67:BT$124)*SSi</f>
        <v>0</v>
      </c>
      <c r="BV67" s="70">
        <f t="shared" ca="1" si="84"/>
        <v>99999.012970709329</v>
      </c>
      <c r="BW67" s="2">
        <f t="shared" ref="BW67" ca="1" si="1314">IFERROR(VLOOKUP($S67,qx_table,MATCH(BW$11,qx_title,0)+sexB),0)</f>
        <v>0</v>
      </c>
      <c r="BX67" s="131">
        <f t="shared" ca="1" si="828"/>
        <v>0</v>
      </c>
      <c r="BY67" s="131">
        <f ca="1">SUM(BX67:BX$124)*SSj</f>
        <v>0</v>
      </c>
      <c r="BZ67" s="70">
        <f t="shared" ca="1" si="87"/>
        <v>99999.012970709329</v>
      </c>
      <c r="CA67" s="2">
        <f t="shared" ref="CA67" ca="1" si="1315">IFERROR(VLOOKUP($S67,qx_table,MATCH(CA$11,qx_title,0)+sexB),0)</f>
        <v>0</v>
      </c>
      <c r="CB67" s="131">
        <f t="shared" ca="1" si="830"/>
        <v>0</v>
      </c>
      <c r="CC67" s="131">
        <f ca="1">SUM(CB67:CB$124)*SSk</f>
        <v>0</v>
      </c>
      <c r="CD67" s="8">
        <f t="shared" ca="1" si="90"/>
        <v>99999.012970709329</v>
      </c>
      <c r="CE67" s="2">
        <f t="shared" ref="CE67" ca="1" si="1316">IFERROR(VLOOKUP($S67,qx_table,MATCH(CE$11,qx_title,0)+sexB),0)</f>
        <v>0</v>
      </c>
      <c r="CF67" s="131">
        <f t="shared" ca="1" si="832"/>
        <v>0</v>
      </c>
      <c r="CG67" s="131">
        <f ca="1">SUM(CF67:CF$124)*SSl</f>
        <v>0</v>
      </c>
      <c r="CH67" s="101">
        <f t="shared" ca="1" si="93"/>
        <v>0</v>
      </c>
      <c r="CI67" s="154">
        <f t="shared" ca="1" si="789"/>
        <v>0</v>
      </c>
      <c r="CJ67" s="32">
        <f t="shared" ca="1" si="38"/>
        <v>0</v>
      </c>
      <c r="CK67" s="32">
        <f t="shared" ref="CK67" ca="1" si="1317">+MAX(VLOOKUP(xB+$R67,기수표B,$AH$1)-VLOOKUP(xB+mB,기수표B,$AH$1)-11/24*(VLOOKUP(xB+$R67,기수표B,$AG$1)-VLOOKUP(xB+mB,기수표B,$AG$1)),0)</f>
        <v>0</v>
      </c>
      <c r="CL67" s="32">
        <f t="shared" ref="CL67" ca="1" si="1318">+MAX(VLOOKUP(xB+$R67,기수표B,$AA$1)-VLOOKUP(xB+mB,기수표B,$AA$1),0)</f>
        <v>0</v>
      </c>
      <c r="CM67" s="32">
        <f t="shared" ref="CM67" ca="1" si="1319">+MAX(VLOOKUP(xB+$R67,기수표B,$AA$1)-VLOOKUP(xB+mB,기수표B,$AA$1)-11/24*(VLOOKUP(xB+$R67,기수표B,$AA$1)-VLOOKUP(xB+mB,기수표B,$AA$1)),0)</f>
        <v>0</v>
      </c>
      <c r="CN67" s="32">
        <f t="shared" si="793"/>
        <v>0</v>
      </c>
      <c r="CO67" s="32">
        <f t="shared" ca="1" si="794"/>
        <v>0</v>
      </c>
      <c r="CP67" s="32">
        <f t="shared" ca="1" si="795"/>
        <v>0</v>
      </c>
      <c r="CQ67" s="262">
        <f t="shared" ca="1" si="796"/>
        <v>0</v>
      </c>
      <c r="CR67" s="259" t="e">
        <f t="shared" ca="1" si="797"/>
        <v>#DIV/0!</v>
      </c>
      <c r="CS67" s="32">
        <f t="shared" ca="1" si="798"/>
        <v>1.5999999999999999E-5</v>
      </c>
      <c r="CT67" s="31">
        <f t="shared" ref="CT67" si="1320">+MIN(mB,7)</f>
        <v>7</v>
      </c>
      <c r="CV67" s="13">
        <v>55</v>
      </c>
      <c r="CW67" s="477">
        <f t="shared" ca="1" si="800"/>
        <v>480</v>
      </c>
      <c r="CX67" s="477" t="e">
        <f t="shared" ca="1" si="801"/>
        <v>#DIV/0!</v>
      </c>
      <c r="CY67" s="477">
        <f t="shared" ca="1" si="802"/>
        <v>0</v>
      </c>
      <c r="CZ67" s="478">
        <f t="shared" ca="1" si="98"/>
        <v>0</v>
      </c>
    </row>
    <row r="68" spans="14:104">
      <c r="N68" s="5">
        <f t="shared" si="99"/>
        <v>56</v>
      </c>
      <c r="O68" s="2">
        <f t="shared" ref="O68" ca="1" si="1321">+(1+iB)^-N68</f>
        <v>0.28764330224061913</v>
      </c>
      <c r="P68" s="2">
        <f t="shared" ref="P68" ca="1" si="1322">+(1+iB)^-(N68+0.5)</f>
        <v>0.28446091824483094</v>
      </c>
      <c r="Q68" s="91"/>
      <c r="R68" s="20">
        <f t="shared" si="102"/>
        <v>56</v>
      </c>
      <c r="S68" s="20" t="str">
        <f t="shared" ref="S68" si="1323">+IF(xB+R68&lt;=xB+nB,xB+R68,"")</f>
        <v/>
      </c>
      <c r="T68" s="2">
        <f t="shared" ref="T68:U68" ca="1" si="1324">IFERROR(VLOOKUP($S68,qx_table,MATCH(T$11,qx_title,0)+sexB),0)</f>
        <v>0</v>
      </c>
      <c r="U68" s="2">
        <f t="shared" ca="1" si="1324"/>
        <v>0</v>
      </c>
      <c r="V68" s="300">
        <v>0</v>
      </c>
      <c r="W68" s="8">
        <f t="shared" ref="W68" si="1325">IF(R68=0,100000,IF(R68&gt;nB,0,W67*(1-X67)*(1-Y67)))</f>
        <v>0</v>
      </c>
      <c r="X68" s="10">
        <f t="shared" ca="1" si="19"/>
        <v>0</v>
      </c>
      <c r="Y68" s="10">
        <f t="shared" ca="1" si="56"/>
        <v>0</v>
      </c>
      <c r="Z68" s="8">
        <f t="shared" ca="1" si="106"/>
        <v>0</v>
      </c>
      <c r="AA68" s="8">
        <f ca="1">+SUM(Z68:Z$124)</f>
        <v>0</v>
      </c>
      <c r="AB68" s="8">
        <f t="shared" ca="1" si="20"/>
        <v>0</v>
      </c>
      <c r="AC68" s="209">
        <f ca="1">+SUM(AB68:AB$124)*SSSM</f>
        <v>0</v>
      </c>
      <c r="AD68" s="209">
        <f t="shared" ref="AD68" si="1326">IF(R68&gt;nB,0,AD67*(1-X67)*(1-Y67)*(1-AE67)*(1-AF67))</f>
        <v>0</v>
      </c>
      <c r="AE68" s="92">
        <f t="shared" ca="1" si="21"/>
        <v>0</v>
      </c>
      <c r="AF68" s="92">
        <f t="shared" ca="1" si="22"/>
        <v>0</v>
      </c>
      <c r="AG68" s="8">
        <f t="shared" ca="1" si="23"/>
        <v>0</v>
      </c>
      <c r="AH68" s="5">
        <f ca="1">+SUM(AG68:AG$124)</f>
        <v>0</v>
      </c>
      <c r="AI68" s="70">
        <f t="shared" ca="1" si="24"/>
        <v>0</v>
      </c>
      <c r="AJ68" s="208">
        <f ca="1">+SUM(AB68:AB$124)*SS50J</f>
        <v>0</v>
      </c>
      <c r="AK68" s="5">
        <f t="shared" ca="1" si="58"/>
        <v>99999.012970709329</v>
      </c>
      <c r="AL68" s="2">
        <f t="shared" ref="AL68" ca="1" si="1327">IFERROR(VLOOKUP($S68,qx_table,MATCH(AL$11,qx_title,0)+sexB),0)</f>
        <v>0</v>
      </c>
      <c r="AM68" s="131">
        <f t="shared" ca="1" si="109"/>
        <v>28764.046311697337</v>
      </c>
      <c r="AN68" s="129">
        <f t="shared" ca="1" si="777"/>
        <v>0</v>
      </c>
      <c r="AO68" s="129">
        <f ca="1">SUM(AN68:AN$124)*SSa</f>
        <v>0</v>
      </c>
      <c r="AP68" s="70">
        <f t="shared" ca="1" si="60"/>
        <v>99999.012970709329</v>
      </c>
      <c r="AQ68" s="2">
        <f t="shared" ref="AQ68" ca="1" si="1328">IFERROR(VLOOKUP($S68,qx_table,MATCH(AQ$11,qx_title,0)+sexB),0)</f>
        <v>0</v>
      </c>
      <c r="AR68" s="127">
        <f t="shared" ca="1" si="812"/>
        <v>0</v>
      </c>
      <c r="AS68" s="127">
        <f ca="1">SUM(AR68:AR$124)*SSb</f>
        <v>0</v>
      </c>
      <c r="AT68" s="70">
        <f t="shared" ca="1" si="63"/>
        <v>99999.012970709329</v>
      </c>
      <c r="AU68" s="2">
        <f t="shared" ref="AU68" ca="1" si="1329">IFERROR(VLOOKUP($S68,qx_table,MATCH(AU$11,qx_title,0)+sexB),0)</f>
        <v>0</v>
      </c>
      <c r="AV68" s="268">
        <f t="shared" ca="1" si="814"/>
        <v>0</v>
      </c>
      <c r="AW68" s="131">
        <f ca="1">SUM(AV68:AV$124)*SSc</f>
        <v>0</v>
      </c>
      <c r="AX68" s="70">
        <f t="shared" ca="1" si="66"/>
        <v>99999.012970709329</v>
      </c>
      <c r="AY68" s="2">
        <f t="shared" ref="AY68" ca="1" si="1330">IFERROR(VLOOKUP($S68,qx_table,MATCH(AY$11,qx_title,0)+sexB),0)</f>
        <v>0</v>
      </c>
      <c r="AZ68" s="268">
        <f t="shared" ca="1" si="816"/>
        <v>0</v>
      </c>
      <c r="BA68" s="129">
        <f ca="1">SUM(AZ68:AZ$124)*SSd</f>
        <v>0</v>
      </c>
      <c r="BB68" s="70">
        <f t="shared" ca="1" si="69"/>
        <v>99999.012970709329</v>
      </c>
      <c r="BC68" s="257">
        <f t="shared" ref="BC68" ca="1" si="1331">IFERROR(VLOOKUP($S68,qx_table,MATCH(BC$11,qx_title,0)+sexB),0)</f>
        <v>0</v>
      </c>
      <c r="BD68" s="268">
        <f t="shared" ca="1" si="818"/>
        <v>0</v>
      </c>
      <c r="BE68" s="131">
        <f ca="1">SUM(BD68:BD$124)*SSe</f>
        <v>0</v>
      </c>
      <c r="BF68" s="70">
        <f t="shared" ca="1" si="72"/>
        <v>99999.012970709329</v>
      </c>
      <c r="BG68" s="2">
        <f t="shared" ref="BG68" ca="1" si="1332">IFERROR(VLOOKUP($S68,qx_table,MATCH(BG$11,qx_title,0)+sexB),0)</f>
        <v>0</v>
      </c>
      <c r="BH68" s="131">
        <f t="shared" ca="1" si="820"/>
        <v>0</v>
      </c>
      <c r="BI68" s="2">
        <f ca="1">SUM(BH68:BH$124)*SSf</f>
        <v>0</v>
      </c>
      <c r="BJ68" s="70">
        <f t="shared" ca="1" si="75"/>
        <v>99999.012970709329</v>
      </c>
      <c r="BK68" s="2">
        <f t="shared" ref="BK68" ca="1" si="1333">IFERROR(VLOOKUP($S68,qx_table,MATCH(BK$11,qx_title,0)+sexB),0)</f>
        <v>0</v>
      </c>
      <c r="BL68" s="131">
        <f t="shared" ca="1" si="822"/>
        <v>0</v>
      </c>
      <c r="BM68" s="131">
        <f ca="1">SUM(BL68:BL$124)*SSg</f>
        <v>0</v>
      </c>
      <c r="BN68" s="70">
        <f t="shared" ca="1" si="78"/>
        <v>99999.012970709329</v>
      </c>
      <c r="BO68" s="2">
        <f t="shared" ref="BO68" ca="1" si="1334">IFERROR(VLOOKUP($S68,qx_table,MATCH(BO$11,qx_title,0)+sexB),0)</f>
        <v>0</v>
      </c>
      <c r="BP68" s="131">
        <f t="shared" ca="1" si="824"/>
        <v>0</v>
      </c>
      <c r="BQ68" s="131">
        <f ca="1">SUM(BP68:BP$124)*SSh</f>
        <v>0</v>
      </c>
      <c r="BR68" s="70">
        <f t="shared" ca="1" si="81"/>
        <v>99999.012970709329</v>
      </c>
      <c r="BS68" s="2">
        <f t="shared" ref="BS68" ca="1" si="1335">IFERROR(VLOOKUP($S68,qx_table,MATCH(BS$11,qx_title,0)+sexB),0)*IF(R68=0,MCi,1)</f>
        <v>0</v>
      </c>
      <c r="BT68" s="131">
        <f t="shared" ca="1" si="826"/>
        <v>0</v>
      </c>
      <c r="BU68" s="131">
        <f ca="1">SUM(BT68:BT$124)*SSi</f>
        <v>0</v>
      </c>
      <c r="BV68" s="70">
        <f t="shared" ca="1" si="84"/>
        <v>99999.012970709329</v>
      </c>
      <c r="BW68" s="2">
        <f t="shared" ref="BW68" ca="1" si="1336">IFERROR(VLOOKUP($S68,qx_table,MATCH(BW$11,qx_title,0)+sexB),0)</f>
        <v>0</v>
      </c>
      <c r="BX68" s="131">
        <f t="shared" ca="1" si="828"/>
        <v>0</v>
      </c>
      <c r="BY68" s="131">
        <f ca="1">SUM(BX68:BX$124)*SSj</f>
        <v>0</v>
      </c>
      <c r="BZ68" s="70">
        <f t="shared" ca="1" si="87"/>
        <v>99999.012970709329</v>
      </c>
      <c r="CA68" s="2">
        <f t="shared" ref="CA68" ca="1" si="1337">IFERROR(VLOOKUP($S68,qx_table,MATCH(CA$11,qx_title,0)+sexB),0)</f>
        <v>0</v>
      </c>
      <c r="CB68" s="131">
        <f t="shared" ca="1" si="830"/>
        <v>0</v>
      </c>
      <c r="CC68" s="131">
        <f ca="1">SUM(CB68:CB$124)*SSk</f>
        <v>0</v>
      </c>
      <c r="CD68" s="8">
        <f t="shared" ca="1" si="90"/>
        <v>99999.012970709329</v>
      </c>
      <c r="CE68" s="2">
        <f t="shared" ref="CE68" ca="1" si="1338">IFERROR(VLOOKUP($S68,qx_table,MATCH(CE$11,qx_title,0)+sexB),0)</f>
        <v>0</v>
      </c>
      <c r="CF68" s="131">
        <f t="shared" ca="1" si="832"/>
        <v>0</v>
      </c>
      <c r="CG68" s="131">
        <f ca="1">SUM(CF68:CF$124)*SSl</f>
        <v>0</v>
      </c>
      <c r="CH68" s="101">
        <f t="shared" ca="1" si="93"/>
        <v>0</v>
      </c>
      <c r="CI68" s="154">
        <f t="shared" ca="1" si="789"/>
        <v>0</v>
      </c>
      <c r="CJ68" s="32">
        <f t="shared" ca="1" si="38"/>
        <v>0</v>
      </c>
      <c r="CK68" s="32">
        <f t="shared" ref="CK68" ca="1" si="1339">+MAX(VLOOKUP(xB+$R68,기수표B,$AH$1)-VLOOKUP(xB+mB,기수표B,$AH$1)-11/24*(VLOOKUP(xB+$R68,기수표B,$AG$1)-VLOOKUP(xB+mB,기수표B,$AG$1)),0)</f>
        <v>0</v>
      </c>
      <c r="CL68" s="32">
        <f t="shared" ref="CL68" ca="1" si="1340">+MAX(VLOOKUP(xB+$R68,기수표B,$AA$1)-VLOOKUP(xB+mB,기수표B,$AA$1),0)</f>
        <v>0</v>
      </c>
      <c r="CM68" s="32">
        <f t="shared" ref="CM68" ca="1" si="1341">+MAX(VLOOKUP(xB+$R68,기수표B,$AA$1)-VLOOKUP(xB+mB,기수표B,$AA$1)-11/24*(VLOOKUP(xB+$R68,기수표B,$AA$1)-VLOOKUP(xB+mB,기수표B,$AA$1)),0)</f>
        <v>0</v>
      </c>
      <c r="CN68" s="32">
        <f t="shared" si="793"/>
        <v>0</v>
      </c>
      <c r="CO68" s="32">
        <f t="shared" ca="1" si="794"/>
        <v>0</v>
      </c>
      <c r="CP68" s="32">
        <f t="shared" ca="1" si="795"/>
        <v>0</v>
      </c>
      <c r="CQ68" s="262">
        <f t="shared" ca="1" si="796"/>
        <v>0</v>
      </c>
      <c r="CR68" s="259" t="e">
        <f t="shared" ca="1" si="797"/>
        <v>#DIV/0!</v>
      </c>
      <c r="CS68" s="32">
        <f t="shared" ca="1" si="798"/>
        <v>1.5999999999999999E-5</v>
      </c>
      <c r="CT68" s="31">
        <f t="shared" ref="CT68" si="1342">+MIN(mB,7)</f>
        <v>7</v>
      </c>
      <c r="CV68" s="13">
        <v>56</v>
      </c>
      <c r="CW68" s="477">
        <f t="shared" ca="1" si="800"/>
        <v>480</v>
      </c>
      <c r="CX68" s="477" t="e">
        <f t="shared" ca="1" si="801"/>
        <v>#DIV/0!</v>
      </c>
      <c r="CY68" s="477">
        <f t="shared" ca="1" si="802"/>
        <v>0</v>
      </c>
      <c r="CZ68" s="478">
        <f t="shared" ca="1" si="98"/>
        <v>0</v>
      </c>
    </row>
    <row r="69" spans="14:104">
      <c r="N69" s="5">
        <f t="shared" si="99"/>
        <v>57</v>
      </c>
      <c r="O69" s="2">
        <f t="shared" ref="O69" ca="1" si="1343">+(1+iB)^-N69</f>
        <v>0.28131374302261047</v>
      </c>
      <c r="P69" s="2">
        <f t="shared" ref="P69" ca="1" si="1344">+(1+iB)^-(N69+0.5)</f>
        <v>0.27820138703650948</v>
      </c>
      <c r="Q69" s="91"/>
      <c r="R69" s="20">
        <f t="shared" si="102"/>
        <v>57</v>
      </c>
      <c r="S69" s="20" t="str">
        <f t="shared" ref="S69" si="1345">+IF(xB+R69&lt;=xB+nB,xB+R69,"")</f>
        <v/>
      </c>
      <c r="T69" s="2">
        <f t="shared" ref="T69:U69" ca="1" si="1346">IFERROR(VLOOKUP($S69,qx_table,MATCH(T$11,qx_title,0)+sexB),0)</f>
        <v>0</v>
      </c>
      <c r="U69" s="2">
        <f t="shared" ca="1" si="1346"/>
        <v>0</v>
      </c>
      <c r="V69" s="300">
        <v>0</v>
      </c>
      <c r="W69" s="8">
        <f t="shared" ref="W69" si="1347">IF(R69=0,100000,IF(R69&gt;nB,0,W68*(1-X68)*(1-Y68)))</f>
        <v>0</v>
      </c>
      <c r="X69" s="10">
        <f t="shared" ca="1" si="19"/>
        <v>0</v>
      </c>
      <c r="Y69" s="10">
        <f t="shared" ca="1" si="56"/>
        <v>0</v>
      </c>
      <c r="Z69" s="8">
        <f t="shared" ca="1" si="106"/>
        <v>0</v>
      </c>
      <c r="AA69" s="8">
        <f ca="1">+SUM(Z69:Z$124)</f>
        <v>0</v>
      </c>
      <c r="AB69" s="8">
        <f t="shared" ca="1" si="20"/>
        <v>0</v>
      </c>
      <c r="AC69" s="209">
        <f ca="1">+SUM(AB69:AB$124)*SSSM</f>
        <v>0</v>
      </c>
      <c r="AD69" s="209">
        <f t="shared" ref="AD69" si="1348">IF(R69&gt;nB,0,AD68*(1-X68)*(1-Y68)*(1-AE68)*(1-AF68))</f>
        <v>0</v>
      </c>
      <c r="AE69" s="92">
        <f t="shared" ca="1" si="21"/>
        <v>0</v>
      </c>
      <c r="AF69" s="92">
        <f t="shared" ca="1" si="22"/>
        <v>0</v>
      </c>
      <c r="AG69" s="8">
        <f t="shared" ca="1" si="23"/>
        <v>0</v>
      </c>
      <c r="AH69" s="5">
        <f ca="1">+SUM(AG69:AG$124)</f>
        <v>0</v>
      </c>
      <c r="AI69" s="70">
        <f t="shared" ca="1" si="24"/>
        <v>0</v>
      </c>
      <c r="AJ69" s="208">
        <f ca="1">+SUM(AB69:AB$124)*SS50J</f>
        <v>0</v>
      </c>
      <c r="AK69" s="5">
        <f t="shared" ca="1" si="58"/>
        <v>99999.012970709329</v>
      </c>
      <c r="AL69" s="2">
        <f t="shared" ref="AL69" ca="1" si="1349">IFERROR(VLOOKUP($S69,qx_table,MATCH(AL$11,qx_title,0)+sexB),0)</f>
        <v>0</v>
      </c>
      <c r="AM69" s="131">
        <f t="shared" ca="1" si="109"/>
        <v>28131.096637356815</v>
      </c>
      <c r="AN69" s="129">
        <f t="shared" ca="1" si="777"/>
        <v>0</v>
      </c>
      <c r="AO69" s="129">
        <f ca="1">SUM(AN69:AN$124)*SSa</f>
        <v>0</v>
      </c>
      <c r="AP69" s="70">
        <f t="shared" ca="1" si="60"/>
        <v>99999.012970709329</v>
      </c>
      <c r="AQ69" s="2">
        <f t="shared" ref="AQ69" ca="1" si="1350">IFERROR(VLOOKUP($S69,qx_table,MATCH(AQ$11,qx_title,0)+sexB),0)</f>
        <v>0</v>
      </c>
      <c r="AR69" s="127">
        <f t="shared" ca="1" si="812"/>
        <v>0</v>
      </c>
      <c r="AS69" s="127">
        <f ca="1">SUM(AR69:AR$124)*SSb</f>
        <v>0</v>
      </c>
      <c r="AT69" s="70">
        <f t="shared" ca="1" si="63"/>
        <v>99999.012970709329</v>
      </c>
      <c r="AU69" s="2">
        <f t="shared" ref="AU69" ca="1" si="1351">IFERROR(VLOOKUP($S69,qx_table,MATCH(AU$11,qx_title,0)+sexB),0)</f>
        <v>0</v>
      </c>
      <c r="AV69" s="268">
        <f t="shared" ca="1" si="814"/>
        <v>0</v>
      </c>
      <c r="AW69" s="131">
        <f ca="1">SUM(AV69:AV$124)*SSc</f>
        <v>0</v>
      </c>
      <c r="AX69" s="70">
        <f t="shared" ca="1" si="66"/>
        <v>99999.012970709329</v>
      </c>
      <c r="AY69" s="2">
        <f t="shared" ref="AY69" ca="1" si="1352">IFERROR(VLOOKUP($S69,qx_table,MATCH(AY$11,qx_title,0)+sexB),0)</f>
        <v>0</v>
      </c>
      <c r="AZ69" s="268">
        <f t="shared" ca="1" si="816"/>
        <v>0</v>
      </c>
      <c r="BA69" s="129">
        <f ca="1">SUM(AZ69:AZ$124)*SSd</f>
        <v>0</v>
      </c>
      <c r="BB69" s="70">
        <f t="shared" ca="1" si="69"/>
        <v>99999.012970709329</v>
      </c>
      <c r="BC69" s="257">
        <f t="shared" ref="BC69" ca="1" si="1353">IFERROR(VLOOKUP($S69,qx_table,MATCH(BC$11,qx_title,0)+sexB),0)</f>
        <v>0</v>
      </c>
      <c r="BD69" s="268">
        <f t="shared" ca="1" si="818"/>
        <v>0</v>
      </c>
      <c r="BE69" s="131">
        <f ca="1">SUM(BD69:BD$124)*SSe</f>
        <v>0</v>
      </c>
      <c r="BF69" s="70">
        <f t="shared" ca="1" si="72"/>
        <v>99999.012970709329</v>
      </c>
      <c r="BG69" s="2">
        <f t="shared" ref="BG69" ca="1" si="1354">IFERROR(VLOOKUP($S69,qx_table,MATCH(BG$11,qx_title,0)+sexB),0)</f>
        <v>0</v>
      </c>
      <c r="BH69" s="131">
        <f t="shared" ca="1" si="820"/>
        <v>0</v>
      </c>
      <c r="BI69" s="2">
        <f ca="1">SUM(BH69:BH$124)*SSf</f>
        <v>0</v>
      </c>
      <c r="BJ69" s="70">
        <f t="shared" ca="1" si="75"/>
        <v>99999.012970709329</v>
      </c>
      <c r="BK69" s="2">
        <f t="shared" ref="BK69" ca="1" si="1355">IFERROR(VLOOKUP($S69,qx_table,MATCH(BK$11,qx_title,0)+sexB),0)</f>
        <v>0</v>
      </c>
      <c r="BL69" s="131">
        <f t="shared" ca="1" si="822"/>
        <v>0</v>
      </c>
      <c r="BM69" s="131">
        <f ca="1">SUM(BL69:BL$124)*SSg</f>
        <v>0</v>
      </c>
      <c r="BN69" s="70">
        <f t="shared" ca="1" si="78"/>
        <v>99999.012970709329</v>
      </c>
      <c r="BO69" s="2">
        <f t="shared" ref="BO69" ca="1" si="1356">IFERROR(VLOOKUP($S69,qx_table,MATCH(BO$11,qx_title,0)+sexB),0)</f>
        <v>0</v>
      </c>
      <c r="BP69" s="131">
        <f t="shared" ca="1" si="824"/>
        <v>0</v>
      </c>
      <c r="BQ69" s="131">
        <f ca="1">SUM(BP69:BP$124)*SSh</f>
        <v>0</v>
      </c>
      <c r="BR69" s="70">
        <f t="shared" ca="1" si="81"/>
        <v>99999.012970709329</v>
      </c>
      <c r="BS69" s="2">
        <f t="shared" ref="BS69" ca="1" si="1357">IFERROR(VLOOKUP($S69,qx_table,MATCH(BS$11,qx_title,0)+sexB),0)*IF(R69=0,MCi,1)</f>
        <v>0</v>
      </c>
      <c r="BT69" s="131">
        <f t="shared" ca="1" si="826"/>
        <v>0</v>
      </c>
      <c r="BU69" s="131">
        <f ca="1">SUM(BT69:BT$124)*SSi</f>
        <v>0</v>
      </c>
      <c r="BV69" s="70">
        <f t="shared" ca="1" si="84"/>
        <v>99999.012970709329</v>
      </c>
      <c r="BW69" s="2">
        <f t="shared" ref="BW69" ca="1" si="1358">IFERROR(VLOOKUP($S69,qx_table,MATCH(BW$11,qx_title,0)+sexB),0)</f>
        <v>0</v>
      </c>
      <c r="BX69" s="131">
        <f t="shared" ca="1" si="828"/>
        <v>0</v>
      </c>
      <c r="BY69" s="131">
        <f ca="1">SUM(BX69:BX$124)*SSj</f>
        <v>0</v>
      </c>
      <c r="BZ69" s="70">
        <f t="shared" ca="1" si="87"/>
        <v>99999.012970709329</v>
      </c>
      <c r="CA69" s="2">
        <f t="shared" ref="CA69" ca="1" si="1359">IFERROR(VLOOKUP($S69,qx_table,MATCH(CA$11,qx_title,0)+sexB),0)</f>
        <v>0</v>
      </c>
      <c r="CB69" s="131">
        <f t="shared" ca="1" si="830"/>
        <v>0</v>
      </c>
      <c r="CC69" s="131">
        <f ca="1">SUM(CB69:CB$124)*SSk</f>
        <v>0</v>
      </c>
      <c r="CD69" s="8">
        <f t="shared" ca="1" si="90"/>
        <v>99999.012970709329</v>
      </c>
      <c r="CE69" s="2">
        <f t="shared" ref="CE69" ca="1" si="1360">IFERROR(VLOOKUP($S69,qx_table,MATCH(CE$11,qx_title,0)+sexB),0)</f>
        <v>0</v>
      </c>
      <c r="CF69" s="131">
        <f t="shared" ca="1" si="832"/>
        <v>0</v>
      </c>
      <c r="CG69" s="131">
        <f ca="1">SUM(CF69:CF$124)*SSl</f>
        <v>0</v>
      </c>
      <c r="CH69" s="101">
        <f t="shared" ca="1" si="93"/>
        <v>0</v>
      </c>
      <c r="CI69" s="154">
        <f t="shared" ca="1" si="789"/>
        <v>0</v>
      </c>
      <c r="CJ69" s="32">
        <f t="shared" ca="1" si="38"/>
        <v>0</v>
      </c>
      <c r="CK69" s="32">
        <f t="shared" ref="CK69" ca="1" si="1361">+MAX(VLOOKUP(xB+$R69,기수표B,$AH$1)-VLOOKUP(xB+mB,기수표B,$AH$1)-11/24*(VLOOKUP(xB+$R69,기수표B,$AG$1)-VLOOKUP(xB+mB,기수표B,$AG$1)),0)</f>
        <v>0</v>
      </c>
      <c r="CL69" s="32">
        <f t="shared" ref="CL69" ca="1" si="1362">+MAX(VLOOKUP(xB+$R69,기수표B,$AA$1)-VLOOKUP(xB+mB,기수표B,$AA$1),0)</f>
        <v>0</v>
      </c>
      <c r="CM69" s="32">
        <f t="shared" ref="CM69" ca="1" si="1363">+MAX(VLOOKUP(xB+$R69,기수표B,$AA$1)-VLOOKUP(xB+mB,기수표B,$AA$1)-11/24*(VLOOKUP(xB+$R69,기수표B,$AA$1)-VLOOKUP(xB+mB,기수표B,$AA$1)),0)</f>
        <v>0</v>
      </c>
      <c r="CN69" s="32">
        <f t="shared" si="793"/>
        <v>0</v>
      </c>
      <c r="CO69" s="32">
        <f t="shared" ca="1" si="794"/>
        <v>0</v>
      </c>
      <c r="CP69" s="32">
        <f t="shared" ca="1" si="795"/>
        <v>0</v>
      </c>
      <c r="CQ69" s="262">
        <f t="shared" ca="1" si="796"/>
        <v>0</v>
      </c>
      <c r="CR69" s="259" t="e">
        <f t="shared" ca="1" si="797"/>
        <v>#DIV/0!</v>
      </c>
      <c r="CS69" s="32">
        <f t="shared" ca="1" si="798"/>
        <v>1.5999999999999999E-5</v>
      </c>
      <c r="CT69" s="31">
        <f t="shared" ref="CT69" si="1364">+MIN(mB,7)</f>
        <v>7</v>
      </c>
      <c r="CV69" s="13">
        <v>57</v>
      </c>
      <c r="CW69" s="477">
        <f t="shared" ca="1" si="800"/>
        <v>480</v>
      </c>
      <c r="CX69" s="477" t="e">
        <f t="shared" ca="1" si="801"/>
        <v>#DIV/0!</v>
      </c>
      <c r="CY69" s="477">
        <f t="shared" ca="1" si="802"/>
        <v>0</v>
      </c>
      <c r="CZ69" s="478">
        <f t="shared" ca="1" si="98"/>
        <v>0</v>
      </c>
    </row>
    <row r="70" spans="14:104">
      <c r="N70" s="5">
        <f t="shared" si="99"/>
        <v>58</v>
      </c>
      <c r="O70" s="2">
        <f t="shared" ref="O70" ca="1" si="1365">+(1+iB)^-N70</f>
        <v>0.27512346505878776</v>
      </c>
      <c r="P70" s="2">
        <f t="shared" ref="P70" ca="1" si="1366">+(1+iB)^-(N70+0.5)</f>
        <v>0.27207959612372562</v>
      </c>
      <c r="Q70" s="91"/>
      <c r="R70" s="20">
        <f t="shared" si="102"/>
        <v>58</v>
      </c>
      <c r="S70" s="20" t="str">
        <f t="shared" ref="S70" si="1367">+IF(xB+R70&lt;=xB+nB,xB+R70,"")</f>
        <v/>
      </c>
      <c r="T70" s="2">
        <f t="shared" ref="T70:U70" ca="1" si="1368">IFERROR(VLOOKUP($S70,qx_table,MATCH(T$11,qx_title,0)+sexB),0)</f>
        <v>0</v>
      </c>
      <c r="U70" s="2">
        <f t="shared" ca="1" si="1368"/>
        <v>0</v>
      </c>
      <c r="V70" s="300">
        <v>0</v>
      </c>
      <c r="W70" s="8">
        <f t="shared" ref="W70" si="1369">IF(R70=0,100000,IF(R70&gt;nB,0,W69*(1-X69)*(1-Y69)))</f>
        <v>0</v>
      </c>
      <c r="X70" s="10">
        <f t="shared" ca="1" si="19"/>
        <v>0</v>
      </c>
      <c r="Y70" s="10">
        <f t="shared" ca="1" si="56"/>
        <v>0</v>
      </c>
      <c r="Z70" s="8">
        <f t="shared" ca="1" si="106"/>
        <v>0</v>
      </c>
      <c r="AA70" s="8">
        <f ca="1">+SUM(Z70:Z$124)</f>
        <v>0</v>
      </c>
      <c r="AB70" s="8">
        <f t="shared" ca="1" si="20"/>
        <v>0</v>
      </c>
      <c r="AC70" s="209">
        <f ca="1">+SUM(AB70:AB$124)*SSSM</f>
        <v>0</v>
      </c>
      <c r="AD70" s="209">
        <f t="shared" ref="AD70" si="1370">IF(R70&gt;nB,0,AD69*(1-X69)*(1-Y69)*(1-AE69)*(1-AF69))</f>
        <v>0</v>
      </c>
      <c r="AE70" s="92">
        <f t="shared" ca="1" si="21"/>
        <v>0</v>
      </c>
      <c r="AF70" s="92">
        <f t="shared" ca="1" si="22"/>
        <v>0</v>
      </c>
      <c r="AG70" s="8">
        <f t="shared" ca="1" si="23"/>
        <v>0</v>
      </c>
      <c r="AH70" s="5">
        <f ca="1">+SUM(AG70:AG$124)</f>
        <v>0</v>
      </c>
      <c r="AI70" s="70">
        <f t="shared" ca="1" si="24"/>
        <v>0</v>
      </c>
      <c r="AJ70" s="208">
        <f ca="1">+SUM(AB70:AB$124)*SS50J</f>
        <v>0</v>
      </c>
      <c r="AK70" s="5">
        <f t="shared" ca="1" si="58"/>
        <v>99999.012970709329</v>
      </c>
      <c r="AL70" s="2">
        <f t="shared" ref="AL70" ca="1" si="1371">IFERROR(VLOOKUP($S70,qx_table,MATCH(AL$11,qx_title,0)+sexB),0)</f>
        <v>0</v>
      </c>
      <c r="AM70" s="131">
        <f t="shared" ca="1" si="109"/>
        <v>27512.074950960214</v>
      </c>
      <c r="AN70" s="129">
        <f t="shared" ca="1" si="777"/>
        <v>0</v>
      </c>
      <c r="AO70" s="129">
        <f ca="1">SUM(AN70:AN$124)*SSa</f>
        <v>0</v>
      </c>
      <c r="AP70" s="70">
        <f t="shared" ca="1" si="60"/>
        <v>99999.012970709329</v>
      </c>
      <c r="AQ70" s="2">
        <f t="shared" ref="AQ70" ca="1" si="1372">IFERROR(VLOOKUP($S70,qx_table,MATCH(AQ$11,qx_title,0)+sexB),0)</f>
        <v>0</v>
      </c>
      <c r="AR70" s="127">
        <f t="shared" ca="1" si="812"/>
        <v>0</v>
      </c>
      <c r="AS70" s="127">
        <f ca="1">SUM(AR70:AR$124)*SSb</f>
        <v>0</v>
      </c>
      <c r="AT70" s="70">
        <f t="shared" ca="1" si="63"/>
        <v>99999.012970709329</v>
      </c>
      <c r="AU70" s="2">
        <f t="shared" ref="AU70" ca="1" si="1373">IFERROR(VLOOKUP($S70,qx_table,MATCH(AU$11,qx_title,0)+sexB),0)</f>
        <v>0</v>
      </c>
      <c r="AV70" s="268">
        <f t="shared" ca="1" si="814"/>
        <v>0</v>
      </c>
      <c r="AW70" s="131">
        <f ca="1">SUM(AV70:AV$124)*SSc</f>
        <v>0</v>
      </c>
      <c r="AX70" s="70">
        <f t="shared" ca="1" si="66"/>
        <v>99999.012970709329</v>
      </c>
      <c r="AY70" s="2">
        <f t="shared" ref="AY70" ca="1" si="1374">IFERROR(VLOOKUP($S70,qx_table,MATCH(AY$11,qx_title,0)+sexB),0)</f>
        <v>0</v>
      </c>
      <c r="AZ70" s="268">
        <f t="shared" ca="1" si="816"/>
        <v>0</v>
      </c>
      <c r="BA70" s="129">
        <f ca="1">SUM(AZ70:AZ$124)*SSd</f>
        <v>0</v>
      </c>
      <c r="BB70" s="70">
        <f t="shared" ca="1" si="69"/>
        <v>99999.012970709329</v>
      </c>
      <c r="BC70" s="257">
        <f t="shared" ref="BC70" ca="1" si="1375">IFERROR(VLOOKUP($S70,qx_table,MATCH(BC$11,qx_title,0)+sexB),0)</f>
        <v>0</v>
      </c>
      <c r="BD70" s="268">
        <f t="shared" ca="1" si="818"/>
        <v>0</v>
      </c>
      <c r="BE70" s="131">
        <f ca="1">SUM(BD70:BD$124)*SSe</f>
        <v>0</v>
      </c>
      <c r="BF70" s="70">
        <f t="shared" ca="1" si="72"/>
        <v>99999.012970709329</v>
      </c>
      <c r="BG70" s="2">
        <f t="shared" ref="BG70" ca="1" si="1376">IFERROR(VLOOKUP($S70,qx_table,MATCH(BG$11,qx_title,0)+sexB),0)</f>
        <v>0</v>
      </c>
      <c r="BH70" s="131">
        <f t="shared" ca="1" si="820"/>
        <v>0</v>
      </c>
      <c r="BI70" s="2">
        <f ca="1">SUM(BH70:BH$124)*SSf</f>
        <v>0</v>
      </c>
      <c r="BJ70" s="70">
        <f t="shared" ca="1" si="75"/>
        <v>99999.012970709329</v>
      </c>
      <c r="BK70" s="2">
        <f t="shared" ref="BK70" ca="1" si="1377">IFERROR(VLOOKUP($S70,qx_table,MATCH(BK$11,qx_title,0)+sexB),0)</f>
        <v>0</v>
      </c>
      <c r="BL70" s="131">
        <f t="shared" ca="1" si="822"/>
        <v>0</v>
      </c>
      <c r="BM70" s="131">
        <f ca="1">SUM(BL70:BL$124)*SSg</f>
        <v>0</v>
      </c>
      <c r="BN70" s="70">
        <f t="shared" ca="1" si="78"/>
        <v>99999.012970709329</v>
      </c>
      <c r="BO70" s="2">
        <f t="shared" ref="BO70" ca="1" si="1378">IFERROR(VLOOKUP($S70,qx_table,MATCH(BO$11,qx_title,0)+sexB),0)</f>
        <v>0</v>
      </c>
      <c r="BP70" s="131">
        <f t="shared" ca="1" si="824"/>
        <v>0</v>
      </c>
      <c r="BQ70" s="131">
        <f ca="1">SUM(BP70:BP$124)*SSh</f>
        <v>0</v>
      </c>
      <c r="BR70" s="70">
        <f t="shared" ca="1" si="81"/>
        <v>99999.012970709329</v>
      </c>
      <c r="BS70" s="2">
        <f t="shared" ref="BS70" ca="1" si="1379">IFERROR(VLOOKUP($S70,qx_table,MATCH(BS$11,qx_title,0)+sexB),0)*IF(R70=0,MCi,1)</f>
        <v>0</v>
      </c>
      <c r="BT70" s="131">
        <f t="shared" ca="1" si="826"/>
        <v>0</v>
      </c>
      <c r="BU70" s="131">
        <f ca="1">SUM(BT70:BT$124)*SSi</f>
        <v>0</v>
      </c>
      <c r="BV70" s="70">
        <f t="shared" ca="1" si="84"/>
        <v>99999.012970709329</v>
      </c>
      <c r="BW70" s="2">
        <f t="shared" ref="BW70" ca="1" si="1380">IFERROR(VLOOKUP($S70,qx_table,MATCH(BW$11,qx_title,0)+sexB),0)</f>
        <v>0</v>
      </c>
      <c r="BX70" s="131">
        <f t="shared" ca="1" si="828"/>
        <v>0</v>
      </c>
      <c r="BY70" s="131">
        <f ca="1">SUM(BX70:BX$124)*SSj</f>
        <v>0</v>
      </c>
      <c r="BZ70" s="70">
        <f t="shared" ca="1" si="87"/>
        <v>99999.012970709329</v>
      </c>
      <c r="CA70" s="2">
        <f t="shared" ref="CA70" ca="1" si="1381">IFERROR(VLOOKUP($S70,qx_table,MATCH(CA$11,qx_title,0)+sexB),0)</f>
        <v>0</v>
      </c>
      <c r="CB70" s="131">
        <f t="shared" ca="1" si="830"/>
        <v>0</v>
      </c>
      <c r="CC70" s="131">
        <f ca="1">SUM(CB70:CB$124)*SSk</f>
        <v>0</v>
      </c>
      <c r="CD70" s="8">
        <f t="shared" ca="1" si="90"/>
        <v>99999.012970709329</v>
      </c>
      <c r="CE70" s="2">
        <f t="shared" ref="CE70" ca="1" si="1382">IFERROR(VLOOKUP($S70,qx_table,MATCH(CE$11,qx_title,0)+sexB),0)</f>
        <v>0</v>
      </c>
      <c r="CF70" s="131">
        <f t="shared" ca="1" si="832"/>
        <v>0</v>
      </c>
      <c r="CG70" s="131">
        <f ca="1">SUM(CF70:CF$124)*SSl</f>
        <v>0</v>
      </c>
      <c r="CH70" s="101">
        <f t="shared" ca="1" si="93"/>
        <v>0</v>
      </c>
      <c r="CI70" s="154">
        <f t="shared" ca="1" si="789"/>
        <v>0</v>
      </c>
      <c r="CJ70" s="32">
        <f t="shared" ca="1" si="38"/>
        <v>0</v>
      </c>
      <c r="CK70" s="32">
        <f t="shared" ref="CK70" ca="1" si="1383">+MAX(VLOOKUP(xB+$R70,기수표B,$AH$1)-VLOOKUP(xB+mB,기수표B,$AH$1)-11/24*(VLOOKUP(xB+$R70,기수표B,$AG$1)-VLOOKUP(xB+mB,기수표B,$AG$1)),0)</f>
        <v>0</v>
      </c>
      <c r="CL70" s="32">
        <f t="shared" ref="CL70" ca="1" si="1384">+MAX(VLOOKUP(xB+$R70,기수표B,$AA$1)-VLOOKUP(xB+mB,기수표B,$AA$1),0)</f>
        <v>0</v>
      </c>
      <c r="CM70" s="32">
        <f t="shared" ref="CM70" ca="1" si="1385">+MAX(VLOOKUP(xB+$R70,기수표B,$AA$1)-VLOOKUP(xB+mB,기수표B,$AA$1)-11/24*(VLOOKUP(xB+$R70,기수표B,$AA$1)-VLOOKUP(xB+mB,기수표B,$AA$1)),0)</f>
        <v>0</v>
      </c>
      <c r="CN70" s="32">
        <f t="shared" si="793"/>
        <v>0</v>
      </c>
      <c r="CO70" s="32">
        <f t="shared" ca="1" si="794"/>
        <v>0</v>
      </c>
      <c r="CP70" s="32">
        <f t="shared" ca="1" si="795"/>
        <v>0</v>
      </c>
      <c r="CQ70" s="262">
        <f t="shared" ca="1" si="796"/>
        <v>0</v>
      </c>
      <c r="CR70" s="259" t="e">
        <f t="shared" ca="1" si="797"/>
        <v>#DIV/0!</v>
      </c>
      <c r="CS70" s="32">
        <f t="shared" ca="1" si="798"/>
        <v>1.5999999999999999E-5</v>
      </c>
      <c r="CT70" s="31">
        <f t="shared" ref="CT70" si="1386">+MIN(mB,7)</f>
        <v>7</v>
      </c>
      <c r="CV70" s="13">
        <v>58</v>
      </c>
      <c r="CW70" s="477">
        <f t="shared" ca="1" si="800"/>
        <v>480</v>
      </c>
      <c r="CX70" s="477" t="e">
        <f t="shared" ca="1" si="801"/>
        <v>#DIV/0!</v>
      </c>
      <c r="CY70" s="477">
        <f t="shared" ca="1" si="802"/>
        <v>0</v>
      </c>
      <c r="CZ70" s="478">
        <f t="shared" ca="1" si="98"/>
        <v>0</v>
      </c>
    </row>
    <row r="71" spans="14:104">
      <c r="N71" s="5">
        <f t="shared" si="99"/>
        <v>59</v>
      </c>
      <c r="O71" s="2">
        <f t="shared" ref="O71" ca="1" si="1387">+(1+iB)^-N71</f>
        <v>0.26906940348047709</v>
      </c>
      <c r="P71" s="2">
        <f t="shared" ref="P71" ca="1" si="1388">+(1+iB)^-(N71+0.5)</f>
        <v>0.2660925145464309</v>
      </c>
      <c r="Q71" s="91"/>
      <c r="R71" s="20">
        <f t="shared" si="102"/>
        <v>59</v>
      </c>
      <c r="S71" s="20" t="str">
        <f t="shared" ref="S71" si="1389">+IF(xB+R71&lt;=xB+nB,xB+R71,"")</f>
        <v/>
      </c>
      <c r="T71" s="2">
        <f t="shared" ref="T71:U71" ca="1" si="1390">IFERROR(VLOOKUP($S71,qx_table,MATCH(T$11,qx_title,0)+sexB),0)</f>
        <v>0</v>
      </c>
      <c r="U71" s="2">
        <f t="shared" ca="1" si="1390"/>
        <v>0</v>
      </c>
      <c r="V71" s="300">
        <v>0</v>
      </c>
      <c r="W71" s="8">
        <f t="shared" ref="W71" si="1391">IF(R71=0,100000,IF(R71&gt;nB,0,W70*(1-X70)*(1-Y70)))</f>
        <v>0</v>
      </c>
      <c r="X71" s="10">
        <f t="shared" ca="1" si="19"/>
        <v>0</v>
      </c>
      <c r="Y71" s="10">
        <f t="shared" ca="1" si="56"/>
        <v>0</v>
      </c>
      <c r="Z71" s="8">
        <f t="shared" ca="1" si="106"/>
        <v>0</v>
      </c>
      <c r="AA71" s="8">
        <f ca="1">+SUM(Z71:Z$124)</f>
        <v>0</v>
      </c>
      <c r="AB71" s="8">
        <f t="shared" ca="1" si="20"/>
        <v>0</v>
      </c>
      <c r="AC71" s="209">
        <f ca="1">+SUM(AB71:AB$124)*SSSM</f>
        <v>0</v>
      </c>
      <c r="AD71" s="209">
        <f t="shared" ref="AD71" si="1392">IF(R71&gt;nB,0,AD70*(1-X70)*(1-Y70)*(1-AE70)*(1-AF70))</f>
        <v>0</v>
      </c>
      <c r="AE71" s="92">
        <f t="shared" ca="1" si="21"/>
        <v>0</v>
      </c>
      <c r="AF71" s="92">
        <f t="shared" ca="1" si="22"/>
        <v>0</v>
      </c>
      <c r="AG71" s="8">
        <f t="shared" ca="1" si="23"/>
        <v>0</v>
      </c>
      <c r="AH71" s="5">
        <f ca="1">+SUM(AG71:AG$124)</f>
        <v>0</v>
      </c>
      <c r="AI71" s="70">
        <f t="shared" ca="1" si="24"/>
        <v>0</v>
      </c>
      <c r="AJ71" s="208">
        <f ca="1">+SUM(AB71:AB$124)*SS50J</f>
        <v>0</v>
      </c>
      <c r="AK71" s="5">
        <f t="shared" ca="1" si="58"/>
        <v>99999.012970709329</v>
      </c>
      <c r="AL71" s="2">
        <f t="shared" ref="AL71" ca="1" si="1393">IFERROR(VLOOKUP($S71,qx_table,MATCH(AL$11,qx_title,0)+sexB),0)</f>
        <v>0</v>
      </c>
      <c r="AM71" s="131">
        <f t="shared" ca="1" si="109"/>
        <v>26906.674768665249</v>
      </c>
      <c r="AN71" s="129">
        <f t="shared" ca="1" si="777"/>
        <v>0</v>
      </c>
      <c r="AO71" s="129">
        <f ca="1">SUM(AN71:AN$124)*SSa</f>
        <v>0</v>
      </c>
      <c r="AP71" s="70">
        <f t="shared" ca="1" si="60"/>
        <v>99999.012970709329</v>
      </c>
      <c r="AQ71" s="2">
        <f t="shared" ref="AQ71" ca="1" si="1394">IFERROR(VLOOKUP($S71,qx_table,MATCH(AQ$11,qx_title,0)+sexB),0)</f>
        <v>0</v>
      </c>
      <c r="AR71" s="127">
        <f t="shared" ca="1" si="812"/>
        <v>0</v>
      </c>
      <c r="AS71" s="127">
        <f ca="1">SUM(AR71:AR$124)*SSb</f>
        <v>0</v>
      </c>
      <c r="AT71" s="70">
        <f t="shared" ca="1" si="63"/>
        <v>99999.012970709329</v>
      </c>
      <c r="AU71" s="2">
        <f t="shared" ref="AU71" ca="1" si="1395">IFERROR(VLOOKUP($S71,qx_table,MATCH(AU$11,qx_title,0)+sexB),0)</f>
        <v>0</v>
      </c>
      <c r="AV71" s="268">
        <f t="shared" ca="1" si="814"/>
        <v>0</v>
      </c>
      <c r="AW71" s="131">
        <f ca="1">SUM(AV71:AV$124)*SSc</f>
        <v>0</v>
      </c>
      <c r="AX71" s="70">
        <f t="shared" ca="1" si="66"/>
        <v>99999.012970709329</v>
      </c>
      <c r="AY71" s="2">
        <f t="shared" ref="AY71" ca="1" si="1396">IFERROR(VLOOKUP($S71,qx_table,MATCH(AY$11,qx_title,0)+sexB),0)</f>
        <v>0</v>
      </c>
      <c r="AZ71" s="268">
        <f t="shared" ca="1" si="816"/>
        <v>0</v>
      </c>
      <c r="BA71" s="129">
        <f ca="1">SUM(AZ71:AZ$124)*SSd</f>
        <v>0</v>
      </c>
      <c r="BB71" s="70">
        <f t="shared" ca="1" si="69"/>
        <v>99999.012970709329</v>
      </c>
      <c r="BC71" s="257">
        <f t="shared" ref="BC71" ca="1" si="1397">IFERROR(VLOOKUP($S71,qx_table,MATCH(BC$11,qx_title,0)+sexB),0)</f>
        <v>0</v>
      </c>
      <c r="BD71" s="268">
        <f t="shared" ca="1" si="818"/>
        <v>0</v>
      </c>
      <c r="BE71" s="131">
        <f ca="1">SUM(BD71:BD$124)*SSe</f>
        <v>0</v>
      </c>
      <c r="BF71" s="70">
        <f t="shared" ca="1" si="72"/>
        <v>99999.012970709329</v>
      </c>
      <c r="BG71" s="2">
        <f t="shared" ref="BG71" ca="1" si="1398">IFERROR(VLOOKUP($S71,qx_table,MATCH(BG$11,qx_title,0)+sexB),0)</f>
        <v>0</v>
      </c>
      <c r="BH71" s="131">
        <f t="shared" ca="1" si="820"/>
        <v>0</v>
      </c>
      <c r="BI71" s="2">
        <f ca="1">SUM(BH71:BH$124)*SSf</f>
        <v>0</v>
      </c>
      <c r="BJ71" s="70">
        <f t="shared" ca="1" si="75"/>
        <v>99999.012970709329</v>
      </c>
      <c r="BK71" s="2">
        <f t="shared" ref="BK71" ca="1" si="1399">IFERROR(VLOOKUP($S71,qx_table,MATCH(BK$11,qx_title,0)+sexB),0)</f>
        <v>0</v>
      </c>
      <c r="BL71" s="131">
        <f t="shared" ca="1" si="822"/>
        <v>0</v>
      </c>
      <c r="BM71" s="131">
        <f ca="1">SUM(BL71:BL$124)*SSg</f>
        <v>0</v>
      </c>
      <c r="BN71" s="70">
        <f t="shared" ca="1" si="78"/>
        <v>99999.012970709329</v>
      </c>
      <c r="BO71" s="2">
        <f t="shared" ref="BO71" ca="1" si="1400">IFERROR(VLOOKUP($S71,qx_table,MATCH(BO$11,qx_title,0)+sexB),0)</f>
        <v>0</v>
      </c>
      <c r="BP71" s="131">
        <f t="shared" ca="1" si="824"/>
        <v>0</v>
      </c>
      <c r="BQ71" s="131">
        <f ca="1">SUM(BP71:BP$124)*SSh</f>
        <v>0</v>
      </c>
      <c r="BR71" s="70">
        <f t="shared" ca="1" si="81"/>
        <v>99999.012970709329</v>
      </c>
      <c r="BS71" s="2">
        <f t="shared" ref="BS71" ca="1" si="1401">IFERROR(VLOOKUP($S71,qx_table,MATCH(BS$11,qx_title,0)+sexB),0)*IF(R71=0,MCi,1)</f>
        <v>0</v>
      </c>
      <c r="BT71" s="131">
        <f t="shared" ca="1" si="826"/>
        <v>0</v>
      </c>
      <c r="BU71" s="131">
        <f ca="1">SUM(BT71:BT$124)*SSi</f>
        <v>0</v>
      </c>
      <c r="BV71" s="70">
        <f t="shared" ca="1" si="84"/>
        <v>99999.012970709329</v>
      </c>
      <c r="BW71" s="2">
        <f t="shared" ref="BW71" ca="1" si="1402">IFERROR(VLOOKUP($S71,qx_table,MATCH(BW$11,qx_title,0)+sexB),0)</f>
        <v>0</v>
      </c>
      <c r="BX71" s="131">
        <f t="shared" ca="1" si="828"/>
        <v>0</v>
      </c>
      <c r="BY71" s="131">
        <f ca="1">SUM(BX71:BX$124)*SSj</f>
        <v>0</v>
      </c>
      <c r="BZ71" s="70">
        <f t="shared" ca="1" si="87"/>
        <v>99999.012970709329</v>
      </c>
      <c r="CA71" s="2">
        <f t="shared" ref="CA71" ca="1" si="1403">IFERROR(VLOOKUP($S71,qx_table,MATCH(CA$11,qx_title,0)+sexB),0)</f>
        <v>0</v>
      </c>
      <c r="CB71" s="131">
        <f t="shared" ca="1" si="830"/>
        <v>0</v>
      </c>
      <c r="CC71" s="131">
        <f ca="1">SUM(CB71:CB$124)*SSk</f>
        <v>0</v>
      </c>
      <c r="CD71" s="8">
        <f t="shared" ca="1" si="90"/>
        <v>99999.012970709329</v>
      </c>
      <c r="CE71" s="2">
        <f t="shared" ref="CE71" ca="1" si="1404">IFERROR(VLOOKUP($S71,qx_table,MATCH(CE$11,qx_title,0)+sexB),0)</f>
        <v>0</v>
      </c>
      <c r="CF71" s="131">
        <f t="shared" ca="1" si="832"/>
        <v>0</v>
      </c>
      <c r="CG71" s="131">
        <f ca="1">SUM(CF71:CF$124)*SSl</f>
        <v>0</v>
      </c>
      <c r="CH71" s="101">
        <f t="shared" ca="1" si="93"/>
        <v>0</v>
      </c>
      <c r="CI71" s="154">
        <f t="shared" ca="1" si="789"/>
        <v>0</v>
      </c>
      <c r="CJ71" s="32">
        <f t="shared" ca="1" si="38"/>
        <v>0</v>
      </c>
      <c r="CK71" s="32">
        <f t="shared" ref="CK71" ca="1" si="1405">+MAX(VLOOKUP(xB+$R71,기수표B,$AH$1)-VLOOKUP(xB+mB,기수표B,$AH$1)-11/24*(VLOOKUP(xB+$R71,기수표B,$AG$1)-VLOOKUP(xB+mB,기수표B,$AG$1)),0)</f>
        <v>0</v>
      </c>
      <c r="CL71" s="32">
        <f t="shared" ref="CL71" ca="1" si="1406">+MAX(VLOOKUP(xB+$R71,기수표B,$AA$1)-VLOOKUP(xB+mB,기수표B,$AA$1),0)</f>
        <v>0</v>
      </c>
      <c r="CM71" s="32">
        <f t="shared" ref="CM71" ca="1" si="1407">+MAX(VLOOKUP(xB+$R71,기수표B,$AA$1)-VLOOKUP(xB+mB,기수표B,$AA$1)-11/24*(VLOOKUP(xB+$R71,기수표B,$AA$1)-VLOOKUP(xB+mB,기수표B,$AA$1)),0)</f>
        <v>0</v>
      </c>
      <c r="CN71" s="32">
        <f t="shared" si="793"/>
        <v>0</v>
      </c>
      <c r="CO71" s="32">
        <f t="shared" ca="1" si="794"/>
        <v>0</v>
      </c>
      <c r="CP71" s="32">
        <f t="shared" ca="1" si="795"/>
        <v>0</v>
      </c>
      <c r="CQ71" s="262">
        <f t="shared" ca="1" si="796"/>
        <v>0</v>
      </c>
      <c r="CR71" s="259" t="e">
        <f t="shared" ca="1" si="797"/>
        <v>#DIV/0!</v>
      </c>
      <c r="CS71" s="32">
        <f t="shared" ca="1" si="798"/>
        <v>1.5999999999999999E-5</v>
      </c>
      <c r="CT71" s="31">
        <f t="shared" ref="CT71" si="1408">+MIN(mB,7)</f>
        <v>7</v>
      </c>
      <c r="CV71" s="13">
        <v>59</v>
      </c>
      <c r="CW71" s="477">
        <f t="shared" ca="1" si="800"/>
        <v>480</v>
      </c>
      <c r="CX71" s="477" t="e">
        <f t="shared" ca="1" si="801"/>
        <v>#DIV/0!</v>
      </c>
      <c r="CY71" s="477">
        <f t="shared" ca="1" si="802"/>
        <v>0</v>
      </c>
      <c r="CZ71" s="478">
        <f t="shared" ca="1" si="98"/>
        <v>0</v>
      </c>
    </row>
    <row r="72" spans="14:104">
      <c r="N72" s="5">
        <f t="shared" si="99"/>
        <v>60</v>
      </c>
      <c r="O72" s="2">
        <f t="shared" ref="O72" ca="1" si="1409">+(1+iB)^-N72</f>
        <v>0.26314856086110222</v>
      </c>
      <c r="P72" s="2">
        <f t="shared" ref="P72" ca="1" si="1410">+(1+iB)^-(N72+0.5)</f>
        <v>0.26023717804051927</v>
      </c>
      <c r="Q72" s="91"/>
      <c r="R72" s="20">
        <f t="shared" si="102"/>
        <v>60</v>
      </c>
      <c r="S72" s="20" t="str">
        <f t="shared" ref="S72" si="1411">+IF(xB+R72&lt;=xB+nB,xB+R72,"")</f>
        <v/>
      </c>
      <c r="T72" s="2">
        <f t="shared" ref="T72:U72" ca="1" si="1412">IFERROR(VLOOKUP($S72,qx_table,MATCH(T$11,qx_title,0)+sexB),0)</f>
        <v>0</v>
      </c>
      <c r="U72" s="2">
        <f t="shared" ca="1" si="1412"/>
        <v>0</v>
      </c>
      <c r="V72" s="300">
        <v>0</v>
      </c>
      <c r="W72" s="8">
        <f t="shared" ref="W72" si="1413">IF(R72=0,100000,IF(R72&gt;nB,0,W71*(1-X71)*(1-Y71)))</f>
        <v>0</v>
      </c>
      <c r="X72" s="10">
        <f t="shared" ca="1" si="19"/>
        <v>0</v>
      </c>
      <c r="Y72" s="10">
        <f t="shared" ca="1" si="56"/>
        <v>0</v>
      </c>
      <c r="Z72" s="8">
        <f t="shared" ca="1" si="106"/>
        <v>0</v>
      </c>
      <c r="AA72" s="8">
        <f ca="1">+SUM(Z72:Z$124)</f>
        <v>0</v>
      </c>
      <c r="AB72" s="8">
        <f t="shared" ca="1" si="20"/>
        <v>0</v>
      </c>
      <c r="AC72" s="209">
        <f ca="1">+SUM(AB72:AB$124)*SSSM</f>
        <v>0</v>
      </c>
      <c r="AD72" s="209">
        <f t="shared" ref="AD72" si="1414">IF(R72&gt;nB,0,AD71*(1-X71)*(1-Y71)*(1-AE71)*(1-AF71))</f>
        <v>0</v>
      </c>
      <c r="AE72" s="92">
        <f t="shared" ca="1" si="21"/>
        <v>0</v>
      </c>
      <c r="AF72" s="92">
        <f t="shared" ca="1" si="22"/>
        <v>0</v>
      </c>
      <c r="AG72" s="8">
        <f t="shared" ca="1" si="23"/>
        <v>0</v>
      </c>
      <c r="AH72" s="5">
        <f ca="1">+SUM(AG72:AG$124)</f>
        <v>0</v>
      </c>
      <c r="AI72" s="70">
        <f t="shared" ca="1" si="24"/>
        <v>0</v>
      </c>
      <c r="AJ72" s="208">
        <f ca="1">+SUM(AB72:AB$124)*SS50J</f>
        <v>0</v>
      </c>
      <c r="AK72" s="5">
        <f t="shared" ca="1" si="58"/>
        <v>99999.012970709329</v>
      </c>
      <c r="AL72" s="2">
        <f t="shared" ref="AL72" ca="1" si="1415">IFERROR(VLOOKUP($S72,qx_table,MATCH(AL$11,qx_title,0)+sexB),0)</f>
        <v>0</v>
      </c>
      <c r="AM72" s="131">
        <f t="shared" ca="1" si="109"/>
        <v>26314.596350772856</v>
      </c>
      <c r="AN72" s="129">
        <f t="shared" ca="1" si="777"/>
        <v>0</v>
      </c>
      <c r="AO72" s="129">
        <f ca="1">SUM(AN72:AN$124)*SSa</f>
        <v>0</v>
      </c>
      <c r="AP72" s="70">
        <f t="shared" ca="1" si="60"/>
        <v>99999.012970709329</v>
      </c>
      <c r="AQ72" s="2">
        <f t="shared" ref="AQ72" ca="1" si="1416">IFERROR(VLOOKUP($S72,qx_table,MATCH(AQ$11,qx_title,0)+sexB),0)</f>
        <v>0</v>
      </c>
      <c r="AR72" s="127">
        <f t="shared" ca="1" si="812"/>
        <v>0</v>
      </c>
      <c r="AS72" s="127">
        <f ca="1">SUM(AR72:AR$124)*SSb</f>
        <v>0</v>
      </c>
      <c r="AT72" s="70">
        <f t="shared" ca="1" si="63"/>
        <v>99999.012970709329</v>
      </c>
      <c r="AU72" s="2">
        <f t="shared" ref="AU72" ca="1" si="1417">IFERROR(VLOOKUP($S72,qx_table,MATCH(AU$11,qx_title,0)+sexB),0)</f>
        <v>0</v>
      </c>
      <c r="AV72" s="268">
        <f t="shared" ca="1" si="814"/>
        <v>0</v>
      </c>
      <c r="AW72" s="131">
        <f ca="1">SUM(AV72:AV$124)*SSc</f>
        <v>0</v>
      </c>
      <c r="AX72" s="70">
        <f t="shared" ca="1" si="66"/>
        <v>99999.012970709329</v>
      </c>
      <c r="AY72" s="2">
        <f t="shared" ref="AY72" ca="1" si="1418">IFERROR(VLOOKUP($S72,qx_table,MATCH(AY$11,qx_title,0)+sexB),0)</f>
        <v>0</v>
      </c>
      <c r="AZ72" s="268">
        <f t="shared" ca="1" si="816"/>
        <v>0</v>
      </c>
      <c r="BA72" s="129">
        <f ca="1">SUM(AZ72:AZ$124)*SSd</f>
        <v>0</v>
      </c>
      <c r="BB72" s="70">
        <f t="shared" ca="1" si="69"/>
        <v>99999.012970709329</v>
      </c>
      <c r="BC72" s="257">
        <f t="shared" ref="BC72" ca="1" si="1419">IFERROR(VLOOKUP($S72,qx_table,MATCH(BC$11,qx_title,0)+sexB),0)</f>
        <v>0</v>
      </c>
      <c r="BD72" s="268">
        <f t="shared" ca="1" si="818"/>
        <v>0</v>
      </c>
      <c r="BE72" s="131">
        <f ca="1">SUM(BD72:BD$124)*SSe</f>
        <v>0</v>
      </c>
      <c r="BF72" s="70">
        <f t="shared" ca="1" si="72"/>
        <v>99999.012970709329</v>
      </c>
      <c r="BG72" s="2">
        <f t="shared" ref="BG72" ca="1" si="1420">IFERROR(VLOOKUP($S72,qx_table,MATCH(BG$11,qx_title,0)+sexB),0)</f>
        <v>0</v>
      </c>
      <c r="BH72" s="131">
        <f t="shared" ca="1" si="820"/>
        <v>0</v>
      </c>
      <c r="BI72" s="2">
        <f ca="1">SUM(BH72:BH$124)*SSf</f>
        <v>0</v>
      </c>
      <c r="BJ72" s="70">
        <f t="shared" ca="1" si="75"/>
        <v>99999.012970709329</v>
      </c>
      <c r="BK72" s="2">
        <f t="shared" ref="BK72" ca="1" si="1421">IFERROR(VLOOKUP($S72,qx_table,MATCH(BK$11,qx_title,0)+sexB),0)</f>
        <v>0</v>
      </c>
      <c r="BL72" s="131">
        <f t="shared" ca="1" si="822"/>
        <v>0</v>
      </c>
      <c r="BM72" s="131">
        <f ca="1">SUM(BL72:BL$124)*SSg</f>
        <v>0</v>
      </c>
      <c r="BN72" s="70">
        <f t="shared" ca="1" si="78"/>
        <v>99999.012970709329</v>
      </c>
      <c r="BO72" s="2">
        <f t="shared" ref="BO72" ca="1" si="1422">IFERROR(VLOOKUP($S72,qx_table,MATCH(BO$11,qx_title,0)+sexB),0)</f>
        <v>0</v>
      </c>
      <c r="BP72" s="131">
        <f t="shared" ca="1" si="824"/>
        <v>0</v>
      </c>
      <c r="BQ72" s="131">
        <f ca="1">SUM(BP72:BP$124)*SSh</f>
        <v>0</v>
      </c>
      <c r="BR72" s="70">
        <f t="shared" ca="1" si="81"/>
        <v>99999.012970709329</v>
      </c>
      <c r="BS72" s="2">
        <f t="shared" ref="BS72" ca="1" si="1423">IFERROR(VLOOKUP($S72,qx_table,MATCH(BS$11,qx_title,0)+sexB),0)*IF(R72=0,MCi,1)</f>
        <v>0</v>
      </c>
      <c r="BT72" s="131">
        <f t="shared" ca="1" si="826"/>
        <v>0</v>
      </c>
      <c r="BU72" s="131">
        <f ca="1">SUM(BT72:BT$124)*SSi</f>
        <v>0</v>
      </c>
      <c r="BV72" s="70">
        <f t="shared" ca="1" si="84"/>
        <v>99999.012970709329</v>
      </c>
      <c r="BW72" s="2">
        <f t="shared" ref="BW72" ca="1" si="1424">IFERROR(VLOOKUP($S72,qx_table,MATCH(BW$11,qx_title,0)+sexB),0)</f>
        <v>0</v>
      </c>
      <c r="BX72" s="131">
        <f t="shared" ca="1" si="828"/>
        <v>0</v>
      </c>
      <c r="BY72" s="131">
        <f ca="1">SUM(BX72:BX$124)*SSj</f>
        <v>0</v>
      </c>
      <c r="BZ72" s="70">
        <f t="shared" ca="1" si="87"/>
        <v>99999.012970709329</v>
      </c>
      <c r="CA72" s="2">
        <f t="shared" ref="CA72" ca="1" si="1425">IFERROR(VLOOKUP($S72,qx_table,MATCH(CA$11,qx_title,0)+sexB),0)</f>
        <v>0</v>
      </c>
      <c r="CB72" s="131">
        <f t="shared" ca="1" si="830"/>
        <v>0</v>
      </c>
      <c r="CC72" s="131">
        <f ca="1">SUM(CB72:CB$124)*SSk</f>
        <v>0</v>
      </c>
      <c r="CD72" s="8">
        <f t="shared" ca="1" si="90"/>
        <v>99999.012970709329</v>
      </c>
      <c r="CE72" s="2">
        <f t="shared" ref="CE72" ca="1" si="1426">IFERROR(VLOOKUP($S72,qx_table,MATCH(CE$11,qx_title,0)+sexB),0)</f>
        <v>0</v>
      </c>
      <c r="CF72" s="131">
        <f t="shared" ca="1" si="832"/>
        <v>0</v>
      </c>
      <c r="CG72" s="131">
        <f ca="1">SUM(CF72:CF$124)*SSl</f>
        <v>0</v>
      </c>
      <c r="CH72" s="101">
        <f t="shared" ca="1" si="93"/>
        <v>0</v>
      </c>
      <c r="CI72" s="154">
        <f t="shared" ca="1" si="789"/>
        <v>0</v>
      </c>
      <c r="CJ72" s="32">
        <f t="shared" ca="1" si="38"/>
        <v>0</v>
      </c>
      <c r="CK72" s="32">
        <f t="shared" ref="CK72" ca="1" si="1427">+MAX(VLOOKUP(xB+$R72,기수표B,$AH$1)-VLOOKUP(xB+mB,기수표B,$AH$1)-11/24*(VLOOKUP(xB+$R72,기수표B,$AG$1)-VLOOKUP(xB+mB,기수표B,$AG$1)),0)</f>
        <v>0</v>
      </c>
      <c r="CL72" s="32">
        <f t="shared" ref="CL72" ca="1" si="1428">+MAX(VLOOKUP(xB+$R72,기수표B,$AA$1)-VLOOKUP(xB+mB,기수표B,$AA$1),0)</f>
        <v>0</v>
      </c>
      <c r="CM72" s="32">
        <f t="shared" ref="CM72" ca="1" si="1429">+MAX(VLOOKUP(xB+$R72,기수표B,$AA$1)-VLOOKUP(xB+mB,기수표B,$AA$1)-11/24*(VLOOKUP(xB+$R72,기수표B,$AA$1)-VLOOKUP(xB+mB,기수표B,$AA$1)),0)</f>
        <v>0</v>
      </c>
      <c r="CN72" s="32">
        <f t="shared" si="793"/>
        <v>0</v>
      </c>
      <c r="CO72" s="32">
        <f t="shared" ca="1" si="794"/>
        <v>0</v>
      </c>
      <c r="CP72" s="32">
        <f t="shared" ca="1" si="795"/>
        <v>0</v>
      </c>
      <c r="CQ72" s="262">
        <f t="shared" ca="1" si="796"/>
        <v>0</v>
      </c>
      <c r="CR72" s="259" t="e">
        <f t="shared" ca="1" si="797"/>
        <v>#DIV/0!</v>
      </c>
      <c r="CS72" s="32">
        <f t="shared" ca="1" si="798"/>
        <v>1.5999999999999999E-5</v>
      </c>
      <c r="CT72" s="31">
        <f t="shared" ref="CT72" si="1430">+MIN(mB,7)</f>
        <v>7</v>
      </c>
      <c r="CV72" s="13">
        <v>60</v>
      </c>
      <c r="CW72" s="477">
        <f t="shared" ca="1" si="800"/>
        <v>480</v>
      </c>
      <c r="CX72" s="477" t="e">
        <f t="shared" ca="1" si="801"/>
        <v>#DIV/0!</v>
      </c>
      <c r="CY72" s="477">
        <f t="shared" ca="1" si="802"/>
        <v>0</v>
      </c>
      <c r="CZ72" s="478">
        <f t="shared" ca="1" si="98"/>
        <v>0</v>
      </c>
    </row>
    <row r="73" spans="14:104">
      <c r="N73" s="5">
        <f t="shared" si="99"/>
        <v>61</v>
      </c>
      <c r="O73" s="2">
        <f t="shared" ref="O73" ca="1" si="1431">+(1+iB)^-N73</f>
        <v>0.2573580057321293</v>
      </c>
      <c r="P73" s="2">
        <f t="shared" ref="P73" ca="1" si="1432">+(1+iB)^-(N73+0.5)</f>
        <v>0.25451068757019002</v>
      </c>
      <c r="Q73" s="91"/>
      <c r="R73" s="20">
        <f t="shared" si="102"/>
        <v>61</v>
      </c>
      <c r="S73" s="20" t="str">
        <f t="shared" ref="S73" si="1433">+IF(xB+R73&lt;=xB+nB,xB+R73,"")</f>
        <v/>
      </c>
      <c r="T73" s="2">
        <f t="shared" ref="T73:U73" ca="1" si="1434">IFERROR(VLOOKUP($S73,qx_table,MATCH(T$11,qx_title,0)+sexB),0)</f>
        <v>0</v>
      </c>
      <c r="U73" s="2">
        <f t="shared" ca="1" si="1434"/>
        <v>0</v>
      </c>
      <c r="V73" s="300">
        <v>0</v>
      </c>
      <c r="W73" s="8">
        <f t="shared" ref="W73" si="1435">IF(R73=0,100000,IF(R73&gt;nB,0,W72*(1-X72)*(1-Y72)))</f>
        <v>0</v>
      </c>
      <c r="X73" s="10">
        <f t="shared" ca="1" si="19"/>
        <v>0</v>
      </c>
      <c r="Y73" s="10">
        <f t="shared" ca="1" si="56"/>
        <v>0</v>
      </c>
      <c r="Z73" s="8">
        <f t="shared" ca="1" si="106"/>
        <v>0</v>
      </c>
      <c r="AA73" s="8">
        <f ca="1">+SUM(Z73:Z$124)</f>
        <v>0</v>
      </c>
      <c r="AB73" s="8">
        <f t="shared" ca="1" si="20"/>
        <v>0</v>
      </c>
      <c r="AC73" s="209">
        <f ca="1">+SUM(AB73:AB$124)*SSSM</f>
        <v>0</v>
      </c>
      <c r="AD73" s="209">
        <f t="shared" ref="AD73" si="1436">IF(R73&gt;nB,0,AD72*(1-X72)*(1-Y72)*(1-AE72)*(1-AF72))</f>
        <v>0</v>
      </c>
      <c r="AE73" s="92">
        <f t="shared" ca="1" si="21"/>
        <v>0</v>
      </c>
      <c r="AF73" s="92">
        <f t="shared" ca="1" si="22"/>
        <v>0</v>
      </c>
      <c r="AG73" s="8">
        <f t="shared" ca="1" si="23"/>
        <v>0</v>
      </c>
      <c r="AH73" s="5">
        <f ca="1">+SUM(AG73:AG$124)</f>
        <v>0</v>
      </c>
      <c r="AI73" s="70">
        <f t="shared" ca="1" si="24"/>
        <v>0</v>
      </c>
      <c r="AJ73" s="208">
        <f ca="1">+SUM(AB73:AB$124)*SS50J</f>
        <v>0</v>
      </c>
      <c r="AK73" s="5">
        <f t="shared" ca="1" si="58"/>
        <v>99999.012970709329</v>
      </c>
      <c r="AL73" s="2">
        <f t="shared" ref="AL73" ca="1" si="1437">IFERROR(VLOOKUP($S73,qx_table,MATCH(AL$11,qx_title,0)+sexB),0)</f>
        <v>0</v>
      </c>
      <c r="AM73" s="131">
        <f t="shared" ca="1" si="109"/>
        <v>25735.546553323085</v>
      </c>
      <c r="AN73" s="129">
        <f t="shared" ca="1" si="777"/>
        <v>0</v>
      </c>
      <c r="AO73" s="129">
        <f ca="1">SUM(AN73:AN$124)*SSa</f>
        <v>0</v>
      </c>
      <c r="AP73" s="70">
        <f t="shared" ca="1" si="60"/>
        <v>99999.012970709329</v>
      </c>
      <c r="AQ73" s="2">
        <f t="shared" ref="AQ73" ca="1" si="1438">IFERROR(VLOOKUP($S73,qx_table,MATCH(AQ$11,qx_title,0)+sexB),0)</f>
        <v>0</v>
      </c>
      <c r="AR73" s="127">
        <f t="shared" ca="1" si="812"/>
        <v>0</v>
      </c>
      <c r="AS73" s="127">
        <f ca="1">SUM(AR73:AR$124)*SSb</f>
        <v>0</v>
      </c>
      <c r="AT73" s="70">
        <f t="shared" ca="1" si="63"/>
        <v>99999.012970709329</v>
      </c>
      <c r="AU73" s="2">
        <f t="shared" ref="AU73" ca="1" si="1439">IFERROR(VLOOKUP($S73,qx_table,MATCH(AU$11,qx_title,0)+sexB),0)</f>
        <v>0</v>
      </c>
      <c r="AV73" s="268">
        <f t="shared" ca="1" si="814"/>
        <v>0</v>
      </c>
      <c r="AW73" s="131">
        <f ca="1">SUM(AV73:AV$124)*SSc</f>
        <v>0</v>
      </c>
      <c r="AX73" s="70">
        <f t="shared" ca="1" si="66"/>
        <v>99999.012970709329</v>
      </c>
      <c r="AY73" s="2">
        <f t="shared" ref="AY73" ca="1" si="1440">IFERROR(VLOOKUP($S73,qx_table,MATCH(AY$11,qx_title,0)+sexB),0)</f>
        <v>0</v>
      </c>
      <c r="AZ73" s="268">
        <f t="shared" ca="1" si="816"/>
        <v>0</v>
      </c>
      <c r="BA73" s="129">
        <f ca="1">SUM(AZ73:AZ$124)*SSd</f>
        <v>0</v>
      </c>
      <c r="BB73" s="70">
        <f t="shared" ca="1" si="69"/>
        <v>99999.012970709329</v>
      </c>
      <c r="BC73" s="257">
        <f t="shared" ref="BC73" ca="1" si="1441">IFERROR(VLOOKUP($S73,qx_table,MATCH(BC$11,qx_title,0)+sexB),0)</f>
        <v>0</v>
      </c>
      <c r="BD73" s="268">
        <f t="shared" ca="1" si="818"/>
        <v>0</v>
      </c>
      <c r="BE73" s="131">
        <f ca="1">SUM(BD73:BD$124)*SSe</f>
        <v>0</v>
      </c>
      <c r="BF73" s="70">
        <f t="shared" ca="1" si="72"/>
        <v>99999.012970709329</v>
      </c>
      <c r="BG73" s="2">
        <f t="shared" ref="BG73" ca="1" si="1442">IFERROR(VLOOKUP($S73,qx_table,MATCH(BG$11,qx_title,0)+sexB),0)</f>
        <v>0</v>
      </c>
      <c r="BH73" s="131">
        <f t="shared" ca="1" si="820"/>
        <v>0</v>
      </c>
      <c r="BI73" s="2">
        <f ca="1">SUM(BH73:BH$124)*SSf</f>
        <v>0</v>
      </c>
      <c r="BJ73" s="70">
        <f t="shared" ca="1" si="75"/>
        <v>99999.012970709329</v>
      </c>
      <c r="BK73" s="2">
        <f t="shared" ref="BK73" ca="1" si="1443">IFERROR(VLOOKUP($S73,qx_table,MATCH(BK$11,qx_title,0)+sexB),0)</f>
        <v>0</v>
      </c>
      <c r="BL73" s="131">
        <f t="shared" ca="1" si="822"/>
        <v>0</v>
      </c>
      <c r="BM73" s="131">
        <f ca="1">SUM(BL73:BL$124)*SSg</f>
        <v>0</v>
      </c>
      <c r="BN73" s="70">
        <f t="shared" ca="1" si="78"/>
        <v>99999.012970709329</v>
      </c>
      <c r="BO73" s="2">
        <f t="shared" ref="BO73" ca="1" si="1444">IFERROR(VLOOKUP($S73,qx_table,MATCH(BO$11,qx_title,0)+sexB),0)</f>
        <v>0</v>
      </c>
      <c r="BP73" s="131">
        <f t="shared" ca="1" si="824"/>
        <v>0</v>
      </c>
      <c r="BQ73" s="131">
        <f ca="1">SUM(BP73:BP$124)*SSh</f>
        <v>0</v>
      </c>
      <c r="BR73" s="70">
        <f t="shared" ca="1" si="81"/>
        <v>99999.012970709329</v>
      </c>
      <c r="BS73" s="2">
        <f t="shared" ref="BS73" ca="1" si="1445">IFERROR(VLOOKUP($S73,qx_table,MATCH(BS$11,qx_title,0)+sexB),0)*IF(R73=0,MCi,1)</f>
        <v>0</v>
      </c>
      <c r="BT73" s="131">
        <f t="shared" ca="1" si="826"/>
        <v>0</v>
      </c>
      <c r="BU73" s="131">
        <f ca="1">SUM(BT73:BT$124)*SSi</f>
        <v>0</v>
      </c>
      <c r="BV73" s="70">
        <f t="shared" ca="1" si="84"/>
        <v>99999.012970709329</v>
      </c>
      <c r="BW73" s="2">
        <f t="shared" ref="BW73" ca="1" si="1446">IFERROR(VLOOKUP($S73,qx_table,MATCH(BW$11,qx_title,0)+sexB),0)</f>
        <v>0</v>
      </c>
      <c r="BX73" s="131">
        <f t="shared" ca="1" si="828"/>
        <v>0</v>
      </c>
      <c r="BY73" s="131">
        <f ca="1">SUM(BX73:BX$124)*SSj</f>
        <v>0</v>
      </c>
      <c r="BZ73" s="70">
        <f t="shared" ca="1" si="87"/>
        <v>99999.012970709329</v>
      </c>
      <c r="CA73" s="2">
        <f t="shared" ref="CA73" ca="1" si="1447">IFERROR(VLOOKUP($S73,qx_table,MATCH(CA$11,qx_title,0)+sexB),0)</f>
        <v>0</v>
      </c>
      <c r="CB73" s="131">
        <f t="shared" ca="1" si="830"/>
        <v>0</v>
      </c>
      <c r="CC73" s="131">
        <f ca="1">SUM(CB73:CB$124)*SSk</f>
        <v>0</v>
      </c>
      <c r="CD73" s="8">
        <f t="shared" ca="1" si="90"/>
        <v>99999.012970709329</v>
      </c>
      <c r="CE73" s="2">
        <f t="shared" ref="CE73" ca="1" si="1448">IFERROR(VLOOKUP($S73,qx_table,MATCH(CE$11,qx_title,0)+sexB),0)</f>
        <v>0</v>
      </c>
      <c r="CF73" s="131">
        <f t="shared" ca="1" si="832"/>
        <v>0</v>
      </c>
      <c r="CG73" s="131">
        <f ca="1">SUM(CF73:CF$124)*SSl</f>
        <v>0</v>
      </c>
      <c r="CH73" s="101">
        <f t="shared" ca="1" si="93"/>
        <v>0</v>
      </c>
      <c r="CI73" s="154">
        <f t="shared" ca="1" si="789"/>
        <v>0</v>
      </c>
      <c r="CJ73" s="32">
        <f t="shared" ca="1" si="38"/>
        <v>0</v>
      </c>
      <c r="CK73" s="32">
        <f t="shared" ref="CK73" ca="1" si="1449">+MAX(VLOOKUP(xB+$R73,기수표B,$AH$1)-VLOOKUP(xB+mB,기수표B,$AH$1)-11/24*(VLOOKUP(xB+$R73,기수표B,$AG$1)-VLOOKUP(xB+mB,기수표B,$AG$1)),0)</f>
        <v>0</v>
      </c>
      <c r="CL73" s="32">
        <f t="shared" ref="CL73" ca="1" si="1450">+MAX(VLOOKUP(xB+$R73,기수표B,$AA$1)-VLOOKUP(xB+mB,기수표B,$AA$1),0)</f>
        <v>0</v>
      </c>
      <c r="CM73" s="32">
        <f t="shared" ref="CM73" ca="1" si="1451">+MAX(VLOOKUP(xB+$R73,기수표B,$AA$1)-VLOOKUP(xB+mB,기수표B,$AA$1)-11/24*(VLOOKUP(xB+$R73,기수표B,$AA$1)-VLOOKUP(xB+mB,기수표B,$AA$1)),0)</f>
        <v>0</v>
      </c>
      <c r="CN73" s="32">
        <f t="shared" si="793"/>
        <v>0</v>
      </c>
      <c r="CO73" s="32">
        <f t="shared" ca="1" si="794"/>
        <v>0</v>
      </c>
      <c r="CP73" s="32">
        <f t="shared" ca="1" si="795"/>
        <v>0</v>
      </c>
      <c r="CQ73" s="262">
        <f t="shared" ca="1" si="796"/>
        <v>0</v>
      </c>
      <c r="CR73" s="259" t="e">
        <f t="shared" ca="1" si="797"/>
        <v>#DIV/0!</v>
      </c>
      <c r="CS73" s="32">
        <f t="shared" ca="1" si="798"/>
        <v>1.5999999999999999E-5</v>
      </c>
      <c r="CT73" s="31">
        <f t="shared" ref="CT73" si="1452">+MIN(mB,7)</f>
        <v>7</v>
      </c>
      <c r="CV73" s="13">
        <v>61</v>
      </c>
      <c r="CW73" s="477">
        <f t="shared" ca="1" si="800"/>
        <v>480</v>
      </c>
      <c r="CX73" s="477" t="e">
        <f t="shared" ca="1" si="801"/>
        <v>#DIV/0!</v>
      </c>
      <c r="CY73" s="477">
        <f t="shared" ca="1" si="802"/>
        <v>0</v>
      </c>
      <c r="CZ73" s="478">
        <f t="shared" ca="1" si="98"/>
        <v>0</v>
      </c>
    </row>
    <row r="74" spans="14:104">
      <c r="N74" s="5">
        <f t="shared" si="99"/>
        <v>62</v>
      </c>
      <c r="O74" s="2">
        <f t="shared" ref="O74" ca="1" si="1453">+(1+iB)^-N74</f>
        <v>0.25169487113166683</v>
      </c>
      <c r="P74" s="2">
        <f t="shared" ref="P74" ca="1" si="1454">+(1+iB)^-(N74+0.5)</f>
        <v>0.24891020789260637</v>
      </c>
      <c r="Q74" s="91"/>
      <c r="R74" s="20">
        <f t="shared" si="102"/>
        <v>62</v>
      </c>
      <c r="S74" s="20" t="str">
        <f t="shared" ref="S74" si="1455">+IF(xB+R74&lt;=xB+nB,xB+R74,"")</f>
        <v/>
      </c>
      <c r="T74" s="2">
        <f t="shared" ref="T74:U74" ca="1" si="1456">IFERROR(VLOOKUP($S74,qx_table,MATCH(T$11,qx_title,0)+sexB),0)</f>
        <v>0</v>
      </c>
      <c r="U74" s="2">
        <f t="shared" ca="1" si="1456"/>
        <v>0</v>
      </c>
      <c r="V74" s="300">
        <v>0</v>
      </c>
      <c r="W74" s="8">
        <f t="shared" ref="W74" si="1457">IF(R74=0,100000,IF(R74&gt;nB,0,W73*(1-X73)*(1-Y73)))</f>
        <v>0</v>
      </c>
      <c r="X74" s="10">
        <f t="shared" ca="1" si="19"/>
        <v>0</v>
      </c>
      <c r="Y74" s="10">
        <f t="shared" ca="1" si="56"/>
        <v>0</v>
      </c>
      <c r="Z74" s="8">
        <f t="shared" ca="1" si="106"/>
        <v>0</v>
      </c>
      <c r="AA74" s="8">
        <f ca="1">+SUM(Z74:Z$124)</f>
        <v>0</v>
      </c>
      <c r="AB74" s="8">
        <f t="shared" ca="1" si="20"/>
        <v>0</v>
      </c>
      <c r="AC74" s="209">
        <f ca="1">+SUM(AB74:AB$124)*SSSM</f>
        <v>0</v>
      </c>
      <c r="AD74" s="209">
        <f t="shared" ref="AD74" si="1458">IF(R74&gt;nB,0,AD73*(1-X73)*(1-Y73)*(1-AE73)*(1-AF73))</f>
        <v>0</v>
      </c>
      <c r="AE74" s="92">
        <f t="shared" ca="1" si="21"/>
        <v>0</v>
      </c>
      <c r="AF74" s="92">
        <f t="shared" ca="1" si="22"/>
        <v>0</v>
      </c>
      <c r="AG74" s="8">
        <f t="shared" ca="1" si="23"/>
        <v>0</v>
      </c>
      <c r="AH74" s="5">
        <f ca="1">+SUM(AG74:AG$124)</f>
        <v>0</v>
      </c>
      <c r="AI74" s="70">
        <f t="shared" ca="1" si="24"/>
        <v>0</v>
      </c>
      <c r="AJ74" s="208">
        <f ca="1">+SUM(AB74:AB$124)*SS50J</f>
        <v>0</v>
      </c>
      <c r="AK74" s="5">
        <f t="shared" ca="1" si="58"/>
        <v>99999.012970709329</v>
      </c>
      <c r="AL74" s="2">
        <f t="shared" ref="AL74" ca="1" si="1459">IFERROR(VLOOKUP($S74,qx_table,MATCH(AL$11,qx_title,0)+sexB),0)</f>
        <v>0</v>
      </c>
      <c r="AM74" s="131">
        <f t="shared" ca="1" si="109"/>
        <v>25169.238682956566</v>
      </c>
      <c r="AN74" s="129">
        <f t="shared" ca="1" si="777"/>
        <v>0</v>
      </c>
      <c r="AO74" s="129">
        <f ca="1">SUM(AN74:AN$124)*SSa</f>
        <v>0</v>
      </c>
      <c r="AP74" s="70">
        <f t="shared" ca="1" si="60"/>
        <v>99999.012970709329</v>
      </c>
      <c r="AQ74" s="2">
        <f t="shared" ref="AQ74" ca="1" si="1460">IFERROR(VLOOKUP($S74,qx_table,MATCH(AQ$11,qx_title,0)+sexB),0)</f>
        <v>0</v>
      </c>
      <c r="AR74" s="127">
        <f t="shared" ca="1" si="812"/>
        <v>0</v>
      </c>
      <c r="AS74" s="127">
        <f ca="1">SUM(AR74:AR$124)*SSb</f>
        <v>0</v>
      </c>
      <c r="AT74" s="70">
        <f t="shared" ca="1" si="63"/>
        <v>99999.012970709329</v>
      </c>
      <c r="AU74" s="2">
        <f t="shared" ref="AU74" ca="1" si="1461">IFERROR(VLOOKUP($S74,qx_table,MATCH(AU$11,qx_title,0)+sexB),0)</f>
        <v>0</v>
      </c>
      <c r="AV74" s="268">
        <f t="shared" ca="1" si="814"/>
        <v>0</v>
      </c>
      <c r="AW74" s="131">
        <f ca="1">SUM(AV74:AV$124)*SSc</f>
        <v>0</v>
      </c>
      <c r="AX74" s="70">
        <f t="shared" ca="1" si="66"/>
        <v>99999.012970709329</v>
      </c>
      <c r="AY74" s="2">
        <f t="shared" ref="AY74" ca="1" si="1462">IFERROR(VLOOKUP($S74,qx_table,MATCH(AY$11,qx_title,0)+sexB),0)</f>
        <v>0</v>
      </c>
      <c r="AZ74" s="268">
        <f t="shared" ca="1" si="816"/>
        <v>0</v>
      </c>
      <c r="BA74" s="129">
        <f ca="1">SUM(AZ74:AZ$124)*SSd</f>
        <v>0</v>
      </c>
      <c r="BB74" s="70">
        <f t="shared" ca="1" si="69"/>
        <v>99999.012970709329</v>
      </c>
      <c r="BC74" s="257">
        <f t="shared" ref="BC74" ca="1" si="1463">IFERROR(VLOOKUP($S74,qx_table,MATCH(BC$11,qx_title,0)+sexB),0)</f>
        <v>0</v>
      </c>
      <c r="BD74" s="268">
        <f t="shared" ca="1" si="818"/>
        <v>0</v>
      </c>
      <c r="BE74" s="131">
        <f ca="1">SUM(BD74:BD$124)*SSe</f>
        <v>0</v>
      </c>
      <c r="BF74" s="70">
        <f t="shared" ca="1" si="72"/>
        <v>99999.012970709329</v>
      </c>
      <c r="BG74" s="2">
        <f t="shared" ref="BG74" ca="1" si="1464">IFERROR(VLOOKUP($S74,qx_table,MATCH(BG$11,qx_title,0)+sexB),0)</f>
        <v>0</v>
      </c>
      <c r="BH74" s="131">
        <f t="shared" ca="1" si="820"/>
        <v>0</v>
      </c>
      <c r="BI74" s="2">
        <f ca="1">SUM(BH74:BH$124)*SSf</f>
        <v>0</v>
      </c>
      <c r="BJ74" s="70">
        <f t="shared" ca="1" si="75"/>
        <v>99999.012970709329</v>
      </c>
      <c r="BK74" s="2">
        <f t="shared" ref="BK74" ca="1" si="1465">IFERROR(VLOOKUP($S74,qx_table,MATCH(BK$11,qx_title,0)+sexB),0)</f>
        <v>0</v>
      </c>
      <c r="BL74" s="131">
        <f t="shared" ca="1" si="822"/>
        <v>0</v>
      </c>
      <c r="BM74" s="131">
        <f ca="1">SUM(BL74:BL$124)*SSg</f>
        <v>0</v>
      </c>
      <c r="BN74" s="70">
        <f t="shared" ca="1" si="78"/>
        <v>99999.012970709329</v>
      </c>
      <c r="BO74" s="2">
        <f t="shared" ref="BO74" ca="1" si="1466">IFERROR(VLOOKUP($S74,qx_table,MATCH(BO$11,qx_title,0)+sexB),0)</f>
        <v>0</v>
      </c>
      <c r="BP74" s="131">
        <f t="shared" ca="1" si="824"/>
        <v>0</v>
      </c>
      <c r="BQ74" s="131">
        <f ca="1">SUM(BP74:BP$124)*SSh</f>
        <v>0</v>
      </c>
      <c r="BR74" s="70">
        <f t="shared" ca="1" si="81"/>
        <v>99999.012970709329</v>
      </c>
      <c r="BS74" s="2">
        <f t="shared" ref="BS74" ca="1" si="1467">IFERROR(VLOOKUP($S74,qx_table,MATCH(BS$11,qx_title,0)+sexB),0)*IF(R74=0,MCi,1)</f>
        <v>0</v>
      </c>
      <c r="BT74" s="131">
        <f t="shared" ca="1" si="826"/>
        <v>0</v>
      </c>
      <c r="BU74" s="131">
        <f ca="1">SUM(BT74:BT$124)*SSi</f>
        <v>0</v>
      </c>
      <c r="BV74" s="70">
        <f t="shared" ca="1" si="84"/>
        <v>99999.012970709329</v>
      </c>
      <c r="BW74" s="2">
        <f t="shared" ref="BW74" ca="1" si="1468">IFERROR(VLOOKUP($S74,qx_table,MATCH(BW$11,qx_title,0)+sexB),0)</f>
        <v>0</v>
      </c>
      <c r="BX74" s="131">
        <f t="shared" ca="1" si="828"/>
        <v>0</v>
      </c>
      <c r="BY74" s="131">
        <f ca="1">SUM(BX74:BX$124)*SSj</f>
        <v>0</v>
      </c>
      <c r="BZ74" s="70">
        <f t="shared" ca="1" si="87"/>
        <v>99999.012970709329</v>
      </c>
      <c r="CA74" s="2">
        <f t="shared" ref="CA74" ca="1" si="1469">IFERROR(VLOOKUP($S74,qx_table,MATCH(CA$11,qx_title,0)+sexB),0)</f>
        <v>0</v>
      </c>
      <c r="CB74" s="131">
        <f t="shared" ca="1" si="830"/>
        <v>0</v>
      </c>
      <c r="CC74" s="131">
        <f ca="1">SUM(CB74:CB$124)*SSk</f>
        <v>0</v>
      </c>
      <c r="CD74" s="8">
        <f t="shared" ca="1" si="90"/>
        <v>99999.012970709329</v>
      </c>
      <c r="CE74" s="2">
        <f t="shared" ref="CE74" ca="1" si="1470">IFERROR(VLOOKUP($S74,qx_table,MATCH(CE$11,qx_title,0)+sexB),0)</f>
        <v>0</v>
      </c>
      <c r="CF74" s="131">
        <f t="shared" ca="1" si="832"/>
        <v>0</v>
      </c>
      <c r="CG74" s="131">
        <f ca="1">SUM(CF74:CF$124)*SSl</f>
        <v>0</v>
      </c>
      <c r="CH74" s="101">
        <f t="shared" ca="1" si="93"/>
        <v>0</v>
      </c>
      <c r="CI74" s="154">
        <f t="shared" ca="1" si="789"/>
        <v>0</v>
      </c>
      <c r="CJ74" s="32">
        <f t="shared" ca="1" si="38"/>
        <v>0</v>
      </c>
      <c r="CK74" s="32">
        <f t="shared" ref="CK74" ca="1" si="1471">+MAX(VLOOKUP(xB+$R74,기수표B,$AH$1)-VLOOKUP(xB+mB,기수표B,$AH$1)-11/24*(VLOOKUP(xB+$R74,기수표B,$AG$1)-VLOOKUP(xB+mB,기수표B,$AG$1)),0)</f>
        <v>0</v>
      </c>
      <c r="CL74" s="32">
        <f t="shared" ref="CL74" ca="1" si="1472">+MAX(VLOOKUP(xB+$R74,기수표B,$AA$1)-VLOOKUP(xB+mB,기수표B,$AA$1),0)</f>
        <v>0</v>
      </c>
      <c r="CM74" s="32">
        <f t="shared" ref="CM74" ca="1" si="1473">+MAX(VLOOKUP(xB+$R74,기수표B,$AA$1)-VLOOKUP(xB+mB,기수표B,$AA$1)-11/24*(VLOOKUP(xB+$R74,기수표B,$AA$1)-VLOOKUP(xB+mB,기수표B,$AA$1)),0)</f>
        <v>0</v>
      </c>
      <c r="CN74" s="32">
        <f t="shared" si="793"/>
        <v>0</v>
      </c>
      <c r="CO74" s="32">
        <f t="shared" ca="1" si="794"/>
        <v>0</v>
      </c>
      <c r="CP74" s="32">
        <f t="shared" ca="1" si="795"/>
        <v>0</v>
      </c>
      <c r="CQ74" s="262">
        <f t="shared" ca="1" si="796"/>
        <v>0</v>
      </c>
      <c r="CR74" s="259" t="e">
        <f t="shared" ca="1" si="797"/>
        <v>#DIV/0!</v>
      </c>
      <c r="CS74" s="32">
        <f t="shared" ca="1" si="798"/>
        <v>1.5999999999999999E-5</v>
      </c>
      <c r="CT74" s="31">
        <f t="shared" ref="CT74" si="1474">+MIN(mB,7)</f>
        <v>7</v>
      </c>
      <c r="CV74" s="13">
        <v>62</v>
      </c>
      <c r="CW74" s="477">
        <f t="shared" ca="1" si="800"/>
        <v>480</v>
      </c>
      <c r="CX74" s="477" t="e">
        <f t="shared" ca="1" si="801"/>
        <v>#DIV/0!</v>
      </c>
      <c r="CY74" s="477">
        <f t="shared" ca="1" si="802"/>
        <v>0</v>
      </c>
      <c r="CZ74" s="478">
        <f t="shared" ca="1" si="98"/>
        <v>0</v>
      </c>
    </row>
    <row r="75" spans="14:104">
      <c r="N75" s="5">
        <f t="shared" si="99"/>
        <v>63</v>
      </c>
      <c r="O75" s="2">
        <f t="shared" ref="O75" ca="1" si="1475">+(1+iB)^-N75</f>
        <v>0.24615635318500426</v>
      </c>
      <c r="P75" s="2">
        <f t="shared" ref="P75" ca="1" si="1476">+(1+iB)^-(N75+0.5)</f>
        <v>0.24343296615413826</v>
      </c>
      <c r="Q75" s="91"/>
      <c r="R75" s="20">
        <f t="shared" si="102"/>
        <v>63</v>
      </c>
      <c r="S75" s="20" t="str">
        <f t="shared" ref="S75" si="1477">+IF(xB+R75&lt;=xB+nB,xB+R75,"")</f>
        <v/>
      </c>
      <c r="T75" s="2">
        <f t="shared" ref="T75:U75" ca="1" si="1478">IFERROR(VLOOKUP($S75,qx_table,MATCH(T$11,qx_title,0)+sexB),0)</f>
        <v>0</v>
      </c>
      <c r="U75" s="2">
        <f t="shared" ca="1" si="1478"/>
        <v>0</v>
      </c>
      <c r="V75" s="300">
        <v>0</v>
      </c>
      <c r="W75" s="8">
        <f t="shared" ref="W75" si="1479">IF(R75=0,100000,IF(R75&gt;nB,0,W74*(1-X74)*(1-Y74)))</f>
        <v>0</v>
      </c>
      <c r="X75" s="10">
        <f t="shared" ca="1" si="19"/>
        <v>0</v>
      </c>
      <c r="Y75" s="10">
        <f t="shared" ca="1" si="56"/>
        <v>0</v>
      </c>
      <c r="Z75" s="8">
        <f t="shared" ca="1" si="106"/>
        <v>0</v>
      </c>
      <c r="AA75" s="8">
        <f ca="1">+SUM(Z75:Z$124)</f>
        <v>0</v>
      </c>
      <c r="AB75" s="8">
        <f t="shared" ca="1" si="20"/>
        <v>0</v>
      </c>
      <c r="AC75" s="209">
        <f ca="1">+SUM(AB75:AB$124)*SSSM</f>
        <v>0</v>
      </c>
      <c r="AD75" s="209">
        <f t="shared" ref="AD75" si="1480">IF(R75&gt;nB,0,AD74*(1-X74)*(1-Y74)*(1-AE74)*(1-AF74))</f>
        <v>0</v>
      </c>
      <c r="AE75" s="92">
        <f t="shared" ca="1" si="21"/>
        <v>0</v>
      </c>
      <c r="AF75" s="92">
        <f t="shared" ca="1" si="22"/>
        <v>0</v>
      </c>
      <c r="AG75" s="8">
        <f t="shared" ca="1" si="23"/>
        <v>0</v>
      </c>
      <c r="AH75" s="5">
        <f ca="1">+SUM(AG75:AG$124)</f>
        <v>0</v>
      </c>
      <c r="AI75" s="70">
        <f t="shared" ca="1" si="24"/>
        <v>0</v>
      </c>
      <c r="AJ75" s="208">
        <f ca="1">+SUM(AB75:AB$124)*SS50J</f>
        <v>0</v>
      </c>
      <c r="AK75" s="5">
        <f t="shared" ca="1" si="58"/>
        <v>99999.012970709329</v>
      </c>
      <c r="AL75" s="2">
        <f t="shared" ref="AL75" ca="1" si="1481">IFERROR(VLOOKUP($S75,qx_table,MATCH(AL$11,qx_title,0)+sexB),0)</f>
        <v>0</v>
      </c>
      <c r="AM75" s="131">
        <f t="shared" ca="1" si="109"/>
        <v>24615.392354969747</v>
      </c>
      <c r="AN75" s="129">
        <f t="shared" ca="1" si="777"/>
        <v>0</v>
      </c>
      <c r="AO75" s="129">
        <f ca="1">SUM(AN75:AN$124)*SSa</f>
        <v>0</v>
      </c>
      <c r="AP75" s="70">
        <f t="shared" ca="1" si="60"/>
        <v>99999.012970709329</v>
      </c>
      <c r="AQ75" s="2">
        <f t="shared" ref="AQ75" ca="1" si="1482">IFERROR(VLOOKUP($S75,qx_table,MATCH(AQ$11,qx_title,0)+sexB),0)</f>
        <v>0</v>
      </c>
      <c r="AR75" s="127">
        <f t="shared" ca="1" si="812"/>
        <v>0</v>
      </c>
      <c r="AS75" s="127">
        <f ca="1">SUM(AR75:AR$124)*SSb</f>
        <v>0</v>
      </c>
      <c r="AT75" s="70">
        <f t="shared" ca="1" si="63"/>
        <v>99999.012970709329</v>
      </c>
      <c r="AU75" s="2">
        <f t="shared" ref="AU75" ca="1" si="1483">IFERROR(VLOOKUP($S75,qx_table,MATCH(AU$11,qx_title,0)+sexB),0)</f>
        <v>0</v>
      </c>
      <c r="AV75" s="268">
        <f t="shared" ca="1" si="814"/>
        <v>0</v>
      </c>
      <c r="AW75" s="131">
        <f ca="1">SUM(AV75:AV$124)*SSc</f>
        <v>0</v>
      </c>
      <c r="AX75" s="70">
        <f t="shared" ca="1" si="66"/>
        <v>99999.012970709329</v>
      </c>
      <c r="AY75" s="2">
        <f t="shared" ref="AY75" ca="1" si="1484">IFERROR(VLOOKUP($S75,qx_table,MATCH(AY$11,qx_title,0)+sexB),0)</f>
        <v>0</v>
      </c>
      <c r="AZ75" s="268">
        <f t="shared" ca="1" si="816"/>
        <v>0</v>
      </c>
      <c r="BA75" s="129">
        <f ca="1">SUM(AZ75:AZ$124)*SSd</f>
        <v>0</v>
      </c>
      <c r="BB75" s="70">
        <f t="shared" ca="1" si="69"/>
        <v>99999.012970709329</v>
      </c>
      <c r="BC75" s="257">
        <f t="shared" ref="BC75" ca="1" si="1485">IFERROR(VLOOKUP($S75,qx_table,MATCH(BC$11,qx_title,0)+sexB),0)</f>
        <v>0</v>
      </c>
      <c r="BD75" s="268">
        <f t="shared" ca="1" si="818"/>
        <v>0</v>
      </c>
      <c r="BE75" s="131">
        <f ca="1">SUM(BD75:BD$124)*SSe</f>
        <v>0</v>
      </c>
      <c r="BF75" s="70">
        <f t="shared" ca="1" si="72"/>
        <v>99999.012970709329</v>
      </c>
      <c r="BG75" s="2">
        <f t="shared" ref="BG75" ca="1" si="1486">IFERROR(VLOOKUP($S75,qx_table,MATCH(BG$11,qx_title,0)+sexB),0)</f>
        <v>0</v>
      </c>
      <c r="BH75" s="131">
        <f t="shared" ca="1" si="820"/>
        <v>0</v>
      </c>
      <c r="BI75" s="2">
        <f ca="1">SUM(BH75:BH$124)*SSf</f>
        <v>0</v>
      </c>
      <c r="BJ75" s="70">
        <f t="shared" ca="1" si="75"/>
        <v>99999.012970709329</v>
      </c>
      <c r="BK75" s="2">
        <f t="shared" ref="BK75" ca="1" si="1487">IFERROR(VLOOKUP($S75,qx_table,MATCH(BK$11,qx_title,0)+sexB),0)</f>
        <v>0</v>
      </c>
      <c r="BL75" s="131">
        <f t="shared" ca="1" si="822"/>
        <v>0</v>
      </c>
      <c r="BM75" s="131">
        <f ca="1">SUM(BL75:BL$124)*SSg</f>
        <v>0</v>
      </c>
      <c r="BN75" s="70">
        <f t="shared" ca="1" si="78"/>
        <v>99999.012970709329</v>
      </c>
      <c r="BO75" s="2">
        <f t="shared" ref="BO75" ca="1" si="1488">IFERROR(VLOOKUP($S75,qx_table,MATCH(BO$11,qx_title,0)+sexB),0)</f>
        <v>0</v>
      </c>
      <c r="BP75" s="131">
        <f t="shared" ca="1" si="824"/>
        <v>0</v>
      </c>
      <c r="BQ75" s="131">
        <f ca="1">SUM(BP75:BP$124)*SSh</f>
        <v>0</v>
      </c>
      <c r="BR75" s="70">
        <f t="shared" ca="1" si="81"/>
        <v>99999.012970709329</v>
      </c>
      <c r="BS75" s="2">
        <f t="shared" ref="BS75" ca="1" si="1489">IFERROR(VLOOKUP($S75,qx_table,MATCH(BS$11,qx_title,0)+sexB),0)*IF(R75=0,MCi,1)</f>
        <v>0</v>
      </c>
      <c r="BT75" s="131">
        <f t="shared" ca="1" si="826"/>
        <v>0</v>
      </c>
      <c r="BU75" s="131">
        <f ca="1">SUM(BT75:BT$124)*SSi</f>
        <v>0</v>
      </c>
      <c r="BV75" s="70">
        <f t="shared" ca="1" si="84"/>
        <v>99999.012970709329</v>
      </c>
      <c r="BW75" s="2">
        <f t="shared" ref="BW75" ca="1" si="1490">IFERROR(VLOOKUP($S75,qx_table,MATCH(BW$11,qx_title,0)+sexB),0)</f>
        <v>0</v>
      </c>
      <c r="BX75" s="131">
        <f t="shared" ca="1" si="828"/>
        <v>0</v>
      </c>
      <c r="BY75" s="131">
        <f ca="1">SUM(BX75:BX$124)*SSj</f>
        <v>0</v>
      </c>
      <c r="BZ75" s="70">
        <f t="shared" ca="1" si="87"/>
        <v>99999.012970709329</v>
      </c>
      <c r="CA75" s="2">
        <f t="shared" ref="CA75" ca="1" si="1491">IFERROR(VLOOKUP($S75,qx_table,MATCH(CA$11,qx_title,0)+sexB),0)</f>
        <v>0</v>
      </c>
      <c r="CB75" s="131">
        <f t="shared" ca="1" si="830"/>
        <v>0</v>
      </c>
      <c r="CC75" s="131">
        <f ca="1">SUM(CB75:CB$124)*SSk</f>
        <v>0</v>
      </c>
      <c r="CD75" s="8">
        <f t="shared" ca="1" si="90"/>
        <v>99999.012970709329</v>
      </c>
      <c r="CE75" s="2">
        <f t="shared" ref="CE75" ca="1" si="1492">IFERROR(VLOOKUP($S75,qx_table,MATCH(CE$11,qx_title,0)+sexB),0)</f>
        <v>0</v>
      </c>
      <c r="CF75" s="131">
        <f t="shared" ca="1" si="832"/>
        <v>0</v>
      </c>
      <c r="CG75" s="131">
        <f ca="1">SUM(CF75:CF$124)*SSl</f>
        <v>0</v>
      </c>
      <c r="CH75" s="101">
        <f t="shared" ca="1" si="93"/>
        <v>0</v>
      </c>
      <c r="CI75" s="154">
        <f t="shared" ca="1" si="789"/>
        <v>0</v>
      </c>
      <c r="CJ75" s="32">
        <f t="shared" ca="1" si="38"/>
        <v>0</v>
      </c>
      <c r="CK75" s="32">
        <f t="shared" ref="CK75" ca="1" si="1493">+MAX(VLOOKUP(xB+$R75,기수표B,$AH$1)-VLOOKUP(xB+mB,기수표B,$AH$1)-11/24*(VLOOKUP(xB+$R75,기수표B,$AG$1)-VLOOKUP(xB+mB,기수표B,$AG$1)),0)</f>
        <v>0</v>
      </c>
      <c r="CL75" s="32">
        <f t="shared" ref="CL75" ca="1" si="1494">+MAX(VLOOKUP(xB+$R75,기수표B,$AA$1)-VLOOKUP(xB+mB,기수표B,$AA$1),0)</f>
        <v>0</v>
      </c>
      <c r="CM75" s="32">
        <f t="shared" ref="CM75" ca="1" si="1495">+MAX(VLOOKUP(xB+$R75,기수표B,$AA$1)-VLOOKUP(xB+mB,기수표B,$AA$1)-11/24*(VLOOKUP(xB+$R75,기수표B,$AA$1)-VLOOKUP(xB+mB,기수표B,$AA$1)),0)</f>
        <v>0</v>
      </c>
      <c r="CN75" s="32">
        <f t="shared" si="793"/>
        <v>0</v>
      </c>
      <c r="CO75" s="32">
        <f t="shared" ca="1" si="794"/>
        <v>0</v>
      </c>
      <c r="CP75" s="32">
        <f t="shared" ca="1" si="795"/>
        <v>0</v>
      </c>
      <c r="CQ75" s="262">
        <f t="shared" ca="1" si="796"/>
        <v>0</v>
      </c>
      <c r="CR75" s="259" t="e">
        <f t="shared" ca="1" si="797"/>
        <v>#DIV/0!</v>
      </c>
      <c r="CS75" s="32">
        <f t="shared" ca="1" si="798"/>
        <v>1.5999999999999999E-5</v>
      </c>
      <c r="CT75" s="31">
        <f t="shared" ref="CT75" si="1496">+MIN(mB,7)</f>
        <v>7</v>
      </c>
      <c r="CV75" s="13">
        <v>63</v>
      </c>
      <c r="CW75" s="477">
        <f t="shared" ca="1" si="800"/>
        <v>480</v>
      </c>
      <c r="CX75" s="477" t="e">
        <f t="shared" ca="1" si="801"/>
        <v>#DIV/0!</v>
      </c>
      <c r="CY75" s="477">
        <f t="shared" ca="1" si="802"/>
        <v>0</v>
      </c>
      <c r="CZ75" s="478">
        <f t="shared" ca="1" si="98"/>
        <v>0</v>
      </c>
    </row>
    <row r="76" spans="14:104">
      <c r="N76" s="5">
        <f t="shared" si="99"/>
        <v>64</v>
      </c>
      <c r="O76" s="2">
        <f t="shared" ref="O76" ca="1" si="1497">+(1+iB)^-N76</f>
        <v>0.24073970971638561</v>
      </c>
      <c r="P76" s="2">
        <f t="shared" ref="P76" ca="1" si="1498">+(1+iB)^-(N76+0.5)</f>
        <v>0.23807625051749462</v>
      </c>
      <c r="Q76" s="91"/>
      <c r="R76" s="20">
        <f t="shared" si="102"/>
        <v>64</v>
      </c>
      <c r="S76" s="20" t="str">
        <f t="shared" ref="S76" si="1499">+IF(xB+R76&lt;=xB+nB,xB+R76,"")</f>
        <v/>
      </c>
      <c r="T76" s="2">
        <f t="shared" ref="T76:U76" ca="1" si="1500">IFERROR(VLOOKUP($S76,qx_table,MATCH(T$11,qx_title,0)+sexB),0)</f>
        <v>0</v>
      </c>
      <c r="U76" s="2">
        <f t="shared" ca="1" si="1500"/>
        <v>0</v>
      </c>
      <c r="V76" s="300">
        <v>0</v>
      </c>
      <c r="W76" s="8">
        <f t="shared" ref="W76" si="1501">IF(R76=0,100000,IF(R76&gt;nB,0,W75*(1-X75)*(1-Y75)))</f>
        <v>0</v>
      </c>
      <c r="X76" s="10">
        <f t="shared" ref="X76:X124" ca="1" si="1502">1-IFERROR((1-YTSM*$T76)*(1-V76*(1-T76/2)/(1-T76)),0)</f>
        <v>0</v>
      </c>
      <c r="Y76" s="10">
        <f t="shared" ref="Y76:Y124" ca="1" si="1503">IFERROR(1-(1-YT50J*U76*(1-T76/2)/(1-T76))*(1-YTa*AL76*(1-T76/2)/(1-T76))*(1-YTb*AQ76*(1-T76/2)/(1-T76))*(1-YTc*AU76*(1-T76/2)/(1-T76)),0)</f>
        <v>0</v>
      </c>
      <c r="Z76" s="8">
        <f t="shared" ca="1" si="106"/>
        <v>0</v>
      </c>
      <c r="AA76" s="8">
        <f ca="1">+SUM(Z76:Z$124)</f>
        <v>0</v>
      </c>
      <c r="AB76" s="8">
        <f t="shared" ref="AB76:AB124" ca="1" si="1504">W76*X76*P76</f>
        <v>0</v>
      </c>
      <c r="AC76" s="209">
        <f ca="1">+SUM(AB76:AB$124)*SSSM</f>
        <v>0</v>
      </c>
      <c r="AD76" s="209">
        <f t="shared" ref="AD76" si="1505">IF(R76&gt;nB,0,AD75*(1-X75)*(1-Y75)*(1-AE75)*(1-AF75))</f>
        <v>0</v>
      </c>
      <c r="AE76" s="92">
        <f t="shared" ref="AE76:AE124" ca="1" si="1506">1-IFERROR((1-NT50J*U76*(1-T76/2)/(1-T76)),0)</f>
        <v>0</v>
      </c>
      <c r="AF76" s="92">
        <f t="shared" ref="AF76:AF124" ca="1" si="1507">IFERROR(1-(1-NTa*AL76*(1-T76/2)/(1-T76))*(1-NTb*AQ76*(1-T76/2)/(1-T76))*(1-NTc*AU76*(1-T76/2)/(1-T76)),0)</f>
        <v>0</v>
      </c>
      <c r="AG76" s="8">
        <f t="shared" ref="AG76:AG124" ca="1" si="1508">+AD76*$O76</f>
        <v>0</v>
      </c>
      <c r="AH76" s="5">
        <f ca="1">+SUM(AG76:AG$124)</f>
        <v>0</v>
      </c>
      <c r="AI76" s="70">
        <f t="shared" ref="AI76:AI124" ca="1" si="1509">AD76*AE76*P76</f>
        <v>0</v>
      </c>
      <c r="AJ76" s="208">
        <f ca="1">+SUM(AB76:AB$124)*SS50J</f>
        <v>0</v>
      </c>
      <c r="AK76" s="5">
        <f t="shared" ca="1" si="58"/>
        <v>99999.012970709329</v>
      </c>
      <c r="AL76" s="2">
        <f t="shared" ref="AL76" ca="1" si="1510">IFERROR(VLOOKUP($S76,qx_table,MATCH(AL$11,qx_title,0)+sexB),0)</f>
        <v>0</v>
      </c>
      <c r="AM76" s="131">
        <f t="shared" ca="1" si="109"/>
        <v>24073.733354493645</v>
      </c>
      <c r="AN76" s="129">
        <f t="shared" ref="AN76:AN107" ca="1" si="1511">AK76*AL76*(1-CHOOSE(JRB,1,0)*$V76/2)*$P76*IF(R76=0,MCa,1)</f>
        <v>0</v>
      </c>
      <c r="AO76" s="129">
        <f ca="1">SUM(AN76:AN$124)*SSa</f>
        <v>0</v>
      </c>
      <c r="AP76" s="70">
        <f t="shared" ca="1" si="60"/>
        <v>99999.012970709329</v>
      </c>
      <c r="AQ76" s="2">
        <f t="shared" ref="AQ76" ca="1" si="1512">IFERROR(VLOOKUP($S76,qx_table,MATCH(AQ$11,qx_title,0)+sexB),0)</f>
        <v>0</v>
      </c>
      <c r="AR76" s="127">
        <f t="shared" ca="1" si="812"/>
        <v>0</v>
      </c>
      <c r="AS76" s="127">
        <f ca="1">SUM(AR76:AR$124)*SSb</f>
        <v>0</v>
      </c>
      <c r="AT76" s="70">
        <f t="shared" ca="1" si="63"/>
        <v>99999.012970709329</v>
      </c>
      <c r="AU76" s="2">
        <f t="shared" ref="AU76" ca="1" si="1513">IFERROR(VLOOKUP($S76,qx_table,MATCH(AU$11,qx_title,0)+sexB),0)</f>
        <v>0</v>
      </c>
      <c r="AV76" s="268">
        <f t="shared" ca="1" si="814"/>
        <v>0</v>
      </c>
      <c r="AW76" s="131">
        <f ca="1">SUM(AV76:AV$124)*SSc</f>
        <v>0</v>
      </c>
      <c r="AX76" s="70">
        <f t="shared" ca="1" si="66"/>
        <v>99999.012970709329</v>
      </c>
      <c r="AY76" s="2">
        <f t="shared" ref="AY76" ca="1" si="1514">IFERROR(VLOOKUP($S76,qx_table,MATCH(AY$11,qx_title,0)+sexB),0)</f>
        <v>0</v>
      </c>
      <c r="AZ76" s="268">
        <f t="shared" ca="1" si="816"/>
        <v>0</v>
      </c>
      <c r="BA76" s="129">
        <f ca="1">SUM(AZ76:AZ$124)*SSd</f>
        <v>0</v>
      </c>
      <c r="BB76" s="70">
        <f t="shared" ca="1" si="69"/>
        <v>99999.012970709329</v>
      </c>
      <c r="BC76" s="257">
        <f t="shared" ref="BC76" ca="1" si="1515">IFERROR(VLOOKUP($S76,qx_table,MATCH(BC$11,qx_title,0)+sexB),0)</f>
        <v>0</v>
      </c>
      <c r="BD76" s="268">
        <f t="shared" ca="1" si="818"/>
        <v>0</v>
      </c>
      <c r="BE76" s="131">
        <f ca="1">SUM(BD76:BD$124)*SSe</f>
        <v>0</v>
      </c>
      <c r="BF76" s="70">
        <f t="shared" ca="1" si="72"/>
        <v>99999.012970709329</v>
      </c>
      <c r="BG76" s="2">
        <f t="shared" ref="BG76" ca="1" si="1516">IFERROR(VLOOKUP($S76,qx_table,MATCH(BG$11,qx_title,0)+sexB),0)</f>
        <v>0</v>
      </c>
      <c r="BH76" s="131">
        <f t="shared" ca="1" si="820"/>
        <v>0</v>
      </c>
      <c r="BI76" s="2">
        <f ca="1">SUM(BH76:BH$124)*SSf</f>
        <v>0</v>
      </c>
      <c r="BJ76" s="70">
        <f t="shared" ca="1" si="75"/>
        <v>99999.012970709329</v>
      </c>
      <c r="BK76" s="2">
        <f t="shared" ref="BK76" ca="1" si="1517">IFERROR(VLOOKUP($S76,qx_table,MATCH(BK$11,qx_title,0)+sexB),0)</f>
        <v>0</v>
      </c>
      <c r="BL76" s="131">
        <f t="shared" ca="1" si="822"/>
        <v>0</v>
      </c>
      <c r="BM76" s="131">
        <f ca="1">SUM(BL76:BL$124)*SSg</f>
        <v>0</v>
      </c>
      <c r="BN76" s="70">
        <f t="shared" ca="1" si="78"/>
        <v>99999.012970709329</v>
      </c>
      <c r="BO76" s="2">
        <f t="shared" ref="BO76" ca="1" si="1518">IFERROR(VLOOKUP($S76,qx_table,MATCH(BO$11,qx_title,0)+sexB),0)</f>
        <v>0</v>
      </c>
      <c r="BP76" s="131">
        <f t="shared" ca="1" si="824"/>
        <v>0</v>
      </c>
      <c r="BQ76" s="131">
        <f ca="1">SUM(BP76:BP$124)*SSh</f>
        <v>0</v>
      </c>
      <c r="BR76" s="70">
        <f t="shared" ca="1" si="81"/>
        <v>99999.012970709329</v>
      </c>
      <c r="BS76" s="2">
        <f t="shared" ref="BS76" ca="1" si="1519">IFERROR(VLOOKUP($S76,qx_table,MATCH(BS$11,qx_title,0)+sexB),0)*IF(R76=0,MCi,1)</f>
        <v>0</v>
      </c>
      <c r="BT76" s="131">
        <f t="shared" ca="1" si="826"/>
        <v>0</v>
      </c>
      <c r="BU76" s="131">
        <f ca="1">SUM(BT76:BT$124)*SSi</f>
        <v>0</v>
      </c>
      <c r="BV76" s="70">
        <f t="shared" ca="1" si="84"/>
        <v>99999.012970709329</v>
      </c>
      <c r="BW76" s="2">
        <f t="shared" ref="BW76" ca="1" si="1520">IFERROR(VLOOKUP($S76,qx_table,MATCH(BW$11,qx_title,0)+sexB),0)</f>
        <v>0</v>
      </c>
      <c r="BX76" s="131">
        <f t="shared" ca="1" si="828"/>
        <v>0</v>
      </c>
      <c r="BY76" s="131">
        <f ca="1">SUM(BX76:BX$124)*SSj</f>
        <v>0</v>
      </c>
      <c r="BZ76" s="70">
        <f t="shared" ca="1" si="87"/>
        <v>99999.012970709329</v>
      </c>
      <c r="CA76" s="2">
        <f t="shared" ref="CA76" ca="1" si="1521">IFERROR(VLOOKUP($S76,qx_table,MATCH(CA$11,qx_title,0)+sexB),0)</f>
        <v>0</v>
      </c>
      <c r="CB76" s="131">
        <f t="shared" ca="1" si="830"/>
        <v>0</v>
      </c>
      <c r="CC76" s="131">
        <f ca="1">SUM(CB76:CB$124)*SSk</f>
        <v>0</v>
      </c>
      <c r="CD76" s="8">
        <f t="shared" ca="1" si="90"/>
        <v>99999.012970709329</v>
      </c>
      <c r="CE76" s="2">
        <f t="shared" ref="CE76" ca="1" si="1522">IFERROR(VLOOKUP($S76,qx_table,MATCH(CE$11,qx_title,0)+sexB),0)</f>
        <v>0</v>
      </c>
      <c r="CF76" s="131">
        <f t="shared" ca="1" si="832"/>
        <v>0</v>
      </c>
      <c r="CG76" s="131">
        <f ca="1">SUM(CF76:CF$124)*SSl</f>
        <v>0</v>
      </c>
      <c r="CH76" s="101">
        <f t="shared" ca="1" si="93"/>
        <v>0</v>
      </c>
      <c r="CI76" s="154">
        <f t="shared" ref="CI76:CI107" ca="1" si="1523">MAX((VLOOKUP(xB+R76,기수표B,$CH$1)-VLOOKUP(xB+nB,기수표B,$CH$1)),0)</f>
        <v>0</v>
      </c>
      <c r="CJ76" s="32">
        <f t="shared" ref="CJ76:CJ124" ca="1" si="1524">+MAX(VLOOKUP(xB+$R76,기수표B,$AH$1)-VLOOKUP(xB+mB,기수표B,$AH$1),0)</f>
        <v>0</v>
      </c>
      <c r="CK76" s="32">
        <f t="shared" ref="CK76" ca="1" si="1525">+MAX(VLOOKUP(xB+$R76,기수표B,$AH$1)-VLOOKUP(xB+mB,기수표B,$AH$1)-11/24*(VLOOKUP(xB+$R76,기수표B,$AG$1)-VLOOKUP(xB+mB,기수표B,$AG$1)),0)</f>
        <v>0</v>
      </c>
      <c r="CL76" s="32">
        <f t="shared" ref="CL76" ca="1" si="1526">+MAX(VLOOKUP(xB+$R76,기수표B,$AA$1)-VLOOKUP(xB+mB,기수표B,$AA$1),0)</f>
        <v>0</v>
      </c>
      <c r="CM76" s="32">
        <f t="shared" ref="CM76" ca="1" si="1527">+MAX(VLOOKUP(xB+$R76,기수표B,$AA$1)-VLOOKUP(xB+mB,기수표B,$AA$1)-11/24*(VLOOKUP(xB+$R76,기수표B,$AA$1)-VLOOKUP(xB+mB,기수표B,$AA$1)),0)</f>
        <v>0</v>
      </c>
      <c r="CN76" s="32">
        <f t="shared" ref="CN76:CN107" si="1528">IF(R76&gt;nB,0,VLOOKUP(xB+MAX($R76,mB),기수표B,$AA$1)-VLOOKUP(xB+nB,기수표B,$AA$1))</f>
        <v>0</v>
      </c>
      <c r="CO76" s="32">
        <f t="shared" ref="CO76:CO107" ca="1" si="1529">IF(JRB=1,mmB*L$25*$CK76,H$35*$CJ76)</f>
        <v>0</v>
      </c>
      <c r="CP76" s="32">
        <f t="shared" ref="CP76:CP107" ca="1" si="1530">ROUND(IF($R76&gt;nB,0,$CR76-MAX($CT76-$R76,0)/$CT76*$C$31),roundB)</f>
        <v>0</v>
      </c>
      <c r="CQ76" s="262">
        <f t="shared" ref="CQ76:CQ107" ca="1" si="1531">+IF(JRB=1,CP76,MAX(0,ROUND(IF($R76&gt;nB,0,CR76-MAX($CT76-$R76,0)/$CT76*$C$33),round)))</f>
        <v>0</v>
      </c>
      <c r="CR76" s="259" t="e">
        <f t="shared" ref="CR76:CR107" ca="1" si="1532">(CI76+BETAD_SB*$CN76-CO76)/Z76</f>
        <v>#DIV/0!</v>
      </c>
      <c r="CS76" s="32">
        <f t="shared" ref="CS76:CS107" ca="1" si="1533">+$H$29*mmB*MIN(R76,mB)</f>
        <v>1.5999999999999999E-5</v>
      </c>
      <c r="CT76" s="31">
        <f t="shared" ref="CT76" si="1534">+MIN(mB,7)</f>
        <v>7</v>
      </c>
      <c r="CV76" s="13">
        <v>64</v>
      </c>
      <c r="CW76" s="477">
        <f t="shared" ref="CW76:CW107" ca="1" si="1535">$CX$8*MIN(mB,CV76)</f>
        <v>480</v>
      </c>
      <c r="CX76" s="477" t="e">
        <f t="shared" ref="CX76:CX107" ca="1" si="1536">ROUND(CR76*S,0)</f>
        <v>#DIV/0!</v>
      </c>
      <c r="CY76" s="477">
        <f t="shared" ref="CY76:CY107" ca="1" si="1537">MAX(ROUND(CP76*S,0),0)</f>
        <v>0</v>
      </c>
      <c r="CZ76" s="478">
        <f t="shared" ca="1" si="98"/>
        <v>0</v>
      </c>
    </row>
    <row r="77" spans="14:104">
      <c r="N77" s="5">
        <f t="shared" si="99"/>
        <v>65</v>
      </c>
      <c r="O77" s="2">
        <f t="shared" ref="O77" ca="1" si="1538">+(1+iB)^-N77</f>
        <v>0.23544225889133066</v>
      </c>
      <c r="P77" s="2">
        <f t="shared" ref="P77" ca="1" si="1539">+(1+iB)^-(N77+0.5)</f>
        <v>0.2328374088190657</v>
      </c>
      <c r="Q77" s="91"/>
      <c r="R77" s="20">
        <f t="shared" si="102"/>
        <v>65</v>
      </c>
      <c r="S77" s="20" t="str">
        <f t="shared" ref="S77" si="1540">+IF(xB+R77&lt;=xB+nB,xB+R77,"")</f>
        <v/>
      </c>
      <c r="T77" s="2">
        <f t="shared" ref="T77:U77" ca="1" si="1541">IFERROR(VLOOKUP($S77,qx_table,MATCH(T$11,qx_title,0)+sexB),0)</f>
        <v>0</v>
      </c>
      <c r="U77" s="2">
        <f t="shared" ca="1" si="1541"/>
        <v>0</v>
      </c>
      <c r="V77" s="300">
        <v>0</v>
      </c>
      <c r="W77" s="8">
        <f t="shared" ref="W77" si="1542">IF(R77=0,100000,IF(R77&gt;nB,0,W76*(1-X76)*(1-Y76)))</f>
        <v>0</v>
      </c>
      <c r="X77" s="10">
        <f t="shared" ca="1" si="1502"/>
        <v>0</v>
      </c>
      <c r="Y77" s="10">
        <f t="shared" ca="1" si="1503"/>
        <v>0</v>
      </c>
      <c r="Z77" s="8">
        <f t="shared" ref="Z77:Z124" ca="1" si="1543">+W77*O77</f>
        <v>0</v>
      </c>
      <c r="AA77" s="8">
        <f ca="1">+SUM(Z77:Z$124)</f>
        <v>0</v>
      </c>
      <c r="AB77" s="8">
        <f t="shared" ca="1" si="1504"/>
        <v>0</v>
      </c>
      <c r="AC77" s="209">
        <f ca="1">+SUM(AB77:AB$124)*SSSM</f>
        <v>0</v>
      </c>
      <c r="AD77" s="209">
        <f t="shared" ref="AD77" si="1544">IF(R77&gt;nB,0,AD76*(1-X76)*(1-Y76)*(1-AE76)*(1-AF76))</f>
        <v>0</v>
      </c>
      <c r="AE77" s="92">
        <f t="shared" ca="1" si="1506"/>
        <v>0</v>
      </c>
      <c r="AF77" s="92">
        <f t="shared" ca="1" si="1507"/>
        <v>0</v>
      </c>
      <c r="AG77" s="8">
        <f t="shared" ca="1" si="1508"/>
        <v>0</v>
      </c>
      <c r="AH77" s="5">
        <f ca="1">+SUM(AG77:AG$124)</f>
        <v>0</v>
      </c>
      <c r="AI77" s="70">
        <f t="shared" ca="1" si="1509"/>
        <v>0</v>
      </c>
      <c r="AJ77" s="208">
        <f ca="1">+SUM(AB77:AB$124)*SS50J</f>
        <v>0</v>
      </c>
      <c r="AK77" s="5">
        <f t="shared" ref="AK77:AK124" ca="1" si="1545">IFERROR(AK76*(1-$X76)*(1-$Y76)*(1-BTa*AL76*(1-$T76/2)/(1-$T76)),0)</f>
        <v>99999.012970709329</v>
      </c>
      <c r="AL77" s="2">
        <f t="shared" ref="AL77" ca="1" si="1546">IFERROR(VLOOKUP($S77,qx_table,MATCH(AL$11,qx_title,0)+sexB),0)</f>
        <v>0</v>
      </c>
      <c r="AM77" s="131">
        <f t="shared" ref="AM77:AM125" ca="1" si="1547">AK77*O77</f>
        <v>23543.99350072728</v>
      </c>
      <c r="AN77" s="129">
        <f t="shared" ca="1" si="1511"/>
        <v>0</v>
      </c>
      <c r="AO77" s="129">
        <f ca="1">SUM(AN77:AN$124)*SSa</f>
        <v>0</v>
      </c>
      <c r="AP77" s="70">
        <f t="shared" ref="AP77:AP124" ca="1" si="1548">IFERROR(AP76*(1-$X76)*(1-$Y76)*(1-BTb*AQ76*(1-$T76/2)/(1-$T76)),0)</f>
        <v>99999.012970709329</v>
      </c>
      <c r="AQ77" s="2">
        <f t="shared" ref="AQ77" ca="1" si="1549">IFERROR(VLOOKUP($S77,qx_table,MATCH(AQ$11,qx_title,0)+sexB),0)</f>
        <v>0</v>
      </c>
      <c r="AR77" s="127">
        <f t="shared" ref="AR77:AR108" ca="1" si="1550">AP77*AQ77*(1-CHOOSE(JRB,1,0)*$V77/2)*$P77</f>
        <v>0</v>
      </c>
      <c r="AS77" s="127">
        <f ca="1">SUM(AR77:AR$124)*SSb</f>
        <v>0</v>
      </c>
      <c r="AT77" s="70">
        <f t="shared" ref="AT77:AT124" ca="1" si="1551">IFERROR(AT76*(1-$X76)*(1-$Y76)*(1-BTc*AU76*(1-$T76/2)/(1-$T76)),0)</f>
        <v>99999.012970709329</v>
      </c>
      <c r="AU77" s="2">
        <f t="shared" ref="AU77" ca="1" si="1552">IFERROR(VLOOKUP($S77,qx_table,MATCH(AU$11,qx_title,0)+sexB),0)</f>
        <v>0</v>
      </c>
      <c r="AV77" s="268">
        <f t="shared" ref="AV77:AV108" ca="1" si="1553">AT77*AU77*(1-CHOOSE(JRB,1,0)*$V77/2)*$P77</f>
        <v>0</v>
      </c>
      <c r="AW77" s="131">
        <f ca="1">SUM(AV77:AV$124)*SSc</f>
        <v>0</v>
      </c>
      <c r="AX77" s="70">
        <f t="shared" ref="AX77:AX124" ca="1" si="1554">IFERROR(AX76*(1-$X76)*(1-$Y76)*(1-BTd*AY76*(1-$T76/2)/(1-$T76)),0)</f>
        <v>99999.012970709329</v>
      </c>
      <c r="AY77" s="2">
        <f t="shared" ref="AY77" ca="1" si="1555">IFERROR(VLOOKUP($S77,qx_table,MATCH(AY$11,qx_title,0)+sexB),0)</f>
        <v>0</v>
      </c>
      <c r="AZ77" s="268">
        <f t="shared" ref="AZ77:AZ108" ca="1" si="1556">AX77*AY77*(1-CHOOSE(JRB,1,0)*$V77/2)*$P77</f>
        <v>0</v>
      </c>
      <c r="BA77" s="129">
        <f ca="1">SUM(AZ77:AZ$124)*SSd</f>
        <v>0</v>
      </c>
      <c r="BB77" s="70">
        <f t="shared" ref="BB77:BB124" ca="1" si="1557">IFERROR(BB76*(1-$X76)*(1-$Y76)*(1-BTe*BC76*(1-$T76/2)/(1-$T76)),0)</f>
        <v>99999.012970709329</v>
      </c>
      <c r="BC77" s="257">
        <f t="shared" ref="BC77" ca="1" si="1558">IFERROR(VLOOKUP($S77,qx_table,MATCH(BC$11,qx_title,0)+sexB),0)</f>
        <v>0</v>
      </c>
      <c r="BD77" s="268">
        <f t="shared" ref="BD77:BD108" ca="1" si="1559">BB77*BC77*(1-CHOOSE(JRB,1,0)*$V77/2)*$P77</f>
        <v>0</v>
      </c>
      <c r="BE77" s="131">
        <f ca="1">SUM(BD77:BD$124)*SSe</f>
        <v>0</v>
      </c>
      <c r="BF77" s="70">
        <f t="shared" ref="BF77:BF124" ca="1" si="1560">IFERROR(BF76*(1-$X76)*(1-$Y76)*(1-BTf*BG76*(1-$T76/2)/(1-$T76)),0)</f>
        <v>99999.012970709329</v>
      </c>
      <c r="BG77" s="2">
        <f t="shared" ref="BG77" ca="1" si="1561">IFERROR(VLOOKUP($S77,qx_table,MATCH(BG$11,qx_title,0)+sexB),0)</f>
        <v>0</v>
      </c>
      <c r="BH77" s="131">
        <f t="shared" ref="BH77:BH108" ca="1" si="1562">BF77*BG77*(1-CHOOSE(JRB,1,0)*$V77/2)*$P77</f>
        <v>0</v>
      </c>
      <c r="BI77" s="2">
        <f ca="1">SUM(BH77:BH$124)*SSf</f>
        <v>0</v>
      </c>
      <c r="BJ77" s="70">
        <f t="shared" ref="BJ77:BJ124" ca="1" si="1563">IFERROR(BJ76*(1-$X76)*(1-$Y76)*(1-BTg*BK76*(1-$T76/2)/(1-$T76)),0)</f>
        <v>99999.012970709329</v>
      </c>
      <c r="BK77" s="2">
        <f t="shared" ref="BK77" ca="1" si="1564">IFERROR(VLOOKUP($S77,qx_table,MATCH(BK$11,qx_title,0)+sexB),0)</f>
        <v>0</v>
      </c>
      <c r="BL77" s="131">
        <f t="shared" ref="BL77:BL108" ca="1" si="1565">BJ77*BK77*(1-CHOOSE(JRB,1,0)*$V77/2)*$P77</f>
        <v>0</v>
      </c>
      <c r="BM77" s="131">
        <f ca="1">SUM(BL77:BL$124)*SSg</f>
        <v>0</v>
      </c>
      <c r="BN77" s="70">
        <f t="shared" ref="BN77:BN124" ca="1" si="1566">IFERROR(BN76*(1-$X76)*(1-$Y76)*(1-BTh*BO76*(1-$T76/2)/(1-$T76)),0)</f>
        <v>99999.012970709329</v>
      </c>
      <c r="BO77" s="2">
        <f t="shared" ref="BO77" ca="1" si="1567">IFERROR(VLOOKUP($S77,qx_table,MATCH(BO$11,qx_title,0)+sexB),0)</f>
        <v>0</v>
      </c>
      <c r="BP77" s="131">
        <f t="shared" ref="BP77:BP108" ca="1" si="1568">BN77*BO77*(1-CHOOSE(JRB,1,0)*$V77/2)*$P77</f>
        <v>0</v>
      </c>
      <c r="BQ77" s="131">
        <f ca="1">SUM(BP77:BP$124)*SSh</f>
        <v>0</v>
      </c>
      <c r="BR77" s="70">
        <f t="shared" ref="BR77:BR124" ca="1" si="1569">IFERROR(BR76*(1-$X76)*(1-$Y76)*(1-BTi*BS76*(1-$T76/2)/(1-$T76)),0)</f>
        <v>99999.012970709329</v>
      </c>
      <c r="BS77" s="2">
        <f t="shared" ref="BS77" ca="1" si="1570">IFERROR(VLOOKUP($S77,qx_table,MATCH(BS$11,qx_title,0)+sexB),0)*IF(R77=0,MCi,1)</f>
        <v>0</v>
      </c>
      <c r="BT77" s="131">
        <f t="shared" ref="BT77:BT108" ca="1" si="1571">BR77*BS77*(1-CHOOSE(JRB,1,0)*$V77/2)*$P77</f>
        <v>0</v>
      </c>
      <c r="BU77" s="131">
        <f ca="1">SUM(BT77:BT$124)*SSi</f>
        <v>0</v>
      </c>
      <c r="BV77" s="70">
        <f t="shared" ref="BV77:BV124" ca="1" si="1572">IFERROR(BV76*(1-$X76)*(1-$Y76)*(1-BTj*BW76*(1-$T76/2)/(1-$T76)),0)</f>
        <v>99999.012970709329</v>
      </c>
      <c r="BW77" s="2">
        <f t="shared" ref="BW77" ca="1" si="1573">IFERROR(VLOOKUP($S77,qx_table,MATCH(BW$11,qx_title,0)+sexB),0)</f>
        <v>0</v>
      </c>
      <c r="BX77" s="131">
        <f t="shared" ref="BX77:BX108" ca="1" si="1574">BV77*BW77*(1-CHOOSE(JRB,1,0)*$V77/2)*$P77</f>
        <v>0</v>
      </c>
      <c r="BY77" s="131">
        <f ca="1">SUM(BX77:BX$124)*SSj</f>
        <v>0</v>
      </c>
      <c r="BZ77" s="70">
        <f t="shared" ref="BZ77:BZ124" ca="1" si="1575">IFERROR(BZ76*(1-$X76)*(1-$Y76)*(1-BTk*CA76*(1-$T76/2)/(1-$T76)),0)</f>
        <v>99999.012970709329</v>
      </c>
      <c r="CA77" s="2">
        <f t="shared" ref="CA77" ca="1" si="1576">IFERROR(VLOOKUP($S77,qx_table,MATCH(CA$11,qx_title,0)+sexB),0)</f>
        <v>0</v>
      </c>
      <c r="CB77" s="131">
        <f t="shared" ref="CB77:CB108" ca="1" si="1577">BZ77*CA77*(1-CHOOSE(JRB,1,0)*$V77/2)*$P77</f>
        <v>0</v>
      </c>
      <c r="CC77" s="131">
        <f ca="1">SUM(CB77:CB$124)*SSk</f>
        <v>0</v>
      </c>
      <c r="CD77" s="8">
        <f t="shared" ref="CD77:CD124" ca="1" si="1578">IFERROR(CD76*(1-$X76)*(1-$Y76)*(1-BTl*CE76*(1-$T76/2)/(1-$T76)),0)</f>
        <v>99999.012970709329</v>
      </c>
      <c r="CE77" s="2">
        <f t="shared" ref="CE77" ca="1" si="1579">IFERROR(VLOOKUP($S77,qx_table,MATCH(CE$11,qx_title,0)+sexB),0)</f>
        <v>0</v>
      </c>
      <c r="CF77" s="131">
        <f t="shared" ref="CF77:CF108" ca="1" si="1580">CD77*CE77*(1-CHOOSE(JRB,1,0)*$V77/2)*$P77</f>
        <v>0</v>
      </c>
      <c r="CG77" s="131">
        <f ca="1">SUM(CF77:CF$124)*SSl</f>
        <v>0</v>
      </c>
      <c r="CH77" s="101">
        <f t="shared" ref="CH77:CH124" ca="1" si="1581">AC77+AJ77+AO77+AS77+AW77+BA77+BE77+BI77+BM77+BQ77+BU77+BY77+CC77+CG77</f>
        <v>0</v>
      </c>
      <c r="CI77" s="154">
        <f t="shared" ca="1" si="1523"/>
        <v>0</v>
      </c>
      <c r="CJ77" s="32">
        <f t="shared" ca="1" si="1524"/>
        <v>0</v>
      </c>
      <c r="CK77" s="32">
        <f t="shared" ref="CK77" ca="1" si="1582">+MAX(VLOOKUP(xB+$R77,기수표B,$AH$1)-VLOOKUP(xB+mB,기수표B,$AH$1)-11/24*(VLOOKUP(xB+$R77,기수표B,$AG$1)-VLOOKUP(xB+mB,기수표B,$AG$1)),0)</f>
        <v>0</v>
      </c>
      <c r="CL77" s="32">
        <f t="shared" ref="CL77" ca="1" si="1583">+MAX(VLOOKUP(xB+$R77,기수표B,$AA$1)-VLOOKUP(xB+mB,기수표B,$AA$1),0)</f>
        <v>0</v>
      </c>
      <c r="CM77" s="32">
        <f t="shared" ref="CM77" ca="1" si="1584">+MAX(VLOOKUP(xB+$R77,기수표B,$AA$1)-VLOOKUP(xB+mB,기수표B,$AA$1)-11/24*(VLOOKUP(xB+$R77,기수표B,$AA$1)-VLOOKUP(xB+mB,기수표B,$AA$1)),0)</f>
        <v>0</v>
      </c>
      <c r="CN77" s="32">
        <f t="shared" si="1528"/>
        <v>0</v>
      </c>
      <c r="CO77" s="32">
        <f t="shared" ca="1" si="1529"/>
        <v>0</v>
      </c>
      <c r="CP77" s="32">
        <f t="shared" ca="1" si="1530"/>
        <v>0</v>
      </c>
      <c r="CQ77" s="262">
        <f t="shared" ca="1" si="1531"/>
        <v>0</v>
      </c>
      <c r="CR77" s="259" t="e">
        <f t="shared" ca="1" si="1532"/>
        <v>#DIV/0!</v>
      </c>
      <c r="CS77" s="32">
        <f t="shared" ca="1" si="1533"/>
        <v>1.5999999999999999E-5</v>
      </c>
      <c r="CT77" s="31">
        <f t="shared" ref="CT77" si="1585">+MIN(mB,7)</f>
        <v>7</v>
      </c>
      <c r="CV77" s="13">
        <v>65</v>
      </c>
      <c r="CW77" s="477">
        <f t="shared" ca="1" si="1535"/>
        <v>480</v>
      </c>
      <c r="CX77" s="477" t="e">
        <f t="shared" ca="1" si="1536"/>
        <v>#DIV/0!</v>
      </c>
      <c r="CY77" s="477">
        <f t="shared" ca="1" si="1537"/>
        <v>0</v>
      </c>
      <c r="CZ77" s="478">
        <f t="shared" ref="CZ77:CZ124" ca="1" si="1586">ROUNDDOWN(CY77/CW77,3)</f>
        <v>0</v>
      </c>
    </row>
    <row r="78" spans="14:104">
      <c r="N78" s="5">
        <f t="shared" ref="N78:N124" si="1587">+N77+1</f>
        <v>66</v>
      </c>
      <c r="O78" s="2">
        <f t="shared" ref="O78" ca="1" si="1588">+(1+iB)^-N78</f>
        <v>0.23026137788883197</v>
      </c>
      <c r="P78" s="2">
        <f t="shared" ref="P78" ca="1" si="1589">+(1+iB)^-(N78+0.5)</f>
        <v>0.22771384725580995</v>
      </c>
      <c r="Q78" s="91"/>
      <c r="R78" s="20">
        <f t="shared" ref="R78:R124" si="1590">R77+1</f>
        <v>66</v>
      </c>
      <c r="S78" s="20" t="str">
        <f t="shared" ref="S78" si="1591">+IF(xB+R78&lt;=xB+nB,xB+R78,"")</f>
        <v/>
      </c>
      <c r="T78" s="2">
        <f t="shared" ref="T78:U78" ca="1" si="1592">IFERROR(VLOOKUP($S78,qx_table,MATCH(T$11,qx_title,0)+sexB),0)</f>
        <v>0</v>
      </c>
      <c r="U78" s="2">
        <f t="shared" ca="1" si="1592"/>
        <v>0</v>
      </c>
      <c r="V78" s="300">
        <v>0</v>
      </c>
      <c r="W78" s="8">
        <f t="shared" ref="W78" si="1593">IF(R78=0,100000,IF(R78&gt;nB,0,W77*(1-X77)*(1-Y77)))</f>
        <v>0</v>
      </c>
      <c r="X78" s="10">
        <f t="shared" ca="1" si="1502"/>
        <v>0</v>
      </c>
      <c r="Y78" s="10">
        <f t="shared" ca="1" si="1503"/>
        <v>0</v>
      </c>
      <c r="Z78" s="8">
        <f t="shared" ca="1" si="1543"/>
        <v>0</v>
      </c>
      <c r="AA78" s="8">
        <f ca="1">+SUM(Z78:Z$124)</f>
        <v>0</v>
      </c>
      <c r="AB78" s="8">
        <f t="shared" ca="1" si="1504"/>
        <v>0</v>
      </c>
      <c r="AC78" s="209">
        <f ca="1">+SUM(AB78:AB$124)*SSSM</f>
        <v>0</v>
      </c>
      <c r="AD78" s="209">
        <f t="shared" ref="AD78" si="1594">IF(R78&gt;nB,0,AD77*(1-X77)*(1-Y77)*(1-AE77)*(1-AF77))</f>
        <v>0</v>
      </c>
      <c r="AE78" s="92">
        <f t="shared" ca="1" si="1506"/>
        <v>0</v>
      </c>
      <c r="AF78" s="92">
        <f t="shared" ca="1" si="1507"/>
        <v>0</v>
      </c>
      <c r="AG78" s="8">
        <f t="shared" ca="1" si="1508"/>
        <v>0</v>
      </c>
      <c r="AH78" s="5">
        <f ca="1">+SUM(AG78:AG$124)</f>
        <v>0</v>
      </c>
      <c r="AI78" s="70">
        <f t="shared" ca="1" si="1509"/>
        <v>0</v>
      </c>
      <c r="AJ78" s="208">
        <f ca="1">+SUM(AB78:AB$124)*SS50J</f>
        <v>0</v>
      </c>
      <c r="AK78" s="5">
        <f t="shared" ca="1" si="1545"/>
        <v>99999.012970709329</v>
      </c>
      <c r="AL78" s="2">
        <f t="shared" ref="AL78" ca="1" si="1595">IFERROR(VLOOKUP($S78,qx_table,MATCH(AL$11,qx_title,0)+sexB),0)</f>
        <v>0</v>
      </c>
      <c r="AM78" s="131">
        <f t="shared" ca="1" si="1547"/>
        <v>23025.91051415871</v>
      </c>
      <c r="AN78" s="129">
        <f t="shared" ca="1" si="1511"/>
        <v>0</v>
      </c>
      <c r="AO78" s="129">
        <f ca="1">SUM(AN78:AN$124)*SSa</f>
        <v>0</v>
      </c>
      <c r="AP78" s="70">
        <f t="shared" ca="1" si="1548"/>
        <v>99999.012970709329</v>
      </c>
      <c r="AQ78" s="2">
        <f t="shared" ref="AQ78" ca="1" si="1596">IFERROR(VLOOKUP($S78,qx_table,MATCH(AQ$11,qx_title,0)+sexB),0)</f>
        <v>0</v>
      </c>
      <c r="AR78" s="127">
        <f t="shared" ca="1" si="1550"/>
        <v>0</v>
      </c>
      <c r="AS78" s="127">
        <f ca="1">SUM(AR78:AR$124)*SSb</f>
        <v>0</v>
      </c>
      <c r="AT78" s="70">
        <f t="shared" ca="1" si="1551"/>
        <v>99999.012970709329</v>
      </c>
      <c r="AU78" s="2">
        <f t="shared" ref="AU78" ca="1" si="1597">IFERROR(VLOOKUP($S78,qx_table,MATCH(AU$11,qx_title,0)+sexB),0)</f>
        <v>0</v>
      </c>
      <c r="AV78" s="268">
        <f t="shared" ca="1" si="1553"/>
        <v>0</v>
      </c>
      <c r="AW78" s="131">
        <f ca="1">SUM(AV78:AV$124)*SSc</f>
        <v>0</v>
      </c>
      <c r="AX78" s="70">
        <f t="shared" ca="1" si="1554"/>
        <v>99999.012970709329</v>
      </c>
      <c r="AY78" s="2">
        <f t="shared" ref="AY78" ca="1" si="1598">IFERROR(VLOOKUP($S78,qx_table,MATCH(AY$11,qx_title,0)+sexB),0)</f>
        <v>0</v>
      </c>
      <c r="AZ78" s="268">
        <f t="shared" ca="1" si="1556"/>
        <v>0</v>
      </c>
      <c r="BA78" s="129">
        <f ca="1">SUM(AZ78:AZ$124)*SSd</f>
        <v>0</v>
      </c>
      <c r="BB78" s="70">
        <f t="shared" ca="1" si="1557"/>
        <v>99999.012970709329</v>
      </c>
      <c r="BC78" s="257">
        <f t="shared" ref="BC78" ca="1" si="1599">IFERROR(VLOOKUP($S78,qx_table,MATCH(BC$11,qx_title,0)+sexB),0)</f>
        <v>0</v>
      </c>
      <c r="BD78" s="268">
        <f t="shared" ca="1" si="1559"/>
        <v>0</v>
      </c>
      <c r="BE78" s="131">
        <f ca="1">SUM(BD78:BD$124)*SSe</f>
        <v>0</v>
      </c>
      <c r="BF78" s="70">
        <f t="shared" ca="1" si="1560"/>
        <v>99999.012970709329</v>
      </c>
      <c r="BG78" s="2">
        <f t="shared" ref="BG78" ca="1" si="1600">IFERROR(VLOOKUP($S78,qx_table,MATCH(BG$11,qx_title,0)+sexB),0)</f>
        <v>0</v>
      </c>
      <c r="BH78" s="131">
        <f t="shared" ca="1" si="1562"/>
        <v>0</v>
      </c>
      <c r="BI78" s="2">
        <f ca="1">SUM(BH78:BH$124)*SSf</f>
        <v>0</v>
      </c>
      <c r="BJ78" s="70">
        <f t="shared" ca="1" si="1563"/>
        <v>99999.012970709329</v>
      </c>
      <c r="BK78" s="2">
        <f t="shared" ref="BK78" ca="1" si="1601">IFERROR(VLOOKUP($S78,qx_table,MATCH(BK$11,qx_title,0)+sexB),0)</f>
        <v>0</v>
      </c>
      <c r="BL78" s="131">
        <f t="shared" ca="1" si="1565"/>
        <v>0</v>
      </c>
      <c r="BM78" s="131">
        <f ca="1">SUM(BL78:BL$124)*SSg</f>
        <v>0</v>
      </c>
      <c r="BN78" s="70">
        <f t="shared" ca="1" si="1566"/>
        <v>99999.012970709329</v>
      </c>
      <c r="BO78" s="2">
        <f t="shared" ref="BO78" ca="1" si="1602">IFERROR(VLOOKUP($S78,qx_table,MATCH(BO$11,qx_title,0)+sexB),0)</f>
        <v>0</v>
      </c>
      <c r="BP78" s="131">
        <f t="shared" ca="1" si="1568"/>
        <v>0</v>
      </c>
      <c r="BQ78" s="131">
        <f ca="1">SUM(BP78:BP$124)*SSh</f>
        <v>0</v>
      </c>
      <c r="BR78" s="70">
        <f t="shared" ca="1" si="1569"/>
        <v>99999.012970709329</v>
      </c>
      <c r="BS78" s="2">
        <f t="shared" ref="BS78" ca="1" si="1603">IFERROR(VLOOKUP($S78,qx_table,MATCH(BS$11,qx_title,0)+sexB),0)*IF(R78=0,MCi,1)</f>
        <v>0</v>
      </c>
      <c r="BT78" s="131">
        <f t="shared" ca="1" si="1571"/>
        <v>0</v>
      </c>
      <c r="BU78" s="131">
        <f ca="1">SUM(BT78:BT$124)*SSi</f>
        <v>0</v>
      </c>
      <c r="BV78" s="70">
        <f t="shared" ca="1" si="1572"/>
        <v>99999.012970709329</v>
      </c>
      <c r="BW78" s="2">
        <f t="shared" ref="BW78" ca="1" si="1604">IFERROR(VLOOKUP($S78,qx_table,MATCH(BW$11,qx_title,0)+sexB),0)</f>
        <v>0</v>
      </c>
      <c r="BX78" s="131">
        <f t="shared" ca="1" si="1574"/>
        <v>0</v>
      </c>
      <c r="BY78" s="131">
        <f ca="1">SUM(BX78:BX$124)*SSj</f>
        <v>0</v>
      </c>
      <c r="BZ78" s="70">
        <f t="shared" ca="1" si="1575"/>
        <v>99999.012970709329</v>
      </c>
      <c r="CA78" s="2">
        <f t="shared" ref="CA78" ca="1" si="1605">IFERROR(VLOOKUP($S78,qx_table,MATCH(CA$11,qx_title,0)+sexB),0)</f>
        <v>0</v>
      </c>
      <c r="CB78" s="131">
        <f t="shared" ca="1" si="1577"/>
        <v>0</v>
      </c>
      <c r="CC78" s="131">
        <f ca="1">SUM(CB78:CB$124)*SSk</f>
        <v>0</v>
      </c>
      <c r="CD78" s="8">
        <f t="shared" ca="1" si="1578"/>
        <v>99999.012970709329</v>
      </c>
      <c r="CE78" s="2">
        <f t="shared" ref="CE78" ca="1" si="1606">IFERROR(VLOOKUP($S78,qx_table,MATCH(CE$11,qx_title,0)+sexB),0)</f>
        <v>0</v>
      </c>
      <c r="CF78" s="131">
        <f t="shared" ca="1" si="1580"/>
        <v>0</v>
      </c>
      <c r="CG78" s="131">
        <f ca="1">SUM(CF78:CF$124)*SSl</f>
        <v>0</v>
      </c>
      <c r="CH78" s="101">
        <f t="shared" ca="1" si="1581"/>
        <v>0</v>
      </c>
      <c r="CI78" s="154">
        <f t="shared" ca="1" si="1523"/>
        <v>0</v>
      </c>
      <c r="CJ78" s="32">
        <f t="shared" ca="1" si="1524"/>
        <v>0</v>
      </c>
      <c r="CK78" s="32">
        <f t="shared" ref="CK78" ca="1" si="1607">+MAX(VLOOKUP(xB+$R78,기수표B,$AH$1)-VLOOKUP(xB+mB,기수표B,$AH$1)-11/24*(VLOOKUP(xB+$R78,기수표B,$AG$1)-VLOOKUP(xB+mB,기수표B,$AG$1)),0)</f>
        <v>0</v>
      </c>
      <c r="CL78" s="32">
        <f t="shared" ref="CL78" ca="1" si="1608">+MAX(VLOOKUP(xB+$R78,기수표B,$AA$1)-VLOOKUP(xB+mB,기수표B,$AA$1),0)</f>
        <v>0</v>
      </c>
      <c r="CM78" s="32">
        <f t="shared" ref="CM78" ca="1" si="1609">+MAX(VLOOKUP(xB+$R78,기수표B,$AA$1)-VLOOKUP(xB+mB,기수표B,$AA$1)-11/24*(VLOOKUP(xB+$R78,기수표B,$AA$1)-VLOOKUP(xB+mB,기수표B,$AA$1)),0)</f>
        <v>0</v>
      </c>
      <c r="CN78" s="32">
        <f t="shared" si="1528"/>
        <v>0</v>
      </c>
      <c r="CO78" s="32">
        <f t="shared" ca="1" si="1529"/>
        <v>0</v>
      </c>
      <c r="CP78" s="32">
        <f t="shared" ca="1" si="1530"/>
        <v>0</v>
      </c>
      <c r="CQ78" s="262">
        <f t="shared" ca="1" si="1531"/>
        <v>0</v>
      </c>
      <c r="CR78" s="259" t="e">
        <f t="shared" ca="1" si="1532"/>
        <v>#DIV/0!</v>
      </c>
      <c r="CS78" s="32">
        <f t="shared" ca="1" si="1533"/>
        <v>1.5999999999999999E-5</v>
      </c>
      <c r="CT78" s="31">
        <f t="shared" ref="CT78" si="1610">+MIN(mB,7)</f>
        <v>7</v>
      </c>
      <c r="CV78" s="13">
        <v>66</v>
      </c>
      <c r="CW78" s="477">
        <f t="shared" ca="1" si="1535"/>
        <v>480</v>
      </c>
      <c r="CX78" s="477" t="e">
        <f t="shared" ca="1" si="1536"/>
        <v>#DIV/0!</v>
      </c>
      <c r="CY78" s="477">
        <f t="shared" ca="1" si="1537"/>
        <v>0</v>
      </c>
      <c r="CZ78" s="478">
        <f t="shared" ca="1" si="1586"/>
        <v>0</v>
      </c>
    </row>
    <row r="79" spans="14:104">
      <c r="N79" s="5">
        <f t="shared" si="1587"/>
        <v>67</v>
      </c>
      <c r="O79" s="2">
        <f t="shared" ref="O79" ca="1" si="1611">+(1+iB)^-N79</f>
        <v>0.22519450160276969</v>
      </c>
      <c r="P79" s="2">
        <f t="shared" ref="P79" ca="1" si="1612">+(1+iB)^-(N79+0.5)</f>
        <v>0.22270302910103662</v>
      </c>
      <c r="Q79" s="91"/>
      <c r="R79" s="20">
        <f t="shared" si="1590"/>
        <v>67</v>
      </c>
      <c r="S79" s="20" t="str">
        <f t="shared" ref="S79" si="1613">+IF(xB+R79&lt;=xB+nB,xB+R79,"")</f>
        <v/>
      </c>
      <c r="T79" s="2">
        <f t="shared" ref="T79:U79" ca="1" si="1614">IFERROR(VLOOKUP($S79,qx_table,MATCH(T$11,qx_title,0)+sexB),0)</f>
        <v>0</v>
      </c>
      <c r="U79" s="2">
        <f t="shared" ca="1" si="1614"/>
        <v>0</v>
      </c>
      <c r="V79" s="300">
        <v>0</v>
      </c>
      <c r="W79" s="8">
        <f t="shared" ref="W79" si="1615">IF(R79=0,100000,IF(R79&gt;nB,0,W78*(1-X78)*(1-Y78)))</f>
        <v>0</v>
      </c>
      <c r="X79" s="10">
        <f t="shared" ca="1" si="1502"/>
        <v>0</v>
      </c>
      <c r="Y79" s="10">
        <f t="shared" ca="1" si="1503"/>
        <v>0</v>
      </c>
      <c r="Z79" s="8">
        <f t="shared" ca="1" si="1543"/>
        <v>0</v>
      </c>
      <c r="AA79" s="8">
        <f ca="1">+SUM(Z79:Z$124)</f>
        <v>0</v>
      </c>
      <c r="AB79" s="8">
        <f t="shared" ca="1" si="1504"/>
        <v>0</v>
      </c>
      <c r="AC79" s="209">
        <f ca="1">+SUM(AB79:AB$124)*SSSM</f>
        <v>0</v>
      </c>
      <c r="AD79" s="209">
        <f t="shared" ref="AD79" si="1616">IF(R79&gt;nB,0,AD78*(1-X78)*(1-Y78)*(1-AE78)*(1-AF78))</f>
        <v>0</v>
      </c>
      <c r="AE79" s="92">
        <f t="shared" ca="1" si="1506"/>
        <v>0</v>
      </c>
      <c r="AF79" s="92">
        <f t="shared" ca="1" si="1507"/>
        <v>0</v>
      </c>
      <c r="AG79" s="8">
        <f t="shared" ca="1" si="1508"/>
        <v>0</v>
      </c>
      <c r="AH79" s="5">
        <f ca="1">+SUM(AG79:AG$124)</f>
        <v>0</v>
      </c>
      <c r="AI79" s="70">
        <f t="shared" ca="1" si="1509"/>
        <v>0</v>
      </c>
      <c r="AJ79" s="208">
        <f ca="1">+SUM(AB79:AB$124)*SS50J</f>
        <v>0</v>
      </c>
      <c r="AK79" s="5">
        <f t="shared" ca="1" si="1545"/>
        <v>99999.012970709329</v>
      </c>
      <c r="AL79" s="2">
        <f t="shared" ref="AL79" ca="1" si="1617">IFERROR(VLOOKUP($S79,qx_table,MATCH(AL$11,qx_title,0)+sexB),0)</f>
        <v>0</v>
      </c>
      <c r="AM79" s="131">
        <f t="shared" ca="1" si="1547"/>
        <v>22519.227886707788</v>
      </c>
      <c r="AN79" s="129">
        <f t="shared" ca="1" si="1511"/>
        <v>0</v>
      </c>
      <c r="AO79" s="129">
        <f ca="1">SUM(AN79:AN$124)*SSa</f>
        <v>0</v>
      </c>
      <c r="AP79" s="70">
        <f t="shared" ca="1" si="1548"/>
        <v>99999.012970709329</v>
      </c>
      <c r="AQ79" s="2">
        <f t="shared" ref="AQ79" ca="1" si="1618">IFERROR(VLOOKUP($S79,qx_table,MATCH(AQ$11,qx_title,0)+sexB),0)</f>
        <v>0</v>
      </c>
      <c r="AR79" s="127">
        <f t="shared" ca="1" si="1550"/>
        <v>0</v>
      </c>
      <c r="AS79" s="127">
        <f ca="1">SUM(AR79:AR$124)*SSb</f>
        <v>0</v>
      </c>
      <c r="AT79" s="70">
        <f t="shared" ca="1" si="1551"/>
        <v>99999.012970709329</v>
      </c>
      <c r="AU79" s="2">
        <f t="shared" ref="AU79" ca="1" si="1619">IFERROR(VLOOKUP($S79,qx_table,MATCH(AU$11,qx_title,0)+sexB),0)</f>
        <v>0</v>
      </c>
      <c r="AV79" s="268">
        <f t="shared" ca="1" si="1553"/>
        <v>0</v>
      </c>
      <c r="AW79" s="131">
        <f ca="1">SUM(AV79:AV$124)*SSc</f>
        <v>0</v>
      </c>
      <c r="AX79" s="70">
        <f t="shared" ca="1" si="1554"/>
        <v>99999.012970709329</v>
      </c>
      <c r="AY79" s="2">
        <f t="shared" ref="AY79" ca="1" si="1620">IFERROR(VLOOKUP($S79,qx_table,MATCH(AY$11,qx_title,0)+sexB),0)</f>
        <v>0</v>
      </c>
      <c r="AZ79" s="268">
        <f t="shared" ca="1" si="1556"/>
        <v>0</v>
      </c>
      <c r="BA79" s="129">
        <f ca="1">SUM(AZ79:AZ$124)*SSd</f>
        <v>0</v>
      </c>
      <c r="BB79" s="70">
        <f t="shared" ca="1" si="1557"/>
        <v>99999.012970709329</v>
      </c>
      <c r="BC79" s="257">
        <f t="shared" ref="BC79" ca="1" si="1621">IFERROR(VLOOKUP($S79,qx_table,MATCH(BC$11,qx_title,0)+sexB),0)</f>
        <v>0</v>
      </c>
      <c r="BD79" s="268">
        <f t="shared" ca="1" si="1559"/>
        <v>0</v>
      </c>
      <c r="BE79" s="131">
        <f ca="1">SUM(BD79:BD$124)*SSe</f>
        <v>0</v>
      </c>
      <c r="BF79" s="70">
        <f t="shared" ca="1" si="1560"/>
        <v>99999.012970709329</v>
      </c>
      <c r="BG79" s="2">
        <f t="shared" ref="BG79" ca="1" si="1622">IFERROR(VLOOKUP($S79,qx_table,MATCH(BG$11,qx_title,0)+sexB),0)</f>
        <v>0</v>
      </c>
      <c r="BH79" s="131">
        <f t="shared" ca="1" si="1562"/>
        <v>0</v>
      </c>
      <c r="BI79" s="2">
        <f ca="1">SUM(BH79:BH$124)*SSf</f>
        <v>0</v>
      </c>
      <c r="BJ79" s="70">
        <f t="shared" ca="1" si="1563"/>
        <v>99999.012970709329</v>
      </c>
      <c r="BK79" s="2">
        <f t="shared" ref="BK79" ca="1" si="1623">IFERROR(VLOOKUP($S79,qx_table,MATCH(BK$11,qx_title,0)+sexB),0)</f>
        <v>0</v>
      </c>
      <c r="BL79" s="131">
        <f t="shared" ca="1" si="1565"/>
        <v>0</v>
      </c>
      <c r="BM79" s="131">
        <f ca="1">SUM(BL79:BL$124)*SSg</f>
        <v>0</v>
      </c>
      <c r="BN79" s="70">
        <f t="shared" ca="1" si="1566"/>
        <v>99999.012970709329</v>
      </c>
      <c r="BO79" s="2">
        <f t="shared" ref="BO79" ca="1" si="1624">IFERROR(VLOOKUP($S79,qx_table,MATCH(BO$11,qx_title,0)+sexB),0)</f>
        <v>0</v>
      </c>
      <c r="BP79" s="131">
        <f t="shared" ca="1" si="1568"/>
        <v>0</v>
      </c>
      <c r="BQ79" s="131">
        <f ca="1">SUM(BP79:BP$124)*SSh</f>
        <v>0</v>
      </c>
      <c r="BR79" s="70">
        <f t="shared" ca="1" si="1569"/>
        <v>99999.012970709329</v>
      </c>
      <c r="BS79" s="2">
        <f t="shared" ref="BS79" ca="1" si="1625">IFERROR(VLOOKUP($S79,qx_table,MATCH(BS$11,qx_title,0)+sexB),0)*IF(R79=0,MCi,1)</f>
        <v>0</v>
      </c>
      <c r="BT79" s="131">
        <f t="shared" ca="1" si="1571"/>
        <v>0</v>
      </c>
      <c r="BU79" s="131">
        <f ca="1">SUM(BT79:BT$124)*SSi</f>
        <v>0</v>
      </c>
      <c r="BV79" s="70">
        <f t="shared" ca="1" si="1572"/>
        <v>99999.012970709329</v>
      </c>
      <c r="BW79" s="2">
        <f t="shared" ref="BW79" ca="1" si="1626">IFERROR(VLOOKUP($S79,qx_table,MATCH(BW$11,qx_title,0)+sexB),0)</f>
        <v>0</v>
      </c>
      <c r="BX79" s="131">
        <f t="shared" ca="1" si="1574"/>
        <v>0</v>
      </c>
      <c r="BY79" s="131">
        <f ca="1">SUM(BX79:BX$124)*SSj</f>
        <v>0</v>
      </c>
      <c r="BZ79" s="70">
        <f t="shared" ca="1" si="1575"/>
        <v>99999.012970709329</v>
      </c>
      <c r="CA79" s="2">
        <f t="shared" ref="CA79" ca="1" si="1627">IFERROR(VLOOKUP($S79,qx_table,MATCH(CA$11,qx_title,0)+sexB),0)</f>
        <v>0</v>
      </c>
      <c r="CB79" s="131">
        <f t="shared" ca="1" si="1577"/>
        <v>0</v>
      </c>
      <c r="CC79" s="131">
        <f ca="1">SUM(CB79:CB$124)*SSk</f>
        <v>0</v>
      </c>
      <c r="CD79" s="8">
        <f t="shared" ca="1" si="1578"/>
        <v>99999.012970709329</v>
      </c>
      <c r="CE79" s="2">
        <f t="shared" ref="CE79" ca="1" si="1628">IFERROR(VLOOKUP($S79,qx_table,MATCH(CE$11,qx_title,0)+sexB),0)</f>
        <v>0</v>
      </c>
      <c r="CF79" s="131">
        <f t="shared" ca="1" si="1580"/>
        <v>0</v>
      </c>
      <c r="CG79" s="131">
        <f ca="1">SUM(CF79:CF$124)*SSl</f>
        <v>0</v>
      </c>
      <c r="CH79" s="101">
        <f t="shared" ca="1" si="1581"/>
        <v>0</v>
      </c>
      <c r="CI79" s="154">
        <f t="shared" ca="1" si="1523"/>
        <v>0</v>
      </c>
      <c r="CJ79" s="32">
        <f t="shared" ca="1" si="1524"/>
        <v>0</v>
      </c>
      <c r="CK79" s="32">
        <f t="shared" ref="CK79" ca="1" si="1629">+MAX(VLOOKUP(xB+$R79,기수표B,$AH$1)-VLOOKUP(xB+mB,기수표B,$AH$1)-11/24*(VLOOKUP(xB+$R79,기수표B,$AG$1)-VLOOKUP(xB+mB,기수표B,$AG$1)),0)</f>
        <v>0</v>
      </c>
      <c r="CL79" s="32">
        <f t="shared" ref="CL79" ca="1" si="1630">+MAX(VLOOKUP(xB+$R79,기수표B,$AA$1)-VLOOKUP(xB+mB,기수표B,$AA$1),0)</f>
        <v>0</v>
      </c>
      <c r="CM79" s="32">
        <f t="shared" ref="CM79" ca="1" si="1631">+MAX(VLOOKUP(xB+$R79,기수표B,$AA$1)-VLOOKUP(xB+mB,기수표B,$AA$1)-11/24*(VLOOKUP(xB+$R79,기수표B,$AA$1)-VLOOKUP(xB+mB,기수표B,$AA$1)),0)</f>
        <v>0</v>
      </c>
      <c r="CN79" s="32">
        <f t="shared" si="1528"/>
        <v>0</v>
      </c>
      <c r="CO79" s="32">
        <f t="shared" ca="1" si="1529"/>
        <v>0</v>
      </c>
      <c r="CP79" s="32">
        <f t="shared" ca="1" si="1530"/>
        <v>0</v>
      </c>
      <c r="CQ79" s="262">
        <f t="shared" ca="1" si="1531"/>
        <v>0</v>
      </c>
      <c r="CR79" s="259" t="e">
        <f t="shared" ca="1" si="1532"/>
        <v>#DIV/0!</v>
      </c>
      <c r="CS79" s="32">
        <f t="shared" ca="1" si="1533"/>
        <v>1.5999999999999999E-5</v>
      </c>
      <c r="CT79" s="31">
        <f t="shared" ref="CT79" si="1632">+MIN(mB,7)</f>
        <v>7</v>
      </c>
      <c r="CV79" s="13">
        <v>67</v>
      </c>
      <c r="CW79" s="477">
        <f t="shared" ca="1" si="1535"/>
        <v>480</v>
      </c>
      <c r="CX79" s="477" t="e">
        <f t="shared" ca="1" si="1536"/>
        <v>#DIV/0!</v>
      </c>
      <c r="CY79" s="477">
        <f t="shared" ca="1" si="1537"/>
        <v>0</v>
      </c>
      <c r="CZ79" s="478">
        <f t="shared" ca="1" si="1586"/>
        <v>0</v>
      </c>
    </row>
    <row r="80" spans="14:104">
      <c r="N80" s="5">
        <f t="shared" si="1587"/>
        <v>68</v>
      </c>
      <c r="O80" s="2">
        <f t="shared" ref="O80" ca="1" si="1633">+(1+iB)^-N80</f>
        <v>0.22023912137190188</v>
      </c>
      <c r="P80" s="2">
        <f t="shared" ref="P80" ca="1" si="1634">+(1+iB)^-(N80+0.5)</f>
        <v>0.21780247344844658</v>
      </c>
      <c r="Q80" s="91"/>
      <c r="R80" s="20">
        <f t="shared" si="1590"/>
        <v>68</v>
      </c>
      <c r="S80" s="20" t="str">
        <f t="shared" ref="S80" si="1635">+IF(xB+R80&lt;=xB+nB,xB+R80,"")</f>
        <v/>
      </c>
      <c r="T80" s="2">
        <f t="shared" ref="T80:U80" ca="1" si="1636">IFERROR(VLOOKUP($S80,qx_table,MATCH(T$11,qx_title,0)+sexB),0)</f>
        <v>0</v>
      </c>
      <c r="U80" s="2">
        <f t="shared" ca="1" si="1636"/>
        <v>0</v>
      </c>
      <c r="V80" s="300">
        <v>0</v>
      </c>
      <c r="W80" s="8">
        <f t="shared" ref="W80" si="1637">IF(R80=0,100000,IF(R80&gt;nB,0,W79*(1-X79)*(1-Y79)))</f>
        <v>0</v>
      </c>
      <c r="X80" s="10">
        <f t="shared" ca="1" si="1502"/>
        <v>0</v>
      </c>
      <c r="Y80" s="10">
        <f t="shared" ca="1" si="1503"/>
        <v>0</v>
      </c>
      <c r="Z80" s="8">
        <f t="shared" ca="1" si="1543"/>
        <v>0</v>
      </c>
      <c r="AA80" s="8">
        <f ca="1">+SUM(Z80:Z$124)</f>
        <v>0</v>
      </c>
      <c r="AB80" s="8">
        <f t="shared" ca="1" si="1504"/>
        <v>0</v>
      </c>
      <c r="AC80" s="209">
        <f ca="1">+SUM(AB80:AB$124)*SSSM</f>
        <v>0</v>
      </c>
      <c r="AD80" s="209">
        <f t="shared" ref="AD80" si="1638">IF(R80&gt;nB,0,AD79*(1-X79)*(1-Y79)*(1-AE79)*(1-AF79))</f>
        <v>0</v>
      </c>
      <c r="AE80" s="92">
        <f t="shared" ca="1" si="1506"/>
        <v>0</v>
      </c>
      <c r="AF80" s="92">
        <f t="shared" ca="1" si="1507"/>
        <v>0</v>
      </c>
      <c r="AG80" s="8">
        <f t="shared" ca="1" si="1508"/>
        <v>0</v>
      </c>
      <c r="AH80" s="5">
        <f ca="1">+SUM(AG80:AG$124)</f>
        <v>0</v>
      </c>
      <c r="AI80" s="70">
        <f t="shared" ca="1" si="1509"/>
        <v>0</v>
      </c>
      <c r="AJ80" s="208">
        <f ca="1">+SUM(AB80:AB$124)*SS50J</f>
        <v>0</v>
      </c>
      <c r="AK80" s="5">
        <f t="shared" ca="1" si="1545"/>
        <v>99999.012970709329</v>
      </c>
      <c r="AL80" s="2">
        <f t="shared" ref="AL80" ca="1" si="1639">IFERROR(VLOOKUP($S80,qx_table,MATCH(AL$11,qx_title,0)+sexB),0)</f>
        <v>0</v>
      </c>
      <c r="AM80" s="131">
        <f t="shared" ca="1" si="1547"/>
        <v>22023.694754726443</v>
      </c>
      <c r="AN80" s="129">
        <f t="shared" ca="1" si="1511"/>
        <v>0</v>
      </c>
      <c r="AO80" s="129">
        <f ca="1">SUM(AN80:AN$124)*SSa</f>
        <v>0</v>
      </c>
      <c r="AP80" s="70">
        <f t="shared" ca="1" si="1548"/>
        <v>99999.012970709329</v>
      </c>
      <c r="AQ80" s="2">
        <f t="shared" ref="AQ80" ca="1" si="1640">IFERROR(VLOOKUP($S80,qx_table,MATCH(AQ$11,qx_title,0)+sexB),0)</f>
        <v>0</v>
      </c>
      <c r="AR80" s="127">
        <f t="shared" ca="1" si="1550"/>
        <v>0</v>
      </c>
      <c r="AS80" s="127">
        <f ca="1">SUM(AR80:AR$124)*SSb</f>
        <v>0</v>
      </c>
      <c r="AT80" s="70">
        <f t="shared" ca="1" si="1551"/>
        <v>99999.012970709329</v>
      </c>
      <c r="AU80" s="2">
        <f t="shared" ref="AU80" ca="1" si="1641">IFERROR(VLOOKUP($S80,qx_table,MATCH(AU$11,qx_title,0)+sexB),0)</f>
        <v>0</v>
      </c>
      <c r="AV80" s="268">
        <f t="shared" ca="1" si="1553"/>
        <v>0</v>
      </c>
      <c r="AW80" s="131">
        <f ca="1">SUM(AV80:AV$124)*SSc</f>
        <v>0</v>
      </c>
      <c r="AX80" s="70">
        <f t="shared" ca="1" si="1554"/>
        <v>99999.012970709329</v>
      </c>
      <c r="AY80" s="2">
        <f t="shared" ref="AY80" ca="1" si="1642">IFERROR(VLOOKUP($S80,qx_table,MATCH(AY$11,qx_title,0)+sexB),0)</f>
        <v>0</v>
      </c>
      <c r="AZ80" s="268">
        <f t="shared" ca="1" si="1556"/>
        <v>0</v>
      </c>
      <c r="BA80" s="129">
        <f ca="1">SUM(AZ80:AZ$124)*SSd</f>
        <v>0</v>
      </c>
      <c r="BB80" s="70">
        <f t="shared" ca="1" si="1557"/>
        <v>99999.012970709329</v>
      </c>
      <c r="BC80" s="257">
        <f t="shared" ref="BC80" ca="1" si="1643">IFERROR(VLOOKUP($S80,qx_table,MATCH(BC$11,qx_title,0)+sexB),0)</f>
        <v>0</v>
      </c>
      <c r="BD80" s="268">
        <f t="shared" ca="1" si="1559"/>
        <v>0</v>
      </c>
      <c r="BE80" s="131">
        <f ca="1">SUM(BD80:BD$124)*SSe</f>
        <v>0</v>
      </c>
      <c r="BF80" s="70">
        <f t="shared" ca="1" si="1560"/>
        <v>99999.012970709329</v>
      </c>
      <c r="BG80" s="2">
        <f t="shared" ref="BG80" ca="1" si="1644">IFERROR(VLOOKUP($S80,qx_table,MATCH(BG$11,qx_title,0)+sexB),0)</f>
        <v>0</v>
      </c>
      <c r="BH80" s="131">
        <f t="shared" ca="1" si="1562"/>
        <v>0</v>
      </c>
      <c r="BI80" s="2">
        <f ca="1">SUM(BH80:BH$124)*SSf</f>
        <v>0</v>
      </c>
      <c r="BJ80" s="70">
        <f t="shared" ca="1" si="1563"/>
        <v>99999.012970709329</v>
      </c>
      <c r="BK80" s="2">
        <f t="shared" ref="BK80" ca="1" si="1645">IFERROR(VLOOKUP($S80,qx_table,MATCH(BK$11,qx_title,0)+sexB),0)</f>
        <v>0</v>
      </c>
      <c r="BL80" s="131">
        <f t="shared" ca="1" si="1565"/>
        <v>0</v>
      </c>
      <c r="BM80" s="131">
        <f ca="1">SUM(BL80:BL$124)*SSg</f>
        <v>0</v>
      </c>
      <c r="BN80" s="70">
        <f t="shared" ca="1" si="1566"/>
        <v>99999.012970709329</v>
      </c>
      <c r="BO80" s="2">
        <f t="shared" ref="BO80" ca="1" si="1646">IFERROR(VLOOKUP($S80,qx_table,MATCH(BO$11,qx_title,0)+sexB),0)</f>
        <v>0</v>
      </c>
      <c r="BP80" s="131">
        <f t="shared" ca="1" si="1568"/>
        <v>0</v>
      </c>
      <c r="BQ80" s="131">
        <f ca="1">SUM(BP80:BP$124)*SSh</f>
        <v>0</v>
      </c>
      <c r="BR80" s="70">
        <f t="shared" ca="1" si="1569"/>
        <v>99999.012970709329</v>
      </c>
      <c r="BS80" s="2">
        <f t="shared" ref="BS80" ca="1" si="1647">IFERROR(VLOOKUP($S80,qx_table,MATCH(BS$11,qx_title,0)+sexB),0)*IF(R80=0,MCi,1)</f>
        <v>0</v>
      </c>
      <c r="BT80" s="131">
        <f t="shared" ca="1" si="1571"/>
        <v>0</v>
      </c>
      <c r="BU80" s="131">
        <f ca="1">SUM(BT80:BT$124)*SSi</f>
        <v>0</v>
      </c>
      <c r="BV80" s="70">
        <f t="shared" ca="1" si="1572"/>
        <v>99999.012970709329</v>
      </c>
      <c r="BW80" s="2">
        <f t="shared" ref="BW80" ca="1" si="1648">IFERROR(VLOOKUP($S80,qx_table,MATCH(BW$11,qx_title,0)+sexB),0)</f>
        <v>0</v>
      </c>
      <c r="BX80" s="131">
        <f t="shared" ca="1" si="1574"/>
        <v>0</v>
      </c>
      <c r="BY80" s="131">
        <f ca="1">SUM(BX80:BX$124)*SSj</f>
        <v>0</v>
      </c>
      <c r="BZ80" s="70">
        <f t="shared" ca="1" si="1575"/>
        <v>99999.012970709329</v>
      </c>
      <c r="CA80" s="2">
        <f t="shared" ref="CA80" ca="1" si="1649">IFERROR(VLOOKUP($S80,qx_table,MATCH(CA$11,qx_title,0)+sexB),0)</f>
        <v>0</v>
      </c>
      <c r="CB80" s="131">
        <f t="shared" ca="1" si="1577"/>
        <v>0</v>
      </c>
      <c r="CC80" s="131">
        <f ca="1">SUM(CB80:CB$124)*SSk</f>
        <v>0</v>
      </c>
      <c r="CD80" s="8">
        <f t="shared" ca="1" si="1578"/>
        <v>99999.012970709329</v>
      </c>
      <c r="CE80" s="2">
        <f t="shared" ref="CE80" ca="1" si="1650">IFERROR(VLOOKUP($S80,qx_table,MATCH(CE$11,qx_title,0)+sexB),0)</f>
        <v>0</v>
      </c>
      <c r="CF80" s="131">
        <f t="shared" ca="1" si="1580"/>
        <v>0</v>
      </c>
      <c r="CG80" s="131">
        <f ca="1">SUM(CF80:CF$124)*SSl</f>
        <v>0</v>
      </c>
      <c r="CH80" s="101">
        <f t="shared" ca="1" si="1581"/>
        <v>0</v>
      </c>
      <c r="CI80" s="154">
        <f t="shared" ca="1" si="1523"/>
        <v>0</v>
      </c>
      <c r="CJ80" s="32">
        <f t="shared" ca="1" si="1524"/>
        <v>0</v>
      </c>
      <c r="CK80" s="32">
        <f t="shared" ref="CK80" ca="1" si="1651">+MAX(VLOOKUP(xB+$R80,기수표B,$AH$1)-VLOOKUP(xB+mB,기수표B,$AH$1)-11/24*(VLOOKUP(xB+$R80,기수표B,$AG$1)-VLOOKUP(xB+mB,기수표B,$AG$1)),0)</f>
        <v>0</v>
      </c>
      <c r="CL80" s="32">
        <f t="shared" ref="CL80" ca="1" si="1652">+MAX(VLOOKUP(xB+$R80,기수표B,$AA$1)-VLOOKUP(xB+mB,기수표B,$AA$1),0)</f>
        <v>0</v>
      </c>
      <c r="CM80" s="32">
        <f t="shared" ref="CM80" ca="1" si="1653">+MAX(VLOOKUP(xB+$R80,기수표B,$AA$1)-VLOOKUP(xB+mB,기수표B,$AA$1)-11/24*(VLOOKUP(xB+$R80,기수표B,$AA$1)-VLOOKUP(xB+mB,기수표B,$AA$1)),0)</f>
        <v>0</v>
      </c>
      <c r="CN80" s="32">
        <f t="shared" si="1528"/>
        <v>0</v>
      </c>
      <c r="CO80" s="32">
        <f t="shared" ca="1" si="1529"/>
        <v>0</v>
      </c>
      <c r="CP80" s="32">
        <f t="shared" ca="1" si="1530"/>
        <v>0</v>
      </c>
      <c r="CQ80" s="262">
        <f t="shared" ca="1" si="1531"/>
        <v>0</v>
      </c>
      <c r="CR80" s="259" t="e">
        <f t="shared" ca="1" si="1532"/>
        <v>#DIV/0!</v>
      </c>
      <c r="CS80" s="32">
        <f t="shared" ca="1" si="1533"/>
        <v>1.5999999999999999E-5</v>
      </c>
      <c r="CT80" s="31">
        <f t="shared" ref="CT80" si="1654">+MIN(mB,7)</f>
        <v>7</v>
      </c>
      <c r="CV80" s="13">
        <v>68</v>
      </c>
      <c r="CW80" s="477">
        <f t="shared" ca="1" si="1535"/>
        <v>480</v>
      </c>
      <c r="CX80" s="477" t="e">
        <f t="shared" ca="1" si="1536"/>
        <v>#DIV/0!</v>
      </c>
      <c r="CY80" s="477">
        <f t="shared" ca="1" si="1537"/>
        <v>0</v>
      </c>
      <c r="CZ80" s="478">
        <f t="shared" ca="1" si="1586"/>
        <v>0</v>
      </c>
    </row>
    <row r="81" spans="14:104">
      <c r="N81" s="5">
        <f t="shared" si="1587"/>
        <v>69</v>
      </c>
      <c r="O81" s="2">
        <f t="shared" ref="O81" ca="1" si="1655">+(1+iB)^-N81</f>
        <v>0.21539278373780135</v>
      </c>
      <c r="P81" s="2">
        <f t="shared" ref="P81" ca="1" si="1656">+(1+iB)^-(N81+0.5)</f>
        <v>0.21300975398381086</v>
      </c>
      <c r="Q81" s="91"/>
      <c r="R81" s="20">
        <f t="shared" si="1590"/>
        <v>69</v>
      </c>
      <c r="S81" s="20" t="str">
        <f t="shared" ref="S81" si="1657">+IF(xB+R81&lt;=xB+nB,xB+R81,"")</f>
        <v/>
      </c>
      <c r="T81" s="2">
        <f t="shared" ref="T81:U81" ca="1" si="1658">IFERROR(VLOOKUP($S81,qx_table,MATCH(T$11,qx_title,0)+sexB),0)</f>
        <v>0</v>
      </c>
      <c r="U81" s="2">
        <f t="shared" ca="1" si="1658"/>
        <v>0</v>
      </c>
      <c r="V81" s="300">
        <v>0</v>
      </c>
      <c r="W81" s="8">
        <f t="shared" ref="W81" si="1659">IF(R81=0,100000,IF(R81&gt;nB,0,W80*(1-X80)*(1-Y80)))</f>
        <v>0</v>
      </c>
      <c r="X81" s="10">
        <f t="shared" ca="1" si="1502"/>
        <v>0</v>
      </c>
      <c r="Y81" s="10">
        <f t="shared" ca="1" si="1503"/>
        <v>0</v>
      </c>
      <c r="Z81" s="8">
        <f t="shared" ca="1" si="1543"/>
        <v>0</v>
      </c>
      <c r="AA81" s="8">
        <f ca="1">+SUM(Z81:Z$124)</f>
        <v>0</v>
      </c>
      <c r="AB81" s="8">
        <f t="shared" ca="1" si="1504"/>
        <v>0</v>
      </c>
      <c r="AC81" s="209">
        <f ca="1">+SUM(AB81:AB$124)*SSSM</f>
        <v>0</v>
      </c>
      <c r="AD81" s="209">
        <f t="shared" ref="AD81" si="1660">IF(R81&gt;nB,0,AD80*(1-X80)*(1-Y80)*(1-AE80)*(1-AF80))</f>
        <v>0</v>
      </c>
      <c r="AE81" s="92">
        <f t="shared" ca="1" si="1506"/>
        <v>0</v>
      </c>
      <c r="AF81" s="92">
        <f t="shared" ca="1" si="1507"/>
        <v>0</v>
      </c>
      <c r="AG81" s="8">
        <f t="shared" ca="1" si="1508"/>
        <v>0</v>
      </c>
      <c r="AH81" s="5">
        <f ca="1">+SUM(AG81:AG$124)</f>
        <v>0</v>
      </c>
      <c r="AI81" s="70">
        <f t="shared" ca="1" si="1509"/>
        <v>0</v>
      </c>
      <c r="AJ81" s="208">
        <f ca="1">+SUM(AB81:AB$124)*SS50J</f>
        <v>0</v>
      </c>
      <c r="AK81" s="5">
        <f t="shared" ca="1" si="1545"/>
        <v>99999.012970709329</v>
      </c>
      <c r="AL81" s="2">
        <f t="shared" ref="AL81" ca="1" si="1661">IFERROR(VLOOKUP($S81,qx_table,MATCH(AL$11,qx_title,0)+sexB),0)</f>
        <v>0</v>
      </c>
      <c r="AM81" s="131">
        <f t="shared" ca="1" si="1547"/>
        <v>21539.065774793587</v>
      </c>
      <c r="AN81" s="129">
        <f t="shared" ca="1" si="1511"/>
        <v>0</v>
      </c>
      <c r="AO81" s="129">
        <f ca="1">SUM(AN81:AN$124)*SSa</f>
        <v>0</v>
      </c>
      <c r="AP81" s="70">
        <f t="shared" ca="1" si="1548"/>
        <v>99999.012970709329</v>
      </c>
      <c r="AQ81" s="2">
        <f t="shared" ref="AQ81" ca="1" si="1662">IFERROR(VLOOKUP($S81,qx_table,MATCH(AQ$11,qx_title,0)+sexB),0)</f>
        <v>0</v>
      </c>
      <c r="AR81" s="127">
        <f t="shared" ca="1" si="1550"/>
        <v>0</v>
      </c>
      <c r="AS81" s="127">
        <f ca="1">SUM(AR81:AR$124)*SSb</f>
        <v>0</v>
      </c>
      <c r="AT81" s="70">
        <f t="shared" ca="1" si="1551"/>
        <v>99999.012970709329</v>
      </c>
      <c r="AU81" s="2">
        <f t="shared" ref="AU81" ca="1" si="1663">IFERROR(VLOOKUP($S81,qx_table,MATCH(AU$11,qx_title,0)+sexB),0)</f>
        <v>0</v>
      </c>
      <c r="AV81" s="268">
        <f t="shared" ca="1" si="1553"/>
        <v>0</v>
      </c>
      <c r="AW81" s="131">
        <f ca="1">SUM(AV81:AV$124)*SSc</f>
        <v>0</v>
      </c>
      <c r="AX81" s="70">
        <f t="shared" ca="1" si="1554"/>
        <v>99999.012970709329</v>
      </c>
      <c r="AY81" s="2">
        <f t="shared" ref="AY81" ca="1" si="1664">IFERROR(VLOOKUP($S81,qx_table,MATCH(AY$11,qx_title,0)+sexB),0)</f>
        <v>0</v>
      </c>
      <c r="AZ81" s="268">
        <f t="shared" ca="1" si="1556"/>
        <v>0</v>
      </c>
      <c r="BA81" s="129">
        <f ca="1">SUM(AZ81:AZ$124)*SSd</f>
        <v>0</v>
      </c>
      <c r="BB81" s="70">
        <f t="shared" ca="1" si="1557"/>
        <v>99999.012970709329</v>
      </c>
      <c r="BC81" s="257">
        <f t="shared" ref="BC81" ca="1" si="1665">IFERROR(VLOOKUP($S81,qx_table,MATCH(BC$11,qx_title,0)+sexB),0)</f>
        <v>0</v>
      </c>
      <c r="BD81" s="268">
        <f t="shared" ca="1" si="1559"/>
        <v>0</v>
      </c>
      <c r="BE81" s="131">
        <f ca="1">SUM(BD81:BD$124)*SSe</f>
        <v>0</v>
      </c>
      <c r="BF81" s="70">
        <f t="shared" ca="1" si="1560"/>
        <v>99999.012970709329</v>
      </c>
      <c r="BG81" s="2">
        <f t="shared" ref="BG81" ca="1" si="1666">IFERROR(VLOOKUP($S81,qx_table,MATCH(BG$11,qx_title,0)+sexB),0)</f>
        <v>0</v>
      </c>
      <c r="BH81" s="131">
        <f t="shared" ca="1" si="1562"/>
        <v>0</v>
      </c>
      <c r="BI81" s="2">
        <f ca="1">SUM(BH81:BH$124)*SSf</f>
        <v>0</v>
      </c>
      <c r="BJ81" s="70">
        <f t="shared" ca="1" si="1563"/>
        <v>99999.012970709329</v>
      </c>
      <c r="BK81" s="2">
        <f t="shared" ref="BK81" ca="1" si="1667">IFERROR(VLOOKUP($S81,qx_table,MATCH(BK$11,qx_title,0)+sexB),0)</f>
        <v>0</v>
      </c>
      <c r="BL81" s="131">
        <f t="shared" ca="1" si="1565"/>
        <v>0</v>
      </c>
      <c r="BM81" s="131">
        <f ca="1">SUM(BL81:BL$124)*SSg</f>
        <v>0</v>
      </c>
      <c r="BN81" s="70">
        <f t="shared" ca="1" si="1566"/>
        <v>99999.012970709329</v>
      </c>
      <c r="BO81" s="2">
        <f t="shared" ref="BO81" ca="1" si="1668">IFERROR(VLOOKUP($S81,qx_table,MATCH(BO$11,qx_title,0)+sexB),0)</f>
        <v>0</v>
      </c>
      <c r="BP81" s="131">
        <f t="shared" ca="1" si="1568"/>
        <v>0</v>
      </c>
      <c r="BQ81" s="131">
        <f ca="1">SUM(BP81:BP$124)*SSh</f>
        <v>0</v>
      </c>
      <c r="BR81" s="70">
        <f t="shared" ca="1" si="1569"/>
        <v>99999.012970709329</v>
      </c>
      <c r="BS81" s="2">
        <f t="shared" ref="BS81" ca="1" si="1669">IFERROR(VLOOKUP($S81,qx_table,MATCH(BS$11,qx_title,0)+sexB),0)*IF(R81=0,MCi,1)</f>
        <v>0</v>
      </c>
      <c r="BT81" s="131">
        <f t="shared" ca="1" si="1571"/>
        <v>0</v>
      </c>
      <c r="BU81" s="131">
        <f ca="1">SUM(BT81:BT$124)*SSi</f>
        <v>0</v>
      </c>
      <c r="BV81" s="70">
        <f t="shared" ca="1" si="1572"/>
        <v>99999.012970709329</v>
      </c>
      <c r="BW81" s="2">
        <f t="shared" ref="BW81" ca="1" si="1670">IFERROR(VLOOKUP($S81,qx_table,MATCH(BW$11,qx_title,0)+sexB),0)</f>
        <v>0</v>
      </c>
      <c r="BX81" s="131">
        <f t="shared" ca="1" si="1574"/>
        <v>0</v>
      </c>
      <c r="BY81" s="131">
        <f ca="1">SUM(BX81:BX$124)*SSj</f>
        <v>0</v>
      </c>
      <c r="BZ81" s="70">
        <f t="shared" ca="1" si="1575"/>
        <v>99999.012970709329</v>
      </c>
      <c r="CA81" s="2">
        <f t="shared" ref="CA81" ca="1" si="1671">IFERROR(VLOOKUP($S81,qx_table,MATCH(CA$11,qx_title,0)+sexB),0)</f>
        <v>0</v>
      </c>
      <c r="CB81" s="131">
        <f t="shared" ca="1" si="1577"/>
        <v>0</v>
      </c>
      <c r="CC81" s="131">
        <f ca="1">SUM(CB81:CB$124)*SSk</f>
        <v>0</v>
      </c>
      <c r="CD81" s="8">
        <f t="shared" ca="1" si="1578"/>
        <v>99999.012970709329</v>
      </c>
      <c r="CE81" s="2">
        <f t="shared" ref="CE81" ca="1" si="1672">IFERROR(VLOOKUP($S81,qx_table,MATCH(CE$11,qx_title,0)+sexB),0)</f>
        <v>0</v>
      </c>
      <c r="CF81" s="131">
        <f t="shared" ca="1" si="1580"/>
        <v>0</v>
      </c>
      <c r="CG81" s="131">
        <f ca="1">SUM(CF81:CF$124)*SSl</f>
        <v>0</v>
      </c>
      <c r="CH81" s="101">
        <f t="shared" ca="1" si="1581"/>
        <v>0</v>
      </c>
      <c r="CI81" s="154">
        <f t="shared" ca="1" si="1523"/>
        <v>0</v>
      </c>
      <c r="CJ81" s="32">
        <f t="shared" ca="1" si="1524"/>
        <v>0</v>
      </c>
      <c r="CK81" s="32">
        <f t="shared" ref="CK81" ca="1" si="1673">+MAX(VLOOKUP(xB+$R81,기수표B,$AH$1)-VLOOKUP(xB+mB,기수표B,$AH$1)-11/24*(VLOOKUP(xB+$R81,기수표B,$AG$1)-VLOOKUP(xB+mB,기수표B,$AG$1)),0)</f>
        <v>0</v>
      </c>
      <c r="CL81" s="32">
        <f t="shared" ref="CL81" ca="1" si="1674">+MAX(VLOOKUP(xB+$R81,기수표B,$AA$1)-VLOOKUP(xB+mB,기수표B,$AA$1),0)</f>
        <v>0</v>
      </c>
      <c r="CM81" s="32">
        <f t="shared" ref="CM81" ca="1" si="1675">+MAX(VLOOKUP(xB+$R81,기수표B,$AA$1)-VLOOKUP(xB+mB,기수표B,$AA$1)-11/24*(VLOOKUP(xB+$R81,기수표B,$AA$1)-VLOOKUP(xB+mB,기수표B,$AA$1)),0)</f>
        <v>0</v>
      </c>
      <c r="CN81" s="32">
        <f t="shared" si="1528"/>
        <v>0</v>
      </c>
      <c r="CO81" s="32">
        <f t="shared" ca="1" si="1529"/>
        <v>0</v>
      </c>
      <c r="CP81" s="32">
        <f t="shared" ca="1" si="1530"/>
        <v>0</v>
      </c>
      <c r="CQ81" s="262">
        <f t="shared" ca="1" si="1531"/>
        <v>0</v>
      </c>
      <c r="CR81" s="259" t="e">
        <f t="shared" ca="1" si="1532"/>
        <v>#DIV/0!</v>
      </c>
      <c r="CS81" s="32">
        <f t="shared" ca="1" si="1533"/>
        <v>1.5999999999999999E-5</v>
      </c>
      <c r="CT81" s="31">
        <f t="shared" ref="CT81" si="1676">+MIN(mB,7)</f>
        <v>7</v>
      </c>
      <c r="CV81" s="13">
        <v>69</v>
      </c>
      <c r="CW81" s="477">
        <f t="shared" ca="1" si="1535"/>
        <v>480</v>
      </c>
      <c r="CX81" s="477" t="e">
        <f t="shared" ca="1" si="1536"/>
        <v>#DIV/0!</v>
      </c>
      <c r="CY81" s="477">
        <f t="shared" ca="1" si="1537"/>
        <v>0</v>
      </c>
      <c r="CZ81" s="478">
        <f t="shared" ca="1" si="1586"/>
        <v>0</v>
      </c>
    </row>
    <row r="82" spans="14:104">
      <c r="N82" s="5">
        <f t="shared" si="1587"/>
        <v>70</v>
      </c>
      <c r="O82" s="2">
        <f t="shared" ref="O82" ca="1" si="1677">+(1+iB)^-N82</f>
        <v>0.21065308923012357</v>
      </c>
      <c r="P82" s="2">
        <f t="shared" ref="P82" ca="1" si="1678">+(1+iB)^-(N82+0.5)</f>
        <v>0.20832249778367809</v>
      </c>
      <c r="Q82" s="91"/>
      <c r="R82" s="20">
        <f t="shared" si="1590"/>
        <v>70</v>
      </c>
      <c r="S82" s="20" t="str">
        <f t="shared" ref="S82" si="1679">+IF(xB+R82&lt;=xB+nB,xB+R82,"")</f>
        <v/>
      </c>
      <c r="T82" s="2">
        <f t="shared" ref="T82:U82" ca="1" si="1680">IFERROR(VLOOKUP($S82,qx_table,MATCH(T$11,qx_title,0)+sexB),0)</f>
        <v>0</v>
      </c>
      <c r="U82" s="2">
        <f t="shared" ca="1" si="1680"/>
        <v>0</v>
      </c>
      <c r="V82" s="300">
        <v>0</v>
      </c>
      <c r="W82" s="8">
        <f t="shared" ref="W82" si="1681">IF(R82=0,100000,IF(R82&gt;nB,0,W81*(1-X81)*(1-Y81)))</f>
        <v>0</v>
      </c>
      <c r="X82" s="10">
        <f t="shared" ca="1" si="1502"/>
        <v>0</v>
      </c>
      <c r="Y82" s="10">
        <f t="shared" ca="1" si="1503"/>
        <v>0</v>
      </c>
      <c r="Z82" s="8">
        <f t="shared" ca="1" si="1543"/>
        <v>0</v>
      </c>
      <c r="AA82" s="8">
        <f ca="1">+SUM(Z82:Z$124)</f>
        <v>0</v>
      </c>
      <c r="AB82" s="8">
        <f t="shared" ca="1" si="1504"/>
        <v>0</v>
      </c>
      <c r="AC82" s="209">
        <f ca="1">+SUM(AB82:AB$124)*SSSM</f>
        <v>0</v>
      </c>
      <c r="AD82" s="209">
        <f t="shared" ref="AD82" si="1682">IF(R82&gt;nB,0,AD81*(1-X81)*(1-Y81)*(1-AE81)*(1-AF81))</f>
        <v>0</v>
      </c>
      <c r="AE82" s="92">
        <f t="shared" ca="1" si="1506"/>
        <v>0</v>
      </c>
      <c r="AF82" s="92">
        <f t="shared" ca="1" si="1507"/>
        <v>0</v>
      </c>
      <c r="AG82" s="8">
        <f t="shared" ca="1" si="1508"/>
        <v>0</v>
      </c>
      <c r="AH82" s="5">
        <f ca="1">+SUM(AG82:AG$124)</f>
        <v>0</v>
      </c>
      <c r="AI82" s="70">
        <f t="shared" ca="1" si="1509"/>
        <v>0</v>
      </c>
      <c r="AJ82" s="208">
        <f ca="1">+SUM(AB82:AB$124)*SS50J</f>
        <v>0</v>
      </c>
      <c r="AK82" s="5">
        <f t="shared" ca="1" si="1545"/>
        <v>99999.012970709329</v>
      </c>
      <c r="AL82" s="2">
        <f t="shared" ref="AL82" ca="1" si="1683">IFERROR(VLOOKUP($S82,qx_table,MATCH(AL$11,qx_title,0)+sexB),0)</f>
        <v>0</v>
      </c>
      <c r="AM82" s="131">
        <f t="shared" ca="1" si="1547"/>
        <v>21065.101002243118</v>
      </c>
      <c r="AN82" s="129">
        <f t="shared" ca="1" si="1511"/>
        <v>0</v>
      </c>
      <c r="AO82" s="129">
        <f ca="1">SUM(AN82:AN$124)*SSa</f>
        <v>0</v>
      </c>
      <c r="AP82" s="70">
        <f t="shared" ca="1" si="1548"/>
        <v>99999.012970709329</v>
      </c>
      <c r="AQ82" s="2">
        <f t="shared" ref="AQ82" ca="1" si="1684">IFERROR(VLOOKUP($S82,qx_table,MATCH(AQ$11,qx_title,0)+sexB),0)</f>
        <v>0</v>
      </c>
      <c r="AR82" s="127">
        <f t="shared" ca="1" si="1550"/>
        <v>0</v>
      </c>
      <c r="AS82" s="127">
        <f ca="1">SUM(AR82:AR$124)*SSb</f>
        <v>0</v>
      </c>
      <c r="AT82" s="70">
        <f t="shared" ca="1" si="1551"/>
        <v>99999.012970709329</v>
      </c>
      <c r="AU82" s="2">
        <f t="shared" ref="AU82" ca="1" si="1685">IFERROR(VLOOKUP($S82,qx_table,MATCH(AU$11,qx_title,0)+sexB),0)</f>
        <v>0</v>
      </c>
      <c r="AV82" s="268">
        <f t="shared" ca="1" si="1553"/>
        <v>0</v>
      </c>
      <c r="AW82" s="131">
        <f ca="1">SUM(AV82:AV$124)*SSc</f>
        <v>0</v>
      </c>
      <c r="AX82" s="70">
        <f t="shared" ca="1" si="1554"/>
        <v>99999.012970709329</v>
      </c>
      <c r="AY82" s="2">
        <f t="shared" ref="AY82" ca="1" si="1686">IFERROR(VLOOKUP($S82,qx_table,MATCH(AY$11,qx_title,0)+sexB),0)</f>
        <v>0</v>
      </c>
      <c r="AZ82" s="268">
        <f t="shared" ca="1" si="1556"/>
        <v>0</v>
      </c>
      <c r="BA82" s="129">
        <f ca="1">SUM(AZ82:AZ$124)*SSd</f>
        <v>0</v>
      </c>
      <c r="BB82" s="70">
        <f t="shared" ca="1" si="1557"/>
        <v>99999.012970709329</v>
      </c>
      <c r="BC82" s="257">
        <f t="shared" ref="BC82" ca="1" si="1687">IFERROR(VLOOKUP($S82,qx_table,MATCH(BC$11,qx_title,0)+sexB),0)</f>
        <v>0</v>
      </c>
      <c r="BD82" s="268">
        <f t="shared" ca="1" si="1559"/>
        <v>0</v>
      </c>
      <c r="BE82" s="131">
        <f ca="1">SUM(BD82:BD$124)*SSe</f>
        <v>0</v>
      </c>
      <c r="BF82" s="70">
        <f t="shared" ca="1" si="1560"/>
        <v>99999.012970709329</v>
      </c>
      <c r="BG82" s="2">
        <f t="shared" ref="BG82" ca="1" si="1688">IFERROR(VLOOKUP($S82,qx_table,MATCH(BG$11,qx_title,0)+sexB),0)</f>
        <v>0</v>
      </c>
      <c r="BH82" s="131">
        <f t="shared" ca="1" si="1562"/>
        <v>0</v>
      </c>
      <c r="BI82" s="2">
        <f ca="1">SUM(BH82:BH$124)*SSf</f>
        <v>0</v>
      </c>
      <c r="BJ82" s="70">
        <f t="shared" ca="1" si="1563"/>
        <v>99999.012970709329</v>
      </c>
      <c r="BK82" s="2">
        <f t="shared" ref="BK82" ca="1" si="1689">IFERROR(VLOOKUP($S82,qx_table,MATCH(BK$11,qx_title,0)+sexB),0)</f>
        <v>0</v>
      </c>
      <c r="BL82" s="131">
        <f t="shared" ca="1" si="1565"/>
        <v>0</v>
      </c>
      <c r="BM82" s="131">
        <f ca="1">SUM(BL82:BL$124)*SSg</f>
        <v>0</v>
      </c>
      <c r="BN82" s="70">
        <f t="shared" ca="1" si="1566"/>
        <v>99999.012970709329</v>
      </c>
      <c r="BO82" s="2">
        <f t="shared" ref="BO82" ca="1" si="1690">IFERROR(VLOOKUP($S82,qx_table,MATCH(BO$11,qx_title,0)+sexB),0)</f>
        <v>0</v>
      </c>
      <c r="BP82" s="131">
        <f t="shared" ca="1" si="1568"/>
        <v>0</v>
      </c>
      <c r="BQ82" s="131">
        <f ca="1">SUM(BP82:BP$124)*SSh</f>
        <v>0</v>
      </c>
      <c r="BR82" s="70">
        <f t="shared" ca="1" si="1569"/>
        <v>99999.012970709329</v>
      </c>
      <c r="BS82" s="2">
        <f t="shared" ref="BS82" ca="1" si="1691">IFERROR(VLOOKUP($S82,qx_table,MATCH(BS$11,qx_title,0)+sexB),0)*IF(R82=0,MCi,1)</f>
        <v>0</v>
      </c>
      <c r="BT82" s="131">
        <f t="shared" ca="1" si="1571"/>
        <v>0</v>
      </c>
      <c r="BU82" s="131">
        <f ca="1">SUM(BT82:BT$124)*SSi</f>
        <v>0</v>
      </c>
      <c r="BV82" s="70">
        <f t="shared" ca="1" si="1572"/>
        <v>99999.012970709329</v>
      </c>
      <c r="BW82" s="2">
        <f t="shared" ref="BW82" ca="1" si="1692">IFERROR(VLOOKUP($S82,qx_table,MATCH(BW$11,qx_title,0)+sexB),0)</f>
        <v>0</v>
      </c>
      <c r="BX82" s="131">
        <f t="shared" ca="1" si="1574"/>
        <v>0</v>
      </c>
      <c r="BY82" s="131">
        <f ca="1">SUM(BX82:BX$124)*SSj</f>
        <v>0</v>
      </c>
      <c r="BZ82" s="70">
        <f t="shared" ca="1" si="1575"/>
        <v>99999.012970709329</v>
      </c>
      <c r="CA82" s="2">
        <f t="shared" ref="CA82" ca="1" si="1693">IFERROR(VLOOKUP($S82,qx_table,MATCH(CA$11,qx_title,0)+sexB),0)</f>
        <v>0</v>
      </c>
      <c r="CB82" s="131">
        <f t="shared" ca="1" si="1577"/>
        <v>0</v>
      </c>
      <c r="CC82" s="131">
        <f ca="1">SUM(CB82:CB$124)*SSk</f>
        <v>0</v>
      </c>
      <c r="CD82" s="8">
        <f t="shared" ca="1" si="1578"/>
        <v>99999.012970709329</v>
      </c>
      <c r="CE82" s="2">
        <f t="shared" ref="CE82" ca="1" si="1694">IFERROR(VLOOKUP($S82,qx_table,MATCH(CE$11,qx_title,0)+sexB),0)</f>
        <v>0</v>
      </c>
      <c r="CF82" s="131">
        <f t="shared" ca="1" si="1580"/>
        <v>0</v>
      </c>
      <c r="CG82" s="131">
        <f ca="1">SUM(CF82:CF$124)*SSl</f>
        <v>0</v>
      </c>
      <c r="CH82" s="101">
        <f t="shared" ca="1" si="1581"/>
        <v>0</v>
      </c>
      <c r="CI82" s="154">
        <f t="shared" ca="1" si="1523"/>
        <v>0</v>
      </c>
      <c r="CJ82" s="32">
        <f t="shared" ca="1" si="1524"/>
        <v>0</v>
      </c>
      <c r="CK82" s="32">
        <f t="shared" ref="CK82" ca="1" si="1695">+MAX(VLOOKUP(xB+$R82,기수표B,$AH$1)-VLOOKUP(xB+mB,기수표B,$AH$1)-11/24*(VLOOKUP(xB+$R82,기수표B,$AG$1)-VLOOKUP(xB+mB,기수표B,$AG$1)),0)</f>
        <v>0</v>
      </c>
      <c r="CL82" s="32">
        <f t="shared" ref="CL82" ca="1" si="1696">+MAX(VLOOKUP(xB+$R82,기수표B,$AA$1)-VLOOKUP(xB+mB,기수표B,$AA$1),0)</f>
        <v>0</v>
      </c>
      <c r="CM82" s="32">
        <f t="shared" ref="CM82" ca="1" si="1697">+MAX(VLOOKUP(xB+$R82,기수표B,$AA$1)-VLOOKUP(xB+mB,기수표B,$AA$1)-11/24*(VLOOKUP(xB+$R82,기수표B,$AA$1)-VLOOKUP(xB+mB,기수표B,$AA$1)),0)</f>
        <v>0</v>
      </c>
      <c r="CN82" s="32">
        <f t="shared" si="1528"/>
        <v>0</v>
      </c>
      <c r="CO82" s="32">
        <f t="shared" ca="1" si="1529"/>
        <v>0</v>
      </c>
      <c r="CP82" s="32">
        <f t="shared" ca="1" si="1530"/>
        <v>0</v>
      </c>
      <c r="CQ82" s="262">
        <f t="shared" ca="1" si="1531"/>
        <v>0</v>
      </c>
      <c r="CR82" s="259" t="e">
        <f t="shared" ca="1" si="1532"/>
        <v>#DIV/0!</v>
      </c>
      <c r="CS82" s="32">
        <f t="shared" ca="1" si="1533"/>
        <v>1.5999999999999999E-5</v>
      </c>
      <c r="CT82" s="31">
        <f t="shared" ref="CT82" si="1698">+MIN(mB,7)</f>
        <v>7</v>
      </c>
      <c r="CV82" s="13">
        <v>70</v>
      </c>
      <c r="CW82" s="477">
        <f t="shared" ca="1" si="1535"/>
        <v>480</v>
      </c>
      <c r="CX82" s="477" t="e">
        <f t="shared" ca="1" si="1536"/>
        <v>#DIV/0!</v>
      </c>
      <c r="CY82" s="477">
        <f t="shared" ca="1" si="1537"/>
        <v>0</v>
      </c>
      <c r="CZ82" s="478">
        <f t="shared" ca="1" si="1586"/>
        <v>0</v>
      </c>
    </row>
    <row r="83" spans="14:104">
      <c r="N83" s="5">
        <f t="shared" si="1587"/>
        <v>71</v>
      </c>
      <c r="O83" s="2">
        <f t="shared" ref="O83" ca="1" si="1699">+(1+iB)^-N83</f>
        <v>0.20601769117860499</v>
      </c>
      <c r="P83" s="2">
        <f t="shared" ref="P83" ca="1" si="1700">+(1+iB)^-(N83+0.5)</f>
        <v>0.20373838414051645</v>
      </c>
      <c r="Q83" s="91"/>
      <c r="R83" s="20">
        <f t="shared" si="1590"/>
        <v>71</v>
      </c>
      <c r="S83" s="20" t="str">
        <f t="shared" ref="S83" si="1701">+IF(xB+R83&lt;=xB+nB,xB+R83,"")</f>
        <v/>
      </c>
      <c r="T83" s="2">
        <f t="shared" ref="T83:U83" ca="1" si="1702">IFERROR(VLOOKUP($S83,qx_table,MATCH(T$11,qx_title,0)+sexB),0)</f>
        <v>0</v>
      </c>
      <c r="U83" s="2">
        <f t="shared" ca="1" si="1702"/>
        <v>0</v>
      </c>
      <c r="V83" s="300">
        <v>0</v>
      </c>
      <c r="W83" s="8">
        <f t="shared" ref="W83" si="1703">IF(R83=0,100000,IF(R83&gt;nB,0,W82*(1-X82)*(1-Y82)))</f>
        <v>0</v>
      </c>
      <c r="X83" s="10">
        <f t="shared" ca="1" si="1502"/>
        <v>0</v>
      </c>
      <c r="Y83" s="10">
        <f t="shared" ca="1" si="1503"/>
        <v>0</v>
      </c>
      <c r="Z83" s="5">
        <f t="shared" ca="1" si="1543"/>
        <v>0</v>
      </c>
      <c r="AA83" s="5">
        <f ca="1">+SUM(Z83:Z$124)</f>
        <v>0</v>
      </c>
      <c r="AB83" s="8">
        <f t="shared" ca="1" si="1504"/>
        <v>0</v>
      </c>
      <c r="AC83" s="209">
        <f ca="1">+SUM(AB83:AB$124)*SSSM</f>
        <v>0</v>
      </c>
      <c r="AD83" s="209">
        <f t="shared" ref="AD83" si="1704">IF(R83&gt;nB,0,AD82*(1-X82)*(1-Y82)*(1-AE82)*(1-AF82))</f>
        <v>0</v>
      </c>
      <c r="AE83" s="92">
        <f t="shared" ca="1" si="1506"/>
        <v>0</v>
      </c>
      <c r="AF83" s="92">
        <f t="shared" ca="1" si="1507"/>
        <v>0</v>
      </c>
      <c r="AG83" s="8">
        <f t="shared" ca="1" si="1508"/>
        <v>0</v>
      </c>
      <c r="AH83" s="5">
        <f ca="1">+SUM(AG83:AG$124)</f>
        <v>0</v>
      </c>
      <c r="AI83" s="70">
        <f t="shared" ca="1" si="1509"/>
        <v>0</v>
      </c>
      <c r="AJ83" s="208">
        <f ca="1">+SUM(AB83:AB$124)*SS50J</f>
        <v>0</v>
      </c>
      <c r="AK83" s="5">
        <f t="shared" ca="1" si="1545"/>
        <v>99999.012970709329</v>
      </c>
      <c r="AL83" s="2">
        <f t="shared" ref="AL83" ca="1" si="1705">IFERROR(VLOOKUP($S83,qx_table,MATCH(AL$11,qx_title,0)+sexB),0)</f>
        <v>0</v>
      </c>
      <c r="AM83" s="131">
        <f t="shared" ca="1" si="1547"/>
        <v>20601.565772364909</v>
      </c>
      <c r="AN83" s="129">
        <f t="shared" ca="1" si="1511"/>
        <v>0</v>
      </c>
      <c r="AO83" s="129">
        <f ca="1">SUM(AN83:AN$124)*SSa</f>
        <v>0</v>
      </c>
      <c r="AP83" s="70">
        <f t="shared" ca="1" si="1548"/>
        <v>99999.012970709329</v>
      </c>
      <c r="AQ83" s="2">
        <f t="shared" ref="AQ83" ca="1" si="1706">IFERROR(VLOOKUP($S83,qx_table,MATCH(AQ$11,qx_title,0)+sexB),0)</f>
        <v>0</v>
      </c>
      <c r="AR83" s="127">
        <f t="shared" ca="1" si="1550"/>
        <v>0</v>
      </c>
      <c r="AS83" s="127">
        <f ca="1">SUM(AR83:AR$124)*SSb</f>
        <v>0</v>
      </c>
      <c r="AT83" s="70">
        <f t="shared" ca="1" si="1551"/>
        <v>99999.012970709329</v>
      </c>
      <c r="AU83" s="2">
        <f t="shared" ref="AU83" ca="1" si="1707">IFERROR(VLOOKUP($S83,qx_table,MATCH(AU$11,qx_title,0)+sexB),0)</f>
        <v>0</v>
      </c>
      <c r="AV83" s="268">
        <f t="shared" ca="1" si="1553"/>
        <v>0</v>
      </c>
      <c r="AW83" s="131">
        <f ca="1">SUM(AV83:AV$124)*SSc</f>
        <v>0</v>
      </c>
      <c r="AX83" s="70">
        <f t="shared" ca="1" si="1554"/>
        <v>99999.012970709329</v>
      </c>
      <c r="AY83" s="2">
        <f t="shared" ref="AY83" ca="1" si="1708">IFERROR(VLOOKUP($S83,qx_table,MATCH(AY$11,qx_title,0)+sexB),0)</f>
        <v>0</v>
      </c>
      <c r="AZ83" s="268">
        <f t="shared" ca="1" si="1556"/>
        <v>0</v>
      </c>
      <c r="BA83" s="129">
        <f ca="1">SUM(AZ83:AZ$124)*SSd</f>
        <v>0</v>
      </c>
      <c r="BB83" s="70">
        <f t="shared" ca="1" si="1557"/>
        <v>99999.012970709329</v>
      </c>
      <c r="BC83" s="257">
        <f t="shared" ref="BC83" ca="1" si="1709">IFERROR(VLOOKUP($S83,qx_table,MATCH(BC$11,qx_title,0)+sexB),0)</f>
        <v>0</v>
      </c>
      <c r="BD83" s="268">
        <f t="shared" ca="1" si="1559"/>
        <v>0</v>
      </c>
      <c r="BE83" s="131">
        <f ca="1">SUM(BD83:BD$124)*SSe</f>
        <v>0</v>
      </c>
      <c r="BF83" s="70">
        <f t="shared" ca="1" si="1560"/>
        <v>99999.012970709329</v>
      </c>
      <c r="BG83" s="2">
        <f t="shared" ref="BG83" ca="1" si="1710">IFERROR(VLOOKUP($S83,qx_table,MATCH(BG$11,qx_title,0)+sexB),0)</f>
        <v>0</v>
      </c>
      <c r="BH83" s="131">
        <f t="shared" ca="1" si="1562"/>
        <v>0</v>
      </c>
      <c r="BI83" s="2">
        <f ca="1">SUM(BH83:BH$124)*SSf</f>
        <v>0</v>
      </c>
      <c r="BJ83" s="70">
        <f t="shared" ca="1" si="1563"/>
        <v>99999.012970709329</v>
      </c>
      <c r="BK83" s="2">
        <f t="shared" ref="BK83" ca="1" si="1711">IFERROR(VLOOKUP($S83,qx_table,MATCH(BK$11,qx_title,0)+sexB),0)</f>
        <v>0</v>
      </c>
      <c r="BL83" s="131">
        <f t="shared" ca="1" si="1565"/>
        <v>0</v>
      </c>
      <c r="BM83" s="131">
        <f ca="1">SUM(BL83:BL$124)*SSg</f>
        <v>0</v>
      </c>
      <c r="BN83" s="70">
        <f t="shared" ca="1" si="1566"/>
        <v>99999.012970709329</v>
      </c>
      <c r="BO83" s="2">
        <f t="shared" ref="BO83" ca="1" si="1712">IFERROR(VLOOKUP($S83,qx_table,MATCH(BO$11,qx_title,0)+sexB),0)</f>
        <v>0</v>
      </c>
      <c r="BP83" s="131">
        <f t="shared" ca="1" si="1568"/>
        <v>0</v>
      </c>
      <c r="BQ83" s="131">
        <f ca="1">SUM(BP83:BP$124)*SSh</f>
        <v>0</v>
      </c>
      <c r="BR83" s="70">
        <f t="shared" ca="1" si="1569"/>
        <v>99999.012970709329</v>
      </c>
      <c r="BS83" s="2">
        <f t="shared" ref="BS83" ca="1" si="1713">IFERROR(VLOOKUP($S83,qx_table,MATCH(BS$11,qx_title,0)+sexB),0)*IF(R83=0,MCi,1)</f>
        <v>0</v>
      </c>
      <c r="BT83" s="131">
        <f t="shared" ca="1" si="1571"/>
        <v>0</v>
      </c>
      <c r="BU83" s="131">
        <f ca="1">SUM(BT83:BT$124)*SSi</f>
        <v>0</v>
      </c>
      <c r="BV83" s="70">
        <f t="shared" ca="1" si="1572"/>
        <v>99999.012970709329</v>
      </c>
      <c r="BW83" s="2">
        <f t="shared" ref="BW83" ca="1" si="1714">IFERROR(VLOOKUP($S83,qx_table,MATCH(BW$11,qx_title,0)+sexB),0)</f>
        <v>0</v>
      </c>
      <c r="BX83" s="131">
        <f t="shared" ca="1" si="1574"/>
        <v>0</v>
      </c>
      <c r="BY83" s="131">
        <f ca="1">SUM(BX83:BX$124)*SSj</f>
        <v>0</v>
      </c>
      <c r="BZ83" s="70">
        <f t="shared" ca="1" si="1575"/>
        <v>99999.012970709329</v>
      </c>
      <c r="CA83" s="2">
        <f t="shared" ref="CA83" ca="1" si="1715">IFERROR(VLOOKUP($S83,qx_table,MATCH(CA$11,qx_title,0)+sexB),0)</f>
        <v>0</v>
      </c>
      <c r="CB83" s="131">
        <f t="shared" ca="1" si="1577"/>
        <v>0</v>
      </c>
      <c r="CC83" s="131">
        <f ca="1">SUM(CB83:CB$124)*SSk</f>
        <v>0</v>
      </c>
      <c r="CD83" s="8">
        <f t="shared" ca="1" si="1578"/>
        <v>99999.012970709329</v>
      </c>
      <c r="CE83" s="2">
        <f t="shared" ref="CE83" ca="1" si="1716">IFERROR(VLOOKUP($S83,qx_table,MATCH(CE$11,qx_title,0)+sexB),0)</f>
        <v>0</v>
      </c>
      <c r="CF83" s="131">
        <f t="shared" ca="1" si="1580"/>
        <v>0</v>
      </c>
      <c r="CG83" s="131">
        <f ca="1">SUM(CF83:CF$124)*SSl</f>
        <v>0</v>
      </c>
      <c r="CH83" s="101">
        <f t="shared" ca="1" si="1581"/>
        <v>0</v>
      </c>
      <c r="CI83" s="154">
        <f t="shared" ca="1" si="1523"/>
        <v>0</v>
      </c>
      <c r="CJ83" s="32">
        <f t="shared" ca="1" si="1524"/>
        <v>0</v>
      </c>
      <c r="CK83" s="32">
        <f t="shared" ref="CK83" ca="1" si="1717">+MAX(VLOOKUP(xB+$R83,기수표B,$AH$1)-VLOOKUP(xB+mB,기수표B,$AH$1)-11/24*(VLOOKUP(xB+$R83,기수표B,$AG$1)-VLOOKUP(xB+mB,기수표B,$AG$1)),0)</f>
        <v>0</v>
      </c>
      <c r="CL83" s="32">
        <f t="shared" ref="CL83" ca="1" si="1718">+MAX(VLOOKUP(xB+$R83,기수표B,$AA$1)-VLOOKUP(xB+mB,기수표B,$AA$1),0)</f>
        <v>0</v>
      </c>
      <c r="CM83" s="32">
        <f t="shared" ref="CM83" ca="1" si="1719">+MAX(VLOOKUP(xB+$R83,기수표B,$AA$1)-VLOOKUP(xB+mB,기수표B,$AA$1)-11/24*(VLOOKUP(xB+$R83,기수표B,$AA$1)-VLOOKUP(xB+mB,기수표B,$AA$1)),0)</f>
        <v>0</v>
      </c>
      <c r="CN83" s="32">
        <f t="shared" si="1528"/>
        <v>0</v>
      </c>
      <c r="CO83" s="32">
        <f t="shared" ca="1" si="1529"/>
        <v>0</v>
      </c>
      <c r="CP83" s="32">
        <f t="shared" ca="1" si="1530"/>
        <v>0</v>
      </c>
      <c r="CQ83" s="262">
        <f t="shared" ca="1" si="1531"/>
        <v>0</v>
      </c>
      <c r="CR83" s="259" t="e">
        <f t="shared" ca="1" si="1532"/>
        <v>#DIV/0!</v>
      </c>
      <c r="CS83" s="32">
        <f t="shared" ca="1" si="1533"/>
        <v>1.5999999999999999E-5</v>
      </c>
      <c r="CT83" s="31">
        <f t="shared" ref="CT83" si="1720">+MIN(mB,7)</f>
        <v>7</v>
      </c>
      <c r="CV83" s="13">
        <v>71</v>
      </c>
      <c r="CW83" s="477">
        <f t="shared" ca="1" si="1535"/>
        <v>480</v>
      </c>
      <c r="CX83" s="477" t="e">
        <f t="shared" ca="1" si="1536"/>
        <v>#DIV/0!</v>
      </c>
      <c r="CY83" s="477">
        <f t="shared" ca="1" si="1537"/>
        <v>0</v>
      </c>
      <c r="CZ83" s="478">
        <f t="shared" ca="1" si="1586"/>
        <v>0</v>
      </c>
    </row>
    <row r="84" spans="14:104">
      <c r="N84" s="5">
        <f t="shared" si="1587"/>
        <v>72</v>
      </c>
      <c r="O84" s="2">
        <f t="shared" ref="O84" ca="1" si="1721">+(1+iB)^-N84</f>
        <v>0.20148429455120295</v>
      </c>
      <c r="P84" s="2">
        <f t="shared" ref="P84" ca="1" si="1722">+(1+iB)^-(N84+0.5)</f>
        <v>0.19925514341370809</v>
      </c>
      <c r="Q84" s="91"/>
      <c r="R84" s="20">
        <f t="shared" si="1590"/>
        <v>72</v>
      </c>
      <c r="S84" s="20" t="str">
        <f t="shared" ref="S84" si="1723">+IF(xB+R84&lt;=xB+nB,xB+R84,"")</f>
        <v/>
      </c>
      <c r="T84" s="2">
        <f t="shared" ref="T84:U84" ca="1" si="1724">IFERROR(VLOOKUP($S84,qx_table,MATCH(T$11,qx_title,0)+sexB),0)</f>
        <v>0</v>
      </c>
      <c r="U84" s="2">
        <f t="shared" ca="1" si="1724"/>
        <v>0</v>
      </c>
      <c r="V84" s="300">
        <v>0</v>
      </c>
      <c r="W84" s="8">
        <f t="shared" ref="W84" si="1725">IF(R84=0,100000,IF(R84&gt;nB,0,W83*(1-X83)*(1-Y83)))</f>
        <v>0</v>
      </c>
      <c r="X84" s="10">
        <f t="shared" ca="1" si="1502"/>
        <v>0</v>
      </c>
      <c r="Y84" s="10">
        <f t="shared" ca="1" si="1503"/>
        <v>0</v>
      </c>
      <c r="Z84" s="5">
        <f t="shared" ca="1" si="1543"/>
        <v>0</v>
      </c>
      <c r="AA84" s="5">
        <f ca="1">+SUM(Z84:Z$124)</f>
        <v>0</v>
      </c>
      <c r="AB84" s="8">
        <f t="shared" ca="1" si="1504"/>
        <v>0</v>
      </c>
      <c r="AC84" s="209">
        <f ca="1">+SUM(AB84:AB$124)*SSSM</f>
        <v>0</v>
      </c>
      <c r="AD84" s="209">
        <f t="shared" ref="AD84" si="1726">IF(R84&gt;nB,0,AD83*(1-X83)*(1-Y83)*(1-AE83)*(1-AF83))</f>
        <v>0</v>
      </c>
      <c r="AE84" s="92">
        <f t="shared" ca="1" si="1506"/>
        <v>0</v>
      </c>
      <c r="AF84" s="92">
        <f t="shared" ca="1" si="1507"/>
        <v>0</v>
      </c>
      <c r="AG84" s="8">
        <f t="shared" ca="1" si="1508"/>
        <v>0</v>
      </c>
      <c r="AH84" s="5">
        <f ca="1">+SUM(AG84:AG$124)</f>
        <v>0</v>
      </c>
      <c r="AI84" s="70">
        <f t="shared" ca="1" si="1509"/>
        <v>0</v>
      </c>
      <c r="AJ84" s="208">
        <f ca="1">+SUM(AB84:AB$124)*SS50J</f>
        <v>0</v>
      </c>
      <c r="AK84" s="5">
        <f t="shared" ca="1" si="1545"/>
        <v>99999.012970709329</v>
      </c>
      <c r="AL84" s="2">
        <f t="shared" ref="AL84" ca="1" si="1727">IFERROR(VLOOKUP($S84,qx_table,MATCH(AL$11,qx_title,0)+sexB),0)</f>
        <v>0</v>
      </c>
      <c r="AM84" s="131">
        <f t="shared" ca="1" si="1547"/>
        <v>20148.230584219964</v>
      </c>
      <c r="AN84" s="129">
        <f t="shared" ca="1" si="1511"/>
        <v>0</v>
      </c>
      <c r="AO84" s="129">
        <f ca="1">SUM(AN84:AN$124)*SSa</f>
        <v>0</v>
      </c>
      <c r="AP84" s="70">
        <f t="shared" ca="1" si="1548"/>
        <v>99999.012970709329</v>
      </c>
      <c r="AQ84" s="2">
        <f t="shared" ref="AQ84" ca="1" si="1728">IFERROR(VLOOKUP($S84,qx_table,MATCH(AQ$11,qx_title,0)+sexB),0)</f>
        <v>0</v>
      </c>
      <c r="AR84" s="127">
        <f t="shared" ca="1" si="1550"/>
        <v>0</v>
      </c>
      <c r="AS84" s="127">
        <f ca="1">SUM(AR84:AR$124)*SSb</f>
        <v>0</v>
      </c>
      <c r="AT84" s="70">
        <f t="shared" ca="1" si="1551"/>
        <v>99999.012970709329</v>
      </c>
      <c r="AU84" s="2">
        <f t="shared" ref="AU84" ca="1" si="1729">IFERROR(VLOOKUP($S84,qx_table,MATCH(AU$11,qx_title,0)+sexB),0)</f>
        <v>0</v>
      </c>
      <c r="AV84" s="268">
        <f t="shared" ca="1" si="1553"/>
        <v>0</v>
      </c>
      <c r="AW84" s="131">
        <f ca="1">SUM(AV84:AV$124)*SSc</f>
        <v>0</v>
      </c>
      <c r="AX84" s="70">
        <f t="shared" ca="1" si="1554"/>
        <v>99999.012970709329</v>
      </c>
      <c r="AY84" s="2">
        <f t="shared" ref="AY84" ca="1" si="1730">IFERROR(VLOOKUP($S84,qx_table,MATCH(AY$11,qx_title,0)+sexB),0)</f>
        <v>0</v>
      </c>
      <c r="AZ84" s="268">
        <f t="shared" ca="1" si="1556"/>
        <v>0</v>
      </c>
      <c r="BA84" s="129">
        <f ca="1">SUM(AZ84:AZ$124)*SSd</f>
        <v>0</v>
      </c>
      <c r="BB84" s="70">
        <f t="shared" ca="1" si="1557"/>
        <v>99999.012970709329</v>
      </c>
      <c r="BC84" s="257">
        <f t="shared" ref="BC84" ca="1" si="1731">IFERROR(VLOOKUP($S84,qx_table,MATCH(BC$11,qx_title,0)+sexB),0)</f>
        <v>0</v>
      </c>
      <c r="BD84" s="268">
        <f t="shared" ca="1" si="1559"/>
        <v>0</v>
      </c>
      <c r="BE84" s="131">
        <f ca="1">SUM(BD84:BD$124)*SSe</f>
        <v>0</v>
      </c>
      <c r="BF84" s="70">
        <f t="shared" ca="1" si="1560"/>
        <v>99999.012970709329</v>
      </c>
      <c r="BG84" s="2">
        <f t="shared" ref="BG84" ca="1" si="1732">IFERROR(VLOOKUP($S84,qx_table,MATCH(BG$11,qx_title,0)+sexB),0)</f>
        <v>0</v>
      </c>
      <c r="BH84" s="131">
        <f t="shared" ca="1" si="1562"/>
        <v>0</v>
      </c>
      <c r="BI84" s="2">
        <f ca="1">SUM(BH84:BH$124)*SSf</f>
        <v>0</v>
      </c>
      <c r="BJ84" s="70">
        <f t="shared" ca="1" si="1563"/>
        <v>99999.012970709329</v>
      </c>
      <c r="BK84" s="2">
        <f t="shared" ref="BK84" ca="1" si="1733">IFERROR(VLOOKUP($S84,qx_table,MATCH(BK$11,qx_title,0)+sexB),0)</f>
        <v>0</v>
      </c>
      <c r="BL84" s="131">
        <f t="shared" ca="1" si="1565"/>
        <v>0</v>
      </c>
      <c r="BM84" s="131">
        <f ca="1">SUM(BL84:BL$124)*SSg</f>
        <v>0</v>
      </c>
      <c r="BN84" s="70">
        <f t="shared" ca="1" si="1566"/>
        <v>99999.012970709329</v>
      </c>
      <c r="BO84" s="2">
        <f t="shared" ref="BO84" ca="1" si="1734">IFERROR(VLOOKUP($S84,qx_table,MATCH(BO$11,qx_title,0)+sexB),0)</f>
        <v>0</v>
      </c>
      <c r="BP84" s="131">
        <f t="shared" ca="1" si="1568"/>
        <v>0</v>
      </c>
      <c r="BQ84" s="131">
        <f ca="1">SUM(BP84:BP$124)*SSh</f>
        <v>0</v>
      </c>
      <c r="BR84" s="70">
        <f t="shared" ca="1" si="1569"/>
        <v>99999.012970709329</v>
      </c>
      <c r="BS84" s="2">
        <f t="shared" ref="BS84" ca="1" si="1735">IFERROR(VLOOKUP($S84,qx_table,MATCH(BS$11,qx_title,0)+sexB),0)*IF(R84=0,MCi,1)</f>
        <v>0</v>
      </c>
      <c r="BT84" s="131">
        <f t="shared" ca="1" si="1571"/>
        <v>0</v>
      </c>
      <c r="BU84" s="131">
        <f ca="1">SUM(BT84:BT$124)*SSi</f>
        <v>0</v>
      </c>
      <c r="BV84" s="70">
        <f t="shared" ca="1" si="1572"/>
        <v>99999.012970709329</v>
      </c>
      <c r="BW84" s="2">
        <f t="shared" ref="BW84" ca="1" si="1736">IFERROR(VLOOKUP($S84,qx_table,MATCH(BW$11,qx_title,0)+sexB),0)</f>
        <v>0</v>
      </c>
      <c r="BX84" s="131">
        <f t="shared" ca="1" si="1574"/>
        <v>0</v>
      </c>
      <c r="BY84" s="131">
        <f ca="1">SUM(BX84:BX$124)*SSj</f>
        <v>0</v>
      </c>
      <c r="BZ84" s="70">
        <f t="shared" ca="1" si="1575"/>
        <v>99999.012970709329</v>
      </c>
      <c r="CA84" s="2">
        <f t="shared" ref="CA84" ca="1" si="1737">IFERROR(VLOOKUP($S84,qx_table,MATCH(CA$11,qx_title,0)+sexB),0)</f>
        <v>0</v>
      </c>
      <c r="CB84" s="131">
        <f t="shared" ca="1" si="1577"/>
        <v>0</v>
      </c>
      <c r="CC84" s="131">
        <f ca="1">SUM(CB84:CB$124)*SSk</f>
        <v>0</v>
      </c>
      <c r="CD84" s="8">
        <f t="shared" ca="1" si="1578"/>
        <v>99999.012970709329</v>
      </c>
      <c r="CE84" s="2">
        <f t="shared" ref="CE84" ca="1" si="1738">IFERROR(VLOOKUP($S84,qx_table,MATCH(CE$11,qx_title,0)+sexB),0)</f>
        <v>0</v>
      </c>
      <c r="CF84" s="131">
        <f t="shared" ca="1" si="1580"/>
        <v>0</v>
      </c>
      <c r="CG84" s="131">
        <f ca="1">SUM(CF84:CF$124)*SSl</f>
        <v>0</v>
      </c>
      <c r="CH84" s="101">
        <f t="shared" ca="1" si="1581"/>
        <v>0</v>
      </c>
      <c r="CI84" s="154">
        <f t="shared" ca="1" si="1523"/>
        <v>0</v>
      </c>
      <c r="CJ84" s="32">
        <f t="shared" ca="1" si="1524"/>
        <v>0</v>
      </c>
      <c r="CK84" s="32">
        <f t="shared" ref="CK84" ca="1" si="1739">+MAX(VLOOKUP(xB+$R84,기수표B,$AH$1)-VLOOKUP(xB+mB,기수표B,$AH$1)-11/24*(VLOOKUP(xB+$R84,기수표B,$AG$1)-VLOOKUP(xB+mB,기수표B,$AG$1)),0)</f>
        <v>0</v>
      </c>
      <c r="CL84" s="32">
        <f t="shared" ref="CL84" ca="1" si="1740">+MAX(VLOOKUP(xB+$R84,기수표B,$AA$1)-VLOOKUP(xB+mB,기수표B,$AA$1),0)</f>
        <v>0</v>
      </c>
      <c r="CM84" s="32">
        <f t="shared" ref="CM84" ca="1" si="1741">+MAX(VLOOKUP(xB+$R84,기수표B,$AA$1)-VLOOKUP(xB+mB,기수표B,$AA$1)-11/24*(VLOOKUP(xB+$R84,기수표B,$AA$1)-VLOOKUP(xB+mB,기수표B,$AA$1)),0)</f>
        <v>0</v>
      </c>
      <c r="CN84" s="32">
        <f t="shared" si="1528"/>
        <v>0</v>
      </c>
      <c r="CO84" s="32">
        <f t="shared" ca="1" si="1529"/>
        <v>0</v>
      </c>
      <c r="CP84" s="32">
        <f t="shared" ca="1" si="1530"/>
        <v>0</v>
      </c>
      <c r="CQ84" s="262">
        <f t="shared" ca="1" si="1531"/>
        <v>0</v>
      </c>
      <c r="CR84" s="259" t="e">
        <f t="shared" ca="1" si="1532"/>
        <v>#DIV/0!</v>
      </c>
      <c r="CS84" s="32">
        <f t="shared" ca="1" si="1533"/>
        <v>1.5999999999999999E-5</v>
      </c>
      <c r="CT84" s="31">
        <f t="shared" ref="CT84" si="1742">+MIN(mB,7)</f>
        <v>7</v>
      </c>
      <c r="CV84" s="13">
        <v>72</v>
      </c>
      <c r="CW84" s="477">
        <f t="shared" ca="1" si="1535"/>
        <v>480</v>
      </c>
      <c r="CX84" s="477" t="e">
        <f t="shared" ca="1" si="1536"/>
        <v>#DIV/0!</v>
      </c>
      <c r="CY84" s="477">
        <f t="shared" ca="1" si="1537"/>
        <v>0</v>
      </c>
      <c r="CZ84" s="478">
        <f t="shared" ca="1" si="1586"/>
        <v>0</v>
      </c>
    </row>
    <row r="85" spans="14:104">
      <c r="N85" s="5">
        <f t="shared" si="1587"/>
        <v>73</v>
      </c>
      <c r="O85" s="2">
        <f t="shared" ref="O85" ca="1" si="1743">+(1+iB)^-N85</f>
        <v>0.19705065481780243</v>
      </c>
      <c r="P85" s="2">
        <f t="shared" ref="P85" ca="1" si="1744">+(1+iB)^-(N85+0.5)</f>
        <v>0.19487055590582697</v>
      </c>
      <c r="Q85" s="91"/>
      <c r="R85" s="20">
        <f t="shared" si="1590"/>
        <v>73</v>
      </c>
      <c r="S85" s="20" t="str">
        <f t="shared" ref="S85" si="1745">+IF(xB+R85&lt;=xB+nB,xB+R85,"")</f>
        <v/>
      </c>
      <c r="T85" s="2">
        <f t="shared" ref="T85:U85" ca="1" si="1746">IFERROR(VLOOKUP($S85,qx_table,MATCH(T$11,qx_title,0)+sexB),0)</f>
        <v>0</v>
      </c>
      <c r="U85" s="2">
        <f t="shared" ca="1" si="1746"/>
        <v>0</v>
      </c>
      <c r="V85" s="300">
        <v>0</v>
      </c>
      <c r="W85" s="8">
        <f t="shared" ref="W85" si="1747">IF(R85=0,100000,IF(R85&gt;nB,0,W84*(1-X84)*(1-Y84)))</f>
        <v>0</v>
      </c>
      <c r="X85" s="10">
        <f t="shared" ca="1" si="1502"/>
        <v>0</v>
      </c>
      <c r="Y85" s="10">
        <f t="shared" ca="1" si="1503"/>
        <v>0</v>
      </c>
      <c r="Z85" s="5">
        <f t="shared" ca="1" si="1543"/>
        <v>0</v>
      </c>
      <c r="AA85" s="5">
        <f ca="1">+SUM(Z85:Z$124)</f>
        <v>0</v>
      </c>
      <c r="AB85" s="8">
        <f t="shared" ca="1" si="1504"/>
        <v>0</v>
      </c>
      <c r="AC85" s="209">
        <f ca="1">+SUM(AB85:AB$124)*SSSM</f>
        <v>0</v>
      </c>
      <c r="AD85" s="209">
        <f t="shared" ref="AD85" si="1748">IF(R85&gt;nB,0,AD84*(1-X84)*(1-Y84)*(1-AE84)*(1-AF84))</f>
        <v>0</v>
      </c>
      <c r="AE85" s="92">
        <f t="shared" ca="1" si="1506"/>
        <v>0</v>
      </c>
      <c r="AF85" s="92">
        <f t="shared" ca="1" si="1507"/>
        <v>0</v>
      </c>
      <c r="AG85" s="8">
        <f t="shared" ca="1" si="1508"/>
        <v>0</v>
      </c>
      <c r="AH85" s="5">
        <f ca="1">+SUM(AG85:AG$124)</f>
        <v>0</v>
      </c>
      <c r="AI85" s="70">
        <f t="shared" ca="1" si="1509"/>
        <v>0</v>
      </c>
      <c r="AJ85" s="208">
        <f ca="1">+SUM(AB85:AB$124)*SS50J</f>
        <v>0</v>
      </c>
      <c r="AK85" s="5">
        <f t="shared" ca="1" si="1545"/>
        <v>99999.012970709329</v>
      </c>
      <c r="AL85" s="2">
        <f t="shared" ref="AL85" ca="1" si="1749">IFERROR(VLOOKUP($S85,qx_table,MATCH(AL$11,qx_title,0)+sexB),0)</f>
        <v>0</v>
      </c>
      <c r="AM85" s="131">
        <f t="shared" ca="1" si="1547"/>
        <v>19704.870987012193</v>
      </c>
      <c r="AN85" s="129">
        <f t="shared" ca="1" si="1511"/>
        <v>0</v>
      </c>
      <c r="AO85" s="129">
        <f ca="1">SUM(AN85:AN$124)*SSa</f>
        <v>0</v>
      </c>
      <c r="AP85" s="70">
        <f t="shared" ca="1" si="1548"/>
        <v>99999.012970709329</v>
      </c>
      <c r="AQ85" s="2">
        <f t="shared" ref="AQ85" ca="1" si="1750">IFERROR(VLOOKUP($S85,qx_table,MATCH(AQ$11,qx_title,0)+sexB),0)</f>
        <v>0</v>
      </c>
      <c r="AR85" s="127">
        <f t="shared" ca="1" si="1550"/>
        <v>0</v>
      </c>
      <c r="AS85" s="127">
        <f ca="1">SUM(AR85:AR$124)*SSb</f>
        <v>0</v>
      </c>
      <c r="AT85" s="70">
        <f t="shared" ca="1" si="1551"/>
        <v>99999.012970709329</v>
      </c>
      <c r="AU85" s="2">
        <f t="shared" ref="AU85" ca="1" si="1751">IFERROR(VLOOKUP($S85,qx_table,MATCH(AU$11,qx_title,0)+sexB),0)</f>
        <v>0</v>
      </c>
      <c r="AV85" s="268">
        <f t="shared" ca="1" si="1553"/>
        <v>0</v>
      </c>
      <c r="AW85" s="131">
        <f ca="1">SUM(AV85:AV$124)*SSc</f>
        <v>0</v>
      </c>
      <c r="AX85" s="70">
        <f t="shared" ca="1" si="1554"/>
        <v>99999.012970709329</v>
      </c>
      <c r="AY85" s="2">
        <f t="shared" ref="AY85" ca="1" si="1752">IFERROR(VLOOKUP($S85,qx_table,MATCH(AY$11,qx_title,0)+sexB),0)</f>
        <v>0</v>
      </c>
      <c r="AZ85" s="268">
        <f t="shared" ca="1" si="1556"/>
        <v>0</v>
      </c>
      <c r="BA85" s="129">
        <f ca="1">SUM(AZ85:AZ$124)*SSd</f>
        <v>0</v>
      </c>
      <c r="BB85" s="70">
        <f t="shared" ca="1" si="1557"/>
        <v>99999.012970709329</v>
      </c>
      <c r="BC85" s="257">
        <f t="shared" ref="BC85" ca="1" si="1753">IFERROR(VLOOKUP($S85,qx_table,MATCH(BC$11,qx_title,0)+sexB),0)</f>
        <v>0</v>
      </c>
      <c r="BD85" s="268">
        <f t="shared" ca="1" si="1559"/>
        <v>0</v>
      </c>
      <c r="BE85" s="131">
        <f ca="1">SUM(BD85:BD$124)*SSe</f>
        <v>0</v>
      </c>
      <c r="BF85" s="70">
        <f t="shared" ca="1" si="1560"/>
        <v>99999.012970709329</v>
      </c>
      <c r="BG85" s="2">
        <f t="shared" ref="BG85" ca="1" si="1754">IFERROR(VLOOKUP($S85,qx_table,MATCH(BG$11,qx_title,0)+sexB),0)</f>
        <v>0</v>
      </c>
      <c r="BH85" s="131">
        <f t="shared" ca="1" si="1562"/>
        <v>0</v>
      </c>
      <c r="BI85" s="2">
        <f ca="1">SUM(BH85:BH$124)*SSf</f>
        <v>0</v>
      </c>
      <c r="BJ85" s="70">
        <f t="shared" ca="1" si="1563"/>
        <v>99999.012970709329</v>
      </c>
      <c r="BK85" s="2">
        <f t="shared" ref="BK85" ca="1" si="1755">IFERROR(VLOOKUP($S85,qx_table,MATCH(BK$11,qx_title,0)+sexB),0)</f>
        <v>0</v>
      </c>
      <c r="BL85" s="131">
        <f t="shared" ca="1" si="1565"/>
        <v>0</v>
      </c>
      <c r="BM85" s="131">
        <f ca="1">SUM(BL85:BL$124)*SSg</f>
        <v>0</v>
      </c>
      <c r="BN85" s="70">
        <f t="shared" ca="1" si="1566"/>
        <v>99999.012970709329</v>
      </c>
      <c r="BO85" s="2">
        <f t="shared" ref="BO85" ca="1" si="1756">IFERROR(VLOOKUP($S85,qx_table,MATCH(BO$11,qx_title,0)+sexB),0)</f>
        <v>0</v>
      </c>
      <c r="BP85" s="131">
        <f t="shared" ca="1" si="1568"/>
        <v>0</v>
      </c>
      <c r="BQ85" s="131">
        <f ca="1">SUM(BP85:BP$124)*SSh</f>
        <v>0</v>
      </c>
      <c r="BR85" s="70">
        <f t="shared" ca="1" si="1569"/>
        <v>99999.012970709329</v>
      </c>
      <c r="BS85" s="2">
        <f t="shared" ref="BS85" ca="1" si="1757">IFERROR(VLOOKUP($S85,qx_table,MATCH(BS$11,qx_title,0)+sexB),0)*IF(R85=0,MCi,1)</f>
        <v>0</v>
      </c>
      <c r="BT85" s="131">
        <f t="shared" ca="1" si="1571"/>
        <v>0</v>
      </c>
      <c r="BU85" s="131">
        <f ca="1">SUM(BT85:BT$124)*SSi</f>
        <v>0</v>
      </c>
      <c r="BV85" s="70">
        <f t="shared" ca="1" si="1572"/>
        <v>99999.012970709329</v>
      </c>
      <c r="BW85" s="2">
        <f t="shared" ref="BW85" ca="1" si="1758">IFERROR(VLOOKUP($S85,qx_table,MATCH(BW$11,qx_title,0)+sexB),0)</f>
        <v>0</v>
      </c>
      <c r="BX85" s="131">
        <f t="shared" ca="1" si="1574"/>
        <v>0</v>
      </c>
      <c r="BY85" s="131">
        <f ca="1">SUM(BX85:BX$124)*SSj</f>
        <v>0</v>
      </c>
      <c r="BZ85" s="70">
        <f t="shared" ca="1" si="1575"/>
        <v>99999.012970709329</v>
      </c>
      <c r="CA85" s="2">
        <f t="shared" ref="CA85" ca="1" si="1759">IFERROR(VLOOKUP($S85,qx_table,MATCH(CA$11,qx_title,0)+sexB),0)</f>
        <v>0</v>
      </c>
      <c r="CB85" s="131">
        <f t="shared" ca="1" si="1577"/>
        <v>0</v>
      </c>
      <c r="CC85" s="131">
        <f ca="1">SUM(CB85:CB$124)*SSk</f>
        <v>0</v>
      </c>
      <c r="CD85" s="8">
        <f t="shared" ca="1" si="1578"/>
        <v>99999.012970709329</v>
      </c>
      <c r="CE85" s="2">
        <f t="shared" ref="CE85" ca="1" si="1760">IFERROR(VLOOKUP($S85,qx_table,MATCH(CE$11,qx_title,0)+sexB),0)</f>
        <v>0</v>
      </c>
      <c r="CF85" s="131">
        <f t="shared" ca="1" si="1580"/>
        <v>0</v>
      </c>
      <c r="CG85" s="131">
        <f ca="1">SUM(CF85:CF$124)*SSl</f>
        <v>0</v>
      </c>
      <c r="CH85" s="101">
        <f t="shared" ca="1" si="1581"/>
        <v>0</v>
      </c>
      <c r="CI85" s="154">
        <f t="shared" ca="1" si="1523"/>
        <v>0</v>
      </c>
      <c r="CJ85" s="32">
        <f t="shared" ca="1" si="1524"/>
        <v>0</v>
      </c>
      <c r="CK85" s="32">
        <f t="shared" ref="CK85" ca="1" si="1761">+MAX(VLOOKUP(xB+$R85,기수표B,$AH$1)-VLOOKUP(xB+mB,기수표B,$AH$1)-11/24*(VLOOKUP(xB+$R85,기수표B,$AG$1)-VLOOKUP(xB+mB,기수표B,$AG$1)),0)</f>
        <v>0</v>
      </c>
      <c r="CL85" s="32">
        <f t="shared" ref="CL85" ca="1" si="1762">+MAX(VLOOKUP(xB+$R85,기수표B,$AA$1)-VLOOKUP(xB+mB,기수표B,$AA$1),0)</f>
        <v>0</v>
      </c>
      <c r="CM85" s="32">
        <f t="shared" ref="CM85" ca="1" si="1763">+MAX(VLOOKUP(xB+$R85,기수표B,$AA$1)-VLOOKUP(xB+mB,기수표B,$AA$1)-11/24*(VLOOKUP(xB+$R85,기수표B,$AA$1)-VLOOKUP(xB+mB,기수표B,$AA$1)),0)</f>
        <v>0</v>
      </c>
      <c r="CN85" s="32">
        <f t="shared" si="1528"/>
        <v>0</v>
      </c>
      <c r="CO85" s="32">
        <f t="shared" ca="1" si="1529"/>
        <v>0</v>
      </c>
      <c r="CP85" s="32">
        <f t="shared" ca="1" si="1530"/>
        <v>0</v>
      </c>
      <c r="CQ85" s="262">
        <f t="shared" ca="1" si="1531"/>
        <v>0</v>
      </c>
      <c r="CR85" s="259" t="e">
        <f t="shared" ca="1" si="1532"/>
        <v>#DIV/0!</v>
      </c>
      <c r="CS85" s="32">
        <f t="shared" ca="1" si="1533"/>
        <v>1.5999999999999999E-5</v>
      </c>
      <c r="CT85" s="31">
        <f t="shared" ref="CT85" si="1764">+MIN(mB,7)</f>
        <v>7</v>
      </c>
      <c r="CV85" s="13">
        <v>73</v>
      </c>
      <c r="CW85" s="477">
        <f t="shared" ca="1" si="1535"/>
        <v>480</v>
      </c>
      <c r="CX85" s="477" t="e">
        <f t="shared" ca="1" si="1536"/>
        <v>#DIV/0!</v>
      </c>
      <c r="CY85" s="477">
        <f t="shared" ca="1" si="1537"/>
        <v>0</v>
      </c>
      <c r="CZ85" s="478">
        <f t="shared" ca="1" si="1586"/>
        <v>0</v>
      </c>
    </row>
    <row r="86" spans="14:104">
      <c r="N86" s="5">
        <f t="shared" si="1587"/>
        <v>74</v>
      </c>
      <c r="O86" s="2">
        <f t="shared" ref="O86" ca="1" si="1765">+(1+iB)^-N86</f>
        <v>0.19271457683892659</v>
      </c>
      <c r="P86" s="2">
        <f t="shared" ref="P86" ca="1" si="1766">+(1+iB)^-(N86+0.5)</f>
        <v>0.19058245076364494</v>
      </c>
      <c r="Q86" s="91"/>
      <c r="R86" s="20">
        <f t="shared" si="1590"/>
        <v>74</v>
      </c>
      <c r="S86" s="20" t="str">
        <f t="shared" ref="S86" si="1767">+IF(xB+R86&lt;=xB+nB,xB+R86,"")</f>
        <v/>
      </c>
      <c r="T86" s="2">
        <f t="shared" ref="T86:U86" ca="1" si="1768">IFERROR(VLOOKUP($S86,qx_table,MATCH(T$11,qx_title,0)+sexB),0)</f>
        <v>0</v>
      </c>
      <c r="U86" s="2">
        <f t="shared" ca="1" si="1768"/>
        <v>0</v>
      </c>
      <c r="V86" s="300">
        <v>0</v>
      </c>
      <c r="W86" s="8">
        <f t="shared" ref="W86" si="1769">IF(R86=0,100000,IF(R86&gt;nB,0,W85*(1-X85)*(1-Y85)))</f>
        <v>0</v>
      </c>
      <c r="X86" s="10">
        <f t="shared" ca="1" si="1502"/>
        <v>0</v>
      </c>
      <c r="Y86" s="10">
        <f t="shared" ca="1" si="1503"/>
        <v>0</v>
      </c>
      <c r="Z86" s="5">
        <f t="shared" ca="1" si="1543"/>
        <v>0</v>
      </c>
      <c r="AA86" s="5">
        <f ca="1">+SUM(Z86:Z$124)</f>
        <v>0</v>
      </c>
      <c r="AB86" s="8">
        <f t="shared" ca="1" si="1504"/>
        <v>0</v>
      </c>
      <c r="AC86" s="209">
        <f ca="1">+SUM(AB86:AB$124)*SSSM</f>
        <v>0</v>
      </c>
      <c r="AD86" s="209">
        <f t="shared" ref="AD86" si="1770">IF(R86&gt;nB,0,AD85*(1-X85)*(1-Y85)*(1-AE85)*(1-AF85))</f>
        <v>0</v>
      </c>
      <c r="AE86" s="92">
        <f t="shared" ca="1" si="1506"/>
        <v>0</v>
      </c>
      <c r="AF86" s="92">
        <f t="shared" ca="1" si="1507"/>
        <v>0</v>
      </c>
      <c r="AG86" s="8">
        <f t="shared" ca="1" si="1508"/>
        <v>0</v>
      </c>
      <c r="AH86" s="5">
        <f ca="1">+SUM(AG86:AG$124)</f>
        <v>0</v>
      </c>
      <c r="AI86" s="70">
        <f t="shared" ca="1" si="1509"/>
        <v>0</v>
      </c>
      <c r="AJ86" s="208">
        <f ca="1">+SUM(AB86:AB$124)*SS50J</f>
        <v>0</v>
      </c>
      <c r="AK86" s="5">
        <f t="shared" ca="1" si="1545"/>
        <v>99999.012970709329</v>
      </c>
      <c r="AL86" s="2">
        <f t="shared" ref="AL86" ca="1" si="1771">IFERROR(VLOOKUP($S86,qx_table,MATCH(AL$11,qx_title,0)+sexB),0)</f>
        <v>0</v>
      </c>
      <c r="AM86" s="131">
        <f t="shared" ca="1" si="1547"/>
        <v>19271.267468960581</v>
      </c>
      <c r="AN86" s="129">
        <f t="shared" ca="1" si="1511"/>
        <v>0</v>
      </c>
      <c r="AO86" s="129">
        <f ca="1">SUM(AN86:AN$124)*SSa</f>
        <v>0</v>
      </c>
      <c r="AP86" s="70">
        <f t="shared" ca="1" si="1548"/>
        <v>99999.012970709329</v>
      </c>
      <c r="AQ86" s="2">
        <f t="shared" ref="AQ86" ca="1" si="1772">IFERROR(VLOOKUP($S86,qx_table,MATCH(AQ$11,qx_title,0)+sexB),0)</f>
        <v>0</v>
      </c>
      <c r="AR86" s="127">
        <f t="shared" ca="1" si="1550"/>
        <v>0</v>
      </c>
      <c r="AS86" s="127">
        <f ca="1">SUM(AR86:AR$124)*SSb</f>
        <v>0</v>
      </c>
      <c r="AT86" s="70">
        <f t="shared" ca="1" si="1551"/>
        <v>99999.012970709329</v>
      </c>
      <c r="AU86" s="2">
        <f t="shared" ref="AU86" ca="1" si="1773">IFERROR(VLOOKUP($S86,qx_table,MATCH(AU$11,qx_title,0)+sexB),0)</f>
        <v>0</v>
      </c>
      <c r="AV86" s="268">
        <f t="shared" ca="1" si="1553"/>
        <v>0</v>
      </c>
      <c r="AW86" s="131">
        <f ca="1">SUM(AV86:AV$124)*SSc</f>
        <v>0</v>
      </c>
      <c r="AX86" s="70">
        <f t="shared" ca="1" si="1554"/>
        <v>99999.012970709329</v>
      </c>
      <c r="AY86" s="2">
        <f t="shared" ref="AY86" ca="1" si="1774">IFERROR(VLOOKUP($S86,qx_table,MATCH(AY$11,qx_title,0)+sexB),0)</f>
        <v>0</v>
      </c>
      <c r="AZ86" s="268">
        <f t="shared" ca="1" si="1556"/>
        <v>0</v>
      </c>
      <c r="BA86" s="129">
        <f ca="1">SUM(AZ86:AZ$124)*SSd</f>
        <v>0</v>
      </c>
      <c r="BB86" s="70">
        <f t="shared" ca="1" si="1557"/>
        <v>99999.012970709329</v>
      </c>
      <c r="BC86" s="257">
        <f t="shared" ref="BC86" ca="1" si="1775">IFERROR(VLOOKUP($S86,qx_table,MATCH(BC$11,qx_title,0)+sexB),0)</f>
        <v>0</v>
      </c>
      <c r="BD86" s="268">
        <f t="shared" ca="1" si="1559"/>
        <v>0</v>
      </c>
      <c r="BE86" s="131">
        <f ca="1">SUM(BD86:BD$124)*SSe</f>
        <v>0</v>
      </c>
      <c r="BF86" s="70">
        <f t="shared" ca="1" si="1560"/>
        <v>99999.012970709329</v>
      </c>
      <c r="BG86" s="2">
        <f t="shared" ref="BG86" ca="1" si="1776">IFERROR(VLOOKUP($S86,qx_table,MATCH(BG$11,qx_title,0)+sexB),0)</f>
        <v>0</v>
      </c>
      <c r="BH86" s="131">
        <f t="shared" ca="1" si="1562"/>
        <v>0</v>
      </c>
      <c r="BI86" s="2">
        <f ca="1">SUM(BH86:BH$124)*SSf</f>
        <v>0</v>
      </c>
      <c r="BJ86" s="70">
        <f t="shared" ca="1" si="1563"/>
        <v>99999.012970709329</v>
      </c>
      <c r="BK86" s="2">
        <f t="shared" ref="BK86" ca="1" si="1777">IFERROR(VLOOKUP($S86,qx_table,MATCH(BK$11,qx_title,0)+sexB),0)</f>
        <v>0</v>
      </c>
      <c r="BL86" s="131">
        <f t="shared" ca="1" si="1565"/>
        <v>0</v>
      </c>
      <c r="BM86" s="131">
        <f ca="1">SUM(BL86:BL$124)*SSg</f>
        <v>0</v>
      </c>
      <c r="BN86" s="70">
        <f t="shared" ca="1" si="1566"/>
        <v>99999.012970709329</v>
      </c>
      <c r="BO86" s="2">
        <f t="shared" ref="BO86" ca="1" si="1778">IFERROR(VLOOKUP($S86,qx_table,MATCH(BO$11,qx_title,0)+sexB),0)</f>
        <v>0</v>
      </c>
      <c r="BP86" s="131">
        <f t="shared" ca="1" si="1568"/>
        <v>0</v>
      </c>
      <c r="BQ86" s="131">
        <f ca="1">SUM(BP86:BP$124)*SSh</f>
        <v>0</v>
      </c>
      <c r="BR86" s="70">
        <f t="shared" ca="1" si="1569"/>
        <v>99999.012970709329</v>
      </c>
      <c r="BS86" s="2">
        <f t="shared" ref="BS86" ca="1" si="1779">IFERROR(VLOOKUP($S86,qx_table,MATCH(BS$11,qx_title,0)+sexB),0)*IF(R86=0,MCi,1)</f>
        <v>0</v>
      </c>
      <c r="BT86" s="131">
        <f t="shared" ca="1" si="1571"/>
        <v>0</v>
      </c>
      <c r="BU86" s="131">
        <f ca="1">SUM(BT86:BT$124)*SSi</f>
        <v>0</v>
      </c>
      <c r="BV86" s="70">
        <f t="shared" ca="1" si="1572"/>
        <v>99999.012970709329</v>
      </c>
      <c r="BW86" s="2">
        <f t="shared" ref="BW86" ca="1" si="1780">IFERROR(VLOOKUP($S86,qx_table,MATCH(BW$11,qx_title,0)+sexB),0)</f>
        <v>0</v>
      </c>
      <c r="BX86" s="131">
        <f t="shared" ca="1" si="1574"/>
        <v>0</v>
      </c>
      <c r="BY86" s="131">
        <f ca="1">SUM(BX86:BX$124)*SSj</f>
        <v>0</v>
      </c>
      <c r="BZ86" s="70">
        <f t="shared" ca="1" si="1575"/>
        <v>99999.012970709329</v>
      </c>
      <c r="CA86" s="2">
        <f t="shared" ref="CA86" ca="1" si="1781">IFERROR(VLOOKUP($S86,qx_table,MATCH(CA$11,qx_title,0)+sexB),0)</f>
        <v>0</v>
      </c>
      <c r="CB86" s="131">
        <f t="shared" ca="1" si="1577"/>
        <v>0</v>
      </c>
      <c r="CC86" s="131">
        <f ca="1">SUM(CB86:CB$124)*SSk</f>
        <v>0</v>
      </c>
      <c r="CD86" s="8">
        <f t="shared" ca="1" si="1578"/>
        <v>99999.012970709329</v>
      </c>
      <c r="CE86" s="2">
        <f t="shared" ref="CE86" ca="1" si="1782">IFERROR(VLOOKUP($S86,qx_table,MATCH(CE$11,qx_title,0)+sexB),0)</f>
        <v>0</v>
      </c>
      <c r="CF86" s="131">
        <f t="shared" ca="1" si="1580"/>
        <v>0</v>
      </c>
      <c r="CG86" s="131">
        <f ca="1">SUM(CF86:CF$124)*SSl</f>
        <v>0</v>
      </c>
      <c r="CH86" s="101">
        <f t="shared" ca="1" si="1581"/>
        <v>0</v>
      </c>
      <c r="CI86" s="154">
        <f t="shared" ca="1" si="1523"/>
        <v>0</v>
      </c>
      <c r="CJ86" s="32">
        <f t="shared" ca="1" si="1524"/>
        <v>0</v>
      </c>
      <c r="CK86" s="32">
        <f t="shared" ref="CK86" ca="1" si="1783">+MAX(VLOOKUP(xB+$R86,기수표B,$AH$1)-VLOOKUP(xB+mB,기수표B,$AH$1)-11/24*(VLOOKUP(xB+$R86,기수표B,$AG$1)-VLOOKUP(xB+mB,기수표B,$AG$1)),0)</f>
        <v>0</v>
      </c>
      <c r="CL86" s="32">
        <f t="shared" ref="CL86" ca="1" si="1784">+MAX(VLOOKUP(xB+$R86,기수표B,$AA$1)-VLOOKUP(xB+mB,기수표B,$AA$1),0)</f>
        <v>0</v>
      </c>
      <c r="CM86" s="32">
        <f t="shared" ref="CM86" ca="1" si="1785">+MAX(VLOOKUP(xB+$R86,기수표B,$AA$1)-VLOOKUP(xB+mB,기수표B,$AA$1)-11/24*(VLOOKUP(xB+$R86,기수표B,$AA$1)-VLOOKUP(xB+mB,기수표B,$AA$1)),0)</f>
        <v>0</v>
      </c>
      <c r="CN86" s="32">
        <f t="shared" si="1528"/>
        <v>0</v>
      </c>
      <c r="CO86" s="32">
        <f t="shared" ca="1" si="1529"/>
        <v>0</v>
      </c>
      <c r="CP86" s="32">
        <f t="shared" ca="1" si="1530"/>
        <v>0</v>
      </c>
      <c r="CQ86" s="262">
        <f t="shared" ca="1" si="1531"/>
        <v>0</v>
      </c>
      <c r="CR86" s="259" t="e">
        <f t="shared" ca="1" si="1532"/>
        <v>#DIV/0!</v>
      </c>
      <c r="CS86" s="32">
        <f t="shared" ca="1" si="1533"/>
        <v>1.5999999999999999E-5</v>
      </c>
      <c r="CT86" s="31">
        <f t="shared" ref="CT86" si="1786">+MIN(mB,7)</f>
        <v>7</v>
      </c>
      <c r="CV86" s="13">
        <v>74</v>
      </c>
      <c r="CW86" s="477">
        <f t="shared" ca="1" si="1535"/>
        <v>480</v>
      </c>
      <c r="CX86" s="477" t="e">
        <f t="shared" ca="1" si="1536"/>
        <v>#DIV/0!</v>
      </c>
      <c r="CY86" s="477">
        <f t="shared" ca="1" si="1537"/>
        <v>0</v>
      </c>
      <c r="CZ86" s="478">
        <f t="shared" ca="1" si="1586"/>
        <v>0</v>
      </c>
    </row>
    <row r="87" spans="14:104">
      <c r="N87" s="5">
        <f t="shared" si="1587"/>
        <v>75</v>
      </c>
      <c r="O87" s="2">
        <f t="shared" ref="O87" ca="1" si="1787">+(1+iB)^-N87</f>
        <v>0.18847391377890133</v>
      </c>
      <c r="P87" s="2">
        <f t="shared" ref="P87" ca="1" si="1788">+(1+iB)^-(N87+0.5)</f>
        <v>0.18638870490332027</v>
      </c>
      <c r="Q87" s="91"/>
      <c r="R87" s="20">
        <f t="shared" si="1590"/>
        <v>75</v>
      </c>
      <c r="S87" s="20" t="str">
        <f t="shared" ref="S87" si="1789">+IF(xB+R87&lt;=xB+nB,xB+R87,"")</f>
        <v/>
      </c>
      <c r="T87" s="2">
        <f t="shared" ref="T87:U87" ca="1" si="1790">IFERROR(VLOOKUP($S87,qx_table,MATCH(T$11,qx_title,0)+sexB),0)</f>
        <v>0</v>
      </c>
      <c r="U87" s="2">
        <f t="shared" ca="1" si="1790"/>
        <v>0</v>
      </c>
      <c r="V87" s="300">
        <v>0</v>
      </c>
      <c r="W87" s="8">
        <f t="shared" ref="W87" si="1791">IF(R87=0,100000,IF(R87&gt;nB,0,W86*(1-X86)*(1-Y86)))</f>
        <v>0</v>
      </c>
      <c r="X87" s="10">
        <f t="shared" ca="1" si="1502"/>
        <v>0</v>
      </c>
      <c r="Y87" s="10">
        <f t="shared" ca="1" si="1503"/>
        <v>0</v>
      </c>
      <c r="Z87" s="5">
        <f t="shared" ca="1" si="1543"/>
        <v>0</v>
      </c>
      <c r="AA87" s="5">
        <f ca="1">+SUM(Z87:Z$124)</f>
        <v>0</v>
      </c>
      <c r="AB87" s="8">
        <f t="shared" ca="1" si="1504"/>
        <v>0</v>
      </c>
      <c r="AC87" s="209">
        <f ca="1">+SUM(AB87:AB$124)*SSSM</f>
        <v>0</v>
      </c>
      <c r="AD87" s="209">
        <f t="shared" ref="AD87" si="1792">IF(R87&gt;nB,0,AD86*(1-X86)*(1-Y86)*(1-AE86)*(1-AF86))</f>
        <v>0</v>
      </c>
      <c r="AE87" s="92">
        <f t="shared" ca="1" si="1506"/>
        <v>0</v>
      </c>
      <c r="AF87" s="92">
        <f t="shared" ca="1" si="1507"/>
        <v>0</v>
      </c>
      <c r="AG87" s="8">
        <f t="shared" ca="1" si="1508"/>
        <v>0</v>
      </c>
      <c r="AH87" s="5">
        <f ca="1">+SUM(AG87:AG$124)</f>
        <v>0</v>
      </c>
      <c r="AI87" s="70">
        <f t="shared" ca="1" si="1509"/>
        <v>0</v>
      </c>
      <c r="AJ87" s="208">
        <f ca="1">+SUM(AB87:AB$124)*SS50J</f>
        <v>0</v>
      </c>
      <c r="AK87" s="5">
        <f t="shared" ca="1" si="1545"/>
        <v>99999.012970709329</v>
      </c>
      <c r="AL87" s="2">
        <f t="shared" ref="AL87" ca="1" si="1793">IFERROR(VLOOKUP($S87,qx_table,MATCH(AL$11,qx_title,0)+sexB),0)</f>
        <v>0</v>
      </c>
      <c r="AM87" s="131">
        <f t="shared" ca="1" si="1547"/>
        <v>18847.205348616706</v>
      </c>
      <c r="AN87" s="129">
        <f t="shared" ca="1" si="1511"/>
        <v>0</v>
      </c>
      <c r="AO87" s="129">
        <f ca="1">SUM(AN87:AN$124)*SSa</f>
        <v>0</v>
      </c>
      <c r="AP87" s="70">
        <f t="shared" ca="1" si="1548"/>
        <v>99999.012970709329</v>
      </c>
      <c r="AQ87" s="2">
        <f t="shared" ref="AQ87" ca="1" si="1794">IFERROR(VLOOKUP($S87,qx_table,MATCH(AQ$11,qx_title,0)+sexB),0)</f>
        <v>0</v>
      </c>
      <c r="AR87" s="127">
        <f t="shared" ca="1" si="1550"/>
        <v>0</v>
      </c>
      <c r="AS87" s="127">
        <f ca="1">SUM(AR87:AR$124)*SSb</f>
        <v>0</v>
      </c>
      <c r="AT87" s="70">
        <f t="shared" ca="1" si="1551"/>
        <v>99999.012970709329</v>
      </c>
      <c r="AU87" s="2">
        <f t="shared" ref="AU87" ca="1" si="1795">IFERROR(VLOOKUP($S87,qx_table,MATCH(AU$11,qx_title,0)+sexB),0)</f>
        <v>0</v>
      </c>
      <c r="AV87" s="268">
        <f t="shared" ca="1" si="1553"/>
        <v>0</v>
      </c>
      <c r="AW87" s="131">
        <f ca="1">SUM(AV87:AV$124)*SSc</f>
        <v>0</v>
      </c>
      <c r="AX87" s="70">
        <f t="shared" ca="1" si="1554"/>
        <v>99999.012970709329</v>
      </c>
      <c r="AY87" s="2">
        <f t="shared" ref="AY87" ca="1" si="1796">IFERROR(VLOOKUP($S87,qx_table,MATCH(AY$11,qx_title,0)+sexB),0)</f>
        <v>0</v>
      </c>
      <c r="AZ87" s="268">
        <f t="shared" ca="1" si="1556"/>
        <v>0</v>
      </c>
      <c r="BA87" s="129">
        <f ca="1">SUM(AZ87:AZ$124)*SSd</f>
        <v>0</v>
      </c>
      <c r="BB87" s="70">
        <f t="shared" ca="1" si="1557"/>
        <v>99999.012970709329</v>
      </c>
      <c r="BC87" s="257">
        <f t="shared" ref="BC87" ca="1" si="1797">IFERROR(VLOOKUP($S87,qx_table,MATCH(BC$11,qx_title,0)+sexB),0)</f>
        <v>0</v>
      </c>
      <c r="BD87" s="268">
        <f t="shared" ca="1" si="1559"/>
        <v>0</v>
      </c>
      <c r="BE87" s="131">
        <f ca="1">SUM(BD87:BD$124)*SSe</f>
        <v>0</v>
      </c>
      <c r="BF87" s="70">
        <f t="shared" ca="1" si="1560"/>
        <v>99999.012970709329</v>
      </c>
      <c r="BG87" s="2">
        <f t="shared" ref="BG87" ca="1" si="1798">IFERROR(VLOOKUP($S87,qx_table,MATCH(BG$11,qx_title,0)+sexB),0)</f>
        <v>0</v>
      </c>
      <c r="BH87" s="131">
        <f t="shared" ca="1" si="1562"/>
        <v>0</v>
      </c>
      <c r="BI87" s="2">
        <f ca="1">SUM(BH87:BH$124)*SSf</f>
        <v>0</v>
      </c>
      <c r="BJ87" s="70">
        <f t="shared" ca="1" si="1563"/>
        <v>99999.012970709329</v>
      </c>
      <c r="BK87" s="2">
        <f t="shared" ref="BK87" ca="1" si="1799">IFERROR(VLOOKUP($S87,qx_table,MATCH(BK$11,qx_title,0)+sexB),0)</f>
        <v>0</v>
      </c>
      <c r="BL87" s="131">
        <f t="shared" ca="1" si="1565"/>
        <v>0</v>
      </c>
      <c r="BM87" s="131">
        <f ca="1">SUM(BL87:BL$124)*SSg</f>
        <v>0</v>
      </c>
      <c r="BN87" s="70">
        <f t="shared" ca="1" si="1566"/>
        <v>99999.012970709329</v>
      </c>
      <c r="BO87" s="2">
        <f t="shared" ref="BO87" ca="1" si="1800">IFERROR(VLOOKUP($S87,qx_table,MATCH(BO$11,qx_title,0)+sexB),0)</f>
        <v>0</v>
      </c>
      <c r="BP87" s="131">
        <f t="shared" ca="1" si="1568"/>
        <v>0</v>
      </c>
      <c r="BQ87" s="131">
        <f ca="1">SUM(BP87:BP$124)*SSh</f>
        <v>0</v>
      </c>
      <c r="BR87" s="70">
        <f t="shared" ca="1" si="1569"/>
        <v>99999.012970709329</v>
      </c>
      <c r="BS87" s="2">
        <f t="shared" ref="BS87" ca="1" si="1801">IFERROR(VLOOKUP($S87,qx_table,MATCH(BS$11,qx_title,0)+sexB),0)*IF(R87=0,MCi,1)</f>
        <v>0</v>
      </c>
      <c r="BT87" s="131">
        <f t="shared" ca="1" si="1571"/>
        <v>0</v>
      </c>
      <c r="BU87" s="131">
        <f ca="1">SUM(BT87:BT$124)*SSi</f>
        <v>0</v>
      </c>
      <c r="BV87" s="70">
        <f t="shared" ca="1" si="1572"/>
        <v>99999.012970709329</v>
      </c>
      <c r="BW87" s="2">
        <f t="shared" ref="BW87" ca="1" si="1802">IFERROR(VLOOKUP($S87,qx_table,MATCH(BW$11,qx_title,0)+sexB),0)</f>
        <v>0</v>
      </c>
      <c r="BX87" s="131">
        <f t="shared" ca="1" si="1574"/>
        <v>0</v>
      </c>
      <c r="BY87" s="131">
        <f ca="1">SUM(BX87:BX$124)*SSj</f>
        <v>0</v>
      </c>
      <c r="BZ87" s="70">
        <f t="shared" ca="1" si="1575"/>
        <v>99999.012970709329</v>
      </c>
      <c r="CA87" s="2">
        <f t="shared" ref="CA87" ca="1" si="1803">IFERROR(VLOOKUP($S87,qx_table,MATCH(CA$11,qx_title,0)+sexB),0)</f>
        <v>0</v>
      </c>
      <c r="CB87" s="131">
        <f t="shared" ca="1" si="1577"/>
        <v>0</v>
      </c>
      <c r="CC87" s="131">
        <f ca="1">SUM(CB87:CB$124)*SSk</f>
        <v>0</v>
      </c>
      <c r="CD87" s="8">
        <f t="shared" ca="1" si="1578"/>
        <v>99999.012970709329</v>
      </c>
      <c r="CE87" s="2">
        <f t="shared" ref="CE87" ca="1" si="1804">IFERROR(VLOOKUP($S87,qx_table,MATCH(CE$11,qx_title,0)+sexB),0)</f>
        <v>0</v>
      </c>
      <c r="CF87" s="131">
        <f t="shared" ca="1" si="1580"/>
        <v>0</v>
      </c>
      <c r="CG87" s="131">
        <f ca="1">SUM(CF87:CF$124)*SSl</f>
        <v>0</v>
      </c>
      <c r="CH87" s="101">
        <f t="shared" ca="1" si="1581"/>
        <v>0</v>
      </c>
      <c r="CI87" s="154">
        <f t="shared" ca="1" si="1523"/>
        <v>0</v>
      </c>
      <c r="CJ87" s="32">
        <f t="shared" ca="1" si="1524"/>
        <v>0</v>
      </c>
      <c r="CK87" s="32">
        <f t="shared" ref="CK87" ca="1" si="1805">+MAX(VLOOKUP(xB+$R87,기수표B,$AH$1)-VLOOKUP(xB+mB,기수표B,$AH$1)-11/24*(VLOOKUP(xB+$R87,기수표B,$AG$1)-VLOOKUP(xB+mB,기수표B,$AG$1)),0)</f>
        <v>0</v>
      </c>
      <c r="CL87" s="32">
        <f t="shared" ref="CL87" ca="1" si="1806">+MAX(VLOOKUP(xB+$R87,기수표B,$AA$1)-VLOOKUP(xB+mB,기수표B,$AA$1),0)</f>
        <v>0</v>
      </c>
      <c r="CM87" s="32">
        <f t="shared" ref="CM87" ca="1" si="1807">+MAX(VLOOKUP(xB+$R87,기수표B,$AA$1)-VLOOKUP(xB+mB,기수표B,$AA$1)-11/24*(VLOOKUP(xB+$R87,기수표B,$AA$1)-VLOOKUP(xB+mB,기수표B,$AA$1)),0)</f>
        <v>0</v>
      </c>
      <c r="CN87" s="32">
        <f t="shared" si="1528"/>
        <v>0</v>
      </c>
      <c r="CO87" s="32">
        <f t="shared" ca="1" si="1529"/>
        <v>0</v>
      </c>
      <c r="CP87" s="32">
        <f t="shared" ca="1" si="1530"/>
        <v>0</v>
      </c>
      <c r="CQ87" s="262">
        <f t="shared" ca="1" si="1531"/>
        <v>0</v>
      </c>
      <c r="CR87" s="259" t="e">
        <f t="shared" ca="1" si="1532"/>
        <v>#DIV/0!</v>
      </c>
      <c r="CS87" s="32">
        <f t="shared" ca="1" si="1533"/>
        <v>1.5999999999999999E-5</v>
      </c>
      <c r="CT87" s="31">
        <f t="shared" ref="CT87" si="1808">+MIN(mB,7)</f>
        <v>7</v>
      </c>
      <c r="CV87" s="13">
        <v>75</v>
      </c>
      <c r="CW87" s="477">
        <f t="shared" ca="1" si="1535"/>
        <v>480</v>
      </c>
      <c r="CX87" s="477" t="e">
        <f t="shared" ca="1" si="1536"/>
        <v>#DIV/0!</v>
      </c>
      <c r="CY87" s="477">
        <f t="shared" ca="1" si="1537"/>
        <v>0</v>
      </c>
      <c r="CZ87" s="478">
        <f t="shared" ca="1" si="1586"/>
        <v>0</v>
      </c>
    </row>
    <row r="88" spans="14:104">
      <c r="N88" s="5">
        <f t="shared" si="1587"/>
        <v>76</v>
      </c>
      <c r="O88" s="2">
        <f t="shared" ref="O88" ca="1" si="1809">+(1+iB)^-N88</f>
        <v>0.18432656604293529</v>
      </c>
      <c r="P88" s="2">
        <f t="shared" ref="P88" ca="1" si="1810">+(1+iB)^-(N88+0.5)</f>
        <v>0.18228724195923743</v>
      </c>
      <c r="Q88" s="91"/>
      <c r="R88" s="20">
        <f t="shared" si="1590"/>
        <v>76</v>
      </c>
      <c r="S88" s="20" t="str">
        <f t="shared" ref="S88" si="1811">+IF(xB+R88&lt;=xB+nB,xB+R88,"")</f>
        <v/>
      </c>
      <c r="T88" s="2">
        <f t="shared" ref="T88:U88" ca="1" si="1812">IFERROR(VLOOKUP($S88,qx_table,MATCH(T$11,qx_title,0)+sexB),0)</f>
        <v>0</v>
      </c>
      <c r="U88" s="2">
        <f t="shared" ca="1" si="1812"/>
        <v>0</v>
      </c>
      <c r="V88" s="300">
        <v>0</v>
      </c>
      <c r="W88" s="8">
        <f t="shared" ref="W88" si="1813">IF(R88=0,100000,IF(R88&gt;nB,0,W87*(1-X87)*(1-Y87)))</f>
        <v>0</v>
      </c>
      <c r="X88" s="10">
        <f t="shared" ca="1" si="1502"/>
        <v>0</v>
      </c>
      <c r="Y88" s="10">
        <f t="shared" ca="1" si="1503"/>
        <v>0</v>
      </c>
      <c r="Z88" s="5">
        <f t="shared" ca="1" si="1543"/>
        <v>0</v>
      </c>
      <c r="AA88" s="5">
        <f ca="1">+SUM(Z88:Z$124)</f>
        <v>0</v>
      </c>
      <c r="AB88" s="8">
        <f t="shared" ca="1" si="1504"/>
        <v>0</v>
      </c>
      <c r="AC88" s="209">
        <f ca="1">+SUM(AB88:AB$124)*SSSM</f>
        <v>0</v>
      </c>
      <c r="AD88" s="209">
        <f t="shared" ref="AD88" si="1814">IF(R88&gt;nB,0,AD87*(1-X87)*(1-Y87)*(1-AE87)*(1-AF87))</f>
        <v>0</v>
      </c>
      <c r="AE88" s="92">
        <f t="shared" ca="1" si="1506"/>
        <v>0</v>
      </c>
      <c r="AF88" s="92">
        <f t="shared" ca="1" si="1507"/>
        <v>0</v>
      </c>
      <c r="AG88" s="8">
        <f t="shared" ca="1" si="1508"/>
        <v>0</v>
      </c>
      <c r="AH88" s="5">
        <f ca="1">+SUM(AG88:AG$124)</f>
        <v>0</v>
      </c>
      <c r="AI88" s="70">
        <f t="shared" ca="1" si="1509"/>
        <v>0</v>
      </c>
      <c r="AJ88" s="208">
        <f ca="1">+SUM(AB88:AB$124)*SS50J</f>
        <v>0</v>
      </c>
      <c r="AK88" s="5">
        <f t="shared" ca="1" si="1545"/>
        <v>99999.012970709329</v>
      </c>
      <c r="AL88" s="2">
        <f t="shared" ref="AL88" ca="1" si="1815">IFERROR(VLOOKUP($S88,qx_table,MATCH(AL$11,qx_title,0)+sexB),0)</f>
        <v>0</v>
      </c>
      <c r="AM88" s="131">
        <f t="shared" ca="1" si="1547"/>
        <v>18432.474668573795</v>
      </c>
      <c r="AN88" s="129">
        <f t="shared" ca="1" si="1511"/>
        <v>0</v>
      </c>
      <c r="AO88" s="129">
        <f ca="1">SUM(AN88:AN$124)*SSa</f>
        <v>0</v>
      </c>
      <c r="AP88" s="70">
        <f t="shared" ca="1" si="1548"/>
        <v>99999.012970709329</v>
      </c>
      <c r="AQ88" s="2">
        <f t="shared" ref="AQ88" ca="1" si="1816">IFERROR(VLOOKUP($S88,qx_table,MATCH(AQ$11,qx_title,0)+sexB),0)</f>
        <v>0</v>
      </c>
      <c r="AR88" s="127">
        <f t="shared" ca="1" si="1550"/>
        <v>0</v>
      </c>
      <c r="AS88" s="127">
        <f ca="1">SUM(AR88:AR$124)*SSb</f>
        <v>0</v>
      </c>
      <c r="AT88" s="70">
        <f t="shared" ca="1" si="1551"/>
        <v>99999.012970709329</v>
      </c>
      <c r="AU88" s="2">
        <f t="shared" ref="AU88" ca="1" si="1817">IFERROR(VLOOKUP($S88,qx_table,MATCH(AU$11,qx_title,0)+sexB),0)</f>
        <v>0</v>
      </c>
      <c r="AV88" s="268">
        <f t="shared" ca="1" si="1553"/>
        <v>0</v>
      </c>
      <c r="AW88" s="131">
        <f ca="1">SUM(AV88:AV$124)*SSc</f>
        <v>0</v>
      </c>
      <c r="AX88" s="70">
        <f t="shared" ca="1" si="1554"/>
        <v>99999.012970709329</v>
      </c>
      <c r="AY88" s="2">
        <f t="shared" ref="AY88" ca="1" si="1818">IFERROR(VLOOKUP($S88,qx_table,MATCH(AY$11,qx_title,0)+sexB),0)</f>
        <v>0</v>
      </c>
      <c r="AZ88" s="268">
        <f t="shared" ca="1" si="1556"/>
        <v>0</v>
      </c>
      <c r="BA88" s="129">
        <f ca="1">SUM(AZ88:AZ$124)*SSd</f>
        <v>0</v>
      </c>
      <c r="BB88" s="70">
        <f t="shared" ca="1" si="1557"/>
        <v>99999.012970709329</v>
      </c>
      <c r="BC88" s="257">
        <f t="shared" ref="BC88" ca="1" si="1819">IFERROR(VLOOKUP($S88,qx_table,MATCH(BC$11,qx_title,0)+sexB),0)</f>
        <v>0</v>
      </c>
      <c r="BD88" s="268">
        <f t="shared" ca="1" si="1559"/>
        <v>0</v>
      </c>
      <c r="BE88" s="131">
        <f ca="1">SUM(BD88:BD$124)*SSe</f>
        <v>0</v>
      </c>
      <c r="BF88" s="70">
        <f t="shared" ca="1" si="1560"/>
        <v>99999.012970709329</v>
      </c>
      <c r="BG88" s="2">
        <f t="shared" ref="BG88" ca="1" si="1820">IFERROR(VLOOKUP($S88,qx_table,MATCH(BG$11,qx_title,0)+sexB),0)</f>
        <v>0</v>
      </c>
      <c r="BH88" s="131">
        <f t="shared" ca="1" si="1562"/>
        <v>0</v>
      </c>
      <c r="BI88" s="2">
        <f ca="1">SUM(BH88:BH$124)*SSf</f>
        <v>0</v>
      </c>
      <c r="BJ88" s="70">
        <f t="shared" ca="1" si="1563"/>
        <v>99999.012970709329</v>
      </c>
      <c r="BK88" s="2">
        <f t="shared" ref="BK88" ca="1" si="1821">IFERROR(VLOOKUP($S88,qx_table,MATCH(BK$11,qx_title,0)+sexB),0)</f>
        <v>0</v>
      </c>
      <c r="BL88" s="131">
        <f t="shared" ca="1" si="1565"/>
        <v>0</v>
      </c>
      <c r="BM88" s="131">
        <f ca="1">SUM(BL88:BL$124)*SSg</f>
        <v>0</v>
      </c>
      <c r="BN88" s="70">
        <f t="shared" ca="1" si="1566"/>
        <v>99999.012970709329</v>
      </c>
      <c r="BO88" s="2">
        <f t="shared" ref="BO88" ca="1" si="1822">IFERROR(VLOOKUP($S88,qx_table,MATCH(BO$11,qx_title,0)+sexB),0)</f>
        <v>0</v>
      </c>
      <c r="BP88" s="131">
        <f t="shared" ca="1" si="1568"/>
        <v>0</v>
      </c>
      <c r="BQ88" s="131">
        <f ca="1">SUM(BP88:BP$124)*SSh</f>
        <v>0</v>
      </c>
      <c r="BR88" s="70">
        <f t="shared" ca="1" si="1569"/>
        <v>99999.012970709329</v>
      </c>
      <c r="BS88" s="2">
        <f t="shared" ref="BS88" ca="1" si="1823">IFERROR(VLOOKUP($S88,qx_table,MATCH(BS$11,qx_title,0)+sexB),0)*IF(R88=0,MCi,1)</f>
        <v>0</v>
      </c>
      <c r="BT88" s="131">
        <f t="shared" ca="1" si="1571"/>
        <v>0</v>
      </c>
      <c r="BU88" s="131">
        <f ca="1">SUM(BT88:BT$124)*SSi</f>
        <v>0</v>
      </c>
      <c r="BV88" s="70">
        <f t="shared" ca="1" si="1572"/>
        <v>99999.012970709329</v>
      </c>
      <c r="BW88" s="2">
        <f t="shared" ref="BW88" ca="1" si="1824">IFERROR(VLOOKUP($S88,qx_table,MATCH(BW$11,qx_title,0)+sexB),0)</f>
        <v>0</v>
      </c>
      <c r="BX88" s="131">
        <f t="shared" ca="1" si="1574"/>
        <v>0</v>
      </c>
      <c r="BY88" s="131">
        <f ca="1">SUM(BX88:BX$124)*SSj</f>
        <v>0</v>
      </c>
      <c r="BZ88" s="70">
        <f t="shared" ca="1" si="1575"/>
        <v>99999.012970709329</v>
      </c>
      <c r="CA88" s="2">
        <f t="shared" ref="CA88" ca="1" si="1825">IFERROR(VLOOKUP($S88,qx_table,MATCH(CA$11,qx_title,0)+sexB),0)</f>
        <v>0</v>
      </c>
      <c r="CB88" s="131">
        <f t="shared" ca="1" si="1577"/>
        <v>0</v>
      </c>
      <c r="CC88" s="131">
        <f ca="1">SUM(CB88:CB$124)*SSk</f>
        <v>0</v>
      </c>
      <c r="CD88" s="8">
        <f t="shared" ca="1" si="1578"/>
        <v>99999.012970709329</v>
      </c>
      <c r="CE88" s="2">
        <f t="shared" ref="CE88" ca="1" si="1826">IFERROR(VLOOKUP($S88,qx_table,MATCH(CE$11,qx_title,0)+sexB),0)</f>
        <v>0</v>
      </c>
      <c r="CF88" s="131">
        <f t="shared" ca="1" si="1580"/>
        <v>0</v>
      </c>
      <c r="CG88" s="131">
        <f ca="1">SUM(CF88:CF$124)*SSl</f>
        <v>0</v>
      </c>
      <c r="CH88" s="101">
        <f t="shared" ca="1" si="1581"/>
        <v>0</v>
      </c>
      <c r="CI88" s="154">
        <f t="shared" ca="1" si="1523"/>
        <v>0</v>
      </c>
      <c r="CJ88" s="32">
        <f t="shared" ca="1" si="1524"/>
        <v>0</v>
      </c>
      <c r="CK88" s="32">
        <f t="shared" ref="CK88" ca="1" si="1827">+MAX(VLOOKUP(xB+$R88,기수표B,$AH$1)-VLOOKUP(xB+mB,기수표B,$AH$1)-11/24*(VLOOKUP(xB+$R88,기수표B,$AG$1)-VLOOKUP(xB+mB,기수표B,$AG$1)),0)</f>
        <v>0</v>
      </c>
      <c r="CL88" s="32">
        <f t="shared" ref="CL88" ca="1" si="1828">+MAX(VLOOKUP(xB+$R88,기수표B,$AA$1)-VLOOKUP(xB+mB,기수표B,$AA$1),0)</f>
        <v>0</v>
      </c>
      <c r="CM88" s="32">
        <f t="shared" ref="CM88" ca="1" si="1829">+MAX(VLOOKUP(xB+$R88,기수표B,$AA$1)-VLOOKUP(xB+mB,기수표B,$AA$1)-11/24*(VLOOKUP(xB+$R88,기수표B,$AA$1)-VLOOKUP(xB+mB,기수표B,$AA$1)),0)</f>
        <v>0</v>
      </c>
      <c r="CN88" s="32">
        <f t="shared" si="1528"/>
        <v>0</v>
      </c>
      <c r="CO88" s="32">
        <f t="shared" ca="1" si="1529"/>
        <v>0</v>
      </c>
      <c r="CP88" s="32">
        <f t="shared" ca="1" si="1530"/>
        <v>0</v>
      </c>
      <c r="CQ88" s="262">
        <f t="shared" ca="1" si="1531"/>
        <v>0</v>
      </c>
      <c r="CR88" s="259" t="e">
        <f t="shared" ca="1" si="1532"/>
        <v>#DIV/0!</v>
      </c>
      <c r="CS88" s="32">
        <f t="shared" ca="1" si="1533"/>
        <v>1.5999999999999999E-5</v>
      </c>
      <c r="CT88" s="31">
        <f t="shared" ref="CT88" si="1830">+MIN(mB,7)</f>
        <v>7</v>
      </c>
      <c r="CV88" s="13">
        <v>76</v>
      </c>
      <c r="CW88" s="477">
        <f t="shared" ca="1" si="1535"/>
        <v>480</v>
      </c>
      <c r="CX88" s="477" t="e">
        <f t="shared" ca="1" si="1536"/>
        <v>#DIV/0!</v>
      </c>
      <c r="CY88" s="477">
        <f t="shared" ca="1" si="1537"/>
        <v>0</v>
      </c>
      <c r="CZ88" s="478">
        <f t="shared" ca="1" si="1586"/>
        <v>0</v>
      </c>
    </row>
    <row r="89" spans="14:104">
      <c r="N89" s="5">
        <f t="shared" si="1587"/>
        <v>77</v>
      </c>
      <c r="O89" s="2">
        <f t="shared" ref="O89" ca="1" si="1831">+(1+iB)^-N89</f>
        <v>0.18027048023758951</v>
      </c>
      <c r="P89" s="2">
        <f t="shared" ref="P89" ca="1" si="1832">+(1+iB)^-(N89+0.5)</f>
        <v>0.17827603125597791</v>
      </c>
      <c r="Q89" s="91"/>
      <c r="R89" s="20">
        <f t="shared" si="1590"/>
        <v>77</v>
      </c>
      <c r="S89" s="20" t="str">
        <f t="shared" ref="S89" si="1833">+IF(xB+R89&lt;=xB+nB,xB+R89,"")</f>
        <v/>
      </c>
      <c r="T89" s="2">
        <f t="shared" ref="T89:U89" ca="1" si="1834">IFERROR(VLOOKUP($S89,qx_table,MATCH(T$11,qx_title,0)+sexB),0)</f>
        <v>0</v>
      </c>
      <c r="U89" s="2">
        <f t="shared" ca="1" si="1834"/>
        <v>0</v>
      </c>
      <c r="V89" s="300">
        <v>0</v>
      </c>
      <c r="W89" s="8">
        <f t="shared" ref="W89" si="1835">IF(R89=0,100000,IF(R89&gt;nB,0,W88*(1-X88)*(1-Y88)))</f>
        <v>0</v>
      </c>
      <c r="X89" s="10">
        <f t="shared" ca="1" si="1502"/>
        <v>0</v>
      </c>
      <c r="Y89" s="10">
        <f t="shared" ca="1" si="1503"/>
        <v>0</v>
      </c>
      <c r="Z89" s="5">
        <f t="shared" ca="1" si="1543"/>
        <v>0</v>
      </c>
      <c r="AA89" s="5">
        <f ca="1">+SUM(Z89:Z$124)</f>
        <v>0</v>
      </c>
      <c r="AB89" s="8">
        <f t="shared" ca="1" si="1504"/>
        <v>0</v>
      </c>
      <c r="AC89" s="209">
        <f ca="1">+SUM(AB89:AB$124)*SSSM</f>
        <v>0</v>
      </c>
      <c r="AD89" s="209">
        <f t="shared" ref="AD89" si="1836">IF(R89&gt;nB,0,AD88*(1-X88)*(1-Y88)*(1-AE88)*(1-AF88))</f>
        <v>0</v>
      </c>
      <c r="AE89" s="92">
        <f t="shared" ca="1" si="1506"/>
        <v>0</v>
      </c>
      <c r="AF89" s="92">
        <f t="shared" ca="1" si="1507"/>
        <v>0</v>
      </c>
      <c r="AG89" s="8">
        <f t="shared" ca="1" si="1508"/>
        <v>0</v>
      </c>
      <c r="AH89" s="5">
        <f ca="1">+SUM(AG89:AG$124)</f>
        <v>0</v>
      </c>
      <c r="AI89" s="70">
        <f t="shared" ca="1" si="1509"/>
        <v>0</v>
      </c>
      <c r="AJ89" s="208">
        <f ca="1">+SUM(AB89:AB$124)*SS50J</f>
        <v>0</v>
      </c>
      <c r="AK89" s="5">
        <f t="shared" ca="1" si="1545"/>
        <v>99999.012970709329</v>
      </c>
      <c r="AL89" s="2">
        <f t="shared" ref="AL89" ca="1" si="1837">IFERROR(VLOOKUP($S89,qx_table,MATCH(AL$11,qx_title,0)+sexB),0)</f>
        <v>0</v>
      </c>
      <c r="AM89" s="131">
        <f t="shared" ca="1" si="1547"/>
        <v>18026.870091514713</v>
      </c>
      <c r="AN89" s="129">
        <f t="shared" ca="1" si="1511"/>
        <v>0</v>
      </c>
      <c r="AO89" s="129">
        <f ca="1">SUM(AN89:AN$124)*SSa</f>
        <v>0</v>
      </c>
      <c r="AP89" s="70">
        <f t="shared" ca="1" si="1548"/>
        <v>99999.012970709329</v>
      </c>
      <c r="AQ89" s="2">
        <f t="shared" ref="AQ89" ca="1" si="1838">IFERROR(VLOOKUP($S89,qx_table,MATCH(AQ$11,qx_title,0)+sexB),0)</f>
        <v>0</v>
      </c>
      <c r="AR89" s="127">
        <f t="shared" ca="1" si="1550"/>
        <v>0</v>
      </c>
      <c r="AS89" s="127">
        <f ca="1">SUM(AR89:AR$124)*SSb</f>
        <v>0</v>
      </c>
      <c r="AT89" s="70">
        <f t="shared" ca="1" si="1551"/>
        <v>99999.012970709329</v>
      </c>
      <c r="AU89" s="2">
        <f t="shared" ref="AU89" ca="1" si="1839">IFERROR(VLOOKUP($S89,qx_table,MATCH(AU$11,qx_title,0)+sexB),0)</f>
        <v>0</v>
      </c>
      <c r="AV89" s="268">
        <f t="shared" ca="1" si="1553"/>
        <v>0</v>
      </c>
      <c r="AW89" s="131">
        <f ca="1">SUM(AV89:AV$124)*SSc</f>
        <v>0</v>
      </c>
      <c r="AX89" s="70">
        <f t="shared" ca="1" si="1554"/>
        <v>99999.012970709329</v>
      </c>
      <c r="AY89" s="2">
        <f t="shared" ref="AY89" ca="1" si="1840">IFERROR(VLOOKUP($S89,qx_table,MATCH(AY$11,qx_title,0)+sexB),0)</f>
        <v>0</v>
      </c>
      <c r="AZ89" s="268">
        <f t="shared" ca="1" si="1556"/>
        <v>0</v>
      </c>
      <c r="BA89" s="129">
        <f ca="1">SUM(AZ89:AZ$124)*SSd</f>
        <v>0</v>
      </c>
      <c r="BB89" s="70">
        <f t="shared" ca="1" si="1557"/>
        <v>99999.012970709329</v>
      </c>
      <c r="BC89" s="257">
        <f t="shared" ref="BC89" ca="1" si="1841">IFERROR(VLOOKUP($S89,qx_table,MATCH(BC$11,qx_title,0)+sexB),0)</f>
        <v>0</v>
      </c>
      <c r="BD89" s="268">
        <f t="shared" ca="1" si="1559"/>
        <v>0</v>
      </c>
      <c r="BE89" s="131">
        <f ca="1">SUM(BD89:BD$124)*SSe</f>
        <v>0</v>
      </c>
      <c r="BF89" s="70">
        <f t="shared" ca="1" si="1560"/>
        <v>99999.012970709329</v>
      </c>
      <c r="BG89" s="2">
        <f t="shared" ref="BG89" ca="1" si="1842">IFERROR(VLOOKUP($S89,qx_table,MATCH(BG$11,qx_title,0)+sexB),0)</f>
        <v>0</v>
      </c>
      <c r="BH89" s="131">
        <f t="shared" ca="1" si="1562"/>
        <v>0</v>
      </c>
      <c r="BI89" s="2">
        <f ca="1">SUM(BH89:BH$124)*SSf</f>
        <v>0</v>
      </c>
      <c r="BJ89" s="70">
        <f t="shared" ca="1" si="1563"/>
        <v>99999.012970709329</v>
      </c>
      <c r="BK89" s="2">
        <f t="shared" ref="BK89" ca="1" si="1843">IFERROR(VLOOKUP($S89,qx_table,MATCH(BK$11,qx_title,0)+sexB),0)</f>
        <v>0</v>
      </c>
      <c r="BL89" s="131">
        <f t="shared" ca="1" si="1565"/>
        <v>0</v>
      </c>
      <c r="BM89" s="131">
        <f ca="1">SUM(BL89:BL$124)*SSg</f>
        <v>0</v>
      </c>
      <c r="BN89" s="70">
        <f t="shared" ca="1" si="1566"/>
        <v>99999.012970709329</v>
      </c>
      <c r="BO89" s="2">
        <f t="shared" ref="BO89" ca="1" si="1844">IFERROR(VLOOKUP($S89,qx_table,MATCH(BO$11,qx_title,0)+sexB),0)</f>
        <v>0</v>
      </c>
      <c r="BP89" s="131">
        <f t="shared" ca="1" si="1568"/>
        <v>0</v>
      </c>
      <c r="BQ89" s="131">
        <f ca="1">SUM(BP89:BP$124)*SSh</f>
        <v>0</v>
      </c>
      <c r="BR89" s="70">
        <f t="shared" ca="1" si="1569"/>
        <v>99999.012970709329</v>
      </c>
      <c r="BS89" s="2">
        <f t="shared" ref="BS89" ca="1" si="1845">IFERROR(VLOOKUP($S89,qx_table,MATCH(BS$11,qx_title,0)+sexB),0)*IF(R89=0,MCi,1)</f>
        <v>0</v>
      </c>
      <c r="BT89" s="131">
        <f t="shared" ca="1" si="1571"/>
        <v>0</v>
      </c>
      <c r="BU89" s="131">
        <f ca="1">SUM(BT89:BT$124)*SSi</f>
        <v>0</v>
      </c>
      <c r="BV89" s="70">
        <f t="shared" ca="1" si="1572"/>
        <v>99999.012970709329</v>
      </c>
      <c r="BW89" s="2">
        <f t="shared" ref="BW89" ca="1" si="1846">IFERROR(VLOOKUP($S89,qx_table,MATCH(BW$11,qx_title,0)+sexB),0)</f>
        <v>0</v>
      </c>
      <c r="BX89" s="131">
        <f t="shared" ca="1" si="1574"/>
        <v>0</v>
      </c>
      <c r="BY89" s="131">
        <f ca="1">SUM(BX89:BX$124)*SSj</f>
        <v>0</v>
      </c>
      <c r="BZ89" s="70">
        <f t="shared" ca="1" si="1575"/>
        <v>99999.012970709329</v>
      </c>
      <c r="CA89" s="2">
        <f t="shared" ref="CA89" ca="1" si="1847">IFERROR(VLOOKUP($S89,qx_table,MATCH(CA$11,qx_title,0)+sexB),0)</f>
        <v>0</v>
      </c>
      <c r="CB89" s="131">
        <f t="shared" ca="1" si="1577"/>
        <v>0</v>
      </c>
      <c r="CC89" s="131">
        <f ca="1">SUM(CB89:CB$124)*SSk</f>
        <v>0</v>
      </c>
      <c r="CD89" s="8">
        <f t="shared" ca="1" si="1578"/>
        <v>99999.012970709329</v>
      </c>
      <c r="CE89" s="2">
        <f t="shared" ref="CE89" ca="1" si="1848">IFERROR(VLOOKUP($S89,qx_table,MATCH(CE$11,qx_title,0)+sexB),0)</f>
        <v>0</v>
      </c>
      <c r="CF89" s="131">
        <f t="shared" ca="1" si="1580"/>
        <v>0</v>
      </c>
      <c r="CG89" s="131">
        <f ca="1">SUM(CF89:CF$124)*SSl</f>
        <v>0</v>
      </c>
      <c r="CH89" s="101">
        <f t="shared" ca="1" si="1581"/>
        <v>0</v>
      </c>
      <c r="CI89" s="154">
        <f t="shared" ca="1" si="1523"/>
        <v>0</v>
      </c>
      <c r="CJ89" s="32">
        <f t="shared" ca="1" si="1524"/>
        <v>0</v>
      </c>
      <c r="CK89" s="32">
        <f t="shared" ref="CK89" ca="1" si="1849">+MAX(VLOOKUP(xB+$R89,기수표B,$AH$1)-VLOOKUP(xB+mB,기수표B,$AH$1)-11/24*(VLOOKUP(xB+$R89,기수표B,$AG$1)-VLOOKUP(xB+mB,기수표B,$AG$1)),0)</f>
        <v>0</v>
      </c>
      <c r="CL89" s="32">
        <f t="shared" ref="CL89" ca="1" si="1850">+MAX(VLOOKUP(xB+$R89,기수표B,$AA$1)-VLOOKUP(xB+mB,기수표B,$AA$1),0)</f>
        <v>0</v>
      </c>
      <c r="CM89" s="32">
        <f t="shared" ref="CM89" ca="1" si="1851">+MAX(VLOOKUP(xB+$R89,기수표B,$AA$1)-VLOOKUP(xB+mB,기수표B,$AA$1)-11/24*(VLOOKUP(xB+$R89,기수표B,$AA$1)-VLOOKUP(xB+mB,기수표B,$AA$1)),0)</f>
        <v>0</v>
      </c>
      <c r="CN89" s="32">
        <f t="shared" si="1528"/>
        <v>0</v>
      </c>
      <c r="CO89" s="32">
        <f t="shared" ca="1" si="1529"/>
        <v>0</v>
      </c>
      <c r="CP89" s="32">
        <f t="shared" ca="1" si="1530"/>
        <v>0</v>
      </c>
      <c r="CQ89" s="262">
        <f t="shared" ca="1" si="1531"/>
        <v>0</v>
      </c>
      <c r="CR89" s="259" t="e">
        <f t="shared" ca="1" si="1532"/>
        <v>#DIV/0!</v>
      </c>
      <c r="CS89" s="32">
        <f t="shared" ca="1" si="1533"/>
        <v>1.5999999999999999E-5</v>
      </c>
      <c r="CT89" s="31">
        <f t="shared" ref="CT89" si="1852">+MIN(mB,7)</f>
        <v>7</v>
      </c>
      <c r="CV89" s="13">
        <v>77</v>
      </c>
      <c r="CW89" s="477">
        <f t="shared" ca="1" si="1535"/>
        <v>480</v>
      </c>
      <c r="CX89" s="477" t="e">
        <f t="shared" ca="1" si="1536"/>
        <v>#DIV/0!</v>
      </c>
      <c r="CY89" s="477">
        <f t="shared" ca="1" si="1537"/>
        <v>0</v>
      </c>
      <c r="CZ89" s="478">
        <f t="shared" ca="1" si="1586"/>
        <v>0</v>
      </c>
    </row>
    <row r="90" spans="14:104">
      <c r="N90" s="5">
        <f t="shared" si="1587"/>
        <v>78</v>
      </c>
      <c r="O90" s="2">
        <f t="shared" ref="O90" ca="1" si="1853">+(1+iB)^-N90</f>
        <v>0.17630364815412175</v>
      </c>
      <c r="P90" s="2">
        <f t="shared" ref="P90" ca="1" si="1854">+(1+iB)^-(N90+0.5)</f>
        <v>0.17435308680291239</v>
      </c>
      <c r="Q90" s="91"/>
      <c r="R90" s="20">
        <f t="shared" si="1590"/>
        <v>78</v>
      </c>
      <c r="S90" s="20" t="str">
        <f t="shared" ref="S90" si="1855">+IF(xB+R90&lt;=xB+nB,xB+R90,"")</f>
        <v/>
      </c>
      <c r="T90" s="2">
        <f t="shared" ref="T90:U90" ca="1" si="1856">IFERROR(VLOOKUP($S90,qx_table,MATCH(T$11,qx_title,0)+sexB),0)</f>
        <v>0</v>
      </c>
      <c r="U90" s="2">
        <f t="shared" ca="1" si="1856"/>
        <v>0</v>
      </c>
      <c r="V90" s="300">
        <v>0</v>
      </c>
      <c r="W90" s="8">
        <f t="shared" ref="W90" si="1857">IF(R90=0,100000,IF(R90&gt;nB,0,W89*(1-X89)*(1-Y89)))</f>
        <v>0</v>
      </c>
      <c r="X90" s="10">
        <f t="shared" ca="1" si="1502"/>
        <v>0</v>
      </c>
      <c r="Y90" s="10">
        <f t="shared" ca="1" si="1503"/>
        <v>0</v>
      </c>
      <c r="Z90" s="5">
        <f t="shared" ca="1" si="1543"/>
        <v>0</v>
      </c>
      <c r="AA90" s="5">
        <f ca="1">+SUM(Z90:Z$124)</f>
        <v>0</v>
      </c>
      <c r="AB90" s="8">
        <f t="shared" ca="1" si="1504"/>
        <v>0</v>
      </c>
      <c r="AC90" s="209">
        <f ca="1">+SUM(AB90:AB$124)*SSSM</f>
        <v>0</v>
      </c>
      <c r="AD90" s="209">
        <f t="shared" ref="AD90" si="1858">IF(R90&gt;nB,0,AD89*(1-X89)*(1-Y89)*(1-AE89)*(1-AF89))</f>
        <v>0</v>
      </c>
      <c r="AE90" s="92">
        <f t="shared" ca="1" si="1506"/>
        <v>0</v>
      </c>
      <c r="AF90" s="92">
        <f t="shared" ca="1" si="1507"/>
        <v>0</v>
      </c>
      <c r="AG90" s="8">
        <f t="shared" ca="1" si="1508"/>
        <v>0</v>
      </c>
      <c r="AH90" s="5">
        <f ca="1">+SUM(AG90:AG$124)</f>
        <v>0</v>
      </c>
      <c r="AI90" s="70">
        <f t="shared" ca="1" si="1509"/>
        <v>0</v>
      </c>
      <c r="AJ90" s="208">
        <f ca="1">+SUM(AB90:AB$124)*SS50J</f>
        <v>0</v>
      </c>
      <c r="AK90" s="5">
        <f t="shared" ca="1" si="1545"/>
        <v>99999.012970709329</v>
      </c>
      <c r="AL90" s="2">
        <f t="shared" ref="AL90" ca="1" si="1859">IFERROR(VLOOKUP($S90,qx_table,MATCH(AL$11,qx_title,0)+sexB),0)</f>
        <v>0</v>
      </c>
      <c r="AM90" s="131">
        <f t="shared" ca="1" si="1547"/>
        <v>17630.190798547395</v>
      </c>
      <c r="AN90" s="129">
        <f t="shared" ca="1" si="1511"/>
        <v>0</v>
      </c>
      <c r="AO90" s="129">
        <f ca="1">SUM(AN90:AN$124)*SSa</f>
        <v>0</v>
      </c>
      <c r="AP90" s="70">
        <f t="shared" ca="1" si="1548"/>
        <v>99999.012970709329</v>
      </c>
      <c r="AQ90" s="2">
        <f t="shared" ref="AQ90" ca="1" si="1860">IFERROR(VLOOKUP($S90,qx_table,MATCH(AQ$11,qx_title,0)+sexB),0)</f>
        <v>0</v>
      </c>
      <c r="AR90" s="127">
        <f t="shared" ca="1" si="1550"/>
        <v>0</v>
      </c>
      <c r="AS90" s="127">
        <f ca="1">SUM(AR90:AR$124)*SSb</f>
        <v>0</v>
      </c>
      <c r="AT90" s="70">
        <f t="shared" ca="1" si="1551"/>
        <v>99999.012970709329</v>
      </c>
      <c r="AU90" s="2">
        <f t="shared" ref="AU90" ca="1" si="1861">IFERROR(VLOOKUP($S90,qx_table,MATCH(AU$11,qx_title,0)+sexB),0)</f>
        <v>0</v>
      </c>
      <c r="AV90" s="268">
        <f t="shared" ca="1" si="1553"/>
        <v>0</v>
      </c>
      <c r="AW90" s="131">
        <f ca="1">SUM(AV90:AV$124)*SSc</f>
        <v>0</v>
      </c>
      <c r="AX90" s="70">
        <f t="shared" ca="1" si="1554"/>
        <v>99999.012970709329</v>
      </c>
      <c r="AY90" s="2">
        <f t="shared" ref="AY90" ca="1" si="1862">IFERROR(VLOOKUP($S90,qx_table,MATCH(AY$11,qx_title,0)+sexB),0)</f>
        <v>0</v>
      </c>
      <c r="AZ90" s="268">
        <f t="shared" ca="1" si="1556"/>
        <v>0</v>
      </c>
      <c r="BA90" s="129">
        <f ca="1">SUM(AZ90:AZ$124)*SSd</f>
        <v>0</v>
      </c>
      <c r="BB90" s="70">
        <f t="shared" ca="1" si="1557"/>
        <v>99999.012970709329</v>
      </c>
      <c r="BC90" s="257">
        <f t="shared" ref="BC90" ca="1" si="1863">IFERROR(VLOOKUP($S90,qx_table,MATCH(BC$11,qx_title,0)+sexB),0)</f>
        <v>0</v>
      </c>
      <c r="BD90" s="268">
        <f t="shared" ca="1" si="1559"/>
        <v>0</v>
      </c>
      <c r="BE90" s="131">
        <f ca="1">SUM(BD90:BD$124)*SSe</f>
        <v>0</v>
      </c>
      <c r="BF90" s="70">
        <f t="shared" ca="1" si="1560"/>
        <v>99999.012970709329</v>
      </c>
      <c r="BG90" s="2">
        <f t="shared" ref="BG90" ca="1" si="1864">IFERROR(VLOOKUP($S90,qx_table,MATCH(BG$11,qx_title,0)+sexB),0)</f>
        <v>0</v>
      </c>
      <c r="BH90" s="131">
        <f t="shared" ca="1" si="1562"/>
        <v>0</v>
      </c>
      <c r="BI90" s="2">
        <f ca="1">SUM(BH90:BH$124)*SSf</f>
        <v>0</v>
      </c>
      <c r="BJ90" s="70">
        <f t="shared" ca="1" si="1563"/>
        <v>99999.012970709329</v>
      </c>
      <c r="BK90" s="2">
        <f t="shared" ref="BK90" ca="1" si="1865">IFERROR(VLOOKUP($S90,qx_table,MATCH(BK$11,qx_title,0)+sexB),0)</f>
        <v>0</v>
      </c>
      <c r="BL90" s="131">
        <f t="shared" ca="1" si="1565"/>
        <v>0</v>
      </c>
      <c r="BM90" s="131">
        <f ca="1">SUM(BL90:BL$124)*SSg</f>
        <v>0</v>
      </c>
      <c r="BN90" s="70">
        <f t="shared" ca="1" si="1566"/>
        <v>99999.012970709329</v>
      </c>
      <c r="BO90" s="2">
        <f t="shared" ref="BO90" ca="1" si="1866">IFERROR(VLOOKUP($S90,qx_table,MATCH(BO$11,qx_title,0)+sexB),0)</f>
        <v>0</v>
      </c>
      <c r="BP90" s="131">
        <f t="shared" ca="1" si="1568"/>
        <v>0</v>
      </c>
      <c r="BQ90" s="131">
        <f ca="1">SUM(BP90:BP$124)*SSh</f>
        <v>0</v>
      </c>
      <c r="BR90" s="70">
        <f t="shared" ca="1" si="1569"/>
        <v>99999.012970709329</v>
      </c>
      <c r="BS90" s="2">
        <f t="shared" ref="BS90" ca="1" si="1867">IFERROR(VLOOKUP($S90,qx_table,MATCH(BS$11,qx_title,0)+sexB),0)*IF(R90=0,MCi,1)</f>
        <v>0</v>
      </c>
      <c r="BT90" s="131">
        <f t="shared" ca="1" si="1571"/>
        <v>0</v>
      </c>
      <c r="BU90" s="131">
        <f ca="1">SUM(BT90:BT$124)*SSi</f>
        <v>0</v>
      </c>
      <c r="BV90" s="70">
        <f t="shared" ca="1" si="1572"/>
        <v>99999.012970709329</v>
      </c>
      <c r="BW90" s="2">
        <f t="shared" ref="BW90" ca="1" si="1868">IFERROR(VLOOKUP($S90,qx_table,MATCH(BW$11,qx_title,0)+sexB),0)</f>
        <v>0</v>
      </c>
      <c r="BX90" s="131">
        <f t="shared" ca="1" si="1574"/>
        <v>0</v>
      </c>
      <c r="BY90" s="131">
        <f ca="1">SUM(BX90:BX$124)*SSj</f>
        <v>0</v>
      </c>
      <c r="BZ90" s="70">
        <f t="shared" ca="1" si="1575"/>
        <v>99999.012970709329</v>
      </c>
      <c r="CA90" s="2">
        <f t="shared" ref="CA90" ca="1" si="1869">IFERROR(VLOOKUP($S90,qx_table,MATCH(CA$11,qx_title,0)+sexB),0)</f>
        <v>0</v>
      </c>
      <c r="CB90" s="131">
        <f t="shared" ca="1" si="1577"/>
        <v>0</v>
      </c>
      <c r="CC90" s="131">
        <f ca="1">SUM(CB90:CB$124)*SSk</f>
        <v>0</v>
      </c>
      <c r="CD90" s="8">
        <f t="shared" ca="1" si="1578"/>
        <v>99999.012970709329</v>
      </c>
      <c r="CE90" s="2">
        <f t="shared" ref="CE90" ca="1" si="1870">IFERROR(VLOOKUP($S90,qx_table,MATCH(CE$11,qx_title,0)+sexB),0)</f>
        <v>0</v>
      </c>
      <c r="CF90" s="131">
        <f t="shared" ca="1" si="1580"/>
        <v>0</v>
      </c>
      <c r="CG90" s="131">
        <f ca="1">SUM(CF90:CF$124)*SSl</f>
        <v>0</v>
      </c>
      <c r="CH90" s="101">
        <f t="shared" ca="1" si="1581"/>
        <v>0</v>
      </c>
      <c r="CI90" s="154">
        <f t="shared" ca="1" si="1523"/>
        <v>0</v>
      </c>
      <c r="CJ90" s="32">
        <f t="shared" ca="1" si="1524"/>
        <v>0</v>
      </c>
      <c r="CK90" s="32">
        <f t="shared" ref="CK90" ca="1" si="1871">+MAX(VLOOKUP(xB+$R90,기수표B,$AH$1)-VLOOKUP(xB+mB,기수표B,$AH$1)-11/24*(VLOOKUP(xB+$R90,기수표B,$AG$1)-VLOOKUP(xB+mB,기수표B,$AG$1)),0)</f>
        <v>0</v>
      </c>
      <c r="CL90" s="32">
        <f t="shared" ref="CL90" ca="1" si="1872">+MAX(VLOOKUP(xB+$R90,기수표B,$AA$1)-VLOOKUP(xB+mB,기수표B,$AA$1),0)</f>
        <v>0</v>
      </c>
      <c r="CM90" s="32">
        <f t="shared" ref="CM90" ca="1" si="1873">+MAX(VLOOKUP(xB+$R90,기수표B,$AA$1)-VLOOKUP(xB+mB,기수표B,$AA$1)-11/24*(VLOOKUP(xB+$R90,기수표B,$AA$1)-VLOOKUP(xB+mB,기수표B,$AA$1)),0)</f>
        <v>0</v>
      </c>
      <c r="CN90" s="32">
        <f t="shared" si="1528"/>
        <v>0</v>
      </c>
      <c r="CO90" s="32">
        <f t="shared" ca="1" si="1529"/>
        <v>0</v>
      </c>
      <c r="CP90" s="32">
        <f t="shared" ca="1" si="1530"/>
        <v>0</v>
      </c>
      <c r="CQ90" s="262">
        <f t="shared" ca="1" si="1531"/>
        <v>0</v>
      </c>
      <c r="CR90" s="259" t="e">
        <f t="shared" ca="1" si="1532"/>
        <v>#DIV/0!</v>
      </c>
      <c r="CS90" s="32">
        <f t="shared" ca="1" si="1533"/>
        <v>1.5999999999999999E-5</v>
      </c>
      <c r="CT90" s="31">
        <f t="shared" ref="CT90" si="1874">+MIN(mB,7)</f>
        <v>7</v>
      </c>
      <c r="CV90" s="13">
        <v>78</v>
      </c>
      <c r="CW90" s="477">
        <f t="shared" ca="1" si="1535"/>
        <v>480</v>
      </c>
      <c r="CX90" s="477" t="e">
        <f t="shared" ca="1" si="1536"/>
        <v>#DIV/0!</v>
      </c>
      <c r="CY90" s="477">
        <f t="shared" ca="1" si="1537"/>
        <v>0</v>
      </c>
      <c r="CZ90" s="478">
        <f t="shared" ca="1" si="1586"/>
        <v>0</v>
      </c>
    </row>
    <row r="91" spans="14:104">
      <c r="N91" s="5">
        <f t="shared" si="1587"/>
        <v>79</v>
      </c>
      <c r="O91" s="2">
        <f t="shared" ref="O91" ca="1" si="1875">+(1+iB)^-N91</f>
        <v>0.17242410577420222</v>
      </c>
      <c r="P91" s="2">
        <f t="shared" ref="P91" ca="1" si="1876">+(1+iB)^-(N91+0.5)</f>
        <v>0.1705164663109168</v>
      </c>
      <c r="Q91" s="91"/>
      <c r="R91" s="20">
        <f t="shared" si="1590"/>
        <v>79</v>
      </c>
      <c r="S91" s="20" t="str">
        <f t="shared" ref="S91" si="1877">+IF(xB+R91&lt;=xB+nB,xB+R91,"")</f>
        <v/>
      </c>
      <c r="T91" s="2">
        <f t="shared" ref="T91:U91" ca="1" si="1878">IFERROR(VLOOKUP($S91,qx_table,MATCH(T$11,qx_title,0)+sexB),0)</f>
        <v>0</v>
      </c>
      <c r="U91" s="2">
        <f t="shared" ca="1" si="1878"/>
        <v>0</v>
      </c>
      <c r="V91" s="300">
        <v>0</v>
      </c>
      <c r="W91" s="8">
        <f t="shared" ref="W91" si="1879">IF(R91=0,100000,IF(R91&gt;nB,0,W90*(1-X90)*(1-Y90)))</f>
        <v>0</v>
      </c>
      <c r="X91" s="10">
        <f t="shared" ca="1" si="1502"/>
        <v>0</v>
      </c>
      <c r="Y91" s="10">
        <f t="shared" ca="1" si="1503"/>
        <v>0</v>
      </c>
      <c r="Z91" s="5">
        <f t="shared" ca="1" si="1543"/>
        <v>0</v>
      </c>
      <c r="AA91" s="5">
        <f ca="1">+SUM(Z91:Z$124)</f>
        <v>0</v>
      </c>
      <c r="AB91" s="8">
        <f t="shared" ca="1" si="1504"/>
        <v>0</v>
      </c>
      <c r="AC91" s="209">
        <f ca="1">+SUM(AB91:AB$124)*SSSM</f>
        <v>0</v>
      </c>
      <c r="AD91" s="209">
        <f t="shared" ref="AD91" si="1880">IF(R91&gt;nB,0,AD90*(1-X90)*(1-Y90)*(1-AE90)*(1-AF90))</f>
        <v>0</v>
      </c>
      <c r="AE91" s="92">
        <f t="shared" ca="1" si="1506"/>
        <v>0</v>
      </c>
      <c r="AF91" s="92">
        <f t="shared" ca="1" si="1507"/>
        <v>0</v>
      </c>
      <c r="AG91" s="8">
        <f t="shared" ca="1" si="1508"/>
        <v>0</v>
      </c>
      <c r="AH91" s="5">
        <f ca="1">+SUM(AG91:AG$124)</f>
        <v>0</v>
      </c>
      <c r="AI91" s="70">
        <f t="shared" ca="1" si="1509"/>
        <v>0</v>
      </c>
      <c r="AJ91" s="208">
        <f ca="1">+SUM(AB91:AB$124)*SS50J</f>
        <v>0</v>
      </c>
      <c r="AK91" s="5">
        <f t="shared" ca="1" si="1545"/>
        <v>99999.012970709329</v>
      </c>
      <c r="AL91" s="2">
        <f t="shared" ref="AL91" ca="1" si="1881">IFERROR(VLOOKUP($S91,qx_table,MATCH(AL$11,qx_title,0)+sexB),0)</f>
        <v>0</v>
      </c>
      <c r="AM91" s="131">
        <f t="shared" ca="1" si="1547"/>
        <v>17242.240389777406</v>
      </c>
      <c r="AN91" s="129">
        <f t="shared" ca="1" si="1511"/>
        <v>0</v>
      </c>
      <c r="AO91" s="129">
        <f ca="1">SUM(AN91:AN$124)*SSa</f>
        <v>0</v>
      </c>
      <c r="AP91" s="70">
        <f t="shared" ca="1" si="1548"/>
        <v>99999.012970709329</v>
      </c>
      <c r="AQ91" s="2">
        <f t="shared" ref="AQ91" ca="1" si="1882">IFERROR(VLOOKUP($S91,qx_table,MATCH(AQ$11,qx_title,0)+sexB),0)</f>
        <v>0</v>
      </c>
      <c r="AR91" s="127">
        <f t="shared" ca="1" si="1550"/>
        <v>0</v>
      </c>
      <c r="AS91" s="127">
        <f ca="1">SUM(AR91:AR$124)*SSb</f>
        <v>0</v>
      </c>
      <c r="AT91" s="70">
        <f t="shared" ca="1" si="1551"/>
        <v>99999.012970709329</v>
      </c>
      <c r="AU91" s="2">
        <f t="shared" ref="AU91" ca="1" si="1883">IFERROR(VLOOKUP($S91,qx_table,MATCH(AU$11,qx_title,0)+sexB),0)</f>
        <v>0</v>
      </c>
      <c r="AV91" s="268">
        <f t="shared" ca="1" si="1553"/>
        <v>0</v>
      </c>
      <c r="AW91" s="131">
        <f ca="1">SUM(AV91:AV$124)*SSc</f>
        <v>0</v>
      </c>
      <c r="AX91" s="70">
        <f t="shared" ca="1" si="1554"/>
        <v>99999.012970709329</v>
      </c>
      <c r="AY91" s="2">
        <f t="shared" ref="AY91" ca="1" si="1884">IFERROR(VLOOKUP($S91,qx_table,MATCH(AY$11,qx_title,0)+sexB),0)</f>
        <v>0</v>
      </c>
      <c r="AZ91" s="268">
        <f t="shared" ca="1" si="1556"/>
        <v>0</v>
      </c>
      <c r="BA91" s="129">
        <f ca="1">SUM(AZ91:AZ$124)*SSd</f>
        <v>0</v>
      </c>
      <c r="BB91" s="70">
        <f t="shared" ca="1" si="1557"/>
        <v>99999.012970709329</v>
      </c>
      <c r="BC91" s="257">
        <f t="shared" ref="BC91" ca="1" si="1885">IFERROR(VLOOKUP($S91,qx_table,MATCH(BC$11,qx_title,0)+sexB),0)</f>
        <v>0</v>
      </c>
      <c r="BD91" s="268">
        <f t="shared" ca="1" si="1559"/>
        <v>0</v>
      </c>
      <c r="BE91" s="131">
        <f ca="1">SUM(BD91:BD$124)*SSe</f>
        <v>0</v>
      </c>
      <c r="BF91" s="70">
        <f t="shared" ca="1" si="1560"/>
        <v>99999.012970709329</v>
      </c>
      <c r="BG91" s="2">
        <f t="shared" ref="BG91" ca="1" si="1886">IFERROR(VLOOKUP($S91,qx_table,MATCH(BG$11,qx_title,0)+sexB),0)</f>
        <v>0</v>
      </c>
      <c r="BH91" s="131">
        <f t="shared" ca="1" si="1562"/>
        <v>0</v>
      </c>
      <c r="BI91" s="2">
        <f ca="1">SUM(BH91:BH$124)*SSf</f>
        <v>0</v>
      </c>
      <c r="BJ91" s="70">
        <f t="shared" ca="1" si="1563"/>
        <v>99999.012970709329</v>
      </c>
      <c r="BK91" s="2">
        <f t="shared" ref="BK91" ca="1" si="1887">IFERROR(VLOOKUP($S91,qx_table,MATCH(BK$11,qx_title,0)+sexB),0)</f>
        <v>0</v>
      </c>
      <c r="BL91" s="131">
        <f t="shared" ca="1" si="1565"/>
        <v>0</v>
      </c>
      <c r="BM91" s="131">
        <f ca="1">SUM(BL91:BL$124)*SSg</f>
        <v>0</v>
      </c>
      <c r="BN91" s="70">
        <f t="shared" ca="1" si="1566"/>
        <v>99999.012970709329</v>
      </c>
      <c r="BO91" s="2">
        <f t="shared" ref="BO91" ca="1" si="1888">IFERROR(VLOOKUP($S91,qx_table,MATCH(BO$11,qx_title,0)+sexB),0)</f>
        <v>0</v>
      </c>
      <c r="BP91" s="131">
        <f t="shared" ca="1" si="1568"/>
        <v>0</v>
      </c>
      <c r="BQ91" s="131">
        <f ca="1">SUM(BP91:BP$124)*SSh</f>
        <v>0</v>
      </c>
      <c r="BR91" s="70">
        <f t="shared" ca="1" si="1569"/>
        <v>99999.012970709329</v>
      </c>
      <c r="BS91" s="2">
        <f t="shared" ref="BS91" ca="1" si="1889">IFERROR(VLOOKUP($S91,qx_table,MATCH(BS$11,qx_title,0)+sexB),0)*IF(R91=0,MCi,1)</f>
        <v>0</v>
      </c>
      <c r="BT91" s="131">
        <f t="shared" ca="1" si="1571"/>
        <v>0</v>
      </c>
      <c r="BU91" s="131">
        <f ca="1">SUM(BT91:BT$124)*SSi</f>
        <v>0</v>
      </c>
      <c r="BV91" s="70">
        <f t="shared" ca="1" si="1572"/>
        <v>99999.012970709329</v>
      </c>
      <c r="BW91" s="2">
        <f t="shared" ref="BW91" ca="1" si="1890">IFERROR(VLOOKUP($S91,qx_table,MATCH(BW$11,qx_title,0)+sexB),0)</f>
        <v>0</v>
      </c>
      <c r="BX91" s="131">
        <f t="shared" ca="1" si="1574"/>
        <v>0</v>
      </c>
      <c r="BY91" s="131">
        <f ca="1">SUM(BX91:BX$124)*SSj</f>
        <v>0</v>
      </c>
      <c r="BZ91" s="70">
        <f t="shared" ca="1" si="1575"/>
        <v>99999.012970709329</v>
      </c>
      <c r="CA91" s="2">
        <f t="shared" ref="CA91" ca="1" si="1891">IFERROR(VLOOKUP($S91,qx_table,MATCH(CA$11,qx_title,0)+sexB),0)</f>
        <v>0</v>
      </c>
      <c r="CB91" s="131">
        <f t="shared" ca="1" si="1577"/>
        <v>0</v>
      </c>
      <c r="CC91" s="131">
        <f ca="1">SUM(CB91:CB$124)*SSk</f>
        <v>0</v>
      </c>
      <c r="CD91" s="8">
        <f t="shared" ca="1" si="1578"/>
        <v>99999.012970709329</v>
      </c>
      <c r="CE91" s="2">
        <f t="shared" ref="CE91" ca="1" si="1892">IFERROR(VLOOKUP($S91,qx_table,MATCH(CE$11,qx_title,0)+sexB),0)</f>
        <v>0</v>
      </c>
      <c r="CF91" s="131">
        <f t="shared" ca="1" si="1580"/>
        <v>0</v>
      </c>
      <c r="CG91" s="131">
        <f ca="1">SUM(CF91:CF$124)*SSl</f>
        <v>0</v>
      </c>
      <c r="CH91" s="101">
        <f t="shared" ca="1" si="1581"/>
        <v>0</v>
      </c>
      <c r="CI91" s="154">
        <f t="shared" ca="1" si="1523"/>
        <v>0</v>
      </c>
      <c r="CJ91" s="32">
        <f t="shared" ca="1" si="1524"/>
        <v>0</v>
      </c>
      <c r="CK91" s="32">
        <f t="shared" ref="CK91" ca="1" si="1893">+MAX(VLOOKUP(xB+$R91,기수표B,$AH$1)-VLOOKUP(xB+mB,기수표B,$AH$1)-11/24*(VLOOKUP(xB+$R91,기수표B,$AG$1)-VLOOKUP(xB+mB,기수표B,$AG$1)),0)</f>
        <v>0</v>
      </c>
      <c r="CL91" s="32">
        <f t="shared" ref="CL91" ca="1" si="1894">+MAX(VLOOKUP(xB+$R91,기수표B,$AA$1)-VLOOKUP(xB+mB,기수표B,$AA$1),0)</f>
        <v>0</v>
      </c>
      <c r="CM91" s="32">
        <f t="shared" ref="CM91" ca="1" si="1895">+MAX(VLOOKUP(xB+$R91,기수표B,$AA$1)-VLOOKUP(xB+mB,기수표B,$AA$1)-11/24*(VLOOKUP(xB+$R91,기수표B,$AA$1)-VLOOKUP(xB+mB,기수표B,$AA$1)),0)</f>
        <v>0</v>
      </c>
      <c r="CN91" s="32">
        <f t="shared" si="1528"/>
        <v>0</v>
      </c>
      <c r="CO91" s="32">
        <f t="shared" ca="1" si="1529"/>
        <v>0</v>
      </c>
      <c r="CP91" s="32">
        <f t="shared" ca="1" si="1530"/>
        <v>0</v>
      </c>
      <c r="CQ91" s="262">
        <f t="shared" ca="1" si="1531"/>
        <v>0</v>
      </c>
      <c r="CR91" s="259" t="e">
        <f t="shared" ca="1" si="1532"/>
        <v>#DIV/0!</v>
      </c>
      <c r="CS91" s="32">
        <f t="shared" ca="1" si="1533"/>
        <v>1.5999999999999999E-5</v>
      </c>
      <c r="CT91" s="31">
        <f t="shared" ref="CT91" si="1896">+MIN(mB,7)</f>
        <v>7</v>
      </c>
      <c r="CV91" s="13">
        <v>79</v>
      </c>
      <c r="CW91" s="477">
        <f t="shared" ca="1" si="1535"/>
        <v>480</v>
      </c>
      <c r="CX91" s="477" t="e">
        <f t="shared" ca="1" si="1536"/>
        <v>#DIV/0!</v>
      </c>
      <c r="CY91" s="477">
        <f t="shared" ca="1" si="1537"/>
        <v>0</v>
      </c>
      <c r="CZ91" s="478">
        <f t="shared" ca="1" si="1586"/>
        <v>0</v>
      </c>
    </row>
    <row r="92" spans="14:104">
      <c r="N92" s="5">
        <f t="shared" si="1587"/>
        <v>80</v>
      </c>
      <c r="O92" s="2">
        <f t="shared" ref="O92" ca="1" si="1897">+(1+iB)^-N92</f>
        <v>0.16862993229750833</v>
      </c>
      <c r="P92" s="2">
        <f t="shared" ref="P92" ca="1" si="1898">+(1+iB)^-(N92+0.5)</f>
        <v>0.16676427023072546</v>
      </c>
      <c r="Q92" s="91"/>
      <c r="R92" s="20">
        <f t="shared" si="1590"/>
        <v>80</v>
      </c>
      <c r="S92" s="20" t="str">
        <f t="shared" ref="S92" si="1899">+IF(xB+R92&lt;=xB+nB,xB+R92,"")</f>
        <v/>
      </c>
      <c r="T92" s="2">
        <f t="shared" ref="T92:U92" ca="1" si="1900">IFERROR(VLOOKUP($S92,qx_table,MATCH(T$11,qx_title,0)+sexB),0)</f>
        <v>0</v>
      </c>
      <c r="U92" s="2">
        <f t="shared" ca="1" si="1900"/>
        <v>0</v>
      </c>
      <c r="V92" s="300">
        <v>0</v>
      </c>
      <c r="W92" s="8">
        <f t="shared" ref="W92" si="1901">IF(R92=0,100000,IF(R92&gt;nB,0,W91*(1-X91)*(1-Y91)))</f>
        <v>0</v>
      </c>
      <c r="X92" s="10">
        <f t="shared" ca="1" si="1502"/>
        <v>0</v>
      </c>
      <c r="Y92" s="10">
        <f t="shared" ca="1" si="1503"/>
        <v>0</v>
      </c>
      <c r="Z92" s="5">
        <f t="shared" ca="1" si="1543"/>
        <v>0</v>
      </c>
      <c r="AA92" s="5">
        <f ca="1">+SUM(Z92:Z$124)</f>
        <v>0</v>
      </c>
      <c r="AB92" s="8">
        <f t="shared" ca="1" si="1504"/>
        <v>0</v>
      </c>
      <c r="AC92" s="209">
        <f ca="1">+SUM(AB92:AB$124)*SSSM</f>
        <v>0</v>
      </c>
      <c r="AD92" s="209">
        <f t="shared" ref="AD92" si="1902">IF(R92&gt;nB,0,AD91*(1-X91)*(1-Y91)*(1-AE91)*(1-AF91))</f>
        <v>0</v>
      </c>
      <c r="AE92" s="92">
        <f t="shared" ca="1" si="1506"/>
        <v>0</v>
      </c>
      <c r="AF92" s="92">
        <f t="shared" ca="1" si="1507"/>
        <v>0</v>
      </c>
      <c r="AG92" s="8">
        <f t="shared" ca="1" si="1508"/>
        <v>0</v>
      </c>
      <c r="AH92" s="5">
        <f ca="1">+SUM(AG92:AG$124)</f>
        <v>0</v>
      </c>
      <c r="AI92" s="70">
        <f t="shared" ca="1" si="1509"/>
        <v>0</v>
      </c>
      <c r="AJ92" s="208">
        <f ca="1">+SUM(AB92:AB$124)*SS50J</f>
        <v>0</v>
      </c>
      <c r="AK92" s="5">
        <f t="shared" ca="1" si="1545"/>
        <v>99999.012970709329</v>
      </c>
      <c r="AL92" s="2">
        <f t="shared" ref="AL92" ca="1" si="1903">IFERROR(VLOOKUP($S92,qx_table,MATCH(AL$11,qx_title,0)+sexB),0)</f>
        <v>0</v>
      </c>
      <c r="AM92" s="131">
        <f t="shared" ca="1" si="1547"/>
        <v>16862.82678706837</v>
      </c>
      <c r="AN92" s="129">
        <f t="shared" ca="1" si="1511"/>
        <v>0</v>
      </c>
      <c r="AO92" s="129">
        <f ca="1">SUM(AN92:AN$124)*SSa</f>
        <v>0</v>
      </c>
      <c r="AP92" s="70">
        <f t="shared" ca="1" si="1548"/>
        <v>99999.012970709329</v>
      </c>
      <c r="AQ92" s="2">
        <f t="shared" ref="AQ92" ca="1" si="1904">IFERROR(VLOOKUP($S92,qx_table,MATCH(AQ$11,qx_title,0)+sexB),0)</f>
        <v>0</v>
      </c>
      <c r="AR92" s="127">
        <f t="shared" ca="1" si="1550"/>
        <v>0</v>
      </c>
      <c r="AS92" s="127">
        <f ca="1">SUM(AR92:AR$124)*SSb</f>
        <v>0</v>
      </c>
      <c r="AT92" s="70">
        <f t="shared" ca="1" si="1551"/>
        <v>99999.012970709329</v>
      </c>
      <c r="AU92" s="2">
        <f t="shared" ref="AU92" ca="1" si="1905">IFERROR(VLOOKUP($S92,qx_table,MATCH(AU$11,qx_title,0)+sexB),0)</f>
        <v>0</v>
      </c>
      <c r="AV92" s="268">
        <f t="shared" ca="1" si="1553"/>
        <v>0</v>
      </c>
      <c r="AW92" s="131">
        <f ca="1">SUM(AV92:AV$124)*SSc</f>
        <v>0</v>
      </c>
      <c r="AX92" s="70">
        <f t="shared" ca="1" si="1554"/>
        <v>99999.012970709329</v>
      </c>
      <c r="AY92" s="2">
        <f t="shared" ref="AY92" ca="1" si="1906">IFERROR(VLOOKUP($S92,qx_table,MATCH(AY$11,qx_title,0)+sexB),0)</f>
        <v>0</v>
      </c>
      <c r="AZ92" s="268">
        <f t="shared" ca="1" si="1556"/>
        <v>0</v>
      </c>
      <c r="BA92" s="129">
        <f ca="1">SUM(AZ92:AZ$124)*SSd</f>
        <v>0</v>
      </c>
      <c r="BB92" s="70">
        <f t="shared" ca="1" si="1557"/>
        <v>99999.012970709329</v>
      </c>
      <c r="BC92" s="257">
        <f t="shared" ref="BC92" ca="1" si="1907">IFERROR(VLOOKUP($S92,qx_table,MATCH(BC$11,qx_title,0)+sexB),0)</f>
        <v>0</v>
      </c>
      <c r="BD92" s="268">
        <f t="shared" ca="1" si="1559"/>
        <v>0</v>
      </c>
      <c r="BE92" s="131">
        <f ca="1">SUM(BD92:BD$124)*SSe</f>
        <v>0</v>
      </c>
      <c r="BF92" s="70">
        <f t="shared" ca="1" si="1560"/>
        <v>99999.012970709329</v>
      </c>
      <c r="BG92" s="2">
        <f t="shared" ref="BG92" ca="1" si="1908">IFERROR(VLOOKUP($S92,qx_table,MATCH(BG$11,qx_title,0)+sexB),0)</f>
        <v>0</v>
      </c>
      <c r="BH92" s="131">
        <f t="shared" ca="1" si="1562"/>
        <v>0</v>
      </c>
      <c r="BI92" s="2">
        <f ca="1">SUM(BH92:BH$124)*SSf</f>
        <v>0</v>
      </c>
      <c r="BJ92" s="70">
        <f t="shared" ca="1" si="1563"/>
        <v>99999.012970709329</v>
      </c>
      <c r="BK92" s="2">
        <f t="shared" ref="BK92" ca="1" si="1909">IFERROR(VLOOKUP($S92,qx_table,MATCH(BK$11,qx_title,0)+sexB),0)</f>
        <v>0</v>
      </c>
      <c r="BL92" s="131">
        <f t="shared" ca="1" si="1565"/>
        <v>0</v>
      </c>
      <c r="BM92" s="131">
        <f ca="1">SUM(BL92:BL$124)*SSg</f>
        <v>0</v>
      </c>
      <c r="BN92" s="70">
        <f t="shared" ca="1" si="1566"/>
        <v>99999.012970709329</v>
      </c>
      <c r="BO92" s="2">
        <f t="shared" ref="BO92" ca="1" si="1910">IFERROR(VLOOKUP($S92,qx_table,MATCH(BO$11,qx_title,0)+sexB),0)</f>
        <v>0</v>
      </c>
      <c r="BP92" s="131">
        <f t="shared" ca="1" si="1568"/>
        <v>0</v>
      </c>
      <c r="BQ92" s="131">
        <f ca="1">SUM(BP92:BP$124)*SSh</f>
        <v>0</v>
      </c>
      <c r="BR92" s="70">
        <f t="shared" ca="1" si="1569"/>
        <v>99999.012970709329</v>
      </c>
      <c r="BS92" s="2">
        <f t="shared" ref="BS92" ca="1" si="1911">IFERROR(VLOOKUP($S92,qx_table,MATCH(BS$11,qx_title,0)+sexB),0)*IF(R92=0,MCi,1)</f>
        <v>0</v>
      </c>
      <c r="BT92" s="131">
        <f t="shared" ca="1" si="1571"/>
        <v>0</v>
      </c>
      <c r="BU92" s="131">
        <f ca="1">SUM(BT92:BT$124)*SSi</f>
        <v>0</v>
      </c>
      <c r="BV92" s="70">
        <f t="shared" ca="1" si="1572"/>
        <v>99999.012970709329</v>
      </c>
      <c r="BW92" s="2">
        <f t="shared" ref="BW92" ca="1" si="1912">IFERROR(VLOOKUP($S92,qx_table,MATCH(BW$11,qx_title,0)+sexB),0)</f>
        <v>0</v>
      </c>
      <c r="BX92" s="131">
        <f t="shared" ca="1" si="1574"/>
        <v>0</v>
      </c>
      <c r="BY92" s="131">
        <f ca="1">SUM(BX92:BX$124)*SSj</f>
        <v>0</v>
      </c>
      <c r="BZ92" s="70">
        <f t="shared" ca="1" si="1575"/>
        <v>99999.012970709329</v>
      </c>
      <c r="CA92" s="2">
        <f t="shared" ref="CA92" ca="1" si="1913">IFERROR(VLOOKUP($S92,qx_table,MATCH(CA$11,qx_title,0)+sexB),0)</f>
        <v>0</v>
      </c>
      <c r="CB92" s="131">
        <f t="shared" ca="1" si="1577"/>
        <v>0</v>
      </c>
      <c r="CC92" s="131">
        <f ca="1">SUM(CB92:CB$124)*SSk</f>
        <v>0</v>
      </c>
      <c r="CD92" s="8">
        <f t="shared" ca="1" si="1578"/>
        <v>99999.012970709329</v>
      </c>
      <c r="CE92" s="2">
        <f t="shared" ref="CE92" ca="1" si="1914">IFERROR(VLOOKUP($S92,qx_table,MATCH(CE$11,qx_title,0)+sexB),0)</f>
        <v>0</v>
      </c>
      <c r="CF92" s="131">
        <f t="shared" ca="1" si="1580"/>
        <v>0</v>
      </c>
      <c r="CG92" s="131">
        <f ca="1">SUM(CF92:CF$124)*SSl</f>
        <v>0</v>
      </c>
      <c r="CH92" s="101">
        <f t="shared" ca="1" si="1581"/>
        <v>0</v>
      </c>
      <c r="CI92" s="154">
        <f t="shared" ca="1" si="1523"/>
        <v>0</v>
      </c>
      <c r="CJ92" s="32">
        <f t="shared" ca="1" si="1524"/>
        <v>0</v>
      </c>
      <c r="CK92" s="32">
        <f t="shared" ref="CK92" ca="1" si="1915">+MAX(VLOOKUP(xB+$R92,기수표B,$AH$1)-VLOOKUP(xB+mB,기수표B,$AH$1)-11/24*(VLOOKUP(xB+$R92,기수표B,$AG$1)-VLOOKUP(xB+mB,기수표B,$AG$1)),0)</f>
        <v>0</v>
      </c>
      <c r="CL92" s="32">
        <f t="shared" ref="CL92" ca="1" si="1916">+MAX(VLOOKUP(xB+$R92,기수표B,$AA$1)-VLOOKUP(xB+mB,기수표B,$AA$1),0)</f>
        <v>0</v>
      </c>
      <c r="CM92" s="32">
        <f t="shared" ref="CM92" ca="1" si="1917">+MAX(VLOOKUP(xB+$R92,기수표B,$AA$1)-VLOOKUP(xB+mB,기수표B,$AA$1)-11/24*(VLOOKUP(xB+$R92,기수표B,$AA$1)-VLOOKUP(xB+mB,기수표B,$AA$1)),0)</f>
        <v>0</v>
      </c>
      <c r="CN92" s="32">
        <f t="shared" si="1528"/>
        <v>0</v>
      </c>
      <c r="CO92" s="32">
        <f t="shared" ca="1" si="1529"/>
        <v>0</v>
      </c>
      <c r="CP92" s="32">
        <f t="shared" ca="1" si="1530"/>
        <v>0</v>
      </c>
      <c r="CQ92" s="262">
        <f t="shared" ca="1" si="1531"/>
        <v>0</v>
      </c>
      <c r="CR92" s="259" t="e">
        <f t="shared" ca="1" si="1532"/>
        <v>#DIV/0!</v>
      </c>
      <c r="CS92" s="32">
        <f t="shared" ca="1" si="1533"/>
        <v>1.5999999999999999E-5</v>
      </c>
      <c r="CT92" s="31">
        <f t="shared" ref="CT92" si="1918">+MIN(mB,7)</f>
        <v>7</v>
      </c>
      <c r="CV92" s="13">
        <v>80</v>
      </c>
      <c r="CW92" s="477">
        <f t="shared" ca="1" si="1535"/>
        <v>480</v>
      </c>
      <c r="CX92" s="477" t="e">
        <f t="shared" ca="1" si="1536"/>
        <v>#DIV/0!</v>
      </c>
      <c r="CY92" s="477">
        <f t="shared" ca="1" si="1537"/>
        <v>0</v>
      </c>
      <c r="CZ92" s="478">
        <f t="shared" ca="1" si="1586"/>
        <v>0</v>
      </c>
    </row>
    <row r="93" spans="14:104">
      <c r="N93" s="5">
        <f t="shared" si="1587"/>
        <v>81</v>
      </c>
      <c r="O93" s="2">
        <f t="shared" ref="O93" ca="1" si="1919">+(1+iB)^-N93</f>
        <v>0.16491924919071718</v>
      </c>
      <c r="P93" s="2">
        <f t="shared" ref="P93" ca="1" si="1920">+(1+iB)^-(N93+0.5)</f>
        <v>0.16309464081244546</v>
      </c>
      <c r="Q93" s="91"/>
      <c r="R93" s="20">
        <f t="shared" si="1590"/>
        <v>81</v>
      </c>
      <c r="S93" s="20" t="str">
        <f t="shared" ref="S93" si="1921">+IF(xB+R93&lt;=xB+nB,xB+R93,"")</f>
        <v/>
      </c>
      <c r="T93" s="2">
        <f t="shared" ref="T93:U93" ca="1" si="1922">IFERROR(VLOOKUP($S93,qx_table,MATCH(T$11,qx_title,0)+sexB),0)</f>
        <v>0</v>
      </c>
      <c r="U93" s="2">
        <f t="shared" ca="1" si="1922"/>
        <v>0</v>
      </c>
      <c r="V93" s="300">
        <v>0</v>
      </c>
      <c r="W93" s="8">
        <f t="shared" ref="W93" si="1923">IF(R93=0,100000,IF(R93&gt;nB,0,W92*(1-X92)*(1-Y92)))</f>
        <v>0</v>
      </c>
      <c r="X93" s="10">
        <f t="shared" ca="1" si="1502"/>
        <v>0</v>
      </c>
      <c r="Y93" s="10">
        <f t="shared" ca="1" si="1503"/>
        <v>0</v>
      </c>
      <c r="Z93" s="5">
        <f t="shared" ca="1" si="1543"/>
        <v>0</v>
      </c>
      <c r="AA93" s="5">
        <f ca="1">+SUM(Z93:Z$124)</f>
        <v>0</v>
      </c>
      <c r="AB93" s="8">
        <f t="shared" ca="1" si="1504"/>
        <v>0</v>
      </c>
      <c r="AC93" s="209">
        <f ca="1">+SUM(AB93:AB$124)*SSSM</f>
        <v>0</v>
      </c>
      <c r="AD93" s="209">
        <f t="shared" ref="AD93" si="1924">IF(R93&gt;nB,0,AD92*(1-X92)*(1-Y92)*(1-AE92)*(1-AF92))</f>
        <v>0</v>
      </c>
      <c r="AE93" s="92">
        <f t="shared" ca="1" si="1506"/>
        <v>0</v>
      </c>
      <c r="AF93" s="92">
        <f t="shared" ca="1" si="1507"/>
        <v>0</v>
      </c>
      <c r="AG93" s="8">
        <f t="shared" ca="1" si="1508"/>
        <v>0</v>
      </c>
      <c r="AH93" s="5">
        <f ca="1">+SUM(AG93:AG$124)</f>
        <v>0</v>
      </c>
      <c r="AI93" s="70">
        <f t="shared" ca="1" si="1509"/>
        <v>0</v>
      </c>
      <c r="AJ93" s="208">
        <f ca="1">+SUM(AB93:AB$124)*SS50J</f>
        <v>0</v>
      </c>
      <c r="AK93" s="5">
        <f t="shared" ca="1" si="1545"/>
        <v>99999.012970709329</v>
      </c>
      <c r="AL93" s="2">
        <f t="shared" ref="AL93" ca="1" si="1925">IFERROR(VLOOKUP($S93,qx_table,MATCH(AL$11,qx_title,0)+sexB),0)</f>
        <v>0</v>
      </c>
      <c r="AM93" s="131">
        <f t="shared" ca="1" si="1547"/>
        <v>16491.762138942173</v>
      </c>
      <c r="AN93" s="129">
        <f t="shared" ca="1" si="1511"/>
        <v>0</v>
      </c>
      <c r="AO93" s="129">
        <f ca="1">SUM(AN93:AN$124)*SSa</f>
        <v>0</v>
      </c>
      <c r="AP93" s="70">
        <f t="shared" ca="1" si="1548"/>
        <v>99999.012970709329</v>
      </c>
      <c r="AQ93" s="2">
        <f t="shared" ref="AQ93" ca="1" si="1926">IFERROR(VLOOKUP($S93,qx_table,MATCH(AQ$11,qx_title,0)+sexB),0)</f>
        <v>0</v>
      </c>
      <c r="AR93" s="127">
        <f t="shared" ca="1" si="1550"/>
        <v>0</v>
      </c>
      <c r="AS93" s="127">
        <f ca="1">SUM(AR93:AR$124)*SSb</f>
        <v>0</v>
      </c>
      <c r="AT93" s="70">
        <f t="shared" ca="1" si="1551"/>
        <v>99999.012970709329</v>
      </c>
      <c r="AU93" s="2">
        <f t="shared" ref="AU93" ca="1" si="1927">IFERROR(VLOOKUP($S93,qx_table,MATCH(AU$11,qx_title,0)+sexB),0)</f>
        <v>0</v>
      </c>
      <c r="AV93" s="268">
        <f t="shared" ca="1" si="1553"/>
        <v>0</v>
      </c>
      <c r="AW93" s="131">
        <f ca="1">SUM(AV93:AV$124)*SSc</f>
        <v>0</v>
      </c>
      <c r="AX93" s="70">
        <f t="shared" ca="1" si="1554"/>
        <v>99999.012970709329</v>
      </c>
      <c r="AY93" s="2">
        <f t="shared" ref="AY93" ca="1" si="1928">IFERROR(VLOOKUP($S93,qx_table,MATCH(AY$11,qx_title,0)+sexB),0)</f>
        <v>0</v>
      </c>
      <c r="AZ93" s="268">
        <f t="shared" ca="1" si="1556"/>
        <v>0</v>
      </c>
      <c r="BA93" s="129">
        <f ca="1">SUM(AZ93:AZ$124)*SSd</f>
        <v>0</v>
      </c>
      <c r="BB93" s="70">
        <f t="shared" ca="1" si="1557"/>
        <v>99999.012970709329</v>
      </c>
      <c r="BC93" s="257">
        <f t="shared" ref="BC93" ca="1" si="1929">IFERROR(VLOOKUP($S93,qx_table,MATCH(BC$11,qx_title,0)+sexB),0)</f>
        <v>0</v>
      </c>
      <c r="BD93" s="268">
        <f t="shared" ca="1" si="1559"/>
        <v>0</v>
      </c>
      <c r="BE93" s="131">
        <f ca="1">SUM(BD93:BD$124)*SSe</f>
        <v>0</v>
      </c>
      <c r="BF93" s="70">
        <f t="shared" ca="1" si="1560"/>
        <v>99999.012970709329</v>
      </c>
      <c r="BG93" s="2">
        <f t="shared" ref="BG93" ca="1" si="1930">IFERROR(VLOOKUP($S93,qx_table,MATCH(BG$11,qx_title,0)+sexB),0)</f>
        <v>0</v>
      </c>
      <c r="BH93" s="131">
        <f t="shared" ca="1" si="1562"/>
        <v>0</v>
      </c>
      <c r="BI93" s="2">
        <f ca="1">SUM(BH93:BH$124)*SSf</f>
        <v>0</v>
      </c>
      <c r="BJ93" s="70">
        <f t="shared" ca="1" si="1563"/>
        <v>99999.012970709329</v>
      </c>
      <c r="BK93" s="2">
        <f t="shared" ref="BK93" ca="1" si="1931">IFERROR(VLOOKUP($S93,qx_table,MATCH(BK$11,qx_title,0)+sexB),0)</f>
        <v>0</v>
      </c>
      <c r="BL93" s="131">
        <f t="shared" ca="1" si="1565"/>
        <v>0</v>
      </c>
      <c r="BM93" s="131">
        <f ca="1">SUM(BL93:BL$124)*SSg</f>
        <v>0</v>
      </c>
      <c r="BN93" s="70">
        <f t="shared" ca="1" si="1566"/>
        <v>99999.012970709329</v>
      </c>
      <c r="BO93" s="2">
        <f t="shared" ref="BO93" ca="1" si="1932">IFERROR(VLOOKUP($S93,qx_table,MATCH(BO$11,qx_title,0)+sexB),0)</f>
        <v>0</v>
      </c>
      <c r="BP93" s="131">
        <f t="shared" ca="1" si="1568"/>
        <v>0</v>
      </c>
      <c r="BQ93" s="131">
        <f ca="1">SUM(BP93:BP$124)*SSh</f>
        <v>0</v>
      </c>
      <c r="BR93" s="70">
        <f t="shared" ca="1" si="1569"/>
        <v>99999.012970709329</v>
      </c>
      <c r="BS93" s="2">
        <f t="shared" ref="BS93" ca="1" si="1933">IFERROR(VLOOKUP($S93,qx_table,MATCH(BS$11,qx_title,0)+sexB),0)*IF(R93=0,MCi,1)</f>
        <v>0</v>
      </c>
      <c r="BT93" s="131">
        <f t="shared" ca="1" si="1571"/>
        <v>0</v>
      </c>
      <c r="BU93" s="131">
        <f ca="1">SUM(BT93:BT$124)*SSi</f>
        <v>0</v>
      </c>
      <c r="BV93" s="70">
        <f t="shared" ca="1" si="1572"/>
        <v>99999.012970709329</v>
      </c>
      <c r="BW93" s="2">
        <f t="shared" ref="BW93" ca="1" si="1934">IFERROR(VLOOKUP($S93,qx_table,MATCH(BW$11,qx_title,0)+sexB),0)</f>
        <v>0</v>
      </c>
      <c r="BX93" s="131">
        <f t="shared" ca="1" si="1574"/>
        <v>0</v>
      </c>
      <c r="BY93" s="131">
        <f ca="1">SUM(BX93:BX$124)*SSj</f>
        <v>0</v>
      </c>
      <c r="BZ93" s="70">
        <f t="shared" ca="1" si="1575"/>
        <v>99999.012970709329</v>
      </c>
      <c r="CA93" s="2">
        <f t="shared" ref="CA93" ca="1" si="1935">IFERROR(VLOOKUP($S93,qx_table,MATCH(CA$11,qx_title,0)+sexB),0)</f>
        <v>0</v>
      </c>
      <c r="CB93" s="131">
        <f t="shared" ca="1" si="1577"/>
        <v>0</v>
      </c>
      <c r="CC93" s="131">
        <f ca="1">SUM(CB93:CB$124)*SSk</f>
        <v>0</v>
      </c>
      <c r="CD93" s="8">
        <f t="shared" ca="1" si="1578"/>
        <v>99999.012970709329</v>
      </c>
      <c r="CE93" s="2">
        <f t="shared" ref="CE93" ca="1" si="1936">IFERROR(VLOOKUP($S93,qx_table,MATCH(CE$11,qx_title,0)+sexB),0)</f>
        <v>0</v>
      </c>
      <c r="CF93" s="131">
        <f t="shared" ca="1" si="1580"/>
        <v>0</v>
      </c>
      <c r="CG93" s="131">
        <f ca="1">SUM(CF93:CF$124)*SSl</f>
        <v>0</v>
      </c>
      <c r="CH93" s="101">
        <f t="shared" ca="1" si="1581"/>
        <v>0</v>
      </c>
      <c r="CI93" s="154">
        <f t="shared" ca="1" si="1523"/>
        <v>0</v>
      </c>
      <c r="CJ93" s="32">
        <f t="shared" ca="1" si="1524"/>
        <v>0</v>
      </c>
      <c r="CK93" s="32">
        <f t="shared" ref="CK93" ca="1" si="1937">+MAX(VLOOKUP(xB+$R93,기수표B,$AH$1)-VLOOKUP(xB+mB,기수표B,$AH$1)-11/24*(VLOOKUP(xB+$R93,기수표B,$AG$1)-VLOOKUP(xB+mB,기수표B,$AG$1)),0)</f>
        <v>0</v>
      </c>
      <c r="CL93" s="32">
        <f t="shared" ref="CL93" ca="1" si="1938">+MAX(VLOOKUP(xB+$R93,기수표B,$AA$1)-VLOOKUP(xB+mB,기수표B,$AA$1),0)</f>
        <v>0</v>
      </c>
      <c r="CM93" s="32">
        <f t="shared" ref="CM93" ca="1" si="1939">+MAX(VLOOKUP(xB+$R93,기수표B,$AA$1)-VLOOKUP(xB+mB,기수표B,$AA$1)-11/24*(VLOOKUP(xB+$R93,기수표B,$AA$1)-VLOOKUP(xB+mB,기수표B,$AA$1)),0)</f>
        <v>0</v>
      </c>
      <c r="CN93" s="32">
        <f t="shared" si="1528"/>
        <v>0</v>
      </c>
      <c r="CO93" s="32">
        <f t="shared" ca="1" si="1529"/>
        <v>0</v>
      </c>
      <c r="CP93" s="32">
        <f t="shared" ca="1" si="1530"/>
        <v>0</v>
      </c>
      <c r="CQ93" s="262">
        <f t="shared" ca="1" si="1531"/>
        <v>0</v>
      </c>
      <c r="CR93" s="259" t="e">
        <f t="shared" ca="1" si="1532"/>
        <v>#DIV/0!</v>
      </c>
      <c r="CS93" s="32">
        <f t="shared" ca="1" si="1533"/>
        <v>1.5999999999999999E-5</v>
      </c>
      <c r="CT93" s="31">
        <f t="shared" ref="CT93" si="1940">+MIN(mB,7)</f>
        <v>7</v>
      </c>
      <c r="CV93" s="13">
        <v>81</v>
      </c>
      <c r="CW93" s="477">
        <f t="shared" ca="1" si="1535"/>
        <v>480</v>
      </c>
      <c r="CX93" s="477" t="e">
        <f t="shared" ca="1" si="1536"/>
        <v>#DIV/0!</v>
      </c>
      <c r="CY93" s="477">
        <f t="shared" ca="1" si="1537"/>
        <v>0</v>
      </c>
      <c r="CZ93" s="478">
        <f t="shared" ca="1" si="1586"/>
        <v>0</v>
      </c>
    </row>
    <row r="94" spans="14:104">
      <c r="N94" s="5">
        <f t="shared" si="1587"/>
        <v>82</v>
      </c>
      <c r="O94" s="2">
        <f t="shared" ref="O94" ca="1" si="1941">+(1+iB)^-N94</f>
        <v>0.16129021925742518</v>
      </c>
      <c r="P94" s="2">
        <f t="shared" ref="P94" ca="1" si="1942">+(1+iB)^-(N94+0.5)</f>
        <v>0.1595057611857657</v>
      </c>
      <c r="Q94" s="91"/>
      <c r="R94" s="20">
        <f t="shared" si="1590"/>
        <v>82</v>
      </c>
      <c r="S94" s="20" t="str">
        <f t="shared" ref="S94" si="1943">+IF(xB+R94&lt;=xB+nB,xB+R94,"")</f>
        <v/>
      </c>
      <c r="T94" s="2">
        <f t="shared" ref="T94:U94" ca="1" si="1944">IFERROR(VLOOKUP($S94,qx_table,MATCH(T$11,qx_title,0)+sexB),0)</f>
        <v>0</v>
      </c>
      <c r="U94" s="2">
        <f t="shared" ca="1" si="1944"/>
        <v>0</v>
      </c>
      <c r="V94" s="300">
        <v>0</v>
      </c>
      <c r="W94" s="8">
        <f t="shared" ref="W94" si="1945">IF(R94=0,100000,IF(R94&gt;nB,0,W93*(1-X93)*(1-Y93)))</f>
        <v>0</v>
      </c>
      <c r="X94" s="10">
        <f t="shared" ca="1" si="1502"/>
        <v>0</v>
      </c>
      <c r="Y94" s="10">
        <f t="shared" ca="1" si="1503"/>
        <v>0</v>
      </c>
      <c r="Z94" s="5">
        <f t="shared" ca="1" si="1543"/>
        <v>0</v>
      </c>
      <c r="AA94" s="5">
        <f ca="1">+SUM(Z94:Z$124)</f>
        <v>0</v>
      </c>
      <c r="AB94" s="8">
        <f t="shared" ca="1" si="1504"/>
        <v>0</v>
      </c>
      <c r="AC94" s="209">
        <f ca="1">+SUM(AB94:AB$124)*SSSM</f>
        <v>0</v>
      </c>
      <c r="AD94" s="209">
        <f t="shared" ref="AD94" si="1946">IF(R94&gt;nB,0,AD93*(1-X93)*(1-Y93)*(1-AE93)*(1-AF93))</f>
        <v>0</v>
      </c>
      <c r="AE94" s="92">
        <f t="shared" ca="1" si="1506"/>
        <v>0</v>
      </c>
      <c r="AF94" s="92">
        <f t="shared" ca="1" si="1507"/>
        <v>0</v>
      </c>
      <c r="AG94" s="8">
        <f t="shared" ca="1" si="1508"/>
        <v>0</v>
      </c>
      <c r="AH94" s="5">
        <f ca="1">+SUM(AG94:AG$124)</f>
        <v>0</v>
      </c>
      <c r="AI94" s="70">
        <f t="shared" ca="1" si="1509"/>
        <v>0</v>
      </c>
      <c r="AJ94" s="208">
        <f ca="1">+SUM(AB94:AB$124)*SS50J</f>
        <v>0</v>
      </c>
      <c r="AK94" s="5">
        <f t="shared" ca="1" si="1545"/>
        <v>99999.012970709329</v>
      </c>
      <c r="AL94" s="2">
        <f t="shared" ref="AL94" ca="1" si="1947">IFERROR(VLOOKUP($S94,qx_table,MATCH(AL$11,qx_title,0)+sexB),0)</f>
        <v>0</v>
      </c>
      <c r="AM94" s="131">
        <f t="shared" ca="1" si="1547"/>
        <v>16128.862727571812</v>
      </c>
      <c r="AN94" s="129">
        <f t="shared" ca="1" si="1511"/>
        <v>0</v>
      </c>
      <c r="AO94" s="129">
        <f ca="1">SUM(AN94:AN$124)*SSa</f>
        <v>0</v>
      </c>
      <c r="AP94" s="70">
        <f t="shared" ca="1" si="1548"/>
        <v>99999.012970709329</v>
      </c>
      <c r="AQ94" s="2">
        <f t="shared" ref="AQ94" ca="1" si="1948">IFERROR(VLOOKUP($S94,qx_table,MATCH(AQ$11,qx_title,0)+sexB),0)</f>
        <v>0</v>
      </c>
      <c r="AR94" s="127">
        <f t="shared" ca="1" si="1550"/>
        <v>0</v>
      </c>
      <c r="AS94" s="127">
        <f ca="1">SUM(AR94:AR$124)*SSb</f>
        <v>0</v>
      </c>
      <c r="AT94" s="70">
        <f t="shared" ca="1" si="1551"/>
        <v>99999.012970709329</v>
      </c>
      <c r="AU94" s="2">
        <f t="shared" ref="AU94" ca="1" si="1949">IFERROR(VLOOKUP($S94,qx_table,MATCH(AU$11,qx_title,0)+sexB),0)</f>
        <v>0</v>
      </c>
      <c r="AV94" s="268">
        <f t="shared" ca="1" si="1553"/>
        <v>0</v>
      </c>
      <c r="AW94" s="131">
        <f ca="1">SUM(AV94:AV$124)*SSc</f>
        <v>0</v>
      </c>
      <c r="AX94" s="70">
        <f t="shared" ca="1" si="1554"/>
        <v>99999.012970709329</v>
      </c>
      <c r="AY94" s="2">
        <f t="shared" ref="AY94" ca="1" si="1950">IFERROR(VLOOKUP($S94,qx_table,MATCH(AY$11,qx_title,0)+sexB),0)</f>
        <v>0</v>
      </c>
      <c r="AZ94" s="268">
        <f t="shared" ca="1" si="1556"/>
        <v>0</v>
      </c>
      <c r="BA94" s="129">
        <f ca="1">SUM(AZ94:AZ$124)*SSd</f>
        <v>0</v>
      </c>
      <c r="BB94" s="70">
        <f t="shared" ca="1" si="1557"/>
        <v>99999.012970709329</v>
      </c>
      <c r="BC94" s="257">
        <f t="shared" ref="BC94" ca="1" si="1951">IFERROR(VLOOKUP($S94,qx_table,MATCH(BC$11,qx_title,0)+sexB),0)</f>
        <v>0</v>
      </c>
      <c r="BD94" s="268">
        <f t="shared" ca="1" si="1559"/>
        <v>0</v>
      </c>
      <c r="BE94" s="131">
        <f ca="1">SUM(BD94:BD$124)*SSe</f>
        <v>0</v>
      </c>
      <c r="BF94" s="70">
        <f t="shared" ca="1" si="1560"/>
        <v>99999.012970709329</v>
      </c>
      <c r="BG94" s="2">
        <f t="shared" ref="BG94" ca="1" si="1952">IFERROR(VLOOKUP($S94,qx_table,MATCH(BG$11,qx_title,0)+sexB),0)</f>
        <v>0</v>
      </c>
      <c r="BH94" s="131">
        <f t="shared" ca="1" si="1562"/>
        <v>0</v>
      </c>
      <c r="BI94" s="2">
        <f ca="1">SUM(BH94:BH$124)*SSf</f>
        <v>0</v>
      </c>
      <c r="BJ94" s="70">
        <f t="shared" ca="1" si="1563"/>
        <v>99999.012970709329</v>
      </c>
      <c r="BK94" s="2">
        <f t="shared" ref="BK94" ca="1" si="1953">IFERROR(VLOOKUP($S94,qx_table,MATCH(BK$11,qx_title,0)+sexB),0)</f>
        <v>0</v>
      </c>
      <c r="BL94" s="131">
        <f t="shared" ca="1" si="1565"/>
        <v>0</v>
      </c>
      <c r="BM94" s="131">
        <f ca="1">SUM(BL94:BL$124)*SSg</f>
        <v>0</v>
      </c>
      <c r="BN94" s="70">
        <f t="shared" ca="1" si="1566"/>
        <v>99999.012970709329</v>
      </c>
      <c r="BO94" s="2">
        <f t="shared" ref="BO94" ca="1" si="1954">IFERROR(VLOOKUP($S94,qx_table,MATCH(BO$11,qx_title,0)+sexB),0)</f>
        <v>0</v>
      </c>
      <c r="BP94" s="131">
        <f t="shared" ca="1" si="1568"/>
        <v>0</v>
      </c>
      <c r="BQ94" s="131">
        <f ca="1">SUM(BP94:BP$124)*SSh</f>
        <v>0</v>
      </c>
      <c r="BR94" s="70">
        <f t="shared" ca="1" si="1569"/>
        <v>99999.012970709329</v>
      </c>
      <c r="BS94" s="2">
        <f t="shared" ref="BS94" ca="1" si="1955">IFERROR(VLOOKUP($S94,qx_table,MATCH(BS$11,qx_title,0)+sexB),0)*IF(R94=0,MCi,1)</f>
        <v>0</v>
      </c>
      <c r="BT94" s="131">
        <f t="shared" ca="1" si="1571"/>
        <v>0</v>
      </c>
      <c r="BU94" s="131">
        <f ca="1">SUM(BT94:BT$124)*SSi</f>
        <v>0</v>
      </c>
      <c r="BV94" s="70">
        <f t="shared" ca="1" si="1572"/>
        <v>99999.012970709329</v>
      </c>
      <c r="BW94" s="2">
        <f t="shared" ref="BW94" ca="1" si="1956">IFERROR(VLOOKUP($S94,qx_table,MATCH(BW$11,qx_title,0)+sexB),0)</f>
        <v>0</v>
      </c>
      <c r="BX94" s="131">
        <f t="shared" ca="1" si="1574"/>
        <v>0</v>
      </c>
      <c r="BY94" s="131">
        <f ca="1">SUM(BX94:BX$124)*SSj</f>
        <v>0</v>
      </c>
      <c r="BZ94" s="70">
        <f t="shared" ca="1" si="1575"/>
        <v>99999.012970709329</v>
      </c>
      <c r="CA94" s="2">
        <f t="shared" ref="CA94" ca="1" si="1957">IFERROR(VLOOKUP($S94,qx_table,MATCH(CA$11,qx_title,0)+sexB),0)</f>
        <v>0</v>
      </c>
      <c r="CB94" s="131">
        <f t="shared" ca="1" si="1577"/>
        <v>0</v>
      </c>
      <c r="CC94" s="131">
        <f ca="1">SUM(CB94:CB$124)*SSk</f>
        <v>0</v>
      </c>
      <c r="CD94" s="8">
        <f t="shared" ca="1" si="1578"/>
        <v>99999.012970709329</v>
      </c>
      <c r="CE94" s="2">
        <f t="shared" ref="CE94" ca="1" si="1958">IFERROR(VLOOKUP($S94,qx_table,MATCH(CE$11,qx_title,0)+sexB),0)</f>
        <v>0</v>
      </c>
      <c r="CF94" s="131">
        <f t="shared" ca="1" si="1580"/>
        <v>0</v>
      </c>
      <c r="CG94" s="131">
        <f ca="1">SUM(CF94:CF$124)*SSl</f>
        <v>0</v>
      </c>
      <c r="CH94" s="101">
        <f t="shared" ca="1" si="1581"/>
        <v>0</v>
      </c>
      <c r="CI94" s="154">
        <f t="shared" ca="1" si="1523"/>
        <v>0</v>
      </c>
      <c r="CJ94" s="32">
        <f t="shared" ca="1" si="1524"/>
        <v>0</v>
      </c>
      <c r="CK94" s="32">
        <f t="shared" ref="CK94" ca="1" si="1959">+MAX(VLOOKUP(xB+$R94,기수표B,$AH$1)-VLOOKUP(xB+mB,기수표B,$AH$1)-11/24*(VLOOKUP(xB+$R94,기수표B,$AG$1)-VLOOKUP(xB+mB,기수표B,$AG$1)),0)</f>
        <v>0</v>
      </c>
      <c r="CL94" s="32">
        <f t="shared" ref="CL94" ca="1" si="1960">+MAX(VLOOKUP(xB+$R94,기수표B,$AA$1)-VLOOKUP(xB+mB,기수표B,$AA$1),0)</f>
        <v>0</v>
      </c>
      <c r="CM94" s="32">
        <f t="shared" ref="CM94" ca="1" si="1961">+MAX(VLOOKUP(xB+$R94,기수표B,$AA$1)-VLOOKUP(xB+mB,기수표B,$AA$1)-11/24*(VLOOKUP(xB+$R94,기수표B,$AA$1)-VLOOKUP(xB+mB,기수표B,$AA$1)),0)</f>
        <v>0</v>
      </c>
      <c r="CN94" s="32">
        <f t="shared" si="1528"/>
        <v>0</v>
      </c>
      <c r="CO94" s="32">
        <f t="shared" ca="1" si="1529"/>
        <v>0</v>
      </c>
      <c r="CP94" s="32">
        <f t="shared" ca="1" si="1530"/>
        <v>0</v>
      </c>
      <c r="CQ94" s="262">
        <f t="shared" ca="1" si="1531"/>
        <v>0</v>
      </c>
      <c r="CR94" s="259" t="e">
        <f t="shared" ca="1" si="1532"/>
        <v>#DIV/0!</v>
      </c>
      <c r="CS94" s="32">
        <f t="shared" ca="1" si="1533"/>
        <v>1.5999999999999999E-5</v>
      </c>
      <c r="CT94" s="31">
        <f t="shared" ref="CT94" si="1962">+MIN(mB,7)</f>
        <v>7</v>
      </c>
      <c r="CV94" s="13">
        <v>82</v>
      </c>
      <c r="CW94" s="477">
        <f t="shared" ca="1" si="1535"/>
        <v>480</v>
      </c>
      <c r="CX94" s="477" t="e">
        <f t="shared" ca="1" si="1536"/>
        <v>#DIV/0!</v>
      </c>
      <c r="CY94" s="477">
        <f t="shared" ca="1" si="1537"/>
        <v>0</v>
      </c>
      <c r="CZ94" s="478">
        <f t="shared" ca="1" si="1586"/>
        <v>0</v>
      </c>
    </row>
    <row r="95" spans="14:104">
      <c r="N95" s="5">
        <f t="shared" si="1587"/>
        <v>83</v>
      </c>
      <c r="O95" s="2">
        <f t="shared" ref="O95" ca="1" si="1963">+(1+iB)^-N95</f>
        <v>0.15774104572853317</v>
      </c>
      <c r="P95" s="2">
        <f t="shared" ref="P95" ca="1" si="1964">+(1+iB)^-(N95+0.5)</f>
        <v>0.15599585446040659</v>
      </c>
      <c r="Q95" s="91"/>
      <c r="R95" s="20">
        <f t="shared" si="1590"/>
        <v>83</v>
      </c>
      <c r="S95" s="20" t="str">
        <f t="shared" ref="S95" si="1965">+IF(xB+R95&lt;=xB+nB,xB+R95,"")</f>
        <v/>
      </c>
      <c r="T95" s="2">
        <f t="shared" ref="T95:U95" ca="1" si="1966">IFERROR(VLOOKUP($S95,qx_table,MATCH(T$11,qx_title,0)+sexB),0)</f>
        <v>0</v>
      </c>
      <c r="U95" s="2">
        <f t="shared" ca="1" si="1966"/>
        <v>0</v>
      </c>
      <c r="V95" s="300">
        <v>0</v>
      </c>
      <c r="W95" s="8">
        <f t="shared" ref="W95" si="1967">IF(R95=0,100000,IF(R95&gt;nB,0,W94*(1-X94)*(1-Y94)))</f>
        <v>0</v>
      </c>
      <c r="X95" s="10">
        <f t="shared" ca="1" si="1502"/>
        <v>0</v>
      </c>
      <c r="Y95" s="10">
        <f t="shared" ca="1" si="1503"/>
        <v>0</v>
      </c>
      <c r="Z95" s="5">
        <f t="shared" ca="1" si="1543"/>
        <v>0</v>
      </c>
      <c r="AA95" s="5">
        <f ca="1">+SUM(Z95:Z$124)</f>
        <v>0</v>
      </c>
      <c r="AB95" s="8">
        <f t="shared" ca="1" si="1504"/>
        <v>0</v>
      </c>
      <c r="AC95" s="209">
        <f ca="1">+SUM(AB95:AB$124)*SSSM</f>
        <v>0</v>
      </c>
      <c r="AD95" s="209">
        <f t="shared" ref="AD95" si="1968">IF(R95&gt;nB,0,AD94*(1-X94)*(1-Y94)*(1-AE94)*(1-AF94))</f>
        <v>0</v>
      </c>
      <c r="AE95" s="92">
        <f t="shared" ca="1" si="1506"/>
        <v>0</v>
      </c>
      <c r="AF95" s="92">
        <f t="shared" ca="1" si="1507"/>
        <v>0</v>
      </c>
      <c r="AG95" s="8">
        <f t="shared" ca="1" si="1508"/>
        <v>0</v>
      </c>
      <c r="AH95" s="5">
        <f ca="1">+SUM(AG95:AG$124)</f>
        <v>0</v>
      </c>
      <c r="AI95" s="70">
        <f t="shared" ca="1" si="1509"/>
        <v>0</v>
      </c>
      <c r="AJ95" s="208">
        <f ca="1">+SUM(AB95:AB$124)*SS50J</f>
        <v>0</v>
      </c>
      <c r="AK95" s="5">
        <f t="shared" ca="1" si="1545"/>
        <v>99999.012970709329</v>
      </c>
      <c r="AL95" s="2">
        <f t="shared" ref="AL95" ca="1" si="1969">IFERROR(VLOOKUP($S95,qx_table,MATCH(AL$11,qx_title,0)+sexB),0)</f>
        <v>0</v>
      </c>
      <c r="AM95" s="131">
        <f t="shared" ca="1" si="1547"/>
        <v>15773.948877820842</v>
      </c>
      <c r="AN95" s="129">
        <f t="shared" ca="1" si="1511"/>
        <v>0</v>
      </c>
      <c r="AO95" s="129">
        <f ca="1">SUM(AN95:AN$124)*SSa</f>
        <v>0</v>
      </c>
      <c r="AP95" s="70">
        <f t="shared" ca="1" si="1548"/>
        <v>99999.012970709329</v>
      </c>
      <c r="AQ95" s="2">
        <f t="shared" ref="AQ95" ca="1" si="1970">IFERROR(VLOOKUP($S95,qx_table,MATCH(AQ$11,qx_title,0)+sexB),0)</f>
        <v>0</v>
      </c>
      <c r="AR95" s="127">
        <f t="shared" ca="1" si="1550"/>
        <v>0</v>
      </c>
      <c r="AS95" s="127">
        <f ca="1">SUM(AR95:AR$124)*SSb</f>
        <v>0</v>
      </c>
      <c r="AT95" s="70">
        <f t="shared" ca="1" si="1551"/>
        <v>99999.012970709329</v>
      </c>
      <c r="AU95" s="2">
        <f t="shared" ref="AU95" ca="1" si="1971">IFERROR(VLOOKUP($S95,qx_table,MATCH(AU$11,qx_title,0)+sexB),0)</f>
        <v>0</v>
      </c>
      <c r="AV95" s="268">
        <f t="shared" ca="1" si="1553"/>
        <v>0</v>
      </c>
      <c r="AW95" s="131">
        <f ca="1">SUM(AV95:AV$124)*SSc</f>
        <v>0</v>
      </c>
      <c r="AX95" s="70">
        <f t="shared" ca="1" si="1554"/>
        <v>99999.012970709329</v>
      </c>
      <c r="AY95" s="2">
        <f t="shared" ref="AY95" ca="1" si="1972">IFERROR(VLOOKUP($S95,qx_table,MATCH(AY$11,qx_title,0)+sexB),0)</f>
        <v>0</v>
      </c>
      <c r="AZ95" s="268">
        <f t="shared" ca="1" si="1556"/>
        <v>0</v>
      </c>
      <c r="BA95" s="129">
        <f ca="1">SUM(AZ95:AZ$124)*SSd</f>
        <v>0</v>
      </c>
      <c r="BB95" s="70">
        <f t="shared" ca="1" si="1557"/>
        <v>99999.012970709329</v>
      </c>
      <c r="BC95" s="257">
        <f t="shared" ref="BC95" ca="1" si="1973">IFERROR(VLOOKUP($S95,qx_table,MATCH(BC$11,qx_title,0)+sexB),0)</f>
        <v>0</v>
      </c>
      <c r="BD95" s="268">
        <f t="shared" ca="1" si="1559"/>
        <v>0</v>
      </c>
      <c r="BE95" s="131">
        <f ca="1">SUM(BD95:BD$124)*SSe</f>
        <v>0</v>
      </c>
      <c r="BF95" s="70">
        <f t="shared" ca="1" si="1560"/>
        <v>99999.012970709329</v>
      </c>
      <c r="BG95" s="2">
        <f t="shared" ref="BG95" ca="1" si="1974">IFERROR(VLOOKUP($S95,qx_table,MATCH(BG$11,qx_title,0)+sexB),0)</f>
        <v>0</v>
      </c>
      <c r="BH95" s="131">
        <f t="shared" ca="1" si="1562"/>
        <v>0</v>
      </c>
      <c r="BI95" s="2">
        <f ca="1">SUM(BH95:BH$124)*SSf</f>
        <v>0</v>
      </c>
      <c r="BJ95" s="70">
        <f t="shared" ca="1" si="1563"/>
        <v>99999.012970709329</v>
      </c>
      <c r="BK95" s="2">
        <f t="shared" ref="BK95" ca="1" si="1975">IFERROR(VLOOKUP($S95,qx_table,MATCH(BK$11,qx_title,0)+sexB),0)</f>
        <v>0</v>
      </c>
      <c r="BL95" s="131">
        <f t="shared" ca="1" si="1565"/>
        <v>0</v>
      </c>
      <c r="BM95" s="131">
        <f ca="1">SUM(BL95:BL$124)*SSg</f>
        <v>0</v>
      </c>
      <c r="BN95" s="70">
        <f t="shared" ca="1" si="1566"/>
        <v>99999.012970709329</v>
      </c>
      <c r="BO95" s="2">
        <f t="shared" ref="BO95" ca="1" si="1976">IFERROR(VLOOKUP($S95,qx_table,MATCH(BO$11,qx_title,0)+sexB),0)</f>
        <v>0</v>
      </c>
      <c r="BP95" s="131">
        <f t="shared" ca="1" si="1568"/>
        <v>0</v>
      </c>
      <c r="BQ95" s="131">
        <f ca="1">SUM(BP95:BP$124)*SSh</f>
        <v>0</v>
      </c>
      <c r="BR95" s="70">
        <f t="shared" ca="1" si="1569"/>
        <v>99999.012970709329</v>
      </c>
      <c r="BS95" s="2">
        <f t="shared" ref="BS95" ca="1" si="1977">IFERROR(VLOOKUP($S95,qx_table,MATCH(BS$11,qx_title,0)+sexB),0)*IF(R95=0,MCi,1)</f>
        <v>0</v>
      </c>
      <c r="BT95" s="131">
        <f t="shared" ca="1" si="1571"/>
        <v>0</v>
      </c>
      <c r="BU95" s="131">
        <f ca="1">SUM(BT95:BT$124)*SSi</f>
        <v>0</v>
      </c>
      <c r="BV95" s="70">
        <f t="shared" ca="1" si="1572"/>
        <v>99999.012970709329</v>
      </c>
      <c r="BW95" s="2">
        <f t="shared" ref="BW95" ca="1" si="1978">IFERROR(VLOOKUP($S95,qx_table,MATCH(BW$11,qx_title,0)+sexB),0)</f>
        <v>0</v>
      </c>
      <c r="BX95" s="131">
        <f t="shared" ca="1" si="1574"/>
        <v>0</v>
      </c>
      <c r="BY95" s="131">
        <f ca="1">SUM(BX95:BX$124)*SSj</f>
        <v>0</v>
      </c>
      <c r="BZ95" s="70">
        <f t="shared" ca="1" si="1575"/>
        <v>99999.012970709329</v>
      </c>
      <c r="CA95" s="2">
        <f t="shared" ref="CA95" ca="1" si="1979">IFERROR(VLOOKUP($S95,qx_table,MATCH(CA$11,qx_title,0)+sexB),0)</f>
        <v>0</v>
      </c>
      <c r="CB95" s="131">
        <f t="shared" ca="1" si="1577"/>
        <v>0</v>
      </c>
      <c r="CC95" s="131">
        <f ca="1">SUM(CB95:CB$124)*SSk</f>
        <v>0</v>
      </c>
      <c r="CD95" s="8">
        <f t="shared" ca="1" si="1578"/>
        <v>99999.012970709329</v>
      </c>
      <c r="CE95" s="2">
        <f t="shared" ref="CE95" ca="1" si="1980">IFERROR(VLOOKUP($S95,qx_table,MATCH(CE$11,qx_title,0)+sexB),0)</f>
        <v>0</v>
      </c>
      <c r="CF95" s="131">
        <f t="shared" ca="1" si="1580"/>
        <v>0</v>
      </c>
      <c r="CG95" s="131">
        <f ca="1">SUM(CF95:CF$124)*SSl</f>
        <v>0</v>
      </c>
      <c r="CH95" s="101">
        <f t="shared" ca="1" si="1581"/>
        <v>0</v>
      </c>
      <c r="CI95" s="154">
        <f t="shared" ca="1" si="1523"/>
        <v>0</v>
      </c>
      <c r="CJ95" s="32">
        <f t="shared" ca="1" si="1524"/>
        <v>0</v>
      </c>
      <c r="CK95" s="32">
        <f t="shared" ref="CK95" ca="1" si="1981">+MAX(VLOOKUP(xB+$R95,기수표B,$AH$1)-VLOOKUP(xB+mB,기수표B,$AH$1)-11/24*(VLOOKUP(xB+$R95,기수표B,$AG$1)-VLOOKUP(xB+mB,기수표B,$AG$1)),0)</f>
        <v>0</v>
      </c>
      <c r="CL95" s="32">
        <f t="shared" ref="CL95" ca="1" si="1982">+MAX(VLOOKUP(xB+$R95,기수표B,$AA$1)-VLOOKUP(xB+mB,기수표B,$AA$1),0)</f>
        <v>0</v>
      </c>
      <c r="CM95" s="32">
        <f t="shared" ref="CM95" ca="1" si="1983">+MAX(VLOOKUP(xB+$R95,기수표B,$AA$1)-VLOOKUP(xB+mB,기수표B,$AA$1)-11/24*(VLOOKUP(xB+$R95,기수표B,$AA$1)-VLOOKUP(xB+mB,기수표B,$AA$1)),0)</f>
        <v>0</v>
      </c>
      <c r="CN95" s="32">
        <f t="shared" si="1528"/>
        <v>0</v>
      </c>
      <c r="CO95" s="32">
        <f t="shared" ca="1" si="1529"/>
        <v>0</v>
      </c>
      <c r="CP95" s="32">
        <f t="shared" ca="1" si="1530"/>
        <v>0</v>
      </c>
      <c r="CQ95" s="262">
        <f t="shared" ca="1" si="1531"/>
        <v>0</v>
      </c>
      <c r="CR95" s="259" t="e">
        <f t="shared" ca="1" si="1532"/>
        <v>#DIV/0!</v>
      </c>
      <c r="CS95" s="32">
        <f t="shared" ca="1" si="1533"/>
        <v>1.5999999999999999E-5</v>
      </c>
      <c r="CT95" s="31">
        <f t="shared" ref="CT95" si="1984">+MIN(mB,7)</f>
        <v>7</v>
      </c>
      <c r="CV95" s="13">
        <v>83</v>
      </c>
      <c r="CW95" s="477">
        <f t="shared" ca="1" si="1535"/>
        <v>480</v>
      </c>
      <c r="CX95" s="477" t="e">
        <f t="shared" ca="1" si="1536"/>
        <v>#DIV/0!</v>
      </c>
      <c r="CY95" s="477">
        <f t="shared" ca="1" si="1537"/>
        <v>0</v>
      </c>
      <c r="CZ95" s="478">
        <f t="shared" ca="1" si="1586"/>
        <v>0</v>
      </c>
    </row>
    <row r="96" spans="14:104">
      <c r="N96" s="5">
        <f t="shared" si="1587"/>
        <v>84</v>
      </c>
      <c r="O96" s="2">
        <f t="shared" ref="O96" ca="1" si="1985">+(1+iB)^-N96</f>
        <v>0.15426997137264856</v>
      </c>
      <c r="P96" s="2">
        <f t="shared" ref="P96" ca="1" si="1986">+(1+iB)^-(N96+0.5)</f>
        <v>0.15256318284636342</v>
      </c>
      <c r="Q96" s="91"/>
      <c r="R96" s="20">
        <f t="shared" si="1590"/>
        <v>84</v>
      </c>
      <c r="S96" s="20" t="str">
        <f t="shared" ref="S96" si="1987">+IF(xB+R96&lt;=xB+nB,xB+R96,"")</f>
        <v/>
      </c>
      <c r="T96" s="2">
        <f t="shared" ref="T96:U96" ca="1" si="1988">IFERROR(VLOOKUP($S96,qx_table,MATCH(T$11,qx_title,0)+sexB),0)</f>
        <v>0</v>
      </c>
      <c r="U96" s="2">
        <f t="shared" ca="1" si="1988"/>
        <v>0</v>
      </c>
      <c r="V96" s="300">
        <v>0</v>
      </c>
      <c r="W96" s="8">
        <f t="shared" ref="W96" si="1989">IF(R96=0,100000,IF(R96&gt;nB,0,W95*(1-X95)*(1-Y95)))</f>
        <v>0</v>
      </c>
      <c r="X96" s="10">
        <f t="shared" ca="1" si="1502"/>
        <v>0</v>
      </c>
      <c r="Y96" s="10">
        <f t="shared" ca="1" si="1503"/>
        <v>0</v>
      </c>
      <c r="Z96" s="5">
        <f t="shared" ca="1" si="1543"/>
        <v>0</v>
      </c>
      <c r="AA96" s="5">
        <f ca="1">+SUM(Z96:Z$124)</f>
        <v>0</v>
      </c>
      <c r="AB96" s="8">
        <f t="shared" ca="1" si="1504"/>
        <v>0</v>
      </c>
      <c r="AC96" s="209">
        <f ca="1">+SUM(AB96:AB$124)*SSSM</f>
        <v>0</v>
      </c>
      <c r="AD96" s="209">
        <f t="shared" ref="AD96" si="1990">IF(R96&gt;nB,0,AD95*(1-X95)*(1-Y95)*(1-AE95)*(1-AF95))</f>
        <v>0</v>
      </c>
      <c r="AE96" s="92">
        <f t="shared" ca="1" si="1506"/>
        <v>0</v>
      </c>
      <c r="AF96" s="92">
        <f t="shared" ca="1" si="1507"/>
        <v>0</v>
      </c>
      <c r="AG96" s="8">
        <f t="shared" ca="1" si="1508"/>
        <v>0</v>
      </c>
      <c r="AH96" s="5">
        <f ca="1">+SUM(AG96:AG$124)</f>
        <v>0</v>
      </c>
      <c r="AI96" s="70">
        <f t="shared" ca="1" si="1509"/>
        <v>0</v>
      </c>
      <c r="AJ96" s="208">
        <f ca="1">+SUM(AB96:AB$124)*SS50J</f>
        <v>0</v>
      </c>
      <c r="AK96" s="5">
        <f t="shared" ca="1" si="1545"/>
        <v>99999.012970709329</v>
      </c>
      <c r="AL96" s="2">
        <f t="shared" ref="AL96" ca="1" si="1991">IFERROR(VLOOKUP($S96,qx_table,MATCH(AL$11,qx_title,0)+sexB),0)</f>
        <v>0</v>
      </c>
      <c r="AM96" s="131">
        <f t="shared" ca="1" si="1547"/>
        <v>15426.844868284439</v>
      </c>
      <c r="AN96" s="129">
        <f t="shared" ca="1" si="1511"/>
        <v>0</v>
      </c>
      <c r="AO96" s="129">
        <f ca="1">SUM(AN96:AN$124)*SSa</f>
        <v>0</v>
      </c>
      <c r="AP96" s="70">
        <f t="shared" ca="1" si="1548"/>
        <v>99999.012970709329</v>
      </c>
      <c r="AQ96" s="2">
        <f t="shared" ref="AQ96" ca="1" si="1992">IFERROR(VLOOKUP($S96,qx_table,MATCH(AQ$11,qx_title,0)+sexB),0)</f>
        <v>0</v>
      </c>
      <c r="AR96" s="127">
        <f t="shared" ca="1" si="1550"/>
        <v>0</v>
      </c>
      <c r="AS96" s="127">
        <f ca="1">SUM(AR96:AR$124)*SSb</f>
        <v>0</v>
      </c>
      <c r="AT96" s="70">
        <f t="shared" ca="1" si="1551"/>
        <v>99999.012970709329</v>
      </c>
      <c r="AU96" s="2">
        <f t="shared" ref="AU96" ca="1" si="1993">IFERROR(VLOOKUP($S96,qx_table,MATCH(AU$11,qx_title,0)+sexB),0)</f>
        <v>0</v>
      </c>
      <c r="AV96" s="268">
        <f t="shared" ca="1" si="1553"/>
        <v>0</v>
      </c>
      <c r="AW96" s="131">
        <f ca="1">SUM(AV96:AV$124)*SSc</f>
        <v>0</v>
      </c>
      <c r="AX96" s="70">
        <f t="shared" ca="1" si="1554"/>
        <v>99999.012970709329</v>
      </c>
      <c r="AY96" s="2">
        <f t="shared" ref="AY96" ca="1" si="1994">IFERROR(VLOOKUP($S96,qx_table,MATCH(AY$11,qx_title,0)+sexB),0)</f>
        <v>0</v>
      </c>
      <c r="AZ96" s="268">
        <f t="shared" ca="1" si="1556"/>
        <v>0</v>
      </c>
      <c r="BA96" s="129">
        <f ca="1">SUM(AZ96:AZ$124)*SSd</f>
        <v>0</v>
      </c>
      <c r="BB96" s="70">
        <f t="shared" ca="1" si="1557"/>
        <v>99999.012970709329</v>
      </c>
      <c r="BC96" s="257">
        <f t="shared" ref="BC96" ca="1" si="1995">IFERROR(VLOOKUP($S96,qx_table,MATCH(BC$11,qx_title,0)+sexB),0)</f>
        <v>0</v>
      </c>
      <c r="BD96" s="268">
        <f t="shared" ca="1" si="1559"/>
        <v>0</v>
      </c>
      <c r="BE96" s="131">
        <f ca="1">SUM(BD96:BD$124)*SSe</f>
        <v>0</v>
      </c>
      <c r="BF96" s="70">
        <f t="shared" ca="1" si="1560"/>
        <v>99999.012970709329</v>
      </c>
      <c r="BG96" s="2">
        <f t="shared" ref="BG96" ca="1" si="1996">IFERROR(VLOOKUP($S96,qx_table,MATCH(BG$11,qx_title,0)+sexB),0)</f>
        <v>0</v>
      </c>
      <c r="BH96" s="131">
        <f t="shared" ca="1" si="1562"/>
        <v>0</v>
      </c>
      <c r="BI96" s="2">
        <f ca="1">SUM(BH96:BH$124)*SSf</f>
        <v>0</v>
      </c>
      <c r="BJ96" s="70">
        <f t="shared" ca="1" si="1563"/>
        <v>99999.012970709329</v>
      </c>
      <c r="BK96" s="2">
        <f t="shared" ref="BK96" ca="1" si="1997">IFERROR(VLOOKUP($S96,qx_table,MATCH(BK$11,qx_title,0)+sexB),0)</f>
        <v>0</v>
      </c>
      <c r="BL96" s="131">
        <f t="shared" ca="1" si="1565"/>
        <v>0</v>
      </c>
      <c r="BM96" s="131">
        <f ca="1">SUM(BL96:BL$124)*SSg</f>
        <v>0</v>
      </c>
      <c r="BN96" s="70">
        <f t="shared" ca="1" si="1566"/>
        <v>99999.012970709329</v>
      </c>
      <c r="BO96" s="2">
        <f t="shared" ref="BO96" ca="1" si="1998">IFERROR(VLOOKUP($S96,qx_table,MATCH(BO$11,qx_title,0)+sexB),0)</f>
        <v>0</v>
      </c>
      <c r="BP96" s="131">
        <f t="shared" ca="1" si="1568"/>
        <v>0</v>
      </c>
      <c r="BQ96" s="131">
        <f ca="1">SUM(BP96:BP$124)*SSh</f>
        <v>0</v>
      </c>
      <c r="BR96" s="70">
        <f t="shared" ca="1" si="1569"/>
        <v>99999.012970709329</v>
      </c>
      <c r="BS96" s="2">
        <f t="shared" ref="BS96" ca="1" si="1999">IFERROR(VLOOKUP($S96,qx_table,MATCH(BS$11,qx_title,0)+sexB),0)*IF(R96=0,MCi,1)</f>
        <v>0</v>
      </c>
      <c r="BT96" s="131">
        <f t="shared" ca="1" si="1571"/>
        <v>0</v>
      </c>
      <c r="BU96" s="131">
        <f ca="1">SUM(BT96:BT$124)*SSi</f>
        <v>0</v>
      </c>
      <c r="BV96" s="70">
        <f t="shared" ca="1" si="1572"/>
        <v>99999.012970709329</v>
      </c>
      <c r="BW96" s="2">
        <f t="shared" ref="BW96" ca="1" si="2000">IFERROR(VLOOKUP($S96,qx_table,MATCH(BW$11,qx_title,0)+sexB),0)</f>
        <v>0</v>
      </c>
      <c r="BX96" s="131">
        <f t="shared" ca="1" si="1574"/>
        <v>0</v>
      </c>
      <c r="BY96" s="131">
        <f ca="1">SUM(BX96:BX$124)*SSj</f>
        <v>0</v>
      </c>
      <c r="BZ96" s="70">
        <f t="shared" ca="1" si="1575"/>
        <v>99999.012970709329</v>
      </c>
      <c r="CA96" s="2">
        <f t="shared" ref="CA96" ca="1" si="2001">IFERROR(VLOOKUP($S96,qx_table,MATCH(CA$11,qx_title,0)+sexB),0)</f>
        <v>0</v>
      </c>
      <c r="CB96" s="131">
        <f t="shared" ca="1" si="1577"/>
        <v>0</v>
      </c>
      <c r="CC96" s="131">
        <f ca="1">SUM(CB96:CB$124)*SSk</f>
        <v>0</v>
      </c>
      <c r="CD96" s="8">
        <f t="shared" ca="1" si="1578"/>
        <v>99999.012970709329</v>
      </c>
      <c r="CE96" s="2">
        <f t="shared" ref="CE96" ca="1" si="2002">IFERROR(VLOOKUP($S96,qx_table,MATCH(CE$11,qx_title,0)+sexB),0)</f>
        <v>0</v>
      </c>
      <c r="CF96" s="131">
        <f t="shared" ca="1" si="1580"/>
        <v>0</v>
      </c>
      <c r="CG96" s="131">
        <f ca="1">SUM(CF96:CF$124)*SSl</f>
        <v>0</v>
      </c>
      <c r="CH96" s="101">
        <f t="shared" ca="1" si="1581"/>
        <v>0</v>
      </c>
      <c r="CI96" s="154">
        <f t="shared" ca="1" si="1523"/>
        <v>0</v>
      </c>
      <c r="CJ96" s="32">
        <f t="shared" ca="1" si="1524"/>
        <v>0</v>
      </c>
      <c r="CK96" s="32">
        <f t="shared" ref="CK96" ca="1" si="2003">+MAX(VLOOKUP(xB+$R96,기수표B,$AH$1)-VLOOKUP(xB+mB,기수표B,$AH$1)-11/24*(VLOOKUP(xB+$R96,기수표B,$AG$1)-VLOOKUP(xB+mB,기수표B,$AG$1)),0)</f>
        <v>0</v>
      </c>
      <c r="CL96" s="32">
        <f t="shared" ref="CL96" ca="1" si="2004">+MAX(VLOOKUP(xB+$R96,기수표B,$AA$1)-VLOOKUP(xB+mB,기수표B,$AA$1),0)</f>
        <v>0</v>
      </c>
      <c r="CM96" s="32">
        <f t="shared" ref="CM96" ca="1" si="2005">+MAX(VLOOKUP(xB+$R96,기수표B,$AA$1)-VLOOKUP(xB+mB,기수표B,$AA$1)-11/24*(VLOOKUP(xB+$R96,기수표B,$AA$1)-VLOOKUP(xB+mB,기수표B,$AA$1)),0)</f>
        <v>0</v>
      </c>
      <c r="CN96" s="32">
        <f t="shared" si="1528"/>
        <v>0</v>
      </c>
      <c r="CO96" s="32">
        <f t="shared" ca="1" si="1529"/>
        <v>0</v>
      </c>
      <c r="CP96" s="32">
        <f t="shared" ca="1" si="1530"/>
        <v>0</v>
      </c>
      <c r="CQ96" s="262">
        <f t="shared" ca="1" si="1531"/>
        <v>0</v>
      </c>
      <c r="CR96" s="259" t="e">
        <f t="shared" ca="1" si="1532"/>
        <v>#DIV/0!</v>
      </c>
      <c r="CS96" s="32">
        <f t="shared" ca="1" si="1533"/>
        <v>1.5999999999999999E-5</v>
      </c>
      <c r="CT96" s="31">
        <f t="shared" ref="CT96" si="2006">+MIN(mB,7)</f>
        <v>7</v>
      </c>
      <c r="CV96" s="13">
        <v>84</v>
      </c>
      <c r="CW96" s="477">
        <f t="shared" ca="1" si="1535"/>
        <v>480</v>
      </c>
      <c r="CX96" s="477" t="e">
        <f t="shared" ca="1" si="1536"/>
        <v>#DIV/0!</v>
      </c>
      <c r="CY96" s="477">
        <f t="shared" ca="1" si="1537"/>
        <v>0</v>
      </c>
      <c r="CZ96" s="478">
        <f t="shared" ca="1" si="1586"/>
        <v>0</v>
      </c>
    </row>
    <row r="97" spans="3:104">
      <c r="N97" s="5">
        <f t="shared" si="1587"/>
        <v>85</v>
      </c>
      <c r="O97" s="2">
        <f t="shared" ref="O97" ca="1" si="2007">+(1+iB)^-N97</f>
        <v>0.15087527762606218</v>
      </c>
      <c r="P97" s="2">
        <f t="shared" ref="P97" ca="1" si="2008">+(1+iB)^-(N97+0.5)</f>
        <v>0.14920604679350946</v>
      </c>
      <c r="Q97" s="91"/>
      <c r="R97" s="20">
        <f t="shared" si="1590"/>
        <v>85</v>
      </c>
      <c r="S97" s="20" t="str">
        <f t="shared" ref="S97" si="2009">+IF(xB+R97&lt;=xB+nB,xB+R97,"")</f>
        <v/>
      </c>
      <c r="T97" s="2">
        <f t="shared" ref="T97:U97" ca="1" si="2010">IFERROR(VLOOKUP($S97,qx_table,MATCH(T$11,qx_title,0)+sexB),0)</f>
        <v>0</v>
      </c>
      <c r="U97" s="2">
        <f t="shared" ca="1" si="2010"/>
        <v>0</v>
      </c>
      <c r="V97" s="300">
        <v>0</v>
      </c>
      <c r="W97" s="8">
        <f t="shared" ref="W97" si="2011">IF(R97=0,100000,IF(R97&gt;nB,0,W96*(1-X96)*(1-Y96)))</f>
        <v>0</v>
      </c>
      <c r="X97" s="10">
        <f t="shared" ca="1" si="1502"/>
        <v>0</v>
      </c>
      <c r="Y97" s="10">
        <f t="shared" ca="1" si="1503"/>
        <v>0</v>
      </c>
      <c r="Z97" s="5">
        <f t="shared" ca="1" si="1543"/>
        <v>0</v>
      </c>
      <c r="AA97" s="5">
        <f ca="1">+SUM(Z97:Z$124)</f>
        <v>0</v>
      </c>
      <c r="AB97" s="8">
        <f t="shared" ca="1" si="1504"/>
        <v>0</v>
      </c>
      <c r="AC97" s="209">
        <f ca="1">+SUM(AB97:AB$124)*SSSM</f>
        <v>0</v>
      </c>
      <c r="AD97" s="209">
        <f t="shared" ref="AD97" si="2012">IF(R97&gt;nB,0,AD96*(1-X96)*(1-Y96)*(1-AE96)*(1-AF96))</f>
        <v>0</v>
      </c>
      <c r="AE97" s="92">
        <f t="shared" ca="1" si="1506"/>
        <v>0</v>
      </c>
      <c r="AF97" s="92">
        <f t="shared" ca="1" si="1507"/>
        <v>0</v>
      </c>
      <c r="AG97" s="8">
        <f t="shared" ca="1" si="1508"/>
        <v>0</v>
      </c>
      <c r="AH97" s="5">
        <f ca="1">+SUM(AG97:AG$124)</f>
        <v>0</v>
      </c>
      <c r="AI97" s="70">
        <f t="shared" ca="1" si="1509"/>
        <v>0</v>
      </c>
      <c r="AJ97" s="208">
        <f ca="1">+SUM(AB97:AB$124)*SS50J</f>
        <v>0</v>
      </c>
      <c r="AK97" s="5">
        <f t="shared" ca="1" si="1545"/>
        <v>99999.012970709329</v>
      </c>
      <c r="AL97" s="2">
        <f t="shared" ref="AL97" ca="1" si="2013">IFERROR(VLOOKUP($S97,qx_table,MATCH(AL$11,qx_title,0)+sexB),0)</f>
        <v>0</v>
      </c>
      <c r="AM97" s="131">
        <f t="shared" ca="1" si="1547"/>
        <v>15087.378844287963</v>
      </c>
      <c r="AN97" s="129">
        <f t="shared" ca="1" si="1511"/>
        <v>0</v>
      </c>
      <c r="AO97" s="129">
        <f ca="1">SUM(AN97:AN$124)*SSa</f>
        <v>0</v>
      </c>
      <c r="AP97" s="70">
        <f t="shared" ca="1" si="1548"/>
        <v>99999.012970709329</v>
      </c>
      <c r="AQ97" s="2">
        <f t="shared" ref="AQ97" ca="1" si="2014">IFERROR(VLOOKUP($S97,qx_table,MATCH(AQ$11,qx_title,0)+sexB),0)</f>
        <v>0</v>
      </c>
      <c r="AR97" s="127">
        <f t="shared" ca="1" si="1550"/>
        <v>0</v>
      </c>
      <c r="AS97" s="127">
        <f ca="1">SUM(AR97:AR$124)*SSb</f>
        <v>0</v>
      </c>
      <c r="AT97" s="70">
        <f t="shared" ca="1" si="1551"/>
        <v>99999.012970709329</v>
      </c>
      <c r="AU97" s="2">
        <f t="shared" ref="AU97" ca="1" si="2015">IFERROR(VLOOKUP($S97,qx_table,MATCH(AU$11,qx_title,0)+sexB),0)</f>
        <v>0</v>
      </c>
      <c r="AV97" s="268">
        <f t="shared" ca="1" si="1553"/>
        <v>0</v>
      </c>
      <c r="AW97" s="131">
        <f ca="1">SUM(AV97:AV$124)*SSc</f>
        <v>0</v>
      </c>
      <c r="AX97" s="70">
        <f t="shared" ca="1" si="1554"/>
        <v>99999.012970709329</v>
      </c>
      <c r="AY97" s="2">
        <f t="shared" ref="AY97" ca="1" si="2016">IFERROR(VLOOKUP($S97,qx_table,MATCH(AY$11,qx_title,0)+sexB),0)</f>
        <v>0</v>
      </c>
      <c r="AZ97" s="268">
        <f t="shared" ca="1" si="1556"/>
        <v>0</v>
      </c>
      <c r="BA97" s="129">
        <f ca="1">SUM(AZ97:AZ$124)*SSd</f>
        <v>0</v>
      </c>
      <c r="BB97" s="70">
        <f t="shared" ca="1" si="1557"/>
        <v>99999.012970709329</v>
      </c>
      <c r="BC97" s="257">
        <f t="shared" ref="BC97" ca="1" si="2017">IFERROR(VLOOKUP($S97,qx_table,MATCH(BC$11,qx_title,0)+sexB),0)</f>
        <v>0</v>
      </c>
      <c r="BD97" s="268">
        <f t="shared" ca="1" si="1559"/>
        <v>0</v>
      </c>
      <c r="BE97" s="131">
        <f ca="1">SUM(BD97:BD$124)*SSe</f>
        <v>0</v>
      </c>
      <c r="BF97" s="70">
        <f t="shared" ca="1" si="1560"/>
        <v>99999.012970709329</v>
      </c>
      <c r="BG97" s="2">
        <f t="shared" ref="BG97" ca="1" si="2018">IFERROR(VLOOKUP($S97,qx_table,MATCH(BG$11,qx_title,0)+sexB),0)</f>
        <v>0</v>
      </c>
      <c r="BH97" s="131">
        <f t="shared" ca="1" si="1562"/>
        <v>0</v>
      </c>
      <c r="BI97" s="2">
        <f ca="1">SUM(BH97:BH$124)*SSf</f>
        <v>0</v>
      </c>
      <c r="BJ97" s="70">
        <f t="shared" ca="1" si="1563"/>
        <v>99999.012970709329</v>
      </c>
      <c r="BK97" s="2">
        <f t="shared" ref="BK97" ca="1" si="2019">IFERROR(VLOOKUP($S97,qx_table,MATCH(BK$11,qx_title,0)+sexB),0)</f>
        <v>0</v>
      </c>
      <c r="BL97" s="131">
        <f t="shared" ca="1" si="1565"/>
        <v>0</v>
      </c>
      <c r="BM97" s="131">
        <f ca="1">SUM(BL97:BL$124)*SSg</f>
        <v>0</v>
      </c>
      <c r="BN97" s="70">
        <f t="shared" ca="1" si="1566"/>
        <v>99999.012970709329</v>
      </c>
      <c r="BO97" s="2">
        <f t="shared" ref="BO97" ca="1" si="2020">IFERROR(VLOOKUP($S97,qx_table,MATCH(BO$11,qx_title,0)+sexB),0)</f>
        <v>0</v>
      </c>
      <c r="BP97" s="131">
        <f t="shared" ca="1" si="1568"/>
        <v>0</v>
      </c>
      <c r="BQ97" s="131">
        <f ca="1">SUM(BP97:BP$124)*SSh</f>
        <v>0</v>
      </c>
      <c r="BR97" s="70">
        <f t="shared" ca="1" si="1569"/>
        <v>99999.012970709329</v>
      </c>
      <c r="BS97" s="2">
        <f t="shared" ref="BS97" ca="1" si="2021">IFERROR(VLOOKUP($S97,qx_table,MATCH(BS$11,qx_title,0)+sexB),0)*IF(R97=0,MCi,1)</f>
        <v>0</v>
      </c>
      <c r="BT97" s="131">
        <f t="shared" ca="1" si="1571"/>
        <v>0</v>
      </c>
      <c r="BU97" s="131">
        <f ca="1">SUM(BT97:BT$124)*SSi</f>
        <v>0</v>
      </c>
      <c r="BV97" s="70">
        <f t="shared" ca="1" si="1572"/>
        <v>99999.012970709329</v>
      </c>
      <c r="BW97" s="2">
        <f t="shared" ref="BW97" ca="1" si="2022">IFERROR(VLOOKUP($S97,qx_table,MATCH(BW$11,qx_title,0)+sexB),0)</f>
        <v>0</v>
      </c>
      <c r="BX97" s="131">
        <f t="shared" ca="1" si="1574"/>
        <v>0</v>
      </c>
      <c r="BY97" s="131">
        <f ca="1">SUM(BX97:BX$124)*SSj</f>
        <v>0</v>
      </c>
      <c r="BZ97" s="70">
        <f t="shared" ca="1" si="1575"/>
        <v>99999.012970709329</v>
      </c>
      <c r="CA97" s="2">
        <f t="shared" ref="CA97" ca="1" si="2023">IFERROR(VLOOKUP($S97,qx_table,MATCH(CA$11,qx_title,0)+sexB),0)</f>
        <v>0</v>
      </c>
      <c r="CB97" s="131">
        <f t="shared" ca="1" si="1577"/>
        <v>0</v>
      </c>
      <c r="CC97" s="131">
        <f ca="1">SUM(CB97:CB$124)*SSk</f>
        <v>0</v>
      </c>
      <c r="CD97" s="8">
        <f t="shared" ca="1" si="1578"/>
        <v>99999.012970709329</v>
      </c>
      <c r="CE97" s="2">
        <f t="shared" ref="CE97" ca="1" si="2024">IFERROR(VLOOKUP($S97,qx_table,MATCH(CE$11,qx_title,0)+sexB),0)</f>
        <v>0</v>
      </c>
      <c r="CF97" s="131">
        <f t="shared" ca="1" si="1580"/>
        <v>0</v>
      </c>
      <c r="CG97" s="131">
        <f ca="1">SUM(CF97:CF$124)*SSl</f>
        <v>0</v>
      </c>
      <c r="CH97" s="101">
        <f t="shared" ca="1" si="1581"/>
        <v>0</v>
      </c>
      <c r="CI97" s="154">
        <f t="shared" ca="1" si="1523"/>
        <v>0</v>
      </c>
      <c r="CJ97" s="32">
        <f t="shared" ca="1" si="1524"/>
        <v>0</v>
      </c>
      <c r="CK97" s="32">
        <f t="shared" ref="CK97" ca="1" si="2025">+MAX(VLOOKUP(xB+$R97,기수표B,$AH$1)-VLOOKUP(xB+mB,기수표B,$AH$1)-11/24*(VLOOKUP(xB+$R97,기수표B,$AG$1)-VLOOKUP(xB+mB,기수표B,$AG$1)),0)</f>
        <v>0</v>
      </c>
      <c r="CL97" s="32">
        <f t="shared" ref="CL97" ca="1" si="2026">+MAX(VLOOKUP(xB+$R97,기수표B,$AA$1)-VLOOKUP(xB+mB,기수표B,$AA$1),0)</f>
        <v>0</v>
      </c>
      <c r="CM97" s="32">
        <f t="shared" ref="CM97" ca="1" si="2027">+MAX(VLOOKUP(xB+$R97,기수표B,$AA$1)-VLOOKUP(xB+mB,기수표B,$AA$1)-11/24*(VLOOKUP(xB+$R97,기수표B,$AA$1)-VLOOKUP(xB+mB,기수표B,$AA$1)),0)</f>
        <v>0</v>
      </c>
      <c r="CN97" s="32">
        <f t="shared" si="1528"/>
        <v>0</v>
      </c>
      <c r="CO97" s="32">
        <f t="shared" ca="1" si="1529"/>
        <v>0</v>
      </c>
      <c r="CP97" s="32">
        <f t="shared" ca="1" si="1530"/>
        <v>0</v>
      </c>
      <c r="CQ97" s="262">
        <f t="shared" ca="1" si="1531"/>
        <v>0</v>
      </c>
      <c r="CR97" s="259" t="e">
        <f t="shared" ca="1" si="1532"/>
        <v>#DIV/0!</v>
      </c>
      <c r="CS97" s="32">
        <f t="shared" ca="1" si="1533"/>
        <v>1.5999999999999999E-5</v>
      </c>
      <c r="CT97" s="31">
        <f t="shared" ref="CT97" si="2028">+MIN(mB,7)</f>
        <v>7</v>
      </c>
      <c r="CV97" s="13">
        <v>85</v>
      </c>
      <c r="CW97" s="477">
        <f t="shared" ca="1" si="1535"/>
        <v>480</v>
      </c>
      <c r="CX97" s="477" t="e">
        <f t="shared" ca="1" si="1536"/>
        <v>#DIV/0!</v>
      </c>
      <c r="CY97" s="477">
        <f t="shared" ca="1" si="1537"/>
        <v>0</v>
      </c>
      <c r="CZ97" s="478">
        <f t="shared" ca="1" si="1586"/>
        <v>0</v>
      </c>
    </row>
    <row r="98" spans="3:104">
      <c r="N98" s="5">
        <f t="shared" si="1587"/>
        <v>86</v>
      </c>
      <c r="O98" s="2">
        <f t="shared" ref="O98" ca="1" si="2029">+(1+iB)^-N98</f>
        <v>0.1475552837418701</v>
      </c>
      <c r="P98" s="2">
        <f t="shared" ref="P98" ca="1" si="2030">+(1+iB)^-(N98+0.5)</f>
        <v>0.14592278415013149</v>
      </c>
      <c r="Q98" s="91"/>
      <c r="R98" s="20">
        <f t="shared" si="1590"/>
        <v>86</v>
      </c>
      <c r="S98" s="20" t="str">
        <f t="shared" ref="S98" si="2031">+IF(xB+R98&lt;=xB+nB,xB+R98,"")</f>
        <v/>
      </c>
      <c r="T98" s="2">
        <f t="shared" ref="T98:U98" ca="1" si="2032">IFERROR(VLOOKUP($S98,qx_table,MATCH(T$11,qx_title,0)+sexB),0)</f>
        <v>0</v>
      </c>
      <c r="U98" s="2">
        <f t="shared" ca="1" si="2032"/>
        <v>0</v>
      </c>
      <c r="V98" s="300">
        <v>0</v>
      </c>
      <c r="W98" s="8">
        <f t="shared" ref="W98" si="2033">IF(R98=0,100000,IF(R98&gt;nB,0,W97*(1-X97)*(1-Y97)))</f>
        <v>0</v>
      </c>
      <c r="X98" s="10">
        <f t="shared" ca="1" si="1502"/>
        <v>0</v>
      </c>
      <c r="Y98" s="10">
        <f t="shared" ca="1" si="1503"/>
        <v>0</v>
      </c>
      <c r="Z98" s="5">
        <f t="shared" ca="1" si="1543"/>
        <v>0</v>
      </c>
      <c r="AA98" s="5">
        <f ca="1">+SUM(Z98:Z$124)</f>
        <v>0</v>
      </c>
      <c r="AB98" s="8">
        <f t="shared" ca="1" si="1504"/>
        <v>0</v>
      </c>
      <c r="AC98" s="209">
        <f ca="1">+SUM(AB98:AB$124)*SSSM</f>
        <v>0</v>
      </c>
      <c r="AD98" s="209">
        <f t="shared" ref="AD98" si="2034">IF(R98&gt;nB,0,AD97*(1-X97)*(1-Y97)*(1-AE97)*(1-AF97))</f>
        <v>0</v>
      </c>
      <c r="AE98" s="92">
        <f t="shared" ca="1" si="1506"/>
        <v>0</v>
      </c>
      <c r="AF98" s="92">
        <f t="shared" ca="1" si="1507"/>
        <v>0</v>
      </c>
      <c r="AG98" s="8">
        <f t="shared" ca="1" si="1508"/>
        <v>0</v>
      </c>
      <c r="AH98" s="5">
        <f ca="1">+SUM(AG98:AG$124)</f>
        <v>0</v>
      </c>
      <c r="AI98" s="70">
        <f t="shared" ca="1" si="1509"/>
        <v>0</v>
      </c>
      <c r="AJ98" s="208">
        <f ca="1">+SUM(AB98:AB$124)*SS50J</f>
        <v>0</v>
      </c>
      <c r="AK98" s="5">
        <f t="shared" ca="1" si="1545"/>
        <v>99999.012970709329</v>
      </c>
      <c r="AL98" s="2">
        <f t="shared" ref="AL98" ca="1" si="2035">IFERROR(VLOOKUP($S98,qx_table,MATCH(AL$11,qx_title,0)+sexB),0)</f>
        <v>0</v>
      </c>
      <c r="AM98" s="131">
        <f t="shared" ca="1" si="1547"/>
        <v>14755.382732799964</v>
      </c>
      <c r="AN98" s="129">
        <f t="shared" ca="1" si="1511"/>
        <v>0</v>
      </c>
      <c r="AO98" s="129">
        <f ca="1">SUM(AN98:AN$124)*SSa</f>
        <v>0</v>
      </c>
      <c r="AP98" s="70">
        <f t="shared" ca="1" si="1548"/>
        <v>99999.012970709329</v>
      </c>
      <c r="AQ98" s="2">
        <f t="shared" ref="AQ98" ca="1" si="2036">IFERROR(VLOOKUP($S98,qx_table,MATCH(AQ$11,qx_title,0)+sexB),0)</f>
        <v>0</v>
      </c>
      <c r="AR98" s="127">
        <f t="shared" ca="1" si="1550"/>
        <v>0</v>
      </c>
      <c r="AS98" s="127">
        <f ca="1">SUM(AR98:AR$124)*SSb</f>
        <v>0</v>
      </c>
      <c r="AT98" s="70">
        <f t="shared" ca="1" si="1551"/>
        <v>99999.012970709329</v>
      </c>
      <c r="AU98" s="2">
        <f t="shared" ref="AU98" ca="1" si="2037">IFERROR(VLOOKUP($S98,qx_table,MATCH(AU$11,qx_title,0)+sexB),0)</f>
        <v>0</v>
      </c>
      <c r="AV98" s="268">
        <f t="shared" ca="1" si="1553"/>
        <v>0</v>
      </c>
      <c r="AW98" s="131">
        <f ca="1">SUM(AV98:AV$124)*SSc</f>
        <v>0</v>
      </c>
      <c r="AX98" s="70">
        <f t="shared" ca="1" si="1554"/>
        <v>99999.012970709329</v>
      </c>
      <c r="AY98" s="2">
        <f t="shared" ref="AY98" ca="1" si="2038">IFERROR(VLOOKUP($S98,qx_table,MATCH(AY$11,qx_title,0)+sexB),0)</f>
        <v>0</v>
      </c>
      <c r="AZ98" s="268">
        <f t="shared" ca="1" si="1556"/>
        <v>0</v>
      </c>
      <c r="BA98" s="129">
        <f ca="1">SUM(AZ98:AZ$124)*SSd</f>
        <v>0</v>
      </c>
      <c r="BB98" s="70">
        <f t="shared" ca="1" si="1557"/>
        <v>99999.012970709329</v>
      </c>
      <c r="BC98" s="257">
        <f t="shared" ref="BC98" ca="1" si="2039">IFERROR(VLOOKUP($S98,qx_table,MATCH(BC$11,qx_title,0)+sexB),0)</f>
        <v>0</v>
      </c>
      <c r="BD98" s="268">
        <f t="shared" ca="1" si="1559"/>
        <v>0</v>
      </c>
      <c r="BE98" s="131">
        <f ca="1">SUM(BD98:BD$124)*SSe</f>
        <v>0</v>
      </c>
      <c r="BF98" s="70">
        <f t="shared" ca="1" si="1560"/>
        <v>99999.012970709329</v>
      </c>
      <c r="BG98" s="2">
        <f t="shared" ref="BG98" ca="1" si="2040">IFERROR(VLOOKUP($S98,qx_table,MATCH(BG$11,qx_title,0)+sexB),0)</f>
        <v>0</v>
      </c>
      <c r="BH98" s="131">
        <f t="shared" ca="1" si="1562"/>
        <v>0</v>
      </c>
      <c r="BI98" s="2">
        <f ca="1">SUM(BH98:BH$124)*SSf</f>
        <v>0</v>
      </c>
      <c r="BJ98" s="70">
        <f t="shared" ca="1" si="1563"/>
        <v>99999.012970709329</v>
      </c>
      <c r="BK98" s="2">
        <f t="shared" ref="BK98" ca="1" si="2041">IFERROR(VLOOKUP($S98,qx_table,MATCH(BK$11,qx_title,0)+sexB),0)</f>
        <v>0</v>
      </c>
      <c r="BL98" s="131">
        <f t="shared" ca="1" si="1565"/>
        <v>0</v>
      </c>
      <c r="BM98" s="131">
        <f ca="1">SUM(BL98:BL$124)*SSg</f>
        <v>0</v>
      </c>
      <c r="BN98" s="70">
        <f t="shared" ca="1" si="1566"/>
        <v>99999.012970709329</v>
      </c>
      <c r="BO98" s="2">
        <f t="shared" ref="BO98" ca="1" si="2042">IFERROR(VLOOKUP($S98,qx_table,MATCH(BO$11,qx_title,0)+sexB),0)</f>
        <v>0</v>
      </c>
      <c r="BP98" s="131">
        <f t="shared" ca="1" si="1568"/>
        <v>0</v>
      </c>
      <c r="BQ98" s="131">
        <f ca="1">SUM(BP98:BP$124)*SSh</f>
        <v>0</v>
      </c>
      <c r="BR98" s="70">
        <f t="shared" ca="1" si="1569"/>
        <v>99999.012970709329</v>
      </c>
      <c r="BS98" s="2">
        <f t="shared" ref="BS98" ca="1" si="2043">IFERROR(VLOOKUP($S98,qx_table,MATCH(BS$11,qx_title,0)+sexB),0)*IF(R98=0,MCi,1)</f>
        <v>0</v>
      </c>
      <c r="BT98" s="131">
        <f t="shared" ca="1" si="1571"/>
        <v>0</v>
      </c>
      <c r="BU98" s="131">
        <f ca="1">SUM(BT98:BT$124)*SSi</f>
        <v>0</v>
      </c>
      <c r="BV98" s="70">
        <f t="shared" ca="1" si="1572"/>
        <v>99999.012970709329</v>
      </c>
      <c r="BW98" s="2">
        <f t="shared" ref="BW98" ca="1" si="2044">IFERROR(VLOOKUP($S98,qx_table,MATCH(BW$11,qx_title,0)+sexB),0)</f>
        <v>0</v>
      </c>
      <c r="BX98" s="131">
        <f t="shared" ca="1" si="1574"/>
        <v>0</v>
      </c>
      <c r="BY98" s="131">
        <f ca="1">SUM(BX98:BX$124)*SSj</f>
        <v>0</v>
      </c>
      <c r="BZ98" s="70">
        <f t="shared" ca="1" si="1575"/>
        <v>99999.012970709329</v>
      </c>
      <c r="CA98" s="2">
        <f t="shared" ref="CA98" ca="1" si="2045">IFERROR(VLOOKUP($S98,qx_table,MATCH(CA$11,qx_title,0)+sexB),0)</f>
        <v>0</v>
      </c>
      <c r="CB98" s="131">
        <f t="shared" ca="1" si="1577"/>
        <v>0</v>
      </c>
      <c r="CC98" s="131">
        <f ca="1">SUM(CB98:CB$124)*SSk</f>
        <v>0</v>
      </c>
      <c r="CD98" s="8">
        <f t="shared" ca="1" si="1578"/>
        <v>99999.012970709329</v>
      </c>
      <c r="CE98" s="2">
        <f t="shared" ref="CE98" ca="1" si="2046">IFERROR(VLOOKUP($S98,qx_table,MATCH(CE$11,qx_title,0)+sexB),0)</f>
        <v>0</v>
      </c>
      <c r="CF98" s="131">
        <f t="shared" ca="1" si="1580"/>
        <v>0</v>
      </c>
      <c r="CG98" s="131">
        <f ca="1">SUM(CF98:CF$124)*SSl</f>
        <v>0</v>
      </c>
      <c r="CH98" s="101">
        <f t="shared" ca="1" si="1581"/>
        <v>0</v>
      </c>
      <c r="CI98" s="154">
        <f t="shared" ca="1" si="1523"/>
        <v>0</v>
      </c>
      <c r="CJ98" s="32">
        <f t="shared" ca="1" si="1524"/>
        <v>0</v>
      </c>
      <c r="CK98" s="32">
        <f t="shared" ref="CK98" ca="1" si="2047">+MAX(VLOOKUP(xB+$R98,기수표B,$AH$1)-VLOOKUP(xB+mB,기수표B,$AH$1)-11/24*(VLOOKUP(xB+$R98,기수표B,$AG$1)-VLOOKUP(xB+mB,기수표B,$AG$1)),0)</f>
        <v>0</v>
      </c>
      <c r="CL98" s="32">
        <f t="shared" ref="CL98" ca="1" si="2048">+MAX(VLOOKUP(xB+$R98,기수표B,$AA$1)-VLOOKUP(xB+mB,기수표B,$AA$1),0)</f>
        <v>0</v>
      </c>
      <c r="CM98" s="32">
        <f t="shared" ref="CM98" ca="1" si="2049">+MAX(VLOOKUP(xB+$R98,기수표B,$AA$1)-VLOOKUP(xB+mB,기수표B,$AA$1)-11/24*(VLOOKUP(xB+$R98,기수표B,$AA$1)-VLOOKUP(xB+mB,기수표B,$AA$1)),0)</f>
        <v>0</v>
      </c>
      <c r="CN98" s="32">
        <f t="shared" si="1528"/>
        <v>0</v>
      </c>
      <c r="CO98" s="32">
        <f t="shared" ca="1" si="1529"/>
        <v>0</v>
      </c>
      <c r="CP98" s="32">
        <f t="shared" ca="1" si="1530"/>
        <v>0</v>
      </c>
      <c r="CQ98" s="262">
        <f t="shared" ca="1" si="1531"/>
        <v>0</v>
      </c>
      <c r="CR98" s="259" t="e">
        <f t="shared" ca="1" si="1532"/>
        <v>#DIV/0!</v>
      </c>
      <c r="CS98" s="32">
        <f t="shared" ca="1" si="1533"/>
        <v>1.5999999999999999E-5</v>
      </c>
      <c r="CT98" s="31">
        <f t="shared" ref="CT98" si="2050">+MIN(mB,7)</f>
        <v>7</v>
      </c>
      <c r="CV98" s="13">
        <v>86</v>
      </c>
      <c r="CW98" s="477">
        <f t="shared" ca="1" si="1535"/>
        <v>480</v>
      </c>
      <c r="CX98" s="477" t="e">
        <f t="shared" ca="1" si="1536"/>
        <v>#DIV/0!</v>
      </c>
      <c r="CY98" s="477">
        <f t="shared" ca="1" si="1537"/>
        <v>0</v>
      </c>
      <c r="CZ98" s="478">
        <f t="shared" ca="1" si="1586"/>
        <v>0</v>
      </c>
    </row>
    <row r="99" spans="3:104">
      <c r="N99" s="5">
        <f t="shared" si="1587"/>
        <v>87</v>
      </c>
      <c r="O99" s="2">
        <f t="shared" ref="O99" ca="1" si="2051">+(1+iB)^-N99</f>
        <v>0.14430834595781919</v>
      </c>
      <c r="P99" s="2">
        <f t="shared" ref="P99" ca="1" si="2052">+(1+iB)^-(N99+0.5)</f>
        <v>0.14271176933998192</v>
      </c>
      <c r="Q99" s="91"/>
      <c r="R99" s="20">
        <f t="shared" si="1590"/>
        <v>87</v>
      </c>
      <c r="S99" s="20" t="str">
        <f t="shared" ref="S99" si="2053">+IF(xB+R99&lt;=xB+nB,xB+R99,"")</f>
        <v/>
      </c>
      <c r="T99" s="2">
        <f t="shared" ref="T99:U99" ca="1" si="2054">IFERROR(VLOOKUP($S99,qx_table,MATCH(T$11,qx_title,0)+sexB),0)</f>
        <v>0</v>
      </c>
      <c r="U99" s="2">
        <f t="shared" ca="1" si="2054"/>
        <v>0</v>
      </c>
      <c r="V99" s="300">
        <v>0</v>
      </c>
      <c r="W99" s="8">
        <f t="shared" ref="W99" si="2055">IF(R99=0,100000,IF(R99&gt;nB,0,W98*(1-X98)*(1-Y98)))</f>
        <v>0</v>
      </c>
      <c r="X99" s="10">
        <f t="shared" ca="1" si="1502"/>
        <v>0</v>
      </c>
      <c r="Y99" s="10">
        <f t="shared" ca="1" si="1503"/>
        <v>0</v>
      </c>
      <c r="Z99" s="5">
        <f t="shared" ca="1" si="1543"/>
        <v>0</v>
      </c>
      <c r="AA99" s="5">
        <f ca="1">+SUM(Z99:Z$124)</f>
        <v>0</v>
      </c>
      <c r="AB99" s="8">
        <f t="shared" ca="1" si="1504"/>
        <v>0</v>
      </c>
      <c r="AC99" s="209">
        <f ca="1">+SUM(AB99:AB$124)*SSSM</f>
        <v>0</v>
      </c>
      <c r="AD99" s="209">
        <f t="shared" ref="AD99" si="2056">IF(R99&gt;nB,0,AD98*(1-X98)*(1-Y98)*(1-AE98)*(1-AF98))</f>
        <v>0</v>
      </c>
      <c r="AE99" s="92">
        <f t="shared" ca="1" si="1506"/>
        <v>0</v>
      </c>
      <c r="AF99" s="92">
        <f t="shared" ca="1" si="1507"/>
        <v>0</v>
      </c>
      <c r="AG99" s="8">
        <f t="shared" ca="1" si="1508"/>
        <v>0</v>
      </c>
      <c r="AH99" s="5">
        <f ca="1">+SUM(AG99:AG$124)</f>
        <v>0</v>
      </c>
      <c r="AI99" s="70">
        <f t="shared" ca="1" si="1509"/>
        <v>0</v>
      </c>
      <c r="AJ99" s="208">
        <f ca="1">+SUM(AB99:AB$124)*SS50J</f>
        <v>0</v>
      </c>
      <c r="AK99" s="5">
        <f t="shared" ca="1" si="1545"/>
        <v>99999.012970709329</v>
      </c>
      <c r="AL99" s="2">
        <f t="shared" ref="AL99" ca="1" si="2057">IFERROR(VLOOKUP($S99,qx_table,MATCH(AL$11,qx_title,0)+sexB),0)</f>
        <v>0</v>
      </c>
      <c r="AM99" s="131">
        <f t="shared" ca="1" si="1547"/>
        <v>14430.692159217569</v>
      </c>
      <c r="AN99" s="129">
        <f t="shared" ca="1" si="1511"/>
        <v>0</v>
      </c>
      <c r="AO99" s="129">
        <f ca="1">SUM(AN99:AN$124)*SSa</f>
        <v>0</v>
      </c>
      <c r="AP99" s="70">
        <f t="shared" ca="1" si="1548"/>
        <v>99999.012970709329</v>
      </c>
      <c r="AQ99" s="2">
        <f t="shared" ref="AQ99" ca="1" si="2058">IFERROR(VLOOKUP($S99,qx_table,MATCH(AQ$11,qx_title,0)+sexB),0)</f>
        <v>0</v>
      </c>
      <c r="AR99" s="127">
        <f t="shared" ca="1" si="1550"/>
        <v>0</v>
      </c>
      <c r="AS99" s="127">
        <f ca="1">SUM(AR99:AR$124)*SSb</f>
        <v>0</v>
      </c>
      <c r="AT99" s="70">
        <f t="shared" ca="1" si="1551"/>
        <v>99999.012970709329</v>
      </c>
      <c r="AU99" s="2">
        <f t="shared" ref="AU99" ca="1" si="2059">IFERROR(VLOOKUP($S99,qx_table,MATCH(AU$11,qx_title,0)+sexB),0)</f>
        <v>0</v>
      </c>
      <c r="AV99" s="268">
        <f t="shared" ca="1" si="1553"/>
        <v>0</v>
      </c>
      <c r="AW99" s="131">
        <f ca="1">SUM(AV99:AV$124)*SSc</f>
        <v>0</v>
      </c>
      <c r="AX99" s="70">
        <f t="shared" ca="1" si="1554"/>
        <v>99999.012970709329</v>
      </c>
      <c r="AY99" s="2">
        <f t="shared" ref="AY99" ca="1" si="2060">IFERROR(VLOOKUP($S99,qx_table,MATCH(AY$11,qx_title,0)+sexB),0)</f>
        <v>0</v>
      </c>
      <c r="AZ99" s="268">
        <f t="shared" ca="1" si="1556"/>
        <v>0</v>
      </c>
      <c r="BA99" s="129">
        <f ca="1">SUM(AZ99:AZ$124)*SSd</f>
        <v>0</v>
      </c>
      <c r="BB99" s="70">
        <f t="shared" ca="1" si="1557"/>
        <v>99999.012970709329</v>
      </c>
      <c r="BC99" s="257">
        <f t="shared" ref="BC99" ca="1" si="2061">IFERROR(VLOOKUP($S99,qx_table,MATCH(BC$11,qx_title,0)+sexB),0)</f>
        <v>0</v>
      </c>
      <c r="BD99" s="268">
        <f t="shared" ca="1" si="1559"/>
        <v>0</v>
      </c>
      <c r="BE99" s="131">
        <f ca="1">SUM(BD99:BD$124)*SSe</f>
        <v>0</v>
      </c>
      <c r="BF99" s="70">
        <f t="shared" ca="1" si="1560"/>
        <v>99999.012970709329</v>
      </c>
      <c r="BG99" s="2">
        <f t="shared" ref="BG99" ca="1" si="2062">IFERROR(VLOOKUP($S99,qx_table,MATCH(BG$11,qx_title,0)+sexB),0)</f>
        <v>0</v>
      </c>
      <c r="BH99" s="131">
        <f t="shared" ca="1" si="1562"/>
        <v>0</v>
      </c>
      <c r="BI99" s="2">
        <f ca="1">SUM(BH99:BH$124)*SSf</f>
        <v>0</v>
      </c>
      <c r="BJ99" s="70">
        <f t="shared" ca="1" si="1563"/>
        <v>99999.012970709329</v>
      </c>
      <c r="BK99" s="2">
        <f t="shared" ref="BK99" ca="1" si="2063">IFERROR(VLOOKUP($S99,qx_table,MATCH(BK$11,qx_title,0)+sexB),0)</f>
        <v>0</v>
      </c>
      <c r="BL99" s="131">
        <f t="shared" ca="1" si="1565"/>
        <v>0</v>
      </c>
      <c r="BM99" s="131">
        <f ca="1">SUM(BL99:BL$124)*SSg</f>
        <v>0</v>
      </c>
      <c r="BN99" s="70">
        <f t="shared" ca="1" si="1566"/>
        <v>99999.012970709329</v>
      </c>
      <c r="BO99" s="2">
        <f t="shared" ref="BO99" ca="1" si="2064">IFERROR(VLOOKUP($S99,qx_table,MATCH(BO$11,qx_title,0)+sexB),0)</f>
        <v>0</v>
      </c>
      <c r="BP99" s="131">
        <f t="shared" ca="1" si="1568"/>
        <v>0</v>
      </c>
      <c r="BQ99" s="131">
        <f ca="1">SUM(BP99:BP$124)*SSh</f>
        <v>0</v>
      </c>
      <c r="BR99" s="70">
        <f t="shared" ca="1" si="1569"/>
        <v>99999.012970709329</v>
      </c>
      <c r="BS99" s="2">
        <f t="shared" ref="BS99" ca="1" si="2065">IFERROR(VLOOKUP($S99,qx_table,MATCH(BS$11,qx_title,0)+sexB),0)*IF(R99=0,MCi,1)</f>
        <v>0</v>
      </c>
      <c r="BT99" s="131">
        <f t="shared" ca="1" si="1571"/>
        <v>0</v>
      </c>
      <c r="BU99" s="131">
        <f ca="1">SUM(BT99:BT$124)*SSi</f>
        <v>0</v>
      </c>
      <c r="BV99" s="70">
        <f t="shared" ca="1" si="1572"/>
        <v>99999.012970709329</v>
      </c>
      <c r="BW99" s="2">
        <f t="shared" ref="BW99" ca="1" si="2066">IFERROR(VLOOKUP($S99,qx_table,MATCH(BW$11,qx_title,0)+sexB),0)</f>
        <v>0</v>
      </c>
      <c r="BX99" s="131">
        <f t="shared" ca="1" si="1574"/>
        <v>0</v>
      </c>
      <c r="BY99" s="131">
        <f ca="1">SUM(BX99:BX$124)*SSj</f>
        <v>0</v>
      </c>
      <c r="BZ99" s="70">
        <f t="shared" ca="1" si="1575"/>
        <v>99999.012970709329</v>
      </c>
      <c r="CA99" s="2">
        <f t="shared" ref="CA99" ca="1" si="2067">IFERROR(VLOOKUP($S99,qx_table,MATCH(CA$11,qx_title,0)+sexB),0)</f>
        <v>0</v>
      </c>
      <c r="CB99" s="131">
        <f t="shared" ca="1" si="1577"/>
        <v>0</v>
      </c>
      <c r="CC99" s="131">
        <f ca="1">SUM(CB99:CB$124)*SSk</f>
        <v>0</v>
      </c>
      <c r="CD99" s="8">
        <f t="shared" ca="1" si="1578"/>
        <v>99999.012970709329</v>
      </c>
      <c r="CE99" s="2">
        <f t="shared" ref="CE99" ca="1" si="2068">IFERROR(VLOOKUP($S99,qx_table,MATCH(CE$11,qx_title,0)+sexB),0)</f>
        <v>0</v>
      </c>
      <c r="CF99" s="131">
        <f t="shared" ca="1" si="1580"/>
        <v>0</v>
      </c>
      <c r="CG99" s="131">
        <f ca="1">SUM(CF99:CF$124)*SSl</f>
        <v>0</v>
      </c>
      <c r="CH99" s="101">
        <f t="shared" ca="1" si="1581"/>
        <v>0</v>
      </c>
      <c r="CI99" s="154">
        <f t="shared" ca="1" si="1523"/>
        <v>0</v>
      </c>
      <c r="CJ99" s="32">
        <f t="shared" ca="1" si="1524"/>
        <v>0</v>
      </c>
      <c r="CK99" s="32">
        <f t="shared" ref="CK99" ca="1" si="2069">+MAX(VLOOKUP(xB+$R99,기수표B,$AH$1)-VLOOKUP(xB+mB,기수표B,$AH$1)-11/24*(VLOOKUP(xB+$R99,기수표B,$AG$1)-VLOOKUP(xB+mB,기수표B,$AG$1)),0)</f>
        <v>0</v>
      </c>
      <c r="CL99" s="32">
        <f t="shared" ref="CL99" ca="1" si="2070">+MAX(VLOOKUP(xB+$R99,기수표B,$AA$1)-VLOOKUP(xB+mB,기수표B,$AA$1),0)</f>
        <v>0</v>
      </c>
      <c r="CM99" s="32">
        <f t="shared" ref="CM99" ca="1" si="2071">+MAX(VLOOKUP(xB+$R99,기수표B,$AA$1)-VLOOKUP(xB+mB,기수표B,$AA$1)-11/24*(VLOOKUP(xB+$R99,기수표B,$AA$1)-VLOOKUP(xB+mB,기수표B,$AA$1)),0)</f>
        <v>0</v>
      </c>
      <c r="CN99" s="32">
        <f t="shared" si="1528"/>
        <v>0</v>
      </c>
      <c r="CO99" s="32">
        <f t="shared" ca="1" si="1529"/>
        <v>0</v>
      </c>
      <c r="CP99" s="32">
        <f t="shared" ca="1" si="1530"/>
        <v>0</v>
      </c>
      <c r="CQ99" s="262">
        <f t="shared" ca="1" si="1531"/>
        <v>0</v>
      </c>
      <c r="CR99" s="259" t="e">
        <f t="shared" ca="1" si="1532"/>
        <v>#DIV/0!</v>
      </c>
      <c r="CS99" s="32">
        <f t="shared" ca="1" si="1533"/>
        <v>1.5999999999999999E-5</v>
      </c>
      <c r="CT99" s="31">
        <f t="shared" ref="CT99" si="2072">+MIN(mB,7)</f>
        <v>7</v>
      </c>
      <c r="CV99" s="13">
        <v>87</v>
      </c>
      <c r="CW99" s="477">
        <f t="shared" ca="1" si="1535"/>
        <v>480</v>
      </c>
      <c r="CX99" s="477" t="e">
        <f t="shared" ca="1" si="1536"/>
        <v>#DIV/0!</v>
      </c>
      <c r="CY99" s="477">
        <f t="shared" ca="1" si="1537"/>
        <v>0</v>
      </c>
      <c r="CZ99" s="478">
        <f t="shared" ca="1" si="1586"/>
        <v>0</v>
      </c>
    </row>
    <row r="100" spans="3:104">
      <c r="N100" s="5">
        <f t="shared" si="1587"/>
        <v>88</v>
      </c>
      <c r="O100" s="2">
        <f t="shared" ref="O100" ca="1" si="2073">+(1+iB)^-N100</f>
        <v>0.14113285668246378</v>
      </c>
      <c r="P100" s="2">
        <f t="shared" ref="P100" ca="1" si="2074">+(1+iB)^-(N100+0.5)</f>
        <v>0.13957141255743954</v>
      </c>
      <c r="Q100" s="91"/>
      <c r="R100" s="20">
        <f t="shared" si="1590"/>
        <v>88</v>
      </c>
      <c r="S100" s="20" t="str">
        <f t="shared" ref="S100" si="2075">+IF(xB+R100&lt;=xB+nB,xB+R100,"")</f>
        <v/>
      </c>
      <c r="T100" s="2">
        <f t="shared" ref="T100:U100" ca="1" si="2076">IFERROR(VLOOKUP($S100,qx_table,MATCH(T$11,qx_title,0)+sexB),0)</f>
        <v>0</v>
      </c>
      <c r="U100" s="2">
        <f t="shared" ca="1" si="2076"/>
        <v>0</v>
      </c>
      <c r="V100" s="300">
        <v>0</v>
      </c>
      <c r="W100" s="8">
        <f t="shared" ref="W100" si="2077">IF(R100=0,100000,IF(R100&gt;nB,0,W99*(1-X99)*(1-Y99)))</f>
        <v>0</v>
      </c>
      <c r="X100" s="10">
        <f t="shared" ca="1" si="1502"/>
        <v>0</v>
      </c>
      <c r="Y100" s="10">
        <f t="shared" ca="1" si="1503"/>
        <v>0</v>
      </c>
      <c r="Z100" s="5">
        <f t="shared" ca="1" si="1543"/>
        <v>0</v>
      </c>
      <c r="AA100" s="5">
        <f ca="1">+SUM(Z100:Z$124)</f>
        <v>0</v>
      </c>
      <c r="AB100" s="8">
        <f t="shared" ca="1" si="1504"/>
        <v>0</v>
      </c>
      <c r="AC100" s="209">
        <f ca="1">+SUM(AB100:AB$124)*SSSM</f>
        <v>0</v>
      </c>
      <c r="AD100" s="209">
        <f t="shared" ref="AD100" si="2078">IF(R100&gt;nB,0,AD99*(1-X99)*(1-Y99)*(1-AE99)*(1-AF99))</f>
        <v>0</v>
      </c>
      <c r="AE100" s="92">
        <f t="shared" ca="1" si="1506"/>
        <v>0</v>
      </c>
      <c r="AF100" s="92">
        <f t="shared" ca="1" si="1507"/>
        <v>0</v>
      </c>
      <c r="AG100" s="8">
        <f t="shared" ca="1" si="1508"/>
        <v>0</v>
      </c>
      <c r="AH100" s="5">
        <f ca="1">+SUM(AG100:AG$124)</f>
        <v>0</v>
      </c>
      <c r="AI100" s="70">
        <f t="shared" ca="1" si="1509"/>
        <v>0</v>
      </c>
      <c r="AJ100" s="208">
        <f ca="1">+SUM(AB100:AB$124)*SS50J</f>
        <v>0</v>
      </c>
      <c r="AK100" s="5">
        <f t="shared" ca="1" si="1545"/>
        <v>99999.012970709329</v>
      </c>
      <c r="AL100" s="2">
        <f t="shared" ref="AL100" ca="1" si="2079">IFERROR(VLOOKUP($S100,qx_table,MATCH(AL$11,qx_title,0)+sexB),0)</f>
        <v>0</v>
      </c>
      <c r="AM100" s="131">
        <f t="shared" ca="1" si="1547"/>
        <v>14113.146365982957</v>
      </c>
      <c r="AN100" s="129">
        <f t="shared" ca="1" si="1511"/>
        <v>0</v>
      </c>
      <c r="AO100" s="129">
        <f ca="1">SUM(AN100:AN$124)*SSa</f>
        <v>0</v>
      </c>
      <c r="AP100" s="70">
        <f t="shared" ca="1" si="1548"/>
        <v>99999.012970709329</v>
      </c>
      <c r="AQ100" s="2">
        <f t="shared" ref="AQ100" ca="1" si="2080">IFERROR(VLOOKUP($S100,qx_table,MATCH(AQ$11,qx_title,0)+sexB),0)</f>
        <v>0</v>
      </c>
      <c r="AR100" s="127">
        <f t="shared" ca="1" si="1550"/>
        <v>0</v>
      </c>
      <c r="AS100" s="127">
        <f ca="1">SUM(AR100:AR$124)*SSb</f>
        <v>0</v>
      </c>
      <c r="AT100" s="70">
        <f t="shared" ca="1" si="1551"/>
        <v>99999.012970709329</v>
      </c>
      <c r="AU100" s="2">
        <f t="shared" ref="AU100" ca="1" si="2081">IFERROR(VLOOKUP($S100,qx_table,MATCH(AU$11,qx_title,0)+sexB),0)</f>
        <v>0</v>
      </c>
      <c r="AV100" s="268">
        <f t="shared" ca="1" si="1553"/>
        <v>0</v>
      </c>
      <c r="AW100" s="131">
        <f ca="1">SUM(AV100:AV$124)*SSc</f>
        <v>0</v>
      </c>
      <c r="AX100" s="70">
        <f t="shared" ca="1" si="1554"/>
        <v>99999.012970709329</v>
      </c>
      <c r="AY100" s="2">
        <f t="shared" ref="AY100" ca="1" si="2082">IFERROR(VLOOKUP($S100,qx_table,MATCH(AY$11,qx_title,0)+sexB),0)</f>
        <v>0</v>
      </c>
      <c r="AZ100" s="268">
        <f t="shared" ca="1" si="1556"/>
        <v>0</v>
      </c>
      <c r="BA100" s="129">
        <f ca="1">SUM(AZ100:AZ$124)*SSd</f>
        <v>0</v>
      </c>
      <c r="BB100" s="70">
        <f t="shared" ca="1" si="1557"/>
        <v>99999.012970709329</v>
      </c>
      <c r="BC100" s="257">
        <f t="shared" ref="BC100" ca="1" si="2083">IFERROR(VLOOKUP($S100,qx_table,MATCH(BC$11,qx_title,0)+sexB),0)</f>
        <v>0</v>
      </c>
      <c r="BD100" s="268">
        <f t="shared" ca="1" si="1559"/>
        <v>0</v>
      </c>
      <c r="BE100" s="131">
        <f ca="1">SUM(BD100:BD$124)*SSe</f>
        <v>0</v>
      </c>
      <c r="BF100" s="70">
        <f t="shared" ca="1" si="1560"/>
        <v>99999.012970709329</v>
      </c>
      <c r="BG100" s="2">
        <f t="shared" ref="BG100" ca="1" si="2084">IFERROR(VLOOKUP($S100,qx_table,MATCH(BG$11,qx_title,0)+sexB),0)</f>
        <v>0</v>
      </c>
      <c r="BH100" s="131">
        <f t="shared" ca="1" si="1562"/>
        <v>0</v>
      </c>
      <c r="BI100" s="2">
        <f ca="1">SUM(BH100:BH$124)*SSf</f>
        <v>0</v>
      </c>
      <c r="BJ100" s="70">
        <f t="shared" ca="1" si="1563"/>
        <v>99999.012970709329</v>
      </c>
      <c r="BK100" s="2">
        <f t="shared" ref="BK100" ca="1" si="2085">IFERROR(VLOOKUP($S100,qx_table,MATCH(BK$11,qx_title,0)+sexB),0)</f>
        <v>0</v>
      </c>
      <c r="BL100" s="131">
        <f t="shared" ca="1" si="1565"/>
        <v>0</v>
      </c>
      <c r="BM100" s="131">
        <f ca="1">SUM(BL100:BL$124)*SSg</f>
        <v>0</v>
      </c>
      <c r="BN100" s="70">
        <f t="shared" ca="1" si="1566"/>
        <v>99999.012970709329</v>
      </c>
      <c r="BO100" s="2">
        <f t="shared" ref="BO100" ca="1" si="2086">IFERROR(VLOOKUP($S100,qx_table,MATCH(BO$11,qx_title,0)+sexB),0)</f>
        <v>0</v>
      </c>
      <c r="BP100" s="131">
        <f t="shared" ca="1" si="1568"/>
        <v>0</v>
      </c>
      <c r="BQ100" s="131">
        <f ca="1">SUM(BP100:BP$124)*SSh</f>
        <v>0</v>
      </c>
      <c r="BR100" s="70">
        <f t="shared" ca="1" si="1569"/>
        <v>99999.012970709329</v>
      </c>
      <c r="BS100" s="2">
        <f t="shared" ref="BS100" ca="1" si="2087">IFERROR(VLOOKUP($S100,qx_table,MATCH(BS$11,qx_title,0)+sexB),0)*IF(R100=0,MCi,1)</f>
        <v>0</v>
      </c>
      <c r="BT100" s="131">
        <f t="shared" ca="1" si="1571"/>
        <v>0</v>
      </c>
      <c r="BU100" s="131">
        <f ca="1">SUM(BT100:BT$124)*SSi</f>
        <v>0</v>
      </c>
      <c r="BV100" s="70">
        <f t="shared" ca="1" si="1572"/>
        <v>99999.012970709329</v>
      </c>
      <c r="BW100" s="2">
        <f t="shared" ref="BW100" ca="1" si="2088">IFERROR(VLOOKUP($S100,qx_table,MATCH(BW$11,qx_title,0)+sexB),0)</f>
        <v>0</v>
      </c>
      <c r="BX100" s="131">
        <f t="shared" ca="1" si="1574"/>
        <v>0</v>
      </c>
      <c r="BY100" s="131">
        <f ca="1">SUM(BX100:BX$124)*SSj</f>
        <v>0</v>
      </c>
      <c r="BZ100" s="70">
        <f t="shared" ca="1" si="1575"/>
        <v>99999.012970709329</v>
      </c>
      <c r="CA100" s="2">
        <f t="shared" ref="CA100" ca="1" si="2089">IFERROR(VLOOKUP($S100,qx_table,MATCH(CA$11,qx_title,0)+sexB),0)</f>
        <v>0</v>
      </c>
      <c r="CB100" s="131">
        <f t="shared" ca="1" si="1577"/>
        <v>0</v>
      </c>
      <c r="CC100" s="131">
        <f ca="1">SUM(CB100:CB$124)*SSk</f>
        <v>0</v>
      </c>
      <c r="CD100" s="8">
        <f t="shared" ca="1" si="1578"/>
        <v>99999.012970709329</v>
      </c>
      <c r="CE100" s="2">
        <f t="shared" ref="CE100" ca="1" si="2090">IFERROR(VLOOKUP($S100,qx_table,MATCH(CE$11,qx_title,0)+sexB),0)</f>
        <v>0</v>
      </c>
      <c r="CF100" s="131">
        <f t="shared" ca="1" si="1580"/>
        <v>0</v>
      </c>
      <c r="CG100" s="131">
        <f ca="1">SUM(CF100:CF$124)*SSl</f>
        <v>0</v>
      </c>
      <c r="CH100" s="101">
        <f t="shared" ca="1" si="1581"/>
        <v>0</v>
      </c>
      <c r="CI100" s="154">
        <f t="shared" ca="1" si="1523"/>
        <v>0</v>
      </c>
      <c r="CJ100" s="32">
        <f t="shared" ca="1" si="1524"/>
        <v>0</v>
      </c>
      <c r="CK100" s="32">
        <f t="shared" ref="CK100" ca="1" si="2091">+MAX(VLOOKUP(xB+$R100,기수표B,$AH$1)-VLOOKUP(xB+mB,기수표B,$AH$1)-11/24*(VLOOKUP(xB+$R100,기수표B,$AG$1)-VLOOKUP(xB+mB,기수표B,$AG$1)),0)</f>
        <v>0</v>
      </c>
      <c r="CL100" s="32">
        <f t="shared" ref="CL100" ca="1" si="2092">+MAX(VLOOKUP(xB+$R100,기수표B,$AA$1)-VLOOKUP(xB+mB,기수표B,$AA$1),0)</f>
        <v>0</v>
      </c>
      <c r="CM100" s="32">
        <f t="shared" ref="CM100" ca="1" si="2093">+MAX(VLOOKUP(xB+$R100,기수표B,$AA$1)-VLOOKUP(xB+mB,기수표B,$AA$1)-11/24*(VLOOKUP(xB+$R100,기수표B,$AA$1)-VLOOKUP(xB+mB,기수표B,$AA$1)),0)</f>
        <v>0</v>
      </c>
      <c r="CN100" s="32">
        <f t="shared" si="1528"/>
        <v>0</v>
      </c>
      <c r="CO100" s="32">
        <f t="shared" ca="1" si="1529"/>
        <v>0</v>
      </c>
      <c r="CP100" s="32">
        <f t="shared" ca="1" si="1530"/>
        <v>0</v>
      </c>
      <c r="CQ100" s="262">
        <f t="shared" ca="1" si="1531"/>
        <v>0</v>
      </c>
      <c r="CR100" s="259" t="e">
        <f t="shared" ca="1" si="1532"/>
        <v>#DIV/0!</v>
      </c>
      <c r="CS100" s="32">
        <f t="shared" ca="1" si="1533"/>
        <v>1.5999999999999999E-5</v>
      </c>
      <c r="CT100" s="31">
        <f t="shared" ref="CT100" si="2094">+MIN(mB,7)</f>
        <v>7</v>
      </c>
      <c r="CV100" s="13">
        <v>88</v>
      </c>
      <c r="CW100" s="477">
        <f t="shared" ca="1" si="1535"/>
        <v>480</v>
      </c>
      <c r="CX100" s="477" t="e">
        <f t="shared" ca="1" si="1536"/>
        <v>#DIV/0!</v>
      </c>
      <c r="CY100" s="477">
        <f t="shared" ca="1" si="1537"/>
        <v>0</v>
      </c>
      <c r="CZ100" s="478">
        <f t="shared" ca="1" si="1586"/>
        <v>0</v>
      </c>
    </row>
    <row r="101" spans="3:104">
      <c r="N101" s="5">
        <f t="shared" si="1587"/>
        <v>89</v>
      </c>
      <c r="O101" s="2">
        <f t="shared" ref="O101" ca="1" si="2095">+(1+iB)^-N101</f>
        <v>0.13802724369923108</v>
      </c>
      <c r="P101" s="2">
        <f t="shared" ref="P101" ca="1" si="2096">+(1+iB)^-(N101+0.5)</f>
        <v>0.13650015898038095</v>
      </c>
      <c r="Q101" s="91"/>
      <c r="R101" s="20">
        <f t="shared" si="1590"/>
        <v>89</v>
      </c>
      <c r="S101" s="20" t="str">
        <f t="shared" ref="S101" si="2097">+IF(xB+R101&lt;=xB+nB,xB+R101,"")</f>
        <v/>
      </c>
      <c r="T101" s="2">
        <f t="shared" ref="T101:U101" ca="1" si="2098">IFERROR(VLOOKUP($S101,qx_table,MATCH(T$11,qx_title,0)+sexB),0)</f>
        <v>0</v>
      </c>
      <c r="U101" s="2">
        <f t="shared" ca="1" si="2098"/>
        <v>0</v>
      </c>
      <c r="V101" s="300">
        <v>0</v>
      </c>
      <c r="W101" s="8">
        <f t="shared" ref="W101" si="2099">IF(R101=0,100000,IF(R101&gt;nB,0,W100*(1-X100)*(1-Y100)))</f>
        <v>0</v>
      </c>
      <c r="X101" s="10">
        <f t="shared" ca="1" si="1502"/>
        <v>0</v>
      </c>
      <c r="Y101" s="10">
        <f t="shared" ca="1" si="1503"/>
        <v>0</v>
      </c>
      <c r="Z101" s="5">
        <f t="shared" ca="1" si="1543"/>
        <v>0</v>
      </c>
      <c r="AA101" s="5">
        <f ca="1">+SUM(Z101:Z$124)</f>
        <v>0</v>
      </c>
      <c r="AB101" s="8">
        <f t="shared" ca="1" si="1504"/>
        <v>0</v>
      </c>
      <c r="AC101" s="209">
        <f ca="1">+SUM(AB101:AB$124)*SSSM</f>
        <v>0</v>
      </c>
      <c r="AD101" s="209">
        <f t="shared" ref="AD101" si="2100">IF(R101&gt;nB,0,AD100*(1-X100)*(1-Y100)*(1-AE100)*(1-AF100))</f>
        <v>0</v>
      </c>
      <c r="AE101" s="92">
        <f t="shared" ca="1" si="1506"/>
        <v>0</v>
      </c>
      <c r="AF101" s="92">
        <f t="shared" ca="1" si="1507"/>
        <v>0</v>
      </c>
      <c r="AG101" s="8">
        <f t="shared" ca="1" si="1508"/>
        <v>0</v>
      </c>
      <c r="AH101" s="5">
        <f ca="1">+SUM(AG101:AG$124)</f>
        <v>0</v>
      </c>
      <c r="AI101" s="70">
        <f t="shared" ca="1" si="1509"/>
        <v>0</v>
      </c>
      <c r="AJ101" s="208">
        <f ca="1">+SUM(AB101:AB$124)*SS50J</f>
        <v>0</v>
      </c>
      <c r="AK101" s="5">
        <f t="shared" ca="1" si="1545"/>
        <v>99999.012970709329</v>
      </c>
      <c r="AL101" s="2">
        <f t="shared" ref="AL101" ca="1" si="2101">IFERROR(VLOOKUP($S101,qx_table,MATCH(AL$11,qx_title,0)+sexB),0)</f>
        <v>0</v>
      </c>
      <c r="AM101" s="131">
        <f t="shared" ca="1" si="1547"/>
        <v>13802.588132990666</v>
      </c>
      <c r="AN101" s="129">
        <f t="shared" ca="1" si="1511"/>
        <v>0</v>
      </c>
      <c r="AO101" s="129">
        <f ca="1">SUM(AN101:AN$124)*SSa</f>
        <v>0</v>
      </c>
      <c r="AP101" s="70">
        <f t="shared" ca="1" si="1548"/>
        <v>99999.012970709329</v>
      </c>
      <c r="AQ101" s="2">
        <f t="shared" ref="AQ101" ca="1" si="2102">IFERROR(VLOOKUP($S101,qx_table,MATCH(AQ$11,qx_title,0)+sexB),0)</f>
        <v>0</v>
      </c>
      <c r="AR101" s="127">
        <f t="shared" ca="1" si="1550"/>
        <v>0</v>
      </c>
      <c r="AS101" s="127">
        <f ca="1">SUM(AR101:AR$124)*SSb</f>
        <v>0</v>
      </c>
      <c r="AT101" s="70">
        <f t="shared" ca="1" si="1551"/>
        <v>99999.012970709329</v>
      </c>
      <c r="AU101" s="2">
        <f t="shared" ref="AU101" ca="1" si="2103">IFERROR(VLOOKUP($S101,qx_table,MATCH(AU$11,qx_title,0)+sexB),0)</f>
        <v>0</v>
      </c>
      <c r="AV101" s="268">
        <f t="shared" ca="1" si="1553"/>
        <v>0</v>
      </c>
      <c r="AW101" s="131">
        <f ca="1">SUM(AV101:AV$124)*SSc</f>
        <v>0</v>
      </c>
      <c r="AX101" s="70">
        <f t="shared" ca="1" si="1554"/>
        <v>99999.012970709329</v>
      </c>
      <c r="AY101" s="2">
        <f t="shared" ref="AY101" ca="1" si="2104">IFERROR(VLOOKUP($S101,qx_table,MATCH(AY$11,qx_title,0)+sexB),0)</f>
        <v>0</v>
      </c>
      <c r="AZ101" s="268">
        <f t="shared" ca="1" si="1556"/>
        <v>0</v>
      </c>
      <c r="BA101" s="129">
        <f ca="1">SUM(AZ101:AZ$124)*SSd</f>
        <v>0</v>
      </c>
      <c r="BB101" s="70">
        <f t="shared" ca="1" si="1557"/>
        <v>99999.012970709329</v>
      </c>
      <c r="BC101" s="257">
        <f t="shared" ref="BC101" ca="1" si="2105">IFERROR(VLOOKUP($S101,qx_table,MATCH(BC$11,qx_title,0)+sexB),0)</f>
        <v>0</v>
      </c>
      <c r="BD101" s="268">
        <f t="shared" ca="1" si="1559"/>
        <v>0</v>
      </c>
      <c r="BE101" s="131">
        <f ca="1">SUM(BD101:BD$124)*SSe</f>
        <v>0</v>
      </c>
      <c r="BF101" s="70">
        <f t="shared" ca="1" si="1560"/>
        <v>99999.012970709329</v>
      </c>
      <c r="BG101" s="2">
        <f t="shared" ref="BG101" ca="1" si="2106">IFERROR(VLOOKUP($S101,qx_table,MATCH(BG$11,qx_title,0)+sexB),0)</f>
        <v>0</v>
      </c>
      <c r="BH101" s="131">
        <f t="shared" ca="1" si="1562"/>
        <v>0</v>
      </c>
      <c r="BI101" s="2">
        <f ca="1">SUM(BH101:BH$124)*SSf</f>
        <v>0</v>
      </c>
      <c r="BJ101" s="70">
        <f t="shared" ca="1" si="1563"/>
        <v>99999.012970709329</v>
      </c>
      <c r="BK101" s="2">
        <f t="shared" ref="BK101" ca="1" si="2107">IFERROR(VLOOKUP($S101,qx_table,MATCH(BK$11,qx_title,0)+sexB),0)</f>
        <v>0</v>
      </c>
      <c r="BL101" s="131">
        <f t="shared" ca="1" si="1565"/>
        <v>0</v>
      </c>
      <c r="BM101" s="131">
        <f ca="1">SUM(BL101:BL$124)*SSg</f>
        <v>0</v>
      </c>
      <c r="BN101" s="70">
        <f t="shared" ca="1" si="1566"/>
        <v>99999.012970709329</v>
      </c>
      <c r="BO101" s="2">
        <f t="shared" ref="BO101" ca="1" si="2108">IFERROR(VLOOKUP($S101,qx_table,MATCH(BO$11,qx_title,0)+sexB),0)</f>
        <v>0</v>
      </c>
      <c r="BP101" s="131">
        <f t="shared" ca="1" si="1568"/>
        <v>0</v>
      </c>
      <c r="BQ101" s="131">
        <f ca="1">SUM(BP101:BP$124)*SSh</f>
        <v>0</v>
      </c>
      <c r="BR101" s="70">
        <f t="shared" ca="1" si="1569"/>
        <v>99999.012970709329</v>
      </c>
      <c r="BS101" s="2">
        <f t="shared" ref="BS101" ca="1" si="2109">IFERROR(VLOOKUP($S101,qx_table,MATCH(BS$11,qx_title,0)+sexB),0)*IF(R101=0,MCi,1)</f>
        <v>0</v>
      </c>
      <c r="BT101" s="131">
        <f t="shared" ca="1" si="1571"/>
        <v>0</v>
      </c>
      <c r="BU101" s="131">
        <f ca="1">SUM(BT101:BT$124)*SSi</f>
        <v>0</v>
      </c>
      <c r="BV101" s="70">
        <f t="shared" ca="1" si="1572"/>
        <v>99999.012970709329</v>
      </c>
      <c r="BW101" s="2">
        <f t="shared" ref="BW101" ca="1" si="2110">IFERROR(VLOOKUP($S101,qx_table,MATCH(BW$11,qx_title,0)+sexB),0)</f>
        <v>0</v>
      </c>
      <c r="BX101" s="131">
        <f t="shared" ca="1" si="1574"/>
        <v>0</v>
      </c>
      <c r="BY101" s="131">
        <f ca="1">SUM(BX101:BX$124)*SSj</f>
        <v>0</v>
      </c>
      <c r="BZ101" s="70">
        <f t="shared" ca="1" si="1575"/>
        <v>99999.012970709329</v>
      </c>
      <c r="CA101" s="2">
        <f t="shared" ref="CA101" ca="1" si="2111">IFERROR(VLOOKUP($S101,qx_table,MATCH(CA$11,qx_title,0)+sexB),0)</f>
        <v>0</v>
      </c>
      <c r="CB101" s="131">
        <f t="shared" ca="1" si="1577"/>
        <v>0</v>
      </c>
      <c r="CC101" s="131">
        <f ca="1">SUM(CB101:CB$124)*SSk</f>
        <v>0</v>
      </c>
      <c r="CD101" s="8">
        <f t="shared" ca="1" si="1578"/>
        <v>99999.012970709329</v>
      </c>
      <c r="CE101" s="2">
        <f t="shared" ref="CE101" ca="1" si="2112">IFERROR(VLOOKUP($S101,qx_table,MATCH(CE$11,qx_title,0)+sexB),0)</f>
        <v>0</v>
      </c>
      <c r="CF101" s="131">
        <f t="shared" ca="1" si="1580"/>
        <v>0</v>
      </c>
      <c r="CG101" s="131">
        <f ca="1">SUM(CF101:CF$124)*SSl</f>
        <v>0</v>
      </c>
      <c r="CH101" s="101">
        <f t="shared" ca="1" si="1581"/>
        <v>0</v>
      </c>
      <c r="CI101" s="154">
        <f t="shared" ca="1" si="1523"/>
        <v>0</v>
      </c>
      <c r="CJ101" s="32">
        <f t="shared" ca="1" si="1524"/>
        <v>0</v>
      </c>
      <c r="CK101" s="32">
        <f t="shared" ref="CK101" ca="1" si="2113">+MAX(VLOOKUP(xB+$R101,기수표B,$AH$1)-VLOOKUP(xB+mB,기수표B,$AH$1)-11/24*(VLOOKUP(xB+$R101,기수표B,$AG$1)-VLOOKUP(xB+mB,기수표B,$AG$1)),0)</f>
        <v>0</v>
      </c>
      <c r="CL101" s="32">
        <f t="shared" ref="CL101" ca="1" si="2114">+MAX(VLOOKUP(xB+$R101,기수표B,$AA$1)-VLOOKUP(xB+mB,기수표B,$AA$1),0)</f>
        <v>0</v>
      </c>
      <c r="CM101" s="32">
        <f t="shared" ref="CM101" ca="1" si="2115">+MAX(VLOOKUP(xB+$R101,기수표B,$AA$1)-VLOOKUP(xB+mB,기수표B,$AA$1)-11/24*(VLOOKUP(xB+$R101,기수표B,$AA$1)-VLOOKUP(xB+mB,기수표B,$AA$1)),0)</f>
        <v>0</v>
      </c>
      <c r="CN101" s="32">
        <f t="shared" si="1528"/>
        <v>0</v>
      </c>
      <c r="CO101" s="32">
        <f t="shared" ca="1" si="1529"/>
        <v>0</v>
      </c>
      <c r="CP101" s="32">
        <f t="shared" ca="1" si="1530"/>
        <v>0</v>
      </c>
      <c r="CQ101" s="262">
        <f t="shared" ca="1" si="1531"/>
        <v>0</v>
      </c>
      <c r="CR101" s="259" t="e">
        <f t="shared" ca="1" si="1532"/>
        <v>#DIV/0!</v>
      </c>
      <c r="CS101" s="32">
        <f t="shared" ca="1" si="1533"/>
        <v>1.5999999999999999E-5</v>
      </c>
      <c r="CT101" s="31">
        <f t="shared" ref="CT101" si="2116">+MIN(mB,7)</f>
        <v>7</v>
      </c>
      <c r="CV101" s="13">
        <v>89</v>
      </c>
      <c r="CW101" s="477">
        <f t="shared" ca="1" si="1535"/>
        <v>480</v>
      </c>
      <c r="CX101" s="477" t="e">
        <f t="shared" ca="1" si="1536"/>
        <v>#DIV/0!</v>
      </c>
      <c r="CY101" s="477">
        <f t="shared" ca="1" si="1537"/>
        <v>0</v>
      </c>
      <c r="CZ101" s="478">
        <f t="shared" ca="1" si="1586"/>
        <v>0</v>
      </c>
    </row>
    <row r="102" spans="3:104">
      <c r="N102" s="5">
        <f t="shared" si="1587"/>
        <v>90</v>
      </c>
      <c r="O102" s="2">
        <f t="shared" ref="O102" ca="1" si="2117">+(1+iB)^-N102</f>
        <v>0.13498996938800106</v>
      </c>
      <c r="P102" s="2">
        <f t="shared" ref="P102" ca="1" si="2118">+(1+iB)^-(N102+0.5)</f>
        <v>0.13349648800037262</v>
      </c>
      <c r="Q102" s="91"/>
      <c r="R102" s="20">
        <f t="shared" si="1590"/>
        <v>90</v>
      </c>
      <c r="S102" s="20" t="str">
        <f t="shared" ref="S102" si="2119">+IF(xB+R102&lt;=xB+nB,xB+R102,"")</f>
        <v/>
      </c>
      <c r="T102" s="2">
        <f t="shared" ref="T102:U102" ca="1" si="2120">IFERROR(VLOOKUP($S102,qx_table,MATCH(T$11,qx_title,0)+sexB),0)</f>
        <v>0</v>
      </c>
      <c r="U102" s="2">
        <f t="shared" ca="1" si="2120"/>
        <v>0</v>
      </c>
      <c r="V102" s="300">
        <v>0</v>
      </c>
      <c r="W102" s="8">
        <f t="shared" ref="W102" si="2121">IF(R102=0,100000,IF(R102&gt;nB,0,W101*(1-X101)*(1-Y101)))</f>
        <v>0</v>
      </c>
      <c r="X102" s="10">
        <f t="shared" ca="1" si="1502"/>
        <v>0</v>
      </c>
      <c r="Y102" s="10">
        <f t="shared" ca="1" si="1503"/>
        <v>0</v>
      </c>
      <c r="Z102" s="5">
        <f t="shared" ca="1" si="1543"/>
        <v>0</v>
      </c>
      <c r="AA102" s="5">
        <f ca="1">+SUM(Z102:Z$124)</f>
        <v>0</v>
      </c>
      <c r="AB102" s="8">
        <f t="shared" ca="1" si="1504"/>
        <v>0</v>
      </c>
      <c r="AC102" s="209">
        <f ca="1">+SUM(AB102:AB$124)*SSSM</f>
        <v>0</v>
      </c>
      <c r="AD102" s="209">
        <f t="shared" ref="AD102" si="2122">IF(R102&gt;nB,0,AD101*(1-X101)*(1-Y101)*(1-AE101)*(1-AF101))</f>
        <v>0</v>
      </c>
      <c r="AE102" s="92">
        <f t="shared" ca="1" si="1506"/>
        <v>0</v>
      </c>
      <c r="AF102" s="92">
        <f t="shared" ca="1" si="1507"/>
        <v>0</v>
      </c>
      <c r="AG102" s="8">
        <f t="shared" ca="1" si="1508"/>
        <v>0</v>
      </c>
      <c r="AH102" s="5">
        <f ca="1">+SUM(AG102:AG$124)</f>
        <v>0</v>
      </c>
      <c r="AI102" s="70">
        <f t="shared" ca="1" si="1509"/>
        <v>0</v>
      </c>
      <c r="AJ102" s="208">
        <f ca="1">+SUM(AB102:AB$124)*SS50J</f>
        <v>0</v>
      </c>
      <c r="AK102" s="5">
        <f t="shared" ca="1" si="1545"/>
        <v>99999.012970709329</v>
      </c>
      <c r="AL102" s="2">
        <f t="shared" ref="AL102" ca="1" si="2123">IFERROR(VLOOKUP($S102,qx_table,MATCH(AL$11,qx_title,0)+sexB),0)</f>
        <v>0</v>
      </c>
      <c r="AM102" s="131">
        <f t="shared" ca="1" si="1547"/>
        <v>13498.863699746373</v>
      </c>
      <c r="AN102" s="129">
        <f t="shared" ca="1" si="1511"/>
        <v>0</v>
      </c>
      <c r="AO102" s="129">
        <f ca="1">SUM(AN102:AN$124)*SSa</f>
        <v>0</v>
      </c>
      <c r="AP102" s="70">
        <f t="shared" ca="1" si="1548"/>
        <v>99999.012970709329</v>
      </c>
      <c r="AQ102" s="2">
        <f t="shared" ref="AQ102" ca="1" si="2124">IFERROR(VLOOKUP($S102,qx_table,MATCH(AQ$11,qx_title,0)+sexB),0)</f>
        <v>0</v>
      </c>
      <c r="AR102" s="127">
        <f t="shared" ca="1" si="1550"/>
        <v>0</v>
      </c>
      <c r="AS102" s="127">
        <f ca="1">SUM(AR102:AR$124)*SSb</f>
        <v>0</v>
      </c>
      <c r="AT102" s="70">
        <f t="shared" ca="1" si="1551"/>
        <v>99999.012970709329</v>
      </c>
      <c r="AU102" s="2">
        <f t="shared" ref="AU102" ca="1" si="2125">IFERROR(VLOOKUP($S102,qx_table,MATCH(AU$11,qx_title,0)+sexB),0)</f>
        <v>0</v>
      </c>
      <c r="AV102" s="268">
        <f t="shared" ca="1" si="1553"/>
        <v>0</v>
      </c>
      <c r="AW102" s="131">
        <f ca="1">SUM(AV102:AV$124)*SSc</f>
        <v>0</v>
      </c>
      <c r="AX102" s="70">
        <f t="shared" ca="1" si="1554"/>
        <v>99999.012970709329</v>
      </c>
      <c r="AY102" s="2">
        <f t="shared" ref="AY102" ca="1" si="2126">IFERROR(VLOOKUP($S102,qx_table,MATCH(AY$11,qx_title,0)+sexB),0)</f>
        <v>0</v>
      </c>
      <c r="AZ102" s="268">
        <f t="shared" ca="1" si="1556"/>
        <v>0</v>
      </c>
      <c r="BA102" s="129">
        <f ca="1">SUM(AZ102:AZ$124)*SSd</f>
        <v>0</v>
      </c>
      <c r="BB102" s="70">
        <f t="shared" ca="1" si="1557"/>
        <v>99999.012970709329</v>
      </c>
      <c r="BC102" s="257">
        <f t="shared" ref="BC102" ca="1" si="2127">IFERROR(VLOOKUP($S102,qx_table,MATCH(BC$11,qx_title,0)+sexB),0)</f>
        <v>0</v>
      </c>
      <c r="BD102" s="268">
        <f t="shared" ca="1" si="1559"/>
        <v>0</v>
      </c>
      <c r="BE102" s="131">
        <f ca="1">SUM(BD102:BD$124)*SSe</f>
        <v>0</v>
      </c>
      <c r="BF102" s="70">
        <f t="shared" ca="1" si="1560"/>
        <v>99999.012970709329</v>
      </c>
      <c r="BG102" s="2">
        <f t="shared" ref="BG102" ca="1" si="2128">IFERROR(VLOOKUP($S102,qx_table,MATCH(BG$11,qx_title,0)+sexB),0)</f>
        <v>0</v>
      </c>
      <c r="BH102" s="131">
        <f t="shared" ca="1" si="1562"/>
        <v>0</v>
      </c>
      <c r="BI102" s="2">
        <f ca="1">SUM(BH102:BH$124)*SSf</f>
        <v>0</v>
      </c>
      <c r="BJ102" s="70">
        <f t="shared" ca="1" si="1563"/>
        <v>99999.012970709329</v>
      </c>
      <c r="BK102" s="2">
        <f t="shared" ref="BK102" ca="1" si="2129">IFERROR(VLOOKUP($S102,qx_table,MATCH(BK$11,qx_title,0)+sexB),0)</f>
        <v>0</v>
      </c>
      <c r="BL102" s="131">
        <f t="shared" ca="1" si="1565"/>
        <v>0</v>
      </c>
      <c r="BM102" s="131">
        <f ca="1">SUM(BL102:BL$124)*SSg</f>
        <v>0</v>
      </c>
      <c r="BN102" s="70">
        <f t="shared" ca="1" si="1566"/>
        <v>99999.012970709329</v>
      </c>
      <c r="BO102" s="2">
        <f t="shared" ref="BO102" ca="1" si="2130">IFERROR(VLOOKUP($S102,qx_table,MATCH(BO$11,qx_title,0)+sexB),0)</f>
        <v>0</v>
      </c>
      <c r="BP102" s="131">
        <f t="shared" ca="1" si="1568"/>
        <v>0</v>
      </c>
      <c r="BQ102" s="131">
        <f ca="1">SUM(BP102:BP$124)*SSh</f>
        <v>0</v>
      </c>
      <c r="BR102" s="70">
        <f t="shared" ca="1" si="1569"/>
        <v>99999.012970709329</v>
      </c>
      <c r="BS102" s="2">
        <f t="shared" ref="BS102" ca="1" si="2131">IFERROR(VLOOKUP($S102,qx_table,MATCH(BS$11,qx_title,0)+sexB),0)*IF(R102=0,MCi,1)</f>
        <v>0</v>
      </c>
      <c r="BT102" s="131">
        <f t="shared" ca="1" si="1571"/>
        <v>0</v>
      </c>
      <c r="BU102" s="131">
        <f ca="1">SUM(BT102:BT$124)*SSi</f>
        <v>0</v>
      </c>
      <c r="BV102" s="70">
        <f t="shared" ca="1" si="1572"/>
        <v>99999.012970709329</v>
      </c>
      <c r="BW102" s="2">
        <f t="shared" ref="BW102" ca="1" si="2132">IFERROR(VLOOKUP($S102,qx_table,MATCH(BW$11,qx_title,0)+sexB),0)</f>
        <v>0</v>
      </c>
      <c r="BX102" s="131">
        <f t="shared" ca="1" si="1574"/>
        <v>0</v>
      </c>
      <c r="BY102" s="131">
        <f ca="1">SUM(BX102:BX$124)*SSj</f>
        <v>0</v>
      </c>
      <c r="BZ102" s="70">
        <f t="shared" ca="1" si="1575"/>
        <v>99999.012970709329</v>
      </c>
      <c r="CA102" s="2">
        <f t="shared" ref="CA102" ca="1" si="2133">IFERROR(VLOOKUP($S102,qx_table,MATCH(CA$11,qx_title,0)+sexB),0)</f>
        <v>0</v>
      </c>
      <c r="CB102" s="131">
        <f t="shared" ca="1" si="1577"/>
        <v>0</v>
      </c>
      <c r="CC102" s="131">
        <f ca="1">SUM(CB102:CB$124)*SSk</f>
        <v>0</v>
      </c>
      <c r="CD102" s="8">
        <f t="shared" ca="1" si="1578"/>
        <v>99999.012970709329</v>
      </c>
      <c r="CE102" s="2">
        <f t="shared" ref="CE102" ca="1" si="2134">IFERROR(VLOOKUP($S102,qx_table,MATCH(CE$11,qx_title,0)+sexB),0)</f>
        <v>0</v>
      </c>
      <c r="CF102" s="131">
        <f t="shared" ca="1" si="1580"/>
        <v>0</v>
      </c>
      <c r="CG102" s="131">
        <f ca="1">SUM(CF102:CF$124)*SSl</f>
        <v>0</v>
      </c>
      <c r="CH102" s="101">
        <f t="shared" ca="1" si="1581"/>
        <v>0</v>
      </c>
      <c r="CI102" s="154">
        <f t="shared" ca="1" si="1523"/>
        <v>0</v>
      </c>
      <c r="CJ102" s="32">
        <f t="shared" ca="1" si="1524"/>
        <v>0</v>
      </c>
      <c r="CK102" s="32">
        <f t="shared" ref="CK102" ca="1" si="2135">+MAX(VLOOKUP(xB+$R102,기수표B,$AH$1)-VLOOKUP(xB+mB,기수표B,$AH$1)-11/24*(VLOOKUP(xB+$R102,기수표B,$AG$1)-VLOOKUP(xB+mB,기수표B,$AG$1)),0)</f>
        <v>0</v>
      </c>
      <c r="CL102" s="32">
        <f t="shared" ref="CL102" ca="1" si="2136">+MAX(VLOOKUP(xB+$R102,기수표B,$AA$1)-VLOOKUP(xB+mB,기수표B,$AA$1),0)</f>
        <v>0</v>
      </c>
      <c r="CM102" s="32">
        <f t="shared" ref="CM102" ca="1" si="2137">+MAX(VLOOKUP(xB+$R102,기수표B,$AA$1)-VLOOKUP(xB+mB,기수표B,$AA$1)-11/24*(VLOOKUP(xB+$R102,기수표B,$AA$1)-VLOOKUP(xB+mB,기수표B,$AA$1)),0)</f>
        <v>0</v>
      </c>
      <c r="CN102" s="32">
        <f t="shared" si="1528"/>
        <v>0</v>
      </c>
      <c r="CO102" s="32">
        <f t="shared" ca="1" si="1529"/>
        <v>0</v>
      </c>
      <c r="CP102" s="32">
        <f t="shared" ca="1" si="1530"/>
        <v>0</v>
      </c>
      <c r="CQ102" s="262">
        <f t="shared" ca="1" si="1531"/>
        <v>0</v>
      </c>
      <c r="CR102" s="259" t="e">
        <f t="shared" ca="1" si="1532"/>
        <v>#DIV/0!</v>
      </c>
      <c r="CS102" s="32">
        <f t="shared" ca="1" si="1533"/>
        <v>1.5999999999999999E-5</v>
      </c>
      <c r="CT102" s="31">
        <f t="shared" ref="CT102" si="2138">+MIN(mB,7)</f>
        <v>7</v>
      </c>
      <c r="CV102" s="13">
        <v>90</v>
      </c>
      <c r="CW102" s="477">
        <f t="shared" ca="1" si="1535"/>
        <v>480</v>
      </c>
      <c r="CX102" s="477" t="e">
        <f t="shared" ca="1" si="1536"/>
        <v>#DIV/0!</v>
      </c>
      <c r="CY102" s="477">
        <f t="shared" ca="1" si="1537"/>
        <v>0</v>
      </c>
      <c r="CZ102" s="478">
        <f t="shared" ca="1" si="1586"/>
        <v>0</v>
      </c>
    </row>
    <row r="103" spans="3:104">
      <c r="N103" s="5">
        <f t="shared" si="1587"/>
        <v>91</v>
      </c>
      <c r="O103" s="2">
        <f t="shared" ref="O103" ca="1" si="2139">+(1+iB)^-N103</f>
        <v>0.13201952996381525</v>
      </c>
      <c r="P103" s="2">
        <f t="shared" ref="P103" ca="1" si="2140">+(1+iB)^-(N103+0.5)</f>
        <v>0.13055891246980203</v>
      </c>
      <c r="Q103" s="91"/>
      <c r="R103" s="20">
        <f t="shared" si="1590"/>
        <v>91</v>
      </c>
      <c r="S103" s="20" t="str">
        <f t="shared" ref="S103" si="2141">+IF(xB+R103&lt;=xB+nB,xB+R103,"")</f>
        <v/>
      </c>
      <c r="T103" s="2">
        <f t="shared" ref="T103:U103" ca="1" si="2142">IFERROR(VLOOKUP($S103,qx_table,MATCH(T$11,qx_title,0)+sexB),0)</f>
        <v>0</v>
      </c>
      <c r="U103" s="2">
        <f t="shared" ca="1" si="2142"/>
        <v>0</v>
      </c>
      <c r="V103" s="300">
        <v>0</v>
      </c>
      <c r="W103" s="8">
        <f t="shared" ref="W103" si="2143">IF(R103=0,100000,IF(R103&gt;nB,0,W102*(1-X102)*(1-Y102)))</f>
        <v>0</v>
      </c>
      <c r="X103" s="10">
        <f t="shared" ca="1" si="1502"/>
        <v>0</v>
      </c>
      <c r="Y103" s="10">
        <f t="shared" ca="1" si="1503"/>
        <v>0</v>
      </c>
      <c r="Z103" s="5">
        <f t="shared" ca="1" si="1543"/>
        <v>0</v>
      </c>
      <c r="AA103" s="5">
        <f ca="1">+SUM(Z103:Z$124)</f>
        <v>0</v>
      </c>
      <c r="AB103" s="8">
        <f t="shared" ca="1" si="1504"/>
        <v>0</v>
      </c>
      <c r="AC103" s="209">
        <f ca="1">+SUM(AB103:AB$124)*SSSM</f>
        <v>0</v>
      </c>
      <c r="AD103" s="209">
        <f t="shared" ref="AD103" si="2144">IF(R103&gt;nB,0,AD102*(1-X102)*(1-Y102)*(1-AE102)*(1-AF102))</f>
        <v>0</v>
      </c>
      <c r="AE103" s="92">
        <f t="shared" ca="1" si="1506"/>
        <v>0</v>
      </c>
      <c r="AF103" s="92">
        <f t="shared" ca="1" si="1507"/>
        <v>0</v>
      </c>
      <c r="AG103" s="8">
        <f t="shared" ca="1" si="1508"/>
        <v>0</v>
      </c>
      <c r="AH103" s="5">
        <f ca="1">+SUM(AG103:AG$124)</f>
        <v>0</v>
      </c>
      <c r="AI103" s="70">
        <f t="shared" ca="1" si="1509"/>
        <v>0</v>
      </c>
      <c r="AJ103" s="208">
        <f ca="1">+SUM(AB103:AB$124)*SS50J</f>
        <v>0</v>
      </c>
      <c r="AK103" s="5">
        <f t="shared" ca="1" si="1545"/>
        <v>99999.012970709329</v>
      </c>
      <c r="AL103" s="2">
        <f t="shared" ref="AL103" ca="1" si="2145">IFERROR(VLOOKUP($S103,qx_table,MATCH(AL$11,qx_title,0)+sexB),0)</f>
        <v>0</v>
      </c>
      <c r="AM103" s="131">
        <f t="shared" ca="1" si="1547"/>
        <v>13201.82268923851</v>
      </c>
      <c r="AN103" s="129">
        <f t="shared" ca="1" si="1511"/>
        <v>0</v>
      </c>
      <c r="AO103" s="129">
        <f ca="1">SUM(AN103:AN$124)*SSa</f>
        <v>0</v>
      </c>
      <c r="AP103" s="70">
        <f t="shared" ca="1" si="1548"/>
        <v>99999.012970709329</v>
      </c>
      <c r="AQ103" s="2">
        <f t="shared" ref="AQ103" ca="1" si="2146">IFERROR(VLOOKUP($S103,qx_table,MATCH(AQ$11,qx_title,0)+sexB),0)</f>
        <v>0</v>
      </c>
      <c r="AR103" s="127">
        <f t="shared" ca="1" si="1550"/>
        <v>0</v>
      </c>
      <c r="AS103" s="127">
        <f ca="1">SUM(AR103:AR$124)*SSb</f>
        <v>0</v>
      </c>
      <c r="AT103" s="70">
        <f t="shared" ca="1" si="1551"/>
        <v>99999.012970709329</v>
      </c>
      <c r="AU103" s="2">
        <f t="shared" ref="AU103" ca="1" si="2147">IFERROR(VLOOKUP($S103,qx_table,MATCH(AU$11,qx_title,0)+sexB),0)</f>
        <v>0</v>
      </c>
      <c r="AV103" s="268">
        <f t="shared" ca="1" si="1553"/>
        <v>0</v>
      </c>
      <c r="AW103" s="131">
        <f ca="1">SUM(AV103:AV$124)*SSc</f>
        <v>0</v>
      </c>
      <c r="AX103" s="70">
        <f t="shared" ca="1" si="1554"/>
        <v>99999.012970709329</v>
      </c>
      <c r="AY103" s="2">
        <f t="shared" ref="AY103" ca="1" si="2148">IFERROR(VLOOKUP($S103,qx_table,MATCH(AY$11,qx_title,0)+sexB),0)</f>
        <v>0</v>
      </c>
      <c r="AZ103" s="268">
        <f t="shared" ca="1" si="1556"/>
        <v>0</v>
      </c>
      <c r="BA103" s="129">
        <f ca="1">SUM(AZ103:AZ$124)*SSd</f>
        <v>0</v>
      </c>
      <c r="BB103" s="70">
        <f t="shared" ca="1" si="1557"/>
        <v>99999.012970709329</v>
      </c>
      <c r="BC103" s="257">
        <f t="shared" ref="BC103" ca="1" si="2149">IFERROR(VLOOKUP($S103,qx_table,MATCH(BC$11,qx_title,0)+sexB),0)</f>
        <v>0</v>
      </c>
      <c r="BD103" s="268">
        <f t="shared" ca="1" si="1559"/>
        <v>0</v>
      </c>
      <c r="BE103" s="131">
        <f ca="1">SUM(BD103:BD$124)*SSe</f>
        <v>0</v>
      </c>
      <c r="BF103" s="70">
        <f t="shared" ca="1" si="1560"/>
        <v>99999.012970709329</v>
      </c>
      <c r="BG103" s="2">
        <f t="shared" ref="BG103" ca="1" si="2150">IFERROR(VLOOKUP($S103,qx_table,MATCH(BG$11,qx_title,0)+sexB),0)</f>
        <v>0</v>
      </c>
      <c r="BH103" s="131">
        <f t="shared" ca="1" si="1562"/>
        <v>0</v>
      </c>
      <c r="BI103" s="2">
        <f ca="1">SUM(BH103:BH$124)*SSf</f>
        <v>0</v>
      </c>
      <c r="BJ103" s="70">
        <f t="shared" ca="1" si="1563"/>
        <v>99999.012970709329</v>
      </c>
      <c r="BK103" s="2">
        <f t="shared" ref="BK103" ca="1" si="2151">IFERROR(VLOOKUP($S103,qx_table,MATCH(BK$11,qx_title,0)+sexB),0)</f>
        <v>0</v>
      </c>
      <c r="BL103" s="131">
        <f t="shared" ca="1" si="1565"/>
        <v>0</v>
      </c>
      <c r="BM103" s="131">
        <f ca="1">SUM(BL103:BL$124)*SSg</f>
        <v>0</v>
      </c>
      <c r="BN103" s="70">
        <f t="shared" ca="1" si="1566"/>
        <v>99999.012970709329</v>
      </c>
      <c r="BO103" s="2">
        <f t="shared" ref="BO103" ca="1" si="2152">IFERROR(VLOOKUP($S103,qx_table,MATCH(BO$11,qx_title,0)+sexB),0)</f>
        <v>0</v>
      </c>
      <c r="BP103" s="131">
        <f t="shared" ca="1" si="1568"/>
        <v>0</v>
      </c>
      <c r="BQ103" s="131">
        <f ca="1">SUM(BP103:BP$124)*SSh</f>
        <v>0</v>
      </c>
      <c r="BR103" s="70">
        <f t="shared" ca="1" si="1569"/>
        <v>99999.012970709329</v>
      </c>
      <c r="BS103" s="2">
        <f t="shared" ref="BS103" ca="1" si="2153">IFERROR(VLOOKUP($S103,qx_table,MATCH(BS$11,qx_title,0)+sexB),0)*IF(R103=0,MCi,1)</f>
        <v>0</v>
      </c>
      <c r="BT103" s="131">
        <f t="shared" ca="1" si="1571"/>
        <v>0</v>
      </c>
      <c r="BU103" s="131">
        <f ca="1">SUM(BT103:BT$124)*SSi</f>
        <v>0</v>
      </c>
      <c r="BV103" s="70">
        <f t="shared" ca="1" si="1572"/>
        <v>99999.012970709329</v>
      </c>
      <c r="BW103" s="2">
        <f t="shared" ref="BW103" ca="1" si="2154">IFERROR(VLOOKUP($S103,qx_table,MATCH(BW$11,qx_title,0)+sexB),0)</f>
        <v>0</v>
      </c>
      <c r="BX103" s="131">
        <f t="shared" ca="1" si="1574"/>
        <v>0</v>
      </c>
      <c r="BY103" s="131">
        <f ca="1">SUM(BX103:BX$124)*SSj</f>
        <v>0</v>
      </c>
      <c r="BZ103" s="70">
        <f t="shared" ca="1" si="1575"/>
        <v>99999.012970709329</v>
      </c>
      <c r="CA103" s="2">
        <f t="shared" ref="CA103" ca="1" si="2155">IFERROR(VLOOKUP($S103,qx_table,MATCH(CA$11,qx_title,0)+sexB),0)</f>
        <v>0</v>
      </c>
      <c r="CB103" s="131">
        <f t="shared" ca="1" si="1577"/>
        <v>0</v>
      </c>
      <c r="CC103" s="131">
        <f ca="1">SUM(CB103:CB$124)*SSk</f>
        <v>0</v>
      </c>
      <c r="CD103" s="8">
        <f t="shared" ca="1" si="1578"/>
        <v>99999.012970709329</v>
      </c>
      <c r="CE103" s="2">
        <f t="shared" ref="CE103" ca="1" si="2156">IFERROR(VLOOKUP($S103,qx_table,MATCH(CE$11,qx_title,0)+sexB),0)</f>
        <v>0</v>
      </c>
      <c r="CF103" s="131">
        <f t="shared" ca="1" si="1580"/>
        <v>0</v>
      </c>
      <c r="CG103" s="131">
        <f ca="1">SUM(CF103:CF$124)*SSl</f>
        <v>0</v>
      </c>
      <c r="CH103" s="101">
        <f t="shared" ca="1" si="1581"/>
        <v>0</v>
      </c>
      <c r="CI103" s="154">
        <f t="shared" ca="1" si="1523"/>
        <v>0</v>
      </c>
      <c r="CJ103" s="32">
        <f t="shared" ca="1" si="1524"/>
        <v>0</v>
      </c>
      <c r="CK103" s="32">
        <f t="shared" ref="CK103" ca="1" si="2157">+MAX(VLOOKUP(xB+$R103,기수표B,$AH$1)-VLOOKUP(xB+mB,기수표B,$AH$1)-11/24*(VLOOKUP(xB+$R103,기수표B,$AG$1)-VLOOKUP(xB+mB,기수표B,$AG$1)),0)</f>
        <v>0</v>
      </c>
      <c r="CL103" s="32">
        <f t="shared" ref="CL103" ca="1" si="2158">+MAX(VLOOKUP(xB+$R103,기수표B,$AA$1)-VLOOKUP(xB+mB,기수표B,$AA$1),0)</f>
        <v>0</v>
      </c>
      <c r="CM103" s="32">
        <f t="shared" ref="CM103" ca="1" si="2159">+MAX(VLOOKUP(xB+$R103,기수표B,$AA$1)-VLOOKUP(xB+mB,기수표B,$AA$1)-11/24*(VLOOKUP(xB+$R103,기수표B,$AA$1)-VLOOKUP(xB+mB,기수표B,$AA$1)),0)</f>
        <v>0</v>
      </c>
      <c r="CN103" s="32">
        <f t="shared" si="1528"/>
        <v>0</v>
      </c>
      <c r="CO103" s="32">
        <f t="shared" ca="1" si="1529"/>
        <v>0</v>
      </c>
      <c r="CP103" s="32">
        <f t="shared" ca="1" si="1530"/>
        <v>0</v>
      </c>
      <c r="CQ103" s="262">
        <f t="shared" ca="1" si="1531"/>
        <v>0</v>
      </c>
      <c r="CR103" s="259" t="e">
        <f t="shared" ca="1" si="1532"/>
        <v>#DIV/0!</v>
      </c>
      <c r="CS103" s="32">
        <f t="shared" ca="1" si="1533"/>
        <v>1.5999999999999999E-5</v>
      </c>
      <c r="CT103" s="31">
        <f t="shared" ref="CT103" si="2160">+MIN(mB,7)</f>
        <v>7</v>
      </c>
      <c r="CV103" s="13">
        <v>91</v>
      </c>
      <c r="CW103" s="477">
        <f t="shared" ca="1" si="1535"/>
        <v>480</v>
      </c>
      <c r="CX103" s="477" t="e">
        <f t="shared" ca="1" si="1536"/>
        <v>#DIV/0!</v>
      </c>
      <c r="CY103" s="477">
        <f t="shared" ca="1" si="1537"/>
        <v>0</v>
      </c>
      <c r="CZ103" s="478">
        <f t="shared" ca="1" si="1586"/>
        <v>0</v>
      </c>
    </row>
    <row r="104" spans="3:104">
      <c r="N104" s="5">
        <f t="shared" si="1587"/>
        <v>92</v>
      </c>
      <c r="O104" s="2">
        <f t="shared" ref="O104" ca="1" si="2161">+(1+iB)^-N104</f>
        <v>0.12911445473233762</v>
      </c>
      <c r="P104" s="2">
        <f t="shared" ref="P104" ca="1" si="2162">+(1+iB)^-(N104+0.5)</f>
        <v>0.12768597796557657</v>
      </c>
      <c r="Q104" s="91"/>
      <c r="R104" s="20">
        <f t="shared" si="1590"/>
        <v>92</v>
      </c>
      <c r="S104" s="20" t="str">
        <f t="shared" ref="S104" si="2163">+IF(xB+R104&lt;=xB+nB,xB+R104,"")</f>
        <v/>
      </c>
      <c r="T104" s="2">
        <f t="shared" ref="T104:U104" ca="1" si="2164">IFERROR(VLOOKUP($S104,qx_table,MATCH(T$11,qx_title,0)+sexB),0)</f>
        <v>0</v>
      </c>
      <c r="U104" s="2">
        <f t="shared" ca="1" si="2164"/>
        <v>0</v>
      </c>
      <c r="V104" s="300">
        <v>0</v>
      </c>
      <c r="W104" s="8">
        <f t="shared" ref="W104" si="2165">IF(R104=0,100000,IF(R104&gt;nB,0,W103*(1-X103)*(1-Y103)))</f>
        <v>0</v>
      </c>
      <c r="X104" s="10">
        <f t="shared" ca="1" si="1502"/>
        <v>0</v>
      </c>
      <c r="Y104" s="10">
        <f t="shared" ca="1" si="1503"/>
        <v>0</v>
      </c>
      <c r="Z104" s="5">
        <f t="shared" ca="1" si="1543"/>
        <v>0</v>
      </c>
      <c r="AA104" s="5">
        <f ca="1">+SUM(Z104:Z$124)</f>
        <v>0</v>
      </c>
      <c r="AB104" s="8">
        <f t="shared" ca="1" si="1504"/>
        <v>0</v>
      </c>
      <c r="AC104" s="209">
        <f ca="1">+SUM(AB104:AB$124)*SSSM</f>
        <v>0</v>
      </c>
      <c r="AD104" s="209">
        <f t="shared" ref="AD104" si="2166">IF(R104&gt;nB,0,AD103*(1-X103)*(1-Y103)*(1-AE103)*(1-AF103))</f>
        <v>0</v>
      </c>
      <c r="AE104" s="92">
        <f t="shared" ca="1" si="1506"/>
        <v>0</v>
      </c>
      <c r="AF104" s="92">
        <f t="shared" ca="1" si="1507"/>
        <v>0</v>
      </c>
      <c r="AG104" s="8">
        <f t="shared" ca="1" si="1508"/>
        <v>0</v>
      </c>
      <c r="AH104" s="5">
        <f ca="1">+SUM(AG104:AG$124)</f>
        <v>0</v>
      </c>
      <c r="AI104" s="70">
        <f t="shared" ca="1" si="1509"/>
        <v>0</v>
      </c>
      <c r="AJ104" s="208">
        <f ca="1">+SUM(AB104:AB$124)*SS50J</f>
        <v>0</v>
      </c>
      <c r="AK104" s="5">
        <f t="shared" ca="1" si="1545"/>
        <v>99999.012970709329</v>
      </c>
      <c r="AL104" s="2">
        <f t="shared" ref="AL104" ca="1" si="2167">IFERROR(VLOOKUP($S104,qx_table,MATCH(AL$11,qx_title,0)+sexB),0)</f>
        <v>0</v>
      </c>
      <c r="AM104" s="131">
        <f t="shared" ca="1" si="1547"/>
        <v>12911.318033485093</v>
      </c>
      <c r="AN104" s="129">
        <f t="shared" ca="1" si="1511"/>
        <v>0</v>
      </c>
      <c r="AO104" s="129">
        <f ca="1">SUM(AN104:AN$124)*SSa</f>
        <v>0</v>
      </c>
      <c r="AP104" s="70">
        <f t="shared" ca="1" si="1548"/>
        <v>99999.012970709329</v>
      </c>
      <c r="AQ104" s="2">
        <f t="shared" ref="AQ104" ca="1" si="2168">IFERROR(VLOOKUP($S104,qx_table,MATCH(AQ$11,qx_title,0)+sexB),0)</f>
        <v>0</v>
      </c>
      <c r="AR104" s="127">
        <f t="shared" ca="1" si="1550"/>
        <v>0</v>
      </c>
      <c r="AS104" s="127">
        <f ca="1">SUM(AR104:AR$124)*SSb</f>
        <v>0</v>
      </c>
      <c r="AT104" s="70">
        <f t="shared" ca="1" si="1551"/>
        <v>99999.012970709329</v>
      </c>
      <c r="AU104" s="2">
        <f t="shared" ref="AU104" ca="1" si="2169">IFERROR(VLOOKUP($S104,qx_table,MATCH(AU$11,qx_title,0)+sexB),0)</f>
        <v>0</v>
      </c>
      <c r="AV104" s="268">
        <f t="shared" ca="1" si="1553"/>
        <v>0</v>
      </c>
      <c r="AW104" s="131">
        <f ca="1">SUM(AV104:AV$124)*SSc</f>
        <v>0</v>
      </c>
      <c r="AX104" s="70">
        <f t="shared" ca="1" si="1554"/>
        <v>99999.012970709329</v>
      </c>
      <c r="AY104" s="2">
        <f t="shared" ref="AY104" ca="1" si="2170">IFERROR(VLOOKUP($S104,qx_table,MATCH(AY$11,qx_title,0)+sexB),0)</f>
        <v>0</v>
      </c>
      <c r="AZ104" s="268">
        <f t="shared" ca="1" si="1556"/>
        <v>0</v>
      </c>
      <c r="BA104" s="129">
        <f ca="1">SUM(AZ104:AZ$124)*SSd</f>
        <v>0</v>
      </c>
      <c r="BB104" s="70">
        <f t="shared" ca="1" si="1557"/>
        <v>99999.012970709329</v>
      </c>
      <c r="BC104" s="257">
        <f t="shared" ref="BC104" ca="1" si="2171">IFERROR(VLOOKUP($S104,qx_table,MATCH(BC$11,qx_title,0)+sexB),0)</f>
        <v>0</v>
      </c>
      <c r="BD104" s="268">
        <f t="shared" ca="1" si="1559"/>
        <v>0</v>
      </c>
      <c r="BE104" s="131">
        <f ca="1">SUM(BD104:BD$124)*SSe</f>
        <v>0</v>
      </c>
      <c r="BF104" s="70">
        <f t="shared" ca="1" si="1560"/>
        <v>99999.012970709329</v>
      </c>
      <c r="BG104" s="2">
        <f t="shared" ref="BG104" ca="1" si="2172">IFERROR(VLOOKUP($S104,qx_table,MATCH(BG$11,qx_title,0)+sexB),0)</f>
        <v>0</v>
      </c>
      <c r="BH104" s="131">
        <f t="shared" ca="1" si="1562"/>
        <v>0</v>
      </c>
      <c r="BI104" s="2">
        <f ca="1">SUM(BH104:BH$124)*SSf</f>
        <v>0</v>
      </c>
      <c r="BJ104" s="70">
        <f t="shared" ca="1" si="1563"/>
        <v>99999.012970709329</v>
      </c>
      <c r="BK104" s="2">
        <f t="shared" ref="BK104" ca="1" si="2173">IFERROR(VLOOKUP($S104,qx_table,MATCH(BK$11,qx_title,0)+sexB),0)</f>
        <v>0</v>
      </c>
      <c r="BL104" s="131">
        <f t="shared" ca="1" si="1565"/>
        <v>0</v>
      </c>
      <c r="BM104" s="131">
        <f ca="1">SUM(BL104:BL$124)*SSg</f>
        <v>0</v>
      </c>
      <c r="BN104" s="70">
        <f t="shared" ca="1" si="1566"/>
        <v>99999.012970709329</v>
      </c>
      <c r="BO104" s="2">
        <f t="shared" ref="BO104" ca="1" si="2174">IFERROR(VLOOKUP($S104,qx_table,MATCH(BO$11,qx_title,0)+sexB),0)</f>
        <v>0</v>
      </c>
      <c r="BP104" s="131">
        <f t="shared" ca="1" si="1568"/>
        <v>0</v>
      </c>
      <c r="BQ104" s="131">
        <f ca="1">SUM(BP104:BP$124)*SSh</f>
        <v>0</v>
      </c>
      <c r="BR104" s="70">
        <f t="shared" ca="1" si="1569"/>
        <v>99999.012970709329</v>
      </c>
      <c r="BS104" s="2">
        <f t="shared" ref="BS104" ca="1" si="2175">IFERROR(VLOOKUP($S104,qx_table,MATCH(BS$11,qx_title,0)+sexB),0)*IF(R104=0,MCi,1)</f>
        <v>0</v>
      </c>
      <c r="BT104" s="131">
        <f t="shared" ca="1" si="1571"/>
        <v>0</v>
      </c>
      <c r="BU104" s="131">
        <f ca="1">SUM(BT104:BT$124)*SSi</f>
        <v>0</v>
      </c>
      <c r="BV104" s="70">
        <f t="shared" ca="1" si="1572"/>
        <v>99999.012970709329</v>
      </c>
      <c r="BW104" s="2">
        <f t="shared" ref="BW104" ca="1" si="2176">IFERROR(VLOOKUP($S104,qx_table,MATCH(BW$11,qx_title,0)+sexB),0)</f>
        <v>0</v>
      </c>
      <c r="BX104" s="131">
        <f t="shared" ca="1" si="1574"/>
        <v>0</v>
      </c>
      <c r="BY104" s="131">
        <f ca="1">SUM(BX104:BX$124)*SSj</f>
        <v>0</v>
      </c>
      <c r="BZ104" s="70">
        <f t="shared" ca="1" si="1575"/>
        <v>99999.012970709329</v>
      </c>
      <c r="CA104" s="2">
        <f t="shared" ref="CA104" ca="1" si="2177">IFERROR(VLOOKUP($S104,qx_table,MATCH(CA$11,qx_title,0)+sexB),0)</f>
        <v>0</v>
      </c>
      <c r="CB104" s="131">
        <f t="shared" ca="1" si="1577"/>
        <v>0</v>
      </c>
      <c r="CC104" s="131">
        <f ca="1">SUM(CB104:CB$124)*SSk</f>
        <v>0</v>
      </c>
      <c r="CD104" s="8">
        <f t="shared" ca="1" si="1578"/>
        <v>99999.012970709329</v>
      </c>
      <c r="CE104" s="2">
        <f t="shared" ref="CE104" ca="1" si="2178">IFERROR(VLOOKUP($S104,qx_table,MATCH(CE$11,qx_title,0)+sexB),0)</f>
        <v>0</v>
      </c>
      <c r="CF104" s="131">
        <f t="shared" ca="1" si="1580"/>
        <v>0</v>
      </c>
      <c r="CG104" s="131">
        <f ca="1">SUM(CF104:CF$124)*SSl</f>
        <v>0</v>
      </c>
      <c r="CH104" s="101">
        <f t="shared" ca="1" si="1581"/>
        <v>0</v>
      </c>
      <c r="CI104" s="154">
        <f t="shared" ca="1" si="1523"/>
        <v>0</v>
      </c>
      <c r="CJ104" s="32">
        <f t="shared" ca="1" si="1524"/>
        <v>0</v>
      </c>
      <c r="CK104" s="32">
        <f t="shared" ref="CK104" ca="1" si="2179">+MAX(VLOOKUP(xB+$R104,기수표B,$AH$1)-VLOOKUP(xB+mB,기수표B,$AH$1)-11/24*(VLOOKUP(xB+$R104,기수표B,$AG$1)-VLOOKUP(xB+mB,기수표B,$AG$1)),0)</f>
        <v>0</v>
      </c>
      <c r="CL104" s="32">
        <f t="shared" ref="CL104" ca="1" si="2180">+MAX(VLOOKUP(xB+$R104,기수표B,$AA$1)-VLOOKUP(xB+mB,기수표B,$AA$1),0)</f>
        <v>0</v>
      </c>
      <c r="CM104" s="32">
        <f t="shared" ref="CM104" ca="1" si="2181">+MAX(VLOOKUP(xB+$R104,기수표B,$AA$1)-VLOOKUP(xB+mB,기수표B,$AA$1)-11/24*(VLOOKUP(xB+$R104,기수표B,$AA$1)-VLOOKUP(xB+mB,기수표B,$AA$1)),0)</f>
        <v>0</v>
      </c>
      <c r="CN104" s="32">
        <f t="shared" si="1528"/>
        <v>0</v>
      </c>
      <c r="CO104" s="32">
        <f t="shared" ca="1" si="1529"/>
        <v>0</v>
      </c>
      <c r="CP104" s="32">
        <f t="shared" ca="1" si="1530"/>
        <v>0</v>
      </c>
      <c r="CQ104" s="262">
        <f t="shared" ca="1" si="1531"/>
        <v>0</v>
      </c>
      <c r="CR104" s="259" t="e">
        <f t="shared" ca="1" si="1532"/>
        <v>#DIV/0!</v>
      </c>
      <c r="CS104" s="32">
        <f t="shared" ca="1" si="1533"/>
        <v>1.5999999999999999E-5</v>
      </c>
      <c r="CT104" s="31">
        <f t="shared" ref="CT104" si="2182">+MIN(mB,7)</f>
        <v>7</v>
      </c>
      <c r="CV104" s="13">
        <v>92</v>
      </c>
      <c r="CW104" s="477">
        <f t="shared" ca="1" si="1535"/>
        <v>480</v>
      </c>
      <c r="CX104" s="477" t="e">
        <f t="shared" ca="1" si="1536"/>
        <v>#DIV/0!</v>
      </c>
      <c r="CY104" s="477">
        <f t="shared" ca="1" si="1537"/>
        <v>0</v>
      </c>
      <c r="CZ104" s="478">
        <f t="shared" ca="1" si="1586"/>
        <v>0</v>
      </c>
    </row>
    <row r="105" spans="3:104">
      <c r="N105" s="5">
        <f t="shared" si="1587"/>
        <v>93</v>
      </c>
      <c r="O105" s="2">
        <f t="shared" ref="O105" ca="1" si="2183">+(1+iB)^-N105</f>
        <v>0.1262733053616994</v>
      </c>
      <c r="P105" s="2">
        <f t="shared" ref="P105" ca="1" si="2184">+(1+iB)^-(N105+0.5)</f>
        <v>0.12487626206902358</v>
      </c>
      <c r="Q105" s="91"/>
      <c r="R105" s="20">
        <f t="shared" si="1590"/>
        <v>93</v>
      </c>
      <c r="S105" s="20" t="str">
        <f t="shared" ref="S105" si="2185">+IF(xB+R105&lt;=xB+nB,xB+R105,"")</f>
        <v/>
      </c>
      <c r="T105" s="2">
        <f t="shared" ref="T105:U105" ca="1" si="2186">IFERROR(VLOOKUP($S105,qx_table,MATCH(T$11,qx_title,0)+sexB),0)</f>
        <v>0</v>
      </c>
      <c r="U105" s="2">
        <f t="shared" ca="1" si="2186"/>
        <v>0</v>
      </c>
      <c r="V105" s="300">
        <v>0</v>
      </c>
      <c r="W105" s="8">
        <f t="shared" ref="W105" si="2187">IF(R105=0,100000,IF(R105&gt;nB,0,W104*(1-X104)*(1-Y104)))</f>
        <v>0</v>
      </c>
      <c r="X105" s="10">
        <f t="shared" ca="1" si="1502"/>
        <v>0</v>
      </c>
      <c r="Y105" s="10">
        <f t="shared" ca="1" si="1503"/>
        <v>0</v>
      </c>
      <c r="Z105" s="5">
        <f t="shared" ca="1" si="1543"/>
        <v>0</v>
      </c>
      <c r="AA105" s="5">
        <f ca="1">+SUM(Z105:Z$124)</f>
        <v>0</v>
      </c>
      <c r="AB105" s="8">
        <f t="shared" ca="1" si="1504"/>
        <v>0</v>
      </c>
      <c r="AC105" s="209">
        <f ca="1">+SUM(AB105:AB$124)*SSSM</f>
        <v>0</v>
      </c>
      <c r="AD105" s="209">
        <f t="shared" ref="AD105" si="2188">IF(R105&gt;nB,0,AD104*(1-X104)*(1-Y104)*(1-AE104)*(1-AF104))</f>
        <v>0</v>
      </c>
      <c r="AE105" s="92">
        <f t="shared" ca="1" si="1506"/>
        <v>0</v>
      </c>
      <c r="AF105" s="92">
        <f t="shared" ca="1" si="1507"/>
        <v>0</v>
      </c>
      <c r="AG105" s="8">
        <f t="shared" ca="1" si="1508"/>
        <v>0</v>
      </c>
      <c r="AH105" s="5">
        <f ca="1">+SUM(AG105:AG$124)</f>
        <v>0</v>
      </c>
      <c r="AI105" s="70">
        <f t="shared" ca="1" si="1509"/>
        <v>0</v>
      </c>
      <c r="AJ105" s="208">
        <f ca="1">+SUM(AB105:AB$124)*SS50J</f>
        <v>0</v>
      </c>
      <c r="AK105" s="5">
        <f t="shared" ca="1" si="1545"/>
        <v>99999.012970709329</v>
      </c>
      <c r="AL105" s="2">
        <f t="shared" ref="AL105" ca="1" si="2189">IFERROR(VLOOKUP($S105,qx_table,MATCH(AL$11,qx_title,0)+sexB),0)</f>
        <v>0</v>
      </c>
      <c r="AM105" s="131">
        <f t="shared" ca="1" si="1547"/>
        <v>12627.205900718918</v>
      </c>
      <c r="AN105" s="129">
        <f t="shared" ca="1" si="1511"/>
        <v>0</v>
      </c>
      <c r="AO105" s="129">
        <f ca="1">SUM(AN105:AN$124)*SSa</f>
        <v>0</v>
      </c>
      <c r="AP105" s="70">
        <f t="shared" ca="1" si="1548"/>
        <v>99999.012970709329</v>
      </c>
      <c r="AQ105" s="2">
        <f t="shared" ref="AQ105" ca="1" si="2190">IFERROR(VLOOKUP($S105,qx_table,MATCH(AQ$11,qx_title,0)+sexB),0)</f>
        <v>0</v>
      </c>
      <c r="AR105" s="127">
        <f t="shared" ca="1" si="1550"/>
        <v>0</v>
      </c>
      <c r="AS105" s="127">
        <f ca="1">SUM(AR105:AR$124)*SSb</f>
        <v>0</v>
      </c>
      <c r="AT105" s="70">
        <f t="shared" ca="1" si="1551"/>
        <v>99999.012970709329</v>
      </c>
      <c r="AU105" s="2">
        <f t="shared" ref="AU105" ca="1" si="2191">IFERROR(VLOOKUP($S105,qx_table,MATCH(AU$11,qx_title,0)+sexB),0)</f>
        <v>0</v>
      </c>
      <c r="AV105" s="268">
        <f t="shared" ca="1" si="1553"/>
        <v>0</v>
      </c>
      <c r="AW105" s="131">
        <f ca="1">SUM(AV105:AV$124)*SSc</f>
        <v>0</v>
      </c>
      <c r="AX105" s="70">
        <f t="shared" ca="1" si="1554"/>
        <v>99999.012970709329</v>
      </c>
      <c r="AY105" s="2">
        <f t="shared" ref="AY105" ca="1" si="2192">IFERROR(VLOOKUP($S105,qx_table,MATCH(AY$11,qx_title,0)+sexB),0)</f>
        <v>0</v>
      </c>
      <c r="AZ105" s="268">
        <f t="shared" ca="1" si="1556"/>
        <v>0</v>
      </c>
      <c r="BA105" s="129">
        <f ca="1">SUM(AZ105:AZ$124)*SSd</f>
        <v>0</v>
      </c>
      <c r="BB105" s="70">
        <f t="shared" ca="1" si="1557"/>
        <v>99999.012970709329</v>
      </c>
      <c r="BC105" s="257">
        <f t="shared" ref="BC105" ca="1" si="2193">IFERROR(VLOOKUP($S105,qx_table,MATCH(BC$11,qx_title,0)+sexB),0)</f>
        <v>0</v>
      </c>
      <c r="BD105" s="268">
        <f t="shared" ca="1" si="1559"/>
        <v>0</v>
      </c>
      <c r="BE105" s="131">
        <f ca="1">SUM(BD105:BD$124)*SSe</f>
        <v>0</v>
      </c>
      <c r="BF105" s="70">
        <f t="shared" ca="1" si="1560"/>
        <v>99999.012970709329</v>
      </c>
      <c r="BG105" s="2">
        <f t="shared" ref="BG105" ca="1" si="2194">IFERROR(VLOOKUP($S105,qx_table,MATCH(BG$11,qx_title,0)+sexB),0)</f>
        <v>0</v>
      </c>
      <c r="BH105" s="131">
        <f t="shared" ca="1" si="1562"/>
        <v>0</v>
      </c>
      <c r="BI105" s="2">
        <f ca="1">SUM(BH105:BH$124)*SSf</f>
        <v>0</v>
      </c>
      <c r="BJ105" s="70">
        <f t="shared" ca="1" si="1563"/>
        <v>99999.012970709329</v>
      </c>
      <c r="BK105" s="2">
        <f t="shared" ref="BK105" ca="1" si="2195">IFERROR(VLOOKUP($S105,qx_table,MATCH(BK$11,qx_title,0)+sexB),0)</f>
        <v>0</v>
      </c>
      <c r="BL105" s="131">
        <f t="shared" ca="1" si="1565"/>
        <v>0</v>
      </c>
      <c r="BM105" s="131">
        <f ca="1">SUM(BL105:BL$124)*SSg</f>
        <v>0</v>
      </c>
      <c r="BN105" s="70">
        <f t="shared" ca="1" si="1566"/>
        <v>99999.012970709329</v>
      </c>
      <c r="BO105" s="2">
        <f t="shared" ref="BO105" ca="1" si="2196">IFERROR(VLOOKUP($S105,qx_table,MATCH(BO$11,qx_title,0)+sexB),0)</f>
        <v>0</v>
      </c>
      <c r="BP105" s="131">
        <f t="shared" ca="1" si="1568"/>
        <v>0</v>
      </c>
      <c r="BQ105" s="131">
        <f ca="1">SUM(BP105:BP$124)*SSh</f>
        <v>0</v>
      </c>
      <c r="BR105" s="70">
        <f t="shared" ca="1" si="1569"/>
        <v>99999.012970709329</v>
      </c>
      <c r="BS105" s="2">
        <f t="shared" ref="BS105" ca="1" si="2197">IFERROR(VLOOKUP($S105,qx_table,MATCH(BS$11,qx_title,0)+sexB),0)*IF(R105=0,MCi,1)</f>
        <v>0</v>
      </c>
      <c r="BT105" s="131">
        <f t="shared" ca="1" si="1571"/>
        <v>0</v>
      </c>
      <c r="BU105" s="131">
        <f ca="1">SUM(BT105:BT$124)*SSi</f>
        <v>0</v>
      </c>
      <c r="BV105" s="70">
        <f t="shared" ca="1" si="1572"/>
        <v>99999.012970709329</v>
      </c>
      <c r="BW105" s="2">
        <f t="shared" ref="BW105" ca="1" si="2198">IFERROR(VLOOKUP($S105,qx_table,MATCH(BW$11,qx_title,0)+sexB),0)</f>
        <v>0</v>
      </c>
      <c r="BX105" s="131">
        <f t="shared" ca="1" si="1574"/>
        <v>0</v>
      </c>
      <c r="BY105" s="131">
        <f ca="1">SUM(BX105:BX$124)*SSj</f>
        <v>0</v>
      </c>
      <c r="BZ105" s="70">
        <f t="shared" ca="1" si="1575"/>
        <v>99999.012970709329</v>
      </c>
      <c r="CA105" s="2">
        <f t="shared" ref="CA105" ca="1" si="2199">IFERROR(VLOOKUP($S105,qx_table,MATCH(CA$11,qx_title,0)+sexB),0)</f>
        <v>0</v>
      </c>
      <c r="CB105" s="131">
        <f t="shared" ca="1" si="1577"/>
        <v>0</v>
      </c>
      <c r="CC105" s="131">
        <f ca="1">SUM(CB105:CB$124)*SSk</f>
        <v>0</v>
      </c>
      <c r="CD105" s="8">
        <f t="shared" ca="1" si="1578"/>
        <v>99999.012970709329</v>
      </c>
      <c r="CE105" s="2">
        <f t="shared" ref="CE105" ca="1" si="2200">IFERROR(VLOOKUP($S105,qx_table,MATCH(CE$11,qx_title,0)+sexB),0)</f>
        <v>0</v>
      </c>
      <c r="CF105" s="131">
        <f t="shared" ca="1" si="1580"/>
        <v>0</v>
      </c>
      <c r="CG105" s="131">
        <f ca="1">SUM(CF105:CF$124)*SSl</f>
        <v>0</v>
      </c>
      <c r="CH105" s="101">
        <f t="shared" ca="1" si="1581"/>
        <v>0</v>
      </c>
      <c r="CI105" s="154">
        <f t="shared" ca="1" si="1523"/>
        <v>0</v>
      </c>
      <c r="CJ105" s="32">
        <f t="shared" ca="1" si="1524"/>
        <v>0</v>
      </c>
      <c r="CK105" s="32">
        <f t="shared" ref="CK105" ca="1" si="2201">+MAX(VLOOKUP(xB+$R105,기수표B,$AH$1)-VLOOKUP(xB+mB,기수표B,$AH$1)-11/24*(VLOOKUP(xB+$R105,기수표B,$AG$1)-VLOOKUP(xB+mB,기수표B,$AG$1)),0)</f>
        <v>0</v>
      </c>
      <c r="CL105" s="32">
        <f t="shared" ref="CL105" ca="1" si="2202">+MAX(VLOOKUP(xB+$R105,기수표B,$AA$1)-VLOOKUP(xB+mB,기수표B,$AA$1),0)</f>
        <v>0</v>
      </c>
      <c r="CM105" s="32">
        <f t="shared" ref="CM105" ca="1" si="2203">+MAX(VLOOKUP(xB+$R105,기수표B,$AA$1)-VLOOKUP(xB+mB,기수표B,$AA$1)-11/24*(VLOOKUP(xB+$R105,기수표B,$AA$1)-VLOOKUP(xB+mB,기수표B,$AA$1)),0)</f>
        <v>0</v>
      </c>
      <c r="CN105" s="32">
        <f t="shared" si="1528"/>
        <v>0</v>
      </c>
      <c r="CO105" s="32">
        <f t="shared" ca="1" si="1529"/>
        <v>0</v>
      </c>
      <c r="CP105" s="32">
        <f t="shared" ca="1" si="1530"/>
        <v>0</v>
      </c>
      <c r="CQ105" s="262">
        <f t="shared" ca="1" si="1531"/>
        <v>0</v>
      </c>
      <c r="CR105" s="259" t="e">
        <f t="shared" ca="1" si="1532"/>
        <v>#DIV/0!</v>
      </c>
      <c r="CS105" s="32">
        <f t="shared" ca="1" si="1533"/>
        <v>1.5999999999999999E-5</v>
      </c>
      <c r="CT105" s="31">
        <f t="shared" ref="CT105" si="2204">+MIN(mB,7)</f>
        <v>7</v>
      </c>
      <c r="CV105" s="13">
        <v>93</v>
      </c>
      <c r="CW105" s="477">
        <f t="shared" ca="1" si="1535"/>
        <v>480</v>
      </c>
      <c r="CX105" s="477" t="e">
        <f t="shared" ca="1" si="1536"/>
        <v>#DIV/0!</v>
      </c>
      <c r="CY105" s="477">
        <f t="shared" ca="1" si="1537"/>
        <v>0</v>
      </c>
      <c r="CZ105" s="478">
        <f t="shared" ca="1" si="1586"/>
        <v>0</v>
      </c>
    </row>
    <row r="106" spans="3:104">
      <c r="N106" s="5">
        <f t="shared" si="1587"/>
        <v>94</v>
      </c>
      <c r="O106" s="2">
        <f t="shared" ref="O106" ca="1" si="2205">+(1+iB)^-N106</f>
        <v>0.12349467517036616</v>
      </c>
      <c r="P106" s="2">
        <f t="shared" ref="P106" ca="1" si="2206">+(1+iB)^-(N106+0.5)</f>
        <v>0.12212837366163673</v>
      </c>
      <c r="Q106" s="91"/>
      <c r="R106" s="20">
        <f t="shared" si="1590"/>
        <v>94</v>
      </c>
      <c r="S106" s="20" t="str">
        <f t="shared" ref="S106" si="2207">+IF(xB+R106&lt;=xB+nB,xB+R106,"")</f>
        <v/>
      </c>
      <c r="T106" s="2">
        <f t="shared" ref="T106:U106" ca="1" si="2208">IFERROR(VLOOKUP($S106,qx_table,MATCH(T$11,qx_title,0)+sexB),0)</f>
        <v>0</v>
      </c>
      <c r="U106" s="2">
        <f t="shared" ca="1" si="2208"/>
        <v>0</v>
      </c>
      <c r="V106" s="300">
        <v>0</v>
      </c>
      <c r="W106" s="8">
        <f t="shared" ref="W106" si="2209">IF(R106=0,100000,IF(R106&gt;nB,0,W105*(1-X105)*(1-Y105)))</f>
        <v>0</v>
      </c>
      <c r="X106" s="10">
        <f t="shared" ca="1" si="1502"/>
        <v>0</v>
      </c>
      <c r="Y106" s="10">
        <f t="shared" ca="1" si="1503"/>
        <v>0</v>
      </c>
      <c r="Z106" s="5">
        <f t="shared" ca="1" si="1543"/>
        <v>0</v>
      </c>
      <c r="AA106" s="5">
        <f ca="1">+SUM(Z106:Z$124)</f>
        <v>0</v>
      </c>
      <c r="AB106" s="8">
        <f t="shared" ca="1" si="1504"/>
        <v>0</v>
      </c>
      <c r="AC106" s="209">
        <f ca="1">+SUM(AB106:AB$124)*SSSM</f>
        <v>0</v>
      </c>
      <c r="AD106" s="209">
        <f t="shared" ref="AD106" si="2210">IF(R106&gt;nB,0,AD105*(1-X105)*(1-Y105)*(1-AE105)*(1-AF105))</f>
        <v>0</v>
      </c>
      <c r="AE106" s="92">
        <f t="shared" ca="1" si="1506"/>
        <v>0</v>
      </c>
      <c r="AF106" s="92">
        <f t="shared" ca="1" si="1507"/>
        <v>0</v>
      </c>
      <c r="AG106" s="8">
        <f t="shared" ca="1" si="1508"/>
        <v>0</v>
      </c>
      <c r="AH106" s="5">
        <f ca="1">+SUM(AG106:AG$124)</f>
        <v>0</v>
      </c>
      <c r="AI106" s="70">
        <f t="shared" ca="1" si="1509"/>
        <v>0</v>
      </c>
      <c r="AJ106" s="208">
        <f ca="1">+SUM(AB106:AB$124)*SS50J</f>
        <v>0</v>
      </c>
      <c r="AK106" s="5">
        <f t="shared" ca="1" si="1545"/>
        <v>99999.012970709329</v>
      </c>
      <c r="AL106" s="2">
        <f t="shared" ref="AL106" ca="1" si="2211">IFERROR(VLOOKUP($S106,qx_table,MATCH(AL$11,qx_title,0)+sexB),0)</f>
        <v>0</v>
      </c>
      <c r="AM106" s="131">
        <f t="shared" ca="1" si="1547"/>
        <v>12349.345624174981</v>
      </c>
      <c r="AN106" s="129">
        <f t="shared" ca="1" si="1511"/>
        <v>0</v>
      </c>
      <c r="AO106" s="129">
        <f ca="1">SUM(AN106:AN$124)*SSa</f>
        <v>0</v>
      </c>
      <c r="AP106" s="70">
        <f t="shared" ca="1" si="1548"/>
        <v>99999.012970709329</v>
      </c>
      <c r="AQ106" s="2">
        <f t="shared" ref="AQ106" ca="1" si="2212">IFERROR(VLOOKUP($S106,qx_table,MATCH(AQ$11,qx_title,0)+sexB),0)</f>
        <v>0</v>
      </c>
      <c r="AR106" s="127">
        <f t="shared" ca="1" si="1550"/>
        <v>0</v>
      </c>
      <c r="AS106" s="127">
        <f ca="1">SUM(AR106:AR$124)*SSb</f>
        <v>0</v>
      </c>
      <c r="AT106" s="70">
        <f t="shared" ca="1" si="1551"/>
        <v>99999.012970709329</v>
      </c>
      <c r="AU106" s="2">
        <f t="shared" ref="AU106" ca="1" si="2213">IFERROR(VLOOKUP($S106,qx_table,MATCH(AU$11,qx_title,0)+sexB),0)</f>
        <v>0</v>
      </c>
      <c r="AV106" s="268">
        <f t="shared" ca="1" si="1553"/>
        <v>0</v>
      </c>
      <c r="AW106" s="131">
        <f ca="1">SUM(AV106:AV$124)*SSc</f>
        <v>0</v>
      </c>
      <c r="AX106" s="70">
        <f t="shared" ca="1" si="1554"/>
        <v>99999.012970709329</v>
      </c>
      <c r="AY106" s="2">
        <f t="shared" ref="AY106" ca="1" si="2214">IFERROR(VLOOKUP($S106,qx_table,MATCH(AY$11,qx_title,0)+sexB),0)</f>
        <v>0</v>
      </c>
      <c r="AZ106" s="268">
        <f t="shared" ca="1" si="1556"/>
        <v>0</v>
      </c>
      <c r="BA106" s="129">
        <f ca="1">SUM(AZ106:AZ$124)*SSd</f>
        <v>0</v>
      </c>
      <c r="BB106" s="70">
        <f t="shared" ca="1" si="1557"/>
        <v>99999.012970709329</v>
      </c>
      <c r="BC106" s="257">
        <f t="shared" ref="BC106" ca="1" si="2215">IFERROR(VLOOKUP($S106,qx_table,MATCH(BC$11,qx_title,0)+sexB),0)</f>
        <v>0</v>
      </c>
      <c r="BD106" s="268">
        <f t="shared" ca="1" si="1559"/>
        <v>0</v>
      </c>
      <c r="BE106" s="131">
        <f ca="1">SUM(BD106:BD$124)*SSe</f>
        <v>0</v>
      </c>
      <c r="BF106" s="70">
        <f t="shared" ca="1" si="1560"/>
        <v>99999.012970709329</v>
      </c>
      <c r="BG106" s="2">
        <f t="shared" ref="BG106" ca="1" si="2216">IFERROR(VLOOKUP($S106,qx_table,MATCH(BG$11,qx_title,0)+sexB),0)</f>
        <v>0</v>
      </c>
      <c r="BH106" s="131">
        <f t="shared" ca="1" si="1562"/>
        <v>0</v>
      </c>
      <c r="BI106" s="2">
        <f ca="1">SUM(BH106:BH$124)*SSf</f>
        <v>0</v>
      </c>
      <c r="BJ106" s="70">
        <f t="shared" ca="1" si="1563"/>
        <v>99999.012970709329</v>
      </c>
      <c r="BK106" s="2">
        <f t="shared" ref="BK106" ca="1" si="2217">IFERROR(VLOOKUP($S106,qx_table,MATCH(BK$11,qx_title,0)+sexB),0)</f>
        <v>0</v>
      </c>
      <c r="BL106" s="131">
        <f t="shared" ca="1" si="1565"/>
        <v>0</v>
      </c>
      <c r="BM106" s="131">
        <f ca="1">SUM(BL106:BL$124)*SSg</f>
        <v>0</v>
      </c>
      <c r="BN106" s="70">
        <f t="shared" ca="1" si="1566"/>
        <v>99999.012970709329</v>
      </c>
      <c r="BO106" s="2">
        <f t="shared" ref="BO106" ca="1" si="2218">IFERROR(VLOOKUP($S106,qx_table,MATCH(BO$11,qx_title,0)+sexB),0)</f>
        <v>0</v>
      </c>
      <c r="BP106" s="131">
        <f t="shared" ca="1" si="1568"/>
        <v>0</v>
      </c>
      <c r="BQ106" s="131">
        <f ca="1">SUM(BP106:BP$124)*SSh</f>
        <v>0</v>
      </c>
      <c r="BR106" s="70">
        <f t="shared" ca="1" si="1569"/>
        <v>99999.012970709329</v>
      </c>
      <c r="BS106" s="2">
        <f t="shared" ref="BS106" ca="1" si="2219">IFERROR(VLOOKUP($S106,qx_table,MATCH(BS$11,qx_title,0)+sexB),0)*IF(R106=0,MCi,1)</f>
        <v>0</v>
      </c>
      <c r="BT106" s="131">
        <f t="shared" ca="1" si="1571"/>
        <v>0</v>
      </c>
      <c r="BU106" s="131">
        <f ca="1">SUM(BT106:BT$124)*SSi</f>
        <v>0</v>
      </c>
      <c r="BV106" s="70">
        <f t="shared" ca="1" si="1572"/>
        <v>99999.012970709329</v>
      </c>
      <c r="BW106" s="2">
        <f t="shared" ref="BW106" ca="1" si="2220">IFERROR(VLOOKUP($S106,qx_table,MATCH(BW$11,qx_title,0)+sexB),0)</f>
        <v>0</v>
      </c>
      <c r="BX106" s="131">
        <f t="shared" ca="1" si="1574"/>
        <v>0</v>
      </c>
      <c r="BY106" s="131">
        <f ca="1">SUM(BX106:BX$124)*SSj</f>
        <v>0</v>
      </c>
      <c r="BZ106" s="70">
        <f t="shared" ca="1" si="1575"/>
        <v>99999.012970709329</v>
      </c>
      <c r="CA106" s="2">
        <f t="shared" ref="CA106" ca="1" si="2221">IFERROR(VLOOKUP($S106,qx_table,MATCH(CA$11,qx_title,0)+sexB),0)</f>
        <v>0</v>
      </c>
      <c r="CB106" s="131">
        <f t="shared" ca="1" si="1577"/>
        <v>0</v>
      </c>
      <c r="CC106" s="131">
        <f ca="1">SUM(CB106:CB$124)*SSk</f>
        <v>0</v>
      </c>
      <c r="CD106" s="8">
        <f t="shared" ca="1" si="1578"/>
        <v>99999.012970709329</v>
      </c>
      <c r="CE106" s="2">
        <f t="shared" ref="CE106" ca="1" si="2222">IFERROR(VLOOKUP($S106,qx_table,MATCH(CE$11,qx_title,0)+sexB),0)</f>
        <v>0</v>
      </c>
      <c r="CF106" s="131">
        <f t="shared" ca="1" si="1580"/>
        <v>0</v>
      </c>
      <c r="CG106" s="131">
        <f ca="1">SUM(CF106:CF$124)*SSl</f>
        <v>0</v>
      </c>
      <c r="CH106" s="101">
        <f t="shared" ca="1" si="1581"/>
        <v>0</v>
      </c>
      <c r="CI106" s="154">
        <f t="shared" ca="1" si="1523"/>
        <v>0</v>
      </c>
      <c r="CJ106" s="32">
        <f t="shared" ca="1" si="1524"/>
        <v>0</v>
      </c>
      <c r="CK106" s="32">
        <f t="shared" ref="CK106" ca="1" si="2223">+MAX(VLOOKUP(xB+$R106,기수표B,$AH$1)-VLOOKUP(xB+mB,기수표B,$AH$1)-11/24*(VLOOKUP(xB+$R106,기수표B,$AG$1)-VLOOKUP(xB+mB,기수표B,$AG$1)),0)</f>
        <v>0</v>
      </c>
      <c r="CL106" s="32">
        <f t="shared" ref="CL106" ca="1" si="2224">+MAX(VLOOKUP(xB+$R106,기수표B,$AA$1)-VLOOKUP(xB+mB,기수표B,$AA$1),0)</f>
        <v>0</v>
      </c>
      <c r="CM106" s="32">
        <f t="shared" ref="CM106" ca="1" si="2225">+MAX(VLOOKUP(xB+$R106,기수표B,$AA$1)-VLOOKUP(xB+mB,기수표B,$AA$1)-11/24*(VLOOKUP(xB+$R106,기수표B,$AA$1)-VLOOKUP(xB+mB,기수표B,$AA$1)),0)</f>
        <v>0</v>
      </c>
      <c r="CN106" s="32">
        <f t="shared" si="1528"/>
        <v>0</v>
      </c>
      <c r="CO106" s="32">
        <f t="shared" ca="1" si="1529"/>
        <v>0</v>
      </c>
      <c r="CP106" s="32">
        <f t="shared" ca="1" si="1530"/>
        <v>0</v>
      </c>
      <c r="CQ106" s="262">
        <f t="shared" ca="1" si="1531"/>
        <v>0</v>
      </c>
      <c r="CR106" s="259" t="e">
        <f t="shared" ca="1" si="1532"/>
        <v>#DIV/0!</v>
      </c>
      <c r="CS106" s="32">
        <f t="shared" ca="1" si="1533"/>
        <v>1.5999999999999999E-5</v>
      </c>
      <c r="CT106" s="31">
        <f t="shared" ref="CT106" si="2226">+MIN(mB,7)</f>
        <v>7</v>
      </c>
      <c r="CV106" s="13">
        <v>94</v>
      </c>
      <c r="CW106" s="477">
        <f t="shared" ca="1" si="1535"/>
        <v>480</v>
      </c>
      <c r="CX106" s="477" t="e">
        <f t="shared" ca="1" si="1536"/>
        <v>#DIV/0!</v>
      </c>
      <c r="CY106" s="477">
        <f t="shared" ca="1" si="1537"/>
        <v>0</v>
      </c>
      <c r="CZ106" s="478">
        <f t="shared" ca="1" si="1586"/>
        <v>0</v>
      </c>
    </row>
    <row r="107" spans="3:104">
      <c r="N107" s="5">
        <f t="shared" si="1587"/>
        <v>95</v>
      </c>
      <c r="O107" s="2">
        <f t="shared" ref="O107" ca="1" si="2227">+(1+iB)^-N107</f>
        <v>0.12077718843067596</v>
      </c>
      <c r="P107" s="2">
        <f t="shared" ref="P107" ca="1" si="2228">+(1+iB)^-(N107+0.5)</f>
        <v>0.11944095223631956</v>
      </c>
      <c r="Q107" s="91"/>
      <c r="R107" s="20">
        <f t="shared" si="1590"/>
        <v>95</v>
      </c>
      <c r="S107" s="20" t="str">
        <f t="shared" ref="S107" si="2229">+IF(xB+R107&lt;=xB+nB,xB+R107,"")</f>
        <v/>
      </c>
      <c r="T107" s="2">
        <f t="shared" ref="T107:U107" ca="1" si="2230">IFERROR(VLOOKUP($S107,qx_table,MATCH(T$11,qx_title,0)+sexB),0)</f>
        <v>0</v>
      </c>
      <c r="U107" s="2">
        <f t="shared" ca="1" si="2230"/>
        <v>0</v>
      </c>
      <c r="V107" s="300">
        <v>0</v>
      </c>
      <c r="W107" s="8">
        <f t="shared" ref="W107" si="2231">IF(R107=0,100000,IF(R107&gt;nB,0,W106*(1-X106)*(1-Y106)))</f>
        <v>0</v>
      </c>
      <c r="X107" s="10">
        <f t="shared" ca="1" si="1502"/>
        <v>0</v>
      </c>
      <c r="Y107" s="10">
        <f t="shared" ca="1" si="1503"/>
        <v>0</v>
      </c>
      <c r="Z107" s="5">
        <f t="shared" ca="1" si="1543"/>
        <v>0</v>
      </c>
      <c r="AA107" s="5">
        <f ca="1">+SUM(Z107:Z$124)</f>
        <v>0</v>
      </c>
      <c r="AB107" s="8">
        <f t="shared" ca="1" si="1504"/>
        <v>0</v>
      </c>
      <c r="AC107" s="209">
        <f ca="1">+SUM(AB107:AB$124)*SSSM</f>
        <v>0</v>
      </c>
      <c r="AD107" s="209">
        <f t="shared" ref="AD107" si="2232">IF(R107&gt;nB,0,AD106*(1-X106)*(1-Y106)*(1-AE106)*(1-AF106))</f>
        <v>0</v>
      </c>
      <c r="AE107" s="92">
        <f t="shared" ca="1" si="1506"/>
        <v>0</v>
      </c>
      <c r="AF107" s="92">
        <f t="shared" ca="1" si="1507"/>
        <v>0</v>
      </c>
      <c r="AG107" s="8">
        <f t="shared" ca="1" si="1508"/>
        <v>0</v>
      </c>
      <c r="AH107" s="5">
        <f ca="1">+SUM(AG107:AG$124)</f>
        <v>0</v>
      </c>
      <c r="AI107" s="70">
        <f t="shared" ca="1" si="1509"/>
        <v>0</v>
      </c>
      <c r="AJ107" s="208">
        <f ca="1">+SUM(AB107:AB$124)*SS50J</f>
        <v>0</v>
      </c>
      <c r="AK107" s="5">
        <f t="shared" ca="1" si="1545"/>
        <v>99999.012970709329</v>
      </c>
      <c r="AL107" s="2">
        <f t="shared" ref="AL107" ca="1" si="2233">IFERROR(VLOOKUP($S107,qx_table,MATCH(AL$11,qx_title,0)+sexB),0)</f>
        <v>0</v>
      </c>
      <c r="AM107" s="131">
        <f t="shared" ca="1" si="1547"/>
        <v>12077.59963244497</v>
      </c>
      <c r="AN107" s="129">
        <f t="shared" ca="1" si="1511"/>
        <v>0</v>
      </c>
      <c r="AO107" s="129">
        <f ca="1">SUM(AN107:AN$124)*SSa</f>
        <v>0</v>
      </c>
      <c r="AP107" s="70">
        <f t="shared" ca="1" si="1548"/>
        <v>99999.012970709329</v>
      </c>
      <c r="AQ107" s="2">
        <f t="shared" ref="AQ107" ca="1" si="2234">IFERROR(VLOOKUP($S107,qx_table,MATCH(AQ$11,qx_title,0)+sexB),0)</f>
        <v>0</v>
      </c>
      <c r="AR107" s="127">
        <f t="shared" ca="1" si="1550"/>
        <v>0</v>
      </c>
      <c r="AS107" s="127">
        <f ca="1">SUM(AR107:AR$124)*SSb</f>
        <v>0</v>
      </c>
      <c r="AT107" s="70">
        <f t="shared" ca="1" si="1551"/>
        <v>99999.012970709329</v>
      </c>
      <c r="AU107" s="2">
        <f t="shared" ref="AU107" ca="1" si="2235">IFERROR(VLOOKUP($S107,qx_table,MATCH(AU$11,qx_title,0)+sexB),0)</f>
        <v>0</v>
      </c>
      <c r="AV107" s="268">
        <f t="shared" ca="1" si="1553"/>
        <v>0</v>
      </c>
      <c r="AW107" s="131">
        <f ca="1">SUM(AV107:AV$124)*SSc</f>
        <v>0</v>
      </c>
      <c r="AX107" s="70">
        <f t="shared" ca="1" si="1554"/>
        <v>99999.012970709329</v>
      </c>
      <c r="AY107" s="2">
        <f t="shared" ref="AY107" ca="1" si="2236">IFERROR(VLOOKUP($S107,qx_table,MATCH(AY$11,qx_title,0)+sexB),0)</f>
        <v>0</v>
      </c>
      <c r="AZ107" s="268">
        <f t="shared" ca="1" si="1556"/>
        <v>0</v>
      </c>
      <c r="BA107" s="129">
        <f ca="1">SUM(AZ107:AZ$124)*SSd</f>
        <v>0</v>
      </c>
      <c r="BB107" s="70">
        <f t="shared" ca="1" si="1557"/>
        <v>99999.012970709329</v>
      </c>
      <c r="BC107" s="257">
        <f t="shared" ref="BC107" ca="1" si="2237">IFERROR(VLOOKUP($S107,qx_table,MATCH(BC$11,qx_title,0)+sexB),0)</f>
        <v>0</v>
      </c>
      <c r="BD107" s="268">
        <f t="shared" ca="1" si="1559"/>
        <v>0</v>
      </c>
      <c r="BE107" s="131">
        <f ca="1">SUM(BD107:BD$124)*SSe</f>
        <v>0</v>
      </c>
      <c r="BF107" s="70">
        <f t="shared" ca="1" si="1560"/>
        <v>99999.012970709329</v>
      </c>
      <c r="BG107" s="2">
        <f t="shared" ref="BG107" ca="1" si="2238">IFERROR(VLOOKUP($S107,qx_table,MATCH(BG$11,qx_title,0)+sexB),0)</f>
        <v>0</v>
      </c>
      <c r="BH107" s="131">
        <f t="shared" ca="1" si="1562"/>
        <v>0</v>
      </c>
      <c r="BI107" s="2">
        <f ca="1">SUM(BH107:BH$124)*SSf</f>
        <v>0</v>
      </c>
      <c r="BJ107" s="70">
        <f t="shared" ca="1" si="1563"/>
        <v>99999.012970709329</v>
      </c>
      <c r="BK107" s="2">
        <f t="shared" ref="BK107" ca="1" si="2239">IFERROR(VLOOKUP($S107,qx_table,MATCH(BK$11,qx_title,0)+sexB),0)</f>
        <v>0</v>
      </c>
      <c r="BL107" s="131">
        <f t="shared" ca="1" si="1565"/>
        <v>0</v>
      </c>
      <c r="BM107" s="131">
        <f ca="1">SUM(BL107:BL$124)*SSg</f>
        <v>0</v>
      </c>
      <c r="BN107" s="70">
        <f t="shared" ca="1" si="1566"/>
        <v>99999.012970709329</v>
      </c>
      <c r="BO107" s="2">
        <f t="shared" ref="BO107" ca="1" si="2240">IFERROR(VLOOKUP($S107,qx_table,MATCH(BO$11,qx_title,0)+sexB),0)</f>
        <v>0</v>
      </c>
      <c r="BP107" s="131">
        <f t="shared" ca="1" si="1568"/>
        <v>0</v>
      </c>
      <c r="BQ107" s="131">
        <f ca="1">SUM(BP107:BP$124)*SSh</f>
        <v>0</v>
      </c>
      <c r="BR107" s="70">
        <f t="shared" ca="1" si="1569"/>
        <v>99999.012970709329</v>
      </c>
      <c r="BS107" s="2">
        <f t="shared" ref="BS107" ca="1" si="2241">IFERROR(VLOOKUP($S107,qx_table,MATCH(BS$11,qx_title,0)+sexB),0)*IF(R107=0,MCi,1)</f>
        <v>0</v>
      </c>
      <c r="BT107" s="131">
        <f t="shared" ca="1" si="1571"/>
        <v>0</v>
      </c>
      <c r="BU107" s="131">
        <f ca="1">SUM(BT107:BT$124)*SSi</f>
        <v>0</v>
      </c>
      <c r="BV107" s="70">
        <f t="shared" ca="1" si="1572"/>
        <v>99999.012970709329</v>
      </c>
      <c r="BW107" s="2">
        <f t="shared" ref="BW107" ca="1" si="2242">IFERROR(VLOOKUP($S107,qx_table,MATCH(BW$11,qx_title,0)+sexB),0)</f>
        <v>0</v>
      </c>
      <c r="BX107" s="131">
        <f t="shared" ca="1" si="1574"/>
        <v>0</v>
      </c>
      <c r="BY107" s="131">
        <f ca="1">SUM(BX107:BX$124)*SSj</f>
        <v>0</v>
      </c>
      <c r="BZ107" s="70">
        <f t="shared" ca="1" si="1575"/>
        <v>99999.012970709329</v>
      </c>
      <c r="CA107" s="2">
        <f t="shared" ref="CA107" ca="1" si="2243">IFERROR(VLOOKUP($S107,qx_table,MATCH(CA$11,qx_title,0)+sexB),0)</f>
        <v>0</v>
      </c>
      <c r="CB107" s="131">
        <f t="shared" ca="1" si="1577"/>
        <v>0</v>
      </c>
      <c r="CC107" s="131">
        <f ca="1">SUM(CB107:CB$124)*SSk</f>
        <v>0</v>
      </c>
      <c r="CD107" s="8">
        <f t="shared" ca="1" si="1578"/>
        <v>99999.012970709329</v>
      </c>
      <c r="CE107" s="2">
        <f t="shared" ref="CE107" ca="1" si="2244">IFERROR(VLOOKUP($S107,qx_table,MATCH(CE$11,qx_title,0)+sexB),0)</f>
        <v>0</v>
      </c>
      <c r="CF107" s="131">
        <f t="shared" ca="1" si="1580"/>
        <v>0</v>
      </c>
      <c r="CG107" s="131">
        <f ca="1">SUM(CF107:CF$124)*SSl</f>
        <v>0</v>
      </c>
      <c r="CH107" s="101">
        <f t="shared" ca="1" si="1581"/>
        <v>0</v>
      </c>
      <c r="CI107" s="154">
        <f t="shared" ca="1" si="1523"/>
        <v>0</v>
      </c>
      <c r="CJ107" s="32">
        <f t="shared" ca="1" si="1524"/>
        <v>0</v>
      </c>
      <c r="CK107" s="32">
        <f t="shared" ref="CK107" ca="1" si="2245">+MAX(VLOOKUP(xB+$R107,기수표B,$AH$1)-VLOOKUP(xB+mB,기수표B,$AH$1)-11/24*(VLOOKUP(xB+$R107,기수표B,$AG$1)-VLOOKUP(xB+mB,기수표B,$AG$1)),0)</f>
        <v>0</v>
      </c>
      <c r="CL107" s="32">
        <f t="shared" ref="CL107" ca="1" si="2246">+MAX(VLOOKUP(xB+$R107,기수표B,$AA$1)-VLOOKUP(xB+mB,기수표B,$AA$1),0)</f>
        <v>0</v>
      </c>
      <c r="CM107" s="32">
        <f t="shared" ref="CM107" ca="1" si="2247">+MAX(VLOOKUP(xB+$R107,기수표B,$AA$1)-VLOOKUP(xB+mB,기수표B,$AA$1)-11/24*(VLOOKUP(xB+$R107,기수표B,$AA$1)-VLOOKUP(xB+mB,기수표B,$AA$1)),0)</f>
        <v>0</v>
      </c>
      <c r="CN107" s="32">
        <f t="shared" si="1528"/>
        <v>0</v>
      </c>
      <c r="CO107" s="32">
        <f t="shared" ca="1" si="1529"/>
        <v>0</v>
      </c>
      <c r="CP107" s="32">
        <f t="shared" ca="1" si="1530"/>
        <v>0</v>
      </c>
      <c r="CQ107" s="262">
        <f t="shared" ca="1" si="1531"/>
        <v>0</v>
      </c>
      <c r="CR107" s="259" t="e">
        <f t="shared" ca="1" si="1532"/>
        <v>#DIV/0!</v>
      </c>
      <c r="CS107" s="32">
        <f t="shared" ca="1" si="1533"/>
        <v>1.5999999999999999E-5</v>
      </c>
      <c r="CT107" s="31">
        <f t="shared" ref="CT107" si="2248">+MIN(mB,7)</f>
        <v>7</v>
      </c>
      <c r="CV107" s="13">
        <v>95</v>
      </c>
      <c r="CW107" s="477">
        <f t="shared" ca="1" si="1535"/>
        <v>480</v>
      </c>
      <c r="CX107" s="477" t="e">
        <f t="shared" ca="1" si="1536"/>
        <v>#DIV/0!</v>
      </c>
      <c r="CY107" s="477">
        <f t="shared" ca="1" si="1537"/>
        <v>0</v>
      </c>
      <c r="CZ107" s="478">
        <f t="shared" ca="1" si="1586"/>
        <v>0</v>
      </c>
    </row>
    <row r="108" spans="3:104">
      <c r="C108" s="33"/>
      <c r="D108" s="33"/>
      <c r="E108" s="16"/>
      <c r="N108" s="5">
        <f t="shared" si="1587"/>
        <v>96</v>
      </c>
      <c r="O108" s="2">
        <f t="shared" ref="O108" ca="1" si="2249">+(1+iB)^-N108</f>
        <v>0.11811949968770268</v>
      </c>
      <c r="P108" s="2">
        <f t="shared" ref="P108" ca="1" si="2250">+(1+iB)^-(N108+0.5)</f>
        <v>0.11681266722378442</v>
      </c>
      <c r="Q108" s="91"/>
      <c r="R108" s="20">
        <f t="shared" si="1590"/>
        <v>96</v>
      </c>
      <c r="S108" s="20" t="str">
        <f t="shared" ref="S108" si="2251">+IF(xB+R108&lt;=xB+nB,xB+R108,"")</f>
        <v/>
      </c>
      <c r="T108" s="2">
        <f t="shared" ref="T108:U108" ca="1" si="2252">IFERROR(VLOOKUP($S108,qx_table,MATCH(T$11,qx_title,0)+sexB),0)</f>
        <v>0</v>
      </c>
      <c r="U108" s="2">
        <f t="shared" ca="1" si="2252"/>
        <v>0</v>
      </c>
      <c r="V108" s="300">
        <v>0</v>
      </c>
      <c r="W108" s="8">
        <f t="shared" ref="W108" si="2253">IF(R108=0,100000,IF(R108&gt;nB,0,W107*(1-X107)*(1-Y107)))</f>
        <v>0</v>
      </c>
      <c r="X108" s="10">
        <f t="shared" ca="1" si="1502"/>
        <v>0</v>
      </c>
      <c r="Y108" s="10">
        <f t="shared" ca="1" si="1503"/>
        <v>0</v>
      </c>
      <c r="Z108" s="5">
        <f t="shared" ca="1" si="1543"/>
        <v>0</v>
      </c>
      <c r="AA108" s="5">
        <f ca="1">+SUM(Z108:Z$124)</f>
        <v>0</v>
      </c>
      <c r="AB108" s="8">
        <f t="shared" ca="1" si="1504"/>
        <v>0</v>
      </c>
      <c r="AC108" s="209">
        <f ca="1">+SUM(AB108:AB$124)*SSSM</f>
        <v>0</v>
      </c>
      <c r="AD108" s="209">
        <f t="shared" ref="AD108" si="2254">IF(R108&gt;nB,0,AD107*(1-X107)*(1-Y107)*(1-AE107)*(1-AF107))</f>
        <v>0</v>
      </c>
      <c r="AE108" s="92">
        <f t="shared" ca="1" si="1506"/>
        <v>0</v>
      </c>
      <c r="AF108" s="92">
        <f t="shared" ca="1" si="1507"/>
        <v>0</v>
      </c>
      <c r="AG108" s="8">
        <f t="shared" ca="1" si="1508"/>
        <v>0</v>
      </c>
      <c r="AH108" s="5">
        <f ca="1">+SUM(AG108:AG$124)</f>
        <v>0</v>
      </c>
      <c r="AI108" s="70">
        <f t="shared" ca="1" si="1509"/>
        <v>0</v>
      </c>
      <c r="AJ108" s="208">
        <f ca="1">+SUM(AB108:AB$124)*SS50J</f>
        <v>0</v>
      </c>
      <c r="AK108" s="5">
        <f t="shared" ca="1" si="1545"/>
        <v>99999.012970709329</v>
      </c>
      <c r="AL108" s="2">
        <f t="shared" ref="AL108" ca="1" si="2255">IFERROR(VLOOKUP($S108,qx_table,MATCH(AL$11,qx_title,0)+sexB),0)</f>
        <v>0</v>
      </c>
      <c r="AM108" s="131">
        <f t="shared" ca="1" si="1547"/>
        <v>11811.833381364277</v>
      </c>
      <c r="AN108" s="129">
        <f t="shared" ref="AN108:AN124" ca="1" si="2256">AK108*AL108*(1-CHOOSE(JRB,1,0)*$V108/2)*$P108*IF(R108=0,MCa,1)</f>
        <v>0</v>
      </c>
      <c r="AO108" s="129">
        <f ca="1">SUM(AN108:AN$124)*SSa</f>
        <v>0</v>
      </c>
      <c r="AP108" s="70">
        <f t="shared" ca="1" si="1548"/>
        <v>99999.012970709329</v>
      </c>
      <c r="AQ108" s="2">
        <f t="shared" ref="AQ108" ca="1" si="2257">IFERROR(VLOOKUP($S108,qx_table,MATCH(AQ$11,qx_title,0)+sexB),0)</f>
        <v>0</v>
      </c>
      <c r="AR108" s="127">
        <f t="shared" ca="1" si="1550"/>
        <v>0</v>
      </c>
      <c r="AS108" s="127">
        <f ca="1">SUM(AR108:AR$124)*SSb</f>
        <v>0</v>
      </c>
      <c r="AT108" s="70">
        <f t="shared" ca="1" si="1551"/>
        <v>99999.012970709329</v>
      </c>
      <c r="AU108" s="2">
        <f t="shared" ref="AU108" ca="1" si="2258">IFERROR(VLOOKUP($S108,qx_table,MATCH(AU$11,qx_title,0)+sexB),0)</f>
        <v>0</v>
      </c>
      <c r="AV108" s="268">
        <f t="shared" ca="1" si="1553"/>
        <v>0</v>
      </c>
      <c r="AW108" s="131">
        <f ca="1">SUM(AV108:AV$124)*SSc</f>
        <v>0</v>
      </c>
      <c r="AX108" s="70">
        <f t="shared" ca="1" si="1554"/>
        <v>99999.012970709329</v>
      </c>
      <c r="AY108" s="2">
        <f t="shared" ref="AY108" ca="1" si="2259">IFERROR(VLOOKUP($S108,qx_table,MATCH(AY$11,qx_title,0)+sexB),0)</f>
        <v>0</v>
      </c>
      <c r="AZ108" s="268">
        <f t="shared" ca="1" si="1556"/>
        <v>0</v>
      </c>
      <c r="BA108" s="129">
        <f ca="1">SUM(AZ108:AZ$124)*SSd</f>
        <v>0</v>
      </c>
      <c r="BB108" s="70">
        <f t="shared" ca="1" si="1557"/>
        <v>99999.012970709329</v>
      </c>
      <c r="BC108" s="257">
        <f t="shared" ref="BC108" ca="1" si="2260">IFERROR(VLOOKUP($S108,qx_table,MATCH(BC$11,qx_title,0)+sexB),0)</f>
        <v>0</v>
      </c>
      <c r="BD108" s="268">
        <f t="shared" ca="1" si="1559"/>
        <v>0</v>
      </c>
      <c r="BE108" s="131">
        <f ca="1">SUM(BD108:BD$124)*SSe</f>
        <v>0</v>
      </c>
      <c r="BF108" s="70">
        <f t="shared" ca="1" si="1560"/>
        <v>99999.012970709329</v>
      </c>
      <c r="BG108" s="2">
        <f t="shared" ref="BG108" ca="1" si="2261">IFERROR(VLOOKUP($S108,qx_table,MATCH(BG$11,qx_title,0)+sexB),0)</f>
        <v>0</v>
      </c>
      <c r="BH108" s="131">
        <f t="shared" ca="1" si="1562"/>
        <v>0</v>
      </c>
      <c r="BI108" s="2">
        <f ca="1">SUM(BH108:BH$124)*SSf</f>
        <v>0</v>
      </c>
      <c r="BJ108" s="70">
        <f t="shared" ca="1" si="1563"/>
        <v>99999.012970709329</v>
      </c>
      <c r="BK108" s="2">
        <f t="shared" ref="BK108" ca="1" si="2262">IFERROR(VLOOKUP($S108,qx_table,MATCH(BK$11,qx_title,0)+sexB),0)</f>
        <v>0</v>
      </c>
      <c r="BL108" s="131">
        <f t="shared" ca="1" si="1565"/>
        <v>0</v>
      </c>
      <c r="BM108" s="131">
        <f ca="1">SUM(BL108:BL$124)*SSg</f>
        <v>0</v>
      </c>
      <c r="BN108" s="70">
        <f t="shared" ca="1" si="1566"/>
        <v>99999.012970709329</v>
      </c>
      <c r="BO108" s="2">
        <f t="shared" ref="BO108" ca="1" si="2263">IFERROR(VLOOKUP($S108,qx_table,MATCH(BO$11,qx_title,0)+sexB),0)</f>
        <v>0</v>
      </c>
      <c r="BP108" s="131">
        <f t="shared" ca="1" si="1568"/>
        <v>0</v>
      </c>
      <c r="BQ108" s="131">
        <f ca="1">SUM(BP108:BP$124)*SSh</f>
        <v>0</v>
      </c>
      <c r="BR108" s="70">
        <f t="shared" ca="1" si="1569"/>
        <v>99999.012970709329</v>
      </c>
      <c r="BS108" s="2">
        <f t="shared" ref="BS108" ca="1" si="2264">IFERROR(VLOOKUP($S108,qx_table,MATCH(BS$11,qx_title,0)+sexB),0)*IF(R108=0,MCi,1)</f>
        <v>0</v>
      </c>
      <c r="BT108" s="131">
        <f t="shared" ca="1" si="1571"/>
        <v>0</v>
      </c>
      <c r="BU108" s="131">
        <f ca="1">SUM(BT108:BT$124)*SSi</f>
        <v>0</v>
      </c>
      <c r="BV108" s="70">
        <f t="shared" ca="1" si="1572"/>
        <v>99999.012970709329</v>
      </c>
      <c r="BW108" s="2">
        <f t="shared" ref="BW108" ca="1" si="2265">IFERROR(VLOOKUP($S108,qx_table,MATCH(BW$11,qx_title,0)+sexB),0)</f>
        <v>0</v>
      </c>
      <c r="BX108" s="131">
        <f t="shared" ca="1" si="1574"/>
        <v>0</v>
      </c>
      <c r="BY108" s="131">
        <f ca="1">SUM(BX108:BX$124)*SSj</f>
        <v>0</v>
      </c>
      <c r="BZ108" s="70">
        <f t="shared" ca="1" si="1575"/>
        <v>99999.012970709329</v>
      </c>
      <c r="CA108" s="2">
        <f t="shared" ref="CA108" ca="1" si="2266">IFERROR(VLOOKUP($S108,qx_table,MATCH(CA$11,qx_title,0)+sexB),0)</f>
        <v>0</v>
      </c>
      <c r="CB108" s="131">
        <f t="shared" ca="1" si="1577"/>
        <v>0</v>
      </c>
      <c r="CC108" s="131">
        <f ca="1">SUM(CB108:CB$124)*SSk</f>
        <v>0</v>
      </c>
      <c r="CD108" s="8">
        <f t="shared" ca="1" si="1578"/>
        <v>99999.012970709329</v>
      </c>
      <c r="CE108" s="2">
        <f t="shared" ref="CE108" ca="1" si="2267">IFERROR(VLOOKUP($S108,qx_table,MATCH(CE$11,qx_title,0)+sexB),0)</f>
        <v>0</v>
      </c>
      <c r="CF108" s="131">
        <f t="shared" ca="1" si="1580"/>
        <v>0</v>
      </c>
      <c r="CG108" s="131">
        <f ca="1">SUM(CF108:CF$124)*SSl</f>
        <v>0</v>
      </c>
      <c r="CH108" s="101">
        <f t="shared" ca="1" si="1581"/>
        <v>0</v>
      </c>
      <c r="CI108" s="154">
        <f t="shared" ref="CI108:CI124" ca="1" si="2268">MAX((VLOOKUP(xB+R108,기수표B,$CH$1)-VLOOKUP(xB+nB,기수표B,$CH$1)),0)</f>
        <v>0</v>
      </c>
      <c r="CJ108" s="32">
        <f t="shared" ca="1" si="1524"/>
        <v>0</v>
      </c>
      <c r="CK108" s="32">
        <f t="shared" ref="CK108" ca="1" si="2269">+MAX(VLOOKUP(xB+$R108,기수표B,$AH$1)-VLOOKUP(xB+mB,기수표B,$AH$1)-11/24*(VLOOKUP(xB+$R108,기수표B,$AG$1)-VLOOKUP(xB+mB,기수표B,$AG$1)),0)</f>
        <v>0</v>
      </c>
      <c r="CL108" s="32">
        <f t="shared" ref="CL108" ca="1" si="2270">+MAX(VLOOKUP(xB+$R108,기수표B,$AA$1)-VLOOKUP(xB+mB,기수표B,$AA$1),0)</f>
        <v>0</v>
      </c>
      <c r="CM108" s="32">
        <f t="shared" ref="CM108" ca="1" si="2271">+MAX(VLOOKUP(xB+$R108,기수표B,$AA$1)-VLOOKUP(xB+mB,기수표B,$AA$1)-11/24*(VLOOKUP(xB+$R108,기수표B,$AA$1)-VLOOKUP(xB+mB,기수표B,$AA$1)),0)</f>
        <v>0</v>
      </c>
      <c r="CN108" s="32">
        <f t="shared" ref="CN108:CN124" si="2272">IF(R108&gt;nB,0,VLOOKUP(xB+MAX($R108,mB),기수표B,$AA$1)-VLOOKUP(xB+nB,기수표B,$AA$1))</f>
        <v>0</v>
      </c>
      <c r="CO108" s="32">
        <f t="shared" ref="CO108:CO124" ca="1" si="2273">IF(JRB=1,mmB*L$25*$CK108,H$35*$CJ108)</f>
        <v>0</v>
      </c>
      <c r="CP108" s="32">
        <f t="shared" ref="CP108:CP124" ca="1" si="2274">ROUND(IF($R108&gt;nB,0,$CR108-MAX($CT108-$R108,0)/$CT108*$C$31),roundB)</f>
        <v>0</v>
      </c>
      <c r="CQ108" s="262">
        <f t="shared" ref="CQ108:CQ124" ca="1" si="2275">+IF(JRB=1,CP108,MAX(0,ROUND(IF($R108&gt;nB,0,CR108-MAX($CT108-$R108,0)/$CT108*$C$33),round)))</f>
        <v>0</v>
      </c>
      <c r="CR108" s="259" t="e">
        <f t="shared" ref="CR108:CR124" ca="1" si="2276">(CI108+BETAD_SB*$CN108-CO108)/Z108</f>
        <v>#DIV/0!</v>
      </c>
      <c r="CS108" s="32">
        <f t="shared" ref="CS108:CS124" ca="1" si="2277">+$H$29*mmB*MIN(R108,mB)</f>
        <v>1.5999999999999999E-5</v>
      </c>
      <c r="CT108" s="31">
        <f t="shared" ref="CT108" si="2278">+MIN(mB,7)</f>
        <v>7</v>
      </c>
      <c r="CV108" s="13">
        <v>96</v>
      </c>
      <c r="CW108" s="477">
        <f t="shared" ref="CW108:CW124" ca="1" si="2279">$CX$8*MIN(mB,CV108)</f>
        <v>480</v>
      </c>
      <c r="CX108" s="477" t="e">
        <f t="shared" ref="CX108:CX124" ca="1" si="2280">ROUND(CR108*S,0)</f>
        <v>#DIV/0!</v>
      </c>
      <c r="CY108" s="477">
        <f t="shared" ref="CY108:CY124" ca="1" si="2281">MAX(ROUND(CP108*S,0),0)</f>
        <v>0</v>
      </c>
      <c r="CZ108" s="478">
        <f t="shared" ca="1" si="1586"/>
        <v>0</v>
      </c>
    </row>
    <row r="109" spans="3:104">
      <c r="C109" s="33"/>
      <c r="D109" s="33"/>
      <c r="E109" s="16"/>
      <c r="N109" s="5">
        <f t="shared" si="1587"/>
        <v>97</v>
      </c>
      <c r="O109" s="2">
        <f t="shared" ref="O109" ca="1" si="2282">+(1+iB)^-N109</f>
        <v>0.11552029309310777</v>
      </c>
      <c r="P109" s="2">
        <f t="shared" ref="P109" ca="1" si="2283">+(1+iB)^-(N109+0.5)</f>
        <v>0.11424221733377446</v>
      </c>
      <c r="Q109" s="91"/>
      <c r="R109" s="20">
        <f t="shared" si="1590"/>
        <v>97</v>
      </c>
      <c r="S109" s="20" t="str">
        <f t="shared" ref="S109" si="2284">+IF(xB+R109&lt;=xB+nB,xB+R109,"")</f>
        <v/>
      </c>
      <c r="T109" s="2">
        <f t="shared" ref="T109:U109" ca="1" si="2285">IFERROR(VLOOKUP($S109,qx_table,MATCH(T$11,qx_title,0)+sexB),0)</f>
        <v>0</v>
      </c>
      <c r="U109" s="2">
        <f t="shared" ca="1" si="2285"/>
        <v>0</v>
      </c>
      <c r="V109" s="300">
        <v>0</v>
      </c>
      <c r="W109" s="8">
        <f t="shared" ref="W109" si="2286">IF(R109=0,100000,IF(R109&gt;nB,0,W108*(1-X108)*(1-Y108)))</f>
        <v>0</v>
      </c>
      <c r="X109" s="10">
        <f t="shared" ca="1" si="1502"/>
        <v>0</v>
      </c>
      <c r="Y109" s="10">
        <f t="shared" ca="1" si="1503"/>
        <v>0</v>
      </c>
      <c r="Z109" s="5">
        <f t="shared" ca="1" si="1543"/>
        <v>0</v>
      </c>
      <c r="AA109" s="5">
        <f ca="1">+SUM(Z109:Z$124)</f>
        <v>0</v>
      </c>
      <c r="AB109" s="8">
        <f t="shared" ca="1" si="1504"/>
        <v>0</v>
      </c>
      <c r="AC109" s="209">
        <f ca="1">+SUM(AB109:AB$124)*SSSM</f>
        <v>0</v>
      </c>
      <c r="AD109" s="209">
        <f t="shared" ref="AD109" si="2287">IF(R109&gt;nB,0,AD108*(1-X108)*(1-Y108)*(1-AE108)*(1-AF108))</f>
        <v>0</v>
      </c>
      <c r="AE109" s="92">
        <f t="shared" ca="1" si="1506"/>
        <v>0</v>
      </c>
      <c r="AF109" s="92">
        <f t="shared" ca="1" si="1507"/>
        <v>0</v>
      </c>
      <c r="AG109" s="8">
        <f t="shared" ca="1" si="1508"/>
        <v>0</v>
      </c>
      <c r="AH109" s="5">
        <f ca="1">+SUM(AG109:AG$124)</f>
        <v>0</v>
      </c>
      <c r="AI109" s="70">
        <f t="shared" ca="1" si="1509"/>
        <v>0</v>
      </c>
      <c r="AJ109" s="208">
        <f ca="1">+SUM(AB109:AB$124)*SS50J</f>
        <v>0</v>
      </c>
      <c r="AK109" s="5">
        <f t="shared" ca="1" si="1545"/>
        <v>99999.012970709329</v>
      </c>
      <c r="AL109" s="2">
        <f t="shared" ref="AL109" ca="1" si="2288">IFERROR(VLOOKUP($S109,qx_table,MATCH(AL$11,qx_title,0)+sexB),0)</f>
        <v>0</v>
      </c>
      <c r="AM109" s="131">
        <f t="shared" ca="1" si="1547"/>
        <v>11551.915287397827</v>
      </c>
      <c r="AN109" s="129">
        <f t="shared" ca="1" si="2256"/>
        <v>0</v>
      </c>
      <c r="AO109" s="129">
        <f ca="1">SUM(AN109:AN$124)*SSa</f>
        <v>0</v>
      </c>
      <c r="AP109" s="70">
        <f t="shared" ca="1" si="1548"/>
        <v>99999.012970709329</v>
      </c>
      <c r="AQ109" s="2">
        <f t="shared" ref="AQ109" ca="1" si="2289">IFERROR(VLOOKUP($S109,qx_table,MATCH(AQ$11,qx_title,0)+sexB),0)</f>
        <v>0</v>
      </c>
      <c r="AR109" s="127">
        <f t="shared" ref="AR109:AR124" ca="1" si="2290">AP109*AQ109*(1-CHOOSE(JRB,1,0)*$V109/2)*$P109</f>
        <v>0</v>
      </c>
      <c r="AS109" s="127">
        <f ca="1">SUM(AR109:AR$124)*SSb</f>
        <v>0</v>
      </c>
      <c r="AT109" s="70">
        <f t="shared" ca="1" si="1551"/>
        <v>99999.012970709329</v>
      </c>
      <c r="AU109" s="2">
        <f t="shared" ref="AU109" ca="1" si="2291">IFERROR(VLOOKUP($S109,qx_table,MATCH(AU$11,qx_title,0)+sexB),0)</f>
        <v>0</v>
      </c>
      <c r="AV109" s="268">
        <f t="shared" ref="AV109:AV124" ca="1" si="2292">AT109*AU109*(1-CHOOSE(JRB,1,0)*$V109/2)*$P109</f>
        <v>0</v>
      </c>
      <c r="AW109" s="131">
        <f ca="1">SUM(AV109:AV$124)*SSc</f>
        <v>0</v>
      </c>
      <c r="AX109" s="70">
        <f t="shared" ca="1" si="1554"/>
        <v>99999.012970709329</v>
      </c>
      <c r="AY109" s="2">
        <f t="shared" ref="AY109" ca="1" si="2293">IFERROR(VLOOKUP($S109,qx_table,MATCH(AY$11,qx_title,0)+sexB),0)</f>
        <v>0</v>
      </c>
      <c r="AZ109" s="268">
        <f t="shared" ref="AZ109:AZ124" ca="1" si="2294">AX109*AY109*(1-CHOOSE(JRB,1,0)*$V109/2)*$P109</f>
        <v>0</v>
      </c>
      <c r="BA109" s="129">
        <f ca="1">SUM(AZ109:AZ$124)*SSd</f>
        <v>0</v>
      </c>
      <c r="BB109" s="70">
        <f t="shared" ca="1" si="1557"/>
        <v>99999.012970709329</v>
      </c>
      <c r="BC109" s="257">
        <f t="shared" ref="BC109" ca="1" si="2295">IFERROR(VLOOKUP($S109,qx_table,MATCH(BC$11,qx_title,0)+sexB),0)</f>
        <v>0</v>
      </c>
      <c r="BD109" s="268">
        <f t="shared" ref="BD109:BD124" ca="1" si="2296">BB109*BC109*(1-CHOOSE(JRB,1,0)*$V109/2)*$P109</f>
        <v>0</v>
      </c>
      <c r="BE109" s="131">
        <f ca="1">SUM(BD109:BD$124)*SSe</f>
        <v>0</v>
      </c>
      <c r="BF109" s="70">
        <f t="shared" ca="1" si="1560"/>
        <v>99999.012970709329</v>
      </c>
      <c r="BG109" s="2">
        <f t="shared" ref="BG109" ca="1" si="2297">IFERROR(VLOOKUP($S109,qx_table,MATCH(BG$11,qx_title,0)+sexB),0)</f>
        <v>0</v>
      </c>
      <c r="BH109" s="131">
        <f t="shared" ref="BH109:BH124" ca="1" si="2298">BF109*BG109*(1-CHOOSE(JRB,1,0)*$V109/2)*$P109</f>
        <v>0</v>
      </c>
      <c r="BI109" s="2">
        <f ca="1">SUM(BH109:BH$124)*SSf</f>
        <v>0</v>
      </c>
      <c r="BJ109" s="70">
        <f t="shared" ca="1" si="1563"/>
        <v>99999.012970709329</v>
      </c>
      <c r="BK109" s="2">
        <f t="shared" ref="BK109" ca="1" si="2299">IFERROR(VLOOKUP($S109,qx_table,MATCH(BK$11,qx_title,0)+sexB),0)</f>
        <v>0</v>
      </c>
      <c r="BL109" s="131">
        <f t="shared" ref="BL109:BL124" ca="1" si="2300">BJ109*BK109*(1-CHOOSE(JRB,1,0)*$V109/2)*$P109</f>
        <v>0</v>
      </c>
      <c r="BM109" s="131">
        <f ca="1">SUM(BL109:BL$124)*SSg</f>
        <v>0</v>
      </c>
      <c r="BN109" s="70">
        <f t="shared" ca="1" si="1566"/>
        <v>99999.012970709329</v>
      </c>
      <c r="BO109" s="2">
        <f t="shared" ref="BO109" ca="1" si="2301">IFERROR(VLOOKUP($S109,qx_table,MATCH(BO$11,qx_title,0)+sexB),0)</f>
        <v>0</v>
      </c>
      <c r="BP109" s="131">
        <f t="shared" ref="BP109:BP124" ca="1" si="2302">BN109*BO109*(1-CHOOSE(JRB,1,0)*$V109/2)*$P109</f>
        <v>0</v>
      </c>
      <c r="BQ109" s="131">
        <f ca="1">SUM(BP109:BP$124)*SSh</f>
        <v>0</v>
      </c>
      <c r="BR109" s="70">
        <f t="shared" ca="1" si="1569"/>
        <v>99999.012970709329</v>
      </c>
      <c r="BS109" s="2">
        <f t="shared" ref="BS109" ca="1" si="2303">IFERROR(VLOOKUP($S109,qx_table,MATCH(BS$11,qx_title,0)+sexB),0)*IF(R109=0,MCi,1)</f>
        <v>0</v>
      </c>
      <c r="BT109" s="131">
        <f t="shared" ref="BT109:BT124" ca="1" si="2304">BR109*BS109*(1-CHOOSE(JRB,1,0)*$V109/2)*$P109</f>
        <v>0</v>
      </c>
      <c r="BU109" s="131">
        <f ca="1">SUM(BT109:BT$124)*SSi</f>
        <v>0</v>
      </c>
      <c r="BV109" s="70">
        <f t="shared" ca="1" si="1572"/>
        <v>99999.012970709329</v>
      </c>
      <c r="BW109" s="2">
        <f t="shared" ref="BW109" ca="1" si="2305">IFERROR(VLOOKUP($S109,qx_table,MATCH(BW$11,qx_title,0)+sexB),0)</f>
        <v>0</v>
      </c>
      <c r="BX109" s="131">
        <f t="shared" ref="BX109:BX124" ca="1" si="2306">BV109*BW109*(1-CHOOSE(JRB,1,0)*$V109/2)*$P109</f>
        <v>0</v>
      </c>
      <c r="BY109" s="131">
        <f ca="1">SUM(BX109:BX$124)*SSj</f>
        <v>0</v>
      </c>
      <c r="BZ109" s="70">
        <f t="shared" ca="1" si="1575"/>
        <v>99999.012970709329</v>
      </c>
      <c r="CA109" s="2">
        <f t="shared" ref="CA109" ca="1" si="2307">IFERROR(VLOOKUP($S109,qx_table,MATCH(CA$11,qx_title,0)+sexB),0)</f>
        <v>0</v>
      </c>
      <c r="CB109" s="131">
        <f t="shared" ref="CB109:CB124" ca="1" si="2308">BZ109*CA109*(1-CHOOSE(JRB,1,0)*$V109/2)*$P109</f>
        <v>0</v>
      </c>
      <c r="CC109" s="131">
        <f ca="1">SUM(CB109:CB$124)*SSk</f>
        <v>0</v>
      </c>
      <c r="CD109" s="8">
        <f t="shared" ca="1" si="1578"/>
        <v>99999.012970709329</v>
      </c>
      <c r="CE109" s="2">
        <f t="shared" ref="CE109" ca="1" si="2309">IFERROR(VLOOKUP($S109,qx_table,MATCH(CE$11,qx_title,0)+sexB),0)</f>
        <v>0</v>
      </c>
      <c r="CF109" s="131">
        <f t="shared" ref="CF109:CF124" ca="1" si="2310">CD109*CE109*(1-CHOOSE(JRB,1,0)*$V109/2)*$P109</f>
        <v>0</v>
      </c>
      <c r="CG109" s="131">
        <f ca="1">SUM(CF109:CF$124)*SSl</f>
        <v>0</v>
      </c>
      <c r="CH109" s="101">
        <f t="shared" ca="1" si="1581"/>
        <v>0</v>
      </c>
      <c r="CI109" s="154">
        <f t="shared" ca="1" si="2268"/>
        <v>0</v>
      </c>
      <c r="CJ109" s="32">
        <f t="shared" ca="1" si="1524"/>
        <v>0</v>
      </c>
      <c r="CK109" s="32">
        <f t="shared" ref="CK109" ca="1" si="2311">+MAX(VLOOKUP(xB+$R109,기수표B,$AH$1)-VLOOKUP(xB+mB,기수표B,$AH$1)-11/24*(VLOOKUP(xB+$R109,기수표B,$AG$1)-VLOOKUP(xB+mB,기수표B,$AG$1)),0)</f>
        <v>0</v>
      </c>
      <c r="CL109" s="32">
        <f t="shared" ref="CL109" ca="1" si="2312">+MAX(VLOOKUP(xB+$R109,기수표B,$AA$1)-VLOOKUP(xB+mB,기수표B,$AA$1),0)</f>
        <v>0</v>
      </c>
      <c r="CM109" s="32">
        <f t="shared" ref="CM109" ca="1" si="2313">+MAX(VLOOKUP(xB+$R109,기수표B,$AA$1)-VLOOKUP(xB+mB,기수표B,$AA$1)-11/24*(VLOOKUP(xB+$R109,기수표B,$AA$1)-VLOOKUP(xB+mB,기수표B,$AA$1)),0)</f>
        <v>0</v>
      </c>
      <c r="CN109" s="32">
        <f t="shared" si="2272"/>
        <v>0</v>
      </c>
      <c r="CO109" s="32">
        <f t="shared" ca="1" si="2273"/>
        <v>0</v>
      </c>
      <c r="CP109" s="32">
        <f t="shared" ca="1" si="2274"/>
        <v>0</v>
      </c>
      <c r="CQ109" s="262">
        <f t="shared" ca="1" si="2275"/>
        <v>0</v>
      </c>
      <c r="CR109" s="259" t="e">
        <f t="shared" ca="1" si="2276"/>
        <v>#DIV/0!</v>
      </c>
      <c r="CS109" s="32">
        <f t="shared" ca="1" si="2277"/>
        <v>1.5999999999999999E-5</v>
      </c>
      <c r="CT109" s="31">
        <f t="shared" ref="CT109" si="2314">+MIN(mB,7)</f>
        <v>7</v>
      </c>
      <c r="CV109" s="13">
        <v>97</v>
      </c>
      <c r="CW109" s="477">
        <f t="shared" ca="1" si="2279"/>
        <v>480</v>
      </c>
      <c r="CX109" s="477" t="e">
        <f t="shared" ca="1" si="2280"/>
        <v>#DIV/0!</v>
      </c>
      <c r="CY109" s="477">
        <f t="shared" ca="1" si="2281"/>
        <v>0</v>
      </c>
      <c r="CZ109" s="478">
        <f t="shared" ca="1" si="1586"/>
        <v>0</v>
      </c>
    </row>
    <row r="110" spans="3:104">
      <c r="C110" s="33"/>
      <c r="D110" s="33"/>
      <c r="E110" s="16"/>
      <c r="N110" s="5">
        <f t="shared" si="1587"/>
        <v>98</v>
      </c>
      <c r="O110" s="2">
        <f t="shared" ref="O110" ca="1" si="2315">+(1+iB)^-N110</f>
        <v>0.11297828175365064</v>
      </c>
      <c r="P110" s="2">
        <f t="shared" ref="P110" ca="1" si="2316">+(1+iB)^-(N110+0.5)</f>
        <v>0.1117283299107819</v>
      </c>
      <c r="Q110" s="91"/>
      <c r="R110" s="20">
        <f t="shared" si="1590"/>
        <v>98</v>
      </c>
      <c r="S110" s="20" t="str">
        <f t="shared" ref="S110" si="2317">+IF(xB+R110&lt;=xB+nB,xB+R110,"")</f>
        <v/>
      </c>
      <c r="T110" s="2">
        <f t="shared" ref="T110:U110" ca="1" si="2318">IFERROR(VLOOKUP($S110,qx_table,MATCH(T$11,qx_title,0)+sexB),0)</f>
        <v>0</v>
      </c>
      <c r="U110" s="2">
        <f t="shared" ca="1" si="2318"/>
        <v>0</v>
      </c>
      <c r="V110" s="300">
        <v>0</v>
      </c>
      <c r="W110" s="8">
        <f t="shared" ref="W110" si="2319">IF(R110=0,100000,IF(R110&gt;nB,0,W109*(1-X109)*(1-Y109)))</f>
        <v>0</v>
      </c>
      <c r="X110" s="10">
        <f t="shared" ca="1" si="1502"/>
        <v>0</v>
      </c>
      <c r="Y110" s="10">
        <f t="shared" ca="1" si="1503"/>
        <v>0</v>
      </c>
      <c r="Z110" s="5">
        <f t="shared" ca="1" si="1543"/>
        <v>0</v>
      </c>
      <c r="AA110" s="5">
        <f ca="1">+SUM(Z110:Z$124)</f>
        <v>0</v>
      </c>
      <c r="AB110" s="8">
        <f t="shared" ca="1" si="1504"/>
        <v>0</v>
      </c>
      <c r="AC110" s="209">
        <f ca="1">+SUM(AB110:AB$124)*SSSM</f>
        <v>0</v>
      </c>
      <c r="AD110" s="209">
        <f t="shared" ref="AD110" si="2320">IF(R110&gt;nB,0,AD109*(1-X109)*(1-Y109)*(1-AE109)*(1-AF109))</f>
        <v>0</v>
      </c>
      <c r="AE110" s="92">
        <f t="shared" ca="1" si="1506"/>
        <v>0</v>
      </c>
      <c r="AF110" s="92">
        <f t="shared" ca="1" si="1507"/>
        <v>0</v>
      </c>
      <c r="AG110" s="8">
        <f t="shared" ca="1" si="1508"/>
        <v>0</v>
      </c>
      <c r="AH110" s="5">
        <f ca="1">+SUM(AG110:AG$124)</f>
        <v>0</v>
      </c>
      <c r="AI110" s="70">
        <f t="shared" ca="1" si="1509"/>
        <v>0</v>
      </c>
      <c r="AJ110" s="208">
        <f ca="1">+SUM(AB110:AB$124)*SS50J</f>
        <v>0</v>
      </c>
      <c r="AK110" s="5">
        <f t="shared" ca="1" si="1545"/>
        <v>99999.012970709329</v>
      </c>
      <c r="AL110" s="2">
        <f t="shared" ref="AL110" ca="1" si="2321">IFERROR(VLOOKUP($S110,qx_table,MATCH(AL$11,qx_title,0)+sexB),0)</f>
        <v>0</v>
      </c>
      <c r="AM110" s="131">
        <f t="shared" ca="1" si="1547"/>
        <v>11297.716662491765</v>
      </c>
      <c r="AN110" s="129">
        <f t="shared" ca="1" si="2256"/>
        <v>0</v>
      </c>
      <c r="AO110" s="129">
        <f ca="1">SUM(AN110:AN$124)*SSa</f>
        <v>0</v>
      </c>
      <c r="AP110" s="70">
        <f t="shared" ca="1" si="1548"/>
        <v>99999.012970709329</v>
      </c>
      <c r="AQ110" s="2">
        <f t="shared" ref="AQ110" ca="1" si="2322">IFERROR(VLOOKUP($S110,qx_table,MATCH(AQ$11,qx_title,0)+sexB),0)</f>
        <v>0</v>
      </c>
      <c r="AR110" s="127">
        <f t="shared" ca="1" si="2290"/>
        <v>0</v>
      </c>
      <c r="AS110" s="127">
        <f ca="1">SUM(AR110:AR$124)*SSb</f>
        <v>0</v>
      </c>
      <c r="AT110" s="70">
        <f t="shared" ca="1" si="1551"/>
        <v>99999.012970709329</v>
      </c>
      <c r="AU110" s="2">
        <f t="shared" ref="AU110" ca="1" si="2323">IFERROR(VLOOKUP($S110,qx_table,MATCH(AU$11,qx_title,0)+sexB),0)</f>
        <v>0</v>
      </c>
      <c r="AV110" s="268">
        <f t="shared" ca="1" si="2292"/>
        <v>0</v>
      </c>
      <c r="AW110" s="131">
        <f ca="1">SUM(AV110:AV$124)*SSc</f>
        <v>0</v>
      </c>
      <c r="AX110" s="70">
        <f t="shared" ca="1" si="1554"/>
        <v>99999.012970709329</v>
      </c>
      <c r="AY110" s="2">
        <f t="shared" ref="AY110" ca="1" si="2324">IFERROR(VLOOKUP($S110,qx_table,MATCH(AY$11,qx_title,0)+sexB),0)</f>
        <v>0</v>
      </c>
      <c r="AZ110" s="268">
        <f t="shared" ca="1" si="2294"/>
        <v>0</v>
      </c>
      <c r="BA110" s="129">
        <f ca="1">SUM(AZ110:AZ$124)*SSd</f>
        <v>0</v>
      </c>
      <c r="BB110" s="70">
        <f t="shared" ca="1" si="1557"/>
        <v>99999.012970709329</v>
      </c>
      <c r="BC110" s="257">
        <f t="shared" ref="BC110" ca="1" si="2325">IFERROR(VLOOKUP($S110,qx_table,MATCH(BC$11,qx_title,0)+sexB),0)</f>
        <v>0</v>
      </c>
      <c r="BD110" s="268">
        <f t="shared" ca="1" si="2296"/>
        <v>0</v>
      </c>
      <c r="BE110" s="131">
        <f ca="1">SUM(BD110:BD$124)*SSe</f>
        <v>0</v>
      </c>
      <c r="BF110" s="70">
        <f t="shared" ca="1" si="1560"/>
        <v>99999.012970709329</v>
      </c>
      <c r="BG110" s="2">
        <f t="shared" ref="BG110" ca="1" si="2326">IFERROR(VLOOKUP($S110,qx_table,MATCH(BG$11,qx_title,0)+sexB),0)</f>
        <v>0</v>
      </c>
      <c r="BH110" s="131">
        <f t="shared" ca="1" si="2298"/>
        <v>0</v>
      </c>
      <c r="BI110" s="2">
        <f ca="1">SUM(BH110:BH$124)*SSf</f>
        <v>0</v>
      </c>
      <c r="BJ110" s="70">
        <f t="shared" ca="1" si="1563"/>
        <v>99999.012970709329</v>
      </c>
      <c r="BK110" s="2">
        <f t="shared" ref="BK110" ca="1" si="2327">IFERROR(VLOOKUP($S110,qx_table,MATCH(BK$11,qx_title,0)+sexB),0)</f>
        <v>0</v>
      </c>
      <c r="BL110" s="131">
        <f t="shared" ca="1" si="2300"/>
        <v>0</v>
      </c>
      <c r="BM110" s="131">
        <f ca="1">SUM(BL110:BL$124)*SSg</f>
        <v>0</v>
      </c>
      <c r="BN110" s="70">
        <f t="shared" ca="1" si="1566"/>
        <v>99999.012970709329</v>
      </c>
      <c r="BO110" s="2">
        <f t="shared" ref="BO110" ca="1" si="2328">IFERROR(VLOOKUP($S110,qx_table,MATCH(BO$11,qx_title,0)+sexB),0)</f>
        <v>0</v>
      </c>
      <c r="BP110" s="131">
        <f t="shared" ca="1" si="2302"/>
        <v>0</v>
      </c>
      <c r="BQ110" s="131">
        <f ca="1">SUM(BP110:BP$124)*SSh</f>
        <v>0</v>
      </c>
      <c r="BR110" s="70">
        <f t="shared" ca="1" si="1569"/>
        <v>99999.012970709329</v>
      </c>
      <c r="BS110" s="2">
        <f t="shared" ref="BS110" ca="1" si="2329">IFERROR(VLOOKUP($S110,qx_table,MATCH(BS$11,qx_title,0)+sexB),0)*IF(R110=0,MCi,1)</f>
        <v>0</v>
      </c>
      <c r="BT110" s="131">
        <f t="shared" ca="1" si="2304"/>
        <v>0</v>
      </c>
      <c r="BU110" s="131">
        <f ca="1">SUM(BT110:BT$124)*SSi</f>
        <v>0</v>
      </c>
      <c r="BV110" s="70">
        <f t="shared" ca="1" si="1572"/>
        <v>99999.012970709329</v>
      </c>
      <c r="BW110" s="2">
        <f t="shared" ref="BW110" ca="1" si="2330">IFERROR(VLOOKUP($S110,qx_table,MATCH(BW$11,qx_title,0)+sexB),0)</f>
        <v>0</v>
      </c>
      <c r="BX110" s="131">
        <f t="shared" ca="1" si="2306"/>
        <v>0</v>
      </c>
      <c r="BY110" s="131">
        <f ca="1">SUM(BX110:BX$124)*SSj</f>
        <v>0</v>
      </c>
      <c r="BZ110" s="70">
        <f t="shared" ca="1" si="1575"/>
        <v>99999.012970709329</v>
      </c>
      <c r="CA110" s="2">
        <f t="shared" ref="CA110" ca="1" si="2331">IFERROR(VLOOKUP($S110,qx_table,MATCH(CA$11,qx_title,0)+sexB),0)</f>
        <v>0</v>
      </c>
      <c r="CB110" s="131">
        <f t="shared" ca="1" si="2308"/>
        <v>0</v>
      </c>
      <c r="CC110" s="131">
        <f ca="1">SUM(CB110:CB$124)*SSk</f>
        <v>0</v>
      </c>
      <c r="CD110" s="8">
        <f t="shared" ca="1" si="1578"/>
        <v>99999.012970709329</v>
      </c>
      <c r="CE110" s="2">
        <f t="shared" ref="CE110" ca="1" si="2332">IFERROR(VLOOKUP($S110,qx_table,MATCH(CE$11,qx_title,0)+sexB),0)</f>
        <v>0</v>
      </c>
      <c r="CF110" s="131">
        <f t="shared" ca="1" si="2310"/>
        <v>0</v>
      </c>
      <c r="CG110" s="131">
        <f ca="1">SUM(CF110:CF$124)*SSl</f>
        <v>0</v>
      </c>
      <c r="CH110" s="101">
        <f t="shared" ca="1" si="1581"/>
        <v>0</v>
      </c>
      <c r="CI110" s="154">
        <f t="shared" ca="1" si="2268"/>
        <v>0</v>
      </c>
      <c r="CJ110" s="32">
        <f t="shared" ca="1" si="1524"/>
        <v>0</v>
      </c>
      <c r="CK110" s="32">
        <f t="shared" ref="CK110" ca="1" si="2333">+MAX(VLOOKUP(xB+$R110,기수표B,$AH$1)-VLOOKUP(xB+mB,기수표B,$AH$1)-11/24*(VLOOKUP(xB+$R110,기수표B,$AG$1)-VLOOKUP(xB+mB,기수표B,$AG$1)),0)</f>
        <v>0</v>
      </c>
      <c r="CL110" s="32">
        <f t="shared" ref="CL110" ca="1" si="2334">+MAX(VLOOKUP(xB+$R110,기수표B,$AA$1)-VLOOKUP(xB+mB,기수표B,$AA$1),0)</f>
        <v>0</v>
      </c>
      <c r="CM110" s="32">
        <f t="shared" ref="CM110" ca="1" si="2335">+MAX(VLOOKUP(xB+$R110,기수표B,$AA$1)-VLOOKUP(xB+mB,기수표B,$AA$1)-11/24*(VLOOKUP(xB+$R110,기수표B,$AA$1)-VLOOKUP(xB+mB,기수표B,$AA$1)),0)</f>
        <v>0</v>
      </c>
      <c r="CN110" s="32">
        <f t="shared" si="2272"/>
        <v>0</v>
      </c>
      <c r="CO110" s="32">
        <f t="shared" ca="1" si="2273"/>
        <v>0</v>
      </c>
      <c r="CP110" s="32">
        <f t="shared" ca="1" si="2274"/>
        <v>0</v>
      </c>
      <c r="CQ110" s="262">
        <f t="shared" ca="1" si="2275"/>
        <v>0</v>
      </c>
      <c r="CR110" s="259" t="e">
        <f t="shared" ca="1" si="2276"/>
        <v>#DIV/0!</v>
      </c>
      <c r="CS110" s="32">
        <f t="shared" ca="1" si="2277"/>
        <v>1.5999999999999999E-5</v>
      </c>
      <c r="CT110" s="31">
        <f t="shared" ref="CT110" si="2336">+MIN(mB,7)</f>
        <v>7</v>
      </c>
      <c r="CV110" s="13">
        <v>98</v>
      </c>
      <c r="CW110" s="477">
        <f t="shared" ca="1" si="2279"/>
        <v>480</v>
      </c>
      <c r="CX110" s="477" t="e">
        <f t="shared" ca="1" si="2280"/>
        <v>#DIV/0!</v>
      </c>
      <c r="CY110" s="477">
        <f t="shared" ca="1" si="2281"/>
        <v>0</v>
      </c>
      <c r="CZ110" s="478">
        <f t="shared" ca="1" si="1586"/>
        <v>0</v>
      </c>
    </row>
    <row r="111" spans="3:104">
      <c r="C111" s="33"/>
      <c r="D111" s="33"/>
      <c r="E111" s="16"/>
      <c r="N111" s="5">
        <f t="shared" si="1587"/>
        <v>99</v>
      </c>
      <c r="O111" s="2">
        <f t="shared" ref="O111" ca="1" si="2337">+(1+iB)^-N111</f>
        <v>0.11049220709403487</v>
      </c>
      <c r="P111" s="2">
        <f t="shared" ref="P111" ca="1" si="2338">+(1+iB)^-(N111+0.5)</f>
        <v>0.10926976030394316</v>
      </c>
      <c r="Q111" s="91"/>
      <c r="R111" s="20">
        <f t="shared" si="1590"/>
        <v>99</v>
      </c>
      <c r="S111" s="20" t="str">
        <f t="shared" ref="S111" si="2339">+IF(xB+R111&lt;=xB+nB,xB+R111,"")</f>
        <v/>
      </c>
      <c r="T111" s="2">
        <f t="shared" ref="T111:U111" ca="1" si="2340">IFERROR(VLOOKUP($S111,qx_table,MATCH(T$11,qx_title,0)+sexB),0)</f>
        <v>0</v>
      </c>
      <c r="U111" s="2">
        <f t="shared" ca="1" si="2340"/>
        <v>0</v>
      </c>
      <c r="V111" s="300">
        <v>0</v>
      </c>
      <c r="W111" s="8">
        <f t="shared" ref="W111" si="2341">IF(R111=0,100000,IF(R111&gt;nB,0,W110*(1-X110)*(1-Y110)))</f>
        <v>0</v>
      </c>
      <c r="X111" s="10">
        <f t="shared" ca="1" si="1502"/>
        <v>0</v>
      </c>
      <c r="Y111" s="10">
        <f t="shared" ca="1" si="1503"/>
        <v>0</v>
      </c>
      <c r="Z111" s="5">
        <f t="shared" ca="1" si="1543"/>
        <v>0</v>
      </c>
      <c r="AA111" s="5">
        <f ca="1">+SUM(Z111:Z$124)</f>
        <v>0</v>
      </c>
      <c r="AB111" s="8">
        <f t="shared" ca="1" si="1504"/>
        <v>0</v>
      </c>
      <c r="AC111" s="209">
        <f ca="1">+SUM(AB111:AB$124)*SSSM</f>
        <v>0</v>
      </c>
      <c r="AD111" s="209">
        <f t="shared" ref="AD111" si="2342">IF(R111&gt;nB,0,AD110*(1-X110)*(1-Y110)*(1-AE110)*(1-AF110))</f>
        <v>0</v>
      </c>
      <c r="AE111" s="92">
        <f t="shared" ca="1" si="1506"/>
        <v>0</v>
      </c>
      <c r="AF111" s="92">
        <f t="shared" ca="1" si="1507"/>
        <v>0</v>
      </c>
      <c r="AG111" s="8">
        <f t="shared" ca="1" si="1508"/>
        <v>0</v>
      </c>
      <c r="AH111" s="5">
        <f ca="1">+SUM(AG111:AG$124)</f>
        <v>0</v>
      </c>
      <c r="AI111" s="70">
        <f t="shared" ca="1" si="1509"/>
        <v>0</v>
      </c>
      <c r="AJ111" s="208">
        <f ca="1">+SUM(AB111:AB$124)*SS50J</f>
        <v>0</v>
      </c>
      <c r="AK111" s="5">
        <f t="shared" ca="1" si="1545"/>
        <v>99999.012970709329</v>
      </c>
      <c r="AL111" s="2">
        <f t="shared" ref="AL111" ca="1" si="2343">IFERROR(VLOOKUP($S111,qx_table,MATCH(AL$11,qx_title,0)+sexB),0)</f>
        <v>0</v>
      </c>
      <c r="AM111" s="131">
        <f t="shared" ca="1" si="1547"/>
        <v>11049.111650358695</v>
      </c>
      <c r="AN111" s="129">
        <f t="shared" ca="1" si="2256"/>
        <v>0</v>
      </c>
      <c r="AO111" s="129">
        <f ca="1">SUM(AN111:AN$124)*SSa</f>
        <v>0</v>
      </c>
      <c r="AP111" s="70">
        <f t="shared" ca="1" si="1548"/>
        <v>99999.012970709329</v>
      </c>
      <c r="AQ111" s="2">
        <f t="shared" ref="AQ111" ca="1" si="2344">IFERROR(VLOOKUP($S111,qx_table,MATCH(AQ$11,qx_title,0)+sexB),0)</f>
        <v>0</v>
      </c>
      <c r="AR111" s="127">
        <f t="shared" ca="1" si="2290"/>
        <v>0</v>
      </c>
      <c r="AS111" s="127">
        <f ca="1">SUM(AR111:AR$124)*SSb</f>
        <v>0</v>
      </c>
      <c r="AT111" s="70">
        <f t="shared" ca="1" si="1551"/>
        <v>99999.012970709329</v>
      </c>
      <c r="AU111" s="2">
        <f t="shared" ref="AU111" ca="1" si="2345">IFERROR(VLOOKUP($S111,qx_table,MATCH(AU$11,qx_title,0)+sexB),0)</f>
        <v>0</v>
      </c>
      <c r="AV111" s="268">
        <f t="shared" ca="1" si="2292"/>
        <v>0</v>
      </c>
      <c r="AW111" s="131">
        <f ca="1">SUM(AV111:AV$124)*SSc</f>
        <v>0</v>
      </c>
      <c r="AX111" s="70">
        <f t="shared" ca="1" si="1554"/>
        <v>99999.012970709329</v>
      </c>
      <c r="AY111" s="2">
        <f t="shared" ref="AY111" ca="1" si="2346">IFERROR(VLOOKUP($S111,qx_table,MATCH(AY$11,qx_title,0)+sexB),0)</f>
        <v>0</v>
      </c>
      <c r="AZ111" s="268">
        <f t="shared" ca="1" si="2294"/>
        <v>0</v>
      </c>
      <c r="BA111" s="129">
        <f ca="1">SUM(AZ111:AZ$124)*SSd</f>
        <v>0</v>
      </c>
      <c r="BB111" s="70">
        <f t="shared" ca="1" si="1557"/>
        <v>99999.012970709329</v>
      </c>
      <c r="BC111" s="257">
        <f t="shared" ref="BC111" ca="1" si="2347">IFERROR(VLOOKUP($S111,qx_table,MATCH(BC$11,qx_title,0)+sexB),0)</f>
        <v>0</v>
      </c>
      <c r="BD111" s="268">
        <f t="shared" ca="1" si="2296"/>
        <v>0</v>
      </c>
      <c r="BE111" s="131">
        <f ca="1">SUM(BD111:BD$124)*SSe</f>
        <v>0</v>
      </c>
      <c r="BF111" s="70">
        <f t="shared" ca="1" si="1560"/>
        <v>99999.012970709329</v>
      </c>
      <c r="BG111" s="2">
        <f t="shared" ref="BG111" ca="1" si="2348">IFERROR(VLOOKUP($S111,qx_table,MATCH(BG$11,qx_title,0)+sexB),0)</f>
        <v>0</v>
      </c>
      <c r="BH111" s="131">
        <f t="shared" ca="1" si="2298"/>
        <v>0</v>
      </c>
      <c r="BI111" s="2">
        <f ca="1">SUM(BH111:BH$124)*SSf</f>
        <v>0</v>
      </c>
      <c r="BJ111" s="70">
        <f t="shared" ca="1" si="1563"/>
        <v>99999.012970709329</v>
      </c>
      <c r="BK111" s="2">
        <f t="shared" ref="BK111" ca="1" si="2349">IFERROR(VLOOKUP($S111,qx_table,MATCH(BK$11,qx_title,0)+sexB),0)</f>
        <v>0</v>
      </c>
      <c r="BL111" s="131">
        <f t="shared" ca="1" si="2300"/>
        <v>0</v>
      </c>
      <c r="BM111" s="131">
        <f ca="1">SUM(BL111:BL$124)*SSg</f>
        <v>0</v>
      </c>
      <c r="BN111" s="70">
        <f t="shared" ca="1" si="1566"/>
        <v>99999.012970709329</v>
      </c>
      <c r="BO111" s="2">
        <f t="shared" ref="BO111" ca="1" si="2350">IFERROR(VLOOKUP($S111,qx_table,MATCH(BO$11,qx_title,0)+sexB),0)</f>
        <v>0</v>
      </c>
      <c r="BP111" s="131">
        <f t="shared" ca="1" si="2302"/>
        <v>0</v>
      </c>
      <c r="BQ111" s="131">
        <f ca="1">SUM(BP111:BP$124)*SSh</f>
        <v>0</v>
      </c>
      <c r="BR111" s="70">
        <f t="shared" ca="1" si="1569"/>
        <v>99999.012970709329</v>
      </c>
      <c r="BS111" s="2">
        <f t="shared" ref="BS111" ca="1" si="2351">IFERROR(VLOOKUP($S111,qx_table,MATCH(BS$11,qx_title,0)+sexB),0)*IF(R111=0,MCi,1)</f>
        <v>0</v>
      </c>
      <c r="BT111" s="131">
        <f t="shared" ca="1" si="2304"/>
        <v>0</v>
      </c>
      <c r="BU111" s="131">
        <f ca="1">SUM(BT111:BT$124)*SSi</f>
        <v>0</v>
      </c>
      <c r="BV111" s="70">
        <f t="shared" ca="1" si="1572"/>
        <v>99999.012970709329</v>
      </c>
      <c r="BW111" s="2">
        <f t="shared" ref="BW111" ca="1" si="2352">IFERROR(VLOOKUP($S111,qx_table,MATCH(BW$11,qx_title,0)+sexB),0)</f>
        <v>0</v>
      </c>
      <c r="BX111" s="131">
        <f t="shared" ca="1" si="2306"/>
        <v>0</v>
      </c>
      <c r="BY111" s="131">
        <f ca="1">SUM(BX111:BX$124)*SSj</f>
        <v>0</v>
      </c>
      <c r="BZ111" s="70">
        <f t="shared" ca="1" si="1575"/>
        <v>99999.012970709329</v>
      </c>
      <c r="CA111" s="2">
        <f t="shared" ref="CA111" ca="1" si="2353">IFERROR(VLOOKUP($S111,qx_table,MATCH(CA$11,qx_title,0)+sexB),0)</f>
        <v>0</v>
      </c>
      <c r="CB111" s="131">
        <f t="shared" ca="1" si="2308"/>
        <v>0</v>
      </c>
      <c r="CC111" s="131">
        <f ca="1">SUM(CB111:CB$124)*SSk</f>
        <v>0</v>
      </c>
      <c r="CD111" s="8">
        <f t="shared" ca="1" si="1578"/>
        <v>99999.012970709329</v>
      </c>
      <c r="CE111" s="2">
        <f t="shared" ref="CE111" ca="1" si="2354">IFERROR(VLOOKUP($S111,qx_table,MATCH(CE$11,qx_title,0)+sexB),0)</f>
        <v>0</v>
      </c>
      <c r="CF111" s="131">
        <f t="shared" ca="1" si="2310"/>
        <v>0</v>
      </c>
      <c r="CG111" s="131">
        <f ca="1">SUM(CF111:CF$124)*SSl</f>
        <v>0</v>
      </c>
      <c r="CH111" s="101">
        <f t="shared" ca="1" si="1581"/>
        <v>0</v>
      </c>
      <c r="CI111" s="154">
        <f t="shared" ca="1" si="2268"/>
        <v>0</v>
      </c>
      <c r="CJ111" s="32">
        <f t="shared" ca="1" si="1524"/>
        <v>0</v>
      </c>
      <c r="CK111" s="32">
        <f t="shared" ref="CK111" ca="1" si="2355">+MAX(VLOOKUP(xB+$R111,기수표B,$AH$1)-VLOOKUP(xB+mB,기수표B,$AH$1)-11/24*(VLOOKUP(xB+$R111,기수표B,$AG$1)-VLOOKUP(xB+mB,기수표B,$AG$1)),0)</f>
        <v>0</v>
      </c>
      <c r="CL111" s="32">
        <f t="shared" ref="CL111" ca="1" si="2356">+MAX(VLOOKUP(xB+$R111,기수표B,$AA$1)-VLOOKUP(xB+mB,기수표B,$AA$1),0)</f>
        <v>0</v>
      </c>
      <c r="CM111" s="32">
        <f t="shared" ref="CM111" ca="1" si="2357">+MAX(VLOOKUP(xB+$R111,기수표B,$AA$1)-VLOOKUP(xB+mB,기수표B,$AA$1)-11/24*(VLOOKUP(xB+$R111,기수표B,$AA$1)-VLOOKUP(xB+mB,기수표B,$AA$1)),0)</f>
        <v>0</v>
      </c>
      <c r="CN111" s="32">
        <f t="shared" si="2272"/>
        <v>0</v>
      </c>
      <c r="CO111" s="32">
        <f t="shared" ca="1" si="2273"/>
        <v>0</v>
      </c>
      <c r="CP111" s="32">
        <f t="shared" ca="1" si="2274"/>
        <v>0</v>
      </c>
      <c r="CQ111" s="262">
        <f t="shared" ca="1" si="2275"/>
        <v>0</v>
      </c>
      <c r="CR111" s="259" t="e">
        <f t="shared" ca="1" si="2276"/>
        <v>#DIV/0!</v>
      </c>
      <c r="CS111" s="32">
        <f t="shared" ca="1" si="2277"/>
        <v>1.5999999999999999E-5</v>
      </c>
      <c r="CT111" s="31">
        <f t="shared" ref="CT111" si="2358">+MIN(mB,7)</f>
        <v>7</v>
      </c>
      <c r="CV111" s="13">
        <v>99</v>
      </c>
      <c r="CW111" s="477">
        <f t="shared" ca="1" si="2279"/>
        <v>480</v>
      </c>
      <c r="CX111" s="477" t="e">
        <f t="shared" ca="1" si="2280"/>
        <v>#DIV/0!</v>
      </c>
      <c r="CY111" s="477">
        <f t="shared" ca="1" si="2281"/>
        <v>0</v>
      </c>
      <c r="CZ111" s="478">
        <f t="shared" ca="1" si="1586"/>
        <v>0</v>
      </c>
    </row>
    <row r="112" spans="3:104">
      <c r="C112" s="33"/>
      <c r="D112" s="33"/>
      <c r="N112" s="5">
        <f t="shared" si="1587"/>
        <v>100</v>
      </c>
      <c r="O112" s="2">
        <f t="shared" ref="O112" ca="1" si="2359">+(1+iB)^-N112</f>
        <v>0.10806083823377494</v>
      </c>
      <c r="P112" s="2">
        <f t="shared" ref="P112" ca="1" si="2360">+(1+iB)^-(N112+0.5)</f>
        <v>0.10686529125080016</v>
      </c>
      <c r="Q112" s="91"/>
      <c r="R112" s="20">
        <f t="shared" si="1590"/>
        <v>100</v>
      </c>
      <c r="S112" s="20" t="str">
        <f t="shared" ref="S112" si="2361">+IF(xB+R112&lt;=xB+nB,xB+R112,"")</f>
        <v/>
      </c>
      <c r="T112" s="2">
        <f t="shared" ref="T112:U112" ca="1" si="2362">IFERROR(VLOOKUP($S112,qx_table,MATCH(T$11,qx_title,0)+sexB),0)</f>
        <v>0</v>
      </c>
      <c r="U112" s="2">
        <f t="shared" ca="1" si="2362"/>
        <v>0</v>
      </c>
      <c r="V112" s="300">
        <v>0</v>
      </c>
      <c r="W112" s="8">
        <f t="shared" ref="W112" si="2363">IF(R112=0,100000,IF(R112&gt;nB,0,W111*(1-X111)*(1-Y111)))</f>
        <v>0</v>
      </c>
      <c r="X112" s="10">
        <f t="shared" ca="1" si="1502"/>
        <v>0</v>
      </c>
      <c r="Y112" s="10">
        <f t="shared" ca="1" si="1503"/>
        <v>0</v>
      </c>
      <c r="Z112" s="5">
        <f t="shared" ca="1" si="1543"/>
        <v>0</v>
      </c>
      <c r="AA112" s="5">
        <f ca="1">+SUM(Z112:Z$124)</f>
        <v>0</v>
      </c>
      <c r="AB112" s="8">
        <f t="shared" ca="1" si="1504"/>
        <v>0</v>
      </c>
      <c r="AC112" s="209">
        <f ca="1">+SUM(AB112:AB$124)*SSSM</f>
        <v>0</v>
      </c>
      <c r="AD112" s="209">
        <f t="shared" ref="AD112" si="2364">IF(R112&gt;nB,0,AD111*(1-X111)*(1-Y111)*(1-AE111)*(1-AF111))</f>
        <v>0</v>
      </c>
      <c r="AE112" s="92">
        <f t="shared" ca="1" si="1506"/>
        <v>0</v>
      </c>
      <c r="AF112" s="92">
        <f t="shared" ca="1" si="1507"/>
        <v>0</v>
      </c>
      <c r="AG112" s="8">
        <f t="shared" ca="1" si="1508"/>
        <v>0</v>
      </c>
      <c r="AH112" s="5">
        <f ca="1">+SUM(AG112:AG$124)</f>
        <v>0</v>
      </c>
      <c r="AI112" s="70">
        <f t="shared" ca="1" si="1509"/>
        <v>0</v>
      </c>
      <c r="AJ112" s="208">
        <f ca="1">+SUM(AB112:AB$124)*SS50J</f>
        <v>0</v>
      </c>
      <c r="AK112" s="5">
        <f t="shared" ca="1" si="1545"/>
        <v>99999.012970709329</v>
      </c>
      <c r="AL112" s="2">
        <f t="shared" ref="AL112" ca="1" si="2365">IFERROR(VLOOKUP($S112,qx_table,MATCH(AL$11,qx_title,0)+sexB),0)</f>
        <v>0</v>
      </c>
      <c r="AM112" s="131">
        <f t="shared" ca="1" si="1547"/>
        <v>10805.977164164982</v>
      </c>
      <c r="AN112" s="129">
        <f t="shared" ca="1" si="2256"/>
        <v>0</v>
      </c>
      <c r="AO112" s="129">
        <f ca="1">SUM(AN112:AN$124)*SSa</f>
        <v>0</v>
      </c>
      <c r="AP112" s="70">
        <f t="shared" ca="1" si="1548"/>
        <v>99999.012970709329</v>
      </c>
      <c r="AQ112" s="2">
        <f t="shared" ref="AQ112" ca="1" si="2366">IFERROR(VLOOKUP($S112,qx_table,MATCH(AQ$11,qx_title,0)+sexB),0)</f>
        <v>0</v>
      </c>
      <c r="AR112" s="127">
        <f t="shared" ca="1" si="2290"/>
        <v>0</v>
      </c>
      <c r="AS112" s="127">
        <f ca="1">SUM(AR112:AR$124)*SSb</f>
        <v>0</v>
      </c>
      <c r="AT112" s="70">
        <f t="shared" ca="1" si="1551"/>
        <v>99999.012970709329</v>
      </c>
      <c r="AU112" s="2">
        <f t="shared" ref="AU112" ca="1" si="2367">IFERROR(VLOOKUP($S112,qx_table,MATCH(AU$11,qx_title,0)+sexB),0)</f>
        <v>0</v>
      </c>
      <c r="AV112" s="268">
        <f t="shared" ca="1" si="2292"/>
        <v>0</v>
      </c>
      <c r="AW112" s="131">
        <f ca="1">SUM(AV112:AV$124)*SSc</f>
        <v>0</v>
      </c>
      <c r="AX112" s="70">
        <f t="shared" ca="1" si="1554"/>
        <v>99999.012970709329</v>
      </c>
      <c r="AY112" s="2">
        <f t="shared" ref="AY112" ca="1" si="2368">IFERROR(VLOOKUP($S112,qx_table,MATCH(AY$11,qx_title,0)+sexB),0)</f>
        <v>0</v>
      </c>
      <c r="AZ112" s="268">
        <f t="shared" ca="1" si="2294"/>
        <v>0</v>
      </c>
      <c r="BA112" s="129">
        <f ca="1">SUM(AZ112:AZ$124)*SSd</f>
        <v>0</v>
      </c>
      <c r="BB112" s="70">
        <f t="shared" ca="1" si="1557"/>
        <v>99999.012970709329</v>
      </c>
      <c r="BC112" s="257">
        <f t="shared" ref="BC112" ca="1" si="2369">IFERROR(VLOOKUP($S112,qx_table,MATCH(BC$11,qx_title,0)+sexB),0)</f>
        <v>0</v>
      </c>
      <c r="BD112" s="268">
        <f t="shared" ca="1" si="2296"/>
        <v>0</v>
      </c>
      <c r="BE112" s="131">
        <f ca="1">SUM(BD112:BD$124)*SSe</f>
        <v>0</v>
      </c>
      <c r="BF112" s="70">
        <f t="shared" ca="1" si="1560"/>
        <v>99999.012970709329</v>
      </c>
      <c r="BG112" s="2">
        <f t="shared" ref="BG112" ca="1" si="2370">IFERROR(VLOOKUP($S112,qx_table,MATCH(BG$11,qx_title,0)+sexB),0)</f>
        <v>0</v>
      </c>
      <c r="BH112" s="131">
        <f t="shared" ca="1" si="2298"/>
        <v>0</v>
      </c>
      <c r="BI112" s="2">
        <f ca="1">SUM(BH112:BH$124)*SSf</f>
        <v>0</v>
      </c>
      <c r="BJ112" s="70">
        <f t="shared" ca="1" si="1563"/>
        <v>99999.012970709329</v>
      </c>
      <c r="BK112" s="2">
        <f t="shared" ref="BK112" ca="1" si="2371">IFERROR(VLOOKUP($S112,qx_table,MATCH(BK$11,qx_title,0)+sexB),0)</f>
        <v>0</v>
      </c>
      <c r="BL112" s="131">
        <f t="shared" ca="1" si="2300"/>
        <v>0</v>
      </c>
      <c r="BM112" s="131">
        <f ca="1">SUM(BL112:BL$124)*SSg</f>
        <v>0</v>
      </c>
      <c r="BN112" s="70">
        <f t="shared" ca="1" si="1566"/>
        <v>99999.012970709329</v>
      </c>
      <c r="BO112" s="2">
        <f t="shared" ref="BO112" ca="1" si="2372">IFERROR(VLOOKUP($S112,qx_table,MATCH(BO$11,qx_title,0)+sexB),0)</f>
        <v>0</v>
      </c>
      <c r="BP112" s="131">
        <f t="shared" ca="1" si="2302"/>
        <v>0</v>
      </c>
      <c r="BQ112" s="131">
        <f ca="1">SUM(BP112:BP$124)*SSh</f>
        <v>0</v>
      </c>
      <c r="BR112" s="70">
        <f t="shared" ca="1" si="1569"/>
        <v>99999.012970709329</v>
      </c>
      <c r="BS112" s="2">
        <f t="shared" ref="BS112" ca="1" si="2373">IFERROR(VLOOKUP($S112,qx_table,MATCH(BS$11,qx_title,0)+sexB),0)*IF(R112=0,MCi,1)</f>
        <v>0</v>
      </c>
      <c r="BT112" s="131">
        <f t="shared" ca="1" si="2304"/>
        <v>0</v>
      </c>
      <c r="BU112" s="131">
        <f ca="1">SUM(BT112:BT$124)*SSi</f>
        <v>0</v>
      </c>
      <c r="BV112" s="70">
        <f t="shared" ca="1" si="1572"/>
        <v>99999.012970709329</v>
      </c>
      <c r="BW112" s="2">
        <f t="shared" ref="BW112" ca="1" si="2374">IFERROR(VLOOKUP($S112,qx_table,MATCH(BW$11,qx_title,0)+sexB),0)</f>
        <v>0</v>
      </c>
      <c r="BX112" s="131">
        <f t="shared" ca="1" si="2306"/>
        <v>0</v>
      </c>
      <c r="BY112" s="131">
        <f ca="1">SUM(BX112:BX$124)*SSj</f>
        <v>0</v>
      </c>
      <c r="BZ112" s="70">
        <f t="shared" ca="1" si="1575"/>
        <v>99999.012970709329</v>
      </c>
      <c r="CA112" s="2">
        <f t="shared" ref="CA112" ca="1" si="2375">IFERROR(VLOOKUP($S112,qx_table,MATCH(CA$11,qx_title,0)+sexB),0)</f>
        <v>0</v>
      </c>
      <c r="CB112" s="131">
        <f t="shared" ca="1" si="2308"/>
        <v>0</v>
      </c>
      <c r="CC112" s="131">
        <f ca="1">SUM(CB112:CB$124)*SSk</f>
        <v>0</v>
      </c>
      <c r="CD112" s="8">
        <f t="shared" ca="1" si="1578"/>
        <v>99999.012970709329</v>
      </c>
      <c r="CE112" s="2">
        <f t="shared" ref="CE112" ca="1" si="2376">IFERROR(VLOOKUP($S112,qx_table,MATCH(CE$11,qx_title,0)+sexB),0)</f>
        <v>0</v>
      </c>
      <c r="CF112" s="131">
        <f t="shared" ca="1" si="2310"/>
        <v>0</v>
      </c>
      <c r="CG112" s="131">
        <f ca="1">SUM(CF112:CF$124)*SSl</f>
        <v>0</v>
      </c>
      <c r="CH112" s="101">
        <f t="shared" ca="1" si="1581"/>
        <v>0</v>
      </c>
      <c r="CI112" s="154">
        <f t="shared" ca="1" si="2268"/>
        <v>0</v>
      </c>
      <c r="CJ112" s="32">
        <f t="shared" ca="1" si="1524"/>
        <v>0</v>
      </c>
      <c r="CK112" s="32">
        <f t="shared" ref="CK112" ca="1" si="2377">+MAX(VLOOKUP(xB+$R112,기수표B,$AH$1)-VLOOKUP(xB+mB,기수표B,$AH$1)-11/24*(VLOOKUP(xB+$R112,기수표B,$AG$1)-VLOOKUP(xB+mB,기수표B,$AG$1)),0)</f>
        <v>0</v>
      </c>
      <c r="CL112" s="32">
        <f t="shared" ref="CL112" ca="1" si="2378">+MAX(VLOOKUP(xB+$R112,기수표B,$AA$1)-VLOOKUP(xB+mB,기수표B,$AA$1),0)</f>
        <v>0</v>
      </c>
      <c r="CM112" s="32">
        <f t="shared" ref="CM112" ca="1" si="2379">+MAX(VLOOKUP(xB+$R112,기수표B,$AA$1)-VLOOKUP(xB+mB,기수표B,$AA$1)-11/24*(VLOOKUP(xB+$R112,기수표B,$AA$1)-VLOOKUP(xB+mB,기수표B,$AA$1)),0)</f>
        <v>0</v>
      </c>
      <c r="CN112" s="32">
        <f t="shared" si="2272"/>
        <v>0</v>
      </c>
      <c r="CO112" s="32">
        <f t="shared" ca="1" si="2273"/>
        <v>0</v>
      </c>
      <c r="CP112" s="32">
        <f t="shared" ca="1" si="2274"/>
        <v>0</v>
      </c>
      <c r="CQ112" s="262">
        <f t="shared" ca="1" si="2275"/>
        <v>0</v>
      </c>
      <c r="CR112" s="259" t="e">
        <f t="shared" ca="1" si="2276"/>
        <v>#DIV/0!</v>
      </c>
      <c r="CS112" s="32">
        <f t="shared" ca="1" si="2277"/>
        <v>1.5999999999999999E-5</v>
      </c>
      <c r="CT112" s="31">
        <f t="shared" ref="CT112" si="2380">+MIN(mB,7)</f>
        <v>7</v>
      </c>
      <c r="CV112" s="13">
        <v>100</v>
      </c>
      <c r="CW112" s="477">
        <f t="shared" ca="1" si="2279"/>
        <v>480</v>
      </c>
      <c r="CX112" s="477" t="e">
        <f t="shared" ca="1" si="2280"/>
        <v>#DIV/0!</v>
      </c>
      <c r="CY112" s="477">
        <f t="shared" ca="1" si="2281"/>
        <v>0</v>
      </c>
      <c r="CZ112" s="478">
        <f t="shared" ca="1" si="1586"/>
        <v>0</v>
      </c>
    </row>
    <row r="113" spans="3:104">
      <c r="C113" s="33"/>
      <c r="D113" s="33"/>
      <c r="N113" s="5">
        <f t="shared" si="1587"/>
        <v>101</v>
      </c>
      <c r="O113" s="2">
        <f t="shared" ref="O113" ca="1" si="2381">+(1+iB)^-N113</f>
        <v>0.10568297137777498</v>
      </c>
      <c r="P113" s="2">
        <f t="shared" ref="P113" ca="1" si="2382">+(1+iB)^-(N113+0.5)</f>
        <v>0.10451373227462121</v>
      </c>
      <c r="Q113" s="91"/>
      <c r="R113" s="20">
        <f t="shared" si="1590"/>
        <v>101</v>
      </c>
      <c r="S113" s="20" t="str">
        <f t="shared" ref="S113" si="2383">+IF(xB+R113&lt;=xB+nB,xB+R113,"")</f>
        <v/>
      </c>
      <c r="T113" s="2">
        <f t="shared" ref="T113:U113" ca="1" si="2384">IFERROR(VLOOKUP($S113,qx_table,MATCH(T$11,qx_title,0)+sexB),0)</f>
        <v>0</v>
      </c>
      <c r="U113" s="2">
        <f t="shared" ca="1" si="2384"/>
        <v>0</v>
      </c>
      <c r="V113" s="300">
        <v>0</v>
      </c>
      <c r="W113" s="8">
        <f t="shared" ref="W113" si="2385">IF(R113=0,100000,IF(R113&gt;nB,0,W112*(1-X112)*(1-Y112)))</f>
        <v>0</v>
      </c>
      <c r="X113" s="10">
        <f t="shared" ca="1" si="1502"/>
        <v>0</v>
      </c>
      <c r="Y113" s="10">
        <f t="shared" ca="1" si="1503"/>
        <v>0</v>
      </c>
      <c r="Z113" s="5">
        <f t="shared" ca="1" si="1543"/>
        <v>0</v>
      </c>
      <c r="AA113" s="5">
        <f ca="1">+SUM(Z113:Z$124)</f>
        <v>0</v>
      </c>
      <c r="AB113" s="8">
        <f t="shared" ca="1" si="1504"/>
        <v>0</v>
      </c>
      <c r="AC113" s="209">
        <f ca="1">+SUM(AB113:AB$124)*SSSM</f>
        <v>0</v>
      </c>
      <c r="AD113" s="209">
        <f t="shared" ref="AD113" si="2386">IF(R113&gt;nB,0,AD112*(1-X112)*(1-Y112)*(1-AE112)*(1-AF112))</f>
        <v>0</v>
      </c>
      <c r="AE113" s="92">
        <f t="shared" ca="1" si="1506"/>
        <v>0</v>
      </c>
      <c r="AF113" s="92">
        <f t="shared" ca="1" si="1507"/>
        <v>0</v>
      </c>
      <c r="AG113" s="8">
        <f t="shared" ca="1" si="1508"/>
        <v>0</v>
      </c>
      <c r="AH113" s="5">
        <f ca="1">+SUM(AG113:AG$124)</f>
        <v>0</v>
      </c>
      <c r="AI113" s="70">
        <f t="shared" ca="1" si="1509"/>
        <v>0</v>
      </c>
      <c r="AJ113" s="208">
        <f ca="1">+SUM(AB113:AB$124)*SS50J</f>
        <v>0</v>
      </c>
      <c r="AK113" s="5">
        <f t="shared" ca="1" si="1545"/>
        <v>99999.012970709329</v>
      </c>
      <c r="AL113" s="2">
        <f t="shared" ref="AL113" ca="1" si="2387">IFERROR(VLOOKUP($S113,qx_table,MATCH(AL$11,qx_title,0)+sexB),0)</f>
        <v>0</v>
      </c>
      <c r="AM113" s="131">
        <f t="shared" ca="1" si="1547"/>
        <v>10568.192825589224</v>
      </c>
      <c r="AN113" s="129">
        <f t="shared" ca="1" si="2256"/>
        <v>0</v>
      </c>
      <c r="AO113" s="129">
        <f ca="1">SUM(AN113:AN$124)*SSa</f>
        <v>0</v>
      </c>
      <c r="AP113" s="70">
        <f t="shared" ca="1" si="1548"/>
        <v>99999.012970709329</v>
      </c>
      <c r="AQ113" s="2">
        <f t="shared" ref="AQ113" ca="1" si="2388">IFERROR(VLOOKUP($S113,qx_table,MATCH(AQ$11,qx_title,0)+sexB),0)</f>
        <v>0</v>
      </c>
      <c r="AR113" s="127">
        <f t="shared" ca="1" si="2290"/>
        <v>0</v>
      </c>
      <c r="AS113" s="127">
        <f ca="1">SUM(AR113:AR$124)*SSb</f>
        <v>0</v>
      </c>
      <c r="AT113" s="70">
        <f t="shared" ca="1" si="1551"/>
        <v>99999.012970709329</v>
      </c>
      <c r="AU113" s="2">
        <f t="shared" ref="AU113" ca="1" si="2389">IFERROR(VLOOKUP($S113,qx_table,MATCH(AU$11,qx_title,0)+sexB),0)</f>
        <v>0</v>
      </c>
      <c r="AV113" s="268">
        <f t="shared" ca="1" si="2292"/>
        <v>0</v>
      </c>
      <c r="AW113" s="131">
        <f ca="1">SUM(AV113:AV$124)*SSc</f>
        <v>0</v>
      </c>
      <c r="AX113" s="70">
        <f t="shared" ca="1" si="1554"/>
        <v>99999.012970709329</v>
      </c>
      <c r="AY113" s="2">
        <f t="shared" ref="AY113" ca="1" si="2390">IFERROR(VLOOKUP($S113,qx_table,MATCH(AY$11,qx_title,0)+sexB),0)</f>
        <v>0</v>
      </c>
      <c r="AZ113" s="268">
        <f t="shared" ca="1" si="2294"/>
        <v>0</v>
      </c>
      <c r="BA113" s="129">
        <f ca="1">SUM(AZ113:AZ$124)*SSd</f>
        <v>0</v>
      </c>
      <c r="BB113" s="70">
        <f t="shared" ca="1" si="1557"/>
        <v>99999.012970709329</v>
      </c>
      <c r="BC113" s="257">
        <f t="shared" ref="BC113" ca="1" si="2391">IFERROR(VLOOKUP($S113,qx_table,MATCH(BC$11,qx_title,0)+sexB),0)</f>
        <v>0</v>
      </c>
      <c r="BD113" s="268">
        <f t="shared" ca="1" si="2296"/>
        <v>0</v>
      </c>
      <c r="BE113" s="131">
        <f ca="1">SUM(BD113:BD$124)*SSe</f>
        <v>0</v>
      </c>
      <c r="BF113" s="70">
        <f t="shared" ca="1" si="1560"/>
        <v>99999.012970709329</v>
      </c>
      <c r="BG113" s="2">
        <f t="shared" ref="BG113" ca="1" si="2392">IFERROR(VLOOKUP($S113,qx_table,MATCH(BG$11,qx_title,0)+sexB),0)</f>
        <v>0</v>
      </c>
      <c r="BH113" s="131">
        <f t="shared" ca="1" si="2298"/>
        <v>0</v>
      </c>
      <c r="BI113" s="2">
        <f ca="1">SUM(BH113:BH$124)*SSf</f>
        <v>0</v>
      </c>
      <c r="BJ113" s="70">
        <f t="shared" ca="1" si="1563"/>
        <v>99999.012970709329</v>
      </c>
      <c r="BK113" s="2">
        <f t="shared" ref="BK113" ca="1" si="2393">IFERROR(VLOOKUP($S113,qx_table,MATCH(BK$11,qx_title,0)+sexB),0)</f>
        <v>0</v>
      </c>
      <c r="BL113" s="131">
        <f t="shared" ca="1" si="2300"/>
        <v>0</v>
      </c>
      <c r="BM113" s="131">
        <f ca="1">SUM(BL113:BL$124)*SSg</f>
        <v>0</v>
      </c>
      <c r="BN113" s="70">
        <f t="shared" ca="1" si="1566"/>
        <v>99999.012970709329</v>
      </c>
      <c r="BO113" s="2">
        <f t="shared" ref="BO113" ca="1" si="2394">IFERROR(VLOOKUP($S113,qx_table,MATCH(BO$11,qx_title,0)+sexB),0)</f>
        <v>0</v>
      </c>
      <c r="BP113" s="131">
        <f t="shared" ca="1" si="2302"/>
        <v>0</v>
      </c>
      <c r="BQ113" s="131">
        <f ca="1">SUM(BP113:BP$124)*SSh</f>
        <v>0</v>
      </c>
      <c r="BR113" s="70">
        <f t="shared" ca="1" si="1569"/>
        <v>99999.012970709329</v>
      </c>
      <c r="BS113" s="2">
        <f t="shared" ref="BS113" ca="1" si="2395">IFERROR(VLOOKUP($S113,qx_table,MATCH(BS$11,qx_title,0)+sexB),0)*IF(R113=0,MCi,1)</f>
        <v>0</v>
      </c>
      <c r="BT113" s="131">
        <f t="shared" ca="1" si="2304"/>
        <v>0</v>
      </c>
      <c r="BU113" s="131">
        <f ca="1">SUM(BT113:BT$124)*SSi</f>
        <v>0</v>
      </c>
      <c r="BV113" s="70">
        <f t="shared" ca="1" si="1572"/>
        <v>99999.012970709329</v>
      </c>
      <c r="BW113" s="2">
        <f t="shared" ref="BW113" ca="1" si="2396">IFERROR(VLOOKUP($S113,qx_table,MATCH(BW$11,qx_title,0)+sexB),0)</f>
        <v>0</v>
      </c>
      <c r="BX113" s="131">
        <f t="shared" ca="1" si="2306"/>
        <v>0</v>
      </c>
      <c r="BY113" s="131">
        <f ca="1">SUM(BX113:BX$124)*SSj</f>
        <v>0</v>
      </c>
      <c r="BZ113" s="70">
        <f t="shared" ca="1" si="1575"/>
        <v>99999.012970709329</v>
      </c>
      <c r="CA113" s="2">
        <f t="shared" ref="CA113" ca="1" si="2397">IFERROR(VLOOKUP($S113,qx_table,MATCH(CA$11,qx_title,0)+sexB),0)</f>
        <v>0</v>
      </c>
      <c r="CB113" s="131">
        <f t="shared" ca="1" si="2308"/>
        <v>0</v>
      </c>
      <c r="CC113" s="131">
        <f ca="1">SUM(CB113:CB$124)*SSk</f>
        <v>0</v>
      </c>
      <c r="CD113" s="8">
        <f t="shared" ca="1" si="1578"/>
        <v>99999.012970709329</v>
      </c>
      <c r="CE113" s="2">
        <f t="shared" ref="CE113" ca="1" si="2398">IFERROR(VLOOKUP($S113,qx_table,MATCH(CE$11,qx_title,0)+sexB),0)</f>
        <v>0</v>
      </c>
      <c r="CF113" s="131">
        <f t="shared" ca="1" si="2310"/>
        <v>0</v>
      </c>
      <c r="CG113" s="131">
        <f ca="1">SUM(CF113:CF$124)*SSl</f>
        <v>0</v>
      </c>
      <c r="CH113" s="101">
        <f t="shared" ca="1" si="1581"/>
        <v>0</v>
      </c>
      <c r="CI113" s="154">
        <f t="shared" ca="1" si="2268"/>
        <v>0</v>
      </c>
      <c r="CJ113" s="32">
        <f t="shared" ca="1" si="1524"/>
        <v>0</v>
      </c>
      <c r="CK113" s="32">
        <f t="shared" ref="CK113" ca="1" si="2399">+MAX(VLOOKUP(xB+$R113,기수표B,$AH$1)-VLOOKUP(xB+mB,기수표B,$AH$1)-11/24*(VLOOKUP(xB+$R113,기수표B,$AG$1)-VLOOKUP(xB+mB,기수표B,$AG$1)),0)</f>
        <v>0</v>
      </c>
      <c r="CL113" s="32">
        <f t="shared" ref="CL113" ca="1" si="2400">+MAX(VLOOKUP(xB+$R113,기수표B,$AA$1)-VLOOKUP(xB+mB,기수표B,$AA$1),0)</f>
        <v>0</v>
      </c>
      <c r="CM113" s="32">
        <f t="shared" ref="CM113" ca="1" si="2401">+MAX(VLOOKUP(xB+$R113,기수표B,$AA$1)-VLOOKUP(xB+mB,기수표B,$AA$1)-11/24*(VLOOKUP(xB+$R113,기수표B,$AA$1)-VLOOKUP(xB+mB,기수표B,$AA$1)),0)</f>
        <v>0</v>
      </c>
      <c r="CN113" s="32">
        <f t="shared" si="2272"/>
        <v>0</v>
      </c>
      <c r="CO113" s="32">
        <f t="shared" ca="1" si="2273"/>
        <v>0</v>
      </c>
      <c r="CP113" s="32">
        <f t="shared" ca="1" si="2274"/>
        <v>0</v>
      </c>
      <c r="CQ113" s="262">
        <f t="shared" ca="1" si="2275"/>
        <v>0</v>
      </c>
      <c r="CR113" s="259" t="e">
        <f t="shared" ca="1" si="2276"/>
        <v>#DIV/0!</v>
      </c>
      <c r="CS113" s="32">
        <f t="shared" ca="1" si="2277"/>
        <v>1.5999999999999999E-5</v>
      </c>
      <c r="CT113" s="31">
        <f t="shared" ref="CT113" si="2402">+MIN(mB,7)</f>
        <v>7</v>
      </c>
      <c r="CV113" s="13">
        <v>101</v>
      </c>
      <c r="CW113" s="477">
        <f t="shared" ca="1" si="2279"/>
        <v>480</v>
      </c>
      <c r="CX113" s="477" t="e">
        <f t="shared" ca="1" si="2280"/>
        <v>#DIV/0!</v>
      </c>
      <c r="CY113" s="477">
        <f t="shared" ca="1" si="2281"/>
        <v>0</v>
      </c>
      <c r="CZ113" s="478">
        <f t="shared" ca="1" si="1586"/>
        <v>0</v>
      </c>
    </row>
    <row r="114" spans="3:104">
      <c r="C114" s="33"/>
      <c r="D114" s="33"/>
      <c r="N114" s="5">
        <f t="shared" si="1587"/>
        <v>102</v>
      </c>
      <c r="O114" s="2">
        <f t="shared" ref="O114" ca="1" si="2403">+(1+iB)^-N114</f>
        <v>0.10335742922031785</v>
      </c>
      <c r="P114" s="2">
        <f t="shared" ref="P114" ca="1" si="2404">+(1+iB)^-(N114+0.5)</f>
        <v>0.10221391909498405</v>
      </c>
      <c r="Q114" s="91"/>
      <c r="R114" s="20">
        <f t="shared" si="1590"/>
        <v>102</v>
      </c>
      <c r="S114" s="20" t="str">
        <f t="shared" ref="S114" si="2405">+IF(xB+R114&lt;=xB+nB,xB+R114,"")</f>
        <v/>
      </c>
      <c r="T114" s="2">
        <f t="shared" ref="T114:U114" ca="1" si="2406">IFERROR(VLOOKUP($S114,qx_table,MATCH(T$11,qx_title,0)+sexB),0)</f>
        <v>0</v>
      </c>
      <c r="U114" s="2">
        <f t="shared" ca="1" si="2406"/>
        <v>0</v>
      </c>
      <c r="V114" s="300">
        <v>0</v>
      </c>
      <c r="W114" s="8">
        <f t="shared" ref="W114" si="2407">IF(R114=0,100000,IF(R114&gt;nB,0,W113*(1-X113)*(1-Y113)))</f>
        <v>0</v>
      </c>
      <c r="X114" s="10">
        <f t="shared" ca="1" si="1502"/>
        <v>0</v>
      </c>
      <c r="Y114" s="10">
        <f t="shared" ca="1" si="1503"/>
        <v>0</v>
      </c>
      <c r="Z114" s="5">
        <f t="shared" ca="1" si="1543"/>
        <v>0</v>
      </c>
      <c r="AA114" s="5">
        <f ca="1">+SUM(Z114:Z$124)</f>
        <v>0</v>
      </c>
      <c r="AB114" s="8">
        <f t="shared" ca="1" si="1504"/>
        <v>0</v>
      </c>
      <c r="AC114" s="209">
        <f ca="1">+SUM(AB114:AB$124)*SSSM</f>
        <v>0</v>
      </c>
      <c r="AD114" s="209">
        <f t="shared" ref="AD114" si="2408">IF(R114&gt;nB,0,AD113*(1-X113)*(1-Y113)*(1-AE113)*(1-AF113))</f>
        <v>0</v>
      </c>
      <c r="AE114" s="92">
        <f t="shared" ca="1" si="1506"/>
        <v>0</v>
      </c>
      <c r="AF114" s="92">
        <f t="shared" ca="1" si="1507"/>
        <v>0</v>
      </c>
      <c r="AG114" s="8">
        <f t="shared" ca="1" si="1508"/>
        <v>0</v>
      </c>
      <c r="AH114" s="5">
        <f ca="1">+SUM(AG114:AG$124)</f>
        <v>0</v>
      </c>
      <c r="AI114" s="70">
        <f t="shared" ca="1" si="1509"/>
        <v>0</v>
      </c>
      <c r="AJ114" s="208">
        <f ca="1">+SUM(AB114:AB$124)*SS50J</f>
        <v>0</v>
      </c>
      <c r="AK114" s="5">
        <f t="shared" ca="1" si="1545"/>
        <v>99999.012970709329</v>
      </c>
      <c r="AL114" s="2">
        <f t="shared" ref="AL114" ca="1" si="2409">IFERROR(VLOOKUP($S114,qx_table,MATCH(AL$11,qx_title,0)+sexB),0)</f>
        <v>0</v>
      </c>
      <c r="AM114" s="131">
        <f t="shared" ca="1" si="1547"/>
        <v>10335.640905221735</v>
      </c>
      <c r="AN114" s="129">
        <f t="shared" ca="1" si="2256"/>
        <v>0</v>
      </c>
      <c r="AO114" s="129">
        <f ca="1">SUM(AN114:AN$124)*SSa</f>
        <v>0</v>
      </c>
      <c r="AP114" s="70">
        <f t="shared" ca="1" si="1548"/>
        <v>99999.012970709329</v>
      </c>
      <c r="AQ114" s="2">
        <f t="shared" ref="AQ114" ca="1" si="2410">IFERROR(VLOOKUP($S114,qx_table,MATCH(AQ$11,qx_title,0)+sexB),0)</f>
        <v>0</v>
      </c>
      <c r="AR114" s="127">
        <f t="shared" ca="1" si="2290"/>
        <v>0</v>
      </c>
      <c r="AS114" s="127">
        <f ca="1">SUM(AR114:AR$124)*SSb</f>
        <v>0</v>
      </c>
      <c r="AT114" s="70">
        <f t="shared" ca="1" si="1551"/>
        <v>99999.012970709329</v>
      </c>
      <c r="AU114" s="2">
        <f t="shared" ref="AU114" ca="1" si="2411">IFERROR(VLOOKUP($S114,qx_table,MATCH(AU$11,qx_title,0)+sexB),0)</f>
        <v>0</v>
      </c>
      <c r="AV114" s="268">
        <f t="shared" ca="1" si="2292"/>
        <v>0</v>
      </c>
      <c r="AW114" s="131">
        <f ca="1">SUM(AV114:AV$124)*SSc</f>
        <v>0</v>
      </c>
      <c r="AX114" s="70">
        <f t="shared" ca="1" si="1554"/>
        <v>99999.012970709329</v>
      </c>
      <c r="AY114" s="2">
        <f t="shared" ref="AY114" ca="1" si="2412">IFERROR(VLOOKUP($S114,qx_table,MATCH(AY$11,qx_title,0)+sexB),0)</f>
        <v>0</v>
      </c>
      <c r="AZ114" s="268">
        <f t="shared" ca="1" si="2294"/>
        <v>0</v>
      </c>
      <c r="BA114" s="129">
        <f ca="1">SUM(AZ114:AZ$124)*SSd</f>
        <v>0</v>
      </c>
      <c r="BB114" s="70">
        <f t="shared" ca="1" si="1557"/>
        <v>99999.012970709329</v>
      </c>
      <c r="BC114" s="257">
        <f t="shared" ref="BC114" ca="1" si="2413">IFERROR(VLOOKUP($S114,qx_table,MATCH(BC$11,qx_title,0)+sexB),0)</f>
        <v>0</v>
      </c>
      <c r="BD114" s="268">
        <f t="shared" ca="1" si="2296"/>
        <v>0</v>
      </c>
      <c r="BE114" s="131">
        <f ca="1">SUM(BD114:BD$124)*SSe</f>
        <v>0</v>
      </c>
      <c r="BF114" s="70">
        <f t="shared" ca="1" si="1560"/>
        <v>99999.012970709329</v>
      </c>
      <c r="BG114" s="2">
        <f t="shared" ref="BG114" ca="1" si="2414">IFERROR(VLOOKUP($S114,qx_table,MATCH(BG$11,qx_title,0)+sexB),0)</f>
        <v>0</v>
      </c>
      <c r="BH114" s="131">
        <f t="shared" ca="1" si="2298"/>
        <v>0</v>
      </c>
      <c r="BI114" s="2">
        <f ca="1">SUM(BH114:BH$124)*SSf</f>
        <v>0</v>
      </c>
      <c r="BJ114" s="70">
        <f t="shared" ca="1" si="1563"/>
        <v>99999.012970709329</v>
      </c>
      <c r="BK114" s="2">
        <f t="shared" ref="BK114" ca="1" si="2415">IFERROR(VLOOKUP($S114,qx_table,MATCH(BK$11,qx_title,0)+sexB),0)</f>
        <v>0</v>
      </c>
      <c r="BL114" s="131">
        <f t="shared" ca="1" si="2300"/>
        <v>0</v>
      </c>
      <c r="BM114" s="131">
        <f ca="1">SUM(BL114:BL$124)*SSg</f>
        <v>0</v>
      </c>
      <c r="BN114" s="70">
        <f t="shared" ca="1" si="1566"/>
        <v>99999.012970709329</v>
      </c>
      <c r="BO114" s="2">
        <f t="shared" ref="BO114" ca="1" si="2416">IFERROR(VLOOKUP($S114,qx_table,MATCH(BO$11,qx_title,0)+sexB),0)</f>
        <v>0</v>
      </c>
      <c r="BP114" s="131">
        <f t="shared" ca="1" si="2302"/>
        <v>0</v>
      </c>
      <c r="BQ114" s="131">
        <f ca="1">SUM(BP114:BP$124)*SSh</f>
        <v>0</v>
      </c>
      <c r="BR114" s="70">
        <f t="shared" ca="1" si="1569"/>
        <v>99999.012970709329</v>
      </c>
      <c r="BS114" s="2">
        <f t="shared" ref="BS114" ca="1" si="2417">IFERROR(VLOOKUP($S114,qx_table,MATCH(BS$11,qx_title,0)+sexB),0)*IF(R114=0,MCi,1)</f>
        <v>0</v>
      </c>
      <c r="BT114" s="131">
        <f t="shared" ca="1" si="2304"/>
        <v>0</v>
      </c>
      <c r="BU114" s="131">
        <f ca="1">SUM(BT114:BT$124)*SSi</f>
        <v>0</v>
      </c>
      <c r="BV114" s="70">
        <f t="shared" ca="1" si="1572"/>
        <v>99999.012970709329</v>
      </c>
      <c r="BW114" s="2">
        <f t="shared" ref="BW114" ca="1" si="2418">IFERROR(VLOOKUP($S114,qx_table,MATCH(BW$11,qx_title,0)+sexB),0)</f>
        <v>0</v>
      </c>
      <c r="BX114" s="131">
        <f t="shared" ca="1" si="2306"/>
        <v>0</v>
      </c>
      <c r="BY114" s="131">
        <f ca="1">SUM(BX114:BX$124)*SSj</f>
        <v>0</v>
      </c>
      <c r="BZ114" s="70">
        <f t="shared" ca="1" si="1575"/>
        <v>99999.012970709329</v>
      </c>
      <c r="CA114" s="2">
        <f t="shared" ref="CA114" ca="1" si="2419">IFERROR(VLOOKUP($S114,qx_table,MATCH(CA$11,qx_title,0)+sexB),0)</f>
        <v>0</v>
      </c>
      <c r="CB114" s="131">
        <f t="shared" ca="1" si="2308"/>
        <v>0</v>
      </c>
      <c r="CC114" s="131">
        <f ca="1">SUM(CB114:CB$124)*SSk</f>
        <v>0</v>
      </c>
      <c r="CD114" s="8">
        <f t="shared" ca="1" si="1578"/>
        <v>99999.012970709329</v>
      </c>
      <c r="CE114" s="2">
        <f t="shared" ref="CE114" ca="1" si="2420">IFERROR(VLOOKUP($S114,qx_table,MATCH(CE$11,qx_title,0)+sexB),0)</f>
        <v>0</v>
      </c>
      <c r="CF114" s="131">
        <f t="shared" ca="1" si="2310"/>
        <v>0</v>
      </c>
      <c r="CG114" s="131">
        <f ca="1">SUM(CF114:CF$124)*SSl</f>
        <v>0</v>
      </c>
      <c r="CH114" s="101">
        <f t="shared" ca="1" si="1581"/>
        <v>0</v>
      </c>
      <c r="CI114" s="154">
        <f t="shared" ca="1" si="2268"/>
        <v>0</v>
      </c>
      <c r="CJ114" s="32">
        <f t="shared" ca="1" si="1524"/>
        <v>0</v>
      </c>
      <c r="CK114" s="32">
        <f t="shared" ref="CK114" ca="1" si="2421">+MAX(VLOOKUP(xB+$R114,기수표B,$AH$1)-VLOOKUP(xB+mB,기수표B,$AH$1)-11/24*(VLOOKUP(xB+$R114,기수표B,$AG$1)-VLOOKUP(xB+mB,기수표B,$AG$1)),0)</f>
        <v>0</v>
      </c>
      <c r="CL114" s="32">
        <f t="shared" ref="CL114" ca="1" si="2422">+MAX(VLOOKUP(xB+$R114,기수표B,$AA$1)-VLOOKUP(xB+mB,기수표B,$AA$1),0)</f>
        <v>0</v>
      </c>
      <c r="CM114" s="32">
        <f t="shared" ref="CM114" ca="1" si="2423">+MAX(VLOOKUP(xB+$R114,기수표B,$AA$1)-VLOOKUP(xB+mB,기수표B,$AA$1)-11/24*(VLOOKUP(xB+$R114,기수표B,$AA$1)-VLOOKUP(xB+mB,기수표B,$AA$1)),0)</f>
        <v>0</v>
      </c>
      <c r="CN114" s="32">
        <f t="shared" si="2272"/>
        <v>0</v>
      </c>
      <c r="CO114" s="32">
        <f t="shared" ca="1" si="2273"/>
        <v>0</v>
      </c>
      <c r="CP114" s="32">
        <f t="shared" ca="1" si="2274"/>
        <v>0</v>
      </c>
      <c r="CQ114" s="262">
        <f t="shared" ca="1" si="2275"/>
        <v>0</v>
      </c>
      <c r="CR114" s="259" t="e">
        <f t="shared" ca="1" si="2276"/>
        <v>#DIV/0!</v>
      </c>
      <c r="CS114" s="32">
        <f t="shared" ca="1" si="2277"/>
        <v>1.5999999999999999E-5</v>
      </c>
      <c r="CT114" s="31">
        <f t="shared" ref="CT114" si="2424">+MIN(mB,7)</f>
        <v>7</v>
      </c>
      <c r="CV114" s="13">
        <v>102</v>
      </c>
      <c r="CW114" s="477">
        <f t="shared" ca="1" si="2279"/>
        <v>480</v>
      </c>
      <c r="CX114" s="477" t="e">
        <f t="shared" ca="1" si="2280"/>
        <v>#DIV/0!</v>
      </c>
      <c r="CY114" s="477">
        <f t="shared" ca="1" si="2281"/>
        <v>0</v>
      </c>
      <c r="CZ114" s="478">
        <f t="shared" ca="1" si="1586"/>
        <v>0</v>
      </c>
    </row>
    <row r="115" spans="3:104">
      <c r="C115" s="33"/>
      <c r="D115" s="33"/>
      <c r="N115" s="5">
        <f t="shared" si="1587"/>
        <v>103</v>
      </c>
      <c r="O115" s="2">
        <f t="shared" ref="O115" ca="1" si="2425">+(1+iB)^-N115</f>
        <v>0.10108306036216905</v>
      </c>
      <c r="P115" s="2">
        <f t="shared" ref="P115" ca="1" si="2426">+(1+iB)^-(N115+0.5)</f>
        <v>9.996471305132916E-2</v>
      </c>
      <c r="Q115" s="91"/>
      <c r="R115" s="20">
        <f t="shared" si="1590"/>
        <v>103</v>
      </c>
      <c r="S115" s="20" t="str">
        <f t="shared" ref="S115" si="2427">+IF(xB+R115&lt;=xB+nB,xB+R115,"")</f>
        <v/>
      </c>
      <c r="T115" s="2">
        <f t="shared" ref="T115:U115" ca="1" si="2428">IFERROR(VLOOKUP($S115,qx_table,MATCH(T$11,qx_title,0)+sexB),0)</f>
        <v>0</v>
      </c>
      <c r="U115" s="2">
        <f t="shared" ca="1" si="2428"/>
        <v>0</v>
      </c>
      <c r="V115" s="300">
        <v>0</v>
      </c>
      <c r="W115" s="8">
        <f t="shared" ref="W115" si="2429">IF(R115=0,100000,IF(R115&gt;nB,0,W114*(1-X114)*(1-Y114)))</f>
        <v>0</v>
      </c>
      <c r="X115" s="10">
        <f t="shared" ca="1" si="1502"/>
        <v>0</v>
      </c>
      <c r="Y115" s="10">
        <f t="shared" ca="1" si="1503"/>
        <v>0</v>
      </c>
      <c r="Z115" s="5">
        <f t="shared" ca="1" si="1543"/>
        <v>0</v>
      </c>
      <c r="AA115" s="5">
        <f ca="1">+SUM(Z115:Z$124)</f>
        <v>0</v>
      </c>
      <c r="AB115" s="8">
        <f t="shared" ca="1" si="1504"/>
        <v>0</v>
      </c>
      <c r="AC115" s="209">
        <f ca="1">+SUM(AB115:AB$124)*SSSM</f>
        <v>0</v>
      </c>
      <c r="AD115" s="209">
        <f t="shared" ref="AD115" si="2430">IF(R115&gt;nB,0,AD114*(1-X114)*(1-Y114)*(1-AE114)*(1-AF114))</f>
        <v>0</v>
      </c>
      <c r="AE115" s="92">
        <f t="shared" ca="1" si="1506"/>
        <v>0</v>
      </c>
      <c r="AF115" s="92">
        <f t="shared" ca="1" si="1507"/>
        <v>0</v>
      </c>
      <c r="AG115" s="8">
        <f t="shared" ca="1" si="1508"/>
        <v>0</v>
      </c>
      <c r="AH115" s="5">
        <f ca="1">+SUM(AG115:AG$124)</f>
        <v>0</v>
      </c>
      <c r="AI115" s="70">
        <f t="shared" ca="1" si="1509"/>
        <v>0</v>
      </c>
      <c r="AJ115" s="208">
        <f ca="1">+SUM(AB115:AB$124)*SS50J</f>
        <v>0</v>
      </c>
      <c r="AK115" s="5">
        <f t="shared" ca="1" si="1545"/>
        <v>99999.012970709329</v>
      </c>
      <c r="AL115" s="2">
        <f t="shared" ref="AL115" ca="1" si="2431">IFERROR(VLOOKUP($S115,qx_table,MATCH(AL$11,qx_title,0)+sexB),0)</f>
        <v>0</v>
      </c>
      <c r="AM115" s="131">
        <f t="shared" ca="1" si="1547"/>
        <v>10108.206264275537</v>
      </c>
      <c r="AN115" s="129">
        <f t="shared" ca="1" si="2256"/>
        <v>0</v>
      </c>
      <c r="AO115" s="129">
        <f ca="1">SUM(AN115:AN$124)*SSa</f>
        <v>0</v>
      </c>
      <c r="AP115" s="70">
        <f t="shared" ca="1" si="1548"/>
        <v>99999.012970709329</v>
      </c>
      <c r="AQ115" s="2">
        <f t="shared" ref="AQ115" ca="1" si="2432">IFERROR(VLOOKUP($S115,qx_table,MATCH(AQ$11,qx_title,0)+sexB),0)</f>
        <v>0</v>
      </c>
      <c r="AR115" s="127">
        <f t="shared" ca="1" si="2290"/>
        <v>0</v>
      </c>
      <c r="AS115" s="127">
        <f ca="1">SUM(AR115:AR$124)*SSb</f>
        <v>0</v>
      </c>
      <c r="AT115" s="70">
        <f t="shared" ca="1" si="1551"/>
        <v>99999.012970709329</v>
      </c>
      <c r="AU115" s="2">
        <f t="shared" ref="AU115" ca="1" si="2433">IFERROR(VLOOKUP($S115,qx_table,MATCH(AU$11,qx_title,0)+sexB),0)</f>
        <v>0</v>
      </c>
      <c r="AV115" s="268">
        <f t="shared" ca="1" si="2292"/>
        <v>0</v>
      </c>
      <c r="AW115" s="131">
        <f ca="1">SUM(AV115:AV$124)*SSc</f>
        <v>0</v>
      </c>
      <c r="AX115" s="70">
        <f t="shared" ca="1" si="1554"/>
        <v>99999.012970709329</v>
      </c>
      <c r="AY115" s="2">
        <f t="shared" ref="AY115" ca="1" si="2434">IFERROR(VLOOKUP($S115,qx_table,MATCH(AY$11,qx_title,0)+sexB),0)</f>
        <v>0</v>
      </c>
      <c r="AZ115" s="268">
        <f t="shared" ca="1" si="2294"/>
        <v>0</v>
      </c>
      <c r="BA115" s="129">
        <f ca="1">SUM(AZ115:AZ$124)*SSd</f>
        <v>0</v>
      </c>
      <c r="BB115" s="70">
        <f t="shared" ca="1" si="1557"/>
        <v>99999.012970709329</v>
      </c>
      <c r="BC115" s="257">
        <f t="shared" ref="BC115" ca="1" si="2435">IFERROR(VLOOKUP($S115,qx_table,MATCH(BC$11,qx_title,0)+sexB),0)</f>
        <v>0</v>
      </c>
      <c r="BD115" s="268">
        <f t="shared" ca="1" si="2296"/>
        <v>0</v>
      </c>
      <c r="BE115" s="131">
        <f ca="1">SUM(BD115:BD$124)*SSe</f>
        <v>0</v>
      </c>
      <c r="BF115" s="70">
        <f t="shared" ca="1" si="1560"/>
        <v>99999.012970709329</v>
      </c>
      <c r="BG115" s="2">
        <f t="shared" ref="BG115" ca="1" si="2436">IFERROR(VLOOKUP($S115,qx_table,MATCH(BG$11,qx_title,0)+sexB),0)</f>
        <v>0</v>
      </c>
      <c r="BH115" s="131">
        <f t="shared" ca="1" si="2298"/>
        <v>0</v>
      </c>
      <c r="BI115" s="2">
        <f ca="1">SUM(BH115:BH$124)*SSf</f>
        <v>0</v>
      </c>
      <c r="BJ115" s="70">
        <f t="shared" ca="1" si="1563"/>
        <v>99999.012970709329</v>
      </c>
      <c r="BK115" s="2">
        <f t="shared" ref="BK115" ca="1" si="2437">IFERROR(VLOOKUP($S115,qx_table,MATCH(BK$11,qx_title,0)+sexB),0)</f>
        <v>0</v>
      </c>
      <c r="BL115" s="131">
        <f t="shared" ca="1" si="2300"/>
        <v>0</v>
      </c>
      <c r="BM115" s="131">
        <f ca="1">SUM(BL115:BL$124)*SSg</f>
        <v>0</v>
      </c>
      <c r="BN115" s="70">
        <f t="shared" ca="1" si="1566"/>
        <v>99999.012970709329</v>
      </c>
      <c r="BO115" s="2">
        <f t="shared" ref="BO115" ca="1" si="2438">IFERROR(VLOOKUP($S115,qx_table,MATCH(BO$11,qx_title,0)+sexB),0)</f>
        <v>0</v>
      </c>
      <c r="BP115" s="131">
        <f t="shared" ca="1" si="2302"/>
        <v>0</v>
      </c>
      <c r="BQ115" s="131">
        <f ca="1">SUM(BP115:BP$124)*SSh</f>
        <v>0</v>
      </c>
      <c r="BR115" s="70">
        <f t="shared" ca="1" si="1569"/>
        <v>99999.012970709329</v>
      </c>
      <c r="BS115" s="2">
        <f t="shared" ref="BS115" ca="1" si="2439">IFERROR(VLOOKUP($S115,qx_table,MATCH(BS$11,qx_title,0)+sexB),0)*IF(R115=0,MCi,1)</f>
        <v>0</v>
      </c>
      <c r="BT115" s="131">
        <f t="shared" ca="1" si="2304"/>
        <v>0</v>
      </c>
      <c r="BU115" s="131">
        <f ca="1">SUM(BT115:BT$124)*SSi</f>
        <v>0</v>
      </c>
      <c r="BV115" s="70">
        <f t="shared" ca="1" si="1572"/>
        <v>99999.012970709329</v>
      </c>
      <c r="BW115" s="2">
        <f t="shared" ref="BW115" ca="1" si="2440">IFERROR(VLOOKUP($S115,qx_table,MATCH(BW$11,qx_title,0)+sexB),0)</f>
        <v>0</v>
      </c>
      <c r="BX115" s="131">
        <f t="shared" ca="1" si="2306"/>
        <v>0</v>
      </c>
      <c r="BY115" s="131">
        <f ca="1">SUM(BX115:BX$124)*SSj</f>
        <v>0</v>
      </c>
      <c r="BZ115" s="70">
        <f t="shared" ca="1" si="1575"/>
        <v>99999.012970709329</v>
      </c>
      <c r="CA115" s="2">
        <f t="shared" ref="CA115" ca="1" si="2441">IFERROR(VLOOKUP($S115,qx_table,MATCH(CA$11,qx_title,0)+sexB),0)</f>
        <v>0</v>
      </c>
      <c r="CB115" s="131">
        <f t="shared" ca="1" si="2308"/>
        <v>0</v>
      </c>
      <c r="CC115" s="131">
        <f ca="1">SUM(CB115:CB$124)*SSk</f>
        <v>0</v>
      </c>
      <c r="CD115" s="8">
        <f t="shared" ca="1" si="1578"/>
        <v>99999.012970709329</v>
      </c>
      <c r="CE115" s="2">
        <f t="shared" ref="CE115" ca="1" si="2442">IFERROR(VLOOKUP($S115,qx_table,MATCH(CE$11,qx_title,0)+sexB),0)</f>
        <v>0</v>
      </c>
      <c r="CF115" s="131">
        <f t="shared" ca="1" si="2310"/>
        <v>0</v>
      </c>
      <c r="CG115" s="131">
        <f ca="1">SUM(CF115:CF$124)*SSl</f>
        <v>0</v>
      </c>
      <c r="CH115" s="101">
        <f t="shared" ca="1" si="1581"/>
        <v>0</v>
      </c>
      <c r="CI115" s="154">
        <f t="shared" ca="1" si="2268"/>
        <v>0</v>
      </c>
      <c r="CJ115" s="32">
        <f t="shared" ca="1" si="1524"/>
        <v>0</v>
      </c>
      <c r="CK115" s="32">
        <f t="shared" ref="CK115" ca="1" si="2443">+MAX(VLOOKUP(xB+$R115,기수표B,$AH$1)-VLOOKUP(xB+mB,기수표B,$AH$1)-11/24*(VLOOKUP(xB+$R115,기수표B,$AG$1)-VLOOKUP(xB+mB,기수표B,$AG$1)),0)</f>
        <v>0</v>
      </c>
      <c r="CL115" s="32">
        <f t="shared" ref="CL115" ca="1" si="2444">+MAX(VLOOKUP(xB+$R115,기수표B,$AA$1)-VLOOKUP(xB+mB,기수표B,$AA$1),0)</f>
        <v>0</v>
      </c>
      <c r="CM115" s="32">
        <f t="shared" ref="CM115" ca="1" si="2445">+MAX(VLOOKUP(xB+$R115,기수표B,$AA$1)-VLOOKUP(xB+mB,기수표B,$AA$1)-11/24*(VLOOKUP(xB+$R115,기수표B,$AA$1)-VLOOKUP(xB+mB,기수표B,$AA$1)),0)</f>
        <v>0</v>
      </c>
      <c r="CN115" s="32">
        <f t="shared" si="2272"/>
        <v>0</v>
      </c>
      <c r="CO115" s="32">
        <f t="shared" ca="1" si="2273"/>
        <v>0</v>
      </c>
      <c r="CP115" s="32">
        <f t="shared" ca="1" si="2274"/>
        <v>0</v>
      </c>
      <c r="CQ115" s="262">
        <f t="shared" ca="1" si="2275"/>
        <v>0</v>
      </c>
      <c r="CR115" s="259" t="e">
        <f t="shared" ca="1" si="2276"/>
        <v>#DIV/0!</v>
      </c>
      <c r="CS115" s="32">
        <f t="shared" ca="1" si="2277"/>
        <v>1.5999999999999999E-5</v>
      </c>
      <c r="CT115" s="31">
        <f t="shared" ref="CT115" si="2446">+MIN(mB,7)</f>
        <v>7</v>
      </c>
      <c r="CV115" s="13">
        <v>103</v>
      </c>
      <c r="CW115" s="477">
        <f t="shared" ca="1" si="2279"/>
        <v>480</v>
      </c>
      <c r="CX115" s="477" t="e">
        <f t="shared" ca="1" si="2280"/>
        <v>#DIV/0!</v>
      </c>
      <c r="CY115" s="477">
        <f t="shared" ca="1" si="2281"/>
        <v>0</v>
      </c>
      <c r="CZ115" s="478">
        <f t="shared" ca="1" si="1586"/>
        <v>0</v>
      </c>
    </row>
    <row r="116" spans="3:104">
      <c r="C116" s="33"/>
      <c r="D116" s="33"/>
      <c r="N116" s="5">
        <f t="shared" si="1587"/>
        <v>104</v>
      </c>
      <c r="O116" s="2">
        <f t="shared" ref="O116" ca="1" si="2447">+(1+iB)^-N116</f>
        <v>9.8858738740507629E-2</v>
      </c>
      <c r="P116" s="2">
        <f t="shared" ref="P116" ca="1" si="2448">+(1+iB)^-(N116+0.5)</f>
        <v>9.7765000539197247E-2</v>
      </c>
      <c r="Q116" s="91"/>
      <c r="R116" s="20">
        <f t="shared" si="1590"/>
        <v>104</v>
      </c>
      <c r="S116" s="20" t="str">
        <f t="shared" ref="S116" si="2449">+IF(xB+R116&lt;=xB+nB,xB+R116,"")</f>
        <v/>
      </c>
      <c r="T116" s="2">
        <f t="shared" ref="T116:U116" ca="1" si="2450">IFERROR(VLOOKUP($S116,qx_table,MATCH(T$11,qx_title,0)+sexB),0)</f>
        <v>0</v>
      </c>
      <c r="U116" s="2">
        <f t="shared" ca="1" si="2450"/>
        <v>0</v>
      </c>
      <c r="V116" s="300">
        <v>0</v>
      </c>
      <c r="W116" s="8">
        <f t="shared" ref="W116" si="2451">IF(R116=0,100000,IF(R116&gt;nB,0,W115*(1-X115)*(1-Y115)))</f>
        <v>0</v>
      </c>
      <c r="X116" s="10">
        <f t="shared" ca="1" si="1502"/>
        <v>0</v>
      </c>
      <c r="Y116" s="10">
        <f t="shared" ca="1" si="1503"/>
        <v>0</v>
      </c>
      <c r="Z116" s="5">
        <f t="shared" ca="1" si="1543"/>
        <v>0</v>
      </c>
      <c r="AA116" s="5">
        <f ca="1">+SUM(Z116:Z$124)</f>
        <v>0</v>
      </c>
      <c r="AB116" s="8">
        <f t="shared" ca="1" si="1504"/>
        <v>0</v>
      </c>
      <c r="AC116" s="209">
        <f ca="1">+SUM(AB116:AB$124)*SSSM</f>
        <v>0</v>
      </c>
      <c r="AD116" s="209">
        <f t="shared" ref="AD116" si="2452">IF(R116&gt;nB,0,AD115*(1-X115)*(1-Y115)*(1-AE115)*(1-AF115))</f>
        <v>0</v>
      </c>
      <c r="AE116" s="92">
        <f t="shared" ca="1" si="1506"/>
        <v>0</v>
      </c>
      <c r="AF116" s="92">
        <f t="shared" ca="1" si="1507"/>
        <v>0</v>
      </c>
      <c r="AG116" s="8">
        <f t="shared" ca="1" si="1508"/>
        <v>0</v>
      </c>
      <c r="AH116" s="5">
        <f ca="1">+SUM(AG116:AG$124)</f>
        <v>0</v>
      </c>
      <c r="AI116" s="70">
        <f t="shared" ca="1" si="1509"/>
        <v>0</v>
      </c>
      <c r="AJ116" s="208">
        <f ca="1">+SUM(AB116:AB$124)*SS50J</f>
        <v>0</v>
      </c>
      <c r="AK116" s="5">
        <f t="shared" ca="1" si="1545"/>
        <v>99999.012970709329</v>
      </c>
      <c r="AL116" s="2">
        <f t="shared" ref="AL116" ca="1" si="2453">IFERROR(VLOOKUP($S116,qx_table,MATCH(AL$11,qx_title,0)+sexB),0)</f>
        <v>0</v>
      </c>
      <c r="AM116" s="131">
        <f t="shared" ca="1" si="1547"/>
        <v>9885.7762975799869</v>
      </c>
      <c r="AN116" s="129">
        <f t="shared" ca="1" si="2256"/>
        <v>0</v>
      </c>
      <c r="AO116" s="129">
        <f ca="1">SUM(AN116:AN$124)*SSa</f>
        <v>0</v>
      </c>
      <c r="AP116" s="70">
        <f t="shared" ca="1" si="1548"/>
        <v>99999.012970709329</v>
      </c>
      <c r="AQ116" s="2">
        <f t="shared" ref="AQ116" ca="1" si="2454">IFERROR(VLOOKUP($S116,qx_table,MATCH(AQ$11,qx_title,0)+sexB),0)</f>
        <v>0</v>
      </c>
      <c r="AR116" s="127">
        <f t="shared" ca="1" si="2290"/>
        <v>0</v>
      </c>
      <c r="AS116" s="127">
        <f ca="1">SUM(AR116:AR$124)*SSb</f>
        <v>0</v>
      </c>
      <c r="AT116" s="70">
        <f t="shared" ca="1" si="1551"/>
        <v>99999.012970709329</v>
      </c>
      <c r="AU116" s="2">
        <f t="shared" ref="AU116" ca="1" si="2455">IFERROR(VLOOKUP($S116,qx_table,MATCH(AU$11,qx_title,0)+sexB),0)</f>
        <v>0</v>
      </c>
      <c r="AV116" s="268">
        <f t="shared" ca="1" si="2292"/>
        <v>0</v>
      </c>
      <c r="AW116" s="131">
        <f ca="1">SUM(AV116:AV$124)*SSc</f>
        <v>0</v>
      </c>
      <c r="AX116" s="70">
        <f t="shared" ca="1" si="1554"/>
        <v>99999.012970709329</v>
      </c>
      <c r="AY116" s="2">
        <f t="shared" ref="AY116" ca="1" si="2456">IFERROR(VLOOKUP($S116,qx_table,MATCH(AY$11,qx_title,0)+sexB),0)</f>
        <v>0</v>
      </c>
      <c r="AZ116" s="268">
        <f t="shared" ca="1" si="2294"/>
        <v>0</v>
      </c>
      <c r="BA116" s="129">
        <f ca="1">SUM(AZ116:AZ$124)*SSd</f>
        <v>0</v>
      </c>
      <c r="BB116" s="70">
        <f t="shared" ca="1" si="1557"/>
        <v>99999.012970709329</v>
      </c>
      <c r="BC116" s="257">
        <f t="shared" ref="BC116" ca="1" si="2457">IFERROR(VLOOKUP($S116,qx_table,MATCH(BC$11,qx_title,0)+sexB),0)</f>
        <v>0</v>
      </c>
      <c r="BD116" s="268">
        <f t="shared" ca="1" si="2296"/>
        <v>0</v>
      </c>
      <c r="BE116" s="131">
        <f ca="1">SUM(BD116:BD$124)*SSe</f>
        <v>0</v>
      </c>
      <c r="BF116" s="70">
        <f t="shared" ca="1" si="1560"/>
        <v>99999.012970709329</v>
      </c>
      <c r="BG116" s="2">
        <f t="shared" ref="BG116" ca="1" si="2458">IFERROR(VLOOKUP($S116,qx_table,MATCH(BG$11,qx_title,0)+sexB),0)</f>
        <v>0</v>
      </c>
      <c r="BH116" s="131">
        <f t="shared" ca="1" si="2298"/>
        <v>0</v>
      </c>
      <c r="BI116" s="2">
        <f ca="1">SUM(BH116:BH$124)*SSf</f>
        <v>0</v>
      </c>
      <c r="BJ116" s="70">
        <f t="shared" ca="1" si="1563"/>
        <v>99999.012970709329</v>
      </c>
      <c r="BK116" s="2">
        <f t="shared" ref="BK116" ca="1" si="2459">IFERROR(VLOOKUP($S116,qx_table,MATCH(BK$11,qx_title,0)+sexB),0)</f>
        <v>0</v>
      </c>
      <c r="BL116" s="131">
        <f t="shared" ca="1" si="2300"/>
        <v>0</v>
      </c>
      <c r="BM116" s="131">
        <f ca="1">SUM(BL116:BL$124)*SSg</f>
        <v>0</v>
      </c>
      <c r="BN116" s="70">
        <f t="shared" ca="1" si="1566"/>
        <v>99999.012970709329</v>
      </c>
      <c r="BO116" s="2">
        <f t="shared" ref="BO116" ca="1" si="2460">IFERROR(VLOOKUP($S116,qx_table,MATCH(BO$11,qx_title,0)+sexB),0)</f>
        <v>0</v>
      </c>
      <c r="BP116" s="131">
        <f t="shared" ca="1" si="2302"/>
        <v>0</v>
      </c>
      <c r="BQ116" s="131">
        <f ca="1">SUM(BP116:BP$124)*SSh</f>
        <v>0</v>
      </c>
      <c r="BR116" s="70">
        <f t="shared" ca="1" si="1569"/>
        <v>99999.012970709329</v>
      </c>
      <c r="BS116" s="2">
        <f t="shared" ref="BS116" ca="1" si="2461">IFERROR(VLOOKUP($S116,qx_table,MATCH(BS$11,qx_title,0)+sexB),0)*IF(R116=0,MCi,1)</f>
        <v>0</v>
      </c>
      <c r="BT116" s="131">
        <f t="shared" ca="1" si="2304"/>
        <v>0</v>
      </c>
      <c r="BU116" s="131">
        <f ca="1">SUM(BT116:BT$124)*SSi</f>
        <v>0</v>
      </c>
      <c r="BV116" s="70">
        <f t="shared" ca="1" si="1572"/>
        <v>99999.012970709329</v>
      </c>
      <c r="BW116" s="2">
        <f t="shared" ref="BW116" ca="1" si="2462">IFERROR(VLOOKUP($S116,qx_table,MATCH(BW$11,qx_title,0)+sexB),0)</f>
        <v>0</v>
      </c>
      <c r="BX116" s="131">
        <f t="shared" ca="1" si="2306"/>
        <v>0</v>
      </c>
      <c r="BY116" s="131">
        <f ca="1">SUM(BX116:BX$124)*SSj</f>
        <v>0</v>
      </c>
      <c r="BZ116" s="70">
        <f t="shared" ca="1" si="1575"/>
        <v>99999.012970709329</v>
      </c>
      <c r="CA116" s="2">
        <f t="shared" ref="CA116" ca="1" si="2463">IFERROR(VLOOKUP($S116,qx_table,MATCH(CA$11,qx_title,0)+sexB),0)</f>
        <v>0</v>
      </c>
      <c r="CB116" s="131">
        <f t="shared" ca="1" si="2308"/>
        <v>0</v>
      </c>
      <c r="CC116" s="131">
        <f ca="1">SUM(CB116:CB$124)*SSk</f>
        <v>0</v>
      </c>
      <c r="CD116" s="8">
        <f t="shared" ca="1" si="1578"/>
        <v>99999.012970709329</v>
      </c>
      <c r="CE116" s="2">
        <f t="shared" ref="CE116" ca="1" si="2464">IFERROR(VLOOKUP($S116,qx_table,MATCH(CE$11,qx_title,0)+sexB),0)</f>
        <v>0</v>
      </c>
      <c r="CF116" s="131">
        <f t="shared" ca="1" si="2310"/>
        <v>0</v>
      </c>
      <c r="CG116" s="131">
        <f ca="1">SUM(CF116:CF$124)*SSl</f>
        <v>0</v>
      </c>
      <c r="CH116" s="101">
        <f t="shared" ca="1" si="1581"/>
        <v>0</v>
      </c>
      <c r="CI116" s="154">
        <f t="shared" ca="1" si="2268"/>
        <v>0</v>
      </c>
      <c r="CJ116" s="32">
        <f t="shared" ca="1" si="1524"/>
        <v>0</v>
      </c>
      <c r="CK116" s="32">
        <f t="shared" ref="CK116" ca="1" si="2465">+MAX(VLOOKUP(xB+$R116,기수표B,$AH$1)-VLOOKUP(xB+mB,기수표B,$AH$1)-11/24*(VLOOKUP(xB+$R116,기수표B,$AG$1)-VLOOKUP(xB+mB,기수표B,$AG$1)),0)</f>
        <v>0</v>
      </c>
      <c r="CL116" s="32">
        <f t="shared" ref="CL116" ca="1" si="2466">+MAX(VLOOKUP(xB+$R116,기수표B,$AA$1)-VLOOKUP(xB+mB,기수표B,$AA$1),0)</f>
        <v>0</v>
      </c>
      <c r="CM116" s="32">
        <f t="shared" ref="CM116" ca="1" si="2467">+MAX(VLOOKUP(xB+$R116,기수표B,$AA$1)-VLOOKUP(xB+mB,기수표B,$AA$1)-11/24*(VLOOKUP(xB+$R116,기수표B,$AA$1)-VLOOKUP(xB+mB,기수표B,$AA$1)),0)</f>
        <v>0</v>
      </c>
      <c r="CN116" s="32">
        <f t="shared" si="2272"/>
        <v>0</v>
      </c>
      <c r="CO116" s="32">
        <f t="shared" ca="1" si="2273"/>
        <v>0</v>
      </c>
      <c r="CP116" s="32">
        <f t="shared" ca="1" si="2274"/>
        <v>0</v>
      </c>
      <c r="CQ116" s="262">
        <f t="shared" ca="1" si="2275"/>
        <v>0</v>
      </c>
      <c r="CR116" s="259" t="e">
        <f t="shared" ca="1" si="2276"/>
        <v>#DIV/0!</v>
      </c>
      <c r="CS116" s="32">
        <f t="shared" ca="1" si="2277"/>
        <v>1.5999999999999999E-5</v>
      </c>
      <c r="CT116" s="31">
        <f t="shared" ref="CT116" si="2468">+MIN(mB,7)</f>
        <v>7</v>
      </c>
      <c r="CV116" s="13">
        <v>104</v>
      </c>
      <c r="CW116" s="477">
        <f t="shared" ca="1" si="2279"/>
        <v>480</v>
      </c>
      <c r="CX116" s="477" t="e">
        <f t="shared" ca="1" si="2280"/>
        <v>#DIV/0!</v>
      </c>
      <c r="CY116" s="477">
        <f t="shared" ca="1" si="2281"/>
        <v>0</v>
      </c>
      <c r="CZ116" s="478">
        <f t="shared" ca="1" si="1586"/>
        <v>0</v>
      </c>
    </row>
    <row r="117" spans="3:104">
      <c r="C117" s="33"/>
      <c r="D117" s="33"/>
      <c r="N117" s="5">
        <f t="shared" si="1587"/>
        <v>105</v>
      </c>
      <c r="O117" s="2">
        <f t="shared" ref="O117" ca="1" si="2469">+(1+iB)^-N117</f>
        <v>9.6683363071401129E-2</v>
      </c>
      <c r="P117" s="2">
        <f t="shared" ref="P117" ca="1" si="2470">+(1+iB)^-(N117+0.5)</f>
        <v>9.5613692458872579E-2</v>
      </c>
      <c r="Q117" s="91"/>
      <c r="R117" s="20">
        <f t="shared" si="1590"/>
        <v>105</v>
      </c>
      <c r="S117" s="20" t="str">
        <f t="shared" ref="S117" si="2471">+IF(xB+R117&lt;=xB+nB,xB+R117,"")</f>
        <v/>
      </c>
      <c r="T117" s="2">
        <f t="shared" ref="T117:U117" ca="1" si="2472">IFERROR(VLOOKUP($S117,qx_table,MATCH(T$11,qx_title,0)+sexB),0)</f>
        <v>0</v>
      </c>
      <c r="U117" s="2">
        <f t="shared" ca="1" si="2472"/>
        <v>0</v>
      </c>
      <c r="V117" s="300">
        <v>0</v>
      </c>
      <c r="W117" s="8">
        <f t="shared" ref="W117" si="2473">IF(R117=0,100000,IF(R117&gt;nB,0,W116*(1-X116)*(1-Y116)))</f>
        <v>0</v>
      </c>
      <c r="X117" s="10">
        <f t="shared" ca="1" si="1502"/>
        <v>0</v>
      </c>
      <c r="Y117" s="10">
        <f t="shared" ca="1" si="1503"/>
        <v>0</v>
      </c>
      <c r="Z117" s="5">
        <f t="shared" ca="1" si="1543"/>
        <v>0</v>
      </c>
      <c r="AA117" s="5">
        <f ca="1">+SUM(Z117:Z$124)</f>
        <v>0</v>
      </c>
      <c r="AB117" s="8">
        <f t="shared" ca="1" si="1504"/>
        <v>0</v>
      </c>
      <c r="AC117" s="209">
        <f ca="1">+SUM(AB117:AB$124)*SSSM</f>
        <v>0</v>
      </c>
      <c r="AD117" s="209">
        <f t="shared" ref="AD117" si="2474">IF(R117&gt;nB,0,AD116*(1-X116)*(1-Y116)*(1-AE116)*(1-AF116))</f>
        <v>0</v>
      </c>
      <c r="AE117" s="92">
        <f t="shared" ca="1" si="1506"/>
        <v>0</v>
      </c>
      <c r="AF117" s="92">
        <f t="shared" ca="1" si="1507"/>
        <v>0</v>
      </c>
      <c r="AG117" s="8">
        <f t="shared" ca="1" si="1508"/>
        <v>0</v>
      </c>
      <c r="AH117" s="5">
        <f ca="1">+SUM(AG117:AG$124)</f>
        <v>0</v>
      </c>
      <c r="AI117" s="70">
        <f t="shared" ca="1" si="1509"/>
        <v>0</v>
      </c>
      <c r="AJ117" s="208">
        <f ca="1">+SUM(AB117:AB$124)*SS50J</f>
        <v>0</v>
      </c>
      <c r="AK117" s="5">
        <f t="shared" ca="1" si="1545"/>
        <v>99999.012970709329</v>
      </c>
      <c r="AL117" s="2">
        <f t="shared" ref="AL117" ca="1" si="2475">IFERROR(VLOOKUP($S117,qx_table,MATCH(AL$11,qx_title,0)+sexB),0)</f>
        <v>0</v>
      </c>
      <c r="AM117" s="131">
        <f t="shared" ca="1" si="1547"/>
        <v>9668.2408778288409</v>
      </c>
      <c r="AN117" s="129">
        <f t="shared" ca="1" si="2256"/>
        <v>0</v>
      </c>
      <c r="AO117" s="129">
        <f ca="1">SUM(AN117:AN$124)*SSa</f>
        <v>0</v>
      </c>
      <c r="AP117" s="70">
        <f t="shared" ca="1" si="1548"/>
        <v>99999.012970709329</v>
      </c>
      <c r="AQ117" s="2">
        <f t="shared" ref="AQ117" ca="1" si="2476">IFERROR(VLOOKUP($S117,qx_table,MATCH(AQ$11,qx_title,0)+sexB),0)</f>
        <v>0</v>
      </c>
      <c r="AR117" s="127">
        <f t="shared" ca="1" si="2290"/>
        <v>0</v>
      </c>
      <c r="AS117" s="127">
        <f ca="1">SUM(AR117:AR$124)*SSb</f>
        <v>0</v>
      </c>
      <c r="AT117" s="70">
        <f t="shared" ca="1" si="1551"/>
        <v>99999.012970709329</v>
      </c>
      <c r="AU117" s="2">
        <f t="shared" ref="AU117" ca="1" si="2477">IFERROR(VLOOKUP($S117,qx_table,MATCH(AU$11,qx_title,0)+sexB),0)</f>
        <v>0</v>
      </c>
      <c r="AV117" s="268">
        <f t="shared" ca="1" si="2292"/>
        <v>0</v>
      </c>
      <c r="AW117" s="131">
        <f ca="1">SUM(AV117:AV$124)*SSc</f>
        <v>0</v>
      </c>
      <c r="AX117" s="70">
        <f t="shared" ca="1" si="1554"/>
        <v>99999.012970709329</v>
      </c>
      <c r="AY117" s="2">
        <f t="shared" ref="AY117" ca="1" si="2478">IFERROR(VLOOKUP($S117,qx_table,MATCH(AY$11,qx_title,0)+sexB),0)</f>
        <v>0</v>
      </c>
      <c r="AZ117" s="268">
        <f t="shared" ca="1" si="2294"/>
        <v>0</v>
      </c>
      <c r="BA117" s="129">
        <f ca="1">SUM(AZ117:AZ$124)*SSd</f>
        <v>0</v>
      </c>
      <c r="BB117" s="70">
        <f t="shared" ca="1" si="1557"/>
        <v>99999.012970709329</v>
      </c>
      <c r="BC117" s="257">
        <f t="shared" ref="BC117" ca="1" si="2479">IFERROR(VLOOKUP($S117,qx_table,MATCH(BC$11,qx_title,0)+sexB),0)</f>
        <v>0</v>
      </c>
      <c r="BD117" s="268">
        <f t="shared" ca="1" si="2296"/>
        <v>0</v>
      </c>
      <c r="BE117" s="131">
        <f ca="1">SUM(BD117:BD$124)*SSe</f>
        <v>0</v>
      </c>
      <c r="BF117" s="70">
        <f t="shared" ca="1" si="1560"/>
        <v>99999.012970709329</v>
      </c>
      <c r="BG117" s="2">
        <f t="shared" ref="BG117" ca="1" si="2480">IFERROR(VLOOKUP($S117,qx_table,MATCH(BG$11,qx_title,0)+sexB),0)</f>
        <v>0</v>
      </c>
      <c r="BH117" s="131">
        <f t="shared" ca="1" si="2298"/>
        <v>0</v>
      </c>
      <c r="BI117" s="2">
        <f ca="1">SUM(BH117:BH$124)*SSf</f>
        <v>0</v>
      </c>
      <c r="BJ117" s="70">
        <f t="shared" ca="1" si="1563"/>
        <v>99999.012970709329</v>
      </c>
      <c r="BK117" s="2">
        <f t="shared" ref="BK117" ca="1" si="2481">IFERROR(VLOOKUP($S117,qx_table,MATCH(BK$11,qx_title,0)+sexB),0)</f>
        <v>0</v>
      </c>
      <c r="BL117" s="131">
        <f t="shared" ca="1" si="2300"/>
        <v>0</v>
      </c>
      <c r="BM117" s="131">
        <f ca="1">SUM(BL117:BL$124)*SSg</f>
        <v>0</v>
      </c>
      <c r="BN117" s="70">
        <f t="shared" ca="1" si="1566"/>
        <v>99999.012970709329</v>
      </c>
      <c r="BO117" s="2">
        <f t="shared" ref="BO117" ca="1" si="2482">IFERROR(VLOOKUP($S117,qx_table,MATCH(BO$11,qx_title,0)+sexB),0)</f>
        <v>0</v>
      </c>
      <c r="BP117" s="131">
        <f t="shared" ca="1" si="2302"/>
        <v>0</v>
      </c>
      <c r="BQ117" s="131">
        <f ca="1">SUM(BP117:BP$124)*SSh</f>
        <v>0</v>
      </c>
      <c r="BR117" s="70">
        <f t="shared" ca="1" si="1569"/>
        <v>99999.012970709329</v>
      </c>
      <c r="BS117" s="2">
        <f t="shared" ref="BS117" ca="1" si="2483">IFERROR(VLOOKUP($S117,qx_table,MATCH(BS$11,qx_title,0)+sexB),0)*IF(R117=0,MCi,1)</f>
        <v>0</v>
      </c>
      <c r="BT117" s="131">
        <f t="shared" ca="1" si="2304"/>
        <v>0</v>
      </c>
      <c r="BU117" s="131">
        <f ca="1">SUM(BT117:BT$124)*SSi</f>
        <v>0</v>
      </c>
      <c r="BV117" s="70">
        <f t="shared" ca="1" si="1572"/>
        <v>99999.012970709329</v>
      </c>
      <c r="BW117" s="2">
        <f t="shared" ref="BW117" ca="1" si="2484">IFERROR(VLOOKUP($S117,qx_table,MATCH(BW$11,qx_title,0)+sexB),0)</f>
        <v>0</v>
      </c>
      <c r="BX117" s="131">
        <f t="shared" ca="1" si="2306"/>
        <v>0</v>
      </c>
      <c r="BY117" s="131">
        <f ca="1">SUM(BX117:BX$124)*SSj</f>
        <v>0</v>
      </c>
      <c r="BZ117" s="70">
        <f t="shared" ca="1" si="1575"/>
        <v>99999.012970709329</v>
      </c>
      <c r="CA117" s="2">
        <f t="shared" ref="CA117" ca="1" si="2485">IFERROR(VLOOKUP($S117,qx_table,MATCH(CA$11,qx_title,0)+sexB),0)</f>
        <v>0</v>
      </c>
      <c r="CB117" s="131">
        <f t="shared" ca="1" si="2308"/>
        <v>0</v>
      </c>
      <c r="CC117" s="131">
        <f ca="1">SUM(CB117:CB$124)*SSk</f>
        <v>0</v>
      </c>
      <c r="CD117" s="8">
        <f t="shared" ca="1" si="1578"/>
        <v>99999.012970709329</v>
      </c>
      <c r="CE117" s="2">
        <f t="shared" ref="CE117" ca="1" si="2486">IFERROR(VLOOKUP($S117,qx_table,MATCH(CE$11,qx_title,0)+sexB),0)</f>
        <v>0</v>
      </c>
      <c r="CF117" s="131">
        <f t="shared" ca="1" si="2310"/>
        <v>0</v>
      </c>
      <c r="CG117" s="131">
        <f ca="1">SUM(CF117:CF$124)*SSl</f>
        <v>0</v>
      </c>
      <c r="CH117" s="101">
        <f t="shared" ca="1" si="1581"/>
        <v>0</v>
      </c>
      <c r="CI117" s="154">
        <f t="shared" ca="1" si="2268"/>
        <v>0</v>
      </c>
      <c r="CJ117" s="32">
        <f t="shared" ca="1" si="1524"/>
        <v>0</v>
      </c>
      <c r="CK117" s="32">
        <f t="shared" ref="CK117" ca="1" si="2487">+MAX(VLOOKUP(xB+$R117,기수표B,$AH$1)-VLOOKUP(xB+mB,기수표B,$AH$1)-11/24*(VLOOKUP(xB+$R117,기수표B,$AG$1)-VLOOKUP(xB+mB,기수표B,$AG$1)),0)</f>
        <v>0</v>
      </c>
      <c r="CL117" s="32">
        <f t="shared" ref="CL117" ca="1" si="2488">+MAX(VLOOKUP(xB+$R117,기수표B,$AA$1)-VLOOKUP(xB+mB,기수표B,$AA$1),0)</f>
        <v>0</v>
      </c>
      <c r="CM117" s="32">
        <f t="shared" ref="CM117" ca="1" si="2489">+MAX(VLOOKUP(xB+$R117,기수표B,$AA$1)-VLOOKUP(xB+mB,기수표B,$AA$1)-11/24*(VLOOKUP(xB+$R117,기수표B,$AA$1)-VLOOKUP(xB+mB,기수표B,$AA$1)),0)</f>
        <v>0</v>
      </c>
      <c r="CN117" s="32">
        <f t="shared" si="2272"/>
        <v>0</v>
      </c>
      <c r="CO117" s="32">
        <f t="shared" ca="1" si="2273"/>
        <v>0</v>
      </c>
      <c r="CP117" s="32">
        <f t="shared" ca="1" si="2274"/>
        <v>0</v>
      </c>
      <c r="CQ117" s="262">
        <f t="shared" ca="1" si="2275"/>
        <v>0</v>
      </c>
      <c r="CR117" s="259" t="e">
        <f t="shared" ca="1" si="2276"/>
        <v>#DIV/0!</v>
      </c>
      <c r="CS117" s="32">
        <f t="shared" ca="1" si="2277"/>
        <v>1.5999999999999999E-5</v>
      </c>
      <c r="CT117" s="31">
        <f t="shared" ref="CT117" si="2490">+MIN(mB,7)</f>
        <v>7</v>
      </c>
      <c r="CV117" s="13">
        <v>105</v>
      </c>
      <c r="CW117" s="477">
        <f t="shared" ca="1" si="2279"/>
        <v>480</v>
      </c>
      <c r="CX117" s="477" t="e">
        <f t="shared" ca="1" si="2280"/>
        <v>#DIV/0!</v>
      </c>
      <c r="CY117" s="477">
        <f t="shared" ca="1" si="2281"/>
        <v>0</v>
      </c>
      <c r="CZ117" s="478">
        <f t="shared" ca="1" si="1586"/>
        <v>0</v>
      </c>
    </row>
    <row r="118" spans="3:104">
      <c r="C118" s="33"/>
      <c r="D118" s="33"/>
      <c r="N118" s="5">
        <f t="shared" si="1587"/>
        <v>106</v>
      </c>
      <c r="O118" s="2">
        <f t="shared" ref="O118" ca="1" si="2491">+(1+iB)^-N118</f>
        <v>9.4555856304548797E-2</v>
      </c>
      <c r="P118" s="2">
        <f t="shared" ref="P118" ca="1" si="2492">+(1+iB)^-(N118+0.5)</f>
        <v>9.3509723676159021E-2</v>
      </c>
      <c r="Q118" s="91"/>
      <c r="R118" s="20">
        <f t="shared" si="1590"/>
        <v>106</v>
      </c>
      <c r="S118" s="20" t="str">
        <f t="shared" ref="S118" si="2493">+IF(xB+R118&lt;=xB+nB,xB+R118,"")</f>
        <v/>
      </c>
      <c r="T118" s="2">
        <f t="shared" ref="T118:U118" ca="1" si="2494">IFERROR(VLOOKUP($S118,qx_table,MATCH(T$11,qx_title,0)+sexB),0)</f>
        <v>0</v>
      </c>
      <c r="U118" s="2">
        <f t="shared" ca="1" si="2494"/>
        <v>0</v>
      </c>
      <c r="V118" s="300">
        <v>0</v>
      </c>
      <c r="W118" s="8">
        <f t="shared" ref="W118" si="2495">IF(R118=0,100000,IF(R118&gt;nB,0,W117*(1-X117)*(1-Y117)))</f>
        <v>0</v>
      </c>
      <c r="X118" s="10">
        <f t="shared" ca="1" si="1502"/>
        <v>0</v>
      </c>
      <c r="Y118" s="10">
        <f t="shared" ca="1" si="1503"/>
        <v>0</v>
      </c>
      <c r="Z118" s="5">
        <f t="shared" ca="1" si="1543"/>
        <v>0</v>
      </c>
      <c r="AA118" s="5">
        <f ca="1">+SUM(Z118:Z$124)</f>
        <v>0</v>
      </c>
      <c r="AB118" s="8">
        <f t="shared" ca="1" si="1504"/>
        <v>0</v>
      </c>
      <c r="AC118" s="209">
        <f ca="1">+SUM(AB118:AB$124)*SSSM</f>
        <v>0</v>
      </c>
      <c r="AD118" s="209">
        <f t="shared" ref="AD118" si="2496">IF(R118&gt;nB,0,AD117*(1-X117)*(1-Y117)*(1-AE117)*(1-AF117))</f>
        <v>0</v>
      </c>
      <c r="AE118" s="92">
        <f t="shared" ca="1" si="1506"/>
        <v>0</v>
      </c>
      <c r="AF118" s="92">
        <f t="shared" ca="1" si="1507"/>
        <v>0</v>
      </c>
      <c r="AG118" s="8">
        <f t="shared" ca="1" si="1508"/>
        <v>0</v>
      </c>
      <c r="AH118" s="5">
        <f ca="1">+SUM(AG118:AG$124)</f>
        <v>0</v>
      </c>
      <c r="AI118" s="70">
        <f t="shared" ca="1" si="1509"/>
        <v>0</v>
      </c>
      <c r="AJ118" s="208">
        <f ca="1">+SUM(AB118:AB$124)*SS50J</f>
        <v>0</v>
      </c>
      <c r="AK118" s="5">
        <f t="shared" ca="1" si="1545"/>
        <v>99999.012970709329</v>
      </c>
      <c r="AL118" s="2">
        <f t="shared" ref="AL118" ca="1" si="2497">IFERROR(VLOOKUP($S118,qx_table,MATCH(AL$11,qx_title,0)+sexB),0)</f>
        <v>0</v>
      </c>
      <c r="AM118" s="131">
        <f t="shared" ca="1" si="1547"/>
        <v>9455.4923010551029</v>
      </c>
      <c r="AN118" s="129">
        <f t="shared" ca="1" si="2256"/>
        <v>0</v>
      </c>
      <c r="AO118" s="129">
        <f ca="1">SUM(AN118:AN$124)*SSa</f>
        <v>0</v>
      </c>
      <c r="AP118" s="70">
        <f t="shared" ca="1" si="1548"/>
        <v>99999.012970709329</v>
      </c>
      <c r="AQ118" s="2">
        <f t="shared" ref="AQ118" ca="1" si="2498">IFERROR(VLOOKUP($S118,qx_table,MATCH(AQ$11,qx_title,0)+sexB),0)</f>
        <v>0</v>
      </c>
      <c r="AR118" s="127">
        <f t="shared" ca="1" si="2290"/>
        <v>0</v>
      </c>
      <c r="AS118" s="127">
        <f ca="1">SUM(AR118:AR$124)*SSb</f>
        <v>0</v>
      </c>
      <c r="AT118" s="70">
        <f t="shared" ca="1" si="1551"/>
        <v>99999.012970709329</v>
      </c>
      <c r="AU118" s="2">
        <f t="shared" ref="AU118" ca="1" si="2499">IFERROR(VLOOKUP($S118,qx_table,MATCH(AU$11,qx_title,0)+sexB),0)</f>
        <v>0</v>
      </c>
      <c r="AV118" s="268">
        <f t="shared" ca="1" si="2292"/>
        <v>0</v>
      </c>
      <c r="AW118" s="131">
        <f ca="1">SUM(AV118:AV$124)*SSc</f>
        <v>0</v>
      </c>
      <c r="AX118" s="70">
        <f t="shared" ca="1" si="1554"/>
        <v>99999.012970709329</v>
      </c>
      <c r="AY118" s="2">
        <f t="shared" ref="AY118" ca="1" si="2500">IFERROR(VLOOKUP($S118,qx_table,MATCH(AY$11,qx_title,0)+sexB),0)</f>
        <v>0</v>
      </c>
      <c r="AZ118" s="268">
        <f t="shared" ca="1" si="2294"/>
        <v>0</v>
      </c>
      <c r="BA118" s="129">
        <f ca="1">SUM(AZ118:AZ$124)*SSd</f>
        <v>0</v>
      </c>
      <c r="BB118" s="70">
        <f t="shared" ca="1" si="1557"/>
        <v>99999.012970709329</v>
      </c>
      <c r="BC118" s="257">
        <f t="shared" ref="BC118" ca="1" si="2501">IFERROR(VLOOKUP($S118,qx_table,MATCH(BC$11,qx_title,0)+sexB),0)</f>
        <v>0</v>
      </c>
      <c r="BD118" s="268">
        <f t="shared" ca="1" si="2296"/>
        <v>0</v>
      </c>
      <c r="BE118" s="131">
        <f ca="1">SUM(BD118:BD$124)*SSe</f>
        <v>0</v>
      </c>
      <c r="BF118" s="70">
        <f t="shared" ca="1" si="1560"/>
        <v>99999.012970709329</v>
      </c>
      <c r="BG118" s="2">
        <f t="shared" ref="BG118" ca="1" si="2502">IFERROR(VLOOKUP($S118,qx_table,MATCH(BG$11,qx_title,0)+sexB),0)</f>
        <v>0</v>
      </c>
      <c r="BH118" s="131">
        <f t="shared" ca="1" si="2298"/>
        <v>0</v>
      </c>
      <c r="BI118" s="2">
        <f ca="1">SUM(BH118:BH$124)*SSf</f>
        <v>0</v>
      </c>
      <c r="BJ118" s="70">
        <f t="shared" ca="1" si="1563"/>
        <v>99999.012970709329</v>
      </c>
      <c r="BK118" s="2">
        <f t="shared" ref="BK118" ca="1" si="2503">IFERROR(VLOOKUP($S118,qx_table,MATCH(BK$11,qx_title,0)+sexB),0)</f>
        <v>0</v>
      </c>
      <c r="BL118" s="131">
        <f t="shared" ca="1" si="2300"/>
        <v>0</v>
      </c>
      <c r="BM118" s="131">
        <f ca="1">SUM(BL118:BL$124)*SSg</f>
        <v>0</v>
      </c>
      <c r="BN118" s="70">
        <f t="shared" ca="1" si="1566"/>
        <v>99999.012970709329</v>
      </c>
      <c r="BO118" s="2">
        <f t="shared" ref="BO118" ca="1" si="2504">IFERROR(VLOOKUP($S118,qx_table,MATCH(BO$11,qx_title,0)+sexB),0)</f>
        <v>0</v>
      </c>
      <c r="BP118" s="131">
        <f t="shared" ca="1" si="2302"/>
        <v>0</v>
      </c>
      <c r="BQ118" s="131">
        <f ca="1">SUM(BP118:BP$124)*SSh</f>
        <v>0</v>
      </c>
      <c r="BR118" s="70">
        <f t="shared" ca="1" si="1569"/>
        <v>99999.012970709329</v>
      </c>
      <c r="BS118" s="2">
        <f t="shared" ref="BS118" ca="1" si="2505">IFERROR(VLOOKUP($S118,qx_table,MATCH(BS$11,qx_title,0)+sexB),0)*IF(R118=0,MCi,1)</f>
        <v>0</v>
      </c>
      <c r="BT118" s="131">
        <f t="shared" ca="1" si="2304"/>
        <v>0</v>
      </c>
      <c r="BU118" s="131">
        <f ca="1">SUM(BT118:BT$124)*SSi</f>
        <v>0</v>
      </c>
      <c r="BV118" s="70">
        <f t="shared" ca="1" si="1572"/>
        <v>99999.012970709329</v>
      </c>
      <c r="BW118" s="2">
        <f t="shared" ref="BW118" ca="1" si="2506">IFERROR(VLOOKUP($S118,qx_table,MATCH(BW$11,qx_title,0)+sexB),0)</f>
        <v>0</v>
      </c>
      <c r="BX118" s="131">
        <f t="shared" ca="1" si="2306"/>
        <v>0</v>
      </c>
      <c r="BY118" s="131">
        <f ca="1">SUM(BX118:BX$124)*SSj</f>
        <v>0</v>
      </c>
      <c r="BZ118" s="70">
        <f t="shared" ca="1" si="1575"/>
        <v>99999.012970709329</v>
      </c>
      <c r="CA118" s="2">
        <f t="shared" ref="CA118" ca="1" si="2507">IFERROR(VLOOKUP($S118,qx_table,MATCH(CA$11,qx_title,0)+sexB),0)</f>
        <v>0</v>
      </c>
      <c r="CB118" s="131">
        <f t="shared" ca="1" si="2308"/>
        <v>0</v>
      </c>
      <c r="CC118" s="131">
        <f ca="1">SUM(CB118:CB$124)*SSk</f>
        <v>0</v>
      </c>
      <c r="CD118" s="8">
        <f t="shared" ca="1" si="1578"/>
        <v>99999.012970709329</v>
      </c>
      <c r="CE118" s="2">
        <f t="shared" ref="CE118" ca="1" si="2508">IFERROR(VLOOKUP($S118,qx_table,MATCH(CE$11,qx_title,0)+sexB),0)</f>
        <v>0</v>
      </c>
      <c r="CF118" s="131">
        <f t="shared" ca="1" si="2310"/>
        <v>0</v>
      </c>
      <c r="CG118" s="131">
        <f ca="1">SUM(CF118:CF$124)*SSl</f>
        <v>0</v>
      </c>
      <c r="CH118" s="101">
        <f t="shared" ca="1" si="1581"/>
        <v>0</v>
      </c>
      <c r="CI118" s="154">
        <f t="shared" ca="1" si="2268"/>
        <v>0</v>
      </c>
      <c r="CJ118" s="32">
        <f t="shared" ca="1" si="1524"/>
        <v>0</v>
      </c>
      <c r="CK118" s="32">
        <f t="shared" ref="CK118" ca="1" si="2509">+MAX(VLOOKUP(xB+$R118,기수표B,$AH$1)-VLOOKUP(xB+mB,기수표B,$AH$1)-11/24*(VLOOKUP(xB+$R118,기수표B,$AG$1)-VLOOKUP(xB+mB,기수표B,$AG$1)),0)</f>
        <v>0</v>
      </c>
      <c r="CL118" s="32">
        <f t="shared" ref="CL118" ca="1" si="2510">+MAX(VLOOKUP(xB+$R118,기수표B,$AA$1)-VLOOKUP(xB+mB,기수표B,$AA$1),0)</f>
        <v>0</v>
      </c>
      <c r="CM118" s="32">
        <f t="shared" ref="CM118" ca="1" si="2511">+MAX(VLOOKUP(xB+$R118,기수표B,$AA$1)-VLOOKUP(xB+mB,기수표B,$AA$1)-11/24*(VLOOKUP(xB+$R118,기수표B,$AA$1)-VLOOKUP(xB+mB,기수표B,$AA$1)),0)</f>
        <v>0</v>
      </c>
      <c r="CN118" s="32">
        <f t="shared" si="2272"/>
        <v>0</v>
      </c>
      <c r="CO118" s="32">
        <f t="shared" ca="1" si="2273"/>
        <v>0</v>
      </c>
      <c r="CP118" s="32">
        <f t="shared" ca="1" si="2274"/>
        <v>0</v>
      </c>
      <c r="CQ118" s="262">
        <f t="shared" ca="1" si="2275"/>
        <v>0</v>
      </c>
      <c r="CR118" s="259" t="e">
        <f t="shared" ca="1" si="2276"/>
        <v>#DIV/0!</v>
      </c>
      <c r="CS118" s="32">
        <f t="shared" ca="1" si="2277"/>
        <v>1.5999999999999999E-5</v>
      </c>
      <c r="CT118" s="31">
        <f t="shared" ref="CT118" si="2512">+MIN(mB,7)</f>
        <v>7</v>
      </c>
      <c r="CV118" s="13">
        <v>106</v>
      </c>
      <c r="CW118" s="477">
        <f t="shared" ca="1" si="2279"/>
        <v>480</v>
      </c>
      <c r="CX118" s="477" t="e">
        <f t="shared" ca="1" si="2280"/>
        <v>#DIV/0!</v>
      </c>
      <c r="CY118" s="477">
        <f t="shared" ca="1" si="2281"/>
        <v>0</v>
      </c>
      <c r="CZ118" s="478">
        <f t="shared" ca="1" si="1586"/>
        <v>0</v>
      </c>
    </row>
    <row r="119" spans="3:104">
      <c r="C119" s="33"/>
      <c r="D119" s="33"/>
      <c r="N119" s="5">
        <f t="shared" si="1587"/>
        <v>107</v>
      </c>
      <c r="O119" s="2">
        <f t="shared" ref="O119" ca="1" si="2513">+(1+iB)^-N119</f>
        <v>9.2475165090023265E-2</v>
      </c>
      <c r="P119" s="2">
        <f t="shared" ref="P119" ca="1" si="2514">+(1+iB)^-(N119+0.5)</f>
        <v>9.1452052495021072E-2</v>
      </c>
      <c r="Q119" s="91"/>
      <c r="R119" s="20">
        <f t="shared" si="1590"/>
        <v>107</v>
      </c>
      <c r="S119" s="20" t="str">
        <f t="shared" ref="S119" si="2515">+IF(xB+R119&lt;=xB+nB,xB+R119,"")</f>
        <v/>
      </c>
      <c r="T119" s="2">
        <f t="shared" ref="T119:U119" ca="1" si="2516">IFERROR(VLOOKUP($S119,qx_table,MATCH(T$11,qx_title,0)+sexB),0)</f>
        <v>0</v>
      </c>
      <c r="U119" s="2">
        <f t="shared" ca="1" si="2516"/>
        <v>0</v>
      </c>
      <c r="V119" s="300">
        <v>0</v>
      </c>
      <c r="W119" s="8">
        <f t="shared" ref="W119" si="2517">IF(R119=0,100000,IF(R119&gt;nB,0,W118*(1-X118)*(1-Y118)))</f>
        <v>0</v>
      </c>
      <c r="X119" s="10">
        <f t="shared" ca="1" si="1502"/>
        <v>0</v>
      </c>
      <c r="Y119" s="10">
        <f t="shared" ca="1" si="1503"/>
        <v>0</v>
      </c>
      <c r="Z119" s="5">
        <f t="shared" ca="1" si="1543"/>
        <v>0</v>
      </c>
      <c r="AA119" s="5">
        <f ca="1">+SUM(Z119:Z$124)</f>
        <v>0</v>
      </c>
      <c r="AB119" s="8">
        <f t="shared" ca="1" si="1504"/>
        <v>0</v>
      </c>
      <c r="AC119" s="209">
        <f ca="1">+SUM(AB119:AB$124)*SSSM</f>
        <v>0</v>
      </c>
      <c r="AD119" s="209">
        <f t="shared" ref="AD119" si="2518">IF(R119&gt;nB,0,AD118*(1-X118)*(1-Y118)*(1-AE118)*(1-AF118))</f>
        <v>0</v>
      </c>
      <c r="AE119" s="92">
        <f t="shared" ca="1" si="1506"/>
        <v>0</v>
      </c>
      <c r="AF119" s="92">
        <f t="shared" ca="1" si="1507"/>
        <v>0</v>
      </c>
      <c r="AG119" s="8">
        <f t="shared" ca="1" si="1508"/>
        <v>0</v>
      </c>
      <c r="AH119" s="5">
        <f ca="1">+SUM(AG119:AG$124)</f>
        <v>0</v>
      </c>
      <c r="AI119" s="70">
        <f t="shared" ca="1" si="1509"/>
        <v>0</v>
      </c>
      <c r="AJ119" s="208">
        <f ca="1">+SUM(AB119:AB$124)*SS50J</f>
        <v>0</v>
      </c>
      <c r="AK119" s="5">
        <f t="shared" ca="1" si="1545"/>
        <v>99999.012970709329</v>
      </c>
      <c r="AL119" s="2">
        <f t="shared" ref="AL119" ca="1" si="2519">IFERROR(VLOOKUP($S119,qx_table,MATCH(AL$11,qx_title,0)+sexB),0)</f>
        <v>0</v>
      </c>
      <c r="AM119" s="131">
        <f t="shared" ca="1" si="1547"/>
        <v>9247.4252333057229</v>
      </c>
      <c r="AN119" s="129">
        <f t="shared" ca="1" si="2256"/>
        <v>0</v>
      </c>
      <c r="AO119" s="129">
        <f ca="1">SUM(AN119:AN$124)*SSa</f>
        <v>0</v>
      </c>
      <c r="AP119" s="70">
        <f t="shared" ca="1" si="1548"/>
        <v>99999.012970709329</v>
      </c>
      <c r="AQ119" s="2">
        <f t="shared" ref="AQ119" ca="1" si="2520">IFERROR(VLOOKUP($S119,qx_table,MATCH(AQ$11,qx_title,0)+sexB),0)</f>
        <v>0</v>
      </c>
      <c r="AR119" s="127">
        <f t="shared" ca="1" si="2290"/>
        <v>0</v>
      </c>
      <c r="AS119" s="127">
        <f ca="1">SUM(AR119:AR$124)*SSb</f>
        <v>0</v>
      </c>
      <c r="AT119" s="70">
        <f t="shared" ca="1" si="1551"/>
        <v>99999.012970709329</v>
      </c>
      <c r="AU119" s="2">
        <f t="shared" ref="AU119" ca="1" si="2521">IFERROR(VLOOKUP($S119,qx_table,MATCH(AU$11,qx_title,0)+sexB),0)</f>
        <v>0</v>
      </c>
      <c r="AV119" s="268">
        <f t="shared" ca="1" si="2292"/>
        <v>0</v>
      </c>
      <c r="AW119" s="131">
        <f ca="1">SUM(AV119:AV$124)*SSc</f>
        <v>0</v>
      </c>
      <c r="AX119" s="70">
        <f t="shared" ca="1" si="1554"/>
        <v>99999.012970709329</v>
      </c>
      <c r="AY119" s="2">
        <f t="shared" ref="AY119" ca="1" si="2522">IFERROR(VLOOKUP($S119,qx_table,MATCH(AY$11,qx_title,0)+sexB),0)</f>
        <v>0</v>
      </c>
      <c r="AZ119" s="268">
        <f t="shared" ca="1" si="2294"/>
        <v>0</v>
      </c>
      <c r="BA119" s="129">
        <f ca="1">SUM(AZ119:AZ$124)*SSd</f>
        <v>0</v>
      </c>
      <c r="BB119" s="70">
        <f t="shared" ca="1" si="1557"/>
        <v>99999.012970709329</v>
      </c>
      <c r="BC119" s="257">
        <f t="shared" ref="BC119" ca="1" si="2523">IFERROR(VLOOKUP($S119,qx_table,MATCH(BC$11,qx_title,0)+sexB),0)</f>
        <v>0</v>
      </c>
      <c r="BD119" s="268">
        <f t="shared" ca="1" si="2296"/>
        <v>0</v>
      </c>
      <c r="BE119" s="131">
        <f ca="1">SUM(BD119:BD$124)*SSe</f>
        <v>0</v>
      </c>
      <c r="BF119" s="70">
        <f t="shared" ca="1" si="1560"/>
        <v>99999.012970709329</v>
      </c>
      <c r="BG119" s="2">
        <f t="shared" ref="BG119" ca="1" si="2524">IFERROR(VLOOKUP($S119,qx_table,MATCH(BG$11,qx_title,0)+sexB),0)</f>
        <v>0</v>
      </c>
      <c r="BH119" s="131">
        <f t="shared" ca="1" si="2298"/>
        <v>0</v>
      </c>
      <c r="BI119" s="2">
        <f ca="1">SUM(BH119:BH$124)*SSf</f>
        <v>0</v>
      </c>
      <c r="BJ119" s="70">
        <f t="shared" ca="1" si="1563"/>
        <v>99999.012970709329</v>
      </c>
      <c r="BK119" s="2">
        <f t="shared" ref="BK119" ca="1" si="2525">IFERROR(VLOOKUP($S119,qx_table,MATCH(BK$11,qx_title,0)+sexB),0)</f>
        <v>0</v>
      </c>
      <c r="BL119" s="131">
        <f t="shared" ca="1" si="2300"/>
        <v>0</v>
      </c>
      <c r="BM119" s="131">
        <f ca="1">SUM(BL119:BL$124)*SSg</f>
        <v>0</v>
      </c>
      <c r="BN119" s="70">
        <f t="shared" ca="1" si="1566"/>
        <v>99999.012970709329</v>
      </c>
      <c r="BO119" s="2">
        <f t="shared" ref="BO119" ca="1" si="2526">IFERROR(VLOOKUP($S119,qx_table,MATCH(BO$11,qx_title,0)+sexB),0)</f>
        <v>0</v>
      </c>
      <c r="BP119" s="131">
        <f t="shared" ca="1" si="2302"/>
        <v>0</v>
      </c>
      <c r="BQ119" s="131">
        <f ca="1">SUM(BP119:BP$124)*SSh</f>
        <v>0</v>
      </c>
      <c r="BR119" s="70">
        <f t="shared" ca="1" si="1569"/>
        <v>99999.012970709329</v>
      </c>
      <c r="BS119" s="2">
        <f t="shared" ref="BS119" ca="1" si="2527">IFERROR(VLOOKUP($S119,qx_table,MATCH(BS$11,qx_title,0)+sexB),0)*IF(R119=0,MCi,1)</f>
        <v>0</v>
      </c>
      <c r="BT119" s="131">
        <f t="shared" ca="1" si="2304"/>
        <v>0</v>
      </c>
      <c r="BU119" s="131">
        <f ca="1">SUM(BT119:BT$124)*SSi</f>
        <v>0</v>
      </c>
      <c r="BV119" s="70">
        <f t="shared" ca="1" si="1572"/>
        <v>99999.012970709329</v>
      </c>
      <c r="BW119" s="2">
        <f t="shared" ref="BW119" ca="1" si="2528">IFERROR(VLOOKUP($S119,qx_table,MATCH(BW$11,qx_title,0)+sexB),0)</f>
        <v>0</v>
      </c>
      <c r="BX119" s="131">
        <f t="shared" ca="1" si="2306"/>
        <v>0</v>
      </c>
      <c r="BY119" s="131">
        <f ca="1">SUM(BX119:BX$124)*SSj</f>
        <v>0</v>
      </c>
      <c r="BZ119" s="70">
        <f t="shared" ca="1" si="1575"/>
        <v>99999.012970709329</v>
      </c>
      <c r="CA119" s="2">
        <f t="shared" ref="CA119" ca="1" si="2529">IFERROR(VLOOKUP($S119,qx_table,MATCH(CA$11,qx_title,0)+sexB),0)</f>
        <v>0</v>
      </c>
      <c r="CB119" s="131">
        <f t="shared" ca="1" si="2308"/>
        <v>0</v>
      </c>
      <c r="CC119" s="131">
        <f ca="1">SUM(CB119:CB$124)*SSk</f>
        <v>0</v>
      </c>
      <c r="CD119" s="8">
        <f t="shared" ca="1" si="1578"/>
        <v>99999.012970709329</v>
      </c>
      <c r="CE119" s="2">
        <f t="shared" ref="CE119" ca="1" si="2530">IFERROR(VLOOKUP($S119,qx_table,MATCH(CE$11,qx_title,0)+sexB),0)</f>
        <v>0</v>
      </c>
      <c r="CF119" s="131">
        <f t="shared" ca="1" si="2310"/>
        <v>0</v>
      </c>
      <c r="CG119" s="131">
        <f ca="1">SUM(CF119:CF$124)*SSl</f>
        <v>0</v>
      </c>
      <c r="CH119" s="101">
        <f t="shared" ca="1" si="1581"/>
        <v>0</v>
      </c>
      <c r="CI119" s="154">
        <f t="shared" ca="1" si="2268"/>
        <v>0</v>
      </c>
      <c r="CJ119" s="32">
        <f t="shared" ca="1" si="1524"/>
        <v>0</v>
      </c>
      <c r="CK119" s="32">
        <f t="shared" ref="CK119" ca="1" si="2531">+MAX(VLOOKUP(xB+$R119,기수표B,$AH$1)-VLOOKUP(xB+mB,기수표B,$AH$1)-11/24*(VLOOKUP(xB+$R119,기수표B,$AG$1)-VLOOKUP(xB+mB,기수표B,$AG$1)),0)</f>
        <v>0</v>
      </c>
      <c r="CL119" s="32">
        <f t="shared" ref="CL119" ca="1" si="2532">+MAX(VLOOKUP(xB+$R119,기수표B,$AA$1)-VLOOKUP(xB+mB,기수표B,$AA$1),0)</f>
        <v>0</v>
      </c>
      <c r="CM119" s="32">
        <f t="shared" ref="CM119" ca="1" si="2533">+MAX(VLOOKUP(xB+$R119,기수표B,$AA$1)-VLOOKUP(xB+mB,기수표B,$AA$1)-11/24*(VLOOKUP(xB+$R119,기수표B,$AA$1)-VLOOKUP(xB+mB,기수표B,$AA$1)),0)</f>
        <v>0</v>
      </c>
      <c r="CN119" s="32">
        <f t="shared" si="2272"/>
        <v>0</v>
      </c>
      <c r="CO119" s="32">
        <f t="shared" ca="1" si="2273"/>
        <v>0</v>
      </c>
      <c r="CP119" s="32">
        <f t="shared" ca="1" si="2274"/>
        <v>0</v>
      </c>
      <c r="CQ119" s="262">
        <f t="shared" ca="1" si="2275"/>
        <v>0</v>
      </c>
      <c r="CR119" s="259" t="e">
        <f t="shared" ca="1" si="2276"/>
        <v>#DIV/0!</v>
      </c>
      <c r="CS119" s="32">
        <f t="shared" ca="1" si="2277"/>
        <v>1.5999999999999999E-5</v>
      </c>
      <c r="CT119" s="31">
        <f t="shared" ref="CT119" si="2534">+MIN(mB,7)</f>
        <v>7</v>
      </c>
      <c r="CV119" s="13">
        <v>107</v>
      </c>
      <c r="CW119" s="477">
        <f t="shared" ca="1" si="2279"/>
        <v>480</v>
      </c>
      <c r="CX119" s="477" t="e">
        <f t="shared" ca="1" si="2280"/>
        <v>#DIV/0!</v>
      </c>
      <c r="CY119" s="477">
        <f t="shared" ca="1" si="2281"/>
        <v>0</v>
      </c>
      <c r="CZ119" s="478">
        <f t="shared" ca="1" si="1586"/>
        <v>0</v>
      </c>
    </row>
    <row r="120" spans="3:104">
      <c r="C120" s="33"/>
      <c r="D120" s="33"/>
      <c r="N120" s="5">
        <f t="shared" si="1587"/>
        <v>108</v>
      </c>
      <c r="O120" s="2">
        <f t="shared" ref="O120" ca="1" si="2535">+(1+iB)^-N120</f>
        <v>9.0440259256746452E-2</v>
      </c>
      <c r="P120" s="2">
        <f t="shared" ref="P120" ca="1" si="2536">+(1+iB)^-(N120+0.5)</f>
        <v>8.9439660141829871E-2</v>
      </c>
      <c r="Q120" s="91"/>
      <c r="R120" s="20">
        <f t="shared" si="1590"/>
        <v>108</v>
      </c>
      <c r="S120" s="20" t="str">
        <f t="shared" ref="S120" si="2537">+IF(xB+R120&lt;=xB+nB,xB+R120,"")</f>
        <v/>
      </c>
      <c r="T120" s="2">
        <f t="shared" ref="T120:U120" ca="1" si="2538">IFERROR(VLOOKUP($S120,qx_table,MATCH(T$11,qx_title,0)+sexB),0)</f>
        <v>0</v>
      </c>
      <c r="U120" s="2">
        <f t="shared" ca="1" si="2538"/>
        <v>0</v>
      </c>
      <c r="V120" s="300">
        <v>0</v>
      </c>
      <c r="W120" s="8">
        <f t="shared" ref="W120" si="2539">IF(R120=0,100000,IF(R120&gt;nB,0,W119*(1-X119)*(1-Y119)))</f>
        <v>0</v>
      </c>
      <c r="X120" s="10">
        <f t="shared" ca="1" si="1502"/>
        <v>0</v>
      </c>
      <c r="Y120" s="10">
        <f t="shared" ca="1" si="1503"/>
        <v>0</v>
      </c>
      <c r="Z120" s="5">
        <f t="shared" ca="1" si="1543"/>
        <v>0</v>
      </c>
      <c r="AA120" s="5">
        <f ca="1">+SUM(Z120:Z$124)</f>
        <v>0</v>
      </c>
      <c r="AB120" s="8">
        <f t="shared" ca="1" si="1504"/>
        <v>0</v>
      </c>
      <c r="AC120" s="209">
        <f ca="1">+SUM(AB120:AB$124)*SSSM</f>
        <v>0</v>
      </c>
      <c r="AD120" s="209">
        <f t="shared" ref="AD120" si="2540">IF(R120&gt;nB,0,AD119*(1-X119)*(1-Y119)*(1-AE119)*(1-AF119))</f>
        <v>0</v>
      </c>
      <c r="AE120" s="92">
        <f t="shared" ca="1" si="1506"/>
        <v>0</v>
      </c>
      <c r="AF120" s="92">
        <f t="shared" ca="1" si="1507"/>
        <v>0</v>
      </c>
      <c r="AG120" s="8">
        <f t="shared" ca="1" si="1508"/>
        <v>0</v>
      </c>
      <c r="AH120" s="5">
        <f ca="1">+SUM(AG120:AG$124)</f>
        <v>0</v>
      </c>
      <c r="AI120" s="70">
        <f t="shared" ca="1" si="1509"/>
        <v>0</v>
      </c>
      <c r="AJ120" s="208">
        <f ca="1">+SUM(AB120:AB$124)*SS50J</f>
        <v>0</v>
      </c>
      <c r="AK120" s="5">
        <f t="shared" ca="1" si="1545"/>
        <v>99999.012970709329</v>
      </c>
      <c r="AL120" s="2">
        <f t="shared" ref="AL120" ca="1" si="2541">IFERROR(VLOOKUP($S120,qx_table,MATCH(AL$11,qx_title,0)+sexB),0)</f>
        <v>0</v>
      </c>
      <c r="AM120" s="131">
        <f t="shared" ca="1" si="1547"/>
        <v>9043.9366584897034</v>
      </c>
      <c r="AN120" s="129">
        <f t="shared" ca="1" si="2256"/>
        <v>0</v>
      </c>
      <c r="AO120" s="129">
        <f ca="1">SUM(AN120:AN$124)*SSa</f>
        <v>0</v>
      </c>
      <c r="AP120" s="70">
        <f t="shared" ca="1" si="1548"/>
        <v>99999.012970709329</v>
      </c>
      <c r="AQ120" s="2">
        <f t="shared" ref="AQ120" ca="1" si="2542">IFERROR(VLOOKUP($S120,qx_table,MATCH(AQ$11,qx_title,0)+sexB),0)</f>
        <v>0</v>
      </c>
      <c r="AR120" s="127">
        <f t="shared" ca="1" si="2290"/>
        <v>0</v>
      </c>
      <c r="AS120" s="127">
        <f ca="1">SUM(AR120:AR$124)*SSb</f>
        <v>0</v>
      </c>
      <c r="AT120" s="70">
        <f t="shared" ca="1" si="1551"/>
        <v>99999.012970709329</v>
      </c>
      <c r="AU120" s="2">
        <f t="shared" ref="AU120" ca="1" si="2543">IFERROR(VLOOKUP($S120,qx_table,MATCH(AU$11,qx_title,0)+sexB),0)</f>
        <v>0</v>
      </c>
      <c r="AV120" s="268">
        <f t="shared" ca="1" si="2292"/>
        <v>0</v>
      </c>
      <c r="AW120" s="131">
        <f ca="1">SUM(AV120:AV$124)*SSc</f>
        <v>0</v>
      </c>
      <c r="AX120" s="70">
        <f t="shared" ca="1" si="1554"/>
        <v>99999.012970709329</v>
      </c>
      <c r="AY120" s="2">
        <f t="shared" ref="AY120" ca="1" si="2544">IFERROR(VLOOKUP($S120,qx_table,MATCH(AY$11,qx_title,0)+sexB),0)</f>
        <v>0</v>
      </c>
      <c r="AZ120" s="268">
        <f t="shared" ca="1" si="2294"/>
        <v>0</v>
      </c>
      <c r="BA120" s="129">
        <f ca="1">SUM(AZ120:AZ$124)*SSd</f>
        <v>0</v>
      </c>
      <c r="BB120" s="70">
        <f t="shared" ca="1" si="1557"/>
        <v>99999.012970709329</v>
      </c>
      <c r="BC120" s="257">
        <f t="shared" ref="BC120" ca="1" si="2545">IFERROR(VLOOKUP($S120,qx_table,MATCH(BC$11,qx_title,0)+sexB),0)</f>
        <v>0</v>
      </c>
      <c r="BD120" s="268">
        <f t="shared" ca="1" si="2296"/>
        <v>0</v>
      </c>
      <c r="BE120" s="131">
        <f ca="1">SUM(BD120:BD$124)*SSe</f>
        <v>0</v>
      </c>
      <c r="BF120" s="70">
        <f t="shared" ca="1" si="1560"/>
        <v>99999.012970709329</v>
      </c>
      <c r="BG120" s="2">
        <f t="shared" ref="BG120" ca="1" si="2546">IFERROR(VLOOKUP($S120,qx_table,MATCH(BG$11,qx_title,0)+sexB),0)</f>
        <v>0</v>
      </c>
      <c r="BH120" s="131">
        <f t="shared" ca="1" si="2298"/>
        <v>0</v>
      </c>
      <c r="BI120" s="2">
        <f ca="1">SUM(BH120:BH$124)*SSf</f>
        <v>0</v>
      </c>
      <c r="BJ120" s="70">
        <f t="shared" ca="1" si="1563"/>
        <v>99999.012970709329</v>
      </c>
      <c r="BK120" s="2">
        <f t="shared" ref="BK120" ca="1" si="2547">IFERROR(VLOOKUP($S120,qx_table,MATCH(BK$11,qx_title,0)+sexB),0)</f>
        <v>0</v>
      </c>
      <c r="BL120" s="131">
        <f t="shared" ca="1" si="2300"/>
        <v>0</v>
      </c>
      <c r="BM120" s="131">
        <f ca="1">SUM(BL120:BL$124)*SSg</f>
        <v>0</v>
      </c>
      <c r="BN120" s="70">
        <f t="shared" ca="1" si="1566"/>
        <v>99999.012970709329</v>
      </c>
      <c r="BO120" s="2">
        <f t="shared" ref="BO120" ca="1" si="2548">IFERROR(VLOOKUP($S120,qx_table,MATCH(BO$11,qx_title,0)+sexB),0)</f>
        <v>0</v>
      </c>
      <c r="BP120" s="131">
        <f t="shared" ca="1" si="2302"/>
        <v>0</v>
      </c>
      <c r="BQ120" s="131">
        <f ca="1">SUM(BP120:BP$124)*SSh</f>
        <v>0</v>
      </c>
      <c r="BR120" s="70">
        <f t="shared" ca="1" si="1569"/>
        <v>99999.012970709329</v>
      </c>
      <c r="BS120" s="2">
        <f t="shared" ref="BS120" ca="1" si="2549">IFERROR(VLOOKUP($S120,qx_table,MATCH(BS$11,qx_title,0)+sexB),0)*IF(R120=0,MCi,1)</f>
        <v>0</v>
      </c>
      <c r="BT120" s="131">
        <f t="shared" ca="1" si="2304"/>
        <v>0</v>
      </c>
      <c r="BU120" s="131">
        <f ca="1">SUM(BT120:BT$124)*SSi</f>
        <v>0</v>
      </c>
      <c r="BV120" s="70">
        <f t="shared" ca="1" si="1572"/>
        <v>99999.012970709329</v>
      </c>
      <c r="BW120" s="2">
        <f t="shared" ref="BW120" ca="1" si="2550">IFERROR(VLOOKUP($S120,qx_table,MATCH(BW$11,qx_title,0)+sexB),0)</f>
        <v>0</v>
      </c>
      <c r="BX120" s="131">
        <f t="shared" ca="1" si="2306"/>
        <v>0</v>
      </c>
      <c r="BY120" s="131">
        <f ca="1">SUM(BX120:BX$124)*SSj</f>
        <v>0</v>
      </c>
      <c r="BZ120" s="70">
        <f t="shared" ca="1" si="1575"/>
        <v>99999.012970709329</v>
      </c>
      <c r="CA120" s="2">
        <f t="shared" ref="CA120" ca="1" si="2551">IFERROR(VLOOKUP($S120,qx_table,MATCH(CA$11,qx_title,0)+sexB),0)</f>
        <v>0</v>
      </c>
      <c r="CB120" s="131">
        <f t="shared" ca="1" si="2308"/>
        <v>0</v>
      </c>
      <c r="CC120" s="131">
        <f ca="1">SUM(CB120:CB$124)*SSk</f>
        <v>0</v>
      </c>
      <c r="CD120" s="8">
        <f t="shared" ca="1" si="1578"/>
        <v>99999.012970709329</v>
      </c>
      <c r="CE120" s="2">
        <f t="shared" ref="CE120" ca="1" si="2552">IFERROR(VLOOKUP($S120,qx_table,MATCH(CE$11,qx_title,0)+sexB),0)</f>
        <v>0</v>
      </c>
      <c r="CF120" s="131">
        <f t="shared" ca="1" si="2310"/>
        <v>0</v>
      </c>
      <c r="CG120" s="131">
        <f ca="1">SUM(CF120:CF$124)*SSl</f>
        <v>0</v>
      </c>
      <c r="CH120" s="101">
        <f t="shared" ca="1" si="1581"/>
        <v>0</v>
      </c>
      <c r="CI120" s="154">
        <f t="shared" ca="1" si="2268"/>
        <v>0</v>
      </c>
      <c r="CJ120" s="32">
        <f t="shared" ca="1" si="1524"/>
        <v>0</v>
      </c>
      <c r="CK120" s="32">
        <f t="shared" ref="CK120" ca="1" si="2553">+MAX(VLOOKUP(xB+$R120,기수표B,$AH$1)-VLOOKUP(xB+mB,기수표B,$AH$1)-11/24*(VLOOKUP(xB+$R120,기수표B,$AG$1)-VLOOKUP(xB+mB,기수표B,$AG$1)),0)</f>
        <v>0</v>
      </c>
      <c r="CL120" s="32">
        <f t="shared" ref="CL120" ca="1" si="2554">+MAX(VLOOKUP(xB+$R120,기수표B,$AA$1)-VLOOKUP(xB+mB,기수표B,$AA$1),0)</f>
        <v>0</v>
      </c>
      <c r="CM120" s="32">
        <f t="shared" ref="CM120" ca="1" si="2555">+MAX(VLOOKUP(xB+$R120,기수표B,$AA$1)-VLOOKUP(xB+mB,기수표B,$AA$1)-11/24*(VLOOKUP(xB+$R120,기수표B,$AA$1)-VLOOKUP(xB+mB,기수표B,$AA$1)),0)</f>
        <v>0</v>
      </c>
      <c r="CN120" s="32">
        <f t="shared" si="2272"/>
        <v>0</v>
      </c>
      <c r="CO120" s="32">
        <f t="shared" ca="1" si="2273"/>
        <v>0</v>
      </c>
      <c r="CP120" s="32">
        <f t="shared" ca="1" si="2274"/>
        <v>0</v>
      </c>
      <c r="CQ120" s="262">
        <f t="shared" ca="1" si="2275"/>
        <v>0</v>
      </c>
      <c r="CR120" s="259" t="e">
        <f t="shared" ca="1" si="2276"/>
        <v>#DIV/0!</v>
      </c>
      <c r="CS120" s="32">
        <f t="shared" ca="1" si="2277"/>
        <v>1.5999999999999999E-5</v>
      </c>
      <c r="CT120" s="31">
        <f t="shared" ref="CT120" si="2556">+MIN(mB,7)</f>
        <v>7</v>
      </c>
      <c r="CV120" s="13">
        <v>108</v>
      </c>
      <c r="CW120" s="477">
        <f t="shared" ca="1" si="2279"/>
        <v>480</v>
      </c>
      <c r="CX120" s="477" t="e">
        <f t="shared" ca="1" si="2280"/>
        <v>#DIV/0!</v>
      </c>
      <c r="CY120" s="477">
        <f t="shared" ca="1" si="2281"/>
        <v>0</v>
      </c>
      <c r="CZ120" s="478">
        <f t="shared" ca="1" si="1586"/>
        <v>0</v>
      </c>
    </row>
    <row r="121" spans="3:104">
      <c r="C121" s="33"/>
      <c r="D121" s="33"/>
      <c r="N121" s="5">
        <f t="shared" si="1587"/>
        <v>109</v>
      </c>
      <c r="O121" s="2">
        <f t="shared" ref="O121" ca="1" si="2557">+(1+iB)^-N121</f>
        <v>8.8450131302441531E-2</v>
      </c>
      <c r="P121" s="2">
        <f t="shared" ref="P121" ca="1" si="2558">+(1+iB)^-(N121+0.5)</f>
        <v>8.7471550260958333E-2</v>
      </c>
      <c r="Q121" s="91"/>
      <c r="R121" s="20">
        <f t="shared" si="1590"/>
        <v>109</v>
      </c>
      <c r="S121" s="20" t="str">
        <f t="shared" ref="S121" si="2559">+IF(xB+R121&lt;=xB+nB,xB+R121,"")</f>
        <v/>
      </c>
      <c r="T121" s="2">
        <f t="shared" ref="T121:U121" ca="1" si="2560">IFERROR(VLOOKUP($S121,qx_table,MATCH(T$11,qx_title,0)+sexB),0)</f>
        <v>0</v>
      </c>
      <c r="U121" s="2">
        <f t="shared" ca="1" si="2560"/>
        <v>0</v>
      </c>
      <c r="V121" s="300">
        <v>0</v>
      </c>
      <c r="W121" s="8">
        <f t="shared" ref="W121" si="2561">IF(R121=0,100000,IF(R121&gt;nB,0,W120*(1-X120)*(1-Y120)))</f>
        <v>0</v>
      </c>
      <c r="X121" s="10">
        <f t="shared" ca="1" si="1502"/>
        <v>0</v>
      </c>
      <c r="Y121" s="10">
        <f t="shared" ca="1" si="1503"/>
        <v>0</v>
      </c>
      <c r="Z121" s="5">
        <f t="shared" ca="1" si="1543"/>
        <v>0</v>
      </c>
      <c r="AA121" s="5">
        <f ca="1">+SUM(Z121:Z$124)</f>
        <v>0</v>
      </c>
      <c r="AB121" s="8">
        <f t="shared" ca="1" si="1504"/>
        <v>0</v>
      </c>
      <c r="AC121" s="209">
        <f ca="1">+SUM(AB121:AB$124)*SSSM</f>
        <v>0</v>
      </c>
      <c r="AD121" s="209">
        <f t="shared" ref="AD121" si="2562">IF(R121&gt;nB,0,AD120*(1-X120)*(1-Y120)*(1-AE120)*(1-AF120))</f>
        <v>0</v>
      </c>
      <c r="AE121" s="92">
        <f t="shared" ca="1" si="1506"/>
        <v>0</v>
      </c>
      <c r="AF121" s="92">
        <f t="shared" ca="1" si="1507"/>
        <v>0</v>
      </c>
      <c r="AG121" s="8">
        <f t="shared" ca="1" si="1508"/>
        <v>0</v>
      </c>
      <c r="AH121" s="5">
        <f ca="1">+SUM(AG121:AG$124)</f>
        <v>0</v>
      </c>
      <c r="AI121" s="70">
        <f t="shared" ca="1" si="1509"/>
        <v>0</v>
      </c>
      <c r="AJ121" s="208">
        <f ca="1">+SUM(AB121:AB$124)*SS50J</f>
        <v>0</v>
      </c>
      <c r="AK121" s="5">
        <f t="shared" ca="1" si="1545"/>
        <v>99999.012970709329</v>
      </c>
      <c r="AL121" s="2">
        <f t="shared" ref="AL121" ca="1" si="2563">IFERROR(VLOOKUP($S121,qx_table,MATCH(AL$11,qx_title,0)+sexB),0)</f>
        <v>0</v>
      </c>
      <c r="AM121" s="131">
        <f t="shared" ca="1" si="1547"/>
        <v>8844.9258273737942</v>
      </c>
      <c r="AN121" s="129">
        <f t="shared" ca="1" si="2256"/>
        <v>0</v>
      </c>
      <c r="AO121" s="129">
        <f ca="1">SUM(AN121:AN$124)*SSa</f>
        <v>0</v>
      </c>
      <c r="AP121" s="70">
        <f t="shared" ca="1" si="1548"/>
        <v>99999.012970709329</v>
      </c>
      <c r="AQ121" s="2">
        <f t="shared" ref="AQ121" ca="1" si="2564">IFERROR(VLOOKUP($S121,qx_table,MATCH(AQ$11,qx_title,0)+sexB),0)</f>
        <v>0</v>
      </c>
      <c r="AR121" s="127">
        <f t="shared" ca="1" si="2290"/>
        <v>0</v>
      </c>
      <c r="AS121" s="127">
        <f ca="1">SUM(AR121:AR$124)*SSb</f>
        <v>0</v>
      </c>
      <c r="AT121" s="70">
        <f t="shared" ca="1" si="1551"/>
        <v>99999.012970709329</v>
      </c>
      <c r="AU121" s="2">
        <f t="shared" ref="AU121" ca="1" si="2565">IFERROR(VLOOKUP($S121,qx_table,MATCH(AU$11,qx_title,0)+sexB),0)</f>
        <v>0</v>
      </c>
      <c r="AV121" s="268">
        <f t="shared" ca="1" si="2292"/>
        <v>0</v>
      </c>
      <c r="AW121" s="131">
        <f ca="1">SUM(AV121:AV$124)*SSc</f>
        <v>0</v>
      </c>
      <c r="AX121" s="70">
        <f t="shared" ca="1" si="1554"/>
        <v>99999.012970709329</v>
      </c>
      <c r="AY121" s="2">
        <f t="shared" ref="AY121" ca="1" si="2566">IFERROR(VLOOKUP($S121,qx_table,MATCH(AY$11,qx_title,0)+sexB),0)</f>
        <v>0</v>
      </c>
      <c r="AZ121" s="268">
        <f t="shared" ca="1" si="2294"/>
        <v>0</v>
      </c>
      <c r="BA121" s="129">
        <f ca="1">SUM(AZ121:AZ$124)*SSd</f>
        <v>0</v>
      </c>
      <c r="BB121" s="70">
        <f t="shared" ca="1" si="1557"/>
        <v>99999.012970709329</v>
      </c>
      <c r="BC121" s="257">
        <f t="shared" ref="BC121" ca="1" si="2567">IFERROR(VLOOKUP($S121,qx_table,MATCH(BC$11,qx_title,0)+sexB),0)</f>
        <v>0</v>
      </c>
      <c r="BD121" s="268">
        <f t="shared" ca="1" si="2296"/>
        <v>0</v>
      </c>
      <c r="BE121" s="131">
        <f ca="1">SUM(BD121:BD$124)*SSe</f>
        <v>0</v>
      </c>
      <c r="BF121" s="70">
        <f t="shared" ca="1" si="1560"/>
        <v>99999.012970709329</v>
      </c>
      <c r="BG121" s="2">
        <f t="shared" ref="BG121" ca="1" si="2568">IFERROR(VLOOKUP($S121,qx_table,MATCH(BG$11,qx_title,0)+sexB),0)</f>
        <v>0</v>
      </c>
      <c r="BH121" s="131">
        <f t="shared" ca="1" si="2298"/>
        <v>0</v>
      </c>
      <c r="BI121" s="2">
        <f ca="1">SUM(BH121:BH$124)*SSf</f>
        <v>0</v>
      </c>
      <c r="BJ121" s="70">
        <f t="shared" ca="1" si="1563"/>
        <v>99999.012970709329</v>
      </c>
      <c r="BK121" s="2">
        <f t="shared" ref="BK121" ca="1" si="2569">IFERROR(VLOOKUP($S121,qx_table,MATCH(BK$11,qx_title,0)+sexB),0)</f>
        <v>0</v>
      </c>
      <c r="BL121" s="131">
        <f t="shared" ca="1" si="2300"/>
        <v>0</v>
      </c>
      <c r="BM121" s="131">
        <f ca="1">SUM(BL121:BL$124)*SSg</f>
        <v>0</v>
      </c>
      <c r="BN121" s="70">
        <f t="shared" ca="1" si="1566"/>
        <v>99999.012970709329</v>
      </c>
      <c r="BO121" s="2">
        <f t="shared" ref="BO121" ca="1" si="2570">IFERROR(VLOOKUP($S121,qx_table,MATCH(BO$11,qx_title,0)+sexB),0)</f>
        <v>0</v>
      </c>
      <c r="BP121" s="131">
        <f t="shared" ca="1" si="2302"/>
        <v>0</v>
      </c>
      <c r="BQ121" s="131">
        <f ca="1">SUM(BP121:BP$124)*SSh</f>
        <v>0</v>
      </c>
      <c r="BR121" s="70">
        <f t="shared" ca="1" si="1569"/>
        <v>99999.012970709329</v>
      </c>
      <c r="BS121" s="2">
        <f t="shared" ref="BS121" ca="1" si="2571">IFERROR(VLOOKUP($S121,qx_table,MATCH(BS$11,qx_title,0)+sexB),0)*IF(R121=0,MCi,1)</f>
        <v>0</v>
      </c>
      <c r="BT121" s="131">
        <f t="shared" ca="1" si="2304"/>
        <v>0</v>
      </c>
      <c r="BU121" s="131">
        <f ca="1">SUM(BT121:BT$124)*SSi</f>
        <v>0</v>
      </c>
      <c r="BV121" s="70">
        <f t="shared" ca="1" si="1572"/>
        <v>99999.012970709329</v>
      </c>
      <c r="BW121" s="2">
        <f t="shared" ref="BW121" ca="1" si="2572">IFERROR(VLOOKUP($S121,qx_table,MATCH(BW$11,qx_title,0)+sexB),0)</f>
        <v>0</v>
      </c>
      <c r="BX121" s="131">
        <f t="shared" ca="1" si="2306"/>
        <v>0</v>
      </c>
      <c r="BY121" s="131">
        <f ca="1">SUM(BX121:BX$124)*SSj</f>
        <v>0</v>
      </c>
      <c r="BZ121" s="70">
        <f t="shared" ca="1" si="1575"/>
        <v>99999.012970709329</v>
      </c>
      <c r="CA121" s="2">
        <f t="shared" ref="CA121" ca="1" si="2573">IFERROR(VLOOKUP($S121,qx_table,MATCH(CA$11,qx_title,0)+sexB),0)</f>
        <v>0</v>
      </c>
      <c r="CB121" s="131">
        <f t="shared" ca="1" si="2308"/>
        <v>0</v>
      </c>
      <c r="CC121" s="131">
        <f ca="1">SUM(CB121:CB$124)*SSk</f>
        <v>0</v>
      </c>
      <c r="CD121" s="8">
        <f t="shared" ca="1" si="1578"/>
        <v>99999.012970709329</v>
      </c>
      <c r="CE121" s="2">
        <f t="shared" ref="CE121" ca="1" si="2574">IFERROR(VLOOKUP($S121,qx_table,MATCH(CE$11,qx_title,0)+sexB),0)</f>
        <v>0</v>
      </c>
      <c r="CF121" s="131">
        <f t="shared" ca="1" si="2310"/>
        <v>0</v>
      </c>
      <c r="CG121" s="131">
        <f ca="1">SUM(CF121:CF$124)*SSl</f>
        <v>0</v>
      </c>
      <c r="CH121" s="101">
        <f t="shared" ca="1" si="1581"/>
        <v>0</v>
      </c>
      <c r="CI121" s="154">
        <f t="shared" ca="1" si="2268"/>
        <v>0</v>
      </c>
      <c r="CJ121" s="32">
        <f t="shared" ca="1" si="1524"/>
        <v>0</v>
      </c>
      <c r="CK121" s="32">
        <f t="shared" ref="CK121" ca="1" si="2575">+MAX(VLOOKUP(xB+$R121,기수표B,$AH$1)-VLOOKUP(xB+mB,기수표B,$AH$1)-11/24*(VLOOKUP(xB+$R121,기수표B,$AG$1)-VLOOKUP(xB+mB,기수표B,$AG$1)),0)</f>
        <v>0</v>
      </c>
      <c r="CL121" s="32">
        <f t="shared" ref="CL121" ca="1" si="2576">+MAX(VLOOKUP(xB+$R121,기수표B,$AA$1)-VLOOKUP(xB+mB,기수표B,$AA$1),0)</f>
        <v>0</v>
      </c>
      <c r="CM121" s="32">
        <f t="shared" ref="CM121" ca="1" si="2577">+MAX(VLOOKUP(xB+$R121,기수표B,$AA$1)-VLOOKUP(xB+mB,기수표B,$AA$1)-11/24*(VLOOKUP(xB+$R121,기수표B,$AA$1)-VLOOKUP(xB+mB,기수표B,$AA$1)),0)</f>
        <v>0</v>
      </c>
      <c r="CN121" s="32">
        <f t="shared" si="2272"/>
        <v>0</v>
      </c>
      <c r="CO121" s="32">
        <f t="shared" ca="1" si="2273"/>
        <v>0</v>
      </c>
      <c r="CP121" s="32">
        <f t="shared" ca="1" si="2274"/>
        <v>0</v>
      </c>
      <c r="CQ121" s="262">
        <f t="shared" ca="1" si="2275"/>
        <v>0</v>
      </c>
      <c r="CR121" s="259" t="e">
        <f t="shared" ca="1" si="2276"/>
        <v>#DIV/0!</v>
      </c>
      <c r="CS121" s="32">
        <f t="shared" ca="1" si="2277"/>
        <v>1.5999999999999999E-5</v>
      </c>
      <c r="CT121" s="31">
        <f t="shared" ref="CT121" si="2578">+MIN(mB,7)</f>
        <v>7</v>
      </c>
      <c r="CV121" s="13">
        <v>109</v>
      </c>
      <c r="CW121" s="477">
        <f t="shared" ca="1" si="2279"/>
        <v>480</v>
      </c>
      <c r="CX121" s="477" t="e">
        <f t="shared" ca="1" si="2280"/>
        <v>#DIV/0!</v>
      </c>
      <c r="CY121" s="477">
        <f t="shared" ca="1" si="2281"/>
        <v>0</v>
      </c>
      <c r="CZ121" s="478">
        <f t="shared" ca="1" si="1586"/>
        <v>0</v>
      </c>
    </row>
    <row r="122" spans="3:104">
      <c r="C122" s="33"/>
      <c r="D122" s="33"/>
      <c r="N122" s="5">
        <f t="shared" si="1587"/>
        <v>110</v>
      </c>
      <c r="O122" s="2">
        <f t="shared" ref="O122" ca="1" si="2579">+(1+iB)^-N122</f>
        <v>8.6503795894808347E-2</v>
      </c>
      <c r="P122" s="2">
        <f t="shared" ref="P122" ca="1" si="2580">+(1+iB)^-(N122+0.5)</f>
        <v>8.5546748421475124E-2</v>
      </c>
      <c r="Q122" s="91"/>
      <c r="R122" s="20">
        <f t="shared" si="1590"/>
        <v>110</v>
      </c>
      <c r="S122" s="20" t="str">
        <f t="shared" ref="S122" si="2581">+IF(xB+R122&lt;=xB+nB,xB+R122,"")</f>
        <v/>
      </c>
      <c r="T122" s="2">
        <f t="shared" ref="T122:U122" ca="1" si="2582">IFERROR(VLOOKUP($S122,qx_table,MATCH(T$11,qx_title,0)+sexB),0)</f>
        <v>0</v>
      </c>
      <c r="U122" s="2">
        <f t="shared" ca="1" si="2582"/>
        <v>0</v>
      </c>
      <c r="V122" s="300">
        <v>0</v>
      </c>
      <c r="W122" s="8">
        <f t="shared" ref="W122" si="2583">IF(R122=0,100000,IF(R122&gt;nB,0,W121*(1-X121)*(1-Y121)))</f>
        <v>0</v>
      </c>
      <c r="X122" s="10">
        <f t="shared" ca="1" si="1502"/>
        <v>0</v>
      </c>
      <c r="Y122" s="10">
        <f t="shared" ca="1" si="1503"/>
        <v>0</v>
      </c>
      <c r="Z122" s="5">
        <f t="shared" ca="1" si="1543"/>
        <v>0</v>
      </c>
      <c r="AA122" s="5">
        <f ca="1">+SUM(Z122:Z$124)</f>
        <v>0</v>
      </c>
      <c r="AB122" s="8">
        <f t="shared" ca="1" si="1504"/>
        <v>0</v>
      </c>
      <c r="AC122" s="209">
        <f ca="1">+SUM(AB122:AB$124)*SSSM</f>
        <v>0</v>
      </c>
      <c r="AD122" s="209">
        <f t="shared" ref="AD122" si="2584">IF(R122&gt;nB,0,AD121*(1-X121)*(1-Y121)*(1-AE121)*(1-AF121))</f>
        <v>0</v>
      </c>
      <c r="AE122" s="92">
        <f t="shared" ca="1" si="1506"/>
        <v>0</v>
      </c>
      <c r="AF122" s="92">
        <f t="shared" ca="1" si="1507"/>
        <v>0</v>
      </c>
      <c r="AG122" s="8">
        <f t="shared" ca="1" si="1508"/>
        <v>0</v>
      </c>
      <c r="AH122" s="5">
        <f ca="1">+SUM(AG122:AG$124)</f>
        <v>0</v>
      </c>
      <c r="AI122" s="70">
        <f t="shared" ca="1" si="1509"/>
        <v>0</v>
      </c>
      <c r="AJ122" s="208">
        <f ca="1">+SUM(AB122:AB$124)*SS50J</f>
        <v>0</v>
      </c>
      <c r="AK122" s="5">
        <f t="shared" ca="1" si="1545"/>
        <v>99999.012970709329</v>
      </c>
      <c r="AL122" s="2">
        <f t="shared" ref="AL122" ca="1" si="2585">IFERROR(VLOOKUP($S122,qx_table,MATCH(AL$11,qx_title,0)+sexB),0)</f>
        <v>0</v>
      </c>
      <c r="AM122" s="131">
        <f t="shared" ca="1" si="1547"/>
        <v>8650.2942077005318</v>
      </c>
      <c r="AN122" s="129">
        <f t="shared" ca="1" si="2256"/>
        <v>0</v>
      </c>
      <c r="AO122" s="129">
        <f ca="1">SUM(AN122:AN$124)*SSa</f>
        <v>0</v>
      </c>
      <c r="AP122" s="70">
        <f t="shared" ca="1" si="1548"/>
        <v>99999.012970709329</v>
      </c>
      <c r="AQ122" s="2">
        <f t="shared" ref="AQ122" ca="1" si="2586">IFERROR(VLOOKUP($S122,qx_table,MATCH(AQ$11,qx_title,0)+sexB),0)</f>
        <v>0</v>
      </c>
      <c r="AR122" s="127">
        <f t="shared" ca="1" si="2290"/>
        <v>0</v>
      </c>
      <c r="AS122" s="127">
        <f ca="1">SUM(AR122:AR$124)*SSb</f>
        <v>0</v>
      </c>
      <c r="AT122" s="70">
        <f t="shared" ca="1" si="1551"/>
        <v>99999.012970709329</v>
      </c>
      <c r="AU122" s="2">
        <f t="shared" ref="AU122" ca="1" si="2587">IFERROR(VLOOKUP($S122,qx_table,MATCH(AU$11,qx_title,0)+sexB),0)</f>
        <v>0</v>
      </c>
      <c r="AV122" s="268">
        <f t="shared" ca="1" si="2292"/>
        <v>0</v>
      </c>
      <c r="AW122" s="131">
        <f ca="1">SUM(AV122:AV$124)*SSc</f>
        <v>0</v>
      </c>
      <c r="AX122" s="70">
        <f t="shared" ca="1" si="1554"/>
        <v>99999.012970709329</v>
      </c>
      <c r="AY122" s="2">
        <f t="shared" ref="AY122" ca="1" si="2588">IFERROR(VLOOKUP($S122,qx_table,MATCH(AY$11,qx_title,0)+sexB),0)</f>
        <v>0</v>
      </c>
      <c r="AZ122" s="268">
        <f t="shared" ca="1" si="2294"/>
        <v>0</v>
      </c>
      <c r="BA122" s="129">
        <f ca="1">SUM(AZ122:AZ$124)*SSd</f>
        <v>0</v>
      </c>
      <c r="BB122" s="70">
        <f t="shared" ca="1" si="1557"/>
        <v>99999.012970709329</v>
      </c>
      <c r="BC122" s="257">
        <f t="shared" ref="BC122" ca="1" si="2589">IFERROR(VLOOKUP($S122,qx_table,MATCH(BC$11,qx_title,0)+sexB),0)</f>
        <v>0</v>
      </c>
      <c r="BD122" s="268">
        <f t="shared" ca="1" si="2296"/>
        <v>0</v>
      </c>
      <c r="BE122" s="131">
        <f ca="1">SUM(BD122:BD$124)*SSe</f>
        <v>0</v>
      </c>
      <c r="BF122" s="70">
        <f t="shared" ca="1" si="1560"/>
        <v>99999.012970709329</v>
      </c>
      <c r="BG122" s="2">
        <f t="shared" ref="BG122" ca="1" si="2590">IFERROR(VLOOKUP($S122,qx_table,MATCH(BG$11,qx_title,0)+sexB),0)</f>
        <v>0</v>
      </c>
      <c r="BH122" s="131">
        <f t="shared" ca="1" si="2298"/>
        <v>0</v>
      </c>
      <c r="BI122" s="2">
        <f ca="1">SUM(BH122:BH$124)*SSf</f>
        <v>0</v>
      </c>
      <c r="BJ122" s="70">
        <f t="shared" ca="1" si="1563"/>
        <v>99999.012970709329</v>
      </c>
      <c r="BK122" s="2">
        <f t="shared" ref="BK122" ca="1" si="2591">IFERROR(VLOOKUP($S122,qx_table,MATCH(BK$11,qx_title,0)+sexB),0)</f>
        <v>0</v>
      </c>
      <c r="BL122" s="131">
        <f t="shared" ca="1" si="2300"/>
        <v>0</v>
      </c>
      <c r="BM122" s="131">
        <f ca="1">SUM(BL122:BL$124)*SSg</f>
        <v>0</v>
      </c>
      <c r="BN122" s="70">
        <f t="shared" ca="1" si="1566"/>
        <v>99999.012970709329</v>
      </c>
      <c r="BO122" s="2">
        <f t="shared" ref="BO122" ca="1" si="2592">IFERROR(VLOOKUP($S122,qx_table,MATCH(BO$11,qx_title,0)+sexB),0)</f>
        <v>0</v>
      </c>
      <c r="BP122" s="131">
        <f t="shared" ca="1" si="2302"/>
        <v>0</v>
      </c>
      <c r="BQ122" s="131">
        <f ca="1">SUM(BP122:BP$124)*SSh</f>
        <v>0</v>
      </c>
      <c r="BR122" s="70">
        <f t="shared" ca="1" si="1569"/>
        <v>99999.012970709329</v>
      </c>
      <c r="BS122" s="2">
        <f t="shared" ref="BS122" ca="1" si="2593">IFERROR(VLOOKUP($S122,qx_table,MATCH(BS$11,qx_title,0)+sexB),0)*IF(R122=0,MCi,1)</f>
        <v>0</v>
      </c>
      <c r="BT122" s="131">
        <f t="shared" ca="1" si="2304"/>
        <v>0</v>
      </c>
      <c r="BU122" s="131">
        <f ca="1">SUM(BT122:BT$124)*SSi</f>
        <v>0</v>
      </c>
      <c r="BV122" s="70">
        <f t="shared" ca="1" si="1572"/>
        <v>99999.012970709329</v>
      </c>
      <c r="BW122" s="2">
        <f t="shared" ref="BW122" ca="1" si="2594">IFERROR(VLOOKUP($S122,qx_table,MATCH(BW$11,qx_title,0)+sexB),0)</f>
        <v>0</v>
      </c>
      <c r="BX122" s="131">
        <f t="shared" ca="1" si="2306"/>
        <v>0</v>
      </c>
      <c r="BY122" s="131">
        <f ca="1">SUM(BX122:BX$124)*SSj</f>
        <v>0</v>
      </c>
      <c r="BZ122" s="70">
        <f t="shared" ca="1" si="1575"/>
        <v>99999.012970709329</v>
      </c>
      <c r="CA122" s="2">
        <f t="shared" ref="CA122" ca="1" si="2595">IFERROR(VLOOKUP($S122,qx_table,MATCH(CA$11,qx_title,0)+sexB),0)</f>
        <v>0</v>
      </c>
      <c r="CB122" s="131">
        <f t="shared" ca="1" si="2308"/>
        <v>0</v>
      </c>
      <c r="CC122" s="131">
        <f ca="1">SUM(CB122:CB$124)*SSk</f>
        <v>0</v>
      </c>
      <c r="CD122" s="8">
        <f t="shared" ca="1" si="1578"/>
        <v>99999.012970709329</v>
      </c>
      <c r="CE122" s="2">
        <f t="shared" ref="CE122" ca="1" si="2596">IFERROR(VLOOKUP($S122,qx_table,MATCH(CE$11,qx_title,0)+sexB),0)</f>
        <v>0</v>
      </c>
      <c r="CF122" s="131">
        <f t="shared" ca="1" si="2310"/>
        <v>0</v>
      </c>
      <c r="CG122" s="131">
        <f ca="1">SUM(CF122:CF$124)*SSl</f>
        <v>0</v>
      </c>
      <c r="CH122" s="101">
        <f t="shared" ca="1" si="1581"/>
        <v>0</v>
      </c>
      <c r="CI122" s="154">
        <f t="shared" ca="1" si="2268"/>
        <v>0</v>
      </c>
      <c r="CJ122" s="32">
        <f t="shared" ca="1" si="1524"/>
        <v>0</v>
      </c>
      <c r="CK122" s="32">
        <f t="shared" ref="CK122" ca="1" si="2597">+MAX(VLOOKUP(xB+$R122,기수표B,$AH$1)-VLOOKUP(xB+mB,기수표B,$AH$1)-11/24*(VLOOKUP(xB+$R122,기수표B,$AG$1)-VLOOKUP(xB+mB,기수표B,$AG$1)),0)</f>
        <v>0</v>
      </c>
      <c r="CL122" s="32">
        <f t="shared" ref="CL122" ca="1" si="2598">+MAX(VLOOKUP(xB+$R122,기수표B,$AA$1)-VLOOKUP(xB+mB,기수표B,$AA$1),0)</f>
        <v>0</v>
      </c>
      <c r="CM122" s="32">
        <f t="shared" ref="CM122" ca="1" si="2599">+MAX(VLOOKUP(xB+$R122,기수표B,$AA$1)-VLOOKUP(xB+mB,기수표B,$AA$1)-11/24*(VLOOKUP(xB+$R122,기수표B,$AA$1)-VLOOKUP(xB+mB,기수표B,$AA$1)),0)</f>
        <v>0</v>
      </c>
      <c r="CN122" s="32">
        <f t="shared" si="2272"/>
        <v>0</v>
      </c>
      <c r="CO122" s="32">
        <f t="shared" ca="1" si="2273"/>
        <v>0</v>
      </c>
      <c r="CP122" s="32">
        <f t="shared" ca="1" si="2274"/>
        <v>0</v>
      </c>
      <c r="CQ122" s="262">
        <f t="shared" ca="1" si="2275"/>
        <v>0</v>
      </c>
      <c r="CR122" s="259" t="e">
        <f t="shared" ca="1" si="2276"/>
        <v>#DIV/0!</v>
      </c>
      <c r="CS122" s="32">
        <f t="shared" ca="1" si="2277"/>
        <v>1.5999999999999999E-5</v>
      </c>
      <c r="CT122" s="31">
        <f t="shared" ref="CT122" si="2600">+MIN(mB,7)</f>
        <v>7</v>
      </c>
      <c r="CV122" s="13">
        <v>110</v>
      </c>
      <c r="CW122" s="477">
        <f t="shared" ca="1" si="2279"/>
        <v>480</v>
      </c>
      <c r="CX122" s="477" t="e">
        <f t="shared" ca="1" si="2280"/>
        <v>#DIV/0!</v>
      </c>
      <c r="CY122" s="477">
        <f t="shared" ca="1" si="2281"/>
        <v>0</v>
      </c>
      <c r="CZ122" s="478">
        <f t="shared" ca="1" si="1586"/>
        <v>0</v>
      </c>
    </row>
    <row r="123" spans="3:104">
      <c r="C123" s="33"/>
      <c r="D123" s="33"/>
      <c r="N123" s="5">
        <f t="shared" si="1587"/>
        <v>111</v>
      </c>
      <c r="O123" s="2">
        <f t="shared" ref="O123" ca="1" si="2601">+(1+iB)^-N123</f>
        <v>8.4600289383675656E-2</v>
      </c>
      <c r="P123" s="2">
        <f t="shared" ref="P123" ca="1" si="2602">+(1+iB)^-(N123+0.5)</f>
        <v>8.3664301634694516E-2</v>
      </c>
      <c r="Q123" s="91"/>
      <c r="R123" s="20">
        <f t="shared" si="1590"/>
        <v>111</v>
      </c>
      <c r="S123" s="20" t="str">
        <f t="shared" ref="S123" si="2603">+IF(xB+R123&lt;=xB+nB,xB+R123,"")</f>
        <v/>
      </c>
      <c r="T123" s="2">
        <f t="shared" ref="T123:U123" ca="1" si="2604">IFERROR(VLOOKUP($S123,qx_table,MATCH(T$11,qx_title,0)+sexB),0)</f>
        <v>0</v>
      </c>
      <c r="U123" s="2">
        <f t="shared" ca="1" si="2604"/>
        <v>0</v>
      </c>
      <c r="V123" s="300">
        <v>0</v>
      </c>
      <c r="W123" s="8">
        <f t="shared" ref="W123" si="2605">IF(R123=0,100000,IF(R123&gt;nB,0,W122*(1-X122)*(1-Y122)))</f>
        <v>0</v>
      </c>
      <c r="X123" s="10">
        <f t="shared" ca="1" si="1502"/>
        <v>0</v>
      </c>
      <c r="Y123" s="10">
        <f t="shared" ca="1" si="1503"/>
        <v>0</v>
      </c>
      <c r="Z123" s="5">
        <f t="shared" ca="1" si="1543"/>
        <v>0</v>
      </c>
      <c r="AA123" s="5">
        <f ca="1">+SUM(Z123:Z$124)</f>
        <v>0</v>
      </c>
      <c r="AB123" s="8">
        <f t="shared" ca="1" si="1504"/>
        <v>0</v>
      </c>
      <c r="AC123" s="209">
        <f ca="1">+SUM(AB123:AB$124)*SSSM</f>
        <v>0</v>
      </c>
      <c r="AD123" s="209">
        <f t="shared" ref="AD123" si="2606">IF(R123&gt;nB,0,AD122*(1-X122)*(1-Y122)*(1-AE122)*(1-AF122))</f>
        <v>0</v>
      </c>
      <c r="AE123" s="92">
        <f t="shared" ca="1" si="1506"/>
        <v>0</v>
      </c>
      <c r="AF123" s="92">
        <f t="shared" ca="1" si="1507"/>
        <v>0</v>
      </c>
      <c r="AG123" s="8">
        <f t="shared" ca="1" si="1508"/>
        <v>0</v>
      </c>
      <c r="AH123" s="5">
        <f ca="1">+SUM(AG123:AG$124)</f>
        <v>0</v>
      </c>
      <c r="AI123" s="70">
        <f t="shared" ca="1" si="1509"/>
        <v>0</v>
      </c>
      <c r="AJ123" s="208">
        <f ca="1">+SUM(AB123:AB$124)*SS50J</f>
        <v>0</v>
      </c>
      <c r="AK123" s="5">
        <f t="shared" ca="1" si="1545"/>
        <v>99999.012970709329</v>
      </c>
      <c r="AL123" s="2">
        <f t="shared" ref="AL123" ca="1" si="2607">IFERROR(VLOOKUP($S123,qx_table,MATCH(AL$11,qx_title,0)+sexB),0)</f>
        <v>0</v>
      </c>
      <c r="AM123" s="131">
        <f t="shared" ca="1" si="1547"/>
        <v>8459.9454354039444</v>
      </c>
      <c r="AN123" s="129">
        <f t="shared" ca="1" si="2256"/>
        <v>0</v>
      </c>
      <c r="AO123" s="129">
        <f ca="1">SUM(AN123:AN$124)*SSa</f>
        <v>0</v>
      </c>
      <c r="AP123" s="70">
        <f t="shared" ca="1" si="1548"/>
        <v>99999.012970709329</v>
      </c>
      <c r="AQ123" s="2">
        <f t="shared" ref="AQ123" ca="1" si="2608">IFERROR(VLOOKUP($S123,qx_table,MATCH(AQ$11,qx_title,0)+sexB),0)</f>
        <v>0</v>
      </c>
      <c r="AR123" s="127">
        <f t="shared" ca="1" si="2290"/>
        <v>0</v>
      </c>
      <c r="AS123" s="127">
        <f ca="1">SUM(AR123:AR$124)*SSb</f>
        <v>0</v>
      </c>
      <c r="AT123" s="70">
        <f t="shared" ca="1" si="1551"/>
        <v>99999.012970709329</v>
      </c>
      <c r="AU123" s="2">
        <f t="shared" ref="AU123" ca="1" si="2609">IFERROR(VLOOKUP($S123,qx_table,MATCH(AU$11,qx_title,0)+sexB),0)</f>
        <v>0</v>
      </c>
      <c r="AV123" s="268">
        <f t="shared" ca="1" si="2292"/>
        <v>0</v>
      </c>
      <c r="AW123" s="131">
        <f ca="1">SUM(AV123:AV$124)*SSc</f>
        <v>0</v>
      </c>
      <c r="AX123" s="70">
        <f t="shared" ca="1" si="1554"/>
        <v>99999.012970709329</v>
      </c>
      <c r="AY123" s="2">
        <f t="shared" ref="AY123" ca="1" si="2610">IFERROR(VLOOKUP($S123,qx_table,MATCH(AY$11,qx_title,0)+sexB),0)</f>
        <v>0</v>
      </c>
      <c r="AZ123" s="268">
        <f t="shared" ca="1" si="2294"/>
        <v>0</v>
      </c>
      <c r="BA123" s="129">
        <f ca="1">SUM(AZ123:AZ$124)*SSd</f>
        <v>0</v>
      </c>
      <c r="BB123" s="70">
        <f t="shared" ca="1" si="1557"/>
        <v>99999.012970709329</v>
      </c>
      <c r="BC123" s="257">
        <f t="shared" ref="BC123" ca="1" si="2611">IFERROR(VLOOKUP($S123,qx_table,MATCH(BC$11,qx_title,0)+sexB),0)</f>
        <v>0</v>
      </c>
      <c r="BD123" s="268">
        <f t="shared" ca="1" si="2296"/>
        <v>0</v>
      </c>
      <c r="BE123" s="131">
        <f ca="1">SUM(BD123:BD$124)*SSe</f>
        <v>0</v>
      </c>
      <c r="BF123" s="70">
        <f t="shared" ca="1" si="1560"/>
        <v>99999.012970709329</v>
      </c>
      <c r="BG123" s="2">
        <f t="shared" ref="BG123" ca="1" si="2612">IFERROR(VLOOKUP($S123,qx_table,MATCH(BG$11,qx_title,0)+sexB),0)</f>
        <v>0</v>
      </c>
      <c r="BH123" s="131">
        <f t="shared" ca="1" si="2298"/>
        <v>0</v>
      </c>
      <c r="BI123" s="2">
        <f ca="1">SUM(BH123:BH$124)*SSf</f>
        <v>0</v>
      </c>
      <c r="BJ123" s="70">
        <f t="shared" ca="1" si="1563"/>
        <v>99999.012970709329</v>
      </c>
      <c r="BK123" s="2">
        <f t="shared" ref="BK123" ca="1" si="2613">IFERROR(VLOOKUP($S123,qx_table,MATCH(BK$11,qx_title,0)+sexB),0)</f>
        <v>0</v>
      </c>
      <c r="BL123" s="131">
        <f t="shared" ca="1" si="2300"/>
        <v>0</v>
      </c>
      <c r="BM123" s="131">
        <f ca="1">SUM(BL123:BL$124)*SSg</f>
        <v>0</v>
      </c>
      <c r="BN123" s="70">
        <f t="shared" ca="1" si="1566"/>
        <v>99999.012970709329</v>
      </c>
      <c r="BO123" s="2">
        <f t="shared" ref="BO123" ca="1" si="2614">IFERROR(VLOOKUP($S123,qx_table,MATCH(BO$11,qx_title,0)+sexB),0)</f>
        <v>0</v>
      </c>
      <c r="BP123" s="131">
        <f t="shared" ca="1" si="2302"/>
        <v>0</v>
      </c>
      <c r="BQ123" s="131">
        <f ca="1">SUM(BP123:BP$124)*SSh</f>
        <v>0</v>
      </c>
      <c r="BR123" s="70">
        <f t="shared" ca="1" si="1569"/>
        <v>99999.012970709329</v>
      </c>
      <c r="BS123" s="2">
        <f t="shared" ref="BS123" ca="1" si="2615">IFERROR(VLOOKUP($S123,qx_table,MATCH(BS$11,qx_title,0)+sexB),0)*IF(R123=0,MCi,1)</f>
        <v>0</v>
      </c>
      <c r="BT123" s="131">
        <f t="shared" ca="1" si="2304"/>
        <v>0</v>
      </c>
      <c r="BU123" s="131">
        <f ca="1">SUM(BT123:BT$124)*SSi</f>
        <v>0</v>
      </c>
      <c r="BV123" s="70">
        <f t="shared" ca="1" si="1572"/>
        <v>99999.012970709329</v>
      </c>
      <c r="BW123" s="2">
        <f t="shared" ref="BW123" ca="1" si="2616">IFERROR(VLOOKUP($S123,qx_table,MATCH(BW$11,qx_title,0)+sexB),0)</f>
        <v>0</v>
      </c>
      <c r="BX123" s="131">
        <f t="shared" ca="1" si="2306"/>
        <v>0</v>
      </c>
      <c r="BY123" s="131">
        <f ca="1">SUM(BX123:BX$124)*SSj</f>
        <v>0</v>
      </c>
      <c r="BZ123" s="70">
        <f t="shared" ca="1" si="1575"/>
        <v>99999.012970709329</v>
      </c>
      <c r="CA123" s="2">
        <f t="shared" ref="CA123" ca="1" si="2617">IFERROR(VLOOKUP($S123,qx_table,MATCH(CA$11,qx_title,0)+sexB),0)</f>
        <v>0</v>
      </c>
      <c r="CB123" s="131">
        <f t="shared" ca="1" si="2308"/>
        <v>0</v>
      </c>
      <c r="CC123" s="131">
        <f ca="1">SUM(CB123:CB$124)*SSk</f>
        <v>0</v>
      </c>
      <c r="CD123" s="8">
        <f t="shared" ca="1" si="1578"/>
        <v>99999.012970709329</v>
      </c>
      <c r="CE123" s="2">
        <f t="shared" ref="CE123" ca="1" si="2618">IFERROR(VLOOKUP($S123,qx_table,MATCH(CE$11,qx_title,0)+sexB),0)</f>
        <v>0</v>
      </c>
      <c r="CF123" s="131">
        <f t="shared" ca="1" si="2310"/>
        <v>0</v>
      </c>
      <c r="CG123" s="131">
        <f ca="1">SUM(CF123:CF$124)*SSl</f>
        <v>0</v>
      </c>
      <c r="CH123" s="101">
        <f t="shared" ca="1" si="1581"/>
        <v>0</v>
      </c>
      <c r="CI123" s="154">
        <f t="shared" ca="1" si="2268"/>
        <v>0</v>
      </c>
      <c r="CJ123" s="32">
        <f t="shared" ca="1" si="1524"/>
        <v>0</v>
      </c>
      <c r="CK123" s="32">
        <f t="shared" ref="CK123" ca="1" si="2619">+MAX(VLOOKUP(xB+$R123,기수표B,$AH$1)-VLOOKUP(xB+mB,기수표B,$AH$1)-11/24*(VLOOKUP(xB+$R123,기수표B,$AG$1)-VLOOKUP(xB+mB,기수표B,$AG$1)),0)</f>
        <v>0</v>
      </c>
      <c r="CL123" s="32">
        <f t="shared" ref="CL123" ca="1" si="2620">+MAX(VLOOKUP(xB+$R123,기수표B,$AA$1)-VLOOKUP(xB+mB,기수표B,$AA$1),0)</f>
        <v>0</v>
      </c>
      <c r="CM123" s="32">
        <f t="shared" ref="CM123" ca="1" si="2621">+MAX(VLOOKUP(xB+$R123,기수표B,$AA$1)-VLOOKUP(xB+mB,기수표B,$AA$1)-11/24*(VLOOKUP(xB+$R123,기수표B,$AA$1)-VLOOKUP(xB+mB,기수표B,$AA$1)),0)</f>
        <v>0</v>
      </c>
      <c r="CN123" s="32">
        <f t="shared" si="2272"/>
        <v>0</v>
      </c>
      <c r="CO123" s="32">
        <f t="shared" ca="1" si="2273"/>
        <v>0</v>
      </c>
      <c r="CP123" s="32">
        <f t="shared" ca="1" si="2274"/>
        <v>0</v>
      </c>
      <c r="CQ123" s="262">
        <f t="shared" ca="1" si="2275"/>
        <v>0</v>
      </c>
      <c r="CR123" s="259" t="e">
        <f t="shared" ca="1" si="2276"/>
        <v>#DIV/0!</v>
      </c>
      <c r="CS123" s="32">
        <f t="shared" ca="1" si="2277"/>
        <v>1.5999999999999999E-5</v>
      </c>
      <c r="CT123" s="31">
        <f t="shared" ref="CT123" si="2622">+MIN(mB,7)</f>
        <v>7</v>
      </c>
      <c r="CV123" s="13">
        <v>111</v>
      </c>
      <c r="CW123" s="477">
        <f t="shared" ca="1" si="2279"/>
        <v>480</v>
      </c>
      <c r="CX123" s="477" t="e">
        <f t="shared" ca="1" si="2280"/>
        <v>#DIV/0!</v>
      </c>
      <c r="CY123" s="477">
        <f t="shared" ca="1" si="2281"/>
        <v>0</v>
      </c>
      <c r="CZ123" s="478">
        <f t="shared" ca="1" si="1586"/>
        <v>0</v>
      </c>
    </row>
    <row r="124" spans="3:104">
      <c r="C124" s="33"/>
      <c r="D124" s="33"/>
      <c r="N124" s="6">
        <f t="shared" si="1587"/>
        <v>112</v>
      </c>
      <c r="O124" s="3">
        <f t="shared" ref="O124" ca="1" si="2623">+(1+iB)^-N124</f>
        <v>8.2738669323888181E-2</v>
      </c>
      <c r="P124" s="3">
        <f t="shared" ref="P124" ca="1" si="2624">+(1+iB)^-(N124+0.5)</f>
        <v>8.1823277882341824E-2</v>
      </c>
      <c r="Q124" s="91"/>
      <c r="R124" s="20">
        <f t="shared" si="1590"/>
        <v>112</v>
      </c>
      <c r="S124" s="20" t="str">
        <f t="shared" ref="S124" si="2625">+IF(xB+R124&lt;=xB+nB,xB+R124,"")</f>
        <v/>
      </c>
      <c r="T124" s="2">
        <f t="shared" ref="T124:U124" ca="1" si="2626">IFERROR(VLOOKUP($S124,qx_table,MATCH(T$11,qx_title,0)+sexB),0)</f>
        <v>0</v>
      </c>
      <c r="U124" s="2">
        <f t="shared" ca="1" si="2626"/>
        <v>0</v>
      </c>
      <c r="V124" s="300">
        <v>0</v>
      </c>
      <c r="W124" s="8">
        <f t="shared" ref="W124" si="2627">IF(R124=0,100000,IF(R124&gt;nB,0,W123*(1-X123)*(1-Y123)))</f>
        <v>0</v>
      </c>
      <c r="X124" s="10">
        <f t="shared" ca="1" si="1502"/>
        <v>0</v>
      </c>
      <c r="Y124" s="10">
        <f t="shared" ca="1" si="1503"/>
        <v>0</v>
      </c>
      <c r="Z124" s="6">
        <f t="shared" ca="1" si="1543"/>
        <v>0</v>
      </c>
      <c r="AA124" s="6">
        <f ca="1">+SUM(Z124:Z$124)</f>
        <v>0</v>
      </c>
      <c r="AB124" s="8">
        <f t="shared" ca="1" si="1504"/>
        <v>0</v>
      </c>
      <c r="AC124" s="209">
        <f ca="1">+SUM(AB124:AB$124)*SSSM</f>
        <v>0</v>
      </c>
      <c r="AD124" s="209">
        <f t="shared" ref="AD124" si="2628">IF(R124&gt;nB,0,AD123*(1-X123)*(1-Y123)*(1-AE123)*(1-AF123))</f>
        <v>0</v>
      </c>
      <c r="AE124" s="92">
        <f t="shared" ca="1" si="1506"/>
        <v>0</v>
      </c>
      <c r="AF124" s="92">
        <f t="shared" ca="1" si="1507"/>
        <v>0</v>
      </c>
      <c r="AG124" s="9">
        <f t="shared" ca="1" si="1508"/>
        <v>0</v>
      </c>
      <c r="AH124" s="6">
        <f ca="1">+SUM(AG124:AG$124)</f>
        <v>0</v>
      </c>
      <c r="AI124" s="70">
        <f t="shared" ca="1" si="1509"/>
        <v>0</v>
      </c>
      <c r="AJ124" s="208">
        <f ca="1">+SUM(AB124:AB$124)*SS50J</f>
        <v>0</v>
      </c>
      <c r="AK124" s="5">
        <f t="shared" ca="1" si="1545"/>
        <v>99999.012970709329</v>
      </c>
      <c r="AL124" s="2">
        <f t="shared" ref="AL124" ca="1" si="2629">IFERROR(VLOOKUP($S124,qx_table,MATCH(AL$11,qx_title,0)+sexB),0)</f>
        <v>0</v>
      </c>
      <c r="AM124" s="131">
        <f t="shared" ca="1" si="1547"/>
        <v>8273.7852668987234</v>
      </c>
      <c r="AN124" s="129">
        <f t="shared" ca="1" si="2256"/>
        <v>0</v>
      </c>
      <c r="AO124" s="129">
        <f ca="1">SUM(AN124:AN$124)*SSa</f>
        <v>0</v>
      </c>
      <c r="AP124" s="70">
        <f t="shared" ca="1" si="1548"/>
        <v>99999.012970709329</v>
      </c>
      <c r="AQ124" s="2">
        <f t="shared" ref="AQ124" ca="1" si="2630">IFERROR(VLOOKUP($S124,qx_table,MATCH(AQ$11,qx_title,0)+sexB),0)</f>
        <v>0</v>
      </c>
      <c r="AR124" s="127">
        <f t="shared" ca="1" si="2290"/>
        <v>0</v>
      </c>
      <c r="AS124" s="127">
        <f ca="1">SUM(AR124:AR$124)*SSb</f>
        <v>0</v>
      </c>
      <c r="AT124" s="70">
        <f t="shared" ca="1" si="1551"/>
        <v>99999.012970709329</v>
      </c>
      <c r="AU124" s="2">
        <f t="shared" ref="AU124" ca="1" si="2631">IFERROR(VLOOKUP($S124,qx_table,MATCH(AU$11,qx_title,0)+sexB),0)</f>
        <v>0</v>
      </c>
      <c r="AV124" s="268">
        <f t="shared" ca="1" si="2292"/>
        <v>0</v>
      </c>
      <c r="AW124" s="131">
        <f ca="1">SUM(AV124:AV$124)*SSc</f>
        <v>0</v>
      </c>
      <c r="AX124" s="70">
        <f t="shared" ca="1" si="1554"/>
        <v>99999.012970709329</v>
      </c>
      <c r="AY124" s="2">
        <f t="shared" ref="AY124" ca="1" si="2632">IFERROR(VLOOKUP($S124,qx_table,MATCH(AY$11,qx_title,0)+sexB),0)</f>
        <v>0</v>
      </c>
      <c r="AZ124" s="268">
        <f t="shared" ca="1" si="2294"/>
        <v>0</v>
      </c>
      <c r="BA124" s="129">
        <f ca="1">SUM(AZ124:AZ$124)*SSd</f>
        <v>0</v>
      </c>
      <c r="BB124" s="70">
        <f t="shared" ca="1" si="1557"/>
        <v>99999.012970709329</v>
      </c>
      <c r="BC124" s="257">
        <f t="shared" ref="BC124" ca="1" si="2633">IFERROR(VLOOKUP($S124,qx_table,MATCH(BC$11,qx_title,0)+sexB),0)</f>
        <v>0</v>
      </c>
      <c r="BD124" s="268">
        <f t="shared" ca="1" si="2296"/>
        <v>0</v>
      </c>
      <c r="BE124" s="131">
        <f ca="1">SUM(BD124:BD$124)*SSe</f>
        <v>0</v>
      </c>
      <c r="BF124" s="70">
        <f t="shared" ca="1" si="1560"/>
        <v>99999.012970709329</v>
      </c>
      <c r="BG124" s="2">
        <f t="shared" ref="BG124" ca="1" si="2634">IFERROR(VLOOKUP($S124,qx_table,MATCH(BG$11,qx_title,0)+sexB),0)</f>
        <v>0</v>
      </c>
      <c r="BH124" s="131">
        <f t="shared" ca="1" si="2298"/>
        <v>0</v>
      </c>
      <c r="BI124" s="2">
        <f ca="1">SUM(BH124:BH$124)*SSf</f>
        <v>0</v>
      </c>
      <c r="BJ124" s="70">
        <f t="shared" ca="1" si="1563"/>
        <v>99999.012970709329</v>
      </c>
      <c r="BK124" s="2">
        <f t="shared" ref="BK124" ca="1" si="2635">IFERROR(VLOOKUP($S124,qx_table,MATCH(BK$11,qx_title,0)+sexB),0)</f>
        <v>0</v>
      </c>
      <c r="BL124" s="131">
        <f t="shared" ca="1" si="2300"/>
        <v>0</v>
      </c>
      <c r="BM124" s="131">
        <f ca="1">SUM(BL124:BL$124)*SSg</f>
        <v>0</v>
      </c>
      <c r="BN124" s="70">
        <f t="shared" ca="1" si="1566"/>
        <v>99999.012970709329</v>
      </c>
      <c r="BO124" s="2">
        <f t="shared" ref="BO124" ca="1" si="2636">IFERROR(VLOOKUP($S124,qx_table,MATCH(BO$11,qx_title,0)+sexB),0)</f>
        <v>0</v>
      </c>
      <c r="BP124" s="131">
        <f t="shared" ca="1" si="2302"/>
        <v>0</v>
      </c>
      <c r="BQ124" s="131">
        <f ca="1">SUM(BP124:BP$124)*SSh</f>
        <v>0</v>
      </c>
      <c r="BR124" s="70">
        <f t="shared" ca="1" si="1569"/>
        <v>99999.012970709329</v>
      </c>
      <c r="BS124" s="2">
        <f t="shared" ref="BS124" ca="1" si="2637">IFERROR(VLOOKUP($S124,qx_table,MATCH(BS$11,qx_title,0)+sexB),0)*IF(R124=0,MCi,1)</f>
        <v>0</v>
      </c>
      <c r="BT124" s="131">
        <f t="shared" ca="1" si="2304"/>
        <v>0</v>
      </c>
      <c r="BU124" s="131">
        <f ca="1">SUM(BT124:BT$124)*SSi</f>
        <v>0</v>
      </c>
      <c r="BV124" s="70">
        <f t="shared" ca="1" si="1572"/>
        <v>99999.012970709329</v>
      </c>
      <c r="BW124" s="2">
        <f t="shared" ref="BW124" ca="1" si="2638">IFERROR(VLOOKUP($S124,qx_table,MATCH(BW$11,qx_title,0)+sexB),0)</f>
        <v>0</v>
      </c>
      <c r="BX124" s="131">
        <f t="shared" ca="1" si="2306"/>
        <v>0</v>
      </c>
      <c r="BY124" s="131">
        <f ca="1">SUM(BX124:BX$124)*SSj</f>
        <v>0</v>
      </c>
      <c r="BZ124" s="70">
        <f t="shared" ca="1" si="1575"/>
        <v>99999.012970709329</v>
      </c>
      <c r="CA124" s="2">
        <f t="shared" ref="CA124" ca="1" si="2639">IFERROR(VLOOKUP($S124,qx_table,MATCH(CA$11,qx_title,0)+sexB),0)</f>
        <v>0</v>
      </c>
      <c r="CB124" s="131">
        <f t="shared" ca="1" si="2308"/>
        <v>0</v>
      </c>
      <c r="CC124" s="131">
        <f ca="1">SUM(CB124:CB$124)*SSk</f>
        <v>0</v>
      </c>
      <c r="CD124" s="8">
        <f t="shared" ca="1" si="1578"/>
        <v>99999.012970709329</v>
      </c>
      <c r="CE124" s="2">
        <f t="shared" ref="CE124" ca="1" si="2640">IFERROR(VLOOKUP($S124,qx_table,MATCH(CE$11,qx_title,0)+sexB),0)</f>
        <v>0</v>
      </c>
      <c r="CF124" s="131">
        <f t="shared" ca="1" si="2310"/>
        <v>0</v>
      </c>
      <c r="CG124" s="131">
        <f ca="1">SUM(CF124:CF$124)*SSl</f>
        <v>0</v>
      </c>
      <c r="CH124" s="101">
        <f t="shared" ca="1" si="1581"/>
        <v>0</v>
      </c>
      <c r="CI124" s="154">
        <f t="shared" ca="1" si="2268"/>
        <v>0</v>
      </c>
      <c r="CJ124" s="32">
        <f t="shared" ca="1" si="1524"/>
        <v>0</v>
      </c>
      <c r="CK124" s="32">
        <f t="shared" ref="CK124" ca="1" si="2641">+MAX(VLOOKUP(xB+$R124,기수표B,$AH$1)-VLOOKUP(xB+mB,기수표B,$AH$1)-11/24*(VLOOKUP(xB+$R124,기수표B,$AG$1)-VLOOKUP(xB+mB,기수표B,$AG$1)),0)</f>
        <v>0</v>
      </c>
      <c r="CL124" s="32">
        <f t="shared" ref="CL124" ca="1" si="2642">+MAX(VLOOKUP(xB+$R124,기수표B,$AA$1)-VLOOKUP(xB+mB,기수표B,$AA$1),0)</f>
        <v>0</v>
      </c>
      <c r="CM124" s="32">
        <f t="shared" ref="CM124" ca="1" si="2643">+MAX(VLOOKUP(xB+$R124,기수표B,$AA$1)-VLOOKUP(xB+mB,기수표B,$AA$1)-11/24*(VLOOKUP(xB+$R124,기수표B,$AA$1)-VLOOKUP(xB+mB,기수표B,$AA$1)),0)</f>
        <v>0</v>
      </c>
      <c r="CN124" s="95">
        <f t="shared" si="2272"/>
        <v>0</v>
      </c>
      <c r="CO124" s="32">
        <f t="shared" ca="1" si="2273"/>
        <v>0</v>
      </c>
      <c r="CP124" s="32">
        <f t="shared" ca="1" si="2274"/>
        <v>0</v>
      </c>
      <c r="CQ124" s="262">
        <f t="shared" ca="1" si="2275"/>
        <v>0</v>
      </c>
      <c r="CR124" s="259" t="e">
        <f t="shared" ca="1" si="2276"/>
        <v>#DIV/0!</v>
      </c>
      <c r="CS124" s="32">
        <f t="shared" ca="1" si="2277"/>
        <v>1.5999999999999999E-5</v>
      </c>
      <c r="CT124" s="31">
        <f t="shared" ref="CT124" si="2644">+MIN(mB,7)</f>
        <v>7</v>
      </c>
      <c r="CV124" s="13">
        <v>112</v>
      </c>
      <c r="CW124" s="477">
        <f t="shared" ca="1" si="2279"/>
        <v>480</v>
      </c>
      <c r="CX124" s="477" t="e">
        <f t="shared" ca="1" si="2280"/>
        <v>#DIV/0!</v>
      </c>
      <c r="CY124" s="477">
        <f t="shared" ca="1" si="2281"/>
        <v>0</v>
      </c>
      <c r="CZ124" s="478">
        <f t="shared" ca="1" si="1586"/>
        <v>0</v>
      </c>
    </row>
    <row r="125" spans="3:104">
      <c r="C125" s="33"/>
      <c r="D125" s="33"/>
      <c r="R125" s="88"/>
      <c r="V125" s="301"/>
      <c r="AM125" s="131">
        <f t="shared" si="1547"/>
        <v>0</v>
      </c>
    </row>
    <row r="126" spans="3:104">
      <c r="C126" s="33"/>
      <c r="D126" s="33"/>
    </row>
    <row r="127" spans="3:104">
      <c r="C127" s="33"/>
      <c r="D127" s="33"/>
    </row>
    <row r="128" spans="3:104">
      <c r="C128" s="33"/>
      <c r="D128" s="33"/>
    </row>
    <row r="129" spans="3:4">
      <c r="C129" s="33"/>
      <c r="D129" s="33"/>
    </row>
    <row r="130" spans="3:4">
      <c r="C130" s="33"/>
      <c r="D130" s="33"/>
    </row>
    <row r="131" spans="3:4">
      <c r="C131" s="33"/>
      <c r="D131" s="33"/>
    </row>
    <row r="132" spans="3:4">
      <c r="C132" s="33"/>
      <c r="D132" s="33"/>
    </row>
    <row r="133" spans="3:4">
      <c r="C133" s="33"/>
      <c r="D133" s="33"/>
    </row>
    <row r="134" spans="3:4">
      <c r="C134" s="33"/>
      <c r="D134" s="33"/>
    </row>
    <row r="135" spans="3:4">
      <c r="C135" s="33"/>
      <c r="D135" s="33"/>
    </row>
    <row r="136" spans="3:4">
      <c r="C136" s="33"/>
      <c r="D136" s="33"/>
    </row>
    <row r="137" spans="3:4">
      <c r="C137" s="33"/>
      <c r="D137" s="33"/>
    </row>
    <row r="138" spans="3:4">
      <c r="C138" s="33"/>
      <c r="D138" s="33"/>
    </row>
    <row r="139" spans="3:4">
      <c r="C139" s="33"/>
      <c r="D139" s="33"/>
    </row>
    <row r="140" spans="3:4">
      <c r="C140" s="33"/>
      <c r="D140" s="33"/>
    </row>
    <row r="141" spans="3:4">
      <c r="C141" s="33"/>
      <c r="D141" s="33"/>
    </row>
    <row r="142" spans="3:4">
      <c r="C142" s="33"/>
      <c r="D142" s="33"/>
    </row>
    <row r="143" spans="3:4">
      <c r="C143" s="33"/>
      <c r="D143" s="33"/>
    </row>
    <row r="144" spans="3:4">
      <c r="C144" s="33"/>
      <c r="D144" s="33"/>
    </row>
    <row r="145" spans="3:4">
      <c r="C145" s="33"/>
      <c r="D145" s="33"/>
    </row>
    <row r="146" spans="3:4">
      <c r="C146" s="33"/>
      <c r="D146" s="33"/>
    </row>
    <row r="147" spans="3:4">
      <c r="C147" s="33"/>
      <c r="D147" s="33"/>
    </row>
    <row r="148" spans="3:4">
      <c r="C148" s="33"/>
      <c r="D148" s="33"/>
    </row>
    <row r="149" spans="3:4">
      <c r="C149" s="33"/>
      <c r="D149" s="33"/>
    </row>
    <row r="150" spans="3:4">
      <c r="C150" s="33"/>
      <c r="D150" s="33"/>
    </row>
    <row r="151" spans="3:4">
      <c r="C151" s="33"/>
      <c r="D151" s="33"/>
    </row>
    <row r="152" spans="3:4">
      <c r="C152" s="33"/>
      <c r="D152" s="33"/>
    </row>
    <row r="153" spans="3:4">
      <c r="C153" s="33"/>
      <c r="D153" s="33"/>
    </row>
    <row r="154" spans="3:4">
      <c r="C154" s="33"/>
      <c r="D154" s="33"/>
    </row>
    <row r="155" spans="3:4">
      <c r="C155" s="33"/>
      <c r="D155" s="33"/>
    </row>
    <row r="156" spans="3:4">
      <c r="C156" s="33"/>
      <c r="D156" s="33"/>
    </row>
    <row r="157" spans="3:4">
      <c r="C157" s="33"/>
      <c r="D157" s="33"/>
    </row>
  </sheetData>
  <mergeCells count="24">
    <mergeCell ref="AT9:AW9"/>
    <mergeCell ref="W9:AA9"/>
    <mergeCell ref="T9:V9"/>
    <mergeCell ref="AB9:AC9"/>
    <mergeCell ref="AD9:AH9"/>
    <mergeCell ref="AI9:AJ9"/>
    <mergeCell ref="AK9:AO9"/>
    <mergeCell ref="AP9:AS9"/>
    <mergeCell ref="BV9:BY9"/>
    <mergeCell ref="BZ9:CC9"/>
    <mergeCell ref="CD9:CG9"/>
    <mergeCell ref="CP9:CR9"/>
    <mergeCell ref="AX9:BA9"/>
    <mergeCell ref="BB9:BE9"/>
    <mergeCell ref="BF9:BI9"/>
    <mergeCell ref="BJ9:BM9"/>
    <mergeCell ref="BN9:BQ9"/>
    <mergeCell ref="BR9:BU9"/>
    <mergeCell ref="F30:F35"/>
    <mergeCell ref="B2:D2"/>
    <mergeCell ref="N9:P9"/>
    <mergeCell ref="R9:R11"/>
    <mergeCell ref="S9:S11"/>
    <mergeCell ref="F20:F29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EAB4-E78D-42FF-94ED-C3F90F8C7E3B}">
  <sheetPr codeName="Sheet7">
    <tabColor rgb="FFFFFF00"/>
  </sheetPr>
  <dimension ref="A1:DA157"/>
  <sheetViews>
    <sheetView topLeftCell="A21" workbookViewId="0">
      <selection activeCell="CQ7" sqref="CQ7"/>
    </sheetView>
  </sheetViews>
  <sheetFormatPr defaultColWidth="9" defaultRowHeight="17.399999999999999"/>
  <cols>
    <col min="1" max="1" width="9" style="13"/>
    <col min="2" max="2" width="17.59765625" style="13" customWidth="1"/>
    <col min="3" max="3" width="20.09765625" style="13" customWidth="1"/>
    <col min="4" max="4" width="17.69921875" style="13" bestFit="1" customWidth="1"/>
    <col min="5" max="5" width="13.69921875" style="13" customWidth="1"/>
    <col min="6" max="6" width="10" style="13" customWidth="1"/>
    <col min="7" max="7" width="15.09765625" style="13" customWidth="1"/>
    <col min="8" max="8" width="18.8984375" style="13" customWidth="1"/>
    <col min="9" max="9" width="17.69921875" style="13" customWidth="1"/>
    <col min="10" max="10" width="18.5" style="13" customWidth="1"/>
    <col min="11" max="11" width="16.8984375" style="13" customWidth="1"/>
    <col min="12" max="12" width="18.09765625" style="13" customWidth="1"/>
    <col min="13" max="13" width="15" style="13" customWidth="1"/>
    <col min="14" max="14" width="4.5" style="13" customWidth="1"/>
    <col min="15" max="15" width="9.09765625" style="13" customWidth="1"/>
    <col min="16" max="16" width="12.59765625" style="13" customWidth="1"/>
    <col min="17" max="17" width="9.09765625" style="13" customWidth="1"/>
    <col min="18" max="18" width="7.69921875" style="13" customWidth="1"/>
    <col min="19" max="19" width="9" style="13" customWidth="1"/>
    <col min="20" max="22" width="10" style="13" customWidth="1"/>
    <col min="23" max="23" width="12.8984375" style="13" customWidth="1"/>
    <col min="24" max="25" width="10" style="13" customWidth="1"/>
    <col min="26" max="26" width="12.3984375" style="13" customWidth="1"/>
    <col min="27" max="27" width="16.5" style="13" customWidth="1"/>
    <col min="28" max="28" width="12.8984375" style="13" customWidth="1"/>
    <col min="29" max="29" width="17.8984375" style="13" customWidth="1"/>
    <col min="30" max="30" width="12.3984375" style="13" customWidth="1"/>
    <col min="31" max="32" width="10" style="13" customWidth="1"/>
    <col min="33" max="33" width="14.8984375" style="16" customWidth="1"/>
    <col min="34" max="36" width="10" style="13" customWidth="1"/>
    <col min="37" max="37" width="13.19921875" style="13" customWidth="1"/>
    <col min="38" max="39" width="12.19921875" style="13" customWidth="1"/>
    <col min="40" max="40" width="12.09765625" style="128" customWidth="1"/>
    <col min="41" max="41" width="15.19921875" style="128" customWidth="1"/>
    <col min="42" max="42" width="10" style="13" customWidth="1"/>
    <col min="43" max="43" width="15.19921875" style="13" customWidth="1"/>
    <col min="44" max="45" width="14.8984375" style="126" customWidth="1"/>
    <col min="46" max="46" width="10" style="13" customWidth="1"/>
    <col min="47" max="47" width="11.09765625" style="13" customWidth="1"/>
    <col min="48" max="48" width="11.09765625" style="130" customWidth="1"/>
    <col min="49" max="49" width="15.09765625" style="130" customWidth="1"/>
    <col min="50" max="50" width="11.09765625" style="13" customWidth="1"/>
    <col min="51" max="51" width="12.59765625" style="13" customWidth="1"/>
    <col min="52" max="52" width="12.59765625" style="128" customWidth="1"/>
    <col min="53" max="53" width="15.5" style="128" customWidth="1"/>
    <col min="54" max="54" width="12.59765625" style="13" customWidth="1"/>
    <col min="55" max="55" width="12.09765625" style="13" customWidth="1"/>
    <col min="56" max="56" width="10" style="130" customWidth="1"/>
    <col min="57" max="57" width="14" style="130" customWidth="1"/>
    <col min="58" max="60" width="10" style="130" customWidth="1"/>
    <col min="61" max="61" width="11.8984375" style="130" customWidth="1"/>
    <col min="62" max="64" width="10" style="130" customWidth="1"/>
    <col min="65" max="65" width="13.19921875" style="130" customWidth="1"/>
    <col min="66" max="68" width="10" style="130" customWidth="1"/>
    <col min="69" max="69" width="14.09765625" style="130" customWidth="1"/>
    <col min="70" max="80" width="10" style="130" customWidth="1"/>
    <col min="81" max="81" width="13.69921875" style="130" customWidth="1"/>
    <col min="82" max="82" width="14" style="130" customWidth="1"/>
    <col min="83" max="84" width="10" style="130" customWidth="1"/>
    <col min="85" max="92" width="13.3984375" style="130" customWidth="1"/>
    <col min="93" max="93" width="17.8984375" style="13" customWidth="1"/>
    <col min="94" max="95" width="16.8984375" style="13" customWidth="1"/>
    <col min="96" max="101" width="12.69921875" style="13" customWidth="1"/>
    <col min="102" max="103" width="15.09765625" style="13" customWidth="1"/>
    <col min="104" max="104" width="12.69921875" style="13" customWidth="1"/>
    <col min="105" max="16384" width="9" style="13"/>
  </cols>
  <sheetData>
    <row r="1" spans="2:105">
      <c r="S1" s="13">
        <v>1</v>
      </c>
      <c r="T1" s="13">
        <f t="shared" ref="T1:BM1" si="0">+S1+1</f>
        <v>2</v>
      </c>
      <c r="U1" s="13">
        <f t="shared" si="0"/>
        <v>3</v>
      </c>
      <c r="V1" s="13">
        <f t="shared" si="0"/>
        <v>4</v>
      </c>
      <c r="W1" s="13">
        <f t="shared" si="0"/>
        <v>5</v>
      </c>
      <c r="X1" s="13">
        <f t="shared" si="0"/>
        <v>6</v>
      </c>
      <c r="Y1" s="13">
        <f t="shared" si="0"/>
        <v>7</v>
      </c>
      <c r="Z1" s="13">
        <f t="shared" si="0"/>
        <v>8</v>
      </c>
      <c r="AA1" s="13">
        <f t="shared" si="0"/>
        <v>9</v>
      </c>
      <c r="AB1" s="13">
        <f t="shared" ref="AB1:AX1" si="1">+AA1+1</f>
        <v>10</v>
      </c>
      <c r="AC1" s="13">
        <f t="shared" si="1"/>
        <v>11</v>
      </c>
      <c r="AD1" s="13">
        <f t="shared" si="1"/>
        <v>12</v>
      </c>
      <c r="AE1" s="13">
        <f t="shared" si="1"/>
        <v>13</v>
      </c>
      <c r="AF1" s="13">
        <f t="shared" si="1"/>
        <v>14</v>
      </c>
      <c r="AG1" s="13">
        <f t="shared" si="1"/>
        <v>15</v>
      </c>
      <c r="AH1" s="13">
        <f t="shared" si="1"/>
        <v>16</v>
      </c>
      <c r="AI1" s="13">
        <f t="shared" si="1"/>
        <v>17</v>
      </c>
      <c r="AJ1" s="13">
        <f t="shared" si="1"/>
        <v>18</v>
      </c>
      <c r="AK1" s="13">
        <f t="shared" si="1"/>
        <v>19</v>
      </c>
      <c r="AL1" s="13">
        <f t="shared" si="1"/>
        <v>20</v>
      </c>
      <c r="AM1" s="13">
        <f t="shared" ref="AM1" si="2">+AL1+1</f>
        <v>21</v>
      </c>
      <c r="AN1" s="13">
        <f t="shared" ref="AN1" si="3">+AM1+1</f>
        <v>22</v>
      </c>
      <c r="AO1" s="13">
        <f t="shared" ref="AO1" si="4">+AN1+1</f>
        <v>23</v>
      </c>
      <c r="AP1" s="13">
        <f t="shared" si="1"/>
        <v>24</v>
      </c>
      <c r="AQ1" s="13">
        <f t="shared" si="1"/>
        <v>25</v>
      </c>
      <c r="AR1" s="13">
        <f t="shared" si="1"/>
        <v>26</v>
      </c>
      <c r="AS1" s="13">
        <f t="shared" si="1"/>
        <v>27</v>
      </c>
      <c r="AT1" s="13">
        <f t="shared" si="1"/>
        <v>28</v>
      </c>
      <c r="AU1" s="13">
        <f t="shared" si="1"/>
        <v>29</v>
      </c>
      <c r="AV1" s="13">
        <f t="shared" si="1"/>
        <v>30</v>
      </c>
      <c r="AW1" s="13">
        <f t="shared" si="1"/>
        <v>31</v>
      </c>
      <c r="AX1" s="13">
        <f t="shared" si="1"/>
        <v>32</v>
      </c>
      <c r="AY1" s="134">
        <f t="shared" si="0"/>
        <v>33</v>
      </c>
      <c r="AZ1" s="134">
        <f t="shared" si="0"/>
        <v>34</v>
      </c>
      <c r="BA1" s="134">
        <f t="shared" si="0"/>
        <v>35</v>
      </c>
      <c r="BB1" s="134">
        <f t="shared" si="0"/>
        <v>36</v>
      </c>
      <c r="BC1" s="134">
        <f t="shared" si="0"/>
        <v>37</v>
      </c>
      <c r="BD1" s="134">
        <f t="shared" si="0"/>
        <v>38</v>
      </c>
      <c r="BE1" s="134">
        <f t="shared" si="0"/>
        <v>39</v>
      </c>
      <c r="BF1" s="134">
        <f t="shared" si="0"/>
        <v>40</v>
      </c>
      <c r="BG1" s="134">
        <f t="shared" si="0"/>
        <v>41</v>
      </c>
      <c r="BH1" s="134">
        <f t="shared" si="0"/>
        <v>42</v>
      </c>
      <c r="BI1" s="134">
        <f t="shared" si="0"/>
        <v>43</v>
      </c>
      <c r="BJ1" s="134">
        <f t="shared" si="0"/>
        <v>44</v>
      </c>
      <c r="BK1" s="134">
        <f t="shared" si="0"/>
        <v>45</v>
      </c>
      <c r="BL1" s="134">
        <f t="shared" si="0"/>
        <v>46</v>
      </c>
      <c r="BM1" s="134">
        <f t="shared" si="0"/>
        <v>47</v>
      </c>
      <c r="BN1" s="134">
        <f t="shared" ref="BN1" si="5">+BM1+1</f>
        <v>48</v>
      </c>
      <c r="BO1" s="134">
        <f t="shared" ref="BO1" si="6">+BN1+1</f>
        <v>49</v>
      </c>
      <c r="BP1" s="134">
        <f t="shared" ref="BP1" si="7">+BO1+1</f>
        <v>50</v>
      </c>
      <c r="BQ1" s="134">
        <f t="shared" ref="BQ1" si="8">+BP1+1</f>
        <v>51</v>
      </c>
      <c r="BR1" s="134">
        <f t="shared" ref="BR1" si="9">+BQ1+1</f>
        <v>52</v>
      </c>
      <c r="BS1" s="134">
        <f t="shared" ref="BS1" si="10">+BR1+1</f>
        <v>53</v>
      </c>
      <c r="BT1" s="134">
        <f t="shared" ref="BT1" si="11">+BS1+1</f>
        <v>54</v>
      </c>
      <c r="BU1" s="134">
        <f t="shared" ref="BU1" si="12">+BT1+1</f>
        <v>55</v>
      </c>
      <c r="BV1" s="134">
        <f t="shared" ref="BV1" si="13">+BU1+1</f>
        <v>56</v>
      </c>
      <c r="BW1" s="134">
        <f t="shared" ref="BW1" si="14">+BV1+1</f>
        <v>57</v>
      </c>
      <c r="BX1" s="134">
        <f t="shared" ref="BX1" si="15">+BW1+1</f>
        <v>58</v>
      </c>
      <c r="BY1" s="134">
        <f t="shared" ref="BY1" si="16">+BX1+1</f>
        <v>59</v>
      </c>
      <c r="BZ1" s="134">
        <f t="shared" ref="BZ1" si="17">+BY1+1</f>
        <v>60</v>
      </c>
      <c r="CA1" s="134">
        <f t="shared" ref="CA1" si="18">+BZ1+1</f>
        <v>61</v>
      </c>
      <c r="CB1" s="134">
        <f t="shared" ref="CB1" si="19">+CA1+1</f>
        <v>62</v>
      </c>
      <c r="CC1" s="134">
        <f t="shared" ref="CC1" si="20">+CB1+1</f>
        <v>63</v>
      </c>
      <c r="CD1" s="134">
        <f t="shared" ref="CD1" si="21">+CC1+1</f>
        <v>64</v>
      </c>
      <c r="CE1" s="134">
        <f t="shared" ref="CE1" si="22">+CD1+1</f>
        <v>65</v>
      </c>
      <c r="CF1" s="134">
        <f t="shared" ref="CF1" si="23">+CE1+1</f>
        <v>66</v>
      </c>
      <c r="CG1" s="134">
        <f t="shared" ref="CG1" si="24">+CF1+1</f>
        <v>67</v>
      </c>
      <c r="CH1" s="134">
        <f t="shared" ref="CH1" si="25">+CG1+1</f>
        <v>68</v>
      </c>
      <c r="CI1" s="134">
        <f t="shared" ref="CI1" si="26">+CH1+1</f>
        <v>69</v>
      </c>
      <c r="CJ1" s="134">
        <f t="shared" ref="CJ1" si="27">+CI1+1</f>
        <v>70</v>
      </c>
      <c r="CK1" s="134">
        <f t="shared" ref="CK1" si="28">+CJ1+1</f>
        <v>71</v>
      </c>
      <c r="CL1" s="134">
        <f t="shared" ref="CL1" si="29">+CK1+1</f>
        <v>72</v>
      </c>
      <c r="CM1" s="134">
        <f t="shared" ref="CM1" si="30">+CL1+1</f>
        <v>73</v>
      </c>
      <c r="CN1" s="134">
        <f t="shared" ref="CN1" si="31">+CM1+1</f>
        <v>74</v>
      </c>
      <c r="CO1" s="134">
        <f t="shared" ref="CO1" si="32">+CN1+1</f>
        <v>75</v>
      </c>
      <c r="CP1" s="134">
        <f t="shared" ref="CP1" si="33">+CO1+1</f>
        <v>76</v>
      </c>
      <c r="CQ1" s="134">
        <f t="shared" ref="CQ1" si="34">+CP1+1</f>
        <v>77</v>
      </c>
      <c r="CR1" s="134">
        <f t="shared" ref="CR1" si="35">+CQ1+1</f>
        <v>78</v>
      </c>
      <c r="CS1" s="134">
        <f t="shared" ref="CS1" si="36">+CR1+1</f>
        <v>79</v>
      </c>
      <c r="CT1" s="134">
        <f t="shared" ref="CT1" si="37">+CS1+1</f>
        <v>80</v>
      </c>
      <c r="CU1" s="134">
        <f t="shared" ref="CU1" si="38">+CT1+1</f>
        <v>81</v>
      </c>
      <c r="CV1" s="134">
        <f t="shared" ref="CV1" si="39">+CU1+1</f>
        <v>82</v>
      </c>
      <c r="CW1" s="134">
        <f t="shared" ref="CW1" si="40">+CV1+1</f>
        <v>83</v>
      </c>
      <c r="CX1" s="134">
        <f t="shared" ref="CX1" si="41">+CW1+1</f>
        <v>84</v>
      </c>
      <c r="CY1" s="134">
        <f t="shared" ref="CY1" si="42">+CX1+1</f>
        <v>85</v>
      </c>
      <c r="CZ1" s="134">
        <f t="shared" ref="CZ1:DA1" si="43">+CY1+1</f>
        <v>86</v>
      </c>
      <c r="DA1" s="134">
        <f t="shared" si="43"/>
        <v>87</v>
      </c>
    </row>
    <row r="2" spans="2:105" ht="21">
      <c r="B2" s="603" t="str">
        <f ca="1">MAIN!B2</f>
        <v>■ 상품 요율체크 : 남녀특정암진단특약(무배당, 무해지)</v>
      </c>
      <c r="C2" s="604"/>
      <c r="D2" s="605"/>
      <c r="AG2" s="13"/>
      <c r="BL2" s="153"/>
      <c r="BM2" s="153"/>
      <c r="BN2" s="153"/>
      <c r="BO2" s="153"/>
      <c r="BP2" s="153"/>
      <c r="CP2" s="17" t="s">
        <v>154</v>
      </c>
      <c r="CQ2" s="17"/>
    </row>
    <row r="3" spans="2:105">
      <c r="B3" s="17"/>
      <c r="W3" s="103" t="s">
        <v>155</v>
      </c>
      <c r="X3" s="82" t="s">
        <v>105</v>
      </c>
      <c r="Y3" s="77"/>
      <c r="AD3" s="103" t="s">
        <v>155</v>
      </c>
      <c r="AE3" s="85" t="s">
        <v>106</v>
      </c>
      <c r="AF3" s="87"/>
      <c r="AG3" s="27"/>
      <c r="AH3" s="27"/>
      <c r="AI3" s="27"/>
      <c r="AJ3" s="27"/>
      <c r="AK3" s="103" t="s">
        <v>155</v>
      </c>
      <c r="AL3" s="85" t="s">
        <v>107</v>
      </c>
      <c r="AM3" s="87"/>
      <c r="AN3" s="150"/>
      <c r="AO3" s="150"/>
      <c r="AP3" s="103" t="s">
        <v>155</v>
      </c>
      <c r="AQ3" s="85" t="s">
        <v>108</v>
      </c>
      <c r="AR3" s="151"/>
      <c r="AS3" s="151"/>
      <c r="AT3" s="103" t="s">
        <v>155</v>
      </c>
      <c r="AU3" s="85" t="s">
        <v>156</v>
      </c>
      <c r="AV3" s="153"/>
      <c r="AW3" s="153"/>
      <c r="AX3" s="103" t="s">
        <v>155</v>
      </c>
      <c r="AY3" s="85" t="s">
        <v>109</v>
      </c>
      <c r="BB3" s="103" t="s">
        <v>155</v>
      </c>
      <c r="BC3" s="85" t="s">
        <v>110</v>
      </c>
      <c r="BF3" s="103" t="s">
        <v>155</v>
      </c>
      <c r="BG3" s="85" t="s">
        <v>179</v>
      </c>
      <c r="BH3" s="128"/>
      <c r="BI3" s="128"/>
      <c r="BJ3" s="103" t="s">
        <v>155</v>
      </c>
      <c r="BK3" s="85" t="s">
        <v>180</v>
      </c>
      <c r="BL3" s="85" t="s">
        <v>527</v>
      </c>
      <c r="BM3" s="85" t="s">
        <v>528</v>
      </c>
      <c r="BN3" s="85" t="s">
        <v>529</v>
      </c>
      <c r="BO3" s="85" t="s">
        <v>530</v>
      </c>
      <c r="BP3" s="85" t="s">
        <v>531</v>
      </c>
    </row>
    <row r="4" spans="2:105" ht="19.2">
      <c r="B4" s="13" t="s">
        <v>79</v>
      </c>
      <c r="G4" s="13" t="s">
        <v>75</v>
      </c>
      <c r="N4" s="102" t="s">
        <v>118</v>
      </c>
      <c r="R4" s="102" t="s">
        <v>8</v>
      </c>
      <c r="W4" s="85" t="s">
        <v>112</v>
      </c>
      <c r="X4" s="85">
        <f ca="1">YTSM</f>
        <v>0</v>
      </c>
      <c r="Y4" s="87"/>
      <c r="AA4" s="213"/>
      <c r="AD4" s="85" t="s">
        <v>112</v>
      </c>
      <c r="AE4" s="85">
        <f ca="1">YT50J</f>
        <v>0</v>
      </c>
      <c r="AF4" s="87"/>
      <c r="AG4" s="13"/>
      <c r="AK4" s="85" t="s">
        <v>112</v>
      </c>
      <c r="AL4" s="85">
        <f ca="1">YTa</f>
        <v>1</v>
      </c>
      <c r="AM4" s="87"/>
      <c r="AP4" s="85" t="s">
        <v>112</v>
      </c>
      <c r="AQ4" s="85">
        <f ca="1">YTb</f>
        <v>0</v>
      </c>
      <c r="AT4" s="85" t="s">
        <v>112</v>
      </c>
      <c r="AU4" s="85">
        <f ca="1">YTc</f>
        <v>0</v>
      </c>
      <c r="AX4" s="85" t="s">
        <v>112</v>
      </c>
      <c r="AY4" s="85">
        <f ca="1">YTd</f>
        <v>0</v>
      </c>
      <c r="BB4" s="85" t="s">
        <v>112</v>
      </c>
      <c r="BC4" s="85">
        <f ca="1">YTe</f>
        <v>0</v>
      </c>
      <c r="BF4" s="85" t="s">
        <v>112</v>
      </c>
      <c r="BG4" s="85">
        <f ca="1">YTf</f>
        <v>0</v>
      </c>
      <c r="BH4" s="128"/>
      <c r="BI4" s="128"/>
      <c r="BJ4" s="85" t="s">
        <v>112</v>
      </c>
      <c r="BK4" s="85">
        <f ca="1">YTg</f>
        <v>0</v>
      </c>
      <c r="BL4" s="85" cm="1">
        <f t="array" aca="1" ref="BL4" ca="1">YTh</f>
        <v>0</v>
      </c>
      <c r="BM4" s="85">
        <f ca="1">YTi</f>
        <v>0</v>
      </c>
      <c r="BN4" s="85">
        <f ca="1">YTj</f>
        <v>0</v>
      </c>
      <c r="BO4" s="85">
        <f ca="1">YTk</f>
        <v>0</v>
      </c>
      <c r="BP4" s="85">
        <f ca="1">YTl</f>
        <v>0</v>
      </c>
    </row>
    <row r="5" spans="2:105">
      <c r="W5" s="85" t="s">
        <v>113</v>
      </c>
      <c r="X5" s="85">
        <f ca="1">NTSM</f>
        <v>0</v>
      </c>
      <c r="Y5" s="87"/>
      <c r="AA5" s="213"/>
      <c r="AD5" s="85" t="s">
        <v>113</v>
      </c>
      <c r="AE5" s="85">
        <f ca="1">NT50J</f>
        <v>1</v>
      </c>
      <c r="AF5" s="87"/>
      <c r="AG5" s="13"/>
      <c r="AK5" s="85" t="s">
        <v>113</v>
      </c>
      <c r="AL5" s="85">
        <f ca="1">NTa</f>
        <v>0</v>
      </c>
      <c r="AM5" s="87"/>
      <c r="AP5" s="85" t="s">
        <v>113</v>
      </c>
      <c r="AQ5" s="85">
        <f ca="1">NTb</f>
        <v>0</v>
      </c>
      <c r="AT5" s="85" t="s">
        <v>113</v>
      </c>
      <c r="AU5" s="85">
        <f ca="1">NTc</f>
        <v>0</v>
      </c>
      <c r="AX5" s="85" t="s">
        <v>113</v>
      </c>
      <c r="AY5" s="85">
        <f ca="1">NTd</f>
        <v>0</v>
      </c>
      <c r="BB5" s="85" t="s">
        <v>113</v>
      </c>
      <c r="BC5" s="85">
        <f ca="1">NTe</f>
        <v>0</v>
      </c>
      <c r="BF5" s="85" t="s">
        <v>113</v>
      </c>
      <c r="BG5" s="85">
        <f ca="1">NTf</f>
        <v>0</v>
      </c>
      <c r="BH5" s="128"/>
      <c r="BI5" s="128"/>
      <c r="BJ5" s="85" t="s">
        <v>113</v>
      </c>
      <c r="BK5" s="85">
        <f ca="1">NTg</f>
        <v>0</v>
      </c>
      <c r="BL5" s="85">
        <f ca="1">NTh</f>
        <v>0</v>
      </c>
      <c r="BM5" s="85">
        <f ca="1">NTi</f>
        <v>0</v>
      </c>
      <c r="BN5" s="85">
        <f ca="1">NTj</f>
        <v>0</v>
      </c>
      <c r="BO5" s="85">
        <f ca="1">NTk</f>
        <v>0</v>
      </c>
      <c r="BP5" s="85">
        <f ca="1">NTl</f>
        <v>0</v>
      </c>
    </row>
    <row r="6" spans="2:105">
      <c r="B6" s="106" t="s">
        <v>212</v>
      </c>
      <c r="C6" s="118">
        <v>1</v>
      </c>
      <c r="D6" s="44" t="str">
        <f>CHOOSE(JRB,"무해지","유해지")</f>
        <v>무해지</v>
      </c>
      <c r="E6" s="44"/>
      <c r="G6" s="13" t="s">
        <v>77</v>
      </c>
      <c r="W6" s="82" t="s">
        <v>117</v>
      </c>
      <c r="X6" s="89" t="s">
        <v>119</v>
      </c>
      <c r="AA6" s="213"/>
      <c r="AD6" s="85" t="s">
        <v>117</v>
      </c>
      <c r="AE6" s="89">
        <f ca="1">BT50J</f>
        <v>0</v>
      </c>
      <c r="AF6" s="87"/>
      <c r="AG6" s="13"/>
      <c r="AK6" s="85" t="s">
        <v>117</v>
      </c>
      <c r="AL6" s="85">
        <f ca="1">BTa</f>
        <v>0</v>
      </c>
      <c r="AM6" s="87"/>
      <c r="AP6" s="85" t="s">
        <v>117</v>
      </c>
      <c r="AQ6" s="85">
        <f ca="1">BTb</f>
        <v>0</v>
      </c>
      <c r="AT6" s="85" t="s">
        <v>117</v>
      </c>
      <c r="AU6" s="85">
        <f ca="1">BTc</f>
        <v>0</v>
      </c>
      <c r="AX6" s="85" t="s">
        <v>117</v>
      </c>
      <c r="AY6" s="85">
        <f ca="1">BTd</f>
        <v>0</v>
      </c>
      <c r="BB6" s="85" t="s">
        <v>117</v>
      </c>
      <c r="BC6" s="85">
        <f ca="1">BTe</f>
        <v>0</v>
      </c>
      <c r="BF6" s="85" t="s">
        <v>117</v>
      </c>
      <c r="BG6" s="85">
        <f ca="1">BTf</f>
        <v>0</v>
      </c>
      <c r="BH6" s="128"/>
      <c r="BI6" s="128"/>
      <c r="BJ6" s="85" t="s">
        <v>117</v>
      </c>
      <c r="BK6" s="85">
        <f ca="1">BTg</f>
        <v>0</v>
      </c>
      <c r="BL6" s="85">
        <f ca="1">BTh</f>
        <v>0</v>
      </c>
      <c r="BM6" s="85">
        <f ca="1">BTi</f>
        <v>0</v>
      </c>
      <c r="BN6" s="85">
        <f ca="1">BTj</f>
        <v>0</v>
      </c>
      <c r="BO6" s="85">
        <f ca="1">BTk</f>
        <v>0</v>
      </c>
      <c r="BP6" s="85">
        <f ca="1">BTl</f>
        <v>0</v>
      </c>
    </row>
    <row r="7" spans="2:105" ht="18" thickBot="1">
      <c r="B7" s="106" t="str">
        <f>MAIN!B9</f>
        <v>형태</v>
      </c>
      <c r="C7" s="118">
        <f>MAIN!C9</f>
        <v>2</v>
      </c>
      <c r="D7" s="44" t="str">
        <f>CHOOSE(YHB,"만기환급형","순수형")</f>
        <v>순수형</v>
      </c>
      <c r="E7" s="44"/>
      <c r="F7" s="19"/>
      <c r="G7" s="122" t="s">
        <v>82</v>
      </c>
      <c r="H7" s="67">
        <v>0</v>
      </c>
      <c r="I7" s="67" t="s">
        <v>88</v>
      </c>
      <c r="J7" s="67" t="s">
        <v>12</v>
      </c>
      <c r="K7" s="19"/>
      <c r="W7" s="85" t="s">
        <v>111</v>
      </c>
      <c r="X7" s="85">
        <f ca="1">SSSM</f>
        <v>0</v>
      </c>
      <c r="Y7" s="87"/>
      <c r="AA7" s="213"/>
      <c r="AD7" s="85" t="s">
        <v>111</v>
      </c>
      <c r="AE7" s="85">
        <f ca="1">SS50J</f>
        <v>0</v>
      </c>
      <c r="AF7" s="87"/>
      <c r="AG7" s="13"/>
      <c r="AK7" s="85" t="s">
        <v>111</v>
      </c>
      <c r="AL7" s="85">
        <f ca="1">SSa</f>
        <v>1</v>
      </c>
      <c r="AM7" s="87"/>
      <c r="AP7" s="85" t="s">
        <v>111</v>
      </c>
      <c r="AQ7" s="85">
        <f ca="1">SSb</f>
        <v>0</v>
      </c>
      <c r="AT7" s="85" t="s">
        <v>111</v>
      </c>
      <c r="AU7" s="85">
        <f ca="1">SSc</f>
        <v>0</v>
      </c>
      <c r="AX7" s="85" t="s">
        <v>111</v>
      </c>
      <c r="AY7" s="258">
        <f ca="1">SSd</f>
        <v>0</v>
      </c>
      <c r="BB7" s="85" t="s">
        <v>111</v>
      </c>
      <c r="BC7" s="258">
        <f ca="1">SSe</f>
        <v>0</v>
      </c>
      <c r="BF7" s="85" t="s">
        <v>111</v>
      </c>
      <c r="BG7" s="258">
        <f ca="1">SSf</f>
        <v>0</v>
      </c>
      <c r="BH7" s="128"/>
      <c r="BI7" s="128"/>
      <c r="BJ7" s="85" t="s">
        <v>111</v>
      </c>
      <c r="BK7" s="258">
        <f ca="1">SSg</f>
        <v>0</v>
      </c>
      <c r="BL7" s="258" cm="1">
        <f t="array" aca="1" ref="BL7" ca="1">SSh</f>
        <v>0</v>
      </c>
      <c r="BM7" s="243">
        <f ca="1">SSi</f>
        <v>0</v>
      </c>
      <c r="BN7" s="243">
        <f ca="1">SSj</f>
        <v>0</v>
      </c>
      <c r="BO7" s="243">
        <f ca="1">SSk</f>
        <v>0</v>
      </c>
      <c r="BP7" s="243">
        <f ca="1">SSl</f>
        <v>0</v>
      </c>
    </row>
    <row r="8" spans="2:105">
      <c r="B8" s="106" t="s">
        <v>0</v>
      </c>
      <c r="C8" s="118">
        <f>sex</f>
        <v>1</v>
      </c>
      <c r="D8" s="44" t="str">
        <f>+IF(sexB=1,"남자","여자")</f>
        <v>남자</v>
      </c>
      <c r="E8" s="44"/>
      <c r="F8" s="16"/>
      <c r="G8" s="122" t="s">
        <v>17</v>
      </c>
      <c r="H8" s="22">
        <f ca="1">HLOOKUP($G8,기수표B,2,FALSE)</f>
        <v>100000</v>
      </c>
      <c r="I8" s="125">
        <f ca="1">HLOOKUP($G8,기수표B,mB+2,FALSE)</f>
        <v>61424.538467083694</v>
      </c>
      <c r="J8" s="125">
        <f ca="1">HLOOKUP($G8,기수표B,nB+2,FALSE)</f>
        <v>27555.705136478664</v>
      </c>
      <c r="K8" s="16"/>
      <c r="AG8" s="13"/>
      <c r="CR8" s="13" t="s">
        <v>1012</v>
      </c>
      <c r="CT8" s="13" t="s">
        <v>1011</v>
      </c>
      <c r="CX8" s="297"/>
      <c r="CY8" s="317"/>
      <c r="CZ8" s="318"/>
      <c r="DA8" s="297"/>
    </row>
    <row r="9" spans="2:105">
      <c r="B9" s="106" t="s">
        <v>1</v>
      </c>
      <c r="C9" s="250">
        <f>MAIN!C11</f>
        <v>8</v>
      </c>
      <c r="D9" s="44"/>
      <c r="E9" s="44"/>
      <c r="F9" s="16"/>
      <c r="G9" s="122" t="s">
        <v>18</v>
      </c>
      <c r="H9" s="22">
        <f ca="1">HLOOKUP($G9,기수표B,2,FALSE)</f>
        <v>1070829.2295754533</v>
      </c>
      <c r="I9" s="125">
        <f ca="1">HLOOKUP($G9,기수표B,mB+2,FALSE)</f>
        <v>676237.56452748959</v>
      </c>
      <c r="J9" s="125">
        <f ca="1">HLOOKUP($G9,기수표B,nB+2,FALSE)</f>
        <v>27555.705136478664</v>
      </c>
      <c r="K9" s="16"/>
      <c r="N9" s="606" t="s">
        <v>15</v>
      </c>
      <c r="O9" s="607"/>
      <c r="P9" s="608"/>
      <c r="Q9" s="97"/>
      <c r="R9" s="609" t="s">
        <v>152</v>
      </c>
      <c r="S9" s="609" t="s">
        <v>7</v>
      </c>
      <c r="T9" s="619" t="s">
        <v>47</v>
      </c>
      <c r="U9" s="620"/>
      <c r="V9" s="621"/>
      <c r="W9" s="618" t="s">
        <v>48</v>
      </c>
      <c r="X9" s="618"/>
      <c r="Y9" s="618"/>
      <c r="Z9" s="618"/>
      <c r="AA9" s="618"/>
      <c r="AB9" s="612" t="s">
        <v>198</v>
      </c>
      <c r="AC9" s="614"/>
      <c r="AD9" s="618" t="s">
        <v>49</v>
      </c>
      <c r="AE9" s="618"/>
      <c r="AF9" s="618"/>
      <c r="AG9" s="618"/>
      <c r="AH9" s="618"/>
      <c r="AI9" s="612" t="s">
        <v>199</v>
      </c>
      <c r="AJ9" s="614"/>
      <c r="AK9" s="612" t="s">
        <v>147</v>
      </c>
      <c r="AL9" s="613"/>
      <c r="AM9" s="613"/>
      <c r="AN9" s="613"/>
      <c r="AO9" s="614"/>
      <c r="AP9" s="612" t="s">
        <v>148</v>
      </c>
      <c r="AQ9" s="613"/>
      <c r="AR9" s="613"/>
      <c r="AS9" s="614"/>
      <c r="AT9" s="612" t="s">
        <v>149</v>
      </c>
      <c r="AU9" s="613"/>
      <c r="AV9" s="613"/>
      <c r="AW9" s="614"/>
      <c r="AX9" s="612" t="s">
        <v>150</v>
      </c>
      <c r="AY9" s="613"/>
      <c r="AZ9" s="613"/>
      <c r="BA9" s="614"/>
      <c r="BB9" s="612" t="s">
        <v>151</v>
      </c>
      <c r="BC9" s="613"/>
      <c r="BD9" s="613"/>
      <c r="BE9" s="614"/>
      <c r="BF9" s="612" t="s">
        <v>177</v>
      </c>
      <c r="BG9" s="613"/>
      <c r="BH9" s="613"/>
      <c r="BI9" s="614"/>
      <c r="BJ9" s="612" t="s">
        <v>178</v>
      </c>
      <c r="BK9" s="613"/>
      <c r="BL9" s="613"/>
      <c r="BM9" s="614"/>
      <c r="BN9" s="612" t="s">
        <v>499</v>
      </c>
      <c r="BO9" s="613"/>
      <c r="BP9" s="613"/>
      <c r="BQ9" s="614"/>
      <c r="BR9" s="612" t="s">
        <v>500</v>
      </c>
      <c r="BS9" s="613"/>
      <c r="BT9" s="613"/>
      <c r="BU9" s="614"/>
      <c r="BV9" s="612" t="s">
        <v>501</v>
      </c>
      <c r="BW9" s="613"/>
      <c r="BX9" s="613"/>
      <c r="BY9" s="614"/>
      <c r="BZ9" s="612" t="s">
        <v>502</v>
      </c>
      <c r="CA9" s="613"/>
      <c r="CB9" s="613"/>
      <c r="CC9" s="614"/>
      <c r="CD9" s="612" t="s">
        <v>503</v>
      </c>
      <c r="CE9" s="613"/>
      <c r="CF9" s="613"/>
      <c r="CG9" s="614"/>
      <c r="CH9" s="526" t="s">
        <v>1025</v>
      </c>
      <c r="CI9" s="526" t="s">
        <v>1026</v>
      </c>
      <c r="CJ9" s="526" t="s">
        <v>1027</v>
      </c>
      <c r="CK9" s="527" t="s">
        <v>1028</v>
      </c>
      <c r="CL9" s="526"/>
      <c r="CM9" s="526"/>
      <c r="CN9" s="526"/>
      <c r="CO9" s="90" t="s">
        <v>89</v>
      </c>
      <c r="CP9" s="295"/>
      <c r="CQ9" s="480"/>
      <c r="CR9" s="93" t="s">
        <v>1010</v>
      </c>
      <c r="CS9" s="93"/>
      <c r="CT9" s="93" t="s">
        <v>1010</v>
      </c>
      <c r="CU9" s="93"/>
      <c r="CV9" s="93"/>
      <c r="CW9" s="298"/>
      <c r="CX9" s="615" t="s">
        <v>540</v>
      </c>
      <c r="CY9" s="616"/>
      <c r="CZ9" s="617"/>
      <c r="DA9" s="263"/>
    </row>
    <row r="10" spans="2:105">
      <c r="B10" s="106" t="s">
        <v>2</v>
      </c>
      <c r="C10" s="250">
        <f>MAIN!C12</f>
        <v>30</v>
      </c>
      <c r="D10" s="120" t="str">
        <f>MAIN!D12</f>
        <v>세만기</v>
      </c>
      <c r="E10" s="44"/>
      <c r="F10" s="16"/>
      <c r="G10" s="122" t="s">
        <v>51</v>
      </c>
      <c r="H10" s="22">
        <f ca="1">HLOOKUP($G10,기수표B,2,FALSE)</f>
        <v>100000</v>
      </c>
      <c r="I10" s="125">
        <f ca="1">HLOOKUP($G10,기수표B,mB+2,FALSE)</f>
        <v>61419.378978882523</v>
      </c>
      <c r="J10" s="125">
        <f ca="1">HLOOKUP($G10,기수표B,nB+2,FALSE)</f>
        <v>27534.550046258129</v>
      </c>
      <c r="K10" s="16"/>
      <c r="N10" s="35" t="s">
        <v>12</v>
      </c>
      <c r="O10" s="35" t="s">
        <v>13</v>
      </c>
      <c r="P10" s="35" t="s">
        <v>14</v>
      </c>
      <c r="Q10" s="97"/>
      <c r="R10" s="610"/>
      <c r="S10" s="610"/>
      <c r="T10" s="99" t="s">
        <v>58</v>
      </c>
      <c r="U10" s="35" t="s">
        <v>126</v>
      </c>
      <c r="V10" s="36" t="s">
        <v>10</v>
      </c>
      <c r="W10" s="99" t="s">
        <v>11</v>
      </c>
      <c r="X10" s="99" t="s">
        <v>53</v>
      </c>
      <c r="Y10" s="99" t="s">
        <v>184</v>
      </c>
      <c r="Z10" s="35" t="s">
        <v>17</v>
      </c>
      <c r="AA10" s="35" t="s">
        <v>18</v>
      </c>
      <c r="AB10" s="35" t="s">
        <v>61</v>
      </c>
      <c r="AC10" s="35" t="s">
        <v>54</v>
      </c>
      <c r="AD10" s="99" t="s">
        <v>50</v>
      </c>
      <c r="AE10" s="99" t="s">
        <v>124</v>
      </c>
      <c r="AF10" s="99" t="s">
        <v>185</v>
      </c>
      <c r="AG10" s="35" t="s">
        <v>51</v>
      </c>
      <c r="AH10" s="35" t="s">
        <v>52</v>
      </c>
      <c r="AI10" s="35"/>
      <c r="AJ10" s="35"/>
      <c r="AK10" s="35" t="s">
        <v>127</v>
      </c>
      <c r="AL10" s="35" t="s">
        <v>128</v>
      </c>
      <c r="AM10" s="35" t="s">
        <v>544</v>
      </c>
      <c r="AN10" s="136" t="s">
        <v>129</v>
      </c>
      <c r="AO10" s="136" t="s">
        <v>130</v>
      </c>
      <c r="AP10" s="35" t="s">
        <v>131</v>
      </c>
      <c r="AQ10" s="35" t="s">
        <v>132</v>
      </c>
      <c r="AR10" s="152" t="s">
        <v>133</v>
      </c>
      <c r="AS10" s="152" t="s">
        <v>134</v>
      </c>
      <c r="AT10" s="35" t="s">
        <v>135</v>
      </c>
      <c r="AU10" s="35" t="s">
        <v>136</v>
      </c>
      <c r="AV10" s="135" t="s">
        <v>137</v>
      </c>
      <c r="AW10" s="135" t="s">
        <v>138</v>
      </c>
      <c r="AX10" s="35" t="s">
        <v>139</v>
      </c>
      <c r="AY10" s="35" t="s">
        <v>140</v>
      </c>
      <c r="AZ10" s="136" t="s">
        <v>141</v>
      </c>
      <c r="BA10" s="136" t="s">
        <v>142</v>
      </c>
      <c r="BB10" s="35" t="s">
        <v>143</v>
      </c>
      <c r="BC10" s="35" t="s">
        <v>144</v>
      </c>
      <c r="BD10" s="135" t="s">
        <v>145</v>
      </c>
      <c r="BE10" s="135" t="s">
        <v>146</v>
      </c>
      <c r="BF10" s="35" t="s">
        <v>169</v>
      </c>
      <c r="BG10" s="35" t="s">
        <v>170</v>
      </c>
      <c r="BH10" s="135" t="s">
        <v>171</v>
      </c>
      <c r="BI10" s="135" t="s">
        <v>172</v>
      </c>
      <c r="BJ10" s="35" t="s">
        <v>173</v>
      </c>
      <c r="BK10" s="35" t="s">
        <v>174</v>
      </c>
      <c r="BL10" s="135" t="s">
        <v>175</v>
      </c>
      <c r="BM10" s="135" t="s">
        <v>176</v>
      </c>
      <c r="BN10" s="35" t="s">
        <v>504</v>
      </c>
      <c r="BO10" s="35" t="s">
        <v>505</v>
      </c>
      <c r="BP10" s="135" t="s">
        <v>506</v>
      </c>
      <c r="BQ10" s="135" t="s">
        <v>507</v>
      </c>
      <c r="BR10" s="35" t="s">
        <v>508</v>
      </c>
      <c r="BS10" s="35" t="s">
        <v>509</v>
      </c>
      <c r="BT10" s="135" t="s">
        <v>510</v>
      </c>
      <c r="BU10" s="135" t="s">
        <v>511</v>
      </c>
      <c r="BV10" s="35" t="s">
        <v>512</v>
      </c>
      <c r="BW10" s="35" t="s">
        <v>513</v>
      </c>
      <c r="BX10" s="135" t="s">
        <v>514</v>
      </c>
      <c r="BY10" s="135" t="s">
        <v>515</v>
      </c>
      <c r="BZ10" s="35" t="s">
        <v>516</v>
      </c>
      <c r="CA10" s="35" t="s">
        <v>517</v>
      </c>
      <c r="CB10" s="135" t="s">
        <v>518</v>
      </c>
      <c r="CC10" s="135" t="s">
        <v>519</v>
      </c>
      <c r="CD10" s="35" t="s">
        <v>520</v>
      </c>
      <c r="CE10" s="35" t="s">
        <v>521</v>
      </c>
      <c r="CF10" s="135" t="s">
        <v>522</v>
      </c>
      <c r="CG10" s="135" t="s">
        <v>523</v>
      </c>
      <c r="CH10" s="528"/>
      <c r="CI10" s="528"/>
      <c r="CJ10" s="528"/>
      <c r="CK10" s="528"/>
      <c r="CL10" s="528"/>
      <c r="CM10" s="528"/>
      <c r="CN10" s="528"/>
      <c r="CO10" s="94"/>
      <c r="CP10" s="295" t="s">
        <v>25</v>
      </c>
      <c r="CQ10" s="295"/>
      <c r="CR10" s="93" t="s">
        <v>26</v>
      </c>
      <c r="CS10" s="93" t="s">
        <v>535</v>
      </c>
      <c r="CT10" s="93" t="s">
        <v>538</v>
      </c>
      <c r="CU10" s="93" t="s">
        <v>539</v>
      </c>
      <c r="CV10" s="93" t="s">
        <v>27</v>
      </c>
      <c r="CW10" s="93" t="s">
        <v>543</v>
      </c>
      <c r="CX10" s="263" t="s">
        <v>23</v>
      </c>
      <c r="CY10" s="263" t="s">
        <v>24</v>
      </c>
      <c r="CZ10" s="263" t="s">
        <v>40</v>
      </c>
      <c r="DA10" s="263" t="s">
        <v>153</v>
      </c>
    </row>
    <row r="11" spans="2:105">
      <c r="B11" s="106" t="s">
        <v>232</v>
      </c>
      <c r="C11" s="250">
        <f>+IF(D10="년만기",C10,C10-xB)</f>
        <v>22</v>
      </c>
      <c r="D11" s="44" t="s">
        <v>234</v>
      </c>
      <c r="E11" s="119"/>
      <c r="F11" s="15"/>
      <c r="G11" s="122" t="s">
        <v>52</v>
      </c>
      <c r="H11" s="22">
        <f ca="1">HLOOKUP($G11,기수표B,2,FALSE)</f>
        <v>1070590.9249814698</v>
      </c>
      <c r="I11" s="125">
        <f ca="1">HLOOKUP($G11,기수표B,mB+2,FALSE)</f>
        <v>676011.65977533045</v>
      </c>
      <c r="J11" s="125">
        <f ca="1">HLOOKUP($G11,기수표B,nB+2,FALSE)</f>
        <v>27534.550046258129</v>
      </c>
      <c r="K11" s="15"/>
      <c r="N11" s="62"/>
      <c r="O11" s="62"/>
      <c r="P11" s="62"/>
      <c r="Q11" s="97"/>
      <c r="R11" s="611"/>
      <c r="S11" s="611"/>
      <c r="T11" s="99">
        <f ca="1">QQSM</f>
        <v>0</v>
      </c>
      <c r="U11" s="35" t="str">
        <f ca="1">QQ50J</f>
        <v>qx_ad50%</v>
      </c>
      <c r="V11" s="36" t="s">
        <v>123</v>
      </c>
      <c r="W11" s="99"/>
      <c r="X11" s="99">
        <f ca="1">QQSM</f>
        <v>0</v>
      </c>
      <c r="Y11" s="99"/>
      <c r="Z11" s="35" t="s">
        <v>17</v>
      </c>
      <c r="AA11" s="35" t="s">
        <v>18</v>
      </c>
      <c r="AB11" s="35" t="s">
        <v>61</v>
      </c>
      <c r="AC11" s="35" t="s">
        <v>54</v>
      </c>
      <c r="AD11" s="99"/>
      <c r="AE11" s="99" t="str">
        <f ca="1">QQ50J</f>
        <v>qx_ad50%</v>
      </c>
      <c r="AF11" s="99"/>
      <c r="AG11" s="35" t="s">
        <v>51</v>
      </c>
      <c r="AH11" s="35" t="s">
        <v>52</v>
      </c>
      <c r="AI11" s="176" t="s">
        <v>201</v>
      </c>
      <c r="AJ11" s="35" t="s">
        <v>202</v>
      </c>
      <c r="AK11" s="147"/>
      <c r="AL11" s="147" t="str">
        <f ca="1">QQa</f>
        <v>qx_am2</v>
      </c>
      <c r="AM11" s="147"/>
      <c r="AN11" s="136"/>
      <c r="AO11" s="136"/>
      <c r="AP11" s="147"/>
      <c r="AQ11" s="147">
        <f ca="1">QQb</f>
        <v>0</v>
      </c>
      <c r="AR11" s="152"/>
      <c r="AS11" s="152"/>
      <c r="AT11" s="147"/>
      <c r="AU11" s="148">
        <f ca="1">QQc</f>
        <v>0</v>
      </c>
      <c r="AV11" s="135"/>
      <c r="AW11" s="135"/>
      <c r="AX11" s="148"/>
      <c r="AY11" s="148">
        <f ca="1">QQd</f>
        <v>0</v>
      </c>
      <c r="AZ11" s="136"/>
      <c r="BA11" s="136"/>
      <c r="BB11" s="148"/>
      <c r="BC11" s="148">
        <f ca="1">QQe</f>
        <v>0</v>
      </c>
      <c r="BD11" s="135"/>
      <c r="BE11" s="135"/>
      <c r="BF11" s="148"/>
      <c r="BG11" s="148">
        <f ca="1">QQf</f>
        <v>0</v>
      </c>
      <c r="BH11" s="135"/>
      <c r="BI11" s="135"/>
      <c r="BJ11" s="148"/>
      <c r="BK11" s="148">
        <f ca="1">QQg</f>
        <v>0</v>
      </c>
      <c r="BL11" s="135"/>
      <c r="BM11" s="135"/>
      <c r="BN11" s="148"/>
      <c r="BO11" s="148">
        <f ca="1">QQh</f>
        <v>0</v>
      </c>
      <c r="BP11" s="135"/>
      <c r="BQ11" s="135"/>
      <c r="BR11" s="148"/>
      <c r="BS11" s="148">
        <f ca="1">QQi</f>
        <v>0</v>
      </c>
      <c r="BT11" s="135"/>
      <c r="BU11" s="135"/>
      <c r="BV11" s="148"/>
      <c r="BW11" s="148">
        <f ca="1">QQj</f>
        <v>0</v>
      </c>
      <c r="BX11" s="135"/>
      <c r="BY11" s="135"/>
      <c r="BZ11" s="148"/>
      <c r="CA11" s="148">
        <f ca="1">QQk</f>
        <v>0</v>
      </c>
      <c r="CB11" s="135"/>
      <c r="CC11" s="135"/>
      <c r="CD11" s="148"/>
      <c r="CE11" s="148">
        <f ca="1">QQl</f>
        <v>0</v>
      </c>
      <c r="CF11" s="135"/>
      <c r="CG11" s="135"/>
      <c r="CH11" s="528" t="s">
        <v>123</v>
      </c>
      <c r="CI11" s="528"/>
      <c r="CJ11" s="528"/>
      <c r="CK11" s="528" t="s">
        <v>1029</v>
      </c>
      <c r="CL11" s="528" t="s">
        <v>1030</v>
      </c>
      <c r="CM11" s="528" t="s">
        <v>1031</v>
      </c>
      <c r="CN11" s="528" t="s">
        <v>1032</v>
      </c>
      <c r="CO11" s="90" t="s">
        <v>93</v>
      </c>
      <c r="CP11" s="296" t="s">
        <v>541</v>
      </c>
      <c r="CQ11" s="296" t="s">
        <v>1033</v>
      </c>
      <c r="CR11" s="149"/>
      <c r="CS11" s="149"/>
      <c r="CT11" s="149"/>
      <c r="CU11" s="149"/>
      <c r="CV11" s="93" t="s">
        <v>27</v>
      </c>
      <c r="CW11" s="149"/>
      <c r="CX11" s="316"/>
      <c r="CY11" s="316"/>
      <c r="CZ11" s="316"/>
      <c r="DA11" s="316"/>
    </row>
    <row r="12" spans="2:105">
      <c r="B12" s="106" t="s">
        <v>3</v>
      </c>
      <c r="C12" s="118">
        <f>m</f>
        <v>5</v>
      </c>
      <c r="D12" s="44" t="s">
        <v>233</v>
      </c>
      <c r="E12" s="119"/>
      <c r="F12" s="15"/>
      <c r="G12" s="123" t="s">
        <v>42</v>
      </c>
      <c r="H12" s="139">
        <f ca="1">H9-J9</f>
        <v>1043273.5244389747</v>
      </c>
      <c r="I12" s="21"/>
      <c r="K12" s="21"/>
      <c r="L12" s="241"/>
      <c r="M12" s="242"/>
      <c r="N12" s="4">
        <v>0</v>
      </c>
      <c r="O12" s="1">
        <f t="shared" ref="O12:O43" ca="1" si="44">+(1+iB)^-N12</f>
        <v>1</v>
      </c>
      <c r="P12" s="11">
        <f t="shared" ref="P12:P43" ca="1" si="45">+(1+iB)^-(N12+0.5)</f>
        <v>0.98893635286829751</v>
      </c>
      <c r="Q12" s="98"/>
      <c r="R12" s="20">
        <v>0</v>
      </c>
      <c r="S12" s="20">
        <f t="shared" ref="S12:S43" si="46">+IF(xB+R12&lt;=xB+nB,xB+R12,"")</f>
        <v>8</v>
      </c>
      <c r="T12" s="2">
        <f t="shared" ref="T12:U31" ca="1" si="47">IFERROR(VLOOKUP($S12,qx_table,MATCH(T$11,qx_title,0)+sexB),0)</f>
        <v>0</v>
      </c>
      <c r="U12" s="2">
        <f t="shared" ca="1" si="47"/>
        <v>1.9000000000000001E-5</v>
      </c>
      <c r="V12" s="300">
        <f t="shared" ref="V12:V43" si="48">IF(JRB=2,0,IF(R12&gt;=mB,VLOOKUP(R12-mB,해지율_납기후,2),IF(R12=mB-1,0,VLOOKUP(R12,해지율_납기전,2))))</f>
        <v>9.2499999999999999E-2</v>
      </c>
      <c r="W12" s="8">
        <f t="shared" ref="W12:W43" si="49">IF(R12=0,100000,IF(R12&gt;nB,0,W11*(1-X11)*(1-Y11)))</f>
        <v>100000</v>
      </c>
      <c r="X12" s="10">
        <f t="shared" ref="X12:X43" ca="1" si="50">1-IFERROR((1-YTSM*$T12)*(1-V12*(1-T12/2)/(1-T12)),0)</f>
        <v>9.2500000000000027E-2</v>
      </c>
      <c r="Y12" s="92">
        <f t="shared" ref="Y12:Y43" ca="1" si="51">IFERROR(1-(1-YT50J*U12*(1-T12/2)/(1-T12))*(1-YTa*AL12*(1-T12/2)/(1-T12))*(1-YTb*AQ12*(1-T12/2)/(1-T12))*(1-YTc*AU12*(1-T12/2)/(1-T12)),0)</f>
        <v>2.2232200003191593E-7</v>
      </c>
      <c r="Z12" s="8">
        <f ca="1">+W12*$O12</f>
        <v>100000</v>
      </c>
      <c r="AA12" s="8">
        <f ca="1">+SUM(Z12:Z$124)</f>
        <v>1070829.2295754533</v>
      </c>
      <c r="AB12" s="8">
        <f t="shared" ref="AB12:AB43" ca="1" si="52">W12*X12*P12</f>
        <v>9147.6612640317544</v>
      </c>
      <c r="AC12" s="209">
        <f ca="1">+SUM(AB12:AB$124)*SSSM</f>
        <v>0</v>
      </c>
      <c r="AD12" s="209">
        <f>+$W$12</f>
        <v>100000</v>
      </c>
      <c r="AE12" s="92">
        <f t="shared" ref="AE12:AE43" ca="1" si="53">1-IFERROR((1-NT50J*U12*(1-T12/2)/(1-T12)),0)</f>
        <v>1.8999999999991246E-5</v>
      </c>
      <c r="AF12" s="92">
        <f t="shared" ref="AF12:AF43" ca="1" si="54">IFERROR(1-(1-NTa*AL12*(1-T12/2)/(1-T12))*(1-NTb*AQ12*(1-T12/2)/(1-T12))*(1-NTc*AU12*(1-T12/2)/(1-T12)),0)</f>
        <v>0</v>
      </c>
      <c r="AG12" s="8">
        <f t="shared" ref="AG12:AG43" ca="1" si="55">+AD12*$O12</f>
        <v>100000</v>
      </c>
      <c r="AH12" s="5">
        <f ca="1">+SUM(AG12:AG$124)</f>
        <v>1070590.9249814698</v>
      </c>
      <c r="AI12" s="70">
        <f t="shared" ref="AI12:AI43" ca="1" si="56">AD12*AE12*P12</f>
        <v>1.8789790704488996</v>
      </c>
      <c r="AJ12" s="208">
        <f ca="1">+SUM(AB12:AB$124)*SS50J</f>
        <v>0</v>
      </c>
      <c r="AK12" s="209">
        <v>100000</v>
      </c>
      <c r="AL12" s="257">
        <f t="shared" ref="AL12:AL124" ca="1" si="57">IFERROR(VLOOKUP($S12,qx_table,MATCH(AL$11,qx_title,0)+sexB),0)</f>
        <v>2.2232199999999997E-7</v>
      </c>
      <c r="AM12" s="131">
        <f ca="1">AK12*O12</f>
        <v>100000</v>
      </c>
      <c r="AN12" s="129">
        <f ca="1">AK12*AL12*(1-CHOOSE(JRB,1,0)*$V12/2)*$P12*IF(cost_location=0,1,MCa)</f>
        <v>1.0484683805233763E-2</v>
      </c>
      <c r="AO12" s="129">
        <f ca="1">SUM(AN12:AN$124)*SSa</f>
        <v>0.37658109109249893</v>
      </c>
      <c r="AP12" s="70">
        <v>100000</v>
      </c>
      <c r="AQ12" s="2">
        <f t="shared" ref="AQ12:AQ124" ca="1" si="58">IFERROR(VLOOKUP($S12,qx_table,MATCH(AQ$11,qx_title,0)+sexB),0)</f>
        <v>0</v>
      </c>
      <c r="AR12" s="127">
        <f ca="1">AP12*AQ12*(1-CHOOSE(JRB,1,0)*$V12/2)*$P12*IF(cost_location=0,1,MCb)</f>
        <v>0</v>
      </c>
      <c r="AS12" s="127">
        <f ca="1">SUM(AR12:AR$124)*SSb</f>
        <v>0</v>
      </c>
      <c r="AT12" s="70">
        <v>100000</v>
      </c>
      <c r="AU12" s="2">
        <f t="shared" ref="AU12:AU124" ca="1" si="59">IFERROR(VLOOKUP($S12,qx_table,MATCH(AU$11,qx_title,0)+sexB),0)</f>
        <v>0</v>
      </c>
      <c r="AV12" s="268">
        <f ca="1">AT12*AU12*(1-CHOOSE(JRB,1,0)*$V12/2)*$P12*IF(cost_location=0,1,MCc)</f>
        <v>0</v>
      </c>
      <c r="AW12" s="131">
        <f ca="1">SUM(AV12:AV$124)*SSc</f>
        <v>0</v>
      </c>
      <c r="AX12" s="70">
        <v>100000</v>
      </c>
      <c r="AY12" s="2">
        <f t="shared" ref="AY12:AY124" ca="1" si="60">IFERROR(VLOOKUP($S12,qx_table,MATCH(AY$11,qx_title,0)+sexB),0)</f>
        <v>0</v>
      </c>
      <c r="AZ12" s="268">
        <f ca="1">AX12*AY12*(1-CHOOSE(JRB,1,0)*$V12/2)*$P12*IF(cost_location=0,1,MCd)</f>
        <v>0</v>
      </c>
      <c r="BA12" s="129">
        <f ca="1">SUM(AZ12:AZ$124)*SSd</f>
        <v>0</v>
      </c>
      <c r="BB12" s="70">
        <v>100000</v>
      </c>
      <c r="BC12" s="257">
        <f t="shared" ref="BC12:BC124" ca="1" si="61">IFERROR(VLOOKUP($S12,qx_table,MATCH(BC$11,qx_title,0)+sexB),0)</f>
        <v>0</v>
      </c>
      <c r="BD12" s="268">
        <f ca="1">BB12*BC12*(1-CHOOSE(JRB,1,0)*$V12/2)*$P12*IF(cost_location=0,1,MCe)</f>
        <v>0</v>
      </c>
      <c r="BE12" s="131">
        <f ca="1">SUM(BD12:BD$124)*SSe</f>
        <v>0</v>
      </c>
      <c r="BF12" s="70">
        <v>100000</v>
      </c>
      <c r="BG12" s="2">
        <f t="shared" ref="BG12:BG124" ca="1" si="62">IFERROR(VLOOKUP($S12,qx_table,MATCH(BG$11,qx_title,0)+sexB),0)</f>
        <v>0</v>
      </c>
      <c r="BH12" s="131">
        <f ca="1">BF12*BG12*(1-CHOOSE(JRB,1,0)*$V12/2)*$P12*IF(cost_location=0,1,MCf)</f>
        <v>0</v>
      </c>
      <c r="BI12" s="2">
        <f ca="1">SUM(BH12:BH$124)*SSf</f>
        <v>0</v>
      </c>
      <c r="BJ12" s="70">
        <v>100000</v>
      </c>
      <c r="BK12" s="2">
        <f t="shared" ref="BK12:BK124" ca="1" si="63">IFERROR(VLOOKUP($S12,qx_table,MATCH(BK$11,qx_title,0)+sexB),0)</f>
        <v>0</v>
      </c>
      <c r="BL12" s="131">
        <f ca="1">BJ12*BK12*(1-CHOOSE(JRB,1,0)*$V12/2)*$P12*IF(cost_location=0,1,MCg)</f>
        <v>0</v>
      </c>
      <c r="BM12" s="131">
        <f ca="1">SUM(BL12:BL$124)*SSg</f>
        <v>0</v>
      </c>
      <c r="BN12" s="70">
        <v>100000</v>
      </c>
      <c r="BO12" s="2">
        <f t="shared" ref="BO12:BO124" ca="1" si="64">IFERROR(VLOOKUP($S12,qx_table,MATCH(BO$11,qx_title,0)+sexB),0)</f>
        <v>0</v>
      </c>
      <c r="BP12" s="131">
        <f ca="1">BN12*BO12*(1-CHOOSE(JRB,1,0)*$V12/2)*$P12*IF(cost_location=0,1,MCh)</f>
        <v>0</v>
      </c>
      <c r="BQ12" s="131">
        <f ca="1">SUM(BP12:BP$124)*SSh</f>
        <v>0</v>
      </c>
      <c r="BR12" s="70">
        <v>100000</v>
      </c>
      <c r="BS12" s="2">
        <f t="shared" ref="BS12:BS43" ca="1" si="65">IFERROR(VLOOKUP($S12,qx_table,MATCH(BS$11,qx_title,0)+sexB),0)*IF(R12=0,MCi,1)</f>
        <v>0</v>
      </c>
      <c r="BT12" s="131">
        <f ca="1">BR12*BS12*(1-CHOOSE(JRB,1,0)*$V12/2)*$P12*IF(cost_location=0,1,MCi)</f>
        <v>0</v>
      </c>
      <c r="BU12" s="131">
        <f ca="1">SUM(BT12:BT$124)*SSi</f>
        <v>0</v>
      </c>
      <c r="BV12" s="70">
        <v>100000</v>
      </c>
      <c r="BW12" s="2">
        <f t="shared" ref="BW12:BW124" ca="1" si="66">IFERROR(VLOOKUP($S12,qx_table,MATCH(BW$11,qx_title,0)+sexB),0)</f>
        <v>0</v>
      </c>
      <c r="BX12" s="131">
        <f ca="1">BV12*BW12*(1-CHOOSE(JRB,1,0)*$V12/2)*$P12*IF(cost_location=0,1,MCj)</f>
        <v>0</v>
      </c>
      <c r="BY12" s="131">
        <f ca="1">SUM(BX12:BX$124)*SSj</f>
        <v>0</v>
      </c>
      <c r="BZ12" s="70">
        <v>100000</v>
      </c>
      <c r="CA12" s="2">
        <f t="shared" ref="CA12:CA124" ca="1" si="67">IFERROR(VLOOKUP($S12,qx_table,MATCH(CA$11,qx_title,0)+sexB),0)</f>
        <v>0</v>
      </c>
      <c r="CB12" s="131">
        <f ca="1">BZ12*CA12*(1-CHOOSE(JRB,1,0)*$V12/2)*$P12*IF(cost_location=0,1,MCk)</f>
        <v>0</v>
      </c>
      <c r="CC12" s="131">
        <f ca="1">SUM(CB12:CB$124)*SSk</f>
        <v>0</v>
      </c>
      <c r="CD12" s="70">
        <v>100000</v>
      </c>
      <c r="CE12" s="2">
        <f t="shared" ref="CE12:CE124" ca="1" si="68">IFERROR(VLOOKUP($S12,qx_table,MATCH(CE$11,qx_title,0)+sexB),0)</f>
        <v>0</v>
      </c>
      <c r="CF12" s="131">
        <f ca="1">CD12*CE12*(1-CHOOSE(JRB,1,0)*$V12/2)*$P12*IF(cost_location=0,1,MCl)</f>
        <v>0</v>
      </c>
      <c r="CG12" s="131">
        <f ca="1">SUM(CF12:CF$124)*SSl</f>
        <v>0</v>
      </c>
      <c r="CH12" s="155">
        <f>V12</f>
        <v>9.2499999999999999E-2</v>
      </c>
      <c r="CI12" s="155">
        <f ca="1">W12*CH12*(1-$CI$5*AL12/2)</f>
        <v>9250</v>
      </c>
      <c r="CJ12" s="155">
        <f ca="1">CI12*P12</f>
        <v>9147.6612640317526</v>
      </c>
      <c r="CK12" s="155" t="e">
        <f ca="1">유해지!CY12</f>
        <v>#DIV/0!</v>
      </c>
      <c r="CL12" s="529">
        <f t="shared" ref="CL12:CL43" si="69">IF(R12&lt;mB,0,(CK12+CK13)/2)</f>
        <v>0</v>
      </c>
      <c r="CM12" s="155">
        <f ca="1">CL12*CJ12</f>
        <v>0</v>
      </c>
      <c r="CN12" s="155">
        <f ca="1">SUM(CM12:$CM$125)</f>
        <v>8359.7409108504035</v>
      </c>
      <c r="CO12" s="101">
        <f ca="1">AC12+AJ12+AO12+AS12+AW12+BA12+BE12+BI12+BM12+BQ12+BU12+BY12+CC12+CG12</f>
        <v>0.37658109109249893</v>
      </c>
      <c r="CP12" s="154">
        <f t="shared" ref="CP12:CP43" ca="1" si="70">MAX((VLOOKUP(xB+R12,기수표B,$CO$1)-VLOOKUP(xB+nB,기수표B,$CO$1)),0)</f>
        <v>0.35443867076578295</v>
      </c>
      <c r="CQ12" s="154">
        <f t="shared" ref="CQ12:CQ43" ca="1" si="71">MAX((VLOOKUP(xB+R12,기수표B,$CN$1)-VLOOKUP(xB+nB,기수표B,$CN$1)),0)</f>
        <v>8359.7409108504035</v>
      </c>
      <c r="CR12" s="32">
        <f t="shared" ref="CR12:CR43" ca="1" si="72">+MAX(VLOOKUP(xB+$R12,기수표B,$AH$1)-VLOOKUP(xB+mB,기수표B,$AH$1),0)</f>
        <v>394579.2652061393</v>
      </c>
      <c r="CS12" s="32">
        <f t="shared" ref="CS12:CS43" ca="1" si="73">+MAX(VLOOKUP(xB+$R12,기수표B,$AH$1)-VLOOKUP(xB+mB,기수표B,$AH$1)-(mmB-1)/(mmB*2)*(VLOOKUP(xB+$R12,기수표B,$AG$1)-VLOOKUP(xB+mB,기수표B,$AG$1)),0)</f>
        <v>376896.48057146044</v>
      </c>
      <c r="CT12" s="32">
        <f t="shared" ref="CT12:CT43" ca="1" si="74">+MAX(VLOOKUP(xB+$R12,기수표B,$AA$1)-VLOOKUP(xB+mB,기수표B,$AA$1),0)</f>
        <v>394591.66504796373</v>
      </c>
      <c r="CU12" s="32">
        <f t="shared" ref="CU12:CU43" ca="1" si="75">+MAX(VLOOKUP(xB+$R12,기수표B,$AA$1)-VLOOKUP(xB+mB,기수표B,$AA$1)-(mmB-1)/(2*mmB)*(VLOOKUP(xB+$R12,기수표B,$AA$1)-VLOOKUP(xB+mB,기수표B,$AA$1)),0)</f>
        <v>213737.15190098036</v>
      </c>
      <c r="CV12" s="32">
        <f t="shared" ref="CV12:CV43" ca="1" si="76">IF(R12&gt;nB,0,VLOOKUP(xB+MAX($R12,mB),기수표B,$AA$1)-VLOOKUP(xB+nB,기수표B,$AA$1))</f>
        <v>648681.85939101095</v>
      </c>
      <c r="CW12" s="32">
        <f t="shared" ref="CW12:CW43" ca="1" si="77">IF(JRB=1,mmB*H$25*CS12,0)</f>
        <v>1.3073014244315571</v>
      </c>
      <c r="CX12" s="259">
        <f>IF(R12&lt;m,0,ROUND(IF($R12&gt;nB,0,GPB*mB*mmB*유해지!CY12),roundB))</f>
        <v>0</v>
      </c>
      <c r="CY12" s="262">
        <f t="shared" ref="CY12:CY43" si="78">+MAX(0,IF(JRB=1,CX12,MAX(0,ROUND(IF($R12&gt;nB,0,CZ12-MAX($DA12-$R12,0)/$DA12*$C$33),round))))</f>
        <v>0</v>
      </c>
      <c r="CZ12" s="259">
        <f t="shared" ref="CZ12:CZ43" ca="1" si="79">(CP12+mmB*GPB*CQ12*mB+BETAD_SB*$CV12-CW12)/Z12</f>
        <v>-3.2302214841486432E-8</v>
      </c>
      <c r="DA12" s="31">
        <f t="shared" ref="DA12:DA43" si="80">+MIN(mB,7)</f>
        <v>5</v>
      </c>
    </row>
    <row r="13" spans="2:105">
      <c r="B13" s="106" t="s">
        <v>4</v>
      </c>
      <c r="C13" s="118">
        <v>12</v>
      </c>
      <c r="D13" s="44" t="str">
        <f>CHOOSE(mmB,"년납","6월납",,"3월납",,,,,,,,"월납")</f>
        <v>월납</v>
      </c>
      <c r="F13" s="21"/>
      <c r="G13" s="122" t="s">
        <v>20</v>
      </c>
      <c r="H13" s="23">
        <f ca="1">I9-J9</f>
        <v>648681.85939101095</v>
      </c>
      <c r="I13" s="69"/>
      <c r="J13" s="69"/>
      <c r="M13" s="242"/>
      <c r="N13" s="5">
        <f>+N12+1</f>
        <v>1</v>
      </c>
      <c r="O13" s="2">
        <f t="shared" ca="1" si="44"/>
        <v>0.97799511002444994</v>
      </c>
      <c r="P13" s="12">
        <f t="shared" ca="1" si="45"/>
        <v>0.96717491723060878</v>
      </c>
      <c r="Q13" s="98"/>
      <c r="R13" s="20">
        <f>R12+1</f>
        <v>1</v>
      </c>
      <c r="S13" s="20">
        <f t="shared" si="46"/>
        <v>9</v>
      </c>
      <c r="T13" s="2">
        <f t="shared" ca="1" si="47"/>
        <v>0</v>
      </c>
      <c r="U13" s="2">
        <f t="shared" ca="1" si="47"/>
        <v>1.8E-5</v>
      </c>
      <c r="V13" s="300">
        <f t="shared" si="48"/>
        <v>0.13550000000000001</v>
      </c>
      <c r="W13" s="8">
        <f t="shared" ca="1" si="49"/>
        <v>90749.979824278504</v>
      </c>
      <c r="X13" s="10">
        <f t="shared" ca="1" si="50"/>
        <v>0.13549999999999995</v>
      </c>
      <c r="Y13" s="92">
        <f t="shared" ca="1" si="51"/>
        <v>2.2947800004669006E-7</v>
      </c>
      <c r="Z13" s="8">
        <f t="shared" ref="Z13:Z44" ca="1" si="81">+W13*O13</f>
        <v>88753.03650296187</v>
      </c>
      <c r="AA13" s="8">
        <f ca="1">+SUM(Z13:Z$124)</f>
        <v>970829.22957545344</v>
      </c>
      <c r="AB13" s="8">
        <f t="shared" ca="1" si="52"/>
        <v>11892.984622518117</v>
      </c>
      <c r="AC13" s="209">
        <f ca="1">+SUM(AB13:AB$124)*SSSM</f>
        <v>0</v>
      </c>
      <c r="AD13" s="209">
        <f t="shared" ref="AD13:AD44" ca="1" si="82">IF(R13&gt;nB,0,AD12*(1-X12)*(1-Y12)*(1-AE12)*(1-AF12))</f>
        <v>90748.255574661845</v>
      </c>
      <c r="AE13" s="92">
        <f t="shared" ca="1" si="53"/>
        <v>1.799999999996249E-5</v>
      </c>
      <c r="AF13" s="92">
        <f t="shared" ca="1" si="54"/>
        <v>0</v>
      </c>
      <c r="AG13" s="8">
        <f t="shared" ca="1" si="55"/>
        <v>88751.350195268315</v>
      </c>
      <c r="AH13" s="5">
        <f ca="1">+SUM(AG13:AG$124)</f>
        <v>970590.92498146964</v>
      </c>
      <c r="AI13" s="70">
        <f t="shared" ca="1" si="56"/>
        <v>1.5798498583331304</v>
      </c>
      <c r="AJ13" s="208">
        <f ca="1">+SUM(AB13:AB$124)*SS50J</f>
        <v>0</v>
      </c>
      <c r="AK13" s="209">
        <f t="shared" ref="AK13:AK44" ca="1" si="83">IFERROR(AK12*(1-$X12)*(1-$Y12)*(1-BTa*AL12*(1-$T12/2)/(1-$T12)),0)</f>
        <v>90749.979824278504</v>
      </c>
      <c r="AL13" s="257">
        <f t="shared" ca="1" si="57"/>
        <v>2.2947799999999996E-7</v>
      </c>
      <c r="AM13" s="131">
        <f t="shared" ref="AM13:AM76" ca="1" si="84">AK13*O13</f>
        <v>88753.03650296187</v>
      </c>
      <c r="AN13" s="129">
        <f t="shared" ref="AN13:AN44" ca="1" si="85">AK13*AL13*(1-CHOOSE(JRB,1,0)*$V13/2)*$P13</f>
        <v>1.8776948292793298E-2</v>
      </c>
      <c r="AO13" s="129">
        <f ca="1">SUM(AN13:AN$124)*SSa</f>
        <v>0.36609640728726522</v>
      </c>
      <c r="AP13" s="70">
        <f t="shared" ref="AP13:AP44" ca="1" si="86">IFERROR(AP12*(1-$X12)*(1-$Y12)*(1-BTb*AQ12*(1-$T12/2)/(1-$T12)),0)</f>
        <v>90749.979824278504</v>
      </c>
      <c r="AQ13" s="2">
        <f t="shared" ca="1" si="58"/>
        <v>0</v>
      </c>
      <c r="AR13" s="127">
        <f t="shared" ref="AR13:AR44" ca="1" si="87">AP13*AQ13*(1-CHOOSE(JRB,1,0)*$V13/2)*$P13</f>
        <v>0</v>
      </c>
      <c r="AS13" s="127">
        <f ca="1">SUM(AR13:AR$124)*SSb</f>
        <v>0</v>
      </c>
      <c r="AT13" s="70">
        <f t="shared" ref="AT13:AT44" ca="1" si="88">IFERROR(AT12*(1-$X12)*(1-$Y12)*(1-BTc*AU12*(1-$T12/2)/(1-$T12)),0)</f>
        <v>90749.979824278504</v>
      </c>
      <c r="AU13" s="2">
        <f t="shared" ca="1" si="59"/>
        <v>0</v>
      </c>
      <c r="AV13" s="268">
        <f t="shared" ref="AV13:AV44" ca="1" si="89">AT13*AU13*(1-CHOOSE(JRB,1,0)*$V13/2)*$P13</f>
        <v>0</v>
      </c>
      <c r="AW13" s="131">
        <f ca="1">SUM(AV13:AV$124)*SSc</f>
        <v>0</v>
      </c>
      <c r="AX13" s="70">
        <f t="shared" ref="AX13:AX44" ca="1" si="90">IFERROR(AX12*(1-$X12)*(1-$Y12)*(1-BTd*AY12*(1-$T12/2)/(1-$T12)),0)</f>
        <v>90749.979824278504</v>
      </c>
      <c r="AY13" s="2">
        <f t="shared" ca="1" si="60"/>
        <v>0</v>
      </c>
      <c r="AZ13" s="268">
        <f t="shared" ref="AZ13:AZ44" ca="1" si="91">AX13*AY13*(1-CHOOSE(JRB,1,0)*$V13/2)*$P13</f>
        <v>0</v>
      </c>
      <c r="BA13" s="129">
        <f ca="1">SUM(AZ13:AZ$124)*SSd</f>
        <v>0</v>
      </c>
      <c r="BB13" s="70">
        <f t="shared" ref="BB13:BB44" ca="1" si="92">IFERROR(BB12*(1-$X12)*(1-$Y12)*(1-BTe*BC12*(1-$T12/2)/(1-$T12)),0)</f>
        <v>90749.979824278504</v>
      </c>
      <c r="BC13" s="257">
        <f t="shared" ca="1" si="61"/>
        <v>0</v>
      </c>
      <c r="BD13" s="268">
        <f t="shared" ref="BD13:BD44" ca="1" si="93">BB13*BC13*(1-CHOOSE(JRB,1,0)*$V13/2)*$P13</f>
        <v>0</v>
      </c>
      <c r="BE13" s="131">
        <f ca="1">SUM(BD13:BD$124)*SSe</f>
        <v>0</v>
      </c>
      <c r="BF13" s="70">
        <f t="shared" ref="BF13:BF44" ca="1" si="94">IFERROR(BF12*(1-$X12)*(1-$Y12)*(1-BTf*BG12*(1-$T12/2)/(1-$T12)),0)</f>
        <v>90749.979824278504</v>
      </c>
      <c r="BG13" s="2">
        <f t="shared" ca="1" si="62"/>
        <v>0</v>
      </c>
      <c r="BH13" s="131">
        <f t="shared" ref="BH13:BH44" ca="1" si="95">BF13*BG13*(1-CHOOSE(JRB,1,0)*$V13/2)*$P13</f>
        <v>0</v>
      </c>
      <c r="BI13" s="2">
        <f ca="1">SUM(BH13:BH$124)*SSf</f>
        <v>0</v>
      </c>
      <c r="BJ13" s="70">
        <f t="shared" ref="BJ13:BJ44" ca="1" si="96">IFERROR(BJ12*(1-$X12)*(1-$Y12)*(1-BTg*BK12*(1-$T12/2)/(1-$T12)),0)</f>
        <v>90749.979824278504</v>
      </c>
      <c r="BK13" s="2">
        <f t="shared" ca="1" si="63"/>
        <v>0</v>
      </c>
      <c r="BL13" s="131">
        <f t="shared" ref="BL13:BL44" ca="1" si="97">BJ13*BK13*(1-CHOOSE(JRB,1,0)*$V13/2)*$P13</f>
        <v>0</v>
      </c>
      <c r="BM13" s="131">
        <f ca="1">SUM(BL13:BL$124)*SSg</f>
        <v>0</v>
      </c>
      <c r="BN13" s="70">
        <f t="shared" ref="BN13:BN44" ca="1" si="98">IFERROR(BN12*(1-$X12)*(1-$Y12)*(1-BTh*BO12*(1-$T12/2)/(1-$T12)),0)</f>
        <v>90749.979824278504</v>
      </c>
      <c r="BO13" s="2">
        <f t="shared" ca="1" si="64"/>
        <v>0</v>
      </c>
      <c r="BP13" s="131">
        <f t="shared" ref="BP13:BP44" ca="1" si="99">BN13*BO13*(1-CHOOSE(JRB,1,0)*$V13/2)*$P13</f>
        <v>0</v>
      </c>
      <c r="BQ13" s="131">
        <f ca="1">SUM(BP13:BP$124)*SSh</f>
        <v>0</v>
      </c>
      <c r="BR13" s="70">
        <f t="shared" ref="BR13:BR44" ca="1" si="100">IFERROR(BR12*(1-$X12)*(1-$Y12)*(1-BTi*BS12*(1-$T12/2)/(1-$T12)),0)</f>
        <v>90749.979824278504</v>
      </c>
      <c r="BS13" s="2">
        <f t="shared" ca="1" si="65"/>
        <v>0</v>
      </c>
      <c r="BT13" s="131">
        <f t="shared" ref="BT13:BT44" ca="1" si="101">BR13*BS13*(1-CHOOSE(JRB,1,0)*$V13/2)*$P13</f>
        <v>0</v>
      </c>
      <c r="BU13" s="131">
        <f ca="1">SUM(BT13:BT$124)*SSi</f>
        <v>0</v>
      </c>
      <c r="BV13" s="70">
        <f t="shared" ref="BV13:BV44" ca="1" si="102">IFERROR(BV12*(1-$X12)*(1-$Y12)*(1-BTj*BW12*(1-$T12/2)/(1-$T12)),0)</f>
        <v>90749.979824278504</v>
      </c>
      <c r="BW13" s="2">
        <f t="shared" ca="1" si="66"/>
        <v>0</v>
      </c>
      <c r="BX13" s="131">
        <f t="shared" ref="BX13:BX44" ca="1" si="103">BV13*BW13*(1-CHOOSE(JRB,1,0)*$V13/2)*$P13</f>
        <v>0</v>
      </c>
      <c r="BY13" s="131">
        <f ca="1">SUM(BX13:BX$124)*SSj</f>
        <v>0</v>
      </c>
      <c r="BZ13" s="70">
        <f t="shared" ref="BZ13:BZ44" ca="1" si="104">IFERROR(BZ12*(1-$X12)*(1-$Y12)*(1-BTk*CA12*(1-$T12/2)/(1-$T12)),0)</f>
        <v>90749.979824278504</v>
      </c>
      <c r="CA13" s="2">
        <f t="shared" ca="1" si="67"/>
        <v>0</v>
      </c>
      <c r="CB13" s="131">
        <f t="shared" ref="CB13:CB44" ca="1" si="105">BZ13*CA13*(1-CHOOSE(JRB,1,0)*$V13/2)*$P13</f>
        <v>0</v>
      </c>
      <c r="CC13" s="131">
        <f ca="1">SUM(CB13:CB$124)*SSk</f>
        <v>0</v>
      </c>
      <c r="CD13" s="8">
        <f t="shared" ref="CD13:CD44" ca="1" si="106">IFERROR(CD12*(1-$X12)*(1-$Y12)*(1-BTl*CE12*(1-$T12/2)/(1-$T12)),0)</f>
        <v>90749.979824278504</v>
      </c>
      <c r="CE13" s="2">
        <f t="shared" ca="1" si="68"/>
        <v>0</v>
      </c>
      <c r="CF13" s="131">
        <f t="shared" ref="CF13:CF44" ca="1" si="107">CD13*CE13*(1-CHOOSE(JRB,1,0)*$V13/2)*$P13</f>
        <v>0</v>
      </c>
      <c r="CG13" s="131">
        <f ca="1">SUM(CF13:CF$124)*SSl</f>
        <v>0</v>
      </c>
      <c r="CH13" s="155">
        <f t="shared" ref="CH13:CH76" si="108">V13</f>
        <v>0.13550000000000001</v>
      </c>
      <c r="CI13" s="155">
        <f t="shared" ref="CI13:CI76" ca="1" si="109">W13*CH13*(1-$CI$5*AL13/2)</f>
        <v>12296.622266189737</v>
      </c>
      <c r="CJ13" s="155">
        <f t="shared" ref="CJ13:CJ76" ca="1" si="110">CI13*P13</f>
        <v>11892.984622518121</v>
      </c>
      <c r="CK13" s="155">
        <f ca="1">유해지!CY13</f>
        <v>0.45200000000000001</v>
      </c>
      <c r="CL13" s="529">
        <f t="shared" si="69"/>
        <v>0</v>
      </c>
      <c r="CM13" s="155">
        <f t="shared" ref="CM13:CM76" ca="1" si="111">CL13*CJ13</f>
        <v>0</v>
      </c>
      <c r="CN13" s="155">
        <f ca="1">SUM(CM13:$CM$125)</f>
        <v>8359.7409108504035</v>
      </c>
      <c r="CO13" s="101">
        <f t="shared" ref="CO13:CO76" ca="1" si="112">AC13+AJ13+AO13+AS13+AW13+BA13+BE13+BI13+BM13+BQ13+BU13+BY13+CC13+CG13</f>
        <v>0.36609640728726522</v>
      </c>
      <c r="CP13" s="154">
        <f t="shared" ca="1" si="70"/>
        <v>0.34395398696054924</v>
      </c>
      <c r="CQ13" s="154">
        <f t="shared" ca="1" si="71"/>
        <v>8359.7409108504035</v>
      </c>
      <c r="CR13" s="32">
        <f t="shared" ca="1" si="72"/>
        <v>294579.26520613919</v>
      </c>
      <c r="CS13" s="32">
        <f t="shared" ca="1" si="73"/>
        <v>282052.11173196236</v>
      </c>
      <c r="CT13" s="32">
        <f t="shared" ca="1" si="74"/>
        <v>294591.66504796385</v>
      </c>
      <c r="CU13" s="32">
        <f t="shared" ca="1" si="75"/>
        <v>159570.48523431376</v>
      </c>
      <c r="CV13" s="32">
        <f t="shared" ca="1" si="76"/>
        <v>648681.85939101095</v>
      </c>
      <c r="CW13" s="32">
        <f t="shared" ca="1" si="77"/>
        <v>0.97832467650546695</v>
      </c>
      <c r="CX13" s="259">
        <f>IF(R13&lt;m,0,ROUND(IF($R13&gt;nB,0,GPB*mB*mmB*유해지!CY13),roundB))</f>
        <v>0</v>
      </c>
      <c r="CY13" s="262">
        <f t="shared" si="78"/>
        <v>0</v>
      </c>
      <c r="CZ13" s="259">
        <f t="shared" ca="1" si="79"/>
        <v>3.552124581407272E-6</v>
      </c>
      <c r="DA13" s="31">
        <f t="shared" si="80"/>
        <v>5</v>
      </c>
    </row>
    <row r="14" spans="2:105">
      <c r="B14" s="106" t="s">
        <v>5</v>
      </c>
      <c r="C14" s="118">
        <f ca="1">MAIN!C16</f>
        <v>2.2499999999999999E-2</v>
      </c>
      <c r="D14" s="44"/>
      <c r="F14" s="21"/>
      <c r="G14" s="122" t="s">
        <v>160</v>
      </c>
      <c r="H14" s="291">
        <f ca="1">VLOOKUP(xB,기수표B,CP$1,FALSE)</f>
        <v>0.35443867076578295</v>
      </c>
      <c r="I14" s="291"/>
      <c r="J14" s="291"/>
      <c r="M14" s="242"/>
      <c r="N14" s="5">
        <f t="shared" ref="N14:N77" si="113">+N13+1</f>
        <v>2</v>
      </c>
      <c r="O14" s="2">
        <f t="shared" ca="1" si="44"/>
        <v>0.95647443523173592</v>
      </c>
      <c r="P14" s="2">
        <f t="shared" ca="1" si="45"/>
        <v>0.94589233958983754</v>
      </c>
      <c r="Q14" s="91"/>
      <c r="R14" s="20">
        <f t="shared" ref="R14:R77" si="114">R13+1</f>
        <v>2</v>
      </c>
      <c r="S14" s="20">
        <f t="shared" si="46"/>
        <v>10</v>
      </c>
      <c r="T14" s="2">
        <f t="shared" ca="1" si="47"/>
        <v>0</v>
      </c>
      <c r="U14" s="2">
        <f t="shared" ca="1" si="47"/>
        <v>1.5999999999999999E-5</v>
      </c>
      <c r="V14" s="300">
        <f t="shared" si="48"/>
        <v>7.3499999999999996E-2</v>
      </c>
      <c r="W14" s="8">
        <f t="shared" ca="1" si="49"/>
        <v>78453.339554769176</v>
      </c>
      <c r="X14" s="10">
        <f t="shared" ca="1" si="50"/>
        <v>7.350000000000001E-2</v>
      </c>
      <c r="Y14" s="92">
        <f t="shared" ca="1" si="51"/>
        <v>2.4196000003584572E-7</v>
      </c>
      <c r="Z14" s="8">
        <f t="shared" ca="1" si="81"/>
        <v>75038.61364269146</v>
      </c>
      <c r="AA14" s="8">
        <f ca="1">+SUM(Z14:Z$124)</f>
        <v>882076.19307249144</v>
      </c>
      <c r="AB14" s="8">
        <f t="shared" ca="1" si="52"/>
        <v>5454.3183481570977</v>
      </c>
      <c r="AC14" s="209">
        <f ca="1">+SUM(AB14:AB$124)*SSSM</f>
        <v>0</v>
      </c>
      <c r="AD14" s="209">
        <f t="shared" ca="1" si="82"/>
        <v>78450.436808036698</v>
      </c>
      <c r="AE14" s="92">
        <f t="shared" ca="1" si="53"/>
        <v>1.6000000000016001E-5</v>
      </c>
      <c r="AF14" s="92">
        <f t="shared" ca="1" si="54"/>
        <v>0</v>
      </c>
      <c r="AG14" s="8">
        <f t="shared" ca="1" si="55"/>
        <v>75035.837239649889</v>
      </c>
      <c r="AH14" s="5">
        <f ca="1">+SUM(AG14:AG$124)</f>
        <v>881839.57478620124</v>
      </c>
      <c r="AI14" s="70">
        <f t="shared" ca="1" si="56"/>
        <v>1.1872906754283641</v>
      </c>
      <c r="AJ14" s="208">
        <f ca="1">+SUM(AB14:AB$124)*SS50J</f>
        <v>0</v>
      </c>
      <c r="AK14" s="209">
        <f t="shared" ca="1" si="83"/>
        <v>78453.339554769176</v>
      </c>
      <c r="AL14" s="257">
        <f t="shared" ca="1" si="57"/>
        <v>2.4195999999999998E-7</v>
      </c>
      <c r="AM14" s="131">
        <f t="shared" ca="1" si="84"/>
        <v>75038.61364269146</v>
      </c>
      <c r="AN14" s="129">
        <f t="shared" ca="1" si="85"/>
        <v>1.7295604151547316E-2</v>
      </c>
      <c r="AO14" s="129">
        <f ca="1">SUM(AN14:AN$124)*SSa</f>
        <v>0.34731945899447192</v>
      </c>
      <c r="AP14" s="70">
        <f t="shared" ca="1" si="86"/>
        <v>78453.339554769176</v>
      </c>
      <c r="AQ14" s="2">
        <f t="shared" ca="1" si="58"/>
        <v>0</v>
      </c>
      <c r="AR14" s="127">
        <f t="shared" ca="1" si="87"/>
        <v>0</v>
      </c>
      <c r="AS14" s="127">
        <f ca="1">SUM(AR14:AR$124)*SSb</f>
        <v>0</v>
      </c>
      <c r="AT14" s="70">
        <f t="shared" ca="1" si="88"/>
        <v>78453.339554769176</v>
      </c>
      <c r="AU14" s="2">
        <f t="shared" ca="1" si="59"/>
        <v>0</v>
      </c>
      <c r="AV14" s="268">
        <f t="shared" ca="1" si="89"/>
        <v>0</v>
      </c>
      <c r="AW14" s="131">
        <f ca="1">SUM(AV14:AV$124)*SSc</f>
        <v>0</v>
      </c>
      <c r="AX14" s="70">
        <f t="shared" ca="1" si="90"/>
        <v>78453.339554769176</v>
      </c>
      <c r="AY14" s="2">
        <f t="shared" ca="1" si="60"/>
        <v>0</v>
      </c>
      <c r="AZ14" s="268">
        <f t="shared" ca="1" si="91"/>
        <v>0</v>
      </c>
      <c r="BA14" s="129">
        <f ca="1">SUM(AZ14:AZ$124)*SSd</f>
        <v>0</v>
      </c>
      <c r="BB14" s="70">
        <f t="shared" ca="1" si="92"/>
        <v>78453.339554769176</v>
      </c>
      <c r="BC14" s="257">
        <f t="shared" ca="1" si="61"/>
        <v>0</v>
      </c>
      <c r="BD14" s="268">
        <f t="shared" ca="1" si="93"/>
        <v>0</v>
      </c>
      <c r="BE14" s="131">
        <f ca="1">SUM(BD14:BD$124)*SSe</f>
        <v>0</v>
      </c>
      <c r="BF14" s="70">
        <f t="shared" ca="1" si="94"/>
        <v>78453.339554769176</v>
      </c>
      <c r="BG14" s="2">
        <f t="shared" ca="1" si="62"/>
        <v>0</v>
      </c>
      <c r="BH14" s="131">
        <f t="shared" ca="1" si="95"/>
        <v>0</v>
      </c>
      <c r="BI14" s="2">
        <f ca="1">SUM(BH14:BH$124)*SSf</f>
        <v>0</v>
      </c>
      <c r="BJ14" s="70">
        <f t="shared" ca="1" si="96"/>
        <v>78453.339554769176</v>
      </c>
      <c r="BK14" s="2">
        <f t="shared" ca="1" si="63"/>
        <v>0</v>
      </c>
      <c r="BL14" s="131">
        <f t="shared" ca="1" si="97"/>
        <v>0</v>
      </c>
      <c r="BM14" s="131">
        <f ca="1">SUM(BL14:BL$124)*SSg</f>
        <v>0</v>
      </c>
      <c r="BN14" s="70">
        <f t="shared" ca="1" si="98"/>
        <v>78453.339554769176</v>
      </c>
      <c r="BO14" s="2">
        <f t="shared" ca="1" si="64"/>
        <v>0</v>
      </c>
      <c r="BP14" s="131">
        <f t="shared" ca="1" si="99"/>
        <v>0</v>
      </c>
      <c r="BQ14" s="131">
        <f ca="1">SUM(BP14:BP$124)*SSh</f>
        <v>0</v>
      </c>
      <c r="BR14" s="70">
        <f t="shared" ca="1" si="100"/>
        <v>78453.339554769176</v>
      </c>
      <c r="BS14" s="2">
        <f t="shared" ca="1" si="65"/>
        <v>0</v>
      </c>
      <c r="BT14" s="131">
        <f t="shared" ca="1" si="101"/>
        <v>0</v>
      </c>
      <c r="BU14" s="131">
        <f ca="1">SUM(BT14:BT$124)*SSi</f>
        <v>0</v>
      </c>
      <c r="BV14" s="70">
        <f t="shared" ca="1" si="102"/>
        <v>78453.339554769176</v>
      </c>
      <c r="BW14" s="2">
        <f t="shared" ca="1" si="66"/>
        <v>0</v>
      </c>
      <c r="BX14" s="131">
        <f t="shared" ca="1" si="103"/>
        <v>0</v>
      </c>
      <c r="BY14" s="131">
        <f ca="1">SUM(BX14:BX$124)*SSj</f>
        <v>0</v>
      </c>
      <c r="BZ14" s="70">
        <f t="shared" ca="1" si="104"/>
        <v>78453.339554769176</v>
      </c>
      <c r="CA14" s="2">
        <f t="shared" ca="1" si="67"/>
        <v>0</v>
      </c>
      <c r="CB14" s="131">
        <f t="shared" ca="1" si="105"/>
        <v>0</v>
      </c>
      <c r="CC14" s="131">
        <f ca="1">SUM(CB14:CB$124)*SSk</f>
        <v>0</v>
      </c>
      <c r="CD14" s="8">
        <f t="shared" ca="1" si="106"/>
        <v>78453.339554769176</v>
      </c>
      <c r="CE14" s="2">
        <f t="shared" ca="1" si="68"/>
        <v>0</v>
      </c>
      <c r="CF14" s="131">
        <f t="shared" ca="1" si="107"/>
        <v>0</v>
      </c>
      <c r="CG14" s="131">
        <f ca="1">SUM(CF14:CF$124)*SSl</f>
        <v>0</v>
      </c>
      <c r="CH14" s="155">
        <f t="shared" si="108"/>
        <v>7.3499999999999996E-2</v>
      </c>
      <c r="CI14" s="155">
        <f t="shared" ca="1" si="109"/>
        <v>5766.320457275534</v>
      </c>
      <c r="CJ14" s="155">
        <f t="shared" ca="1" si="110"/>
        <v>5454.3183481570968</v>
      </c>
      <c r="CK14" s="155">
        <f ca="1">유해지!CY14</f>
        <v>0.47</v>
      </c>
      <c r="CL14" s="529">
        <f t="shared" si="69"/>
        <v>0</v>
      </c>
      <c r="CM14" s="155">
        <f t="shared" ca="1" si="111"/>
        <v>0</v>
      </c>
      <c r="CN14" s="155">
        <f ca="1">SUM(CM14:$CM$125)</f>
        <v>8359.7409108504035</v>
      </c>
      <c r="CO14" s="101">
        <f t="shared" ca="1" si="112"/>
        <v>0.34731945899447192</v>
      </c>
      <c r="CP14" s="154">
        <f t="shared" ca="1" si="70"/>
        <v>0.32517703866775594</v>
      </c>
      <c r="CQ14" s="154">
        <f t="shared" ca="1" si="71"/>
        <v>8359.7409108504035</v>
      </c>
      <c r="CR14" s="32">
        <f t="shared" ca="1" si="72"/>
        <v>205827.91501087078</v>
      </c>
      <c r="CS14" s="32">
        <f t="shared" ca="1" si="73"/>
        <v>199587.03830801908</v>
      </c>
      <c r="CT14" s="32">
        <f t="shared" ca="1" si="74"/>
        <v>205838.62854500185</v>
      </c>
      <c r="CU14" s="32">
        <f t="shared" ca="1" si="75"/>
        <v>111495.92379520934</v>
      </c>
      <c r="CV14" s="32">
        <f t="shared" ca="1" si="76"/>
        <v>648681.85939101095</v>
      </c>
      <c r="CW14" s="32">
        <f t="shared" ca="1" si="77"/>
        <v>0.69228669655533692</v>
      </c>
      <c r="CX14" s="259">
        <f>IF(R14&lt;m,0,ROUND(IF($R14&gt;nB,0,GPB*mB*mmB*유해지!CY14),roundB))</f>
        <v>0</v>
      </c>
      <c r="CY14" s="262">
        <f t="shared" si="78"/>
        <v>0</v>
      </c>
      <c r="CZ14" s="259">
        <f t="shared" ca="1" si="79"/>
        <v>7.7629749007333968E-6</v>
      </c>
      <c r="DA14" s="31">
        <f t="shared" si="80"/>
        <v>5</v>
      </c>
    </row>
    <row r="15" spans="2:105">
      <c r="B15" s="106" t="s">
        <v>6</v>
      </c>
      <c r="C15" s="118">
        <f ca="1">MAIN!C17</f>
        <v>0.97799511002444994</v>
      </c>
      <c r="D15" s="44"/>
      <c r="F15" s="16"/>
      <c r="G15" s="122" t="s">
        <v>186</v>
      </c>
      <c r="H15" s="291">
        <f ca="1">CQ12*mB</f>
        <v>41798.704554252021</v>
      </c>
      <c r="I15" s="291"/>
      <c r="J15" s="291"/>
      <c r="M15" s="242"/>
      <c r="N15" s="5">
        <f t="shared" si="113"/>
        <v>3</v>
      </c>
      <c r="O15" s="2">
        <f t="shared" ca="1" si="44"/>
        <v>0.93542732052003519</v>
      </c>
      <c r="P15" s="2">
        <f t="shared" ca="1" si="45"/>
        <v>0.9250780827284476</v>
      </c>
      <c r="Q15" s="91"/>
      <c r="R15" s="20">
        <f t="shared" si="114"/>
        <v>3</v>
      </c>
      <c r="S15" s="20">
        <f t="shared" si="46"/>
        <v>11</v>
      </c>
      <c r="T15" s="2">
        <f t="shared" ca="1" si="47"/>
        <v>0</v>
      </c>
      <c r="U15" s="2">
        <f t="shared" ca="1" si="47"/>
        <v>1.5999999999999999E-5</v>
      </c>
      <c r="V15" s="300">
        <f t="shared" si="48"/>
        <v>5.5500000000000001E-2</v>
      </c>
      <c r="W15" s="8">
        <f t="shared" ca="1" si="49"/>
        <v>72687.001510142494</v>
      </c>
      <c r="X15" s="10">
        <f t="shared" ca="1" si="50"/>
        <v>5.5499999999999994E-2</v>
      </c>
      <c r="Y15" s="92">
        <f t="shared" ca="1" si="51"/>
        <v>2.5611999998620405E-7</v>
      </c>
      <c r="Z15" s="8">
        <f t="shared" ca="1" si="81"/>
        <v>67993.407059268342</v>
      </c>
      <c r="AA15" s="8">
        <f ca="1">+SUM(Z15:Z$124)</f>
        <v>807037.57942980004</v>
      </c>
      <c r="AB15" s="8">
        <f t="shared" ca="1" si="52"/>
        <v>3731.8839357936722</v>
      </c>
      <c r="AC15" s="209">
        <f ca="1">+SUM(AB15:AB$124)*SSSM</f>
        <v>0</v>
      </c>
      <c r="AD15" s="209">
        <f t="shared" ca="1" si="82"/>
        <v>72683.149166951742</v>
      </c>
      <c r="AE15" s="92">
        <f t="shared" ca="1" si="53"/>
        <v>1.6000000000016001E-5</v>
      </c>
      <c r="AF15" s="92">
        <f t="shared" ca="1" si="54"/>
        <v>0</v>
      </c>
      <c r="AG15" s="8">
        <f t="shared" ca="1" si="55"/>
        <v>67989.803472199696</v>
      </c>
      <c r="AH15" s="5">
        <f ca="1">+SUM(AG15:AG$124)</f>
        <v>806803.73754655139</v>
      </c>
      <c r="AI15" s="70">
        <f t="shared" ca="1" si="56"/>
        <v>1.0758014124495474</v>
      </c>
      <c r="AJ15" s="208">
        <f ca="1">+SUM(AB15:AB$124)*SS50J</f>
        <v>0</v>
      </c>
      <c r="AK15" s="209">
        <f t="shared" ca="1" si="83"/>
        <v>72687.001510142494</v>
      </c>
      <c r="AL15" s="257">
        <f t="shared" ca="1" si="57"/>
        <v>2.5611999999999999E-7</v>
      </c>
      <c r="AM15" s="131">
        <f t="shared" ca="1" si="84"/>
        <v>67993.407059268342</v>
      </c>
      <c r="AN15" s="129">
        <f t="shared" ca="1" si="85"/>
        <v>1.6743898792470107E-2</v>
      </c>
      <c r="AO15" s="129">
        <f ca="1">SUM(AN15:AN$124)*SSa</f>
        <v>0.33002385484292462</v>
      </c>
      <c r="AP15" s="70">
        <f t="shared" ca="1" si="86"/>
        <v>72687.001510142494</v>
      </c>
      <c r="AQ15" s="2">
        <f t="shared" ca="1" si="58"/>
        <v>0</v>
      </c>
      <c r="AR15" s="127">
        <f t="shared" ca="1" si="87"/>
        <v>0</v>
      </c>
      <c r="AS15" s="127">
        <f ca="1">SUM(AR15:AR$124)*SSb</f>
        <v>0</v>
      </c>
      <c r="AT15" s="70">
        <f t="shared" ca="1" si="88"/>
        <v>72687.001510142494</v>
      </c>
      <c r="AU15" s="2">
        <f t="shared" ca="1" si="59"/>
        <v>0</v>
      </c>
      <c r="AV15" s="268">
        <f t="shared" ca="1" si="89"/>
        <v>0</v>
      </c>
      <c r="AW15" s="131">
        <f ca="1">SUM(AV15:AV$124)*SSc</f>
        <v>0</v>
      </c>
      <c r="AX15" s="70">
        <f t="shared" ca="1" si="90"/>
        <v>72687.001510142494</v>
      </c>
      <c r="AY15" s="2">
        <f t="shared" ca="1" si="60"/>
        <v>0</v>
      </c>
      <c r="AZ15" s="268">
        <f t="shared" ca="1" si="91"/>
        <v>0</v>
      </c>
      <c r="BA15" s="129">
        <f ca="1">SUM(AZ15:AZ$124)*SSd</f>
        <v>0</v>
      </c>
      <c r="BB15" s="70">
        <f t="shared" ca="1" si="92"/>
        <v>72687.001510142494</v>
      </c>
      <c r="BC15" s="257">
        <f t="shared" ca="1" si="61"/>
        <v>0</v>
      </c>
      <c r="BD15" s="268">
        <f t="shared" ca="1" si="93"/>
        <v>0</v>
      </c>
      <c r="BE15" s="131">
        <f ca="1">SUM(BD15:BD$124)*SSe</f>
        <v>0</v>
      </c>
      <c r="BF15" s="70">
        <f t="shared" ca="1" si="94"/>
        <v>72687.001510142494</v>
      </c>
      <c r="BG15" s="2">
        <f t="shared" ca="1" si="62"/>
        <v>0</v>
      </c>
      <c r="BH15" s="131">
        <f t="shared" ca="1" si="95"/>
        <v>0</v>
      </c>
      <c r="BI15" s="2">
        <f ca="1">SUM(BH15:BH$124)*SSf</f>
        <v>0</v>
      </c>
      <c r="BJ15" s="70">
        <f t="shared" ca="1" si="96"/>
        <v>72687.001510142494</v>
      </c>
      <c r="BK15" s="2">
        <f t="shared" ca="1" si="63"/>
        <v>0</v>
      </c>
      <c r="BL15" s="131">
        <f t="shared" ca="1" si="97"/>
        <v>0</v>
      </c>
      <c r="BM15" s="131">
        <f ca="1">SUM(BL15:BL$124)*SSg</f>
        <v>0</v>
      </c>
      <c r="BN15" s="70">
        <f t="shared" ca="1" si="98"/>
        <v>72687.001510142494</v>
      </c>
      <c r="BO15" s="2">
        <f t="shared" ca="1" si="64"/>
        <v>0</v>
      </c>
      <c r="BP15" s="131">
        <f t="shared" ca="1" si="99"/>
        <v>0</v>
      </c>
      <c r="BQ15" s="131">
        <f ca="1">SUM(BP15:BP$124)*SSh</f>
        <v>0</v>
      </c>
      <c r="BR15" s="70">
        <f t="shared" ca="1" si="100"/>
        <v>72687.001510142494</v>
      </c>
      <c r="BS15" s="2">
        <f t="shared" ca="1" si="65"/>
        <v>0</v>
      </c>
      <c r="BT15" s="131">
        <f t="shared" ca="1" si="101"/>
        <v>0</v>
      </c>
      <c r="BU15" s="131">
        <f ca="1">SUM(BT15:BT$124)*SSi</f>
        <v>0</v>
      </c>
      <c r="BV15" s="70">
        <f t="shared" ca="1" si="102"/>
        <v>72687.001510142494</v>
      </c>
      <c r="BW15" s="2">
        <f t="shared" ca="1" si="66"/>
        <v>0</v>
      </c>
      <c r="BX15" s="131">
        <f t="shared" ca="1" si="103"/>
        <v>0</v>
      </c>
      <c r="BY15" s="131">
        <f ca="1">SUM(BX15:BX$124)*SSj</f>
        <v>0</v>
      </c>
      <c r="BZ15" s="70">
        <f t="shared" ca="1" si="104"/>
        <v>72687.001510142494</v>
      </c>
      <c r="CA15" s="2">
        <f t="shared" ca="1" si="67"/>
        <v>0</v>
      </c>
      <c r="CB15" s="131">
        <f t="shared" ca="1" si="105"/>
        <v>0</v>
      </c>
      <c r="CC15" s="131">
        <f ca="1">SUM(CB15:CB$124)*SSk</f>
        <v>0</v>
      </c>
      <c r="CD15" s="8">
        <f t="shared" ca="1" si="106"/>
        <v>72687.001510142494</v>
      </c>
      <c r="CE15" s="2">
        <f t="shared" ca="1" si="68"/>
        <v>0</v>
      </c>
      <c r="CF15" s="131">
        <f t="shared" ca="1" si="107"/>
        <v>0</v>
      </c>
      <c r="CG15" s="131">
        <f ca="1">SUM(CF15:CF$124)*SSl</f>
        <v>0</v>
      </c>
      <c r="CH15" s="155">
        <f t="shared" si="108"/>
        <v>5.5500000000000001E-2</v>
      </c>
      <c r="CI15" s="155">
        <f t="shared" ca="1" si="109"/>
        <v>4034.1285838129083</v>
      </c>
      <c r="CJ15" s="155">
        <f t="shared" ca="1" si="110"/>
        <v>3731.8839357936727</v>
      </c>
      <c r="CK15" s="155">
        <f ca="1">유해지!CY15</f>
        <v>0.47599999999999998</v>
      </c>
      <c r="CL15" s="529">
        <f t="shared" si="69"/>
        <v>0</v>
      </c>
      <c r="CM15" s="155">
        <f t="shared" ca="1" si="111"/>
        <v>0</v>
      </c>
      <c r="CN15" s="155">
        <f ca="1">SUM(CM15:$CM$125)</f>
        <v>8359.7409108504035</v>
      </c>
      <c r="CO15" s="101">
        <f t="shared" ca="1" si="112"/>
        <v>0.33002385484292462</v>
      </c>
      <c r="CP15" s="154">
        <f t="shared" ca="1" si="70"/>
        <v>0.30788143451620864</v>
      </c>
      <c r="CQ15" s="154">
        <f t="shared" ca="1" si="71"/>
        <v>8359.7409108504035</v>
      </c>
      <c r="CR15" s="32">
        <f t="shared" ca="1" si="72"/>
        <v>130792.07777122094</v>
      </c>
      <c r="CS15" s="32">
        <f t="shared" ca="1" si="73"/>
        <v>127780.6332117839</v>
      </c>
      <c r="CT15" s="32">
        <f t="shared" ca="1" si="74"/>
        <v>130800.01490231045</v>
      </c>
      <c r="CU15" s="32">
        <f t="shared" ca="1" si="75"/>
        <v>70850.008072084835</v>
      </c>
      <c r="CV15" s="32">
        <f t="shared" ca="1" si="76"/>
        <v>648681.85939101095</v>
      </c>
      <c r="CW15" s="32">
        <f t="shared" ca="1" si="77"/>
        <v>0.44321932526206959</v>
      </c>
      <c r="CX15" s="259">
        <f>IF(R15&lt;m,0,ROUND(IF($R15&gt;nB,0,GPB*mB*mmB*유해지!CY15),roundB))</f>
        <v>0</v>
      </c>
      <c r="CY15" s="262">
        <f t="shared" si="78"/>
        <v>0</v>
      </c>
      <c r="CZ15" s="259">
        <f t="shared" ca="1" si="79"/>
        <v>1.1976082338776788E-5</v>
      </c>
      <c r="DA15" s="31">
        <f t="shared" si="80"/>
        <v>5</v>
      </c>
    </row>
    <row r="16" spans="2:105">
      <c r="B16" s="106" t="s">
        <v>16</v>
      </c>
      <c r="C16" s="227">
        <f ca="1">S</f>
        <v>10000000</v>
      </c>
      <c r="D16" s="44"/>
      <c r="F16" s="21"/>
      <c r="G16" s="122" t="s">
        <v>187</v>
      </c>
      <c r="H16" s="291">
        <f ca="1">H14+H15</f>
        <v>41799.058992922786</v>
      </c>
      <c r="I16" s="291"/>
      <c r="J16" s="291"/>
      <c r="M16" s="242"/>
      <c r="N16" s="5">
        <f t="shared" si="113"/>
        <v>4</v>
      </c>
      <c r="O16" s="2">
        <f t="shared" ca="1" si="44"/>
        <v>0.91484334525186817</v>
      </c>
      <c r="P16" s="2">
        <f t="shared" ca="1" si="45"/>
        <v>0.90472184129921518</v>
      </c>
      <c r="Q16" s="91"/>
      <c r="R16" s="20">
        <f t="shared" si="114"/>
        <v>4</v>
      </c>
      <c r="S16" s="20">
        <f t="shared" si="46"/>
        <v>12</v>
      </c>
      <c r="T16" s="231">
        <f t="shared" ca="1" si="47"/>
        <v>0</v>
      </c>
      <c r="U16" s="231">
        <f t="shared" ca="1" si="47"/>
        <v>1.4999999999999999E-5</v>
      </c>
      <c r="V16" s="300">
        <f t="shared" si="48"/>
        <v>0</v>
      </c>
      <c r="W16" s="8">
        <f t="shared" ca="1" si="49"/>
        <v>68652.855342955765</v>
      </c>
      <c r="X16" s="233">
        <f t="shared" ca="1" si="50"/>
        <v>0</v>
      </c>
      <c r="Y16" s="235">
        <f t="shared" ca="1" si="51"/>
        <v>2.7481900000125847E-7</v>
      </c>
      <c r="Z16" s="232">
        <f t="shared" ca="1" si="81"/>
        <v>62806.607843042242</v>
      </c>
      <c r="AA16" s="232">
        <f ca="1">+SUM(Z16:Z$124)</f>
        <v>739044.17237053171</v>
      </c>
      <c r="AB16" s="232">
        <f t="shared" ca="1" si="52"/>
        <v>0</v>
      </c>
      <c r="AC16" s="234">
        <f ca="1">+SUM(AB16:AB$124)*SSSM</f>
        <v>0</v>
      </c>
      <c r="AD16" s="209">
        <f t="shared" ca="1" si="82"/>
        <v>68648.118418275117</v>
      </c>
      <c r="AE16" s="235">
        <f t="shared" ca="1" si="53"/>
        <v>1.4999999999987246E-5</v>
      </c>
      <c r="AF16" s="235">
        <f t="shared" ca="1" si="54"/>
        <v>0</v>
      </c>
      <c r="AG16" s="232">
        <f t="shared" ca="1" si="55"/>
        <v>62802.274299021192</v>
      </c>
      <c r="AH16" s="236">
        <f ca="1">+SUM(AG16:AG$124)</f>
        <v>738813.93407435168</v>
      </c>
      <c r="AI16" s="237">
        <f t="shared" ca="1" si="56"/>
        <v>0.93161178145583423</v>
      </c>
      <c r="AJ16" s="238">
        <f ca="1">+SUM(AB16:AB$124)*SS50J</f>
        <v>0</v>
      </c>
      <c r="AK16" s="209">
        <f t="shared" ca="1" si="83"/>
        <v>68652.855342955765</v>
      </c>
      <c r="AL16" s="257">
        <f t="shared" ca="1" si="57"/>
        <v>2.7481900000000005E-7</v>
      </c>
      <c r="AM16" s="131">
        <f t="shared" ca="1" si="84"/>
        <v>62806.607843042242</v>
      </c>
      <c r="AN16" s="129">
        <f t="shared" ca="1" si="85"/>
        <v>1.7069485641967058E-2</v>
      </c>
      <c r="AO16" s="129">
        <f ca="1">SUM(AN16:AN$124)*SSa</f>
        <v>0.31327995605045456</v>
      </c>
      <c r="AP16" s="70">
        <f t="shared" ca="1" si="86"/>
        <v>68652.855342955765</v>
      </c>
      <c r="AQ16" s="2">
        <f t="shared" ca="1" si="58"/>
        <v>0</v>
      </c>
      <c r="AR16" s="127">
        <f t="shared" ca="1" si="87"/>
        <v>0</v>
      </c>
      <c r="AS16" s="127">
        <f ca="1">SUM(AR16:AR$124)*SSb</f>
        <v>0</v>
      </c>
      <c r="AT16" s="70">
        <f t="shared" ca="1" si="88"/>
        <v>68652.855342955765</v>
      </c>
      <c r="AU16" s="2">
        <f t="shared" ca="1" si="59"/>
        <v>0</v>
      </c>
      <c r="AV16" s="268">
        <f t="shared" ca="1" si="89"/>
        <v>0</v>
      </c>
      <c r="AW16" s="131">
        <f ca="1">SUM(AV16:AV$124)*SSc</f>
        <v>0</v>
      </c>
      <c r="AX16" s="70">
        <f t="shared" ca="1" si="90"/>
        <v>68652.855342955765</v>
      </c>
      <c r="AY16" s="2">
        <f t="shared" ca="1" si="60"/>
        <v>0</v>
      </c>
      <c r="AZ16" s="268">
        <f t="shared" ca="1" si="91"/>
        <v>0</v>
      </c>
      <c r="BA16" s="129">
        <f ca="1">SUM(AZ16:AZ$124)*SSd</f>
        <v>0</v>
      </c>
      <c r="BB16" s="70">
        <f t="shared" ca="1" si="92"/>
        <v>68652.855342955765</v>
      </c>
      <c r="BC16" s="257">
        <f t="shared" ca="1" si="61"/>
        <v>0</v>
      </c>
      <c r="BD16" s="268">
        <f t="shared" ca="1" si="93"/>
        <v>0</v>
      </c>
      <c r="BE16" s="131">
        <f ca="1">SUM(BD16:BD$124)*SSe</f>
        <v>0</v>
      </c>
      <c r="BF16" s="70">
        <f t="shared" ca="1" si="94"/>
        <v>68652.855342955765</v>
      </c>
      <c r="BG16" s="2">
        <f t="shared" ca="1" si="62"/>
        <v>0</v>
      </c>
      <c r="BH16" s="131">
        <f t="shared" ca="1" si="95"/>
        <v>0</v>
      </c>
      <c r="BI16" s="2">
        <f ca="1">SUM(BH16:BH$124)*SSf</f>
        <v>0</v>
      </c>
      <c r="BJ16" s="70">
        <f t="shared" ca="1" si="96"/>
        <v>68652.855342955765</v>
      </c>
      <c r="BK16" s="2">
        <f t="shared" ca="1" si="63"/>
        <v>0</v>
      </c>
      <c r="BL16" s="131">
        <f t="shared" ca="1" si="97"/>
        <v>0</v>
      </c>
      <c r="BM16" s="131">
        <f ca="1">SUM(BL16:BL$124)*SSg</f>
        <v>0</v>
      </c>
      <c r="BN16" s="70">
        <f t="shared" ca="1" si="98"/>
        <v>68652.855342955765</v>
      </c>
      <c r="BO16" s="2">
        <f t="shared" ca="1" si="64"/>
        <v>0</v>
      </c>
      <c r="BP16" s="131">
        <f t="shared" ca="1" si="99"/>
        <v>0</v>
      </c>
      <c r="BQ16" s="131">
        <f ca="1">SUM(BP16:BP$124)*SSh</f>
        <v>0</v>
      </c>
      <c r="BR16" s="70">
        <f t="shared" ca="1" si="100"/>
        <v>68652.855342955765</v>
      </c>
      <c r="BS16" s="2">
        <f t="shared" ca="1" si="65"/>
        <v>0</v>
      </c>
      <c r="BT16" s="131">
        <f t="shared" ca="1" si="101"/>
        <v>0</v>
      </c>
      <c r="BU16" s="131">
        <f ca="1">SUM(BT16:BT$124)*SSi</f>
        <v>0</v>
      </c>
      <c r="BV16" s="70">
        <f t="shared" ca="1" si="102"/>
        <v>68652.855342955765</v>
      </c>
      <c r="BW16" s="2">
        <f t="shared" ca="1" si="66"/>
        <v>0</v>
      </c>
      <c r="BX16" s="131">
        <f t="shared" ca="1" si="103"/>
        <v>0</v>
      </c>
      <c r="BY16" s="131">
        <f ca="1">SUM(BX16:BX$124)*SSj</f>
        <v>0</v>
      </c>
      <c r="BZ16" s="70">
        <f t="shared" ca="1" si="104"/>
        <v>68652.855342955765</v>
      </c>
      <c r="CA16" s="2">
        <f t="shared" ca="1" si="67"/>
        <v>0</v>
      </c>
      <c r="CB16" s="131">
        <f t="shared" ca="1" si="105"/>
        <v>0</v>
      </c>
      <c r="CC16" s="131">
        <f ca="1">SUM(CB16:CB$124)*SSk</f>
        <v>0</v>
      </c>
      <c r="CD16" s="8">
        <f t="shared" ca="1" si="106"/>
        <v>68652.855342955765</v>
      </c>
      <c r="CE16" s="2">
        <f t="shared" ca="1" si="68"/>
        <v>0</v>
      </c>
      <c r="CF16" s="131">
        <f t="shared" ca="1" si="107"/>
        <v>0</v>
      </c>
      <c r="CG16" s="131">
        <f ca="1">SUM(CF16:CF$124)*SSl</f>
        <v>0</v>
      </c>
      <c r="CH16" s="155">
        <f t="shared" si="108"/>
        <v>0</v>
      </c>
      <c r="CI16" s="155">
        <f t="shared" ca="1" si="109"/>
        <v>0</v>
      </c>
      <c r="CJ16" s="155">
        <f t="shared" ca="1" si="110"/>
        <v>0</v>
      </c>
      <c r="CK16" s="155">
        <f ca="1">유해지!CY16</f>
        <v>0.48499999999999999</v>
      </c>
      <c r="CL16" s="529">
        <f t="shared" si="69"/>
        <v>0</v>
      </c>
      <c r="CM16" s="155">
        <f t="shared" ca="1" si="111"/>
        <v>0</v>
      </c>
      <c r="CN16" s="155">
        <f ca="1">SUM(CM16:$CM$125)</f>
        <v>8359.7409108504035</v>
      </c>
      <c r="CO16" s="101">
        <f t="shared" ca="1" si="112"/>
        <v>0.31327995605045456</v>
      </c>
      <c r="CP16" s="154">
        <f t="shared" ca="1" si="70"/>
        <v>0.29113753572373857</v>
      </c>
      <c r="CQ16" s="154">
        <f t="shared" ca="1" si="71"/>
        <v>8359.7409108504035</v>
      </c>
      <c r="CR16" s="239">
        <f t="shared" ca="1" si="72"/>
        <v>62802.274299021228</v>
      </c>
      <c r="CS16" s="32">
        <f t="shared" ca="1" si="73"/>
        <v>62168.447277291009</v>
      </c>
      <c r="CT16" s="32">
        <f t="shared" ca="1" si="74"/>
        <v>62806.607843042118</v>
      </c>
      <c r="CU16" s="32">
        <f t="shared" ca="1" si="75"/>
        <v>34020.245914981148</v>
      </c>
      <c r="CV16" s="239">
        <f t="shared" ca="1" si="76"/>
        <v>648681.85939101095</v>
      </c>
      <c r="CW16" s="32">
        <f t="shared" ca="1" si="77"/>
        <v>0.21563719448128715</v>
      </c>
      <c r="CX16" s="259">
        <f>IF(R16&lt;m,0,ROUND(IF($R16&gt;nB,0,GPB*mB*mmB*유해지!CY16),roundB))</f>
        <v>0</v>
      </c>
      <c r="CY16" s="262">
        <f t="shared" si="78"/>
        <v>0</v>
      </c>
      <c r="CZ16" s="259">
        <f t="shared" ca="1" si="79"/>
        <v>1.6322054456211835E-5</v>
      </c>
      <c r="DA16" s="240">
        <f t="shared" si="80"/>
        <v>5</v>
      </c>
    </row>
    <row r="17" spans="2:105">
      <c r="B17" s="106" t="s">
        <v>29</v>
      </c>
      <c r="C17" s="118">
        <f ca="1">LEN(SB)-1</f>
        <v>7</v>
      </c>
      <c r="D17" s="44"/>
      <c r="F17" s="21"/>
      <c r="J17" s="241"/>
      <c r="L17" s="309"/>
      <c r="M17" s="242"/>
      <c r="N17" s="5">
        <f t="shared" si="113"/>
        <v>5</v>
      </c>
      <c r="O17" s="2">
        <f t="shared" ca="1" si="44"/>
        <v>0.89471231809473661</v>
      </c>
      <c r="P17" s="2">
        <f t="shared" ca="1" si="45"/>
        <v>0.88481353672294882</v>
      </c>
      <c r="Q17" s="91"/>
      <c r="R17" s="20">
        <f t="shared" si="114"/>
        <v>5</v>
      </c>
      <c r="S17" s="20">
        <f t="shared" si="46"/>
        <v>13</v>
      </c>
      <c r="T17" s="2">
        <f t="shared" ca="1" si="47"/>
        <v>0</v>
      </c>
      <c r="U17" s="2">
        <f t="shared" ca="1" si="47"/>
        <v>1.4999999999999999E-5</v>
      </c>
      <c r="V17" s="300">
        <f t="shared" si="48"/>
        <v>0.215</v>
      </c>
      <c r="W17" s="8">
        <f t="shared" ca="1" si="49"/>
        <v>68652.836475846707</v>
      </c>
      <c r="X17" s="10">
        <f t="shared" ca="1" si="50"/>
        <v>0.21499999999999997</v>
      </c>
      <c r="Y17" s="92">
        <f t="shared" ca="1" si="51"/>
        <v>2.9835399995015166E-7</v>
      </c>
      <c r="Z17" s="8">
        <f t="shared" ca="1" si="81"/>
        <v>61424.538467083694</v>
      </c>
      <c r="AA17" s="8">
        <f ca="1">+SUM(Z17:Z$124)</f>
        <v>676237.56452748959</v>
      </c>
      <c r="AB17" s="8">
        <f t="shared" ca="1" si="52"/>
        <v>13060.166195375079</v>
      </c>
      <c r="AC17" s="209">
        <f ca="1">+SUM(AB17:AB$124)*SSSM</f>
        <v>0</v>
      </c>
      <c r="AD17" s="209">
        <f t="shared" ca="1" si="82"/>
        <v>68647.069830974579</v>
      </c>
      <c r="AE17" s="92">
        <f t="shared" ca="1" si="53"/>
        <v>1.4999999999987246E-5</v>
      </c>
      <c r="AF17" s="92">
        <f t="shared" ca="1" si="54"/>
        <v>0</v>
      </c>
      <c r="AG17" s="8">
        <f t="shared" ca="1" si="55"/>
        <v>61419.378978882523</v>
      </c>
      <c r="AH17" s="5">
        <f ca="1">+SUM(AG17:AG$124)</f>
        <v>676011.65977533045</v>
      </c>
      <c r="AI17" s="70">
        <f t="shared" ca="1" si="56"/>
        <v>0.91109784964140317</v>
      </c>
      <c r="AJ17" s="208">
        <f ca="1">+SUM(AB17:AB$124)*SS50J</f>
        <v>0</v>
      </c>
      <c r="AK17" s="209">
        <f t="shared" ca="1" si="83"/>
        <v>68652.836475846707</v>
      </c>
      <c r="AL17" s="257">
        <f t="shared" ca="1" si="57"/>
        <v>2.9835399999999997E-7</v>
      </c>
      <c r="AM17" s="131">
        <f t="shared" ca="1" si="84"/>
        <v>61424.538467083694</v>
      </c>
      <c r="AN17" s="129">
        <f t="shared" ca="1" si="85"/>
        <v>1.6175225099355955E-2</v>
      </c>
      <c r="AO17" s="129">
        <f ca="1">SUM(AN17:AN$124)*SSa</f>
        <v>0.29621047040848747</v>
      </c>
      <c r="AP17" s="70">
        <f t="shared" ca="1" si="86"/>
        <v>68652.836475846707</v>
      </c>
      <c r="AQ17" s="2">
        <f t="shared" ca="1" si="58"/>
        <v>0</v>
      </c>
      <c r="AR17" s="127">
        <f t="shared" ca="1" si="87"/>
        <v>0</v>
      </c>
      <c r="AS17" s="127">
        <f ca="1">SUM(AR17:AR$124)*SSb</f>
        <v>0</v>
      </c>
      <c r="AT17" s="70">
        <f t="shared" ca="1" si="88"/>
        <v>68652.836475846707</v>
      </c>
      <c r="AU17" s="2">
        <f t="shared" ca="1" si="59"/>
        <v>0</v>
      </c>
      <c r="AV17" s="268">
        <f t="shared" ca="1" si="89"/>
        <v>0</v>
      </c>
      <c r="AW17" s="131">
        <f ca="1">SUM(AV17:AV$124)*SSc</f>
        <v>0</v>
      </c>
      <c r="AX17" s="70">
        <f t="shared" ca="1" si="90"/>
        <v>68652.836475846707</v>
      </c>
      <c r="AY17" s="2">
        <f t="shared" ca="1" si="60"/>
        <v>0</v>
      </c>
      <c r="AZ17" s="268">
        <f t="shared" ca="1" si="91"/>
        <v>0</v>
      </c>
      <c r="BA17" s="129">
        <f ca="1">SUM(AZ17:AZ$124)*SSd</f>
        <v>0</v>
      </c>
      <c r="BB17" s="70">
        <f t="shared" ca="1" si="92"/>
        <v>68652.836475846707</v>
      </c>
      <c r="BC17" s="257">
        <f t="shared" ca="1" si="61"/>
        <v>0</v>
      </c>
      <c r="BD17" s="268">
        <f t="shared" ca="1" si="93"/>
        <v>0</v>
      </c>
      <c r="BE17" s="131">
        <f ca="1">SUM(BD17:BD$124)*SSe</f>
        <v>0</v>
      </c>
      <c r="BF17" s="70">
        <f t="shared" ca="1" si="94"/>
        <v>68652.836475846707</v>
      </c>
      <c r="BG17" s="2">
        <f t="shared" ca="1" si="62"/>
        <v>0</v>
      </c>
      <c r="BH17" s="131">
        <f t="shared" ca="1" si="95"/>
        <v>0</v>
      </c>
      <c r="BI17" s="2">
        <f ca="1">SUM(BH17:BH$124)*SSf</f>
        <v>0</v>
      </c>
      <c r="BJ17" s="70">
        <f t="shared" ca="1" si="96"/>
        <v>68652.836475846707</v>
      </c>
      <c r="BK17" s="2">
        <f t="shared" ca="1" si="63"/>
        <v>0</v>
      </c>
      <c r="BL17" s="131">
        <f t="shared" ca="1" si="97"/>
        <v>0</v>
      </c>
      <c r="BM17" s="131">
        <f ca="1">SUM(BL17:BL$124)*SSg</f>
        <v>0</v>
      </c>
      <c r="BN17" s="70">
        <f t="shared" ca="1" si="98"/>
        <v>68652.836475846707</v>
      </c>
      <c r="BO17" s="2">
        <f t="shared" ca="1" si="64"/>
        <v>0</v>
      </c>
      <c r="BP17" s="131">
        <f t="shared" ca="1" si="99"/>
        <v>0</v>
      </c>
      <c r="BQ17" s="131">
        <f ca="1">SUM(BP17:BP$124)*SSh</f>
        <v>0</v>
      </c>
      <c r="BR17" s="70">
        <f t="shared" ca="1" si="100"/>
        <v>68652.836475846707</v>
      </c>
      <c r="BS17" s="2">
        <f t="shared" ca="1" si="65"/>
        <v>0</v>
      </c>
      <c r="BT17" s="131">
        <f t="shared" ca="1" si="101"/>
        <v>0</v>
      </c>
      <c r="BU17" s="131">
        <f ca="1">SUM(BT17:BT$124)*SSi</f>
        <v>0</v>
      </c>
      <c r="BV17" s="70">
        <f t="shared" ca="1" si="102"/>
        <v>68652.836475846707</v>
      </c>
      <c r="BW17" s="2">
        <f t="shared" ca="1" si="66"/>
        <v>0</v>
      </c>
      <c r="BX17" s="131">
        <f t="shared" ca="1" si="103"/>
        <v>0</v>
      </c>
      <c r="BY17" s="131">
        <f ca="1">SUM(BX17:BX$124)*SSj</f>
        <v>0</v>
      </c>
      <c r="BZ17" s="70">
        <f t="shared" ca="1" si="104"/>
        <v>68652.836475846707</v>
      </c>
      <c r="CA17" s="2">
        <f t="shared" ca="1" si="67"/>
        <v>0</v>
      </c>
      <c r="CB17" s="131">
        <f t="shared" ca="1" si="105"/>
        <v>0</v>
      </c>
      <c r="CC17" s="131">
        <f ca="1">SUM(CB17:CB$124)*SSk</f>
        <v>0</v>
      </c>
      <c r="CD17" s="8">
        <f t="shared" ca="1" si="106"/>
        <v>68652.836475846707</v>
      </c>
      <c r="CE17" s="2">
        <f t="shared" ca="1" si="68"/>
        <v>0</v>
      </c>
      <c r="CF17" s="131">
        <f t="shared" ca="1" si="107"/>
        <v>0</v>
      </c>
      <c r="CG17" s="131">
        <f ca="1">SUM(CF17:CF$124)*SSl</f>
        <v>0</v>
      </c>
      <c r="CH17" s="155">
        <f t="shared" si="108"/>
        <v>0.215</v>
      </c>
      <c r="CI17" s="155">
        <f t="shared" ca="1" si="109"/>
        <v>14760.359842307042</v>
      </c>
      <c r="CJ17" s="155">
        <f t="shared" ca="1" si="110"/>
        <v>13060.166195375081</v>
      </c>
      <c r="CK17" s="155">
        <f ca="1">유해지!CY17</f>
        <v>0.49</v>
      </c>
      <c r="CL17" s="529">
        <f t="shared" ca="1" si="69"/>
        <v>0.47949999999999998</v>
      </c>
      <c r="CM17" s="155">
        <f t="shared" ca="1" si="111"/>
        <v>6262.3496906823511</v>
      </c>
      <c r="CN17" s="155">
        <f ca="1">SUM(CM17:$CM$125)</f>
        <v>8359.7409108504035</v>
      </c>
      <c r="CO17" s="101">
        <f t="shared" ca="1" si="112"/>
        <v>0.29621047040848747</v>
      </c>
      <c r="CP17" s="154">
        <f t="shared" ca="1" si="70"/>
        <v>0.27406805008177149</v>
      </c>
      <c r="CQ17" s="154">
        <f t="shared" ca="1" si="71"/>
        <v>8359.7409108504035</v>
      </c>
      <c r="CR17" s="32">
        <f t="shared" ca="1" si="72"/>
        <v>0</v>
      </c>
      <c r="CS17" s="32">
        <f t="shared" ca="1" si="73"/>
        <v>0</v>
      </c>
      <c r="CT17" s="32">
        <f t="shared" ca="1" si="74"/>
        <v>0</v>
      </c>
      <c r="CU17" s="32">
        <f t="shared" ca="1" si="75"/>
        <v>0</v>
      </c>
      <c r="CV17" s="32">
        <f t="shared" ca="1" si="76"/>
        <v>648681.85939101095</v>
      </c>
      <c r="CW17" s="32">
        <f t="shared" ca="1" si="77"/>
        <v>0</v>
      </c>
      <c r="CX17" s="259">
        <f ca="1">IF(R17&lt;m,0,ROUND(IF($R17&gt;nB,0,GPB*mB*mmB*유해지!CY17),roundB))</f>
        <v>1.7600000000000001E-5</v>
      </c>
      <c r="CY17" s="262">
        <f t="shared" ca="1" si="78"/>
        <v>1.7600000000000001E-5</v>
      </c>
      <c r="CZ17" s="259">
        <f t="shared" ca="1" si="79"/>
        <v>1.9922015090421171E-5</v>
      </c>
      <c r="DA17" s="31">
        <f t="shared" si="80"/>
        <v>5</v>
      </c>
    </row>
    <row r="18" spans="2:105">
      <c r="F18" s="16"/>
      <c r="G18" s="13" t="s">
        <v>76</v>
      </c>
      <c r="I18" s="16"/>
      <c r="K18" s="16"/>
      <c r="M18" s="242"/>
      <c r="N18" s="5">
        <f t="shared" si="113"/>
        <v>6</v>
      </c>
      <c r="O18" s="2">
        <f t="shared" ca="1" si="44"/>
        <v>0.87502427197529253</v>
      </c>
      <c r="P18" s="2">
        <f t="shared" ca="1" si="45"/>
        <v>0.86534331219848315</v>
      </c>
      <c r="Q18" s="91"/>
      <c r="R18" s="20">
        <f t="shared" si="114"/>
        <v>6</v>
      </c>
      <c r="S18" s="20">
        <f t="shared" si="46"/>
        <v>14</v>
      </c>
      <c r="T18" s="2">
        <f t="shared" ca="1" si="47"/>
        <v>0</v>
      </c>
      <c r="U18" s="2">
        <f t="shared" ca="1" si="47"/>
        <v>1.4000000000000001E-5</v>
      </c>
      <c r="V18" s="300">
        <f t="shared" si="48"/>
        <v>3.2000000000000001E-2</v>
      </c>
      <c r="W18" s="8">
        <f t="shared" ca="1" si="49"/>
        <v>53892.46055450369</v>
      </c>
      <c r="X18" s="10">
        <f t="shared" ca="1" si="50"/>
        <v>3.2000000000000028E-2</v>
      </c>
      <c r="Y18" s="92">
        <f t="shared" ca="1" si="51"/>
        <v>3.2724800003158805E-7</v>
      </c>
      <c r="Z18" s="8">
        <f t="shared" ca="1" si="81"/>
        <v>47157.211061661765</v>
      </c>
      <c r="AA18" s="8">
        <f ca="1">+SUM(Z18:Z$124)</f>
        <v>614813.02606040589</v>
      </c>
      <c r="AB18" s="8">
        <f t="shared" ca="1" si="52"/>
        <v>1492.3353702003317</v>
      </c>
      <c r="AC18" s="209">
        <f ca="1">+SUM(AB18:AB$124)*SSSM</f>
        <v>0</v>
      </c>
      <c r="AD18" s="209">
        <f t="shared" ca="1" si="82"/>
        <v>53887.125420623583</v>
      </c>
      <c r="AE18" s="92">
        <f t="shared" ca="1" si="53"/>
        <v>1.399999999995849E-5</v>
      </c>
      <c r="AF18" s="92">
        <f t="shared" ca="1" si="54"/>
        <v>0</v>
      </c>
      <c r="AG18" s="8">
        <f t="shared" ca="1" si="55"/>
        <v>47152.542690022427</v>
      </c>
      <c r="AH18" s="5">
        <f ca="1">+SUM(AG18:AG$124)</f>
        <v>614592.28079644789</v>
      </c>
      <c r="AI18" s="70">
        <f t="shared" ca="1" si="56"/>
        <v>0.65283209034678924</v>
      </c>
      <c r="AJ18" s="208">
        <f ca="1">+SUM(AB18:AB$124)*SS50J</f>
        <v>0</v>
      </c>
      <c r="AK18" s="209">
        <f t="shared" ca="1" si="83"/>
        <v>53892.46055450369</v>
      </c>
      <c r="AL18" s="257">
        <f t="shared" ca="1" si="57"/>
        <v>3.2724800000000002E-7</v>
      </c>
      <c r="AM18" s="131">
        <f t="shared" ca="1" si="84"/>
        <v>47157.211061661765</v>
      </c>
      <c r="AN18" s="129">
        <f t="shared" ca="1" si="85"/>
        <v>1.5017185780740022E-2</v>
      </c>
      <c r="AO18" s="129">
        <f ca="1">SUM(AN18:AN$124)*SSa</f>
        <v>0.28003524530913154</v>
      </c>
      <c r="AP18" s="70">
        <f t="shared" ca="1" si="86"/>
        <v>53892.46055450369</v>
      </c>
      <c r="AQ18" s="2">
        <f t="shared" ca="1" si="58"/>
        <v>0</v>
      </c>
      <c r="AR18" s="127">
        <f t="shared" ca="1" si="87"/>
        <v>0</v>
      </c>
      <c r="AS18" s="127">
        <f ca="1">SUM(AR18:AR$124)*SSb</f>
        <v>0</v>
      </c>
      <c r="AT18" s="70">
        <f t="shared" ca="1" si="88"/>
        <v>53892.46055450369</v>
      </c>
      <c r="AU18" s="2">
        <f t="shared" ca="1" si="59"/>
        <v>0</v>
      </c>
      <c r="AV18" s="268">
        <f t="shared" ca="1" si="89"/>
        <v>0</v>
      </c>
      <c r="AW18" s="131">
        <f ca="1">SUM(AV18:AV$124)*SSc</f>
        <v>0</v>
      </c>
      <c r="AX18" s="70">
        <f t="shared" ca="1" si="90"/>
        <v>53892.46055450369</v>
      </c>
      <c r="AY18" s="2">
        <f t="shared" ca="1" si="60"/>
        <v>0</v>
      </c>
      <c r="AZ18" s="268">
        <f t="shared" ca="1" si="91"/>
        <v>0</v>
      </c>
      <c r="BA18" s="129">
        <f ca="1">SUM(AZ18:AZ$124)*SSd</f>
        <v>0</v>
      </c>
      <c r="BB18" s="70">
        <f t="shared" ca="1" si="92"/>
        <v>53892.46055450369</v>
      </c>
      <c r="BC18" s="257">
        <f t="shared" ca="1" si="61"/>
        <v>0</v>
      </c>
      <c r="BD18" s="268">
        <f t="shared" ca="1" si="93"/>
        <v>0</v>
      </c>
      <c r="BE18" s="131">
        <f ca="1">SUM(BD18:BD$124)*SSe</f>
        <v>0</v>
      </c>
      <c r="BF18" s="70">
        <f t="shared" ca="1" si="94"/>
        <v>53892.46055450369</v>
      </c>
      <c r="BG18" s="2">
        <f t="shared" ca="1" si="62"/>
        <v>0</v>
      </c>
      <c r="BH18" s="131">
        <f t="shared" ca="1" si="95"/>
        <v>0</v>
      </c>
      <c r="BI18" s="2">
        <f ca="1">SUM(BH18:BH$124)*SSf</f>
        <v>0</v>
      </c>
      <c r="BJ18" s="70">
        <f t="shared" ca="1" si="96"/>
        <v>53892.46055450369</v>
      </c>
      <c r="BK18" s="2">
        <f t="shared" ca="1" si="63"/>
        <v>0</v>
      </c>
      <c r="BL18" s="131">
        <f t="shared" ca="1" si="97"/>
        <v>0</v>
      </c>
      <c r="BM18" s="131">
        <f ca="1">SUM(BL18:BL$124)*SSg</f>
        <v>0</v>
      </c>
      <c r="BN18" s="70">
        <f t="shared" ca="1" si="98"/>
        <v>53892.46055450369</v>
      </c>
      <c r="BO18" s="2">
        <f t="shared" ca="1" si="64"/>
        <v>0</v>
      </c>
      <c r="BP18" s="131">
        <f t="shared" ca="1" si="99"/>
        <v>0</v>
      </c>
      <c r="BQ18" s="131">
        <f ca="1">SUM(BP18:BP$124)*SSh</f>
        <v>0</v>
      </c>
      <c r="BR18" s="70">
        <f t="shared" ca="1" si="100"/>
        <v>53892.46055450369</v>
      </c>
      <c r="BS18" s="2">
        <f t="shared" ca="1" si="65"/>
        <v>0</v>
      </c>
      <c r="BT18" s="131">
        <f t="shared" ca="1" si="101"/>
        <v>0</v>
      </c>
      <c r="BU18" s="131">
        <f ca="1">SUM(BT18:BT$124)*SSi</f>
        <v>0</v>
      </c>
      <c r="BV18" s="70">
        <f t="shared" ca="1" si="102"/>
        <v>53892.46055450369</v>
      </c>
      <c r="BW18" s="2">
        <f t="shared" ca="1" si="66"/>
        <v>0</v>
      </c>
      <c r="BX18" s="131">
        <f t="shared" ca="1" si="103"/>
        <v>0</v>
      </c>
      <c r="BY18" s="131">
        <f ca="1">SUM(BX18:BX$124)*SSj</f>
        <v>0</v>
      </c>
      <c r="BZ18" s="70">
        <f t="shared" ca="1" si="104"/>
        <v>53892.46055450369</v>
      </c>
      <c r="CA18" s="2">
        <f t="shared" ca="1" si="67"/>
        <v>0</v>
      </c>
      <c r="CB18" s="131">
        <f t="shared" ca="1" si="105"/>
        <v>0</v>
      </c>
      <c r="CC18" s="131">
        <f ca="1">SUM(CB18:CB$124)*SSk</f>
        <v>0</v>
      </c>
      <c r="CD18" s="8">
        <f t="shared" ca="1" si="106"/>
        <v>53892.46055450369</v>
      </c>
      <c r="CE18" s="2">
        <f t="shared" ca="1" si="68"/>
        <v>0</v>
      </c>
      <c r="CF18" s="131">
        <f t="shared" ca="1" si="107"/>
        <v>0</v>
      </c>
      <c r="CG18" s="131">
        <f ca="1">SUM(CF18:CF$124)*SSl</f>
        <v>0</v>
      </c>
      <c r="CH18" s="155">
        <f t="shared" si="108"/>
        <v>3.2000000000000001E-2</v>
      </c>
      <c r="CI18" s="155">
        <f t="shared" ca="1" si="109"/>
        <v>1724.5587377441182</v>
      </c>
      <c r="CJ18" s="155">
        <f t="shared" ca="1" si="110"/>
        <v>1492.3353702003305</v>
      </c>
      <c r="CK18" s="155">
        <f ca="1">유해지!CY18</f>
        <v>0.46899999999999997</v>
      </c>
      <c r="CL18" s="529">
        <f t="shared" ca="1" si="69"/>
        <v>0.45799999999999996</v>
      </c>
      <c r="CM18" s="155">
        <f t="shared" ca="1" si="111"/>
        <v>683.48959955175133</v>
      </c>
      <c r="CN18" s="155">
        <f ca="1">SUM(CM18:$CM$125)</f>
        <v>2097.3912201680505</v>
      </c>
      <c r="CO18" s="101">
        <f t="shared" ca="1" si="112"/>
        <v>0.28003524530913154</v>
      </c>
      <c r="CP18" s="154">
        <f t="shared" ca="1" si="70"/>
        <v>0.25789282498241556</v>
      </c>
      <c r="CQ18" s="154">
        <f t="shared" ca="1" si="71"/>
        <v>2097.3912201680505</v>
      </c>
      <c r="CR18" s="32">
        <f t="shared" ca="1" si="72"/>
        <v>0</v>
      </c>
      <c r="CS18" s="32">
        <f t="shared" ca="1" si="73"/>
        <v>0</v>
      </c>
      <c r="CT18" s="32">
        <f t="shared" ca="1" si="74"/>
        <v>0</v>
      </c>
      <c r="CU18" s="32">
        <f t="shared" ca="1" si="75"/>
        <v>0</v>
      </c>
      <c r="CV18" s="32">
        <f t="shared" ca="1" si="76"/>
        <v>587257.32092392724</v>
      </c>
      <c r="CW18" s="32">
        <f t="shared" ca="1" si="77"/>
        <v>0</v>
      </c>
      <c r="CX18" s="259">
        <f ca="1">IF(R18&lt;m,0,ROUND(IF($R18&gt;nB,0,GPB*mB*mmB*유해지!CY18),roundB))</f>
        <v>1.6900000000000001E-5</v>
      </c>
      <c r="CY18" s="262">
        <f t="shared" ca="1" si="78"/>
        <v>1.6900000000000001E-5</v>
      </c>
      <c r="CZ18" s="259">
        <f t="shared" ca="1" si="79"/>
        <v>1.9523127197419758E-5</v>
      </c>
      <c r="DA18" s="31">
        <f t="shared" si="80"/>
        <v>5</v>
      </c>
    </row>
    <row r="19" spans="2:105">
      <c r="C19" s="44"/>
      <c r="D19" s="44"/>
      <c r="F19" s="16"/>
      <c r="G19" s="18"/>
      <c r="H19" s="66" t="s">
        <v>540</v>
      </c>
      <c r="I19" s="66"/>
      <c r="J19" s="66"/>
      <c r="K19" s="66" t="s">
        <v>70</v>
      </c>
      <c r="L19" s="310"/>
      <c r="M19" s="242"/>
      <c r="N19" s="5">
        <f t="shared" si="113"/>
        <v>7</v>
      </c>
      <c r="O19" s="2">
        <f t="shared" ca="1" si="44"/>
        <v>0.8557694591445405</v>
      </c>
      <c r="P19" s="2">
        <f t="shared" ca="1" si="45"/>
        <v>0.84630152782247736</v>
      </c>
      <c r="Q19" s="91"/>
      <c r="R19" s="20">
        <f t="shared" si="114"/>
        <v>7</v>
      </c>
      <c r="S19" s="20">
        <f t="shared" si="46"/>
        <v>15</v>
      </c>
      <c r="T19" s="2">
        <f t="shared" ca="1" si="47"/>
        <v>0</v>
      </c>
      <c r="U19" s="2">
        <f t="shared" ca="1" si="47"/>
        <v>3.3000000000000003E-5</v>
      </c>
      <c r="V19" s="300">
        <f t="shared" si="48"/>
        <v>0.01</v>
      </c>
      <c r="W19" s="8">
        <f t="shared" ca="1" si="49"/>
        <v>52167.884744918039</v>
      </c>
      <c r="X19" s="10">
        <f t="shared" ca="1" si="50"/>
        <v>1.0000000000000009E-2</v>
      </c>
      <c r="Y19" s="92">
        <f t="shared" ca="1" si="51"/>
        <v>3.4194599995984731E-7</v>
      </c>
      <c r="Z19" s="8">
        <f t="shared" ca="1" si="81"/>
        <v>44643.682512873238</v>
      </c>
      <c r="AA19" s="8">
        <f ca="1">+SUM(Z19:Z$124)</f>
        <v>567655.81499874406</v>
      </c>
      <c r="AB19" s="8">
        <f t="shared" ca="1" si="52"/>
        <v>441.49760562891083</v>
      </c>
      <c r="AC19" s="209">
        <f ca="1">+SUM(AB19:AB$124)*SSSM</f>
        <v>0</v>
      </c>
      <c r="AD19" s="209">
        <f t="shared" ca="1" si="82"/>
        <v>52161.990058927418</v>
      </c>
      <c r="AE19" s="92">
        <f t="shared" ca="1" si="53"/>
        <v>3.2999999999949736E-5</v>
      </c>
      <c r="AF19" s="92">
        <f t="shared" ca="1" si="54"/>
        <v>0</v>
      </c>
      <c r="AG19" s="8">
        <f t="shared" ca="1" si="55"/>
        <v>44638.638020631217</v>
      </c>
      <c r="AH19" s="5">
        <f ca="1">+SUM(AG19:AG$124)</f>
        <v>567439.7381064255</v>
      </c>
      <c r="AI19" s="70">
        <f t="shared" ca="1" si="56"/>
        <v>1.456777472075109</v>
      </c>
      <c r="AJ19" s="208">
        <f ca="1">+SUM(AB19:AB$124)*SS50J</f>
        <v>0</v>
      </c>
      <c r="AK19" s="209">
        <f t="shared" ca="1" si="83"/>
        <v>52167.884744918039</v>
      </c>
      <c r="AL19" s="257">
        <f t="shared" ca="1" si="57"/>
        <v>3.4194600000000001E-7</v>
      </c>
      <c r="AM19" s="131">
        <f t="shared" ca="1" si="84"/>
        <v>44643.682512873238</v>
      </c>
      <c r="AN19" s="129">
        <f t="shared" ca="1" si="85"/>
        <v>1.5021349855311152E-2</v>
      </c>
      <c r="AO19" s="129">
        <f ca="1">SUM(AN19:AN$124)*SSa</f>
        <v>0.26501805952839147</v>
      </c>
      <c r="AP19" s="70">
        <f t="shared" ca="1" si="86"/>
        <v>52167.884744918039</v>
      </c>
      <c r="AQ19" s="2">
        <f t="shared" ca="1" si="58"/>
        <v>0</v>
      </c>
      <c r="AR19" s="127">
        <f t="shared" ca="1" si="87"/>
        <v>0</v>
      </c>
      <c r="AS19" s="127">
        <f ca="1">SUM(AR19:AR$124)*SSb</f>
        <v>0</v>
      </c>
      <c r="AT19" s="70">
        <f t="shared" ca="1" si="88"/>
        <v>52167.884744918039</v>
      </c>
      <c r="AU19" s="2">
        <f t="shared" ca="1" si="59"/>
        <v>0</v>
      </c>
      <c r="AV19" s="268">
        <f t="shared" ca="1" si="89"/>
        <v>0</v>
      </c>
      <c r="AW19" s="131">
        <f ca="1">SUM(AV19:AV$124)*SSc</f>
        <v>0</v>
      </c>
      <c r="AX19" s="70">
        <f t="shared" ca="1" si="90"/>
        <v>52167.884744918039</v>
      </c>
      <c r="AY19" s="2">
        <f t="shared" ca="1" si="60"/>
        <v>0</v>
      </c>
      <c r="AZ19" s="268">
        <f t="shared" ca="1" si="91"/>
        <v>0</v>
      </c>
      <c r="BA19" s="129">
        <f ca="1">SUM(AZ19:AZ$124)*SSd</f>
        <v>0</v>
      </c>
      <c r="BB19" s="70">
        <f t="shared" ca="1" si="92"/>
        <v>52167.884744918039</v>
      </c>
      <c r="BC19" s="257">
        <f t="shared" ca="1" si="61"/>
        <v>0</v>
      </c>
      <c r="BD19" s="268">
        <f t="shared" ca="1" si="93"/>
        <v>0</v>
      </c>
      <c r="BE19" s="131">
        <f ca="1">SUM(BD19:BD$124)*SSe</f>
        <v>0</v>
      </c>
      <c r="BF19" s="70">
        <f t="shared" ca="1" si="94"/>
        <v>52167.884744918039</v>
      </c>
      <c r="BG19" s="2">
        <f t="shared" ca="1" si="62"/>
        <v>0</v>
      </c>
      <c r="BH19" s="131">
        <f t="shared" ca="1" si="95"/>
        <v>0</v>
      </c>
      <c r="BI19" s="2">
        <f ca="1">SUM(BH19:BH$124)*SSf</f>
        <v>0</v>
      </c>
      <c r="BJ19" s="70">
        <f t="shared" ca="1" si="96"/>
        <v>52167.884744918039</v>
      </c>
      <c r="BK19" s="2">
        <f t="shared" ca="1" si="63"/>
        <v>0</v>
      </c>
      <c r="BL19" s="131">
        <f t="shared" ca="1" si="97"/>
        <v>0</v>
      </c>
      <c r="BM19" s="131">
        <f ca="1">SUM(BL19:BL$124)*SSg</f>
        <v>0</v>
      </c>
      <c r="BN19" s="70">
        <f t="shared" ca="1" si="98"/>
        <v>52167.884744918039</v>
      </c>
      <c r="BO19" s="2">
        <f t="shared" ca="1" si="64"/>
        <v>0</v>
      </c>
      <c r="BP19" s="131">
        <f t="shared" ca="1" si="99"/>
        <v>0</v>
      </c>
      <c r="BQ19" s="131">
        <f ca="1">SUM(BP19:BP$124)*SSh</f>
        <v>0</v>
      </c>
      <c r="BR19" s="70">
        <f t="shared" ca="1" si="100"/>
        <v>52167.884744918039</v>
      </c>
      <c r="BS19" s="2">
        <f t="shared" ca="1" si="65"/>
        <v>0</v>
      </c>
      <c r="BT19" s="131">
        <f t="shared" ca="1" si="101"/>
        <v>0</v>
      </c>
      <c r="BU19" s="131">
        <f ca="1">SUM(BT19:BT$124)*SSi</f>
        <v>0</v>
      </c>
      <c r="BV19" s="70">
        <f t="shared" ca="1" si="102"/>
        <v>52167.884744918039</v>
      </c>
      <c r="BW19" s="2">
        <f t="shared" ca="1" si="66"/>
        <v>0</v>
      </c>
      <c r="BX19" s="131">
        <f t="shared" ca="1" si="103"/>
        <v>0</v>
      </c>
      <c r="BY19" s="131">
        <f ca="1">SUM(BX19:BX$124)*SSj</f>
        <v>0</v>
      </c>
      <c r="BZ19" s="70">
        <f t="shared" ca="1" si="104"/>
        <v>52167.884744918039</v>
      </c>
      <c r="CA19" s="2">
        <f t="shared" ca="1" si="67"/>
        <v>0</v>
      </c>
      <c r="CB19" s="131">
        <f t="shared" ca="1" si="105"/>
        <v>0</v>
      </c>
      <c r="CC19" s="131">
        <f ca="1">SUM(CB19:CB$124)*SSk</f>
        <v>0</v>
      </c>
      <c r="CD19" s="8">
        <f t="shared" ca="1" si="106"/>
        <v>52167.884744918039</v>
      </c>
      <c r="CE19" s="2">
        <f t="shared" ca="1" si="68"/>
        <v>0</v>
      </c>
      <c r="CF19" s="131">
        <f t="shared" ca="1" si="107"/>
        <v>0</v>
      </c>
      <c r="CG19" s="131">
        <f ca="1">SUM(CF19:CF$124)*SSl</f>
        <v>0</v>
      </c>
      <c r="CH19" s="155">
        <f t="shared" si="108"/>
        <v>0.01</v>
      </c>
      <c r="CI19" s="155">
        <f t="shared" ca="1" si="109"/>
        <v>521.67884744918035</v>
      </c>
      <c r="CJ19" s="155">
        <f t="shared" ca="1" si="110"/>
        <v>441.49760562891043</v>
      </c>
      <c r="CK19" s="155">
        <f ca="1">유해지!CY19</f>
        <v>0.44700000000000001</v>
      </c>
      <c r="CL19" s="529">
        <f t="shared" ca="1" si="69"/>
        <v>0.4365</v>
      </c>
      <c r="CM19" s="155">
        <f t="shared" ca="1" si="111"/>
        <v>192.71370485701939</v>
      </c>
      <c r="CN19" s="155">
        <f ca="1">SUM(CM19:$CM$125)</f>
        <v>1413.9016206162992</v>
      </c>
      <c r="CO19" s="101">
        <f t="shared" ca="1" si="112"/>
        <v>0.26501805952839147</v>
      </c>
      <c r="CP19" s="154">
        <f t="shared" ca="1" si="70"/>
        <v>0.24287563920167551</v>
      </c>
      <c r="CQ19" s="154">
        <f t="shared" ca="1" si="71"/>
        <v>1413.9016206162992</v>
      </c>
      <c r="CR19" s="32">
        <f t="shared" ca="1" si="72"/>
        <v>0</v>
      </c>
      <c r="CS19" s="32">
        <f t="shared" ca="1" si="73"/>
        <v>0</v>
      </c>
      <c r="CT19" s="32">
        <f t="shared" ca="1" si="74"/>
        <v>0</v>
      </c>
      <c r="CU19" s="32">
        <f t="shared" ca="1" si="75"/>
        <v>0</v>
      </c>
      <c r="CV19" s="32">
        <f t="shared" ca="1" si="76"/>
        <v>540100.10986226541</v>
      </c>
      <c r="CW19" s="32">
        <f t="shared" ca="1" si="77"/>
        <v>0</v>
      </c>
      <c r="CX19" s="259">
        <f ca="1">IF(R19&lt;m,0,ROUND(IF($R19&gt;nB,0,GPB*mB*mmB*유해지!CY19),roundB))</f>
        <v>1.6099999999999998E-5</v>
      </c>
      <c r="CY19" s="262">
        <f t="shared" ca="1" si="78"/>
        <v>1.6099999999999998E-5</v>
      </c>
      <c r="CZ19" s="259">
        <f t="shared" ca="1" si="79"/>
        <v>1.8678481712741219E-5</v>
      </c>
      <c r="DA19" s="31">
        <f t="shared" si="80"/>
        <v>5</v>
      </c>
    </row>
    <row r="20" spans="2:105">
      <c r="B20" s="124" t="s">
        <v>45</v>
      </c>
      <c r="C20" s="121">
        <f>MAIN!I9</f>
        <v>0</v>
      </c>
      <c r="D20" s="44" t="s">
        <v>526</v>
      </c>
      <c r="G20" s="69" t="s">
        <v>158</v>
      </c>
      <c r="H20" s="230">
        <f ca="1">+$H$11-$I$11-(mmB-1)/(2*mmB)*($H$10-$I$10)</f>
        <v>376896.48057146044</v>
      </c>
      <c r="I20" s="230"/>
      <c r="J20" s="230"/>
      <c r="K20" s="228">
        <f ca="1">H11-I11</f>
        <v>394579.2652061393</v>
      </c>
      <c r="L20" s="311"/>
      <c r="M20" s="242"/>
      <c r="N20" s="5">
        <f t="shared" si="113"/>
        <v>8</v>
      </c>
      <c r="O20" s="2">
        <f t="shared" ca="1" si="44"/>
        <v>0.836938346351629</v>
      </c>
      <c r="P20" s="2">
        <f t="shared" ca="1" si="45"/>
        <v>0.82767875581660377</v>
      </c>
      <c r="Q20" s="91"/>
      <c r="R20" s="20">
        <f t="shared" si="114"/>
        <v>8</v>
      </c>
      <c r="S20" s="20">
        <f t="shared" si="46"/>
        <v>16</v>
      </c>
      <c r="T20" s="2">
        <f t="shared" ca="1" si="47"/>
        <v>0</v>
      </c>
      <c r="U20" s="2">
        <f t="shared" ca="1" si="47"/>
        <v>3.3000000000000003E-5</v>
      </c>
      <c r="V20" s="300">
        <f t="shared" si="48"/>
        <v>0.01</v>
      </c>
      <c r="W20" s="8">
        <f t="shared" ca="1" si="49"/>
        <v>51646.188237255337</v>
      </c>
      <c r="X20" s="10">
        <f t="shared" ca="1" si="50"/>
        <v>1.0000000000000009E-2</v>
      </c>
      <c r="Y20" s="92">
        <f t="shared" ca="1" si="51"/>
        <v>3.4086000000321803E-7</v>
      </c>
      <c r="Z20" s="8">
        <f t="shared" ca="1" si="81"/>
        <v>43224.675378653432</v>
      </c>
      <c r="AA20" s="8">
        <f ca="1">+SUM(Z20:Z$124)</f>
        <v>523012.13248587085</v>
      </c>
      <c r="AB20" s="8">
        <f t="shared" ca="1" si="52"/>
        <v>427.46452822881656</v>
      </c>
      <c r="AC20" s="209">
        <f ca="1">+SUM(AB20:AB$124)*SSSM</f>
        <v>0</v>
      </c>
      <c r="AD20" s="209">
        <f t="shared" ca="1" si="82"/>
        <v>51638.648368487622</v>
      </c>
      <c r="AE20" s="92">
        <f t="shared" ca="1" si="53"/>
        <v>3.2999999999949736E-5</v>
      </c>
      <c r="AF20" s="92">
        <f t="shared" ca="1" si="54"/>
        <v>0</v>
      </c>
      <c r="AG20" s="8">
        <f t="shared" ca="1" si="55"/>
        <v>43218.364973355274</v>
      </c>
      <c r="AH20" s="5">
        <f ca="1">+SUM(AG20:AG$124)</f>
        <v>522801.10008579434</v>
      </c>
      <c r="AI20" s="70">
        <f t="shared" ca="1" si="56"/>
        <v>1.4104270037093225</v>
      </c>
      <c r="AJ20" s="208">
        <f ca="1">+SUM(AB20:AB$124)*SS50J</f>
        <v>0</v>
      </c>
      <c r="AK20" s="209">
        <f t="shared" ca="1" si="83"/>
        <v>51646.188237255337</v>
      </c>
      <c r="AL20" s="257">
        <f t="shared" ca="1" si="57"/>
        <v>3.4086E-7</v>
      </c>
      <c r="AM20" s="131">
        <f t="shared" ca="1" si="84"/>
        <v>43224.675378653432</v>
      </c>
      <c r="AN20" s="129">
        <f t="shared" ca="1" si="85"/>
        <v>1.449770312966139E-2</v>
      </c>
      <c r="AO20" s="129">
        <f ca="1">SUM(AN20:AN$124)*SSa</f>
        <v>0.2499967096730803</v>
      </c>
      <c r="AP20" s="70">
        <f t="shared" ca="1" si="86"/>
        <v>51646.188237255337</v>
      </c>
      <c r="AQ20" s="2">
        <f t="shared" ca="1" si="58"/>
        <v>0</v>
      </c>
      <c r="AR20" s="127">
        <f t="shared" ca="1" si="87"/>
        <v>0</v>
      </c>
      <c r="AS20" s="127">
        <f ca="1">SUM(AR20:AR$124)*SSb</f>
        <v>0</v>
      </c>
      <c r="AT20" s="70">
        <f t="shared" ca="1" si="88"/>
        <v>51646.188237255337</v>
      </c>
      <c r="AU20" s="2">
        <f t="shared" ca="1" si="59"/>
        <v>0</v>
      </c>
      <c r="AV20" s="268">
        <f t="shared" ca="1" si="89"/>
        <v>0</v>
      </c>
      <c r="AW20" s="131">
        <f ca="1">SUM(AV20:AV$124)*SSc</f>
        <v>0</v>
      </c>
      <c r="AX20" s="70">
        <f t="shared" ca="1" si="90"/>
        <v>51646.188237255337</v>
      </c>
      <c r="AY20" s="2">
        <f t="shared" ca="1" si="60"/>
        <v>0</v>
      </c>
      <c r="AZ20" s="268">
        <f t="shared" ca="1" si="91"/>
        <v>0</v>
      </c>
      <c r="BA20" s="129">
        <f ca="1">SUM(AZ20:AZ$124)*SSd</f>
        <v>0</v>
      </c>
      <c r="BB20" s="70">
        <f t="shared" ca="1" si="92"/>
        <v>51646.188237255337</v>
      </c>
      <c r="BC20" s="257">
        <f t="shared" ca="1" si="61"/>
        <v>0</v>
      </c>
      <c r="BD20" s="268">
        <f t="shared" ca="1" si="93"/>
        <v>0</v>
      </c>
      <c r="BE20" s="131">
        <f ca="1">SUM(BD20:BD$124)*SSe</f>
        <v>0</v>
      </c>
      <c r="BF20" s="70">
        <f t="shared" ca="1" si="94"/>
        <v>51646.188237255337</v>
      </c>
      <c r="BG20" s="2">
        <f t="shared" ca="1" si="62"/>
        <v>0</v>
      </c>
      <c r="BH20" s="131">
        <f t="shared" ca="1" si="95"/>
        <v>0</v>
      </c>
      <c r="BI20" s="2">
        <f ca="1">SUM(BH20:BH$124)*SSf</f>
        <v>0</v>
      </c>
      <c r="BJ20" s="70">
        <f t="shared" ca="1" si="96"/>
        <v>51646.188237255337</v>
      </c>
      <c r="BK20" s="2">
        <f t="shared" ca="1" si="63"/>
        <v>0</v>
      </c>
      <c r="BL20" s="131">
        <f t="shared" ca="1" si="97"/>
        <v>0</v>
      </c>
      <c r="BM20" s="131">
        <f ca="1">SUM(BL20:BL$124)*SSg</f>
        <v>0</v>
      </c>
      <c r="BN20" s="70">
        <f t="shared" ca="1" si="98"/>
        <v>51646.188237255337</v>
      </c>
      <c r="BO20" s="2">
        <f t="shared" ca="1" si="64"/>
        <v>0</v>
      </c>
      <c r="BP20" s="131">
        <f t="shared" ca="1" si="99"/>
        <v>0</v>
      </c>
      <c r="BQ20" s="131">
        <f ca="1">SUM(BP20:BP$124)*SSh</f>
        <v>0</v>
      </c>
      <c r="BR20" s="70">
        <f t="shared" ca="1" si="100"/>
        <v>51646.188237255337</v>
      </c>
      <c r="BS20" s="2">
        <f t="shared" ca="1" si="65"/>
        <v>0</v>
      </c>
      <c r="BT20" s="131">
        <f t="shared" ca="1" si="101"/>
        <v>0</v>
      </c>
      <c r="BU20" s="131">
        <f ca="1">SUM(BT20:BT$124)*SSi</f>
        <v>0</v>
      </c>
      <c r="BV20" s="70">
        <f t="shared" ca="1" si="102"/>
        <v>51646.188237255337</v>
      </c>
      <c r="BW20" s="2">
        <f t="shared" ca="1" si="66"/>
        <v>0</v>
      </c>
      <c r="BX20" s="131">
        <f t="shared" ca="1" si="103"/>
        <v>0</v>
      </c>
      <c r="BY20" s="131">
        <f ca="1">SUM(BX20:BX$124)*SSj</f>
        <v>0</v>
      </c>
      <c r="BZ20" s="70">
        <f t="shared" ca="1" si="104"/>
        <v>51646.188237255337</v>
      </c>
      <c r="CA20" s="2">
        <f t="shared" ca="1" si="67"/>
        <v>0</v>
      </c>
      <c r="CB20" s="131">
        <f t="shared" ca="1" si="105"/>
        <v>0</v>
      </c>
      <c r="CC20" s="131">
        <f ca="1">SUM(CB20:CB$124)*SSk</f>
        <v>0</v>
      </c>
      <c r="CD20" s="8">
        <f t="shared" ca="1" si="106"/>
        <v>51646.188237255337</v>
      </c>
      <c r="CE20" s="2">
        <f t="shared" ca="1" si="68"/>
        <v>0</v>
      </c>
      <c r="CF20" s="131">
        <f t="shared" ca="1" si="107"/>
        <v>0</v>
      </c>
      <c r="CG20" s="131">
        <f ca="1">SUM(CF20:CF$124)*SSl</f>
        <v>0</v>
      </c>
      <c r="CH20" s="155">
        <f t="shared" si="108"/>
        <v>0.01</v>
      </c>
      <c r="CI20" s="155">
        <f t="shared" ca="1" si="109"/>
        <v>516.46188237255342</v>
      </c>
      <c r="CJ20" s="155">
        <f t="shared" ca="1" si="110"/>
        <v>427.46452822881616</v>
      </c>
      <c r="CK20" s="155">
        <f ca="1">유해지!CY20</f>
        <v>0.42599999999999999</v>
      </c>
      <c r="CL20" s="529">
        <f t="shared" ca="1" si="69"/>
        <v>0.41400000000000003</v>
      </c>
      <c r="CM20" s="155">
        <f t="shared" ca="1" si="111"/>
        <v>176.97031468672989</v>
      </c>
      <c r="CN20" s="155">
        <f ca="1">SUM(CM20:$CM$125)</f>
        <v>1221.1879157592798</v>
      </c>
      <c r="CO20" s="101">
        <f t="shared" ca="1" si="112"/>
        <v>0.2499967096730803</v>
      </c>
      <c r="CP20" s="154">
        <f t="shared" ca="1" si="70"/>
        <v>0.22785428934636434</v>
      </c>
      <c r="CQ20" s="154">
        <f t="shared" ca="1" si="71"/>
        <v>1221.1879157592798</v>
      </c>
      <c r="CR20" s="32">
        <f t="shared" ca="1" si="72"/>
        <v>0</v>
      </c>
      <c r="CS20" s="32">
        <f t="shared" ca="1" si="73"/>
        <v>0</v>
      </c>
      <c r="CT20" s="32">
        <f t="shared" ca="1" si="74"/>
        <v>0</v>
      </c>
      <c r="CU20" s="32">
        <f t="shared" ca="1" si="75"/>
        <v>0</v>
      </c>
      <c r="CV20" s="32">
        <f t="shared" ca="1" si="76"/>
        <v>495456.42734939221</v>
      </c>
      <c r="CW20" s="32">
        <f t="shared" ca="1" si="77"/>
        <v>0</v>
      </c>
      <c r="CX20" s="259">
        <f ca="1">IF(R20&lt;m,0,ROUND(IF($R20&gt;nB,0,GPB*mB*mmB*유해지!CY20),roundB))</f>
        <v>1.5299999999999999E-5</v>
      </c>
      <c r="CY20" s="262">
        <f t="shared" ca="1" si="78"/>
        <v>1.5299999999999999E-5</v>
      </c>
      <c r="CZ20" s="259">
        <f t="shared" ca="1" si="79"/>
        <v>1.7750821144211757E-5</v>
      </c>
      <c r="DA20" s="31">
        <f t="shared" si="80"/>
        <v>5</v>
      </c>
    </row>
    <row r="21" spans="2:105">
      <c r="B21" s="124" t="s">
        <v>157</v>
      </c>
      <c r="C21" s="121">
        <f ca="1">MAIN!I11</f>
        <v>0.8</v>
      </c>
      <c r="G21" s="69" t="s">
        <v>542</v>
      </c>
      <c r="H21" s="230">
        <f ca="1">+$H$9-$I$9-(mmB-1)/(2*mmB)*($H$8-$I$8)</f>
        <v>376911.24517871044</v>
      </c>
      <c r="I21" s="230"/>
      <c r="J21" s="230"/>
      <c r="K21" s="230">
        <f ca="1">+$H$9-$I$9</f>
        <v>394591.66504796373</v>
      </c>
      <c r="L21" s="311"/>
      <c r="N21" s="5">
        <f t="shared" si="113"/>
        <v>9</v>
      </c>
      <c r="O21" s="2">
        <f t="shared" ca="1" si="44"/>
        <v>0.81852161012384261</v>
      </c>
      <c r="P21" s="2">
        <f t="shared" ca="1" si="45"/>
        <v>0.80946577585975921</v>
      </c>
      <c r="Q21" s="91"/>
      <c r="R21" s="20">
        <f t="shared" si="114"/>
        <v>9</v>
      </c>
      <c r="S21" s="20">
        <f t="shared" si="46"/>
        <v>17</v>
      </c>
      <c r="T21" s="2">
        <f t="shared" ca="1" si="47"/>
        <v>0</v>
      </c>
      <c r="U21" s="2">
        <f t="shared" ca="1" si="47"/>
        <v>3.1999999999999999E-5</v>
      </c>
      <c r="V21" s="300">
        <f t="shared" si="48"/>
        <v>0.01</v>
      </c>
      <c r="W21" s="8">
        <f t="shared" ca="1" si="49"/>
        <v>51129.708926804255</v>
      </c>
      <c r="X21" s="10">
        <f t="shared" ca="1" si="50"/>
        <v>1.0000000000000009E-2</v>
      </c>
      <c r="Y21" s="92">
        <f t="shared" ca="1" si="51"/>
        <v>3.3972900004286544E-7</v>
      </c>
      <c r="Z21" s="8">
        <f t="shared" ca="1" si="81"/>
        <v>41850.771675931224</v>
      </c>
      <c r="AA21" s="8">
        <f ca="1">+SUM(Z21:Z$124)</f>
        <v>479787.4571072174</v>
      </c>
      <c r="AB21" s="8">
        <f t="shared" ca="1" si="52"/>
        <v>413.877495059193</v>
      </c>
      <c r="AC21" s="209">
        <f ca="1">+SUM(AB21:AB$124)*SSSM</f>
        <v>0</v>
      </c>
      <c r="AD21" s="209">
        <f t="shared" ca="1" si="82"/>
        <v>51120.557425201412</v>
      </c>
      <c r="AE21" s="92">
        <f t="shared" ca="1" si="53"/>
        <v>3.2000000000032003E-5</v>
      </c>
      <c r="AF21" s="92">
        <f t="shared" ca="1" si="54"/>
        <v>0</v>
      </c>
      <c r="AG21" s="8">
        <f t="shared" ca="1" si="55"/>
        <v>41843.280974104215</v>
      </c>
      <c r="AH21" s="5">
        <f ca="1">+SUM(AG21:AG$124)</f>
        <v>479582.73511243903</v>
      </c>
      <c r="AI21" s="70">
        <f t="shared" ca="1" si="56"/>
        <v>1.3241709337156935</v>
      </c>
      <c r="AJ21" s="208">
        <f ca="1">+SUM(AB21:AB$124)*SS50J</f>
        <v>0</v>
      </c>
      <c r="AK21" s="209">
        <f t="shared" ca="1" si="83"/>
        <v>51129.708926804255</v>
      </c>
      <c r="AL21" s="257">
        <f t="shared" ca="1" si="57"/>
        <v>3.3972900000000001E-7</v>
      </c>
      <c r="AM21" s="131">
        <f t="shared" ca="1" si="84"/>
        <v>41850.771675931224</v>
      </c>
      <c r="AN21" s="129">
        <f t="shared" ca="1" si="85"/>
        <v>1.3990315658136965E-2</v>
      </c>
      <c r="AO21" s="129">
        <f ca="1">SUM(AN21:AN$124)*SSa</f>
        <v>0.2354990065434189</v>
      </c>
      <c r="AP21" s="70">
        <f t="shared" ca="1" si="86"/>
        <v>51129.708926804255</v>
      </c>
      <c r="AQ21" s="2">
        <f t="shared" ca="1" si="58"/>
        <v>0</v>
      </c>
      <c r="AR21" s="127">
        <f t="shared" ca="1" si="87"/>
        <v>0</v>
      </c>
      <c r="AS21" s="127">
        <f ca="1">SUM(AR21:AR$124)*SSb</f>
        <v>0</v>
      </c>
      <c r="AT21" s="70">
        <f t="shared" ca="1" si="88"/>
        <v>51129.708926804255</v>
      </c>
      <c r="AU21" s="2">
        <f t="shared" ca="1" si="59"/>
        <v>0</v>
      </c>
      <c r="AV21" s="268">
        <f t="shared" ca="1" si="89"/>
        <v>0</v>
      </c>
      <c r="AW21" s="131">
        <f ca="1">SUM(AV21:AV$124)*SSc</f>
        <v>0</v>
      </c>
      <c r="AX21" s="70">
        <f t="shared" ca="1" si="90"/>
        <v>51129.708926804255</v>
      </c>
      <c r="AY21" s="2">
        <f t="shared" ca="1" si="60"/>
        <v>0</v>
      </c>
      <c r="AZ21" s="268">
        <f t="shared" ca="1" si="91"/>
        <v>0</v>
      </c>
      <c r="BA21" s="129">
        <f ca="1">SUM(AZ21:AZ$124)*SSd</f>
        <v>0</v>
      </c>
      <c r="BB21" s="70">
        <f t="shared" ca="1" si="92"/>
        <v>51129.708926804255</v>
      </c>
      <c r="BC21" s="257">
        <f t="shared" ca="1" si="61"/>
        <v>0</v>
      </c>
      <c r="BD21" s="268">
        <f t="shared" ca="1" si="93"/>
        <v>0</v>
      </c>
      <c r="BE21" s="131">
        <f ca="1">SUM(BD21:BD$124)*SSe</f>
        <v>0</v>
      </c>
      <c r="BF21" s="70">
        <f t="shared" ca="1" si="94"/>
        <v>51129.708926804255</v>
      </c>
      <c r="BG21" s="2">
        <f t="shared" ca="1" si="62"/>
        <v>0</v>
      </c>
      <c r="BH21" s="131">
        <f t="shared" ca="1" si="95"/>
        <v>0</v>
      </c>
      <c r="BI21" s="2">
        <f ca="1">SUM(BH21:BH$124)*SSf</f>
        <v>0</v>
      </c>
      <c r="BJ21" s="70">
        <f t="shared" ca="1" si="96"/>
        <v>51129.708926804255</v>
      </c>
      <c r="BK21" s="2">
        <f t="shared" ca="1" si="63"/>
        <v>0</v>
      </c>
      <c r="BL21" s="131">
        <f t="shared" ca="1" si="97"/>
        <v>0</v>
      </c>
      <c r="BM21" s="131">
        <f ca="1">SUM(BL21:BL$124)*SSg</f>
        <v>0</v>
      </c>
      <c r="BN21" s="70">
        <f t="shared" ca="1" si="98"/>
        <v>51129.708926804255</v>
      </c>
      <c r="BO21" s="2">
        <f t="shared" ca="1" si="64"/>
        <v>0</v>
      </c>
      <c r="BP21" s="131">
        <f t="shared" ca="1" si="99"/>
        <v>0</v>
      </c>
      <c r="BQ21" s="131">
        <f ca="1">SUM(BP21:BP$124)*SSh</f>
        <v>0</v>
      </c>
      <c r="BR21" s="70">
        <f t="shared" ca="1" si="100"/>
        <v>51129.708926804255</v>
      </c>
      <c r="BS21" s="2">
        <f t="shared" ca="1" si="65"/>
        <v>0</v>
      </c>
      <c r="BT21" s="131">
        <f t="shared" ca="1" si="101"/>
        <v>0</v>
      </c>
      <c r="BU21" s="131">
        <f ca="1">SUM(BT21:BT$124)*SSi</f>
        <v>0</v>
      </c>
      <c r="BV21" s="70">
        <f t="shared" ca="1" si="102"/>
        <v>51129.708926804255</v>
      </c>
      <c r="BW21" s="2">
        <f t="shared" ca="1" si="66"/>
        <v>0</v>
      </c>
      <c r="BX21" s="131">
        <f t="shared" ca="1" si="103"/>
        <v>0</v>
      </c>
      <c r="BY21" s="131">
        <f ca="1">SUM(BX21:BX$124)*SSj</f>
        <v>0</v>
      </c>
      <c r="BZ21" s="70">
        <f t="shared" ca="1" si="104"/>
        <v>51129.708926804255</v>
      </c>
      <c r="CA21" s="2">
        <f t="shared" ca="1" si="67"/>
        <v>0</v>
      </c>
      <c r="CB21" s="131">
        <f t="shared" ca="1" si="105"/>
        <v>0</v>
      </c>
      <c r="CC21" s="131">
        <f ca="1">SUM(CB21:CB$124)*SSk</f>
        <v>0</v>
      </c>
      <c r="CD21" s="8">
        <f t="shared" ca="1" si="106"/>
        <v>51129.708926804255</v>
      </c>
      <c r="CE21" s="2">
        <f t="shared" ca="1" si="68"/>
        <v>0</v>
      </c>
      <c r="CF21" s="131">
        <f t="shared" ca="1" si="107"/>
        <v>0</v>
      </c>
      <c r="CG21" s="131">
        <f ca="1">SUM(CF21:CF$124)*SSl</f>
        <v>0</v>
      </c>
      <c r="CH21" s="155">
        <f t="shared" si="108"/>
        <v>0.01</v>
      </c>
      <c r="CI21" s="155">
        <f t="shared" ca="1" si="109"/>
        <v>511.29708926804255</v>
      </c>
      <c r="CJ21" s="155">
        <f t="shared" ca="1" si="110"/>
        <v>413.87749505919265</v>
      </c>
      <c r="CK21" s="155">
        <f ca="1">유해지!CY21</f>
        <v>0.40200000000000002</v>
      </c>
      <c r="CL21" s="529">
        <f t="shared" ca="1" si="69"/>
        <v>0.39</v>
      </c>
      <c r="CM21" s="155">
        <f t="shared" ca="1" si="111"/>
        <v>161.41222307308513</v>
      </c>
      <c r="CN21" s="155">
        <f ca="1">SUM(CM21:$CM$125)</f>
        <v>1044.2176010725502</v>
      </c>
      <c r="CO21" s="101">
        <f t="shared" ca="1" si="112"/>
        <v>0.2354990065434189</v>
      </c>
      <c r="CP21" s="154">
        <f t="shared" ca="1" si="70"/>
        <v>0.21335658621670295</v>
      </c>
      <c r="CQ21" s="154">
        <f t="shared" ca="1" si="71"/>
        <v>1044.2176010725502</v>
      </c>
      <c r="CR21" s="32">
        <f t="shared" ca="1" si="72"/>
        <v>0</v>
      </c>
      <c r="CS21" s="32">
        <f t="shared" ca="1" si="73"/>
        <v>0</v>
      </c>
      <c r="CT21" s="32">
        <f t="shared" ca="1" si="74"/>
        <v>0</v>
      </c>
      <c r="CU21" s="32">
        <f t="shared" ca="1" si="75"/>
        <v>0</v>
      </c>
      <c r="CV21" s="32">
        <f t="shared" ca="1" si="76"/>
        <v>452231.75197073875</v>
      </c>
      <c r="CW21" s="32">
        <f t="shared" ca="1" si="77"/>
        <v>0</v>
      </c>
      <c r="CX21" s="259">
        <f ca="1">IF(R21&lt;m,0,ROUND(IF($R21&gt;nB,0,GPB*mB*mmB*유해지!CY21),roundB))</f>
        <v>1.45E-5</v>
      </c>
      <c r="CY21" s="262">
        <f t="shared" ca="1" si="78"/>
        <v>1.45E-5</v>
      </c>
      <c r="CZ21" s="259">
        <f t="shared" ca="1" si="79"/>
        <v>1.6802083776879534E-5</v>
      </c>
      <c r="DA21" s="31">
        <f t="shared" si="80"/>
        <v>5</v>
      </c>
    </row>
    <row r="22" spans="2:105">
      <c r="B22" s="124" t="s">
        <v>91</v>
      </c>
      <c r="C22" s="121">
        <f ca="1">MAIN!I10</f>
        <v>0</v>
      </c>
      <c r="D22" s="44" t="s">
        <v>90</v>
      </c>
      <c r="F22" s="44"/>
      <c r="G22" s="18" t="s">
        <v>63</v>
      </c>
      <c r="H22" s="251">
        <f ca="1">H14*(1-BETA_GPB-GAMB)+((ALP_SB+ALP_PPB*'무해지 (기준P)'!NPPB)*$H$8+BETA_SB*H20+BETAD_SB*$H$13)*H15/H20</f>
        <v>0.33859477211297284</v>
      </c>
      <c r="I22" s="251"/>
      <c r="J22" s="251"/>
      <c r="K22" s="251" t="e">
        <f ca="1">H14*(1-BETA_GPB-GAMB)+((ALP_SB+ALP_PPB*'무해지 (기준P)'!NPPB)*$H$8+BETA_SB*K20+BETAD_SB*$H$13)*#REF!/K20</f>
        <v>#REF!</v>
      </c>
      <c r="L22" s="312"/>
      <c r="N22" s="5">
        <f t="shared" si="113"/>
        <v>10</v>
      </c>
      <c r="O22" s="2">
        <f t="shared" ca="1" si="44"/>
        <v>0.8005101321504573</v>
      </c>
      <c r="P22" s="2">
        <f t="shared" ca="1" si="45"/>
        <v>0.79165357052299201</v>
      </c>
      <c r="Q22" s="91"/>
      <c r="R22" s="20">
        <f t="shared" si="114"/>
        <v>10</v>
      </c>
      <c r="S22" s="20">
        <f t="shared" si="46"/>
        <v>18</v>
      </c>
      <c r="T22" s="2">
        <f t="shared" ca="1" si="47"/>
        <v>0</v>
      </c>
      <c r="U22" s="2">
        <f t="shared" ca="1" si="47"/>
        <v>3.1999999999999999E-5</v>
      </c>
      <c r="V22" s="300">
        <f t="shared" si="48"/>
        <v>8.0000000000000002E-3</v>
      </c>
      <c r="W22" s="8">
        <f t="shared" ca="1" si="49"/>
        <v>50618.394640993771</v>
      </c>
      <c r="X22" s="10">
        <f t="shared" ca="1" si="50"/>
        <v>8.0000000000000071E-3</v>
      </c>
      <c r="Y22" s="10">
        <f t="shared" ca="1" si="51"/>
        <v>3.3763499995842494E-7</v>
      </c>
      <c r="Z22" s="8">
        <f t="shared" ca="1" si="81"/>
        <v>40520.537783305925</v>
      </c>
      <c r="AA22" s="8">
        <f ca="1">+SUM(Z22:Z$124)</f>
        <v>437936.68543128617</v>
      </c>
      <c r="AB22" s="8">
        <f t="shared" ca="1" si="52"/>
        <v>320.57786281347711</v>
      </c>
      <c r="AC22" s="209">
        <f ca="1">+SUM(AB22:AB$124)*SSSM</f>
        <v>0</v>
      </c>
      <c r="AD22" s="209">
        <f t="shared" ca="1" si="82"/>
        <v>50607.715158775856</v>
      </c>
      <c r="AE22" s="92">
        <f t="shared" ca="1" si="53"/>
        <v>3.2000000000032003E-5</v>
      </c>
      <c r="AF22" s="92">
        <f t="shared" ca="1" si="54"/>
        <v>0</v>
      </c>
      <c r="AG22" s="8">
        <f t="shared" ca="1" si="55"/>
        <v>40511.988749584365</v>
      </c>
      <c r="AH22" s="5">
        <f ca="1">+SUM(AG22:AG$124)</f>
        <v>437739.45413833484</v>
      </c>
      <c r="AI22" s="70">
        <f t="shared" ca="1" si="56"/>
        <v>1.2820409088478568</v>
      </c>
      <c r="AJ22" s="208">
        <f ca="1">+SUM(AB22:AB$124)*SS50J</f>
        <v>0</v>
      </c>
      <c r="AK22" s="209">
        <f t="shared" ca="1" si="83"/>
        <v>50618.394640993771</v>
      </c>
      <c r="AL22" s="257">
        <f t="shared" ca="1" si="57"/>
        <v>3.3763499999999997E-7</v>
      </c>
      <c r="AM22" s="131">
        <f t="shared" ca="1" si="84"/>
        <v>40520.537783305925</v>
      </c>
      <c r="AN22" s="129">
        <f t="shared" ca="1" si="85"/>
        <v>1.3475669185523015E-2</v>
      </c>
      <c r="AO22" s="129">
        <f ca="1">SUM(AN22:AN$124)*SSa</f>
        <v>0.22150869088528197</v>
      </c>
      <c r="AP22" s="70">
        <f t="shared" ca="1" si="86"/>
        <v>50618.394640993771</v>
      </c>
      <c r="AQ22" s="2">
        <f t="shared" ca="1" si="58"/>
        <v>0</v>
      </c>
      <c r="AR22" s="127">
        <f t="shared" ca="1" si="87"/>
        <v>0</v>
      </c>
      <c r="AS22" s="127">
        <f ca="1">SUM(AR22:AR$124)*SSb</f>
        <v>0</v>
      </c>
      <c r="AT22" s="70">
        <f t="shared" ca="1" si="88"/>
        <v>50618.394640993771</v>
      </c>
      <c r="AU22" s="2">
        <f t="shared" ca="1" si="59"/>
        <v>0</v>
      </c>
      <c r="AV22" s="268">
        <f t="shared" ca="1" si="89"/>
        <v>0</v>
      </c>
      <c r="AW22" s="131">
        <f ca="1">SUM(AV22:AV$124)*SSc</f>
        <v>0</v>
      </c>
      <c r="AX22" s="70">
        <f t="shared" ca="1" si="90"/>
        <v>50618.394640993771</v>
      </c>
      <c r="AY22" s="2">
        <f t="shared" ca="1" si="60"/>
        <v>0</v>
      </c>
      <c r="AZ22" s="268">
        <f t="shared" ca="1" si="91"/>
        <v>0</v>
      </c>
      <c r="BA22" s="129">
        <f ca="1">SUM(AZ22:AZ$124)*SSd</f>
        <v>0</v>
      </c>
      <c r="BB22" s="70">
        <f t="shared" ca="1" si="92"/>
        <v>50618.394640993771</v>
      </c>
      <c r="BC22" s="257">
        <f t="shared" ca="1" si="61"/>
        <v>0</v>
      </c>
      <c r="BD22" s="268">
        <f t="shared" ca="1" si="93"/>
        <v>0</v>
      </c>
      <c r="BE22" s="131">
        <f ca="1">SUM(BD22:BD$124)*SSe</f>
        <v>0</v>
      </c>
      <c r="BF22" s="70">
        <f t="shared" ca="1" si="94"/>
        <v>50618.394640993771</v>
      </c>
      <c r="BG22" s="2">
        <f t="shared" ca="1" si="62"/>
        <v>0</v>
      </c>
      <c r="BH22" s="131">
        <f t="shared" ca="1" si="95"/>
        <v>0</v>
      </c>
      <c r="BI22" s="2">
        <f ca="1">SUM(BH22:BH$124)*SSf</f>
        <v>0</v>
      </c>
      <c r="BJ22" s="70">
        <f t="shared" ca="1" si="96"/>
        <v>50618.394640993771</v>
      </c>
      <c r="BK22" s="2">
        <f t="shared" ca="1" si="63"/>
        <v>0</v>
      </c>
      <c r="BL22" s="131">
        <f t="shared" ca="1" si="97"/>
        <v>0</v>
      </c>
      <c r="BM22" s="131">
        <f ca="1">SUM(BL22:BL$124)*SSg</f>
        <v>0</v>
      </c>
      <c r="BN22" s="70">
        <f t="shared" ca="1" si="98"/>
        <v>50618.394640993771</v>
      </c>
      <c r="BO22" s="2">
        <f t="shared" ca="1" si="64"/>
        <v>0</v>
      </c>
      <c r="BP22" s="131">
        <f t="shared" ca="1" si="99"/>
        <v>0</v>
      </c>
      <c r="BQ22" s="131">
        <f ca="1">SUM(BP22:BP$124)*SSh</f>
        <v>0</v>
      </c>
      <c r="BR22" s="70">
        <f t="shared" ca="1" si="100"/>
        <v>50618.394640993771</v>
      </c>
      <c r="BS22" s="2">
        <f t="shared" ca="1" si="65"/>
        <v>0</v>
      </c>
      <c r="BT22" s="131">
        <f t="shared" ca="1" si="101"/>
        <v>0</v>
      </c>
      <c r="BU22" s="131">
        <f ca="1">SUM(BT22:BT$124)*SSi</f>
        <v>0</v>
      </c>
      <c r="BV22" s="70">
        <f t="shared" ca="1" si="102"/>
        <v>50618.394640993771</v>
      </c>
      <c r="BW22" s="2">
        <f t="shared" ca="1" si="66"/>
        <v>0</v>
      </c>
      <c r="BX22" s="131">
        <f t="shared" ca="1" si="103"/>
        <v>0</v>
      </c>
      <c r="BY22" s="131">
        <f ca="1">SUM(BX22:BX$124)*SSj</f>
        <v>0</v>
      </c>
      <c r="BZ22" s="70">
        <f t="shared" ca="1" si="104"/>
        <v>50618.394640993771</v>
      </c>
      <c r="CA22" s="2">
        <f t="shared" ca="1" si="67"/>
        <v>0</v>
      </c>
      <c r="CB22" s="131">
        <f t="shared" ca="1" si="105"/>
        <v>0</v>
      </c>
      <c r="CC22" s="131">
        <f ca="1">SUM(CB22:CB$124)*SSk</f>
        <v>0</v>
      </c>
      <c r="CD22" s="8">
        <f t="shared" ca="1" si="106"/>
        <v>50618.394640993771</v>
      </c>
      <c r="CE22" s="2">
        <f t="shared" ca="1" si="68"/>
        <v>0</v>
      </c>
      <c r="CF22" s="131">
        <f t="shared" ca="1" si="107"/>
        <v>0</v>
      </c>
      <c r="CG22" s="131">
        <f ca="1">SUM(CF22:CF$124)*SSl</f>
        <v>0</v>
      </c>
      <c r="CH22" s="155">
        <f t="shared" si="108"/>
        <v>8.0000000000000002E-3</v>
      </c>
      <c r="CI22" s="155">
        <f t="shared" ca="1" si="109"/>
        <v>404.94715712795016</v>
      </c>
      <c r="CJ22" s="155">
        <f t="shared" ca="1" si="110"/>
        <v>320.57786281347683</v>
      </c>
      <c r="CK22" s="155">
        <f ca="1">유해지!CY22</f>
        <v>0.378</v>
      </c>
      <c r="CL22" s="529">
        <f t="shared" ca="1" si="69"/>
        <v>0.36599999999999999</v>
      </c>
      <c r="CM22" s="155">
        <f t="shared" ca="1" si="111"/>
        <v>117.33149778973251</v>
      </c>
      <c r="CN22" s="155">
        <f ca="1">SUM(CM22:$CM$125)</f>
        <v>882.80537799946478</v>
      </c>
      <c r="CO22" s="101">
        <f t="shared" ca="1" si="112"/>
        <v>0.22150869088528197</v>
      </c>
      <c r="CP22" s="154">
        <f t="shared" ca="1" si="70"/>
        <v>0.19936627055856601</v>
      </c>
      <c r="CQ22" s="154">
        <f t="shared" ca="1" si="71"/>
        <v>882.80537799946478</v>
      </c>
      <c r="CR22" s="32">
        <f t="shared" ca="1" si="72"/>
        <v>0</v>
      </c>
      <c r="CS22" s="32">
        <f t="shared" ca="1" si="73"/>
        <v>0</v>
      </c>
      <c r="CT22" s="32">
        <f t="shared" ca="1" si="74"/>
        <v>0</v>
      </c>
      <c r="CU22" s="32">
        <f t="shared" ca="1" si="75"/>
        <v>0</v>
      </c>
      <c r="CV22" s="32">
        <f t="shared" ca="1" si="76"/>
        <v>410380.98029480752</v>
      </c>
      <c r="CW22" s="32">
        <f t="shared" ca="1" si="77"/>
        <v>0</v>
      </c>
      <c r="CX22" s="259">
        <f ca="1">IF(R22&lt;m,0,ROUND(IF($R22&gt;nB,0,GPB*mB*mmB*유해지!CY22),roundB))</f>
        <v>1.36E-5</v>
      </c>
      <c r="CY22" s="262">
        <f t="shared" ca="1" si="78"/>
        <v>1.36E-5</v>
      </c>
      <c r="CZ22" s="259">
        <f t="shared" ca="1" si="79"/>
        <v>1.5832174979811294E-5</v>
      </c>
      <c r="DA22" s="31">
        <f t="shared" si="80"/>
        <v>5</v>
      </c>
    </row>
    <row r="23" spans="2:105">
      <c r="B23" s="124" t="s">
        <v>524</v>
      </c>
      <c r="C23" s="514"/>
      <c r="D23" s="44"/>
      <c r="F23" s="44"/>
      <c r="G23" s="18" t="s">
        <v>64</v>
      </c>
      <c r="H23" s="230">
        <f ca="1">mmB*((1-BETA_GPB-GAMB)*H20-H15)</f>
        <v>2325139.1496349289</v>
      </c>
      <c r="I23" s="230"/>
      <c r="J23" s="230"/>
      <c r="K23" s="230" t="e">
        <f ca="1">1*((1-BETA_GPB-GAMB)*K20-#REF!)</f>
        <v>#REF!</v>
      </c>
      <c r="L23" s="315"/>
      <c r="N23" s="5">
        <f t="shared" si="113"/>
        <v>11</v>
      </c>
      <c r="O23" s="2">
        <f t="shared" ca="1" si="44"/>
        <v>0.78289499476817348</v>
      </c>
      <c r="P23" s="2">
        <f t="shared" ca="1" si="45"/>
        <v>0.77423332080488216</v>
      </c>
      <c r="Q23" s="91"/>
      <c r="R23" s="20">
        <f t="shared" si="114"/>
        <v>11</v>
      </c>
      <c r="S23" s="20">
        <f t="shared" si="46"/>
        <v>19</v>
      </c>
      <c r="T23" s="2">
        <f t="shared" ca="1" si="47"/>
        <v>0</v>
      </c>
      <c r="U23" s="2">
        <f t="shared" ca="1" si="47"/>
        <v>3.1999999999999999E-5</v>
      </c>
      <c r="V23" s="300">
        <f t="shared" si="48"/>
        <v>0.01</v>
      </c>
      <c r="W23" s="8">
        <f t="shared" ca="1" si="49"/>
        <v>50213.430530048485</v>
      </c>
      <c r="X23" s="10">
        <f t="shared" ca="1" si="50"/>
        <v>1.0000000000000009E-2</v>
      </c>
      <c r="Y23" s="10">
        <f t="shared" ca="1" si="51"/>
        <v>3.323239999852845E-7</v>
      </c>
      <c r="Z23" s="8">
        <f t="shared" ca="1" si="81"/>
        <v>39311.84343211435</v>
      </c>
      <c r="AA23" s="8">
        <f ca="1">+SUM(Z23:Z$124)</f>
        <v>397416.14764798025</v>
      </c>
      <c r="AB23" s="8">
        <f t="shared" ca="1" si="52"/>
        <v>388.76911068284727</v>
      </c>
      <c r="AC23" s="209">
        <f ca="1">+SUM(AB23:AB$124)*SSSM</f>
        <v>0</v>
      </c>
      <c r="AD23" s="209">
        <f t="shared" ca="1" si="82"/>
        <v>50201.229996497634</v>
      </c>
      <c r="AE23" s="92">
        <f t="shared" ca="1" si="53"/>
        <v>3.2000000000032003E-5</v>
      </c>
      <c r="AF23" s="92">
        <f t="shared" ca="1" si="54"/>
        <v>0</v>
      </c>
      <c r="AG23" s="8">
        <f t="shared" ca="1" si="55"/>
        <v>39302.291695463886</v>
      </c>
      <c r="AH23" s="5">
        <f ca="1">+SUM(AG23:AG$124)</f>
        <v>397227.46538875048</v>
      </c>
      <c r="AI23" s="70">
        <f t="shared" ca="1" si="56"/>
        <v>1.2437588802789405</v>
      </c>
      <c r="AJ23" s="208">
        <f ca="1">+SUM(AB23:AB$124)*SS50J</f>
        <v>0</v>
      </c>
      <c r="AK23" s="209">
        <f t="shared" ca="1" si="83"/>
        <v>50213.430530048485</v>
      </c>
      <c r="AL23" s="257">
        <f t="shared" ca="1" si="57"/>
        <v>3.3232400000000001E-7</v>
      </c>
      <c r="AM23" s="131">
        <f t="shared" ca="1" si="84"/>
        <v>39311.84343211435</v>
      </c>
      <c r="AN23" s="129">
        <f t="shared" ca="1" si="85"/>
        <v>1.285513194088736E-2</v>
      </c>
      <c r="AO23" s="129">
        <f ca="1">SUM(AN23:AN$124)*SSa</f>
        <v>0.20803302169975896</v>
      </c>
      <c r="AP23" s="70">
        <f t="shared" ca="1" si="86"/>
        <v>50213.430530048485</v>
      </c>
      <c r="AQ23" s="2">
        <f t="shared" ca="1" si="58"/>
        <v>0</v>
      </c>
      <c r="AR23" s="127">
        <f t="shared" ca="1" si="87"/>
        <v>0</v>
      </c>
      <c r="AS23" s="127">
        <f ca="1">SUM(AR23:AR$124)*SSb</f>
        <v>0</v>
      </c>
      <c r="AT23" s="70">
        <f t="shared" ca="1" si="88"/>
        <v>50213.430530048485</v>
      </c>
      <c r="AU23" s="2">
        <f t="shared" ca="1" si="59"/>
        <v>0</v>
      </c>
      <c r="AV23" s="268">
        <f t="shared" ca="1" si="89"/>
        <v>0</v>
      </c>
      <c r="AW23" s="131">
        <f ca="1">SUM(AV23:AV$124)*SSc</f>
        <v>0</v>
      </c>
      <c r="AX23" s="70">
        <f t="shared" ca="1" si="90"/>
        <v>50213.430530048485</v>
      </c>
      <c r="AY23" s="2">
        <f t="shared" ca="1" si="60"/>
        <v>0</v>
      </c>
      <c r="AZ23" s="268">
        <f t="shared" ca="1" si="91"/>
        <v>0</v>
      </c>
      <c r="BA23" s="129">
        <f ca="1">SUM(AZ23:AZ$124)*SSd</f>
        <v>0</v>
      </c>
      <c r="BB23" s="70">
        <f t="shared" ca="1" si="92"/>
        <v>50213.430530048485</v>
      </c>
      <c r="BC23" s="257">
        <f t="shared" ca="1" si="61"/>
        <v>0</v>
      </c>
      <c r="BD23" s="268">
        <f t="shared" ca="1" si="93"/>
        <v>0</v>
      </c>
      <c r="BE23" s="131">
        <f ca="1">SUM(BD23:BD$124)*SSe</f>
        <v>0</v>
      </c>
      <c r="BF23" s="70">
        <f t="shared" ca="1" si="94"/>
        <v>50213.430530048485</v>
      </c>
      <c r="BG23" s="2">
        <f t="shared" ca="1" si="62"/>
        <v>0</v>
      </c>
      <c r="BH23" s="131">
        <f t="shared" ca="1" si="95"/>
        <v>0</v>
      </c>
      <c r="BI23" s="2">
        <f ca="1">SUM(BH23:BH$124)*SSf</f>
        <v>0</v>
      </c>
      <c r="BJ23" s="70">
        <f t="shared" ca="1" si="96"/>
        <v>50213.430530048485</v>
      </c>
      <c r="BK23" s="2">
        <f t="shared" ca="1" si="63"/>
        <v>0</v>
      </c>
      <c r="BL23" s="131">
        <f t="shared" ca="1" si="97"/>
        <v>0</v>
      </c>
      <c r="BM23" s="131">
        <f ca="1">SUM(BL23:BL$124)*SSg</f>
        <v>0</v>
      </c>
      <c r="BN23" s="70">
        <f t="shared" ca="1" si="98"/>
        <v>50213.430530048485</v>
      </c>
      <c r="BO23" s="2">
        <f t="shared" ca="1" si="64"/>
        <v>0</v>
      </c>
      <c r="BP23" s="131">
        <f t="shared" ca="1" si="99"/>
        <v>0</v>
      </c>
      <c r="BQ23" s="131">
        <f ca="1">SUM(BP23:BP$124)*SSh</f>
        <v>0</v>
      </c>
      <c r="BR23" s="70">
        <f t="shared" ca="1" si="100"/>
        <v>50213.430530048485</v>
      </c>
      <c r="BS23" s="2">
        <f t="shared" ca="1" si="65"/>
        <v>0</v>
      </c>
      <c r="BT23" s="131">
        <f t="shared" ca="1" si="101"/>
        <v>0</v>
      </c>
      <c r="BU23" s="131">
        <f ca="1">SUM(BT23:BT$124)*SSi</f>
        <v>0</v>
      </c>
      <c r="BV23" s="70">
        <f t="shared" ca="1" si="102"/>
        <v>50213.430530048485</v>
      </c>
      <c r="BW23" s="2">
        <f t="shared" ca="1" si="66"/>
        <v>0</v>
      </c>
      <c r="BX23" s="131">
        <f t="shared" ca="1" si="103"/>
        <v>0</v>
      </c>
      <c r="BY23" s="131">
        <f ca="1">SUM(BX23:BX$124)*SSj</f>
        <v>0</v>
      </c>
      <c r="BZ23" s="70">
        <f t="shared" ca="1" si="104"/>
        <v>50213.430530048485</v>
      </c>
      <c r="CA23" s="2">
        <f t="shared" ca="1" si="67"/>
        <v>0</v>
      </c>
      <c r="CB23" s="131">
        <f t="shared" ca="1" si="105"/>
        <v>0</v>
      </c>
      <c r="CC23" s="131">
        <f ca="1">SUM(CB23:CB$124)*SSk</f>
        <v>0</v>
      </c>
      <c r="CD23" s="8">
        <f t="shared" ca="1" si="106"/>
        <v>50213.430530048485</v>
      </c>
      <c r="CE23" s="2">
        <f t="shared" ca="1" si="68"/>
        <v>0</v>
      </c>
      <c r="CF23" s="131">
        <f t="shared" ca="1" si="107"/>
        <v>0</v>
      </c>
      <c r="CG23" s="131">
        <f ca="1">SUM(CF23:CF$124)*SSl</f>
        <v>0</v>
      </c>
      <c r="CH23" s="155">
        <f t="shared" si="108"/>
        <v>0.01</v>
      </c>
      <c r="CI23" s="155">
        <f t="shared" ca="1" si="109"/>
        <v>502.13430530048487</v>
      </c>
      <c r="CJ23" s="155">
        <f t="shared" ca="1" si="110"/>
        <v>388.76911068284693</v>
      </c>
      <c r="CK23" s="155">
        <f ca="1">유해지!CY23</f>
        <v>0.35399999999999998</v>
      </c>
      <c r="CL23" s="529">
        <f t="shared" ca="1" si="69"/>
        <v>0.34199999999999997</v>
      </c>
      <c r="CM23" s="155">
        <f t="shared" ca="1" si="111"/>
        <v>132.95903585353363</v>
      </c>
      <c r="CN23" s="155">
        <f ca="1">SUM(CM23:$CM$125)</f>
        <v>765.47388020973233</v>
      </c>
      <c r="CO23" s="101">
        <f t="shared" ca="1" si="112"/>
        <v>0.20803302169975896</v>
      </c>
      <c r="CP23" s="154">
        <f t="shared" ca="1" si="70"/>
        <v>0.185890601373043</v>
      </c>
      <c r="CQ23" s="154">
        <f t="shared" ca="1" si="71"/>
        <v>765.47388020973233</v>
      </c>
      <c r="CR23" s="32">
        <f t="shared" ca="1" si="72"/>
        <v>0</v>
      </c>
      <c r="CS23" s="32">
        <f t="shared" ca="1" si="73"/>
        <v>0</v>
      </c>
      <c r="CT23" s="32">
        <f t="shared" ca="1" si="74"/>
        <v>0</v>
      </c>
      <c r="CU23" s="32">
        <f t="shared" ca="1" si="75"/>
        <v>0</v>
      </c>
      <c r="CV23" s="32">
        <f t="shared" ca="1" si="76"/>
        <v>369860.44251150161</v>
      </c>
      <c r="CW23" s="32">
        <f t="shared" ca="1" si="77"/>
        <v>0</v>
      </c>
      <c r="CX23" s="259">
        <f ca="1">IF(R23&lt;m,0,ROUND(IF($R23&gt;nB,0,GPB*mB*mmB*유해지!CY23),roundB))</f>
        <v>1.27E-5</v>
      </c>
      <c r="CY23" s="262">
        <f t="shared" ca="1" si="78"/>
        <v>1.27E-5</v>
      </c>
      <c r="CZ23" s="259">
        <f t="shared" ca="1" si="79"/>
        <v>1.4837973817721889E-5</v>
      </c>
      <c r="DA23" s="31">
        <f t="shared" si="80"/>
        <v>5</v>
      </c>
    </row>
    <row r="24" spans="2:105">
      <c r="B24" s="124" t="s">
        <v>43</v>
      </c>
      <c r="C24" s="121">
        <f ca="1">MAIN!I12</f>
        <v>0.35</v>
      </c>
      <c r="D24" s="44"/>
      <c r="F24" s="44"/>
      <c r="G24" s="18" t="s">
        <v>55</v>
      </c>
      <c r="H24" s="516">
        <f ca="1">+H22/H23</f>
        <v>1.4562344458658991E-7</v>
      </c>
      <c r="I24" s="319"/>
      <c r="J24" s="294"/>
      <c r="K24" s="254" t="e">
        <f ca="1">+K22/K23</f>
        <v>#REF!</v>
      </c>
      <c r="L24" s="314"/>
      <c r="N24" s="5">
        <f t="shared" si="113"/>
        <v>12</v>
      </c>
      <c r="O24" s="2">
        <f t="shared" ca="1" si="44"/>
        <v>0.76566747654589096</v>
      </c>
      <c r="P24" s="2">
        <f t="shared" ca="1" si="45"/>
        <v>0.75719640176516601</v>
      </c>
      <c r="Q24" s="91"/>
      <c r="R24" s="20">
        <f t="shared" si="114"/>
        <v>12</v>
      </c>
      <c r="S24" s="20">
        <f t="shared" si="46"/>
        <v>20</v>
      </c>
      <c r="T24" s="2">
        <f t="shared" ca="1" si="47"/>
        <v>0</v>
      </c>
      <c r="U24" s="2">
        <f t="shared" ca="1" si="47"/>
        <v>4.8000000000000001E-5</v>
      </c>
      <c r="V24" s="300">
        <f t="shared" si="48"/>
        <v>0.01</v>
      </c>
      <c r="W24" s="8">
        <f t="shared" ca="1" si="49"/>
        <v>49711.2797044912</v>
      </c>
      <c r="X24" s="10">
        <f t="shared" ca="1" si="50"/>
        <v>1.0000000000000009E-2</v>
      </c>
      <c r="Y24" s="10">
        <f t="shared" ca="1" si="51"/>
        <v>3.2291600005063259E-7</v>
      </c>
      <c r="Z24" s="8">
        <f t="shared" ca="1" si="81"/>
        <v>38062.310087204743</v>
      </c>
      <c r="AA24" s="8">
        <f ca="1">+SUM(Z24:Z$124)</f>
        <v>358104.30421586597</v>
      </c>
      <c r="AB24" s="8">
        <f t="shared" ca="1" si="52"/>
        <v>376.41202119382496</v>
      </c>
      <c r="AC24" s="209">
        <f ca="1">+SUM(AB24:AB$124)*SSSM</f>
        <v>0</v>
      </c>
      <c r="AD24" s="209">
        <f t="shared" ca="1" si="82"/>
        <v>49697.610805852062</v>
      </c>
      <c r="AE24" s="92">
        <f t="shared" ca="1" si="53"/>
        <v>4.8000000000048004E-5</v>
      </c>
      <c r="AF24" s="92">
        <f t="shared" ca="1" si="54"/>
        <v>0</v>
      </c>
      <c r="AG24" s="8">
        <f t="shared" ca="1" si="55"/>
        <v>38051.844256076554</v>
      </c>
      <c r="AH24" s="5">
        <f ca="1">+SUM(AG24:AG$124)</f>
        <v>357925.1736932866</v>
      </c>
      <c r="AI24" s="70">
        <f t="shared" ca="1" si="56"/>
        <v>1.8062808997706135</v>
      </c>
      <c r="AJ24" s="208">
        <f ca="1">+SUM(AB24:AB$124)*SS50J</f>
        <v>0</v>
      </c>
      <c r="AK24" s="209">
        <f t="shared" ca="1" si="83"/>
        <v>49711.2797044912</v>
      </c>
      <c r="AL24" s="257">
        <f t="shared" ca="1" si="57"/>
        <v>3.2291599999999998E-7</v>
      </c>
      <c r="AM24" s="131">
        <f t="shared" ca="1" si="84"/>
        <v>38062.310087204743</v>
      </c>
      <c r="AN24" s="129">
        <f t="shared" ca="1" si="85"/>
        <v>1.2094171691464595E-2</v>
      </c>
      <c r="AO24" s="129">
        <f ca="1">SUM(AN24:AN$124)*SSa</f>
        <v>0.1951778897588716</v>
      </c>
      <c r="AP24" s="70">
        <f t="shared" ca="1" si="86"/>
        <v>49711.2797044912</v>
      </c>
      <c r="AQ24" s="2">
        <f t="shared" ca="1" si="58"/>
        <v>0</v>
      </c>
      <c r="AR24" s="127">
        <f t="shared" ca="1" si="87"/>
        <v>0</v>
      </c>
      <c r="AS24" s="127">
        <f ca="1">SUM(AR24:AR$124)*SSb</f>
        <v>0</v>
      </c>
      <c r="AT24" s="70">
        <f t="shared" ca="1" si="88"/>
        <v>49711.2797044912</v>
      </c>
      <c r="AU24" s="2">
        <f t="shared" ca="1" si="59"/>
        <v>0</v>
      </c>
      <c r="AV24" s="268">
        <f t="shared" ca="1" si="89"/>
        <v>0</v>
      </c>
      <c r="AW24" s="131">
        <f ca="1">SUM(AV24:AV$124)*SSc</f>
        <v>0</v>
      </c>
      <c r="AX24" s="70">
        <f t="shared" ca="1" si="90"/>
        <v>49711.2797044912</v>
      </c>
      <c r="AY24" s="2">
        <f t="shared" ca="1" si="60"/>
        <v>0</v>
      </c>
      <c r="AZ24" s="268">
        <f t="shared" ca="1" si="91"/>
        <v>0</v>
      </c>
      <c r="BA24" s="129">
        <f ca="1">SUM(AZ24:AZ$124)*SSd</f>
        <v>0</v>
      </c>
      <c r="BB24" s="70">
        <f t="shared" ca="1" si="92"/>
        <v>49711.2797044912</v>
      </c>
      <c r="BC24" s="257">
        <f t="shared" ca="1" si="61"/>
        <v>0</v>
      </c>
      <c r="BD24" s="268">
        <f t="shared" ca="1" si="93"/>
        <v>0</v>
      </c>
      <c r="BE24" s="131">
        <f ca="1">SUM(BD24:BD$124)*SSe</f>
        <v>0</v>
      </c>
      <c r="BF24" s="70">
        <f t="shared" ca="1" si="94"/>
        <v>49711.2797044912</v>
      </c>
      <c r="BG24" s="2">
        <f t="shared" ca="1" si="62"/>
        <v>0</v>
      </c>
      <c r="BH24" s="131">
        <f t="shared" ca="1" si="95"/>
        <v>0</v>
      </c>
      <c r="BI24" s="2">
        <f ca="1">SUM(BH24:BH$124)*SSf</f>
        <v>0</v>
      </c>
      <c r="BJ24" s="70">
        <f t="shared" ca="1" si="96"/>
        <v>49711.2797044912</v>
      </c>
      <c r="BK24" s="2">
        <f t="shared" ca="1" si="63"/>
        <v>0</v>
      </c>
      <c r="BL24" s="131">
        <f t="shared" ca="1" si="97"/>
        <v>0</v>
      </c>
      <c r="BM24" s="131">
        <f ca="1">SUM(BL24:BL$124)*SSg</f>
        <v>0</v>
      </c>
      <c r="BN24" s="70">
        <f t="shared" ca="1" si="98"/>
        <v>49711.2797044912</v>
      </c>
      <c r="BO24" s="2">
        <f t="shared" ca="1" si="64"/>
        <v>0</v>
      </c>
      <c r="BP24" s="131">
        <f t="shared" ca="1" si="99"/>
        <v>0</v>
      </c>
      <c r="BQ24" s="131">
        <f ca="1">SUM(BP24:BP$124)*SSh</f>
        <v>0</v>
      </c>
      <c r="BR24" s="70">
        <f t="shared" ca="1" si="100"/>
        <v>49711.2797044912</v>
      </c>
      <c r="BS24" s="2">
        <f t="shared" ca="1" si="65"/>
        <v>0</v>
      </c>
      <c r="BT24" s="131">
        <f t="shared" ca="1" si="101"/>
        <v>0</v>
      </c>
      <c r="BU24" s="131">
        <f ca="1">SUM(BT24:BT$124)*SSi</f>
        <v>0</v>
      </c>
      <c r="BV24" s="70">
        <f t="shared" ca="1" si="102"/>
        <v>49711.2797044912</v>
      </c>
      <c r="BW24" s="2">
        <f t="shared" ca="1" si="66"/>
        <v>0</v>
      </c>
      <c r="BX24" s="131">
        <f t="shared" ca="1" si="103"/>
        <v>0</v>
      </c>
      <c r="BY24" s="131">
        <f ca="1">SUM(BX24:BX$124)*SSj</f>
        <v>0</v>
      </c>
      <c r="BZ24" s="70">
        <f t="shared" ca="1" si="104"/>
        <v>49711.2797044912</v>
      </c>
      <c r="CA24" s="2">
        <f t="shared" ca="1" si="67"/>
        <v>0</v>
      </c>
      <c r="CB24" s="131">
        <f t="shared" ca="1" si="105"/>
        <v>0</v>
      </c>
      <c r="CC24" s="131">
        <f ca="1">SUM(CB24:CB$124)*SSk</f>
        <v>0</v>
      </c>
      <c r="CD24" s="8">
        <f t="shared" ca="1" si="106"/>
        <v>49711.2797044912</v>
      </c>
      <c r="CE24" s="2">
        <f t="shared" ca="1" si="68"/>
        <v>0</v>
      </c>
      <c r="CF24" s="131">
        <f t="shared" ca="1" si="107"/>
        <v>0</v>
      </c>
      <c r="CG24" s="131">
        <f ca="1">SUM(CF24:CF$124)*SSl</f>
        <v>0</v>
      </c>
      <c r="CH24" s="155">
        <f t="shared" si="108"/>
        <v>0.01</v>
      </c>
      <c r="CI24" s="155">
        <f t="shared" ca="1" si="109"/>
        <v>497.11279704491204</v>
      </c>
      <c r="CJ24" s="155">
        <f t="shared" ca="1" si="110"/>
        <v>376.41202119382467</v>
      </c>
      <c r="CK24" s="155">
        <f ca="1">유해지!CY24</f>
        <v>0.33</v>
      </c>
      <c r="CL24" s="529">
        <f t="shared" ca="1" si="69"/>
        <v>0.31850000000000001</v>
      </c>
      <c r="CM24" s="155">
        <f t="shared" ca="1" si="111"/>
        <v>119.88722875023316</v>
      </c>
      <c r="CN24" s="155">
        <f ca="1">SUM(CM24:$CM$125)</f>
        <v>632.51484435619875</v>
      </c>
      <c r="CO24" s="101">
        <f t="shared" ca="1" si="112"/>
        <v>0.1951778897588716</v>
      </c>
      <c r="CP24" s="154">
        <f t="shared" ca="1" si="70"/>
        <v>0.17303546943215564</v>
      </c>
      <c r="CQ24" s="154">
        <f t="shared" ca="1" si="71"/>
        <v>632.51484435619875</v>
      </c>
      <c r="CR24" s="32">
        <f t="shared" ca="1" si="72"/>
        <v>0</v>
      </c>
      <c r="CS24" s="32">
        <f t="shared" ca="1" si="73"/>
        <v>0</v>
      </c>
      <c r="CT24" s="32">
        <f t="shared" ca="1" si="74"/>
        <v>0</v>
      </c>
      <c r="CU24" s="32">
        <f t="shared" ca="1" si="75"/>
        <v>0</v>
      </c>
      <c r="CV24" s="32">
        <f t="shared" ca="1" si="76"/>
        <v>330548.59907938732</v>
      </c>
      <c r="CW24" s="32">
        <f t="shared" ca="1" si="77"/>
        <v>0</v>
      </c>
      <c r="CX24" s="259">
        <f ca="1">IF(R24&lt;m,0,ROUND(IF($R24&gt;nB,0,GPB*mB*mmB*유해지!CY24),roundB))</f>
        <v>1.19E-5</v>
      </c>
      <c r="CY24" s="262">
        <f t="shared" ca="1" si="78"/>
        <v>1.19E-5</v>
      </c>
      <c r="CZ24" s="259">
        <f t="shared" ca="1" si="79"/>
        <v>1.3828761357427664E-5</v>
      </c>
      <c r="DA24" s="31">
        <f t="shared" si="80"/>
        <v>5</v>
      </c>
    </row>
    <row r="25" spans="2:105">
      <c r="B25" s="124" t="s">
        <v>95</v>
      </c>
      <c r="C25" s="245">
        <f ca="1">MAIN!I13</f>
        <v>9.9999999999999995E-7</v>
      </c>
      <c r="D25" s="44"/>
      <c r="F25" s="44"/>
      <c r="G25" s="18" t="s">
        <v>72</v>
      </c>
      <c r="H25" s="481">
        <f ca="1">+H24+$C$26*$H$13/(mmB*H20)</f>
        <v>2.8904962233692389E-7</v>
      </c>
      <c r="I25" s="322"/>
      <c r="J25" s="320"/>
      <c r="K25" s="299" t="e">
        <f ca="1">+K24+$C$26*$H$13/K20</f>
        <v>#REF!</v>
      </c>
      <c r="L25" s="313"/>
      <c r="N25" s="5">
        <f t="shared" si="113"/>
        <v>13</v>
      </c>
      <c r="O25" s="2">
        <f t="shared" ca="1" si="44"/>
        <v>0.74881904796664145</v>
      </c>
      <c r="P25" s="2">
        <f t="shared" ca="1" si="45"/>
        <v>0.74053437825444102</v>
      </c>
      <c r="Q25" s="91"/>
      <c r="R25" s="20">
        <f t="shared" si="114"/>
        <v>13</v>
      </c>
      <c r="S25" s="20">
        <f t="shared" si="46"/>
        <v>21</v>
      </c>
      <c r="T25" s="2">
        <f t="shared" ca="1" si="47"/>
        <v>0</v>
      </c>
      <c r="U25" s="2">
        <f t="shared" ca="1" si="47"/>
        <v>4.8000000000000001E-5</v>
      </c>
      <c r="V25" s="300">
        <f t="shared" si="48"/>
        <v>0.01</v>
      </c>
      <c r="W25" s="8">
        <f t="shared" ca="1" si="49"/>
        <v>49214.151015404357</v>
      </c>
      <c r="X25" s="10">
        <f t="shared" ca="1" si="50"/>
        <v>1.0000000000000009E-2</v>
      </c>
      <c r="Y25" s="10">
        <f t="shared" ca="1" si="51"/>
        <v>3.1199999994679928E-7</v>
      </c>
      <c r="Z25" s="8">
        <f t="shared" ca="1" si="81"/>
        <v>36852.493709841612</v>
      </c>
      <c r="AA25" s="8">
        <f ca="1">+SUM(Z25:Z$124)</f>
        <v>320041.99412866123</v>
      </c>
      <c r="AB25" s="8">
        <f t="shared" ca="1" si="52"/>
        <v>364.44770723512664</v>
      </c>
      <c r="AC25" s="209">
        <f ca="1">+SUM(AB25:AB$124)*SSSM</f>
        <v>0</v>
      </c>
      <c r="AD25" s="209">
        <f t="shared" ca="1" si="82"/>
        <v>49198.257180418499</v>
      </c>
      <c r="AE25" s="92">
        <f t="shared" ca="1" si="53"/>
        <v>4.8000000000048004E-5</v>
      </c>
      <c r="AF25" s="92">
        <f t="shared" ca="1" si="54"/>
        <v>0</v>
      </c>
      <c r="AG25" s="8">
        <f t="shared" ca="1" si="55"/>
        <v>36840.592103458963</v>
      </c>
      <c r="AH25" s="5">
        <f ca="1">+SUM(AG25:AG$124)</f>
        <v>319873.32943721005</v>
      </c>
      <c r="AI25" s="70">
        <f t="shared" ca="1" si="56"/>
        <v>1.7487840380323074</v>
      </c>
      <c r="AJ25" s="208">
        <f ca="1">+SUM(AB25:AB$124)*SS50J</f>
        <v>0</v>
      </c>
      <c r="AK25" s="209">
        <f t="shared" ca="1" si="83"/>
        <v>49214.151015404357</v>
      </c>
      <c r="AL25" s="257">
        <f t="shared" ca="1" si="57"/>
        <v>3.1199999999999999E-7</v>
      </c>
      <c r="AM25" s="131">
        <f t="shared" ca="1" si="84"/>
        <v>36852.493709841612</v>
      </c>
      <c r="AN25" s="129">
        <f t="shared" ca="1" si="85"/>
        <v>1.1313914623407261E-2</v>
      </c>
      <c r="AO25" s="129">
        <f ca="1">SUM(AN25:AN$124)*SSa</f>
        <v>0.183083718067407</v>
      </c>
      <c r="AP25" s="70">
        <f t="shared" ca="1" si="86"/>
        <v>49214.151015404357</v>
      </c>
      <c r="AQ25" s="2">
        <f t="shared" ca="1" si="58"/>
        <v>0</v>
      </c>
      <c r="AR25" s="127">
        <f t="shared" ca="1" si="87"/>
        <v>0</v>
      </c>
      <c r="AS25" s="127">
        <f ca="1">SUM(AR25:AR$124)*SSb</f>
        <v>0</v>
      </c>
      <c r="AT25" s="70">
        <f t="shared" ca="1" si="88"/>
        <v>49214.151015404357</v>
      </c>
      <c r="AU25" s="2">
        <f t="shared" ca="1" si="59"/>
        <v>0</v>
      </c>
      <c r="AV25" s="268">
        <f t="shared" ca="1" si="89"/>
        <v>0</v>
      </c>
      <c r="AW25" s="131">
        <f ca="1">SUM(AV25:AV$124)*SSc</f>
        <v>0</v>
      </c>
      <c r="AX25" s="70">
        <f t="shared" ca="1" si="90"/>
        <v>49214.151015404357</v>
      </c>
      <c r="AY25" s="2">
        <f t="shared" ca="1" si="60"/>
        <v>0</v>
      </c>
      <c r="AZ25" s="268">
        <f t="shared" ca="1" si="91"/>
        <v>0</v>
      </c>
      <c r="BA25" s="129">
        <f ca="1">SUM(AZ25:AZ$124)*SSd</f>
        <v>0</v>
      </c>
      <c r="BB25" s="70">
        <f t="shared" ca="1" si="92"/>
        <v>49214.151015404357</v>
      </c>
      <c r="BC25" s="257">
        <f t="shared" ca="1" si="61"/>
        <v>0</v>
      </c>
      <c r="BD25" s="268">
        <f t="shared" ca="1" si="93"/>
        <v>0</v>
      </c>
      <c r="BE25" s="131">
        <f ca="1">SUM(BD25:BD$124)*SSe</f>
        <v>0</v>
      </c>
      <c r="BF25" s="70">
        <f t="shared" ca="1" si="94"/>
        <v>49214.151015404357</v>
      </c>
      <c r="BG25" s="2">
        <f t="shared" ca="1" si="62"/>
        <v>0</v>
      </c>
      <c r="BH25" s="131">
        <f t="shared" ca="1" si="95"/>
        <v>0</v>
      </c>
      <c r="BI25" s="2">
        <f ca="1">SUM(BH25:BH$124)*SSf</f>
        <v>0</v>
      </c>
      <c r="BJ25" s="70">
        <f t="shared" ca="1" si="96"/>
        <v>49214.151015404357</v>
      </c>
      <c r="BK25" s="2">
        <f t="shared" ca="1" si="63"/>
        <v>0</v>
      </c>
      <c r="BL25" s="131">
        <f t="shared" ca="1" si="97"/>
        <v>0</v>
      </c>
      <c r="BM25" s="131">
        <f ca="1">SUM(BL25:BL$124)*SSg</f>
        <v>0</v>
      </c>
      <c r="BN25" s="70">
        <f t="shared" ca="1" si="98"/>
        <v>49214.151015404357</v>
      </c>
      <c r="BO25" s="2">
        <f t="shared" ca="1" si="64"/>
        <v>0</v>
      </c>
      <c r="BP25" s="131">
        <f t="shared" ca="1" si="99"/>
        <v>0</v>
      </c>
      <c r="BQ25" s="131">
        <f ca="1">SUM(BP25:BP$124)*SSh</f>
        <v>0</v>
      </c>
      <c r="BR25" s="70">
        <f t="shared" ca="1" si="100"/>
        <v>49214.151015404357</v>
      </c>
      <c r="BS25" s="2">
        <f t="shared" ca="1" si="65"/>
        <v>0</v>
      </c>
      <c r="BT25" s="131">
        <f t="shared" ca="1" si="101"/>
        <v>0</v>
      </c>
      <c r="BU25" s="131">
        <f ca="1">SUM(BT25:BT$124)*SSi</f>
        <v>0</v>
      </c>
      <c r="BV25" s="70">
        <f t="shared" ca="1" si="102"/>
        <v>49214.151015404357</v>
      </c>
      <c r="BW25" s="2">
        <f t="shared" ca="1" si="66"/>
        <v>0</v>
      </c>
      <c r="BX25" s="131">
        <f t="shared" ca="1" si="103"/>
        <v>0</v>
      </c>
      <c r="BY25" s="131">
        <f ca="1">SUM(BX25:BX$124)*SSj</f>
        <v>0</v>
      </c>
      <c r="BZ25" s="70">
        <f t="shared" ca="1" si="104"/>
        <v>49214.151015404357</v>
      </c>
      <c r="CA25" s="2">
        <f t="shared" ca="1" si="67"/>
        <v>0</v>
      </c>
      <c r="CB25" s="131">
        <f t="shared" ca="1" si="105"/>
        <v>0</v>
      </c>
      <c r="CC25" s="131">
        <f ca="1">SUM(CB25:CB$124)*SSk</f>
        <v>0</v>
      </c>
      <c r="CD25" s="8">
        <f t="shared" ca="1" si="106"/>
        <v>49214.151015404357</v>
      </c>
      <c r="CE25" s="2">
        <f t="shared" ca="1" si="68"/>
        <v>0</v>
      </c>
      <c r="CF25" s="131">
        <f t="shared" ca="1" si="107"/>
        <v>0</v>
      </c>
      <c r="CG25" s="131">
        <f ca="1">SUM(CF25:CF$124)*SSl</f>
        <v>0</v>
      </c>
      <c r="CH25" s="155">
        <f t="shared" si="108"/>
        <v>0.01</v>
      </c>
      <c r="CI25" s="155">
        <f t="shared" ca="1" si="109"/>
        <v>492.1415101540436</v>
      </c>
      <c r="CJ25" s="155">
        <f t="shared" ca="1" si="110"/>
        <v>364.44770723512636</v>
      </c>
      <c r="CK25" s="155">
        <f ca="1">유해지!CY25</f>
        <v>0.307</v>
      </c>
      <c r="CL25" s="529">
        <f t="shared" ca="1" si="69"/>
        <v>0.29349999999999998</v>
      </c>
      <c r="CM25" s="155">
        <f t="shared" ca="1" si="111"/>
        <v>106.96540207350958</v>
      </c>
      <c r="CN25" s="155">
        <f ca="1">SUM(CM25:$CM$125)</f>
        <v>512.62761560596562</v>
      </c>
      <c r="CO25" s="101">
        <f t="shared" ca="1" si="112"/>
        <v>0.183083718067407</v>
      </c>
      <c r="CP25" s="154">
        <f t="shared" ca="1" si="70"/>
        <v>0.16094129774069105</v>
      </c>
      <c r="CQ25" s="154">
        <f t="shared" ca="1" si="71"/>
        <v>512.62761560596562</v>
      </c>
      <c r="CR25" s="32">
        <f t="shared" ca="1" si="72"/>
        <v>0</v>
      </c>
      <c r="CS25" s="32">
        <f t="shared" ca="1" si="73"/>
        <v>0</v>
      </c>
      <c r="CT25" s="32">
        <f t="shared" ca="1" si="74"/>
        <v>0</v>
      </c>
      <c r="CU25" s="32">
        <f t="shared" ca="1" si="75"/>
        <v>0</v>
      </c>
      <c r="CV25" s="32">
        <f t="shared" ca="1" si="76"/>
        <v>292486.28899218258</v>
      </c>
      <c r="CW25" s="32">
        <f t="shared" ca="1" si="77"/>
        <v>0</v>
      </c>
      <c r="CX25" s="259">
        <f ca="1">IF(R25&lt;m,0,ROUND(IF($R25&gt;nB,0,GPB*mB*mmB*유해지!CY25),roundB))</f>
        <v>1.11E-5</v>
      </c>
      <c r="CY25" s="262">
        <f t="shared" ca="1" si="78"/>
        <v>1.11E-5</v>
      </c>
      <c r="CZ25" s="259">
        <f t="shared" ca="1" si="79"/>
        <v>1.2804620078360404E-5</v>
      </c>
      <c r="DA25" s="31">
        <f t="shared" si="80"/>
        <v>5</v>
      </c>
    </row>
    <row r="26" spans="2:105">
      <c r="B26" s="124" t="s">
        <v>94</v>
      </c>
      <c r="C26" s="245">
        <f ca="1">MAIN!I14</f>
        <v>9.9999999999999995E-7</v>
      </c>
      <c r="G26" s="18" t="s">
        <v>66</v>
      </c>
      <c r="H26" s="515">
        <f ca="1">+H$24+((ALP_SB+ALP_PPB*'무해지 (기준P)'!NPPB)*$H$8+BETA_SB*H20+BETAD_SB*$H$13)/(mmB*H20)</f>
        <v>3.7902502192576399E-7</v>
      </c>
      <c r="I26" s="321"/>
      <c r="J26" s="321"/>
      <c r="K26" s="321" t="e">
        <f ca="1">+K$24+((ALP_SB+ALP_PPB*'무해지 (기준P)'!NPPB)*$H$8+BETA_SB*K20+BETAD_SB*$H$13)/(1*K20)</f>
        <v>#REF!</v>
      </c>
      <c r="N26" s="5">
        <f t="shared" si="113"/>
        <v>14</v>
      </c>
      <c r="O26" s="2">
        <f t="shared" ca="1" si="44"/>
        <v>0.73234136720453935</v>
      </c>
      <c r="P26" s="2">
        <f t="shared" ca="1" si="45"/>
        <v>0.72423900073783964</v>
      </c>
      <c r="Q26" s="91"/>
      <c r="R26" s="20">
        <f t="shared" si="114"/>
        <v>14</v>
      </c>
      <c r="S26" s="20">
        <f t="shared" si="46"/>
        <v>22</v>
      </c>
      <c r="T26" s="2">
        <f t="shared" ca="1" si="47"/>
        <v>0</v>
      </c>
      <c r="U26" s="2">
        <f t="shared" ca="1" si="47"/>
        <v>4.7000000000000004E-5</v>
      </c>
      <c r="V26" s="300">
        <f t="shared" si="48"/>
        <v>0.01</v>
      </c>
      <c r="W26" s="8">
        <f t="shared" ca="1" si="49"/>
        <v>48721.994303983352</v>
      </c>
      <c r="X26" s="10">
        <f t="shared" ca="1" si="50"/>
        <v>1.0000000000000009E-2</v>
      </c>
      <c r="Y26" s="10">
        <f t="shared" ca="1" si="51"/>
        <v>3.0432800002255789E-7</v>
      </c>
      <c r="Z26" s="8">
        <f t="shared" ca="1" si="81"/>
        <v>35681.131921510947</v>
      </c>
      <c r="AA26" s="8">
        <f ca="1">+SUM(Z26:Z$124)</f>
        <v>283189.5004188196</v>
      </c>
      <c r="AB26" s="8">
        <f t="shared" ca="1" si="52"/>
        <v>352.86368468671645</v>
      </c>
      <c r="AC26" s="209">
        <f ca="1">+SUM(AB26:AB$124)*SSSM</f>
        <v>0</v>
      </c>
      <c r="AD26" s="209">
        <f t="shared" ca="1" si="82"/>
        <v>48703.921511804852</v>
      </c>
      <c r="AE26" s="92">
        <f t="shared" ca="1" si="53"/>
        <v>4.7000000000019249E-5</v>
      </c>
      <c r="AF26" s="92">
        <f t="shared" ca="1" si="54"/>
        <v>0</v>
      </c>
      <c r="AG26" s="8">
        <f t="shared" ca="1" si="55"/>
        <v>35667.896468177743</v>
      </c>
      <c r="AH26" s="5">
        <f ca="1">+SUM(AG26:AG$124)</f>
        <v>283032.73733375111</v>
      </c>
      <c r="AI26" s="70">
        <f t="shared" ca="1" si="56"/>
        <v>1.6578441340436938</v>
      </c>
      <c r="AJ26" s="208">
        <f ca="1">+SUM(AB26:AB$124)*SS50J</f>
        <v>0</v>
      </c>
      <c r="AK26" s="209">
        <f t="shared" ca="1" si="83"/>
        <v>48721.994303983352</v>
      </c>
      <c r="AL26" s="257">
        <f t="shared" ca="1" si="57"/>
        <v>3.0432800000000002E-7</v>
      </c>
      <c r="AM26" s="131">
        <f t="shared" ca="1" si="84"/>
        <v>35681.131921510947</v>
      </c>
      <c r="AN26" s="129">
        <f t="shared" ca="1" si="85"/>
        <v>1.0684936793617227E-2</v>
      </c>
      <c r="AO26" s="129">
        <f ca="1">SUM(AN26:AN$124)*SSa</f>
        <v>0.17176980344399975</v>
      </c>
      <c r="AP26" s="70">
        <f t="shared" ca="1" si="86"/>
        <v>48721.994303983352</v>
      </c>
      <c r="AQ26" s="2">
        <f t="shared" ca="1" si="58"/>
        <v>0</v>
      </c>
      <c r="AR26" s="127">
        <f t="shared" ca="1" si="87"/>
        <v>0</v>
      </c>
      <c r="AS26" s="127">
        <f ca="1">SUM(AR26:AR$124)*SSb</f>
        <v>0</v>
      </c>
      <c r="AT26" s="70">
        <f t="shared" ca="1" si="88"/>
        <v>48721.994303983352</v>
      </c>
      <c r="AU26" s="2">
        <f t="shared" ca="1" si="59"/>
        <v>0</v>
      </c>
      <c r="AV26" s="268">
        <f t="shared" ca="1" si="89"/>
        <v>0</v>
      </c>
      <c r="AW26" s="131">
        <f ca="1">SUM(AV26:AV$124)*SSc</f>
        <v>0</v>
      </c>
      <c r="AX26" s="70">
        <f t="shared" ca="1" si="90"/>
        <v>48721.994303983352</v>
      </c>
      <c r="AY26" s="2">
        <f t="shared" ca="1" si="60"/>
        <v>0</v>
      </c>
      <c r="AZ26" s="268">
        <f t="shared" ca="1" si="91"/>
        <v>0</v>
      </c>
      <c r="BA26" s="129">
        <f ca="1">SUM(AZ26:AZ$124)*SSd</f>
        <v>0</v>
      </c>
      <c r="BB26" s="70">
        <f t="shared" ca="1" si="92"/>
        <v>48721.994303983352</v>
      </c>
      <c r="BC26" s="257">
        <f t="shared" ca="1" si="61"/>
        <v>0</v>
      </c>
      <c r="BD26" s="268">
        <f t="shared" ca="1" si="93"/>
        <v>0</v>
      </c>
      <c r="BE26" s="131">
        <f ca="1">SUM(BD26:BD$124)*SSe</f>
        <v>0</v>
      </c>
      <c r="BF26" s="70">
        <f t="shared" ca="1" si="94"/>
        <v>48721.994303983352</v>
      </c>
      <c r="BG26" s="2">
        <f t="shared" ca="1" si="62"/>
        <v>0</v>
      </c>
      <c r="BH26" s="131">
        <f t="shared" ca="1" si="95"/>
        <v>0</v>
      </c>
      <c r="BI26" s="2">
        <f ca="1">SUM(BH26:BH$124)*SSf</f>
        <v>0</v>
      </c>
      <c r="BJ26" s="70">
        <f t="shared" ca="1" si="96"/>
        <v>48721.994303983352</v>
      </c>
      <c r="BK26" s="2">
        <f t="shared" ca="1" si="63"/>
        <v>0</v>
      </c>
      <c r="BL26" s="131">
        <f t="shared" ca="1" si="97"/>
        <v>0</v>
      </c>
      <c r="BM26" s="131">
        <f ca="1">SUM(BL26:BL$124)*SSg</f>
        <v>0</v>
      </c>
      <c r="BN26" s="70">
        <f t="shared" ca="1" si="98"/>
        <v>48721.994303983352</v>
      </c>
      <c r="BO26" s="2">
        <f t="shared" ca="1" si="64"/>
        <v>0</v>
      </c>
      <c r="BP26" s="131">
        <f t="shared" ca="1" si="99"/>
        <v>0</v>
      </c>
      <c r="BQ26" s="131">
        <f ca="1">SUM(BP26:BP$124)*SSh</f>
        <v>0</v>
      </c>
      <c r="BR26" s="70">
        <f t="shared" ca="1" si="100"/>
        <v>48721.994303983352</v>
      </c>
      <c r="BS26" s="2">
        <f t="shared" ca="1" si="65"/>
        <v>0</v>
      </c>
      <c r="BT26" s="131">
        <f t="shared" ca="1" si="101"/>
        <v>0</v>
      </c>
      <c r="BU26" s="131">
        <f ca="1">SUM(BT26:BT$124)*SSi</f>
        <v>0</v>
      </c>
      <c r="BV26" s="70">
        <f t="shared" ca="1" si="102"/>
        <v>48721.994303983352</v>
      </c>
      <c r="BW26" s="2">
        <f t="shared" ca="1" si="66"/>
        <v>0</v>
      </c>
      <c r="BX26" s="131">
        <f t="shared" ca="1" si="103"/>
        <v>0</v>
      </c>
      <c r="BY26" s="131">
        <f ca="1">SUM(BX26:BX$124)*SSj</f>
        <v>0</v>
      </c>
      <c r="BZ26" s="70">
        <f t="shared" ca="1" si="104"/>
        <v>48721.994303983352</v>
      </c>
      <c r="CA26" s="2">
        <f t="shared" ca="1" si="67"/>
        <v>0</v>
      </c>
      <c r="CB26" s="131">
        <f t="shared" ca="1" si="105"/>
        <v>0</v>
      </c>
      <c r="CC26" s="131">
        <f ca="1">SUM(CB26:CB$124)*SSk</f>
        <v>0</v>
      </c>
      <c r="CD26" s="8">
        <f t="shared" ca="1" si="106"/>
        <v>48721.994303983352</v>
      </c>
      <c r="CE26" s="2">
        <f t="shared" ca="1" si="68"/>
        <v>0</v>
      </c>
      <c r="CF26" s="131">
        <f t="shared" ca="1" si="107"/>
        <v>0</v>
      </c>
      <c r="CG26" s="131">
        <f ca="1">SUM(CF26:CF$124)*SSl</f>
        <v>0</v>
      </c>
      <c r="CH26" s="155">
        <f t="shared" si="108"/>
        <v>0.01</v>
      </c>
      <c r="CI26" s="155">
        <f t="shared" ca="1" si="109"/>
        <v>487.21994303983354</v>
      </c>
      <c r="CJ26" s="155">
        <f t="shared" ca="1" si="110"/>
        <v>352.86368468671617</v>
      </c>
      <c r="CK26" s="155">
        <f ca="1">유해지!CY26</f>
        <v>0.28000000000000003</v>
      </c>
      <c r="CL26" s="529">
        <f t="shared" ca="1" si="69"/>
        <v>0.26700000000000002</v>
      </c>
      <c r="CM26" s="155">
        <f t="shared" ca="1" si="111"/>
        <v>94.214603811353228</v>
      </c>
      <c r="CN26" s="155">
        <f ca="1">SUM(CM26:$CM$125)</f>
        <v>405.66221353245612</v>
      </c>
      <c r="CO26" s="101">
        <f t="shared" ca="1" si="112"/>
        <v>0.17176980344399975</v>
      </c>
      <c r="CP26" s="154">
        <f t="shared" ca="1" si="70"/>
        <v>0.1496273831172838</v>
      </c>
      <c r="CQ26" s="154">
        <f t="shared" ca="1" si="71"/>
        <v>405.66221353245612</v>
      </c>
      <c r="CR26" s="32">
        <f t="shared" ca="1" si="72"/>
        <v>0</v>
      </c>
      <c r="CS26" s="32">
        <f t="shared" ca="1" si="73"/>
        <v>0</v>
      </c>
      <c r="CT26" s="32">
        <f t="shared" ca="1" si="74"/>
        <v>0</v>
      </c>
      <c r="CU26" s="32">
        <f t="shared" ca="1" si="75"/>
        <v>0</v>
      </c>
      <c r="CV26" s="32">
        <f t="shared" ca="1" si="76"/>
        <v>255633.79528234093</v>
      </c>
      <c r="CW26" s="32">
        <f t="shared" ca="1" si="77"/>
        <v>0</v>
      </c>
      <c r="CX26" s="259">
        <f ca="1">IF(R26&lt;m,0,ROUND(IF($R26&gt;nB,0,GPB*mB*mmB*유해지!CY26),roundB))</f>
        <v>1.01E-5</v>
      </c>
      <c r="CY26" s="262">
        <f t="shared" ca="1" si="78"/>
        <v>1.01E-5</v>
      </c>
      <c r="CZ26" s="259">
        <f t="shared" ca="1" si="79"/>
        <v>1.1767144019152338E-5</v>
      </c>
      <c r="DA26" s="31">
        <f t="shared" si="80"/>
        <v>5</v>
      </c>
    </row>
    <row r="27" spans="2:105">
      <c r="B27" s="124" t="s">
        <v>46</v>
      </c>
      <c r="C27" s="121">
        <f ca="1">MAIN!I15</f>
        <v>2.5000000000000001E-2</v>
      </c>
      <c r="G27" s="18" t="s">
        <v>67</v>
      </c>
      <c r="H27" s="254">
        <f ca="1">(1-$C$24-$C$27)</f>
        <v>0.625</v>
      </c>
      <c r="I27" s="254"/>
      <c r="J27" s="254"/>
      <c r="K27" s="254">
        <f t="shared" ref="K27" ca="1" si="115">(1-$C$24-$C$27)</f>
        <v>0.625</v>
      </c>
      <c r="N27" s="5">
        <f t="shared" si="113"/>
        <v>15</v>
      </c>
      <c r="O27" s="2">
        <f t="shared" ca="1" si="44"/>
        <v>0.7162262759946596</v>
      </c>
      <c r="P27" s="2">
        <f t="shared" ca="1" si="45"/>
        <v>0.70830220121060106</v>
      </c>
      <c r="Q27" s="91"/>
      <c r="R27" s="20">
        <f t="shared" si="114"/>
        <v>15</v>
      </c>
      <c r="S27" s="20">
        <f t="shared" si="46"/>
        <v>23</v>
      </c>
      <c r="T27" s="2">
        <f t="shared" ca="1" si="47"/>
        <v>0</v>
      </c>
      <c r="U27" s="2">
        <f t="shared" ca="1" si="47"/>
        <v>4.7000000000000004E-5</v>
      </c>
      <c r="V27" s="300">
        <f t="shared" si="48"/>
        <v>0.01</v>
      </c>
      <c r="W27" s="8">
        <f t="shared" ca="1" si="49"/>
        <v>48234.759681751108</v>
      </c>
      <c r="X27" s="10">
        <f t="shared" ca="1" si="50"/>
        <v>1.0000000000000009E-2</v>
      </c>
      <c r="Y27" s="10">
        <f t="shared" ca="1" si="51"/>
        <v>3.7524800000632297E-7</v>
      </c>
      <c r="Z27" s="8">
        <f t="shared" ca="1" si="81"/>
        <v>34547.002300357948</v>
      </c>
      <c r="AA27" s="8">
        <f ca="1">+SUM(Z27:Z$124)</f>
        <v>247508.36849730866</v>
      </c>
      <c r="AB27" s="8">
        <f t="shared" ca="1" si="52"/>
        <v>341.6478645744869</v>
      </c>
      <c r="AC27" s="209">
        <f ca="1">+SUM(AB27:AB$124)*SSSM</f>
        <v>0</v>
      </c>
      <c r="AD27" s="209">
        <f t="shared" ca="1" si="82"/>
        <v>48214.601430161172</v>
      </c>
      <c r="AE27" s="92">
        <f t="shared" ca="1" si="53"/>
        <v>4.7000000000019249E-5</v>
      </c>
      <c r="AF27" s="92">
        <f t="shared" ca="1" si="54"/>
        <v>0</v>
      </c>
      <c r="AG27" s="8">
        <f t="shared" ca="1" si="55"/>
        <v>34532.564430891129</v>
      </c>
      <c r="AH27" s="5">
        <f ca="1">+SUM(AG27:AG$124)</f>
        <v>247364.84086557341</v>
      </c>
      <c r="AI27" s="70">
        <f t="shared" ca="1" si="56"/>
        <v>1.6050738912039801</v>
      </c>
      <c r="AJ27" s="208">
        <f ca="1">+SUM(AB27:AB$124)*SS50J</f>
        <v>0</v>
      </c>
      <c r="AK27" s="209">
        <f t="shared" ca="1" si="83"/>
        <v>48234.759681751108</v>
      </c>
      <c r="AL27" s="257">
        <f t="shared" ca="1" si="57"/>
        <v>3.7524799999999997E-7</v>
      </c>
      <c r="AM27" s="131">
        <f t="shared" ca="1" si="84"/>
        <v>34547.002300357948</v>
      </c>
      <c r="AN27" s="129">
        <f t="shared" ca="1" si="85"/>
        <v>1.2756166449641769E-2</v>
      </c>
      <c r="AO27" s="129">
        <f ca="1">SUM(AN27:AN$124)*SSa</f>
        <v>0.16108486665038252</v>
      </c>
      <c r="AP27" s="70">
        <f t="shared" ca="1" si="86"/>
        <v>48234.759681751108</v>
      </c>
      <c r="AQ27" s="2">
        <f t="shared" ca="1" si="58"/>
        <v>0</v>
      </c>
      <c r="AR27" s="127">
        <f t="shared" ca="1" si="87"/>
        <v>0</v>
      </c>
      <c r="AS27" s="127">
        <f ca="1">SUM(AR27:AR$124)*SSb</f>
        <v>0</v>
      </c>
      <c r="AT27" s="70">
        <f t="shared" ca="1" si="88"/>
        <v>48234.759681751108</v>
      </c>
      <c r="AU27" s="2">
        <f t="shared" ca="1" si="59"/>
        <v>0</v>
      </c>
      <c r="AV27" s="268">
        <f t="shared" ca="1" si="89"/>
        <v>0</v>
      </c>
      <c r="AW27" s="131">
        <f ca="1">SUM(AV27:AV$124)*SSc</f>
        <v>0</v>
      </c>
      <c r="AX27" s="70">
        <f t="shared" ca="1" si="90"/>
        <v>48234.759681751108</v>
      </c>
      <c r="AY27" s="2">
        <f t="shared" ca="1" si="60"/>
        <v>0</v>
      </c>
      <c r="AZ27" s="268">
        <f t="shared" ca="1" si="91"/>
        <v>0</v>
      </c>
      <c r="BA27" s="129">
        <f ca="1">SUM(AZ27:AZ$124)*SSd</f>
        <v>0</v>
      </c>
      <c r="BB27" s="70">
        <f t="shared" ca="1" si="92"/>
        <v>48234.759681751108</v>
      </c>
      <c r="BC27" s="257">
        <f t="shared" ca="1" si="61"/>
        <v>0</v>
      </c>
      <c r="BD27" s="268">
        <f t="shared" ca="1" si="93"/>
        <v>0</v>
      </c>
      <c r="BE27" s="131">
        <f ca="1">SUM(BD27:BD$124)*SSe</f>
        <v>0</v>
      </c>
      <c r="BF27" s="70">
        <f t="shared" ca="1" si="94"/>
        <v>48234.759681751108</v>
      </c>
      <c r="BG27" s="2">
        <f t="shared" ca="1" si="62"/>
        <v>0</v>
      </c>
      <c r="BH27" s="131">
        <f t="shared" ca="1" si="95"/>
        <v>0</v>
      </c>
      <c r="BI27" s="2">
        <f ca="1">SUM(BH27:BH$124)*SSf</f>
        <v>0</v>
      </c>
      <c r="BJ27" s="70">
        <f t="shared" ca="1" si="96"/>
        <v>48234.759681751108</v>
      </c>
      <c r="BK27" s="2">
        <f t="shared" ca="1" si="63"/>
        <v>0</v>
      </c>
      <c r="BL27" s="131">
        <f t="shared" ca="1" si="97"/>
        <v>0</v>
      </c>
      <c r="BM27" s="131">
        <f ca="1">SUM(BL27:BL$124)*SSg</f>
        <v>0</v>
      </c>
      <c r="BN27" s="70">
        <f t="shared" ca="1" si="98"/>
        <v>48234.759681751108</v>
      </c>
      <c r="BO27" s="2">
        <f t="shared" ca="1" si="64"/>
        <v>0</v>
      </c>
      <c r="BP27" s="131">
        <f t="shared" ca="1" si="99"/>
        <v>0</v>
      </c>
      <c r="BQ27" s="131">
        <f ca="1">SUM(BP27:BP$124)*SSh</f>
        <v>0</v>
      </c>
      <c r="BR27" s="70">
        <f t="shared" ca="1" si="100"/>
        <v>48234.759681751108</v>
      </c>
      <c r="BS27" s="2">
        <f t="shared" ca="1" si="65"/>
        <v>0</v>
      </c>
      <c r="BT27" s="131">
        <f t="shared" ca="1" si="101"/>
        <v>0</v>
      </c>
      <c r="BU27" s="131">
        <f ca="1">SUM(BT27:BT$124)*SSi</f>
        <v>0</v>
      </c>
      <c r="BV27" s="70">
        <f t="shared" ca="1" si="102"/>
        <v>48234.759681751108</v>
      </c>
      <c r="BW27" s="2">
        <f t="shared" ca="1" si="66"/>
        <v>0</v>
      </c>
      <c r="BX27" s="131">
        <f t="shared" ca="1" si="103"/>
        <v>0</v>
      </c>
      <c r="BY27" s="131">
        <f ca="1">SUM(BX27:BX$124)*SSj</f>
        <v>0</v>
      </c>
      <c r="BZ27" s="70">
        <f t="shared" ca="1" si="104"/>
        <v>48234.759681751108</v>
      </c>
      <c r="CA27" s="2">
        <f t="shared" ca="1" si="67"/>
        <v>0</v>
      </c>
      <c r="CB27" s="131">
        <f t="shared" ca="1" si="105"/>
        <v>0</v>
      </c>
      <c r="CC27" s="131">
        <f ca="1">SUM(CB27:CB$124)*SSk</f>
        <v>0</v>
      </c>
      <c r="CD27" s="8">
        <f t="shared" ca="1" si="106"/>
        <v>48234.759681751108</v>
      </c>
      <c r="CE27" s="2">
        <f t="shared" ca="1" si="68"/>
        <v>0</v>
      </c>
      <c r="CF27" s="131">
        <f t="shared" ca="1" si="107"/>
        <v>0</v>
      </c>
      <c r="CG27" s="131">
        <f ca="1">SUM(CF27:CF$124)*SSl</f>
        <v>0</v>
      </c>
      <c r="CH27" s="155">
        <f t="shared" si="108"/>
        <v>0.01</v>
      </c>
      <c r="CI27" s="155">
        <f t="shared" ca="1" si="109"/>
        <v>482.34759681751109</v>
      </c>
      <c r="CJ27" s="155">
        <f t="shared" ca="1" si="110"/>
        <v>341.64786457448662</v>
      </c>
      <c r="CK27" s="155">
        <f ca="1">유해지!CY27</f>
        <v>0.254</v>
      </c>
      <c r="CL27" s="529">
        <f t="shared" ca="1" si="69"/>
        <v>0.24099999999999999</v>
      </c>
      <c r="CM27" s="155">
        <f t="shared" ca="1" si="111"/>
        <v>82.337135362451278</v>
      </c>
      <c r="CN27" s="155">
        <f ca="1">SUM(CM27:$CM$125)</f>
        <v>311.44760972110282</v>
      </c>
      <c r="CO27" s="101">
        <f t="shared" ca="1" si="112"/>
        <v>0.16108486665038252</v>
      </c>
      <c r="CP27" s="154">
        <f t="shared" ca="1" si="70"/>
        <v>0.13894244632366656</v>
      </c>
      <c r="CQ27" s="154">
        <f t="shared" ca="1" si="71"/>
        <v>311.44760972110282</v>
      </c>
      <c r="CR27" s="32">
        <f t="shared" ca="1" si="72"/>
        <v>0</v>
      </c>
      <c r="CS27" s="32">
        <f t="shared" ca="1" si="73"/>
        <v>0</v>
      </c>
      <c r="CT27" s="32">
        <f t="shared" ca="1" si="74"/>
        <v>0</v>
      </c>
      <c r="CU27" s="32">
        <f t="shared" ca="1" si="75"/>
        <v>0</v>
      </c>
      <c r="CV27" s="32">
        <f t="shared" ca="1" si="76"/>
        <v>219952.66336082999</v>
      </c>
      <c r="CW27" s="32">
        <f t="shared" ca="1" si="77"/>
        <v>0</v>
      </c>
      <c r="CX27" s="259">
        <f ca="1">IF(R27&lt;m,0,ROUND(IF($R27&gt;nB,0,GPB*mB*mmB*유해지!CY27),roundB))</f>
        <v>9.0999999999999993E-6</v>
      </c>
      <c r="CY27" s="262">
        <f t="shared" ca="1" si="78"/>
        <v>9.0999999999999993E-6</v>
      </c>
      <c r="CZ27" s="259">
        <f t="shared" ca="1" si="79"/>
        <v>1.0713150171950562E-5</v>
      </c>
      <c r="DA27" s="31">
        <f t="shared" si="80"/>
        <v>5</v>
      </c>
    </row>
    <row r="28" spans="2:105">
      <c r="B28" s="118" t="s">
        <v>159</v>
      </c>
      <c r="C28" s="18"/>
      <c r="G28" s="18" t="s">
        <v>73</v>
      </c>
      <c r="H28" s="294">
        <f ca="1">+H26/H27</f>
        <v>6.064400350812224E-7</v>
      </c>
      <c r="I28" s="294"/>
      <c r="J28" s="294"/>
      <c r="K28" s="294" t="e">
        <f ca="1">+K26/K27</f>
        <v>#REF!</v>
      </c>
      <c r="N28" s="5">
        <f t="shared" si="113"/>
        <v>16</v>
      </c>
      <c r="O28" s="2">
        <f t="shared" ca="1" si="44"/>
        <v>0.70046579559379929</v>
      </c>
      <c r="P28" s="2">
        <f t="shared" ca="1" si="45"/>
        <v>0.69271608920352201</v>
      </c>
      <c r="Q28" s="91"/>
      <c r="R28" s="20">
        <f t="shared" si="114"/>
        <v>16</v>
      </c>
      <c r="S28" s="20">
        <f t="shared" si="46"/>
        <v>24</v>
      </c>
      <c r="T28" s="2">
        <f t="shared" ca="1" si="47"/>
        <v>0</v>
      </c>
      <c r="U28" s="2">
        <f t="shared" ca="1" si="47"/>
        <v>4.7000000000000004E-5</v>
      </c>
      <c r="V28" s="300">
        <f t="shared" si="48"/>
        <v>0.01</v>
      </c>
      <c r="W28" s="8">
        <f t="shared" ca="1" si="49"/>
        <v>47752.394165936465</v>
      </c>
      <c r="X28" s="10">
        <f t="shared" ca="1" si="50"/>
        <v>1.0000000000000009E-2</v>
      </c>
      <c r="Y28" s="10">
        <f t="shared" ca="1" si="51"/>
        <v>4.6241100004618119E-7</v>
      </c>
      <c r="Z28" s="8">
        <f t="shared" ca="1" si="81"/>
        <v>33448.918770951386</v>
      </c>
      <c r="AA28" s="8">
        <f ca="1">+SUM(Z28:Z$124)</f>
        <v>212961.36619695072</v>
      </c>
      <c r="AB28" s="8">
        <f t="shared" ca="1" si="52"/>
        <v>330.78851736732616</v>
      </c>
      <c r="AC28" s="209">
        <f ca="1">+SUM(AB28:AB$124)*SSSM</f>
        <v>0</v>
      </c>
      <c r="AD28" s="209">
        <f t="shared" ca="1" si="82"/>
        <v>47730.194079788416</v>
      </c>
      <c r="AE28" s="92">
        <f t="shared" ca="1" si="53"/>
        <v>4.7000000000019249E-5</v>
      </c>
      <c r="AF28" s="92">
        <f t="shared" ca="1" si="54"/>
        <v>0</v>
      </c>
      <c r="AG28" s="8">
        <f t="shared" ca="1" si="55"/>
        <v>33433.368369945441</v>
      </c>
      <c r="AH28" s="5">
        <f ca="1">+SUM(AG28:AG$124)</f>
        <v>212832.27643468228</v>
      </c>
      <c r="AI28" s="70">
        <f t="shared" ca="1" si="56"/>
        <v>1.5539832488548146</v>
      </c>
      <c r="AJ28" s="208">
        <f ca="1">+SUM(AB28:AB$124)*SS50J</f>
        <v>0</v>
      </c>
      <c r="AK28" s="209">
        <f t="shared" ca="1" si="83"/>
        <v>47752.394165936465</v>
      </c>
      <c r="AL28" s="257">
        <f t="shared" ca="1" si="57"/>
        <v>4.6241100000000005E-7</v>
      </c>
      <c r="AM28" s="131">
        <f t="shared" ca="1" si="84"/>
        <v>33448.918770951386</v>
      </c>
      <c r="AN28" s="129">
        <f t="shared" ca="1" si="85"/>
        <v>1.5219544785882081E-2</v>
      </c>
      <c r="AO28" s="129">
        <f ca="1">SUM(AN28:AN$124)*SSa</f>
        <v>0.14832870020074074</v>
      </c>
      <c r="AP28" s="70">
        <f t="shared" ca="1" si="86"/>
        <v>47752.394165936465</v>
      </c>
      <c r="AQ28" s="2">
        <f t="shared" ca="1" si="58"/>
        <v>0</v>
      </c>
      <c r="AR28" s="127">
        <f t="shared" ca="1" si="87"/>
        <v>0</v>
      </c>
      <c r="AS28" s="127">
        <f ca="1">SUM(AR28:AR$124)*SSb</f>
        <v>0</v>
      </c>
      <c r="AT28" s="70">
        <f t="shared" ca="1" si="88"/>
        <v>47752.394165936465</v>
      </c>
      <c r="AU28" s="2">
        <f t="shared" ca="1" si="59"/>
        <v>0</v>
      </c>
      <c r="AV28" s="268">
        <f t="shared" ca="1" si="89"/>
        <v>0</v>
      </c>
      <c r="AW28" s="131">
        <f ca="1">SUM(AV28:AV$124)*SSc</f>
        <v>0</v>
      </c>
      <c r="AX28" s="70">
        <f t="shared" ca="1" si="90"/>
        <v>47752.394165936465</v>
      </c>
      <c r="AY28" s="2">
        <f t="shared" ca="1" si="60"/>
        <v>0</v>
      </c>
      <c r="AZ28" s="268">
        <f t="shared" ca="1" si="91"/>
        <v>0</v>
      </c>
      <c r="BA28" s="129">
        <f ca="1">SUM(AZ28:AZ$124)*SSd</f>
        <v>0</v>
      </c>
      <c r="BB28" s="70">
        <f t="shared" ca="1" si="92"/>
        <v>47752.394165936465</v>
      </c>
      <c r="BC28" s="257">
        <f t="shared" ca="1" si="61"/>
        <v>0</v>
      </c>
      <c r="BD28" s="268">
        <f t="shared" ca="1" si="93"/>
        <v>0</v>
      </c>
      <c r="BE28" s="131">
        <f ca="1">SUM(BD28:BD$124)*SSe</f>
        <v>0</v>
      </c>
      <c r="BF28" s="70">
        <f t="shared" ca="1" si="94"/>
        <v>47752.394165936465</v>
      </c>
      <c r="BG28" s="2">
        <f t="shared" ca="1" si="62"/>
        <v>0</v>
      </c>
      <c r="BH28" s="131">
        <f t="shared" ca="1" si="95"/>
        <v>0</v>
      </c>
      <c r="BI28" s="2">
        <f ca="1">SUM(BH28:BH$124)*SSf</f>
        <v>0</v>
      </c>
      <c r="BJ28" s="70">
        <f t="shared" ca="1" si="96"/>
        <v>47752.394165936465</v>
      </c>
      <c r="BK28" s="2">
        <f t="shared" ca="1" si="63"/>
        <v>0</v>
      </c>
      <c r="BL28" s="131">
        <f t="shared" ca="1" si="97"/>
        <v>0</v>
      </c>
      <c r="BM28" s="131">
        <f ca="1">SUM(BL28:BL$124)*SSg</f>
        <v>0</v>
      </c>
      <c r="BN28" s="70">
        <f t="shared" ca="1" si="98"/>
        <v>47752.394165936465</v>
      </c>
      <c r="BO28" s="2">
        <f t="shared" ca="1" si="64"/>
        <v>0</v>
      </c>
      <c r="BP28" s="131">
        <f t="shared" ca="1" si="99"/>
        <v>0</v>
      </c>
      <c r="BQ28" s="131">
        <f ca="1">SUM(BP28:BP$124)*SSh</f>
        <v>0</v>
      </c>
      <c r="BR28" s="70">
        <f t="shared" ca="1" si="100"/>
        <v>47752.394165936465</v>
      </c>
      <c r="BS28" s="2">
        <f t="shared" ca="1" si="65"/>
        <v>0</v>
      </c>
      <c r="BT28" s="131">
        <f t="shared" ca="1" si="101"/>
        <v>0</v>
      </c>
      <c r="BU28" s="131">
        <f ca="1">SUM(BT28:BT$124)*SSi</f>
        <v>0</v>
      </c>
      <c r="BV28" s="70">
        <f t="shared" ca="1" si="102"/>
        <v>47752.394165936465</v>
      </c>
      <c r="BW28" s="2">
        <f t="shared" ca="1" si="66"/>
        <v>0</v>
      </c>
      <c r="BX28" s="131">
        <f t="shared" ca="1" si="103"/>
        <v>0</v>
      </c>
      <c r="BY28" s="131">
        <f ca="1">SUM(BX28:BX$124)*SSj</f>
        <v>0</v>
      </c>
      <c r="BZ28" s="70">
        <f t="shared" ca="1" si="104"/>
        <v>47752.394165936465</v>
      </c>
      <c r="CA28" s="2">
        <f t="shared" ca="1" si="67"/>
        <v>0</v>
      </c>
      <c r="CB28" s="131">
        <f t="shared" ca="1" si="105"/>
        <v>0</v>
      </c>
      <c r="CC28" s="131">
        <f ca="1">SUM(CB28:CB$124)*SSk</f>
        <v>0</v>
      </c>
      <c r="CD28" s="8">
        <f t="shared" ca="1" si="106"/>
        <v>47752.394165936465</v>
      </c>
      <c r="CE28" s="2">
        <f t="shared" ca="1" si="68"/>
        <v>0</v>
      </c>
      <c r="CF28" s="131">
        <f t="shared" ca="1" si="107"/>
        <v>0</v>
      </c>
      <c r="CG28" s="131">
        <f ca="1">SUM(CF28:CF$124)*SSl</f>
        <v>0</v>
      </c>
      <c r="CH28" s="155">
        <f t="shared" si="108"/>
        <v>0.01</v>
      </c>
      <c r="CI28" s="155">
        <f t="shared" ca="1" si="109"/>
        <v>477.52394165936465</v>
      </c>
      <c r="CJ28" s="155">
        <f t="shared" ca="1" si="110"/>
        <v>330.78851736732588</v>
      </c>
      <c r="CK28" s="155">
        <f ca="1">유해지!CY28</f>
        <v>0.22800000000000001</v>
      </c>
      <c r="CL28" s="529">
        <f t="shared" ca="1" si="69"/>
        <v>0.21250000000000002</v>
      </c>
      <c r="CM28" s="155">
        <f t="shared" ca="1" si="111"/>
        <v>70.292559940556757</v>
      </c>
      <c r="CN28" s="155">
        <f ca="1">SUM(CM28:$CM$125)</f>
        <v>229.11047435865152</v>
      </c>
      <c r="CO28" s="101">
        <f t="shared" ca="1" si="112"/>
        <v>0.14832870020074074</v>
      </c>
      <c r="CP28" s="154">
        <f t="shared" ca="1" si="70"/>
        <v>0.12618627987402478</v>
      </c>
      <c r="CQ28" s="154">
        <f t="shared" ca="1" si="71"/>
        <v>229.11047435865152</v>
      </c>
      <c r="CR28" s="32">
        <f t="shared" ca="1" si="72"/>
        <v>0</v>
      </c>
      <c r="CS28" s="32">
        <f t="shared" ca="1" si="73"/>
        <v>0</v>
      </c>
      <c r="CT28" s="32">
        <f t="shared" ca="1" si="74"/>
        <v>0</v>
      </c>
      <c r="CU28" s="32">
        <f t="shared" ca="1" si="75"/>
        <v>0</v>
      </c>
      <c r="CV28" s="32">
        <f t="shared" ca="1" si="76"/>
        <v>185405.66106047205</v>
      </c>
      <c r="CW28" s="32">
        <f t="shared" ca="1" si="77"/>
        <v>0</v>
      </c>
      <c r="CX28" s="259">
        <f ca="1">IF(R28&lt;m,0,ROUND(IF($R28&gt;nB,0,GPB*mB*mmB*유해지!CY28),roundB))</f>
        <v>8.1999999999999994E-6</v>
      </c>
      <c r="CY28" s="262">
        <f t="shared" ca="1" si="78"/>
        <v>8.1999999999999994E-6</v>
      </c>
      <c r="CZ28" s="259">
        <f t="shared" ca="1" si="79"/>
        <v>9.5620405610591019E-6</v>
      </c>
      <c r="DA28" s="31">
        <f t="shared" si="80"/>
        <v>5</v>
      </c>
    </row>
    <row r="29" spans="2:105">
      <c r="G29" s="18" t="s">
        <v>74</v>
      </c>
      <c r="H29" s="253">
        <f ca="1">+ROUND(H28,roundB)</f>
        <v>5.9999999999999997E-7</v>
      </c>
      <c r="I29" s="304"/>
      <c r="J29" s="304"/>
      <c r="K29" s="253" t="e">
        <f ca="1">+ROUND(K28,roundB)</f>
        <v>#REF!</v>
      </c>
      <c r="N29" s="5">
        <f t="shared" si="113"/>
        <v>17</v>
      </c>
      <c r="O29" s="2">
        <f t="shared" ca="1" si="44"/>
        <v>0.68505212283012151</v>
      </c>
      <c r="P29" s="2">
        <f t="shared" ca="1" si="45"/>
        <v>0.67747294787630519</v>
      </c>
      <c r="Q29" s="91"/>
      <c r="R29" s="20">
        <f t="shared" si="114"/>
        <v>17</v>
      </c>
      <c r="S29" s="20">
        <f t="shared" si="46"/>
        <v>25</v>
      </c>
      <c r="T29" s="2">
        <f t="shared" ca="1" si="47"/>
        <v>0</v>
      </c>
      <c r="U29" s="2">
        <f t="shared" ca="1" si="47"/>
        <v>4.8000000000000001E-5</v>
      </c>
      <c r="V29" s="300">
        <f t="shared" si="48"/>
        <v>0.01</v>
      </c>
      <c r="W29" s="8">
        <f t="shared" ca="1" si="49"/>
        <v>47274.848363857076</v>
      </c>
      <c r="X29" s="10">
        <f t="shared" ca="1" si="50"/>
        <v>1.0000000000000009E-2</v>
      </c>
      <c r="Y29" s="10">
        <f t="shared" ca="1" si="51"/>
        <v>5.613719999963962E-7</v>
      </c>
      <c r="Z29" s="8">
        <f t="shared" ca="1" si="81"/>
        <v>32385.735228132387</v>
      </c>
      <c r="AA29" s="8">
        <f ca="1">+SUM(Z29:Z$124)</f>
        <v>179512.44742599933</v>
      </c>
      <c r="AB29" s="8">
        <f t="shared" ca="1" si="52"/>
        <v>320.27430881467609</v>
      </c>
      <c r="AC29" s="209">
        <f ca="1">+SUM(AB29:AB$124)*SSSM</f>
        <v>0</v>
      </c>
      <c r="AD29" s="209">
        <f t="shared" ca="1" si="82"/>
        <v>47250.649403829848</v>
      </c>
      <c r="AE29" s="92">
        <f t="shared" ca="1" si="53"/>
        <v>4.8000000000048004E-5</v>
      </c>
      <c r="AF29" s="92">
        <f t="shared" ca="1" si="54"/>
        <v>0</v>
      </c>
      <c r="AG29" s="8">
        <f t="shared" ca="1" si="55"/>
        <v>32369.157679195454</v>
      </c>
      <c r="AH29" s="5">
        <f ca="1">+SUM(AG29:AG$124)</f>
        <v>179398.90806473681</v>
      </c>
      <c r="AI29" s="70">
        <f t="shared" ca="1" si="56"/>
        <v>1.5365297635542914</v>
      </c>
      <c r="AJ29" s="208">
        <f ca="1">+SUM(AB29:AB$124)*SS50J</f>
        <v>0</v>
      </c>
      <c r="AK29" s="209">
        <f t="shared" ca="1" si="83"/>
        <v>47274.848363857076</v>
      </c>
      <c r="AL29" s="257">
        <f t="shared" ca="1" si="57"/>
        <v>5.6137200000000001E-7</v>
      </c>
      <c r="AM29" s="131">
        <f t="shared" ca="1" si="84"/>
        <v>32385.735228132387</v>
      </c>
      <c r="AN29" s="129">
        <f t="shared" ca="1" si="85"/>
        <v>1.7889406414147262E-2</v>
      </c>
      <c r="AO29" s="129">
        <f ca="1">SUM(AN29:AN$124)*SSa</f>
        <v>0.13310915541485865</v>
      </c>
      <c r="AP29" s="70">
        <f t="shared" ca="1" si="86"/>
        <v>47274.848363857076</v>
      </c>
      <c r="AQ29" s="2">
        <f t="shared" ca="1" si="58"/>
        <v>0</v>
      </c>
      <c r="AR29" s="127">
        <f t="shared" ca="1" si="87"/>
        <v>0</v>
      </c>
      <c r="AS29" s="127">
        <f ca="1">SUM(AR29:AR$124)*SSb</f>
        <v>0</v>
      </c>
      <c r="AT29" s="70">
        <f t="shared" ca="1" si="88"/>
        <v>47274.848363857076</v>
      </c>
      <c r="AU29" s="2">
        <f t="shared" ca="1" si="59"/>
        <v>0</v>
      </c>
      <c r="AV29" s="268">
        <f t="shared" ca="1" si="89"/>
        <v>0</v>
      </c>
      <c r="AW29" s="131">
        <f ca="1">SUM(AV29:AV$124)*SSc</f>
        <v>0</v>
      </c>
      <c r="AX29" s="70">
        <f t="shared" ca="1" si="90"/>
        <v>47274.848363857076</v>
      </c>
      <c r="AY29" s="2">
        <f t="shared" ca="1" si="60"/>
        <v>0</v>
      </c>
      <c r="AZ29" s="268">
        <f t="shared" ca="1" si="91"/>
        <v>0</v>
      </c>
      <c r="BA29" s="129">
        <f ca="1">SUM(AZ29:AZ$124)*SSd</f>
        <v>0</v>
      </c>
      <c r="BB29" s="70">
        <f t="shared" ca="1" si="92"/>
        <v>47274.848363857076</v>
      </c>
      <c r="BC29" s="257">
        <f t="shared" ca="1" si="61"/>
        <v>0</v>
      </c>
      <c r="BD29" s="268">
        <f t="shared" ca="1" si="93"/>
        <v>0</v>
      </c>
      <c r="BE29" s="131">
        <f ca="1">SUM(BD29:BD$124)*SSe</f>
        <v>0</v>
      </c>
      <c r="BF29" s="70">
        <f t="shared" ca="1" si="94"/>
        <v>47274.848363857076</v>
      </c>
      <c r="BG29" s="2">
        <f t="shared" ca="1" si="62"/>
        <v>0</v>
      </c>
      <c r="BH29" s="131">
        <f t="shared" ca="1" si="95"/>
        <v>0</v>
      </c>
      <c r="BI29" s="2">
        <f ca="1">SUM(BH29:BH$124)*SSf</f>
        <v>0</v>
      </c>
      <c r="BJ29" s="70">
        <f t="shared" ca="1" si="96"/>
        <v>47274.848363857076</v>
      </c>
      <c r="BK29" s="2">
        <f t="shared" ca="1" si="63"/>
        <v>0</v>
      </c>
      <c r="BL29" s="131">
        <f t="shared" ca="1" si="97"/>
        <v>0</v>
      </c>
      <c r="BM29" s="131">
        <f ca="1">SUM(BL29:BL$124)*SSg</f>
        <v>0</v>
      </c>
      <c r="BN29" s="70">
        <f t="shared" ca="1" si="98"/>
        <v>47274.848363857076</v>
      </c>
      <c r="BO29" s="2">
        <f t="shared" ca="1" si="64"/>
        <v>0</v>
      </c>
      <c r="BP29" s="131">
        <f t="shared" ca="1" si="99"/>
        <v>0</v>
      </c>
      <c r="BQ29" s="131">
        <f ca="1">SUM(BP29:BP$124)*SSh</f>
        <v>0</v>
      </c>
      <c r="BR29" s="70">
        <f t="shared" ca="1" si="100"/>
        <v>47274.848363857076</v>
      </c>
      <c r="BS29" s="2">
        <f t="shared" ca="1" si="65"/>
        <v>0</v>
      </c>
      <c r="BT29" s="131">
        <f t="shared" ca="1" si="101"/>
        <v>0</v>
      </c>
      <c r="BU29" s="131">
        <f ca="1">SUM(BT29:BT$124)*SSi</f>
        <v>0</v>
      </c>
      <c r="BV29" s="70">
        <f t="shared" ca="1" si="102"/>
        <v>47274.848363857076</v>
      </c>
      <c r="BW29" s="2">
        <f t="shared" ca="1" si="66"/>
        <v>0</v>
      </c>
      <c r="BX29" s="131">
        <f t="shared" ca="1" si="103"/>
        <v>0</v>
      </c>
      <c r="BY29" s="131">
        <f ca="1">SUM(BX29:BX$124)*SSj</f>
        <v>0</v>
      </c>
      <c r="BZ29" s="70">
        <f t="shared" ca="1" si="104"/>
        <v>47274.848363857076</v>
      </c>
      <c r="CA29" s="2">
        <f t="shared" ca="1" si="67"/>
        <v>0</v>
      </c>
      <c r="CB29" s="131">
        <f t="shared" ca="1" si="105"/>
        <v>0</v>
      </c>
      <c r="CC29" s="131">
        <f ca="1">SUM(CB29:CB$124)*SSk</f>
        <v>0</v>
      </c>
      <c r="CD29" s="8">
        <f t="shared" ca="1" si="106"/>
        <v>47274.848363857076</v>
      </c>
      <c r="CE29" s="2">
        <f t="shared" ca="1" si="68"/>
        <v>0</v>
      </c>
      <c r="CF29" s="131">
        <f t="shared" ca="1" si="107"/>
        <v>0</v>
      </c>
      <c r="CG29" s="131">
        <f ca="1">SUM(CF29:CF$124)*SSl</f>
        <v>0</v>
      </c>
      <c r="CH29" s="155">
        <f t="shared" si="108"/>
        <v>0.01</v>
      </c>
      <c r="CI29" s="155">
        <f t="shared" ca="1" si="109"/>
        <v>472.74848363857075</v>
      </c>
      <c r="CJ29" s="155">
        <f t="shared" ca="1" si="110"/>
        <v>320.27430881467575</v>
      </c>
      <c r="CK29" s="155">
        <f ca="1">유해지!CY29</f>
        <v>0.19700000000000001</v>
      </c>
      <c r="CL29" s="529">
        <f t="shared" ca="1" si="69"/>
        <v>0.18049999999999999</v>
      </c>
      <c r="CM29" s="155">
        <f t="shared" ca="1" si="111"/>
        <v>57.80951274104897</v>
      </c>
      <c r="CN29" s="155">
        <f ca="1">SUM(CM29:$CM$125)</f>
        <v>158.8179144180948</v>
      </c>
      <c r="CO29" s="101">
        <f t="shared" ca="1" si="112"/>
        <v>0.13310915541485865</v>
      </c>
      <c r="CP29" s="154">
        <f t="shared" ca="1" si="70"/>
        <v>0.1109667350881427</v>
      </c>
      <c r="CQ29" s="154">
        <f t="shared" ca="1" si="71"/>
        <v>158.8179144180948</v>
      </c>
      <c r="CR29" s="32">
        <f t="shared" ca="1" si="72"/>
        <v>0</v>
      </c>
      <c r="CS29" s="32">
        <f t="shared" ca="1" si="73"/>
        <v>0</v>
      </c>
      <c r="CT29" s="32">
        <f t="shared" ca="1" si="74"/>
        <v>0</v>
      </c>
      <c r="CU29" s="32">
        <f t="shared" ca="1" si="75"/>
        <v>0</v>
      </c>
      <c r="CV29" s="32">
        <f t="shared" ca="1" si="76"/>
        <v>151956.74228952065</v>
      </c>
      <c r="CW29" s="32">
        <f t="shared" ca="1" si="77"/>
        <v>0</v>
      </c>
      <c r="CX29" s="259">
        <f ca="1">IF(R29&lt;m,0,ROUND(IF($R29&gt;nB,0,GPB*mB*mmB*유해지!CY29),roundB))</f>
        <v>7.0999999999999998E-6</v>
      </c>
      <c r="CY29" s="262">
        <f t="shared" ca="1" si="78"/>
        <v>7.0999999999999998E-6</v>
      </c>
      <c r="CZ29" s="259">
        <f t="shared" ca="1" si="79"/>
        <v>8.2950385533738174E-6</v>
      </c>
      <c r="DA29" s="31">
        <f t="shared" si="80"/>
        <v>5</v>
      </c>
    </row>
    <row r="30" spans="2:105">
      <c r="B30" s="13" t="s">
        <v>161</v>
      </c>
      <c r="H30" s="333"/>
      <c r="N30" s="5">
        <f t="shared" si="113"/>
        <v>18</v>
      </c>
      <c r="O30" s="2">
        <f t="shared" ca="1" si="44"/>
        <v>0.66997762623972779</v>
      </c>
      <c r="P30" s="2">
        <f t="shared" ca="1" si="45"/>
        <v>0.66256523019687541</v>
      </c>
      <c r="Q30" s="91"/>
      <c r="R30" s="20">
        <f t="shared" si="114"/>
        <v>18</v>
      </c>
      <c r="S30" s="20">
        <f t="shared" si="46"/>
        <v>26</v>
      </c>
      <c r="T30" s="2">
        <f t="shared" ca="1" si="47"/>
        <v>0</v>
      </c>
      <c r="U30" s="2">
        <f t="shared" ca="1" si="47"/>
        <v>5.0000000000000002E-5</v>
      </c>
      <c r="V30" s="300">
        <f t="shared" si="48"/>
        <v>0.01</v>
      </c>
      <c r="W30" s="8">
        <f t="shared" ca="1" si="49"/>
        <v>46802.07360683009</v>
      </c>
      <c r="X30" s="10">
        <f t="shared" ca="1" si="50"/>
        <v>1.0000000000000009E-2</v>
      </c>
      <c r="Y30" s="10">
        <f t="shared" ca="1" si="51"/>
        <v>6.7692399996488462E-7</v>
      </c>
      <c r="Z30" s="8">
        <f t="shared" ca="1" si="81"/>
        <v>31356.342178201037</v>
      </c>
      <c r="AA30" s="8">
        <f ca="1">+SUM(Z30:Z$124)</f>
        <v>147126.71219786693</v>
      </c>
      <c r="AB30" s="8">
        <f t="shared" ca="1" si="52"/>
        <v>310.09426673000513</v>
      </c>
      <c r="AC30" s="209">
        <f ca="1">+SUM(AB30:AB$124)*SSSM</f>
        <v>0</v>
      </c>
      <c r="AD30" s="209">
        <f t="shared" ca="1" si="82"/>
        <v>46775.871300252707</v>
      </c>
      <c r="AE30" s="92">
        <f t="shared" ca="1" si="53"/>
        <v>4.9999999999994493E-5</v>
      </c>
      <c r="AF30" s="92">
        <f t="shared" ca="1" si="54"/>
        <v>0</v>
      </c>
      <c r="AG30" s="8">
        <f t="shared" ca="1" si="55"/>
        <v>31338.787219038317</v>
      </c>
      <c r="AH30" s="5">
        <f ca="1">+SUM(AG30:AG$124)</f>
        <v>147029.75038554135</v>
      </c>
      <c r="AI30" s="70">
        <f t="shared" ca="1" si="56"/>
        <v>1.549603296785397</v>
      </c>
      <c r="AJ30" s="208">
        <f ca="1">+SUM(AB30:AB$124)*SS50J</f>
        <v>0</v>
      </c>
      <c r="AK30" s="209">
        <f t="shared" ca="1" si="83"/>
        <v>46802.07360683009</v>
      </c>
      <c r="AL30" s="257">
        <f t="shared" ca="1" si="57"/>
        <v>6.7692399999999995E-7</v>
      </c>
      <c r="AM30" s="131">
        <f t="shared" ca="1" si="84"/>
        <v>31356.342178201037</v>
      </c>
      <c r="AN30" s="129">
        <f t="shared" ca="1" si="85"/>
        <v>2.0886070015488211E-2</v>
      </c>
      <c r="AO30" s="129">
        <f ca="1">SUM(AN30:AN$124)*SSa</f>
        <v>0.11521974900071141</v>
      </c>
      <c r="AP30" s="70">
        <f t="shared" ca="1" si="86"/>
        <v>46802.07360683009</v>
      </c>
      <c r="AQ30" s="2">
        <f t="shared" ca="1" si="58"/>
        <v>0</v>
      </c>
      <c r="AR30" s="127">
        <f t="shared" ca="1" si="87"/>
        <v>0</v>
      </c>
      <c r="AS30" s="127">
        <f ca="1">SUM(AR30:AR$124)*SSb</f>
        <v>0</v>
      </c>
      <c r="AT30" s="70">
        <f t="shared" ca="1" si="88"/>
        <v>46802.07360683009</v>
      </c>
      <c r="AU30" s="2">
        <f t="shared" ca="1" si="59"/>
        <v>0</v>
      </c>
      <c r="AV30" s="268">
        <f t="shared" ca="1" si="89"/>
        <v>0</v>
      </c>
      <c r="AW30" s="131">
        <f ca="1">SUM(AV30:AV$124)*SSc</f>
        <v>0</v>
      </c>
      <c r="AX30" s="70">
        <f t="shared" ca="1" si="90"/>
        <v>46802.07360683009</v>
      </c>
      <c r="AY30" s="2">
        <f t="shared" ca="1" si="60"/>
        <v>0</v>
      </c>
      <c r="AZ30" s="268">
        <f t="shared" ca="1" si="91"/>
        <v>0</v>
      </c>
      <c r="BA30" s="129">
        <f ca="1">SUM(AZ30:AZ$124)*SSd</f>
        <v>0</v>
      </c>
      <c r="BB30" s="70">
        <f t="shared" ca="1" si="92"/>
        <v>46802.07360683009</v>
      </c>
      <c r="BC30" s="257">
        <f t="shared" ca="1" si="61"/>
        <v>0</v>
      </c>
      <c r="BD30" s="268">
        <f t="shared" ca="1" si="93"/>
        <v>0</v>
      </c>
      <c r="BE30" s="131">
        <f ca="1">SUM(BD30:BD$124)*SSe</f>
        <v>0</v>
      </c>
      <c r="BF30" s="70">
        <f t="shared" ca="1" si="94"/>
        <v>46802.07360683009</v>
      </c>
      <c r="BG30" s="2">
        <f t="shared" ca="1" si="62"/>
        <v>0</v>
      </c>
      <c r="BH30" s="131">
        <f t="shared" ca="1" si="95"/>
        <v>0</v>
      </c>
      <c r="BI30" s="2">
        <f ca="1">SUM(BH30:BH$124)*SSf</f>
        <v>0</v>
      </c>
      <c r="BJ30" s="70">
        <f t="shared" ca="1" si="96"/>
        <v>46802.07360683009</v>
      </c>
      <c r="BK30" s="2">
        <f t="shared" ca="1" si="63"/>
        <v>0</v>
      </c>
      <c r="BL30" s="131">
        <f t="shared" ca="1" si="97"/>
        <v>0</v>
      </c>
      <c r="BM30" s="131">
        <f ca="1">SUM(BL30:BL$124)*SSg</f>
        <v>0</v>
      </c>
      <c r="BN30" s="70">
        <f t="shared" ca="1" si="98"/>
        <v>46802.07360683009</v>
      </c>
      <c r="BO30" s="2">
        <f t="shared" ca="1" si="64"/>
        <v>0</v>
      </c>
      <c r="BP30" s="131">
        <f t="shared" ca="1" si="99"/>
        <v>0</v>
      </c>
      <c r="BQ30" s="131">
        <f ca="1">SUM(BP30:BP$124)*SSh</f>
        <v>0</v>
      </c>
      <c r="BR30" s="70">
        <f t="shared" ca="1" si="100"/>
        <v>46802.07360683009</v>
      </c>
      <c r="BS30" s="2">
        <f t="shared" ca="1" si="65"/>
        <v>0</v>
      </c>
      <c r="BT30" s="131">
        <f t="shared" ca="1" si="101"/>
        <v>0</v>
      </c>
      <c r="BU30" s="131">
        <f ca="1">SUM(BT30:BT$124)*SSi</f>
        <v>0</v>
      </c>
      <c r="BV30" s="70">
        <f t="shared" ca="1" si="102"/>
        <v>46802.07360683009</v>
      </c>
      <c r="BW30" s="2">
        <f t="shared" ca="1" si="66"/>
        <v>0</v>
      </c>
      <c r="BX30" s="131">
        <f t="shared" ca="1" si="103"/>
        <v>0</v>
      </c>
      <c r="BY30" s="131">
        <f ca="1">SUM(BX30:BX$124)*SSj</f>
        <v>0</v>
      </c>
      <c r="BZ30" s="70">
        <f t="shared" ca="1" si="104"/>
        <v>46802.07360683009</v>
      </c>
      <c r="CA30" s="2">
        <f t="shared" ca="1" si="67"/>
        <v>0</v>
      </c>
      <c r="CB30" s="131">
        <f t="shared" ca="1" si="105"/>
        <v>0</v>
      </c>
      <c r="CC30" s="131">
        <f ca="1">SUM(CB30:CB$124)*SSk</f>
        <v>0</v>
      </c>
      <c r="CD30" s="8">
        <f t="shared" ca="1" si="106"/>
        <v>46802.07360683009</v>
      </c>
      <c r="CE30" s="2">
        <f t="shared" ca="1" si="68"/>
        <v>0</v>
      </c>
      <c r="CF30" s="131">
        <f t="shared" ca="1" si="107"/>
        <v>0</v>
      </c>
      <c r="CG30" s="131">
        <f ca="1">SUM(CF30:CF$124)*SSl</f>
        <v>0</v>
      </c>
      <c r="CH30" s="155">
        <f t="shared" si="108"/>
        <v>0.01</v>
      </c>
      <c r="CI30" s="155">
        <f t="shared" ca="1" si="109"/>
        <v>468.02073606830089</v>
      </c>
      <c r="CJ30" s="155">
        <f t="shared" ca="1" si="110"/>
        <v>310.09426673000485</v>
      </c>
      <c r="CK30" s="155">
        <f ca="1">유해지!CY30</f>
        <v>0.16400000000000001</v>
      </c>
      <c r="CL30" s="529">
        <f t="shared" ca="1" si="69"/>
        <v>0.14500000000000002</v>
      </c>
      <c r="CM30" s="155">
        <f t="shared" ca="1" si="111"/>
        <v>44.963668675850705</v>
      </c>
      <c r="CN30" s="155">
        <f ca="1">SUM(CM30:$CM$125)</f>
        <v>101.00840167704581</v>
      </c>
      <c r="CO30" s="101">
        <f t="shared" ca="1" si="112"/>
        <v>0.11521974900071141</v>
      </c>
      <c r="CP30" s="154">
        <f t="shared" ca="1" si="70"/>
        <v>9.3077328673995458E-2</v>
      </c>
      <c r="CQ30" s="154">
        <f t="shared" ca="1" si="71"/>
        <v>101.00840167704581</v>
      </c>
      <c r="CR30" s="32">
        <f t="shared" ca="1" si="72"/>
        <v>0</v>
      </c>
      <c r="CS30" s="32">
        <f t="shared" ca="1" si="73"/>
        <v>0</v>
      </c>
      <c r="CT30" s="32">
        <f t="shared" ca="1" si="74"/>
        <v>0</v>
      </c>
      <c r="CU30" s="32">
        <f t="shared" ca="1" si="75"/>
        <v>0</v>
      </c>
      <c r="CV30" s="32">
        <f t="shared" ca="1" si="76"/>
        <v>119571.00706138827</v>
      </c>
      <c r="CW30" s="32">
        <f t="shared" ca="1" si="77"/>
        <v>0</v>
      </c>
      <c r="CX30" s="259">
        <f ca="1">IF(R30&lt;m,0,ROUND(IF($R30&gt;nB,0,GPB*mB*mmB*유해지!CY30),roundB))</f>
        <v>5.9000000000000003E-6</v>
      </c>
      <c r="CY30" s="262">
        <f t="shared" ca="1" si="78"/>
        <v>5.9000000000000003E-6</v>
      </c>
      <c r="CZ30" s="259">
        <f t="shared" ca="1" si="79"/>
        <v>6.8976361135042945E-6</v>
      </c>
      <c r="DA30" s="31">
        <f t="shared" si="80"/>
        <v>5</v>
      </c>
    </row>
    <row r="31" spans="2:105">
      <c r="B31" s="18" t="s">
        <v>162</v>
      </c>
      <c r="C31" s="256">
        <f ca="1">ROUND((ALP_GP*H28+ALP_S+ALP_PP*C28)*SB,0)/SB</f>
        <v>0</v>
      </c>
      <c r="D31" s="293">
        <f ca="1">C31*S</f>
        <v>0</v>
      </c>
      <c r="N31" s="5">
        <f t="shared" si="113"/>
        <v>19</v>
      </c>
      <c r="O31" s="2">
        <f t="shared" ca="1" si="44"/>
        <v>0.65523484228824225</v>
      </c>
      <c r="P31" s="2">
        <f t="shared" ca="1" si="45"/>
        <v>0.64798555520476819</v>
      </c>
      <c r="Q31" s="91"/>
      <c r="R31" s="20">
        <f t="shared" si="114"/>
        <v>19</v>
      </c>
      <c r="S31" s="20">
        <f t="shared" si="46"/>
        <v>27</v>
      </c>
      <c r="T31" s="2">
        <f t="shared" ca="1" si="47"/>
        <v>0</v>
      </c>
      <c r="U31" s="2">
        <f t="shared" ca="1" si="47"/>
        <v>5.1E-5</v>
      </c>
      <c r="V31" s="300">
        <f t="shared" si="48"/>
        <v>0.01</v>
      </c>
      <c r="W31" s="8">
        <f t="shared" ca="1" si="49"/>
        <v>46334.021506129386</v>
      </c>
      <c r="X31" s="10">
        <f t="shared" ca="1" si="50"/>
        <v>1.0000000000000009E-2</v>
      </c>
      <c r="Y31" s="10">
        <f t="shared" ca="1" si="51"/>
        <v>8.1868000001428243E-7</v>
      </c>
      <c r="Z31" s="8">
        <f t="shared" ca="1" si="81"/>
        <v>30359.665274148712</v>
      </c>
      <c r="AA31" s="8">
        <f ca="1">+SUM(Z31:Z$124)</f>
        <v>115770.37001966588</v>
      </c>
      <c r="AB31" s="8">
        <f t="shared" ca="1" si="52"/>
        <v>300.23776650518948</v>
      </c>
      <c r="AC31" s="209">
        <f ca="1">+SUM(AB31:AB$124)*SSSM</f>
        <v>0</v>
      </c>
      <c r="AD31" s="209">
        <f t="shared" ca="1" si="82"/>
        <v>46305.765836115366</v>
      </c>
      <c r="AE31" s="92">
        <f t="shared" ca="1" si="53"/>
        <v>5.1000000000023249E-5</v>
      </c>
      <c r="AF31" s="92">
        <f t="shared" ca="1" si="54"/>
        <v>0</v>
      </c>
      <c r="AG31" s="8">
        <f t="shared" ca="1" si="55"/>
        <v>30341.15117466333</v>
      </c>
      <c r="AH31" s="5">
        <f ca="1">+SUM(AG31:AG$124)</f>
        <v>115690.96316650302</v>
      </c>
      <c r="AI31" s="70">
        <f t="shared" ca="1" si="56"/>
        <v>1.530278836610055</v>
      </c>
      <c r="AJ31" s="208">
        <f ca="1">+SUM(AB31:AB$124)*SS50J</f>
        <v>0</v>
      </c>
      <c r="AK31" s="209">
        <f t="shared" ca="1" si="83"/>
        <v>46334.021506129386</v>
      </c>
      <c r="AL31" s="257">
        <f t="shared" ca="1" si="57"/>
        <v>8.1868000000000008E-7</v>
      </c>
      <c r="AM31" s="131">
        <f t="shared" ca="1" si="84"/>
        <v>30359.665274148712</v>
      </c>
      <c r="AN31" s="129">
        <f t="shared" ca="1" si="85"/>
        <v>2.4456966140905596E-2</v>
      </c>
      <c r="AO31" s="129">
        <f ca="1">SUM(AN31:AN$124)*SSa</f>
        <v>9.4333678985223185E-2</v>
      </c>
      <c r="AP31" s="70">
        <f t="shared" ca="1" si="86"/>
        <v>46334.021506129386</v>
      </c>
      <c r="AQ31" s="2">
        <f t="shared" ca="1" si="58"/>
        <v>0</v>
      </c>
      <c r="AR31" s="127">
        <f t="shared" ca="1" si="87"/>
        <v>0</v>
      </c>
      <c r="AS31" s="127">
        <f ca="1">SUM(AR31:AR$124)*SSb</f>
        <v>0</v>
      </c>
      <c r="AT31" s="70">
        <f t="shared" ca="1" si="88"/>
        <v>46334.021506129386</v>
      </c>
      <c r="AU31" s="2">
        <f t="shared" ca="1" si="59"/>
        <v>0</v>
      </c>
      <c r="AV31" s="268">
        <f t="shared" ca="1" si="89"/>
        <v>0</v>
      </c>
      <c r="AW31" s="131">
        <f ca="1">SUM(AV31:AV$124)*SSc</f>
        <v>0</v>
      </c>
      <c r="AX31" s="70">
        <f t="shared" ca="1" si="90"/>
        <v>46334.021506129386</v>
      </c>
      <c r="AY31" s="2">
        <f t="shared" ca="1" si="60"/>
        <v>0</v>
      </c>
      <c r="AZ31" s="268">
        <f t="shared" ca="1" si="91"/>
        <v>0</v>
      </c>
      <c r="BA31" s="129">
        <f ca="1">SUM(AZ31:AZ$124)*SSd</f>
        <v>0</v>
      </c>
      <c r="BB31" s="70">
        <f t="shared" ca="1" si="92"/>
        <v>46334.021506129386</v>
      </c>
      <c r="BC31" s="257">
        <f t="shared" ca="1" si="61"/>
        <v>0</v>
      </c>
      <c r="BD31" s="268">
        <f t="shared" ca="1" si="93"/>
        <v>0</v>
      </c>
      <c r="BE31" s="131">
        <f ca="1">SUM(BD31:BD$124)*SSe</f>
        <v>0</v>
      </c>
      <c r="BF31" s="70">
        <f t="shared" ca="1" si="94"/>
        <v>46334.021506129386</v>
      </c>
      <c r="BG31" s="2">
        <f t="shared" ca="1" si="62"/>
        <v>0</v>
      </c>
      <c r="BH31" s="131">
        <f t="shared" ca="1" si="95"/>
        <v>0</v>
      </c>
      <c r="BI31" s="2">
        <f ca="1">SUM(BH31:BH$124)*SSf</f>
        <v>0</v>
      </c>
      <c r="BJ31" s="70">
        <f t="shared" ca="1" si="96"/>
        <v>46334.021506129386</v>
      </c>
      <c r="BK31" s="2">
        <f t="shared" ca="1" si="63"/>
        <v>0</v>
      </c>
      <c r="BL31" s="131">
        <f t="shared" ca="1" si="97"/>
        <v>0</v>
      </c>
      <c r="BM31" s="131">
        <f ca="1">SUM(BL31:BL$124)*SSg</f>
        <v>0</v>
      </c>
      <c r="BN31" s="70">
        <f t="shared" ca="1" si="98"/>
        <v>46334.021506129386</v>
      </c>
      <c r="BO31" s="2">
        <f t="shared" ca="1" si="64"/>
        <v>0</v>
      </c>
      <c r="BP31" s="131">
        <f t="shared" ca="1" si="99"/>
        <v>0</v>
      </c>
      <c r="BQ31" s="131">
        <f ca="1">SUM(BP31:BP$124)*SSh</f>
        <v>0</v>
      </c>
      <c r="BR31" s="70">
        <f t="shared" ca="1" si="100"/>
        <v>46334.021506129386</v>
      </c>
      <c r="BS31" s="2">
        <f t="shared" ca="1" si="65"/>
        <v>0</v>
      </c>
      <c r="BT31" s="131">
        <f t="shared" ca="1" si="101"/>
        <v>0</v>
      </c>
      <c r="BU31" s="131">
        <f ca="1">SUM(BT31:BT$124)*SSi</f>
        <v>0</v>
      </c>
      <c r="BV31" s="70">
        <f t="shared" ca="1" si="102"/>
        <v>46334.021506129386</v>
      </c>
      <c r="BW31" s="2">
        <f t="shared" ca="1" si="66"/>
        <v>0</v>
      </c>
      <c r="BX31" s="131">
        <f t="shared" ca="1" si="103"/>
        <v>0</v>
      </c>
      <c r="BY31" s="131">
        <f ca="1">SUM(BX31:BX$124)*SSj</f>
        <v>0</v>
      </c>
      <c r="BZ31" s="70">
        <f t="shared" ca="1" si="104"/>
        <v>46334.021506129386</v>
      </c>
      <c r="CA31" s="2">
        <f t="shared" ca="1" si="67"/>
        <v>0</v>
      </c>
      <c r="CB31" s="131">
        <f t="shared" ca="1" si="105"/>
        <v>0</v>
      </c>
      <c r="CC31" s="131">
        <f ca="1">SUM(CB31:CB$124)*SSk</f>
        <v>0</v>
      </c>
      <c r="CD31" s="8">
        <f t="shared" ca="1" si="106"/>
        <v>46334.021506129386</v>
      </c>
      <c r="CE31" s="2">
        <f t="shared" ca="1" si="68"/>
        <v>0</v>
      </c>
      <c r="CF31" s="131">
        <f t="shared" ca="1" si="107"/>
        <v>0</v>
      </c>
      <c r="CG31" s="131">
        <f ca="1">SUM(CF31:CF$124)*SSl</f>
        <v>0</v>
      </c>
      <c r="CH31" s="155">
        <f t="shared" si="108"/>
        <v>0.01</v>
      </c>
      <c r="CI31" s="155">
        <f t="shared" ca="1" si="109"/>
        <v>463.34021506129386</v>
      </c>
      <c r="CJ31" s="155">
        <f t="shared" ca="1" si="110"/>
        <v>300.2377665051892</v>
      </c>
      <c r="CK31" s="155">
        <f ca="1">유해지!CY31</f>
        <v>0.126</v>
      </c>
      <c r="CL31" s="529">
        <f t="shared" ca="1" si="69"/>
        <v>0.10550000000000001</v>
      </c>
      <c r="CM31" s="155">
        <f t="shared" ca="1" si="111"/>
        <v>31.675084366297465</v>
      </c>
      <c r="CN31" s="155">
        <f ca="1">SUM(CM31:$CM$125)</f>
        <v>56.044733001195105</v>
      </c>
      <c r="CO31" s="101">
        <f t="shared" ca="1" si="112"/>
        <v>9.4333678985223185E-2</v>
      </c>
      <c r="CP31" s="154">
        <f t="shared" ca="1" si="70"/>
        <v>7.2191258658507229E-2</v>
      </c>
      <c r="CQ31" s="154">
        <f t="shared" ca="1" si="71"/>
        <v>56.044733001195105</v>
      </c>
      <c r="CR31" s="32">
        <f t="shared" ca="1" si="72"/>
        <v>0</v>
      </c>
      <c r="CS31" s="32">
        <f t="shared" ca="1" si="73"/>
        <v>0</v>
      </c>
      <c r="CT31" s="32">
        <f t="shared" ca="1" si="74"/>
        <v>0</v>
      </c>
      <c r="CU31" s="32">
        <f t="shared" ca="1" si="75"/>
        <v>0</v>
      </c>
      <c r="CV31" s="32">
        <f t="shared" ca="1" si="76"/>
        <v>88214.664883187215</v>
      </c>
      <c r="CW31" s="32">
        <f t="shared" ca="1" si="77"/>
        <v>0</v>
      </c>
      <c r="CX31" s="259">
        <f ca="1">IF(R31&lt;m,0,ROUND(IF($R31&gt;nB,0,GPB*mB*mmB*유해지!CY31),roundB))</f>
        <v>4.5000000000000001E-6</v>
      </c>
      <c r="CY31" s="262">
        <f t="shared" ca="1" si="78"/>
        <v>4.5000000000000001E-6</v>
      </c>
      <c r="CZ31" s="259">
        <f t="shared" ca="1" si="79"/>
        <v>5.3499777571013366E-6</v>
      </c>
      <c r="DA31" s="31">
        <f t="shared" si="80"/>
        <v>5</v>
      </c>
    </row>
    <row r="32" spans="2:105">
      <c r="B32" s="18" t="s">
        <v>28</v>
      </c>
      <c r="C32" s="256">
        <f ca="1">ROUND(L24*5%*MIN(nB,20)+C34*10/1000,roundB)*MAIN!$C$20</f>
        <v>9.6869999999999994E-3</v>
      </c>
      <c r="D32" s="293">
        <f ca="1">C32*S</f>
        <v>96870</v>
      </c>
      <c r="L32" s="229"/>
      <c r="N32" s="5">
        <f t="shared" si="113"/>
        <v>20</v>
      </c>
      <c r="O32" s="2">
        <f t="shared" ca="1" si="44"/>
        <v>0.64081647167554256</v>
      </c>
      <c r="P32" s="2">
        <f t="shared" ca="1" si="45"/>
        <v>0.6337267043567415</v>
      </c>
      <c r="Q32" s="91"/>
      <c r="R32" s="20">
        <f t="shared" si="114"/>
        <v>20</v>
      </c>
      <c r="S32" s="20">
        <f t="shared" si="46"/>
        <v>28</v>
      </c>
      <c r="T32" s="2">
        <f t="shared" ref="T32:U51" ca="1" si="116">IFERROR(VLOOKUP($S32,qx_table,MATCH(T$11,qx_title,0)+sexB),0)</f>
        <v>0</v>
      </c>
      <c r="U32" s="2">
        <f t="shared" ca="1" si="116"/>
        <v>5.3000000000000001E-5</v>
      </c>
      <c r="V32" s="300">
        <f t="shared" si="48"/>
        <v>0.01</v>
      </c>
      <c r="W32" s="8">
        <f t="shared" ca="1" si="49"/>
        <v>45870.643737658727</v>
      </c>
      <c r="X32" s="10">
        <f t="shared" ca="1" si="50"/>
        <v>1.0000000000000009E-2</v>
      </c>
      <c r="Y32" s="10">
        <f t="shared" ca="1" si="51"/>
        <v>8.3666600003695635E-7</v>
      </c>
      <c r="Z32" s="8">
        <f t="shared" ca="1" si="81"/>
        <v>29394.664073452288</v>
      </c>
      <c r="AA32" s="8">
        <f ca="1">+SUM(Z32:Z$124)</f>
        <v>85410.704745517171</v>
      </c>
      <c r="AB32" s="8">
        <f t="shared" ca="1" si="52"/>
        <v>290.69451882588697</v>
      </c>
      <c r="AC32" s="209">
        <f ca="1">+SUM(AB32:AB$124)*SSSM</f>
        <v>0</v>
      </c>
      <c r="AD32" s="209">
        <f t="shared" ca="1" si="82"/>
        <v>45840.332671042874</v>
      </c>
      <c r="AE32" s="92">
        <f t="shared" ca="1" si="53"/>
        <v>5.2999999999969738E-5</v>
      </c>
      <c r="AF32" s="92">
        <f t="shared" ca="1" si="54"/>
        <v>0</v>
      </c>
      <c r="AG32" s="8">
        <f t="shared" ca="1" si="55"/>
        <v>29375.240242690794</v>
      </c>
      <c r="AH32" s="5">
        <f ca="1">+SUM(AG32:AG$124)</f>
        <v>85349.811991839699</v>
      </c>
      <c r="AI32" s="70">
        <f t="shared" ca="1" si="56"/>
        <v>1.5396628763616642</v>
      </c>
      <c r="AJ32" s="208">
        <f ca="1">+SUM(AB32:AB$124)*SS50J</f>
        <v>0</v>
      </c>
      <c r="AK32" s="209">
        <f t="shared" ca="1" si="83"/>
        <v>45870.643737658727</v>
      </c>
      <c r="AL32" s="257">
        <f t="shared" ca="1" si="57"/>
        <v>8.3666599999999998E-7</v>
      </c>
      <c r="AM32" s="131">
        <f t="shared" ca="1" si="84"/>
        <v>29394.664073452288</v>
      </c>
      <c r="AN32" s="129">
        <f t="shared" ca="1" si="85"/>
        <v>2.4199814918653941E-2</v>
      </c>
      <c r="AO32" s="129">
        <f ca="1">SUM(AN32:AN$124)*SSa</f>
        <v>6.9876712844317596E-2</v>
      </c>
      <c r="AP32" s="70">
        <f t="shared" ca="1" si="86"/>
        <v>45870.643737658727</v>
      </c>
      <c r="AQ32" s="2">
        <f t="shared" ca="1" si="58"/>
        <v>0</v>
      </c>
      <c r="AR32" s="127">
        <f t="shared" ca="1" si="87"/>
        <v>0</v>
      </c>
      <c r="AS32" s="127">
        <f ca="1">SUM(AR32:AR$124)*SSb</f>
        <v>0</v>
      </c>
      <c r="AT32" s="70">
        <f t="shared" ca="1" si="88"/>
        <v>45870.643737658727</v>
      </c>
      <c r="AU32" s="2">
        <f t="shared" ca="1" si="59"/>
        <v>0</v>
      </c>
      <c r="AV32" s="268">
        <f t="shared" ca="1" si="89"/>
        <v>0</v>
      </c>
      <c r="AW32" s="131">
        <f ca="1">SUM(AV32:AV$124)*SSc</f>
        <v>0</v>
      </c>
      <c r="AX32" s="70">
        <f t="shared" ca="1" si="90"/>
        <v>45870.643737658727</v>
      </c>
      <c r="AY32" s="2">
        <f t="shared" ca="1" si="60"/>
        <v>0</v>
      </c>
      <c r="AZ32" s="268">
        <f t="shared" ca="1" si="91"/>
        <v>0</v>
      </c>
      <c r="BA32" s="129">
        <f ca="1">SUM(AZ32:AZ$124)*SSd</f>
        <v>0</v>
      </c>
      <c r="BB32" s="70">
        <f t="shared" ca="1" si="92"/>
        <v>45870.643737658727</v>
      </c>
      <c r="BC32" s="257">
        <f t="shared" ca="1" si="61"/>
        <v>0</v>
      </c>
      <c r="BD32" s="268">
        <f t="shared" ca="1" si="93"/>
        <v>0</v>
      </c>
      <c r="BE32" s="131">
        <f ca="1">SUM(BD32:BD$124)*SSe</f>
        <v>0</v>
      </c>
      <c r="BF32" s="70">
        <f t="shared" ca="1" si="94"/>
        <v>45870.643737658727</v>
      </c>
      <c r="BG32" s="2">
        <f t="shared" ca="1" si="62"/>
        <v>0</v>
      </c>
      <c r="BH32" s="131">
        <f t="shared" ca="1" si="95"/>
        <v>0</v>
      </c>
      <c r="BI32" s="2">
        <f ca="1">SUM(BH32:BH$124)*SSf</f>
        <v>0</v>
      </c>
      <c r="BJ32" s="70">
        <f t="shared" ca="1" si="96"/>
        <v>45870.643737658727</v>
      </c>
      <c r="BK32" s="2">
        <f t="shared" ca="1" si="63"/>
        <v>0</v>
      </c>
      <c r="BL32" s="131">
        <f t="shared" ca="1" si="97"/>
        <v>0</v>
      </c>
      <c r="BM32" s="131">
        <f ca="1">SUM(BL32:BL$124)*SSg</f>
        <v>0</v>
      </c>
      <c r="BN32" s="70">
        <f t="shared" ca="1" si="98"/>
        <v>45870.643737658727</v>
      </c>
      <c r="BO32" s="2">
        <f t="shared" ca="1" si="64"/>
        <v>0</v>
      </c>
      <c r="BP32" s="131">
        <f t="shared" ca="1" si="99"/>
        <v>0</v>
      </c>
      <c r="BQ32" s="131">
        <f ca="1">SUM(BP32:BP$124)*SSh</f>
        <v>0</v>
      </c>
      <c r="BR32" s="70">
        <f t="shared" ca="1" si="100"/>
        <v>45870.643737658727</v>
      </c>
      <c r="BS32" s="2">
        <f t="shared" ca="1" si="65"/>
        <v>0</v>
      </c>
      <c r="BT32" s="131">
        <f t="shared" ca="1" si="101"/>
        <v>0</v>
      </c>
      <c r="BU32" s="131">
        <f ca="1">SUM(BT32:BT$124)*SSi</f>
        <v>0</v>
      </c>
      <c r="BV32" s="70">
        <f t="shared" ca="1" si="102"/>
        <v>45870.643737658727</v>
      </c>
      <c r="BW32" s="2">
        <f t="shared" ca="1" si="66"/>
        <v>0</v>
      </c>
      <c r="BX32" s="131">
        <f t="shared" ca="1" si="103"/>
        <v>0</v>
      </c>
      <c r="BY32" s="131">
        <f ca="1">SUM(BX32:BX$124)*SSj</f>
        <v>0</v>
      </c>
      <c r="BZ32" s="70">
        <f t="shared" ca="1" si="104"/>
        <v>45870.643737658727</v>
      </c>
      <c r="CA32" s="2">
        <f t="shared" ca="1" si="67"/>
        <v>0</v>
      </c>
      <c r="CB32" s="131">
        <f t="shared" ca="1" si="105"/>
        <v>0</v>
      </c>
      <c r="CC32" s="131">
        <f ca="1">SUM(CB32:CB$124)*SSk</f>
        <v>0</v>
      </c>
      <c r="CD32" s="8">
        <f t="shared" ca="1" si="106"/>
        <v>45870.643737658727</v>
      </c>
      <c r="CE32" s="2">
        <f t="shared" ca="1" si="68"/>
        <v>0</v>
      </c>
      <c r="CF32" s="131">
        <f t="shared" ca="1" si="107"/>
        <v>0</v>
      </c>
      <c r="CG32" s="131">
        <f ca="1">SUM(CF32:CF$124)*SSl</f>
        <v>0</v>
      </c>
      <c r="CH32" s="155">
        <f t="shared" si="108"/>
        <v>0.01</v>
      </c>
      <c r="CI32" s="155">
        <f t="shared" ca="1" si="109"/>
        <v>458.7064373765873</v>
      </c>
      <c r="CJ32" s="155">
        <f t="shared" ca="1" si="110"/>
        <v>290.69451882588669</v>
      </c>
      <c r="CK32" s="155">
        <f ca="1">유해지!CY32</f>
        <v>8.5000000000000006E-2</v>
      </c>
      <c r="CL32" s="529">
        <f t="shared" ca="1" si="69"/>
        <v>6.3500000000000001E-2</v>
      </c>
      <c r="CM32" s="155">
        <f t="shared" ca="1" si="111"/>
        <v>18.459101945443805</v>
      </c>
      <c r="CN32" s="155">
        <f ca="1">SUM(CM32:$CM$125)</f>
        <v>24.369648634897636</v>
      </c>
      <c r="CO32" s="101">
        <f t="shared" ca="1" si="112"/>
        <v>6.9876712844317596E-2</v>
      </c>
      <c r="CP32" s="154">
        <f t="shared" ca="1" si="70"/>
        <v>4.7734292517601633E-2</v>
      </c>
      <c r="CQ32" s="154">
        <f t="shared" ca="1" si="71"/>
        <v>24.369648634897636</v>
      </c>
      <c r="CR32" s="32">
        <f t="shared" ca="1" si="72"/>
        <v>0</v>
      </c>
      <c r="CS32" s="32">
        <f t="shared" ca="1" si="73"/>
        <v>0</v>
      </c>
      <c r="CT32" s="32">
        <f t="shared" ca="1" si="74"/>
        <v>0</v>
      </c>
      <c r="CU32" s="32">
        <f t="shared" ca="1" si="75"/>
        <v>0</v>
      </c>
      <c r="CV32" s="32">
        <f t="shared" ca="1" si="76"/>
        <v>57854.99960903851</v>
      </c>
      <c r="CW32" s="32">
        <f t="shared" ca="1" si="77"/>
        <v>0</v>
      </c>
      <c r="CX32" s="259">
        <f ca="1">IF(R32&lt;m,0,ROUND(IF($R32&gt;nB,0,GPB*mB*mmB*유해지!CY32),roundB))</f>
        <v>3.1E-6</v>
      </c>
      <c r="CY32" s="262">
        <f t="shared" ca="1" si="78"/>
        <v>3.1E-6</v>
      </c>
      <c r="CZ32" s="259">
        <f t="shared" ca="1" si="79"/>
        <v>3.6219702736338287E-6</v>
      </c>
      <c r="DA32" s="31">
        <f t="shared" si="80"/>
        <v>5</v>
      </c>
    </row>
    <row r="33" spans="1:105">
      <c r="B33" s="18" t="s">
        <v>163</v>
      </c>
      <c r="C33" s="292">
        <f ca="1">MIN(C31,C32)</f>
        <v>0</v>
      </c>
      <c r="D33" s="293">
        <f ca="1">C33*S</f>
        <v>0</v>
      </c>
      <c r="L33" s="229"/>
      <c r="N33" s="5">
        <f t="shared" si="113"/>
        <v>21</v>
      </c>
      <c r="O33" s="2">
        <f t="shared" ca="1" si="44"/>
        <v>0.62671537572180203</v>
      </c>
      <c r="P33" s="2">
        <f t="shared" ca="1" si="45"/>
        <v>0.6197816179528034</v>
      </c>
      <c r="Q33" s="91"/>
      <c r="R33" s="20">
        <f t="shared" si="114"/>
        <v>21</v>
      </c>
      <c r="S33" s="20">
        <f t="shared" si="46"/>
        <v>29</v>
      </c>
      <c r="T33" s="2">
        <f t="shared" ca="1" si="116"/>
        <v>0</v>
      </c>
      <c r="U33" s="2">
        <f t="shared" ca="1" si="116"/>
        <v>5.3999999999999998E-5</v>
      </c>
      <c r="V33" s="300">
        <f t="shared" si="48"/>
        <v>0.01</v>
      </c>
      <c r="W33" s="8">
        <f t="shared" ca="1" si="49"/>
        <v>45411.899305658204</v>
      </c>
      <c r="X33" s="10">
        <f t="shared" ca="1" si="50"/>
        <v>1.0000000000000009E-2</v>
      </c>
      <c r="Y33" s="10">
        <f t="shared" ca="1" si="51"/>
        <v>8.4037500003297794E-7</v>
      </c>
      <c r="Z33" s="8">
        <f t="shared" ca="1" si="81"/>
        <v>28460.335535586222</v>
      </c>
      <c r="AA33" s="8">
        <f ca="1">+SUM(Z33:Z$124)</f>
        <v>56016.04067206489</v>
      </c>
      <c r="AB33" s="8">
        <f t="shared" ca="1" si="52"/>
        <v>281.45460425970657</v>
      </c>
      <c r="AC33" s="209">
        <f ca="1">+SUM(AB33:AB$124)*SSSM</f>
        <v>0</v>
      </c>
      <c r="AD33" s="209">
        <f t="shared" ca="1" si="82"/>
        <v>45379.486134572282</v>
      </c>
      <c r="AE33" s="92">
        <f t="shared" ca="1" si="53"/>
        <v>5.3999999999998494E-5</v>
      </c>
      <c r="AF33" s="92">
        <f t="shared" ca="1" si="54"/>
        <v>0</v>
      </c>
      <c r="AG33" s="8">
        <f t="shared" ca="1" si="55"/>
        <v>28440.021702890772</v>
      </c>
      <c r="AH33" s="5">
        <f ca="1">+SUM(AG33:AG$124)</f>
        <v>55974.571749148905</v>
      </c>
      <c r="AI33" s="70">
        <f t="shared" ca="1" si="56"/>
        <v>1.5187700522709666</v>
      </c>
      <c r="AJ33" s="208">
        <f ca="1">+SUM(AB33:AB$124)*SS50J</f>
        <v>0</v>
      </c>
      <c r="AK33" s="209">
        <f t="shared" ca="1" si="83"/>
        <v>45411.899305658204</v>
      </c>
      <c r="AL33" s="257">
        <f t="shared" ca="1" si="57"/>
        <v>8.4037499999999998E-7</v>
      </c>
      <c r="AM33" s="131">
        <f t="shared" ca="1" si="84"/>
        <v>28460.335535586222</v>
      </c>
      <c r="AN33" s="129">
        <f t="shared" ca="1" si="85"/>
        <v>2.3534477598947695E-2</v>
      </c>
      <c r="AO33" s="129">
        <f ca="1">SUM(AN33:AN$124)*SSa</f>
        <v>4.5676897925663658E-2</v>
      </c>
      <c r="AP33" s="70">
        <f t="shared" ca="1" si="86"/>
        <v>45411.899305658204</v>
      </c>
      <c r="AQ33" s="2">
        <f t="shared" ca="1" si="58"/>
        <v>0</v>
      </c>
      <c r="AR33" s="127">
        <f t="shared" ca="1" si="87"/>
        <v>0</v>
      </c>
      <c r="AS33" s="127">
        <f ca="1">SUM(AR33:AR$124)*SSb</f>
        <v>0</v>
      </c>
      <c r="AT33" s="70">
        <f t="shared" ca="1" si="88"/>
        <v>45411.899305658204</v>
      </c>
      <c r="AU33" s="2">
        <f t="shared" ca="1" si="59"/>
        <v>0</v>
      </c>
      <c r="AV33" s="268">
        <f t="shared" ca="1" si="89"/>
        <v>0</v>
      </c>
      <c r="AW33" s="131">
        <f ca="1">SUM(AV33:AV$124)*SSc</f>
        <v>0</v>
      </c>
      <c r="AX33" s="70">
        <f t="shared" ca="1" si="90"/>
        <v>45411.899305658204</v>
      </c>
      <c r="AY33" s="2">
        <f t="shared" ca="1" si="60"/>
        <v>0</v>
      </c>
      <c r="AZ33" s="268">
        <f t="shared" ca="1" si="91"/>
        <v>0</v>
      </c>
      <c r="BA33" s="129">
        <f ca="1">SUM(AZ33:AZ$124)*SSd</f>
        <v>0</v>
      </c>
      <c r="BB33" s="70">
        <f t="shared" ca="1" si="92"/>
        <v>45411.899305658204</v>
      </c>
      <c r="BC33" s="257">
        <f t="shared" ca="1" si="61"/>
        <v>0</v>
      </c>
      <c r="BD33" s="268">
        <f t="shared" ca="1" si="93"/>
        <v>0</v>
      </c>
      <c r="BE33" s="131">
        <f ca="1">SUM(BD33:BD$124)*SSe</f>
        <v>0</v>
      </c>
      <c r="BF33" s="70">
        <f t="shared" ca="1" si="94"/>
        <v>45411.899305658204</v>
      </c>
      <c r="BG33" s="2">
        <f t="shared" ca="1" si="62"/>
        <v>0</v>
      </c>
      <c r="BH33" s="131">
        <f t="shared" ca="1" si="95"/>
        <v>0</v>
      </c>
      <c r="BI33" s="2">
        <f ca="1">SUM(BH33:BH$124)*SSf</f>
        <v>0</v>
      </c>
      <c r="BJ33" s="70">
        <f t="shared" ca="1" si="96"/>
        <v>45411.899305658204</v>
      </c>
      <c r="BK33" s="2">
        <f t="shared" ca="1" si="63"/>
        <v>0</v>
      </c>
      <c r="BL33" s="131">
        <f t="shared" ca="1" si="97"/>
        <v>0</v>
      </c>
      <c r="BM33" s="131">
        <f ca="1">SUM(BL33:BL$124)*SSg</f>
        <v>0</v>
      </c>
      <c r="BN33" s="70">
        <f t="shared" ca="1" si="98"/>
        <v>45411.899305658204</v>
      </c>
      <c r="BO33" s="2">
        <f t="shared" ca="1" si="64"/>
        <v>0</v>
      </c>
      <c r="BP33" s="131">
        <f t="shared" ca="1" si="99"/>
        <v>0</v>
      </c>
      <c r="BQ33" s="131">
        <f ca="1">SUM(BP33:BP$124)*SSh</f>
        <v>0</v>
      </c>
      <c r="BR33" s="70">
        <f t="shared" ca="1" si="100"/>
        <v>45411.899305658204</v>
      </c>
      <c r="BS33" s="2">
        <f t="shared" ca="1" si="65"/>
        <v>0</v>
      </c>
      <c r="BT33" s="131">
        <f t="shared" ca="1" si="101"/>
        <v>0</v>
      </c>
      <c r="BU33" s="131">
        <f ca="1">SUM(BT33:BT$124)*SSi</f>
        <v>0</v>
      </c>
      <c r="BV33" s="70">
        <f t="shared" ca="1" si="102"/>
        <v>45411.899305658204</v>
      </c>
      <c r="BW33" s="2">
        <f t="shared" ca="1" si="66"/>
        <v>0</v>
      </c>
      <c r="BX33" s="131">
        <f t="shared" ca="1" si="103"/>
        <v>0</v>
      </c>
      <c r="BY33" s="131">
        <f ca="1">SUM(BX33:BX$124)*SSj</f>
        <v>0</v>
      </c>
      <c r="BZ33" s="70">
        <f t="shared" ca="1" si="104"/>
        <v>45411.899305658204</v>
      </c>
      <c r="CA33" s="2">
        <f t="shared" ca="1" si="67"/>
        <v>0</v>
      </c>
      <c r="CB33" s="131">
        <f t="shared" ca="1" si="105"/>
        <v>0</v>
      </c>
      <c r="CC33" s="131">
        <f ca="1">SUM(CB33:CB$124)*SSk</f>
        <v>0</v>
      </c>
      <c r="CD33" s="8">
        <f t="shared" ca="1" si="106"/>
        <v>45411.899305658204</v>
      </c>
      <c r="CE33" s="2">
        <f t="shared" ca="1" si="68"/>
        <v>0</v>
      </c>
      <c r="CF33" s="131">
        <f t="shared" ca="1" si="107"/>
        <v>0</v>
      </c>
      <c r="CG33" s="131">
        <f ca="1">SUM(CF33:CF$124)*SSl</f>
        <v>0</v>
      </c>
      <c r="CH33" s="155">
        <f t="shared" si="108"/>
        <v>0.01</v>
      </c>
      <c r="CI33" s="155">
        <f t="shared" ca="1" si="109"/>
        <v>454.11899305658204</v>
      </c>
      <c r="CJ33" s="155">
        <f t="shared" ca="1" si="110"/>
        <v>281.45460425970629</v>
      </c>
      <c r="CK33" s="155">
        <f ca="1">유해지!CY33</f>
        <v>4.2000000000000003E-2</v>
      </c>
      <c r="CL33" s="529">
        <f t="shared" ca="1" si="69"/>
        <v>2.1000000000000001E-2</v>
      </c>
      <c r="CM33" s="155">
        <f t="shared" ca="1" si="111"/>
        <v>5.9105466894538328</v>
      </c>
      <c r="CN33" s="155">
        <f ca="1">SUM(CM33:$CM$125)</f>
        <v>5.9105466894538328</v>
      </c>
      <c r="CO33" s="101">
        <f t="shared" ca="1" si="112"/>
        <v>4.5676897925663658E-2</v>
      </c>
      <c r="CP33" s="154">
        <f t="shared" ca="1" si="70"/>
        <v>2.3534477598947695E-2</v>
      </c>
      <c r="CQ33" s="154">
        <f t="shared" ca="1" si="71"/>
        <v>5.9105466894538328</v>
      </c>
      <c r="CR33" s="32">
        <f t="shared" ca="1" si="72"/>
        <v>0</v>
      </c>
      <c r="CS33" s="32">
        <f t="shared" ca="1" si="73"/>
        <v>0</v>
      </c>
      <c r="CT33" s="32">
        <f t="shared" ca="1" si="74"/>
        <v>0</v>
      </c>
      <c r="CU33" s="32">
        <f t="shared" ca="1" si="75"/>
        <v>0</v>
      </c>
      <c r="CV33" s="32">
        <f t="shared" ca="1" si="76"/>
        <v>28460.335535586226</v>
      </c>
      <c r="CW33" s="32">
        <f t="shared" ca="1" si="77"/>
        <v>0</v>
      </c>
      <c r="CX33" s="259">
        <f ca="1">IF(R33&lt;m,0,ROUND(IF($R33&gt;nB,0,GPB*mB*mmB*유해지!CY33),roundB))</f>
        <v>1.5E-6</v>
      </c>
      <c r="CY33" s="262">
        <f t="shared" ca="1" si="78"/>
        <v>1.5E-6</v>
      </c>
      <c r="CZ33" s="259">
        <f t="shared" ca="1" si="79"/>
        <v>1.8343983594316709E-6</v>
      </c>
      <c r="DA33" s="31">
        <f t="shared" si="80"/>
        <v>5</v>
      </c>
    </row>
    <row r="34" spans="1:105">
      <c r="B34" s="18" t="s">
        <v>62</v>
      </c>
      <c r="C34" s="460">
        <f ca="1">INPUT!E20</f>
        <v>0.96870000000000001</v>
      </c>
      <c r="D34" s="13" t="s">
        <v>536</v>
      </c>
      <c r="L34" s="229"/>
      <c r="N34" s="5">
        <f t="shared" si="113"/>
        <v>22</v>
      </c>
      <c r="O34" s="2">
        <f t="shared" ca="1" si="44"/>
        <v>0.61292457283305835</v>
      </c>
      <c r="P34" s="2">
        <f t="shared" ca="1" si="45"/>
        <v>0.6061433916408836</v>
      </c>
      <c r="Q34" s="91"/>
      <c r="R34" s="20">
        <f t="shared" si="114"/>
        <v>22</v>
      </c>
      <c r="S34" s="20">
        <f t="shared" si="46"/>
        <v>30</v>
      </c>
      <c r="T34" s="2">
        <f t="shared" ca="1" si="116"/>
        <v>0</v>
      </c>
      <c r="U34" s="2">
        <f t="shared" ca="1" si="116"/>
        <v>6.1000000000000005E-5</v>
      </c>
      <c r="V34" s="300">
        <f t="shared" si="48"/>
        <v>0.01</v>
      </c>
      <c r="W34" s="8">
        <f t="shared" ca="1" si="49"/>
        <v>44957.74253120699</v>
      </c>
      <c r="X34" s="10">
        <f t="shared" ca="1" si="50"/>
        <v>1.0000000000000009E-2</v>
      </c>
      <c r="Y34" s="10">
        <f t="shared" ca="1" si="51"/>
        <v>8.1662399997739499E-7</v>
      </c>
      <c r="Z34" s="8">
        <f t="shared" ca="1" si="81"/>
        <v>27555.705136478664</v>
      </c>
      <c r="AA34" s="8">
        <f ca="1">+SUM(Z34:Z$124)</f>
        <v>27555.705136478664</v>
      </c>
      <c r="AB34" s="8">
        <f t="shared" ca="1" si="52"/>
        <v>272.50838538383431</v>
      </c>
      <c r="AC34" s="209">
        <f ca="1">+SUM(AB34:AB$124)*SSSM</f>
        <v>0</v>
      </c>
      <c r="AD34" s="209">
        <f t="shared" ca="1" si="82"/>
        <v>44923.22753350874</v>
      </c>
      <c r="AE34" s="92">
        <f t="shared" ca="1" si="53"/>
        <v>6.0999999999977739E-5</v>
      </c>
      <c r="AF34" s="92">
        <f t="shared" ca="1" si="54"/>
        <v>0</v>
      </c>
      <c r="AG34" s="8">
        <f t="shared" ca="1" si="55"/>
        <v>27534.550046258129</v>
      </c>
      <c r="AH34" s="5">
        <f ca="1">+SUM(AG34:AG$124)</f>
        <v>27534.550046258129</v>
      </c>
      <c r="AI34" s="70">
        <f t="shared" ca="1" si="56"/>
        <v>1.6610249675369768</v>
      </c>
      <c r="AJ34" s="208">
        <f ca="1">+SUM(AB34:AB$124)*SS50J</f>
        <v>0</v>
      </c>
      <c r="AK34" s="209">
        <f t="shared" ca="1" si="83"/>
        <v>44957.74253120699</v>
      </c>
      <c r="AL34" s="257">
        <f t="shared" ca="1" si="57"/>
        <v>8.1662399999999997E-7</v>
      </c>
      <c r="AM34" s="131">
        <f t="shared" ca="1" si="84"/>
        <v>27555.705136478664</v>
      </c>
      <c r="AN34" s="129">
        <f t="shared" ca="1" si="85"/>
        <v>2.2142420326715963E-2</v>
      </c>
      <c r="AO34" s="129">
        <f ca="1">SUM(AN34:AN$124)*SSa</f>
        <v>2.2142420326715963E-2</v>
      </c>
      <c r="AP34" s="70">
        <f t="shared" ca="1" si="86"/>
        <v>44957.74253120699</v>
      </c>
      <c r="AQ34" s="2">
        <f t="shared" ca="1" si="58"/>
        <v>0</v>
      </c>
      <c r="AR34" s="127">
        <f t="shared" ca="1" si="87"/>
        <v>0</v>
      </c>
      <c r="AS34" s="127">
        <f ca="1">SUM(AR34:AR$124)*SSb</f>
        <v>0</v>
      </c>
      <c r="AT34" s="70">
        <f t="shared" ca="1" si="88"/>
        <v>44957.74253120699</v>
      </c>
      <c r="AU34" s="2">
        <f t="shared" ca="1" si="59"/>
        <v>0</v>
      </c>
      <c r="AV34" s="268">
        <f t="shared" ca="1" si="89"/>
        <v>0</v>
      </c>
      <c r="AW34" s="131">
        <f ca="1">SUM(AV34:AV$124)*SSc</f>
        <v>0</v>
      </c>
      <c r="AX34" s="70">
        <f t="shared" ca="1" si="90"/>
        <v>44957.74253120699</v>
      </c>
      <c r="AY34" s="2">
        <f t="shared" ca="1" si="60"/>
        <v>0</v>
      </c>
      <c r="AZ34" s="268">
        <f t="shared" ca="1" si="91"/>
        <v>0</v>
      </c>
      <c r="BA34" s="129">
        <f ca="1">SUM(AZ34:AZ$124)*SSd</f>
        <v>0</v>
      </c>
      <c r="BB34" s="70">
        <f t="shared" ca="1" si="92"/>
        <v>44957.74253120699</v>
      </c>
      <c r="BC34" s="257">
        <f t="shared" ca="1" si="61"/>
        <v>0</v>
      </c>
      <c r="BD34" s="268">
        <f t="shared" ca="1" si="93"/>
        <v>0</v>
      </c>
      <c r="BE34" s="131">
        <f ca="1">SUM(BD34:BD$124)*SSe</f>
        <v>0</v>
      </c>
      <c r="BF34" s="70">
        <f t="shared" ca="1" si="94"/>
        <v>44957.74253120699</v>
      </c>
      <c r="BG34" s="2">
        <f t="shared" ca="1" si="62"/>
        <v>0</v>
      </c>
      <c r="BH34" s="131">
        <f t="shared" ca="1" si="95"/>
        <v>0</v>
      </c>
      <c r="BI34" s="2">
        <f ca="1">SUM(BH34:BH$124)*SSf</f>
        <v>0</v>
      </c>
      <c r="BJ34" s="70">
        <f t="shared" ca="1" si="96"/>
        <v>44957.74253120699</v>
      </c>
      <c r="BK34" s="2">
        <f t="shared" ca="1" si="63"/>
        <v>0</v>
      </c>
      <c r="BL34" s="131">
        <f t="shared" ca="1" si="97"/>
        <v>0</v>
      </c>
      <c r="BM34" s="131">
        <f ca="1">SUM(BL34:BL$124)*SSg</f>
        <v>0</v>
      </c>
      <c r="BN34" s="70">
        <f t="shared" ca="1" si="98"/>
        <v>44957.74253120699</v>
      </c>
      <c r="BO34" s="2">
        <f t="shared" ca="1" si="64"/>
        <v>0</v>
      </c>
      <c r="BP34" s="131">
        <f t="shared" ca="1" si="99"/>
        <v>0</v>
      </c>
      <c r="BQ34" s="131">
        <f ca="1">SUM(BP34:BP$124)*SSh</f>
        <v>0</v>
      </c>
      <c r="BR34" s="70">
        <f t="shared" ca="1" si="100"/>
        <v>44957.74253120699</v>
      </c>
      <c r="BS34" s="2">
        <f t="shared" ca="1" si="65"/>
        <v>0</v>
      </c>
      <c r="BT34" s="131">
        <f t="shared" ca="1" si="101"/>
        <v>0</v>
      </c>
      <c r="BU34" s="131">
        <f ca="1">SUM(BT34:BT$124)*SSi</f>
        <v>0</v>
      </c>
      <c r="BV34" s="70">
        <f t="shared" ca="1" si="102"/>
        <v>44957.74253120699</v>
      </c>
      <c r="BW34" s="2">
        <f t="shared" ca="1" si="66"/>
        <v>0</v>
      </c>
      <c r="BX34" s="131">
        <f t="shared" ca="1" si="103"/>
        <v>0</v>
      </c>
      <c r="BY34" s="131">
        <f ca="1">SUM(BX34:BX$124)*SSj</f>
        <v>0</v>
      </c>
      <c r="BZ34" s="70">
        <f t="shared" ca="1" si="104"/>
        <v>44957.74253120699</v>
      </c>
      <c r="CA34" s="2">
        <f t="shared" ca="1" si="67"/>
        <v>0</v>
      </c>
      <c r="CB34" s="131">
        <f t="shared" ca="1" si="105"/>
        <v>0</v>
      </c>
      <c r="CC34" s="131">
        <f ca="1">SUM(CB34:CB$124)*SSk</f>
        <v>0</v>
      </c>
      <c r="CD34" s="8">
        <f t="shared" ca="1" si="106"/>
        <v>44957.74253120699</v>
      </c>
      <c r="CE34" s="2">
        <f t="shared" ca="1" si="68"/>
        <v>0</v>
      </c>
      <c r="CF34" s="131">
        <f t="shared" ca="1" si="107"/>
        <v>0</v>
      </c>
      <c r="CG34" s="131">
        <f ca="1">SUM(CF34:CF$124)*SSl</f>
        <v>0</v>
      </c>
      <c r="CH34" s="155">
        <f t="shared" si="108"/>
        <v>0.01</v>
      </c>
      <c r="CI34" s="155">
        <f t="shared" ca="1" si="109"/>
        <v>449.57742531206992</v>
      </c>
      <c r="CJ34" s="155">
        <f t="shared" ca="1" si="110"/>
        <v>272.50838538383408</v>
      </c>
      <c r="CK34" s="155">
        <f ca="1">유해지!CY34</f>
        <v>0</v>
      </c>
      <c r="CL34" s="529">
        <f t="shared" ca="1" si="69"/>
        <v>0</v>
      </c>
      <c r="CM34" s="155">
        <f t="shared" ca="1" si="111"/>
        <v>0</v>
      </c>
      <c r="CN34" s="155">
        <f ca="1">SUM(CM34:$CM$125)</f>
        <v>0</v>
      </c>
      <c r="CO34" s="101">
        <f t="shared" ca="1" si="112"/>
        <v>2.2142420326715963E-2</v>
      </c>
      <c r="CP34" s="154">
        <f t="shared" ca="1" si="70"/>
        <v>0</v>
      </c>
      <c r="CQ34" s="154">
        <f t="shared" ca="1" si="71"/>
        <v>0</v>
      </c>
      <c r="CR34" s="32">
        <f t="shared" ca="1" si="72"/>
        <v>0</v>
      </c>
      <c r="CS34" s="32">
        <f t="shared" ca="1" si="73"/>
        <v>0</v>
      </c>
      <c r="CT34" s="32">
        <f t="shared" ca="1" si="74"/>
        <v>0</v>
      </c>
      <c r="CU34" s="32">
        <f t="shared" ca="1" si="75"/>
        <v>0</v>
      </c>
      <c r="CV34" s="32">
        <f t="shared" ca="1" si="76"/>
        <v>0</v>
      </c>
      <c r="CW34" s="32">
        <f t="shared" ca="1" si="77"/>
        <v>0</v>
      </c>
      <c r="CX34" s="259">
        <f ca="1">IF(R34&lt;m,0,ROUND(IF($R34&gt;nB,0,GPB*mB*mmB*유해지!CY34),roundB))</f>
        <v>0</v>
      </c>
      <c r="CY34" s="262">
        <f t="shared" ca="1" si="78"/>
        <v>0</v>
      </c>
      <c r="CZ34" s="259">
        <f t="shared" ca="1" si="79"/>
        <v>0</v>
      </c>
      <c r="DA34" s="31">
        <f t="shared" si="80"/>
        <v>5</v>
      </c>
    </row>
    <row r="35" spans="1:105">
      <c r="C35" s="265">
        <f ca="1">C34*SB</f>
        <v>9687000</v>
      </c>
      <c r="L35" s="229"/>
      <c r="N35" s="5">
        <f t="shared" si="113"/>
        <v>23</v>
      </c>
      <c r="O35" s="2">
        <f t="shared" ca="1" si="44"/>
        <v>0.59943723504455593</v>
      </c>
      <c r="P35" s="2">
        <f t="shared" ca="1" si="45"/>
        <v>0.59280527299841912</v>
      </c>
      <c r="Q35" s="91"/>
      <c r="R35" s="20">
        <f t="shared" si="114"/>
        <v>23</v>
      </c>
      <c r="S35" s="20" t="str">
        <f t="shared" si="46"/>
        <v/>
      </c>
      <c r="T35" s="2">
        <f t="shared" ca="1" si="116"/>
        <v>0</v>
      </c>
      <c r="U35" s="2">
        <f t="shared" ca="1" si="116"/>
        <v>0</v>
      </c>
      <c r="V35" s="300">
        <f t="shared" si="48"/>
        <v>0.01</v>
      </c>
      <c r="W35" s="8">
        <f t="shared" si="49"/>
        <v>0</v>
      </c>
      <c r="X35" s="10">
        <f t="shared" ca="1" si="50"/>
        <v>1.0000000000000009E-2</v>
      </c>
      <c r="Y35" s="10">
        <f t="shared" ca="1" si="51"/>
        <v>0</v>
      </c>
      <c r="Z35" s="8">
        <f t="shared" ca="1" si="81"/>
        <v>0</v>
      </c>
      <c r="AA35" s="8">
        <f ca="1">+SUM(Z35:Z$124)</f>
        <v>0</v>
      </c>
      <c r="AB35" s="8">
        <f t="shared" ca="1" si="52"/>
        <v>0</v>
      </c>
      <c r="AC35" s="209">
        <f ca="1">+SUM(AB35:AB$124)*SSSM</f>
        <v>0</v>
      </c>
      <c r="AD35" s="209">
        <f t="shared" si="82"/>
        <v>0</v>
      </c>
      <c r="AE35" s="92">
        <f t="shared" ca="1" si="53"/>
        <v>0</v>
      </c>
      <c r="AF35" s="92">
        <f t="shared" ca="1" si="54"/>
        <v>0</v>
      </c>
      <c r="AG35" s="8">
        <f t="shared" ca="1" si="55"/>
        <v>0</v>
      </c>
      <c r="AH35" s="5">
        <f ca="1">+SUM(AG35:AG$124)</f>
        <v>0</v>
      </c>
      <c r="AI35" s="70">
        <f t="shared" ca="1" si="56"/>
        <v>0</v>
      </c>
      <c r="AJ35" s="208">
        <f ca="1">+SUM(AB35:AB$124)*SS50J</f>
        <v>0</v>
      </c>
      <c r="AK35" s="209">
        <f t="shared" ca="1" si="83"/>
        <v>44508.128759459098</v>
      </c>
      <c r="AL35" s="257">
        <f t="shared" ca="1" si="57"/>
        <v>0</v>
      </c>
      <c r="AM35" s="131">
        <f t="shared" ca="1" si="84"/>
        <v>26679.829640577242</v>
      </c>
      <c r="AN35" s="129">
        <f t="shared" ca="1" si="85"/>
        <v>0</v>
      </c>
      <c r="AO35" s="129">
        <f ca="1">SUM(AN35:AN$124)*SSa</f>
        <v>0</v>
      </c>
      <c r="AP35" s="70">
        <f t="shared" ca="1" si="86"/>
        <v>44508.128759459098</v>
      </c>
      <c r="AQ35" s="2">
        <f t="shared" ca="1" si="58"/>
        <v>0</v>
      </c>
      <c r="AR35" s="127">
        <f t="shared" ca="1" si="87"/>
        <v>0</v>
      </c>
      <c r="AS35" s="127">
        <f ca="1">SUM(AR35:AR$124)*SSb</f>
        <v>0</v>
      </c>
      <c r="AT35" s="70">
        <f t="shared" ca="1" si="88"/>
        <v>44508.128759459098</v>
      </c>
      <c r="AU35" s="2">
        <f t="shared" ca="1" si="59"/>
        <v>0</v>
      </c>
      <c r="AV35" s="268">
        <f t="shared" ca="1" si="89"/>
        <v>0</v>
      </c>
      <c r="AW35" s="131">
        <f ca="1">SUM(AV35:AV$124)*SSc</f>
        <v>0</v>
      </c>
      <c r="AX35" s="70">
        <f t="shared" ca="1" si="90"/>
        <v>44508.128759459098</v>
      </c>
      <c r="AY35" s="2">
        <f t="shared" ca="1" si="60"/>
        <v>0</v>
      </c>
      <c r="AZ35" s="268">
        <f t="shared" ca="1" si="91"/>
        <v>0</v>
      </c>
      <c r="BA35" s="129">
        <f ca="1">SUM(AZ35:AZ$124)*SSd</f>
        <v>0</v>
      </c>
      <c r="BB35" s="70">
        <f t="shared" ca="1" si="92"/>
        <v>44508.128759459098</v>
      </c>
      <c r="BC35" s="257">
        <f t="shared" ca="1" si="61"/>
        <v>0</v>
      </c>
      <c r="BD35" s="268">
        <f t="shared" ca="1" si="93"/>
        <v>0</v>
      </c>
      <c r="BE35" s="131">
        <f ca="1">SUM(BD35:BD$124)*SSe</f>
        <v>0</v>
      </c>
      <c r="BF35" s="70">
        <f t="shared" ca="1" si="94"/>
        <v>44508.128759459098</v>
      </c>
      <c r="BG35" s="2">
        <f t="shared" ca="1" si="62"/>
        <v>0</v>
      </c>
      <c r="BH35" s="131">
        <f t="shared" ca="1" si="95"/>
        <v>0</v>
      </c>
      <c r="BI35" s="2">
        <f ca="1">SUM(BH35:BH$124)*SSf</f>
        <v>0</v>
      </c>
      <c r="BJ35" s="70">
        <f t="shared" ca="1" si="96"/>
        <v>44508.128759459098</v>
      </c>
      <c r="BK35" s="2">
        <f t="shared" ca="1" si="63"/>
        <v>0</v>
      </c>
      <c r="BL35" s="131">
        <f t="shared" ca="1" si="97"/>
        <v>0</v>
      </c>
      <c r="BM35" s="131">
        <f ca="1">SUM(BL35:BL$124)*SSg</f>
        <v>0</v>
      </c>
      <c r="BN35" s="70">
        <f t="shared" ca="1" si="98"/>
        <v>44508.128759459098</v>
      </c>
      <c r="BO35" s="2">
        <f t="shared" ca="1" si="64"/>
        <v>0</v>
      </c>
      <c r="BP35" s="131">
        <f t="shared" ca="1" si="99"/>
        <v>0</v>
      </c>
      <c r="BQ35" s="131">
        <f ca="1">SUM(BP35:BP$124)*SSh</f>
        <v>0</v>
      </c>
      <c r="BR35" s="70">
        <f t="shared" ca="1" si="100"/>
        <v>44508.128759459098</v>
      </c>
      <c r="BS35" s="2">
        <f t="shared" ca="1" si="65"/>
        <v>0</v>
      </c>
      <c r="BT35" s="131">
        <f t="shared" ca="1" si="101"/>
        <v>0</v>
      </c>
      <c r="BU35" s="131">
        <f ca="1">SUM(BT35:BT$124)*SSi</f>
        <v>0</v>
      </c>
      <c r="BV35" s="70">
        <f t="shared" ca="1" si="102"/>
        <v>44508.128759459098</v>
      </c>
      <c r="BW35" s="2">
        <f t="shared" ca="1" si="66"/>
        <v>0</v>
      </c>
      <c r="BX35" s="131">
        <f t="shared" ca="1" si="103"/>
        <v>0</v>
      </c>
      <c r="BY35" s="131">
        <f ca="1">SUM(BX35:BX$124)*SSj</f>
        <v>0</v>
      </c>
      <c r="BZ35" s="70">
        <f t="shared" ca="1" si="104"/>
        <v>44508.128759459098</v>
      </c>
      <c r="CA35" s="2">
        <f t="shared" ca="1" si="67"/>
        <v>0</v>
      </c>
      <c r="CB35" s="131">
        <f t="shared" ca="1" si="105"/>
        <v>0</v>
      </c>
      <c r="CC35" s="131">
        <f ca="1">SUM(CB35:CB$124)*SSk</f>
        <v>0</v>
      </c>
      <c r="CD35" s="8">
        <f t="shared" ca="1" si="106"/>
        <v>44508.128759459098</v>
      </c>
      <c r="CE35" s="2">
        <f t="shared" ca="1" si="68"/>
        <v>0</v>
      </c>
      <c r="CF35" s="131">
        <f t="shared" ca="1" si="107"/>
        <v>0</v>
      </c>
      <c r="CG35" s="131">
        <f ca="1">SUM(CF35:CF$124)*SSl</f>
        <v>0</v>
      </c>
      <c r="CH35" s="155">
        <f t="shared" si="108"/>
        <v>0.01</v>
      </c>
      <c r="CI35" s="155">
        <f t="shared" ca="1" si="109"/>
        <v>0</v>
      </c>
      <c r="CJ35" s="155">
        <f t="shared" ca="1" si="110"/>
        <v>0</v>
      </c>
      <c r="CK35" s="155">
        <f ca="1">유해지!CY35</f>
        <v>0</v>
      </c>
      <c r="CL35" s="529">
        <f t="shared" ca="1" si="69"/>
        <v>0</v>
      </c>
      <c r="CM35" s="155">
        <f t="shared" ca="1" si="111"/>
        <v>0</v>
      </c>
      <c r="CN35" s="155">
        <f ca="1">SUM(CM35:$CM$125)</f>
        <v>0</v>
      </c>
      <c r="CO35" s="101">
        <f t="shared" ca="1" si="112"/>
        <v>0</v>
      </c>
      <c r="CP35" s="154">
        <f t="shared" ca="1" si="70"/>
        <v>0</v>
      </c>
      <c r="CQ35" s="154">
        <f t="shared" ca="1" si="71"/>
        <v>0</v>
      </c>
      <c r="CR35" s="32">
        <f t="shared" ca="1" si="72"/>
        <v>0</v>
      </c>
      <c r="CS35" s="32">
        <f t="shared" ca="1" si="73"/>
        <v>0</v>
      </c>
      <c r="CT35" s="32">
        <f t="shared" ca="1" si="74"/>
        <v>0</v>
      </c>
      <c r="CU35" s="32">
        <f t="shared" ca="1" si="75"/>
        <v>0</v>
      </c>
      <c r="CV35" s="32">
        <f t="shared" si="76"/>
        <v>0</v>
      </c>
      <c r="CW35" s="32">
        <f t="shared" ca="1" si="77"/>
        <v>0</v>
      </c>
      <c r="CX35" s="259">
        <f ca="1">IF(R35&lt;m,0,ROUND(IF($R35&gt;nB,0,GPB*mB*mmB*유해지!CY35),roundB))</f>
        <v>0</v>
      </c>
      <c r="CY35" s="262">
        <f t="shared" ca="1" si="78"/>
        <v>0</v>
      </c>
      <c r="CZ35" s="259" t="e">
        <f t="shared" ca="1" si="79"/>
        <v>#DIV/0!</v>
      </c>
      <c r="DA35" s="31">
        <f t="shared" si="80"/>
        <v>5</v>
      </c>
    </row>
    <row r="36" spans="1:105">
      <c r="N36" s="5">
        <f t="shared" si="113"/>
        <v>24</v>
      </c>
      <c r="O36" s="2">
        <f t="shared" ca="1" si="44"/>
        <v>0.5862466846401525</v>
      </c>
      <c r="P36" s="2">
        <f t="shared" ca="1" si="45"/>
        <v>0.579760658189163</v>
      </c>
      <c r="Q36" s="91"/>
      <c r="R36" s="20">
        <f t="shared" si="114"/>
        <v>24</v>
      </c>
      <c r="S36" s="20" t="str">
        <f t="shared" si="46"/>
        <v/>
      </c>
      <c r="T36" s="2">
        <f t="shared" ca="1" si="116"/>
        <v>0</v>
      </c>
      <c r="U36" s="2">
        <f t="shared" ca="1" si="116"/>
        <v>0</v>
      </c>
      <c r="V36" s="300">
        <f t="shared" si="48"/>
        <v>0.01</v>
      </c>
      <c r="W36" s="8">
        <f t="shared" si="49"/>
        <v>0</v>
      </c>
      <c r="X36" s="10">
        <f t="shared" ca="1" si="50"/>
        <v>1.0000000000000009E-2</v>
      </c>
      <c r="Y36" s="10">
        <f t="shared" ca="1" si="51"/>
        <v>0</v>
      </c>
      <c r="Z36" s="8">
        <f t="shared" ca="1" si="81"/>
        <v>0</v>
      </c>
      <c r="AA36" s="8">
        <f ca="1">+SUM(Z36:Z$124)</f>
        <v>0</v>
      </c>
      <c r="AB36" s="8">
        <f t="shared" ca="1" si="52"/>
        <v>0</v>
      </c>
      <c r="AC36" s="209">
        <f ca="1">+SUM(AB36:AB$124)*SSSM</f>
        <v>0</v>
      </c>
      <c r="AD36" s="209">
        <f t="shared" si="82"/>
        <v>0</v>
      </c>
      <c r="AE36" s="92">
        <f t="shared" ca="1" si="53"/>
        <v>0</v>
      </c>
      <c r="AF36" s="92">
        <f t="shared" ca="1" si="54"/>
        <v>0</v>
      </c>
      <c r="AG36" s="8">
        <f t="shared" ca="1" si="55"/>
        <v>0</v>
      </c>
      <c r="AH36" s="5">
        <f ca="1">+SUM(AG36:AG$124)</f>
        <v>0</v>
      </c>
      <c r="AI36" s="70">
        <f t="shared" ca="1" si="56"/>
        <v>0</v>
      </c>
      <c r="AJ36" s="208">
        <f ca="1">+SUM(AB36:AB$124)*SS50J</f>
        <v>0</v>
      </c>
      <c r="AK36" s="209">
        <f t="shared" ca="1" si="83"/>
        <v>44063.047471864505</v>
      </c>
      <c r="AL36" s="257">
        <f t="shared" ca="1" si="57"/>
        <v>0</v>
      </c>
      <c r="AM36" s="131">
        <f t="shared" ca="1" si="84"/>
        <v>25831.81549552222</v>
      </c>
      <c r="AN36" s="129">
        <f t="shared" ca="1" si="85"/>
        <v>0</v>
      </c>
      <c r="AO36" s="129">
        <f ca="1">SUM(AN36:AN$124)*SSa</f>
        <v>0</v>
      </c>
      <c r="AP36" s="70">
        <f t="shared" ca="1" si="86"/>
        <v>44063.047471864505</v>
      </c>
      <c r="AQ36" s="2">
        <f t="shared" ca="1" si="58"/>
        <v>0</v>
      </c>
      <c r="AR36" s="127">
        <f t="shared" ca="1" si="87"/>
        <v>0</v>
      </c>
      <c r="AS36" s="127">
        <f ca="1">SUM(AR36:AR$124)*SSb</f>
        <v>0</v>
      </c>
      <c r="AT36" s="70">
        <f t="shared" ca="1" si="88"/>
        <v>44063.047471864505</v>
      </c>
      <c r="AU36" s="2">
        <f t="shared" ca="1" si="59"/>
        <v>0</v>
      </c>
      <c r="AV36" s="268">
        <f t="shared" ca="1" si="89"/>
        <v>0</v>
      </c>
      <c r="AW36" s="131">
        <f ca="1">SUM(AV36:AV$124)*SSc</f>
        <v>0</v>
      </c>
      <c r="AX36" s="70">
        <f t="shared" ca="1" si="90"/>
        <v>44063.047471864505</v>
      </c>
      <c r="AY36" s="2">
        <f t="shared" ca="1" si="60"/>
        <v>0</v>
      </c>
      <c r="AZ36" s="268">
        <f t="shared" ca="1" si="91"/>
        <v>0</v>
      </c>
      <c r="BA36" s="129">
        <f ca="1">SUM(AZ36:AZ$124)*SSd</f>
        <v>0</v>
      </c>
      <c r="BB36" s="70">
        <f t="shared" ca="1" si="92"/>
        <v>44063.047471864505</v>
      </c>
      <c r="BC36" s="257">
        <f t="shared" ca="1" si="61"/>
        <v>0</v>
      </c>
      <c r="BD36" s="268">
        <f t="shared" ca="1" si="93"/>
        <v>0</v>
      </c>
      <c r="BE36" s="131">
        <f ca="1">SUM(BD36:BD$124)*SSe</f>
        <v>0</v>
      </c>
      <c r="BF36" s="70">
        <f t="shared" ca="1" si="94"/>
        <v>44063.047471864505</v>
      </c>
      <c r="BG36" s="2">
        <f t="shared" ca="1" si="62"/>
        <v>0</v>
      </c>
      <c r="BH36" s="131">
        <f t="shared" ca="1" si="95"/>
        <v>0</v>
      </c>
      <c r="BI36" s="2">
        <f ca="1">SUM(BH36:BH$124)*SSf</f>
        <v>0</v>
      </c>
      <c r="BJ36" s="70">
        <f t="shared" ca="1" si="96"/>
        <v>44063.047471864505</v>
      </c>
      <c r="BK36" s="2">
        <f t="shared" ca="1" si="63"/>
        <v>0</v>
      </c>
      <c r="BL36" s="131">
        <f t="shared" ca="1" si="97"/>
        <v>0</v>
      </c>
      <c r="BM36" s="131">
        <f ca="1">SUM(BL36:BL$124)*SSg</f>
        <v>0</v>
      </c>
      <c r="BN36" s="70">
        <f t="shared" ca="1" si="98"/>
        <v>44063.047471864505</v>
      </c>
      <c r="BO36" s="2">
        <f t="shared" ca="1" si="64"/>
        <v>0</v>
      </c>
      <c r="BP36" s="131">
        <f t="shared" ca="1" si="99"/>
        <v>0</v>
      </c>
      <c r="BQ36" s="131">
        <f ca="1">SUM(BP36:BP$124)*SSh</f>
        <v>0</v>
      </c>
      <c r="BR36" s="70">
        <f t="shared" ca="1" si="100"/>
        <v>44063.047471864505</v>
      </c>
      <c r="BS36" s="2">
        <f t="shared" ca="1" si="65"/>
        <v>0</v>
      </c>
      <c r="BT36" s="131">
        <f t="shared" ca="1" si="101"/>
        <v>0</v>
      </c>
      <c r="BU36" s="131">
        <f ca="1">SUM(BT36:BT$124)*SSi</f>
        <v>0</v>
      </c>
      <c r="BV36" s="70">
        <f t="shared" ca="1" si="102"/>
        <v>44063.047471864505</v>
      </c>
      <c r="BW36" s="2">
        <f t="shared" ca="1" si="66"/>
        <v>0</v>
      </c>
      <c r="BX36" s="131">
        <f t="shared" ca="1" si="103"/>
        <v>0</v>
      </c>
      <c r="BY36" s="131">
        <f ca="1">SUM(BX36:BX$124)*SSj</f>
        <v>0</v>
      </c>
      <c r="BZ36" s="70">
        <f t="shared" ca="1" si="104"/>
        <v>44063.047471864505</v>
      </c>
      <c r="CA36" s="2">
        <f t="shared" ca="1" si="67"/>
        <v>0</v>
      </c>
      <c r="CB36" s="131">
        <f t="shared" ca="1" si="105"/>
        <v>0</v>
      </c>
      <c r="CC36" s="131">
        <f ca="1">SUM(CB36:CB$124)*SSk</f>
        <v>0</v>
      </c>
      <c r="CD36" s="8">
        <f t="shared" ca="1" si="106"/>
        <v>44063.047471864505</v>
      </c>
      <c r="CE36" s="2">
        <f t="shared" ca="1" si="68"/>
        <v>0</v>
      </c>
      <c r="CF36" s="131">
        <f t="shared" ca="1" si="107"/>
        <v>0</v>
      </c>
      <c r="CG36" s="131">
        <f ca="1">SUM(CF36:CF$124)*SSl</f>
        <v>0</v>
      </c>
      <c r="CH36" s="155">
        <f t="shared" si="108"/>
        <v>0.01</v>
      </c>
      <c r="CI36" s="155">
        <f t="shared" ca="1" si="109"/>
        <v>0</v>
      </c>
      <c r="CJ36" s="155">
        <f t="shared" ca="1" si="110"/>
        <v>0</v>
      </c>
      <c r="CK36" s="155">
        <f ca="1">유해지!CY36</f>
        <v>0</v>
      </c>
      <c r="CL36" s="529">
        <f t="shared" ca="1" si="69"/>
        <v>0</v>
      </c>
      <c r="CM36" s="155">
        <f t="shared" ca="1" si="111"/>
        <v>0</v>
      </c>
      <c r="CN36" s="155">
        <f ca="1">SUM(CM36:$CM$125)</f>
        <v>0</v>
      </c>
      <c r="CO36" s="101">
        <f t="shared" ca="1" si="112"/>
        <v>0</v>
      </c>
      <c r="CP36" s="154">
        <f t="shared" ca="1" si="70"/>
        <v>0</v>
      </c>
      <c r="CQ36" s="154">
        <f t="shared" ca="1" si="71"/>
        <v>0</v>
      </c>
      <c r="CR36" s="32">
        <f t="shared" ca="1" si="72"/>
        <v>0</v>
      </c>
      <c r="CS36" s="32">
        <f t="shared" ca="1" si="73"/>
        <v>0</v>
      </c>
      <c r="CT36" s="32">
        <f t="shared" ca="1" si="74"/>
        <v>0</v>
      </c>
      <c r="CU36" s="32">
        <f t="shared" ca="1" si="75"/>
        <v>0</v>
      </c>
      <c r="CV36" s="32">
        <f t="shared" si="76"/>
        <v>0</v>
      </c>
      <c r="CW36" s="32">
        <f t="shared" ca="1" si="77"/>
        <v>0</v>
      </c>
      <c r="CX36" s="259">
        <f ca="1">IF(R36&lt;m,0,ROUND(IF($R36&gt;nB,0,GPB*mB*mmB*유해지!CY36),roundB))</f>
        <v>0</v>
      </c>
      <c r="CY36" s="262">
        <f t="shared" ca="1" si="78"/>
        <v>0</v>
      </c>
      <c r="CZ36" s="259" t="e">
        <f t="shared" ca="1" si="79"/>
        <v>#DIV/0!</v>
      </c>
      <c r="DA36" s="31">
        <f t="shared" si="80"/>
        <v>5</v>
      </c>
    </row>
    <row r="37" spans="1:105">
      <c r="N37" s="5">
        <f t="shared" si="113"/>
        <v>25</v>
      </c>
      <c r="O37" s="2">
        <f t="shared" ca="1" si="44"/>
        <v>0.57334639084611505</v>
      </c>
      <c r="P37" s="2">
        <f t="shared" ca="1" si="45"/>
        <v>0.56700308869355798</v>
      </c>
      <c r="Q37" s="91"/>
      <c r="R37" s="20">
        <f t="shared" si="114"/>
        <v>25</v>
      </c>
      <c r="S37" s="20" t="str">
        <f t="shared" si="46"/>
        <v/>
      </c>
      <c r="T37" s="2">
        <f t="shared" ca="1" si="116"/>
        <v>0</v>
      </c>
      <c r="U37" s="2">
        <f t="shared" ca="1" si="116"/>
        <v>0</v>
      </c>
      <c r="V37" s="300">
        <f t="shared" si="48"/>
        <v>0.01</v>
      </c>
      <c r="W37" s="8">
        <f t="shared" si="49"/>
        <v>0</v>
      </c>
      <c r="X37" s="10">
        <f t="shared" ca="1" si="50"/>
        <v>1.0000000000000009E-2</v>
      </c>
      <c r="Y37" s="10">
        <f t="shared" ca="1" si="51"/>
        <v>0</v>
      </c>
      <c r="Z37" s="8">
        <f t="shared" ca="1" si="81"/>
        <v>0</v>
      </c>
      <c r="AA37" s="8">
        <f ca="1">+SUM(Z37:Z$124)</f>
        <v>0</v>
      </c>
      <c r="AB37" s="8">
        <f t="shared" ca="1" si="52"/>
        <v>0</v>
      </c>
      <c r="AC37" s="209">
        <f ca="1">+SUM(AB37:AB$124)*SSSM</f>
        <v>0</v>
      </c>
      <c r="AD37" s="209">
        <f t="shared" si="82"/>
        <v>0</v>
      </c>
      <c r="AE37" s="92">
        <f t="shared" ca="1" si="53"/>
        <v>0</v>
      </c>
      <c r="AF37" s="92">
        <f t="shared" ca="1" si="54"/>
        <v>0</v>
      </c>
      <c r="AG37" s="8">
        <f t="shared" ca="1" si="55"/>
        <v>0</v>
      </c>
      <c r="AH37" s="5">
        <f ca="1">+SUM(AG37:AG$124)</f>
        <v>0</v>
      </c>
      <c r="AI37" s="70">
        <f t="shared" ca="1" si="56"/>
        <v>0</v>
      </c>
      <c r="AJ37" s="208">
        <f ca="1">+SUM(AB37:AB$124)*SS50J</f>
        <v>0</v>
      </c>
      <c r="AK37" s="209">
        <f t="shared" ca="1" si="83"/>
        <v>43622.416997145861</v>
      </c>
      <c r="AL37" s="257">
        <f t="shared" ca="1" si="57"/>
        <v>0</v>
      </c>
      <c r="AM37" s="131">
        <f t="shared" ca="1" si="84"/>
        <v>25010.755345297803</v>
      </c>
      <c r="AN37" s="129">
        <f t="shared" ca="1" si="85"/>
        <v>0</v>
      </c>
      <c r="AO37" s="129">
        <f ca="1">SUM(AN37:AN$124)*SSa</f>
        <v>0</v>
      </c>
      <c r="AP37" s="70">
        <f t="shared" ca="1" si="86"/>
        <v>43622.416997145861</v>
      </c>
      <c r="AQ37" s="2">
        <f t="shared" ca="1" si="58"/>
        <v>0</v>
      </c>
      <c r="AR37" s="127">
        <f t="shared" ca="1" si="87"/>
        <v>0</v>
      </c>
      <c r="AS37" s="127">
        <f ca="1">SUM(AR37:AR$124)*SSb</f>
        <v>0</v>
      </c>
      <c r="AT37" s="70">
        <f t="shared" ca="1" si="88"/>
        <v>43622.416997145861</v>
      </c>
      <c r="AU37" s="2">
        <f t="shared" ca="1" si="59"/>
        <v>0</v>
      </c>
      <c r="AV37" s="268">
        <f t="shared" ca="1" si="89"/>
        <v>0</v>
      </c>
      <c r="AW37" s="131">
        <f ca="1">SUM(AV37:AV$124)*SSc</f>
        <v>0</v>
      </c>
      <c r="AX37" s="70">
        <f t="shared" ca="1" si="90"/>
        <v>43622.416997145861</v>
      </c>
      <c r="AY37" s="2">
        <f t="shared" ca="1" si="60"/>
        <v>0</v>
      </c>
      <c r="AZ37" s="268">
        <f t="shared" ca="1" si="91"/>
        <v>0</v>
      </c>
      <c r="BA37" s="129">
        <f ca="1">SUM(AZ37:AZ$124)*SSd</f>
        <v>0</v>
      </c>
      <c r="BB37" s="70">
        <f t="shared" ca="1" si="92"/>
        <v>43622.416997145861</v>
      </c>
      <c r="BC37" s="257">
        <f t="shared" ca="1" si="61"/>
        <v>0</v>
      </c>
      <c r="BD37" s="268">
        <f t="shared" ca="1" si="93"/>
        <v>0</v>
      </c>
      <c r="BE37" s="131">
        <f ca="1">SUM(BD37:BD$124)*SSe</f>
        <v>0</v>
      </c>
      <c r="BF37" s="70">
        <f t="shared" ca="1" si="94"/>
        <v>43622.416997145861</v>
      </c>
      <c r="BG37" s="2">
        <f t="shared" ca="1" si="62"/>
        <v>0</v>
      </c>
      <c r="BH37" s="131">
        <f t="shared" ca="1" si="95"/>
        <v>0</v>
      </c>
      <c r="BI37" s="2">
        <f ca="1">SUM(BH37:BH$124)*SSf</f>
        <v>0</v>
      </c>
      <c r="BJ37" s="70">
        <f t="shared" ca="1" si="96"/>
        <v>43622.416997145861</v>
      </c>
      <c r="BK37" s="2">
        <f t="shared" ca="1" si="63"/>
        <v>0</v>
      </c>
      <c r="BL37" s="131">
        <f t="shared" ca="1" si="97"/>
        <v>0</v>
      </c>
      <c r="BM37" s="131">
        <f ca="1">SUM(BL37:BL$124)*SSg</f>
        <v>0</v>
      </c>
      <c r="BN37" s="70">
        <f t="shared" ca="1" si="98"/>
        <v>43622.416997145861</v>
      </c>
      <c r="BO37" s="2">
        <f t="shared" ca="1" si="64"/>
        <v>0</v>
      </c>
      <c r="BP37" s="131">
        <f t="shared" ca="1" si="99"/>
        <v>0</v>
      </c>
      <c r="BQ37" s="131">
        <f ca="1">SUM(BP37:BP$124)*SSh</f>
        <v>0</v>
      </c>
      <c r="BR37" s="70">
        <f t="shared" ca="1" si="100"/>
        <v>43622.416997145861</v>
      </c>
      <c r="BS37" s="2">
        <f t="shared" ca="1" si="65"/>
        <v>0</v>
      </c>
      <c r="BT37" s="131">
        <f t="shared" ca="1" si="101"/>
        <v>0</v>
      </c>
      <c r="BU37" s="131">
        <f ca="1">SUM(BT37:BT$124)*SSi</f>
        <v>0</v>
      </c>
      <c r="BV37" s="70">
        <f t="shared" ca="1" si="102"/>
        <v>43622.416997145861</v>
      </c>
      <c r="BW37" s="2">
        <f t="shared" ca="1" si="66"/>
        <v>0</v>
      </c>
      <c r="BX37" s="131">
        <f t="shared" ca="1" si="103"/>
        <v>0</v>
      </c>
      <c r="BY37" s="131">
        <f ca="1">SUM(BX37:BX$124)*SSj</f>
        <v>0</v>
      </c>
      <c r="BZ37" s="70">
        <f t="shared" ca="1" si="104"/>
        <v>43622.416997145861</v>
      </c>
      <c r="CA37" s="2">
        <f t="shared" ca="1" si="67"/>
        <v>0</v>
      </c>
      <c r="CB37" s="131">
        <f t="shared" ca="1" si="105"/>
        <v>0</v>
      </c>
      <c r="CC37" s="131">
        <f ca="1">SUM(CB37:CB$124)*SSk</f>
        <v>0</v>
      </c>
      <c r="CD37" s="8">
        <f t="shared" ca="1" si="106"/>
        <v>43622.416997145861</v>
      </c>
      <c r="CE37" s="2">
        <f t="shared" ca="1" si="68"/>
        <v>0</v>
      </c>
      <c r="CF37" s="131">
        <f t="shared" ca="1" si="107"/>
        <v>0</v>
      </c>
      <c r="CG37" s="131">
        <f ca="1">SUM(CF37:CF$124)*SSl</f>
        <v>0</v>
      </c>
      <c r="CH37" s="155">
        <f t="shared" si="108"/>
        <v>0.01</v>
      </c>
      <c r="CI37" s="155">
        <f t="shared" ca="1" si="109"/>
        <v>0</v>
      </c>
      <c r="CJ37" s="155">
        <f t="shared" ca="1" si="110"/>
        <v>0</v>
      </c>
      <c r="CK37" s="155">
        <f ca="1">유해지!CY37</f>
        <v>0</v>
      </c>
      <c r="CL37" s="529">
        <f t="shared" ca="1" si="69"/>
        <v>0</v>
      </c>
      <c r="CM37" s="155">
        <f t="shared" ca="1" si="111"/>
        <v>0</v>
      </c>
      <c r="CN37" s="155">
        <f ca="1">SUM(CM37:$CM$125)</f>
        <v>0</v>
      </c>
      <c r="CO37" s="101">
        <f t="shared" ca="1" si="112"/>
        <v>0</v>
      </c>
      <c r="CP37" s="154">
        <f t="shared" ca="1" si="70"/>
        <v>0</v>
      </c>
      <c r="CQ37" s="154">
        <f t="shared" ca="1" si="71"/>
        <v>0</v>
      </c>
      <c r="CR37" s="32">
        <f t="shared" ca="1" si="72"/>
        <v>0</v>
      </c>
      <c r="CS37" s="32">
        <f t="shared" ca="1" si="73"/>
        <v>0</v>
      </c>
      <c r="CT37" s="32">
        <f t="shared" ca="1" si="74"/>
        <v>0</v>
      </c>
      <c r="CU37" s="32">
        <f t="shared" ca="1" si="75"/>
        <v>0</v>
      </c>
      <c r="CV37" s="32">
        <f t="shared" si="76"/>
        <v>0</v>
      </c>
      <c r="CW37" s="32">
        <f t="shared" ca="1" si="77"/>
        <v>0</v>
      </c>
      <c r="CX37" s="259">
        <f ca="1">IF(R37&lt;m,0,ROUND(IF($R37&gt;nB,0,GPB*mB*mmB*유해지!CY37),roundB))</f>
        <v>0</v>
      </c>
      <c r="CY37" s="262">
        <f t="shared" ca="1" si="78"/>
        <v>0</v>
      </c>
      <c r="CZ37" s="259" t="e">
        <f t="shared" ca="1" si="79"/>
        <v>#DIV/0!</v>
      </c>
      <c r="DA37" s="31">
        <f t="shared" si="80"/>
        <v>5</v>
      </c>
    </row>
    <row r="38" spans="1:105">
      <c r="C38" s="302"/>
      <c r="N38" s="5">
        <f t="shared" si="113"/>
        <v>26</v>
      </c>
      <c r="O38" s="2">
        <f t="shared" ca="1" si="44"/>
        <v>0.5607299665976675</v>
      </c>
      <c r="P38" s="2">
        <f t="shared" ca="1" si="45"/>
        <v>0.55452624811105922</v>
      </c>
      <c r="Q38" s="91"/>
      <c r="R38" s="20">
        <f t="shared" si="114"/>
        <v>26</v>
      </c>
      <c r="S38" s="20" t="str">
        <f t="shared" si="46"/>
        <v/>
      </c>
      <c r="T38" s="2">
        <f t="shared" ca="1" si="116"/>
        <v>0</v>
      </c>
      <c r="U38" s="2">
        <f t="shared" ca="1" si="116"/>
        <v>0</v>
      </c>
      <c r="V38" s="300">
        <f t="shared" si="48"/>
        <v>0.01</v>
      </c>
      <c r="W38" s="8">
        <f t="shared" si="49"/>
        <v>0</v>
      </c>
      <c r="X38" s="10">
        <f t="shared" ca="1" si="50"/>
        <v>1.0000000000000009E-2</v>
      </c>
      <c r="Y38" s="10">
        <f t="shared" ca="1" si="51"/>
        <v>0</v>
      </c>
      <c r="Z38" s="8">
        <f t="shared" ca="1" si="81"/>
        <v>0</v>
      </c>
      <c r="AA38" s="8">
        <f ca="1">+SUM(Z38:Z$124)</f>
        <v>0</v>
      </c>
      <c r="AB38" s="8">
        <f t="shared" ca="1" si="52"/>
        <v>0</v>
      </c>
      <c r="AC38" s="209">
        <f ca="1">+SUM(AB38:AB$124)*SSSM</f>
        <v>0</v>
      </c>
      <c r="AD38" s="209">
        <f t="shared" si="82"/>
        <v>0</v>
      </c>
      <c r="AE38" s="92">
        <f t="shared" ca="1" si="53"/>
        <v>0</v>
      </c>
      <c r="AF38" s="92">
        <f t="shared" ca="1" si="54"/>
        <v>0</v>
      </c>
      <c r="AG38" s="8">
        <f t="shared" ca="1" si="55"/>
        <v>0</v>
      </c>
      <c r="AH38" s="5">
        <f ca="1">+SUM(AG38:AG$124)</f>
        <v>0</v>
      </c>
      <c r="AI38" s="70">
        <f t="shared" ca="1" si="56"/>
        <v>0</v>
      </c>
      <c r="AJ38" s="208">
        <f ca="1">+SUM(AB38:AB$124)*SS50J</f>
        <v>0</v>
      </c>
      <c r="AK38" s="209">
        <f t="shared" ca="1" si="83"/>
        <v>43186.192827174404</v>
      </c>
      <c r="AL38" s="257">
        <f t="shared" ca="1" si="57"/>
        <v>0</v>
      </c>
      <c r="AM38" s="131">
        <f t="shared" ca="1" si="84"/>
        <v>24215.79246146193</v>
      </c>
      <c r="AN38" s="129">
        <f t="shared" ca="1" si="85"/>
        <v>0</v>
      </c>
      <c r="AO38" s="129">
        <f ca="1">SUM(AN38:AN$124)*SSa</f>
        <v>0</v>
      </c>
      <c r="AP38" s="70">
        <f t="shared" ca="1" si="86"/>
        <v>43186.192827174404</v>
      </c>
      <c r="AQ38" s="2">
        <f t="shared" ca="1" si="58"/>
        <v>0</v>
      </c>
      <c r="AR38" s="127">
        <f t="shared" ca="1" si="87"/>
        <v>0</v>
      </c>
      <c r="AS38" s="127">
        <f ca="1">SUM(AR38:AR$124)*SSb</f>
        <v>0</v>
      </c>
      <c r="AT38" s="70">
        <f t="shared" ca="1" si="88"/>
        <v>43186.192827174404</v>
      </c>
      <c r="AU38" s="2">
        <f t="shared" ca="1" si="59"/>
        <v>0</v>
      </c>
      <c r="AV38" s="268">
        <f t="shared" ca="1" si="89"/>
        <v>0</v>
      </c>
      <c r="AW38" s="131">
        <f ca="1">SUM(AV38:AV$124)*SSc</f>
        <v>0</v>
      </c>
      <c r="AX38" s="70">
        <f t="shared" ca="1" si="90"/>
        <v>43186.192827174404</v>
      </c>
      <c r="AY38" s="2">
        <f t="shared" ca="1" si="60"/>
        <v>0</v>
      </c>
      <c r="AZ38" s="268">
        <f t="shared" ca="1" si="91"/>
        <v>0</v>
      </c>
      <c r="BA38" s="129">
        <f ca="1">SUM(AZ38:AZ$124)*SSd</f>
        <v>0</v>
      </c>
      <c r="BB38" s="70">
        <f t="shared" ca="1" si="92"/>
        <v>43186.192827174404</v>
      </c>
      <c r="BC38" s="257">
        <f t="shared" ca="1" si="61"/>
        <v>0</v>
      </c>
      <c r="BD38" s="268">
        <f t="shared" ca="1" si="93"/>
        <v>0</v>
      </c>
      <c r="BE38" s="131">
        <f ca="1">SUM(BD38:BD$124)*SSe</f>
        <v>0</v>
      </c>
      <c r="BF38" s="70">
        <f t="shared" ca="1" si="94"/>
        <v>43186.192827174404</v>
      </c>
      <c r="BG38" s="2">
        <f t="shared" ca="1" si="62"/>
        <v>0</v>
      </c>
      <c r="BH38" s="131">
        <f t="shared" ca="1" si="95"/>
        <v>0</v>
      </c>
      <c r="BI38" s="2">
        <f ca="1">SUM(BH38:BH$124)*SSf</f>
        <v>0</v>
      </c>
      <c r="BJ38" s="70">
        <f t="shared" ca="1" si="96"/>
        <v>43186.192827174404</v>
      </c>
      <c r="BK38" s="2">
        <f t="shared" ca="1" si="63"/>
        <v>0</v>
      </c>
      <c r="BL38" s="131">
        <f t="shared" ca="1" si="97"/>
        <v>0</v>
      </c>
      <c r="BM38" s="131">
        <f ca="1">SUM(BL38:BL$124)*SSg</f>
        <v>0</v>
      </c>
      <c r="BN38" s="70">
        <f t="shared" ca="1" si="98"/>
        <v>43186.192827174404</v>
      </c>
      <c r="BO38" s="2">
        <f t="shared" ca="1" si="64"/>
        <v>0</v>
      </c>
      <c r="BP38" s="131">
        <f t="shared" ca="1" si="99"/>
        <v>0</v>
      </c>
      <c r="BQ38" s="131">
        <f ca="1">SUM(BP38:BP$124)*SSh</f>
        <v>0</v>
      </c>
      <c r="BR38" s="70">
        <f t="shared" ca="1" si="100"/>
        <v>43186.192827174404</v>
      </c>
      <c r="BS38" s="2">
        <f t="shared" ca="1" si="65"/>
        <v>0</v>
      </c>
      <c r="BT38" s="131">
        <f t="shared" ca="1" si="101"/>
        <v>0</v>
      </c>
      <c r="BU38" s="131">
        <f ca="1">SUM(BT38:BT$124)*SSi</f>
        <v>0</v>
      </c>
      <c r="BV38" s="70">
        <f t="shared" ca="1" si="102"/>
        <v>43186.192827174404</v>
      </c>
      <c r="BW38" s="2">
        <f t="shared" ca="1" si="66"/>
        <v>0</v>
      </c>
      <c r="BX38" s="131">
        <f t="shared" ca="1" si="103"/>
        <v>0</v>
      </c>
      <c r="BY38" s="131">
        <f ca="1">SUM(BX38:BX$124)*SSj</f>
        <v>0</v>
      </c>
      <c r="BZ38" s="70">
        <f t="shared" ca="1" si="104"/>
        <v>43186.192827174404</v>
      </c>
      <c r="CA38" s="2">
        <f t="shared" ca="1" si="67"/>
        <v>0</v>
      </c>
      <c r="CB38" s="131">
        <f t="shared" ca="1" si="105"/>
        <v>0</v>
      </c>
      <c r="CC38" s="131">
        <f ca="1">SUM(CB38:CB$124)*SSk</f>
        <v>0</v>
      </c>
      <c r="CD38" s="8">
        <f t="shared" ca="1" si="106"/>
        <v>43186.192827174404</v>
      </c>
      <c r="CE38" s="2">
        <f t="shared" ca="1" si="68"/>
        <v>0</v>
      </c>
      <c r="CF38" s="131">
        <f t="shared" ca="1" si="107"/>
        <v>0</v>
      </c>
      <c r="CG38" s="131">
        <f ca="1">SUM(CF38:CF$124)*SSl</f>
        <v>0</v>
      </c>
      <c r="CH38" s="155">
        <f t="shared" si="108"/>
        <v>0.01</v>
      </c>
      <c r="CI38" s="155">
        <f t="shared" ca="1" si="109"/>
        <v>0</v>
      </c>
      <c r="CJ38" s="155">
        <f t="shared" ca="1" si="110"/>
        <v>0</v>
      </c>
      <c r="CK38" s="155">
        <f ca="1">유해지!CY38</f>
        <v>0</v>
      </c>
      <c r="CL38" s="529">
        <f t="shared" ca="1" si="69"/>
        <v>0</v>
      </c>
      <c r="CM38" s="155">
        <f t="shared" ca="1" si="111"/>
        <v>0</v>
      </c>
      <c r="CN38" s="155">
        <f ca="1">SUM(CM38:$CM$125)</f>
        <v>0</v>
      </c>
      <c r="CO38" s="101">
        <f t="shared" ca="1" si="112"/>
        <v>0</v>
      </c>
      <c r="CP38" s="154">
        <f t="shared" ca="1" si="70"/>
        <v>0</v>
      </c>
      <c r="CQ38" s="154">
        <f t="shared" ca="1" si="71"/>
        <v>0</v>
      </c>
      <c r="CR38" s="32">
        <f t="shared" ca="1" si="72"/>
        <v>0</v>
      </c>
      <c r="CS38" s="32">
        <f t="shared" ca="1" si="73"/>
        <v>0</v>
      </c>
      <c r="CT38" s="32">
        <f t="shared" ca="1" si="74"/>
        <v>0</v>
      </c>
      <c r="CU38" s="32">
        <f t="shared" ca="1" si="75"/>
        <v>0</v>
      </c>
      <c r="CV38" s="32">
        <f t="shared" si="76"/>
        <v>0</v>
      </c>
      <c r="CW38" s="32">
        <f t="shared" ca="1" si="77"/>
        <v>0</v>
      </c>
      <c r="CX38" s="259">
        <f ca="1">IF(R38&lt;m,0,ROUND(IF($R38&gt;nB,0,GPB*mB*mmB*유해지!CY38),roundB))</f>
        <v>0</v>
      </c>
      <c r="CY38" s="262">
        <f t="shared" ca="1" si="78"/>
        <v>0</v>
      </c>
      <c r="CZ38" s="259" t="e">
        <f t="shared" ca="1" si="79"/>
        <v>#DIV/0!</v>
      </c>
      <c r="DA38" s="31">
        <f t="shared" si="80"/>
        <v>5</v>
      </c>
    </row>
    <row r="39" spans="1:105">
      <c r="C39" s="302"/>
      <c r="N39" s="5">
        <f t="shared" si="113"/>
        <v>27</v>
      </c>
      <c r="O39" s="2">
        <f t="shared" ca="1" si="44"/>
        <v>0.54839116537669197</v>
      </c>
      <c r="P39" s="2">
        <f t="shared" ca="1" si="45"/>
        <v>0.54232395903282082</v>
      </c>
      <c r="Q39" s="91"/>
      <c r="R39" s="20">
        <f t="shared" si="114"/>
        <v>27</v>
      </c>
      <c r="S39" s="20" t="str">
        <f t="shared" si="46"/>
        <v/>
      </c>
      <c r="T39" s="2">
        <f t="shared" ca="1" si="116"/>
        <v>0</v>
      </c>
      <c r="U39" s="2">
        <f t="shared" ca="1" si="116"/>
        <v>0</v>
      </c>
      <c r="V39" s="300">
        <f t="shared" si="48"/>
        <v>0.01</v>
      </c>
      <c r="W39" s="8">
        <f t="shared" si="49"/>
        <v>0</v>
      </c>
      <c r="X39" s="10">
        <f t="shared" ca="1" si="50"/>
        <v>1.0000000000000009E-2</v>
      </c>
      <c r="Y39" s="10">
        <f t="shared" ca="1" si="51"/>
        <v>0</v>
      </c>
      <c r="Z39" s="8">
        <f t="shared" ca="1" si="81"/>
        <v>0</v>
      </c>
      <c r="AA39" s="8">
        <f ca="1">+SUM(Z39:Z$124)</f>
        <v>0</v>
      </c>
      <c r="AB39" s="8">
        <f t="shared" ca="1" si="52"/>
        <v>0</v>
      </c>
      <c r="AC39" s="209">
        <f ca="1">+SUM(AB39:AB$124)*SSSM</f>
        <v>0</v>
      </c>
      <c r="AD39" s="209">
        <f t="shared" si="82"/>
        <v>0</v>
      </c>
      <c r="AE39" s="92">
        <f t="shared" ca="1" si="53"/>
        <v>0</v>
      </c>
      <c r="AF39" s="92">
        <f t="shared" ca="1" si="54"/>
        <v>0</v>
      </c>
      <c r="AG39" s="8">
        <f t="shared" ca="1" si="55"/>
        <v>0</v>
      </c>
      <c r="AH39" s="5">
        <f ca="1">+SUM(AG39:AG$124)</f>
        <v>0</v>
      </c>
      <c r="AI39" s="70">
        <f t="shared" ca="1" si="56"/>
        <v>0</v>
      </c>
      <c r="AJ39" s="208">
        <f ca="1">+SUM(AB39:AB$124)*SS50J</f>
        <v>0</v>
      </c>
      <c r="AK39" s="209">
        <f t="shared" ca="1" si="83"/>
        <v>42754.330898902663</v>
      </c>
      <c r="AL39" s="257">
        <f t="shared" ca="1" si="57"/>
        <v>0</v>
      </c>
      <c r="AM39" s="131">
        <f t="shared" ca="1" si="84"/>
        <v>23446.097346549941</v>
      </c>
      <c r="AN39" s="129">
        <f t="shared" ca="1" si="85"/>
        <v>0</v>
      </c>
      <c r="AO39" s="129">
        <f ca="1">SUM(AN39:AN$124)*SSa</f>
        <v>0</v>
      </c>
      <c r="AP39" s="70">
        <f t="shared" ca="1" si="86"/>
        <v>42754.330898902663</v>
      </c>
      <c r="AQ39" s="2">
        <f t="shared" ca="1" si="58"/>
        <v>0</v>
      </c>
      <c r="AR39" s="127">
        <f t="shared" ca="1" si="87"/>
        <v>0</v>
      </c>
      <c r="AS39" s="127">
        <f ca="1">SUM(AR39:AR$124)*SSb</f>
        <v>0</v>
      </c>
      <c r="AT39" s="70">
        <f t="shared" ca="1" si="88"/>
        <v>42754.330898902663</v>
      </c>
      <c r="AU39" s="2">
        <f t="shared" ca="1" si="59"/>
        <v>0</v>
      </c>
      <c r="AV39" s="268">
        <f t="shared" ca="1" si="89"/>
        <v>0</v>
      </c>
      <c r="AW39" s="131">
        <f ca="1">SUM(AV39:AV$124)*SSc</f>
        <v>0</v>
      </c>
      <c r="AX39" s="70">
        <f t="shared" ca="1" si="90"/>
        <v>42754.330898902663</v>
      </c>
      <c r="AY39" s="2">
        <f t="shared" ca="1" si="60"/>
        <v>0</v>
      </c>
      <c r="AZ39" s="268">
        <f t="shared" ca="1" si="91"/>
        <v>0</v>
      </c>
      <c r="BA39" s="129">
        <f ca="1">SUM(AZ39:AZ$124)*SSd</f>
        <v>0</v>
      </c>
      <c r="BB39" s="70">
        <f t="shared" ca="1" si="92"/>
        <v>42754.330898902663</v>
      </c>
      <c r="BC39" s="257">
        <f t="shared" ca="1" si="61"/>
        <v>0</v>
      </c>
      <c r="BD39" s="268">
        <f t="shared" ca="1" si="93"/>
        <v>0</v>
      </c>
      <c r="BE39" s="131">
        <f ca="1">SUM(BD39:BD$124)*SSe</f>
        <v>0</v>
      </c>
      <c r="BF39" s="70">
        <f t="shared" ca="1" si="94"/>
        <v>42754.330898902663</v>
      </c>
      <c r="BG39" s="2">
        <f t="shared" ca="1" si="62"/>
        <v>0</v>
      </c>
      <c r="BH39" s="131">
        <f t="shared" ca="1" si="95"/>
        <v>0</v>
      </c>
      <c r="BI39" s="2">
        <f ca="1">SUM(BH39:BH$124)*SSf</f>
        <v>0</v>
      </c>
      <c r="BJ39" s="70">
        <f t="shared" ca="1" si="96"/>
        <v>42754.330898902663</v>
      </c>
      <c r="BK39" s="2">
        <f t="shared" ca="1" si="63"/>
        <v>0</v>
      </c>
      <c r="BL39" s="131">
        <f t="shared" ca="1" si="97"/>
        <v>0</v>
      </c>
      <c r="BM39" s="131">
        <f ca="1">SUM(BL39:BL$124)*SSg</f>
        <v>0</v>
      </c>
      <c r="BN39" s="70">
        <f t="shared" ca="1" si="98"/>
        <v>42754.330898902663</v>
      </c>
      <c r="BO39" s="2">
        <f t="shared" ca="1" si="64"/>
        <v>0</v>
      </c>
      <c r="BP39" s="131">
        <f t="shared" ca="1" si="99"/>
        <v>0</v>
      </c>
      <c r="BQ39" s="131">
        <f ca="1">SUM(BP39:BP$124)*SSh</f>
        <v>0</v>
      </c>
      <c r="BR39" s="70">
        <f t="shared" ca="1" si="100"/>
        <v>42754.330898902663</v>
      </c>
      <c r="BS39" s="2">
        <f t="shared" ca="1" si="65"/>
        <v>0</v>
      </c>
      <c r="BT39" s="131">
        <f t="shared" ca="1" si="101"/>
        <v>0</v>
      </c>
      <c r="BU39" s="131">
        <f ca="1">SUM(BT39:BT$124)*SSi</f>
        <v>0</v>
      </c>
      <c r="BV39" s="70">
        <f t="shared" ca="1" si="102"/>
        <v>42754.330898902663</v>
      </c>
      <c r="BW39" s="2">
        <f t="shared" ca="1" si="66"/>
        <v>0</v>
      </c>
      <c r="BX39" s="131">
        <f t="shared" ca="1" si="103"/>
        <v>0</v>
      </c>
      <c r="BY39" s="131">
        <f ca="1">SUM(BX39:BX$124)*SSj</f>
        <v>0</v>
      </c>
      <c r="BZ39" s="70">
        <f t="shared" ca="1" si="104"/>
        <v>42754.330898902663</v>
      </c>
      <c r="CA39" s="2">
        <f t="shared" ca="1" si="67"/>
        <v>0</v>
      </c>
      <c r="CB39" s="131">
        <f t="shared" ca="1" si="105"/>
        <v>0</v>
      </c>
      <c r="CC39" s="131">
        <f ca="1">SUM(CB39:CB$124)*SSk</f>
        <v>0</v>
      </c>
      <c r="CD39" s="8">
        <f t="shared" ca="1" si="106"/>
        <v>42754.330898902663</v>
      </c>
      <c r="CE39" s="2">
        <f t="shared" ca="1" si="68"/>
        <v>0</v>
      </c>
      <c r="CF39" s="131">
        <f t="shared" ca="1" si="107"/>
        <v>0</v>
      </c>
      <c r="CG39" s="131">
        <f ca="1">SUM(CF39:CF$124)*SSl</f>
        <v>0</v>
      </c>
      <c r="CH39" s="155">
        <f t="shared" si="108"/>
        <v>0.01</v>
      </c>
      <c r="CI39" s="155">
        <f t="shared" ca="1" si="109"/>
        <v>0</v>
      </c>
      <c r="CJ39" s="155">
        <f t="shared" ca="1" si="110"/>
        <v>0</v>
      </c>
      <c r="CK39" s="155">
        <f ca="1">유해지!CY39</f>
        <v>0</v>
      </c>
      <c r="CL39" s="529">
        <f t="shared" ca="1" si="69"/>
        <v>0</v>
      </c>
      <c r="CM39" s="155">
        <f t="shared" ca="1" si="111"/>
        <v>0</v>
      </c>
      <c r="CN39" s="155">
        <f ca="1">SUM(CM39:$CM$125)</f>
        <v>0</v>
      </c>
      <c r="CO39" s="101">
        <f t="shared" ca="1" si="112"/>
        <v>0</v>
      </c>
      <c r="CP39" s="154">
        <f t="shared" ca="1" si="70"/>
        <v>0</v>
      </c>
      <c r="CQ39" s="154">
        <f t="shared" ca="1" si="71"/>
        <v>0</v>
      </c>
      <c r="CR39" s="32">
        <f t="shared" ca="1" si="72"/>
        <v>0</v>
      </c>
      <c r="CS39" s="32">
        <f t="shared" ca="1" si="73"/>
        <v>0</v>
      </c>
      <c r="CT39" s="32">
        <f t="shared" ca="1" si="74"/>
        <v>0</v>
      </c>
      <c r="CU39" s="32">
        <f t="shared" ca="1" si="75"/>
        <v>0</v>
      </c>
      <c r="CV39" s="32">
        <f t="shared" si="76"/>
        <v>0</v>
      </c>
      <c r="CW39" s="32">
        <f t="shared" ca="1" si="77"/>
        <v>0</v>
      </c>
      <c r="CX39" s="259">
        <f ca="1">IF(R39&lt;m,0,ROUND(IF($R39&gt;nB,0,GPB*mB*mmB*유해지!CY39),roundB))</f>
        <v>0</v>
      </c>
      <c r="CY39" s="262">
        <f t="shared" ca="1" si="78"/>
        <v>0</v>
      </c>
      <c r="CZ39" s="259" t="e">
        <f t="shared" ca="1" si="79"/>
        <v>#DIV/0!</v>
      </c>
      <c r="DA39" s="31">
        <f t="shared" si="80"/>
        <v>5</v>
      </c>
    </row>
    <row r="40" spans="1:105">
      <c r="A40" s="59"/>
      <c r="E40" s="60"/>
      <c r="N40" s="5">
        <f t="shared" si="113"/>
        <v>28</v>
      </c>
      <c r="O40" s="2">
        <f t="shared" ca="1" si="44"/>
        <v>0.53632387811901416</v>
      </c>
      <c r="P40" s="2">
        <f t="shared" ca="1" si="45"/>
        <v>0.53039017998319882</v>
      </c>
      <c r="Q40" s="91"/>
      <c r="R40" s="20">
        <f t="shared" si="114"/>
        <v>28</v>
      </c>
      <c r="S40" s="20" t="str">
        <f t="shared" si="46"/>
        <v/>
      </c>
      <c r="T40" s="2">
        <f t="shared" ca="1" si="116"/>
        <v>0</v>
      </c>
      <c r="U40" s="2">
        <f t="shared" ca="1" si="116"/>
        <v>0</v>
      </c>
      <c r="V40" s="300">
        <f t="shared" si="48"/>
        <v>0.01</v>
      </c>
      <c r="W40" s="8">
        <f t="shared" si="49"/>
        <v>0</v>
      </c>
      <c r="X40" s="10">
        <f t="shared" ca="1" si="50"/>
        <v>1.0000000000000009E-2</v>
      </c>
      <c r="Y40" s="10">
        <f t="shared" ca="1" si="51"/>
        <v>0</v>
      </c>
      <c r="Z40" s="8">
        <f t="shared" ca="1" si="81"/>
        <v>0</v>
      </c>
      <c r="AA40" s="8">
        <f ca="1">+SUM(Z40:Z$124)</f>
        <v>0</v>
      </c>
      <c r="AB40" s="8">
        <f t="shared" ca="1" si="52"/>
        <v>0</v>
      </c>
      <c r="AC40" s="209">
        <f ca="1">+SUM(AB40:AB$124)*SSSM</f>
        <v>0</v>
      </c>
      <c r="AD40" s="209">
        <f t="shared" si="82"/>
        <v>0</v>
      </c>
      <c r="AE40" s="92">
        <f t="shared" ca="1" si="53"/>
        <v>0</v>
      </c>
      <c r="AF40" s="92">
        <f t="shared" ca="1" si="54"/>
        <v>0</v>
      </c>
      <c r="AG40" s="8">
        <f t="shared" ca="1" si="55"/>
        <v>0</v>
      </c>
      <c r="AH40" s="5">
        <f ca="1">+SUM(AG40:AG$124)</f>
        <v>0</v>
      </c>
      <c r="AI40" s="70">
        <f t="shared" ca="1" si="56"/>
        <v>0</v>
      </c>
      <c r="AJ40" s="208">
        <f ca="1">+SUM(AB40:AB$124)*SS50J</f>
        <v>0</v>
      </c>
      <c r="AK40" s="209">
        <f t="shared" ca="1" si="83"/>
        <v>42326.787589913634</v>
      </c>
      <c r="AL40" s="257">
        <f t="shared" ca="1" si="57"/>
        <v>0</v>
      </c>
      <c r="AM40" s="131">
        <f t="shared" ca="1" si="84"/>
        <v>22700.866868542242</v>
      </c>
      <c r="AN40" s="129">
        <f t="shared" ca="1" si="85"/>
        <v>0</v>
      </c>
      <c r="AO40" s="129">
        <f ca="1">SUM(AN40:AN$124)*SSa</f>
        <v>0</v>
      </c>
      <c r="AP40" s="70">
        <f t="shared" ca="1" si="86"/>
        <v>42326.787589913634</v>
      </c>
      <c r="AQ40" s="2">
        <f t="shared" ca="1" si="58"/>
        <v>0</v>
      </c>
      <c r="AR40" s="127">
        <f t="shared" ca="1" si="87"/>
        <v>0</v>
      </c>
      <c r="AS40" s="127">
        <f ca="1">SUM(AR40:AR$124)*SSb</f>
        <v>0</v>
      </c>
      <c r="AT40" s="70">
        <f t="shared" ca="1" si="88"/>
        <v>42326.787589913634</v>
      </c>
      <c r="AU40" s="2">
        <f t="shared" ca="1" si="59"/>
        <v>0</v>
      </c>
      <c r="AV40" s="268">
        <f t="shared" ca="1" si="89"/>
        <v>0</v>
      </c>
      <c r="AW40" s="131">
        <f ca="1">SUM(AV40:AV$124)*SSc</f>
        <v>0</v>
      </c>
      <c r="AX40" s="70">
        <f t="shared" ca="1" si="90"/>
        <v>42326.787589913634</v>
      </c>
      <c r="AY40" s="2">
        <f t="shared" ca="1" si="60"/>
        <v>0</v>
      </c>
      <c r="AZ40" s="268">
        <f t="shared" ca="1" si="91"/>
        <v>0</v>
      </c>
      <c r="BA40" s="129">
        <f ca="1">SUM(AZ40:AZ$124)*SSd</f>
        <v>0</v>
      </c>
      <c r="BB40" s="70">
        <f t="shared" ca="1" si="92"/>
        <v>42326.787589913634</v>
      </c>
      <c r="BC40" s="257">
        <f t="shared" ca="1" si="61"/>
        <v>0</v>
      </c>
      <c r="BD40" s="268">
        <f t="shared" ca="1" si="93"/>
        <v>0</v>
      </c>
      <c r="BE40" s="131">
        <f ca="1">SUM(BD40:BD$124)*SSe</f>
        <v>0</v>
      </c>
      <c r="BF40" s="70">
        <f t="shared" ca="1" si="94"/>
        <v>42326.787589913634</v>
      </c>
      <c r="BG40" s="2">
        <f t="shared" ca="1" si="62"/>
        <v>0</v>
      </c>
      <c r="BH40" s="131">
        <f t="shared" ca="1" si="95"/>
        <v>0</v>
      </c>
      <c r="BI40" s="2">
        <f ca="1">SUM(BH40:BH$124)*SSf</f>
        <v>0</v>
      </c>
      <c r="BJ40" s="70">
        <f t="shared" ca="1" si="96"/>
        <v>42326.787589913634</v>
      </c>
      <c r="BK40" s="2">
        <f t="shared" ca="1" si="63"/>
        <v>0</v>
      </c>
      <c r="BL40" s="131">
        <f t="shared" ca="1" si="97"/>
        <v>0</v>
      </c>
      <c r="BM40" s="131">
        <f ca="1">SUM(BL40:BL$124)*SSg</f>
        <v>0</v>
      </c>
      <c r="BN40" s="70">
        <f t="shared" ca="1" si="98"/>
        <v>42326.787589913634</v>
      </c>
      <c r="BO40" s="2">
        <f t="shared" ca="1" si="64"/>
        <v>0</v>
      </c>
      <c r="BP40" s="131">
        <f t="shared" ca="1" si="99"/>
        <v>0</v>
      </c>
      <c r="BQ40" s="131">
        <f ca="1">SUM(BP40:BP$124)*SSh</f>
        <v>0</v>
      </c>
      <c r="BR40" s="70">
        <f t="shared" ca="1" si="100"/>
        <v>42326.787589913634</v>
      </c>
      <c r="BS40" s="2">
        <f t="shared" ca="1" si="65"/>
        <v>0</v>
      </c>
      <c r="BT40" s="131">
        <f t="shared" ca="1" si="101"/>
        <v>0</v>
      </c>
      <c r="BU40" s="131">
        <f ca="1">SUM(BT40:BT$124)*SSi</f>
        <v>0</v>
      </c>
      <c r="BV40" s="70">
        <f t="shared" ca="1" si="102"/>
        <v>42326.787589913634</v>
      </c>
      <c r="BW40" s="2">
        <f t="shared" ca="1" si="66"/>
        <v>0</v>
      </c>
      <c r="BX40" s="131">
        <f t="shared" ca="1" si="103"/>
        <v>0</v>
      </c>
      <c r="BY40" s="131">
        <f ca="1">SUM(BX40:BX$124)*SSj</f>
        <v>0</v>
      </c>
      <c r="BZ40" s="70">
        <f t="shared" ca="1" si="104"/>
        <v>42326.787589913634</v>
      </c>
      <c r="CA40" s="2">
        <f t="shared" ca="1" si="67"/>
        <v>0</v>
      </c>
      <c r="CB40" s="131">
        <f t="shared" ca="1" si="105"/>
        <v>0</v>
      </c>
      <c r="CC40" s="131">
        <f ca="1">SUM(CB40:CB$124)*SSk</f>
        <v>0</v>
      </c>
      <c r="CD40" s="8">
        <f t="shared" ca="1" si="106"/>
        <v>42326.787589913634</v>
      </c>
      <c r="CE40" s="2">
        <f t="shared" ca="1" si="68"/>
        <v>0</v>
      </c>
      <c r="CF40" s="131">
        <f t="shared" ca="1" si="107"/>
        <v>0</v>
      </c>
      <c r="CG40" s="131">
        <f ca="1">SUM(CF40:CF$124)*SSl</f>
        <v>0</v>
      </c>
      <c r="CH40" s="155">
        <f t="shared" si="108"/>
        <v>0.01</v>
      </c>
      <c r="CI40" s="155">
        <f t="shared" ca="1" si="109"/>
        <v>0</v>
      </c>
      <c r="CJ40" s="155">
        <f t="shared" ca="1" si="110"/>
        <v>0</v>
      </c>
      <c r="CK40" s="155">
        <f ca="1">유해지!CY40</f>
        <v>0</v>
      </c>
      <c r="CL40" s="529">
        <f t="shared" ca="1" si="69"/>
        <v>0</v>
      </c>
      <c r="CM40" s="155">
        <f t="shared" ca="1" si="111"/>
        <v>0</v>
      </c>
      <c r="CN40" s="155">
        <f ca="1">SUM(CM40:$CM$125)</f>
        <v>0</v>
      </c>
      <c r="CO40" s="101">
        <f t="shared" ca="1" si="112"/>
        <v>0</v>
      </c>
      <c r="CP40" s="154">
        <f t="shared" ca="1" si="70"/>
        <v>0</v>
      </c>
      <c r="CQ40" s="154">
        <f t="shared" ca="1" si="71"/>
        <v>0</v>
      </c>
      <c r="CR40" s="32">
        <f t="shared" ca="1" si="72"/>
        <v>0</v>
      </c>
      <c r="CS40" s="32">
        <f t="shared" ca="1" si="73"/>
        <v>0</v>
      </c>
      <c r="CT40" s="32">
        <f t="shared" ca="1" si="74"/>
        <v>0</v>
      </c>
      <c r="CU40" s="32">
        <f t="shared" ca="1" si="75"/>
        <v>0</v>
      </c>
      <c r="CV40" s="32">
        <f t="shared" si="76"/>
        <v>0</v>
      </c>
      <c r="CW40" s="32">
        <f t="shared" ca="1" si="77"/>
        <v>0</v>
      </c>
      <c r="CX40" s="259">
        <f ca="1">IF(R40&lt;m,0,ROUND(IF($R40&gt;nB,0,GPB*mB*mmB*유해지!CY40),roundB))</f>
        <v>0</v>
      </c>
      <c r="CY40" s="262">
        <f t="shared" ca="1" si="78"/>
        <v>0</v>
      </c>
      <c r="CZ40" s="259" t="e">
        <f t="shared" ca="1" si="79"/>
        <v>#DIV/0!</v>
      </c>
      <c r="DA40" s="31">
        <f t="shared" si="80"/>
        <v>5</v>
      </c>
    </row>
    <row r="41" spans="1:105">
      <c r="A41" s="59"/>
      <c r="E41" s="60"/>
      <c r="N41" s="5">
        <f t="shared" si="113"/>
        <v>29</v>
      </c>
      <c r="O41" s="2">
        <f t="shared" ca="1" si="44"/>
        <v>0.52452213018974492</v>
      </c>
      <c r="P41" s="2">
        <f t="shared" ca="1" si="45"/>
        <v>0.51871900242855629</v>
      </c>
      <c r="Q41" s="91"/>
      <c r="R41" s="20">
        <f t="shared" si="114"/>
        <v>29</v>
      </c>
      <c r="S41" s="20" t="str">
        <f t="shared" si="46"/>
        <v/>
      </c>
      <c r="T41" s="2">
        <f t="shared" ca="1" si="116"/>
        <v>0</v>
      </c>
      <c r="U41" s="2">
        <f t="shared" ca="1" si="116"/>
        <v>0</v>
      </c>
      <c r="V41" s="300">
        <f t="shared" si="48"/>
        <v>0.01</v>
      </c>
      <c r="W41" s="8">
        <f t="shared" si="49"/>
        <v>0</v>
      </c>
      <c r="X41" s="10">
        <f t="shared" ca="1" si="50"/>
        <v>1.0000000000000009E-2</v>
      </c>
      <c r="Y41" s="10">
        <f t="shared" ca="1" si="51"/>
        <v>0</v>
      </c>
      <c r="Z41" s="8">
        <f t="shared" ca="1" si="81"/>
        <v>0</v>
      </c>
      <c r="AA41" s="8">
        <f ca="1">+SUM(Z41:Z$124)</f>
        <v>0</v>
      </c>
      <c r="AB41" s="8">
        <f t="shared" ca="1" si="52"/>
        <v>0</v>
      </c>
      <c r="AC41" s="209">
        <f ca="1">+SUM(AB41:AB$124)*SSSM</f>
        <v>0</v>
      </c>
      <c r="AD41" s="209">
        <f t="shared" si="82"/>
        <v>0</v>
      </c>
      <c r="AE41" s="92">
        <f t="shared" ca="1" si="53"/>
        <v>0</v>
      </c>
      <c r="AF41" s="92">
        <f t="shared" ca="1" si="54"/>
        <v>0</v>
      </c>
      <c r="AG41" s="8">
        <f t="shared" ca="1" si="55"/>
        <v>0</v>
      </c>
      <c r="AH41" s="5">
        <f ca="1">+SUM(AG41:AG$124)</f>
        <v>0</v>
      </c>
      <c r="AI41" s="70">
        <f t="shared" ca="1" si="56"/>
        <v>0</v>
      </c>
      <c r="AJ41" s="208">
        <f ca="1">+SUM(AB41:AB$124)*SS50J</f>
        <v>0</v>
      </c>
      <c r="AK41" s="209">
        <f t="shared" ca="1" si="83"/>
        <v>41903.519714014496</v>
      </c>
      <c r="AL41" s="257">
        <f t="shared" ca="1" si="57"/>
        <v>0</v>
      </c>
      <c r="AM41" s="131">
        <f t="shared" ca="1" si="84"/>
        <v>21979.323422842856</v>
      </c>
      <c r="AN41" s="129">
        <f t="shared" ca="1" si="85"/>
        <v>0</v>
      </c>
      <c r="AO41" s="129">
        <f ca="1">SUM(AN41:AN$124)*SSa</f>
        <v>0</v>
      </c>
      <c r="AP41" s="70">
        <f t="shared" ca="1" si="86"/>
        <v>41903.519714014496</v>
      </c>
      <c r="AQ41" s="2">
        <f t="shared" ca="1" si="58"/>
        <v>0</v>
      </c>
      <c r="AR41" s="127">
        <f t="shared" ca="1" si="87"/>
        <v>0</v>
      </c>
      <c r="AS41" s="127">
        <f ca="1">SUM(AR41:AR$124)*SSb</f>
        <v>0</v>
      </c>
      <c r="AT41" s="70">
        <f t="shared" ca="1" si="88"/>
        <v>41903.519714014496</v>
      </c>
      <c r="AU41" s="2">
        <f t="shared" ca="1" si="59"/>
        <v>0</v>
      </c>
      <c r="AV41" s="268">
        <f t="shared" ca="1" si="89"/>
        <v>0</v>
      </c>
      <c r="AW41" s="131">
        <f ca="1">SUM(AV41:AV$124)*SSc</f>
        <v>0</v>
      </c>
      <c r="AX41" s="70">
        <f t="shared" ca="1" si="90"/>
        <v>41903.519714014496</v>
      </c>
      <c r="AY41" s="2">
        <f t="shared" ca="1" si="60"/>
        <v>0</v>
      </c>
      <c r="AZ41" s="268">
        <f t="shared" ca="1" si="91"/>
        <v>0</v>
      </c>
      <c r="BA41" s="129">
        <f ca="1">SUM(AZ41:AZ$124)*SSd</f>
        <v>0</v>
      </c>
      <c r="BB41" s="70">
        <f t="shared" ca="1" si="92"/>
        <v>41903.519714014496</v>
      </c>
      <c r="BC41" s="257">
        <f t="shared" ca="1" si="61"/>
        <v>0</v>
      </c>
      <c r="BD41" s="268">
        <f t="shared" ca="1" si="93"/>
        <v>0</v>
      </c>
      <c r="BE41" s="131">
        <f ca="1">SUM(BD41:BD$124)*SSe</f>
        <v>0</v>
      </c>
      <c r="BF41" s="70">
        <f t="shared" ca="1" si="94"/>
        <v>41903.519714014496</v>
      </c>
      <c r="BG41" s="2">
        <f t="shared" ca="1" si="62"/>
        <v>0</v>
      </c>
      <c r="BH41" s="131">
        <f t="shared" ca="1" si="95"/>
        <v>0</v>
      </c>
      <c r="BI41" s="2">
        <f ca="1">SUM(BH41:BH$124)*SSf</f>
        <v>0</v>
      </c>
      <c r="BJ41" s="70">
        <f t="shared" ca="1" si="96"/>
        <v>41903.519714014496</v>
      </c>
      <c r="BK41" s="2">
        <f t="shared" ca="1" si="63"/>
        <v>0</v>
      </c>
      <c r="BL41" s="131">
        <f t="shared" ca="1" si="97"/>
        <v>0</v>
      </c>
      <c r="BM41" s="131">
        <f ca="1">SUM(BL41:BL$124)*SSg</f>
        <v>0</v>
      </c>
      <c r="BN41" s="70">
        <f t="shared" ca="1" si="98"/>
        <v>41903.519714014496</v>
      </c>
      <c r="BO41" s="2">
        <f t="shared" ca="1" si="64"/>
        <v>0</v>
      </c>
      <c r="BP41" s="131">
        <f t="shared" ca="1" si="99"/>
        <v>0</v>
      </c>
      <c r="BQ41" s="131">
        <f ca="1">SUM(BP41:BP$124)*SSh</f>
        <v>0</v>
      </c>
      <c r="BR41" s="70">
        <f t="shared" ca="1" si="100"/>
        <v>41903.519714014496</v>
      </c>
      <c r="BS41" s="2">
        <f t="shared" ca="1" si="65"/>
        <v>0</v>
      </c>
      <c r="BT41" s="131">
        <f t="shared" ca="1" si="101"/>
        <v>0</v>
      </c>
      <c r="BU41" s="131">
        <f ca="1">SUM(BT41:BT$124)*SSi</f>
        <v>0</v>
      </c>
      <c r="BV41" s="70">
        <f t="shared" ca="1" si="102"/>
        <v>41903.519714014496</v>
      </c>
      <c r="BW41" s="2">
        <f t="shared" ca="1" si="66"/>
        <v>0</v>
      </c>
      <c r="BX41" s="131">
        <f t="shared" ca="1" si="103"/>
        <v>0</v>
      </c>
      <c r="BY41" s="131">
        <f ca="1">SUM(BX41:BX$124)*SSj</f>
        <v>0</v>
      </c>
      <c r="BZ41" s="70">
        <f t="shared" ca="1" si="104"/>
        <v>41903.519714014496</v>
      </c>
      <c r="CA41" s="2">
        <f t="shared" ca="1" si="67"/>
        <v>0</v>
      </c>
      <c r="CB41" s="131">
        <f t="shared" ca="1" si="105"/>
        <v>0</v>
      </c>
      <c r="CC41" s="131">
        <f ca="1">SUM(CB41:CB$124)*SSk</f>
        <v>0</v>
      </c>
      <c r="CD41" s="8">
        <f t="shared" ca="1" si="106"/>
        <v>41903.519714014496</v>
      </c>
      <c r="CE41" s="2">
        <f t="shared" ca="1" si="68"/>
        <v>0</v>
      </c>
      <c r="CF41" s="131">
        <f t="shared" ca="1" si="107"/>
        <v>0</v>
      </c>
      <c r="CG41" s="131">
        <f ca="1">SUM(CF41:CF$124)*SSl</f>
        <v>0</v>
      </c>
      <c r="CH41" s="155">
        <f t="shared" si="108"/>
        <v>0.01</v>
      </c>
      <c r="CI41" s="155">
        <f t="shared" ca="1" si="109"/>
        <v>0</v>
      </c>
      <c r="CJ41" s="155">
        <f t="shared" ca="1" si="110"/>
        <v>0</v>
      </c>
      <c r="CK41" s="155">
        <f ca="1">유해지!CY41</f>
        <v>0</v>
      </c>
      <c r="CL41" s="529">
        <f t="shared" ca="1" si="69"/>
        <v>0</v>
      </c>
      <c r="CM41" s="155">
        <f t="shared" ca="1" si="111"/>
        <v>0</v>
      </c>
      <c r="CN41" s="155">
        <f ca="1">SUM(CM41:$CM$125)</f>
        <v>0</v>
      </c>
      <c r="CO41" s="101">
        <f t="shared" ca="1" si="112"/>
        <v>0</v>
      </c>
      <c r="CP41" s="154">
        <f t="shared" ca="1" si="70"/>
        <v>0</v>
      </c>
      <c r="CQ41" s="154">
        <f t="shared" ca="1" si="71"/>
        <v>0</v>
      </c>
      <c r="CR41" s="32">
        <f t="shared" ca="1" si="72"/>
        <v>0</v>
      </c>
      <c r="CS41" s="32">
        <f t="shared" ca="1" si="73"/>
        <v>0</v>
      </c>
      <c r="CT41" s="32">
        <f t="shared" ca="1" si="74"/>
        <v>0</v>
      </c>
      <c r="CU41" s="32">
        <f t="shared" ca="1" si="75"/>
        <v>0</v>
      </c>
      <c r="CV41" s="32">
        <f t="shared" si="76"/>
        <v>0</v>
      </c>
      <c r="CW41" s="32">
        <f t="shared" ca="1" si="77"/>
        <v>0</v>
      </c>
      <c r="CX41" s="259">
        <f ca="1">IF(R41&lt;m,0,ROUND(IF($R41&gt;nB,0,GPB*mB*mmB*유해지!CY41),roundB))</f>
        <v>0</v>
      </c>
      <c r="CY41" s="262">
        <f t="shared" ca="1" si="78"/>
        <v>0</v>
      </c>
      <c r="CZ41" s="259" t="e">
        <f t="shared" ca="1" si="79"/>
        <v>#DIV/0!</v>
      </c>
      <c r="DA41" s="31">
        <f t="shared" si="80"/>
        <v>5</v>
      </c>
    </row>
    <row r="42" spans="1:105">
      <c r="B42" s="269"/>
      <c r="C42" s="140"/>
      <c r="N42" s="5">
        <f t="shared" si="113"/>
        <v>30</v>
      </c>
      <c r="O42" s="2">
        <f t="shared" ca="1" si="44"/>
        <v>0.51298007842517834</v>
      </c>
      <c r="P42" s="2">
        <f t="shared" ca="1" si="45"/>
        <v>0.50730464785188878</v>
      </c>
      <c r="Q42" s="91"/>
      <c r="R42" s="20">
        <f t="shared" si="114"/>
        <v>30</v>
      </c>
      <c r="S42" s="20" t="str">
        <f t="shared" si="46"/>
        <v/>
      </c>
      <c r="T42" s="2">
        <f t="shared" ca="1" si="116"/>
        <v>0</v>
      </c>
      <c r="U42" s="2">
        <f t="shared" ca="1" si="116"/>
        <v>0</v>
      </c>
      <c r="V42" s="300">
        <f t="shared" si="48"/>
        <v>0.01</v>
      </c>
      <c r="W42" s="8">
        <f t="shared" si="49"/>
        <v>0</v>
      </c>
      <c r="X42" s="10">
        <f t="shared" ca="1" si="50"/>
        <v>1.0000000000000009E-2</v>
      </c>
      <c r="Y42" s="10">
        <f t="shared" ca="1" si="51"/>
        <v>0</v>
      </c>
      <c r="Z42" s="8">
        <f t="shared" ca="1" si="81"/>
        <v>0</v>
      </c>
      <c r="AA42" s="8">
        <f ca="1">+SUM(Z42:Z$124)</f>
        <v>0</v>
      </c>
      <c r="AB42" s="8">
        <f t="shared" ca="1" si="52"/>
        <v>0</v>
      </c>
      <c r="AC42" s="209">
        <f ca="1">+SUM(AB42:AB$124)*SSSM</f>
        <v>0</v>
      </c>
      <c r="AD42" s="209">
        <f t="shared" si="82"/>
        <v>0</v>
      </c>
      <c r="AE42" s="92">
        <f t="shared" ca="1" si="53"/>
        <v>0</v>
      </c>
      <c r="AF42" s="92">
        <f t="shared" ca="1" si="54"/>
        <v>0</v>
      </c>
      <c r="AG42" s="8">
        <f t="shared" ca="1" si="55"/>
        <v>0</v>
      </c>
      <c r="AH42" s="5">
        <f ca="1">+SUM(AG42:AG$124)</f>
        <v>0</v>
      </c>
      <c r="AI42" s="70">
        <f t="shared" ca="1" si="56"/>
        <v>0</v>
      </c>
      <c r="AJ42" s="208">
        <f ca="1">+SUM(AB42:AB$124)*SS50J</f>
        <v>0</v>
      </c>
      <c r="AK42" s="209">
        <f t="shared" ca="1" si="83"/>
        <v>41484.484516874349</v>
      </c>
      <c r="AL42" s="2">
        <f t="shared" ca="1" si="57"/>
        <v>0</v>
      </c>
      <c r="AM42" s="131">
        <f t="shared" ca="1" si="84"/>
        <v>21280.714120894299</v>
      </c>
      <c r="AN42" s="129">
        <f t="shared" ca="1" si="85"/>
        <v>0</v>
      </c>
      <c r="AO42" s="129">
        <f ca="1">SUM(AN42:AN$124)*SSa</f>
        <v>0</v>
      </c>
      <c r="AP42" s="70">
        <f t="shared" ca="1" si="86"/>
        <v>41484.484516874349</v>
      </c>
      <c r="AQ42" s="2">
        <f t="shared" ca="1" si="58"/>
        <v>0</v>
      </c>
      <c r="AR42" s="127">
        <f t="shared" ca="1" si="87"/>
        <v>0</v>
      </c>
      <c r="AS42" s="127">
        <f ca="1">SUM(AR42:AR$124)*SSb</f>
        <v>0</v>
      </c>
      <c r="AT42" s="70">
        <f t="shared" ca="1" si="88"/>
        <v>41484.484516874349</v>
      </c>
      <c r="AU42" s="2">
        <f t="shared" ca="1" si="59"/>
        <v>0</v>
      </c>
      <c r="AV42" s="268">
        <f t="shared" ca="1" si="89"/>
        <v>0</v>
      </c>
      <c r="AW42" s="131">
        <f ca="1">SUM(AV42:AV$124)*SSc</f>
        <v>0</v>
      </c>
      <c r="AX42" s="70">
        <f t="shared" ca="1" si="90"/>
        <v>41484.484516874349</v>
      </c>
      <c r="AY42" s="2">
        <f t="shared" ca="1" si="60"/>
        <v>0</v>
      </c>
      <c r="AZ42" s="268">
        <f t="shared" ca="1" si="91"/>
        <v>0</v>
      </c>
      <c r="BA42" s="129">
        <f ca="1">SUM(AZ42:AZ$124)*SSd</f>
        <v>0</v>
      </c>
      <c r="BB42" s="70">
        <f t="shared" ca="1" si="92"/>
        <v>41484.484516874349</v>
      </c>
      <c r="BC42" s="257">
        <f t="shared" ca="1" si="61"/>
        <v>0</v>
      </c>
      <c r="BD42" s="268">
        <f t="shared" ca="1" si="93"/>
        <v>0</v>
      </c>
      <c r="BE42" s="131">
        <f ca="1">SUM(BD42:BD$124)*SSe</f>
        <v>0</v>
      </c>
      <c r="BF42" s="70">
        <f t="shared" ca="1" si="94"/>
        <v>41484.484516874349</v>
      </c>
      <c r="BG42" s="2">
        <f t="shared" ca="1" si="62"/>
        <v>0</v>
      </c>
      <c r="BH42" s="131">
        <f t="shared" ca="1" si="95"/>
        <v>0</v>
      </c>
      <c r="BI42" s="2">
        <f ca="1">SUM(BH42:BH$124)*SSf</f>
        <v>0</v>
      </c>
      <c r="BJ42" s="70">
        <f t="shared" ca="1" si="96"/>
        <v>41484.484516874349</v>
      </c>
      <c r="BK42" s="2">
        <f t="shared" ca="1" si="63"/>
        <v>0</v>
      </c>
      <c r="BL42" s="131">
        <f t="shared" ca="1" si="97"/>
        <v>0</v>
      </c>
      <c r="BM42" s="131">
        <f ca="1">SUM(BL42:BL$124)*SSg</f>
        <v>0</v>
      </c>
      <c r="BN42" s="70">
        <f t="shared" ca="1" si="98"/>
        <v>41484.484516874349</v>
      </c>
      <c r="BO42" s="2">
        <f t="shared" ca="1" si="64"/>
        <v>0</v>
      </c>
      <c r="BP42" s="131">
        <f t="shared" ca="1" si="99"/>
        <v>0</v>
      </c>
      <c r="BQ42" s="131">
        <f ca="1">SUM(BP42:BP$124)*SSh</f>
        <v>0</v>
      </c>
      <c r="BR42" s="70">
        <f t="shared" ca="1" si="100"/>
        <v>41484.484516874349</v>
      </c>
      <c r="BS42" s="2">
        <f t="shared" ca="1" si="65"/>
        <v>0</v>
      </c>
      <c r="BT42" s="131">
        <f t="shared" ca="1" si="101"/>
        <v>0</v>
      </c>
      <c r="BU42" s="131">
        <f ca="1">SUM(BT42:BT$124)*SSi</f>
        <v>0</v>
      </c>
      <c r="BV42" s="70">
        <f t="shared" ca="1" si="102"/>
        <v>41484.484516874349</v>
      </c>
      <c r="BW42" s="2">
        <f t="shared" ca="1" si="66"/>
        <v>0</v>
      </c>
      <c r="BX42" s="131">
        <f t="shared" ca="1" si="103"/>
        <v>0</v>
      </c>
      <c r="BY42" s="131">
        <f ca="1">SUM(BX42:BX$124)*SSj</f>
        <v>0</v>
      </c>
      <c r="BZ42" s="70">
        <f t="shared" ca="1" si="104"/>
        <v>41484.484516874349</v>
      </c>
      <c r="CA42" s="2">
        <f t="shared" ca="1" si="67"/>
        <v>0</v>
      </c>
      <c r="CB42" s="131">
        <f t="shared" ca="1" si="105"/>
        <v>0</v>
      </c>
      <c r="CC42" s="131">
        <f ca="1">SUM(CB42:CB$124)*SSk</f>
        <v>0</v>
      </c>
      <c r="CD42" s="8">
        <f t="shared" ca="1" si="106"/>
        <v>41484.484516874349</v>
      </c>
      <c r="CE42" s="2">
        <f t="shared" ca="1" si="68"/>
        <v>0</v>
      </c>
      <c r="CF42" s="131">
        <f t="shared" ca="1" si="107"/>
        <v>0</v>
      </c>
      <c r="CG42" s="131">
        <f ca="1">SUM(CF42:CF$124)*SSl</f>
        <v>0</v>
      </c>
      <c r="CH42" s="155">
        <f t="shared" si="108"/>
        <v>0.01</v>
      </c>
      <c r="CI42" s="155">
        <f t="shared" ca="1" si="109"/>
        <v>0</v>
      </c>
      <c r="CJ42" s="155">
        <f t="shared" ca="1" si="110"/>
        <v>0</v>
      </c>
      <c r="CK42" s="155">
        <f ca="1">유해지!CY42</f>
        <v>0</v>
      </c>
      <c r="CL42" s="529">
        <f t="shared" ca="1" si="69"/>
        <v>0</v>
      </c>
      <c r="CM42" s="155">
        <f t="shared" ca="1" si="111"/>
        <v>0</v>
      </c>
      <c r="CN42" s="155">
        <f ca="1">SUM(CM42:$CM$125)</f>
        <v>0</v>
      </c>
      <c r="CO42" s="101">
        <f t="shared" ca="1" si="112"/>
        <v>0</v>
      </c>
      <c r="CP42" s="154">
        <f t="shared" ca="1" si="70"/>
        <v>0</v>
      </c>
      <c r="CQ42" s="154">
        <f t="shared" ca="1" si="71"/>
        <v>0</v>
      </c>
      <c r="CR42" s="32">
        <f t="shared" ca="1" si="72"/>
        <v>0</v>
      </c>
      <c r="CS42" s="32">
        <f t="shared" ca="1" si="73"/>
        <v>0</v>
      </c>
      <c r="CT42" s="32">
        <f t="shared" ca="1" si="74"/>
        <v>0</v>
      </c>
      <c r="CU42" s="32">
        <f t="shared" ca="1" si="75"/>
        <v>0</v>
      </c>
      <c r="CV42" s="32">
        <f t="shared" si="76"/>
        <v>0</v>
      </c>
      <c r="CW42" s="32">
        <f t="shared" ca="1" si="77"/>
        <v>0</v>
      </c>
      <c r="CX42" s="259">
        <f ca="1">IF(R42&lt;m,0,ROUND(IF($R42&gt;nB,0,GPB*mB*mmB*유해지!CY42),roundB))</f>
        <v>0</v>
      </c>
      <c r="CY42" s="262">
        <f t="shared" ca="1" si="78"/>
        <v>0</v>
      </c>
      <c r="CZ42" s="259" t="e">
        <f t="shared" ca="1" si="79"/>
        <v>#DIV/0!</v>
      </c>
      <c r="DA42" s="31">
        <f t="shared" si="80"/>
        <v>5</v>
      </c>
    </row>
    <row r="43" spans="1:105">
      <c r="A43" s="59"/>
      <c r="B43" s="270"/>
      <c r="C43" s="271"/>
      <c r="D43" s="60"/>
      <c r="E43" s="60"/>
      <c r="L43" s="16"/>
      <c r="N43" s="5">
        <f t="shared" si="113"/>
        <v>31</v>
      </c>
      <c r="O43" s="2">
        <f t="shared" ca="1" si="44"/>
        <v>0.50169200823978322</v>
      </c>
      <c r="P43" s="2">
        <f t="shared" ca="1" si="45"/>
        <v>0.49614146489182287</v>
      </c>
      <c r="Q43" s="91"/>
      <c r="R43" s="20">
        <f t="shared" si="114"/>
        <v>31</v>
      </c>
      <c r="S43" s="20" t="str">
        <f t="shared" si="46"/>
        <v/>
      </c>
      <c r="T43" s="2">
        <f t="shared" ca="1" si="116"/>
        <v>0</v>
      </c>
      <c r="U43" s="2">
        <f t="shared" ca="1" si="116"/>
        <v>0</v>
      </c>
      <c r="V43" s="300">
        <f t="shared" si="48"/>
        <v>0.01</v>
      </c>
      <c r="W43" s="8">
        <f t="shared" si="49"/>
        <v>0</v>
      </c>
      <c r="X43" s="10">
        <f t="shared" ca="1" si="50"/>
        <v>1.0000000000000009E-2</v>
      </c>
      <c r="Y43" s="10">
        <f t="shared" ca="1" si="51"/>
        <v>0</v>
      </c>
      <c r="Z43" s="8">
        <f t="shared" ca="1" si="81"/>
        <v>0</v>
      </c>
      <c r="AA43" s="8">
        <f ca="1">+SUM(Z43:Z$124)</f>
        <v>0</v>
      </c>
      <c r="AB43" s="8">
        <f t="shared" ca="1" si="52"/>
        <v>0</v>
      </c>
      <c r="AC43" s="209">
        <f ca="1">+SUM(AB43:AB$124)*SSSM</f>
        <v>0</v>
      </c>
      <c r="AD43" s="209">
        <f t="shared" si="82"/>
        <v>0</v>
      </c>
      <c r="AE43" s="92">
        <f t="shared" ca="1" si="53"/>
        <v>0</v>
      </c>
      <c r="AF43" s="92">
        <f t="shared" ca="1" si="54"/>
        <v>0</v>
      </c>
      <c r="AG43" s="8">
        <f t="shared" ca="1" si="55"/>
        <v>0</v>
      </c>
      <c r="AH43" s="5">
        <f ca="1">+SUM(AG43:AG$124)</f>
        <v>0</v>
      </c>
      <c r="AI43" s="70">
        <f t="shared" ca="1" si="56"/>
        <v>0</v>
      </c>
      <c r="AJ43" s="208">
        <f ca="1">+SUM(AB43:AB$124)*SS50J</f>
        <v>0</v>
      </c>
      <c r="AK43" s="209">
        <f t="shared" ca="1" si="83"/>
        <v>41069.639671705605</v>
      </c>
      <c r="AL43" s="2">
        <f t="shared" ca="1" si="57"/>
        <v>0</v>
      </c>
      <c r="AM43" s="131">
        <f t="shared" ca="1" si="84"/>
        <v>20604.310004582258</v>
      </c>
      <c r="AN43" s="129">
        <f t="shared" ca="1" si="85"/>
        <v>0</v>
      </c>
      <c r="AO43" s="129">
        <f ca="1">SUM(AN43:AN$124)*SSa</f>
        <v>0</v>
      </c>
      <c r="AP43" s="70">
        <f t="shared" ca="1" si="86"/>
        <v>41069.639671705605</v>
      </c>
      <c r="AQ43" s="2">
        <f t="shared" ca="1" si="58"/>
        <v>0</v>
      </c>
      <c r="AR43" s="127">
        <f t="shared" ca="1" si="87"/>
        <v>0</v>
      </c>
      <c r="AS43" s="127">
        <f ca="1">SUM(AR43:AR$124)*SSb</f>
        <v>0</v>
      </c>
      <c r="AT43" s="70">
        <f t="shared" ca="1" si="88"/>
        <v>41069.639671705605</v>
      </c>
      <c r="AU43" s="2">
        <f t="shared" ca="1" si="59"/>
        <v>0</v>
      </c>
      <c r="AV43" s="268">
        <f t="shared" ca="1" si="89"/>
        <v>0</v>
      </c>
      <c r="AW43" s="131">
        <f ca="1">SUM(AV43:AV$124)*SSc</f>
        <v>0</v>
      </c>
      <c r="AX43" s="70">
        <f t="shared" ca="1" si="90"/>
        <v>41069.639671705605</v>
      </c>
      <c r="AY43" s="2">
        <f t="shared" ca="1" si="60"/>
        <v>0</v>
      </c>
      <c r="AZ43" s="268">
        <f t="shared" ca="1" si="91"/>
        <v>0</v>
      </c>
      <c r="BA43" s="129">
        <f ca="1">SUM(AZ43:AZ$124)*SSd</f>
        <v>0</v>
      </c>
      <c r="BB43" s="70">
        <f t="shared" ca="1" si="92"/>
        <v>41069.639671705605</v>
      </c>
      <c r="BC43" s="257">
        <f t="shared" ca="1" si="61"/>
        <v>0</v>
      </c>
      <c r="BD43" s="268">
        <f t="shared" ca="1" si="93"/>
        <v>0</v>
      </c>
      <c r="BE43" s="131">
        <f ca="1">SUM(BD43:BD$124)*SSe</f>
        <v>0</v>
      </c>
      <c r="BF43" s="70">
        <f t="shared" ca="1" si="94"/>
        <v>41069.639671705605</v>
      </c>
      <c r="BG43" s="2">
        <f t="shared" ca="1" si="62"/>
        <v>0</v>
      </c>
      <c r="BH43" s="131">
        <f t="shared" ca="1" si="95"/>
        <v>0</v>
      </c>
      <c r="BI43" s="2">
        <f ca="1">SUM(BH43:BH$124)*SSf</f>
        <v>0</v>
      </c>
      <c r="BJ43" s="70">
        <f t="shared" ca="1" si="96"/>
        <v>41069.639671705605</v>
      </c>
      <c r="BK43" s="2">
        <f t="shared" ca="1" si="63"/>
        <v>0</v>
      </c>
      <c r="BL43" s="131">
        <f t="shared" ca="1" si="97"/>
        <v>0</v>
      </c>
      <c r="BM43" s="131">
        <f ca="1">SUM(BL43:BL$124)*SSg</f>
        <v>0</v>
      </c>
      <c r="BN43" s="70">
        <f t="shared" ca="1" si="98"/>
        <v>41069.639671705605</v>
      </c>
      <c r="BO43" s="2">
        <f t="shared" ca="1" si="64"/>
        <v>0</v>
      </c>
      <c r="BP43" s="131">
        <f t="shared" ca="1" si="99"/>
        <v>0</v>
      </c>
      <c r="BQ43" s="131">
        <f ca="1">SUM(BP43:BP$124)*SSh</f>
        <v>0</v>
      </c>
      <c r="BR43" s="70">
        <f t="shared" ca="1" si="100"/>
        <v>41069.639671705605</v>
      </c>
      <c r="BS43" s="2">
        <f t="shared" ca="1" si="65"/>
        <v>0</v>
      </c>
      <c r="BT43" s="131">
        <f t="shared" ca="1" si="101"/>
        <v>0</v>
      </c>
      <c r="BU43" s="131">
        <f ca="1">SUM(BT43:BT$124)*SSi</f>
        <v>0</v>
      </c>
      <c r="BV43" s="70">
        <f t="shared" ca="1" si="102"/>
        <v>41069.639671705605</v>
      </c>
      <c r="BW43" s="2">
        <f t="shared" ca="1" si="66"/>
        <v>0</v>
      </c>
      <c r="BX43" s="131">
        <f t="shared" ca="1" si="103"/>
        <v>0</v>
      </c>
      <c r="BY43" s="131">
        <f ca="1">SUM(BX43:BX$124)*SSj</f>
        <v>0</v>
      </c>
      <c r="BZ43" s="70">
        <f t="shared" ca="1" si="104"/>
        <v>41069.639671705605</v>
      </c>
      <c r="CA43" s="2">
        <f t="shared" ca="1" si="67"/>
        <v>0</v>
      </c>
      <c r="CB43" s="131">
        <f t="shared" ca="1" si="105"/>
        <v>0</v>
      </c>
      <c r="CC43" s="131">
        <f ca="1">SUM(CB43:CB$124)*SSk</f>
        <v>0</v>
      </c>
      <c r="CD43" s="8">
        <f t="shared" ca="1" si="106"/>
        <v>41069.639671705605</v>
      </c>
      <c r="CE43" s="2">
        <f t="shared" ca="1" si="68"/>
        <v>0</v>
      </c>
      <c r="CF43" s="131">
        <f t="shared" ca="1" si="107"/>
        <v>0</v>
      </c>
      <c r="CG43" s="131">
        <f ca="1">SUM(CF43:CF$124)*SSl</f>
        <v>0</v>
      </c>
      <c r="CH43" s="155">
        <f t="shared" si="108"/>
        <v>0.01</v>
      </c>
      <c r="CI43" s="155">
        <f t="shared" ca="1" si="109"/>
        <v>0</v>
      </c>
      <c r="CJ43" s="155">
        <f t="shared" ca="1" si="110"/>
        <v>0</v>
      </c>
      <c r="CK43" s="155">
        <f ca="1">유해지!CY43</f>
        <v>0</v>
      </c>
      <c r="CL43" s="529">
        <f t="shared" ca="1" si="69"/>
        <v>0</v>
      </c>
      <c r="CM43" s="155">
        <f t="shared" ca="1" si="111"/>
        <v>0</v>
      </c>
      <c r="CN43" s="155">
        <f ca="1">SUM(CM43:$CM$125)</f>
        <v>0</v>
      </c>
      <c r="CO43" s="101">
        <f t="shared" ca="1" si="112"/>
        <v>0</v>
      </c>
      <c r="CP43" s="154">
        <f t="shared" ca="1" si="70"/>
        <v>0</v>
      </c>
      <c r="CQ43" s="154">
        <f t="shared" ca="1" si="71"/>
        <v>0</v>
      </c>
      <c r="CR43" s="32">
        <f t="shared" ca="1" si="72"/>
        <v>0</v>
      </c>
      <c r="CS43" s="32">
        <f t="shared" ca="1" si="73"/>
        <v>0</v>
      </c>
      <c r="CT43" s="32">
        <f t="shared" ca="1" si="74"/>
        <v>0</v>
      </c>
      <c r="CU43" s="32">
        <f t="shared" ca="1" si="75"/>
        <v>0</v>
      </c>
      <c r="CV43" s="32">
        <f t="shared" si="76"/>
        <v>0</v>
      </c>
      <c r="CW43" s="32">
        <f t="shared" ca="1" si="77"/>
        <v>0</v>
      </c>
      <c r="CX43" s="259">
        <f ca="1">IF(R43&lt;m,0,ROUND(IF($R43&gt;nB,0,GPB*mB*mmB*유해지!CY43),roundB))</f>
        <v>0</v>
      </c>
      <c r="CY43" s="262">
        <f t="shared" ca="1" si="78"/>
        <v>0</v>
      </c>
      <c r="CZ43" s="259" t="e">
        <f t="shared" ca="1" si="79"/>
        <v>#DIV/0!</v>
      </c>
      <c r="DA43" s="31">
        <f t="shared" si="80"/>
        <v>5</v>
      </c>
    </row>
    <row r="44" spans="1:105">
      <c r="A44" s="59"/>
      <c r="C44" s="272"/>
      <c r="D44" s="60"/>
      <c r="E44" s="61"/>
      <c r="N44" s="5">
        <f t="shared" si="113"/>
        <v>32</v>
      </c>
      <c r="O44" s="2">
        <f t="shared" ref="O44:O75" ca="1" si="117">+(1+iB)^-N44</f>
        <v>0.49065233079685422</v>
      </c>
      <c r="P44" s="2">
        <f t="shared" ref="P44:P75" ca="1" si="118">+(1+iB)^-(N44+0.5)</f>
        <v>0.48522392654456997</v>
      </c>
      <c r="Q44" s="91"/>
      <c r="R44" s="20">
        <f t="shared" si="114"/>
        <v>32</v>
      </c>
      <c r="S44" s="20" t="str">
        <f t="shared" ref="S44:S75" si="119">+IF(xB+R44&lt;=xB+nB,xB+R44,"")</f>
        <v/>
      </c>
      <c r="T44" s="2">
        <f t="shared" ca="1" si="116"/>
        <v>0</v>
      </c>
      <c r="U44" s="2">
        <f t="shared" ca="1" si="116"/>
        <v>0</v>
      </c>
      <c r="V44" s="300">
        <f t="shared" ref="V44:V75" si="120">IF(JRB=2,0,IF(R44&gt;=mB,VLOOKUP(R44-mB,해지율_납기후,2),IF(R44=mB-1,0,VLOOKUP(R44,해지율_납기전,2))))</f>
        <v>0.01</v>
      </c>
      <c r="W44" s="8">
        <f t="shared" ref="W44:W75" si="121">IF(R44=0,100000,IF(R44&gt;nB,0,W43*(1-X43)*(1-Y43)))</f>
        <v>0</v>
      </c>
      <c r="X44" s="10">
        <f t="shared" ref="X44:X75" ca="1" si="122">1-IFERROR((1-YTSM*$T44)*(1-V44*(1-T44/2)/(1-T44)),0)</f>
        <v>1.0000000000000009E-2</v>
      </c>
      <c r="Y44" s="10">
        <f t="shared" ref="Y44:Y75" ca="1" si="123">IFERROR(1-(1-YT50J*U44*(1-T44/2)/(1-T44))*(1-YTa*AL44*(1-T44/2)/(1-T44))*(1-YTb*AQ44*(1-T44/2)/(1-T44))*(1-YTc*AU44*(1-T44/2)/(1-T44)),0)</f>
        <v>0</v>
      </c>
      <c r="Z44" s="8">
        <f t="shared" ca="1" si="81"/>
        <v>0</v>
      </c>
      <c r="AA44" s="8">
        <f ca="1">+SUM(Z44:Z$124)</f>
        <v>0</v>
      </c>
      <c r="AB44" s="8">
        <f t="shared" ref="AB44:AB75" ca="1" si="124">W44*X44*P44</f>
        <v>0</v>
      </c>
      <c r="AC44" s="209">
        <f ca="1">+SUM(AB44:AB$124)*SSSM</f>
        <v>0</v>
      </c>
      <c r="AD44" s="209">
        <f t="shared" si="82"/>
        <v>0</v>
      </c>
      <c r="AE44" s="92">
        <f t="shared" ref="AE44:AE75" ca="1" si="125">1-IFERROR((1-NT50J*U44*(1-T44/2)/(1-T44)),0)</f>
        <v>0</v>
      </c>
      <c r="AF44" s="92">
        <f t="shared" ref="AF44:AF75" ca="1" si="126">IFERROR(1-(1-NTa*AL44*(1-T44/2)/(1-T44))*(1-NTb*AQ44*(1-T44/2)/(1-T44))*(1-NTc*AU44*(1-T44/2)/(1-T44)),0)</f>
        <v>0</v>
      </c>
      <c r="AG44" s="8">
        <f t="shared" ref="AG44:AG75" ca="1" si="127">+AD44*$O44</f>
        <v>0</v>
      </c>
      <c r="AH44" s="5">
        <f ca="1">+SUM(AG44:AG$124)</f>
        <v>0</v>
      </c>
      <c r="AI44" s="70">
        <f t="shared" ref="AI44:AI75" ca="1" si="128">AD44*AE44*P44</f>
        <v>0</v>
      </c>
      <c r="AJ44" s="208">
        <f ca="1">+SUM(AB44:AB$124)*SS50J</f>
        <v>0</v>
      </c>
      <c r="AK44" s="209">
        <f t="shared" ca="1" si="83"/>
        <v>40658.943274988545</v>
      </c>
      <c r="AL44" s="2">
        <f t="shared" ca="1" si="57"/>
        <v>0</v>
      </c>
      <c r="AM44" s="131">
        <f t="shared" ca="1" si="84"/>
        <v>19949.40528561021</v>
      </c>
      <c r="AN44" s="129">
        <f t="shared" ca="1" si="85"/>
        <v>0</v>
      </c>
      <c r="AO44" s="129">
        <f ca="1">SUM(AN44:AN$124)*SSa</f>
        <v>0</v>
      </c>
      <c r="AP44" s="70">
        <f t="shared" ca="1" si="86"/>
        <v>40658.943274988545</v>
      </c>
      <c r="AQ44" s="2">
        <f t="shared" ca="1" si="58"/>
        <v>0</v>
      </c>
      <c r="AR44" s="127">
        <f t="shared" ca="1" si="87"/>
        <v>0</v>
      </c>
      <c r="AS44" s="127">
        <f ca="1">SUM(AR44:AR$124)*SSb</f>
        <v>0</v>
      </c>
      <c r="AT44" s="70">
        <f t="shared" ca="1" si="88"/>
        <v>40658.943274988545</v>
      </c>
      <c r="AU44" s="2">
        <f t="shared" ca="1" si="59"/>
        <v>0</v>
      </c>
      <c r="AV44" s="268">
        <f t="shared" ca="1" si="89"/>
        <v>0</v>
      </c>
      <c r="AW44" s="131">
        <f ca="1">SUM(AV44:AV$124)*SSc</f>
        <v>0</v>
      </c>
      <c r="AX44" s="70">
        <f t="shared" ca="1" si="90"/>
        <v>40658.943274988545</v>
      </c>
      <c r="AY44" s="2">
        <f t="shared" ca="1" si="60"/>
        <v>0</v>
      </c>
      <c r="AZ44" s="268">
        <f t="shared" ca="1" si="91"/>
        <v>0</v>
      </c>
      <c r="BA44" s="129">
        <f ca="1">SUM(AZ44:AZ$124)*SSd</f>
        <v>0</v>
      </c>
      <c r="BB44" s="70">
        <f t="shared" ca="1" si="92"/>
        <v>40658.943274988545</v>
      </c>
      <c r="BC44" s="257">
        <f t="shared" ca="1" si="61"/>
        <v>0</v>
      </c>
      <c r="BD44" s="268">
        <f t="shared" ca="1" si="93"/>
        <v>0</v>
      </c>
      <c r="BE44" s="131">
        <f ca="1">SUM(BD44:BD$124)*SSe</f>
        <v>0</v>
      </c>
      <c r="BF44" s="70">
        <f t="shared" ca="1" si="94"/>
        <v>40658.943274988545</v>
      </c>
      <c r="BG44" s="2">
        <f t="shared" ca="1" si="62"/>
        <v>0</v>
      </c>
      <c r="BH44" s="131">
        <f t="shared" ca="1" si="95"/>
        <v>0</v>
      </c>
      <c r="BI44" s="2">
        <f ca="1">SUM(BH44:BH$124)*SSf</f>
        <v>0</v>
      </c>
      <c r="BJ44" s="70">
        <f t="shared" ca="1" si="96"/>
        <v>40658.943274988545</v>
      </c>
      <c r="BK44" s="2">
        <f t="shared" ca="1" si="63"/>
        <v>0</v>
      </c>
      <c r="BL44" s="131">
        <f t="shared" ca="1" si="97"/>
        <v>0</v>
      </c>
      <c r="BM44" s="131">
        <f ca="1">SUM(BL44:BL$124)*SSg</f>
        <v>0</v>
      </c>
      <c r="BN44" s="70">
        <f t="shared" ca="1" si="98"/>
        <v>40658.943274988545</v>
      </c>
      <c r="BO44" s="2">
        <f t="shared" ca="1" si="64"/>
        <v>0</v>
      </c>
      <c r="BP44" s="131">
        <f t="shared" ca="1" si="99"/>
        <v>0</v>
      </c>
      <c r="BQ44" s="131">
        <f ca="1">SUM(BP44:BP$124)*SSh</f>
        <v>0</v>
      </c>
      <c r="BR44" s="70">
        <f t="shared" ca="1" si="100"/>
        <v>40658.943274988545</v>
      </c>
      <c r="BS44" s="2">
        <f t="shared" ref="BS44:BS75" ca="1" si="129">IFERROR(VLOOKUP($S44,qx_table,MATCH(BS$11,qx_title,0)+sexB),0)*IF(R44=0,MCi,1)</f>
        <v>0</v>
      </c>
      <c r="BT44" s="131">
        <f t="shared" ca="1" si="101"/>
        <v>0</v>
      </c>
      <c r="BU44" s="131">
        <f ca="1">SUM(BT44:BT$124)*SSi</f>
        <v>0</v>
      </c>
      <c r="BV44" s="70">
        <f t="shared" ca="1" si="102"/>
        <v>40658.943274988545</v>
      </c>
      <c r="BW44" s="2">
        <f t="shared" ca="1" si="66"/>
        <v>0</v>
      </c>
      <c r="BX44" s="131">
        <f t="shared" ca="1" si="103"/>
        <v>0</v>
      </c>
      <c r="BY44" s="131">
        <f ca="1">SUM(BX44:BX$124)*SSj</f>
        <v>0</v>
      </c>
      <c r="BZ44" s="70">
        <f t="shared" ca="1" si="104"/>
        <v>40658.943274988545</v>
      </c>
      <c r="CA44" s="2">
        <f t="shared" ca="1" si="67"/>
        <v>0</v>
      </c>
      <c r="CB44" s="131">
        <f t="shared" ca="1" si="105"/>
        <v>0</v>
      </c>
      <c r="CC44" s="131">
        <f ca="1">SUM(CB44:CB$124)*SSk</f>
        <v>0</v>
      </c>
      <c r="CD44" s="8">
        <f t="shared" ca="1" si="106"/>
        <v>40658.943274988545</v>
      </c>
      <c r="CE44" s="2">
        <f t="shared" ca="1" si="68"/>
        <v>0</v>
      </c>
      <c r="CF44" s="131">
        <f t="shared" ca="1" si="107"/>
        <v>0</v>
      </c>
      <c r="CG44" s="131">
        <f ca="1">SUM(CF44:CF$124)*SSl</f>
        <v>0</v>
      </c>
      <c r="CH44" s="155">
        <f t="shared" si="108"/>
        <v>0.01</v>
      </c>
      <c r="CI44" s="155">
        <f t="shared" ca="1" si="109"/>
        <v>0</v>
      </c>
      <c r="CJ44" s="155">
        <f t="shared" ca="1" si="110"/>
        <v>0</v>
      </c>
      <c r="CK44" s="155">
        <f ca="1">유해지!CY44</f>
        <v>0</v>
      </c>
      <c r="CL44" s="529">
        <f t="shared" ref="CL44:CL75" ca="1" si="130">IF(R44&lt;mB,0,(CK44+CK45)/2)</f>
        <v>0</v>
      </c>
      <c r="CM44" s="155">
        <f t="shared" ca="1" si="111"/>
        <v>0</v>
      </c>
      <c r="CN44" s="155">
        <f ca="1">SUM(CM44:$CM$125)</f>
        <v>0</v>
      </c>
      <c r="CO44" s="101">
        <f t="shared" ca="1" si="112"/>
        <v>0</v>
      </c>
      <c r="CP44" s="154">
        <f t="shared" ref="CP44:CP75" ca="1" si="131">MAX((VLOOKUP(xB+R44,기수표B,$CO$1)-VLOOKUP(xB+nB,기수표B,$CO$1)),0)</f>
        <v>0</v>
      </c>
      <c r="CQ44" s="154">
        <f t="shared" ref="CQ44:CQ75" ca="1" si="132">MAX((VLOOKUP(xB+R44,기수표B,$CN$1)-VLOOKUP(xB+nB,기수표B,$CN$1)),0)</f>
        <v>0</v>
      </c>
      <c r="CR44" s="32">
        <f t="shared" ref="CR44:CR75" ca="1" si="133">+MAX(VLOOKUP(xB+$R44,기수표B,$AH$1)-VLOOKUP(xB+mB,기수표B,$AH$1),0)</f>
        <v>0</v>
      </c>
      <c r="CS44" s="32">
        <f t="shared" ref="CS44:CS75" ca="1" si="134">+MAX(VLOOKUP(xB+$R44,기수표B,$AH$1)-VLOOKUP(xB+mB,기수표B,$AH$1)-(mmB-1)/(mmB*2)*(VLOOKUP(xB+$R44,기수표B,$AG$1)-VLOOKUP(xB+mB,기수표B,$AG$1)),0)</f>
        <v>0</v>
      </c>
      <c r="CT44" s="32">
        <f t="shared" ref="CT44:CT75" ca="1" si="135">+MAX(VLOOKUP(xB+$R44,기수표B,$AA$1)-VLOOKUP(xB+mB,기수표B,$AA$1),0)</f>
        <v>0</v>
      </c>
      <c r="CU44" s="32">
        <f t="shared" ref="CU44:CU75" ca="1" si="136">+MAX(VLOOKUP(xB+$R44,기수표B,$AA$1)-VLOOKUP(xB+mB,기수표B,$AA$1)-(mmB-1)/(2*mmB)*(VLOOKUP(xB+$R44,기수표B,$AA$1)-VLOOKUP(xB+mB,기수표B,$AA$1)),0)</f>
        <v>0</v>
      </c>
      <c r="CV44" s="32">
        <f t="shared" ref="CV44:CV75" si="137">IF(R44&gt;nB,0,VLOOKUP(xB+MAX($R44,mB),기수표B,$AA$1)-VLOOKUP(xB+nB,기수표B,$AA$1))</f>
        <v>0</v>
      </c>
      <c r="CW44" s="32">
        <f t="shared" ref="CW44:CW75" ca="1" si="138">IF(JRB=1,mmB*H$25*CS44,0)</f>
        <v>0</v>
      </c>
      <c r="CX44" s="259">
        <f ca="1">IF(R44&lt;m,0,ROUND(IF($R44&gt;nB,0,GPB*mB*mmB*유해지!CY44),roundB))</f>
        <v>0</v>
      </c>
      <c r="CY44" s="262">
        <f t="shared" ref="CY44:CY75" ca="1" si="139">+MAX(0,IF(JRB=1,CX44,MAX(0,ROUND(IF($R44&gt;nB,0,CZ44-MAX($DA44-$R44,0)/$DA44*$C$33),round))))</f>
        <v>0</v>
      </c>
      <c r="CZ44" s="259" t="e">
        <f t="shared" ref="CZ44:CZ75" ca="1" si="140">(CP44+mmB*GPB*CQ44*mB+BETAD_SB*$CV44-CW44)/Z44</f>
        <v>#DIV/0!</v>
      </c>
      <c r="DA44" s="31">
        <f t="shared" ref="DA44:DA75" si="141">+MIN(mB,7)</f>
        <v>5</v>
      </c>
    </row>
    <row r="45" spans="1:105">
      <c r="N45" s="5">
        <f t="shared" si="113"/>
        <v>33</v>
      </c>
      <c r="O45" s="2">
        <f t="shared" ca="1" si="117"/>
        <v>0.47985558024142216</v>
      </c>
      <c r="P45" s="2">
        <f t="shared" ca="1" si="118"/>
        <v>0.47454662742745235</v>
      </c>
      <c r="Q45" s="91"/>
      <c r="R45" s="20">
        <f t="shared" si="114"/>
        <v>33</v>
      </c>
      <c r="S45" s="20" t="str">
        <f t="shared" si="119"/>
        <v/>
      </c>
      <c r="T45" s="2">
        <f t="shared" ca="1" si="116"/>
        <v>0</v>
      </c>
      <c r="U45" s="2">
        <f t="shared" ca="1" si="116"/>
        <v>0</v>
      </c>
      <c r="V45" s="300">
        <f t="shared" si="120"/>
        <v>0.01</v>
      </c>
      <c r="W45" s="8">
        <f t="shared" si="121"/>
        <v>0</v>
      </c>
      <c r="X45" s="10">
        <f t="shared" ca="1" si="122"/>
        <v>1.0000000000000009E-2</v>
      </c>
      <c r="Y45" s="10">
        <f t="shared" ca="1" si="123"/>
        <v>0</v>
      </c>
      <c r="Z45" s="8">
        <f t="shared" ref="Z45:Z76" ca="1" si="142">+W45*O45</f>
        <v>0</v>
      </c>
      <c r="AA45" s="8">
        <f ca="1">+SUM(Z45:Z$124)</f>
        <v>0</v>
      </c>
      <c r="AB45" s="8">
        <f t="shared" ca="1" si="124"/>
        <v>0</v>
      </c>
      <c r="AC45" s="209">
        <f ca="1">+SUM(AB45:AB$124)*SSSM</f>
        <v>0</v>
      </c>
      <c r="AD45" s="209">
        <f t="shared" ref="AD45:AD76" si="143">IF(R45&gt;nB,0,AD44*(1-X44)*(1-Y44)*(1-AE44)*(1-AF44))</f>
        <v>0</v>
      </c>
      <c r="AE45" s="92">
        <f t="shared" ca="1" si="125"/>
        <v>0</v>
      </c>
      <c r="AF45" s="92">
        <f t="shared" ca="1" si="126"/>
        <v>0</v>
      </c>
      <c r="AG45" s="8">
        <f t="shared" ca="1" si="127"/>
        <v>0</v>
      </c>
      <c r="AH45" s="5">
        <f ca="1">+SUM(AG45:AG$124)</f>
        <v>0</v>
      </c>
      <c r="AI45" s="70">
        <f t="shared" ca="1" si="128"/>
        <v>0</v>
      </c>
      <c r="AJ45" s="208">
        <f ca="1">+SUM(AB45:AB$124)*SS50J</f>
        <v>0</v>
      </c>
      <c r="AK45" s="5">
        <f t="shared" ref="AK45:AK76" ca="1" si="144">IFERROR(AK44*(1-$X44)*(1-$Y44)*(1-BTa*AL44*(1-$T44/2)/(1-$T44)),0)</f>
        <v>40252.353842238663</v>
      </c>
      <c r="AL45" s="2">
        <f t="shared" ca="1" si="57"/>
        <v>0</v>
      </c>
      <c r="AM45" s="131">
        <f t="shared" ca="1" si="84"/>
        <v>19315.316609050471</v>
      </c>
      <c r="AN45" s="129">
        <f t="shared" ref="AN45:AN76" ca="1" si="145">AK45*AL45*(1-CHOOSE(JRB,1,0)*$V45/2)*$P45</f>
        <v>0</v>
      </c>
      <c r="AO45" s="129">
        <f ca="1">SUM(AN45:AN$124)*SSa</f>
        <v>0</v>
      </c>
      <c r="AP45" s="70">
        <f t="shared" ref="AP45:AP76" ca="1" si="146">IFERROR(AP44*(1-$X44)*(1-$Y44)*(1-BTb*AQ44*(1-$T44/2)/(1-$T44)),0)</f>
        <v>40252.353842238663</v>
      </c>
      <c r="AQ45" s="2">
        <f t="shared" ca="1" si="58"/>
        <v>0</v>
      </c>
      <c r="AR45" s="127">
        <f t="shared" ref="AR45:AR76" ca="1" si="147">AP45*AQ45*(1-CHOOSE(JRB,1,0)*$V45/2)*$P45</f>
        <v>0</v>
      </c>
      <c r="AS45" s="127">
        <f ca="1">SUM(AR45:AR$124)*SSb</f>
        <v>0</v>
      </c>
      <c r="AT45" s="70">
        <f t="shared" ref="AT45:AT76" ca="1" si="148">IFERROR(AT44*(1-$X44)*(1-$Y44)*(1-BTc*AU44*(1-$T44/2)/(1-$T44)),0)</f>
        <v>40252.353842238663</v>
      </c>
      <c r="AU45" s="2">
        <f t="shared" ca="1" si="59"/>
        <v>0</v>
      </c>
      <c r="AV45" s="268">
        <f t="shared" ref="AV45:AV76" ca="1" si="149">AT45*AU45*(1-CHOOSE(JRB,1,0)*$V45/2)*$P45</f>
        <v>0</v>
      </c>
      <c r="AW45" s="131">
        <f ca="1">SUM(AV45:AV$124)*SSc</f>
        <v>0</v>
      </c>
      <c r="AX45" s="70">
        <f t="shared" ref="AX45:AX76" ca="1" si="150">IFERROR(AX44*(1-$X44)*(1-$Y44)*(1-BTd*AY44*(1-$T44/2)/(1-$T44)),0)</f>
        <v>40252.353842238663</v>
      </c>
      <c r="AY45" s="2">
        <f t="shared" ca="1" si="60"/>
        <v>0</v>
      </c>
      <c r="AZ45" s="268">
        <f t="shared" ref="AZ45:AZ76" ca="1" si="151">AX45*AY45*(1-CHOOSE(JRB,1,0)*$V45/2)*$P45</f>
        <v>0</v>
      </c>
      <c r="BA45" s="129">
        <f ca="1">SUM(AZ45:AZ$124)*SSd</f>
        <v>0</v>
      </c>
      <c r="BB45" s="70">
        <f t="shared" ref="BB45:BB76" ca="1" si="152">IFERROR(BB44*(1-$X44)*(1-$Y44)*(1-BTe*BC44*(1-$T44/2)/(1-$T44)),0)</f>
        <v>40252.353842238663</v>
      </c>
      <c r="BC45" s="257">
        <f t="shared" ca="1" si="61"/>
        <v>0</v>
      </c>
      <c r="BD45" s="268">
        <f t="shared" ref="BD45:BD76" ca="1" si="153">BB45*BC45*(1-CHOOSE(JRB,1,0)*$V45/2)*$P45</f>
        <v>0</v>
      </c>
      <c r="BE45" s="131">
        <f ca="1">SUM(BD45:BD$124)*SSe</f>
        <v>0</v>
      </c>
      <c r="BF45" s="70">
        <f t="shared" ref="BF45:BF76" ca="1" si="154">IFERROR(BF44*(1-$X44)*(1-$Y44)*(1-BTf*BG44*(1-$T44/2)/(1-$T44)),0)</f>
        <v>40252.353842238663</v>
      </c>
      <c r="BG45" s="2">
        <f t="shared" ca="1" si="62"/>
        <v>0</v>
      </c>
      <c r="BH45" s="131">
        <f t="shared" ref="BH45:BH76" ca="1" si="155">BF45*BG45*(1-CHOOSE(JRB,1,0)*$V45/2)*$P45</f>
        <v>0</v>
      </c>
      <c r="BI45" s="2">
        <f ca="1">SUM(BH45:BH$124)*SSf</f>
        <v>0</v>
      </c>
      <c r="BJ45" s="70">
        <f t="shared" ref="BJ45:BJ76" ca="1" si="156">IFERROR(BJ44*(1-$X44)*(1-$Y44)*(1-BTg*BK44*(1-$T44/2)/(1-$T44)),0)</f>
        <v>40252.353842238663</v>
      </c>
      <c r="BK45" s="2">
        <f t="shared" ca="1" si="63"/>
        <v>0</v>
      </c>
      <c r="BL45" s="131">
        <f t="shared" ref="BL45:BL76" ca="1" si="157">BJ45*BK45*(1-CHOOSE(JRB,1,0)*$V45/2)*$P45</f>
        <v>0</v>
      </c>
      <c r="BM45" s="131">
        <f ca="1">SUM(BL45:BL$124)*SSg</f>
        <v>0</v>
      </c>
      <c r="BN45" s="70">
        <f t="shared" ref="BN45:BN76" ca="1" si="158">IFERROR(BN44*(1-$X44)*(1-$Y44)*(1-BTh*BO44*(1-$T44/2)/(1-$T44)),0)</f>
        <v>40252.353842238663</v>
      </c>
      <c r="BO45" s="2">
        <f t="shared" ca="1" si="64"/>
        <v>0</v>
      </c>
      <c r="BP45" s="131">
        <f t="shared" ref="BP45:BP76" ca="1" si="159">BN45*BO45*(1-CHOOSE(JRB,1,0)*$V45/2)*$P45</f>
        <v>0</v>
      </c>
      <c r="BQ45" s="131">
        <f ca="1">SUM(BP45:BP$124)*SSh</f>
        <v>0</v>
      </c>
      <c r="BR45" s="70">
        <f t="shared" ref="BR45:BR76" ca="1" si="160">IFERROR(BR44*(1-$X44)*(1-$Y44)*(1-BTi*BS44*(1-$T44/2)/(1-$T44)),0)</f>
        <v>40252.353842238663</v>
      </c>
      <c r="BS45" s="2">
        <f t="shared" ca="1" si="129"/>
        <v>0</v>
      </c>
      <c r="BT45" s="131">
        <f t="shared" ref="BT45:BT76" ca="1" si="161">BR45*BS45*(1-CHOOSE(JRB,1,0)*$V45/2)*$P45</f>
        <v>0</v>
      </c>
      <c r="BU45" s="131">
        <f ca="1">SUM(BT45:BT$124)*SSi</f>
        <v>0</v>
      </c>
      <c r="BV45" s="70">
        <f t="shared" ref="BV45:BV76" ca="1" si="162">IFERROR(BV44*(1-$X44)*(1-$Y44)*(1-BTj*BW44*(1-$T44/2)/(1-$T44)),0)</f>
        <v>40252.353842238663</v>
      </c>
      <c r="BW45" s="2">
        <f t="shared" ca="1" si="66"/>
        <v>0</v>
      </c>
      <c r="BX45" s="131">
        <f t="shared" ref="BX45:BX76" ca="1" si="163">BV45*BW45*(1-CHOOSE(JRB,1,0)*$V45/2)*$P45</f>
        <v>0</v>
      </c>
      <c r="BY45" s="131">
        <f ca="1">SUM(BX45:BX$124)*SSj</f>
        <v>0</v>
      </c>
      <c r="BZ45" s="70">
        <f t="shared" ref="BZ45:BZ76" ca="1" si="164">IFERROR(BZ44*(1-$X44)*(1-$Y44)*(1-BTk*CA44*(1-$T44/2)/(1-$T44)),0)</f>
        <v>40252.353842238663</v>
      </c>
      <c r="CA45" s="2">
        <f t="shared" ca="1" si="67"/>
        <v>0</v>
      </c>
      <c r="CB45" s="131">
        <f t="shared" ref="CB45:CB76" ca="1" si="165">BZ45*CA45*(1-CHOOSE(JRB,1,0)*$V45/2)*$P45</f>
        <v>0</v>
      </c>
      <c r="CC45" s="131">
        <f ca="1">SUM(CB45:CB$124)*SSk</f>
        <v>0</v>
      </c>
      <c r="CD45" s="8">
        <f t="shared" ref="CD45:CD76" ca="1" si="166">IFERROR(CD44*(1-$X44)*(1-$Y44)*(1-BTl*CE44*(1-$T44/2)/(1-$T44)),0)</f>
        <v>40252.353842238663</v>
      </c>
      <c r="CE45" s="2">
        <f t="shared" ca="1" si="68"/>
        <v>0</v>
      </c>
      <c r="CF45" s="131">
        <f t="shared" ref="CF45:CF76" ca="1" si="167">CD45*CE45*(1-CHOOSE(JRB,1,0)*$V45/2)*$P45</f>
        <v>0</v>
      </c>
      <c r="CG45" s="131">
        <f ca="1">SUM(CF45:CF$124)*SSl</f>
        <v>0</v>
      </c>
      <c r="CH45" s="155">
        <f t="shared" si="108"/>
        <v>0.01</v>
      </c>
      <c r="CI45" s="155">
        <f t="shared" ca="1" si="109"/>
        <v>0</v>
      </c>
      <c r="CJ45" s="155">
        <f t="shared" ca="1" si="110"/>
        <v>0</v>
      </c>
      <c r="CK45" s="155">
        <f ca="1">유해지!CY45</f>
        <v>0</v>
      </c>
      <c r="CL45" s="529">
        <f t="shared" ca="1" si="130"/>
        <v>0</v>
      </c>
      <c r="CM45" s="155">
        <f t="shared" ca="1" si="111"/>
        <v>0</v>
      </c>
      <c r="CN45" s="155">
        <f ca="1">SUM(CM45:$CM$125)</f>
        <v>0</v>
      </c>
      <c r="CO45" s="101">
        <f t="shared" ca="1" si="112"/>
        <v>0</v>
      </c>
      <c r="CP45" s="154">
        <f t="shared" ca="1" si="131"/>
        <v>0</v>
      </c>
      <c r="CQ45" s="154">
        <f t="shared" ca="1" si="132"/>
        <v>0</v>
      </c>
      <c r="CR45" s="32">
        <f t="shared" ca="1" si="133"/>
        <v>0</v>
      </c>
      <c r="CS45" s="32">
        <f t="shared" ca="1" si="134"/>
        <v>0</v>
      </c>
      <c r="CT45" s="32">
        <f t="shared" ca="1" si="135"/>
        <v>0</v>
      </c>
      <c r="CU45" s="32">
        <f t="shared" ca="1" si="136"/>
        <v>0</v>
      </c>
      <c r="CV45" s="32">
        <f t="shared" si="137"/>
        <v>0</v>
      </c>
      <c r="CW45" s="32">
        <f t="shared" ca="1" si="138"/>
        <v>0</v>
      </c>
      <c r="CX45" s="259">
        <f ca="1">IF(R45&lt;m,0,ROUND(IF($R45&gt;nB,0,GPB*mB*mmB*유해지!CY45),roundB))</f>
        <v>0</v>
      </c>
      <c r="CY45" s="262">
        <f t="shared" ca="1" si="139"/>
        <v>0</v>
      </c>
      <c r="CZ45" s="259" t="e">
        <f t="shared" ca="1" si="140"/>
        <v>#DIV/0!</v>
      </c>
      <c r="DA45" s="31">
        <f t="shared" si="141"/>
        <v>5</v>
      </c>
    </row>
    <row r="46" spans="1:105">
      <c r="N46" s="5">
        <f t="shared" si="113"/>
        <v>34</v>
      </c>
      <c r="O46" s="2">
        <f t="shared" ca="1" si="117"/>
        <v>0.469296410994056</v>
      </c>
      <c r="P46" s="2">
        <f t="shared" ca="1" si="118"/>
        <v>0.4641042811026429</v>
      </c>
      <c r="Q46" s="91"/>
      <c r="R46" s="20">
        <f t="shared" si="114"/>
        <v>34</v>
      </c>
      <c r="S46" s="20" t="str">
        <f t="shared" si="119"/>
        <v/>
      </c>
      <c r="T46" s="2">
        <f t="shared" ca="1" si="116"/>
        <v>0</v>
      </c>
      <c r="U46" s="2">
        <f t="shared" ca="1" si="116"/>
        <v>0</v>
      </c>
      <c r="V46" s="300">
        <f t="shared" si="120"/>
        <v>0.01</v>
      </c>
      <c r="W46" s="8">
        <f t="shared" si="121"/>
        <v>0</v>
      </c>
      <c r="X46" s="10">
        <f t="shared" ca="1" si="122"/>
        <v>1.0000000000000009E-2</v>
      </c>
      <c r="Y46" s="10">
        <f t="shared" ca="1" si="123"/>
        <v>0</v>
      </c>
      <c r="Z46" s="8">
        <f t="shared" ca="1" si="142"/>
        <v>0</v>
      </c>
      <c r="AA46" s="8">
        <f ca="1">+SUM(Z46:Z$124)</f>
        <v>0</v>
      </c>
      <c r="AB46" s="8">
        <f t="shared" ca="1" si="124"/>
        <v>0</v>
      </c>
      <c r="AC46" s="209">
        <f ca="1">+SUM(AB46:AB$124)*SSSM</f>
        <v>0</v>
      </c>
      <c r="AD46" s="209">
        <f t="shared" si="143"/>
        <v>0</v>
      </c>
      <c r="AE46" s="92">
        <f t="shared" ca="1" si="125"/>
        <v>0</v>
      </c>
      <c r="AF46" s="92">
        <f t="shared" ca="1" si="126"/>
        <v>0</v>
      </c>
      <c r="AG46" s="8">
        <f t="shared" ca="1" si="127"/>
        <v>0</v>
      </c>
      <c r="AH46" s="5">
        <f ca="1">+SUM(AG46:AG$124)</f>
        <v>0</v>
      </c>
      <c r="AI46" s="70">
        <f t="shared" ca="1" si="128"/>
        <v>0</v>
      </c>
      <c r="AJ46" s="208">
        <f ca="1">+SUM(AB46:AB$124)*SS50J</f>
        <v>0</v>
      </c>
      <c r="AK46" s="5">
        <f t="shared" ca="1" si="144"/>
        <v>39849.830303816278</v>
      </c>
      <c r="AL46" s="2">
        <f t="shared" ca="1" si="57"/>
        <v>0</v>
      </c>
      <c r="AM46" s="131">
        <f t="shared" ca="1" si="84"/>
        <v>18701.382340303153</v>
      </c>
      <c r="AN46" s="129">
        <f t="shared" ca="1" si="145"/>
        <v>0</v>
      </c>
      <c r="AO46" s="129">
        <f ca="1">SUM(AN46:AN$124)*SSa</f>
        <v>0</v>
      </c>
      <c r="AP46" s="70">
        <f t="shared" ca="1" si="146"/>
        <v>39849.830303816278</v>
      </c>
      <c r="AQ46" s="2">
        <f t="shared" ca="1" si="58"/>
        <v>0</v>
      </c>
      <c r="AR46" s="127">
        <f t="shared" ca="1" si="147"/>
        <v>0</v>
      </c>
      <c r="AS46" s="127">
        <f ca="1">SUM(AR46:AR$124)*SSb</f>
        <v>0</v>
      </c>
      <c r="AT46" s="70">
        <f t="shared" ca="1" si="148"/>
        <v>39849.830303816278</v>
      </c>
      <c r="AU46" s="2">
        <f t="shared" ca="1" si="59"/>
        <v>0</v>
      </c>
      <c r="AV46" s="268">
        <f t="shared" ca="1" si="149"/>
        <v>0</v>
      </c>
      <c r="AW46" s="131">
        <f ca="1">SUM(AV46:AV$124)*SSc</f>
        <v>0</v>
      </c>
      <c r="AX46" s="70">
        <f t="shared" ca="1" si="150"/>
        <v>39849.830303816278</v>
      </c>
      <c r="AY46" s="2">
        <f t="shared" ca="1" si="60"/>
        <v>0</v>
      </c>
      <c r="AZ46" s="268">
        <f t="shared" ca="1" si="151"/>
        <v>0</v>
      </c>
      <c r="BA46" s="129">
        <f ca="1">SUM(AZ46:AZ$124)*SSd</f>
        <v>0</v>
      </c>
      <c r="BB46" s="70">
        <f t="shared" ca="1" si="152"/>
        <v>39849.830303816278</v>
      </c>
      <c r="BC46" s="257">
        <f t="shared" ca="1" si="61"/>
        <v>0</v>
      </c>
      <c r="BD46" s="268">
        <f t="shared" ca="1" si="153"/>
        <v>0</v>
      </c>
      <c r="BE46" s="131">
        <f ca="1">SUM(BD46:BD$124)*SSe</f>
        <v>0</v>
      </c>
      <c r="BF46" s="70">
        <f t="shared" ca="1" si="154"/>
        <v>39849.830303816278</v>
      </c>
      <c r="BG46" s="2">
        <f t="shared" ca="1" si="62"/>
        <v>0</v>
      </c>
      <c r="BH46" s="131">
        <f t="shared" ca="1" si="155"/>
        <v>0</v>
      </c>
      <c r="BI46" s="2">
        <f ca="1">SUM(BH46:BH$124)*SSf</f>
        <v>0</v>
      </c>
      <c r="BJ46" s="70">
        <f t="shared" ca="1" si="156"/>
        <v>39849.830303816278</v>
      </c>
      <c r="BK46" s="2">
        <f t="shared" ca="1" si="63"/>
        <v>0</v>
      </c>
      <c r="BL46" s="131">
        <f t="shared" ca="1" si="157"/>
        <v>0</v>
      </c>
      <c r="BM46" s="131">
        <f ca="1">SUM(BL46:BL$124)*SSg</f>
        <v>0</v>
      </c>
      <c r="BN46" s="70">
        <f t="shared" ca="1" si="158"/>
        <v>39849.830303816278</v>
      </c>
      <c r="BO46" s="2">
        <f t="shared" ca="1" si="64"/>
        <v>0</v>
      </c>
      <c r="BP46" s="131">
        <f t="shared" ca="1" si="159"/>
        <v>0</v>
      </c>
      <c r="BQ46" s="131">
        <f ca="1">SUM(BP46:BP$124)*SSh</f>
        <v>0</v>
      </c>
      <c r="BR46" s="70">
        <f t="shared" ca="1" si="160"/>
        <v>39849.830303816278</v>
      </c>
      <c r="BS46" s="2">
        <f t="shared" ca="1" si="129"/>
        <v>0</v>
      </c>
      <c r="BT46" s="131">
        <f t="shared" ca="1" si="161"/>
        <v>0</v>
      </c>
      <c r="BU46" s="131">
        <f ca="1">SUM(BT46:BT$124)*SSi</f>
        <v>0</v>
      </c>
      <c r="BV46" s="70">
        <f t="shared" ca="1" si="162"/>
        <v>39849.830303816278</v>
      </c>
      <c r="BW46" s="2">
        <f t="shared" ca="1" si="66"/>
        <v>0</v>
      </c>
      <c r="BX46" s="131">
        <f t="shared" ca="1" si="163"/>
        <v>0</v>
      </c>
      <c r="BY46" s="131">
        <f ca="1">SUM(BX46:BX$124)*SSj</f>
        <v>0</v>
      </c>
      <c r="BZ46" s="70">
        <f t="shared" ca="1" si="164"/>
        <v>39849.830303816278</v>
      </c>
      <c r="CA46" s="2">
        <f t="shared" ca="1" si="67"/>
        <v>0</v>
      </c>
      <c r="CB46" s="131">
        <f t="shared" ca="1" si="165"/>
        <v>0</v>
      </c>
      <c r="CC46" s="131">
        <f ca="1">SUM(CB46:CB$124)*SSk</f>
        <v>0</v>
      </c>
      <c r="CD46" s="8">
        <f t="shared" ca="1" si="166"/>
        <v>39849.830303816278</v>
      </c>
      <c r="CE46" s="2">
        <f t="shared" ca="1" si="68"/>
        <v>0</v>
      </c>
      <c r="CF46" s="131">
        <f t="shared" ca="1" si="167"/>
        <v>0</v>
      </c>
      <c r="CG46" s="131">
        <f ca="1">SUM(CF46:CF$124)*SSl</f>
        <v>0</v>
      </c>
      <c r="CH46" s="155">
        <f t="shared" si="108"/>
        <v>0.01</v>
      </c>
      <c r="CI46" s="155">
        <f t="shared" ca="1" si="109"/>
        <v>0</v>
      </c>
      <c r="CJ46" s="155">
        <f t="shared" ca="1" si="110"/>
        <v>0</v>
      </c>
      <c r="CK46" s="155">
        <f ca="1">유해지!CY46</f>
        <v>0</v>
      </c>
      <c r="CL46" s="529">
        <f t="shared" ca="1" si="130"/>
        <v>0</v>
      </c>
      <c r="CM46" s="155">
        <f t="shared" ca="1" si="111"/>
        <v>0</v>
      </c>
      <c r="CN46" s="155">
        <f ca="1">SUM(CM46:$CM$125)</f>
        <v>0</v>
      </c>
      <c r="CO46" s="101">
        <f t="shared" ca="1" si="112"/>
        <v>0</v>
      </c>
      <c r="CP46" s="154">
        <f t="shared" ca="1" si="131"/>
        <v>0</v>
      </c>
      <c r="CQ46" s="154">
        <f t="shared" ca="1" si="132"/>
        <v>0</v>
      </c>
      <c r="CR46" s="32">
        <f t="shared" ca="1" si="133"/>
        <v>0</v>
      </c>
      <c r="CS46" s="32">
        <f t="shared" ca="1" si="134"/>
        <v>0</v>
      </c>
      <c r="CT46" s="32">
        <f t="shared" ca="1" si="135"/>
        <v>0</v>
      </c>
      <c r="CU46" s="32">
        <f t="shared" ca="1" si="136"/>
        <v>0</v>
      </c>
      <c r="CV46" s="32">
        <f t="shared" si="137"/>
        <v>0</v>
      </c>
      <c r="CW46" s="32">
        <f t="shared" ca="1" si="138"/>
        <v>0</v>
      </c>
      <c r="CX46" s="259">
        <f ca="1">IF(R46&lt;m,0,ROUND(IF($R46&gt;nB,0,GPB*mB*mmB*유해지!CY46),roundB))</f>
        <v>0</v>
      </c>
      <c r="CY46" s="262">
        <f t="shared" ca="1" si="139"/>
        <v>0</v>
      </c>
      <c r="CZ46" s="259" t="e">
        <f t="shared" ca="1" si="140"/>
        <v>#DIV/0!</v>
      </c>
      <c r="DA46" s="31">
        <f t="shared" si="141"/>
        <v>5</v>
      </c>
    </row>
    <row r="47" spans="1:105">
      <c r="N47" s="5">
        <f t="shared" si="113"/>
        <v>35</v>
      </c>
      <c r="O47" s="2">
        <f t="shared" ca="1" si="117"/>
        <v>0.45896959510421126</v>
      </c>
      <c r="P47" s="2">
        <f t="shared" ca="1" si="118"/>
        <v>0.45389171745979745</v>
      </c>
      <c r="Q47" s="91"/>
      <c r="R47" s="20">
        <f t="shared" si="114"/>
        <v>35</v>
      </c>
      <c r="S47" s="20" t="str">
        <f t="shared" si="119"/>
        <v/>
      </c>
      <c r="T47" s="2">
        <f t="shared" ca="1" si="116"/>
        <v>0</v>
      </c>
      <c r="U47" s="2">
        <f t="shared" ca="1" si="116"/>
        <v>0</v>
      </c>
      <c r="V47" s="300">
        <f t="shared" si="120"/>
        <v>0.01</v>
      </c>
      <c r="W47" s="8">
        <f t="shared" si="121"/>
        <v>0</v>
      </c>
      <c r="X47" s="10">
        <f t="shared" ca="1" si="122"/>
        <v>1.0000000000000009E-2</v>
      </c>
      <c r="Y47" s="10">
        <f t="shared" ca="1" si="123"/>
        <v>0</v>
      </c>
      <c r="Z47" s="8">
        <f t="shared" ca="1" si="142"/>
        <v>0</v>
      </c>
      <c r="AA47" s="8">
        <f ca="1">+SUM(Z47:Z$124)</f>
        <v>0</v>
      </c>
      <c r="AB47" s="8">
        <f t="shared" ca="1" si="124"/>
        <v>0</v>
      </c>
      <c r="AC47" s="209">
        <f ca="1">+SUM(AB47:AB$124)*SSSM</f>
        <v>0</v>
      </c>
      <c r="AD47" s="209">
        <f t="shared" si="143"/>
        <v>0</v>
      </c>
      <c r="AE47" s="92">
        <f t="shared" ca="1" si="125"/>
        <v>0</v>
      </c>
      <c r="AF47" s="92">
        <f t="shared" ca="1" si="126"/>
        <v>0</v>
      </c>
      <c r="AG47" s="8">
        <f t="shared" ca="1" si="127"/>
        <v>0</v>
      </c>
      <c r="AH47" s="5">
        <f ca="1">+SUM(AG47:AG$124)</f>
        <v>0</v>
      </c>
      <c r="AI47" s="70">
        <f t="shared" ca="1" si="128"/>
        <v>0</v>
      </c>
      <c r="AJ47" s="208">
        <f ca="1">+SUM(AB47:AB$124)*SS50J</f>
        <v>0</v>
      </c>
      <c r="AK47" s="5">
        <f t="shared" ca="1" si="144"/>
        <v>39451.332000778115</v>
      </c>
      <c r="AL47" s="2">
        <f t="shared" ca="1" si="57"/>
        <v>0</v>
      </c>
      <c r="AM47" s="131">
        <f t="shared" ca="1" si="84"/>
        <v>18106.961874718945</v>
      </c>
      <c r="AN47" s="129">
        <f t="shared" ca="1" si="145"/>
        <v>0</v>
      </c>
      <c r="AO47" s="129">
        <f ca="1">SUM(AN47:AN$124)*SSa</f>
        <v>0</v>
      </c>
      <c r="AP47" s="70">
        <f t="shared" ca="1" si="146"/>
        <v>39451.332000778115</v>
      </c>
      <c r="AQ47" s="2">
        <f t="shared" ca="1" si="58"/>
        <v>0</v>
      </c>
      <c r="AR47" s="127">
        <f t="shared" ca="1" si="147"/>
        <v>0</v>
      </c>
      <c r="AS47" s="127">
        <f ca="1">SUM(AR47:AR$124)*SSb</f>
        <v>0</v>
      </c>
      <c r="AT47" s="70">
        <f t="shared" ca="1" si="148"/>
        <v>39451.332000778115</v>
      </c>
      <c r="AU47" s="2">
        <f t="shared" ca="1" si="59"/>
        <v>0</v>
      </c>
      <c r="AV47" s="268">
        <f t="shared" ca="1" si="149"/>
        <v>0</v>
      </c>
      <c r="AW47" s="131">
        <f ca="1">SUM(AV47:AV$124)*SSc</f>
        <v>0</v>
      </c>
      <c r="AX47" s="70">
        <f t="shared" ca="1" si="150"/>
        <v>39451.332000778115</v>
      </c>
      <c r="AY47" s="2">
        <f t="shared" ca="1" si="60"/>
        <v>0</v>
      </c>
      <c r="AZ47" s="268">
        <f t="shared" ca="1" si="151"/>
        <v>0</v>
      </c>
      <c r="BA47" s="129">
        <f ca="1">SUM(AZ47:AZ$124)*SSd</f>
        <v>0</v>
      </c>
      <c r="BB47" s="70">
        <f t="shared" ca="1" si="152"/>
        <v>39451.332000778115</v>
      </c>
      <c r="BC47" s="257">
        <f t="shared" ca="1" si="61"/>
        <v>0</v>
      </c>
      <c r="BD47" s="268">
        <f t="shared" ca="1" si="153"/>
        <v>0</v>
      </c>
      <c r="BE47" s="131">
        <f ca="1">SUM(BD47:BD$124)*SSe</f>
        <v>0</v>
      </c>
      <c r="BF47" s="70">
        <f t="shared" ca="1" si="154"/>
        <v>39451.332000778115</v>
      </c>
      <c r="BG47" s="2">
        <f t="shared" ca="1" si="62"/>
        <v>0</v>
      </c>
      <c r="BH47" s="131">
        <f t="shared" ca="1" si="155"/>
        <v>0</v>
      </c>
      <c r="BI47" s="2">
        <f ca="1">SUM(BH47:BH$124)*SSf</f>
        <v>0</v>
      </c>
      <c r="BJ47" s="70">
        <f t="shared" ca="1" si="156"/>
        <v>39451.332000778115</v>
      </c>
      <c r="BK47" s="2">
        <f t="shared" ca="1" si="63"/>
        <v>0</v>
      </c>
      <c r="BL47" s="131">
        <f t="shared" ca="1" si="157"/>
        <v>0</v>
      </c>
      <c r="BM47" s="131">
        <f ca="1">SUM(BL47:BL$124)*SSg</f>
        <v>0</v>
      </c>
      <c r="BN47" s="70">
        <f t="shared" ca="1" si="158"/>
        <v>39451.332000778115</v>
      </c>
      <c r="BO47" s="2">
        <f t="shared" ca="1" si="64"/>
        <v>0</v>
      </c>
      <c r="BP47" s="131">
        <f t="shared" ca="1" si="159"/>
        <v>0</v>
      </c>
      <c r="BQ47" s="131">
        <f ca="1">SUM(BP47:BP$124)*SSh</f>
        <v>0</v>
      </c>
      <c r="BR47" s="70">
        <f t="shared" ca="1" si="160"/>
        <v>39451.332000778115</v>
      </c>
      <c r="BS47" s="2">
        <f t="shared" ca="1" si="129"/>
        <v>0</v>
      </c>
      <c r="BT47" s="131">
        <f t="shared" ca="1" si="161"/>
        <v>0</v>
      </c>
      <c r="BU47" s="131">
        <f ca="1">SUM(BT47:BT$124)*SSi</f>
        <v>0</v>
      </c>
      <c r="BV47" s="70">
        <f t="shared" ca="1" si="162"/>
        <v>39451.332000778115</v>
      </c>
      <c r="BW47" s="2">
        <f t="shared" ca="1" si="66"/>
        <v>0</v>
      </c>
      <c r="BX47" s="131">
        <f t="shared" ca="1" si="163"/>
        <v>0</v>
      </c>
      <c r="BY47" s="131">
        <f ca="1">SUM(BX47:BX$124)*SSj</f>
        <v>0</v>
      </c>
      <c r="BZ47" s="70">
        <f t="shared" ca="1" si="164"/>
        <v>39451.332000778115</v>
      </c>
      <c r="CA47" s="2">
        <f t="shared" ca="1" si="67"/>
        <v>0</v>
      </c>
      <c r="CB47" s="131">
        <f t="shared" ca="1" si="165"/>
        <v>0</v>
      </c>
      <c r="CC47" s="131">
        <f ca="1">SUM(CB47:CB$124)*SSk</f>
        <v>0</v>
      </c>
      <c r="CD47" s="8">
        <f t="shared" ca="1" si="166"/>
        <v>39451.332000778115</v>
      </c>
      <c r="CE47" s="2">
        <f t="shared" ca="1" si="68"/>
        <v>0</v>
      </c>
      <c r="CF47" s="131">
        <f t="shared" ca="1" si="167"/>
        <v>0</v>
      </c>
      <c r="CG47" s="131">
        <f ca="1">SUM(CF47:CF$124)*SSl</f>
        <v>0</v>
      </c>
      <c r="CH47" s="155">
        <f t="shared" si="108"/>
        <v>0.01</v>
      </c>
      <c r="CI47" s="155">
        <f t="shared" ca="1" si="109"/>
        <v>0</v>
      </c>
      <c r="CJ47" s="155">
        <f t="shared" ca="1" si="110"/>
        <v>0</v>
      </c>
      <c r="CK47" s="155">
        <f ca="1">유해지!CY47</f>
        <v>0</v>
      </c>
      <c r="CL47" s="529">
        <f t="shared" ca="1" si="130"/>
        <v>0</v>
      </c>
      <c r="CM47" s="155">
        <f t="shared" ca="1" si="111"/>
        <v>0</v>
      </c>
      <c r="CN47" s="155">
        <f ca="1">SUM(CM47:$CM$125)</f>
        <v>0</v>
      </c>
      <c r="CO47" s="101">
        <f t="shared" ca="1" si="112"/>
        <v>0</v>
      </c>
      <c r="CP47" s="154">
        <f t="shared" ca="1" si="131"/>
        <v>0</v>
      </c>
      <c r="CQ47" s="154">
        <f t="shared" ca="1" si="132"/>
        <v>0</v>
      </c>
      <c r="CR47" s="32">
        <f t="shared" ca="1" si="133"/>
        <v>0</v>
      </c>
      <c r="CS47" s="32">
        <f t="shared" ca="1" si="134"/>
        <v>0</v>
      </c>
      <c r="CT47" s="32">
        <f t="shared" ca="1" si="135"/>
        <v>0</v>
      </c>
      <c r="CU47" s="32">
        <f t="shared" ca="1" si="136"/>
        <v>0</v>
      </c>
      <c r="CV47" s="32">
        <f t="shared" si="137"/>
        <v>0</v>
      </c>
      <c r="CW47" s="32">
        <f t="shared" ca="1" si="138"/>
        <v>0</v>
      </c>
      <c r="CX47" s="259">
        <f ca="1">IF(R47&lt;m,0,ROUND(IF($R47&gt;nB,0,GPB*mB*mmB*유해지!CY47),roundB))</f>
        <v>0</v>
      </c>
      <c r="CY47" s="262">
        <f t="shared" ca="1" si="139"/>
        <v>0</v>
      </c>
      <c r="CZ47" s="259" t="e">
        <f t="shared" ca="1" si="140"/>
        <v>#DIV/0!</v>
      </c>
      <c r="DA47" s="31">
        <f t="shared" si="141"/>
        <v>5</v>
      </c>
    </row>
    <row r="48" spans="1:105">
      <c r="G48" s="13" t="s">
        <v>30</v>
      </c>
      <c r="I48" s="24"/>
      <c r="J48" s="24" t="str">
        <f>+IF(sexB=1," 남자"," 여자")&amp;", "&amp;xB&amp;"세"</f>
        <v xml:space="preserve"> 남자, 8세</v>
      </c>
      <c r="N48" s="5">
        <f t="shared" si="113"/>
        <v>36</v>
      </c>
      <c r="O48" s="2">
        <f t="shared" ca="1" si="117"/>
        <v>0.44887001966182033</v>
      </c>
      <c r="P48" s="2">
        <f t="shared" ca="1" si="118"/>
        <v>0.44390388015628113</v>
      </c>
      <c r="Q48" s="91"/>
      <c r="R48" s="20">
        <f t="shared" si="114"/>
        <v>36</v>
      </c>
      <c r="S48" s="20" t="str">
        <f t="shared" si="119"/>
        <v/>
      </c>
      <c r="T48" s="2">
        <f t="shared" ca="1" si="116"/>
        <v>0</v>
      </c>
      <c r="U48" s="2">
        <f t="shared" ca="1" si="116"/>
        <v>0</v>
      </c>
      <c r="V48" s="300">
        <f t="shared" si="120"/>
        <v>0.01</v>
      </c>
      <c r="W48" s="8">
        <f t="shared" si="121"/>
        <v>0</v>
      </c>
      <c r="X48" s="10">
        <f t="shared" ca="1" si="122"/>
        <v>1.0000000000000009E-2</v>
      </c>
      <c r="Y48" s="10">
        <f t="shared" ca="1" si="123"/>
        <v>0</v>
      </c>
      <c r="Z48" s="8">
        <f t="shared" ca="1" si="142"/>
        <v>0</v>
      </c>
      <c r="AA48" s="8">
        <f ca="1">+SUM(Z48:Z$124)</f>
        <v>0</v>
      </c>
      <c r="AB48" s="8">
        <f t="shared" ca="1" si="124"/>
        <v>0</v>
      </c>
      <c r="AC48" s="209">
        <f ca="1">+SUM(AB48:AB$124)*SSSM</f>
        <v>0</v>
      </c>
      <c r="AD48" s="209">
        <f t="shared" si="143"/>
        <v>0</v>
      </c>
      <c r="AE48" s="92">
        <f t="shared" ca="1" si="125"/>
        <v>0</v>
      </c>
      <c r="AF48" s="92">
        <f t="shared" ca="1" si="126"/>
        <v>0</v>
      </c>
      <c r="AG48" s="8">
        <f t="shared" ca="1" si="127"/>
        <v>0</v>
      </c>
      <c r="AH48" s="5">
        <f ca="1">+SUM(AG48:AG$124)</f>
        <v>0</v>
      </c>
      <c r="AI48" s="70">
        <f t="shared" ca="1" si="128"/>
        <v>0</v>
      </c>
      <c r="AJ48" s="208">
        <f ca="1">+SUM(AB48:AB$124)*SS50J</f>
        <v>0</v>
      </c>
      <c r="AK48" s="5">
        <f t="shared" ca="1" si="144"/>
        <v>39056.818680770331</v>
      </c>
      <c r="AL48" s="2">
        <f t="shared" ca="1" si="57"/>
        <v>0</v>
      </c>
      <c r="AM48" s="131">
        <f t="shared" ca="1" si="84"/>
        <v>17531.43496916553</v>
      </c>
      <c r="AN48" s="129">
        <f t="shared" ca="1" si="145"/>
        <v>0</v>
      </c>
      <c r="AO48" s="129">
        <f ca="1">SUM(AN48:AN$124)*SSa</f>
        <v>0</v>
      </c>
      <c r="AP48" s="70">
        <f t="shared" ca="1" si="146"/>
        <v>39056.818680770331</v>
      </c>
      <c r="AQ48" s="2">
        <f t="shared" ca="1" si="58"/>
        <v>0</v>
      </c>
      <c r="AR48" s="127">
        <f t="shared" ca="1" si="147"/>
        <v>0</v>
      </c>
      <c r="AS48" s="127">
        <f ca="1">SUM(AR48:AR$124)*SSb</f>
        <v>0</v>
      </c>
      <c r="AT48" s="70">
        <f t="shared" ca="1" si="148"/>
        <v>39056.818680770331</v>
      </c>
      <c r="AU48" s="2">
        <f t="shared" ca="1" si="59"/>
        <v>0</v>
      </c>
      <c r="AV48" s="268">
        <f t="shared" ca="1" si="149"/>
        <v>0</v>
      </c>
      <c r="AW48" s="131">
        <f ca="1">SUM(AV48:AV$124)*SSc</f>
        <v>0</v>
      </c>
      <c r="AX48" s="70">
        <f t="shared" ca="1" si="150"/>
        <v>39056.818680770331</v>
      </c>
      <c r="AY48" s="2">
        <f t="shared" ca="1" si="60"/>
        <v>0</v>
      </c>
      <c r="AZ48" s="268">
        <f t="shared" ca="1" si="151"/>
        <v>0</v>
      </c>
      <c r="BA48" s="129">
        <f ca="1">SUM(AZ48:AZ$124)*SSd</f>
        <v>0</v>
      </c>
      <c r="BB48" s="70">
        <f t="shared" ca="1" si="152"/>
        <v>39056.818680770331</v>
      </c>
      <c r="BC48" s="257">
        <f t="shared" ca="1" si="61"/>
        <v>0</v>
      </c>
      <c r="BD48" s="268">
        <f t="shared" ca="1" si="153"/>
        <v>0</v>
      </c>
      <c r="BE48" s="131">
        <f ca="1">SUM(BD48:BD$124)*SSe</f>
        <v>0</v>
      </c>
      <c r="BF48" s="70">
        <f t="shared" ca="1" si="154"/>
        <v>39056.818680770331</v>
      </c>
      <c r="BG48" s="2">
        <f t="shared" ca="1" si="62"/>
        <v>0</v>
      </c>
      <c r="BH48" s="131">
        <f t="shared" ca="1" si="155"/>
        <v>0</v>
      </c>
      <c r="BI48" s="2">
        <f ca="1">SUM(BH48:BH$124)*SSf</f>
        <v>0</v>
      </c>
      <c r="BJ48" s="70">
        <f t="shared" ca="1" si="156"/>
        <v>39056.818680770331</v>
      </c>
      <c r="BK48" s="2">
        <f t="shared" ca="1" si="63"/>
        <v>0</v>
      </c>
      <c r="BL48" s="131">
        <f t="shared" ca="1" si="157"/>
        <v>0</v>
      </c>
      <c r="BM48" s="131">
        <f ca="1">SUM(BL48:BL$124)*SSg</f>
        <v>0</v>
      </c>
      <c r="BN48" s="70">
        <f t="shared" ca="1" si="158"/>
        <v>39056.818680770331</v>
      </c>
      <c r="BO48" s="2">
        <f t="shared" ca="1" si="64"/>
        <v>0</v>
      </c>
      <c r="BP48" s="131">
        <f t="shared" ca="1" si="159"/>
        <v>0</v>
      </c>
      <c r="BQ48" s="131">
        <f ca="1">SUM(BP48:BP$124)*SSh</f>
        <v>0</v>
      </c>
      <c r="BR48" s="70">
        <f t="shared" ca="1" si="160"/>
        <v>39056.818680770331</v>
      </c>
      <c r="BS48" s="2">
        <f t="shared" ca="1" si="129"/>
        <v>0</v>
      </c>
      <c r="BT48" s="131">
        <f t="shared" ca="1" si="161"/>
        <v>0</v>
      </c>
      <c r="BU48" s="131">
        <f ca="1">SUM(BT48:BT$124)*SSi</f>
        <v>0</v>
      </c>
      <c r="BV48" s="70">
        <f t="shared" ca="1" si="162"/>
        <v>39056.818680770331</v>
      </c>
      <c r="BW48" s="2">
        <f t="shared" ca="1" si="66"/>
        <v>0</v>
      </c>
      <c r="BX48" s="131">
        <f t="shared" ca="1" si="163"/>
        <v>0</v>
      </c>
      <c r="BY48" s="131">
        <f ca="1">SUM(BX48:BX$124)*SSj</f>
        <v>0</v>
      </c>
      <c r="BZ48" s="70">
        <f t="shared" ca="1" si="164"/>
        <v>39056.818680770331</v>
      </c>
      <c r="CA48" s="2">
        <f t="shared" ca="1" si="67"/>
        <v>0</v>
      </c>
      <c r="CB48" s="131">
        <f t="shared" ca="1" si="165"/>
        <v>0</v>
      </c>
      <c r="CC48" s="131">
        <f ca="1">SUM(CB48:CB$124)*SSk</f>
        <v>0</v>
      </c>
      <c r="CD48" s="8">
        <f t="shared" ca="1" si="166"/>
        <v>39056.818680770331</v>
      </c>
      <c r="CE48" s="2">
        <f t="shared" ca="1" si="68"/>
        <v>0</v>
      </c>
      <c r="CF48" s="131">
        <f t="shared" ca="1" si="167"/>
        <v>0</v>
      </c>
      <c r="CG48" s="131">
        <f ca="1">SUM(CF48:CF$124)*SSl</f>
        <v>0</v>
      </c>
      <c r="CH48" s="155">
        <f t="shared" si="108"/>
        <v>0.01</v>
      </c>
      <c r="CI48" s="155">
        <f t="shared" ca="1" si="109"/>
        <v>0</v>
      </c>
      <c r="CJ48" s="155">
        <f t="shared" ca="1" si="110"/>
        <v>0</v>
      </c>
      <c r="CK48" s="155">
        <f ca="1">유해지!CY48</f>
        <v>0</v>
      </c>
      <c r="CL48" s="529">
        <f t="shared" ca="1" si="130"/>
        <v>0</v>
      </c>
      <c r="CM48" s="155">
        <f t="shared" ca="1" si="111"/>
        <v>0</v>
      </c>
      <c r="CN48" s="155">
        <f ca="1">SUM(CM48:$CM$125)</f>
        <v>0</v>
      </c>
      <c r="CO48" s="101">
        <f t="shared" ca="1" si="112"/>
        <v>0</v>
      </c>
      <c r="CP48" s="154">
        <f t="shared" ca="1" si="131"/>
        <v>0</v>
      </c>
      <c r="CQ48" s="154">
        <f t="shared" ca="1" si="132"/>
        <v>0</v>
      </c>
      <c r="CR48" s="32">
        <f t="shared" ca="1" si="133"/>
        <v>0</v>
      </c>
      <c r="CS48" s="32">
        <f t="shared" ca="1" si="134"/>
        <v>0</v>
      </c>
      <c r="CT48" s="32">
        <f t="shared" ca="1" si="135"/>
        <v>0</v>
      </c>
      <c r="CU48" s="32">
        <f t="shared" ca="1" si="136"/>
        <v>0</v>
      </c>
      <c r="CV48" s="32">
        <f t="shared" si="137"/>
        <v>0</v>
      </c>
      <c r="CW48" s="32">
        <f t="shared" ca="1" si="138"/>
        <v>0</v>
      </c>
      <c r="CX48" s="259">
        <f ca="1">IF(R48&lt;m,0,ROUND(IF($R48&gt;nB,0,GPB*mB*mmB*유해지!CY48),roundB))</f>
        <v>0</v>
      </c>
      <c r="CY48" s="262">
        <f t="shared" ca="1" si="139"/>
        <v>0</v>
      </c>
      <c r="CZ48" s="259" t="e">
        <f t="shared" ca="1" si="140"/>
        <v>#DIV/0!</v>
      </c>
      <c r="DA48" s="31">
        <f t="shared" si="141"/>
        <v>5</v>
      </c>
    </row>
    <row r="49" spans="2:105">
      <c r="G49" s="51" t="s">
        <v>31</v>
      </c>
      <c r="H49" s="52"/>
      <c r="I49" s="25">
        <f ca="1">+H29*SB</f>
        <v>6</v>
      </c>
      <c r="J49" s="26">
        <f t="shared" ref="J49:J56" ca="1" si="168">+I49/$I$49</f>
        <v>1</v>
      </c>
      <c r="N49" s="5">
        <f t="shared" si="113"/>
        <v>37</v>
      </c>
      <c r="O49" s="2">
        <f t="shared" ca="1" si="117"/>
        <v>0.43899268426583893</v>
      </c>
      <c r="P49" s="2">
        <f t="shared" ca="1" si="118"/>
        <v>0.43413582411372242</v>
      </c>
      <c r="Q49" s="91"/>
      <c r="R49" s="20">
        <f t="shared" si="114"/>
        <v>37</v>
      </c>
      <c r="S49" s="20" t="str">
        <f t="shared" si="119"/>
        <v/>
      </c>
      <c r="T49" s="2">
        <f t="shared" ca="1" si="116"/>
        <v>0</v>
      </c>
      <c r="U49" s="2">
        <f t="shared" ca="1" si="116"/>
        <v>0</v>
      </c>
      <c r="V49" s="300">
        <f t="shared" si="120"/>
        <v>0.01</v>
      </c>
      <c r="W49" s="8">
        <f t="shared" si="121"/>
        <v>0</v>
      </c>
      <c r="X49" s="10">
        <f t="shared" ca="1" si="122"/>
        <v>1.0000000000000009E-2</v>
      </c>
      <c r="Y49" s="10">
        <f t="shared" ca="1" si="123"/>
        <v>0</v>
      </c>
      <c r="Z49" s="8">
        <f t="shared" ca="1" si="142"/>
        <v>0</v>
      </c>
      <c r="AA49" s="8">
        <f ca="1">+SUM(Z49:Z$124)</f>
        <v>0</v>
      </c>
      <c r="AB49" s="8">
        <f t="shared" ca="1" si="124"/>
        <v>0</v>
      </c>
      <c r="AC49" s="209">
        <f ca="1">+SUM(AB49:AB$124)*SSSM</f>
        <v>0</v>
      </c>
      <c r="AD49" s="209">
        <f t="shared" si="143"/>
        <v>0</v>
      </c>
      <c r="AE49" s="92">
        <f t="shared" ca="1" si="125"/>
        <v>0</v>
      </c>
      <c r="AF49" s="92">
        <f t="shared" ca="1" si="126"/>
        <v>0</v>
      </c>
      <c r="AG49" s="8">
        <f t="shared" ca="1" si="127"/>
        <v>0</v>
      </c>
      <c r="AH49" s="5">
        <f ca="1">+SUM(AG49:AG$124)</f>
        <v>0</v>
      </c>
      <c r="AI49" s="70">
        <f t="shared" ca="1" si="128"/>
        <v>0</v>
      </c>
      <c r="AJ49" s="208">
        <f ca="1">+SUM(AB49:AB$124)*SS50J</f>
        <v>0</v>
      </c>
      <c r="AK49" s="5">
        <f t="shared" ca="1" si="144"/>
        <v>38666.250493962631</v>
      </c>
      <c r="AL49" s="2">
        <f t="shared" ca="1" si="57"/>
        <v>0</v>
      </c>
      <c r="AM49" s="131">
        <f t="shared" ca="1" si="84"/>
        <v>16974.201094839977</v>
      </c>
      <c r="AN49" s="129">
        <f t="shared" ca="1" si="145"/>
        <v>0</v>
      </c>
      <c r="AO49" s="129">
        <f ca="1">SUM(AN49:AN$124)*SSa</f>
        <v>0</v>
      </c>
      <c r="AP49" s="70">
        <f t="shared" ca="1" si="146"/>
        <v>38666.250493962631</v>
      </c>
      <c r="AQ49" s="2">
        <f t="shared" ca="1" si="58"/>
        <v>0</v>
      </c>
      <c r="AR49" s="127">
        <f t="shared" ca="1" si="147"/>
        <v>0</v>
      </c>
      <c r="AS49" s="127">
        <f ca="1">SUM(AR49:AR$124)*SSb</f>
        <v>0</v>
      </c>
      <c r="AT49" s="70">
        <f t="shared" ca="1" si="148"/>
        <v>38666.250493962631</v>
      </c>
      <c r="AU49" s="2">
        <f t="shared" ca="1" si="59"/>
        <v>0</v>
      </c>
      <c r="AV49" s="268">
        <f t="shared" ca="1" si="149"/>
        <v>0</v>
      </c>
      <c r="AW49" s="131">
        <f ca="1">SUM(AV49:AV$124)*SSc</f>
        <v>0</v>
      </c>
      <c r="AX49" s="70">
        <f t="shared" ca="1" si="150"/>
        <v>38666.250493962631</v>
      </c>
      <c r="AY49" s="2">
        <f t="shared" ca="1" si="60"/>
        <v>0</v>
      </c>
      <c r="AZ49" s="268">
        <f t="shared" ca="1" si="151"/>
        <v>0</v>
      </c>
      <c r="BA49" s="129">
        <f ca="1">SUM(AZ49:AZ$124)*SSd</f>
        <v>0</v>
      </c>
      <c r="BB49" s="70">
        <f t="shared" ca="1" si="152"/>
        <v>38666.250493962631</v>
      </c>
      <c r="BC49" s="257">
        <f t="shared" ca="1" si="61"/>
        <v>0</v>
      </c>
      <c r="BD49" s="268">
        <f t="shared" ca="1" si="153"/>
        <v>0</v>
      </c>
      <c r="BE49" s="131">
        <f ca="1">SUM(BD49:BD$124)*SSe</f>
        <v>0</v>
      </c>
      <c r="BF49" s="70">
        <f t="shared" ca="1" si="154"/>
        <v>38666.250493962631</v>
      </c>
      <c r="BG49" s="2">
        <f t="shared" ca="1" si="62"/>
        <v>0</v>
      </c>
      <c r="BH49" s="131">
        <f t="shared" ca="1" si="155"/>
        <v>0</v>
      </c>
      <c r="BI49" s="2">
        <f ca="1">SUM(BH49:BH$124)*SSf</f>
        <v>0</v>
      </c>
      <c r="BJ49" s="70">
        <f t="shared" ca="1" si="156"/>
        <v>38666.250493962631</v>
      </c>
      <c r="BK49" s="2">
        <f t="shared" ca="1" si="63"/>
        <v>0</v>
      </c>
      <c r="BL49" s="131">
        <f t="shared" ca="1" si="157"/>
        <v>0</v>
      </c>
      <c r="BM49" s="131">
        <f ca="1">SUM(BL49:BL$124)*SSg</f>
        <v>0</v>
      </c>
      <c r="BN49" s="70">
        <f t="shared" ca="1" si="158"/>
        <v>38666.250493962631</v>
      </c>
      <c r="BO49" s="2">
        <f t="shared" ca="1" si="64"/>
        <v>0</v>
      </c>
      <c r="BP49" s="131">
        <f t="shared" ca="1" si="159"/>
        <v>0</v>
      </c>
      <c r="BQ49" s="131">
        <f ca="1">SUM(BP49:BP$124)*SSh</f>
        <v>0</v>
      </c>
      <c r="BR49" s="70">
        <f t="shared" ca="1" si="160"/>
        <v>38666.250493962631</v>
      </c>
      <c r="BS49" s="2">
        <f t="shared" ca="1" si="129"/>
        <v>0</v>
      </c>
      <c r="BT49" s="131">
        <f t="shared" ca="1" si="161"/>
        <v>0</v>
      </c>
      <c r="BU49" s="131">
        <f ca="1">SUM(BT49:BT$124)*SSi</f>
        <v>0</v>
      </c>
      <c r="BV49" s="70">
        <f t="shared" ca="1" si="162"/>
        <v>38666.250493962631</v>
      </c>
      <c r="BW49" s="2">
        <f t="shared" ca="1" si="66"/>
        <v>0</v>
      </c>
      <c r="BX49" s="131">
        <f t="shared" ca="1" si="163"/>
        <v>0</v>
      </c>
      <c r="BY49" s="131">
        <f ca="1">SUM(BX49:BX$124)*SSj</f>
        <v>0</v>
      </c>
      <c r="BZ49" s="70">
        <f t="shared" ca="1" si="164"/>
        <v>38666.250493962631</v>
      </c>
      <c r="CA49" s="2">
        <f t="shared" ca="1" si="67"/>
        <v>0</v>
      </c>
      <c r="CB49" s="131">
        <f t="shared" ca="1" si="165"/>
        <v>0</v>
      </c>
      <c r="CC49" s="131">
        <f ca="1">SUM(CB49:CB$124)*SSk</f>
        <v>0</v>
      </c>
      <c r="CD49" s="8">
        <f t="shared" ca="1" si="166"/>
        <v>38666.250493962631</v>
      </c>
      <c r="CE49" s="2">
        <f t="shared" ca="1" si="68"/>
        <v>0</v>
      </c>
      <c r="CF49" s="131">
        <f t="shared" ca="1" si="167"/>
        <v>0</v>
      </c>
      <c r="CG49" s="131">
        <f ca="1">SUM(CF49:CF$124)*SSl</f>
        <v>0</v>
      </c>
      <c r="CH49" s="155">
        <f t="shared" si="108"/>
        <v>0.01</v>
      </c>
      <c r="CI49" s="155">
        <f t="shared" ca="1" si="109"/>
        <v>0</v>
      </c>
      <c r="CJ49" s="155">
        <f t="shared" ca="1" si="110"/>
        <v>0</v>
      </c>
      <c r="CK49" s="155">
        <f ca="1">유해지!CY49</f>
        <v>0</v>
      </c>
      <c r="CL49" s="529">
        <f t="shared" ca="1" si="130"/>
        <v>0</v>
      </c>
      <c r="CM49" s="155">
        <f t="shared" ca="1" si="111"/>
        <v>0</v>
      </c>
      <c r="CN49" s="155">
        <f ca="1">SUM(CM49:$CM$125)</f>
        <v>0</v>
      </c>
      <c r="CO49" s="101">
        <f t="shared" ca="1" si="112"/>
        <v>0</v>
      </c>
      <c r="CP49" s="154">
        <f t="shared" ca="1" si="131"/>
        <v>0</v>
      </c>
      <c r="CQ49" s="154">
        <f t="shared" ca="1" si="132"/>
        <v>0</v>
      </c>
      <c r="CR49" s="32">
        <f t="shared" ca="1" si="133"/>
        <v>0</v>
      </c>
      <c r="CS49" s="32">
        <f t="shared" ca="1" si="134"/>
        <v>0</v>
      </c>
      <c r="CT49" s="32">
        <f t="shared" ca="1" si="135"/>
        <v>0</v>
      </c>
      <c r="CU49" s="32">
        <f t="shared" ca="1" si="136"/>
        <v>0</v>
      </c>
      <c r="CV49" s="32">
        <f t="shared" si="137"/>
        <v>0</v>
      </c>
      <c r="CW49" s="32">
        <f t="shared" ca="1" si="138"/>
        <v>0</v>
      </c>
      <c r="CX49" s="259">
        <f ca="1">IF(R49&lt;m,0,ROUND(IF($R49&gt;nB,0,GPB*mB*mmB*유해지!CY49),roundB))</f>
        <v>0</v>
      </c>
      <c r="CY49" s="262">
        <f t="shared" ca="1" si="139"/>
        <v>0</v>
      </c>
      <c r="CZ49" s="259" t="e">
        <f t="shared" ca="1" si="140"/>
        <v>#DIV/0!</v>
      </c>
      <c r="DA49" s="31">
        <f t="shared" si="141"/>
        <v>5</v>
      </c>
    </row>
    <row r="50" spans="2:105">
      <c r="G50" s="74" t="s">
        <v>32</v>
      </c>
      <c r="H50" s="75"/>
      <c r="I50" s="28">
        <f ca="1">+ROUND($H$24,roundB)*SB</f>
        <v>1</v>
      </c>
      <c r="J50" s="26">
        <f t="shared" ca="1" si="168"/>
        <v>0.16666666666666666</v>
      </c>
      <c r="N50" s="5">
        <f t="shared" si="113"/>
        <v>38</v>
      </c>
      <c r="O50" s="2">
        <f t="shared" ca="1" si="117"/>
        <v>0.42933269854849776</v>
      </c>
      <c r="P50" s="2">
        <f t="shared" ca="1" si="118"/>
        <v>0.42458271306965517</v>
      </c>
      <c r="Q50" s="91"/>
      <c r="R50" s="20">
        <f t="shared" si="114"/>
        <v>38</v>
      </c>
      <c r="S50" s="20" t="str">
        <f t="shared" si="119"/>
        <v/>
      </c>
      <c r="T50" s="2">
        <f t="shared" ca="1" si="116"/>
        <v>0</v>
      </c>
      <c r="U50" s="2">
        <f t="shared" ca="1" si="116"/>
        <v>0</v>
      </c>
      <c r="V50" s="300">
        <f t="shared" si="120"/>
        <v>0.01</v>
      </c>
      <c r="W50" s="8">
        <f t="shared" si="121"/>
        <v>0</v>
      </c>
      <c r="X50" s="10">
        <f t="shared" ca="1" si="122"/>
        <v>1.0000000000000009E-2</v>
      </c>
      <c r="Y50" s="10">
        <f t="shared" ca="1" si="123"/>
        <v>0</v>
      </c>
      <c r="Z50" s="8">
        <f t="shared" ca="1" si="142"/>
        <v>0</v>
      </c>
      <c r="AA50" s="8">
        <f ca="1">+SUM(Z50:Z$124)</f>
        <v>0</v>
      </c>
      <c r="AB50" s="8">
        <f t="shared" ca="1" si="124"/>
        <v>0</v>
      </c>
      <c r="AC50" s="209">
        <f ca="1">+SUM(AB50:AB$124)*SSSM</f>
        <v>0</v>
      </c>
      <c r="AD50" s="209">
        <f t="shared" si="143"/>
        <v>0</v>
      </c>
      <c r="AE50" s="92">
        <f t="shared" ca="1" si="125"/>
        <v>0</v>
      </c>
      <c r="AF50" s="92">
        <f t="shared" ca="1" si="126"/>
        <v>0</v>
      </c>
      <c r="AG50" s="8">
        <f t="shared" ca="1" si="127"/>
        <v>0</v>
      </c>
      <c r="AH50" s="5">
        <f ca="1">+SUM(AG50:AG$124)</f>
        <v>0</v>
      </c>
      <c r="AI50" s="70">
        <f t="shared" ca="1" si="128"/>
        <v>0</v>
      </c>
      <c r="AJ50" s="208">
        <f ca="1">+SUM(AB50:AB$124)*SS50J</f>
        <v>0</v>
      </c>
      <c r="AK50" s="5">
        <f t="shared" ca="1" si="144"/>
        <v>38279.587989023006</v>
      </c>
      <c r="AL50" s="2">
        <f t="shared" ca="1" si="57"/>
        <v>0</v>
      </c>
      <c r="AM50" s="131">
        <f t="shared" ca="1" si="84"/>
        <v>16434.678810651909</v>
      </c>
      <c r="AN50" s="129">
        <f t="shared" ca="1" si="145"/>
        <v>0</v>
      </c>
      <c r="AO50" s="129">
        <f ca="1">SUM(AN50:AN$124)*SSa</f>
        <v>0</v>
      </c>
      <c r="AP50" s="70">
        <f t="shared" ca="1" si="146"/>
        <v>38279.587989023006</v>
      </c>
      <c r="AQ50" s="2">
        <f t="shared" ca="1" si="58"/>
        <v>0</v>
      </c>
      <c r="AR50" s="127">
        <f t="shared" ca="1" si="147"/>
        <v>0</v>
      </c>
      <c r="AS50" s="127">
        <f ca="1">SUM(AR50:AR$124)*SSb</f>
        <v>0</v>
      </c>
      <c r="AT50" s="70">
        <f t="shared" ca="1" si="148"/>
        <v>38279.587989023006</v>
      </c>
      <c r="AU50" s="2">
        <f t="shared" ca="1" si="59"/>
        <v>0</v>
      </c>
      <c r="AV50" s="268">
        <f t="shared" ca="1" si="149"/>
        <v>0</v>
      </c>
      <c r="AW50" s="131">
        <f ca="1">SUM(AV50:AV$124)*SSc</f>
        <v>0</v>
      </c>
      <c r="AX50" s="70">
        <f t="shared" ca="1" si="150"/>
        <v>38279.587989023006</v>
      </c>
      <c r="AY50" s="2">
        <f t="shared" ca="1" si="60"/>
        <v>0</v>
      </c>
      <c r="AZ50" s="268">
        <f t="shared" ca="1" si="151"/>
        <v>0</v>
      </c>
      <c r="BA50" s="129">
        <f ca="1">SUM(AZ50:AZ$124)*SSd</f>
        <v>0</v>
      </c>
      <c r="BB50" s="70">
        <f t="shared" ca="1" si="152"/>
        <v>38279.587989023006</v>
      </c>
      <c r="BC50" s="257">
        <f t="shared" ca="1" si="61"/>
        <v>0</v>
      </c>
      <c r="BD50" s="268">
        <f t="shared" ca="1" si="153"/>
        <v>0</v>
      </c>
      <c r="BE50" s="131">
        <f ca="1">SUM(BD50:BD$124)*SSe</f>
        <v>0</v>
      </c>
      <c r="BF50" s="70">
        <f t="shared" ca="1" si="154"/>
        <v>38279.587989023006</v>
      </c>
      <c r="BG50" s="2">
        <f t="shared" ca="1" si="62"/>
        <v>0</v>
      </c>
      <c r="BH50" s="131">
        <f t="shared" ca="1" si="155"/>
        <v>0</v>
      </c>
      <c r="BI50" s="2">
        <f ca="1">SUM(BH50:BH$124)*SSf</f>
        <v>0</v>
      </c>
      <c r="BJ50" s="70">
        <f t="shared" ca="1" si="156"/>
        <v>38279.587989023006</v>
      </c>
      <c r="BK50" s="2">
        <f t="shared" ca="1" si="63"/>
        <v>0</v>
      </c>
      <c r="BL50" s="131">
        <f t="shared" ca="1" si="157"/>
        <v>0</v>
      </c>
      <c r="BM50" s="131">
        <f ca="1">SUM(BL50:BL$124)*SSg</f>
        <v>0</v>
      </c>
      <c r="BN50" s="70">
        <f t="shared" ca="1" si="158"/>
        <v>38279.587989023006</v>
      </c>
      <c r="BO50" s="2">
        <f t="shared" ca="1" si="64"/>
        <v>0</v>
      </c>
      <c r="BP50" s="131">
        <f t="shared" ca="1" si="159"/>
        <v>0</v>
      </c>
      <c r="BQ50" s="131">
        <f ca="1">SUM(BP50:BP$124)*SSh</f>
        <v>0</v>
      </c>
      <c r="BR50" s="70">
        <f t="shared" ca="1" si="160"/>
        <v>38279.587989023006</v>
      </c>
      <c r="BS50" s="2">
        <f t="shared" ca="1" si="129"/>
        <v>0</v>
      </c>
      <c r="BT50" s="131">
        <f t="shared" ca="1" si="161"/>
        <v>0</v>
      </c>
      <c r="BU50" s="131">
        <f ca="1">SUM(BT50:BT$124)*SSi</f>
        <v>0</v>
      </c>
      <c r="BV50" s="70">
        <f t="shared" ca="1" si="162"/>
        <v>38279.587989023006</v>
      </c>
      <c r="BW50" s="2">
        <f t="shared" ca="1" si="66"/>
        <v>0</v>
      </c>
      <c r="BX50" s="131">
        <f t="shared" ca="1" si="163"/>
        <v>0</v>
      </c>
      <c r="BY50" s="131">
        <f ca="1">SUM(BX50:BX$124)*SSj</f>
        <v>0</v>
      </c>
      <c r="BZ50" s="70">
        <f t="shared" ca="1" si="164"/>
        <v>38279.587989023006</v>
      </c>
      <c r="CA50" s="2">
        <f t="shared" ca="1" si="67"/>
        <v>0</v>
      </c>
      <c r="CB50" s="131">
        <f t="shared" ca="1" si="165"/>
        <v>0</v>
      </c>
      <c r="CC50" s="131">
        <f ca="1">SUM(CB50:CB$124)*SSk</f>
        <v>0</v>
      </c>
      <c r="CD50" s="8">
        <f t="shared" ca="1" si="166"/>
        <v>38279.587989023006</v>
      </c>
      <c r="CE50" s="2">
        <f t="shared" ca="1" si="68"/>
        <v>0</v>
      </c>
      <c r="CF50" s="131">
        <f t="shared" ca="1" si="167"/>
        <v>0</v>
      </c>
      <c r="CG50" s="131">
        <f ca="1">SUM(CF50:CF$124)*SSl</f>
        <v>0</v>
      </c>
      <c r="CH50" s="155">
        <f t="shared" si="108"/>
        <v>0.01</v>
      </c>
      <c r="CI50" s="155">
        <f t="shared" ca="1" si="109"/>
        <v>0</v>
      </c>
      <c r="CJ50" s="155">
        <f t="shared" ca="1" si="110"/>
        <v>0</v>
      </c>
      <c r="CK50" s="155">
        <f ca="1">유해지!CY50</f>
        <v>0</v>
      </c>
      <c r="CL50" s="529">
        <f t="shared" ca="1" si="130"/>
        <v>0</v>
      </c>
      <c r="CM50" s="155">
        <f t="shared" ca="1" si="111"/>
        <v>0</v>
      </c>
      <c r="CN50" s="155">
        <f ca="1">SUM(CM50:$CM$125)</f>
        <v>0</v>
      </c>
      <c r="CO50" s="101">
        <f t="shared" ca="1" si="112"/>
        <v>0</v>
      </c>
      <c r="CP50" s="154">
        <f t="shared" ca="1" si="131"/>
        <v>0</v>
      </c>
      <c r="CQ50" s="154">
        <f t="shared" ca="1" si="132"/>
        <v>0</v>
      </c>
      <c r="CR50" s="32">
        <f t="shared" ca="1" si="133"/>
        <v>0</v>
      </c>
      <c r="CS50" s="32">
        <f t="shared" ca="1" si="134"/>
        <v>0</v>
      </c>
      <c r="CT50" s="32">
        <f t="shared" ca="1" si="135"/>
        <v>0</v>
      </c>
      <c r="CU50" s="32">
        <f t="shared" ca="1" si="136"/>
        <v>0</v>
      </c>
      <c r="CV50" s="32">
        <f t="shared" si="137"/>
        <v>0</v>
      </c>
      <c r="CW50" s="32">
        <f t="shared" ca="1" si="138"/>
        <v>0</v>
      </c>
      <c r="CX50" s="259">
        <f ca="1">IF(R50&lt;m,0,ROUND(IF($R50&gt;nB,0,GPB*mB*mmB*유해지!CY50),roundB))</f>
        <v>0</v>
      </c>
      <c r="CY50" s="262">
        <f t="shared" ca="1" si="139"/>
        <v>0</v>
      </c>
      <c r="CZ50" s="259" t="e">
        <f t="shared" ca="1" si="140"/>
        <v>#DIV/0!</v>
      </c>
      <c r="DA50" s="31">
        <f t="shared" si="141"/>
        <v>5</v>
      </c>
    </row>
    <row r="51" spans="2:105">
      <c r="G51" s="53"/>
      <c r="H51" s="54" t="s">
        <v>34</v>
      </c>
      <c r="I51" s="16">
        <f ca="1">+I50-I52</f>
        <v>0</v>
      </c>
      <c r="J51" s="29">
        <f t="shared" ca="1" si="168"/>
        <v>0</v>
      </c>
      <c r="K51" s="16"/>
      <c r="N51" s="5">
        <f t="shared" si="113"/>
        <v>39</v>
      </c>
      <c r="O51" s="2">
        <f t="shared" ca="1" si="117"/>
        <v>0.41988527975403206</v>
      </c>
      <c r="P51" s="2">
        <f t="shared" ca="1" si="118"/>
        <v>0.41523981718303687</v>
      </c>
      <c r="Q51" s="91"/>
      <c r="R51" s="20">
        <f t="shared" si="114"/>
        <v>39</v>
      </c>
      <c r="S51" s="20" t="str">
        <f t="shared" si="119"/>
        <v/>
      </c>
      <c r="T51" s="2">
        <f t="shared" ca="1" si="116"/>
        <v>0</v>
      </c>
      <c r="U51" s="2">
        <f t="shared" ca="1" si="116"/>
        <v>0</v>
      </c>
      <c r="V51" s="300">
        <f t="shared" si="120"/>
        <v>0.01</v>
      </c>
      <c r="W51" s="8">
        <f t="shared" si="121"/>
        <v>0</v>
      </c>
      <c r="X51" s="10">
        <f t="shared" ca="1" si="122"/>
        <v>1.0000000000000009E-2</v>
      </c>
      <c r="Y51" s="10">
        <f t="shared" ca="1" si="123"/>
        <v>0</v>
      </c>
      <c r="Z51" s="8">
        <f t="shared" ca="1" si="142"/>
        <v>0</v>
      </c>
      <c r="AA51" s="8">
        <f ca="1">+SUM(Z51:Z$124)</f>
        <v>0</v>
      </c>
      <c r="AB51" s="8">
        <f t="shared" ca="1" si="124"/>
        <v>0</v>
      </c>
      <c r="AC51" s="209">
        <f ca="1">+SUM(AB51:AB$124)*SSSM</f>
        <v>0</v>
      </c>
      <c r="AD51" s="209">
        <f t="shared" si="143"/>
        <v>0</v>
      </c>
      <c r="AE51" s="92">
        <f t="shared" ca="1" si="125"/>
        <v>0</v>
      </c>
      <c r="AF51" s="92">
        <f t="shared" ca="1" si="126"/>
        <v>0</v>
      </c>
      <c r="AG51" s="8">
        <f t="shared" ca="1" si="127"/>
        <v>0</v>
      </c>
      <c r="AH51" s="5">
        <f ca="1">+SUM(AG51:AG$124)</f>
        <v>0</v>
      </c>
      <c r="AI51" s="70">
        <f t="shared" ca="1" si="128"/>
        <v>0</v>
      </c>
      <c r="AJ51" s="208">
        <f ca="1">+SUM(AB51:AB$124)*SS50J</f>
        <v>0</v>
      </c>
      <c r="AK51" s="5">
        <f t="shared" ca="1" si="144"/>
        <v>37896.792109132773</v>
      </c>
      <c r="AL51" s="2">
        <f t="shared" ca="1" si="57"/>
        <v>0</v>
      </c>
      <c r="AM51" s="131">
        <f t="shared" ca="1" si="84"/>
        <v>15912.305156523609</v>
      </c>
      <c r="AN51" s="129">
        <f t="shared" ca="1" si="145"/>
        <v>0</v>
      </c>
      <c r="AO51" s="129">
        <f ca="1">SUM(AN51:AN$124)*SSa</f>
        <v>0</v>
      </c>
      <c r="AP51" s="70">
        <f t="shared" ca="1" si="146"/>
        <v>37896.792109132773</v>
      </c>
      <c r="AQ51" s="2">
        <f t="shared" ca="1" si="58"/>
        <v>0</v>
      </c>
      <c r="AR51" s="127">
        <f t="shared" ca="1" si="147"/>
        <v>0</v>
      </c>
      <c r="AS51" s="127">
        <f ca="1">SUM(AR51:AR$124)*SSb</f>
        <v>0</v>
      </c>
      <c r="AT51" s="70">
        <f t="shared" ca="1" si="148"/>
        <v>37896.792109132773</v>
      </c>
      <c r="AU51" s="2">
        <f t="shared" ca="1" si="59"/>
        <v>0</v>
      </c>
      <c r="AV51" s="268">
        <f t="shared" ca="1" si="149"/>
        <v>0</v>
      </c>
      <c r="AW51" s="131">
        <f ca="1">SUM(AV51:AV$124)*SSc</f>
        <v>0</v>
      </c>
      <c r="AX51" s="70">
        <f t="shared" ca="1" si="150"/>
        <v>37896.792109132773</v>
      </c>
      <c r="AY51" s="2">
        <f t="shared" ca="1" si="60"/>
        <v>0</v>
      </c>
      <c r="AZ51" s="268">
        <f t="shared" ca="1" si="151"/>
        <v>0</v>
      </c>
      <c r="BA51" s="129">
        <f ca="1">SUM(AZ51:AZ$124)*SSd</f>
        <v>0</v>
      </c>
      <c r="BB51" s="70">
        <f t="shared" ca="1" si="152"/>
        <v>37896.792109132773</v>
      </c>
      <c r="BC51" s="257">
        <f t="shared" ca="1" si="61"/>
        <v>0</v>
      </c>
      <c r="BD51" s="268">
        <f t="shared" ca="1" si="153"/>
        <v>0</v>
      </c>
      <c r="BE51" s="131">
        <f ca="1">SUM(BD51:BD$124)*SSe</f>
        <v>0</v>
      </c>
      <c r="BF51" s="70">
        <f t="shared" ca="1" si="154"/>
        <v>37896.792109132773</v>
      </c>
      <c r="BG51" s="2">
        <f t="shared" ca="1" si="62"/>
        <v>0</v>
      </c>
      <c r="BH51" s="131">
        <f t="shared" ca="1" si="155"/>
        <v>0</v>
      </c>
      <c r="BI51" s="2">
        <f ca="1">SUM(BH51:BH$124)*SSf</f>
        <v>0</v>
      </c>
      <c r="BJ51" s="70">
        <f t="shared" ca="1" si="156"/>
        <v>37896.792109132773</v>
      </c>
      <c r="BK51" s="2">
        <f t="shared" ca="1" si="63"/>
        <v>0</v>
      </c>
      <c r="BL51" s="131">
        <f t="shared" ca="1" si="157"/>
        <v>0</v>
      </c>
      <c r="BM51" s="131">
        <f ca="1">SUM(BL51:BL$124)*SSg</f>
        <v>0</v>
      </c>
      <c r="BN51" s="70">
        <f t="shared" ca="1" si="158"/>
        <v>37896.792109132773</v>
      </c>
      <c r="BO51" s="2">
        <f t="shared" ca="1" si="64"/>
        <v>0</v>
      </c>
      <c r="BP51" s="131">
        <f t="shared" ca="1" si="159"/>
        <v>0</v>
      </c>
      <c r="BQ51" s="131">
        <f ca="1">SUM(BP51:BP$124)*SSh</f>
        <v>0</v>
      </c>
      <c r="BR51" s="70">
        <f t="shared" ca="1" si="160"/>
        <v>37896.792109132773</v>
      </c>
      <c r="BS51" s="2">
        <f t="shared" ca="1" si="129"/>
        <v>0</v>
      </c>
      <c r="BT51" s="131">
        <f t="shared" ca="1" si="161"/>
        <v>0</v>
      </c>
      <c r="BU51" s="131">
        <f ca="1">SUM(BT51:BT$124)*SSi</f>
        <v>0</v>
      </c>
      <c r="BV51" s="70">
        <f t="shared" ca="1" si="162"/>
        <v>37896.792109132773</v>
      </c>
      <c r="BW51" s="2">
        <f t="shared" ca="1" si="66"/>
        <v>0</v>
      </c>
      <c r="BX51" s="131">
        <f t="shared" ca="1" si="163"/>
        <v>0</v>
      </c>
      <c r="BY51" s="131">
        <f ca="1">SUM(BX51:BX$124)*SSj</f>
        <v>0</v>
      </c>
      <c r="BZ51" s="70">
        <f t="shared" ca="1" si="164"/>
        <v>37896.792109132773</v>
      </c>
      <c r="CA51" s="2">
        <f t="shared" ca="1" si="67"/>
        <v>0</v>
      </c>
      <c r="CB51" s="131">
        <f t="shared" ca="1" si="165"/>
        <v>0</v>
      </c>
      <c r="CC51" s="131">
        <f ca="1">SUM(CB51:CB$124)*SSk</f>
        <v>0</v>
      </c>
      <c r="CD51" s="8">
        <f t="shared" ca="1" si="166"/>
        <v>37896.792109132773</v>
      </c>
      <c r="CE51" s="2">
        <f t="shared" ca="1" si="68"/>
        <v>0</v>
      </c>
      <c r="CF51" s="131">
        <f t="shared" ca="1" si="167"/>
        <v>0</v>
      </c>
      <c r="CG51" s="131">
        <f ca="1">SUM(CF51:CF$124)*SSl</f>
        <v>0</v>
      </c>
      <c r="CH51" s="155">
        <f t="shared" si="108"/>
        <v>0.01</v>
      </c>
      <c r="CI51" s="155">
        <f t="shared" ca="1" si="109"/>
        <v>0</v>
      </c>
      <c r="CJ51" s="155">
        <f t="shared" ca="1" si="110"/>
        <v>0</v>
      </c>
      <c r="CK51" s="155">
        <f ca="1">유해지!CY51</f>
        <v>0</v>
      </c>
      <c r="CL51" s="529">
        <f t="shared" ca="1" si="130"/>
        <v>0</v>
      </c>
      <c r="CM51" s="155">
        <f t="shared" ca="1" si="111"/>
        <v>0</v>
      </c>
      <c r="CN51" s="155">
        <f ca="1">SUM(CM51:$CM$125)</f>
        <v>0</v>
      </c>
      <c r="CO51" s="101">
        <f t="shared" ca="1" si="112"/>
        <v>0</v>
      </c>
      <c r="CP51" s="154">
        <f t="shared" ca="1" si="131"/>
        <v>0</v>
      </c>
      <c r="CQ51" s="154">
        <f t="shared" ca="1" si="132"/>
        <v>0</v>
      </c>
      <c r="CR51" s="32">
        <f t="shared" ca="1" si="133"/>
        <v>0</v>
      </c>
      <c r="CS51" s="32">
        <f t="shared" ca="1" si="134"/>
        <v>0</v>
      </c>
      <c r="CT51" s="32">
        <f t="shared" ca="1" si="135"/>
        <v>0</v>
      </c>
      <c r="CU51" s="32">
        <f t="shared" ca="1" si="136"/>
        <v>0</v>
      </c>
      <c r="CV51" s="32">
        <f t="shared" si="137"/>
        <v>0</v>
      </c>
      <c r="CW51" s="32">
        <f t="shared" ca="1" si="138"/>
        <v>0</v>
      </c>
      <c r="CX51" s="259">
        <f ca="1">IF(R51&lt;m,0,ROUND(IF($R51&gt;nB,0,GPB*mB*mmB*유해지!CY51),roundB))</f>
        <v>0</v>
      </c>
      <c r="CY51" s="262">
        <f t="shared" ca="1" si="139"/>
        <v>0</v>
      </c>
      <c r="CZ51" s="259" t="e">
        <f t="shared" ca="1" si="140"/>
        <v>#DIV/0!</v>
      </c>
      <c r="DA51" s="31">
        <f t="shared" si="141"/>
        <v>5</v>
      </c>
    </row>
    <row r="52" spans="2:105">
      <c r="G52" s="55"/>
      <c r="H52" s="56" t="s">
        <v>35</v>
      </c>
      <c r="I52" s="25">
        <f ca="1">+I50</f>
        <v>1</v>
      </c>
      <c r="J52" s="30">
        <f t="shared" ca="1" si="168"/>
        <v>0.16666666666666666</v>
      </c>
      <c r="N52" s="5">
        <f t="shared" si="113"/>
        <v>40</v>
      </c>
      <c r="O52" s="2">
        <f t="shared" ca="1" si="117"/>
        <v>0.41064575037069156</v>
      </c>
      <c r="P52" s="2">
        <f t="shared" ca="1" si="118"/>
        <v>0.40610251069245662</v>
      </c>
      <c r="Q52" s="91"/>
      <c r="R52" s="20">
        <f t="shared" si="114"/>
        <v>40</v>
      </c>
      <c r="S52" s="20" t="str">
        <f t="shared" si="119"/>
        <v/>
      </c>
      <c r="T52" s="2">
        <f t="shared" ref="T52:U71" ca="1" si="169">IFERROR(VLOOKUP($S52,qx_table,MATCH(T$11,qx_title,0)+sexB),0)</f>
        <v>0</v>
      </c>
      <c r="U52" s="2">
        <f t="shared" ca="1" si="169"/>
        <v>0</v>
      </c>
      <c r="V52" s="300">
        <f t="shared" si="120"/>
        <v>0.01</v>
      </c>
      <c r="W52" s="8">
        <f t="shared" si="121"/>
        <v>0</v>
      </c>
      <c r="X52" s="10">
        <f t="shared" ca="1" si="122"/>
        <v>1.0000000000000009E-2</v>
      </c>
      <c r="Y52" s="10">
        <f t="shared" ca="1" si="123"/>
        <v>0</v>
      </c>
      <c r="Z52" s="8">
        <f t="shared" ca="1" si="142"/>
        <v>0</v>
      </c>
      <c r="AA52" s="8">
        <f ca="1">+SUM(Z52:Z$124)</f>
        <v>0</v>
      </c>
      <c r="AB52" s="8">
        <f t="shared" ca="1" si="124"/>
        <v>0</v>
      </c>
      <c r="AC52" s="209">
        <f ca="1">+SUM(AB52:AB$124)*SSSM</f>
        <v>0</v>
      </c>
      <c r="AD52" s="209">
        <f t="shared" si="143"/>
        <v>0</v>
      </c>
      <c r="AE52" s="92">
        <f t="shared" ca="1" si="125"/>
        <v>0</v>
      </c>
      <c r="AF52" s="92">
        <f t="shared" ca="1" si="126"/>
        <v>0</v>
      </c>
      <c r="AG52" s="8">
        <f t="shared" ca="1" si="127"/>
        <v>0</v>
      </c>
      <c r="AH52" s="5">
        <f ca="1">+SUM(AG52:AG$124)</f>
        <v>0</v>
      </c>
      <c r="AI52" s="70">
        <f t="shared" ca="1" si="128"/>
        <v>0</v>
      </c>
      <c r="AJ52" s="208">
        <f ca="1">+SUM(AB52:AB$124)*SS50J</f>
        <v>0</v>
      </c>
      <c r="AK52" s="5">
        <f t="shared" ca="1" si="144"/>
        <v>37517.824188041443</v>
      </c>
      <c r="AL52" s="2">
        <f t="shared" ca="1" si="57"/>
        <v>0</v>
      </c>
      <c r="AM52" s="131">
        <f t="shared" ca="1" si="84"/>
        <v>15406.53506597396</v>
      </c>
      <c r="AN52" s="129">
        <f t="shared" ca="1" si="145"/>
        <v>0</v>
      </c>
      <c r="AO52" s="129">
        <f ca="1">SUM(AN52:AN$124)*SSa</f>
        <v>0</v>
      </c>
      <c r="AP52" s="70">
        <f t="shared" ca="1" si="146"/>
        <v>37517.824188041443</v>
      </c>
      <c r="AQ52" s="2">
        <f t="shared" ca="1" si="58"/>
        <v>0</v>
      </c>
      <c r="AR52" s="127">
        <f t="shared" ca="1" si="147"/>
        <v>0</v>
      </c>
      <c r="AS52" s="127">
        <f ca="1">SUM(AR52:AR$124)*SSb</f>
        <v>0</v>
      </c>
      <c r="AT52" s="70">
        <f t="shared" ca="1" si="148"/>
        <v>37517.824188041443</v>
      </c>
      <c r="AU52" s="2">
        <f t="shared" ca="1" si="59"/>
        <v>0</v>
      </c>
      <c r="AV52" s="268">
        <f t="shared" ca="1" si="149"/>
        <v>0</v>
      </c>
      <c r="AW52" s="131">
        <f ca="1">SUM(AV52:AV$124)*SSc</f>
        <v>0</v>
      </c>
      <c r="AX52" s="70">
        <f t="shared" ca="1" si="150"/>
        <v>37517.824188041443</v>
      </c>
      <c r="AY52" s="2">
        <f t="shared" ca="1" si="60"/>
        <v>0</v>
      </c>
      <c r="AZ52" s="268">
        <f t="shared" ca="1" si="151"/>
        <v>0</v>
      </c>
      <c r="BA52" s="129">
        <f ca="1">SUM(AZ52:AZ$124)*SSd</f>
        <v>0</v>
      </c>
      <c r="BB52" s="70">
        <f t="shared" ca="1" si="152"/>
        <v>37517.824188041443</v>
      </c>
      <c r="BC52" s="257">
        <f t="shared" ca="1" si="61"/>
        <v>0</v>
      </c>
      <c r="BD52" s="268">
        <f t="shared" ca="1" si="153"/>
        <v>0</v>
      </c>
      <c r="BE52" s="131">
        <f ca="1">SUM(BD52:BD$124)*SSe</f>
        <v>0</v>
      </c>
      <c r="BF52" s="70">
        <f t="shared" ca="1" si="154"/>
        <v>37517.824188041443</v>
      </c>
      <c r="BG52" s="2">
        <f t="shared" ca="1" si="62"/>
        <v>0</v>
      </c>
      <c r="BH52" s="131">
        <f t="shared" ca="1" si="155"/>
        <v>0</v>
      </c>
      <c r="BI52" s="2">
        <f ca="1">SUM(BH52:BH$124)*SSf</f>
        <v>0</v>
      </c>
      <c r="BJ52" s="70">
        <f t="shared" ca="1" si="156"/>
        <v>37517.824188041443</v>
      </c>
      <c r="BK52" s="2">
        <f t="shared" ca="1" si="63"/>
        <v>0</v>
      </c>
      <c r="BL52" s="131">
        <f t="shared" ca="1" si="157"/>
        <v>0</v>
      </c>
      <c r="BM52" s="131">
        <f ca="1">SUM(BL52:BL$124)*SSg</f>
        <v>0</v>
      </c>
      <c r="BN52" s="70">
        <f t="shared" ca="1" si="158"/>
        <v>37517.824188041443</v>
      </c>
      <c r="BO52" s="2">
        <f t="shared" ca="1" si="64"/>
        <v>0</v>
      </c>
      <c r="BP52" s="131">
        <f t="shared" ca="1" si="159"/>
        <v>0</v>
      </c>
      <c r="BQ52" s="131">
        <f ca="1">SUM(BP52:BP$124)*SSh</f>
        <v>0</v>
      </c>
      <c r="BR52" s="70">
        <f t="shared" ca="1" si="160"/>
        <v>37517.824188041443</v>
      </c>
      <c r="BS52" s="2">
        <f t="shared" ca="1" si="129"/>
        <v>0</v>
      </c>
      <c r="BT52" s="131">
        <f t="shared" ca="1" si="161"/>
        <v>0</v>
      </c>
      <c r="BU52" s="131">
        <f ca="1">SUM(BT52:BT$124)*SSi</f>
        <v>0</v>
      </c>
      <c r="BV52" s="70">
        <f t="shared" ca="1" si="162"/>
        <v>37517.824188041443</v>
      </c>
      <c r="BW52" s="2">
        <f t="shared" ca="1" si="66"/>
        <v>0</v>
      </c>
      <c r="BX52" s="131">
        <f t="shared" ca="1" si="163"/>
        <v>0</v>
      </c>
      <c r="BY52" s="131">
        <f ca="1">SUM(BX52:BX$124)*SSj</f>
        <v>0</v>
      </c>
      <c r="BZ52" s="70">
        <f t="shared" ca="1" si="164"/>
        <v>37517.824188041443</v>
      </c>
      <c r="CA52" s="2">
        <f t="shared" ca="1" si="67"/>
        <v>0</v>
      </c>
      <c r="CB52" s="131">
        <f t="shared" ca="1" si="165"/>
        <v>0</v>
      </c>
      <c r="CC52" s="131">
        <f ca="1">SUM(CB52:CB$124)*SSk</f>
        <v>0</v>
      </c>
      <c r="CD52" s="8">
        <f t="shared" ca="1" si="166"/>
        <v>37517.824188041443</v>
      </c>
      <c r="CE52" s="2">
        <f t="shared" ca="1" si="68"/>
        <v>0</v>
      </c>
      <c r="CF52" s="131">
        <f t="shared" ca="1" si="167"/>
        <v>0</v>
      </c>
      <c r="CG52" s="131">
        <f ca="1">SUM(CF52:CF$124)*SSl</f>
        <v>0</v>
      </c>
      <c r="CH52" s="155">
        <f t="shared" si="108"/>
        <v>0.01</v>
      </c>
      <c r="CI52" s="155">
        <f t="shared" ca="1" si="109"/>
        <v>0</v>
      </c>
      <c r="CJ52" s="155">
        <f t="shared" ca="1" si="110"/>
        <v>0</v>
      </c>
      <c r="CK52" s="155">
        <f ca="1">유해지!CY52</f>
        <v>0</v>
      </c>
      <c r="CL52" s="529">
        <f t="shared" ca="1" si="130"/>
        <v>0</v>
      </c>
      <c r="CM52" s="155">
        <f t="shared" ca="1" si="111"/>
        <v>0</v>
      </c>
      <c r="CN52" s="155">
        <f ca="1">SUM(CM52:$CM$125)</f>
        <v>0</v>
      </c>
      <c r="CO52" s="101">
        <f t="shared" ca="1" si="112"/>
        <v>0</v>
      </c>
      <c r="CP52" s="154">
        <f t="shared" ca="1" si="131"/>
        <v>0</v>
      </c>
      <c r="CQ52" s="154">
        <f t="shared" ca="1" si="132"/>
        <v>0</v>
      </c>
      <c r="CR52" s="32">
        <f t="shared" ca="1" si="133"/>
        <v>0</v>
      </c>
      <c r="CS52" s="32">
        <f t="shared" ca="1" si="134"/>
        <v>0</v>
      </c>
      <c r="CT52" s="32">
        <f t="shared" ca="1" si="135"/>
        <v>0</v>
      </c>
      <c r="CU52" s="32">
        <f t="shared" ca="1" si="136"/>
        <v>0</v>
      </c>
      <c r="CV52" s="32">
        <f t="shared" si="137"/>
        <v>0</v>
      </c>
      <c r="CW52" s="32">
        <f t="shared" ca="1" si="138"/>
        <v>0</v>
      </c>
      <c r="CX52" s="259">
        <f ca="1">IF(R52&lt;m,0,ROUND(IF($R52&gt;nB,0,GPB*mB*mmB*유해지!CY52),roundB))</f>
        <v>0</v>
      </c>
      <c r="CY52" s="262">
        <f t="shared" ca="1" si="139"/>
        <v>0</v>
      </c>
      <c r="CZ52" s="259" t="e">
        <f t="shared" ca="1" si="140"/>
        <v>#DIV/0!</v>
      </c>
      <c r="DA52" s="31">
        <f t="shared" si="141"/>
        <v>5</v>
      </c>
    </row>
    <row r="53" spans="2:105">
      <c r="G53" s="74" t="s">
        <v>33</v>
      </c>
      <c r="H53" s="75"/>
      <c r="I53" s="25">
        <f ca="1">+SUM(I54:I56)</f>
        <v>5</v>
      </c>
      <c r="J53" s="30">
        <f t="shared" ca="1" si="168"/>
        <v>0.83333333333333337</v>
      </c>
      <c r="N53" s="5">
        <f t="shared" si="113"/>
        <v>41</v>
      </c>
      <c r="O53" s="2">
        <f t="shared" ca="1" si="117"/>
        <v>0.40160953581485731</v>
      </c>
      <c r="P53" s="2">
        <f t="shared" ca="1" si="118"/>
        <v>0.39716626962587448</v>
      </c>
      <c r="Q53" s="91"/>
      <c r="R53" s="20">
        <f t="shared" si="114"/>
        <v>41</v>
      </c>
      <c r="S53" s="20" t="str">
        <f t="shared" si="119"/>
        <v/>
      </c>
      <c r="T53" s="2">
        <f t="shared" ca="1" si="169"/>
        <v>0</v>
      </c>
      <c r="U53" s="2">
        <f t="shared" ca="1" si="169"/>
        <v>0</v>
      </c>
      <c r="V53" s="300">
        <f t="shared" si="120"/>
        <v>0.01</v>
      </c>
      <c r="W53" s="8">
        <f t="shared" si="121"/>
        <v>0</v>
      </c>
      <c r="X53" s="10">
        <f t="shared" ca="1" si="122"/>
        <v>1.0000000000000009E-2</v>
      </c>
      <c r="Y53" s="10">
        <f t="shared" ca="1" si="123"/>
        <v>0</v>
      </c>
      <c r="Z53" s="8">
        <f t="shared" ca="1" si="142"/>
        <v>0</v>
      </c>
      <c r="AA53" s="8">
        <f ca="1">+SUM(Z53:Z$124)</f>
        <v>0</v>
      </c>
      <c r="AB53" s="8">
        <f t="shared" ca="1" si="124"/>
        <v>0</v>
      </c>
      <c r="AC53" s="209">
        <f ca="1">+SUM(AB53:AB$124)*SSSM</f>
        <v>0</v>
      </c>
      <c r="AD53" s="209">
        <f t="shared" si="143"/>
        <v>0</v>
      </c>
      <c r="AE53" s="92">
        <f t="shared" ca="1" si="125"/>
        <v>0</v>
      </c>
      <c r="AF53" s="92">
        <f t="shared" ca="1" si="126"/>
        <v>0</v>
      </c>
      <c r="AG53" s="8">
        <f t="shared" ca="1" si="127"/>
        <v>0</v>
      </c>
      <c r="AH53" s="5">
        <f ca="1">+SUM(AG53:AG$124)</f>
        <v>0</v>
      </c>
      <c r="AI53" s="70">
        <f t="shared" ca="1" si="128"/>
        <v>0</v>
      </c>
      <c r="AJ53" s="208">
        <f ca="1">+SUM(AB53:AB$124)*SS50J</f>
        <v>0</v>
      </c>
      <c r="AK53" s="5">
        <f t="shared" ca="1" si="144"/>
        <v>37142.645946161028</v>
      </c>
      <c r="AL53" s="2">
        <f t="shared" ca="1" si="57"/>
        <v>0</v>
      </c>
      <c r="AM53" s="131">
        <f t="shared" ca="1" si="84"/>
        <v>14916.840797373323</v>
      </c>
      <c r="AN53" s="129">
        <f t="shared" ca="1" si="145"/>
        <v>0</v>
      </c>
      <c r="AO53" s="129">
        <f ca="1">SUM(AN53:AN$124)*SSa</f>
        <v>0</v>
      </c>
      <c r="AP53" s="70">
        <f t="shared" ca="1" si="146"/>
        <v>37142.645946161028</v>
      </c>
      <c r="AQ53" s="2">
        <f t="shared" ca="1" si="58"/>
        <v>0</v>
      </c>
      <c r="AR53" s="127">
        <f t="shared" ca="1" si="147"/>
        <v>0</v>
      </c>
      <c r="AS53" s="127">
        <f ca="1">SUM(AR53:AR$124)*SSb</f>
        <v>0</v>
      </c>
      <c r="AT53" s="70">
        <f t="shared" ca="1" si="148"/>
        <v>37142.645946161028</v>
      </c>
      <c r="AU53" s="2">
        <f t="shared" ca="1" si="59"/>
        <v>0</v>
      </c>
      <c r="AV53" s="268">
        <f t="shared" ca="1" si="149"/>
        <v>0</v>
      </c>
      <c r="AW53" s="131">
        <f ca="1">SUM(AV53:AV$124)*SSc</f>
        <v>0</v>
      </c>
      <c r="AX53" s="70">
        <f t="shared" ca="1" si="150"/>
        <v>37142.645946161028</v>
      </c>
      <c r="AY53" s="2">
        <f t="shared" ca="1" si="60"/>
        <v>0</v>
      </c>
      <c r="AZ53" s="268">
        <f t="shared" ca="1" si="151"/>
        <v>0</v>
      </c>
      <c r="BA53" s="129">
        <f ca="1">SUM(AZ53:AZ$124)*SSd</f>
        <v>0</v>
      </c>
      <c r="BB53" s="70">
        <f t="shared" ca="1" si="152"/>
        <v>37142.645946161028</v>
      </c>
      <c r="BC53" s="257">
        <f t="shared" ca="1" si="61"/>
        <v>0</v>
      </c>
      <c r="BD53" s="268">
        <f t="shared" ca="1" si="153"/>
        <v>0</v>
      </c>
      <c r="BE53" s="131">
        <f ca="1">SUM(BD53:BD$124)*SSe</f>
        <v>0</v>
      </c>
      <c r="BF53" s="70">
        <f t="shared" ca="1" si="154"/>
        <v>37142.645946161028</v>
      </c>
      <c r="BG53" s="2">
        <f t="shared" ca="1" si="62"/>
        <v>0</v>
      </c>
      <c r="BH53" s="131">
        <f t="shared" ca="1" si="155"/>
        <v>0</v>
      </c>
      <c r="BI53" s="2">
        <f ca="1">SUM(BH53:BH$124)*SSf</f>
        <v>0</v>
      </c>
      <c r="BJ53" s="70">
        <f t="shared" ca="1" si="156"/>
        <v>37142.645946161028</v>
      </c>
      <c r="BK53" s="2">
        <f t="shared" ca="1" si="63"/>
        <v>0</v>
      </c>
      <c r="BL53" s="131">
        <f t="shared" ca="1" si="157"/>
        <v>0</v>
      </c>
      <c r="BM53" s="131">
        <f ca="1">SUM(BL53:BL$124)*SSg</f>
        <v>0</v>
      </c>
      <c r="BN53" s="70">
        <f t="shared" ca="1" si="158"/>
        <v>37142.645946161028</v>
      </c>
      <c r="BO53" s="2">
        <f t="shared" ca="1" si="64"/>
        <v>0</v>
      </c>
      <c r="BP53" s="131">
        <f t="shared" ca="1" si="159"/>
        <v>0</v>
      </c>
      <c r="BQ53" s="131">
        <f ca="1">SUM(BP53:BP$124)*SSh</f>
        <v>0</v>
      </c>
      <c r="BR53" s="70">
        <f t="shared" ca="1" si="160"/>
        <v>37142.645946161028</v>
      </c>
      <c r="BS53" s="2">
        <f t="shared" ca="1" si="129"/>
        <v>0</v>
      </c>
      <c r="BT53" s="131">
        <f t="shared" ca="1" si="161"/>
        <v>0</v>
      </c>
      <c r="BU53" s="131">
        <f ca="1">SUM(BT53:BT$124)*SSi</f>
        <v>0</v>
      </c>
      <c r="BV53" s="70">
        <f t="shared" ca="1" si="162"/>
        <v>37142.645946161028</v>
      </c>
      <c r="BW53" s="2">
        <f t="shared" ca="1" si="66"/>
        <v>0</v>
      </c>
      <c r="BX53" s="131">
        <f t="shared" ca="1" si="163"/>
        <v>0</v>
      </c>
      <c r="BY53" s="131">
        <f ca="1">SUM(BX53:BX$124)*SSj</f>
        <v>0</v>
      </c>
      <c r="BZ53" s="70">
        <f t="shared" ca="1" si="164"/>
        <v>37142.645946161028</v>
      </c>
      <c r="CA53" s="2">
        <f t="shared" ca="1" si="67"/>
        <v>0</v>
      </c>
      <c r="CB53" s="131">
        <f t="shared" ca="1" si="165"/>
        <v>0</v>
      </c>
      <c r="CC53" s="131">
        <f ca="1">SUM(CB53:CB$124)*SSk</f>
        <v>0</v>
      </c>
      <c r="CD53" s="8">
        <f t="shared" ca="1" si="166"/>
        <v>37142.645946161028</v>
      </c>
      <c r="CE53" s="2">
        <f t="shared" ca="1" si="68"/>
        <v>0</v>
      </c>
      <c r="CF53" s="131">
        <f t="shared" ca="1" si="167"/>
        <v>0</v>
      </c>
      <c r="CG53" s="131">
        <f ca="1">SUM(CF53:CF$124)*SSl</f>
        <v>0</v>
      </c>
      <c r="CH53" s="155">
        <f t="shared" si="108"/>
        <v>0.01</v>
      </c>
      <c r="CI53" s="155">
        <f t="shared" ca="1" si="109"/>
        <v>0</v>
      </c>
      <c r="CJ53" s="155">
        <f t="shared" ca="1" si="110"/>
        <v>0</v>
      </c>
      <c r="CK53" s="155">
        <f ca="1">유해지!CY53</f>
        <v>0</v>
      </c>
      <c r="CL53" s="529">
        <f t="shared" ca="1" si="130"/>
        <v>0</v>
      </c>
      <c r="CM53" s="155">
        <f t="shared" ca="1" si="111"/>
        <v>0</v>
      </c>
      <c r="CN53" s="155">
        <f ca="1">SUM(CM53:$CM$125)</f>
        <v>0</v>
      </c>
      <c r="CO53" s="101">
        <f t="shared" ca="1" si="112"/>
        <v>0</v>
      </c>
      <c r="CP53" s="154">
        <f t="shared" ca="1" si="131"/>
        <v>0</v>
      </c>
      <c r="CQ53" s="154">
        <f t="shared" ca="1" si="132"/>
        <v>0</v>
      </c>
      <c r="CR53" s="32">
        <f t="shared" ca="1" si="133"/>
        <v>0</v>
      </c>
      <c r="CS53" s="32">
        <f t="shared" ca="1" si="134"/>
        <v>0</v>
      </c>
      <c r="CT53" s="32">
        <f t="shared" ca="1" si="135"/>
        <v>0</v>
      </c>
      <c r="CU53" s="32">
        <f t="shared" ca="1" si="136"/>
        <v>0</v>
      </c>
      <c r="CV53" s="32">
        <f t="shared" si="137"/>
        <v>0</v>
      </c>
      <c r="CW53" s="32">
        <f t="shared" ca="1" si="138"/>
        <v>0</v>
      </c>
      <c r="CX53" s="259">
        <f ca="1">IF(R53&lt;m,0,ROUND(IF($R53&gt;nB,0,GPB*mB*mmB*유해지!CY53),roundB))</f>
        <v>0</v>
      </c>
      <c r="CY53" s="262">
        <f t="shared" ca="1" si="139"/>
        <v>0</v>
      </c>
      <c r="CZ53" s="259" t="e">
        <f t="shared" ca="1" si="140"/>
        <v>#DIV/0!</v>
      </c>
      <c r="DA53" s="31">
        <f t="shared" si="141"/>
        <v>5</v>
      </c>
    </row>
    <row r="54" spans="2:105">
      <c r="G54" s="53"/>
      <c r="H54" s="54" t="s">
        <v>36</v>
      </c>
      <c r="I54" s="16">
        <f ca="1">+(ALP_GP*12*$H$29+C22+C21*C28)*H8*SB/(12*H20)</f>
        <v>0</v>
      </c>
      <c r="J54" s="29">
        <f t="shared" ca="1" si="168"/>
        <v>0</v>
      </c>
      <c r="N54" s="5">
        <f t="shared" si="113"/>
        <v>42</v>
      </c>
      <c r="O54" s="2">
        <f t="shared" ca="1" si="117"/>
        <v>0.39277216216611965</v>
      </c>
      <c r="P54" s="2">
        <f t="shared" ca="1" si="118"/>
        <v>0.3884266695607575</v>
      </c>
      <c r="Q54" s="91"/>
      <c r="R54" s="20">
        <f t="shared" si="114"/>
        <v>42</v>
      </c>
      <c r="S54" s="20" t="str">
        <f t="shared" si="119"/>
        <v/>
      </c>
      <c r="T54" s="2">
        <f t="shared" ca="1" si="169"/>
        <v>0</v>
      </c>
      <c r="U54" s="2">
        <f t="shared" ca="1" si="169"/>
        <v>0</v>
      </c>
      <c r="V54" s="300">
        <f t="shared" si="120"/>
        <v>0.01</v>
      </c>
      <c r="W54" s="8">
        <f t="shared" si="121"/>
        <v>0</v>
      </c>
      <c r="X54" s="10">
        <f t="shared" ca="1" si="122"/>
        <v>1.0000000000000009E-2</v>
      </c>
      <c r="Y54" s="10">
        <f t="shared" ca="1" si="123"/>
        <v>0</v>
      </c>
      <c r="Z54" s="8">
        <f t="shared" ca="1" si="142"/>
        <v>0</v>
      </c>
      <c r="AA54" s="8">
        <f ca="1">+SUM(Z54:Z$124)</f>
        <v>0</v>
      </c>
      <c r="AB54" s="8">
        <f t="shared" ca="1" si="124"/>
        <v>0</v>
      </c>
      <c r="AC54" s="209">
        <f ca="1">+SUM(AB54:AB$124)*SSSM</f>
        <v>0</v>
      </c>
      <c r="AD54" s="209">
        <f t="shared" si="143"/>
        <v>0</v>
      </c>
      <c r="AE54" s="92">
        <f t="shared" ca="1" si="125"/>
        <v>0</v>
      </c>
      <c r="AF54" s="92">
        <f t="shared" ca="1" si="126"/>
        <v>0</v>
      </c>
      <c r="AG54" s="8">
        <f t="shared" ca="1" si="127"/>
        <v>0</v>
      </c>
      <c r="AH54" s="5">
        <f ca="1">+SUM(AG54:AG$124)</f>
        <v>0</v>
      </c>
      <c r="AI54" s="70">
        <f t="shared" ca="1" si="128"/>
        <v>0</v>
      </c>
      <c r="AJ54" s="208">
        <f ca="1">+SUM(AB54:AB$124)*SS50J</f>
        <v>0</v>
      </c>
      <c r="AK54" s="5">
        <f t="shared" ca="1" si="144"/>
        <v>36771.219486699418</v>
      </c>
      <c r="AL54" s="2">
        <f t="shared" ca="1" si="57"/>
        <v>0</v>
      </c>
      <c r="AM54" s="131">
        <f t="shared" ca="1" si="84"/>
        <v>14442.711383275882</v>
      </c>
      <c r="AN54" s="129">
        <f t="shared" ca="1" si="145"/>
        <v>0</v>
      </c>
      <c r="AO54" s="129">
        <f ca="1">SUM(AN54:AN$124)*SSa</f>
        <v>0</v>
      </c>
      <c r="AP54" s="70">
        <f t="shared" ca="1" si="146"/>
        <v>36771.219486699418</v>
      </c>
      <c r="AQ54" s="2">
        <f t="shared" ca="1" si="58"/>
        <v>0</v>
      </c>
      <c r="AR54" s="127">
        <f t="shared" ca="1" si="147"/>
        <v>0</v>
      </c>
      <c r="AS54" s="127">
        <f ca="1">SUM(AR54:AR$124)*SSb</f>
        <v>0</v>
      </c>
      <c r="AT54" s="70">
        <f t="shared" ca="1" si="148"/>
        <v>36771.219486699418</v>
      </c>
      <c r="AU54" s="2">
        <f t="shared" ca="1" si="59"/>
        <v>0</v>
      </c>
      <c r="AV54" s="268">
        <f t="shared" ca="1" si="149"/>
        <v>0</v>
      </c>
      <c r="AW54" s="131">
        <f ca="1">SUM(AV54:AV$124)*SSc</f>
        <v>0</v>
      </c>
      <c r="AX54" s="70">
        <f t="shared" ca="1" si="150"/>
        <v>36771.219486699418</v>
      </c>
      <c r="AY54" s="2">
        <f t="shared" ca="1" si="60"/>
        <v>0</v>
      </c>
      <c r="AZ54" s="268">
        <f t="shared" ca="1" si="151"/>
        <v>0</v>
      </c>
      <c r="BA54" s="129">
        <f ca="1">SUM(AZ54:AZ$124)*SSd</f>
        <v>0</v>
      </c>
      <c r="BB54" s="70">
        <f t="shared" ca="1" si="152"/>
        <v>36771.219486699418</v>
      </c>
      <c r="BC54" s="257">
        <f t="shared" ca="1" si="61"/>
        <v>0</v>
      </c>
      <c r="BD54" s="268">
        <f t="shared" ca="1" si="153"/>
        <v>0</v>
      </c>
      <c r="BE54" s="131">
        <f ca="1">SUM(BD54:BD$124)*SSe</f>
        <v>0</v>
      </c>
      <c r="BF54" s="70">
        <f t="shared" ca="1" si="154"/>
        <v>36771.219486699418</v>
      </c>
      <c r="BG54" s="2">
        <f t="shared" ca="1" si="62"/>
        <v>0</v>
      </c>
      <c r="BH54" s="131">
        <f t="shared" ca="1" si="155"/>
        <v>0</v>
      </c>
      <c r="BI54" s="2">
        <f ca="1">SUM(BH54:BH$124)*SSf</f>
        <v>0</v>
      </c>
      <c r="BJ54" s="70">
        <f t="shared" ca="1" si="156"/>
        <v>36771.219486699418</v>
      </c>
      <c r="BK54" s="2">
        <f t="shared" ca="1" si="63"/>
        <v>0</v>
      </c>
      <c r="BL54" s="131">
        <f t="shared" ca="1" si="157"/>
        <v>0</v>
      </c>
      <c r="BM54" s="131">
        <f ca="1">SUM(BL54:BL$124)*SSg</f>
        <v>0</v>
      </c>
      <c r="BN54" s="70">
        <f t="shared" ca="1" si="158"/>
        <v>36771.219486699418</v>
      </c>
      <c r="BO54" s="2">
        <f t="shared" ca="1" si="64"/>
        <v>0</v>
      </c>
      <c r="BP54" s="131">
        <f t="shared" ca="1" si="159"/>
        <v>0</v>
      </c>
      <c r="BQ54" s="131">
        <f ca="1">SUM(BP54:BP$124)*SSh</f>
        <v>0</v>
      </c>
      <c r="BR54" s="70">
        <f t="shared" ca="1" si="160"/>
        <v>36771.219486699418</v>
      </c>
      <c r="BS54" s="2">
        <f t="shared" ca="1" si="129"/>
        <v>0</v>
      </c>
      <c r="BT54" s="131">
        <f t="shared" ca="1" si="161"/>
        <v>0</v>
      </c>
      <c r="BU54" s="131">
        <f ca="1">SUM(BT54:BT$124)*SSi</f>
        <v>0</v>
      </c>
      <c r="BV54" s="70">
        <f t="shared" ca="1" si="162"/>
        <v>36771.219486699418</v>
      </c>
      <c r="BW54" s="2">
        <f t="shared" ca="1" si="66"/>
        <v>0</v>
      </c>
      <c r="BX54" s="131">
        <f t="shared" ca="1" si="163"/>
        <v>0</v>
      </c>
      <c r="BY54" s="131">
        <f ca="1">SUM(BX54:BX$124)*SSj</f>
        <v>0</v>
      </c>
      <c r="BZ54" s="70">
        <f t="shared" ca="1" si="164"/>
        <v>36771.219486699418</v>
      </c>
      <c r="CA54" s="2">
        <f t="shared" ca="1" si="67"/>
        <v>0</v>
      </c>
      <c r="CB54" s="131">
        <f t="shared" ca="1" si="165"/>
        <v>0</v>
      </c>
      <c r="CC54" s="131">
        <f ca="1">SUM(CB54:CB$124)*SSk</f>
        <v>0</v>
      </c>
      <c r="CD54" s="8">
        <f t="shared" ca="1" si="166"/>
        <v>36771.219486699418</v>
      </c>
      <c r="CE54" s="2">
        <f t="shared" ca="1" si="68"/>
        <v>0</v>
      </c>
      <c r="CF54" s="131">
        <f t="shared" ca="1" si="167"/>
        <v>0</v>
      </c>
      <c r="CG54" s="131">
        <f ca="1">SUM(CF54:CF$124)*SSl</f>
        <v>0</v>
      </c>
      <c r="CH54" s="155">
        <f t="shared" si="108"/>
        <v>0.01</v>
      </c>
      <c r="CI54" s="155">
        <f t="shared" ca="1" si="109"/>
        <v>0</v>
      </c>
      <c r="CJ54" s="155">
        <f t="shared" ca="1" si="110"/>
        <v>0</v>
      </c>
      <c r="CK54" s="155">
        <f ca="1">유해지!CY54</f>
        <v>0</v>
      </c>
      <c r="CL54" s="529">
        <f t="shared" ca="1" si="130"/>
        <v>0</v>
      </c>
      <c r="CM54" s="155">
        <f t="shared" ca="1" si="111"/>
        <v>0</v>
      </c>
      <c r="CN54" s="155">
        <f ca="1">SUM(CM54:$CM$125)</f>
        <v>0</v>
      </c>
      <c r="CO54" s="101">
        <f t="shared" ca="1" si="112"/>
        <v>0</v>
      </c>
      <c r="CP54" s="154">
        <f t="shared" ca="1" si="131"/>
        <v>0</v>
      </c>
      <c r="CQ54" s="154">
        <f t="shared" ca="1" si="132"/>
        <v>0</v>
      </c>
      <c r="CR54" s="32">
        <f t="shared" ca="1" si="133"/>
        <v>0</v>
      </c>
      <c r="CS54" s="32">
        <f t="shared" ca="1" si="134"/>
        <v>0</v>
      </c>
      <c r="CT54" s="32">
        <f t="shared" ca="1" si="135"/>
        <v>0</v>
      </c>
      <c r="CU54" s="32">
        <f t="shared" ca="1" si="136"/>
        <v>0</v>
      </c>
      <c r="CV54" s="32">
        <f t="shared" si="137"/>
        <v>0</v>
      </c>
      <c r="CW54" s="32">
        <f t="shared" ca="1" si="138"/>
        <v>0</v>
      </c>
      <c r="CX54" s="259">
        <f ca="1">IF(R54&lt;m,0,ROUND(IF($R54&gt;nB,0,GPB*mB*mmB*유해지!CY54),roundB))</f>
        <v>0</v>
      </c>
      <c r="CY54" s="262">
        <f t="shared" ca="1" si="139"/>
        <v>0</v>
      </c>
      <c r="CZ54" s="259" t="e">
        <f t="shared" ca="1" si="140"/>
        <v>#DIV/0!</v>
      </c>
      <c r="DA54" s="31">
        <f t="shared" si="141"/>
        <v>5</v>
      </c>
    </row>
    <row r="55" spans="2:105">
      <c r="G55" s="53"/>
      <c r="H55" s="54" t="s">
        <v>37</v>
      </c>
      <c r="I55" s="16">
        <f ca="1">+I49-I50-I54-I56</f>
        <v>4.8499999999999996</v>
      </c>
      <c r="J55" s="29">
        <f t="shared" ca="1" si="168"/>
        <v>0.80833333333333324</v>
      </c>
      <c r="N55" s="5">
        <f t="shared" si="113"/>
        <v>43</v>
      </c>
      <c r="O55" s="2">
        <f t="shared" ca="1" si="117"/>
        <v>0.38412925395219527</v>
      </c>
      <c r="P55" s="2">
        <f t="shared" ca="1" si="118"/>
        <v>0.37987938343350358</v>
      </c>
      <c r="Q55" s="91"/>
      <c r="R55" s="20">
        <f t="shared" si="114"/>
        <v>43</v>
      </c>
      <c r="S55" s="20" t="str">
        <f t="shared" si="119"/>
        <v/>
      </c>
      <c r="T55" s="2">
        <f t="shared" ca="1" si="169"/>
        <v>0</v>
      </c>
      <c r="U55" s="2">
        <f t="shared" ca="1" si="169"/>
        <v>0</v>
      </c>
      <c r="V55" s="300">
        <f t="shared" si="120"/>
        <v>0.01</v>
      </c>
      <c r="W55" s="8">
        <f t="shared" si="121"/>
        <v>0</v>
      </c>
      <c r="X55" s="10">
        <f t="shared" ca="1" si="122"/>
        <v>1.0000000000000009E-2</v>
      </c>
      <c r="Y55" s="10">
        <f t="shared" ca="1" si="123"/>
        <v>0</v>
      </c>
      <c r="Z55" s="8">
        <f t="shared" ca="1" si="142"/>
        <v>0</v>
      </c>
      <c r="AA55" s="8">
        <f ca="1">+SUM(Z55:Z$124)</f>
        <v>0</v>
      </c>
      <c r="AB55" s="8">
        <f t="shared" ca="1" si="124"/>
        <v>0</v>
      </c>
      <c r="AC55" s="209">
        <f ca="1">+SUM(AB55:AB$124)*SSSM</f>
        <v>0</v>
      </c>
      <c r="AD55" s="209">
        <f t="shared" si="143"/>
        <v>0</v>
      </c>
      <c r="AE55" s="92">
        <f t="shared" ca="1" si="125"/>
        <v>0</v>
      </c>
      <c r="AF55" s="92">
        <f t="shared" ca="1" si="126"/>
        <v>0</v>
      </c>
      <c r="AG55" s="8">
        <f t="shared" ca="1" si="127"/>
        <v>0</v>
      </c>
      <c r="AH55" s="5">
        <f ca="1">+SUM(AG55:AG$124)</f>
        <v>0</v>
      </c>
      <c r="AI55" s="70">
        <f t="shared" ca="1" si="128"/>
        <v>0</v>
      </c>
      <c r="AJ55" s="208">
        <f ca="1">+SUM(AB55:AB$124)*SS50J</f>
        <v>0</v>
      </c>
      <c r="AK55" s="5">
        <f t="shared" ca="1" si="144"/>
        <v>36403.507291832422</v>
      </c>
      <c r="AL55" s="2">
        <f t="shared" ca="1" si="57"/>
        <v>0</v>
      </c>
      <c r="AM55" s="131">
        <f t="shared" ca="1" si="84"/>
        <v>13983.65209725489</v>
      </c>
      <c r="AN55" s="129">
        <f t="shared" ca="1" si="145"/>
        <v>0</v>
      </c>
      <c r="AO55" s="129">
        <f ca="1">SUM(AN55:AN$124)*SSa</f>
        <v>0</v>
      </c>
      <c r="AP55" s="70">
        <f t="shared" ca="1" si="146"/>
        <v>36403.507291832422</v>
      </c>
      <c r="AQ55" s="2">
        <f t="shared" ca="1" si="58"/>
        <v>0</v>
      </c>
      <c r="AR55" s="127">
        <f t="shared" ca="1" si="147"/>
        <v>0</v>
      </c>
      <c r="AS55" s="127">
        <f ca="1">SUM(AR55:AR$124)*SSb</f>
        <v>0</v>
      </c>
      <c r="AT55" s="70">
        <f t="shared" ca="1" si="148"/>
        <v>36403.507291832422</v>
      </c>
      <c r="AU55" s="2">
        <f t="shared" ca="1" si="59"/>
        <v>0</v>
      </c>
      <c r="AV55" s="268">
        <f t="shared" ca="1" si="149"/>
        <v>0</v>
      </c>
      <c r="AW55" s="131">
        <f ca="1">SUM(AV55:AV$124)*SSc</f>
        <v>0</v>
      </c>
      <c r="AX55" s="70">
        <f t="shared" ca="1" si="150"/>
        <v>36403.507291832422</v>
      </c>
      <c r="AY55" s="2">
        <f t="shared" ca="1" si="60"/>
        <v>0</v>
      </c>
      <c r="AZ55" s="268">
        <f t="shared" ca="1" si="151"/>
        <v>0</v>
      </c>
      <c r="BA55" s="129">
        <f ca="1">SUM(AZ55:AZ$124)*SSd</f>
        <v>0</v>
      </c>
      <c r="BB55" s="70">
        <f t="shared" ca="1" si="152"/>
        <v>36403.507291832422</v>
      </c>
      <c r="BC55" s="257">
        <f t="shared" ca="1" si="61"/>
        <v>0</v>
      </c>
      <c r="BD55" s="268">
        <f t="shared" ca="1" si="153"/>
        <v>0</v>
      </c>
      <c r="BE55" s="131">
        <f ca="1">SUM(BD55:BD$124)*SSe</f>
        <v>0</v>
      </c>
      <c r="BF55" s="70">
        <f t="shared" ca="1" si="154"/>
        <v>36403.507291832422</v>
      </c>
      <c r="BG55" s="2">
        <f t="shared" ca="1" si="62"/>
        <v>0</v>
      </c>
      <c r="BH55" s="131">
        <f t="shared" ca="1" si="155"/>
        <v>0</v>
      </c>
      <c r="BI55" s="2">
        <f ca="1">SUM(BH55:BH$124)*SSf</f>
        <v>0</v>
      </c>
      <c r="BJ55" s="70">
        <f t="shared" ca="1" si="156"/>
        <v>36403.507291832422</v>
      </c>
      <c r="BK55" s="2">
        <f t="shared" ca="1" si="63"/>
        <v>0</v>
      </c>
      <c r="BL55" s="131">
        <f t="shared" ca="1" si="157"/>
        <v>0</v>
      </c>
      <c r="BM55" s="131">
        <f ca="1">SUM(BL55:BL$124)*SSg</f>
        <v>0</v>
      </c>
      <c r="BN55" s="70">
        <f t="shared" ca="1" si="158"/>
        <v>36403.507291832422</v>
      </c>
      <c r="BO55" s="2">
        <f t="shared" ca="1" si="64"/>
        <v>0</v>
      </c>
      <c r="BP55" s="131">
        <f t="shared" ca="1" si="159"/>
        <v>0</v>
      </c>
      <c r="BQ55" s="131">
        <f ca="1">SUM(BP55:BP$124)*SSh</f>
        <v>0</v>
      </c>
      <c r="BR55" s="70">
        <f t="shared" ca="1" si="160"/>
        <v>36403.507291832422</v>
      </c>
      <c r="BS55" s="2">
        <f t="shared" ca="1" si="129"/>
        <v>0</v>
      </c>
      <c r="BT55" s="131">
        <f t="shared" ca="1" si="161"/>
        <v>0</v>
      </c>
      <c r="BU55" s="131">
        <f ca="1">SUM(BT55:BT$124)*SSi</f>
        <v>0</v>
      </c>
      <c r="BV55" s="70">
        <f t="shared" ca="1" si="162"/>
        <v>36403.507291832422</v>
      </c>
      <c r="BW55" s="2">
        <f t="shared" ca="1" si="66"/>
        <v>0</v>
      </c>
      <c r="BX55" s="131">
        <f t="shared" ca="1" si="163"/>
        <v>0</v>
      </c>
      <c r="BY55" s="131">
        <f ca="1">SUM(BX55:BX$124)*SSj</f>
        <v>0</v>
      </c>
      <c r="BZ55" s="70">
        <f t="shared" ca="1" si="164"/>
        <v>36403.507291832422</v>
      </c>
      <c r="CA55" s="2">
        <f t="shared" ca="1" si="67"/>
        <v>0</v>
      </c>
      <c r="CB55" s="131">
        <f t="shared" ca="1" si="165"/>
        <v>0</v>
      </c>
      <c r="CC55" s="131">
        <f ca="1">SUM(CB55:CB$124)*SSk</f>
        <v>0</v>
      </c>
      <c r="CD55" s="8">
        <f t="shared" ca="1" si="166"/>
        <v>36403.507291832422</v>
      </c>
      <c r="CE55" s="2">
        <f t="shared" ca="1" si="68"/>
        <v>0</v>
      </c>
      <c r="CF55" s="131">
        <f t="shared" ca="1" si="167"/>
        <v>0</v>
      </c>
      <c r="CG55" s="131">
        <f ca="1">SUM(CF55:CF$124)*SSl</f>
        <v>0</v>
      </c>
      <c r="CH55" s="155">
        <f t="shared" si="108"/>
        <v>0.01</v>
      </c>
      <c r="CI55" s="155">
        <f t="shared" ca="1" si="109"/>
        <v>0</v>
      </c>
      <c r="CJ55" s="155">
        <f t="shared" ca="1" si="110"/>
        <v>0</v>
      </c>
      <c r="CK55" s="155">
        <f ca="1">유해지!CY55</f>
        <v>0</v>
      </c>
      <c r="CL55" s="529">
        <f t="shared" ca="1" si="130"/>
        <v>0</v>
      </c>
      <c r="CM55" s="155">
        <f t="shared" ca="1" si="111"/>
        <v>0</v>
      </c>
      <c r="CN55" s="155">
        <f ca="1">SUM(CM55:$CM$125)</f>
        <v>0</v>
      </c>
      <c r="CO55" s="101">
        <f t="shared" ca="1" si="112"/>
        <v>0</v>
      </c>
      <c r="CP55" s="154">
        <f t="shared" ca="1" si="131"/>
        <v>0</v>
      </c>
      <c r="CQ55" s="154">
        <f t="shared" ca="1" si="132"/>
        <v>0</v>
      </c>
      <c r="CR55" s="32">
        <f t="shared" ca="1" si="133"/>
        <v>0</v>
      </c>
      <c r="CS55" s="32">
        <f t="shared" ca="1" si="134"/>
        <v>0</v>
      </c>
      <c r="CT55" s="32">
        <f t="shared" ca="1" si="135"/>
        <v>0</v>
      </c>
      <c r="CU55" s="32">
        <f t="shared" ca="1" si="136"/>
        <v>0</v>
      </c>
      <c r="CV55" s="32">
        <f t="shared" si="137"/>
        <v>0</v>
      </c>
      <c r="CW55" s="32">
        <f t="shared" ca="1" si="138"/>
        <v>0</v>
      </c>
      <c r="CX55" s="259">
        <f ca="1">IF(R55&lt;m,0,ROUND(IF($R55&gt;nB,0,GPB*mB*mmB*유해지!CY55),roundB))</f>
        <v>0</v>
      </c>
      <c r="CY55" s="262">
        <f t="shared" ca="1" si="139"/>
        <v>0</v>
      </c>
      <c r="CZ55" s="259" t="e">
        <f t="shared" ca="1" si="140"/>
        <v>#DIV/0!</v>
      </c>
      <c r="DA55" s="31">
        <f t="shared" si="141"/>
        <v>5</v>
      </c>
    </row>
    <row r="56" spans="2:105">
      <c r="G56" s="57"/>
      <c r="H56" s="58" t="s">
        <v>38</v>
      </c>
      <c r="I56" s="25">
        <f ca="1">+GAM*H29*SB</f>
        <v>0.15</v>
      </c>
      <c r="J56" s="30">
        <f t="shared" ca="1" si="168"/>
        <v>2.4999999999999998E-2</v>
      </c>
      <c r="N56" s="5">
        <f t="shared" si="113"/>
        <v>44</v>
      </c>
      <c r="O56" s="2">
        <f t="shared" ca="1" si="117"/>
        <v>0.37567653198258705</v>
      </c>
      <c r="P56" s="2">
        <f t="shared" ca="1" si="118"/>
        <v>0.37152017939706955</v>
      </c>
      <c r="Q56" s="91"/>
      <c r="R56" s="20">
        <f t="shared" si="114"/>
        <v>44</v>
      </c>
      <c r="S56" s="20" t="str">
        <f t="shared" si="119"/>
        <v/>
      </c>
      <c r="T56" s="2">
        <f t="shared" ca="1" si="169"/>
        <v>0</v>
      </c>
      <c r="U56" s="2">
        <f t="shared" ca="1" si="169"/>
        <v>0</v>
      </c>
      <c r="V56" s="300">
        <f t="shared" si="120"/>
        <v>0.01</v>
      </c>
      <c r="W56" s="8">
        <f t="shared" si="121"/>
        <v>0</v>
      </c>
      <c r="X56" s="10">
        <f t="shared" ca="1" si="122"/>
        <v>1.0000000000000009E-2</v>
      </c>
      <c r="Y56" s="10">
        <f t="shared" ca="1" si="123"/>
        <v>0</v>
      </c>
      <c r="Z56" s="8">
        <f t="shared" ca="1" si="142"/>
        <v>0</v>
      </c>
      <c r="AA56" s="8">
        <f ca="1">+SUM(Z56:Z$124)</f>
        <v>0</v>
      </c>
      <c r="AB56" s="8">
        <f t="shared" ca="1" si="124"/>
        <v>0</v>
      </c>
      <c r="AC56" s="209">
        <f ca="1">+SUM(AB56:AB$124)*SSSM</f>
        <v>0</v>
      </c>
      <c r="AD56" s="209">
        <f t="shared" si="143"/>
        <v>0</v>
      </c>
      <c r="AE56" s="92">
        <f t="shared" ca="1" si="125"/>
        <v>0</v>
      </c>
      <c r="AF56" s="92">
        <f t="shared" ca="1" si="126"/>
        <v>0</v>
      </c>
      <c r="AG56" s="8">
        <f t="shared" ca="1" si="127"/>
        <v>0</v>
      </c>
      <c r="AH56" s="5">
        <f ca="1">+SUM(AG56:AG$124)</f>
        <v>0</v>
      </c>
      <c r="AI56" s="70">
        <f t="shared" ca="1" si="128"/>
        <v>0</v>
      </c>
      <c r="AJ56" s="208">
        <f ca="1">+SUM(AB56:AB$124)*SS50J</f>
        <v>0</v>
      </c>
      <c r="AK56" s="5">
        <f t="shared" ca="1" si="144"/>
        <v>36039.472218914096</v>
      </c>
      <c r="AL56" s="2">
        <f t="shared" ca="1" si="57"/>
        <v>0</v>
      </c>
      <c r="AM56" s="131">
        <f t="shared" ca="1" si="84"/>
        <v>13539.183937684438</v>
      </c>
      <c r="AN56" s="129">
        <f t="shared" ca="1" si="145"/>
        <v>0</v>
      </c>
      <c r="AO56" s="129">
        <f ca="1">SUM(AN56:AN$124)*SSa</f>
        <v>0</v>
      </c>
      <c r="AP56" s="70">
        <f t="shared" ca="1" si="146"/>
        <v>36039.472218914096</v>
      </c>
      <c r="AQ56" s="2">
        <f t="shared" ca="1" si="58"/>
        <v>0</v>
      </c>
      <c r="AR56" s="127">
        <f t="shared" ca="1" si="147"/>
        <v>0</v>
      </c>
      <c r="AS56" s="127">
        <f ca="1">SUM(AR56:AR$124)*SSb</f>
        <v>0</v>
      </c>
      <c r="AT56" s="70">
        <f t="shared" ca="1" si="148"/>
        <v>36039.472218914096</v>
      </c>
      <c r="AU56" s="2">
        <f t="shared" ca="1" si="59"/>
        <v>0</v>
      </c>
      <c r="AV56" s="268">
        <f t="shared" ca="1" si="149"/>
        <v>0</v>
      </c>
      <c r="AW56" s="131">
        <f ca="1">SUM(AV56:AV$124)*SSc</f>
        <v>0</v>
      </c>
      <c r="AX56" s="70">
        <f t="shared" ca="1" si="150"/>
        <v>36039.472218914096</v>
      </c>
      <c r="AY56" s="2">
        <f t="shared" ca="1" si="60"/>
        <v>0</v>
      </c>
      <c r="AZ56" s="268">
        <f t="shared" ca="1" si="151"/>
        <v>0</v>
      </c>
      <c r="BA56" s="129">
        <f ca="1">SUM(AZ56:AZ$124)*SSd</f>
        <v>0</v>
      </c>
      <c r="BB56" s="70">
        <f t="shared" ca="1" si="152"/>
        <v>36039.472218914096</v>
      </c>
      <c r="BC56" s="257">
        <f t="shared" ca="1" si="61"/>
        <v>0</v>
      </c>
      <c r="BD56" s="268">
        <f t="shared" ca="1" si="153"/>
        <v>0</v>
      </c>
      <c r="BE56" s="131">
        <f ca="1">SUM(BD56:BD$124)*SSe</f>
        <v>0</v>
      </c>
      <c r="BF56" s="70">
        <f t="shared" ca="1" si="154"/>
        <v>36039.472218914096</v>
      </c>
      <c r="BG56" s="2">
        <f t="shared" ca="1" si="62"/>
        <v>0</v>
      </c>
      <c r="BH56" s="131">
        <f t="shared" ca="1" si="155"/>
        <v>0</v>
      </c>
      <c r="BI56" s="2">
        <f ca="1">SUM(BH56:BH$124)*SSf</f>
        <v>0</v>
      </c>
      <c r="BJ56" s="70">
        <f t="shared" ca="1" si="156"/>
        <v>36039.472218914096</v>
      </c>
      <c r="BK56" s="2">
        <f t="shared" ca="1" si="63"/>
        <v>0</v>
      </c>
      <c r="BL56" s="131">
        <f t="shared" ca="1" si="157"/>
        <v>0</v>
      </c>
      <c r="BM56" s="131">
        <f ca="1">SUM(BL56:BL$124)*SSg</f>
        <v>0</v>
      </c>
      <c r="BN56" s="70">
        <f t="shared" ca="1" si="158"/>
        <v>36039.472218914096</v>
      </c>
      <c r="BO56" s="2">
        <f t="shared" ca="1" si="64"/>
        <v>0</v>
      </c>
      <c r="BP56" s="131">
        <f t="shared" ca="1" si="159"/>
        <v>0</v>
      </c>
      <c r="BQ56" s="131">
        <f ca="1">SUM(BP56:BP$124)*SSh</f>
        <v>0</v>
      </c>
      <c r="BR56" s="70">
        <f t="shared" ca="1" si="160"/>
        <v>36039.472218914096</v>
      </c>
      <c r="BS56" s="2">
        <f t="shared" ca="1" si="129"/>
        <v>0</v>
      </c>
      <c r="BT56" s="131">
        <f t="shared" ca="1" si="161"/>
        <v>0</v>
      </c>
      <c r="BU56" s="131">
        <f ca="1">SUM(BT56:BT$124)*SSi</f>
        <v>0</v>
      </c>
      <c r="BV56" s="70">
        <f t="shared" ca="1" si="162"/>
        <v>36039.472218914096</v>
      </c>
      <c r="BW56" s="2">
        <f t="shared" ca="1" si="66"/>
        <v>0</v>
      </c>
      <c r="BX56" s="131">
        <f t="shared" ca="1" si="163"/>
        <v>0</v>
      </c>
      <c r="BY56" s="131">
        <f ca="1">SUM(BX56:BX$124)*SSj</f>
        <v>0</v>
      </c>
      <c r="BZ56" s="70">
        <f t="shared" ca="1" si="164"/>
        <v>36039.472218914096</v>
      </c>
      <c r="CA56" s="2">
        <f t="shared" ca="1" si="67"/>
        <v>0</v>
      </c>
      <c r="CB56" s="131">
        <f t="shared" ca="1" si="165"/>
        <v>0</v>
      </c>
      <c r="CC56" s="131">
        <f ca="1">SUM(CB56:CB$124)*SSk</f>
        <v>0</v>
      </c>
      <c r="CD56" s="8">
        <f t="shared" ca="1" si="166"/>
        <v>36039.472218914096</v>
      </c>
      <c r="CE56" s="2">
        <f t="shared" ca="1" si="68"/>
        <v>0</v>
      </c>
      <c r="CF56" s="131">
        <f t="shared" ca="1" si="167"/>
        <v>0</v>
      </c>
      <c r="CG56" s="131">
        <f ca="1">SUM(CF56:CF$124)*SSl</f>
        <v>0</v>
      </c>
      <c r="CH56" s="155">
        <f t="shared" si="108"/>
        <v>0.01</v>
      </c>
      <c r="CI56" s="155">
        <f t="shared" ca="1" si="109"/>
        <v>0</v>
      </c>
      <c r="CJ56" s="155">
        <f t="shared" ca="1" si="110"/>
        <v>0</v>
      </c>
      <c r="CK56" s="155">
        <f ca="1">유해지!CY56</f>
        <v>0</v>
      </c>
      <c r="CL56" s="529">
        <f t="shared" ca="1" si="130"/>
        <v>0</v>
      </c>
      <c r="CM56" s="155">
        <f t="shared" ca="1" si="111"/>
        <v>0</v>
      </c>
      <c r="CN56" s="155">
        <f ca="1">SUM(CM56:$CM$125)</f>
        <v>0</v>
      </c>
      <c r="CO56" s="101">
        <f t="shared" ca="1" si="112"/>
        <v>0</v>
      </c>
      <c r="CP56" s="154">
        <f t="shared" ca="1" si="131"/>
        <v>0</v>
      </c>
      <c r="CQ56" s="154">
        <f t="shared" ca="1" si="132"/>
        <v>0</v>
      </c>
      <c r="CR56" s="32">
        <f t="shared" ca="1" si="133"/>
        <v>0</v>
      </c>
      <c r="CS56" s="32">
        <f t="shared" ca="1" si="134"/>
        <v>0</v>
      </c>
      <c r="CT56" s="32">
        <f t="shared" ca="1" si="135"/>
        <v>0</v>
      </c>
      <c r="CU56" s="32">
        <f t="shared" ca="1" si="136"/>
        <v>0</v>
      </c>
      <c r="CV56" s="32">
        <f t="shared" si="137"/>
        <v>0</v>
      </c>
      <c r="CW56" s="32">
        <f t="shared" ca="1" si="138"/>
        <v>0</v>
      </c>
      <c r="CX56" s="259">
        <f ca="1">IF(R56&lt;m,0,ROUND(IF($R56&gt;nB,0,GPB*mB*mmB*유해지!CY56),roundB))</f>
        <v>0</v>
      </c>
      <c r="CY56" s="262">
        <f t="shared" ca="1" si="139"/>
        <v>0</v>
      </c>
      <c r="CZ56" s="259" t="e">
        <f t="shared" ca="1" si="140"/>
        <v>#DIV/0!</v>
      </c>
      <c r="DA56" s="31">
        <f t="shared" si="141"/>
        <v>5</v>
      </c>
    </row>
    <row r="57" spans="2:105">
      <c r="N57" s="5">
        <f t="shared" si="113"/>
        <v>45</v>
      </c>
      <c r="O57" s="2">
        <f t="shared" ca="1" si="117"/>
        <v>0.36740981122991401</v>
      </c>
      <c r="P57" s="2">
        <f t="shared" ca="1" si="118"/>
        <v>0.36334491872574043</v>
      </c>
      <c r="Q57" s="91"/>
      <c r="R57" s="20">
        <f t="shared" si="114"/>
        <v>45</v>
      </c>
      <c r="S57" s="20" t="str">
        <f t="shared" si="119"/>
        <v/>
      </c>
      <c r="T57" s="2">
        <f t="shared" ca="1" si="169"/>
        <v>0</v>
      </c>
      <c r="U57" s="2">
        <f t="shared" ca="1" si="169"/>
        <v>0</v>
      </c>
      <c r="V57" s="300">
        <f t="shared" si="120"/>
        <v>0.01</v>
      </c>
      <c r="W57" s="8">
        <f t="shared" si="121"/>
        <v>0</v>
      </c>
      <c r="X57" s="10">
        <f t="shared" ca="1" si="122"/>
        <v>1.0000000000000009E-2</v>
      </c>
      <c r="Y57" s="10">
        <f t="shared" ca="1" si="123"/>
        <v>0</v>
      </c>
      <c r="Z57" s="8">
        <f t="shared" ca="1" si="142"/>
        <v>0</v>
      </c>
      <c r="AA57" s="8">
        <f ca="1">+SUM(Z57:Z$124)</f>
        <v>0</v>
      </c>
      <c r="AB57" s="8">
        <f t="shared" ca="1" si="124"/>
        <v>0</v>
      </c>
      <c r="AC57" s="209">
        <f ca="1">+SUM(AB57:AB$124)*SSSM</f>
        <v>0</v>
      </c>
      <c r="AD57" s="209">
        <f t="shared" si="143"/>
        <v>0</v>
      </c>
      <c r="AE57" s="92">
        <f t="shared" ca="1" si="125"/>
        <v>0</v>
      </c>
      <c r="AF57" s="92">
        <f t="shared" ca="1" si="126"/>
        <v>0</v>
      </c>
      <c r="AG57" s="8">
        <f t="shared" ca="1" si="127"/>
        <v>0</v>
      </c>
      <c r="AH57" s="5">
        <f ca="1">+SUM(AG57:AG$124)</f>
        <v>0</v>
      </c>
      <c r="AI57" s="70">
        <f t="shared" ca="1" si="128"/>
        <v>0</v>
      </c>
      <c r="AJ57" s="208">
        <f ca="1">+SUM(AB57:AB$124)*SS50J</f>
        <v>0</v>
      </c>
      <c r="AK57" s="5">
        <f t="shared" ca="1" si="144"/>
        <v>35679.077496724953</v>
      </c>
      <c r="AL57" s="2">
        <f t="shared" ca="1" si="57"/>
        <v>0</v>
      </c>
      <c r="AM57" s="131">
        <f t="shared" ca="1" si="84"/>
        <v>13108.843127929187</v>
      </c>
      <c r="AN57" s="129">
        <f t="shared" ca="1" si="145"/>
        <v>0</v>
      </c>
      <c r="AO57" s="129">
        <f ca="1">SUM(AN57:AN$124)*SSa</f>
        <v>0</v>
      </c>
      <c r="AP57" s="70">
        <f t="shared" ca="1" si="146"/>
        <v>35679.077496724953</v>
      </c>
      <c r="AQ57" s="2">
        <f t="shared" ca="1" si="58"/>
        <v>0</v>
      </c>
      <c r="AR57" s="127">
        <f t="shared" ca="1" si="147"/>
        <v>0</v>
      </c>
      <c r="AS57" s="127">
        <f ca="1">SUM(AR57:AR$124)*SSb</f>
        <v>0</v>
      </c>
      <c r="AT57" s="70">
        <f t="shared" ca="1" si="148"/>
        <v>35679.077496724953</v>
      </c>
      <c r="AU57" s="2">
        <f t="shared" ca="1" si="59"/>
        <v>0</v>
      </c>
      <c r="AV57" s="268">
        <f t="shared" ca="1" si="149"/>
        <v>0</v>
      </c>
      <c r="AW57" s="131">
        <f ca="1">SUM(AV57:AV$124)*SSc</f>
        <v>0</v>
      </c>
      <c r="AX57" s="70">
        <f t="shared" ca="1" si="150"/>
        <v>35679.077496724953</v>
      </c>
      <c r="AY57" s="2">
        <f t="shared" ca="1" si="60"/>
        <v>0</v>
      </c>
      <c r="AZ57" s="268">
        <f t="shared" ca="1" si="151"/>
        <v>0</v>
      </c>
      <c r="BA57" s="129">
        <f ca="1">SUM(AZ57:AZ$124)*SSd</f>
        <v>0</v>
      </c>
      <c r="BB57" s="70">
        <f t="shared" ca="1" si="152"/>
        <v>35679.077496724953</v>
      </c>
      <c r="BC57" s="257">
        <f t="shared" ca="1" si="61"/>
        <v>0</v>
      </c>
      <c r="BD57" s="268">
        <f t="shared" ca="1" si="153"/>
        <v>0</v>
      </c>
      <c r="BE57" s="131">
        <f ca="1">SUM(BD57:BD$124)*SSe</f>
        <v>0</v>
      </c>
      <c r="BF57" s="70">
        <f t="shared" ca="1" si="154"/>
        <v>35679.077496724953</v>
      </c>
      <c r="BG57" s="2">
        <f t="shared" ca="1" si="62"/>
        <v>0</v>
      </c>
      <c r="BH57" s="131">
        <f t="shared" ca="1" si="155"/>
        <v>0</v>
      </c>
      <c r="BI57" s="2">
        <f ca="1">SUM(BH57:BH$124)*SSf</f>
        <v>0</v>
      </c>
      <c r="BJ57" s="70">
        <f t="shared" ca="1" si="156"/>
        <v>35679.077496724953</v>
      </c>
      <c r="BK57" s="2">
        <f t="shared" ca="1" si="63"/>
        <v>0</v>
      </c>
      <c r="BL57" s="131">
        <f t="shared" ca="1" si="157"/>
        <v>0</v>
      </c>
      <c r="BM57" s="131">
        <f ca="1">SUM(BL57:BL$124)*SSg</f>
        <v>0</v>
      </c>
      <c r="BN57" s="70">
        <f t="shared" ca="1" si="158"/>
        <v>35679.077496724953</v>
      </c>
      <c r="BO57" s="2">
        <f t="shared" ca="1" si="64"/>
        <v>0</v>
      </c>
      <c r="BP57" s="131">
        <f t="shared" ca="1" si="159"/>
        <v>0</v>
      </c>
      <c r="BQ57" s="131">
        <f ca="1">SUM(BP57:BP$124)*SSh</f>
        <v>0</v>
      </c>
      <c r="BR57" s="70">
        <f t="shared" ca="1" si="160"/>
        <v>35679.077496724953</v>
      </c>
      <c r="BS57" s="2">
        <f t="shared" ca="1" si="129"/>
        <v>0</v>
      </c>
      <c r="BT57" s="131">
        <f t="shared" ca="1" si="161"/>
        <v>0</v>
      </c>
      <c r="BU57" s="131">
        <f ca="1">SUM(BT57:BT$124)*SSi</f>
        <v>0</v>
      </c>
      <c r="BV57" s="70">
        <f t="shared" ca="1" si="162"/>
        <v>35679.077496724953</v>
      </c>
      <c r="BW57" s="2">
        <f t="shared" ca="1" si="66"/>
        <v>0</v>
      </c>
      <c r="BX57" s="131">
        <f t="shared" ca="1" si="163"/>
        <v>0</v>
      </c>
      <c r="BY57" s="131">
        <f ca="1">SUM(BX57:BX$124)*SSj</f>
        <v>0</v>
      </c>
      <c r="BZ57" s="70">
        <f t="shared" ca="1" si="164"/>
        <v>35679.077496724953</v>
      </c>
      <c r="CA57" s="2">
        <f t="shared" ca="1" si="67"/>
        <v>0</v>
      </c>
      <c r="CB57" s="131">
        <f t="shared" ca="1" si="165"/>
        <v>0</v>
      </c>
      <c r="CC57" s="131">
        <f ca="1">SUM(CB57:CB$124)*SSk</f>
        <v>0</v>
      </c>
      <c r="CD57" s="8">
        <f t="shared" ca="1" si="166"/>
        <v>35679.077496724953</v>
      </c>
      <c r="CE57" s="2">
        <f t="shared" ca="1" si="68"/>
        <v>0</v>
      </c>
      <c r="CF57" s="131">
        <f t="shared" ca="1" si="167"/>
        <v>0</v>
      </c>
      <c r="CG57" s="131">
        <f ca="1">SUM(CF57:CF$124)*SSl</f>
        <v>0</v>
      </c>
      <c r="CH57" s="155">
        <f t="shared" si="108"/>
        <v>0.01</v>
      </c>
      <c r="CI57" s="155">
        <f t="shared" ca="1" si="109"/>
        <v>0</v>
      </c>
      <c r="CJ57" s="155">
        <f t="shared" ca="1" si="110"/>
        <v>0</v>
      </c>
      <c r="CK57" s="155">
        <f ca="1">유해지!CY57</f>
        <v>0</v>
      </c>
      <c r="CL57" s="529">
        <f t="shared" ca="1" si="130"/>
        <v>0</v>
      </c>
      <c r="CM57" s="155">
        <f t="shared" ca="1" si="111"/>
        <v>0</v>
      </c>
      <c r="CN57" s="155">
        <f ca="1">SUM(CM57:$CM$125)</f>
        <v>0</v>
      </c>
      <c r="CO57" s="101">
        <f t="shared" ca="1" si="112"/>
        <v>0</v>
      </c>
      <c r="CP57" s="154">
        <f t="shared" ca="1" si="131"/>
        <v>0</v>
      </c>
      <c r="CQ57" s="154">
        <f t="shared" ca="1" si="132"/>
        <v>0</v>
      </c>
      <c r="CR57" s="32">
        <f t="shared" ca="1" si="133"/>
        <v>0</v>
      </c>
      <c r="CS57" s="32">
        <f t="shared" ca="1" si="134"/>
        <v>0</v>
      </c>
      <c r="CT57" s="32">
        <f t="shared" ca="1" si="135"/>
        <v>0</v>
      </c>
      <c r="CU57" s="32">
        <f t="shared" ca="1" si="136"/>
        <v>0</v>
      </c>
      <c r="CV57" s="32">
        <f t="shared" si="137"/>
        <v>0</v>
      </c>
      <c r="CW57" s="32">
        <f t="shared" ca="1" si="138"/>
        <v>0</v>
      </c>
      <c r="CX57" s="259">
        <f ca="1">IF(R57&lt;m,0,ROUND(IF($R57&gt;nB,0,GPB*mB*mmB*유해지!CY57),roundB))</f>
        <v>0</v>
      </c>
      <c r="CY57" s="262">
        <f t="shared" ca="1" si="139"/>
        <v>0</v>
      </c>
      <c r="CZ57" s="259" t="e">
        <f t="shared" ca="1" si="140"/>
        <v>#DIV/0!</v>
      </c>
      <c r="DA57" s="31">
        <f t="shared" si="141"/>
        <v>5</v>
      </c>
    </row>
    <row r="58" spans="2:105">
      <c r="B58" s="16"/>
      <c r="N58" s="5">
        <f t="shared" si="113"/>
        <v>46</v>
      </c>
      <c r="O58" s="2">
        <f t="shared" ca="1" si="117"/>
        <v>0.35932499875786211</v>
      </c>
      <c r="P58" s="2">
        <f t="shared" ca="1" si="118"/>
        <v>0.3553495537660053</v>
      </c>
      <c r="Q58" s="91"/>
      <c r="R58" s="20">
        <f t="shared" si="114"/>
        <v>46</v>
      </c>
      <c r="S58" s="20" t="str">
        <f t="shared" si="119"/>
        <v/>
      </c>
      <c r="T58" s="2">
        <f t="shared" ca="1" si="169"/>
        <v>0</v>
      </c>
      <c r="U58" s="2">
        <f t="shared" ca="1" si="169"/>
        <v>0</v>
      </c>
      <c r="V58" s="300">
        <f t="shared" si="120"/>
        <v>0.01</v>
      </c>
      <c r="W58" s="8">
        <f t="shared" si="121"/>
        <v>0</v>
      </c>
      <c r="X58" s="10">
        <f t="shared" ca="1" si="122"/>
        <v>1.0000000000000009E-2</v>
      </c>
      <c r="Y58" s="10">
        <f t="shared" ca="1" si="123"/>
        <v>0</v>
      </c>
      <c r="Z58" s="8">
        <f t="shared" ca="1" si="142"/>
        <v>0</v>
      </c>
      <c r="AA58" s="8">
        <f ca="1">+SUM(Z58:Z$124)</f>
        <v>0</v>
      </c>
      <c r="AB58" s="8">
        <f t="shared" ca="1" si="124"/>
        <v>0</v>
      </c>
      <c r="AC58" s="209">
        <f ca="1">+SUM(AB58:AB$124)*SSSM</f>
        <v>0</v>
      </c>
      <c r="AD58" s="209">
        <f t="shared" si="143"/>
        <v>0</v>
      </c>
      <c r="AE58" s="92">
        <f t="shared" ca="1" si="125"/>
        <v>0</v>
      </c>
      <c r="AF58" s="92">
        <f t="shared" ca="1" si="126"/>
        <v>0</v>
      </c>
      <c r="AG58" s="8">
        <f t="shared" ca="1" si="127"/>
        <v>0</v>
      </c>
      <c r="AH58" s="5">
        <f ca="1">+SUM(AG58:AG$124)</f>
        <v>0</v>
      </c>
      <c r="AI58" s="70">
        <f t="shared" ca="1" si="128"/>
        <v>0</v>
      </c>
      <c r="AJ58" s="208">
        <f ca="1">+SUM(AB58:AB$124)*SS50J</f>
        <v>0</v>
      </c>
      <c r="AK58" s="5">
        <f t="shared" ca="1" si="144"/>
        <v>35322.2867217577</v>
      </c>
      <c r="AL58" s="2">
        <f t="shared" ca="1" si="57"/>
        <v>0</v>
      </c>
      <c r="AM58" s="131">
        <f t="shared" ca="1" si="84"/>
        <v>12692.180632420435</v>
      </c>
      <c r="AN58" s="129">
        <f t="shared" ca="1" si="145"/>
        <v>0</v>
      </c>
      <c r="AO58" s="129">
        <f ca="1">SUM(AN58:AN$124)*SSa</f>
        <v>0</v>
      </c>
      <c r="AP58" s="70">
        <f t="shared" ca="1" si="146"/>
        <v>35322.2867217577</v>
      </c>
      <c r="AQ58" s="2">
        <f t="shared" ca="1" si="58"/>
        <v>0</v>
      </c>
      <c r="AR58" s="127">
        <f t="shared" ca="1" si="147"/>
        <v>0</v>
      </c>
      <c r="AS58" s="127">
        <f ca="1">SUM(AR58:AR$124)*SSb</f>
        <v>0</v>
      </c>
      <c r="AT58" s="70">
        <f t="shared" ca="1" si="148"/>
        <v>35322.2867217577</v>
      </c>
      <c r="AU58" s="2">
        <f t="shared" ca="1" si="59"/>
        <v>0</v>
      </c>
      <c r="AV58" s="268">
        <f t="shared" ca="1" si="149"/>
        <v>0</v>
      </c>
      <c r="AW58" s="131">
        <f ca="1">SUM(AV58:AV$124)*SSc</f>
        <v>0</v>
      </c>
      <c r="AX58" s="70">
        <f t="shared" ca="1" si="150"/>
        <v>35322.2867217577</v>
      </c>
      <c r="AY58" s="2">
        <f t="shared" ca="1" si="60"/>
        <v>0</v>
      </c>
      <c r="AZ58" s="268">
        <f t="shared" ca="1" si="151"/>
        <v>0</v>
      </c>
      <c r="BA58" s="129">
        <f ca="1">SUM(AZ58:AZ$124)*SSd</f>
        <v>0</v>
      </c>
      <c r="BB58" s="70">
        <f t="shared" ca="1" si="152"/>
        <v>35322.2867217577</v>
      </c>
      <c r="BC58" s="257">
        <f t="shared" ca="1" si="61"/>
        <v>0</v>
      </c>
      <c r="BD58" s="268">
        <f t="shared" ca="1" si="153"/>
        <v>0</v>
      </c>
      <c r="BE58" s="131">
        <f ca="1">SUM(BD58:BD$124)*SSe</f>
        <v>0</v>
      </c>
      <c r="BF58" s="70">
        <f t="shared" ca="1" si="154"/>
        <v>35322.2867217577</v>
      </c>
      <c r="BG58" s="2">
        <f t="shared" ca="1" si="62"/>
        <v>0</v>
      </c>
      <c r="BH58" s="131">
        <f t="shared" ca="1" si="155"/>
        <v>0</v>
      </c>
      <c r="BI58" s="2">
        <f ca="1">SUM(BH58:BH$124)*SSf</f>
        <v>0</v>
      </c>
      <c r="BJ58" s="70">
        <f t="shared" ca="1" si="156"/>
        <v>35322.2867217577</v>
      </c>
      <c r="BK58" s="2">
        <f t="shared" ca="1" si="63"/>
        <v>0</v>
      </c>
      <c r="BL58" s="131">
        <f t="shared" ca="1" si="157"/>
        <v>0</v>
      </c>
      <c r="BM58" s="131">
        <f ca="1">SUM(BL58:BL$124)*SSg</f>
        <v>0</v>
      </c>
      <c r="BN58" s="70">
        <f t="shared" ca="1" si="158"/>
        <v>35322.2867217577</v>
      </c>
      <c r="BO58" s="2">
        <f t="shared" ca="1" si="64"/>
        <v>0</v>
      </c>
      <c r="BP58" s="131">
        <f t="shared" ca="1" si="159"/>
        <v>0</v>
      </c>
      <c r="BQ58" s="131">
        <f ca="1">SUM(BP58:BP$124)*SSh</f>
        <v>0</v>
      </c>
      <c r="BR58" s="70">
        <f t="shared" ca="1" si="160"/>
        <v>35322.2867217577</v>
      </c>
      <c r="BS58" s="2">
        <f t="shared" ca="1" si="129"/>
        <v>0</v>
      </c>
      <c r="BT58" s="131">
        <f t="shared" ca="1" si="161"/>
        <v>0</v>
      </c>
      <c r="BU58" s="131">
        <f ca="1">SUM(BT58:BT$124)*SSi</f>
        <v>0</v>
      </c>
      <c r="BV58" s="70">
        <f t="shared" ca="1" si="162"/>
        <v>35322.2867217577</v>
      </c>
      <c r="BW58" s="2">
        <f t="shared" ca="1" si="66"/>
        <v>0</v>
      </c>
      <c r="BX58" s="131">
        <f t="shared" ca="1" si="163"/>
        <v>0</v>
      </c>
      <c r="BY58" s="131">
        <f ca="1">SUM(BX58:BX$124)*SSj</f>
        <v>0</v>
      </c>
      <c r="BZ58" s="70">
        <f t="shared" ca="1" si="164"/>
        <v>35322.2867217577</v>
      </c>
      <c r="CA58" s="2">
        <f t="shared" ca="1" si="67"/>
        <v>0</v>
      </c>
      <c r="CB58" s="131">
        <f t="shared" ca="1" si="165"/>
        <v>0</v>
      </c>
      <c r="CC58" s="131">
        <f ca="1">SUM(CB58:CB$124)*SSk</f>
        <v>0</v>
      </c>
      <c r="CD58" s="8">
        <f t="shared" ca="1" si="166"/>
        <v>35322.2867217577</v>
      </c>
      <c r="CE58" s="2">
        <f t="shared" ca="1" si="68"/>
        <v>0</v>
      </c>
      <c r="CF58" s="131">
        <f t="shared" ca="1" si="167"/>
        <v>0</v>
      </c>
      <c r="CG58" s="131">
        <f ca="1">SUM(CF58:CF$124)*SSl</f>
        <v>0</v>
      </c>
      <c r="CH58" s="155">
        <f t="shared" si="108"/>
        <v>0.01</v>
      </c>
      <c r="CI58" s="155">
        <f t="shared" ca="1" si="109"/>
        <v>0</v>
      </c>
      <c r="CJ58" s="155">
        <f t="shared" ca="1" si="110"/>
        <v>0</v>
      </c>
      <c r="CK58" s="155">
        <f ca="1">유해지!CY58</f>
        <v>0</v>
      </c>
      <c r="CL58" s="529">
        <f t="shared" ca="1" si="130"/>
        <v>0</v>
      </c>
      <c r="CM58" s="155">
        <f t="shared" ca="1" si="111"/>
        <v>0</v>
      </c>
      <c r="CN58" s="155">
        <f ca="1">SUM(CM58:$CM$125)</f>
        <v>0</v>
      </c>
      <c r="CO58" s="101">
        <f t="shared" ca="1" si="112"/>
        <v>0</v>
      </c>
      <c r="CP58" s="154">
        <f t="shared" ca="1" si="131"/>
        <v>0</v>
      </c>
      <c r="CQ58" s="154">
        <f t="shared" ca="1" si="132"/>
        <v>0</v>
      </c>
      <c r="CR58" s="32">
        <f t="shared" ca="1" si="133"/>
        <v>0</v>
      </c>
      <c r="CS58" s="32">
        <f t="shared" ca="1" si="134"/>
        <v>0</v>
      </c>
      <c r="CT58" s="32">
        <f t="shared" ca="1" si="135"/>
        <v>0</v>
      </c>
      <c r="CU58" s="32">
        <f t="shared" ca="1" si="136"/>
        <v>0</v>
      </c>
      <c r="CV58" s="32">
        <f t="shared" si="137"/>
        <v>0</v>
      </c>
      <c r="CW58" s="32">
        <f t="shared" ca="1" si="138"/>
        <v>0</v>
      </c>
      <c r="CX58" s="259">
        <f ca="1">IF(R58&lt;m,0,ROUND(IF($R58&gt;nB,0,GPB*mB*mmB*유해지!CY58),roundB))</f>
        <v>0</v>
      </c>
      <c r="CY58" s="262">
        <f t="shared" ca="1" si="139"/>
        <v>0</v>
      </c>
      <c r="CZ58" s="259" t="e">
        <f t="shared" ca="1" si="140"/>
        <v>#DIV/0!</v>
      </c>
      <c r="DA58" s="31">
        <f t="shared" si="141"/>
        <v>5</v>
      </c>
    </row>
    <row r="59" spans="2:105">
      <c r="N59" s="5">
        <f t="shared" si="113"/>
        <v>47</v>
      </c>
      <c r="O59" s="2">
        <f t="shared" ca="1" si="117"/>
        <v>0.35141809169473071</v>
      </c>
      <c r="P59" s="2">
        <f t="shared" ca="1" si="118"/>
        <v>0.34753012593252358</v>
      </c>
      <c r="Q59" s="91"/>
      <c r="R59" s="20">
        <f t="shared" si="114"/>
        <v>47</v>
      </c>
      <c r="S59" s="20" t="str">
        <f t="shared" si="119"/>
        <v/>
      </c>
      <c r="T59" s="2">
        <f t="shared" ca="1" si="169"/>
        <v>0</v>
      </c>
      <c r="U59" s="2">
        <f t="shared" ca="1" si="169"/>
        <v>0</v>
      </c>
      <c r="V59" s="300">
        <f t="shared" si="120"/>
        <v>0.01</v>
      </c>
      <c r="W59" s="8">
        <f t="shared" si="121"/>
        <v>0</v>
      </c>
      <c r="X59" s="10">
        <f t="shared" ca="1" si="122"/>
        <v>1.0000000000000009E-2</v>
      </c>
      <c r="Y59" s="10">
        <f t="shared" ca="1" si="123"/>
        <v>0</v>
      </c>
      <c r="Z59" s="8">
        <f t="shared" ca="1" si="142"/>
        <v>0</v>
      </c>
      <c r="AA59" s="8">
        <f ca="1">+SUM(Z59:Z$124)</f>
        <v>0</v>
      </c>
      <c r="AB59" s="8">
        <f t="shared" ca="1" si="124"/>
        <v>0</v>
      </c>
      <c r="AC59" s="209">
        <f ca="1">+SUM(AB59:AB$124)*SSSM</f>
        <v>0</v>
      </c>
      <c r="AD59" s="209">
        <f t="shared" si="143"/>
        <v>0</v>
      </c>
      <c r="AE59" s="92">
        <f t="shared" ca="1" si="125"/>
        <v>0</v>
      </c>
      <c r="AF59" s="92">
        <f t="shared" ca="1" si="126"/>
        <v>0</v>
      </c>
      <c r="AG59" s="8">
        <f t="shared" ca="1" si="127"/>
        <v>0</v>
      </c>
      <c r="AH59" s="5">
        <f ca="1">+SUM(AG59:AG$124)</f>
        <v>0</v>
      </c>
      <c r="AI59" s="70">
        <f t="shared" ca="1" si="128"/>
        <v>0</v>
      </c>
      <c r="AJ59" s="208">
        <f ca="1">+SUM(AB59:AB$124)*SS50J</f>
        <v>0</v>
      </c>
      <c r="AK59" s="5">
        <f t="shared" ca="1" si="144"/>
        <v>34969.063854540123</v>
      </c>
      <c r="AL59" s="2">
        <f t="shared" ca="1" si="57"/>
        <v>0</v>
      </c>
      <c r="AM59" s="131">
        <f t="shared" ca="1" si="84"/>
        <v>12288.761688113675</v>
      </c>
      <c r="AN59" s="129">
        <f t="shared" ca="1" si="145"/>
        <v>0</v>
      </c>
      <c r="AO59" s="129">
        <f ca="1">SUM(AN59:AN$124)*SSa</f>
        <v>0</v>
      </c>
      <c r="AP59" s="70">
        <f t="shared" ca="1" si="146"/>
        <v>34969.063854540123</v>
      </c>
      <c r="AQ59" s="2">
        <f t="shared" ca="1" si="58"/>
        <v>0</v>
      </c>
      <c r="AR59" s="127">
        <f t="shared" ca="1" si="147"/>
        <v>0</v>
      </c>
      <c r="AS59" s="127">
        <f ca="1">SUM(AR59:AR$124)*SSb</f>
        <v>0</v>
      </c>
      <c r="AT59" s="70">
        <f t="shared" ca="1" si="148"/>
        <v>34969.063854540123</v>
      </c>
      <c r="AU59" s="2">
        <f t="shared" ca="1" si="59"/>
        <v>0</v>
      </c>
      <c r="AV59" s="268">
        <f t="shared" ca="1" si="149"/>
        <v>0</v>
      </c>
      <c r="AW59" s="131">
        <f ca="1">SUM(AV59:AV$124)*SSc</f>
        <v>0</v>
      </c>
      <c r="AX59" s="70">
        <f t="shared" ca="1" si="150"/>
        <v>34969.063854540123</v>
      </c>
      <c r="AY59" s="2">
        <f t="shared" ca="1" si="60"/>
        <v>0</v>
      </c>
      <c r="AZ59" s="268">
        <f t="shared" ca="1" si="151"/>
        <v>0</v>
      </c>
      <c r="BA59" s="129">
        <f ca="1">SUM(AZ59:AZ$124)*SSd</f>
        <v>0</v>
      </c>
      <c r="BB59" s="70">
        <f t="shared" ca="1" si="152"/>
        <v>34969.063854540123</v>
      </c>
      <c r="BC59" s="257">
        <f t="shared" ca="1" si="61"/>
        <v>0</v>
      </c>
      <c r="BD59" s="268">
        <f t="shared" ca="1" si="153"/>
        <v>0</v>
      </c>
      <c r="BE59" s="131">
        <f ca="1">SUM(BD59:BD$124)*SSe</f>
        <v>0</v>
      </c>
      <c r="BF59" s="70">
        <f t="shared" ca="1" si="154"/>
        <v>34969.063854540123</v>
      </c>
      <c r="BG59" s="2">
        <f t="shared" ca="1" si="62"/>
        <v>0</v>
      </c>
      <c r="BH59" s="131">
        <f t="shared" ca="1" si="155"/>
        <v>0</v>
      </c>
      <c r="BI59" s="2">
        <f ca="1">SUM(BH59:BH$124)*SSf</f>
        <v>0</v>
      </c>
      <c r="BJ59" s="70">
        <f t="shared" ca="1" si="156"/>
        <v>34969.063854540123</v>
      </c>
      <c r="BK59" s="2">
        <f t="shared" ca="1" si="63"/>
        <v>0</v>
      </c>
      <c r="BL59" s="131">
        <f t="shared" ca="1" si="157"/>
        <v>0</v>
      </c>
      <c r="BM59" s="131">
        <f ca="1">SUM(BL59:BL$124)*SSg</f>
        <v>0</v>
      </c>
      <c r="BN59" s="70">
        <f t="shared" ca="1" si="158"/>
        <v>34969.063854540123</v>
      </c>
      <c r="BO59" s="2">
        <f t="shared" ca="1" si="64"/>
        <v>0</v>
      </c>
      <c r="BP59" s="131">
        <f t="shared" ca="1" si="159"/>
        <v>0</v>
      </c>
      <c r="BQ59" s="131">
        <f ca="1">SUM(BP59:BP$124)*SSh</f>
        <v>0</v>
      </c>
      <c r="BR59" s="70">
        <f t="shared" ca="1" si="160"/>
        <v>34969.063854540123</v>
      </c>
      <c r="BS59" s="2">
        <f t="shared" ca="1" si="129"/>
        <v>0</v>
      </c>
      <c r="BT59" s="131">
        <f t="shared" ca="1" si="161"/>
        <v>0</v>
      </c>
      <c r="BU59" s="131">
        <f ca="1">SUM(BT59:BT$124)*SSi</f>
        <v>0</v>
      </c>
      <c r="BV59" s="70">
        <f t="shared" ca="1" si="162"/>
        <v>34969.063854540123</v>
      </c>
      <c r="BW59" s="2">
        <f t="shared" ca="1" si="66"/>
        <v>0</v>
      </c>
      <c r="BX59" s="131">
        <f t="shared" ca="1" si="163"/>
        <v>0</v>
      </c>
      <c r="BY59" s="131">
        <f ca="1">SUM(BX59:BX$124)*SSj</f>
        <v>0</v>
      </c>
      <c r="BZ59" s="70">
        <f t="shared" ca="1" si="164"/>
        <v>34969.063854540123</v>
      </c>
      <c r="CA59" s="2">
        <f t="shared" ca="1" si="67"/>
        <v>0</v>
      </c>
      <c r="CB59" s="131">
        <f t="shared" ca="1" si="165"/>
        <v>0</v>
      </c>
      <c r="CC59" s="131">
        <f ca="1">SUM(CB59:CB$124)*SSk</f>
        <v>0</v>
      </c>
      <c r="CD59" s="8">
        <f t="shared" ca="1" si="166"/>
        <v>34969.063854540123</v>
      </c>
      <c r="CE59" s="2">
        <f t="shared" ca="1" si="68"/>
        <v>0</v>
      </c>
      <c r="CF59" s="131">
        <f t="shared" ca="1" si="167"/>
        <v>0</v>
      </c>
      <c r="CG59" s="131">
        <f ca="1">SUM(CF59:CF$124)*SSl</f>
        <v>0</v>
      </c>
      <c r="CH59" s="155">
        <f t="shared" si="108"/>
        <v>0.01</v>
      </c>
      <c r="CI59" s="155">
        <f t="shared" ca="1" si="109"/>
        <v>0</v>
      </c>
      <c r="CJ59" s="155">
        <f t="shared" ca="1" si="110"/>
        <v>0</v>
      </c>
      <c r="CK59" s="155">
        <f ca="1">유해지!CY59</f>
        <v>0</v>
      </c>
      <c r="CL59" s="529">
        <f t="shared" ca="1" si="130"/>
        <v>0</v>
      </c>
      <c r="CM59" s="155">
        <f t="shared" ca="1" si="111"/>
        <v>0</v>
      </c>
      <c r="CN59" s="155">
        <f ca="1">SUM(CM59:$CM$125)</f>
        <v>0</v>
      </c>
      <c r="CO59" s="101">
        <f t="shared" ca="1" si="112"/>
        <v>0</v>
      </c>
      <c r="CP59" s="154">
        <f t="shared" ca="1" si="131"/>
        <v>0</v>
      </c>
      <c r="CQ59" s="154">
        <f t="shared" ca="1" si="132"/>
        <v>0</v>
      </c>
      <c r="CR59" s="32">
        <f t="shared" ca="1" si="133"/>
        <v>0</v>
      </c>
      <c r="CS59" s="32">
        <f t="shared" ca="1" si="134"/>
        <v>0</v>
      </c>
      <c r="CT59" s="32">
        <f t="shared" ca="1" si="135"/>
        <v>0</v>
      </c>
      <c r="CU59" s="32">
        <f t="shared" ca="1" si="136"/>
        <v>0</v>
      </c>
      <c r="CV59" s="32">
        <f t="shared" si="137"/>
        <v>0</v>
      </c>
      <c r="CW59" s="32">
        <f t="shared" ca="1" si="138"/>
        <v>0</v>
      </c>
      <c r="CX59" s="259">
        <f ca="1">IF(R59&lt;m,0,ROUND(IF($R59&gt;nB,0,GPB*mB*mmB*유해지!CY59),roundB))</f>
        <v>0</v>
      </c>
      <c r="CY59" s="262">
        <f t="shared" ca="1" si="139"/>
        <v>0</v>
      </c>
      <c r="CZ59" s="259" t="e">
        <f t="shared" ca="1" si="140"/>
        <v>#DIV/0!</v>
      </c>
      <c r="DA59" s="31">
        <f t="shared" si="141"/>
        <v>5</v>
      </c>
    </row>
    <row r="60" spans="2:105">
      <c r="N60" s="5">
        <f t="shared" si="113"/>
        <v>48</v>
      </c>
      <c r="O60" s="2">
        <f t="shared" ca="1" si="117"/>
        <v>0.34368517525157044</v>
      </c>
      <c r="P60" s="2">
        <f t="shared" ca="1" si="118"/>
        <v>0.33988276374818926</v>
      </c>
      <c r="Q60" s="91"/>
      <c r="R60" s="20">
        <f t="shared" si="114"/>
        <v>48</v>
      </c>
      <c r="S60" s="20" t="str">
        <f t="shared" si="119"/>
        <v/>
      </c>
      <c r="T60" s="2">
        <f t="shared" ca="1" si="169"/>
        <v>0</v>
      </c>
      <c r="U60" s="2">
        <f t="shared" ca="1" si="169"/>
        <v>0</v>
      </c>
      <c r="V60" s="300">
        <f t="shared" si="120"/>
        <v>0.01</v>
      </c>
      <c r="W60" s="8">
        <f t="shared" si="121"/>
        <v>0</v>
      </c>
      <c r="X60" s="10">
        <f t="shared" ca="1" si="122"/>
        <v>1.0000000000000009E-2</v>
      </c>
      <c r="Y60" s="10">
        <f t="shared" ca="1" si="123"/>
        <v>0</v>
      </c>
      <c r="Z60" s="8">
        <f t="shared" ca="1" si="142"/>
        <v>0</v>
      </c>
      <c r="AA60" s="8">
        <f ca="1">+SUM(Z60:Z$124)</f>
        <v>0</v>
      </c>
      <c r="AB60" s="8">
        <f t="shared" ca="1" si="124"/>
        <v>0</v>
      </c>
      <c r="AC60" s="209">
        <f ca="1">+SUM(AB60:AB$124)*SSSM</f>
        <v>0</v>
      </c>
      <c r="AD60" s="209">
        <f t="shared" si="143"/>
        <v>0</v>
      </c>
      <c r="AE60" s="92">
        <f t="shared" ca="1" si="125"/>
        <v>0</v>
      </c>
      <c r="AF60" s="92">
        <f t="shared" ca="1" si="126"/>
        <v>0</v>
      </c>
      <c r="AG60" s="8">
        <f t="shared" ca="1" si="127"/>
        <v>0</v>
      </c>
      <c r="AH60" s="5">
        <f ca="1">+SUM(AG60:AG$124)</f>
        <v>0</v>
      </c>
      <c r="AI60" s="70">
        <f t="shared" ca="1" si="128"/>
        <v>0</v>
      </c>
      <c r="AJ60" s="208">
        <f ca="1">+SUM(AB60:AB$124)*SS50J</f>
        <v>0</v>
      </c>
      <c r="AK60" s="5">
        <f t="shared" ca="1" si="144"/>
        <v>34619.373215994725</v>
      </c>
      <c r="AL60" s="2">
        <f t="shared" ca="1" si="57"/>
        <v>0</v>
      </c>
      <c r="AM60" s="131">
        <f t="shared" ca="1" si="84"/>
        <v>11898.165350838672</v>
      </c>
      <c r="AN60" s="129">
        <f t="shared" ca="1" si="145"/>
        <v>0</v>
      </c>
      <c r="AO60" s="129">
        <f ca="1">SUM(AN60:AN$124)*SSa</f>
        <v>0</v>
      </c>
      <c r="AP60" s="70">
        <f t="shared" ca="1" si="146"/>
        <v>34619.373215994725</v>
      </c>
      <c r="AQ60" s="2">
        <f t="shared" ca="1" si="58"/>
        <v>0</v>
      </c>
      <c r="AR60" s="127">
        <f t="shared" ca="1" si="147"/>
        <v>0</v>
      </c>
      <c r="AS60" s="127">
        <f ca="1">SUM(AR60:AR$124)*SSb</f>
        <v>0</v>
      </c>
      <c r="AT60" s="70">
        <f t="shared" ca="1" si="148"/>
        <v>34619.373215994725</v>
      </c>
      <c r="AU60" s="2">
        <f t="shared" ca="1" si="59"/>
        <v>0</v>
      </c>
      <c r="AV60" s="268">
        <f t="shared" ca="1" si="149"/>
        <v>0</v>
      </c>
      <c r="AW60" s="131">
        <f ca="1">SUM(AV60:AV$124)*SSc</f>
        <v>0</v>
      </c>
      <c r="AX60" s="70">
        <f t="shared" ca="1" si="150"/>
        <v>34619.373215994725</v>
      </c>
      <c r="AY60" s="2">
        <f t="shared" ca="1" si="60"/>
        <v>0</v>
      </c>
      <c r="AZ60" s="268">
        <f t="shared" ca="1" si="151"/>
        <v>0</v>
      </c>
      <c r="BA60" s="129">
        <f ca="1">SUM(AZ60:AZ$124)*SSd</f>
        <v>0</v>
      </c>
      <c r="BB60" s="70">
        <f t="shared" ca="1" si="152"/>
        <v>34619.373215994725</v>
      </c>
      <c r="BC60" s="257">
        <f t="shared" ca="1" si="61"/>
        <v>0</v>
      </c>
      <c r="BD60" s="268">
        <f t="shared" ca="1" si="153"/>
        <v>0</v>
      </c>
      <c r="BE60" s="131">
        <f ca="1">SUM(BD60:BD$124)*SSe</f>
        <v>0</v>
      </c>
      <c r="BF60" s="70">
        <f t="shared" ca="1" si="154"/>
        <v>34619.373215994725</v>
      </c>
      <c r="BG60" s="2">
        <f t="shared" ca="1" si="62"/>
        <v>0</v>
      </c>
      <c r="BH60" s="131">
        <f t="shared" ca="1" si="155"/>
        <v>0</v>
      </c>
      <c r="BI60" s="2">
        <f ca="1">SUM(BH60:BH$124)*SSf</f>
        <v>0</v>
      </c>
      <c r="BJ60" s="70">
        <f t="shared" ca="1" si="156"/>
        <v>34619.373215994725</v>
      </c>
      <c r="BK60" s="2">
        <f t="shared" ca="1" si="63"/>
        <v>0</v>
      </c>
      <c r="BL60" s="131">
        <f t="shared" ca="1" si="157"/>
        <v>0</v>
      </c>
      <c r="BM60" s="131">
        <f ca="1">SUM(BL60:BL$124)*SSg</f>
        <v>0</v>
      </c>
      <c r="BN60" s="70">
        <f t="shared" ca="1" si="158"/>
        <v>34619.373215994725</v>
      </c>
      <c r="BO60" s="2">
        <f t="shared" ca="1" si="64"/>
        <v>0</v>
      </c>
      <c r="BP60" s="131">
        <f t="shared" ca="1" si="159"/>
        <v>0</v>
      </c>
      <c r="BQ60" s="131">
        <f ca="1">SUM(BP60:BP$124)*SSh</f>
        <v>0</v>
      </c>
      <c r="BR60" s="70">
        <f t="shared" ca="1" si="160"/>
        <v>34619.373215994725</v>
      </c>
      <c r="BS60" s="2">
        <f t="shared" ca="1" si="129"/>
        <v>0</v>
      </c>
      <c r="BT60" s="131">
        <f t="shared" ca="1" si="161"/>
        <v>0</v>
      </c>
      <c r="BU60" s="131">
        <f ca="1">SUM(BT60:BT$124)*SSi</f>
        <v>0</v>
      </c>
      <c r="BV60" s="70">
        <f t="shared" ca="1" si="162"/>
        <v>34619.373215994725</v>
      </c>
      <c r="BW60" s="2">
        <f t="shared" ca="1" si="66"/>
        <v>0</v>
      </c>
      <c r="BX60" s="131">
        <f t="shared" ca="1" si="163"/>
        <v>0</v>
      </c>
      <c r="BY60" s="131">
        <f ca="1">SUM(BX60:BX$124)*SSj</f>
        <v>0</v>
      </c>
      <c r="BZ60" s="70">
        <f t="shared" ca="1" si="164"/>
        <v>34619.373215994725</v>
      </c>
      <c r="CA60" s="2">
        <f t="shared" ca="1" si="67"/>
        <v>0</v>
      </c>
      <c r="CB60" s="131">
        <f t="shared" ca="1" si="165"/>
        <v>0</v>
      </c>
      <c r="CC60" s="131">
        <f ca="1">SUM(CB60:CB$124)*SSk</f>
        <v>0</v>
      </c>
      <c r="CD60" s="8">
        <f t="shared" ca="1" si="166"/>
        <v>34619.373215994725</v>
      </c>
      <c r="CE60" s="2">
        <f t="shared" ca="1" si="68"/>
        <v>0</v>
      </c>
      <c r="CF60" s="131">
        <f t="shared" ca="1" si="167"/>
        <v>0</v>
      </c>
      <c r="CG60" s="131">
        <f ca="1">SUM(CF60:CF$124)*SSl</f>
        <v>0</v>
      </c>
      <c r="CH60" s="155">
        <f t="shared" si="108"/>
        <v>0.01</v>
      </c>
      <c r="CI60" s="155">
        <f t="shared" ca="1" si="109"/>
        <v>0</v>
      </c>
      <c r="CJ60" s="155">
        <f t="shared" ca="1" si="110"/>
        <v>0</v>
      </c>
      <c r="CK60" s="155">
        <f ca="1">유해지!CY60</f>
        <v>0</v>
      </c>
      <c r="CL60" s="529">
        <f t="shared" ca="1" si="130"/>
        <v>0</v>
      </c>
      <c r="CM60" s="155">
        <f t="shared" ca="1" si="111"/>
        <v>0</v>
      </c>
      <c r="CN60" s="155">
        <f ca="1">SUM(CM60:$CM$125)</f>
        <v>0</v>
      </c>
      <c r="CO60" s="101">
        <f t="shared" ca="1" si="112"/>
        <v>0</v>
      </c>
      <c r="CP60" s="154">
        <f t="shared" ca="1" si="131"/>
        <v>0</v>
      </c>
      <c r="CQ60" s="154">
        <f t="shared" ca="1" si="132"/>
        <v>0</v>
      </c>
      <c r="CR60" s="32">
        <f t="shared" ca="1" si="133"/>
        <v>0</v>
      </c>
      <c r="CS60" s="32">
        <f t="shared" ca="1" si="134"/>
        <v>0</v>
      </c>
      <c r="CT60" s="32">
        <f t="shared" ca="1" si="135"/>
        <v>0</v>
      </c>
      <c r="CU60" s="32">
        <f t="shared" ca="1" si="136"/>
        <v>0</v>
      </c>
      <c r="CV60" s="32">
        <f t="shared" si="137"/>
        <v>0</v>
      </c>
      <c r="CW60" s="32">
        <f t="shared" ca="1" si="138"/>
        <v>0</v>
      </c>
      <c r="CX60" s="259">
        <f ca="1">IF(R60&lt;m,0,ROUND(IF($R60&gt;nB,0,GPB*mB*mmB*유해지!CY60),roundB))</f>
        <v>0</v>
      </c>
      <c r="CY60" s="262">
        <f t="shared" ca="1" si="139"/>
        <v>0</v>
      </c>
      <c r="CZ60" s="259" t="e">
        <f t="shared" ca="1" si="140"/>
        <v>#DIV/0!</v>
      </c>
      <c r="DA60" s="31">
        <f t="shared" si="141"/>
        <v>5</v>
      </c>
    </row>
    <row r="61" spans="2:105">
      <c r="N61" s="5">
        <f t="shared" si="113"/>
        <v>49</v>
      </c>
      <c r="O61" s="2">
        <f t="shared" ca="1" si="117"/>
        <v>0.33612242078393195</v>
      </c>
      <c r="P61" s="2">
        <f t="shared" ca="1" si="118"/>
        <v>0.33240368092732453</v>
      </c>
      <c r="Q61" s="91"/>
      <c r="R61" s="20">
        <f t="shared" si="114"/>
        <v>49</v>
      </c>
      <c r="S61" s="20" t="str">
        <f t="shared" si="119"/>
        <v/>
      </c>
      <c r="T61" s="2">
        <f t="shared" ca="1" si="169"/>
        <v>0</v>
      </c>
      <c r="U61" s="2">
        <f t="shared" ca="1" si="169"/>
        <v>0</v>
      </c>
      <c r="V61" s="300">
        <f t="shared" si="120"/>
        <v>0.01</v>
      </c>
      <c r="W61" s="8">
        <f t="shared" si="121"/>
        <v>0</v>
      </c>
      <c r="X61" s="10">
        <f t="shared" ca="1" si="122"/>
        <v>1.0000000000000009E-2</v>
      </c>
      <c r="Y61" s="10">
        <f t="shared" ca="1" si="123"/>
        <v>0</v>
      </c>
      <c r="Z61" s="8">
        <f t="shared" ca="1" si="142"/>
        <v>0</v>
      </c>
      <c r="AA61" s="8">
        <f ca="1">+SUM(Z61:Z$124)</f>
        <v>0</v>
      </c>
      <c r="AB61" s="8">
        <f t="shared" ca="1" si="124"/>
        <v>0</v>
      </c>
      <c r="AC61" s="209">
        <f ca="1">+SUM(AB61:AB$124)*SSSM</f>
        <v>0</v>
      </c>
      <c r="AD61" s="209">
        <f t="shared" si="143"/>
        <v>0</v>
      </c>
      <c r="AE61" s="92">
        <f t="shared" ca="1" si="125"/>
        <v>0</v>
      </c>
      <c r="AF61" s="92">
        <f t="shared" ca="1" si="126"/>
        <v>0</v>
      </c>
      <c r="AG61" s="8">
        <f t="shared" ca="1" si="127"/>
        <v>0</v>
      </c>
      <c r="AH61" s="5">
        <f ca="1">+SUM(AG61:AG$124)</f>
        <v>0</v>
      </c>
      <c r="AI61" s="70">
        <f t="shared" ca="1" si="128"/>
        <v>0</v>
      </c>
      <c r="AJ61" s="208">
        <f ca="1">+SUM(AB61:AB$124)*SS50J</f>
        <v>0</v>
      </c>
      <c r="AK61" s="5">
        <f t="shared" ca="1" si="144"/>
        <v>34273.179483834778</v>
      </c>
      <c r="AL61" s="2">
        <f t="shared" ca="1" si="57"/>
        <v>0</v>
      </c>
      <c r="AM61" s="131">
        <f t="shared" ca="1" si="84"/>
        <v>11519.984056068737</v>
      </c>
      <c r="AN61" s="129">
        <f t="shared" ca="1" si="145"/>
        <v>0</v>
      </c>
      <c r="AO61" s="129">
        <f ca="1">SUM(AN61:AN$124)*SSa</f>
        <v>0</v>
      </c>
      <c r="AP61" s="70">
        <f t="shared" ca="1" si="146"/>
        <v>34273.179483834778</v>
      </c>
      <c r="AQ61" s="2">
        <f t="shared" ca="1" si="58"/>
        <v>0</v>
      </c>
      <c r="AR61" s="127">
        <f t="shared" ca="1" si="147"/>
        <v>0</v>
      </c>
      <c r="AS61" s="127">
        <f ca="1">SUM(AR61:AR$124)*SSb</f>
        <v>0</v>
      </c>
      <c r="AT61" s="70">
        <f t="shared" ca="1" si="148"/>
        <v>34273.179483834778</v>
      </c>
      <c r="AU61" s="2">
        <f t="shared" ca="1" si="59"/>
        <v>0</v>
      </c>
      <c r="AV61" s="268">
        <f t="shared" ca="1" si="149"/>
        <v>0</v>
      </c>
      <c r="AW61" s="131">
        <f ca="1">SUM(AV61:AV$124)*SSc</f>
        <v>0</v>
      </c>
      <c r="AX61" s="70">
        <f t="shared" ca="1" si="150"/>
        <v>34273.179483834778</v>
      </c>
      <c r="AY61" s="2">
        <f t="shared" ca="1" si="60"/>
        <v>0</v>
      </c>
      <c r="AZ61" s="268">
        <f t="shared" ca="1" si="151"/>
        <v>0</v>
      </c>
      <c r="BA61" s="129">
        <f ca="1">SUM(AZ61:AZ$124)*SSd</f>
        <v>0</v>
      </c>
      <c r="BB61" s="70">
        <f t="shared" ca="1" si="152"/>
        <v>34273.179483834778</v>
      </c>
      <c r="BC61" s="257">
        <f t="shared" ca="1" si="61"/>
        <v>0</v>
      </c>
      <c r="BD61" s="268">
        <f t="shared" ca="1" si="153"/>
        <v>0</v>
      </c>
      <c r="BE61" s="131">
        <f ca="1">SUM(BD61:BD$124)*SSe</f>
        <v>0</v>
      </c>
      <c r="BF61" s="70">
        <f t="shared" ca="1" si="154"/>
        <v>34273.179483834778</v>
      </c>
      <c r="BG61" s="2">
        <f t="shared" ca="1" si="62"/>
        <v>0</v>
      </c>
      <c r="BH61" s="131">
        <f t="shared" ca="1" si="155"/>
        <v>0</v>
      </c>
      <c r="BI61" s="2">
        <f ca="1">SUM(BH61:BH$124)*SSf</f>
        <v>0</v>
      </c>
      <c r="BJ61" s="70">
        <f t="shared" ca="1" si="156"/>
        <v>34273.179483834778</v>
      </c>
      <c r="BK61" s="2">
        <f t="shared" ca="1" si="63"/>
        <v>0</v>
      </c>
      <c r="BL61" s="131">
        <f t="shared" ca="1" si="157"/>
        <v>0</v>
      </c>
      <c r="BM61" s="131">
        <f ca="1">SUM(BL61:BL$124)*SSg</f>
        <v>0</v>
      </c>
      <c r="BN61" s="70">
        <f t="shared" ca="1" si="158"/>
        <v>34273.179483834778</v>
      </c>
      <c r="BO61" s="2">
        <f t="shared" ca="1" si="64"/>
        <v>0</v>
      </c>
      <c r="BP61" s="131">
        <f t="shared" ca="1" si="159"/>
        <v>0</v>
      </c>
      <c r="BQ61" s="131">
        <f ca="1">SUM(BP61:BP$124)*SSh</f>
        <v>0</v>
      </c>
      <c r="BR61" s="70">
        <f t="shared" ca="1" si="160"/>
        <v>34273.179483834778</v>
      </c>
      <c r="BS61" s="2">
        <f t="shared" ca="1" si="129"/>
        <v>0</v>
      </c>
      <c r="BT61" s="131">
        <f t="shared" ca="1" si="161"/>
        <v>0</v>
      </c>
      <c r="BU61" s="131">
        <f ca="1">SUM(BT61:BT$124)*SSi</f>
        <v>0</v>
      </c>
      <c r="BV61" s="70">
        <f t="shared" ca="1" si="162"/>
        <v>34273.179483834778</v>
      </c>
      <c r="BW61" s="2">
        <f t="shared" ca="1" si="66"/>
        <v>0</v>
      </c>
      <c r="BX61" s="131">
        <f t="shared" ca="1" si="163"/>
        <v>0</v>
      </c>
      <c r="BY61" s="131">
        <f ca="1">SUM(BX61:BX$124)*SSj</f>
        <v>0</v>
      </c>
      <c r="BZ61" s="70">
        <f t="shared" ca="1" si="164"/>
        <v>34273.179483834778</v>
      </c>
      <c r="CA61" s="2">
        <f t="shared" ca="1" si="67"/>
        <v>0</v>
      </c>
      <c r="CB61" s="131">
        <f t="shared" ca="1" si="165"/>
        <v>0</v>
      </c>
      <c r="CC61" s="131">
        <f ca="1">SUM(CB61:CB$124)*SSk</f>
        <v>0</v>
      </c>
      <c r="CD61" s="8">
        <f t="shared" ca="1" si="166"/>
        <v>34273.179483834778</v>
      </c>
      <c r="CE61" s="2">
        <f t="shared" ca="1" si="68"/>
        <v>0</v>
      </c>
      <c r="CF61" s="131">
        <f t="shared" ca="1" si="167"/>
        <v>0</v>
      </c>
      <c r="CG61" s="131">
        <f ca="1">SUM(CF61:CF$124)*SSl</f>
        <v>0</v>
      </c>
      <c r="CH61" s="155">
        <f t="shared" si="108"/>
        <v>0.01</v>
      </c>
      <c r="CI61" s="155">
        <f t="shared" ca="1" si="109"/>
        <v>0</v>
      </c>
      <c r="CJ61" s="155">
        <f t="shared" ca="1" si="110"/>
        <v>0</v>
      </c>
      <c r="CK61" s="155">
        <f ca="1">유해지!CY61</f>
        <v>0</v>
      </c>
      <c r="CL61" s="529">
        <f t="shared" ca="1" si="130"/>
        <v>0</v>
      </c>
      <c r="CM61" s="155">
        <f t="shared" ca="1" si="111"/>
        <v>0</v>
      </c>
      <c r="CN61" s="155">
        <f ca="1">SUM(CM61:$CM$125)</f>
        <v>0</v>
      </c>
      <c r="CO61" s="101">
        <f t="shared" ca="1" si="112"/>
        <v>0</v>
      </c>
      <c r="CP61" s="154">
        <f t="shared" ca="1" si="131"/>
        <v>0</v>
      </c>
      <c r="CQ61" s="154">
        <f t="shared" ca="1" si="132"/>
        <v>0</v>
      </c>
      <c r="CR61" s="32">
        <f t="shared" ca="1" si="133"/>
        <v>0</v>
      </c>
      <c r="CS61" s="32">
        <f t="shared" ca="1" si="134"/>
        <v>0</v>
      </c>
      <c r="CT61" s="32">
        <f t="shared" ca="1" si="135"/>
        <v>0</v>
      </c>
      <c r="CU61" s="32">
        <f t="shared" ca="1" si="136"/>
        <v>0</v>
      </c>
      <c r="CV61" s="32">
        <f t="shared" si="137"/>
        <v>0</v>
      </c>
      <c r="CW61" s="32">
        <f t="shared" ca="1" si="138"/>
        <v>0</v>
      </c>
      <c r="CX61" s="259">
        <f ca="1">IF(R61&lt;m,0,ROUND(IF($R61&gt;nB,0,GPB*mB*mmB*유해지!CY61),roundB))</f>
        <v>0</v>
      </c>
      <c r="CY61" s="262">
        <f t="shared" ca="1" si="139"/>
        <v>0</v>
      </c>
      <c r="CZ61" s="259" t="e">
        <f t="shared" ca="1" si="140"/>
        <v>#DIV/0!</v>
      </c>
      <c r="DA61" s="31">
        <f t="shared" si="141"/>
        <v>5</v>
      </c>
    </row>
    <row r="62" spans="2:105">
      <c r="N62" s="5">
        <f t="shared" si="113"/>
        <v>50</v>
      </c>
      <c r="O62" s="2">
        <f t="shared" ca="1" si="117"/>
        <v>0.32872608389626606</v>
      </c>
      <c r="P62" s="2">
        <f t="shared" ca="1" si="118"/>
        <v>0.3250891745010509</v>
      </c>
      <c r="Q62" s="91"/>
      <c r="R62" s="20">
        <f t="shared" si="114"/>
        <v>50</v>
      </c>
      <c r="S62" s="20" t="str">
        <f t="shared" si="119"/>
        <v/>
      </c>
      <c r="T62" s="2">
        <f t="shared" ca="1" si="169"/>
        <v>0</v>
      </c>
      <c r="U62" s="2">
        <f t="shared" ca="1" si="169"/>
        <v>0</v>
      </c>
      <c r="V62" s="300">
        <f t="shared" si="120"/>
        <v>0.01</v>
      </c>
      <c r="W62" s="8">
        <f t="shared" si="121"/>
        <v>0</v>
      </c>
      <c r="X62" s="10">
        <f t="shared" ca="1" si="122"/>
        <v>1.0000000000000009E-2</v>
      </c>
      <c r="Y62" s="10">
        <f t="shared" ca="1" si="123"/>
        <v>0</v>
      </c>
      <c r="Z62" s="8">
        <f t="shared" ca="1" si="142"/>
        <v>0</v>
      </c>
      <c r="AA62" s="8">
        <f ca="1">+SUM(Z62:Z$124)</f>
        <v>0</v>
      </c>
      <c r="AB62" s="8">
        <f t="shared" ca="1" si="124"/>
        <v>0</v>
      </c>
      <c r="AC62" s="209">
        <f ca="1">+SUM(AB62:AB$124)*SSSM</f>
        <v>0</v>
      </c>
      <c r="AD62" s="209">
        <f t="shared" si="143"/>
        <v>0</v>
      </c>
      <c r="AE62" s="92">
        <f t="shared" ca="1" si="125"/>
        <v>0</v>
      </c>
      <c r="AF62" s="92">
        <f t="shared" ca="1" si="126"/>
        <v>0</v>
      </c>
      <c r="AG62" s="8">
        <f t="shared" ca="1" si="127"/>
        <v>0</v>
      </c>
      <c r="AH62" s="5">
        <f ca="1">+SUM(AG62:AG$124)</f>
        <v>0</v>
      </c>
      <c r="AI62" s="70">
        <f t="shared" ca="1" si="128"/>
        <v>0</v>
      </c>
      <c r="AJ62" s="208">
        <f ca="1">+SUM(AB62:AB$124)*SS50J</f>
        <v>0</v>
      </c>
      <c r="AK62" s="5">
        <f t="shared" ca="1" si="144"/>
        <v>33930.447688996428</v>
      </c>
      <c r="AL62" s="2">
        <f t="shared" ca="1" si="57"/>
        <v>0</v>
      </c>
      <c r="AM62" s="131">
        <f t="shared" ca="1" si="84"/>
        <v>11153.823193650907</v>
      </c>
      <c r="AN62" s="129">
        <f t="shared" ca="1" si="145"/>
        <v>0</v>
      </c>
      <c r="AO62" s="129">
        <f ca="1">SUM(AN62:AN$124)*SSa</f>
        <v>0</v>
      </c>
      <c r="AP62" s="70">
        <f t="shared" ca="1" si="146"/>
        <v>33930.447688996428</v>
      </c>
      <c r="AQ62" s="2">
        <f t="shared" ca="1" si="58"/>
        <v>0</v>
      </c>
      <c r="AR62" s="127">
        <f t="shared" ca="1" si="147"/>
        <v>0</v>
      </c>
      <c r="AS62" s="127">
        <f ca="1">SUM(AR62:AR$124)*SSb</f>
        <v>0</v>
      </c>
      <c r="AT62" s="70">
        <f t="shared" ca="1" si="148"/>
        <v>33930.447688996428</v>
      </c>
      <c r="AU62" s="2">
        <f t="shared" ca="1" si="59"/>
        <v>0</v>
      </c>
      <c r="AV62" s="268">
        <f t="shared" ca="1" si="149"/>
        <v>0</v>
      </c>
      <c r="AW62" s="131">
        <f ca="1">SUM(AV62:AV$124)*SSc</f>
        <v>0</v>
      </c>
      <c r="AX62" s="70">
        <f t="shared" ca="1" si="150"/>
        <v>33930.447688996428</v>
      </c>
      <c r="AY62" s="2">
        <f t="shared" ca="1" si="60"/>
        <v>0</v>
      </c>
      <c r="AZ62" s="268">
        <f t="shared" ca="1" si="151"/>
        <v>0</v>
      </c>
      <c r="BA62" s="129">
        <f ca="1">SUM(AZ62:AZ$124)*SSd</f>
        <v>0</v>
      </c>
      <c r="BB62" s="70">
        <f t="shared" ca="1" si="152"/>
        <v>33930.447688996428</v>
      </c>
      <c r="BC62" s="257">
        <f t="shared" ca="1" si="61"/>
        <v>0</v>
      </c>
      <c r="BD62" s="268">
        <f t="shared" ca="1" si="153"/>
        <v>0</v>
      </c>
      <c r="BE62" s="131">
        <f ca="1">SUM(BD62:BD$124)*SSe</f>
        <v>0</v>
      </c>
      <c r="BF62" s="70">
        <f t="shared" ca="1" si="154"/>
        <v>33930.447688996428</v>
      </c>
      <c r="BG62" s="2">
        <f t="shared" ca="1" si="62"/>
        <v>0</v>
      </c>
      <c r="BH62" s="131">
        <f t="shared" ca="1" si="155"/>
        <v>0</v>
      </c>
      <c r="BI62" s="2">
        <f ca="1">SUM(BH62:BH$124)*SSf</f>
        <v>0</v>
      </c>
      <c r="BJ62" s="70">
        <f t="shared" ca="1" si="156"/>
        <v>33930.447688996428</v>
      </c>
      <c r="BK62" s="2">
        <f t="shared" ca="1" si="63"/>
        <v>0</v>
      </c>
      <c r="BL62" s="131">
        <f t="shared" ca="1" si="157"/>
        <v>0</v>
      </c>
      <c r="BM62" s="131">
        <f ca="1">SUM(BL62:BL$124)*SSg</f>
        <v>0</v>
      </c>
      <c r="BN62" s="70">
        <f t="shared" ca="1" si="158"/>
        <v>33930.447688996428</v>
      </c>
      <c r="BO62" s="2">
        <f t="shared" ca="1" si="64"/>
        <v>0</v>
      </c>
      <c r="BP62" s="131">
        <f t="shared" ca="1" si="159"/>
        <v>0</v>
      </c>
      <c r="BQ62" s="131">
        <f ca="1">SUM(BP62:BP$124)*SSh</f>
        <v>0</v>
      </c>
      <c r="BR62" s="70">
        <f t="shared" ca="1" si="160"/>
        <v>33930.447688996428</v>
      </c>
      <c r="BS62" s="2">
        <f t="shared" ca="1" si="129"/>
        <v>0</v>
      </c>
      <c r="BT62" s="131">
        <f t="shared" ca="1" si="161"/>
        <v>0</v>
      </c>
      <c r="BU62" s="131">
        <f ca="1">SUM(BT62:BT$124)*SSi</f>
        <v>0</v>
      </c>
      <c r="BV62" s="70">
        <f t="shared" ca="1" si="162"/>
        <v>33930.447688996428</v>
      </c>
      <c r="BW62" s="2">
        <f t="shared" ca="1" si="66"/>
        <v>0</v>
      </c>
      <c r="BX62" s="131">
        <f t="shared" ca="1" si="163"/>
        <v>0</v>
      </c>
      <c r="BY62" s="131">
        <f ca="1">SUM(BX62:BX$124)*SSj</f>
        <v>0</v>
      </c>
      <c r="BZ62" s="70">
        <f t="shared" ca="1" si="164"/>
        <v>33930.447688996428</v>
      </c>
      <c r="CA62" s="2">
        <f t="shared" ca="1" si="67"/>
        <v>0</v>
      </c>
      <c r="CB62" s="131">
        <f t="shared" ca="1" si="165"/>
        <v>0</v>
      </c>
      <c r="CC62" s="131">
        <f ca="1">SUM(CB62:CB$124)*SSk</f>
        <v>0</v>
      </c>
      <c r="CD62" s="8">
        <f t="shared" ca="1" si="166"/>
        <v>33930.447688996428</v>
      </c>
      <c r="CE62" s="2">
        <f t="shared" ca="1" si="68"/>
        <v>0</v>
      </c>
      <c r="CF62" s="131">
        <f t="shared" ca="1" si="167"/>
        <v>0</v>
      </c>
      <c r="CG62" s="131">
        <f ca="1">SUM(CF62:CF$124)*SSl</f>
        <v>0</v>
      </c>
      <c r="CH62" s="155">
        <f t="shared" si="108"/>
        <v>0.01</v>
      </c>
      <c r="CI62" s="155">
        <f t="shared" ca="1" si="109"/>
        <v>0</v>
      </c>
      <c r="CJ62" s="155">
        <f t="shared" ca="1" si="110"/>
        <v>0</v>
      </c>
      <c r="CK62" s="155">
        <f ca="1">유해지!CY62</f>
        <v>0</v>
      </c>
      <c r="CL62" s="529">
        <f t="shared" ca="1" si="130"/>
        <v>0</v>
      </c>
      <c r="CM62" s="155">
        <f t="shared" ca="1" si="111"/>
        <v>0</v>
      </c>
      <c r="CN62" s="155">
        <f ca="1">SUM(CM62:$CM$125)</f>
        <v>0</v>
      </c>
      <c r="CO62" s="101">
        <f t="shared" ca="1" si="112"/>
        <v>0</v>
      </c>
      <c r="CP62" s="154">
        <f t="shared" ca="1" si="131"/>
        <v>0</v>
      </c>
      <c r="CQ62" s="154">
        <f t="shared" ca="1" si="132"/>
        <v>0</v>
      </c>
      <c r="CR62" s="32">
        <f t="shared" ca="1" si="133"/>
        <v>0</v>
      </c>
      <c r="CS62" s="32">
        <f t="shared" ca="1" si="134"/>
        <v>0</v>
      </c>
      <c r="CT62" s="32">
        <f t="shared" ca="1" si="135"/>
        <v>0</v>
      </c>
      <c r="CU62" s="32">
        <f t="shared" ca="1" si="136"/>
        <v>0</v>
      </c>
      <c r="CV62" s="32">
        <f t="shared" si="137"/>
        <v>0</v>
      </c>
      <c r="CW62" s="32">
        <f t="shared" ca="1" si="138"/>
        <v>0</v>
      </c>
      <c r="CX62" s="259">
        <f ca="1">IF(R62&lt;m,0,ROUND(IF($R62&gt;nB,0,GPB*mB*mmB*유해지!CY62),roundB))</f>
        <v>0</v>
      </c>
      <c r="CY62" s="262">
        <f t="shared" ca="1" si="139"/>
        <v>0</v>
      </c>
      <c r="CZ62" s="259" t="e">
        <f t="shared" ca="1" si="140"/>
        <v>#DIV/0!</v>
      </c>
      <c r="DA62" s="31">
        <f t="shared" si="141"/>
        <v>5</v>
      </c>
    </row>
    <row r="63" spans="2:105">
      <c r="N63" s="5">
        <f t="shared" si="113"/>
        <v>51</v>
      </c>
      <c r="O63" s="2">
        <f t="shared" ca="1" si="117"/>
        <v>0.32149250258803524</v>
      </c>
      <c r="P63" s="2">
        <f t="shared" ca="1" si="118"/>
        <v>0.31793562298391287</v>
      </c>
      <c r="Q63" s="91"/>
      <c r="R63" s="20">
        <f t="shared" si="114"/>
        <v>51</v>
      </c>
      <c r="S63" s="20" t="str">
        <f t="shared" si="119"/>
        <v/>
      </c>
      <c r="T63" s="2">
        <f t="shared" ca="1" si="169"/>
        <v>0</v>
      </c>
      <c r="U63" s="2">
        <f t="shared" ca="1" si="169"/>
        <v>0</v>
      </c>
      <c r="V63" s="300">
        <f t="shared" si="120"/>
        <v>0.01</v>
      </c>
      <c r="W63" s="8">
        <f t="shared" si="121"/>
        <v>0</v>
      </c>
      <c r="X63" s="10">
        <f t="shared" ca="1" si="122"/>
        <v>1.0000000000000009E-2</v>
      </c>
      <c r="Y63" s="10">
        <f t="shared" ca="1" si="123"/>
        <v>0</v>
      </c>
      <c r="Z63" s="8">
        <f t="shared" ca="1" si="142"/>
        <v>0</v>
      </c>
      <c r="AA63" s="8">
        <f ca="1">+SUM(Z63:Z$124)</f>
        <v>0</v>
      </c>
      <c r="AB63" s="8">
        <f t="shared" ca="1" si="124"/>
        <v>0</v>
      </c>
      <c r="AC63" s="209">
        <f ca="1">+SUM(AB63:AB$124)*SSSM</f>
        <v>0</v>
      </c>
      <c r="AD63" s="209">
        <f t="shared" si="143"/>
        <v>0</v>
      </c>
      <c r="AE63" s="92">
        <f t="shared" ca="1" si="125"/>
        <v>0</v>
      </c>
      <c r="AF63" s="92">
        <f t="shared" ca="1" si="126"/>
        <v>0</v>
      </c>
      <c r="AG63" s="8">
        <f t="shared" ca="1" si="127"/>
        <v>0</v>
      </c>
      <c r="AH63" s="5">
        <f ca="1">+SUM(AG63:AG$124)</f>
        <v>0</v>
      </c>
      <c r="AI63" s="70">
        <f t="shared" ca="1" si="128"/>
        <v>0</v>
      </c>
      <c r="AJ63" s="208">
        <f ca="1">+SUM(AB63:AB$124)*SS50J</f>
        <v>0</v>
      </c>
      <c r="AK63" s="5">
        <f t="shared" ca="1" si="144"/>
        <v>33591.143212106464</v>
      </c>
      <c r="AL63" s="2">
        <f t="shared" ca="1" si="57"/>
        <v>0</v>
      </c>
      <c r="AM63" s="131">
        <f t="shared" ca="1" si="84"/>
        <v>10799.3006960532</v>
      </c>
      <c r="AN63" s="129">
        <f t="shared" ca="1" si="145"/>
        <v>0</v>
      </c>
      <c r="AO63" s="129">
        <f ca="1">SUM(AN63:AN$124)*SSa</f>
        <v>0</v>
      </c>
      <c r="AP63" s="70">
        <f t="shared" ca="1" si="146"/>
        <v>33591.143212106464</v>
      </c>
      <c r="AQ63" s="2">
        <f t="shared" ca="1" si="58"/>
        <v>0</v>
      </c>
      <c r="AR63" s="127">
        <f t="shared" ca="1" si="147"/>
        <v>0</v>
      </c>
      <c r="AS63" s="127">
        <f ca="1">SUM(AR63:AR$124)*SSb</f>
        <v>0</v>
      </c>
      <c r="AT63" s="70">
        <f t="shared" ca="1" si="148"/>
        <v>33591.143212106464</v>
      </c>
      <c r="AU63" s="2">
        <f t="shared" ca="1" si="59"/>
        <v>0</v>
      </c>
      <c r="AV63" s="268">
        <f t="shared" ca="1" si="149"/>
        <v>0</v>
      </c>
      <c r="AW63" s="131">
        <f ca="1">SUM(AV63:AV$124)*SSc</f>
        <v>0</v>
      </c>
      <c r="AX63" s="70">
        <f t="shared" ca="1" si="150"/>
        <v>33591.143212106464</v>
      </c>
      <c r="AY63" s="2">
        <f t="shared" ca="1" si="60"/>
        <v>0</v>
      </c>
      <c r="AZ63" s="268">
        <f t="shared" ca="1" si="151"/>
        <v>0</v>
      </c>
      <c r="BA63" s="129">
        <f ca="1">SUM(AZ63:AZ$124)*SSd</f>
        <v>0</v>
      </c>
      <c r="BB63" s="70">
        <f t="shared" ca="1" si="152"/>
        <v>33591.143212106464</v>
      </c>
      <c r="BC63" s="257">
        <f t="shared" ca="1" si="61"/>
        <v>0</v>
      </c>
      <c r="BD63" s="268">
        <f t="shared" ca="1" si="153"/>
        <v>0</v>
      </c>
      <c r="BE63" s="131">
        <f ca="1">SUM(BD63:BD$124)*SSe</f>
        <v>0</v>
      </c>
      <c r="BF63" s="70">
        <f t="shared" ca="1" si="154"/>
        <v>33591.143212106464</v>
      </c>
      <c r="BG63" s="2">
        <f t="shared" ca="1" si="62"/>
        <v>0</v>
      </c>
      <c r="BH63" s="131">
        <f t="shared" ca="1" si="155"/>
        <v>0</v>
      </c>
      <c r="BI63" s="2">
        <f ca="1">SUM(BH63:BH$124)*SSf</f>
        <v>0</v>
      </c>
      <c r="BJ63" s="70">
        <f t="shared" ca="1" si="156"/>
        <v>33591.143212106464</v>
      </c>
      <c r="BK63" s="2">
        <f t="shared" ca="1" si="63"/>
        <v>0</v>
      </c>
      <c r="BL63" s="131">
        <f t="shared" ca="1" si="157"/>
        <v>0</v>
      </c>
      <c r="BM63" s="131">
        <f ca="1">SUM(BL63:BL$124)*SSg</f>
        <v>0</v>
      </c>
      <c r="BN63" s="70">
        <f t="shared" ca="1" si="158"/>
        <v>33591.143212106464</v>
      </c>
      <c r="BO63" s="2">
        <f t="shared" ca="1" si="64"/>
        <v>0</v>
      </c>
      <c r="BP63" s="131">
        <f t="shared" ca="1" si="159"/>
        <v>0</v>
      </c>
      <c r="BQ63" s="131">
        <f ca="1">SUM(BP63:BP$124)*SSh</f>
        <v>0</v>
      </c>
      <c r="BR63" s="70">
        <f t="shared" ca="1" si="160"/>
        <v>33591.143212106464</v>
      </c>
      <c r="BS63" s="2">
        <f t="shared" ca="1" si="129"/>
        <v>0</v>
      </c>
      <c r="BT63" s="131">
        <f t="shared" ca="1" si="161"/>
        <v>0</v>
      </c>
      <c r="BU63" s="131">
        <f ca="1">SUM(BT63:BT$124)*SSi</f>
        <v>0</v>
      </c>
      <c r="BV63" s="70">
        <f t="shared" ca="1" si="162"/>
        <v>33591.143212106464</v>
      </c>
      <c r="BW63" s="2">
        <f t="shared" ca="1" si="66"/>
        <v>0</v>
      </c>
      <c r="BX63" s="131">
        <f t="shared" ca="1" si="163"/>
        <v>0</v>
      </c>
      <c r="BY63" s="131">
        <f ca="1">SUM(BX63:BX$124)*SSj</f>
        <v>0</v>
      </c>
      <c r="BZ63" s="70">
        <f t="shared" ca="1" si="164"/>
        <v>33591.143212106464</v>
      </c>
      <c r="CA63" s="2">
        <f t="shared" ca="1" si="67"/>
        <v>0</v>
      </c>
      <c r="CB63" s="131">
        <f t="shared" ca="1" si="165"/>
        <v>0</v>
      </c>
      <c r="CC63" s="131">
        <f ca="1">SUM(CB63:CB$124)*SSk</f>
        <v>0</v>
      </c>
      <c r="CD63" s="8">
        <f t="shared" ca="1" si="166"/>
        <v>33591.143212106464</v>
      </c>
      <c r="CE63" s="2">
        <f t="shared" ca="1" si="68"/>
        <v>0</v>
      </c>
      <c r="CF63" s="131">
        <f t="shared" ca="1" si="167"/>
        <v>0</v>
      </c>
      <c r="CG63" s="131">
        <f ca="1">SUM(CF63:CF$124)*SSl</f>
        <v>0</v>
      </c>
      <c r="CH63" s="155">
        <f t="shared" si="108"/>
        <v>0.01</v>
      </c>
      <c r="CI63" s="155">
        <f t="shared" ca="1" si="109"/>
        <v>0</v>
      </c>
      <c r="CJ63" s="155">
        <f t="shared" ca="1" si="110"/>
        <v>0</v>
      </c>
      <c r="CK63" s="155">
        <f ca="1">유해지!CY63</f>
        <v>0</v>
      </c>
      <c r="CL63" s="529">
        <f t="shared" ca="1" si="130"/>
        <v>0</v>
      </c>
      <c r="CM63" s="155">
        <f t="shared" ca="1" si="111"/>
        <v>0</v>
      </c>
      <c r="CN63" s="155">
        <f ca="1">SUM(CM63:$CM$125)</f>
        <v>0</v>
      </c>
      <c r="CO63" s="101">
        <f t="shared" ca="1" si="112"/>
        <v>0</v>
      </c>
      <c r="CP63" s="154">
        <f t="shared" ca="1" si="131"/>
        <v>0</v>
      </c>
      <c r="CQ63" s="154">
        <f t="shared" ca="1" si="132"/>
        <v>0</v>
      </c>
      <c r="CR63" s="32">
        <f t="shared" ca="1" si="133"/>
        <v>0</v>
      </c>
      <c r="CS63" s="32">
        <f t="shared" ca="1" si="134"/>
        <v>0</v>
      </c>
      <c r="CT63" s="32">
        <f t="shared" ca="1" si="135"/>
        <v>0</v>
      </c>
      <c r="CU63" s="32">
        <f t="shared" ca="1" si="136"/>
        <v>0</v>
      </c>
      <c r="CV63" s="32">
        <f t="shared" si="137"/>
        <v>0</v>
      </c>
      <c r="CW63" s="32">
        <f t="shared" ca="1" si="138"/>
        <v>0</v>
      </c>
      <c r="CX63" s="259">
        <f ca="1">IF(R63&lt;m,0,ROUND(IF($R63&gt;nB,0,GPB*mB*mmB*유해지!CY63),roundB))</f>
        <v>0</v>
      </c>
      <c r="CY63" s="262">
        <f t="shared" ca="1" si="139"/>
        <v>0</v>
      </c>
      <c r="CZ63" s="259" t="e">
        <f t="shared" ca="1" si="140"/>
        <v>#DIV/0!</v>
      </c>
      <c r="DA63" s="31">
        <f t="shared" si="141"/>
        <v>5</v>
      </c>
    </row>
    <row r="64" spans="2:105">
      <c r="N64" s="5">
        <f t="shared" si="113"/>
        <v>52</v>
      </c>
      <c r="O64" s="2">
        <f t="shared" ca="1" si="117"/>
        <v>0.31441809544062127</v>
      </c>
      <c r="P64" s="2">
        <f t="shared" ca="1" si="118"/>
        <v>0.31093948458084386</v>
      </c>
      <c r="Q64" s="91"/>
      <c r="R64" s="20">
        <f t="shared" si="114"/>
        <v>52</v>
      </c>
      <c r="S64" s="20" t="str">
        <f t="shared" si="119"/>
        <v/>
      </c>
      <c r="T64" s="2">
        <f t="shared" ca="1" si="169"/>
        <v>0</v>
      </c>
      <c r="U64" s="2">
        <f t="shared" ca="1" si="169"/>
        <v>0</v>
      </c>
      <c r="V64" s="300">
        <f t="shared" si="120"/>
        <v>0.01</v>
      </c>
      <c r="W64" s="8">
        <f t="shared" si="121"/>
        <v>0</v>
      </c>
      <c r="X64" s="10">
        <f t="shared" ca="1" si="122"/>
        <v>1.0000000000000009E-2</v>
      </c>
      <c r="Y64" s="10">
        <f t="shared" ca="1" si="123"/>
        <v>0</v>
      </c>
      <c r="Z64" s="8">
        <f t="shared" ca="1" si="142"/>
        <v>0</v>
      </c>
      <c r="AA64" s="8">
        <f ca="1">+SUM(Z64:Z$124)</f>
        <v>0</v>
      </c>
      <c r="AB64" s="8">
        <f t="shared" ca="1" si="124"/>
        <v>0</v>
      </c>
      <c r="AC64" s="209">
        <f ca="1">+SUM(AB64:AB$124)*SSSM</f>
        <v>0</v>
      </c>
      <c r="AD64" s="209">
        <f t="shared" si="143"/>
        <v>0</v>
      </c>
      <c r="AE64" s="92">
        <f t="shared" ca="1" si="125"/>
        <v>0</v>
      </c>
      <c r="AF64" s="92">
        <f t="shared" ca="1" si="126"/>
        <v>0</v>
      </c>
      <c r="AG64" s="8">
        <f t="shared" ca="1" si="127"/>
        <v>0</v>
      </c>
      <c r="AH64" s="5">
        <f ca="1">+SUM(AG64:AG$124)</f>
        <v>0</v>
      </c>
      <c r="AI64" s="70">
        <f t="shared" ca="1" si="128"/>
        <v>0</v>
      </c>
      <c r="AJ64" s="208">
        <f ca="1">+SUM(AB64:AB$124)*SS50J</f>
        <v>0</v>
      </c>
      <c r="AK64" s="5">
        <f t="shared" ca="1" si="144"/>
        <v>33255.231779985399</v>
      </c>
      <c r="AL64" s="2">
        <f t="shared" ca="1" si="57"/>
        <v>0</v>
      </c>
      <c r="AM64" s="131">
        <f t="shared" ca="1" si="84"/>
        <v>10456.046639699431</v>
      </c>
      <c r="AN64" s="129">
        <f t="shared" ca="1" si="145"/>
        <v>0</v>
      </c>
      <c r="AO64" s="129">
        <f ca="1">SUM(AN64:AN$124)*SSa</f>
        <v>0</v>
      </c>
      <c r="AP64" s="70">
        <f t="shared" ca="1" si="146"/>
        <v>33255.231779985399</v>
      </c>
      <c r="AQ64" s="2">
        <f t="shared" ca="1" si="58"/>
        <v>0</v>
      </c>
      <c r="AR64" s="127">
        <f t="shared" ca="1" si="147"/>
        <v>0</v>
      </c>
      <c r="AS64" s="127">
        <f ca="1">SUM(AR64:AR$124)*SSb</f>
        <v>0</v>
      </c>
      <c r="AT64" s="70">
        <f t="shared" ca="1" si="148"/>
        <v>33255.231779985399</v>
      </c>
      <c r="AU64" s="2">
        <f t="shared" ca="1" si="59"/>
        <v>0</v>
      </c>
      <c r="AV64" s="268">
        <f t="shared" ca="1" si="149"/>
        <v>0</v>
      </c>
      <c r="AW64" s="131">
        <f ca="1">SUM(AV64:AV$124)*SSc</f>
        <v>0</v>
      </c>
      <c r="AX64" s="70">
        <f t="shared" ca="1" si="150"/>
        <v>33255.231779985399</v>
      </c>
      <c r="AY64" s="2">
        <f t="shared" ca="1" si="60"/>
        <v>0</v>
      </c>
      <c r="AZ64" s="268">
        <f t="shared" ca="1" si="151"/>
        <v>0</v>
      </c>
      <c r="BA64" s="129">
        <f ca="1">SUM(AZ64:AZ$124)*SSd</f>
        <v>0</v>
      </c>
      <c r="BB64" s="70">
        <f t="shared" ca="1" si="152"/>
        <v>33255.231779985399</v>
      </c>
      <c r="BC64" s="257">
        <f t="shared" ca="1" si="61"/>
        <v>0</v>
      </c>
      <c r="BD64" s="268">
        <f t="shared" ca="1" si="153"/>
        <v>0</v>
      </c>
      <c r="BE64" s="131">
        <f ca="1">SUM(BD64:BD$124)*SSe</f>
        <v>0</v>
      </c>
      <c r="BF64" s="70">
        <f t="shared" ca="1" si="154"/>
        <v>33255.231779985399</v>
      </c>
      <c r="BG64" s="2">
        <f t="shared" ca="1" si="62"/>
        <v>0</v>
      </c>
      <c r="BH64" s="131">
        <f t="shared" ca="1" si="155"/>
        <v>0</v>
      </c>
      <c r="BI64" s="2">
        <f ca="1">SUM(BH64:BH$124)*SSf</f>
        <v>0</v>
      </c>
      <c r="BJ64" s="70">
        <f t="shared" ca="1" si="156"/>
        <v>33255.231779985399</v>
      </c>
      <c r="BK64" s="2">
        <f t="shared" ca="1" si="63"/>
        <v>0</v>
      </c>
      <c r="BL64" s="131">
        <f t="shared" ca="1" si="157"/>
        <v>0</v>
      </c>
      <c r="BM64" s="131">
        <f ca="1">SUM(BL64:BL$124)*SSg</f>
        <v>0</v>
      </c>
      <c r="BN64" s="70">
        <f t="shared" ca="1" si="158"/>
        <v>33255.231779985399</v>
      </c>
      <c r="BO64" s="2">
        <f t="shared" ca="1" si="64"/>
        <v>0</v>
      </c>
      <c r="BP64" s="131">
        <f t="shared" ca="1" si="159"/>
        <v>0</v>
      </c>
      <c r="BQ64" s="131">
        <f ca="1">SUM(BP64:BP$124)*SSh</f>
        <v>0</v>
      </c>
      <c r="BR64" s="70">
        <f t="shared" ca="1" si="160"/>
        <v>33255.231779985399</v>
      </c>
      <c r="BS64" s="2">
        <f t="shared" ca="1" si="129"/>
        <v>0</v>
      </c>
      <c r="BT64" s="131">
        <f t="shared" ca="1" si="161"/>
        <v>0</v>
      </c>
      <c r="BU64" s="131">
        <f ca="1">SUM(BT64:BT$124)*SSi</f>
        <v>0</v>
      </c>
      <c r="BV64" s="70">
        <f t="shared" ca="1" si="162"/>
        <v>33255.231779985399</v>
      </c>
      <c r="BW64" s="2">
        <f t="shared" ca="1" si="66"/>
        <v>0</v>
      </c>
      <c r="BX64" s="131">
        <f t="shared" ca="1" si="163"/>
        <v>0</v>
      </c>
      <c r="BY64" s="131">
        <f ca="1">SUM(BX64:BX$124)*SSj</f>
        <v>0</v>
      </c>
      <c r="BZ64" s="70">
        <f t="shared" ca="1" si="164"/>
        <v>33255.231779985399</v>
      </c>
      <c r="CA64" s="2">
        <f t="shared" ca="1" si="67"/>
        <v>0</v>
      </c>
      <c r="CB64" s="131">
        <f t="shared" ca="1" si="165"/>
        <v>0</v>
      </c>
      <c r="CC64" s="131">
        <f ca="1">SUM(CB64:CB$124)*SSk</f>
        <v>0</v>
      </c>
      <c r="CD64" s="8">
        <f t="shared" ca="1" si="166"/>
        <v>33255.231779985399</v>
      </c>
      <c r="CE64" s="2">
        <f t="shared" ca="1" si="68"/>
        <v>0</v>
      </c>
      <c r="CF64" s="131">
        <f t="shared" ca="1" si="167"/>
        <v>0</v>
      </c>
      <c r="CG64" s="131">
        <f ca="1">SUM(CF64:CF$124)*SSl</f>
        <v>0</v>
      </c>
      <c r="CH64" s="155">
        <f t="shared" si="108"/>
        <v>0.01</v>
      </c>
      <c r="CI64" s="155">
        <f t="shared" ca="1" si="109"/>
        <v>0</v>
      </c>
      <c r="CJ64" s="155">
        <f t="shared" ca="1" si="110"/>
        <v>0</v>
      </c>
      <c r="CK64" s="155">
        <f ca="1">유해지!CY64</f>
        <v>0</v>
      </c>
      <c r="CL64" s="529">
        <f t="shared" ca="1" si="130"/>
        <v>0</v>
      </c>
      <c r="CM64" s="155">
        <f t="shared" ca="1" si="111"/>
        <v>0</v>
      </c>
      <c r="CN64" s="155">
        <f ca="1">SUM(CM64:$CM$125)</f>
        <v>0</v>
      </c>
      <c r="CO64" s="101">
        <f t="shared" ca="1" si="112"/>
        <v>0</v>
      </c>
      <c r="CP64" s="154">
        <f t="shared" ca="1" si="131"/>
        <v>0</v>
      </c>
      <c r="CQ64" s="154">
        <f t="shared" ca="1" si="132"/>
        <v>0</v>
      </c>
      <c r="CR64" s="32">
        <f t="shared" ca="1" si="133"/>
        <v>0</v>
      </c>
      <c r="CS64" s="32">
        <f t="shared" ca="1" si="134"/>
        <v>0</v>
      </c>
      <c r="CT64" s="32">
        <f t="shared" ca="1" si="135"/>
        <v>0</v>
      </c>
      <c r="CU64" s="32">
        <f t="shared" ca="1" si="136"/>
        <v>0</v>
      </c>
      <c r="CV64" s="32">
        <f t="shared" si="137"/>
        <v>0</v>
      </c>
      <c r="CW64" s="32">
        <f t="shared" ca="1" si="138"/>
        <v>0</v>
      </c>
      <c r="CX64" s="259">
        <f ca="1">IF(R64&lt;m,0,ROUND(IF($R64&gt;nB,0,GPB*mB*mmB*유해지!CY64),roundB))</f>
        <v>0</v>
      </c>
      <c r="CY64" s="262">
        <f t="shared" ca="1" si="139"/>
        <v>0</v>
      </c>
      <c r="CZ64" s="259" t="e">
        <f t="shared" ca="1" si="140"/>
        <v>#DIV/0!</v>
      </c>
      <c r="DA64" s="31">
        <f t="shared" si="141"/>
        <v>5</v>
      </c>
    </row>
    <row r="65" spans="14:105">
      <c r="N65" s="5">
        <f t="shared" si="113"/>
        <v>53</v>
      </c>
      <c r="O65" s="2">
        <f t="shared" ca="1" si="117"/>
        <v>0.30749935984412835</v>
      </c>
      <c r="P65" s="2">
        <f t="shared" ca="1" si="118"/>
        <v>0.30409729543358816</v>
      </c>
      <c r="Q65" s="91"/>
      <c r="R65" s="20">
        <f t="shared" si="114"/>
        <v>53</v>
      </c>
      <c r="S65" s="20" t="str">
        <f t="shared" si="119"/>
        <v/>
      </c>
      <c r="T65" s="2">
        <f t="shared" ca="1" si="169"/>
        <v>0</v>
      </c>
      <c r="U65" s="2">
        <f t="shared" ca="1" si="169"/>
        <v>0</v>
      </c>
      <c r="V65" s="300">
        <f t="shared" si="120"/>
        <v>0.01</v>
      </c>
      <c r="W65" s="8">
        <f t="shared" si="121"/>
        <v>0</v>
      </c>
      <c r="X65" s="10">
        <f t="shared" ca="1" si="122"/>
        <v>1.0000000000000009E-2</v>
      </c>
      <c r="Y65" s="10">
        <f t="shared" ca="1" si="123"/>
        <v>0</v>
      </c>
      <c r="Z65" s="8">
        <f t="shared" ca="1" si="142"/>
        <v>0</v>
      </c>
      <c r="AA65" s="8">
        <f ca="1">+SUM(Z65:Z$124)</f>
        <v>0</v>
      </c>
      <c r="AB65" s="8">
        <f t="shared" ca="1" si="124"/>
        <v>0</v>
      </c>
      <c r="AC65" s="209">
        <f ca="1">+SUM(AB65:AB$124)*SSSM</f>
        <v>0</v>
      </c>
      <c r="AD65" s="209">
        <f t="shared" si="143"/>
        <v>0</v>
      </c>
      <c r="AE65" s="92">
        <f t="shared" ca="1" si="125"/>
        <v>0</v>
      </c>
      <c r="AF65" s="92">
        <f t="shared" ca="1" si="126"/>
        <v>0</v>
      </c>
      <c r="AG65" s="8">
        <f t="shared" ca="1" si="127"/>
        <v>0</v>
      </c>
      <c r="AH65" s="5">
        <f ca="1">+SUM(AG65:AG$124)</f>
        <v>0</v>
      </c>
      <c r="AI65" s="70">
        <f t="shared" ca="1" si="128"/>
        <v>0</v>
      </c>
      <c r="AJ65" s="208">
        <f ca="1">+SUM(AB65:AB$124)*SS50J</f>
        <v>0</v>
      </c>
      <c r="AK65" s="5">
        <f t="shared" ca="1" si="144"/>
        <v>32922.679462185544</v>
      </c>
      <c r="AL65" s="2">
        <f t="shared" ca="1" si="57"/>
        <v>0</v>
      </c>
      <c r="AM65" s="131">
        <f t="shared" ca="1" si="84"/>
        <v>10123.702858975486</v>
      </c>
      <c r="AN65" s="129">
        <f t="shared" ca="1" si="145"/>
        <v>0</v>
      </c>
      <c r="AO65" s="129">
        <f ca="1">SUM(AN65:AN$124)*SSa</f>
        <v>0</v>
      </c>
      <c r="AP65" s="70">
        <f t="shared" ca="1" si="146"/>
        <v>32922.679462185544</v>
      </c>
      <c r="AQ65" s="2">
        <f t="shared" ca="1" si="58"/>
        <v>0</v>
      </c>
      <c r="AR65" s="127">
        <f t="shared" ca="1" si="147"/>
        <v>0</v>
      </c>
      <c r="AS65" s="127">
        <f ca="1">SUM(AR65:AR$124)*SSb</f>
        <v>0</v>
      </c>
      <c r="AT65" s="70">
        <f t="shared" ca="1" si="148"/>
        <v>32922.679462185544</v>
      </c>
      <c r="AU65" s="2">
        <f t="shared" ca="1" si="59"/>
        <v>0</v>
      </c>
      <c r="AV65" s="268">
        <f t="shared" ca="1" si="149"/>
        <v>0</v>
      </c>
      <c r="AW65" s="131">
        <f ca="1">SUM(AV65:AV$124)*SSc</f>
        <v>0</v>
      </c>
      <c r="AX65" s="70">
        <f t="shared" ca="1" si="150"/>
        <v>32922.679462185544</v>
      </c>
      <c r="AY65" s="2">
        <f t="shared" ca="1" si="60"/>
        <v>0</v>
      </c>
      <c r="AZ65" s="268">
        <f t="shared" ca="1" si="151"/>
        <v>0</v>
      </c>
      <c r="BA65" s="129">
        <f ca="1">SUM(AZ65:AZ$124)*SSd</f>
        <v>0</v>
      </c>
      <c r="BB65" s="70">
        <f t="shared" ca="1" si="152"/>
        <v>32922.679462185544</v>
      </c>
      <c r="BC65" s="257">
        <f t="shared" ca="1" si="61"/>
        <v>0</v>
      </c>
      <c r="BD65" s="268">
        <f t="shared" ca="1" si="153"/>
        <v>0</v>
      </c>
      <c r="BE65" s="131">
        <f ca="1">SUM(BD65:BD$124)*SSe</f>
        <v>0</v>
      </c>
      <c r="BF65" s="70">
        <f t="shared" ca="1" si="154"/>
        <v>32922.679462185544</v>
      </c>
      <c r="BG65" s="2">
        <f t="shared" ca="1" si="62"/>
        <v>0</v>
      </c>
      <c r="BH65" s="131">
        <f t="shared" ca="1" si="155"/>
        <v>0</v>
      </c>
      <c r="BI65" s="2">
        <f ca="1">SUM(BH65:BH$124)*SSf</f>
        <v>0</v>
      </c>
      <c r="BJ65" s="70">
        <f t="shared" ca="1" si="156"/>
        <v>32922.679462185544</v>
      </c>
      <c r="BK65" s="2">
        <f t="shared" ca="1" si="63"/>
        <v>0</v>
      </c>
      <c r="BL65" s="131">
        <f t="shared" ca="1" si="157"/>
        <v>0</v>
      </c>
      <c r="BM65" s="131">
        <f ca="1">SUM(BL65:BL$124)*SSg</f>
        <v>0</v>
      </c>
      <c r="BN65" s="70">
        <f t="shared" ca="1" si="158"/>
        <v>32922.679462185544</v>
      </c>
      <c r="BO65" s="2">
        <f t="shared" ca="1" si="64"/>
        <v>0</v>
      </c>
      <c r="BP65" s="131">
        <f t="shared" ca="1" si="159"/>
        <v>0</v>
      </c>
      <c r="BQ65" s="131">
        <f ca="1">SUM(BP65:BP$124)*SSh</f>
        <v>0</v>
      </c>
      <c r="BR65" s="70">
        <f t="shared" ca="1" si="160"/>
        <v>32922.679462185544</v>
      </c>
      <c r="BS65" s="2">
        <f t="shared" ca="1" si="129"/>
        <v>0</v>
      </c>
      <c r="BT65" s="131">
        <f t="shared" ca="1" si="161"/>
        <v>0</v>
      </c>
      <c r="BU65" s="131">
        <f ca="1">SUM(BT65:BT$124)*SSi</f>
        <v>0</v>
      </c>
      <c r="BV65" s="70">
        <f t="shared" ca="1" si="162"/>
        <v>32922.679462185544</v>
      </c>
      <c r="BW65" s="2">
        <f t="shared" ca="1" si="66"/>
        <v>0</v>
      </c>
      <c r="BX65" s="131">
        <f t="shared" ca="1" si="163"/>
        <v>0</v>
      </c>
      <c r="BY65" s="131">
        <f ca="1">SUM(BX65:BX$124)*SSj</f>
        <v>0</v>
      </c>
      <c r="BZ65" s="70">
        <f t="shared" ca="1" si="164"/>
        <v>32922.679462185544</v>
      </c>
      <c r="CA65" s="2">
        <f t="shared" ca="1" si="67"/>
        <v>0</v>
      </c>
      <c r="CB65" s="131">
        <f t="shared" ca="1" si="165"/>
        <v>0</v>
      </c>
      <c r="CC65" s="131">
        <f ca="1">SUM(CB65:CB$124)*SSk</f>
        <v>0</v>
      </c>
      <c r="CD65" s="8">
        <f t="shared" ca="1" si="166"/>
        <v>32922.679462185544</v>
      </c>
      <c r="CE65" s="2">
        <f t="shared" ca="1" si="68"/>
        <v>0</v>
      </c>
      <c r="CF65" s="131">
        <f t="shared" ca="1" si="167"/>
        <v>0</v>
      </c>
      <c r="CG65" s="131">
        <f ca="1">SUM(CF65:CF$124)*SSl</f>
        <v>0</v>
      </c>
      <c r="CH65" s="155">
        <f t="shared" si="108"/>
        <v>0.01</v>
      </c>
      <c r="CI65" s="155">
        <f t="shared" ca="1" si="109"/>
        <v>0</v>
      </c>
      <c r="CJ65" s="155">
        <f t="shared" ca="1" si="110"/>
        <v>0</v>
      </c>
      <c r="CK65" s="155">
        <f ca="1">유해지!CY65</f>
        <v>0</v>
      </c>
      <c r="CL65" s="529">
        <f t="shared" ca="1" si="130"/>
        <v>0</v>
      </c>
      <c r="CM65" s="155">
        <f t="shared" ca="1" si="111"/>
        <v>0</v>
      </c>
      <c r="CN65" s="155">
        <f ca="1">SUM(CM65:$CM$125)</f>
        <v>0</v>
      </c>
      <c r="CO65" s="101">
        <f t="shared" ca="1" si="112"/>
        <v>0</v>
      </c>
      <c r="CP65" s="154">
        <f t="shared" ca="1" si="131"/>
        <v>0</v>
      </c>
      <c r="CQ65" s="154">
        <f t="shared" ca="1" si="132"/>
        <v>0</v>
      </c>
      <c r="CR65" s="32">
        <f t="shared" ca="1" si="133"/>
        <v>0</v>
      </c>
      <c r="CS65" s="32">
        <f t="shared" ca="1" si="134"/>
        <v>0</v>
      </c>
      <c r="CT65" s="32">
        <f t="shared" ca="1" si="135"/>
        <v>0</v>
      </c>
      <c r="CU65" s="32">
        <f t="shared" ca="1" si="136"/>
        <v>0</v>
      </c>
      <c r="CV65" s="32">
        <f t="shared" si="137"/>
        <v>0</v>
      </c>
      <c r="CW65" s="32">
        <f t="shared" ca="1" si="138"/>
        <v>0</v>
      </c>
      <c r="CX65" s="259">
        <f ca="1">IF(R65&lt;m,0,ROUND(IF($R65&gt;nB,0,GPB*mB*mmB*유해지!CY65),roundB))</f>
        <v>0</v>
      </c>
      <c r="CY65" s="262">
        <f t="shared" ca="1" si="139"/>
        <v>0</v>
      </c>
      <c r="CZ65" s="259" t="e">
        <f t="shared" ca="1" si="140"/>
        <v>#DIV/0!</v>
      </c>
      <c r="DA65" s="31">
        <f t="shared" si="141"/>
        <v>5</v>
      </c>
    </row>
    <row r="66" spans="14:105">
      <c r="N66" s="5">
        <f t="shared" si="113"/>
        <v>54</v>
      </c>
      <c r="O66" s="2">
        <f t="shared" ca="1" si="117"/>
        <v>0.30073287026320628</v>
      </c>
      <c r="P66" s="2">
        <f t="shared" ca="1" si="118"/>
        <v>0.29740566790570971</v>
      </c>
      <c r="Q66" s="91"/>
      <c r="R66" s="20">
        <f t="shared" si="114"/>
        <v>54</v>
      </c>
      <c r="S66" s="20" t="str">
        <f t="shared" si="119"/>
        <v/>
      </c>
      <c r="T66" s="2">
        <f t="shared" ca="1" si="169"/>
        <v>0</v>
      </c>
      <c r="U66" s="2">
        <f t="shared" ca="1" si="169"/>
        <v>0</v>
      </c>
      <c r="V66" s="300">
        <f t="shared" si="120"/>
        <v>0.01</v>
      </c>
      <c r="W66" s="8">
        <f t="shared" si="121"/>
        <v>0</v>
      </c>
      <c r="X66" s="10">
        <f t="shared" ca="1" si="122"/>
        <v>1.0000000000000009E-2</v>
      </c>
      <c r="Y66" s="10">
        <f t="shared" ca="1" si="123"/>
        <v>0</v>
      </c>
      <c r="Z66" s="8">
        <f t="shared" ca="1" si="142"/>
        <v>0</v>
      </c>
      <c r="AA66" s="8">
        <f ca="1">+SUM(Z66:Z$124)</f>
        <v>0</v>
      </c>
      <c r="AB66" s="8">
        <f t="shared" ca="1" si="124"/>
        <v>0</v>
      </c>
      <c r="AC66" s="209">
        <f ca="1">+SUM(AB66:AB$124)*SSSM</f>
        <v>0</v>
      </c>
      <c r="AD66" s="209">
        <f t="shared" si="143"/>
        <v>0</v>
      </c>
      <c r="AE66" s="92">
        <f t="shared" ca="1" si="125"/>
        <v>0</v>
      </c>
      <c r="AF66" s="92">
        <f t="shared" ca="1" si="126"/>
        <v>0</v>
      </c>
      <c r="AG66" s="8">
        <f t="shared" ca="1" si="127"/>
        <v>0</v>
      </c>
      <c r="AH66" s="5">
        <f ca="1">+SUM(AG66:AG$124)</f>
        <v>0</v>
      </c>
      <c r="AI66" s="70">
        <f t="shared" ca="1" si="128"/>
        <v>0</v>
      </c>
      <c r="AJ66" s="208">
        <f ca="1">+SUM(AB66:AB$124)*SS50J</f>
        <v>0</v>
      </c>
      <c r="AK66" s="5">
        <f t="shared" ca="1" si="144"/>
        <v>32593.452667563688</v>
      </c>
      <c r="AL66" s="2">
        <f t="shared" ca="1" si="57"/>
        <v>0</v>
      </c>
      <c r="AM66" s="131">
        <f t="shared" ca="1" si="84"/>
        <v>9801.9225725043852</v>
      </c>
      <c r="AN66" s="129">
        <f t="shared" ca="1" si="145"/>
        <v>0</v>
      </c>
      <c r="AO66" s="129">
        <f ca="1">SUM(AN66:AN$124)*SSa</f>
        <v>0</v>
      </c>
      <c r="AP66" s="70">
        <f t="shared" ca="1" si="146"/>
        <v>32593.452667563688</v>
      </c>
      <c r="AQ66" s="2">
        <f t="shared" ca="1" si="58"/>
        <v>0</v>
      </c>
      <c r="AR66" s="127">
        <f t="shared" ca="1" si="147"/>
        <v>0</v>
      </c>
      <c r="AS66" s="127">
        <f ca="1">SUM(AR66:AR$124)*SSb</f>
        <v>0</v>
      </c>
      <c r="AT66" s="70">
        <f t="shared" ca="1" si="148"/>
        <v>32593.452667563688</v>
      </c>
      <c r="AU66" s="2">
        <f t="shared" ca="1" si="59"/>
        <v>0</v>
      </c>
      <c r="AV66" s="268">
        <f t="shared" ca="1" si="149"/>
        <v>0</v>
      </c>
      <c r="AW66" s="131">
        <f ca="1">SUM(AV66:AV$124)*SSc</f>
        <v>0</v>
      </c>
      <c r="AX66" s="70">
        <f t="shared" ca="1" si="150"/>
        <v>32593.452667563688</v>
      </c>
      <c r="AY66" s="2">
        <f t="shared" ca="1" si="60"/>
        <v>0</v>
      </c>
      <c r="AZ66" s="268">
        <f t="shared" ca="1" si="151"/>
        <v>0</v>
      </c>
      <c r="BA66" s="129">
        <f ca="1">SUM(AZ66:AZ$124)*SSd</f>
        <v>0</v>
      </c>
      <c r="BB66" s="70">
        <f t="shared" ca="1" si="152"/>
        <v>32593.452667563688</v>
      </c>
      <c r="BC66" s="257">
        <f t="shared" ca="1" si="61"/>
        <v>0</v>
      </c>
      <c r="BD66" s="268">
        <f t="shared" ca="1" si="153"/>
        <v>0</v>
      </c>
      <c r="BE66" s="131">
        <f ca="1">SUM(BD66:BD$124)*SSe</f>
        <v>0</v>
      </c>
      <c r="BF66" s="70">
        <f t="shared" ca="1" si="154"/>
        <v>32593.452667563688</v>
      </c>
      <c r="BG66" s="2">
        <f t="shared" ca="1" si="62"/>
        <v>0</v>
      </c>
      <c r="BH66" s="131">
        <f t="shared" ca="1" si="155"/>
        <v>0</v>
      </c>
      <c r="BI66" s="2">
        <f ca="1">SUM(BH66:BH$124)*SSf</f>
        <v>0</v>
      </c>
      <c r="BJ66" s="70">
        <f t="shared" ca="1" si="156"/>
        <v>32593.452667563688</v>
      </c>
      <c r="BK66" s="2">
        <f t="shared" ca="1" si="63"/>
        <v>0</v>
      </c>
      <c r="BL66" s="131">
        <f t="shared" ca="1" si="157"/>
        <v>0</v>
      </c>
      <c r="BM66" s="131">
        <f ca="1">SUM(BL66:BL$124)*SSg</f>
        <v>0</v>
      </c>
      <c r="BN66" s="70">
        <f t="shared" ca="1" si="158"/>
        <v>32593.452667563688</v>
      </c>
      <c r="BO66" s="2">
        <f t="shared" ca="1" si="64"/>
        <v>0</v>
      </c>
      <c r="BP66" s="131">
        <f t="shared" ca="1" si="159"/>
        <v>0</v>
      </c>
      <c r="BQ66" s="131">
        <f ca="1">SUM(BP66:BP$124)*SSh</f>
        <v>0</v>
      </c>
      <c r="BR66" s="70">
        <f t="shared" ca="1" si="160"/>
        <v>32593.452667563688</v>
      </c>
      <c r="BS66" s="2">
        <f t="shared" ca="1" si="129"/>
        <v>0</v>
      </c>
      <c r="BT66" s="131">
        <f t="shared" ca="1" si="161"/>
        <v>0</v>
      </c>
      <c r="BU66" s="131">
        <f ca="1">SUM(BT66:BT$124)*SSi</f>
        <v>0</v>
      </c>
      <c r="BV66" s="70">
        <f t="shared" ca="1" si="162"/>
        <v>32593.452667563688</v>
      </c>
      <c r="BW66" s="2">
        <f t="shared" ca="1" si="66"/>
        <v>0</v>
      </c>
      <c r="BX66" s="131">
        <f t="shared" ca="1" si="163"/>
        <v>0</v>
      </c>
      <c r="BY66" s="131">
        <f ca="1">SUM(BX66:BX$124)*SSj</f>
        <v>0</v>
      </c>
      <c r="BZ66" s="70">
        <f t="shared" ca="1" si="164"/>
        <v>32593.452667563688</v>
      </c>
      <c r="CA66" s="2">
        <f t="shared" ca="1" si="67"/>
        <v>0</v>
      </c>
      <c r="CB66" s="131">
        <f t="shared" ca="1" si="165"/>
        <v>0</v>
      </c>
      <c r="CC66" s="131">
        <f ca="1">SUM(CB66:CB$124)*SSk</f>
        <v>0</v>
      </c>
      <c r="CD66" s="8">
        <f t="shared" ca="1" si="166"/>
        <v>32593.452667563688</v>
      </c>
      <c r="CE66" s="2">
        <f t="shared" ca="1" si="68"/>
        <v>0</v>
      </c>
      <c r="CF66" s="131">
        <f t="shared" ca="1" si="167"/>
        <v>0</v>
      </c>
      <c r="CG66" s="131">
        <f ca="1">SUM(CF66:CF$124)*SSl</f>
        <v>0</v>
      </c>
      <c r="CH66" s="155">
        <f t="shared" si="108"/>
        <v>0.01</v>
      </c>
      <c r="CI66" s="155">
        <f t="shared" ca="1" si="109"/>
        <v>0</v>
      </c>
      <c r="CJ66" s="155">
        <f t="shared" ca="1" si="110"/>
        <v>0</v>
      </c>
      <c r="CK66" s="155">
        <f ca="1">유해지!CY66</f>
        <v>0</v>
      </c>
      <c r="CL66" s="529">
        <f t="shared" ca="1" si="130"/>
        <v>0</v>
      </c>
      <c r="CM66" s="155">
        <f t="shared" ca="1" si="111"/>
        <v>0</v>
      </c>
      <c r="CN66" s="155">
        <f ca="1">SUM(CM66:$CM$125)</f>
        <v>0</v>
      </c>
      <c r="CO66" s="101">
        <f t="shared" ca="1" si="112"/>
        <v>0</v>
      </c>
      <c r="CP66" s="154">
        <f t="shared" ca="1" si="131"/>
        <v>0</v>
      </c>
      <c r="CQ66" s="154">
        <f t="shared" ca="1" si="132"/>
        <v>0</v>
      </c>
      <c r="CR66" s="32">
        <f t="shared" ca="1" si="133"/>
        <v>0</v>
      </c>
      <c r="CS66" s="32">
        <f t="shared" ca="1" si="134"/>
        <v>0</v>
      </c>
      <c r="CT66" s="32">
        <f t="shared" ca="1" si="135"/>
        <v>0</v>
      </c>
      <c r="CU66" s="32">
        <f t="shared" ca="1" si="136"/>
        <v>0</v>
      </c>
      <c r="CV66" s="32">
        <f t="shared" si="137"/>
        <v>0</v>
      </c>
      <c r="CW66" s="32">
        <f t="shared" ca="1" si="138"/>
        <v>0</v>
      </c>
      <c r="CX66" s="259">
        <f ca="1">IF(R66&lt;m,0,ROUND(IF($R66&gt;nB,0,GPB*mB*mmB*유해지!CY66),roundB))</f>
        <v>0</v>
      </c>
      <c r="CY66" s="262">
        <f t="shared" ca="1" si="139"/>
        <v>0</v>
      </c>
      <c r="CZ66" s="259" t="e">
        <f t="shared" ca="1" si="140"/>
        <v>#DIV/0!</v>
      </c>
      <c r="DA66" s="31">
        <f t="shared" si="141"/>
        <v>5</v>
      </c>
    </row>
    <row r="67" spans="14:105">
      <c r="N67" s="5">
        <f t="shared" si="113"/>
        <v>55</v>
      </c>
      <c r="O67" s="2">
        <f t="shared" ca="1" si="117"/>
        <v>0.29411527654103309</v>
      </c>
      <c r="P67" s="2">
        <f t="shared" ca="1" si="118"/>
        <v>0.29086128890533958</v>
      </c>
      <c r="Q67" s="91"/>
      <c r="R67" s="20">
        <f t="shared" si="114"/>
        <v>55</v>
      </c>
      <c r="S67" s="20" t="str">
        <f t="shared" si="119"/>
        <v/>
      </c>
      <c r="T67" s="2">
        <f t="shared" ca="1" si="169"/>
        <v>0</v>
      </c>
      <c r="U67" s="2">
        <f t="shared" ca="1" si="169"/>
        <v>0</v>
      </c>
      <c r="V67" s="300">
        <f t="shared" si="120"/>
        <v>0.01</v>
      </c>
      <c r="W67" s="8">
        <f t="shared" si="121"/>
        <v>0</v>
      </c>
      <c r="X67" s="10">
        <f t="shared" ca="1" si="122"/>
        <v>1.0000000000000009E-2</v>
      </c>
      <c r="Y67" s="10">
        <f t="shared" ca="1" si="123"/>
        <v>0</v>
      </c>
      <c r="Z67" s="8">
        <f t="shared" ca="1" si="142"/>
        <v>0</v>
      </c>
      <c r="AA67" s="8">
        <f ca="1">+SUM(Z67:Z$124)</f>
        <v>0</v>
      </c>
      <c r="AB67" s="8">
        <f t="shared" ca="1" si="124"/>
        <v>0</v>
      </c>
      <c r="AC67" s="209">
        <f ca="1">+SUM(AB67:AB$124)*SSSM</f>
        <v>0</v>
      </c>
      <c r="AD67" s="209">
        <f t="shared" si="143"/>
        <v>0</v>
      </c>
      <c r="AE67" s="92">
        <f t="shared" ca="1" si="125"/>
        <v>0</v>
      </c>
      <c r="AF67" s="92">
        <f t="shared" ca="1" si="126"/>
        <v>0</v>
      </c>
      <c r="AG67" s="8">
        <f t="shared" ca="1" si="127"/>
        <v>0</v>
      </c>
      <c r="AH67" s="5">
        <f ca="1">+SUM(AG67:AG$124)</f>
        <v>0</v>
      </c>
      <c r="AI67" s="70">
        <f t="shared" ca="1" si="128"/>
        <v>0</v>
      </c>
      <c r="AJ67" s="208">
        <f ca="1">+SUM(AB67:AB$124)*SS50J</f>
        <v>0</v>
      </c>
      <c r="AK67" s="5">
        <f t="shared" ca="1" si="144"/>
        <v>32267.518140888053</v>
      </c>
      <c r="AL67" s="2">
        <f t="shared" ca="1" si="57"/>
        <v>0</v>
      </c>
      <c r="AM67" s="131">
        <f t="shared" ca="1" si="84"/>
        <v>9490.370021300092</v>
      </c>
      <c r="AN67" s="129">
        <f t="shared" ca="1" si="145"/>
        <v>0</v>
      </c>
      <c r="AO67" s="129">
        <f ca="1">SUM(AN67:AN$124)*SSa</f>
        <v>0</v>
      </c>
      <c r="AP67" s="70">
        <f t="shared" ca="1" si="146"/>
        <v>32267.518140888053</v>
      </c>
      <c r="AQ67" s="2">
        <f t="shared" ca="1" si="58"/>
        <v>0</v>
      </c>
      <c r="AR67" s="127">
        <f t="shared" ca="1" si="147"/>
        <v>0</v>
      </c>
      <c r="AS67" s="127">
        <f ca="1">SUM(AR67:AR$124)*SSb</f>
        <v>0</v>
      </c>
      <c r="AT67" s="70">
        <f t="shared" ca="1" si="148"/>
        <v>32267.518140888053</v>
      </c>
      <c r="AU67" s="2">
        <f t="shared" ca="1" si="59"/>
        <v>0</v>
      </c>
      <c r="AV67" s="268">
        <f t="shared" ca="1" si="149"/>
        <v>0</v>
      </c>
      <c r="AW67" s="131">
        <f ca="1">SUM(AV67:AV$124)*SSc</f>
        <v>0</v>
      </c>
      <c r="AX67" s="70">
        <f t="shared" ca="1" si="150"/>
        <v>32267.518140888053</v>
      </c>
      <c r="AY67" s="2">
        <f t="shared" ca="1" si="60"/>
        <v>0</v>
      </c>
      <c r="AZ67" s="268">
        <f t="shared" ca="1" si="151"/>
        <v>0</v>
      </c>
      <c r="BA67" s="129">
        <f ca="1">SUM(AZ67:AZ$124)*SSd</f>
        <v>0</v>
      </c>
      <c r="BB67" s="70">
        <f t="shared" ca="1" si="152"/>
        <v>32267.518140888053</v>
      </c>
      <c r="BC67" s="257">
        <f t="shared" ca="1" si="61"/>
        <v>0</v>
      </c>
      <c r="BD67" s="268">
        <f t="shared" ca="1" si="153"/>
        <v>0</v>
      </c>
      <c r="BE67" s="131">
        <f ca="1">SUM(BD67:BD$124)*SSe</f>
        <v>0</v>
      </c>
      <c r="BF67" s="70">
        <f t="shared" ca="1" si="154"/>
        <v>32267.518140888053</v>
      </c>
      <c r="BG67" s="2">
        <f t="shared" ca="1" si="62"/>
        <v>0</v>
      </c>
      <c r="BH67" s="131">
        <f t="shared" ca="1" si="155"/>
        <v>0</v>
      </c>
      <c r="BI67" s="2">
        <f ca="1">SUM(BH67:BH$124)*SSf</f>
        <v>0</v>
      </c>
      <c r="BJ67" s="70">
        <f t="shared" ca="1" si="156"/>
        <v>32267.518140888053</v>
      </c>
      <c r="BK67" s="2">
        <f t="shared" ca="1" si="63"/>
        <v>0</v>
      </c>
      <c r="BL67" s="131">
        <f t="shared" ca="1" si="157"/>
        <v>0</v>
      </c>
      <c r="BM67" s="131">
        <f ca="1">SUM(BL67:BL$124)*SSg</f>
        <v>0</v>
      </c>
      <c r="BN67" s="70">
        <f t="shared" ca="1" si="158"/>
        <v>32267.518140888053</v>
      </c>
      <c r="BO67" s="2">
        <f t="shared" ca="1" si="64"/>
        <v>0</v>
      </c>
      <c r="BP67" s="131">
        <f t="shared" ca="1" si="159"/>
        <v>0</v>
      </c>
      <c r="BQ67" s="131">
        <f ca="1">SUM(BP67:BP$124)*SSh</f>
        <v>0</v>
      </c>
      <c r="BR67" s="70">
        <f t="shared" ca="1" si="160"/>
        <v>32267.518140888053</v>
      </c>
      <c r="BS67" s="2">
        <f t="shared" ca="1" si="129"/>
        <v>0</v>
      </c>
      <c r="BT67" s="131">
        <f t="shared" ca="1" si="161"/>
        <v>0</v>
      </c>
      <c r="BU67" s="131">
        <f ca="1">SUM(BT67:BT$124)*SSi</f>
        <v>0</v>
      </c>
      <c r="BV67" s="70">
        <f t="shared" ca="1" si="162"/>
        <v>32267.518140888053</v>
      </c>
      <c r="BW67" s="2">
        <f t="shared" ca="1" si="66"/>
        <v>0</v>
      </c>
      <c r="BX67" s="131">
        <f t="shared" ca="1" si="163"/>
        <v>0</v>
      </c>
      <c r="BY67" s="131">
        <f ca="1">SUM(BX67:BX$124)*SSj</f>
        <v>0</v>
      </c>
      <c r="BZ67" s="70">
        <f t="shared" ca="1" si="164"/>
        <v>32267.518140888053</v>
      </c>
      <c r="CA67" s="2">
        <f t="shared" ca="1" si="67"/>
        <v>0</v>
      </c>
      <c r="CB67" s="131">
        <f t="shared" ca="1" si="165"/>
        <v>0</v>
      </c>
      <c r="CC67" s="131">
        <f ca="1">SUM(CB67:CB$124)*SSk</f>
        <v>0</v>
      </c>
      <c r="CD67" s="8">
        <f t="shared" ca="1" si="166"/>
        <v>32267.518140888053</v>
      </c>
      <c r="CE67" s="2">
        <f t="shared" ca="1" si="68"/>
        <v>0</v>
      </c>
      <c r="CF67" s="131">
        <f t="shared" ca="1" si="167"/>
        <v>0</v>
      </c>
      <c r="CG67" s="131">
        <f ca="1">SUM(CF67:CF$124)*SSl</f>
        <v>0</v>
      </c>
      <c r="CH67" s="155">
        <f t="shared" si="108"/>
        <v>0.01</v>
      </c>
      <c r="CI67" s="155">
        <f t="shared" ca="1" si="109"/>
        <v>0</v>
      </c>
      <c r="CJ67" s="155">
        <f t="shared" ca="1" si="110"/>
        <v>0</v>
      </c>
      <c r="CK67" s="155">
        <f ca="1">유해지!CY67</f>
        <v>0</v>
      </c>
      <c r="CL67" s="529">
        <f t="shared" ca="1" si="130"/>
        <v>0</v>
      </c>
      <c r="CM67" s="155">
        <f t="shared" ca="1" si="111"/>
        <v>0</v>
      </c>
      <c r="CN67" s="155">
        <f ca="1">SUM(CM67:$CM$125)</f>
        <v>0</v>
      </c>
      <c r="CO67" s="101">
        <f t="shared" ca="1" si="112"/>
        <v>0</v>
      </c>
      <c r="CP67" s="154">
        <f t="shared" ca="1" si="131"/>
        <v>0</v>
      </c>
      <c r="CQ67" s="154">
        <f t="shared" ca="1" si="132"/>
        <v>0</v>
      </c>
      <c r="CR67" s="32">
        <f t="shared" ca="1" si="133"/>
        <v>0</v>
      </c>
      <c r="CS67" s="32">
        <f t="shared" ca="1" si="134"/>
        <v>0</v>
      </c>
      <c r="CT67" s="32">
        <f t="shared" ca="1" si="135"/>
        <v>0</v>
      </c>
      <c r="CU67" s="32">
        <f t="shared" ca="1" si="136"/>
        <v>0</v>
      </c>
      <c r="CV67" s="32">
        <f t="shared" si="137"/>
        <v>0</v>
      </c>
      <c r="CW67" s="32">
        <f t="shared" ca="1" si="138"/>
        <v>0</v>
      </c>
      <c r="CX67" s="259">
        <f ca="1">IF(R67&lt;m,0,ROUND(IF($R67&gt;nB,0,GPB*mB*mmB*유해지!CY67),roundB))</f>
        <v>0</v>
      </c>
      <c r="CY67" s="262">
        <f t="shared" ca="1" si="139"/>
        <v>0</v>
      </c>
      <c r="CZ67" s="259" t="e">
        <f t="shared" ca="1" si="140"/>
        <v>#DIV/0!</v>
      </c>
      <c r="DA67" s="31">
        <f t="shared" si="141"/>
        <v>5</v>
      </c>
    </row>
    <row r="68" spans="14:105">
      <c r="N68" s="5">
        <f t="shared" si="113"/>
        <v>56</v>
      </c>
      <c r="O68" s="2">
        <f t="shared" ca="1" si="117"/>
        <v>0.28764330224061913</v>
      </c>
      <c r="P68" s="2">
        <f t="shared" ca="1" si="118"/>
        <v>0.28446091824483094</v>
      </c>
      <c r="Q68" s="91"/>
      <c r="R68" s="20">
        <f t="shared" si="114"/>
        <v>56</v>
      </c>
      <c r="S68" s="20" t="str">
        <f t="shared" si="119"/>
        <v/>
      </c>
      <c r="T68" s="2">
        <f t="shared" ca="1" si="169"/>
        <v>0</v>
      </c>
      <c r="U68" s="2">
        <f t="shared" ca="1" si="169"/>
        <v>0</v>
      </c>
      <c r="V68" s="300">
        <f t="shared" si="120"/>
        <v>0.01</v>
      </c>
      <c r="W68" s="8">
        <f t="shared" si="121"/>
        <v>0</v>
      </c>
      <c r="X68" s="10">
        <f t="shared" ca="1" si="122"/>
        <v>1.0000000000000009E-2</v>
      </c>
      <c r="Y68" s="10">
        <f t="shared" ca="1" si="123"/>
        <v>0</v>
      </c>
      <c r="Z68" s="8">
        <f t="shared" ca="1" si="142"/>
        <v>0</v>
      </c>
      <c r="AA68" s="8">
        <f ca="1">+SUM(Z68:Z$124)</f>
        <v>0</v>
      </c>
      <c r="AB68" s="8">
        <f t="shared" ca="1" si="124"/>
        <v>0</v>
      </c>
      <c r="AC68" s="209">
        <f ca="1">+SUM(AB68:AB$124)*SSSM</f>
        <v>0</v>
      </c>
      <c r="AD68" s="209">
        <f t="shared" si="143"/>
        <v>0</v>
      </c>
      <c r="AE68" s="92">
        <f t="shared" ca="1" si="125"/>
        <v>0</v>
      </c>
      <c r="AF68" s="92">
        <f t="shared" ca="1" si="126"/>
        <v>0</v>
      </c>
      <c r="AG68" s="8">
        <f t="shared" ca="1" si="127"/>
        <v>0</v>
      </c>
      <c r="AH68" s="5">
        <f ca="1">+SUM(AG68:AG$124)</f>
        <v>0</v>
      </c>
      <c r="AI68" s="70">
        <f t="shared" ca="1" si="128"/>
        <v>0</v>
      </c>
      <c r="AJ68" s="208">
        <f ca="1">+SUM(AB68:AB$124)*SS50J</f>
        <v>0</v>
      </c>
      <c r="AK68" s="5">
        <f t="shared" ca="1" si="144"/>
        <v>31944.842959479171</v>
      </c>
      <c r="AL68" s="2">
        <f t="shared" ca="1" si="57"/>
        <v>0</v>
      </c>
      <c r="AM68" s="131">
        <f t="shared" ca="1" si="84"/>
        <v>9188.7201184225814</v>
      </c>
      <c r="AN68" s="129">
        <f t="shared" ca="1" si="145"/>
        <v>0</v>
      </c>
      <c r="AO68" s="129">
        <f ca="1">SUM(AN68:AN$124)*SSa</f>
        <v>0</v>
      </c>
      <c r="AP68" s="70">
        <f t="shared" ca="1" si="146"/>
        <v>31944.842959479171</v>
      </c>
      <c r="AQ68" s="2">
        <f t="shared" ca="1" si="58"/>
        <v>0</v>
      </c>
      <c r="AR68" s="127">
        <f t="shared" ca="1" si="147"/>
        <v>0</v>
      </c>
      <c r="AS68" s="127">
        <f ca="1">SUM(AR68:AR$124)*SSb</f>
        <v>0</v>
      </c>
      <c r="AT68" s="70">
        <f t="shared" ca="1" si="148"/>
        <v>31944.842959479171</v>
      </c>
      <c r="AU68" s="2">
        <f t="shared" ca="1" si="59"/>
        <v>0</v>
      </c>
      <c r="AV68" s="268">
        <f t="shared" ca="1" si="149"/>
        <v>0</v>
      </c>
      <c r="AW68" s="131">
        <f ca="1">SUM(AV68:AV$124)*SSc</f>
        <v>0</v>
      </c>
      <c r="AX68" s="70">
        <f t="shared" ca="1" si="150"/>
        <v>31944.842959479171</v>
      </c>
      <c r="AY68" s="2">
        <f t="shared" ca="1" si="60"/>
        <v>0</v>
      </c>
      <c r="AZ68" s="268">
        <f t="shared" ca="1" si="151"/>
        <v>0</v>
      </c>
      <c r="BA68" s="129">
        <f ca="1">SUM(AZ68:AZ$124)*SSd</f>
        <v>0</v>
      </c>
      <c r="BB68" s="70">
        <f t="shared" ca="1" si="152"/>
        <v>31944.842959479171</v>
      </c>
      <c r="BC68" s="257">
        <f t="shared" ca="1" si="61"/>
        <v>0</v>
      </c>
      <c r="BD68" s="268">
        <f t="shared" ca="1" si="153"/>
        <v>0</v>
      </c>
      <c r="BE68" s="131">
        <f ca="1">SUM(BD68:BD$124)*SSe</f>
        <v>0</v>
      </c>
      <c r="BF68" s="70">
        <f t="shared" ca="1" si="154"/>
        <v>31944.842959479171</v>
      </c>
      <c r="BG68" s="2">
        <f t="shared" ca="1" si="62"/>
        <v>0</v>
      </c>
      <c r="BH68" s="131">
        <f t="shared" ca="1" si="155"/>
        <v>0</v>
      </c>
      <c r="BI68" s="2">
        <f ca="1">SUM(BH68:BH$124)*SSf</f>
        <v>0</v>
      </c>
      <c r="BJ68" s="70">
        <f t="shared" ca="1" si="156"/>
        <v>31944.842959479171</v>
      </c>
      <c r="BK68" s="2">
        <f t="shared" ca="1" si="63"/>
        <v>0</v>
      </c>
      <c r="BL68" s="131">
        <f t="shared" ca="1" si="157"/>
        <v>0</v>
      </c>
      <c r="BM68" s="131">
        <f ca="1">SUM(BL68:BL$124)*SSg</f>
        <v>0</v>
      </c>
      <c r="BN68" s="70">
        <f t="shared" ca="1" si="158"/>
        <v>31944.842959479171</v>
      </c>
      <c r="BO68" s="2">
        <f t="shared" ca="1" si="64"/>
        <v>0</v>
      </c>
      <c r="BP68" s="131">
        <f t="shared" ca="1" si="159"/>
        <v>0</v>
      </c>
      <c r="BQ68" s="131">
        <f ca="1">SUM(BP68:BP$124)*SSh</f>
        <v>0</v>
      </c>
      <c r="BR68" s="70">
        <f t="shared" ca="1" si="160"/>
        <v>31944.842959479171</v>
      </c>
      <c r="BS68" s="2">
        <f t="shared" ca="1" si="129"/>
        <v>0</v>
      </c>
      <c r="BT68" s="131">
        <f t="shared" ca="1" si="161"/>
        <v>0</v>
      </c>
      <c r="BU68" s="131">
        <f ca="1">SUM(BT68:BT$124)*SSi</f>
        <v>0</v>
      </c>
      <c r="BV68" s="70">
        <f t="shared" ca="1" si="162"/>
        <v>31944.842959479171</v>
      </c>
      <c r="BW68" s="2">
        <f t="shared" ca="1" si="66"/>
        <v>0</v>
      </c>
      <c r="BX68" s="131">
        <f t="shared" ca="1" si="163"/>
        <v>0</v>
      </c>
      <c r="BY68" s="131">
        <f ca="1">SUM(BX68:BX$124)*SSj</f>
        <v>0</v>
      </c>
      <c r="BZ68" s="70">
        <f t="shared" ca="1" si="164"/>
        <v>31944.842959479171</v>
      </c>
      <c r="CA68" s="2">
        <f t="shared" ca="1" si="67"/>
        <v>0</v>
      </c>
      <c r="CB68" s="131">
        <f t="shared" ca="1" si="165"/>
        <v>0</v>
      </c>
      <c r="CC68" s="131">
        <f ca="1">SUM(CB68:CB$124)*SSk</f>
        <v>0</v>
      </c>
      <c r="CD68" s="8">
        <f t="shared" ca="1" si="166"/>
        <v>31944.842959479171</v>
      </c>
      <c r="CE68" s="2">
        <f t="shared" ca="1" si="68"/>
        <v>0</v>
      </c>
      <c r="CF68" s="131">
        <f t="shared" ca="1" si="167"/>
        <v>0</v>
      </c>
      <c r="CG68" s="131">
        <f ca="1">SUM(CF68:CF$124)*SSl</f>
        <v>0</v>
      </c>
      <c r="CH68" s="155">
        <f t="shared" si="108"/>
        <v>0.01</v>
      </c>
      <c r="CI68" s="155">
        <f t="shared" ca="1" si="109"/>
        <v>0</v>
      </c>
      <c r="CJ68" s="155">
        <f t="shared" ca="1" si="110"/>
        <v>0</v>
      </c>
      <c r="CK68" s="155">
        <f ca="1">유해지!CY68</f>
        <v>0</v>
      </c>
      <c r="CL68" s="529">
        <f t="shared" ca="1" si="130"/>
        <v>0</v>
      </c>
      <c r="CM68" s="155">
        <f t="shared" ca="1" si="111"/>
        <v>0</v>
      </c>
      <c r="CN68" s="155">
        <f ca="1">SUM(CM68:$CM$125)</f>
        <v>0</v>
      </c>
      <c r="CO68" s="101">
        <f t="shared" ca="1" si="112"/>
        <v>0</v>
      </c>
      <c r="CP68" s="154">
        <f t="shared" ca="1" si="131"/>
        <v>0</v>
      </c>
      <c r="CQ68" s="154">
        <f t="shared" ca="1" si="132"/>
        <v>0</v>
      </c>
      <c r="CR68" s="32">
        <f t="shared" ca="1" si="133"/>
        <v>0</v>
      </c>
      <c r="CS68" s="32">
        <f t="shared" ca="1" si="134"/>
        <v>0</v>
      </c>
      <c r="CT68" s="32">
        <f t="shared" ca="1" si="135"/>
        <v>0</v>
      </c>
      <c r="CU68" s="32">
        <f t="shared" ca="1" si="136"/>
        <v>0</v>
      </c>
      <c r="CV68" s="32">
        <f t="shared" si="137"/>
        <v>0</v>
      </c>
      <c r="CW68" s="32">
        <f t="shared" ca="1" si="138"/>
        <v>0</v>
      </c>
      <c r="CX68" s="259">
        <f ca="1">IF(R68&lt;m,0,ROUND(IF($R68&gt;nB,0,GPB*mB*mmB*유해지!CY68),roundB))</f>
        <v>0</v>
      </c>
      <c r="CY68" s="262">
        <f t="shared" ca="1" si="139"/>
        <v>0</v>
      </c>
      <c r="CZ68" s="259" t="e">
        <f t="shared" ca="1" si="140"/>
        <v>#DIV/0!</v>
      </c>
      <c r="DA68" s="31">
        <f t="shared" si="141"/>
        <v>5</v>
      </c>
    </row>
    <row r="69" spans="14:105">
      <c r="N69" s="5">
        <f t="shared" si="113"/>
        <v>57</v>
      </c>
      <c r="O69" s="2">
        <f t="shared" ca="1" si="117"/>
        <v>0.28131374302261047</v>
      </c>
      <c r="P69" s="2">
        <f t="shared" ca="1" si="118"/>
        <v>0.27820138703650948</v>
      </c>
      <c r="Q69" s="91"/>
      <c r="R69" s="20">
        <f t="shared" si="114"/>
        <v>57</v>
      </c>
      <c r="S69" s="20" t="str">
        <f t="shared" si="119"/>
        <v/>
      </c>
      <c r="T69" s="2">
        <f t="shared" ca="1" si="169"/>
        <v>0</v>
      </c>
      <c r="U69" s="2">
        <f t="shared" ca="1" si="169"/>
        <v>0</v>
      </c>
      <c r="V69" s="300">
        <f t="shared" si="120"/>
        <v>0.01</v>
      </c>
      <c r="W69" s="8">
        <f t="shared" si="121"/>
        <v>0</v>
      </c>
      <c r="X69" s="10">
        <f t="shared" ca="1" si="122"/>
        <v>1.0000000000000009E-2</v>
      </c>
      <c r="Y69" s="10">
        <f t="shared" ca="1" si="123"/>
        <v>0</v>
      </c>
      <c r="Z69" s="8">
        <f t="shared" ca="1" si="142"/>
        <v>0</v>
      </c>
      <c r="AA69" s="8">
        <f ca="1">+SUM(Z69:Z$124)</f>
        <v>0</v>
      </c>
      <c r="AB69" s="8">
        <f t="shared" ca="1" si="124"/>
        <v>0</v>
      </c>
      <c r="AC69" s="209">
        <f ca="1">+SUM(AB69:AB$124)*SSSM</f>
        <v>0</v>
      </c>
      <c r="AD69" s="209">
        <f t="shared" si="143"/>
        <v>0</v>
      </c>
      <c r="AE69" s="92">
        <f t="shared" ca="1" si="125"/>
        <v>0</v>
      </c>
      <c r="AF69" s="92">
        <f t="shared" ca="1" si="126"/>
        <v>0</v>
      </c>
      <c r="AG69" s="8">
        <f t="shared" ca="1" si="127"/>
        <v>0</v>
      </c>
      <c r="AH69" s="5">
        <f ca="1">+SUM(AG69:AG$124)</f>
        <v>0</v>
      </c>
      <c r="AI69" s="70">
        <f t="shared" ca="1" si="128"/>
        <v>0</v>
      </c>
      <c r="AJ69" s="208">
        <f ca="1">+SUM(AB69:AB$124)*SS50J</f>
        <v>0</v>
      </c>
      <c r="AK69" s="5">
        <f t="shared" ca="1" si="144"/>
        <v>31625.394529884379</v>
      </c>
      <c r="AL69" s="2">
        <f t="shared" ca="1" si="57"/>
        <v>0</v>
      </c>
      <c r="AM69" s="131">
        <f t="shared" ca="1" si="84"/>
        <v>8896.6581097685648</v>
      </c>
      <c r="AN69" s="129">
        <f t="shared" ca="1" si="145"/>
        <v>0</v>
      </c>
      <c r="AO69" s="129">
        <f ca="1">SUM(AN69:AN$124)*SSa</f>
        <v>0</v>
      </c>
      <c r="AP69" s="70">
        <f t="shared" ca="1" si="146"/>
        <v>31625.394529884379</v>
      </c>
      <c r="AQ69" s="2">
        <f t="shared" ca="1" si="58"/>
        <v>0</v>
      </c>
      <c r="AR69" s="127">
        <f t="shared" ca="1" si="147"/>
        <v>0</v>
      </c>
      <c r="AS69" s="127">
        <f ca="1">SUM(AR69:AR$124)*SSb</f>
        <v>0</v>
      </c>
      <c r="AT69" s="70">
        <f t="shared" ca="1" si="148"/>
        <v>31625.394529884379</v>
      </c>
      <c r="AU69" s="2">
        <f t="shared" ca="1" si="59"/>
        <v>0</v>
      </c>
      <c r="AV69" s="268">
        <f t="shared" ca="1" si="149"/>
        <v>0</v>
      </c>
      <c r="AW69" s="131">
        <f ca="1">SUM(AV69:AV$124)*SSc</f>
        <v>0</v>
      </c>
      <c r="AX69" s="70">
        <f t="shared" ca="1" si="150"/>
        <v>31625.394529884379</v>
      </c>
      <c r="AY69" s="2">
        <f t="shared" ca="1" si="60"/>
        <v>0</v>
      </c>
      <c r="AZ69" s="268">
        <f t="shared" ca="1" si="151"/>
        <v>0</v>
      </c>
      <c r="BA69" s="129">
        <f ca="1">SUM(AZ69:AZ$124)*SSd</f>
        <v>0</v>
      </c>
      <c r="BB69" s="70">
        <f t="shared" ca="1" si="152"/>
        <v>31625.394529884379</v>
      </c>
      <c r="BC69" s="257">
        <f t="shared" ca="1" si="61"/>
        <v>0</v>
      </c>
      <c r="BD69" s="268">
        <f t="shared" ca="1" si="153"/>
        <v>0</v>
      </c>
      <c r="BE69" s="131">
        <f ca="1">SUM(BD69:BD$124)*SSe</f>
        <v>0</v>
      </c>
      <c r="BF69" s="70">
        <f t="shared" ca="1" si="154"/>
        <v>31625.394529884379</v>
      </c>
      <c r="BG69" s="2">
        <f t="shared" ca="1" si="62"/>
        <v>0</v>
      </c>
      <c r="BH69" s="131">
        <f t="shared" ca="1" si="155"/>
        <v>0</v>
      </c>
      <c r="BI69" s="2">
        <f ca="1">SUM(BH69:BH$124)*SSf</f>
        <v>0</v>
      </c>
      <c r="BJ69" s="70">
        <f t="shared" ca="1" si="156"/>
        <v>31625.394529884379</v>
      </c>
      <c r="BK69" s="2">
        <f t="shared" ca="1" si="63"/>
        <v>0</v>
      </c>
      <c r="BL69" s="131">
        <f t="shared" ca="1" si="157"/>
        <v>0</v>
      </c>
      <c r="BM69" s="131">
        <f ca="1">SUM(BL69:BL$124)*SSg</f>
        <v>0</v>
      </c>
      <c r="BN69" s="70">
        <f t="shared" ca="1" si="158"/>
        <v>31625.394529884379</v>
      </c>
      <c r="BO69" s="2">
        <f t="shared" ca="1" si="64"/>
        <v>0</v>
      </c>
      <c r="BP69" s="131">
        <f t="shared" ca="1" si="159"/>
        <v>0</v>
      </c>
      <c r="BQ69" s="131">
        <f ca="1">SUM(BP69:BP$124)*SSh</f>
        <v>0</v>
      </c>
      <c r="BR69" s="70">
        <f t="shared" ca="1" si="160"/>
        <v>31625.394529884379</v>
      </c>
      <c r="BS69" s="2">
        <f t="shared" ca="1" si="129"/>
        <v>0</v>
      </c>
      <c r="BT69" s="131">
        <f t="shared" ca="1" si="161"/>
        <v>0</v>
      </c>
      <c r="BU69" s="131">
        <f ca="1">SUM(BT69:BT$124)*SSi</f>
        <v>0</v>
      </c>
      <c r="BV69" s="70">
        <f t="shared" ca="1" si="162"/>
        <v>31625.394529884379</v>
      </c>
      <c r="BW69" s="2">
        <f t="shared" ca="1" si="66"/>
        <v>0</v>
      </c>
      <c r="BX69" s="131">
        <f t="shared" ca="1" si="163"/>
        <v>0</v>
      </c>
      <c r="BY69" s="131">
        <f ca="1">SUM(BX69:BX$124)*SSj</f>
        <v>0</v>
      </c>
      <c r="BZ69" s="70">
        <f t="shared" ca="1" si="164"/>
        <v>31625.394529884379</v>
      </c>
      <c r="CA69" s="2">
        <f t="shared" ca="1" si="67"/>
        <v>0</v>
      </c>
      <c r="CB69" s="131">
        <f t="shared" ca="1" si="165"/>
        <v>0</v>
      </c>
      <c r="CC69" s="131">
        <f ca="1">SUM(CB69:CB$124)*SSk</f>
        <v>0</v>
      </c>
      <c r="CD69" s="8">
        <f t="shared" ca="1" si="166"/>
        <v>31625.394529884379</v>
      </c>
      <c r="CE69" s="2">
        <f t="shared" ca="1" si="68"/>
        <v>0</v>
      </c>
      <c r="CF69" s="131">
        <f t="shared" ca="1" si="167"/>
        <v>0</v>
      </c>
      <c r="CG69" s="131">
        <f ca="1">SUM(CF69:CF$124)*SSl</f>
        <v>0</v>
      </c>
      <c r="CH69" s="155">
        <f t="shared" si="108"/>
        <v>0.01</v>
      </c>
      <c r="CI69" s="155">
        <f t="shared" ca="1" si="109"/>
        <v>0</v>
      </c>
      <c r="CJ69" s="155">
        <f t="shared" ca="1" si="110"/>
        <v>0</v>
      </c>
      <c r="CK69" s="155">
        <f ca="1">유해지!CY69</f>
        <v>0</v>
      </c>
      <c r="CL69" s="529">
        <f t="shared" ca="1" si="130"/>
        <v>0</v>
      </c>
      <c r="CM69" s="155">
        <f t="shared" ca="1" si="111"/>
        <v>0</v>
      </c>
      <c r="CN69" s="155">
        <f ca="1">SUM(CM69:$CM$125)</f>
        <v>0</v>
      </c>
      <c r="CO69" s="101">
        <f t="shared" ca="1" si="112"/>
        <v>0</v>
      </c>
      <c r="CP69" s="154">
        <f t="shared" ca="1" si="131"/>
        <v>0</v>
      </c>
      <c r="CQ69" s="154">
        <f t="shared" ca="1" si="132"/>
        <v>0</v>
      </c>
      <c r="CR69" s="32">
        <f t="shared" ca="1" si="133"/>
        <v>0</v>
      </c>
      <c r="CS69" s="32">
        <f t="shared" ca="1" si="134"/>
        <v>0</v>
      </c>
      <c r="CT69" s="32">
        <f t="shared" ca="1" si="135"/>
        <v>0</v>
      </c>
      <c r="CU69" s="32">
        <f t="shared" ca="1" si="136"/>
        <v>0</v>
      </c>
      <c r="CV69" s="32">
        <f t="shared" si="137"/>
        <v>0</v>
      </c>
      <c r="CW69" s="32">
        <f t="shared" ca="1" si="138"/>
        <v>0</v>
      </c>
      <c r="CX69" s="259">
        <f ca="1">IF(R69&lt;m,0,ROUND(IF($R69&gt;nB,0,GPB*mB*mmB*유해지!CY69),roundB))</f>
        <v>0</v>
      </c>
      <c r="CY69" s="262">
        <f t="shared" ca="1" si="139"/>
        <v>0</v>
      </c>
      <c r="CZ69" s="259" t="e">
        <f t="shared" ca="1" si="140"/>
        <v>#DIV/0!</v>
      </c>
      <c r="DA69" s="31">
        <f t="shared" si="141"/>
        <v>5</v>
      </c>
    </row>
    <row r="70" spans="14:105">
      <c r="N70" s="5">
        <f t="shared" si="113"/>
        <v>58</v>
      </c>
      <c r="O70" s="2">
        <f t="shared" ca="1" si="117"/>
        <v>0.27512346505878776</v>
      </c>
      <c r="P70" s="2">
        <f t="shared" ca="1" si="118"/>
        <v>0.27207959612372562</v>
      </c>
      <c r="Q70" s="91"/>
      <c r="R70" s="20">
        <f t="shared" si="114"/>
        <v>58</v>
      </c>
      <c r="S70" s="20" t="str">
        <f t="shared" si="119"/>
        <v/>
      </c>
      <c r="T70" s="2">
        <f t="shared" ca="1" si="169"/>
        <v>0</v>
      </c>
      <c r="U70" s="2">
        <f t="shared" ca="1" si="169"/>
        <v>0</v>
      </c>
      <c r="V70" s="300">
        <f t="shared" si="120"/>
        <v>0.01</v>
      </c>
      <c r="W70" s="8">
        <f t="shared" si="121"/>
        <v>0</v>
      </c>
      <c r="X70" s="10">
        <f t="shared" ca="1" si="122"/>
        <v>1.0000000000000009E-2</v>
      </c>
      <c r="Y70" s="10">
        <f t="shared" ca="1" si="123"/>
        <v>0</v>
      </c>
      <c r="Z70" s="8">
        <f t="shared" ca="1" si="142"/>
        <v>0</v>
      </c>
      <c r="AA70" s="8">
        <f ca="1">+SUM(Z70:Z$124)</f>
        <v>0</v>
      </c>
      <c r="AB70" s="8">
        <f t="shared" ca="1" si="124"/>
        <v>0</v>
      </c>
      <c r="AC70" s="209">
        <f ca="1">+SUM(AB70:AB$124)*SSSM</f>
        <v>0</v>
      </c>
      <c r="AD70" s="209">
        <f t="shared" si="143"/>
        <v>0</v>
      </c>
      <c r="AE70" s="92">
        <f t="shared" ca="1" si="125"/>
        <v>0</v>
      </c>
      <c r="AF70" s="92">
        <f t="shared" ca="1" si="126"/>
        <v>0</v>
      </c>
      <c r="AG70" s="8">
        <f t="shared" ca="1" si="127"/>
        <v>0</v>
      </c>
      <c r="AH70" s="5">
        <f ca="1">+SUM(AG70:AG$124)</f>
        <v>0</v>
      </c>
      <c r="AI70" s="70">
        <f t="shared" ca="1" si="128"/>
        <v>0</v>
      </c>
      <c r="AJ70" s="208">
        <f ca="1">+SUM(AB70:AB$124)*SS50J</f>
        <v>0</v>
      </c>
      <c r="AK70" s="5">
        <f t="shared" ca="1" si="144"/>
        <v>31309.140584585533</v>
      </c>
      <c r="AL70" s="2">
        <f t="shared" ca="1" si="57"/>
        <v>0</v>
      </c>
      <c r="AM70" s="131">
        <f t="shared" ca="1" si="84"/>
        <v>8613.8792456438914</v>
      </c>
      <c r="AN70" s="129">
        <f t="shared" ca="1" si="145"/>
        <v>0</v>
      </c>
      <c r="AO70" s="129">
        <f ca="1">SUM(AN70:AN$124)*SSa</f>
        <v>0</v>
      </c>
      <c r="AP70" s="70">
        <f t="shared" ca="1" si="146"/>
        <v>31309.140584585533</v>
      </c>
      <c r="AQ70" s="2">
        <f t="shared" ca="1" si="58"/>
        <v>0</v>
      </c>
      <c r="AR70" s="127">
        <f t="shared" ca="1" si="147"/>
        <v>0</v>
      </c>
      <c r="AS70" s="127">
        <f ca="1">SUM(AR70:AR$124)*SSb</f>
        <v>0</v>
      </c>
      <c r="AT70" s="70">
        <f t="shared" ca="1" si="148"/>
        <v>31309.140584585533</v>
      </c>
      <c r="AU70" s="2">
        <f t="shared" ca="1" si="59"/>
        <v>0</v>
      </c>
      <c r="AV70" s="268">
        <f t="shared" ca="1" si="149"/>
        <v>0</v>
      </c>
      <c r="AW70" s="131">
        <f ca="1">SUM(AV70:AV$124)*SSc</f>
        <v>0</v>
      </c>
      <c r="AX70" s="70">
        <f t="shared" ca="1" si="150"/>
        <v>31309.140584585533</v>
      </c>
      <c r="AY70" s="2">
        <f t="shared" ca="1" si="60"/>
        <v>0</v>
      </c>
      <c r="AZ70" s="268">
        <f t="shared" ca="1" si="151"/>
        <v>0</v>
      </c>
      <c r="BA70" s="129">
        <f ca="1">SUM(AZ70:AZ$124)*SSd</f>
        <v>0</v>
      </c>
      <c r="BB70" s="70">
        <f t="shared" ca="1" si="152"/>
        <v>31309.140584585533</v>
      </c>
      <c r="BC70" s="257">
        <f t="shared" ca="1" si="61"/>
        <v>0</v>
      </c>
      <c r="BD70" s="268">
        <f t="shared" ca="1" si="153"/>
        <v>0</v>
      </c>
      <c r="BE70" s="131">
        <f ca="1">SUM(BD70:BD$124)*SSe</f>
        <v>0</v>
      </c>
      <c r="BF70" s="70">
        <f t="shared" ca="1" si="154"/>
        <v>31309.140584585533</v>
      </c>
      <c r="BG70" s="2">
        <f t="shared" ca="1" si="62"/>
        <v>0</v>
      </c>
      <c r="BH70" s="131">
        <f t="shared" ca="1" si="155"/>
        <v>0</v>
      </c>
      <c r="BI70" s="2">
        <f ca="1">SUM(BH70:BH$124)*SSf</f>
        <v>0</v>
      </c>
      <c r="BJ70" s="70">
        <f t="shared" ca="1" si="156"/>
        <v>31309.140584585533</v>
      </c>
      <c r="BK70" s="2">
        <f t="shared" ca="1" si="63"/>
        <v>0</v>
      </c>
      <c r="BL70" s="131">
        <f t="shared" ca="1" si="157"/>
        <v>0</v>
      </c>
      <c r="BM70" s="131">
        <f ca="1">SUM(BL70:BL$124)*SSg</f>
        <v>0</v>
      </c>
      <c r="BN70" s="70">
        <f t="shared" ca="1" si="158"/>
        <v>31309.140584585533</v>
      </c>
      <c r="BO70" s="2">
        <f t="shared" ca="1" si="64"/>
        <v>0</v>
      </c>
      <c r="BP70" s="131">
        <f t="shared" ca="1" si="159"/>
        <v>0</v>
      </c>
      <c r="BQ70" s="131">
        <f ca="1">SUM(BP70:BP$124)*SSh</f>
        <v>0</v>
      </c>
      <c r="BR70" s="70">
        <f t="shared" ca="1" si="160"/>
        <v>31309.140584585533</v>
      </c>
      <c r="BS70" s="2">
        <f t="shared" ca="1" si="129"/>
        <v>0</v>
      </c>
      <c r="BT70" s="131">
        <f t="shared" ca="1" si="161"/>
        <v>0</v>
      </c>
      <c r="BU70" s="131">
        <f ca="1">SUM(BT70:BT$124)*SSi</f>
        <v>0</v>
      </c>
      <c r="BV70" s="70">
        <f t="shared" ca="1" si="162"/>
        <v>31309.140584585533</v>
      </c>
      <c r="BW70" s="2">
        <f t="shared" ca="1" si="66"/>
        <v>0</v>
      </c>
      <c r="BX70" s="131">
        <f t="shared" ca="1" si="163"/>
        <v>0</v>
      </c>
      <c r="BY70" s="131">
        <f ca="1">SUM(BX70:BX$124)*SSj</f>
        <v>0</v>
      </c>
      <c r="BZ70" s="70">
        <f t="shared" ca="1" si="164"/>
        <v>31309.140584585533</v>
      </c>
      <c r="CA70" s="2">
        <f t="shared" ca="1" si="67"/>
        <v>0</v>
      </c>
      <c r="CB70" s="131">
        <f t="shared" ca="1" si="165"/>
        <v>0</v>
      </c>
      <c r="CC70" s="131">
        <f ca="1">SUM(CB70:CB$124)*SSk</f>
        <v>0</v>
      </c>
      <c r="CD70" s="8">
        <f t="shared" ca="1" si="166"/>
        <v>31309.140584585533</v>
      </c>
      <c r="CE70" s="2">
        <f t="shared" ca="1" si="68"/>
        <v>0</v>
      </c>
      <c r="CF70" s="131">
        <f t="shared" ca="1" si="167"/>
        <v>0</v>
      </c>
      <c r="CG70" s="131">
        <f ca="1">SUM(CF70:CF$124)*SSl</f>
        <v>0</v>
      </c>
      <c r="CH70" s="155">
        <f t="shared" si="108"/>
        <v>0.01</v>
      </c>
      <c r="CI70" s="155">
        <f t="shared" ca="1" si="109"/>
        <v>0</v>
      </c>
      <c r="CJ70" s="155">
        <f t="shared" ca="1" si="110"/>
        <v>0</v>
      </c>
      <c r="CK70" s="155">
        <f ca="1">유해지!CY70</f>
        <v>0</v>
      </c>
      <c r="CL70" s="529">
        <f t="shared" ca="1" si="130"/>
        <v>0</v>
      </c>
      <c r="CM70" s="155">
        <f t="shared" ca="1" si="111"/>
        <v>0</v>
      </c>
      <c r="CN70" s="155">
        <f ca="1">SUM(CM70:$CM$125)</f>
        <v>0</v>
      </c>
      <c r="CO70" s="101">
        <f t="shared" ca="1" si="112"/>
        <v>0</v>
      </c>
      <c r="CP70" s="154">
        <f t="shared" ca="1" si="131"/>
        <v>0</v>
      </c>
      <c r="CQ70" s="154">
        <f t="shared" ca="1" si="132"/>
        <v>0</v>
      </c>
      <c r="CR70" s="32">
        <f t="shared" ca="1" si="133"/>
        <v>0</v>
      </c>
      <c r="CS70" s="32">
        <f t="shared" ca="1" si="134"/>
        <v>0</v>
      </c>
      <c r="CT70" s="32">
        <f t="shared" ca="1" si="135"/>
        <v>0</v>
      </c>
      <c r="CU70" s="32">
        <f t="shared" ca="1" si="136"/>
        <v>0</v>
      </c>
      <c r="CV70" s="32">
        <f t="shared" si="137"/>
        <v>0</v>
      </c>
      <c r="CW70" s="32">
        <f t="shared" ca="1" si="138"/>
        <v>0</v>
      </c>
      <c r="CX70" s="259">
        <f ca="1">IF(R70&lt;m,0,ROUND(IF($R70&gt;nB,0,GPB*mB*mmB*유해지!CY70),roundB))</f>
        <v>0</v>
      </c>
      <c r="CY70" s="262">
        <f t="shared" ca="1" si="139"/>
        <v>0</v>
      </c>
      <c r="CZ70" s="259" t="e">
        <f t="shared" ca="1" si="140"/>
        <v>#DIV/0!</v>
      </c>
      <c r="DA70" s="31">
        <f t="shared" si="141"/>
        <v>5</v>
      </c>
    </row>
    <row r="71" spans="14:105">
      <c r="N71" s="5">
        <f t="shared" si="113"/>
        <v>59</v>
      </c>
      <c r="O71" s="2">
        <f t="shared" ca="1" si="117"/>
        <v>0.26906940348047709</v>
      </c>
      <c r="P71" s="2">
        <f t="shared" ca="1" si="118"/>
        <v>0.2660925145464309</v>
      </c>
      <c r="Q71" s="91"/>
      <c r="R71" s="20">
        <f t="shared" si="114"/>
        <v>59</v>
      </c>
      <c r="S71" s="20" t="str">
        <f t="shared" si="119"/>
        <v/>
      </c>
      <c r="T71" s="2">
        <f t="shared" ca="1" si="169"/>
        <v>0</v>
      </c>
      <c r="U71" s="2">
        <f t="shared" ca="1" si="169"/>
        <v>0</v>
      </c>
      <c r="V71" s="300">
        <f t="shared" si="120"/>
        <v>0.01</v>
      </c>
      <c r="W71" s="8">
        <f t="shared" si="121"/>
        <v>0</v>
      </c>
      <c r="X71" s="10">
        <f t="shared" ca="1" si="122"/>
        <v>1.0000000000000009E-2</v>
      </c>
      <c r="Y71" s="10">
        <f t="shared" ca="1" si="123"/>
        <v>0</v>
      </c>
      <c r="Z71" s="8">
        <f t="shared" ca="1" si="142"/>
        <v>0</v>
      </c>
      <c r="AA71" s="8">
        <f ca="1">+SUM(Z71:Z$124)</f>
        <v>0</v>
      </c>
      <c r="AB71" s="8">
        <f t="shared" ca="1" si="124"/>
        <v>0</v>
      </c>
      <c r="AC71" s="209">
        <f ca="1">+SUM(AB71:AB$124)*SSSM</f>
        <v>0</v>
      </c>
      <c r="AD71" s="209">
        <f t="shared" si="143"/>
        <v>0</v>
      </c>
      <c r="AE71" s="92">
        <f t="shared" ca="1" si="125"/>
        <v>0</v>
      </c>
      <c r="AF71" s="92">
        <f t="shared" ca="1" si="126"/>
        <v>0</v>
      </c>
      <c r="AG71" s="8">
        <f t="shared" ca="1" si="127"/>
        <v>0</v>
      </c>
      <c r="AH71" s="5">
        <f ca="1">+SUM(AG71:AG$124)</f>
        <v>0</v>
      </c>
      <c r="AI71" s="70">
        <f t="shared" ca="1" si="128"/>
        <v>0</v>
      </c>
      <c r="AJ71" s="208">
        <f ca="1">+SUM(AB71:AB$124)*SS50J</f>
        <v>0</v>
      </c>
      <c r="AK71" s="5">
        <f t="shared" ca="1" si="144"/>
        <v>30996.049178739679</v>
      </c>
      <c r="AL71" s="2">
        <f t="shared" ca="1" si="57"/>
        <v>0</v>
      </c>
      <c r="AM71" s="131">
        <f t="shared" ca="1" si="84"/>
        <v>8340.0884627750165</v>
      </c>
      <c r="AN71" s="129">
        <f t="shared" ca="1" si="145"/>
        <v>0</v>
      </c>
      <c r="AO71" s="129">
        <f ca="1">SUM(AN71:AN$124)*SSa</f>
        <v>0</v>
      </c>
      <c r="AP71" s="70">
        <f t="shared" ca="1" si="146"/>
        <v>30996.049178739679</v>
      </c>
      <c r="AQ71" s="2">
        <f t="shared" ca="1" si="58"/>
        <v>0</v>
      </c>
      <c r="AR71" s="127">
        <f t="shared" ca="1" si="147"/>
        <v>0</v>
      </c>
      <c r="AS71" s="127">
        <f ca="1">SUM(AR71:AR$124)*SSb</f>
        <v>0</v>
      </c>
      <c r="AT71" s="70">
        <f t="shared" ca="1" si="148"/>
        <v>30996.049178739679</v>
      </c>
      <c r="AU71" s="2">
        <f t="shared" ca="1" si="59"/>
        <v>0</v>
      </c>
      <c r="AV71" s="268">
        <f t="shared" ca="1" si="149"/>
        <v>0</v>
      </c>
      <c r="AW71" s="131">
        <f ca="1">SUM(AV71:AV$124)*SSc</f>
        <v>0</v>
      </c>
      <c r="AX71" s="70">
        <f t="shared" ca="1" si="150"/>
        <v>30996.049178739679</v>
      </c>
      <c r="AY71" s="2">
        <f t="shared" ca="1" si="60"/>
        <v>0</v>
      </c>
      <c r="AZ71" s="268">
        <f t="shared" ca="1" si="151"/>
        <v>0</v>
      </c>
      <c r="BA71" s="129">
        <f ca="1">SUM(AZ71:AZ$124)*SSd</f>
        <v>0</v>
      </c>
      <c r="BB71" s="70">
        <f t="shared" ca="1" si="152"/>
        <v>30996.049178739679</v>
      </c>
      <c r="BC71" s="257">
        <f t="shared" ca="1" si="61"/>
        <v>0</v>
      </c>
      <c r="BD71" s="268">
        <f t="shared" ca="1" si="153"/>
        <v>0</v>
      </c>
      <c r="BE71" s="131">
        <f ca="1">SUM(BD71:BD$124)*SSe</f>
        <v>0</v>
      </c>
      <c r="BF71" s="70">
        <f t="shared" ca="1" si="154"/>
        <v>30996.049178739679</v>
      </c>
      <c r="BG71" s="2">
        <f t="shared" ca="1" si="62"/>
        <v>0</v>
      </c>
      <c r="BH71" s="131">
        <f t="shared" ca="1" si="155"/>
        <v>0</v>
      </c>
      <c r="BI71" s="2">
        <f ca="1">SUM(BH71:BH$124)*SSf</f>
        <v>0</v>
      </c>
      <c r="BJ71" s="70">
        <f t="shared" ca="1" si="156"/>
        <v>30996.049178739679</v>
      </c>
      <c r="BK71" s="2">
        <f t="shared" ca="1" si="63"/>
        <v>0</v>
      </c>
      <c r="BL71" s="131">
        <f t="shared" ca="1" si="157"/>
        <v>0</v>
      </c>
      <c r="BM71" s="131">
        <f ca="1">SUM(BL71:BL$124)*SSg</f>
        <v>0</v>
      </c>
      <c r="BN71" s="70">
        <f t="shared" ca="1" si="158"/>
        <v>30996.049178739679</v>
      </c>
      <c r="BO71" s="2">
        <f t="shared" ca="1" si="64"/>
        <v>0</v>
      </c>
      <c r="BP71" s="131">
        <f t="shared" ca="1" si="159"/>
        <v>0</v>
      </c>
      <c r="BQ71" s="131">
        <f ca="1">SUM(BP71:BP$124)*SSh</f>
        <v>0</v>
      </c>
      <c r="BR71" s="70">
        <f t="shared" ca="1" si="160"/>
        <v>30996.049178739679</v>
      </c>
      <c r="BS71" s="2">
        <f t="shared" ca="1" si="129"/>
        <v>0</v>
      </c>
      <c r="BT71" s="131">
        <f t="shared" ca="1" si="161"/>
        <v>0</v>
      </c>
      <c r="BU71" s="131">
        <f ca="1">SUM(BT71:BT$124)*SSi</f>
        <v>0</v>
      </c>
      <c r="BV71" s="70">
        <f t="shared" ca="1" si="162"/>
        <v>30996.049178739679</v>
      </c>
      <c r="BW71" s="2">
        <f t="shared" ca="1" si="66"/>
        <v>0</v>
      </c>
      <c r="BX71" s="131">
        <f t="shared" ca="1" si="163"/>
        <v>0</v>
      </c>
      <c r="BY71" s="131">
        <f ca="1">SUM(BX71:BX$124)*SSj</f>
        <v>0</v>
      </c>
      <c r="BZ71" s="70">
        <f t="shared" ca="1" si="164"/>
        <v>30996.049178739679</v>
      </c>
      <c r="CA71" s="2">
        <f t="shared" ca="1" si="67"/>
        <v>0</v>
      </c>
      <c r="CB71" s="131">
        <f t="shared" ca="1" si="165"/>
        <v>0</v>
      </c>
      <c r="CC71" s="131">
        <f ca="1">SUM(CB71:CB$124)*SSk</f>
        <v>0</v>
      </c>
      <c r="CD71" s="8">
        <f t="shared" ca="1" si="166"/>
        <v>30996.049178739679</v>
      </c>
      <c r="CE71" s="2">
        <f t="shared" ca="1" si="68"/>
        <v>0</v>
      </c>
      <c r="CF71" s="131">
        <f t="shared" ca="1" si="167"/>
        <v>0</v>
      </c>
      <c r="CG71" s="131">
        <f ca="1">SUM(CF71:CF$124)*SSl</f>
        <v>0</v>
      </c>
      <c r="CH71" s="155">
        <f t="shared" si="108"/>
        <v>0.01</v>
      </c>
      <c r="CI71" s="155">
        <f t="shared" ca="1" si="109"/>
        <v>0</v>
      </c>
      <c r="CJ71" s="155">
        <f t="shared" ca="1" si="110"/>
        <v>0</v>
      </c>
      <c r="CK71" s="155">
        <f ca="1">유해지!CY71</f>
        <v>0</v>
      </c>
      <c r="CL71" s="529">
        <f t="shared" ca="1" si="130"/>
        <v>0</v>
      </c>
      <c r="CM71" s="155">
        <f t="shared" ca="1" si="111"/>
        <v>0</v>
      </c>
      <c r="CN71" s="155">
        <f ca="1">SUM(CM71:$CM$125)</f>
        <v>0</v>
      </c>
      <c r="CO71" s="101">
        <f t="shared" ca="1" si="112"/>
        <v>0</v>
      </c>
      <c r="CP71" s="154">
        <f t="shared" ca="1" si="131"/>
        <v>0</v>
      </c>
      <c r="CQ71" s="154">
        <f t="shared" ca="1" si="132"/>
        <v>0</v>
      </c>
      <c r="CR71" s="32">
        <f t="shared" ca="1" si="133"/>
        <v>0</v>
      </c>
      <c r="CS71" s="32">
        <f t="shared" ca="1" si="134"/>
        <v>0</v>
      </c>
      <c r="CT71" s="32">
        <f t="shared" ca="1" si="135"/>
        <v>0</v>
      </c>
      <c r="CU71" s="32">
        <f t="shared" ca="1" si="136"/>
        <v>0</v>
      </c>
      <c r="CV71" s="32">
        <f t="shared" si="137"/>
        <v>0</v>
      </c>
      <c r="CW71" s="32">
        <f t="shared" ca="1" si="138"/>
        <v>0</v>
      </c>
      <c r="CX71" s="259">
        <f ca="1">IF(R71&lt;m,0,ROUND(IF($R71&gt;nB,0,GPB*mB*mmB*유해지!CY71),roundB))</f>
        <v>0</v>
      </c>
      <c r="CY71" s="262">
        <f t="shared" ca="1" si="139"/>
        <v>0</v>
      </c>
      <c r="CZ71" s="259" t="e">
        <f t="shared" ca="1" si="140"/>
        <v>#DIV/0!</v>
      </c>
      <c r="DA71" s="31">
        <f t="shared" si="141"/>
        <v>5</v>
      </c>
    </row>
    <row r="72" spans="14:105">
      <c r="N72" s="5">
        <f t="shared" si="113"/>
        <v>60</v>
      </c>
      <c r="O72" s="2">
        <f t="shared" ca="1" si="117"/>
        <v>0.26314856086110222</v>
      </c>
      <c r="P72" s="2">
        <f t="shared" ca="1" si="118"/>
        <v>0.26023717804051927</v>
      </c>
      <c r="Q72" s="91"/>
      <c r="R72" s="20">
        <f t="shared" si="114"/>
        <v>60</v>
      </c>
      <c r="S72" s="20" t="str">
        <f t="shared" si="119"/>
        <v/>
      </c>
      <c r="T72" s="2">
        <f t="shared" ref="T72:U91" ca="1" si="170">IFERROR(VLOOKUP($S72,qx_table,MATCH(T$11,qx_title,0)+sexB),0)</f>
        <v>0</v>
      </c>
      <c r="U72" s="2">
        <f t="shared" ca="1" si="170"/>
        <v>0</v>
      </c>
      <c r="V72" s="300">
        <f t="shared" si="120"/>
        <v>0.01</v>
      </c>
      <c r="W72" s="8">
        <f t="shared" si="121"/>
        <v>0</v>
      </c>
      <c r="X72" s="10">
        <f t="shared" ca="1" si="122"/>
        <v>1.0000000000000009E-2</v>
      </c>
      <c r="Y72" s="10">
        <f t="shared" ca="1" si="123"/>
        <v>0</v>
      </c>
      <c r="Z72" s="8">
        <f t="shared" ca="1" si="142"/>
        <v>0</v>
      </c>
      <c r="AA72" s="8">
        <f ca="1">+SUM(Z72:Z$124)</f>
        <v>0</v>
      </c>
      <c r="AB72" s="8">
        <f t="shared" ca="1" si="124"/>
        <v>0</v>
      </c>
      <c r="AC72" s="209">
        <f ca="1">+SUM(AB72:AB$124)*SSSM</f>
        <v>0</v>
      </c>
      <c r="AD72" s="209">
        <f t="shared" si="143"/>
        <v>0</v>
      </c>
      <c r="AE72" s="92">
        <f t="shared" ca="1" si="125"/>
        <v>0</v>
      </c>
      <c r="AF72" s="92">
        <f t="shared" ca="1" si="126"/>
        <v>0</v>
      </c>
      <c r="AG72" s="8">
        <f t="shared" ca="1" si="127"/>
        <v>0</v>
      </c>
      <c r="AH72" s="5">
        <f ca="1">+SUM(AG72:AG$124)</f>
        <v>0</v>
      </c>
      <c r="AI72" s="70">
        <f t="shared" ca="1" si="128"/>
        <v>0</v>
      </c>
      <c r="AJ72" s="208">
        <f ca="1">+SUM(AB72:AB$124)*SS50J</f>
        <v>0</v>
      </c>
      <c r="AK72" s="5">
        <f t="shared" ca="1" si="144"/>
        <v>30686.08868695228</v>
      </c>
      <c r="AL72" s="2">
        <f t="shared" ca="1" si="57"/>
        <v>0</v>
      </c>
      <c r="AM72" s="131">
        <f t="shared" ca="1" si="84"/>
        <v>8075.0000764276429</v>
      </c>
      <c r="AN72" s="129">
        <f t="shared" ca="1" si="145"/>
        <v>0</v>
      </c>
      <c r="AO72" s="129">
        <f ca="1">SUM(AN72:AN$124)*SSa</f>
        <v>0</v>
      </c>
      <c r="AP72" s="70">
        <f t="shared" ca="1" si="146"/>
        <v>30686.08868695228</v>
      </c>
      <c r="AQ72" s="2">
        <f t="shared" ca="1" si="58"/>
        <v>0</v>
      </c>
      <c r="AR72" s="127">
        <f t="shared" ca="1" si="147"/>
        <v>0</v>
      </c>
      <c r="AS72" s="127">
        <f ca="1">SUM(AR72:AR$124)*SSb</f>
        <v>0</v>
      </c>
      <c r="AT72" s="70">
        <f t="shared" ca="1" si="148"/>
        <v>30686.08868695228</v>
      </c>
      <c r="AU72" s="2">
        <f t="shared" ca="1" si="59"/>
        <v>0</v>
      </c>
      <c r="AV72" s="268">
        <f t="shared" ca="1" si="149"/>
        <v>0</v>
      </c>
      <c r="AW72" s="131">
        <f ca="1">SUM(AV72:AV$124)*SSc</f>
        <v>0</v>
      </c>
      <c r="AX72" s="70">
        <f t="shared" ca="1" si="150"/>
        <v>30686.08868695228</v>
      </c>
      <c r="AY72" s="2">
        <f t="shared" ca="1" si="60"/>
        <v>0</v>
      </c>
      <c r="AZ72" s="268">
        <f t="shared" ca="1" si="151"/>
        <v>0</v>
      </c>
      <c r="BA72" s="129">
        <f ca="1">SUM(AZ72:AZ$124)*SSd</f>
        <v>0</v>
      </c>
      <c r="BB72" s="70">
        <f t="shared" ca="1" si="152"/>
        <v>30686.08868695228</v>
      </c>
      <c r="BC72" s="257">
        <f t="shared" ca="1" si="61"/>
        <v>0</v>
      </c>
      <c r="BD72" s="268">
        <f t="shared" ca="1" si="153"/>
        <v>0</v>
      </c>
      <c r="BE72" s="131">
        <f ca="1">SUM(BD72:BD$124)*SSe</f>
        <v>0</v>
      </c>
      <c r="BF72" s="70">
        <f t="shared" ca="1" si="154"/>
        <v>30686.08868695228</v>
      </c>
      <c r="BG72" s="2">
        <f t="shared" ca="1" si="62"/>
        <v>0</v>
      </c>
      <c r="BH72" s="131">
        <f t="shared" ca="1" si="155"/>
        <v>0</v>
      </c>
      <c r="BI72" s="2">
        <f ca="1">SUM(BH72:BH$124)*SSf</f>
        <v>0</v>
      </c>
      <c r="BJ72" s="70">
        <f t="shared" ca="1" si="156"/>
        <v>30686.08868695228</v>
      </c>
      <c r="BK72" s="2">
        <f t="shared" ca="1" si="63"/>
        <v>0</v>
      </c>
      <c r="BL72" s="131">
        <f t="shared" ca="1" si="157"/>
        <v>0</v>
      </c>
      <c r="BM72" s="131">
        <f ca="1">SUM(BL72:BL$124)*SSg</f>
        <v>0</v>
      </c>
      <c r="BN72" s="70">
        <f t="shared" ca="1" si="158"/>
        <v>30686.08868695228</v>
      </c>
      <c r="BO72" s="2">
        <f t="shared" ca="1" si="64"/>
        <v>0</v>
      </c>
      <c r="BP72" s="131">
        <f t="shared" ca="1" si="159"/>
        <v>0</v>
      </c>
      <c r="BQ72" s="131">
        <f ca="1">SUM(BP72:BP$124)*SSh</f>
        <v>0</v>
      </c>
      <c r="BR72" s="70">
        <f t="shared" ca="1" si="160"/>
        <v>30686.08868695228</v>
      </c>
      <c r="BS72" s="2">
        <f t="shared" ca="1" si="129"/>
        <v>0</v>
      </c>
      <c r="BT72" s="131">
        <f t="shared" ca="1" si="161"/>
        <v>0</v>
      </c>
      <c r="BU72" s="131">
        <f ca="1">SUM(BT72:BT$124)*SSi</f>
        <v>0</v>
      </c>
      <c r="BV72" s="70">
        <f t="shared" ca="1" si="162"/>
        <v>30686.08868695228</v>
      </c>
      <c r="BW72" s="2">
        <f t="shared" ca="1" si="66"/>
        <v>0</v>
      </c>
      <c r="BX72" s="131">
        <f t="shared" ca="1" si="163"/>
        <v>0</v>
      </c>
      <c r="BY72" s="131">
        <f ca="1">SUM(BX72:BX$124)*SSj</f>
        <v>0</v>
      </c>
      <c r="BZ72" s="70">
        <f t="shared" ca="1" si="164"/>
        <v>30686.08868695228</v>
      </c>
      <c r="CA72" s="2">
        <f t="shared" ca="1" si="67"/>
        <v>0</v>
      </c>
      <c r="CB72" s="131">
        <f t="shared" ca="1" si="165"/>
        <v>0</v>
      </c>
      <c r="CC72" s="131">
        <f ca="1">SUM(CB72:CB$124)*SSk</f>
        <v>0</v>
      </c>
      <c r="CD72" s="8">
        <f t="shared" ca="1" si="166"/>
        <v>30686.08868695228</v>
      </c>
      <c r="CE72" s="2">
        <f t="shared" ca="1" si="68"/>
        <v>0</v>
      </c>
      <c r="CF72" s="131">
        <f t="shared" ca="1" si="167"/>
        <v>0</v>
      </c>
      <c r="CG72" s="131">
        <f ca="1">SUM(CF72:CF$124)*SSl</f>
        <v>0</v>
      </c>
      <c r="CH72" s="155">
        <f t="shared" si="108"/>
        <v>0.01</v>
      </c>
      <c r="CI72" s="155">
        <f t="shared" ca="1" si="109"/>
        <v>0</v>
      </c>
      <c r="CJ72" s="155">
        <f t="shared" ca="1" si="110"/>
        <v>0</v>
      </c>
      <c r="CK72" s="155">
        <f ca="1">유해지!CY72</f>
        <v>0</v>
      </c>
      <c r="CL72" s="529">
        <f t="shared" ca="1" si="130"/>
        <v>0</v>
      </c>
      <c r="CM72" s="155">
        <f t="shared" ca="1" si="111"/>
        <v>0</v>
      </c>
      <c r="CN72" s="155">
        <f ca="1">SUM(CM72:$CM$125)</f>
        <v>0</v>
      </c>
      <c r="CO72" s="101">
        <f t="shared" ca="1" si="112"/>
        <v>0</v>
      </c>
      <c r="CP72" s="154">
        <f t="shared" ca="1" si="131"/>
        <v>0</v>
      </c>
      <c r="CQ72" s="154">
        <f t="shared" ca="1" si="132"/>
        <v>0</v>
      </c>
      <c r="CR72" s="32">
        <f t="shared" ca="1" si="133"/>
        <v>0</v>
      </c>
      <c r="CS72" s="32">
        <f t="shared" ca="1" si="134"/>
        <v>0</v>
      </c>
      <c r="CT72" s="32">
        <f t="shared" ca="1" si="135"/>
        <v>0</v>
      </c>
      <c r="CU72" s="32">
        <f t="shared" ca="1" si="136"/>
        <v>0</v>
      </c>
      <c r="CV72" s="32">
        <f t="shared" si="137"/>
        <v>0</v>
      </c>
      <c r="CW72" s="32">
        <f t="shared" ca="1" si="138"/>
        <v>0</v>
      </c>
      <c r="CX72" s="259">
        <f ca="1">IF(R72&lt;m,0,ROUND(IF($R72&gt;nB,0,GPB*mB*mmB*유해지!CY72),roundB))</f>
        <v>0</v>
      </c>
      <c r="CY72" s="262">
        <f t="shared" ca="1" si="139"/>
        <v>0</v>
      </c>
      <c r="CZ72" s="259" t="e">
        <f t="shared" ca="1" si="140"/>
        <v>#DIV/0!</v>
      </c>
      <c r="DA72" s="31">
        <f t="shared" si="141"/>
        <v>5</v>
      </c>
    </row>
    <row r="73" spans="14:105">
      <c r="N73" s="5">
        <f t="shared" si="113"/>
        <v>61</v>
      </c>
      <c r="O73" s="2">
        <f t="shared" ca="1" si="117"/>
        <v>0.2573580057321293</v>
      </c>
      <c r="P73" s="2">
        <f t="shared" ca="1" si="118"/>
        <v>0.25451068757019002</v>
      </c>
      <c r="Q73" s="91"/>
      <c r="R73" s="20">
        <f t="shared" si="114"/>
        <v>61</v>
      </c>
      <c r="S73" s="20" t="str">
        <f t="shared" si="119"/>
        <v/>
      </c>
      <c r="T73" s="2">
        <f t="shared" ca="1" si="170"/>
        <v>0</v>
      </c>
      <c r="U73" s="2">
        <f t="shared" ca="1" si="170"/>
        <v>0</v>
      </c>
      <c r="V73" s="300">
        <f t="shared" si="120"/>
        <v>0.01</v>
      </c>
      <c r="W73" s="8">
        <f t="shared" si="121"/>
        <v>0</v>
      </c>
      <c r="X73" s="10">
        <f t="shared" ca="1" si="122"/>
        <v>1.0000000000000009E-2</v>
      </c>
      <c r="Y73" s="10">
        <f t="shared" ca="1" si="123"/>
        <v>0</v>
      </c>
      <c r="Z73" s="8">
        <f t="shared" ca="1" si="142"/>
        <v>0</v>
      </c>
      <c r="AA73" s="8">
        <f ca="1">+SUM(Z73:Z$124)</f>
        <v>0</v>
      </c>
      <c r="AB73" s="8">
        <f t="shared" ca="1" si="124"/>
        <v>0</v>
      </c>
      <c r="AC73" s="209">
        <f ca="1">+SUM(AB73:AB$124)*SSSM</f>
        <v>0</v>
      </c>
      <c r="AD73" s="209">
        <f t="shared" si="143"/>
        <v>0</v>
      </c>
      <c r="AE73" s="92">
        <f t="shared" ca="1" si="125"/>
        <v>0</v>
      </c>
      <c r="AF73" s="92">
        <f t="shared" ca="1" si="126"/>
        <v>0</v>
      </c>
      <c r="AG73" s="8">
        <f t="shared" ca="1" si="127"/>
        <v>0</v>
      </c>
      <c r="AH73" s="5">
        <f ca="1">+SUM(AG73:AG$124)</f>
        <v>0</v>
      </c>
      <c r="AI73" s="70">
        <f t="shared" ca="1" si="128"/>
        <v>0</v>
      </c>
      <c r="AJ73" s="208">
        <f ca="1">+SUM(AB73:AB$124)*SS50J</f>
        <v>0</v>
      </c>
      <c r="AK73" s="5">
        <f t="shared" ca="1" si="144"/>
        <v>30379.227800082757</v>
      </c>
      <c r="AL73" s="2">
        <f t="shared" ca="1" si="57"/>
        <v>0</v>
      </c>
      <c r="AM73" s="131">
        <f t="shared" ca="1" si="84"/>
        <v>7818.33748231136</v>
      </c>
      <c r="AN73" s="129">
        <f t="shared" ca="1" si="145"/>
        <v>0</v>
      </c>
      <c r="AO73" s="129">
        <f ca="1">SUM(AN73:AN$124)*SSa</f>
        <v>0</v>
      </c>
      <c r="AP73" s="70">
        <f t="shared" ca="1" si="146"/>
        <v>30379.227800082757</v>
      </c>
      <c r="AQ73" s="2">
        <f t="shared" ca="1" si="58"/>
        <v>0</v>
      </c>
      <c r="AR73" s="127">
        <f t="shared" ca="1" si="147"/>
        <v>0</v>
      </c>
      <c r="AS73" s="127">
        <f ca="1">SUM(AR73:AR$124)*SSb</f>
        <v>0</v>
      </c>
      <c r="AT73" s="70">
        <f t="shared" ca="1" si="148"/>
        <v>30379.227800082757</v>
      </c>
      <c r="AU73" s="2">
        <f t="shared" ca="1" si="59"/>
        <v>0</v>
      </c>
      <c r="AV73" s="268">
        <f t="shared" ca="1" si="149"/>
        <v>0</v>
      </c>
      <c r="AW73" s="131">
        <f ca="1">SUM(AV73:AV$124)*SSc</f>
        <v>0</v>
      </c>
      <c r="AX73" s="70">
        <f t="shared" ca="1" si="150"/>
        <v>30379.227800082757</v>
      </c>
      <c r="AY73" s="2">
        <f t="shared" ca="1" si="60"/>
        <v>0</v>
      </c>
      <c r="AZ73" s="268">
        <f t="shared" ca="1" si="151"/>
        <v>0</v>
      </c>
      <c r="BA73" s="129">
        <f ca="1">SUM(AZ73:AZ$124)*SSd</f>
        <v>0</v>
      </c>
      <c r="BB73" s="70">
        <f t="shared" ca="1" si="152"/>
        <v>30379.227800082757</v>
      </c>
      <c r="BC73" s="257">
        <f t="shared" ca="1" si="61"/>
        <v>0</v>
      </c>
      <c r="BD73" s="268">
        <f t="shared" ca="1" si="153"/>
        <v>0</v>
      </c>
      <c r="BE73" s="131">
        <f ca="1">SUM(BD73:BD$124)*SSe</f>
        <v>0</v>
      </c>
      <c r="BF73" s="70">
        <f t="shared" ca="1" si="154"/>
        <v>30379.227800082757</v>
      </c>
      <c r="BG73" s="2">
        <f t="shared" ca="1" si="62"/>
        <v>0</v>
      </c>
      <c r="BH73" s="131">
        <f t="shared" ca="1" si="155"/>
        <v>0</v>
      </c>
      <c r="BI73" s="2">
        <f ca="1">SUM(BH73:BH$124)*SSf</f>
        <v>0</v>
      </c>
      <c r="BJ73" s="70">
        <f t="shared" ca="1" si="156"/>
        <v>30379.227800082757</v>
      </c>
      <c r="BK73" s="2">
        <f t="shared" ca="1" si="63"/>
        <v>0</v>
      </c>
      <c r="BL73" s="131">
        <f t="shared" ca="1" si="157"/>
        <v>0</v>
      </c>
      <c r="BM73" s="131">
        <f ca="1">SUM(BL73:BL$124)*SSg</f>
        <v>0</v>
      </c>
      <c r="BN73" s="70">
        <f t="shared" ca="1" si="158"/>
        <v>30379.227800082757</v>
      </c>
      <c r="BO73" s="2">
        <f t="shared" ca="1" si="64"/>
        <v>0</v>
      </c>
      <c r="BP73" s="131">
        <f t="shared" ca="1" si="159"/>
        <v>0</v>
      </c>
      <c r="BQ73" s="131">
        <f ca="1">SUM(BP73:BP$124)*SSh</f>
        <v>0</v>
      </c>
      <c r="BR73" s="70">
        <f t="shared" ca="1" si="160"/>
        <v>30379.227800082757</v>
      </c>
      <c r="BS73" s="2">
        <f t="shared" ca="1" si="129"/>
        <v>0</v>
      </c>
      <c r="BT73" s="131">
        <f t="shared" ca="1" si="161"/>
        <v>0</v>
      </c>
      <c r="BU73" s="131">
        <f ca="1">SUM(BT73:BT$124)*SSi</f>
        <v>0</v>
      </c>
      <c r="BV73" s="70">
        <f t="shared" ca="1" si="162"/>
        <v>30379.227800082757</v>
      </c>
      <c r="BW73" s="2">
        <f t="shared" ca="1" si="66"/>
        <v>0</v>
      </c>
      <c r="BX73" s="131">
        <f t="shared" ca="1" si="163"/>
        <v>0</v>
      </c>
      <c r="BY73" s="131">
        <f ca="1">SUM(BX73:BX$124)*SSj</f>
        <v>0</v>
      </c>
      <c r="BZ73" s="70">
        <f t="shared" ca="1" si="164"/>
        <v>30379.227800082757</v>
      </c>
      <c r="CA73" s="2">
        <f t="shared" ca="1" si="67"/>
        <v>0</v>
      </c>
      <c r="CB73" s="131">
        <f t="shared" ca="1" si="165"/>
        <v>0</v>
      </c>
      <c r="CC73" s="131">
        <f ca="1">SUM(CB73:CB$124)*SSk</f>
        <v>0</v>
      </c>
      <c r="CD73" s="8">
        <f t="shared" ca="1" si="166"/>
        <v>30379.227800082757</v>
      </c>
      <c r="CE73" s="2">
        <f t="shared" ca="1" si="68"/>
        <v>0</v>
      </c>
      <c r="CF73" s="131">
        <f t="shared" ca="1" si="167"/>
        <v>0</v>
      </c>
      <c r="CG73" s="131">
        <f ca="1">SUM(CF73:CF$124)*SSl</f>
        <v>0</v>
      </c>
      <c r="CH73" s="155">
        <f t="shared" si="108"/>
        <v>0.01</v>
      </c>
      <c r="CI73" s="155">
        <f t="shared" ca="1" si="109"/>
        <v>0</v>
      </c>
      <c r="CJ73" s="155">
        <f t="shared" ca="1" si="110"/>
        <v>0</v>
      </c>
      <c r="CK73" s="155">
        <f ca="1">유해지!CY73</f>
        <v>0</v>
      </c>
      <c r="CL73" s="529">
        <f t="shared" ca="1" si="130"/>
        <v>0</v>
      </c>
      <c r="CM73" s="155">
        <f t="shared" ca="1" si="111"/>
        <v>0</v>
      </c>
      <c r="CN73" s="155">
        <f ca="1">SUM(CM73:$CM$125)</f>
        <v>0</v>
      </c>
      <c r="CO73" s="101">
        <f t="shared" ca="1" si="112"/>
        <v>0</v>
      </c>
      <c r="CP73" s="154">
        <f t="shared" ca="1" si="131"/>
        <v>0</v>
      </c>
      <c r="CQ73" s="154">
        <f t="shared" ca="1" si="132"/>
        <v>0</v>
      </c>
      <c r="CR73" s="32">
        <f t="shared" ca="1" si="133"/>
        <v>0</v>
      </c>
      <c r="CS73" s="32">
        <f t="shared" ca="1" si="134"/>
        <v>0</v>
      </c>
      <c r="CT73" s="32">
        <f t="shared" ca="1" si="135"/>
        <v>0</v>
      </c>
      <c r="CU73" s="32">
        <f t="shared" ca="1" si="136"/>
        <v>0</v>
      </c>
      <c r="CV73" s="32">
        <f t="shared" si="137"/>
        <v>0</v>
      </c>
      <c r="CW73" s="32">
        <f t="shared" ca="1" si="138"/>
        <v>0</v>
      </c>
      <c r="CX73" s="259">
        <f ca="1">IF(R73&lt;m,0,ROUND(IF($R73&gt;nB,0,GPB*mB*mmB*유해지!CY73),roundB))</f>
        <v>0</v>
      </c>
      <c r="CY73" s="262">
        <f t="shared" ca="1" si="139"/>
        <v>0</v>
      </c>
      <c r="CZ73" s="259" t="e">
        <f t="shared" ca="1" si="140"/>
        <v>#DIV/0!</v>
      </c>
      <c r="DA73" s="31">
        <f t="shared" si="141"/>
        <v>5</v>
      </c>
    </row>
    <row r="74" spans="14:105">
      <c r="N74" s="5">
        <f t="shared" si="113"/>
        <v>62</v>
      </c>
      <c r="O74" s="2">
        <f t="shared" ca="1" si="117"/>
        <v>0.25169487113166683</v>
      </c>
      <c r="P74" s="2">
        <f t="shared" ca="1" si="118"/>
        <v>0.24891020789260637</v>
      </c>
      <c r="Q74" s="91"/>
      <c r="R74" s="20">
        <f t="shared" si="114"/>
        <v>62</v>
      </c>
      <c r="S74" s="20" t="str">
        <f t="shared" si="119"/>
        <v/>
      </c>
      <c r="T74" s="2">
        <f t="shared" ca="1" si="170"/>
        <v>0</v>
      </c>
      <c r="U74" s="2">
        <f t="shared" ca="1" si="170"/>
        <v>0</v>
      </c>
      <c r="V74" s="300">
        <f t="shared" si="120"/>
        <v>0.01</v>
      </c>
      <c r="W74" s="8">
        <f t="shared" si="121"/>
        <v>0</v>
      </c>
      <c r="X74" s="10">
        <f t="shared" ca="1" si="122"/>
        <v>1.0000000000000009E-2</v>
      </c>
      <c r="Y74" s="10">
        <f t="shared" ca="1" si="123"/>
        <v>0</v>
      </c>
      <c r="Z74" s="8">
        <f t="shared" ca="1" si="142"/>
        <v>0</v>
      </c>
      <c r="AA74" s="8">
        <f ca="1">+SUM(Z74:Z$124)</f>
        <v>0</v>
      </c>
      <c r="AB74" s="8">
        <f t="shared" ca="1" si="124"/>
        <v>0</v>
      </c>
      <c r="AC74" s="209">
        <f ca="1">+SUM(AB74:AB$124)*SSSM</f>
        <v>0</v>
      </c>
      <c r="AD74" s="209">
        <f t="shared" si="143"/>
        <v>0</v>
      </c>
      <c r="AE74" s="92">
        <f t="shared" ca="1" si="125"/>
        <v>0</v>
      </c>
      <c r="AF74" s="92">
        <f t="shared" ca="1" si="126"/>
        <v>0</v>
      </c>
      <c r="AG74" s="8">
        <f t="shared" ca="1" si="127"/>
        <v>0</v>
      </c>
      <c r="AH74" s="5">
        <f ca="1">+SUM(AG74:AG$124)</f>
        <v>0</v>
      </c>
      <c r="AI74" s="70">
        <f t="shared" ca="1" si="128"/>
        <v>0</v>
      </c>
      <c r="AJ74" s="208">
        <f ca="1">+SUM(AB74:AB$124)*SS50J</f>
        <v>0</v>
      </c>
      <c r="AK74" s="5">
        <f t="shared" ca="1" si="144"/>
        <v>30075.435522081931</v>
      </c>
      <c r="AL74" s="2">
        <f t="shared" ca="1" si="57"/>
        <v>0</v>
      </c>
      <c r="AM74" s="131">
        <f t="shared" ca="1" si="84"/>
        <v>7569.8328679591668</v>
      </c>
      <c r="AN74" s="129">
        <f t="shared" ca="1" si="145"/>
        <v>0</v>
      </c>
      <c r="AO74" s="129">
        <f ca="1">SUM(AN74:AN$124)*SSa</f>
        <v>0</v>
      </c>
      <c r="AP74" s="70">
        <f t="shared" ca="1" si="146"/>
        <v>30075.435522081931</v>
      </c>
      <c r="AQ74" s="2">
        <f t="shared" ca="1" si="58"/>
        <v>0</v>
      </c>
      <c r="AR74" s="127">
        <f t="shared" ca="1" si="147"/>
        <v>0</v>
      </c>
      <c r="AS74" s="127">
        <f ca="1">SUM(AR74:AR$124)*SSb</f>
        <v>0</v>
      </c>
      <c r="AT74" s="70">
        <f t="shared" ca="1" si="148"/>
        <v>30075.435522081931</v>
      </c>
      <c r="AU74" s="2">
        <f t="shared" ca="1" si="59"/>
        <v>0</v>
      </c>
      <c r="AV74" s="268">
        <f t="shared" ca="1" si="149"/>
        <v>0</v>
      </c>
      <c r="AW74" s="131">
        <f ca="1">SUM(AV74:AV$124)*SSc</f>
        <v>0</v>
      </c>
      <c r="AX74" s="70">
        <f t="shared" ca="1" si="150"/>
        <v>30075.435522081931</v>
      </c>
      <c r="AY74" s="2">
        <f t="shared" ca="1" si="60"/>
        <v>0</v>
      </c>
      <c r="AZ74" s="268">
        <f t="shared" ca="1" si="151"/>
        <v>0</v>
      </c>
      <c r="BA74" s="129">
        <f ca="1">SUM(AZ74:AZ$124)*SSd</f>
        <v>0</v>
      </c>
      <c r="BB74" s="70">
        <f t="shared" ca="1" si="152"/>
        <v>30075.435522081931</v>
      </c>
      <c r="BC74" s="257">
        <f t="shared" ca="1" si="61"/>
        <v>0</v>
      </c>
      <c r="BD74" s="268">
        <f t="shared" ca="1" si="153"/>
        <v>0</v>
      </c>
      <c r="BE74" s="131">
        <f ca="1">SUM(BD74:BD$124)*SSe</f>
        <v>0</v>
      </c>
      <c r="BF74" s="70">
        <f t="shared" ca="1" si="154"/>
        <v>30075.435522081931</v>
      </c>
      <c r="BG74" s="2">
        <f t="shared" ca="1" si="62"/>
        <v>0</v>
      </c>
      <c r="BH74" s="131">
        <f t="shared" ca="1" si="155"/>
        <v>0</v>
      </c>
      <c r="BI74" s="2">
        <f ca="1">SUM(BH74:BH$124)*SSf</f>
        <v>0</v>
      </c>
      <c r="BJ74" s="70">
        <f t="shared" ca="1" si="156"/>
        <v>30075.435522081931</v>
      </c>
      <c r="BK74" s="2">
        <f t="shared" ca="1" si="63"/>
        <v>0</v>
      </c>
      <c r="BL74" s="131">
        <f t="shared" ca="1" si="157"/>
        <v>0</v>
      </c>
      <c r="BM74" s="131">
        <f ca="1">SUM(BL74:BL$124)*SSg</f>
        <v>0</v>
      </c>
      <c r="BN74" s="70">
        <f t="shared" ca="1" si="158"/>
        <v>30075.435522081931</v>
      </c>
      <c r="BO74" s="2">
        <f t="shared" ca="1" si="64"/>
        <v>0</v>
      </c>
      <c r="BP74" s="131">
        <f t="shared" ca="1" si="159"/>
        <v>0</v>
      </c>
      <c r="BQ74" s="131">
        <f ca="1">SUM(BP74:BP$124)*SSh</f>
        <v>0</v>
      </c>
      <c r="BR74" s="70">
        <f t="shared" ca="1" si="160"/>
        <v>30075.435522081931</v>
      </c>
      <c r="BS74" s="2">
        <f t="shared" ca="1" si="129"/>
        <v>0</v>
      </c>
      <c r="BT74" s="131">
        <f t="shared" ca="1" si="161"/>
        <v>0</v>
      </c>
      <c r="BU74" s="131">
        <f ca="1">SUM(BT74:BT$124)*SSi</f>
        <v>0</v>
      </c>
      <c r="BV74" s="70">
        <f t="shared" ca="1" si="162"/>
        <v>30075.435522081931</v>
      </c>
      <c r="BW74" s="2">
        <f t="shared" ca="1" si="66"/>
        <v>0</v>
      </c>
      <c r="BX74" s="131">
        <f t="shared" ca="1" si="163"/>
        <v>0</v>
      </c>
      <c r="BY74" s="131">
        <f ca="1">SUM(BX74:BX$124)*SSj</f>
        <v>0</v>
      </c>
      <c r="BZ74" s="70">
        <f t="shared" ca="1" si="164"/>
        <v>30075.435522081931</v>
      </c>
      <c r="CA74" s="2">
        <f t="shared" ca="1" si="67"/>
        <v>0</v>
      </c>
      <c r="CB74" s="131">
        <f t="shared" ca="1" si="165"/>
        <v>0</v>
      </c>
      <c r="CC74" s="131">
        <f ca="1">SUM(CB74:CB$124)*SSk</f>
        <v>0</v>
      </c>
      <c r="CD74" s="8">
        <f t="shared" ca="1" si="166"/>
        <v>30075.435522081931</v>
      </c>
      <c r="CE74" s="2">
        <f t="shared" ca="1" si="68"/>
        <v>0</v>
      </c>
      <c r="CF74" s="131">
        <f t="shared" ca="1" si="167"/>
        <v>0</v>
      </c>
      <c r="CG74" s="131">
        <f ca="1">SUM(CF74:CF$124)*SSl</f>
        <v>0</v>
      </c>
      <c r="CH74" s="155">
        <f t="shared" si="108"/>
        <v>0.01</v>
      </c>
      <c r="CI74" s="155">
        <f t="shared" ca="1" si="109"/>
        <v>0</v>
      </c>
      <c r="CJ74" s="155">
        <f t="shared" ca="1" si="110"/>
        <v>0</v>
      </c>
      <c r="CK74" s="155">
        <f ca="1">유해지!CY74</f>
        <v>0</v>
      </c>
      <c r="CL74" s="529">
        <f t="shared" ca="1" si="130"/>
        <v>0</v>
      </c>
      <c r="CM74" s="155">
        <f t="shared" ca="1" si="111"/>
        <v>0</v>
      </c>
      <c r="CN74" s="155">
        <f ca="1">SUM(CM74:$CM$125)</f>
        <v>0</v>
      </c>
      <c r="CO74" s="101">
        <f t="shared" ca="1" si="112"/>
        <v>0</v>
      </c>
      <c r="CP74" s="154">
        <f t="shared" ca="1" si="131"/>
        <v>0</v>
      </c>
      <c r="CQ74" s="154">
        <f t="shared" ca="1" si="132"/>
        <v>0</v>
      </c>
      <c r="CR74" s="32">
        <f t="shared" ca="1" si="133"/>
        <v>0</v>
      </c>
      <c r="CS74" s="32">
        <f t="shared" ca="1" si="134"/>
        <v>0</v>
      </c>
      <c r="CT74" s="32">
        <f t="shared" ca="1" si="135"/>
        <v>0</v>
      </c>
      <c r="CU74" s="32">
        <f t="shared" ca="1" si="136"/>
        <v>0</v>
      </c>
      <c r="CV74" s="32">
        <f t="shared" si="137"/>
        <v>0</v>
      </c>
      <c r="CW74" s="32">
        <f t="shared" ca="1" si="138"/>
        <v>0</v>
      </c>
      <c r="CX74" s="259">
        <f ca="1">IF(R74&lt;m,0,ROUND(IF($R74&gt;nB,0,GPB*mB*mmB*유해지!CY74),roundB))</f>
        <v>0</v>
      </c>
      <c r="CY74" s="262">
        <f t="shared" ca="1" si="139"/>
        <v>0</v>
      </c>
      <c r="CZ74" s="259" t="e">
        <f t="shared" ca="1" si="140"/>
        <v>#DIV/0!</v>
      </c>
      <c r="DA74" s="31">
        <f t="shared" si="141"/>
        <v>5</v>
      </c>
    </row>
    <row r="75" spans="14:105">
      <c r="N75" s="5">
        <f t="shared" si="113"/>
        <v>63</v>
      </c>
      <c r="O75" s="2">
        <f t="shared" ca="1" si="117"/>
        <v>0.24615635318500426</v>
      </c>
      <c r="P75" s="2">
        <f t="shared" ca="1" si="118"/>
        <v>0.24343296615413826</v>
      </c>
      <c r="Q75" s="91"/>
      <c r="R75" s="20">
        <f t="shared" si="114"/>
        <v>63</v>
      </c>
      <c r="S75" s="20" t="str">
        <f t="shared" si="119"/>
        <v/>
      </c>
      <c r="T75" s="2">
        <f t="shared" ca="1" si="170"/>
        <v>0</v>
      </c>
      <c r="U75" s="2">
        <f t="shared" ca="1" si="170"/>
        <v>0</v>
      </c>
      <c r="V75" s="300">
        <f t="shared" si="120"/>
        <v>0.01</v>
      </c>
      <c r="W75" s="8">
        <f t="shared" si="121"/>
        <v>0</v>
      </c>
      <c r="X75" s="10">
        <f t="shared" ca="1" si="122"/>
        <v>1.0000000000000009E-2</v>
      </c>
      <c r="Y75" s="10">
        <f t="shared" ca="1" si="123"/>
        <v>0</v>
      </c>
      <c r="Z75" s="8">
        <f t="shared" ca="1" si="142"/>
        <v>0</v>
      </c>
      <c r="AA75" s="8">
        <f ca="1">+SUM(Z75:Z$124)</f>
        <v>0</v>
      </c>
      <c r="AB75" s="8">
        <f t="shared" ca="1" si="124"/>
        <v>0</v>
      </c>
      <c r="AC75" s="209">
        <f ca="1">+SUM(AB75:AB$124)*SSSM</f>
        <v>0</v>
      </c>
      <c r="AD75" s="209">
        <f t="shared" si="143"/>
        <v>0</v>
      </c>
      <c r="AE75" s="92">
        <f t="shared" ca="1" si="125"/>
        <v>0</v>
      </c>
      <c r="AF75" s="92">
        <f t="shared" ca="1" si="126"/>
        <v>0</v>
      </c>
      <c r="AG75" s="8">
        <f t="shared" ca="1" si="127"/>
        <v>0</v>
      </c>
      <c r="AH75" s="5">
        <f ca="1">+SUM(AG75:AG$124)</f>
        <v>0</v>
      </c>
      <c r="AI75" s="70">
        <f t="shared" ca="1" si="128"/>
        <v>0</v>
      </c>
      <c r="AJ75" s="208">
        <f ca="1">+SUM(AB75:AB$124)*SS50J</f>
        <v>0</v>
      </c>
      <c r="AK75" s="5">
        <f t="shared" ca="1" si="144"/>
        <v>29774.681166861112</v>
      </c>
      <c r="AL75" s="2">
        <f t="shared" ca="1" si="57"/>
        <v>0</v>
      </c>
      <c r="AM75" s="131">
        <f t="shared" ca="1" si="84"/>
        <v>7329.2269332807582</v>
      </c>
      <c r="AN75" s="129">
        <f t="shared" ca="1" si="145"/>
        <v>0</v>
      </c>
      <c r="AO75" s="129">
        <f ca="1">SUM(AN75:AN$124)*SSa</f>
        <v>0</v>
      </c>
      <c r="AP75" s="70">
        <f t="shared" ca="1" si="146"/>
        <v>29774.681166861112</v>
      </c>
      <c r="AQ75" s="2">
        <f t="shared" ca="1" si="58"/>
        <v>0</v>
      </c>
      <c r="AR75" s="127">
        <f t="shared" ca="1" si="147"/>
        <v>0</v>
      </c>
      <c r="AS75" s="127">
        <f ca="1">SUM(AR75:AR$124)*SSb</f>
        <v>0</v>
      </c>
      <c r="AT75" s="70">
        <f t="shared" ca="1" si="148"/>
        <v>29774.681166861112</v>
      </c>
      <c r="AU75" s="2">
        <f t="shared" ca="1" si="59"/>
        <v>0</v>
      </c>
      <c r="AV75" s="268">
        <f t="shared" ca="1" si="149"/>
        <v>0</v>
      </c>
      <c r="AW75" s="131">
        <f ca="1">SUM(AV75:AV$124)*SSc</f>
        <v>0</v>
      </c>
      <c r="AX75" s="70">
        <f t="shared" ca="1" si="150"/>
        <v>29774.681166861112</v>
      </c>
      <c r="AY75" s="2">
        <f t="shared" ca="1" si="60"/>
        <v>0</v>
      </c>
      <c r="AZ75" s="268">
        <f t="shared" ca="1" si="151"/>
        <v>0</v>
      </c>
      <c r="BA75" s="129">
        <f ca="1">SUM(AZ75:AZ$124)*SSd</f>
        <v>0</v>
      </c>
      <c r="BB75" s="70">
        <f t="shared" ca="1" si="152"/>
        <v>29774.681166861112</v>
      </c>
      <c r="BC75" s="257">
        <f t="shared" ca="1" si="61"/>
        <v>0</v>
      </c>
      <c r="BD75" s="268">
        <f t="shared" ca="1" si="153"/>
        <v>0</v>
      </c>
      <c r="BE75" s="131">
        <f ca="1">SUM(BD75:BD$124)*SSe</f>
        <v>0</v>
      </c>
      <c r="BF75" s="70">
        <f t="shared" ca="1" si="154"/>
        <v>29774.681166861112</v>
      </c>
      <c r="BG75" s="2">
        <f t="shared" ca="1" si="62"/>
        <v>0</v>
      </c>
      <c r="BH75" s="131">
        <f t="shared" ca="1" si="155"/>
        <v>0</v>
      </c>
      <c r="BI75" s="2">
        <f ca="1">SUM(BH75:BH$124)*SSf</f>
        <v>0</v>
      </c>
      <c r="BJ75" s="70">
        <f t="shared" ca="1" si="156"/>
        <v>29774.681166861112</v>
      </c>
      <c r="BK75" s="2">
        <f t="shared" ca="1" si="63"/>
        <v>0</v>
      </c>
      <c r="BL75" s="131">
        <f t="shared" ca="1" si="157"/>
        <v>0</v>
      </c>
      <c r="BM75" s="131">
        <f ca="1">SUM(BL75:BL$124)*SSg</f>
        <v>0</v>
      </c>
      <c r="BN75" s="70">
        <f t="shared" ca="1" si="158"/>
        <v>29774.681166861112</v>
      </c>
      <c r="BO75" s="2">
        <f t="shared" ca="1" si="64"/>
        <v>0</v>
      </c>
      <c r="BP75" s="131">
        <f t="shared" ca="1" si="159"/>
        <v>0</v>
      </c>
      <c r="BQ75" s="131">
        <f ca="1">SUM(BP75:BP$124)*SSh</f>
        <v>0</v>
      </c>
      <c r="BR75" s="70">
        <f t="shared" ca="1" si="160"/>
        <v>29774.681166861112</v>
      </c>
      <c r="BS75" s="2">
        <f t="shared" ca="1" si="129"/>
        <v>0</v>
      </c>
      <c r="BT75" s="131">
        <f t="shared" ca="1" si="161"/>
        <v>0</v>
      </c>
      <c r="BU75" s="131">
        <f ca="1">SUM(BT75:BT$124)*SSi</f>
        <v>0</v>
      </c>
      <c r="BV75" s="70">
        <f t="shared" ca="1" si="162"/>
        <v>29774.681166861112</v>
      </c>
      <c r="BW75" s="2">
        <f t="shared" ca="1" si="66"/>
        <v>0</v>
      </c>
      <c r="BX75" s="131">
        <f t="shared" ca="1" si="163"/>
        <v>0</v>
      </c>
      <c r="BY75" s="131">
        <f ca="1">SUM(BX75:BX$124)*SSj</f>
        <v>0</v>
      </c>
      <c r="BZ75" s="70">
        <f t="shared" ca="1" si="164"/>
        <v>29774.681166861112</v>
      </c>
      <c r="CA75" s="2">
        <f t="shared" ca="1" si="67"/>
        <v>0</v>
      </c>
      <c r="CB75" s="131">
        <f t="shared" ca="1" si="165"/>
        <v>0</v>
      </c>
      <c r="CC75" s="131">
        <f ca="1">SUM(CB75:CB$124)*SSk</f>
        <v>0</v>
      </c>
      <c r="CD75" s="8">
        <f t="shared" ca="1" si="166"/>
        <v>29774.681166861112</v>
      </c>
      <c r="CE75" s="2">
        <f t="shared" ca="1" si="68"/>
        <v>0</v>
      </c>
      <c r="CF75" s="131">
        <f t="shared" ca="1" si="167"/>
        <v>0</v>
      </c>
      <c r="CG75" s="131">
        <f ca="1">SUM(CF75:CF$124)*SSl</f>
        <v>0</v>
      </c>
      <c r="CH75" s="155">
        <f t="shared" si="108"/>
        <v>0.01</v>
      </c>
      <c r="CI75" s="155">
        <f t="shared" ca="1" si="109"/>
        <v>0</v>
      </c>
      <c r="CJ75" s="155">
        <f t="shared" ca="1" si="110"/>
        <v>0</v>
      </c>
      <c r="CK75" s="155">
        <f ca="1">유해지!CY75</f>
        <v>0</v>
      </c>
      <c r="CL75" s="529">
        <f t="shared" ca="1" si="130"/>
        <v>0</v>
      </c>
      <c r="CM75" s="155">
        <f t="shared" ca="1" si="111"/>
        <v>0</v>
      </c>
      <c r="CN75" s="155">
        <f ca="1">SUM(CM75:$CM$125)</f>
        <v>0</v>
      </c>
      <c r="CO75" s="101">
        <f t="shared" ca="1" si="112"/>
        <v>0</v>
      </c>
      <c r="CP75" s="154">
        <f t="shared" ca="1" si="131"/>
        <v>0</v>
      </c>
      <c r="CQ75" s="154">
        <f t="shared" ca="1" si="132"/>
        <v>0</v>
      </c>
      <c r="CR75" s="32">
        <f t="shared" ca="1" si="133"/>
        <v>0</v>
      </c>
      <c r="CS75" s="32">
        <f t="shared" ca="1" si="134"/>
        <v>0</v>
      </c>
      <c r="CT75" s="32">
        <f t="shared" ca="1" si="135"/>
        <v>0</v>
      </c>
      <c r="CU75" s="32">
        <f t="shared" ca="1" si="136"/>
        <v>0</v>
      </c>
      <c r="CV75" s="32">
        <f t="shared" si="137"/>
        <v>0</v>
      </c>
      <c r="CW75" s="32">
        <f t="shared" ca="1" si="138"/>
        <v>0</v>
      </c>
      <c r="CX75" s="259">
        <f ca="1">IF(R75&lt;m,0,ROUND(IF($R75&gt;nB,0,GPB*mB*mmB*유해지!CY75),roundB))</f>
        <v>0</v>
      </c>
      <c r="CY75" s="262">
        <f t="shared" ca="1" si="139"/>
        <v>0</v>
      </c>
      <c r="CZ75" s="259" t="e">
        <f t="shared" ca="1" si="140"/>
        <v>#DIV/0!</v>
      </c>
      <c r="DA75" s="31">
        <f t="shared" si="141"/>
        <v>5</v>
      </c>
    </row>
    <row r="76" spans="14:105">
      <c r="N76" s="5">
        <f t="shared" si="113"/>
        <v>64</v>
      </c>
      <c r="O76" s="2">
        <f t="shared" ref="O76:O107" ca="1" si="171">+(1+iB)^-N76</f>
        <v>0.24073970971638561</v>
      </c>
      <c r="P76" s="2">
        <f t="shared" ref="P76:P107" ca="1" si="172">+(1+iB)^-(N76+0.5)</f>
        <v>0.23807625051749462</v>
      </c>
      <c r="Q76" s="91"/>
      <c r="R76" s="20">
        <f t="shared" si="114"/>
        <v>64</v>
      </c>
      <c r="S76" s="20" t="str">
        <f t="shared" ref="S76:S107" si="173">+IF(xB+R76&lt;=xB+nB,xB+R76,"")</f>
        <v/>
      </c>
      <c r="T76" s="2">
        <f t="shared" ca="1" si="170"/>
        <v>0</v>
      </c>
      <c r="U76" s="2">
        <f t="shared" ca="1" si="170"/>
        <v>0</v>
      </c>
      <c r="V76" s="300">
        <f t="shared" ref="V76:V107" si="174">IF(JRB=2,0,IF(R76&gt;=mB,VLOOKUP(R76-mB,해지율_납기후,2),IF(R76=mB-1,0,VLOOKUP(R76,해지율_납기전,2))))</f>
        <v>0.01</v>
      </c>
      <c r="W76" s="8">
        <f t="shared" ref="W76:W107" si="175">IF(R76=0,100000,IF(R76&gt;nB,0,W75*(1-X75)*(1-Y75)))</f>
        <v>0</v>
      </c>
      <c r="X76" s="10">
        <f t="shared" ref="X76:X107" ca="1" si="176">1-IFERROR((1-YTSM*$T76)*(1-V76*(1-T76/2)/(1-T76)),0)</f>
        <v>1.0000000000000009E-2</v>
      </c>
      <c r="Y76" s="10">
        <f t="shared" ref="Y76:Y107" ca="1" si="177">IFERROR(1-(1-YT50J*U76*(1-T76/2)/(1-T76))*(1-YTa*AL76*(1-T76/2)/(1-T76))*(1-YTb*AQ76*(1-T76/2)/(1-T76))*(1-YTc*AU76*(1-T76/2)/(1-T76)),0)</f>
        <v>0</v>
      </c>
      <c r="Z76" s="8">
        <f t="shared" ca="1" si="142"/>
        <v>0</v>
      </c>
      <c r="AA76" s="8">
        <f ca="1">+SUM(Z76:Z$124)</f>
        <v>0</v>
      </c>
      <c r="AB76" s="8">
        <f t="shared" ref="AB76:AB107" ca="1" si="178">W76*X76*P76</f>
        <v>0</v>
      </c>
      <c r="AC76" s="209">
        <f ca="1">+SUM(AB76:AB$124)*SSSM</f>
        <v>0</v>
      </c>
      <c r="AD76" s="209">
        <f t="shared" si="143"/>
        <v>0</v>
      </c>
      <c r="AE76" s="92">
        <f t="shared" ref="AE76:AE107" ca="1" si="179">1-IFERROR((1-NT50J*U76*(1-T76/2)/(1-T76)),0)</f>
        <v>0</v>
      </c>
      <c r="AF76" s="92">
        <f t="shared" ref="AF76:AF107" ca="1" si="180">IFERROR(1-(1-NTa*AL76*(1-T76/2)/(1-T76))*(1-NTb*AQ76*(1-T76/2)/(1-T76))*(1-NTc*AU76*(1-T76/2)/(1-T76)),0)</f>
        <v>0</v>
      </c>
      <c r="AG76" s="8">
        <f t="shared" ref="AG76:AG107" ca="1" si="181">+AD76*$O76</f>
        <v>0</v>
      </c>
      <c r="AH76" s="5">
        <f ca="1">+SUM(AG76:AG$124)</f>
        <v>0</v>
      </c>
      <c r="AI76" s="70">
        <f t="shared" ref="AI76:AI107" ca="1" si="182">AD76*AE76*P76</f>
        <v>0</v>
      </c>
      <c r="AJ76" s="208">
        <f ca="1">+SUM(AB76:AB$124)*SS50J</f>
        <v>0</v>
      </c>
      <c r="AK76" s="5">
        <f t="shared" ca="1" si="144"/>
        <v>29476.934355192501</v>
      </c>
      <c r="AL76" s="2">
        <f t="shared" ca="1" si="57"/>
        <v>0</v>
      </c>
      <c r="AM76" s="131">
        <f t="shared" ca="1" si="84"/>
        <v>7096.2686199979971</v>
      </c>
      <c r="AN76" s="129">
        <f t="shared" ca="1" si="145"/>
        <v>0</v>
      </c>
      <c r="AO76" s="129">
        <f ca="1">SUM(AN76:AN$124)*SSa</f>
        <v>0</v>
      </c>
      <c r="AP76" s="70">
        <f t="shared" ca="1" si="146"/>
        <v>29476.934355192501</v>
      </c>
      <c r="AQ76" s="2">
        <f t="shared" ca="1" si="58"/>
        <v>0</v>
      </c>
      <c r="AR76" s="127">
        <f t="shared" ca="1" si="147"/>
        <v>0</v>
      </c>
      <c r="AS76" s="127">
        <f ca="1">SUM(AR76:AR$124)*SSb</f>
        <v>0</v>
      </c>
      <c r="AT76" s="70">
        <f t="shared" ca="1" si="148"/>
        <v>29476.934355192501</v>
      </c>
      <c r="AU76" s="2">
        <f t="shared" ca="1" si="59"/>
        <v>0</v>
      </c>
      <c r="AV76" s="268">
        <f t="shared" ca="1" si="149"/>
        <v>0</v>
      </c>
      <c r="AW76" s="131">
        <f ca="1">SUM(AV76:AV$124)*SSc</f>
        <v>0</v>
      </c>
      <c r="AX76" s="70">
        <f t="shared" ca="1" si="150"/>
        <v>29476.934355192501</v>
      </c>
      <c r="AY76" s="2">
        <f t="shared" ca="1" si="60"/>
        <v>0</v>
      </c>
      <c r="AZ76" s="268">
        <f t="shared" ca="1" si="151"/>
        <v>0</v>
      </c>
      <c r="BA76" s="129">
        <f ca="1">SUM(AZ76:AZ$124)*SSd</f>
        <v>0</v>
      </c>
      <c r="BB76" s="70">
        <f t="shared" ca="1" si="152"/>
        <v>29476.934355192501</v>
      </c>
      <c r="BC76" s="257">
        <f t="shared" ca="1" si="61"/>
        <v>0</v>
      </c>
      <c r="BD76" s="268">
        <f t="shared" ca="1" si="153"/>
        <v>0</v>
      </c>
      <c r="BE76" s="131">
        <f ca="1">SUM(BD76:BD$124)*SSe</f>
        <v>0</v>
      </c>
      <c r="BF76" s="70">
        <f t="shared" ca="1" si="154"/>
        <v>29476.934355192501</v>
      </c>
      <c r="BG76" s="2">
        <f t="shared" ca="1" si="62"/>
        <v>0</v>
      </c>
      <c r="BH76" s="131">
        <f t="shared" ca="1" si="155"/>
        <v>0</v>
      </c>
      <c r="BI76" s="2">
        <f ca="1">SUM(BH76:BH$124)*SSf</f>
        <v>0</v>
      </c>
      <c r="BJ76" s="70">
        <f t="shared" ca="1" si="156"/>
        <v>29476.934355192501</v>
      </c>
      <c r="BK76" s="2">
        <f t="shared" ca="1" si="63"/>
        <v>0</v>
      </c>
      <c r="BL76" s="131">
        <f t="shared" ca="1" si="157"/>
        <v>0</v>
      </c>
      <c r="BM76" s="131">
        <f ca="1">SUM(BL76:BL$124)*SSg</f>
        <v>0</v>
      </c>
      <c r="BN76" s="70">
        <f t="shared" ca="1" si="158"/>
        <v>29476.934355192501</v>
      </c>
      <c r="BO76" s="2">
        <f t="shared" ca="1" si="64"/>
        <v>0</v>
      </c>
      <c r="BP76" s="131">
        <f t="shared" ca="1" si="159"/>
        <v>0</v>
      </c>
      <c r="BQ76" s="131">
        <f ca="1">SUM(BP76:BP$124)*SSh</f>
        <v>0</v>
      </c>
      <c r="BR76" s="70">
        <f t="shared" ca="1" si="160"/>
        <v>29476.934355192501</v>
      </c>
      <c r="BS76" s="2">
        <f t="shared" ref="BS76:BS107" ca="1" si="183">IFERROR(VLOOKUP($S76,qx_table,MATCH(BS$11,qx_title,0)+sexB),0)*IF(R76=0,MCi,1)</f>
        <v>0</v>
      </c>
      <c r="BT76" s="131">
        <f t="shared" ca="1" si="161"/>
        <v>0</v>
      </c>
      <c r="BU76" s="131">
        <f ca="1">SUM(BT76:BT$124)*SSi</f>
        <v>0</v>
      </c>
      <c r="BV76" s="70">
        <f t="shared" ca="1" si="162"/>
        <v>29476.934355192501</v>
      </c>
      <c r="BW76" s="2">
        <f t="shared" ca="1" si="66"/>
        <v>0</v>
      </c>
      <c r="BX76" s="131">
        <f t="shared" ca="1" si="163"/>
        <v>0</v>
      </c>
      <c r="BY76" s="131">
        <f ca="1">SUM(BX76:BX$124)*SSj</f>
        <v>0</v>
      </c>
      <c r="BZ76" s="70">
        <f t="shared" ca="1" si="164"/>
        <v>29476.934355192501</v>
      </c>
      <c r="CA76" s="2">
        <f t="shared" ca="1" si="67"/>
        <v>0</v>
      </c>
      <c r="CB76" s="131">
        <f t="shared" ca="1" si="165"/>
        <v>0</v>
      </c>
      <c r="CC76" s="131">
        <f ca="1">SUM(CB76:CB$124)*SSk</f>
        <v>0</v>
      </c>
      <c r="CD76" s="8">
        <f t="shared" ca="1" si="166"/>
        <v>29476.934355192501</v>
      </c>
      <c r="CE76" s="2">
        <f t="shared" ca="1" si="68"/>
        <v>0</v>
      </c>
      <c r="CF76" s="131">
        <f t="shared" ca="1" si="167"/>
        <v>0</v>
      </c>
      <c r="CG76" s="131">
        <f ca="1">SUM(CF76:CF$124)*SSl</f>
        <v>0</v>
      </c>
      <c r="CH76" s="155">
        <f t="shared" si="108"/>
        <v>0.01</v>
      </c>
      <c r="CI76" s="155">
        <f t="shared" ca="1" si="109"/>
        <v>0</v>
      </c>
      <c r="CJ76" s="155">
        <f t="shared" ca="1" si="110"/>
        <v>0</v>
      </c>
      <c r="CK76" s="155">
        <f ca="1">유해지!CY76</f>
        <v>0</v>
      </c>
      <c r="CL76" s="529">
        <f t="shared" ref="CL76:CL107" ca="1" si="184">IF(R76&lt;mB,0,(CK76+CK77)/2)</f>
        <v>0</v>
      </c>
      <c r="CM76" s="155">
        <f t="shared" ca="1" si="111"/>
        <v>0</v>
      </c>
      <c r="CN76" s="155">
        <f ca="1">SUM(CM76:$CM$125)</f>
        <v>0</v>
      </c>
      <c r="CO76" s="101">
        <f t="shared" ca="1" si="112"/>
        <v>0</v>
      </c>
      <c r="CP76" s="154">
        <f t="shared" ref="CP76:CP107" ca="1" si="185">MAX((VLOOKUP(xB+R76,기수표B,$CO$1)-VLOOKUP(xB+nB,기수표B,$CO$1)),0)</f>
        <v>0</v>
      </c>
      <c r="CQ76" s="154">
        <f t="shared" ref="CQ76:CQ107" ca="1" si="186">MAX((VLOOKUP(xB+R76,기수표B,$CN$1)-VLOOKUP(xB+nB,기수표B,$CN$1)),0)</f>
        <v>0</v>
      </c>
      <c r="CR76" s="32">
        <f t="shared" ref="CR76:CR107" ca="1" si="187">+MAX(VLOOKUP(xB+$R76,기수표B,$AH$1)-VLOOKUP(xB+mB,기수표B,$AH$1),0)</f>
        <v>0</v>
      </c>
      <c r="CS76" s="32">
        <f t="shared" ref="CS76:CS107" ca="1" si="188">+MAX(VLOOKUP(xB+$R76,기수표B,$AH$1)-VLOOKUP(xB+mB,기수표B,$AH$1)-(mmB-1)/(mmB*2)*(VLOOKUP(xB+$R76,기수표B,$AG$1)-VLOOKUP(xB+mB,기수표B,$AG$1)),0)</f>
        <v>0</v>
      </c>
      <c r="CT76" s="32">
        <f t="shared" ref="CT76:CT107" ca="1" si="189">+MAX(VLOOKUP(xB+$R76,기수표B,$AA$1)-VLOOKUP(xB+mB,기수표B,$AA$1),0)</f>
        <v>0</v>
      </c>
      <c r="CU76" s="32">
        <f t="shared" ref="CU76:CU107" ca="1" si="190">+MAX(VLOOKUP(xB+$R76,기수표B,$AA$1)-VLOOKUP(xB+mB,기수표B,$AA$1)-(mmB-1)/(2*mmB)*(VLOOKUP(xB+$R76,기수표B,$AA$1)-VLOOKUP(xB+mB,기수표B,$AA$1)),0)</f>
        <v>0</v>
      </c>
      <c r="CV76" s="32">
        <f t="shared" ref="CV76:CV107" si="191">IF(R76&gt;nB,0,VLOOKUP(xB+MAX($R76,mB),기수표B,$AA$1)-VLOOKUP(xB+nB,기수표B,$AA$1))</f>
        <v>0</v>
      </c>
      <c r="CW76" s="32">
        <f t="shared" ref="CW76:CW107" ca="1" si="192">IF(JRB=1,mmB*H$25*CS76,0)</f>
        <v>0</v>
      </c>
      <c r="CX76" s="259">
        <f ca="1">IF(R76&lt;m,0,ROUND(IF($R76&gt;nB,0,GPB*mB*mmB*유해지!CY76),roundB))</f>
        <v>0</v>
      </c>
      <c r="CY76" s="262">
        <f t="shared" ref="CY76:CY107" ca="1" si="193">+MAX(0,IF(JRB=1,CX76,MAX(0,ROUND(IF($R76&gt;nB,0,CZ76-MAX($DA76-$R76,0)/$DA76*$C$33),round))))</f>
        <v>0</v>
      </c>
      <c r="CZ76" s="259" t="e">
        <f t="shared" ref="CZ76:CZ107" ca="1" si="194">(CP76+mmB*GPB*CQ76*mB+BETAD_SB*$CV76-CW76)/Z76</f>
        <v>#DIV/0!</v>
      </c>
      <c r="DA76" s="31">
        <f t="shared" ref="DA76:DA107" si="195">+MIN(mB,7)</f>
        <v>5</v>
      </c>
    </row>
    <row r="77" spans="14:105">
      <c r="N77" s="5">
        <f t="shared" si="113"/>
        <v>65</v>
      </c>
      <c r="O77" s="2">
        <f t="shared" ca="1" si="171"/>
        <v>0.23544225889133066</v>
      </c>
      <c r="P77" s="2">
        <f t="shared" ca="1" si="172"/>
        <v>0.2328374088190657</v>
      </c>
      <c r="Q77" s="91"/>
      <c r="R77" s="20">
        <f t="shared" si="114"/>
        <v>65</v>
      </c>
      <c r="S77" s="20" t="str">
        <f t="shared" si="173"/>
        <v/>
      </c>
      <c r="T77" s="2">
        <f t="shared" ca="1" si="170"/>
        <v>0</v>
      </c>
      <c r="U77" s="2">
        <f t="shared" ca="1" si="170"/>
        <v>0</v>
      </c>
      <c r="V77" s="300">
        <f t="shared" si="174"/>
        <v>0.01</v>
      </c>
      <c r="W77" s="8">
        <f t="shared" si="175"/>
        <v>0</v>
      </c>
      <c r="X77" s="10">
        <f t="shared" ca="1" si="176"/>
        <v>1.0000000000000009E-2</v>
      </c>
      <c r="Y77" s="10">
        <f t="shared" ca="1" si="177"/>
        <v>0</v>
      </c>
      <c r="Z77" s="8">
        <f t="shared" ref="Z77:Z108" ca="1" si="196">+W77*O77</f>
        <v>0</v>
      </c>
      <c r="AA77" s="8">
        <f ca="1">+SUM(Z77:Z$124)</f>
        <v>0</v>
      </c>
      <c r="AB77" s="8">
        <f t="shared" ca="1" si="178"/>
        <v>0</v>
      </c>
      <c r="AC77" s="209">
        <f ca="1">+SUM(AB77:AB$124)*SSSM</f>
        <v>0</v>
      </c>
      <c r="AD77" s="209">
        <f t="shared" ref="AD77:AD108" si="197">IF(R77&gt;nB,0,AD76*(1-X76)*(1-Y76)*(1-AE76)*(1-AF76))</f>
        <v>0</v>
      </c>
      <c r="AE77" s="92">
        <f t="shared" ca="1" si="179"/>
        <v>0</v>
      </c>
      <c r="AF77" s="92">
        <f t="shared" ca="1" si="180"/>
        <v>0</v>
      </c>
      <c r="AG77" s="8">
        <f t="shared" ca="1" si="181"/>
        <v>0</v>
      </c>
      <c r="AH77" s="5">
        <f ca="1">+SUM(AG77:AG$124)</f>
        <v>0</v>
      </c>
      <c r="AI77" s="70">
        <f t="shared" ca="1" si="182"/>
        <v>0</v>
      </c>
      <c r="AJ77" s="208">
        <f ca="1">+SUM(AB77:AB$124)*SS50J</f>
        <v>0</v>
      </c>
      <c r="AK77" s="5">
        <f t="shared" ref="AK77:AK108" ca="1" si="198">IFERROR(AK76*(1-$X76)*(1-$Y76)*(1-BTa*AL76*(1-$T76/2)/(1-$T76)),0)</f>
        <v>29182.165011640576</v>
      </c>
      <c r="AL77" s="2">
        <f t="shared" ca="1" si="57"/>
        <v>0</v>
      </c>
      <c r="AM77" s="131">
        <f t="shared" ref="AM77:AM125" ca="1" si="199">AK77*O77</f>
        <v>6870.714849680212</v>
      </c>
      <c r="AN77" s="129">
        <f t="shared" ref="AN77:AN108" ca="1" si="200">AK77*AL77*(1-CHOOSE(JRB,1,0)*$V77/2)*$P77</f>
        <v>0</v>
      </c>
      <c r="AO77" s="129">
        <f ca="1">SUM(AN77:AN$124)*SSa</f>
        <v>0</v>
      </c>
      <c r="AP77" s="70">
        <f t="shared" ref="AP77:AP108" ca="1" si="201">IFERROR(AP76*(1-$X76)*(1-$Y76)*(1-BTb*AQ76*(1-$T76/2)/(1-$T76)),0)</f>
        <v>29182.165011640576</v>
      </c>
      <c r="AQ77" s="2">
        <f t="shared" ca="1" si="58"/>
        <v>0</v>
      </c>
      <c r="AR77" s="127">
        <f t="shared" ref="AR77:AR108" ca="1" si="202">AP77*AQ77*(1-CHOOSE(JRB,1,0)*$V77/2)*$P77</f>
        <v>0</v>
      </c>
      <c r="AS77" s="127">
        <f ca="1">SUM(AR77:AR$124)*SSb</f>
        <v>0</v>
      </c>
      <c r="AT77" s="70">
        <f t="shared" ref="AT77:AT108" ca="1" si="203">IFERROR(AT76*(1-$X76)*(1-$Y76)*(1-BTc*AU76*(1-$T76/2)/(1-$T76)),0)</f>
        <v>29182.165011640576</v>
      </c>
      <c r="AU77" s="2">
        <f t="shared" ca="1" si="59"/>
        <v>0</v>
      </c>
      <c r="AV77" s="268">
        <f t="shared" ref="AV77:AV108" ca="1" si="204">AT77*AU77*(1-CHOOSE(JRB,1,0)*$V77/2)*$P77</f>
        <v>0</v>
      </c>
      <c r="AW77" s="131">
        <f ca="1">SUM(AV77:AV$124)*SSc</f>
        <v>0</v>
      </c>
      <c r="AX77" s="70">
        <f t="shared" ref="AX77:AX108" ca="1" si="205">IFERROR(AX76*(1-$X76)*(1-$Y76)*(1-BTd*AY76*(1-$T76/2)/(1-$T76)),0)</f>
        <v>29182.165011640576</v>
      </c>
      <c r="AY77" s="2">
        <f t="shared" ca="1" si="60"/>
        <v>0</v>
      </c>
      <c r="AZ77" s="268">
        <f t="shared" ref="AZ77:AZ108" ca="1" si="206">AX77*AY77*(1-CHOOSE(JRB,1,0)*$V77/2)*$P77</f>
        <v>0</v>
      </c>
      <c r="BA77" s="129">
        <f ca="1">SUM(AZ77:AZ$124)*SSd</f>
        <v>0</v>
      </c>
      <c r="BB77" s="70">
        <f t="shared" ref="BB77:BB108" ca="1" si="207">IFERROR(BB76*(1-$X76)*(1-$Y76)*(1-BTe*BC76*(1-$T76/2)/(1-$T76)),0)</f>
        <v>29182.165011640576</v>
      </c>
      <c r="BC77" s="257">
        <f t="shared" ca="1" si="61"/>
        <v>0</v>
      </c>
      <c r="BD77" s="268">
        <f t="shared" ref="BD77:BD108" ca="1" si="208">BB77*BC77*(1-CHOOSE(JRB,1,0)*$V77/2)*$P77</f>
        <v>0</v>
      </c>
      <c r="BE77" s="131">
        <f ca="1">SUM(BD77:BD$124)*SSe</f>
        <v>0</v>
      </c>
      <c r="BF77" s="70">
        <f t="shared" ref="BF77:BF108" ca="1" si="209">IFERROR(BF76*(1-$X76)*(1-$Y76)*(1-BTf*BG76*(1-$T76/2)/(1-$T76)),0)</f>
        <v>29182.165011640576</v>
      </c>
      <c r="BG77" s="2">
        <f t="shared" ca="1" si="62"/>
        <v>0</v>
      </c>
      <c r="BH77" s="131">
        <f t="shared" ref="BH77:BH108" ca="1" si="210">BF77*BG77*(1-CHOOSE(JRB,1,0)*$V77/2)*$P77</f>
        <v>0</v>
      </c>
      <c r="BI77" s="2">
        <f ca="1">SUM(BH77:BH$124)*SSf</f>
        <v>0</v>
      </c>
      <c r="BJ77" s="70">
        <f t="shared" ref="BJ77:BJ108" ca="1" si="211">IFERROR(BJ76*(1-$X76)*(1-$Y76)*(1-BTg*BK76*(1-$T76/2)/(1-$T76)),0)</f>
        <v>29182.165011640576</v>
      </c>
      <c r="BK77" s="2">
        <f t="shared" ca="1" si="63"/>
        <v>0</v>
      </c>
      <c r="BL77" s="131">
        <f t="shared" ref="BL77:BL108" ca="1" si="212">BJ77*BK77*(1-CHOOSE(JRB,1,0)*$V77/2)*$P77</f>
        <v>0</v>
      </c>
      <c r="BM77" s="131">
        <f ca="1">SUM(BL77:BL$124)*SSg</f>
        <v>0</v>
      </c>
      <c r="BN77" s="70">
        <f t="shared" ref="BN77:BN108" ca="1" si="213">IFERROR(BN76*(1-$X76)*(1-$Y76)*(1-BTh*BO76*(1-$T76/2)/(1-$T76)),0)</f>
        <v>29182.165011640576</v>
      </c>
      <c r="BO77" s="2">
        <f t="shared" ca="1" si="64"/>
        <v>0</v>
      </c>
      <c r="BP77" s="131">
        <f t="shared" ref="BP77:BP108" ca="1" si="214">BN77*BO77*(1-CHOOSE(JRB,1,0)*$V77/2)*$P77</f>
        <v>0</v>
      </c>
      <c r="BQ77" s="131">
        <f ca="1">SUM(BP77:BP$124)*SSh</f>
        <v>0</v>
      </c>
      <c r="BR77" s="70">
        <f t="shared" ref="BR77:BR108" ca="1" si="215">IFERROR(BR76*(1-$X76)*(1-$Y76)*(1-BTi*BS76*(1-$T76/2)/(1-$T76)),0)</f>
        <v>29182.165011640576</v>
      </c>
      <c r="BS77" s="2">
        <f t="shared" ca="1" si="183"/>
        <v>0</v>
      </c>
      <c r="BT77" s="131">
        <f t="shared" ref="BT77:BT108" ca="1" si="216">BR77*BS77*(1-CHOOSE(JRB,1,0)*$V77/2)*$P77</f>
        <v>0</v>
      </c>
      <c r="BU77" s="131">
        <f ca="1">SUM(BT77:BT$124)*SSi</f>
        <v>0</v>
      </c>
      <c r="BV77" s="70">
        <f t="shared" ref="BV77:BV108" ca="1" si="217">IFERROR(BV76*(1-$X76)*(1-$Y76)*(1-BTj*BW76*(1-$T76/2)/(1-$T76)),0)</f>
        <v>29182.165011640576</v>
      </c>
      <c r="BW77" s="2">
        <f t="shared" ca="1" si="66"/>
        <v>0</v>
      </c>
      <c r="BX77" s="131">
        <f t="shared" ref="BX77:BX108" ca="1" si="218">BV77*BW77*(1-CHOOSE(JRB,1,0)*$V77/2)*$P77</f>
        <v>0</v>
      </c>
      <c r="BY77" s="131">
        <f ca="1">SUM(BX77:BX$124)*SSj</f>
        <v>0</v>
      </c>
      <c r="BZ77" s="70">
        <f t="shared" ref="BZ77:BZ108" ca="1" si="219">IFERROR(BZ76*(1-$X76)*(1-$Y76)*(1-BTk*CA76*(1-$T76/2)/(1-$T76)),0)</f>
        <v>29182.165011640576</v>
      </c>
      <c r="CA77" s="2">
        <f t="shared" ca="1" si="67"/>
        <v>0</v>
      </c>
      <c r="CB77" s="131">
        <f t="shared" ref="CB77:CB108" ca="1" si="220">BZ77*CA77*(1-CHOOSE(JRB,1,0)*$V77/2)*$P77</f>
        <v>0</v>
      </c>
      <c r="CC77" s="131">
        <f ca="1">SUM(CB77:CB$124)*SSk</f>
        <v>0</v>
      </c>
      <c r="CD77" s="8">
        <f t="shared" ref="CD77:CD108" ca="1" si="221">IFERROR(CD76*(1-$X76)*(1-$Y76)*(1-BTl*CE76*(1-$T76/2)/(1-$T76)),0)</f>
        <v>29182.165011640576</v>
      </c>
      <c r="CE77" s="2">
        <f t="shared" ca="1" si="68"/>
        <v>0</v>
      </c>
      <c r="CF77" s="131">
        <f t="shared" ref="CF77:CF108" ca="1" si="222">CD77*CE77*(1-CHOOSE(JRB,1,0)*$V77/2)*$P77</f>
        <v>0</v>
      </c>
      <c r="CG77" s="131">
        <f ca="1">SUM(CF77:CF$124)*SSl</f>
        <v>0</v>
      </c>
      <c r="CH77" s="155">
        <f t="shared" ref="CH77:CH125" si="223">V77</f>
        <v>0.01</v>
      </c>
      <c r="CI77" s="155">
        <f t="shared" ref="CI77:CI125" ca="1" si="224">W77*CH77*(1-$CI$5*AL77/2)</f>
        <v>0</v>
      </c>
      <c r="CJ77" s="155">
        <f t="shared" ref="CJ77:CJ125" ca="1" si="225">CI77*P77</f>
        <v>0</v>
      </c>
      <c r="CK77" s="155">
        <f ca="1">유해지!CY77</f>
        <v>0</v>
      </c>
      <c r="CL77" s="529">
        <f t="shared" ca="1" si="184"/>
        <v>0</v>
      </c>
      <c r="CM77" s="155">
        <f t="shared" ref="CM77:CM125" ca="1" si="226">CL77*CJ77</f>
        <v>0</v>
      </c>
      <c r="CN77" s="155">
        <f ca="1">SUM(CM77:$CM$125)</f>
        <v>0</v>
      </c>
      <c r="CO77" s="101">
        <f t="shared" ref="CO77:CO124" ca="1" si="227">AC77+AJ77+AO77+AS77+AW77+BA77+BE77+BI77+BM77+BQ77+BU77+BY77+CC77+CG77</f>
        <v>0</v>
      </c>
      <c r="CP77" s="154">
        <f t="shared" ca="1" si="185"/>
        <v>0</v>
      </c>
      <c r="CQ77" s="154">
        <f t="shared" ca="1" si="186"/>
        <v>0</v>
      </c>
      <c r="CR77" s="32">
        <f t="shared" ca="1" si="187"/>
        <v>0</v>
      </c>
      <c r="CS77" s="32">
        <f t="shared" ca="1" si="188"/>
        <v>0</v>
      </c>
      <c r="CT77" s="32">
        <f t="shared" ca="1" si="189"/>
        <v>0</v>
      </c>
      <c r="CU77" s="32">
        <f t="shared" ca="1" si="190"/>
        <v>0</v>
      </c>
      <c r="CV77" s="32">
        <f t="shared" si="191"/>
        <v>0</v>
      </c>
      <c r="CW77" s="32">
        <f t="shared" ca="1" si="192"/>
        <v>0</v>
      </c>
      <c r="CX77" s="259">
        <f ca="1">IF(R77&lt;m,0,ROUND(IF($R77&gt;nB,0,GPB*mB*mmB*유해지!CY77),roundB))</f>
        <v>0</v>
      </c>
      <c r="CY77" s="262">
        <f t="shared" ca="1" si="193"/>
        <v>0</v>
      </c>
      <c r="CZ77" s="259" t="e">
        <f t="shared" ca="1" si="194"/>
        <v>#DIV/0!</v>
      </c>
      <c r="DA77" s="31">
        <f t="shared" si="195"/>
        <v>5</v>
      </c>
    </row>
    <row r="78" spans="14:105">
      <c r="N78" s="5">
        <f t="shared" ref="N78:N124" si="228">+N77+1</f>
        <v>66</v>
      </c>
      <c r="O78" s="2">
        <f t="shared" ca="1" si="171"/>
        <v>0.23026137788883197</v>
      </c>
      <c r="P78" s="2">
        <f t="shared" ca="1" si="172"/>
        <v>0.22771384725580995</v>
      </c>
      <c r="Q78" s="91"/>
      <c r="R78" s="20">
        <f t="shared" ref="R78:R124" si="229">R77+1</f>
        <v>66</v>
      </c>
      <c r="S78" s="20" t="str">
        <f t="shared" si="173"/>
        <v/>
      </c>
      <c r="T78" s="2">
        <f t="shared" ca="1" si="170"/>
        <v>0</v>
      </c>
      <c r="U78" s="2">
        <f t="shared" ca="1" si="170"/>
        <v>0</v>
      </c>
      <c r="V78" s="300">
        <f t="shared" si="174"/>
        <v>0.01</v>
      </c>
      <c r="W78" s="8">
        <f t="shared" si="175"/>
        <v>0</v>
      </c>
      <c r="X78" s="10">
        <f t="shared" ca="1" si="176"/>
        <v>1.0000000000000009E-2</v>
      </c>
      <c r="Y78" s="10">
        <f t="shared" ca="1" si="177"/>
        <v>0</v>
      </c>
      <c r="Z78" s="8">
        <f t="shared" ca="1" si="196"/>
        <v>0</v>
      </c>
      <c r="AA78" s="8">
        <f ca="1">+SUM(Z78:Z$124)</f>
        <v>0</v>
      </c>
      <c r="AB78" s="8">
        <f t="shared" ca="1" si="178"/>
        <v>0</v>
      </c>
      <c r="AC78" s="209">
        <f ca="1">+SUM(AB78:AB$124)*SSSM</f>
        <v>0</v>
      </c>
      <c r="AD78" s="209">
        <f t="shared" si="197"/>
        <v>0</v>
      </c>
      <c r="AE78" s="92">
        <f t="shared" ca="1" si="179"/>
        <v>0</v>
      </c>
      <c r="AF78" s="92">
        <f t="shared" ca="1" si="180"/>
        <v>0</v>
      </c>
      <c r="AG78" s="8">
        <f t="shared" ca="1" si="181"/>
        <v>0</v>
      </c>
      <c r="AH78" s="5">
        <f ca="1">+SUM(AG78:AG$124)</f>
        <v>0</v>
      </c>
      <c r="AI78" s="70">
        <f t="shared" ca="1" si="182"/>
        <v>0</v>
      </c>
      <c r="AJ78" s="208">
        <f ca="1">+SUM(AB78:AB$124)*SS50J</f>
        <v>0</v>
      </c>
      <c r="AK78" s="5">
        <f t="shared" ca="1" si="198"/>
        <v>28890.34336152417</v>
      </c>
      <c r="AL78" s="2">
        <f t="shared" ca="1" si="57"/>
        <v>0</v>
      </c>
      <c r="AM78" s="131">
        <f t="shared" ca="1" si="199"/>
        <v>6652.3302701060247</v>
      </c>
      <c r="AN78" s="129">
        <f t="shared" ca="1" si="200"/>
        <v>0</v>
      </c>
      <c r="AO78" s="129">
        <f ca="1">SUM(AN78:AN$124)*SSa</f>
        <v>0</v>
      </c>
      <c r="AP78" s="70">
        <f t="shared" ca="1" si="201"/>
        <v>28890.34336152417</v>
      </c>
      <c r="AQ78" s="2">
        <f t="shared" ca="1" si="58"/>
        <v>0</v>
      </c>
      <c r="AR78" s="127">
        <f t="shared" ca="1" si="202"/>
        <v>0</v>
      </c>
      <c r="AS78" s="127">
        <f ca="1">SUM(AR78:AR$124)*SSb</f>
        <v>0</v>
      </c>
      <c r="AT78" s="70">
        <f t="shared" ca="1" si="203"/>
        <v>28890.34336152417</v>
      </c>
      <c r="AU78" s="2">
        <f t="shared" ca="1" si="59"/>
        <v>0</v>
      </c>
      <c r="AV78" s="268">
        <f t="shared" ca="1" si="204"/>
        <v>0</v>
      </c>
      <c r="AW78" s="131">
        <f ca="1">SUM(AV78:AV$124)*SSc</f>
        <v>0</v>
      </c>
      <c r="AX78" s="70">
        <f t="shared" ca="1" si="205"/>
        <v>28890.34336152417</v>
      </c>
      <c r="AY78" s="2">
        <f t="shared" ca="1" si="60"/>
        <v>0</v>
      </c>
      <c r="AZ78" s="268">
        <f t="shared" ca="1" si="206"/>
        <v>0</v>
      </c>
      <c r="BA78" s="129">
        <f ca="1">SUM(AZ78:AZ$124)*SSd</f>
        <v>0</v>
      </c>
      <c r="BB78" s="70">
        <f t="shared" ca="1" si="207"/>
        <v>28890.34336152417</v>
      </c>
      <c r="BC78" s="257">
        <f t="shared" ca="1" si="61"/>
        <v>0</v>
      </c>
      <c r="BD78" s="268">
        <f t="shared" ca="1" si="208"/>
        <v>0</v>
      </c>
      <c r="BE78" s="131">
        <f ca="1">SUM(BD78:BD$124)*SSe</f>
        <v>0</v>
      </c>
      <c r="BF78" s="70">
        <f t="shared" ca="1" si="209"/>
        <v>28890.34336152417</v>
      </c>
      <c r="BG78" s="2">
        <f t="shared" ca="1" si="62"/>
        <v>0</v>
      </c>
      <c r="BH78" s="131">
        <f t="shared" ca="1" si="210"/>
        <v>0</v>
      </c>
      <c r="BI78" s="2">
        <f ca="1">SUM(BH78:BH$124)*SSf</f>
        <v>0</v>
      </c>
      <c r="BJ78" s="70">
        <f t="shared" ca="1" si="211"/>
        <v>28890.34336152417</v>
      </c>
      <c r="BK78" s="2">
        <f t="shared" ca="1" si="63"/>
        <v>0</v>
      </c>
      <c r="BL78" s="131">
        <f t="shared" ca="1" si="212"/>
        <v>0</v>
      </c>
      <c r="BM78" s="131">
        <f ca="1">SUM(BL78:BL$124)*SSg</f>
        <v>0</v>
      </c>
      <c r="BN78" s="70">
        <f t="shared" ca="1" si="213"/>
        <v>28890.34336152417</v>
      </c>
      <c r="BO78" s="2">
        <f t="shared" ca="1" si="64"/>
        <v>0</v>
      </c>
      <c r="BP78" s="131">
        <f t="shared" ca="1" si="214"/>
        <v>0</v>
      </c>
      <c r="BQ78" s="131">
        <f ca="1">SUM(BP78:BP$124)*SSh</f>
        <v>0</v>
      </c>
      <c r="BR78" s="70">
        <f t="shared" ca="1" si="215"/>
        <v>28890.34336152417</v>
      </c>
      <c r="BS78" s="2">
        <f t="shared" ca="1" si="183"/>
        <v>0</v>
      </c>
      <c r="BT78" s="131">
        <f t="shared" ca="1" si="216"/>
        <v>0</v>
      </c>
      <c r="BU78" s="131">
        <f ca="1">SUM(BT78:BT$124)*SSi</f>
        <v>0</v>
      </c>
      <c r="BV78" s="70">
        <f t="shared" ca="1" si="217"/>
        <v>28890.34336152417</v>
      </c>
      <c r="BW78" s="2">
        <f t="shared" ca="1" si="66"/>
        <v>0</v>
      </c>
      <c r="BX78" s="131">
        <f t="shared" ca="1" si="218"/>
        <v>0</v>
      </c>
      <c r="BY78" s="131">
        <f ca="1">SUM(BX78:BX$124)*SSj</f>
        <v>0</v>
      </c>
      <c r="BZ78" s="70">
        <f t="shared" ca="1" si="219"/>
        <v>28890.34336152417</v>
      </c>
      <c r="CA78" s="2">
        <f t="shared" ca="1" si="67"/>
        <v>0</v>
      </c>
      <c r="CB78" s="131">
        <f t="shared" ca="1" si="220"/>
        <v>0</v>
      </c>
      <c r="CC78" s="131">
        <f ca="1">SUM(CB78:CB$124)*SSk</f>
        <v>0</v>
      </c>
      <c r="CD78" s="8">
        <f t="shared" ca="1" si="221"/>
        <v>28890.34336152417</v>
      </c>
      <c r="CE78" s="2">
        <f t="shared" ca="1" si="68"/>
        <v>0</v>
      </c>
      <c r="CF78" s="131">
        <f t="shared" ca="1" si="222"/>
        <v>0</v>
      </c>
      <c r="CG78" s="131">
        <f ca="1">SUM(CF78:CF$124)*SSl</f>
        <v>0</v>
      </c>
      <c r="CH78" s="155">
        <f t="shared" si="223"/>
        <v>0.01</v>
      </c>
      <c r="CI78" s="155">
        <f t="shared" ca="1" si="224"/>
        <v>0</v>
      </c>
      <c r="CJ78" s="155">
        <f t="shared" ca="1" si="225"/>
        <v>0</v>
      </c>
      <c r="CK78" s="155">
        <f ca="1">유해지!CY78</f>
        <v>0</v>
      </c>
      <c r="CL78" s="529">
        <f t="shared" ca="1" si="184"/>
        <v>0</v>
      </c>
      <c r="CM78" s="155">
        <f t="shared" ca="1" si="226"/>
        <v>0</v>
      </c>
      <c r="CN78" s="155">
        <f ca="1">SUM(CM78:$CM$125)</f>
        <v>0</v>
      </c>
      <c r="CO78" s="101">
        <f t="shared" ca="1" si="227"/>
        <v>0</v>
      </c>
      <c r="CP78" s="154">
        <f t="shared" ca="1" si="185"/>
        <v>0</v>
      </c>
      <c r="CQ78" s="154">
        <f t="shared" ca="1" si="186"/>
        <v>0</v>
      </c>
      <c r="CR78" s="32">
        <f t="shared" ca="1" si="187"/>
        <v>0</v>
      </c>
      <c r="CS78" s="32">
        <f t="shared" ca="1" si="188"/>
        <v>0</v>
      </c>
      <c r="CT78" s="32">
        <f t="shared" ca="1" si="189"/>
        <v>0</v>
      </c>
      <c r="CU78" s="32">
        <f t="shared" ca="1" si="190"/>
        <v>0</v>
      </c>
      <c r="CV78" s="32">
        <f t="shared" si="191"/>
        <v>0</v>
      </c>
      <c r="CW78" s="32">
        <f t="shared" ca="1" si="192"/>
        <v>0</v>
      </c>
      <c r="CX78" s="259">
        <f ca="1">IF(R78&lt;m,0,ROUND(IF($R78&gt;nB,0,GPB*mB*mmB*유해지!CY78),roundB))</f>
        <v>0</v>
      </c>
      <c r="CY78" s="262">
        <f t="shared" ca="1" si="193"/>
        <v>0</v>
      </c>
      <c r="CZ78" s="259" t="e">
        <f t="shared" ca="1" si="194"/>
        <v>#DIV/0!</v>
      </c>
      <c r="DA78" s="31">
        <f t="shared" si="195"/>
        <v>5</v>
      </c>
    </row>
    <row r="79" spans="14:105">
      <c r="N79" s="5">
        <f t="shared" si="228"/>
        <v>67</v>
      </c>
      <c r="O79" s="2">
        <f t="shared" ca="1" si="171"/>
        <v>0.22519450160276969</v>
      </c>
      <c r="P79" s="2">
        <f t="shared" ca="1" si="172"/>
        <v>0.22270302910103662</v>
      </c>
      <c r="Q79" s="91"/>
      <c r="R79" s="20">
        <f t="shared" si="229"/>
        <v>67</v>
      </c>
      <c r="S79" s="20" t="str">
        <f t="shared" si="173"/>
        <v/>
      </c>
      <c r="T79" s="2">
        <f t="shared" ca="1" si="170"/>
        <v>0</v>
      </c>
      <c r="U79" s="2">
        <f t="shared" ca="1" si="170"/>
        <v>0</v>
      </c>
      <c r="V79" s="300">
        <f t="shared" si="174"/>
        <v>0.01</v>
      </c>
      <c r="W79" s="8">
        <f t="shared" si="175"/>
        <v>0</v>
      </c>
      <c r="X79" s="10">
        <f t="shared" ca="1" si="176"/>
        <v>1.0000000000000009E-2</v>
      </c>
      <c r="Y79" s="10">
        <f t="shared" ca="1" si="177"/>
        <v>0</v>
      </c>
      <c r="Z79" s="8">
        <f t="shared" ca="1" si="196"/>
        <v>0</v>
      </c>
      <c r="AA79" s="8">
        <f ca="1">+SUM(Z79:Z$124)</f>
        <v>0</v>
      </c>
      <c r="AB79" s="8">
        <f t="shared" ca="1" si="178"/>
        <v>0</v>
      </c>
      <c r="AC79" s="209">
        <f ca="1">+SUM(AB79:AB$124)*SSSM</f>
        <v>0</v>
      </c>
      <c r="AD79" s="209">
        <f t="shared" si="197"/>
        <v>0</v>
      </c>
      <c r="AE79" s="92">
        <f t="shared" ca="1" si="179"/>
        <v>0</v>
      </c>
      <c r="AF79" s="92">
        <f t="shared" ca="1" si="180"/>
        <v>0</v>
      </c>
      <c r="AG79" s="8">
        <f t="shared" ca="1" si="181"/>
        <v>0</v>
      </c>
      <c r="AH79" s="5">
        <f ca="1">+SUM(AG79:AG$124)</f>
        <v>0</v>
      </c>
      <c r="AI79" s="70">
        <f t="shared" ca="1" si="182"/>
        <v>0</v>
      </c>
      <c r="AJ79" s="208">
        <f ca="1">+SUM(AB79:AB$124)*SS50J</f>
        <v>0</v>
      </c>
      <c r="AK79" s="5">
        <f t="shared" ca="1" si="198"/>
        <v>28601.439927908927</v>
      </c>
      <c r="AL79" s="2">
        <f t="shared" ca="1" si="57"/>
        <v>0</v>
      </c>
      <c r="AM79" s="131">
        <f t="shared" ca="1" si="199"/>
        <v>6440.8870096870078</v>
      </c>
      <c r="AN79" s="129">
        <f t="shared" ca="1" si="200"/>
        <v>0</v>
      </c>
      <c r="AO79" s="129">
        <f ca="1">SUM(AN79:AN$124)*SSa</f>
        <v>0</v>
      </c>
      <c r="AP79" s="70">
        <f t="shared" ca="1" si="201"/>
        <v>28601.439927908927</v>
      </c>
      <c r="AQ79" s="2">
        <f t="shared" ca="1" si="58"/>
        <v>0</v>
      </c>
      <c r="AR79" s="127">
        <f t="shared" ca="1" si="202"/>
        <v>0</v>
      </c>
      <c r="AS79" s="127">
        <f ca="1">SUM(AR79:AR$124)*SSb</f>
        <v>0</v>
      </c>
      <c r="AT79" s="70">
        <f t="shared" ca="1" si="203"/>
        <v>28601.439927908927</v>
      </c>
      <c r="AU79" s="2">
        <f t="shared" ca="1" si="59"/>
        <v>0</v>
      </c>
      <c r="AV79" s="268">
        <f t="shared" ca="1" si="204"/>
        <v>0</v>
      </c>
      <c r="AW79" s="131">
        <f ca="1">SUM(AV79:AV$124)*SSc</f>
        <v>0</v>
      </c>
      <c r="AX79" s="70">
        <f t="shared" ca="1" si="205"/>
        <v>28601.439927908927</v>
      </c>
      <c r="AY79" s="2">
        <f t="shared" ca="1" si="60"/>
        <v>0</v>
      </c>
      <c r="AZ79" s="268">
        <f t="shared" ca="1" si="206"/>
        <v>0</v>
      </c>
      <c r="BA79" s="129">
        <f ca="1">SUM(AZ79:AZ$124)*SSd</f>
        <v>0</v>
      </c>
      <c r="BB79" s="70">
        <f t="shared" ca="1" si="207"/>
        <v>28601.439927908927</v>
      </c>
      <c r="BC79" s="257">
        <f t="shared" ca="1" si="61"/>
        <v>0</v>
      </c>
      <c r="BD79" s="268">
        <f t="shared" ca="1" si="208"/>
        <v>0</v>
      </c>
      <c r="BE79" s="131">
        <f ca="1">SUM(BD79:BD$124)*SSe</f>
        <v>0</v>
      </c>
      <c r="BF79" s="70">
        <f t="shared" ca="1" si="209"/>
        <v>28601.439927908927</v>
      </c>
      <c r="BG79" s="2">
        <f t="shared" ca="1" si="62"/>
        <v>0</v>
      </c>
      <c r="BH79" s="131">
        <f t="shared" ca="1" si="210"/>
        <v>0</v>
      </c>
      <c r="BI79" s="2">
        <f ca="1">SUM(BH79:BH$124)*SSf</f>
        <v>0</v>
      </c>
      <c r="BJ79" s="70">
        <f t="shared" ca="1" si="211"/>
        <v>28601.439927908927</v>
      </c>
      <c r="BK79" s="2">
        <f t="shared" ca="1" si="63"/>
        <v>0</v>
      </c>
      <c r="BL79" s="131">
        <f t="shared" ca="1" si="212"/>
        <v>0</v>
      </c>
      <c r="BM79" s="131">
        <f ca="1">SUM(BL79:BL$124)*SSg</f>
        <v>0</v>
      </c>
      <c r="BN79" s="70">
        <f t="shared" ca="1" si="213"/>
        <v>28601.439927908927</v>
      </c>
      <c r="BO79" s="2">
        <f t="shared" ca="1" si="64"/>
        <v>0</v>
      </c>
      <c r="BP79" s="131">
        <f t="shared" ca="1" si="214"/>
        <v>0</v>
      </c>
      <c r="BQ79" s="131">
        <f ca="1">SUM(BP79:BP$124)*SSh</f>
        <v>0</v>
      </c>
      <c r="BR79" s="70">
        <f t="shared" ca="1" si="215"/>
        <v>28601.439927908927</v>
      </c>
      <c r="BS79" s="2">
        <f t="shared" ca="1" si="183"/>
        <v>0</v>
      </c>
      <c r="BT79" s="131">
        <f t="shared" ca="1" si="216"/>
        <v>0</v>
      </c>
      <c r="BU79" s="131">
        <f ca="1">SUM(BT79:BT$124)*SSi</f>
        <v>0</v>
      </c>
      <c r="BV79" s="70">
        <f t="shared" ca="1" si="217"/>
        <v>28601.439927908927</v>
      </c>
      <c r="BW79" s="2">
        <f t="shared" ca="1" si="66"/>
        <v>0</v>
      </c>
      <c r="BX79" s="131">
        <f t="shared" ca="1" si="218"/>
        <v>0</v>
      </c>
      <c r="BY79" s="131">
        <f ca="1">SUM(BX79:BX$124)*SSj</f>
        <v>0</v>
      </c>
      <c r="BZ79" s="70">
        <f t="shared" ca="1" si="219"/>
        <v>28601.439927908927</v>
      </c>
      <c r="CA79" s="2">
        <f t="shared" ca="1" si="67"/>
        <v>0</v>
      </c>
      <c r="CB79" s="131">
        <f t="shared" ca="1" si="220"/>
        <v>0</v>
      </c>
      <c r="CC79" s="131">
        <f ca="1">SUM(CB79:CB$124)*SSk</f>
        <v>0</v>
      </c>
      <c r="CD79" s="8">
        <f t="shared" ca="1" si="221"/>
        <v>28601.439927908927</v>
      </c>
      <c r="CE79" s="2">
        <f t="shared" ca="1" si="68"/>
        <v>0</v>
      </c>
      <c r="CF79" s="131">
        <f t="shared" ca="1" si="222"/>
        <v>0</v>
      </c>
      <c r="CG79" s="131">
        <f ca="1">SUM(CF79:CF$124)*SSl</f>
        <v>0</v>
      </c>
      <c r="CH79" s="155">
        <f t="shared" si="223"/>
        <v>0.01</v>
      </c>
      <c r="CI79" s="155">
        <f t="shared" ca="1" si="224"/>
        <v>0</v>
      </c>
      <c r="CJ79" s="155">
        <f t="shared" ca="1" si="225"/>
        <v>0</v>
      </c>
      <c r="CK79" s="155">
        <f ca="1">유해지!CY79</f>
        <v>0</v>
      </c>
      <c r="CL79" s="529">
        <f t="shared" ca="1" si="184"/>
        <v>0</v>
      </c>
      <c r="CM79" s="155">
        <f t="shared" ca="1" si="226"/>
        <v>0</v>
      </c>
      <c r="CN79" s="155">
        <f ca="1">SUM(CM79:$CM$125)</f>
        <v>0</v>
      </c>
      <c r="CO79" s="101">
        <f t="shared" ca="1" si="227"/>
        <v>0</v>
      </c>
      <c r="CP79" s="154">
        <f t="shared" ca="1" si="185"/>
        <v>0</v>
      </c>
      <c r="CQ79" s="154">
        <f t="shared" ca="1" si="186"/>
        <v>0</v>
      </c>
      <c r="CR79" s="32">
        <f t="shared" ca="1" si="187"/>
        <v>0</v>
      </c>
      <c r="CS79" s="32">
        <f t="shared" ca="1" si="188"/>
        <v>0</v>
      </c>
      <c r="CT79" s="32">
        <f t="shared" ca="1" si="189"/>
        <v>0</v>
      </c>
      <c r="CU79" s="32">
        <f t="shared" ca="1" si="190"/>
        <v>0</v>
      </c>
      <c r="CV79" s="32">
        <f t="shared" si="191"/>
        <v>0</v>
      </c>
      <c r="CW79" s="32">
        <f t="shared" ca="1" si="192"/>
        <v>0</v>
      </c>
      <c r="CX79" s="259">
        <f ca="1">IF(R79&lt;m,0,ROUND(IF($R79&gt;nB,0,GPB*mB*mmB*유해지!CY79),roundB))</f>
        <v>0</v>
      </c>
      <c r="CY79" s="262">
        <f t="shared" ca="1" si="193"/>
        <v>0</v>
      </c>
      <c r="CZ79" s="259" t="e">
        <f t="shared" ca="1" si="194"/>
        <v>#DIV/0!</v>
      </c>
      <c r="DA79" s="31">
        <f t="shared" si="195"/>
        <v>5</v>
      </c>
    </row>
    <row r="80" spans="14:105">
      <c r="N80" s="5">
        <f t="shared" si="228"/>
        <v>68</v>
      </c>
      <c r="O80" s="2">
        <f t="shared" ca="1" si="171"/>
        <v>0.22023912137190188</v>
      </c>
      <c r="P80" s="2">
        <f t="shared" ca="1" si="172"/>
        <v>0.21780247344844658</v>
      </c>
      <c r="Q80" s="91"/>
      <c r="R80" s="20">
        <f t="shared" si="229"/>
        <v>68</v>
      </c>
      <c r="S80" s="20" t="str">
        <f t="shared" si="173"/>
        <v/>
      </c>
      <c r="T80" s="2">
        <f t="shared" ca="1" si="170"/>
        <v>0</v>
      </c>
      <c r="U80" s="2">
        <f t="shared" ca="1" si="170"/>
        <v>0</v>
      </c>
      <c r="V80" s="300">
        <f t="shared" si="174"/>
        <v>0.01</v>
      </c>
      <c r="W80" s="8">
        <f t="shared" si="175"/>
        <v>0</v>
      </c>
      <c r="X80" s="10">
        <f t="shared" ca="1" si="176"/>
        <v>1.0000000000000009E-2</v>
      </c>
      <c r="Y80" s="10">
        <f t="shared" ca="1" si="177"/>
        <v>0</v>
      </c>
      <c r="Z80" s="8">
        <f t="shared" ca="1" si="196"/>
        <v>0</v>
      </c>
      <c r="AA80" s="8">
        <f ca="1">+SUM(Z80:Z$124)</f>
        <v>0</v>
      </c>
      <c r="AB80" s="8">
        <f t="shared" ca="1" si="178"/>
        <v>0</v>
      </c>
      <c r="AC80" s="209">
        <f ca="1">+SUM(AB80:AB$124)*SSSM</f>
        <v>0</v>
      </c>
      <c r="AD80" s="209">
        <f t="shared" si="197"/>
        <v>0</v>
      </c>
      <c r="AE80" s="92">
        <f t="shared" ca="1" si="179"/>
        <v>0</v>
      </c>
      <c r="AF80" s="92">
        <f t="shared" ca="1" si="180"/>
        <v>0</v>
      </c>
      <c r="AG80" s="8">
        <f t="shared" ca="1" si="181"/>
        <v>0</v>
      </c>
      <c r="AH80" s="5">
        <f ca="1">+SUM(AG80:AG$124)</f>
        <v>0</v>
      </c>
      <c r="AI80" s="70">
        <f t="shared" ca="1" si="182"/>
        <v>0</v>
      </c>
      <c r="AJ80" s="208">
        <f ca="1">+SUM(AB80:AB$124)*SS50J</f>
        <v>0</v>
      </c>
      <c r="AK80" s="5">
        <f t="shared" ca="1" si="198"/>
        <v>28315.425528629836</v>
      </c>
      <c r="AL80" s="2">
        <f t="shared" ca="1" si="57"/>
        <v>0</v>
      </c>
      <c r="AM80" s="131">
        <f t="shared" ca="1" si="199"/>
        <v>6236.164439696955</v>
      </c>
      <c r="AN80" s="129">
        <f t="shared" ca="1" si="200"/>
        <v>0</v>
      </c>
      <c r="AO80" s="129">
        <f ca="1">SUM(AN80:AN$124)*SSa</f>
        <v>0</v>
      </c>
      <c r="AP80" s="70">
        <f t="shared" ca="1" si="201"/>
        <v>28315.425528629836</v>
      </c>
      <c r="AQ80" s="2">
        <f t="shared" ca="1" si="58"/>
        <v>0</v>
      </c>
      <c r="AR80" s="127">
        <f t="shared" ca="1" si="202"/>
        <v>0</v>
      </c>
      <c r="AS80" s="127">
        <f ca="1">SUM(AR80:AR$124)*SSb</f>
        <v>0</v>
      </c>
      <c r="AT80" s="70">
        <f t="shared" ca="1" si="203"/>
        <v>28315.425528629836</v>
      </c>
      <c r="AU80" s="2">
        <f t="shared" ca="1" si="59"/>
        <v>0</v>
      </c>
      <c r="AV80" s="268">
        <f t="shared" ca="1" si="204"/>
        <v>0</v>
      </c>
      <c r="AW80" s="131">
        <f ca="1">SUM(AV80:AV$124)*SSc</f>
        <v>0</v>
      </c>
      <c r="AX80" s="70">
        <f t="shared" ca="1" si="205"/>
        <v>28315.425528629836</v>
      </c>
      <c r="AY80" s="2">
        <f t="shared" ca="1" si="60"/>
        <v>0</v>
      </c>
      <c r="AZ80" s="268">
        <f t="shared" ca="1" si="206"/>
        <v>0</v>
      </c>
      <c r="BA80" s="129">
        <f ca="1">SUM(AZ80:AZ$124)*SSd</f>
        <v>0</v>
      </c>
      <c r="BB80" s="70">
        <f t="shared" ca="1" si="207"/>
        <v>28315.425528629836</v>
      </c>
      <c r="BC80" s="257">
        <f t="shared" ca="1" si="61"/>
        <v>0</v>
      </c>
      <c r="BD80" s="268">
        <f t="shared" ca="1" si="208"/>
        <v>0</v>
      </c>
      <c r="BE80" s="131">
        <f ca="1">SUM(BD80:BD$124)*SSe</f>
        <v>0</v>
      </c>
      <c r="BF80" s="70">
        <f t="shared" ca="1" si="209"/>
        <v>28315.425528629836</v>
      </c>
      <c r="BG80" s="2">
        <f t="shared" ca="1" si="62"/>
        <v>0</v>
      </c>
      <c r="BH80" s="131">
        <f t="shared" ca="1" si="210"/>
        <v>0</v>
      </c>
      <c r="BI80" s="2">
        <f ca="1">SUM(BH80:BH$124)*SSf</f>
        <v>0</v>
      </c>
      <c r="BJ80" s="70">
        <f t="shared" ca="1" si="211"/>
        <v>28315.425528629836</v>
      </c>
      <c r="BK80" s="2">
        <f t="shared" ca="1" si="63"/>
        <v>0</v>
      </c>
      <c r="BL80" s="131">
        <f t="shared" ca="1" si="212"/>
        <v>0</v>
      </c>
      <c r="BM80" s="131">
        <f ca="1">SUM(BL80:BL$124)*SSg</f>
        <v>0</v>
      </c>
      <c r="BN80" s="70">
        <f t="shared" ca="1" si="213"/>
        <v>28315.425528629836</v>
      </c>
      <c r="BO80" s="2">
        <f t="shared" ca="1" si="64"/>
        <v>0</v>
      </c>
      <c r="BP80" s="131">
        <f t="shared" ca="1" si="214"/>
        <v>0</v>
      </c>
      <c r="BQ80" s="131">
        <f ca="1">SUM(BP80:BP$124)*SSh</f>
        <v>0</v>
      </c>
      <c r="BR80" s="70">
        <f t="shared" ca="1" si="215"/>
        <v>28315.425528629836</v>
      </c>
      <c r="BS80" s="2">
        <f t="shared" ca="1" si="183"/>
        <v>0</v>
      </c>
      <c r="BT80" s="131">
        <f t="shared" ca="1" si="216"/>
        <v>0</v>
      </c>
      <c r="BU80" s="131">
        <f ca="1">SUM(BT80:BT$124)*SSi</f>
        <v>0</v>
      </c>
      <c r="BV80" s="70">
        <f t="shared" ca="1" si="217"/>
        <v>28315.425528629836</v>
      </c>
      <c r="BW80" s="2">
        <f t="shared" ca="1" si="66"/>
        <v>0</v>
      </c>
      <c r="BX80" s="131">
        <f t="shared" ca="1" si="218"/>
        <v>0</v>
      </c>
      <c r="BY80" s="131">
        <f ca="1">SUM(BX80:BX$124)*SSj</f>
        <v>0</v>
      </c>
      <c r="BZ80" s="70">
        <f t="shared" ca="1" si="219"/>
        <v>28315.425528629836</v>
      </c>
      <c r="CA80" s="2">
        <f t="shared" ca="1" si="67"/>
        <v>0</v>
      </c>
      <c r="CB80" s="131">
        <f t="shared" ca="1" si="220"/>
        <v>0</v>
      </c>
      <c r="CC80" s="131">
        <f ca="1">SUM(CB80:CB$124)*SSk</f>
        <v>0</v>
      </c>
      <c r="CD80" s="8">
        <f t="shared" ca="1" si="221"/>
        <v>28315.425528629836</v>
      </c>
      <c r="CE80" s="2">
        <f t="shared" ca="1" si="68"/>
        <v>0</v>
      </c>
      <c r="CF80" s="131">
        <f t="shared" ca="1" si="222"/>
        <v>0</v>
      </c>
      <c r="CG80" s="131">
        <f ca="1">SUM(CF80:CF$124)*SSl</f>
        <v>0</v>
      </c>
      <c r="CH80" s="155">
        <f t="shared" si="223"/>
        <v>0.01</v>
      </c>
      <c r="CI80" s="155">
        <f t="shared" ca="1" si="224"/>
        <v>0</v>
      </c>
      <c r="CJ80" s="155">
        <f t="shared" ca="1" si="225"/>
        <v>0</v>
      </c>
      <c r="CK80" s="155">
        <f ca="1">유해지!CY80</f>
        <v>0</v>
      </c>
      <c r="CL80" s="529">
        <f t="shared" ca="1" si="184"/>
        <v>0</v>
      </c>
      <c r="CM80" s="155">
        <f t="shared" ca="1" si="226"/>
        <v>0</v>
      </c>
      <c r="CN80" s="155">
        <f ca="1">SUM(CM80:$CM$125)</f>
        <v>0</v>
      </c>
      <c r="CO80" s="101">
        <f t="shared" ca="1" si="227"/>
        <v>0</v>
      </c>
      <c r="CP80" s="154">
        <f t="shared" ca="1" si="185"/>
        <v>0</v>
      </c>
      <c r="CQ80" s="154">
        <f t="shared" ca="1" si="186"/>
        <v>0</v>
      </c>
      <c r="CR80" s="32">
        <f t="shared" ca="1" si="187"/>
        <v>0</v>
      </c>
      <c r="CS80" s="32">
        <f t="shared" ca="1" si="188"/>
        <v>0</v>
      </c>
      <c r="CT80" s="32">
        <f t="shared" ca="1" si="189"/>
        <v>0</v>
      </c>
      <c r="CU80" s="32">
        <f t="shared" ca="1" si="190"/>
        <v>0</v>
      </c>
      <c r="CV80" s="32">
        <f t="shared" si="191"/>
        <v>0</v>
      </c>
      <c r="CW80" s="32">
        <f t="shared" ca="1" si="192"/>
        <v>0</v>
      </c>
      <c r="CX80" s="259">
        <f ca="1">IF(R80&lt;m,0,ROUND(IF($R80&gt;nB,0,GPB*mB*mmB*유해지!CY80),roundB))</f>
        <v>0</v>
      </c>
      <c r="CY80" s="262">
        <f t="shared" ca="1" si="193"/>
        <v>0</v>
      </c>
      <c r="CZ80" s="259" t="e">
        <f t="shared" ca="1" si="194"/>
        <v>#DIV/0!</v>
      </c>
      <c r="DA80" s="31">
        <f t="shared" si="195"/>
        <v>5</v>
      </c>
    </row>
    <row r="81" spans="14:105">
      <c r="N81" s="5">
        <f t="shared" si="228"/>
        <v>69</v>
      </c>
      <c r="O81" s="2">
        <f t="shared" ca="1" si="171"/>
        <v>0.21539278373780135</v>
      </c>
      <c r="P81" s="2">
        <f t="shared" ca="1" si="172"/>
        <v>0.21300975398381086</v>
      </c>
      <c r="Q81" s="91"/>
      <c r="R81" s="20">
        <f t="shared" si="229"/>
        <v>69</v>
      </c>
      <c r="S81" s="20" t="str">
        <f t="shared" si="173"/>
        <v/>
      </c>
      <c r="T81" s="2">
        <f t="shared" ca="1" si="170"/>
        <v>0</v>
      </c>
      <c r="U81" s="2">
        <f t="shared" ca="1" si="170"/>
        <v>0</v>
      </c>
      <c r="V81" s="300">
        <f t="shared" si="174"/>
        <v>0.01</v>
      </c>
      <c r="W81" s="8">
        <f t="shared" si="175"/>
        <v>0</v>
      </c>
      <c r="X81" s="10">
        <f t="shared" ca="1" si="176"/>
        <v>1.0000000000000009E-2</v>
      </c>
      <c r="Y81" s="10">
        <f t="shared" ca="1" si="177"/>
        <v>0</v>
      </c>
      <c r="Z81" s="8">
        <f t="shared" ca="1" si="196"/>
        <v>0</v>
      </c>
      <c r="AA81" s="8">
        <f ca="1">+SUM(Z81:Z$124)</f>
        <v>0</v>
      </c>
      <c r="AB81" s="8">
        <f t="shared" ca="1" si="178"/>
        <v>0</v>
      </c>
      <c r="AC81" s="209">
        <f ca="1">+SUM(AB81:AB$124)*SSSM</f>
        <v>0</v>
      </c>
      <c r="AD81" s="209">
        <f t="shared" si="197"/>
        <v>0</v>
      </c>
      <c r="AE81" s="92">
        <f t="shared" ca="1" si="179"/>
        <v>0</v>
      </c>
      <c r="AF81" s="92">
        <f t="shared" ca="1" si="180"/>
        <v>0</v>
      </c>
      <c r="AG81" s="8">
        <f t="shared" ca="1" si="181"/>
        <v>0</v>
      </c>
      <c r="AH81" s="5">
        <f ca="1">+SUM(AG81:AG$124)</f>
        <v>0</v>
      </c>
      <c r="AI81" s="70">
        <f t="shared" ca="1" si="182"/>
        <v>0</v>
      </c>
      <c r="AJ81" s="208">
        <f ca="1">+SUM(AB81:AB$124)*SS50J</f>
        <v>0</v>
      </c>
      <c r="AK81" s="5">
        <f t="shared" ca="1" si="198"/>
        <v>28032.271273343536</v>
      </c>
      <c r="AL81" s="2">
        <f t="shared" ca="1" si="57"/>
        <v>0</v>
      </c>
      <c r="AM81" s="131">
        <f t="shared" ca="1" si="199"/>
        <v>6037.9489440586658</v>
      </c>
      <c r="AN81" s="129">
        <f t="shared" ca="1" si="200"/>
        <v>0</v>
      </c>
      <c r="AO81" s="129">
        <f ca="1">SUM(AN81:AN$124)*SSa</f>
        <v>0</v>
      </c>
      <c r="AP81" s="70">
        <f t="shared" ca="1" si="201"/>
        <v>28032.271273343536</v>
      </c>
      <c r="AQ81" s="2">
        <f t="shared" ca="1" si="58"/>
        <v>0</v>
      </c>
      <c r="AR81" s="127">
        <f t="shared" ca="1" si="202"/>
        <v>0</v>
      </c>
      <c r="AS81" s="127">
        <f ca="1">SUM(AR81:AR$124)*SSb</f>
        <v>0</v>
      </c>
      <c r="AT81" s="70">
        <f t="shared" ca="1" si="203"/>
        <v>28032.271273343536</v>
      </c>
      <c r="AU81" s="2">
        <f t="shared" ca="1" si="59"/>
        <v>0</v>
      </c>
      <c r="AV81" s="268">
        <f t="shared" ca="1" si="204"/>
        <v>0</v>
      </c>
      <c r="AW81" s="131">
        <f ca="1">SUM(AV81:AV$124)*SSc</f>
        <v>0</v>
      </c>
      <c r="AX81" s="70">
        <f t="shared" ca="1" si="205"/>
        <v>28032.271273343536</v>
      </c>
      <c r="AY81" s="2">
        <f t="shared" ca="1" si="60"/>
        <v>0</v>
      </c>
      <c r="AZ81" s="268">
        <f t="shared" ca="1" si="206"/>
        <v>0</v>
      </c>
      <c r="BA81" s="129">
        <f ca="1">SUM(AZ81:AZ$124)*SSd</f>
        <v>0</v>
      </c>
      <c r="BB81" s="70">
        <f t="shared" ca="1" si="207"/>
        <v>28032.271273343536</v>
      </c>
      <c r="BC81" s="257">
        <f t="shared" ca="1" si="61"/>
        <v>0</v>
      </c>
      <c r="BD81" s="268">
        <f t="shared" ca="1" si="208"/>
        <v>0</v>
      </c>
      <c r="BE81" s="131">
        <f ca="1">SUM(BD81:BD$124)*SSe</f>
        <v>0</v>
      </c>
      <c r="BF81" s="70">
        <f t="shared" ca="1" si="209"/>
        <v>28032.271273343536</v>
      </c>
      <c r="BG81" s="2">
        <f t="shared" ca="1" si="62"/>
        <v>0</v>
      </c>
      <c r="BH81" s="131">
        <f t="shared" ca="1" si="210"/>
        <v>0</v>
      </c>
      <c r="BI81" s="2">
        <f ca="1">SUM(BH81:BH$124)*SSf</f>
        <v>0</v>
      </c>
      <c r="BJ81" s="70">
        <f t="shared" ca="1" si="211"/>
        <v>28032.271273343536</v>
      </c>
      <c r="BK81" s="2">
        <f t="shared" ca="1" si="63"/>
        <v>0</v>
      </c>
      <c r="BL81" s="131">
        <f t="shared" ca="1" si="212"/>
        <v>0</v>
      </c>
      <c r="BM81" s="131">
        <f ca="1">SUM(BL81:BL$124)*SSg</f>
        <v>0</v>
      </c>
      <c r="BN81" s="70">
        <f t="shared" ca="1" si="213"/>
        <v>28032.271273343536</v>
      </c>
      <c r="BO81" s="2">
        <f t="shared" ca="1" si="64"/>
        <v>0</v>
      </c>
      <c r="BP81" s="131">
        <f t="shared" ca="1" si="214"/>
        <v>0</v>
      </c>
      <c r="BQ81" s="131">
        <f ca="1">SUM(BP81:BP$124)*SSh</f>
        <v>0</v>
      </c>
      <c r="BR81" s="70">
        <f t="shared" ca="1" si="215"/>
        <v>28032.271273343536</v>
      </c>
      <c r="BS81" s="2">
        <f t="shared" ca="1" si="183"/>
        <v>0</v>
      </c>
      <c r="BT81" s="131">
        <f t="shared" ca="1" si="216"/>
        <v>0</v>
      </c>
      <c r="BU81" s="131">
        <f ca="1">SUM(BT81:BT$124)*SSi</f>
        <v>0</v>
      </c>
      <c r="BV81" s="70">
        <f t="shared" ca="1" si="217"/>
        <v>28032.271273343536</v>
      </c>
      <c r="BW81" s="2">
        <f t="shared" ca="1" si="66"/>
        <v>0</v>
      </c>
      <c r="BX81" s="131">
        <f t="shared" ca="1" si="218"/>
        <v>0</v>
      </c>
      <c r="BY81" s="131">
        <f ca="1">SUM(BX81:BX$124)*SSj</f>
        <v>0</v>
      </c>
      <c r="BZ81" s="70">
        <f t="shared" ca="1" si="219"/>
        <v>28032.271273343536</v>
      </c>
      <c r="CA81" s="2">
        <f t="shared" ca="1" si="67"/>
        <v>0</v>
      </c>
      <c r="CB81" s="131">
        <f t="shared" ca="1" si="220"/>
        <v>0</v>
      </c>
      <c r="CC81" s="131">
        <f ca="1">SUM(CB81:CB$124)*SSk</f>
        <v>0</v>
      </c>
      <c r="CD81" s="8">
        <f t="shared" ca="1" si="221"/>
        <v>28032.271273343536</v>
      </c>
      <c r="CE81" s="2">
        <f t="shared" ca="1" si="68"/>
        <v>0</v>
      </c>
      <c r="CF81" s="131">
        <f t="shared" ca="1" si="222"/>
        <v>0</v>
      </c>
      <c r="CG81" s="131">
        <f ca="1">SUM(CF81:CF$124)*SSl</f>
        <v>0</v>
      </c>
      <c r="CH81" s="155">
        <f t="shared" si="223"/>
        <v>0.01</v>
      </c>
      <c r="CI81" s="155">
        <f t="shared" ca="1" si="224"/>
        <v>0</v>
      </c>
      <c r="CJ81" s="155">
        <f t="shared" ca="1" si="225"/>
        <v>0</v>
      </c>
      <c r="CK81" s="155">
        <f ca="1">유해지!CY81</f>
        <v>0</v>
      </c>
      <c r="CL81" s="529">
        <f t="shared" ca="1" si="184"/>
        <v>0</v>
      </c>
      <c r="CM81" s="155">
        <f t="shared" ca="1" si="226"/>
        <v>0</v>
      </c>
      <c r="CN81" s="155">
        <f ca="1">SUM(CM81:$CM$125)</f>
        <v>0</v>
      </c>
      <c r="CO81" s="101">
        <f t="shared" ca="1" si="227"/>
        <v>0</v>
      </c>
      <c r="CP81" s="154">
        <f t="shared" ca="1" si="185"/>
        <v>0</v>
      </c>
      <c r="CQ81" s="154">
        <f t="shared" ca="1" si="186"/>
        <v>0</v>
      </c>
      <c r="CR81" s="32">
        <f t="shared" ca="1" si="187"/>
        <v>0</v>
      </c>
      <c r="CS81" s="32">
        <f t="shared" ca="1" si="188"/>
        <v>0</v>
      </c>
      <c r="CT81" s="32">
        <f t="shared" ca="1" si="189"/>
        <v>0</v>
      </c>
      <c r="CU81" s="32">
        <f t="shared" ca="1" si="190"/>
        <v>0</v>
      </c>
      <c r="CV81" s="32">
        <f t="shared" si="191"/>
        <v>0</v>
      </c>
      <c r="CW81" s="32">
        <f t="shared" ca="1" si="192"/>
        <v>0</v>
      </c>
      <c r="CX81" s="259">
        <f ca="1">IF(R81&lt;m,0,ROUND(IF($R81&gt;nB,0,GPB*mB*mmB*유해지!CY81),roundB))</f>
        <v>0</v>
      </c>
      <c r="CY81" s="262">
        <f t="shared" ca="1" si="193"/>
        <v>0</v>
      </c>
      <c r="CZ81" s="259" t="e">
        <f t="shared" ca="1" si="194"/>
        <v>#DIV/0!</v>
      </c>
      <c r="DA81" s="31">
        <f t="shared" si="195"/>
        <v>5</v>
      </c>
    </row>
    <row r="82" spans="14:105">
      <c r="N82" s="5">
        <f t="shared" si="228"/>
        <v>70</v>
      </c>
      <c r="O82" s="2">
        <f t="shared" ca="1" si="171"/>
        <v>0.21065308923012357</v>
      </c>
      <c r="P82" s="2">
        <f t="shared" ca="1" si="172"/>
        <v>0.20832249778367809</v>
      </c>
      <c r="Q82" s="91"/>
      <c r="R82" s="20">
        <f t="shared" si="229"/>
        <v>70</v>
      </c>
      <c r="S82" s="20" t="str">
        <f t="shared" si="173"/>
        <v/>
      </c>
      <c r="T82" s="2">
        <f t="shared" ca="1" si="170"/>
        <v>0</v>
      </c>
      <c r="U82" s="2">
        <f t="shared" ca="1" si="170"/>
        <v>0</v>
      </c>
      <c r="V82" s="300">
        <f t="shared" si="174"/>
        <v>0.01</v>
      </c>
      <c r="W82" s="8">
        <f t="shared" si="175"/>
        <v>0</v>
      </c>
      <c r="X82" s="10">
        <f t="shared" ca="1" si="176"/>
        <v>1.0000000000000009E-2</v>
      </c>
      <c r="Y82" s="10">
        <f t="shared" ca="1" si="177"/>
        <v>0</v>
      </c>
      <c r="Z82" s="8">
        <f t="shared" ca="1" si="196"/>
        <v>0</v>
      </c>
      <c r="AA82" s="8">
        <f ca="1">+SUM(Z82:Z$124)</f>
        <v>0</v>
      </c>
      <c r="AB82" s="8">
        <f t="shared" ca="1" si="178"/>
        <v>0</v>
      </c>
      <c r="AC82" s="209">
        <f ca="1">+SUM(AB82:AB$124)*SSSM</f>
        <v>0</v>
      </c>
      <c r="AD82" s="209">
        <f t="shared" si="197"/>
        <v>0</v>
      </c>
      <c r="AE82" s="92">
        <f t="shared" ca="1" si="179"/>
        <v>0</v>
      </c>
      <c r="AF82" s="92">
        <f t="shared" ca="1" si="180"/>
        <v>0</v>
      </c>
      <c r="AG82" s="8">
        <f t="shared" ca="1" si="181"/>
        <v>0</v>
      </c>
      <c r="AH82" s="5">
        <f ca="1">+SUM(AG82:AG$124)</f>
        <v>0</v>
      </c>
      <c r="AI82" s="70">
        <f t="shared" ca="1" si="182"/>
        <v>0</v>
      </c>
      <c r="AJ82" s="208">
        <f ca="1">+SUM(AB82:AB$124)*SS50J</f>
        <v>0</v>
      </c>
      <c r="AK82" s="5">
        <f t="shared" ca="1" si="198"/>
        <v>27751.948560610101</v>
      </c>
      <c r="AL82" s="2">
        <f t="shared" ca="1" si="57"/>
        <v>0</v>
      </c>
      <c r="AM82" s="131">
        <f t="shared" ca="1" si="199"/>
        <v>5846.0336964479993</v>
      </c>
      <c r="AN82" s="129">
        <f t="shared" ca="1" si="200"/>
        <v>0</v>
      </c>
      <c r="AO82" s="129">
        <f ca="1">SUM(AN82:AN$124)*SSa</f>
        <v>0</v>
      </c>
      <c r="AP82" s="70">
        <f t="shared" ca="1" si="201"/>
        <v>27751.948560610101</v>
      </c>
      <c r="AQ82" s="2">
        <f t="shared" ca="1" si="58"/>
        <v>0</v>
      </c>
      <c r="AR82" s="127">
        <f t="shared" ca="1" si="202"/>
        <v>0</v>
      </c>
      <c r="AS82" s="127">
        <f ca="1">SUM(AR82:AR$124)*SSb</f>
        <v>0</v>
      </c>
      <c r="AT82" s="70">
        <f t="shared" ca="1" si="203"/>
        <v>27751.948560610101</v>
      </c>
      <c r="AU82" s="2">
        <f t="shared" ca="1" si="59"/>
        <v>0</v>
      </c>
      <c r="AV82" s="268">
        <f t="shared" ca="1" si="204"/>
        <v>0</v>
      </c>
      <c r="AW82" s="131">
        <f ca="1">SUM(AV82:AV$124)*SSc</f>
        <v>0</v>
      </c>
      <c r="AX82" s="70">
        <f t="shared" ca="1" si="205"/>
        <v>27751.948560610101</v>
      </c>
      <c r="AY82" s="2">
        <f t="shared" ca="1" si="60"/>
        <v>0</v>
      </c>
      <c r="AZ82" s="268">
        <f t="shared" ca="1" si="206"/>
        <v>0</v>
      </c>
      <c r="BA82" s="129">
        <f ca="1">SUM(AZ82:AZ$124)*SSd</f>
        <v>0</v>
      </c>
      <c r="BB82" s="70">
        <f t="shared" ca="1" si="207"/>
        <v>27751.948560610101</v>
      </c>
      <c r="BC82" s="257">
        <f t="shared" ca="1" si="61"/>
        <v>0</v>
      </c>
      <c r="BD82" s="268">
        <f t="shared" ca="1" si="208"/>
        <v>0</v>
      </c>
      <c r="BE82" s="131">
        <f ca="1">SUM(BD82:BD$124)*SSe</f>
        <v>0</v>
      </c>
      <c r="BF82" s="70">
        <f t="shared" ca="1" si="209"/>
        <v>27751.948560610101</v>
      </c>
      <c r="BG82" s="2">
        <f t="shared" ca="1" si="62"/>
        <v>0</v>
      </c>
      <c r="BH82" s="131">
        <f t="shared" ca="1" si="210"/>
        <v>0</v>
      </c>
      <c r="BI82" s="2">
        <f ca="1">SUM(BH82:BH$124)*SSf</f>
        <v>0</v>
      </c>
      <c r="BJ82" s="70">
        <f t="shared" ca="1" si="211"/>
        <v>27751.948560610101</v>
      </c>
      <c r="BK82" s="2">
        <f t="shared" ca="1" si="63"/>
        <v>0</v>
      </c>
      <c r="BL82" s="131">
        <f t="shared" ca="1" si="212"/>
        <v>0</v>
      </c>
      <c r="BM82" s="131">
        <f ca="1">SUM(BL82:BL$124)*SSg</f>
        <v>0</v>
      </c>
      <c r="BN82" s="70">
        <f t="shared" ca="1" si="213"/>
        <v>27751.948560610101</v>
      </c>
      <c r="BO82" s="2">
        <f t="shared" ca="1" si="64"/>
        <v>0</v>
      </c>
      <c r="BP82" s="131">
        <f t="shared" ca="1" si="214"/>
        <v>0</v>
      </c>
      <c r="BQ82" s="131">
        <f ca="1">SUM(BP82:BP$124)*SSh</f>
        <v>0</v>
      </c>
      <c r="BR82" s="70">
        <f t="shared" ca="1" si="215"/>
        <v>27751.948560610101</v>
      </c>
      <c r="BS82" s="2">
        <f t="shared" ca="1" si="183"/>
        <v>0</v>
      </c>
      <c r="BT82" s="131">
        <f t="shared" ca="1" si="216"/>
        <v>0</v>
      </c>
      <c r="BU82" s="131">
        <f ca="1">SUM(BT82:BT$124)*SSi</f>
        <v>0</v>
      </c>
      <c r="BV82" s="70">
        <f t="shared" ca="1" si="217"/>
        <v>27751.948560610101</v>
      </c>
      <c r="BW82" s="2">
        <f t="shared" ca="1" si="66"/>
        <v>0</v>
      </c>
      <c r="BX82" s="131">
        <f t="shared" ca="1" si="218"/>
        <v>0</v>
      </c>
      <c r="BY82" s="131">
        <f ca="1">SUM(BX82:BX$124)*SSj</f>
        <v>0</v>
      </c>
      <c r="BZ82" s="70">
        <f t="shared" ca="1" si="219"/>
        <v>27751.948560610101</v>
      </c>
      <c r="CA82" s="2">
        <f t="shared" ca="1" si="67"/>
        <v>0</v>
      </c>
      <c r="CB82" s="131">
        <f t="shared" ca="1" si="220"/>
        <v>0</v>
      </c>
      <c r="CC82" s="131">
        <f ca="1">SUM(CB82:CB$124)*SSk</f>
        <v>0</v>
      </c>
      <c r="CD82" s="8">
        <f t="shared" ca="1" si="221"/>
        <v>27751.948560610101</v>
      </c>
      <c r="CE82" s="2">
        <f t="shared" ca="1" si="68"/>
        <v>0</v>
      </c>
      <c r="CF82" s="131">
        <f t="shared" ca="1" si="222"/>
        <v>0</v>
      </c>
      <c r="CG82" s="131">
        <f ca="1">SUM(CF82:CF$124)*SSl</f>
        <v>0</v>
      </c>
      <c r="CH82" s="155">
        <f t="shared" si="223"/>
        <v>0.01</v>
      </c>
      <c r="CI82" s="155">
        <f t="shared" ca="1" si="224"/>
        <v>0</v>
      </c>
      <c r="CJ82" s="155">
        <f t="shared" ca="1" si="225"/>
        <v>0</v>
      </c>
      <c r="CK82" s="155">
        <f ca="1">유해지!CY82</f>
        <v>0</v>
      </c>
      <c r="CL82" s="529">
        <f t="shared" ca="1" si="184"/>
        <v>0</v>
      </c>
      <c r="CM82" s="155">
        <f t="shared" ca="1" si="226"/>
        <v>0</v>
      </c>
      <c r="CN82" s="155">
        <f ca="1">SUM(CM82:$CM$125)</f>
        <v>0</v>
      </c>
      <c r="CO82" s="101">
        <f t="shared" ca="1" si="227"/>
        <v>0</v>
      </c>
      <c r="CP82" s="154">
        <f t="shared" ca="1" si="185"/>
        <v>0</v>
      </c>
      <c r="CQ82" s="154">
        <f t="shared" ca="1" si="186"/>
        <v>0</v>
      </c>
      <c r="CR82" s="32">
        <f t="shared" ca="1" si="187"/>
        <v>0</v>
      </c>
      <c r="CS82" s="32">
        <f t="shared" ca="1" si="188"/>
        <v>0</v>
      </c>
      <c r="CT82" s="32">
        <f t="shared" ca="1" si="189"/>
        <v>0</v>
      </c>
      <c r="CU82" s="32">
        <f t="shared" ca="1" si="190"/>
        <v>0</v>
      </c>
      <c r="CV82" s="32">
        <f t="shared" si="191"/>
        <v>0</v>
      </c>
      <c r="CW82" s="32">
        <f t="shared" ca="1" si="192"/>
        <v>0</v>
      </c>
      <c r="CX82" s="259">
        <f ca="1">IF(R82&lt;m,0,ROUND(IF($R82&gt;nB,0,GPB*mB*mmB*유해지!CY82),roundB))</f>
        <v>0</v>
      </c>
      <c r="CY82" s="262">
        <f t="shared" ca="1" si="193"/>
        <v>0</v>
      </c>
      <c r="CZ82" s="259" t="e">
        <f t="shared" ca="1" si="194"/>
        <v>#DIV/0!</v>
      </c>
      <c r="DA82" s="31">
        <f t="shared" si="195"/>
        <v>5</v>
      </c>
    </row>
    <row r="83" spans="14:105">
      <c r="N83" s="5">
        <f t="shared" si="228"/>
        <v>71</v>
      </c>
      <c r="O83" s="2">
        <f t="shared" ca="1" si="171"/>
        <v>0.20601769117860499</v>
      </c>
      <c r="P83" s="2">
        <f t="shared" ca="1" si="172"/>
        <v>0.20373838414051645</v>
      </c>
      <c r="Q83" s="91"/>
      <c r="R83" s="20">
        <f t="shared" si="229"/>
        <v>71</v>
      </c>
      <c r="S83" s="20" t="str">
        <f t="shared" si="173"/>
        <v/>
      </c>
      <c r="T83" s="2">
        <f t="shared" ca="1" si="170"/>
        <v>0</v>
      </c>
      <c r="U83" s="2">
        <f t="shared" ca="1" si="170"/>
        <v>0</v>
      </c>
      <c r="V83" s="300">
        <f t="shared" si="174"/>
        <v>0.01</v>
      </c>
      <c r="W83" s="8">
        <f t="shared" si="175"/>
        <v>0</v>
      </c>
      <c r="X83" s="10">
        <f t="shared" ca="1" si="176"/>
        <v>1.0000000000000009E-2</v>
      </c>
      <c r="Y83" s="10">
        <f t="shared" ca="1" si="177"/>
        <v>0</v>
      </c>
      <c r="Z83" s="5">
        <f t="shared" ca="1" si="196"/>
        <v>0</v>
      </c>
      <c r="AA83" s="5">
        <f ca="1">+SUM(Z83:Z$124)</f>
        <v>0</v>
      </c>
      <c r="AB83" s="8">
        <f t="shared" ca="1" si="178"/>
        <v>0</v>
      </c>
      <c r="AC83" s="209">
        <f ca="1">+SUM(AB83:AB$124)*SSSM</f>
        <v>0</v>
      </c>
      <c r="AD83" s="209">
        <f t="shared" si="197"/>
        <v>0</v>
      </c>
      <c r="AE83" s="92">
        <f t="shared" ca="1" si="179"/>
        <v>0</v>
      </c>
      <c r="AF83" s="92">
        <f t="shared" ca="1" si="180"/>
        <v>0</v>
      </c>
      <c r="AG83" s="8">
        <f t="shared" ca="1" si="181"/>
        <v>0</v>
      </c>
      <c r="AH83" s="5">
        <f ca="1">+SUM(AG83:AG$124)</f>
        <v>0</v>
      </c>
      <c r="AI83" s="70">
        <f t="shared" ca="1" si="182"/>
        <v>0</v>
      </c>
      <c r="AJ83" s="208">
        <f ca="1">+SUM(AB83:AB$124)*SS50J</f>
        <v>0</v>
      </c>
      <c r="AK83" s="5">
        <f t="shared" ca="1" si="198"/>
        <v>27474.429075003998</v>
      </c>
      <c r="AL83" s="2">
        <f t="shared" ca="1" si="57"/>
        <v>0</v>
      </c>
      <c r="AM83" s="131">
        <f t="shared" ca="1" si="199"/>
        <v>5660.2184444826598</v>
      </c>
      <c r="AN83" s="129">
        <f t="shared" ca="1" si="200"/>
        <v>0</v>
      </c>
      <c r="AO83" s="129">
        <f ca="1">SUM(AN83:AN$124)*SSa</f>
        <v>0</v>
      </c>
      <c r="AP83" s="70">
        <f t="shared" ca="1" si="201"/>
        <v>27474.429075003998</v>
      </c>
      <c r="AQ83" s="2">
        <f t="shared" ca="1" si="58"/>
        <v>0</v>
      </c>
      <c r="AR83" s="127">
        <f t="shared" ca="1" si="202"/>
        <v>0</v>
      </c>
      <c r="AS83" s="127">
        <f ca="1">SUM(AR83:AR$124)*SSb</f>
        <v>0</v>
      </c>
      <c r="AT83" s="70">
        <f t="shared" ca="1" si="203"/>
        <v>27474.429075003998</v>
      </c>
      <c r="AU83" s="2">
        <f t="shared" ca="1" si="59"/>
        <v>0</v>
      </c>
      <c r="AV83" s="268">
        <f t="shared" ca="1" si="204"/>
        <v>0</v>
      </c>
      <c r="AW83" s="131">
        <f ca="1">SUM(AV83:AV$124)*SSc</f>
        <v>0</v>
      </c>
      <c r="AX83" s="70">
        <f t="shared" ca="1" si="205"/>
        <v>27474.429075003998</v>
      </c>
      <c r="AY83" s="2">
        <f t="shared" ca="1" si="60"/>
        <v>0</v>
      </c>
      <c r="AZ83" s="268">
        <f t="shared" ca="1" si="206"/>
        <v>0</v>
      </c>
      <c r="BA83" s="129">
        <f ca="1">SUM(AZ83:AZ$124)*SSd</f>
        <v>0</v>
      </c>
      <c r="BB83" s="70">
        <f t="shared" ca="1" si="207"/>
        <v>27474.429075003998</v>
      </c>
      <c r="BC83" s="257">
        <f t="shared" ca="1" si="61"/>
        <v>0</v>
      </c>
      <c r="BD83" s="268">
        <f t="shared" ca="1" si="208"/>
        <v>0</v>
      </c>
      <c r="BE83" s="131">
        <f ca="1">SUM(BD83:BD$124)*SSe</f>
        <v>0</v>
      </c>
      <c r="BF83" s="70">
        <f t="shared" ca="1" si="209"/>
        <v>27474.429075003998</v>
      </c>
      <c r="BG83" s="2">
        <f t="shared" ca="1" si="62"/>
        <v>0</v>
      </c>
      <c r="BH83" s="131">
        <f t="shared" ca="1" si="210"/>
        <v>0</v>
      </c>
      <c r="BI83" s="2">
        <f ca="1">SUM(BH83:BH$124)*SSf</f>
        <v>0</v>
      </c>
      <c r="BJ83" s="70">
        <f t="shared" ca="1" si="211"/>
        <v>27474.429075003998</v>
      </c>
      <c r="BK83" s="2">
        <f t="shared" ca="1" si="63"/>
        <v>0</v>
      </c>
      <c r="BL83" s="131">
        <f t="shared" ca="1" si="212"/>
        <v>0</v>
      </c>
      <c r="BM83" s="131">
        <f ca="1">SUM(BL83:BL$124)*SSg</f>
        <v>0</v>
      </c>
      <c r="BN83" s="70">
        <f t="shared" ca="1" si="213"/>
        <v>27474.429075003998</v>
      </c>
      <c r="BO83" s="2">
        <f t="shared" ca="1" si="64"/>
        <v>0</v>
      </c>
      <c r="BP83" s="131">
        <f t="shared" ca="1" si="214"/>
        <v>0</v>
      </c>
      <c r="BQ83" s="131">
        <f ca="1">SUM(BP83:BP$124)*SSh</f>
        <v>0</v>
      </c>
      <c r="BR83" s="70">
        <f t="shared" ca="1" si="215"/>
        <v>27474.429075003998</v>
      </c>
      <c r="BS83" s="2">
        <f t="shared" ca="1" si="183"/>
        <v>0</v>
      </c>
      <c r="BT83" s="131">
        <f t="shared" ca="1" si="216"/>
        <v>0</v>
      </c>
      <c r="BU83" s="131">
        <f ca="1">SUM(BT83:BT$124)*SSi</f>
        <v>0</v>
      </c>
      <c r="BV83" s="70">
        <f t="shared" ca="1" si="217"/>
        <v>27474.429075003998</v>
      </c>
      <c r="BW83" s="2">
        <f t="shared" ca="1" si="66"/>
        <v>0</v>
      </c>
      <c r="BX83" s="131">
        <f t="shared" ca="1" si="218"/>
        <v>0</v>
      </c>
      <c r="BY83" s="131">
        <f ca="1">SUM(BX83:BX$124)*SSj</f>
        <v>0</v>
      </c>
      <c r="BZ83" s="70">
        <f t="shared" ca="1" si="219"/>
        <v>27474.429075003998</v>
      </c>
      <c r="CA83" s="2">
        <f t="shared" ca="1" si="67"/>
        <v>0</v>
      </c>
      <c r="CB83" s="131">
        <f t="shared" ca="1" si="220"/>
        <v>0</v>
      </c>
      <c r="CC83" s="131">
        <f ca="1">SUM(CB83:CB$124)*SSk</f>
        <v>0</v>
      </c>
      <c r="CD83" s="8">
        <f t="shared" ca="1" si="221"/>
        <v>27474.429075003998</v>
      </c>
      <c r="CE83" s="2">
        <f t="shared" ca="1" si="68"/>
        <v>0</v>
      </c>
      <c r="CF83" s="131">
        <f t="shared" ca="1" si="222"/>
        <v>0</v>
      </c>
      <c r="CG83" s="131">
        <f ca="1">SUM(CF83:CF$124)*SSl</f>
        <v>0</v>
      </c>
      <c r="CH83" s="155">
        <f t="shared" si="223"/>
        <v>0.01</v>
      </c>
      <c r="CI83" s="155">
        <f t="shared" ca="1" si="224"/>
        <v>0</v>
      </c>
      <c r="CJ83" s="155">
        <f t="shared" ca="1" si="225"/>
        <v>0</v>
      </c>
      <c r="CK83" s="155">
        <f ca="1">유해지!CY83</f>
        <v>0</v>
      </c>
      <c r="CL83" s="529">
        <f t="shared" ca="1" si="184"/>
        <v>0</v>
      </c>
      <c r="CM83" s="155">
        <f t="shared" ca="1" si="226"/>
        <v>0</v>
      </c>
      <c r="CN83" s="155">
        <f ca="1">SUM(CM83:$CM$125)</f>
        <v>0</v>
      </c>
      <c r="CO83" s="101">
        <f t="shared" ca="1" si="227"/>
        <v>0</v>
      </c>
      <c r="CP83" s="154">
        <f t="shared" ca="1" si="185"/>
        <v>0</v>
      </c>
      <c r="CQ83" s="154">
        <f t="shared" ca="1" si="186"/>
        <v>0</v>
      </c>
      <c r="CR83" s="32">
        <f t="shared" ca="1" si="187"/>
        <v>0</v>
      </c>
      <c r="CS83" s="32">
        <f t="shared" ca="1" si="188"/>
        <v>0</v>
      </c>
      <c r="CT83" s="32">
        <f t="shared" ca="1" si="189"/>
        <v>0</v>
      </c>
      <c r="CU83" s="32">
        <f t="shared" ca="1" si="190"/>
        <v>0</v>
      </c>
      <c r="CV83" s="32">
        <f t="shared" si="191"/>
        <v>0</v>
      </c>
      <c r="CW83" s="32">
        <f t="shared" ca="1" si="192"/>
        <v>0</v>
      </c>
      <c r="CX83" s="259">
        <f ca="1">IF(R83&lt;m,0,ROUND(IF($R83&gt;nB,0,GPB*mB*mmB*유해지!CY83),roundB))</f>
        <v>0</v>
      </c>
      <c r="CY83" s="262">
        <f t="shared" ca="1" si="193"/>
        <v>0</v>
      </c>
      <c r="CZ83" s="259" t="e">
        <f t="shared" ca="1" si="194"/>
        <v>#DIV/0!</v>
      </c>
      <c r="DA83" s="31">
        <f t="shared" si="195"/>
        <v>5</v>
      </c>
    </row>
    <row r="84" spans="14:105">
      <c r="N84" s="5">
        <f t="shared" si="228"/>
        <v>72</v>
      </c>
      <c r="O84" s="2">
        <f t="shared" ca="1" si="171"/>
        <v>0.20148429455120295</v>
      </c>
      <c r="P84" s="2">
        <f t="shared" ca="1" si="172"/>
        <v>0.19925514341370809</v>
      </c>
      <c r="Q84" s="91"/>
      <c r="R84" s="20">
        <f t="shared" si="229"/>
        <v>72</v>
      </c>
      <c r="S84" s="20" t="str">
        <f t="shared" si="173"/>
        <v/>
      </c>
      <c r="T84" s="2">
        <f t="shared" ca="1" si="170"/>
        <v>0</v>
      </c>
      <c r="U84" s="2">
        <f t="shared" ca="1" si="170"/>
        <v>0</v>
      </c>
      <c r="V84" s="300">
        <f t="shared" si="174"/>
        <v>0.01</v>
      </c>
      <c r="W84" s="8">
        <f t="shared" si="175"/>
        <v>0</v>
      </c>
      <c r="X84" s="10">
        <f t="shared" ca="1" si="176"/>
        <v>1.0000000000000009E-2</v>
      </c>
      <c r="Y84" s="10">
        <f t="shared" ca="1" si="177"/>
        <v>0</v>
      </c>
      <c r="Z84" s="5">
        <f t="shared" ca="1" si="196"/>
        <v>0</v>
      </c>
      <c r="AA84" s="5">
        <f ca="1">+SUM(Z84:Z$124)</f>
        <v>0</v>
      </c>
      <c r="AB84" s="8">
        <f t="shared" ca="1" si="178"/>
        <v>0</v>
      </c>
      <c r="AC84" s="209">
        <f ca="1">+SUM(AB84:AB$124)*SSSM</f>
        <v>0</v>
      </c>
      <c r="AD84" s="209">
        <f t="shared" si="197"/>
        <v>0</v>
      </c>
      <c r="AE84" s="92">
        <f t="shared" ca="1" si="179"/>
        <v>0</v>
      </c>
      <c r="AF84" s="92">
        <f t="shared" ca="1" si="180"/>
        <v>0</v>
      </c>
      <c r="AG84" s="8">
        <f t="shared" ca="1" si="181"/>
        <v>0</v>
      </c>
      <c r="AH84" s="5">
        <f ca="1">+SUM(AG84:AG$124)</f>
        <v>0</v>
      </c>
      <c r="AI84" s="70">
        <f t="shared" ca="1" si="182"/>
        <v>0</v>
      </c>
      <c r="AJ84" s="208">
        <f ca="1">+SUM(AB84:AB$124)*SS50J</f>
        <v>0</v>
      </c>
      <c r="AK84" s="5">
        <f t="shared" ca="1" si="198"/>
        <v>27199.684784253957</v>
      </c>
      <c r="AL84" s="2">
        <f t="shared" ca="1" si="57"/>
        <v>0</v>
      </c>
      <c r="AM84" s="131">
        <f t="shared" ca="1" si="199"/>
        <v>5480.3093007704974</v>
      </c>
      <c r="AN84" s="129">
        <f t="shared" ca="1" si="200"/>
        <v>0</v>
      </c>
      <c r="AO84" s="129">
        <f ca="1">SUM(AN84:AN$124)*SSa</f>
        <v>0</v>
      </c>
      <c r="AP84" s="70">
        <f t="shared" ca="1" si="201"/>
        <v>27199.684784253957</v>
      </c>
      <c r="AQ84" s="2">
        <f t="shared" ca="1" si="58"/>
        <v>0</v>
      </c>
      <c r="AR84" s="127">
        <f t="shared" ca="1" si="202"/>
        <v>0</v>
      </c>
      <c r="AS84" s="127">
        <f ca="1">SUM(AR84:AR$124)*SSb</f>
        <v>0</v>
      </c>
      <c r="AT84" s="70">
        <f t="shared" ca="1" si="203"/>
        <v>27199.684784253957</v>
      </c>
      <c r="AU84" s="2">
        <f t="shared" ca="1" si="59"/>
        <v>0</v>
      </c>
      <c r="AV84" s="268">
        <f t="shared" ca="1" si="204"/>
        <v>0</v>
      </c>
      <c r="AW84" s="131">
        <f ca="1">SUM(AV84:AV$124)*SSc</f>
        <v>0</v>
      </c>
      <c r="AX84" s="70">
        <f t="shared" ca="1" si="205"/>
        <v>27199.684784253957</v>
      </c>
      <c r="AY84" s="2">
        <f t="shared" ca="1" si="60"/>
        <v>0</v>
      </c>
      <c r="AZ84" s="268">
        <f t="shared" ca="1" si="206"/>
        <v>0</v>
      </c>
      <c r="BA84" s="129">
        <f ca="1">SUM(AZ84:AZ$124)*SSd</f>
        <v>0</v>
      </c>
      <c r="BB84" s="70">
        <f t="shared" ca="1" si="207"/>
        <v>27199.684784253957</v>
      </c>
      <c r="BC84" s="257">
        <f t="shared" ca="1" si="61"/>
        <v>0</v>
      </c>
      <c r="BD84" s="268">
        <f t="shared" ca="1" si="208"/>
        <v>0</v>
      </c>
      <c r="BE84" s="131">
        <f ca="1">SUM(BD84:BD$124)*SSe</f>
        <v>0</v>
      </c>
      <c r="BF84" s="70">
        <f t="shared" ca="1" si="209"/>
        <v>27199.684784253957</v>
      </c>
      <c r="BG84" s="2">
        <f t="shared" ca="1" si="62"/>
        <v>0</v>
      </c>
      <c r="BH84" s="131">
        <f t="shared" ca="1" si="210"/>
        <v>0</v>
      </c>
      <c r="BI84" s="2">
        <f ca="1">SUM(BH84:BH$124)*SSf</f>
        <v>0</v>
      </c>
      <c r="BJ84" s="70">
        <f t="shared" ca="1" si="211"/>
        <v>27199.684784253957</v>
      </c>
      <c r="BK84" s="2">
        <f t="shared" ca="1" si="63"/>
        <v>0</v>
      </c>
      <c r="BL84" s="131">
        <f t="shared" ca="1" si="212"/>
        <v>0</v>
      </c>
      <c r="BM84" s="131">
        <f ca="1">SUM(BL84:BL$124)*SSg</f>
        <v>0</v>
      </c>
      <c r="BN84" s="70">
        <f t="shared" ca="1" si="213"/>
        <v>27199.684784253957</v>
      </c>
      <c r="BO84" s="2">
        <f t="shared" ca="1" si="64"/>
        <v>0</v>
      </c>
      <c r="BP84" s="131">
        <f t="shared" ca="1" si="214"/>
        <v>0</v>
      </c>
      <c r="BQ84" s="131">
        <f ca="1">SUM(BP84:BP$124)*SSh</f>
        <v>0</v>
      </c>
      <c r="BR84" s="70">
        <f t="shared" ca="1" si="215"/>
        <v>27199.684784253957</v>
      </c>
      <c r="BS84" s="2">
        <f t="shared" ca="1" si="183"/>
        <v>0</v>
      </c>
      <c r="BT84" s="131">
        <f t="shared" ca="1" si="216"/>
        <v>0</v>
      </c>
      <c r="BU84" s="131">
        <f ca="1">SUM(BT84:BT$124)*SSi</f>
        <v>0</v>
      </c>
      <c r="BV84" s="70">
        <f t="shared" ca="1" si="217"/>
        <v>27199.684784253957</v>
      </c>
      <c r="BW84" s="2">
        <f t="shared" ca="1" si="66"/>
        <v>0</v>
      </c>
      <c r="BX84" s="131">
        <f t="shared" ca="1" si="218"/>
        <v>0</v>
      </c>
      <c r="BY84" s="131">
        <f ca="1">SUM(BX84:BX$124)*SSj</f>
        <v>0</v>
      </c>
      <c r="BZ84" s="70">
        <f t="shared" ca="1" si="219"/>
        <v>27199.684784253957</v>
      </c>
      <c r="CA84" s="2">
        <f t="shared" ca="1" si="67"/>
        <v>0</v>
      </c>
      <c r="CB84" s="131">
        <f t="shared" ca="1" si="220"/>
        <v>0</v>
      </c>
      <c r="CC84" s="131">
        <f ca="1">SUM(CB84:CB$124)*SSk</f>
        <v>0</v>
      </c>
      <c r="CD84" s="8">
        <f t="shared" ca="1" si="221"/>
        <v>27199.684784253957</v>
      </c>
      <c r="CE84" s="2">
        <f t="shared" ca="1" si="68"/>
        <v>0</v>
      </c>
      <c r="CF84" s="131">
        <f t="shared" ca="1" si="222"/>
        <v>0</v>
      </c>
      <c r="CG84" s="131">
        <f ca="1">SUM(CF84:CF$124)*SSl</f>
        <v>0</v>
      </c>
      <c r="CH84" s="155">
        <f t="shared" si="223"/>
        <v>0.01</v>
      </c>
      <c r="CI84" s="155">
        <f t="shared" ca="1" si="224"/>
        <v>0</v>
      </c>
      <c r="CJ84" s="155">
        <f t="shared" ca="1" si="225"/>
        <v>0</v>
      </c>
      <c r="CK84" s="155">
        <f ca="1">유해지!CY84</f>
        <v>0</v>
      </c>
      <c r="CL84" s="529">
        <f t="shared" ca="1" si="184"/>
        <v>0</v>
      </c>
      <c r="CM84" s="155">
        <f t="shared" ca="1" si="226"/>
        <v>0</v>
      </c>
      <c r="CN84" s="155">
        <f ca="1">SUM(CM84:$CM$125)</f>
        <v>0</v>
      </c>
      <c r="CO84" s="101">
        <f t="shared" ca="1" si="227"/>
        <v>0</v>
      </c>
      <c r="CP84" s="154">
        <f t="shared" ca="1" si="185"/>
        <v>0</v>
      </c>
      <c r="CQ84" s="154">
        <f t="shared" ca="1" si="186"/>
        <v>0</v>
      </c>
      <c r="CR84" s="32">
        <f t="shared" ca="1" si="187"/>
        <v>0</v>
      </c>
      <c r="CS84" s="32">
        <f t="shared" ca="1" si="188"/>
        <v>0</v>
      </c>
      <c r="CT84" s="32">
        <f t="shared" ca="1" si="189"/>
        <v>0</v>
      </c>
      <c r="CU84" s="32">
        <f t="shared" ca="1" si="190"/>
        <v>0</v>
      </c>
      <c r="CV84" s="32">
        <f t="shared" si="191"/>
        <v>0</v>
      </c>
      <c r="CW84" s="32">
        <f t="shared" ca="1" si="192"/>
        <v>0</v>
      </c>
      <c r="CX84" s="259">
        <f ca="1">IF(R84&lt;m,0,ROUND(IF($R84&gt;nB,0,GPB*mB*mmB*유해지!CY84),roundB))</f>
        <v>0</v>
      </c>
      <c r="CY84" s="262">
        <f t="shared" ca="1" si="193"/>
        <v>0</v>
      </c>
      <c r="CZ84" s="259" t="e">
        <f t="shared" ca="1" si="194"/>
        <v>#DIV/0!</v>
      </c>
      <c r="DA84" s="31">
        <f t="shared" si="195"/>
        <v>5</v>
      </c>
    </row>
    <row r="85" spans="14:105">
      <c r="N85" s="5">
        <f t="shared" si="228"/>
        <v>73</v>
      </c>
      <c r="O85" s="2">
        <f t="shared" ca="1" si="171"/>
        <v>0.19705065481780243</v>
      </c>
      <c r="P85" s="2">
        <f t="shared" ca="1" si="172"/>
        <v>0.19487055590582697</v>
      </c>
      <c r="Q85" s="91"/>
      <c r="R85" s="20">
        <f t="shared" si="229"/>
        <v>73</v>
      </c>
      <c r="S85" s="20" t="str">
        <f t="shared" si="173"/>
        <v/>
      </c>
      <c r="T85" s="2">
        <f t="shared" ca="1" si="170"/>
        <v>0</v>
      </c>
      <c r="U85" s="2">
        <f t="shared" ca="1" si="170"/>
        <v>0</v>
      </c>
      <c r="V85" s="300">
        <f t="shared" si="174"/>
        <v>0.01</v>
      </c>
      <c r="W85" s="8">
        <f t="shared" si="175"/>
        <v>0</v>
      </c>
      <c r="X85" s="10">
        <f t="shared" ca="1" si="176"/>
        <v>1.0000000000000009E-2</v>
      </c>
      <c r="Y85" s="10">
        <f t="shared" ca="1" si="177"/>
        <v>0</v>
      </c>
      <c r="Z85" s="5">
        <f t="shared" ca="1" si="196"/>
        <v>0</v>
      </c>
      <c r="AA85" s="5">
        <f ca="1">+SUM(Z85:Z$124)</f>
        <v>0</v>
      </c>
      <c r="AB85" s="8">
        <f t="shared" ca="1" si="178"/>
        <v>0</v>
      </c>
      <c r="AC85" s="209">
        <f ca="1">+SUM(AB85:AB$124)*SSSM</f>
        <v>0</v>
      </c>
      <c r="AD85" s="209">
        <f t="shared" si="197"/>
        <v>0</v>
      </c>
      <c r="AE85" s="92">
        <f t="shared" ca="1" si="179"/>
        <v>0</v>
      </c>
      <c r="AF85" s="92">
        <f t="shared" ca="1" si="180"/>
        <v>0</v>
      </c>
      <c r="AG85" s="8">
        <f t="shared" ca="1" si="181"/>
        <v>0</v>
      </c>
      <c r="AH85" s="5">
        <f ca="1">+SUM(AG85:AG$124)</f>
        <v>0</v>
      </c>
      <c r="AI85" s="70">
        <f t="shared" ca="1" si="182"/>
        <v>0</v>
      </c>
      <c r="AJ85" s="208">
        <f ca="1">+SUM(AB85:AB$124)*SS50J</f>
        <v>0</v>
      </c>
      <c r="AK85" s="5">
        <f t="shared" ca="1" si="198"/>
        <v>26927.687936411417</v>
      </c>
      <c r="AL85" s="2">
        <f t="shared" ca="1" si="57"/>
        <v>0</v>
      </c>
      <c r="AM85" s="131">
        <f t="shared" ca="1" si="199"/>
        <v>5306.1185405993092</v>
      </c>
      <c r="AN85" s="129">
        <f t="shared" ca="1" si="200"/>
        <v>0</v>
      </c>
      <c r="AO85" s="129">
        <f ca="1">SUM(AN85:AN$124)*SSa</f>
        <v>0</v>
      </c>
      <c r="AP85" s="70">
        <f t="shared" ca="1" si="201"/>
        <v>26927.687936411417</v>
      </c>
      <c r="AQ85" s="2">
        <f t="shared" ca="1" si="58"/>
        <v>0</v>
      </c>
      <c r="AR85" s="127">
        <f t="shared" ca="1" si="202"/>
        <v>0</v>
      </c>
      <c r="AS85" s="127">
        <f ca="1">SUM(AR85:AR$124)*SSb</f>
        <v>0</v>
      </c>
      <c r="AT85" s="70">
        <f t="shared" ca="1" si="203"/>
        <v>26927.687936411417</v>
      </c>
      <c r="AU85" s="2">
        <f t="shared" ca="1" si="59"/>
        <v>0</v>
      </c>
      <c r="AV85" s="268">
        <f t="shared" ca="1" si="204"/>
        <v>0</v>
      </c>
      <c r="AW85" s="131">
        <f ca="1">SUM(AV85:AV$124)*SSc</f>
        <v>0</v>
      </c>
      <c r="AX85" s="70">
        <f t="shared" ca="1" si="205"/>
        <v>26927.687936411417</v>
      </c>
      <c r="AY85" s="2">
        <f t="shared" ca="1" si="60"/>
        <v>0</v>
      </c>
      <c r="AZ85" s="268">
        <f t="shared" ca="1" si="206"/>
        <v>0</v>
      </c>
      <c r="BA85" s="129">
        <f ca="1">SUM(AZ85:AZ$124)*SSd</f>
        <v>0</v>
      </c>
      <c r="BB85" s="70">
        <f t="shared" ca="1" si="207"/>
        <v>26927.687936411417</v>
      </c>
      <c r="BC85" s="257">
        <f t="shared" ca="1" si="61"/>
        <v>0</v>
      </c>
      <c r="BD85" s="268">
        <f t="shared" ca="1" si="208"/>
        <v>0</v>
      </c>
      <c r="BE85" s="131">
        <f ca="1">SUM(BD85:BD$124)*SSe</f>
        <v>0</v>
      </c>
      <c r="BF85" s="70">
        <f t="shared" ca="1" si="209"/>
        <v>26927.687936411417</v>
      </c>
      <c r="BG85" s="2">
        <f t="shared" ca="1" si="62"/>
        <v>0</v>
      </c>
      <c r="BH85" s="131">
        <f t="shared" ca="1" si="210"/>
        <v>0</v>
      </c>
      <c r="BI85" s="2">
        <f ca="1">SUM(BH85:BH$124)*SSf</f>
        <v>0</v>
      </c>
      <c r="BJ85" s="70">
        <f t="shared" ca="1" si="211"/>
        <v>26927.687936411417</v>
      </c>
      <c r="BK85" s="2">
        <f t="shared" ca="1" si="63"/>
        <v>0</v>
      </c>
      <c r="BL85" s="131">
        <f t="shared" ca="1" si="212"/>
        <v>0</v>
      </c>
      <c r="BM85" s="131">
        <f ca="1">SUM(BL85:BL$124)*SSg</f>
        <v>0</v>
      </c>
      <c r="BN85" s="70">
        <f t="shared" ca="1" si="213"/>
        <v>26927.687936411417</v>
      </c>
      <c r="BO85" s="2">
        <f t="shared" ca="1" si="64"/>
        <v>0</v>
      </c>
      <c r="BP85" s="131">
        <f t="shared" ca="1" si="214"/>
        <v>0</v>
      </c>
      <c r="BQ85" s="131">
        <f ca="1">SUM(BP85:BP$124)*SSh</f>
        <v>0</v>
      </c>
      <c r="BR85" s="70">
        <f t="shared" ca="1" si="215"/>
        <v>26927.687936411417</v>
      </c>
      <c r="BS85" s="2">
        <f t="shared" ca="1" si="183"/>
        <v>0</v>
      </c>
      <c r="BT85" s="131">
        <f t="shared" ca="1" si="216"/>
        <v>0</v>
      </c>
      <c r="BU85" s="131">
        <f ca="1">SUM(BT85:BT$124)*SSi</f>
        <v>0</v>
      </c>
      <c r="BV85" s="70">
        <f t="shared" ca="1" si="217"/>
        <v>26927.687936411417</v>
      </c>
      <c r="BW85" s="2">
        <f t="shared" ca="1" si="66"/>
        <v>0</v>
      </c>
      <c r="BX85" s="131">
        <f t="shared" ca="1" si="218"/>
        <v>0</v>
      </c>
      <c r="BY85" s="131">
        <f ca="1">SUM(BX85:BX$124)*SSj</f>
        <v>0</v>
      </c>
      <c r="BZ85" s="70">
        <f t="shared" ca="1" si="219"/>
        <v>26927.687936411417</v>
      </c>
      <c r="CA85" s="2">
        <f t="shared" ca="1" si="67"/>
        <v>0</v>
      </c>
      <c r="CB85" s="131">
        <f t="shared" ca="1" si="220"/>
        <v>0</v>
      </c>
      <c r="CC85" s="131">
        <f ca="1">SUM(CB85:CB$124)*SSk</f>
        <v>0</v>
      </c>
      <c r="CD85" s="8">
        <f t="shared" ca="1" si="221"/>
        <v>26927.687936411417</v>
      </c>
      <c r="CE85" s="2">
        <f t="shared" ca="1" si="68"/>
        <v>0</v>
      </c>
      <c r="CF85" s="131">
        <f t="shared" ca="1" si="222"/>
        <v>0</v>
      </c>
      <c r="CG85" s="131">
        <f ca="1">SUM(CF85:CF$124)*SSl</f>
        <v>0</v>
      </c>
      <c r="CH85" s="155">
        <f t="shared" si="223"/>
        <v>0.01</v>
      </c>
      <c r="CI85" s="155">
        <f t="shared" ca="1" si="224"/>
        <v>0</v>
      </c>
      <c r="CJ85" s="155">
        <f t="shared" ca="1" si="225"/>
        <v>0</v>
      </c>
      <c r="CK85" s="155">
        <f ca="1">유해지!CY85</f>
        <v>0</v>
      </c>
      <c r="CL85" s="529">
        <f t="shared" ca="1" si="184"/>
        <v>0</v>
      </c>
      <c r="CM85" s="155">
        <f t="shared" ca="1" si="226"/>
        <v>0</v>
      </c>
      <c r="CN85" s="155">
        <f ca="1">SUM(CM85:$CM$125)</f>
        <v>0</v>
      </c>
      <c r="CO85" s="101">
        <f t="shared" ca="1" si="227"/>
        <v>0</v>
      </c>
      <c r="CP85" s="154">
        <f t="shared" ca="1" si="185"/>
        <v>0</v>
      </c>
      <c r="CQ85" s="154">
        <f t="shared" ca="1" si="186"/>
        <v>0</v>
      </c>
      <c r="CR85" s="32">
        <f t="shared" ca="1" si="187"/>
        <v>0</v>
      </c>
      <c r="CS85" s="32">
        <f t="shared" ca="1" si="188"/>
        <v>0</v>
      </c>
      <c r="CT85" s="32">
        <f t="shared" ca="1" si="189"/>
        <v>0</v>
      </c>
      <c r="CU85" s="32">
        <f t="shared" ca="1" si="190"/>
        <v>0</v>
      </c>
      <c r="CV85" s="32">
        <f t="shared" si="191"/>
        <v>0</v>
      </c>
      <c r="CW85" s="32">
        <f t="shared" ca="1" si="192"/>
        <v>0</v>
      </c>
      <c r="CX85" s="259">
        <f ca="1">IF(R85&lt;m,0,ROUND(IF($R85&gt;nB,0,GPB*mB*mmB*유해지!CY85),roundB))</f>
        <v>0</v>
      </c>
      <c r="CY85" s="262">
        <f t="shared" ca="1" si="193"/>
        <v>0</v>
      </c>
      <c r="CZ85" s="259" t="e">
        <f t="shared" ca="1" si="194"/>
        <v>#DIV/0!</v>
      </c>
      <c r="DA85" s="31">
        <f t="shared" si="195"/>
        <v>5</v>
      </c>
    </row>
    <row r="86" spans="14:105">
      <c r="N86" s="5">
        <f t="shared" si="228"/>
        <v>74</v>
      </c>
      <c r="O86" s="2">
        <f t="shared" ca="1" si="171"/>
        <v>0.19271457683892659</v>
      </c>
      <c r="P86" s="2">
        <f t="shared" ca="1" si="172"/>
        <v>0.19058245076364494</v>
      </c>
      <c r="Q86" s="91"/>
      <c r="R86" s="20">
        <f t="shared" si="229"/>
        <v>74</v>
      </c>
      <c r="S86" s="20" t="str">
        <f t="shared" si="173"/>
        <v/>
      </c>
      <c r="T86" s="2">
        <f t="shared" ca="1" si="170"/>
        <v>0</v>
      </c>
      <c r="U86" s="2">
        <f t="shared" ca="1" si="170"/>
        <v>0</v>
      </c>
      <c r="V86" s="300">
        <f t="shared" si="174"/>
        <v>0.01</v>
      </c>
      <c r="W86" s="8">
        <f t="shared" si="175"/>
        <v>0</v>
      </c>
      <c r="X86" s="10">
        <f t="shared" ca="1" si="176"/>
        <v>1.0000000000000009E-2</v>
      </c>
      <c r="Y86" s="10">
        <f t="shared" ca="1" si="177"/>
        <v>0</v>
      </c>
      <c r="Z86" s="5">
        <f t="shared" ca="1" si="196"/>
        <v>0</v>
      </c>
      <c r="AA86" s="5">
        <f ca="1">+SUM(Z86:Z$124)</f>
        <v>0</v>
      </c>
      <c r="AB86" s="8">
        <f t="shared" ca="1" si="178"/>
        <v>0</v>
      </c>
      <c r="AC86" s="209">
        <f ca="1">+SUM(AB86:AB$124)*SSSM</f>
        <v>0</v>
      </c>
      <c r="AD86" s="209">
        <f t="shared" si="197"/>
        <v>0</v>
      </c>
      <c r="AE86" s="92">
        <f t="shared" ca="1" si="179"/>
        <v>0</v>
      </c>
      <c r="AF86" s="92">
        <f t="shared" ca="1" si="180"/>
        <v>0</v>
      </c>
      <c r="AG86" s="8">
        <f t="shared" ca="1" si="181"/>
        <v>0</v>
      </c>
      <c r="AH86" s="5">
        <f ca="1">+SUM(AG86:AG$124)</f>
        <v>0</v>
      </c>
      <c r="AI86" s="70">
        <f t="shared" ca="1" si="182"/>
        <v>0</v>
      </c>
      <c r="AJ86" s="208">
        <f ca="1">+SUM(AB86:AB$124)*SS50J</f>
        <v>0</v>
      </c>
      <c r="AK86" s="5">
        <f t="shared" ca="1" si="198"/>
        <v>26658.411057047302</v>
      </c>
      <c r="AL86" s="2">
        <f t="shared" ca="1" si="57"/>
        <v>0</v>
      </c>
      <c r="AM86" s="131">
        <f t="shared" ca="1" si="199"/>
        <v>5137.4644060570326</v>
      </c>
      <c r="AN86" s="129">
        <f t="shared" ca="1" si="200"/>
        <v>0</v>
      </c>
      <c r="AO86" s="129">
        <f ca="1">SUM(AN86:AN$124)*SSa</f>
        <v>0</v>
      </c>
      <c r="AP86" s="70">
        <f t="shared" ca="1" si="201"/>
        <v>26658.411057047302</v>
      </c>
      <c r="AQ86" s="2">
        <f t="shared" ca="1" si="58"/>
        <v>0</v>
      </c>
      <c r="AR86" s="127">
        <f t="shared" ca="1" si="202"/>
        <v>0</v>
      </c>
      <c r="AS86" s="127">
        <f ca="1">SUM(AR86:AR$124)*SSb</f>
        <v>0</v>
      </c>
      <c r="AT86" s="70">
        <f t="shared" ca="1" si="203"/>
        <v>26658.411057047302</v>
      </c>
      <c r="AU86" s="2">
        <f t="shared" ca="1" si="59"/>
        <v>0</v>
      </c>
      <c r="AV86" s="268">
        <f t="shared" ca="1" si="204"/>
        <v>0</v>
      </c>
      <c r="AW86" s="131">
        <f ca="1">SUM(AV86:AV$124)*SSc</f>
        <v>0</v>
      </c>
      <c r="AX86" s="70">
        <f t="shared" ca="1" si="205"/>
        <v>26658.411057047302</v>
      </c>
      <c r="AY86" s="2">
        <f t="shared" ca="1" si="60"/>
        <v>0</v>
      </c>
      <c r="AZ86" s="268">
        <f t="shared" ca="1" si="206"/>
        <v>0</v>
      </c>
      <c r="BA86" s="129">
        <f ca="1">SUM(AZ86:AZ$124)*SSd</f>
        <v>0</v>
      </c>
      <c r="BB86" s="70">
        <f t="shared" ca="1" si="207"/>
        <v>26658.411057047302</v>
      </c>
      <c r="BC86" s="257">
        <f t="shared" ca="1" si="61"/>
        <v>0</v>
      </c>
      <c r="BD86" s="268">
        <f t="shared" ca="1" si="208"/>
        <v>0</v>
      </c>
      <c r="BE86" s="131">
        <f ca="1">SUM(BD86:BD$124)*SSe</f>
        <v>0</v>
      </c>
      <c r="BF86" s="70">
        <f t="shared" ca="1" si="209"/>
        <v>26658.411057047302</v>
      </c>
      <c r="BG86" s="2">
        <f t="shared" ca="1" si="62"/>
        <v>0</v>
      </c>
      <c r="BH86" s="131">
        <f t="shared" ca="1" si="210"/>
        <v>0</v>
      </c>
      <c r="BI86" s="2">
        <f ca="1">SUM(BH86:BH$124)*SSf</f>
        <v>0</v>
      </c>
      <c r="BJ86" s="70">
        <f t="shared" ca="1" si="211"/>
        <v>26658.411057047302</v>
      </c>
      <c r="BK86" s="2">
        <f t="shared" ca="1" si="63"/>
        <v>0</v>
      </c>
      <c r="BL86" s="131">
        <f t="shared" ca="1" si="212"/>
        <v>0</v>
      </c>
      <c r="BM86" s="131">
        <f ca="1">SUM(BL86:BL$124)*SSg</f>
        <v>0</v>
      </c>
      <c r="BN86" s="70">
        <f t="shared" ca="1" si="213"/>
        <v>26658.411057047302</v>
      </c>
      <c r="BO86" s="2">
        <f t="shared" ca="1" si="64"/>
        <v>0</v>
      </c>
      <c r="BP86" s="131">
        <f t="shared" ca="1" si="214"/>
        <v>0</v>
      </c>
      <c r="BQ86" s="131">
        <f ca="1">SUM(BP86:BP$124)*SSh</f>
        <v>0</v>
      </c>
      <c r="BR86" s="70">
        <f t="shared" ca="1" si="215"/>
        <v>26658.411057047302</v>
      </c>
      <c r="BS86" s="2">
        <f t="shared" ca="1" si="183"/>
        <v>0</v>
      </c>
      <c r="BT86" s="131">
        <f t="shared" ca="1" si="216"/>
        <v>0</v>
      </c>
      <c r="BU86" s="131">
        <f ca="1">SUM(BT86:BT$124)*SSi</f>
        <v>0</v>
      </c>
      <c r="BV86" s="70">
        <f t="shared" ca="1" si="217"/>
        <v>26658.411057047302</v>
      </c>
      <c r="BW86" s="2">
        <f t="shared" ca="1" si="66"/>
        <v>0</v>
      </c>
      <c r="BX86" s="131">
        <f t="shared" ca="1" si="218"/>
        <v>0</v>
      </c>
      <c r="BY86" s="131">
        <f ca="1">SUM(BX86:BX$124)*SSj</f>
        <v>0</v>
      </c>
      <c r="BZ86" s="70">
        <f t="shared" ca="1" si="219"/>
        <v>26658.411057047302</v>
      </c>
      <c r="CA86" s="2">
        <f t="shared" ca="1" si="67"/>
        <v>0</v>
      </c>
      <c r="CB86" s="131">
        <f t="shared" ca="1" si="220"/>
        <v>0</v>
      </c>
      <c r="CC86" s="131">
        <f ca="1">SUM(CB86:CB$124)*SSk</f>
        <v>0</v>
      </c>
      <c r="CD86" s="8">
        <f t="shared" ca="1" si="221"/>
        <v>26658.411057047302</v>
      </c>
      <c r="CE86" s="2">
        <f t="shared" ca="1" si="68"/>
        <v>0</v>
      </c>
      <c r="CF86" s="131">
        <f t="shared" ca="1" si="222"/>
        <v>0</v>
      </c>
      <c r="CG86" s="131">
        <f ca="1">SUM(CF86:CF$124)*SSl</f>
        <v>0</v>
      </c>
      <c r="CH86" s="155">
        <f t="shared" si="223"/>
        <v>0.01</v>
      </c>
      <c r="CI86" s="155">
        <f t="shared" ca="1" si="224"/>
        <v>0</v>
      </c>
      <c r="CJ86" s="155">
        <f t="shared" ca="1" si="225"/>
        <v>0</v>
      </c>
      <c r="CK86" s="155">
        <f ca="1">유해지!CY86</f>
        <v>0</v>
      </c>
      <c r="CL86" s="529">
        <f t="shared" ca="1" si="184"/>
        <v>0</v>
      </c>
      <c r="CM86" s="155">
        <f t="shared" ca="1" si="226"/>
        <v>0</v>
      </c>
      <c r="CN86" s="155">
        <f ca="1">SUM(CM86:$CM$125)</f>
        <v>0</v>
      </c>
      <c r="CO86" s="101">
        <f t="shared" ca="1" si="227"/>
        <v>0</v>
      </c>
      <c r="CP86" s="154">
        <f t="shared" ca="1" si="185"/>
        <v>0</v>
      </c>
      <c r="CQ86" s="154">
        <f t="shared" ca="1" si="186"/>
        <v>0</v>
      </c>
      <c r="CR86" s="32">
        <f t="shared" ca="1" si="187"/>
        <v>0</v>
      </c>
      <c r="CS86" s="32">
        <f t="shared" ca="1" si="188"/>
        <v>0</v>
      </c>
      <c r="CT86" s="32">
        <f t="shared" ca="1" si="189"/>
        <v>0</v>
      </c>
      <c r="CU86" s="32">
        <f t="shared" ca="1" si="190"/>
        <v>0</v>
      </c>
      <c r="CV86" s="32">
        <f t="shared" si="191"/>
        <v>0</v>
      </c>
      <c r="CW86" s="32">
        <f t="shared" ca="1" si="192"/>
        <v>0</v>
      </c>
      <c r="CX86" s="259">
        <f ca="1">IF(R86&lt;m,0,ROUND(IF($R86&gt;nB,0,GPB*mB*mmB*유해지!CY86),roundB))</f>
        <v>0</v>
      </c>
      <c r="CY86" s="262">
        <f t="shared" ca="1" si="193"/>
        <v>0</v>
      </c>
      <c r="CZ86" s="259" t="e">
        <f t="shared" ca="1" si="194"/>
        <v>#DIV/0!</v>
      </c>
      <c r="DA86" s="31">
        <f t="shared" si="195"/>
        <v>5</v>
      </c>
    </row>
    <row r="87" spans="14:105">
      <c r="N87" s="5">
        <f t="shared" si="228"/>
        <v>75</v>
      </c>
      <c r="O87" s="2">
        <f t="shared" ca="1" si="171"/>
        <v>0.18847391377890133</v>
      </c>
      <c r="P87" s="2">
        <f t="shared" ca="1" si="172"/>
        <v>0.18638870490332027</v>
      </c>
      <c r="Q87" s="91"/>
      <c r="R87" s="20">
        <f t="shared" si="229"/>
        <v>75</v>
      </c>
      <c r="S87" s="20" t="str">
        <f t="shared" si="173"/>
        <v/>
      </c>
      <c r="T87" s="2">
        <f t="shared" ca="1" si="170"/>
        <v>0</v>
      </c>
      <c r="U87" s="2">
        <f t="shared" ca="1" si="170"/>
        <v>0</v>
      </c>
      <c r="V87" s="300">
        <f t="shared" si="174"/>
        <v>0.01</v>
      </c>
      <c r="W87" s="8">
        <f t="shared" si="175"/>
        <v>0</v>
      </c>
      <c r="X87" s="10">
        <f t="shared" ca="1" si="176"/>
        <v>1.0000000000000009E-2</v>
      </c>
      <c r="Y87" s="10">
        <f t="shared" ca="1" si="177"/>
        <v>0</v>
      </c>
      <c r="Z87" s="5">
        <f t="shared" ca="1" si="196"/>
        <v>0</v>
      </c>
      <c r="AA87" s="5">
        <f ca="1">+SUM(Z87:Z$124)</f>
        <v>0</v>
      </c>
      <c r="AB87" s="8">
        <f t="shared" ca="1" si="178"/>
        <v>0</v>
      </c>
      <c r="AC87" s="209">
        <f ca="1">+SUM(AB87:AB$124)*SSSM</f>
        <v>0</v>
      </c>
      <c r="AD87" s="209">
        <f t="shared" si="197"/>
        <v>0</v>
      </c>
      <c r="AE87" s="92">
        <f t="shared" ca="1" si="179"/>
        <v>0</v>
      </c>
      <c r="AF87" s="92">
        <f t="shared" ca="1" si="180"/>
        <v>0</v>
      </c>
      <c r="AG87" s="8">
        <f t="shared" ca="1" si="181"/>
        <v>0</v>
      </c>
      <c r="AH87" s="5">
        <f ca="1">+SUM(AG87:AG$124)</f>
        <v>0</v>
      </c>
      <c r="AI87" s="70">
        <f t="shared" ca="1" si="182"/>
        <v>0</v>
      </c>
      <c r="AJ87" s="208">
        <f ca="1">+SUM(AB87:AB$124)*SS50J</f>
        <v>0</v>
      </c>
      <c r="AK87" s="5">
        <f t="shared" ca="1" si="198"/>
        <v>26391.826946476827</v>
      </c>
      <c r="AL87" s="2">
        <f t="shared" ca="1" si="57"/>
        <v>0</v>
      </c>
      <c r="AM87" s="131">
        <f t="shared" ca="1" si="199"/>
        <v>4974.1709163779578</v>
      </c>
      <c r="AN87" s="129">
        <f t="shared" ca="1" si="200"/>
        <v>0</v>
      </c>
      <c r="AO87" s="129">
        <f ca="1">SUM(AN87:AN$124)*SSa</f>
        <v>0</v>
      </c>
      <c r="AP87" s="70">
        <f t="shared" ca="1" si="201"/>
        <v>26391.826946476827</v>
      </c>
      <c r="AQ87" s="2">
        <f t="shared" ca="1" si="58"/>
        <v>0</v>
      </c>
      <c r="AR87" s="127">
        <f t="shared" ca="1" si="202"/>
        <v>0</v>
      </c>
      <c r="AS87" s="127">
        <f ca="1">SUM(AR87:AR$124)*SSb</f>
        <v>0</v>
      </c>
      <c r="AT87" s="70">
        <f t="shared" ca="1" si="203"/>
        <v>26391.826946476827</v>
      </c>
      <c r="AU87" s="2">
        <f t="shared" ca="1" si="59"/>
        <v>0</v>
      </c>
      <c r="AV87" s="268">
        <f t="shared" ca="1" si="204"/>
        <v>0</v>
      </c>
      <c r="AW87" s="131">
        <f ca="1">SUM(AV87:AV$124)*SSc</f>
        <v>0</v>
      </c>
      <c r="AX87" s="70">
        <f t="shared" ca="1" si="205"/>
        <v>26391.826946476827</v>
      </c>
      <c r="AY87" s="2">
        <f t="shared" ca="1" si="60"/>
        <v>0</v>
      </c>
      <c r="AZ87" s="268">
        <f t="shared" ca="1" si="206"/>
        <v>0</v>
      </c>
      <c r="BA87" s="129">
        <f ca="1">SUM(AZ87:AZ$124)*SSd</f>
        <v>0</v>
      </c>
      <c r="BB87" s="70">
        <f t="shared" ca="1" si="207"/>
        <v>26391.826946476827</v>
      </c>
      <c r="BC87" s="257">
        <f t="shared" ca="1" si="61"/>
        <v>0</v>
      </c>
      <c r="BD87" s="268">
        <f t="shared" ca="1" si="208"/>
        <v>0</v>
      </c>
      <c r="BE87" s="131">
        <f ca="1">SUM(BD87:BD$124)*SSe</f>
        <v>0</v>
      </c>
      <c r="BF87" s="70">
        <f t="shared" ca="1" si="209"/>
        <v>26391.826946476827</v>
      </c>
      <c r="BG87" s="2">
        <f t="shared" ca="1" si="62"/>
        <v>0</v>
      </c>
      <c r="BH87" s="131">
        <f t="shared" ca="1" si="210"/>
        <v>0</v>
      </c>
      <c r="BI87" s="2">
        <f ca="1">SUM(BH87:BH$124)*SSf</f>
        <v>0</v>
      </c>
      <c r="BJ87" s="70">
        <f t="shared" ca="1" si="211"/>
        <v>26391.826946476827</v>
      </c>
      <c r="BK87" s="2">
        <f t="shared" ca="1" si="63"/>
        <v>0</v>
      </c>
      <c r="BL87" s="131">
        <f t="shared" ca="1" si="212"/>
        <v>0</v>
      </c>
      <c r="BM87" s="131">
        <f ca="1">SUM(BL87:BL$124)*SSg</f>
        <v>0</v>
      </c>
      <c r="BN87" s="70">
        <f t="shared" ca="1" si="213"/>
        <v>26391.826946476827</v>
      </c>
      <c r="BO87" s="2">
        <f t="shared" ca="1" si="64"/>
        <v>0</v>
      </c>
      <c r="BP87" s="131">
        <f t="shared" ca="1" si="214"/>
        <v>0</v>
      </c>
      <c r="BQ87" s="131">
        <f ca="1">SUM(BP87:BP$124)*SSh</f>
        <v>0</v>
      </c>
      <c r="BR87" s="70">
        <f t="shared" ca="1" si="215"/>
        <v>26391.826946476827</v>
      </c>
      <c r="BS87" s="2">
        <f t="shared" ca="1" si="183"/>
        <v>0</v>
      </c>
      <c r="BT87" s="131">
        <f t="shared" ca="1" si="216"/>
        <v>0</v>
      </c>
      <c r="BU87" s="131">
        <f ca="1">SUM(BT87:BT$124)*SSi</f>
        <v>0</v>
      </c>
      <c r="BV87" s="70">
        <f t="shared" ca="1" si="217"/>
        <v>26391.826946476827</v>
      </c>
      <c r="BW87" s="2">
        <f t="shared" ca="1" si="66"/>
        <v>0</v>
      </c>
      <c r="BX87" s="131">
        <f t="shared" ca="1" si="218"/>
        <v>0</v>
      </c>
      <c r="BY87" s="131">
        <f ca="1">SUM(BX87:BX$124)*SSj</f>
        <v>0</v>
      </c>
      <c r="BZ87" s="70">
        <f t="shared" ca="1" si="219"/>
        <v>26391.826946476827</v>
      </c>
      <c r="CA87" s="2">
        <f t="shared" ca="1" si="67"/>
        <v>0</v>
      </c>
      <c r="CB87" s="131">
        <f t="shared" ca="1" si="220"/>
        <v>0</v>
      </c>
      <c r="CC87" s="131">
        <f ca="1">SUM(CB87:CB$124)*SSk</f>
        <v>0</v>
      </c>
      <c r="CD87" s="8">
        <f t="shared" ca="1" si="221"/>
        <v>26391.826946476827</v>
      </c>
      <c r="CE87" s="2">
        <f t="shared" ca="1" si="68"/>
        <v>0</v>
      </c>
      <c r="CF87" s="131">
        <f t="shared" ca="1" si="222"/>
        <v>0</v>
      </c>
      <c r="CG87" s="131">
        <f ca="1">SUM(CF87:CF$124)*SSl</f>
        <v>0</v>
      </c>
      <c r="CH87" s="155">
        <f t="shared" si="223"/>
        <v>0.01</v>
      </c>
      <c r="CI87" s="155">
        <f t="shared" ca="1" si="224"/>
        <v>0</v>
      </c>
      <c r="CJ87" s="155">
        <f t="shared" ca="1" si="225"/>
        <v>0</v>
      </c>
      <c r="CK87" s="155">
        <f ca="1">유해지!CY87</f>
        <v>0</v>
      </c>
      <c r="CL87" s="529">
        <f t="shared" ca="1" si="184"/>
        <v>0</v>
      </c>
      <c r="CM87" s="155">
        <f t="shared" ca="1" si="226"/>
        <v>0</v>
      </c>
      <c r="CN87" s="155">
        <f ca="1">SUM(CM87:$CM$125)</f>
        <v>0</v>
      </c>
      <c r="CO87" s="101">
        <f t="shared" ca="1" si="227"/>
        <v>0</v>
      </c>
      <c r="CP87" s="154">
        <f t="shared" ca="1" si="185"/>
        <v>0</v>
      </c>
      <c r="CQ87" s="154">
        <f t="shared" ca="1" si="186"/>
        <v>0</v>
      </c>
      <c r="CR87" s="32">
        <f t="shared" ca="1" si="187"/>
        <v>0</v>
      </c>
      <c r="CS87" s="32">
        <f t="shared" ca="1" si="188"/>
        <v>0</v>
      </c>
      <c r="CT87" s="32">
        <f t="shared" ca="1" si="189"/>
        <v>0</v>
      </c>
      <c r="CU87" s="32">
        <f t="shared" ca="1" si="190"/>
        <v>0</v>
      </c>
      <c r="CV87" s="32">
        <f t="shared" si="191"/>
        <v>0</v>
      </c>
      <c r="CW87" s="32">
        <f t="shared" ca="1" si="192"/>
        <v>0</v>
      </c>
      <c r="CX87" s="259">
        <f ca="1">IF(R87&lt;m,0,ROUND(IF($R87&gt;nB,0,GPB*mB*mmB*유해지!CY87),roundB))</f>
        <v>0</v>
      </c>
      <c r="CY87" s="262">
        <f t="shared" ca="1" si="193"/>
        <v>0</v>
      </c>
      <c r="CZ87" s="259" t="e">
        <f t="shared" ca="1" si="194"/>
        <v>#DIV/0!</v>
      </c>
      <c r="DA87" s="31">
        <f t="shared" si="195"/>
        <v>5</v>
      </c>
    </row>
    <row r="88" spans="14:105">
      <c r="N88" s="5">
        <f t="shared" si="228"/>
        <v>76</v>
      </c>
      <c r="O88" s="2">
        <f t="shared" ca="1" si="171"/>
        <v>0.18432656604293529</v>
      </c>
      <c r="P88" s="2">
        <f t="shared" ca="1" si="172"/>
        <v>0.18228724195923743</v>
      </c>
      <c r="Q88" s="91"/>
      <c r="R88" s="20">
        <f t="shared" si="229"/>
        <v>76</v>
      </c>
      <c r="S88" s="20" t="str">
        <f t="shared" si="173"/>
        <v/>
      </c>
      <c r="T88" s="2">
        <f t="shared" ca="1" si="170"/>
        <v>0</v>
      </c>
      <c r="U88" s="2">
        <f t="shared" ca="1" si="170"/>
        <v>0</v>
      </c>
      <c r="V88" s="300">
        <f t="shared" si="174"/>
        <v>0.01</v>
      </c>
      <c r="W88" s="8">
        <f t="shared" si="175"/>
        <v>0</v>
      </c>
      <c r="X88" s="10">
        <f t="shared" ca="1" si="176"/>
        <v>1.0000000000000009E-2</v>
      </c>
      <c r="Y88" s="10">
        <f t="shared" ca="1" si="177"/>
        <v>0</v>
      </c>
      <c r="Z88" s="5">
        <f t="shared" ca="1" si="196"/>
        <v>0</v>
      </c>
      <c r="AA88" s="5">
        <f ca="1">+SUM(Z88:Z$124)</f>
        <v>0</v>
      </c>
      <c r="AB88" s="8">
        <f t="shared" ca="1" si="178"/>
        <v>0</v>
      </c>
      <c r="AC88" s="209">
        <f ca="1">+SUM(AB88:AB$124)*SSSM</f>
        <v>0</v>
      </c>
      <c r="AD88" s="209">
        <f t="shared" si="197"/>
        <v>0</v>
      </c>
      <c r="AE88" s="92">
        <f t="shared" ca="1" si="179"/>
        <v>0</v>
      </c>
      <c r="AF88" s="92">
        <f t="shared" ca="1" si="180"/>
        <v>0</v>
      </c>
      <c r="AG88" s="8">
        <f t="shared" ca="1" si="181"/>
        <v>0</v>
      </c>
      <c r="AH88" s="5">
        <f ca="1">+SUM(AG88:AG$124)</f>
        <v>0</v>
      </c>
      <c r="AI88" s="70">
        <f t="shared" ca="1" si="182"/>
        <v>0</v>
      </c>
      <c r="AJ88" s="208">
        <f ca="1">+SUM(AB88:AB$124)*SS50J</f>
        <v>0</v>
      </c>
      <c r="AK88" s="5">
        <f t="shared" ca="1" si="198"/>
        <v>26127.908677012059</v>
      </c>
      <c r="AL88" s="2">
        <f t="shared" ca="1" si="57"/>
        <v>0</v>
      </c>
      <c r="AM88" s="131">
        <f t="shared" ca="1" si="199"/>
        <v>4816.0676843170459</v>
      </c>
      <c r="AN88" s="129">
        <f t="shared" ca="1" si="200"/>
        <v>0</v>
      </c>
      <c r="AO88" s="129">
        <f ca="1">SUM(AN88:AN$124)*SSa</f>
        <v>0</v>
      </c>
      <c r="AP88" s="70">
        <f t="shared" ca="1" si="201"/>
        <v>26127.908677012059</v>
      </c>
      <c r="AQ88" s="2">
        <f t="shared" ca="1" si="58"/>
        <v>0</v>
      </c>
      <c r="AR88" s="127">
        <f t="shared" ca="1" si="202"/>
        <v>0</v>
      </c>
      <c r="AS88" s="127">
        <f ca="1">SUM(AR88:AR$124)*SSb</f>
        <v>0</v>
      </c>
      <c r="AT88" s="70">
        <f t="shared" ca="1" si="203"/>
        <v>26127.908677012059</v>
      </c>
      <c r="AU88" s="2">
        <f t="shared" ca="1" si="59"/>
        <v>0</v>
      </c>
      <c r="AV88" s="268">
        <f t="shared" ca="1" si="204"/>
        <v>0</v>
      </c>
      <c r="AW88" s="131">
        <f ca="1">SUM(AV88:AV$124)*SSc</f>
        <v>0</v>
      </c>
      <c r="AX88" s="70">
        <f t="shared" ca="1" si="205"/>
        <v>26127.908677012059</v>
      </c>
      <c r="AY88" s="2">
        <f t="shared" ca="1" si="60"/>
        <v>0</v>
      </c>
      <c r="AZ88" s="268">
        <f t="shared" ca="1" si="206"/>
        <v>0</v>
      </c>
      <c r="BA88" s="129">
        <f ca="1">SUM(AZ88:AZ$124)*SSd</f>
        <v>0</v>
      </c>
      <c r="BB88" s="70">
        <f t="shared" ca="1" si="207"/>
        <v>26127.908677012059</v>
      </c>
      <c r="BC88" s="257">
        <f t="shared" ca="1" si="61"/>
        <v>0</v>
      </c>
      <c r="BD88" s="268">
        <f t="shared" ca="1" si="208"/>
        <v>0</v>
      </c>
      <c r="BE88" s="131">
        <f ca="1">SUM(BD88:BD$124)*SSe</f>
        <v>0</v>
      </c>
      <c r="BF88" s="70">
        <f t="shared" ca="1" si="209"/>
        <v>26127.908677012059</v>
      </c>
      <c r="BG88" s="2">
        <f t="shared" ca="1" si="62"/>
        <v>0</v>
      </c>
      <c r="BH88" s="131">
        <f t="shared" ca="1" si="210"/>
        <v>0</v>
      </c>
      <c r="BI88" s="2">
        <f ca="1">SUM(BH88:BH$124)*SSf</f>
        <v>0</v>
      </c>
      <c r="BJ88" s="70">
        <f t="shared" ca="1" si="211"/>
        <v>26127.908677012059</v>
      </c>
      <c r="BK88" s="2">
        <f t="shared" ca="1" si="63"/>
        <v>0</v>
      </c>
      <c r="BL88" s="131">
        <f t="shared" ca="1" si="212"/>
        <v>0</v>
      </c>
      <c r="BM88" s="131">
        <f ca="1">SUM(BL88:BL$124)*SSg</f>
        <v>0</v>
      </c>
      <c r="BN88" s="70">
        <f t="shared" ca="1" si="213"/>
        <v>26127.908677012059</v>
      </c>
      <c r="BO88" s="2">
        <f t="shared" ca="1" si="64"/>
        <v>0</v>
      </c>
      <c r="BP88" s="131">
        <f t="shared" ca="1" si="214"/>
        <v>0</v>
      </c>
      <c r="BQ88" s="131">
        <f ca="1">SUM(BP88:BP$124)*SSh</f>
        <v>0</v>
      </c>
      <c r="BR88" s="70">
        <f t="shared" ca="1" si="215"/>
        <v>26127.908677012059</v>
      </c>
      <c r="BS88" s="2">
        <f t="shared" ca="1" si="183"/>
        <v>0</v>
      </c>
      <c r="BT88" s="131">
        <f t="shared" ca="1" si="216"/>
        <v>0</v>
      </c>
      <c r="BU88" s="131">
        <f ca="1">SUM(BT88:BT$124)*SSi</f>
        <v>0</v>
      </c>
      <c r="BV88" s="70">
        <f t="shared" ca="1" si="217"/>
        <v>26127.908677012059</v>
      </c>
      <c r="BW88" s="2">
        <f t="shared" ca="1" si="66"/>
        <v>0</v>
      </c>
      <c r="BX88" s="131">
        <f t="shared" ca="1" si="218"/>
        <v>0</v>
      </c>
      <c r="BY88" s="131">
        <f ca="1">SUM(BX88:BX$124)*SSj</f>
        <v>0</v>
      </c>
      <c r="BZ88" s="70">
        <f t="shared" ca="1" si="219"/>
        <v>26127.908677012059</v>
      </c>
      <c r="CA88" s="2">
        <f t="shared" ca="1" si="67"/>
        <v>0</v>
      </c>
      <c r="CB88" s="131">
        <f t="shared" ca="1" si="220"/>
        <v>0</v>
      </c>
      <c r="CC88" s="131">
        <f ca="1">SUM(CB88:CB$124)*SSk</f>
        <v>0</v>
      </c>
      <c r="CD88" s="8">
        <f t="shared" ca="1" si="221"/>
        <v>26127.908677012059</v>
      </c>
      <c r="CE88" s="2">
        <f t="shared" ca="1" si="68"/>
        <v>0</v>
      </c>
      <c r="CF88" s="131">
        <f t="shared" ca="1" si="222"/>
        <v>0</v>
      </c>
      <c r="CG88" s="131">
        <f ca="1">SUM(CF88:CF$124)*SSl</f>
        <v>0</v>
      </c>
      <c r="CH88" s="155">
        <f t="shared" si="223"/>
        <v>0.01</v>
      </c>
      <c r="CI88" s="155">
        <f t="shared" ca="1" si="224"/>
        <v>0</v>
      </c>
      <c r="CJ88" s="155">
        <f t="shared" ca="1" si="225"/>
        <v>0</v>
      </c>
      <c r="CK88" s="155">
        <f ca="1">유해지!CY88</f>
        <v>0</v>
      </c>
      <c r="CL88" s="529">
        <f t="shared" ca="1" si="184"/>
        <v>0</v>
      </c>
      <c r="CM88" s="155">
        <f t="shared" ca="1" si="226"/>
        <v>0</v>
      </c>
      <c r="CN88" s="155">
        <f ca="1">SUM(CM88:$CM$125)</f>
        <v>0</v>
      </c>
      <c r="CO88" s="101">
        <f t="shared" ca="1" si="227"/>
        <v>0</v>
      </c>
      <c r="CP88" s="154">
        <f t="shared" ca="1" si="185"/>
        <v>0</v>
      </c>
      <c r="CQ88" s="154">
        <f t="shared" ca="1" si="186"/>
        <v>0</v>
      </c>
      <c r="CR88" s="32">
        <f t="shared" ca="1" si="187"/>
        <v>0</v>
      </c>
      <c r="CS88" s="32">
        <f t="shared" ca="1" si="188"/>
        <v>0</v>
      </c>
      <c r="CT88" s="32">
        <f t="shared" ca="1" si="189"/>
        <v>0</v>
      </c>
      <c r="CU88" s="32">
        <f t="shared" ca="1" si="190"/>
        <v>0</v>
      </c>
      <c r="CV88" s="32">
        <f t="shared" si="191"/>
        <v>0</v>
      </c>
      <c r="CW88" s="32">
        <f t="shared" ca="1" si="192"/>
        <v>0</v>
      </c>
      <c r="CX88" s="259">
        <f ca="1">IF(R88&lt;m,0,ROUND(IF($R88&gt;nB,0,GPB*mB*mmB*유해지!CY88),roundB))</f>
        <v>0</v>
      </c>
      <c r="CY88" s="262">
        <f t="shared" ca="1" si="193"/>
        <v>0</v>
      </c>
      <c r="CZ88" s="259" t="e">
        <f t="shared" ca="1" si="194"/>
        <v>#DIV/0!</v>
      </c>
      <c r="DA88" s="31">
        <f t="shared" si="195"/>
        <v>5</v>
      </c>
    </row>
    <row r="89" spans="14:105">
      <c r="N89" s="5">
        <f t="shared" si="228"/>
        <v>77</v>
      </c>
      <c r="O89" s="2">
        <f t="shared" ca="1" si="171"/>
        <v>0.18027048023758951</v>
      </c>
      <c r="P89" s="2">
        <f t="shared" ca="1" si="172"/>
        <v>0.17827603125597791</v>
      </c>
      <c r="Q89" s="91"/>
      <c r="R89" s="20">
        <f t="shared" si="229"/>
        <v>77</v>
      </c>
      <c r="S89" s="20" t="str">
        <f t="shared" si="173"/>
        <v/>
      </c>
      <c r="T89" s="2">
        <f t="shared" ca="1" si="170"/>
        <v>0</v>
      </c>
      <c r="U89" s="2">
        <f t="shared" ca="1" si="170"/>
        <v>0</v>
      </c>
      <c r="V89" s="300">
        <f t="shared" si="174"/>
        <v>0.01</v>
      </c>
      <c r="W89" s="8">
        <f t="shared" si="175"/>
        <v>0</v>
      </c>
      <c r="X89" s="10">
        <f t="shared" ca="1" si="176"/>
        <v>1.0000000000000009E-2</v>
      </c>
      <c r="Y89" s="10">
        <f t="shared" ca="1" si="177"/>
        <v>0</v>
      </c>
      <c r="Z89" s="5">
        <f t="shared" ca="1" si="196"/>
        <v>0</v>
      </c>
      <c r="AA89" s="5">
        <f ca="1">+SUM(Z89:Z$124)</f>
        <v>0</v>
      </c>
      <c r="AB89" s="8">
        <f t="shared" ca="1" si="178"/>
        <v>0</v>
      </c>
      <c r="AC89" s="209">
        <f ca="1">+SUM(AB89:AB$124)*SSSM</f>
        <v>0</v>
      </c>
      <c r="AD89" s="209">
        <f t="shared" si="197"/>
        <v>0</v>
      </c>
      <c r="AE89" s="92">
        <f t="shared" ca="1" si="179"/>
        <v>0</v>
      </c>
      <c r="AF89" s="92">
        <f t="shared" ca="1" si="180"/>
        <v>0</v>
      </c>
      <c r="AG89" s="8">
        <f t="shared" ca="1" si="181"/>
        <v>0</v>
      </c>
      <c r="AH89" s="5">
        <f ca="1">+SUM(AG89:AG$124)</f>
        <v>0</v>
      </c>
      <c r="AI89" s="70">
        <f t="shared" ca="1" si="182"/>
        <v>0</v>
      </c>
      <c r="AJ89" s="208">
        <f ca="1">+SUM(AB89:AB$124)*SS50J</f>
        <v>0</v>
      </c>
      <c r="AK89" s="5">
        <f t="shared" ca="1" si="198"/>
        <v>25866.629590241937</v>
      </c>
      <c r="AL89" s="2">
        <f t="shared" ca="1" si="57"/>
        <v>0</v>
      </c>
      <c r="AM89" s="131">
        <f t="shared" ca="1" si="199"/>
        <v>4662.9897383607577</v>
      </c>
      <c r="AN89" s="129">
        <f t="shared" ca="1" si="200"/>
        <v>0</v>
      </c>
      <c r="AO89" s="129">
        <f ca="1">SUM(AN89:AN$124)*SSa</f>
        <v>0</v>
      </c>
      <c r="AP89" s="70">
        <f t="shared" ca="1" si="201"/>
        <v>25866.629590241937</v>
      </c>
      <c r="AQ89" s="2">
        <f t="shared" ca="1" si="58"/>
        <v>0</v>
      </c>
      <c r="AR89" s="127">
        <f t="shared" ca="1" si="202"/>
        <v>0</v>
      </c>
      <c r="AS89" s="127">
        <f ca="1">SUM(AR89:AR$124)*SSb</f>
        <v>0</v>
      </c>
      <c r="AT89" s="70">
        <f t="shared" ca="1" si="203"/>
        <v>25866.629590241937</v>
      </c>
      <c r="AU89" s="2">
        <f t="shared" ca="1" si="59"/>
        <v>0</v>
      </c>
      <c r="AV89" s="268">
        <f t="shared" ca="1" si="204"/>
        <v>0</v>
      </c>
      <c r="AW89" s="131">
        <f ca="1">SUM(AV89:AV$124)*SSc</f>
        <v>0</v>
      </c>
      <c r="AX89" s="70">
        <f t="shared" ca="1" si="205"/>
        <v>25866.629590241937</v>
      </c>
      <c r="AY89" s="2">
        <f t="shared" ca="1" si="60"/>
        <v>0</v>
      </c>
      <c r="AZ89" s="268">
        <f t="shared" ca="1" si="206"/>
        <v>0</v>
      </c>
      <c r="BA89" s="129">
        <f ca="1">SUM(AZ89:AZ$124)*SSd</f>
        <v>0</v>
      </c>
      <c r="BB89" s="70">
        <f t="shared" ca="1" si="207"/>
        <v>25866.629590241937</v>
      </c>
      <c r="BC89" s="257">
        <f t="shared" ca="1" si="61"/>
        <v>0</v>
      </c>
      <c r="BD89" s="268">
        <f t="shared" ca="1" si="208"/>
        <v>0</v>
      </c>
      <c r="BE89" s="131">
        <f ca="1">SUM(BD89:BD$124)*SSe</f>
        <v>0</v>
      </c>
      <c r="BF89" s="70">
        <f t="shared" ca="1" si="209"/>
        <v>25866.629590241937</v>
      </c>
      <c r="BG89" s="2">
        <f t="shared" ca="1" si="62"/>
        <v>0</v>
      </c>
      <c r="BH89" s="131">
        <f t="shared" ca="1" si="210"/>
        <v>0</v>
      </c>
      <c r="BI89" s="2">
        <f ca="1">SUM(BH89:BH$124)*SSf</f>
        <v>0</v>
      </c>
      <c r="BJ89" s="70">
        <f t="shared" ca="1" si="211"/>
        <v>25866.629590241937</v>
      </c>
      <c r="BK89" s="2">
        <f t="shared" ca="1" si="63"/>
        <v>0</v>
      </c>
      <c r="BL89" s="131">
        <f t="shared" ca="1" si="212"/>
        <v>0</v>
      </c>
      <c r="BM89" s="131">
        <f ca="1">SUM(BL89:BL$124)*SSg</f>
        <v>0</v>
      </c>
      <c r="BN89" s="70">
        <f t="shared" ca="1" si="213"/>
        <v>25866.629590241937</v>
      </c>
      <c r="BO89" s="2">
        <f t="shared" ca="1" si="64"/>
        <v>0</v>
      </c>
      <c r="BP89" s="131">
        <f t="shared" ca="1" si="214"/>
        <v>0</v>
      </c>
      <c r="BQ89" s="131">
        <f ca="1">SUM(BP89:BP$124)*SSh</f>
        <v>0</v>
      </c>
      <c r="BR89" s="70">
        <f t="shared" ca="1" si="215"/>
        <v>25866.629590241937</v>
      </c>
      <c r="BS89" s="2">
        <f t="shared" ca="1" si="183"/>
        <v>0</v>
      </c>
      <c r="BT89" s="131">
        <f t="shared" ca="1" si="216"/>
        <v>0</v>
      </c>
      <c r="BU89" s="131">
        <f ca="1">SUM(BT89:BT$124)*SSi</f>
        <v>0</v>
      </c>
      <c r="BV89" s="70">
        <f t="shared" ca="1" si="217"/>
        <v>25866.629590241937</v>
      </c>
      <c r="BW89" s="2">
        <f t="shared" ca="1" si="66"/>
        <v>0</v>
      </c>
      <c r="BX89" s="131">
        <f t="shared" ca="1" si="218"/>
        <v>0</v>
      </c>
      <c r="BY89" s="131">
        <f ca="1">SUM(BX89:BX$124)*SSj</f>
        <v>0</v>
      </c>
      <c r="BZ89" s="70">
        <f t="shared" ca="1" si="219"/>
        <v>25866.629590241937</v>
      </c>
      <c r="CA89" s="2">
        <f t="shared" ca="1" si="67"/>
        <v>0</v>
      </c>
      <c r="CB89" s="131">
        <f t="shared" ca="1" si="220"/>
        <v>0</v>
      </c>
      <c r="CC89" s="131">
        <f ca="1">SUM(CB89:CB$124)*SSk</f>
        <v>0</v>
      </c>
      <c r="CD89" s="8">
        <f t="shared" ca="1" si="221"/>
        <v>25866.629590241937</v>
      </c>
      <c r="CE89" s="2">
        <f t="shared" ca="1" si="68"/>
        <v>0</v>
      </c>
      <c r="CF89" s="131">
        <f t="shared" ca="1" si="222"/>
        <v>0</v>
      </c>
      <c r="CG89" s="131">
        <f ca="1">SUM(CF89:CF$124)*SSl</f>
        <v>0</v>
      </c>
      <c r="CH89" s="155">
        <f t="shared" si="223"/>
        <v>0.01</v>
      </c>
      <c r="CI89" s="155">
        <f t="shared" ca="1" si="224"/>
        <v>0</v>
      </c>
      <c r="CJ89" s="155">
        <f t="shared" ca="1" si="225"/>
        <v>0</v>
      </c>
      <c r="CK89" s="155">
        <f ca="1">유해지!CY89</f>
        <v>0</v>
      </c>
      <c r="CL89" s="529">
        <f t="shared" ca="1" si="184"/>
        <v>0</v>
      </c>
      <c r="CM89" s="155">
        <f t="shared" ca="1" si="226"/>
        <v>0</v>
      </c>
      <c r="CN89" s="155">
        <f ca="1">SUM(CM89:$CM$125)</f>
        <v>0</v>
      </c>
      <c r="CO89" s="101">
        <f t="shared" ca="1" si="227"/>
        <v>0</v>
      </c>
      <c r="CP89" s="154">
        <f t="shared" ca="1" si="185"/>
        <v>0</v>
      </c>
      <c r="CQ89" s="154">
        <f t="shared" ca="1" si="186"/>
        <v>0</v>
      </c>
      <c r="CR89" s="32">
        <f t="shared" ca="1" si="187"/>
        <v>0</v>
      </c>
      <c r="CS89" s="32">
        <f t="shared" ca="1" si="188"/>
        <v>0</v>
      </c>
      <c r="CT89" s="32">
        <f t="shared" ca="1" si="189"/>
        <v>0</v>
      </c>
      <c r="CU89" s="32">
        <f t="shared" ca="1" si="190"/>
        <v>0</v>
      </c>
      <c r="CV89" s="32">
        <f t="shared" si="191"/>
        <v>0</v>
      </c>
      <c r="CW89" s="32">
        <f t="shared" ca="1" si="192"/>
        <v>0</v>
      </c>
      <c r="CX89" s="259">
        <f ca="1">IF(R89&lt;m,0,ROUND(IF($R89&gt;nB,0,GPB*mB*mmB*유해지!CY89),roundB))</f>
        <v>0</v>
      </c>
      <c r="CY89" s="262">
        <f t="shared" ca="1" si="193"/>
        <v>0</v>
      </c>
      <c r="CZ89" s="259" t="e">
        <f t="shared" ca="1" si="194"/>
        <v>#DIV/0!</v>
      </c>
      <c r="DA89" s="31">
        <f t="shared" si="195"/>
        <v>5</v>
      </c>
    </row>
    <row r="90" spans="14:105">
      <c r="N90" s="5">
        <f t="shared" si="228"/>
        <v>78</v>
      </c>
      <c r="O90" s="2">
        <f t="shared" ca="1" si="171"/>
        <v>0.17630364815412175</v>
      </c>
      <c r="P90" s="2">
        <f t="shared" ca="1" si="172"/>
        <v>0.17435308680291239</v>
      </c>
      <c r="Q90" s="91"/>
      <c r="R90" s="20">
        <f t="shared" si="229"/>
        <v>78</v>
      </c>
      <c r="S90" s="20" t="str">
        <f t="shared" si="173"/>
        <v/>
      </c>
      <c r="T90" s="2">
        <f t="shared" ca="1" si="170"/>
        <v>0</v>
      </c>
      <c r="U90" s="2">
        <f t="shared" ca="1" si="170"/>
        <v>0</v>
      </c>
      <c r="V90" s="300">
        <f t="shared" si="174"/>
        <v>0.01</v>
      </c>
      <c r="W90" s="8">
        <f t="shared" si="175"/>
        <v>0</v>
      </c>
      <c r="X90" s="10">
        <f t="shared" ca="1" si="176"/>
        <v>1.0000000000000009E-2</v>
      </c>
      <c r="Y90" s="10">
        <f t="shared" ca="1" si="177"/>
        <v>0</v>
      </c>
      <c r="Z90" s="5">
        <f t="shared" ca="1" si="196"/>
        <v>0</v>
      </c>
      <c r="AA90" s="5">
        <f ca="1">+SUM(Z90:Z$124)</f>
        <v>0</v>
      </c>
      <c r="AB90" s="8">
        <f t="shared" ca="1" si="178"/>
        <v>0</v>
      </c>
      <c r="AC90" s="209">
        <f ca="1">+SUM(AB90:AB$124)*SSSM</f>
        <v>0</v>
      </c>
      <c r="AD90" s="209">
        <f t="shared" si="197"/>
        <v>0</v>
      </c>
      <c r="AE90" s="92">
        <f t="shared" ca="1" si="179"/>
        <v>0</v>
      </c>
      <c r="AF90" s="92">
        <f t="shared" ca="1" si="180"/>
        <v>0</v>
      </c>
      <c r="AG90" s="8">
        <f t="shared" ca="1" si="181"/>
        <v>0</v>
      </c>
      <c r="AH90" s="5">
        <f ca="1">+SUM(AG90:AG$124)</f>
        <v>0</v>
      </c>
      <c r="AI90" s="70">
        <f t="shared" ca="1" si="182"/>
        <v>0</v>
      </c>
      <c r="AJ90" s="208">
        <f ca="1">+SUM(AB90:AB$124)*SS50J</f>
        <v>0</v>
      </c>
      <c r="AK90" s="5">
        <f t="shared" ca="1" si="198"/>
        <v>25607.963294339519</v>
      </c>
      <c r="AL90" s="2">
        <f t="shared" ca="1" si="57"/>
        <v>0</v>
      </c>
      <c r="AM90" s="131">
        <f t="shared" ca="1" si="199"/>
        <v>4514.777350588899</v>
      </c>
      <c r="AN90" s="129">
        <f t="shared" ca="1" si="200"/>
        <v>0</v>
      </c>
      <c r="AO90" s="129">
        <f ca="1">SUM(AN90:AN$124)*SSa</f>
        <v>0</v>
      </c>
      <c r="AP90" s="70">
        <f t="shared" ca="1" si="201"/>
        <v>25607.963294339519</v>
      </c>
      <c r="AQ90" s="2">
        <f t="shared" ca="1" si="58"/>
        <v>0</v>
      </c>
      <c r="AR90" s="127">
        <f t="shared" ca="1" si="202"/>
        <v>0</v>
      </c>
      <c r="AS90" s="127">
        <f ca="1">SUM(AR90:AR$124)*SSb</f>
        <v>0</v>
      </c>
      <c r="AT90" s="70">
        <f t="shared" ca="1" si="203"/>
        <v>25607.963294339519</v>
      </c>
      <c r="AU90" s="2">
        <f t="shared" ca="1" si="59"/>
        <v>0</v>
      </c>
      <c r="AV90" s="268">
        <f t="shared" ca="1" si="204"/>
        <v>0</v>
      </c>
      <c r="AW90" s="131">
        <f ca="1">SUM(AV90:AV$124)*SSc</f>
        <v>0</v>
      </c>
      <c r="AX90" s="70">
        <f t="shared" ca="1" si="205"/>
        <v>25607.963294339519</v>
      </c>
      <c r="AY90" s="2">
        <f t="shared" ca="1" si="60"/>
        <v>0</v>
      </c>
      <c r="AZ90" s="268">
        <f t="shared" ca="1" si="206"/>
        <v>0</v>
      </c>
      <c r="BA90" s="129">
        <f ca="1">SUM(AZ90:AZ$124)*SSd</f>
        <v>0</v>
      </c>
      <c r="BB90" s="70">
        <f t="shared" ca="1" si="207"/>
        <v>25607.963294339519</v>
      </c>
      <c r="BC90" s="257">
        <f t="shared" ca="1" si="61"/>
        <v>0</v>
      </c>
      <c r="BD90" s="268">
        <f t="shared" ca="1" si="208"/>
        <v>0</v>
      </c>
      <c r="BE90" s="131">
        <f ca="1">SUM(BD90:BD$124)*SSe</f>
        <v>0</v>
      </c>
      <c r="BF90" s="70">
        <f t="shared" ca="1" si="209"/>
        <v>25607.963294339519</v>
      </c>
      <c r="BG90" s="2">
        <f t="shared" ca="1" si="62"/>
        <v>0</v>
      </c>
      <c r="BH90" s="131">
        <f t="shared" ca="1" si="210"/>
        <v>0</v>
      </c>
      <c r="BI90" s="2">
        <f ca="1">SUM(BH90:BH$124)*SSf</f>
        <v>0</v>
      </c>
      <c r="BJ90" s="70">
        <f t="shared" ca="1" si="211"/>
        <v>25607.963294339519</v>
      </c>
      <c r="BK90" s="2">
        <f t="shared" ca="1" si="63"/>
        <v>0</v>
      </c>
      <c r="BL90" s="131">
        <f t="shared" ca="1" si="212"/>
        <v>0</v>
      </c>
      <c r="BM90" s="131">
        <f ca="1">SUM(BL90:BL$124)*SSg</f>
        <v>0</v>
      </c>
      <c r="BN90" s="70">
        <f t="shared" ca="1" si="213"/>
        <v>25607.963294339519</v>
      </c>
      <c r="BO90" s="2">
        <f t="shared" ca="1" si="64"/>
        <v>0</v>
      </c>
      <c r="BP90" s="131">
        <f t="shared" ca="1" si="214"/>
        <v>0</v>
      </c>
      <c r="BQ90" s="131">
        <f ca="1">SUM(BP90:BP$124)*SSh</f>
        <v>0</v>
      </c>
      <c r="BR90" s="70">
        <f t="shared" ca="1" si="215"/>
        <v>25607.963294339519</v>
      </c>
      <c r="BS90" s="2">
        <f t="shared" ca="1" si="183"/>
        <v>0</v>
      </c>
      <c r="BT90" s="131">
        <f t="shared" ca="1" si="216"/>
        <v>0</v>
      </c>
      <c r="BU90" s="131">
        <f ca="1">SUM(BT90:BT$124)*SSi</f>
        <v>0</v>
      </c>
      <c r="BV90" s="70">
        <f t="shared" ca="1" si="217"/>
        <v>25607.963294339519</v>
      </c>
      <c r="BW90" s="2">
        <f t="shared" ca="1" si="66"/>
        <v>0</v>
      </c>
      <c r="BX90" s="131">
        <f t="shared" ca="1" si="218"/>
        <v>0</v>
      </c>
      <c r="BY90" s="131">
        <f ca="1">SUM(BX90:BX$124)*SSj</f>
        <v>0</v>
      </c>
      <c r="BZ90" s="70">
        <f t="shared" ca="1" si="219"/>
        <v>25607.963294339519</v>
      </c>
      <c r="CA90" s="2">
        <f t="shared" ca="1" si="67"/>
        <v>0</v>
      </c>
      <c r="CB90" s="131">
        <f t="shared" ca="1" si="220"/>
        <v>0</v>
      </c>
      <c r="CC90" s="131">
        <f ca="1">SUM(CB90:CB$124)*SSk</f>
        <v>0</v>
      </c>
      <c r="CD90" s="8">
        <f t="shared" ca="1" si="221"/>
        <v>25607.963294339519</v>
      </c>
      <c r="CE90" s="2">
        <f t="shared" ca="1" si="68"/>
        <v>0</v>
      </c>
      <c r="CF90" s="131">
        <f t="shared" ca="1" si="222"/>
        <v>0</v>
      </c>
      <c r="CG90" s="131">
        <f ca="1">SUM(CF90:CF$124)*SSl</f>
        <v>0</v>
      </c>
      <c r="CH90" s="155">
        <f t="shared" si="223"/>
        <v>0.01</v>
      </c>
      <c r="CI90" s="155">
        <f t="shared" ca="1" si="224"/>
        <v>0</v>
      </c>
      <c r="CJ90" s="155">
        <f t="shared" ca="1" si="225"/>
        <v>0</v>
      </c>
      <c r="CK90" s="155">
        <f ca="1">유해지!CY90</f>
        <v>0</v>
      </c>
      <c r="CL90" s="529">
        <f t="shared" ca="1" si="184"/>
        <v>0</v>
      </c>
      <c r="CM90" s="155">
        <f t="shared" ca="1" si="226"/>
        <v>0</v>
      </c>
      <c r="CN90" s="155">
        <f ca="1">SUM(CM90:$CM$125)</f>
        <v>0</v>
      </c>
      <c r="CO90" s="101">
        <f t="shared" ca="1" si="227"/>
        <v>0</v>
      </c>
      <c r="CP90" s="154">
        <f t="shared" ca="1" si="185"/>
        <v>0</v>
      </c>
      <c r="CQ90" s="154">
        <f t="shared" ca="1" si="186"/>
        <v>0</v>
      </c>
      <c r="CR90" s="32">
        <f t="shared" ca="1" si="187"/>
        <v>0</v>
      </c>
      <c r="CS90" s="32">
        <f t="shared" ca="1" si="188"/>
        <v>0</v>
      </c>
      <c r="CT90" s="32">
        <f t="shared" ca="1" si="189"/>
        <v>0</v>
      </c>
      <c r="CU90" s="32">
        <f t="shared" ca="1" si="190"/>
        <v>0</v>
      </c>
      <c r="CV90" s="32">
        <f t="shared" si="191"/>
        <v>0</v>
      </c>
      <c r="CW90" s="32">
        <f t="shared" ca="1" si="192"/>
        <v>0</v>
      </c>
      <c r="CX90" s="259">
        <f ca="1">IF(R90&lt;m,0,ROUND(IF($R90&gt;nB,0,GPB*mB*mmB*유해지!CY90),roundB))</f>
        <v>0</v>
      </c>
      <c r="CY90" s="262">
        <f t="shared" ca="1" si="193"/>
        <v>0</v>
      </c>
      <c r="CZ90" s="259" t="e">
        <f t="shared" ca="1" si="194"/>
        <v>#DIV/0!</v>
      </c>
      <c r="DA90" s="31">
        <f t="shared" si="195"/>
        <v>5</v>
      </c>
    </row>
    <row r="91" spans="14:105">
      <c r="N91" s="5">
        <f t="shared" si="228"/>
        <v>79</v>
      </c>
      <c r="O91" s="2">
        <f t="shared" ca="1" si="171"/>
        <v>0.17242410577420222</v>
      </c>
      <c r="P91" s="2">
        <f t="shared" ca="1" si="172"/>
        <v>0.1705164663109168</v>
      </c>
      <c r="Q91" s="91"/>
      <c r="R91" s="20">
        <f t="shared" si="229"/>
        <v>79</v>
      </c>
      <c r="S91" s="20" t="str">
        <f t="shared" si="173"/>
        <v/>
      </c>
      <c r="T91" s="2">
        <f t="shared" ca="1" si="170"/>
        <v>0</v>
      </c>
      <c r="U91" s="2">
        <f t="shared" ca="1" si="170"/>
        <v>0</v>
      </c>
      <c r="V91" s="300">
        <f t="shared" si="174"/>
        <v>0.01</v>
      </c>
      <c r="W91" s="8">
        <f t="shared" si="175"/>
        <v>0</v>
      </c>
      <c r="X91" s="10">
        <f t="shared" ca="1" si="176"/>
        <v>1.0000000000000009E-2</v>
      </c>
      <c r="Y91" s="10">
        <f t="shared" ca="1" si="177"/>
        <v>0</v>
      </c>
      <c r="Z91" s="5">
        <f t="shared" ca="1" si="196"/>
        <v>0</v>
      </c>
      <c r="AA91" s="5">
        <f ca="1">+SUM(Z91:Z$124)</f>
        <v>0</v>
      </c>
      <c r="AB91" s="8">
        <f t="shared" ca="1" si="178"/>
        <v>0</v>
      </c>
      <c r="AC91" s="209">
        <f ca="1">+SUM(AB91:AB$124)*SSSM</f>
        <v>0</v>
      </c>
      <c r="AD91" s="209">
        <f t="shared" si="197"/>
        <v>0</v>
      </c>
      <c r="AE91" s="92">
        <f t="shared" ca="1" si="179"/>
        <v>0</v>
      </c>
      <c r="AF91" s="92">
        <f t="shared" ca="1" si="180"/>
        <v>0</v>
      </c>
      <c r="AG91" s="8">
        <f t="shared" ca="1" si="181"/>
        <v>0</v>
      </c>
      <c r="AH91" s="5">
        <f ca="1">+SUM(AG91:AG$124)</f>
        <v>0</v>
      </c>
      <c r="AI91" s="70">
        <f t="shared" ca="1" si="182"/>
        <v>0</v>
      </c>
      <c r="AJ91" s="208">
        <f ca="1">+SUM(AB91:AB$124)*SS50J</f>
        <v>0</v>
      </c>
      <c r="AK91" s="5">
        <f t="shared" ca="1" si="198"/>
        <v>25351.883661396125</v>
      </c>
      <c r="AL91" s="2">
        <f t="shared" ca="1" si="57"/>
        <v>0</v>
      </c>
      <c r="AM91" s="131">
        <f t="shared" ca="1" si="199"/>
        <v>4371.2758700078348</v>
      </c>
      <c r="AN91" s="129">
        <f t="shared" ca="1" si="200"/>
        <v>0</v>
      </c>
      <c r="AO91" s="129">
        <f ca="1">SUM(AN91:AN$124)*SSa</f>
        <v>0</v>
      </c>
      <c r="AP91" s="70">
        <f t="shared" ca="1" si="201"/>
        <v>25351.883661396125</v>
      </c>
      <c r="AQ91" s="2">
        <f t="shared" ca="1" si="58"/>
        <v>0</v>
      </c>
      <c r="AR91" s="127">
        <f t="shared" ca="1" si="202"/>
        <v>0</v>
      </c>
      <c r="AS91" s="127">
        <f ca="1">SUM(AR91:AR$124)*SSb</f>
        <v>0</v>
      </c>
      <c r="AT91" s="70">
        <f t="shared" ca="1" si="203"/>
        <v>25351.883661396125</v>
      </c>
      <c r="AU91" s="2">
        <f t="shared" ca="1" si="59"/>
        <v>0</v>
      </c>
      <c r="AV91" s="268">
        <f t="shared" ca="1" si="204"/>
        <v>0</v>
      </c>
      <c r="AW91" s="131">
        <f ca="1">SUM(AV91:AV$124)*SSc</f>
        <v>0</v>
      </c>
      <c r="AX91" s="70">
        <f t="shared" ca="1" si="205"/>
        <v>25351.883661396125</v>
      </c>
      <c r="AY91" s="2">
        <f t="shared" ca="1" si="60"/>
        <v>0</v>
      </c>
      <c r="AZ91" s="268">
        <f t="shared" ca="1" si="206"/>
        <v>0</v>
      </c>
      <c r="BA91" s="129">
        <f ca="1">SUM(AZ91:AZ$124)*SSd</f>
        <v>0</v>
      </c>
      <c r="BB91" s="70">
        <f t="shared" ca="1" si="207"/>
        <v>25351.883661396125</v>
      </c>
      <c r="BC91" s="257">
        <f t="shared" ca="1" si="61"/>
        <v>0</v>
      </c>
      <c r="BD91" s="268">
        <f t="shared" ca="1" si="208"/>
        <v>0</v>
      </c>
      <c r="BE91" s="131">
        <f ca="1">SUM(BD91:BD$124)*SSe</f>
        <v>0</v>
      </c>
      <c r="BF91" s="70">
        <f t="shared" ca="1" si="209"/>
        <v>25351.883661396125</v>
      </c>
      <c r="BG91" s="2">
        <f t="shared" ca="1" si="62"/>
        <v>0</v>
      </c>
      <c r="BH91" s="131">
        <f t="shared" ca="1" si="210"/>
        <v>0</v>
      </c>
      <c r="BI91" s="2">
        <f ca="1">SUM(BH91:BH$124)*SSf</f>
        <v>0</v>
      </c>
      <c r="BJ91" s="70">
        <f t="shared" ca="1" si="211"/>
        <v>25351.883661396125</v>
      </c>
      <c r="BK91" s="2">
        <f t="shared" ca="1" si="63"/>
        <v>0</v>
      </c>
      <c r="BL91" s="131">
        <f t="shared" ca="1" si="212"/>
        <v>0</v>
      </c>
      <c r="BM91" s="131">
        <f ca="1">SUM(BL91:BL$124)*SSg</f>
        <v>0</v>
      </c>
      <c r="BN91" s="70">
        <f t="shared" ca="1" si="213"/>
        <v>25351.883661396125</v>
      </c>
      <c r="BO91" s="2">
        <f t="shared" ca="1" si="64"/>
        <v>0</v>
      </c>
      <c r="BP91" s="131">
        <f t="shared" ca="1" si="214"/>
        <v>0</v>
      </c>
      <c r="BQ91" s="131">
        <f ca="1">SUM(BP91:BP$124)*SSh</f>
        <v>0</v>
      </c>
      <c r="BR91" s="70">
        <f t="shared" ca="1" si="215"/>
        <v>25351.883661396125</v>
      </c>
      <c r="BS91" s="2">
        <f t="shared" ca="1" si="183"/>
        <v>0</v>
      </c>
      <c r="BT91" s="131">
        <f t="shared" ca="1" si="216"/>
        <v>0</v>
      </c>
      <c r="BU91" s="131">
        <f ca="1">SUM(BT91:BT$124)*SSi</f>
        <v>0</v>
      </c>
      <c r="BV91" s="70">
        <f t="shared" ca="1" si="217"/>
        <v>25351.883661396125</v>
      </c>
      <c r="BW91" s="2">
        <f t="shared" ca="1" si="66"/>
        <v>0</v>
      </c>
      <c r="BX91" s="131">
        <f t="shared" ca="1" si="218"/>
        <v>0</v>
      </c>
      <c r="BY91" s="131">
        <f ca="1">SUM(BX91:BX$124)*SSj</f>
        <v>0</v>
      </c>
      <c r="BZ91" s="70">
        <f t="shared" ca="1" si="219"/>
        <v>25351.883661396125</v>
      </c>
      <c r="CA91" s="2">
        <f t="shared" ca="1" si="67"/>
        <v>0</v>
      </c>
      <c r="CB91" s="131">
        <f t="shared" ca="1" si="220"/>
        <v>0</v>
      </c>
      <c r="CC91" s="131">
        <f ca="1">SUM(CB91:CB$124)*SSk</f>
        <v>0</v>
      </c>
      <c r="CD91" s="8">
        <f t="shared" ca="1" si="221"/>
        <v>25351.883661396125</v>
      </c>
      <c r="CE91" s="2">
        <f t="shared" ca="1" si="68"/>
        <v>0</v>
      </c>
      <c r="CF91" s="131">
        <f t="shared" ca="1" si="222"/>
        <v>0</v>
      </c>
      <c r="CG91" s="131">
        <f ca="1">SUM(CF91:CF$124)*SSl</f>
        <v>0</v>
      </c>
      <c r="CH91" s="155">
        <f t="shared" si="223"/>
        <v>0.01</v>
      </c>
      <c r="CI91" s="155">
        <f t="shared" ca="1" si="224"/>
        <v>0</v>
      </c>
      <c r="CJ91" s="155">
        <f t="shared" ca="1" si="225"/>
        <v>0</v>
      </c>
      <c r="CK91" s="155">
        <f ca="1">유해지!CY91</f>
        <v>0</v>
      </c>
      <c r="CL91" s="529">
        <f t="shared" ca="1" si="184"/>
        <v>0</v>
      </c>
      <c r="CM91" s="155">
        <f t="shared" ca="1" si="226"/>
        <v>0</v>
      </c>
      <c r="CN91" s="155">
        <f ca="1">SUM(CM91:$CM$125)</f>
        <v>0</v>
      </c>
      <c r="CO91" s="101">
        <f t="shared" ca="1" si="227"/>
        <v>0</v>
      </c>
      <c r="CP91" s="154">
        <f t="shared" ca="1" si="185"/>
        <v>0</v>
      </c>
      <c r="CQ91" s="154">
        <f t="shared" ca="1" si="186"/>
        <v>0</v>
      </c>
      <c r="CR91" s="32">
        <f t="shared" ca="1" si="187"/>
        <v>0</v>
      </c>
      <c r="CS91" s="32">
        <f t="shared" ca="1" si="188"/>
        <v>0</v>
      </c>
      <c r="CT91" s="32">
        <f t="shared" ca="1" si="189"/>
        <v>0</v>
      </c>
      <c r="CU91" s="32">
        <f t="shared" ca="1" si="190"/>
        <v>0</v>
      </c>
      <c r="CV91" s="32">
        <f t="shared" si="191"/>
        <v>0</v>
      </c>
      <c r="CW91" s="32">
        <f t="shared" ca="1" si="192"/>
        <v>0</v>
      </c>
      <c r="CX91" s="259">
        <f ca="1">IF(R91&lt;m,0,ROUND(IF($R91&gt;nB,0,GPB*mB*mmB*유해지!CY91),roundB))</f>
        <v>0</v>
      </c>
      <c r="CY91" s="262">
        <f t="shared" ca="1" si="193"/>
        <v>0</v>
      </c>
      <c r="CZ91" s="259" t="e">
        <f t="shared" ca="1" si="194"/>
        <v>#DIV/0!</v>
      </c>
      <c r="DA91" s="31">
        <f t="shared" si="195"/>
        <v>5</v>
      </c>
    </row>
    <row r="92" spans="14:105">
      <c r="N92" s="5">
        <f t="shared" si="228"/>
        <v>80</v>
      </c>
      <c r="O92" s="2">
        <f t="shared" ca="1" si="171"/>
        <v>0.16862993229750833</v>
      </c>
      <c r="P92" s="2">
        <f t="shared" ca="1" si="172"/>
        <v>0.16676427023072546</v>
      </c>
      <c r="Q92" s="91"/>
      <c r="R92" s="20">
        <f t="shared" si="229"/>
        <v>80</v>
      </c>
      <c r="S92" s="20" t="str">
        <f t="shared" si="173"/>
        <v/>
      </c>
      <c r="T92" s="2">
        <f t="shared" ref="T92:U111" ca="1" si="230">IFERROR(VLOOKUP($S92,qx_table,MATCH(T$11,qx_title,0)+sexB),0)</f>
        <v>0</v>
      </c>
      <c r="U92" s="2">
        <f t="shared" ca="1" si="230"/>
        <v>0</v>
      </c>
      <c r="V92" s="300">
        <f t="shared" si="174"/>
        <v>0.01</v>
      </c>
      <c r="W92" s="8">
        <f t="shared" si="175"/>
        <v>0</v>
      </c>
      <c r="X92" s="10">
        <f t="shared" ca="1" si="176"/>
        <v>1.0000000000000009E-2</v>
      </c>
      <c r="Y92" s="10">
        <f t="shared" ca="1" si="177"/>
        <v>0</v>
      </c>
      <c r="Z92" s="5">
        <f t="shared" ca="1" si="196"/>
        <v>0</v>
      </c>
      <c r="AA92" s="5">
        <f ca="1">+SUM(Z92:Z$124)</f>
        <v>0</v>
      </c>
      <c r="AB92" s="8">
        <f t="shared" ca="1" si="178"/>
        <v>0</v>
      </c>
      <c r="AC92" s="209">
        <f ca="1">+SUM(AB92:AB$124)*SSSM</f>
        <v>0</v>
      </c>
      <c r="AD92" s="209">
        <f t="shared" si="197"/>
        <v>0</v>
      </c>
      <c r="AE92" s="92">
        <f t="shared" ca="1" si="179"/>
        <v>0</v>
      </c>
      <c r="AF92" s="92">
        <f t="shared" ca="1" si="180"/>
        <v>0</v>
      </c>
      <c r="AG92" s="8">
        <f t="shared" ca="1" si="181"/>
        <v>0</v>
      </c>
      <c r="AH92" s="5">
        <f ca="1">+SUM(AG92:AG$124)</f>
        <v>0</v>
      </c>
      <c r="AI92" s="70">
        <f t="shared" ca="1" si="182"/>
        <v>0</v>
      </c>
      <c r="AJ92" s="208">
        <f ca="1">+SUM(AB92:AB$124)*SS50J</f>
        <v>0</v>
      </c>
      <c r="AK92" s="5">
        <f t="shared" ca="1" si="198"/>
        <v>25098.364824782162</v>
      </c>
      <c r="AL92" s="2">
        <f t="shared" ca="1" si="57"/>
        <v>0</v>
      </c>
      <c r="AM92" s="131">
        <f t="shared" ca="1" si="199"/>
        <v>4232.3355611811803</v>
      </c>
      <c r="AN92" s="129">
        <f t="shared" ca="1" si="200"/>
        <v>0</v>
      </c>
      <c r="AO92" s="129">
        <f ca="1">SUM(AN92:AN$124)*SSa</f>
        <v>0</v>
      </c>
      <c r="AP92" s="70">
        <f t="shared" ca="1" si="201"/>
        <v>25098.364824782162</v>
      </c>
      <c r="AQ92" s="2">
        <f t="shared" ca="1" si="58"/>
        <v>0</v>
      </c>
      <c r="AR92" s="127">
        <f t="shared" ca="1" si="202"/>
        <v>0</v>
      </c>
      <c r="AS92" s="127">
        <f ca="1">SUM(AR92:AR$124)*SSb</f>
        <v>0</v>
      </c>
      <c r="AT92" s="70">
        <f t="shared" ca="1" si="203"/>
        <v>25098.364824782162</v>
      </c>
      <c r="AU92" s="2">
        <f t="shared" ca="1" si="59"/>
        <v>0</v>
      </c>
      <c r="AV92" s="268">
        <f t="shared" ca="1" si="204"/>
        <v>0</v>
      </c>
      <c r="AW92" s="131">
        <f ca="1">SUM(AV92:AV$124)*SSc</f>
        <v>0</v>
      </c>
      <c r="AX92" s="70">
        <f t="shared" ca="1" si="205"/>
        <v>25098.364824782162</v>
      </c>
      <c r="AY92" s="2">
        <f t="shared" ca="1" si="60"/>
        <v>0</v>
      </c>
      <c r="AZ92" s="268">
        <f t="shared" ca="1" si="206"/>
        <v>0</v>
      </c>
      <c r="BA92" s="129">
        <f ca="1">SUM(AZ92:AZ$124)*SSd</f>
        <v>0</v>
      </c>
      <c r="BB92" s="70">
        <f t="shared" ca="1" si="207"/>
        <v>25098.364824782162</v>
      </c>
      <c r="BC92" s="257">
        <f t="shared" ca="1" si="61"/>
        <v>0</v>
      </c>
      <c r="BD92" s="268">
        <f t="shared" ca="1" si="208"/>
        <v>0</v>
      </c>
      <c r="BE92" s="131">
        <f ca="1">SUM(BD92:BD$124)*SSe</f>
        <v>0</v>
      </c>
      <c r="BF92" s="70">
        <f t="shared" ca="1" si="209"/>
        <v>25098.364824782162</v>
      </c>
      <c r="BG92" s="2">
        <f t="shared" ca="1" si="62"/>
        <v>0</v>
      </c>
      <c r="BH92" s="131">
        <f t="shared" ca="1" si="210"/>
        <v>0</v>
      </c>
      <c r="BI92" s="2">
        <f ca="1">SUM(BH92:BH$124)*SSf</f>
        <v>0</v>
      </c>
      <c r="BJ92" s="70">
        <f t="shared" ca="1" si="211"/>
        <v>25098.364824782162</v>
      </c>
      <c r="BK92" s="2">
        <f t="shared" ca="1" si="63"/>
        <v>0</v>
      </c>
      <c r="BL92" s="131">
        <f t="shared" ca="1" si="212"/>
        <v>0</v>
      </c>
      <c r="BM92" s="131">
        <f ca="1">SUM(BL92:BL$124)*SSg</f>
        <v>0</v>
      </c>
      <c r="BN92" s="70">
        <f t="shared" ca="1" si="213"/>
        <v>25098.364824782162</v>
      </c>
      <c r="BO92" s="2">
        <f t="shared" ca="1" si="64"/>
        <v>0</v>
      </c>
      <c r="BP92" s="131">
        <f t="shared" ca="1" si="214"/>
        <v>0</v>
      </c>
      <c r="BQ92" s="131">
        <f ca="1">SUM(BP92:BP$124)*SSh</f>
        <v>0</v>
      </c>
      <c r="BR92" s="70">
        <f t="shared" ca="1" si="215"/>
        <v>25098.364824782162</v>
      </c>
      <c r="BS92" s="2">
        <f t="shared" ca="1" si="183"/>
        <v>0</v>
      </c>
      <c r="BT92" s="131">
        <f t="shared" ca="1" si="216"/>
        <v>0</v>
      </c>
      <c r="BU92" s="131">
        <f ca="1">SUM(BT92:BT$124)*SSi</f>
        <v>0</v>
      </c>
      <c r="BV92" s="70">
        <f t="shared" ca="1" si="217"/>
        <v>25098.364824782162</v>
      </c>
      <c r="BW92" s="2">
        <f t="shared" ca="1" si="66"/>
        <v>0</v>
      </c>
      <c r="BX92" s="131">
        <f t="shared" ca="1" si="218"/>
        <v>0</v>
      </c>
      <c r="BY92" s="131">
        <f ca="1">SUM(BX92:BX$124)*SSj</f>
        <v>0</v>
      </c>
      <c r="BZ92" s="70">
        <f t="shared" ca="1" si="219"/>
        <v>25098.364824782162</v>
      </c>
      <c r="CA92" s="2">
        <f t="shared" ca="1" si="67"/>
        <v>0</v>
      </c>
      <c r="CB92" s="131">
        <f t="shared" ca="1" si="220"/>
        <v>0</v>
      </c>
      <c r="CC92" s="131">
        <f ca="1">SUM(CB92:CB$124)*SSk</f>
        <v>0</v>
      </c>
      <c r="CD92" s="8">
        <f t="shared" ca="1" si="221"/>
        <v>25098.364824782162</v>
      </c>
      <c r="CE92" s="2">
        <f t="shared" ca="1" si="68"/>
        <v>0</v>
      </c>
      <c r="CF92" s="131">
        <f t="shared" ca="1" si="222"/>
        <v>0</v>
      </c>
      <c r="CG92" s="131">
        <f ca="1">SUM(CF92:CF$124)*SSl</f>
        <v>0</v>
      </c>
      <c r="CH92" s="155">
        <f t="shared" si="223"/>
        <v>0.01</v>
      </c>
      <c r="CI92" s="155">
        <f t="shared" ca="1" si="224"/>
        <v>0</v>
      </c>
      <c r="CJ92" s="155">
        <f t="shared" ca="1" si="225"/>
        <v>0</v>
      </c>
      <c r="CK92" s="155">
        <f ca="1">유해지!CY92</f>
        <v>0</v>
      </c>
      <c r="CL92" s="529">
        <f t="shared" ca="1" si="184"/>
        <v>0</v>
      </c>
      <c r="CM92" s="155">
        <f t="shared" ca="1" si="226"/>
        <v>0</v>
      </c>
      <c r="CN92" s="155">
        <f ca="1">SUM(CM92:$CM$125)</f>
        <v>0</v>
      </c>
      <c r="CO92" s="101">
        <f t="shared" ca="1" si="227"/>
        <v>0</v>
      </c>
      <c r="CP92" s="154">
        <f t="shared" ca="1" si="185"/>
        <v>0</v>
      </c>
      <c r="CQ92" s="154">
        <f t="shared" ca="1" si="186"/>
        <v>0</v>
      </c>
      <c r="CR92" s="32">
        <f t="shared" ca="1" si="187"/>
        <v>0</v>
      </c>
      <c r="CS92" s="32">
        <f t="shared" ca="1" si="188"/>
        <v>0</v>
      </c>
      <c r="CT92" s="32">
        <f t="shared" ca="1" si="189"/>
        <v>0</v>
      </c>
      <c r="CU92" s="32">
        <f t="shared" ca="1" si="190"/>
        <v>0</v>
      </c>
      <c r="CV92" s="32">
        <f t="shared" si="191"/>
        <v>0</v>
      </c>
      <c r="CW92" s="32">
        <f t="shared" ca="1" si="192"/>
        <v>0</v>
      </c>
      <c r="CX92" s="259">
        <f ca="1">IF(R92&lt;m,0,ROUND(IF($R92&gt;nB,0,GPB*mB*mmB*유해지!CY92),roundB))</f>
        <v>0</v>
      </c>
      <c r="CY92" s="262">
        <f t="shared" ca="1" si="193"/>
        <v>0</v>
      </c>
      <c r="CZ92" s="259" t="e">
        <f t="shared" ca="1" si="194"/>
        <v>#DIV/0!</v>
      </c>
      <c r="DA92" s="31">
        <f t="shared" si="195"/>
        <v>5</v>
      </c>
    </row>
    <row r="93" spans="14:105">
      <c r="N93" s="5">
        <f t="shared" si="228"/>
        <v>81</v>
      </c>
      <c r="O93" s="2">
        <f t="shared" ca="1" si="171"/>
        <v>0.16491924919071718</v>
      </c>
      <c r="P93" s="2">
        <f t="shared" ca="1" si="172"/>
        <v>0.16309464081244546</v>
      </c>
      <c r="Q93" s="91"/>
      <c r="R93" s="20">
        <f t="shared" si="229"/>
        <v>81</v>
      </c>
      <c r="S93" s="20" t="str">
        <f t="shared" si="173"/>
        <v/>
      </c>
      <c r="T93" s="2">
        <f t="shared" ca="1" si="230"/>
        <v>0</v>
      </c>
      <c r="U93" s="2">
        <f t="shared" ca="1" si="230"/>
        <v>0</v>
      </c>
      <c r="V93" s="300">
        <f t="shared" si="174"/>
        <v>0.01</v>
      </c>
      <c r="W93" s="8">
        <f t="shared" si="175"/>
        <v>0</v>
      </c>
      <c r="X93" s="10">
        <f t="shared" ca="1" si="176"/>
        <v>1.0000000000000009E-2</v>
      </c>
      <c r="Y93" s="10">
        <f t="shared" ca="1" si="177"/>
        <v>0</v>
      </c>
      <c r="Z93" s="5">
        <f t="shared" ca="1" si="196"/>
        <v>0</v>
      </c>
      <c r="AA93" s="5">
        <f ca="1">+SUM(Z93:Z$124)</f>
        <v>0</v>
      </c>
      <c r="AB93" s="8">
        <f t="shared" ca="1" si="178"/>
        <v>0</v>
      </c>
      <c r="AC93" s="209">
        <f ca="1">+SUM(AB93:AB$124)*SSSM</f>
        <v>0</v>
      </c>
      <c r="AD93" s="209">
        <f t="shared" si="197"/>
        <v>0</v>
      </c>
      <c r="AE93" s="92">
        <f t="shared" ca="1" si="179"/>
        <v>0</v>
      </c>
      <c r="AF93" s="92">
        <f t="shared" ca="1" si="180"/>
        <v>0</v>
      </c>
      <c r="AG93" s="8">
        <f t="shared" ca="1" si="181"/>
        <v>0</v>
      </c>
      <c r="AH93" s="5">
        <f ca="1">+SUM(AG93:AG$124)</f>
        <v>0</v>
      </c>
      <c r="AI93" s="70">
        <f t="shared" ca="1" si="182"/>
        <v>0</v>
      </c>
      <c r="AJ93" s="208">
        <f ca="1">+SUM(AB93:AB$124)*SS50J</f>
        <v>0</v>
      </c>
      <c r="AK93" s="5">
        <f t="shared" ca="1" si="198"/>
        <v>24847.381176534342</v>
      </c>
      <c r="AL93" s="2">
        <f t="shared" ca="1" si="57"/>
        <v>0</v>
      </c>
      <c r="AM93" s="131">
        <f t="shared" ca="1" si="199"/>
        <v>4097.8114479896021</v>
      </c>
      <c r="AN93" s="129">
        <f t="shared" ca="1" si="200"/>
        <v>0</v>
      </c>
      <c r="AO93" s="129">
        <f ca="1">SUM(AN93:AN$124)*SSa</f>
        <v>0</v>
      </c>
      <c r="AP93" s="70">
        <f t="shared" ca="1" si="201"/>
        <v>24847.381176534342</v>
      </c>
      <c r="AQ93" s="2">
        <f t="shared" ca="1" si="58"/>
        <v>0</v>
      </c>
      <c r="AR93" s="127">
        <f t="shared" ca="1" si="202"/>
        <v>0</v>
      </c>
      <c r="AS93" s="127">
        <f ca="1">SUM(AR93:AR$124)*SSb</f>
        <v>0</v>
      </c>
      <c r="AT93" s="70">
        <f t="shared" ca="1" si="203"/>
        <v>24847.381176534342</v>
      </c>
      <c r="AU93" s="2">
        <f t="shared" ca="1" si="59"/>
        <v>0</v>
      </c>
      <c r="AV93" s="268">
        <f t="shared" ca="1" si="204"/>
        <v>0</v>
      </c>
      <c r="AW93" s="131">
        <f ca="1">SUM(AV93:AV$124)*SSc</f>
        <v>0</v>
      </c>
      <c r="AX93" s="70">
        <f t="shared" ca="1" si="205"/>
        <v>24847.381176534342</v>
      </c>
      <c r="AY93" s="2">
        <f t="shared" ca="1" si="60"/>
        <v>0</v>
      </c>
      <c r="AZ93" s="268">
        <f t="shared" ca="1" si="206"/>
        <v>0</v>
      </c>
      <c r="BA93" s="129">
        <f ca="1">SUM(AZ93:AZ$124)*SSd</f>
        <v>0</v>
      </c>
      <c r="BB93" s="70">
        <f t="shared" ca="1" si="207"/>
        <v>24847.381176534342</v>
      </c>
      <c r="BC93" s="257">
        <f t="shared" ca="1" si="61"/>
        <v>0</v>
      </c>
      <c r="BD93" s="268">
        <f t="shared" ca="1" si="208"/>
        <v>0</v>
      </c>
      <c r="BE93" s="131">
        <f ca="1">SUM(BD93:BD$124)*SSe</f>
        <v>0</v>
      </c>
      <c r="BF93" s="70">
        <f t="shared" ca="1" si="209"/>
        <v>24847.381176534342</v>
      </c>
      <c r="BG93" s="2">
        <f t="shared" ca="1" si="62"/>
        <v>0</v>
      </c>
      <c r="BH93" s="131">
        <f t="shared" ca="1" si="210"/>
        <v>0</v>
      </c>
      <c r="BI93" s="2">
        <f ca="1">SUM(BH93:BH$124)*SSf</f>
        <v>0</v>
      </c>
      <c r="BJ93" s="70">
        <f t="shared" ca="1" si="211"/>
        <v>24847.381176534342</v>
      </c>
      <c r="BK93" s="2">
        <f t="shared" ca="1" si="63"/>
        <v>0</v>
      </c>
      <c r="BL93" s="131">
        <f t="shared" ca="1" si="212"/>
        <v>0</v>
      </c>
      <c r="BM93" s="131">
        <f ca="1">SUM(BL93:BL$124)*SSg</f>
        <v>0</v>
      </c>
      <c r="BN93" s="70">
        <f t="shared" ca="1" si="213"/>
        <v>24847.381176534342</v>
      </c>
      <c r="BO93" s="2">
        <f t="shared" ca="1" si="64"/>
        <v>0</v>
      </c>
      <c r="BP93" s="131">
        <f t="shared" ca="1" si="214"/>
        <v>0</v>
      </c>
      <c r="BQ93" s="131">
        <f ca="1">SUM(BP93:BP$124)*SSh</f>
        <v>0</v>
      </c>
      <c r="BR93" s="70">
        <f t="shared" ca="1" si="215"/>
        <v>24847.381176534342</v>
      </c>
      <c r="BS93" s="2">
        <f t="shared" ca="1" si="183"/>
        <v>0</v>
      </c>
      <c r="BT93" s="131">
        <f t="shared" ca="1" si="216"/>
        <v>0</v>
      </c>
      <c r="BU93" s="131">
        <f ca="1">SUM(BT93:BT$124)*SSi</f>
        <v>0</v>
      </c>
      <c r="BV93" s="70">
        <f t="shared" ca="1" si="217"/>
        <v>24847.381176534342</v>
      </c>
      <c r="BW93" s="2">
        <f t="shared" ca="1" si="66"/>
        <v>0</v>
      </c>
      <c r="BX93" s="131">
        <f t="shared" ca="1" si="218"/>
        <v>0</v>
      </c>
      <c r="BY93" s="131">
        <f ca="1">SUM(BX93:BX$124)*SSj</f>
        <v>0</v>
      </c>
      <c r="BZ93" s="70">
        <f t="shared" ca="1" si="219"/>
        <v>24847.381176534342</v>
      </c>
      <c r="CA93" s="2">
        <f t="shared" ca="1" si="67"/>
        <v>0</v>
      </c>
      <c r="CB93" s="131">
        <f t="shared" ca="1" si="220"/>
        <v>0</v>
      </c>
      <c r="CC93" s="131">
        <f ca="1">SUM(CB93:CB$124)*SSk</f>
        <v>0</v>
      </c>
      <c r="CD93" s="8">
        <f t="shared" ca="1" si="221"/>
        <v>24847.381176534342</v>
      </c>
      <c r="CE93" s="2">
        <f t="shared" ca="1" si="68"/>
        <v>0</v>
      </c>
      <c r="CF93" s="131">
        <f t="shared" ca="1" si="222"/>
        <v>0</v>
      </c>
      <c r="CG93" s="131">
        <f ca="1">SUM(CF93:CF$124)*SSl</f>
        <v>0</v>
      </c>
      <c r="CH93" s="155">
        <f t="shared" si="223"/>
        <v>0.01</v>
      </c>
      <c r="CI93" s="155">
        <f t="shared" ca="1" si="224"/>
        <v>0</v>
      </c>
      <c r="CJ93" s="155">
        <f t="shared" ca="1" si="225"/>
        <v>0</v>
      </c>
      <c r="CK93" s="155">
        <f ca="1">유해지!CY93</f>
        <v>0</v>
      </c>
      <c r="CL93" s="529">
        <f t="shared" ca="1" si="184"/>
        <v>0</v>
      </c>
      <c r="CM93" s="155">
        <f t="shared" ca="1" si="226"/>
        <v>0</v>
      </c>
      <c r="CN93" s="155">
        <f ca="1">SUM(CM93:$CM$125)</f>
        <v>0</v>
      </c>
      <c r="CO93" s="101">
        <f t="shared" ca="1" si="227"/>
        <v>0</v>
      </c>
      <c r="CP93" s="154">
        <f t="shared" ca="1" si="185"/>
        <v>0</v>
      </c>
      <c r="CQ93" s="154">
        <f t="shared" ca="1" si="186"/>
        <v>0</v>
      </c>
      <c r="CR93" s="32">
        <f t="shared" ca="1" si="187"/>
        <v>0</v>
      </c>
      <c r="CS93" s="32">
        <f t="shared" ca="1" si="188"/>
        <v>0</v>
      </c>
      <c r="CT93" s="32">
        <f t="shared" ca="1" si="189"/>
        <v>0</v>
      </c>
      <c r="CU93" s="32">
        <f t="shared" ca="1" si="190"/>
        <v>0</v>
      </c>
      <c r="CV93" s="32">
        <f t="shared" si="191"/>
        <v>0</v>
      </c>
      <c r="CW93" s="32">
        <f t="shared" ca="1" si="192"/>
        <v>0</v>
      </c>
      <c r="CX93" s="259">
        <f ca="1">IF(R93&lt;m,0,ROUND(IF($R93&gt;nB,0,GPB*mB*mmB*유해지!CY93),roundB))</f>
        <v>0</v>
      </c>
      <c r="CY93" s="262">
        <f t="shared" ca="1" si="193"/>
        <v>0</v>
      </c>
      <c r="CZ93" s="259" t="e">
        <f t="shared" ca="1" si="194"/>
        <v>#DIV/0!</v>
      </c>
      <c r="DA93" s="31">
        <f t="shared" si="195"/>
        <v>5</v>
      </c>
    </row>
    <row r="94" spans="14:105">
      <c r="N94" s="5">
        <f t="shared" si="228"/>
        <v>82</v>
      </c>
      <c r="O94" s="2">
        <f t="shared" ca="1" si="171"/>
        <v>0.16129021925742518</v>
      </c>
      <c r="P94" s="2">
        <f t="shared" ca="1" si="172"/>
        <v>0.1595057611857657</v>
      </c>
      <c r="Q94" s="91"/>
      <c r="R94" s="20">
        <f t="shared" si="229"/>
        <v>82</v>
      </c>
      <c r="S94" s="20" t="str">
        <f t="shared" si="173"/>
        <v/>
      </c>
      <c r="T94" s="2">
        <f t="shared" ca="1" si="230"/>
        <v>0</v>
      </c>
      <c r="U94" s="2">
        <f t="shared" ca="1" si="230"/>
        <v>0</v>
      </c>
      <c r="V94" s="300">
        <f t="shared" si="174"/>
        <v>0.01</v>
      </c>
      <c r="W94" s="8">
        <f t="shared" si="175"/>
        <v>0</v>
      </c>
      <c r="X94" s="10">
        <f t="shared" ca="1" si="176"/>
        <v>1.0000000000000009E-2</v>
      </c>
      <c r="Y94" s="10">
        <f t="shared" ca="1" si="177"/>
        <v>0</v>
      </c>
      <c r="Z94" s="5">
        <f t="shared" ca="1" si="196"/>
        <v>0</v>
      </c>
      <c r="AA94" s="5">
        <f ca="1">+SUM(Z94:Z$124)</f>
        <v>0</v>
      </c>
      <c r="AB94" s="8">
        <f t="shared" ca="1" si="178"/>
        <v>0</v>
      </c>
      <c r="AC94" s="209">
        <f ca="1">+SUM(AB94:AB$124)*SSSM</f>
        <v>0</v>
      </c>
      <c r="AD94" s="209">
        <f t="shared" si="197"/>
        <v>0</v>
      </c>
      <c r="AE94" s="92">
        <f t="shared" ca="1" si="179"/>
        <v>0</v>
      </c>
      <c r="AF94" s="92">
        <f t="shared" ca="1" si="180"/>
        <v>0</v>
      </c>
      <c r="AG94" s="8">
        <f t="shared" ca="1" si="181"/>
        <v>0</v>
      </c>
      <c r="AH94" s="5">
        <f ca="1">+SUM(AG94:AG$124)</f>
        <v>0</v>
      </c>
      <c r="AI94" s="70">
        <f t="shared" ca="1" si="182"/>
        <v>0</v>
      </c>
      <c r="AJ94" s="208">
        <f ca="1">+SUM(AB94:AB$124)*SS50J</f>
        <v>0</v>
      </c>
      <c r="AK94" s="5">
        <f t="shared" ca="1" si="198"/>
        <v>24598.907364768998</v>
      </c>
      <c r="AL94" s="2">
        <f t="shared" ca="1" si="57"/>
        <v>0</v>
      </c>
      <c r="AM94" s="131">
        <f t="shared" ca="1" si="199"/>
        <v>3967.5631623566828</v>
      </c>
      <c r="AN94" s="129">
        <f t="shared" ca="1" si="200"/>
        <v>0</v>
      </c>
      <c r="AO94" s="129">
        <f ca="1">SUM(AN94:AN$124)*SSa</f>
        <v>0</v>
      </c>
      <c r="AP94" s="70">
        <f t="shared" ca="1" si="201"/>
        <v>24598.907364768998</v>
      </c>
      <c r="AQ94" s="2">
        <f t="shared" ca="1" si="58"/>
        <v>0</v>
      </c>
      <c r="AR94" s="127">
        <f t="shared" ca="1" si="202"/>
        <v>0</v>
      </c>
      <c r="AS94" s="127">
        <f ca="1">SUM(AR94:AR$124)*SSb</f>
        <v>0</v>
      </c>
      <c r="AT94" s="70">
        <f t="shared" ca="1" si="203"/>
        <v>24598.907364768998</v>
      </c>
      <c r="AU94" s="2">
        <f t="shared" ca="1" si="59"/>
        <v>0</v>
      </c>
      <c r="AV94" s="268">
        <f t="shared" ca="1" si="204"/>
        <v>0</v>
      </c>
      <c r="AW94" s="131">
        <f ca="1">SUM(AV94:AV$124)*SSc</f>
        <v>0</v>
      </c>
      <c r="AX94" s="70">
        <f t="shared" ca="1" si="205"/>
        <v>24598.907364768998</v>
      </c>
      <c r="AY94" s="2">
        <f t="shared" ca="1" si="60"/>
        <v>0</v>
      </c>
      <c r="AZ94" s="268">
        <f t="shared" ca="1" si="206"/>
        <v>0</v>
      </c>
      <c r="BA94" s="129">
        <f ca="1">SUM(AZ94:AZ$124)*SSd</f>
        <v>0</v>
      </c>
      <c r="BB94" s="70">
        <f t="shared" ca="1" si="207"/>
        <v>24598.907364768998</v>
      </c>
      <c r="BC94" s="257">
        <f t="shared" ca="1" si="61"/>
        <v>0</v>
      </c>
      <c r="BD94" s="268">
        <f t="shared" ca="1" si="208"/>
        <v>0</v>
      </c>
      <c r="BE94" s="131">
        <f ca="1">SUM(BD94:BD$124)*SSe</f>
        <v>0</v>
      </c>
      <c r="BF94" s="70">
        <f t="shared" ca="1" si="209"/>
        <v>24598.907364768998</v>
      </c>
      <c r="BG94" s="2">
        <f t="shared" ca="1" si="62"/>
        <v>0</v>
      </c>
      <c r="BH94" s="131">
        <f t="shared" ca="1" si="210"/>
        <v>0</v>
      </c>
      <c r="BI94" s="2">
        <f ca="1">SUM(BH94:BH$124)*SSf</f>
        <v>0</v>
      </c>
      <c r="BJ94" s="70">
        <f t="shared" ca="1" si="211"/>
        <v>24598.907364768998</v>
      </c>
      <c r="BK94" s="2">
        <f t="shared" ca="1" si="63"/>
        <v>0</v>
      </c>
      <c r="BL94" s="131">
        <f t="shared" ca="1" si="212"/>
        <v>0</v>
      </c>
      <c r="BM94" s="131">
        <f ca="1">SUM(BL94:BL$124)*SSg</f>
        <v>0</v>
      </c>
      <c r="BN94" s="70">
        <f t="shared" ca="1" si="213"/>
        <v>24598.907364768998</v>
      </c>
      <c r="BO94" s="2">
        <f t="shared" ca="1" si="64"/>
        <v>0</v>
      </c>
      <c r="BP94" s="131">
        <f t="shared" ca="1" si="214"/>
        <v>0</v>
      </c>
      <c r="BQ94" s="131">
        <f ca="1">SUM(BP94:BP$124)*SSh</f>
        <v>0</v>
      </c>
      <c r="BR94" s="70">
        <f t="shared" ca="1" si="215"/>
        <v>24598.907364768998</v>
      </c>
      <c r="BS94" s="2">
        <f t="shared" ca="1" si="183"/>
        <v>0</v>
      </c>
      <c r="BT94" s="131">
        <f t="shared" ca="1" si="216"/>
        <v>0</v>
      </c>
      <c r="BU94" s="131">
        <f ca="1">SUM(BT94:BT$124)*SSi</f>
        <v>0</v>
      </c>
      <c r="BV94" s="70">
        <f t="shared" ca="1" si="217"/>
        <v>24598.907364768998</v>
      </c>
      <c r="BW94" s="2">
        <f t="shared" ca="1" si="66"/>
        <v>0</v>
      </c>
      <c r="BX94" s="131">
        <f t="shared" ca="1" si="218"/>
        <v>0</v>
      </c>
      <c r="BY94" s="131">
        <f ca="1">SUM(BX94:BX$124)*SSj</f>
        <v>0</v>
      </c>
      <c r="BZ94" s="70">
        <f t="shared" ca="1" si="219"/>
        <v>24598.907364768998</v>
      </c>
      <c r="CA94" s="2">
        <f t="shared" ca="1" si="67"/>
        <v>0</v>
      </c>
      <c r="CB94" s="131">
        <f t="shared" ca="1" si="220"/>
        <v>0</v>
      </c>
      <c r="CC94" s="131">
        <f ca="1">SUM(CB94:CB$124)*SSk</f>
        <v>0</v>
      </c>
      <c r="CD94" s="8">
        <f t="shared" ca="1" si="221"/>
        <v>24598.907364768998</v>
      </c>
      <c r="CE94" s="2">
        <f t="shared" ca="1" si="68"/>
        <v>0</v>
      </c>
      <c r="CF94" s="131">
        <f t="shared" ca="1" si="222"/>
        <v>0</v>
      </c>
      <c r="CG94" s="131">
        <f ca="1">SUM(CF94:CF$124)*SSl</f>
        <v>0</v>
      </c>
      <c r="CH94" s="155">
        <f t="shared" si="223"/>
        <v>0.01</v>
      </c>
      <c r="CI94" s="155">
        <f t="shared" ca="1" si="224"/>
        <v>0</v>
      </c>
      <c r="CJ94" s="155">
        <f t="shared" ca="1" si="225"/>
        <v>0</v>
      </c>
      <c r="CK94" s="155">
        <f ca="1">유해지!CY94</f>
        <v>0</v>
      </c>
      <c r="CL94" s="529">
        <f t="shared" ca="1" si="184"/>
        <v>0</v>
      </c>
      <c r="CM94" s="155">
        <f t="shared" ca="1" si="226"/>
        <v>0</v>
      </c>
      <c r="CN94" s="155">
        <f ca="1">SUM(CM94:$CM$125)</f>
        <v>0</v>
      </c>
      <c r="CO94" s="101">
        <f t="shared" ca="1" si="227"/>
        <v>0</v>
      </c>
      <c r="CP94" s="154">
        <f t="shared" ca="1" si="185"/>
        <v>0</v>
      </c>
      <c r="CQ94" s="154">
        <f t="shared" ca="1" si="186"/>
        <v>0</v>
      </c>
      <c r="CR94" s="32">
        <f t="shared" ca="1" si="187"/>
        <v>0</v>
      </c>
      <c r="CS94" s="32">
        <f t="shared" ca="1" si="188"/>
        <v>0</v>
      </c>
      <c r="CT94" s="32">
        <f t="shared" ca="1" si="189"/>
        <v>0</v>
      </c>
      <c r="CU94" s="32">
        <f t="shared" ca="1" si="190"/>
        <v>0</v>
      </c>
      <c r="CV94" s="32">
        <f t="shared" si="191"/>
        <v>0</v>
      </c>
      <c r="CW94" s="32">
        <f t="shared" ca="1" si="192"/>
        <v>0</v>
      </c>
      <c r="CX94" s="259">
        <f ca="1">IF(R94&lt;m,0,ROUND(IF($R94&gt;nB,0,GPB*mB*mmB*유해지!CY94),roundB))</f>
        <v>0</v>
      </c>
      <c r="CY94" s="262">
        <f t="shared" ca="1" si="193"/>
        <v>0</v>
      </c>
      <c r="CZ94" s="259" t="e">
        <f t="shared" ca="1" si="194"/>
        <v>#DIV/0!</v>
      </c>
      <c r="DA94" s="31">
        <f t="shared" si="195"/>
        <v>5</v>
      </c>
    </row>
    <row r="95" spans="14:105">
      <c r="N95" s="5">
        <f t="shared" si="228"/>
        <v>83</v>
      </c>
      <c r="O95" s="2">
        <f t="shared" ca="1" si="171"/>
        <v>0.15774104572853317</v>
      </c>
      <c r="P95" s="2">
        <f t="shared" ca="1" si="172"/>
        <v>0.15599585446040659</v>
      </c>
      <c r="Q95" s="91"/>
      <c r="R95" s="20">
        <f t="shared" si="229"/>
        <v>83</v>
      </c>
      <c r="S95" s="20" t="str">
        <f t="shared" si="173"/>
        <v/>
      </c>
      <c r="T95" s="2">
        <f t="shared" ca="1" si="230"/>
        <v>0</v>
      </c>
      <c r="U95" s="2">
        <f t="shared" ca="1" si="230"/>
        <v>0</v>
      </c>
      <c r="V95" s="300">
        <f t="shared" si="174"/>
        <v>0.01</v>
      </c>
      <c r="W95" s="8">
        <f t="shared" si="175"/>
        <v>0</v>
      </c>
      <c r="X95" s="10">
        <f t="shared" ca="1" si="176"/>
        <v>1.0000000000000009E-2</v>
      </c>
      <c r="Y95" s="10">
        <f t="shared" ca="1" si="177"/>
        <v>0</v>
      </c>
      <c r="Z95" s="5">
        <f t="shared" ca="1" si="196"/>
        <v>0</v>
      </c>
      <c r="AA95" s="5">
        <f ca="1">+SUM(Z95:Z$124)</f>
        <v>0</v>
      </c>
      <c r="AB95" s="8">
        <f t="shared" ca="1" si="178"/>
        <v>0</v>
      </c>
      <c r="AC95" s="209">
        <f ca="1">+SUM(AB95:AB$124)*SSSM</f>
        <v>0</v>
      </c>
      <c r="AD95" s="209">
        <f t="shared" si="197"/>
        <v>0</v>
      </c>
      <c r="AE95" s="92">
        <f t="shared" ca="1" si="179"/>
        <v>0</v>
      </c>
      <c r="AF95" s="92">
        <f t="shared" ca="1" si="180"/>
        <v>0</v>
      </c>
      <c r="AG95" s="8">
        <f t="shared" ca="1" si="181"/>
        <v>0</v>
      </c>
      <c r="AH95" s="5">
        <f ca="1">+SUM(AG95:AG$124)</f>
        <v>0</v>
      </c>
      <c r="AI95" s="70">
        <f t="shared" ca="1" si="182"/>
        <v>0</v>
      </c>
      <c r="AJ95" s="208">
        <f ca="1">+SUM(AB95:AB$124)*SS50J</f>
        <v>0</v>
      </c>
      <c r="AK95" s="5">
        <f t="shared" ca="1" si="198"/>
        <v>24352.918291121307</v>
      </c>
      <c r="AL95" s="2">
        <f t="shared" ca="1" si="57"/>
        <v>0</v>
      </c>
      <c r="AM95" s="131">
        <f t="shared" ca="1" si="199"/>
        <v>3841.454797782998</v>
      </c>
      <c r="AN95" s="129">
        <f t="shared" ca="1" si="200"/>
        <v>0</v>
      </c>
      <c r="AO95" s="129">
        <f ca="1">SUM(AN95:AN$124)*SSa</f>
        <v>0</v>
      </c>
      <c r="AP95" s="70">
        <f t="shared" ca="1" si="201"/>
        <v>24352.918291121307</v>
      </c>
      <c r="AQ95" s="2">
        <f t="shared" ca="1" si="58"/>
        <v>0</v>
      </c>
      <c r="AR95" s="127">
        <f t="shared" ca="1" si="202"/>
        <v>0</v>
      </c>
      <c r="AS95" s="127">
        <f ca="1">SUM(AR95:AR$124)*SSb</f>
        <v>0</v>
      </c>
      <c r="AT95" s="70">
        <f t="shared" ca="1" si="203"/>
        <v>24352.918291121307</v>
      </c>
      <c r="AU95" s="2">
        <f t="shared" ca="1" si="59"/>
        <v>0</v>
      </c>
      <c r="AV95" s="268">
        <f t="shared" ca="1" si="204"/>
        <v>0</v>
      </c>
      <c r="AW95" s="131">
        <f ca="1">SUM(AV95:AV$124)*SSc</f>
        <v>0</v>
      </c>
      <c r="AX95" s="70">
        <f t="shared" ca="1" si="205"/>
        <v>24352.918291121307</v>
      </c>
      <c r="AY95" s="2">
        <f t="shared" ca="1" si="60"/>
        <v>0</v>
      </c>
      <c r="AZ95" s="268">
        <f t="shared" ca="1" si="206"/>
        <v>0</v>
      </c>
      <c r="BA95" s="129">
        <f ca="1">SUM(AZ95:AZ$124)*SSd</f>
        <v>0</v>
      </c>
      <c r="BB95" s="70">
        <f t="shared" ca="1" si="207"/>
        <v>24352.918291121307</v>
      </c>
      <c r="BC95" s="257">
        <f t="shared" ca="1" si="61"/>
        <v>0</v>
      </c>
      <c r="BD95" s="268">
        <f t="shared" ca="1" si="208"/>
        <v>0</v>
      </c>
      <c r="BE95" s="131">
        <f ca="1">SUM(BD95:BD$124)*SSe</f>
        <v>0</v>
      </c>
      <c r="BF95" s="70">
        <f t="shared" ca="1" si="209"/>
        <v>24352.918291121307</v>
      </c>
      <c r="BG95" s="2">
        <f t="shared" ca="1" si="62"/>
        <v>0</v>
      </c>
      <c r="BH95" s="131">
        <f t="shared" ca="1" si="210"/>
        <v>0</v>
      </c>
      <c r="BI95" s="2">
        <f ca="1">SUM(BH95:BH$124)*SSf</f>
        <v>0</v>
      </c>
      <c r="BJ95" s="70">
        <f t="shared" ca="1" si="211"/>
        <v>24352.918291121307</v>
      </c>
      <c r="BK95" s="2">
        <f t="shared" ca="1" si="63"/>
        <v>0</v>
      </c>
      <c r="BL95" s="131">
        <f t="shared" ca="1" si="212"/>
        <v>0</v>
      </c>
      <c r="BM95" s="131">
        <f ca="1">SUM(BL95:BL$124)*SSg</f>
        <v>0</v>
      </c>
      <c r="BN95" s="70">
        <f t="shared" ca="1" si="213"/>
        <v>24352.918291121307</v>
      </c>
      <c r="BO95" s="2">
        <f t="shared" ca="1" si="64"/>
        <v>0</v>
      </c>
      <c r="BP95" s="131">
        <f t="shared" ca="1" si="214"/>
        <v>0</v>
      </c>
      <c r="BQ95" s="131">
        <f ca="1">SUM(BP95:BP$124)*SSh</f>
        <v>0</v>
      </c>
      <c r="BR95" s="70">
        <f t="shared" ca="1" si="215"/>
        <v>24352.918291121307</v>
      </c>
      <c r="BS95" s="2">
        <f t="shared" ca="1" si="183"/>
        <v>0</v>
      </c>
      <c r="BT95" s="131">
        <f t="shared" ca="1" si="216"/>
        <v>0</v>
      </c>
      <c r="BU95" s="131">
        <f ca="1">SUM(BT95:BT$124)*SSi</f>
        <v>0</v>
      </c>
      <c r="BV95" s="70">
        <f t="shared" ca="1" si="217"/>
        <v>24352.918291121307</v>
      </c>
      <c r="BW95" s="2">
        <f t="shared" ca="1" si="66"/>
        <v>0</v>
      </c>
      <c r="BX95" s="131">
        <f t="shared" ca="1" si="218"/>
        <v>0</v>
      </c>
      <c r="BY95" s="131">
        <f ca="1">SUM(BX95:BX$124)*SSj</f>
        <v>0</v>
      </c>
      <c r="BZ95" s="70">
        <f t="shared" ca="1" si="219"/>
        <v>24352.918291121307</v>
      </c>
      <c r="CA95" s="2">
        <f t="shared" ca="1" si="67"/>
        <v>0</v>
      </c>
      <c r="CB95" s="131">
        <f t="shared" ca="1" si="220"/>
        <v>0</v>
      </c>
      <c r="CC95" s="131">
        <f ca="1">SUM(CB95:CB$124)*SSk</f>
        <v>0</v>
      </c>
      <c r="CD95" s="8">
        <f t="shared" ca="1" si="221"/>
        <v>24352.918291121307</v>
      </c>
      <c r="CE95" s="2">
        <f t="shared" ca="1" si="68"/>
        <v>0</v>
      </c>
      <c r="CF95" s="131">
        <f t="shared" ca="1" si="222"/>
        <v>0</v>
      </c>
      <c r="CG95" s="131">
        <f ca="1">SUM(CF95:CF$124)*SSl</f>
        <v>0</v>
      </c>
      <c r="CH95" s="155">
        <f t="shared" si="223"/>
        <v>0.01</v>
      </c>
      <c r="CI95" s="155">
        <f t="shared" ca="1" si="224"/>
        <v>0</v>
      </c>
      <c r="CJ95" s="155">
        <f t="shared" ca="1" si="225"/>
        <v>0</v>
      </c>
      <c r="CK95" s="155">
        <f ca="1">유해지!CY95</f>
        <v>0</v>
      </c>
      <c r="CL95" s="529">
        <f t="shared" ca="1" si="184"/>
        <v>0</v>
      </c>
      <c r="CM95" s="155">
        <f t="shared" ca="1" si="226"/>
        <v>0</v>
      </c>
      <c r="CN95" s="155">
        <f ca="1">SUM(CM95:$CM$125)</f>
        <v>0</v>
      </c>
      <c r="CO95" s="101">
        <f t="shared" ca="1" si="227"/>
        <v>0</v>
      </c>
      <c r="CP95" s="154">
        <f t="shared" ca="1" si="185"/>
        <v>0</v>
      </c>
      <c r="CQ95" s="154">
        <f t="shared" ca="1" si="186"/>
        <v>0</v>
      </c>
      <c r="CR95" s="32">
        <f t="shared" ca="1" si="187"/>
        <v>0</v>
      </c>
      <c r="CS95" s="32">
        <f t="shared" ca="1" si="188"/>
        <v>0</v>
      </c>
      <c r="CT95" s="32">
        <f t="shared" ca="1" si="189"/>
        <v>0</v>
      </c>
      <c r="CU95" s="32">
        <f t="shared" ca="1" si="190"/>
        <v>0</v>
      </c>
      <c r="CV95" s="32">
        <f t="shared" si="191"/>
        <v>0</v>
      </c>
      <c r="CW95" s="32">
        <f t="shared" ca="1" si="192"/>
        <v>0</v>
      </c>
      <c r="CX95" s="259">
        <f ca="1">IF(R95&lt;m,0,ROUND(IF($R95&gt;nB,0,GPB*mB*mmB*유해지!CY95),roundB))</f>
        <v>0</v>
      </c>
      <c r="CY95" s="262">
        <f t="shared" ca="1" si="193"/>
        <v>0</v>
      </c>
      <c r="CZ95" s="259" t="e">
        <f t="shared" ca="1" si="194"/>
        <v>#DIV/0!</v>
      </c>
      <c r="DA95" s="31">
        <f t="shared" si="195"/>
        <v>5</v>
      </c>
    </row>
    <row r="96" spans="14:105">
      <c r="N96" s="5">
        <f t="shared" si="228"/>
        <v>84</v>
      </c>
      <c r="O96" s="2">
        <f t="shared" ca="1" si="171"/>
        <v>0.15426997137264856</v>
      </c>
      <c r="P96" s="2">
        <f t="shared" ca="1" si="172"/>
        <v>0.15256318284636342</v>
      </c>
      <c r="Q96" s="91"/>
      <c r="R96" s="20">
        <f t="shared" si="229"/>
        <v>84</v>
      </c>
      <c r="S96" s="20" t="str">
        <f t="shared" si="173"/>
        <v/>
      </c>
      <c r="T96" s="2">
        <f t="shared" ca="1" si="230"/>
        <v>0</v>
      </c>
      <c r="U96" s="2">
        <f t="shared" ca="1" si="230"/>
        <v>0</v>
      </c>
      <c r="V96" s="300">
        <f t="shared" si="174"/>
        <v>0.01</v>
      </c>
      <c r="W96" s="8">
        <f t="shared" si="175"/>
        <v>0</v>
      </c>
      <c r="X96" s="10">
        <f t="shared" ca="1" si="176"/>
        <v>1.0000000000000009E-2</v>
      </c>
      <c r="Y96" s="10">
        <f t="shared" ca="1" si="177"/>
        <v>0</v>
      </c>
      <c r="Z96" s="5">
        <f t="shared" ca="1" si="196"/>
        <v>0</v>
      </c>
      <c r="AA96" s="5">
        <f ca="1">+SUM(Z96:Z$124)</f>
        <v>0</v>
      </c>
      <c r="AB96" s="8">
        <f t="shared" ca="1" si="178"/>
        <v>0</v>
      </c>
      <c r="AC96" s="209">
        <f ca="1">+SUM(AB96:AB$124)*SSSM</f>
        <v>0</v>
      </c>
      <c r="AD96" s="209">
        <f t="shared" si="197"/>
        <v>0</v>
      </c>
      <c r="AE96" s="92">
        <f t="shared" ca="1" si="179"/>
        <v>0</v>
      </c>
      <c r="AF96" s="92">
        <f t="shared" ca="1" si="180"/>
        <v>0</v>
      </c>
      <c r="AG96" s="8">
        <f t="shared" ca="1" si="181"/>
        <v>0</v>
      </c>
      <c r="AH96" s="5">
        <f ca="1">+SUM(AG96:AG$124)</f>
        <v>0</v>
      </c>
      <c r="AI96" s="70">
        <f t="shared" ca="1" si="182"/>
        <v>0</v>
      </c>
      <c r="AJ96" s="208">
        <f ca="1">+SUM(AB96:AB$124)*SS50J</f>
        <v>0</v>
      </c>
      <c r="AK96" s="5">
        <f t="shared" ca="1" si="198"/>
        <v>24109.389108210093</v>
      </c>
      <c r="AL96" s="2">
        <f t="shared" ca="1" si="57"/>
        <v>0</v>
      </c>
      <c r="AM96" s="131">
        <f t="shared" ca="1" si="199"/>
        <v>3719.3547675356158</v>
      </c>
      <c r="AN96" s="129">
        <f t="shared" ca="1" si="200"/>
        <v>0</v>
      </c>
      <c r="AO96" s="129">
        <f ca="1">SUM(AN96:AN$124)*SSa</f>
        <v>0</v>
      </c>
      <c r="AP96" s="70">
        <f t="shared" ca="1" si="201"/>
        <v>24109.389108210093</v>
      </c>
      <c r="AQ96" s="2">
        <f t="shared" ca="1" si="58"/>
        <v>0</v>
      </c>
      <c r="AR96" s="127">
        <f t="shared" ca="1" si="202"/>
        <v>0</v>
      </c>
      <c r="AS96" s="127">
        <f ca="1">SUM(AR96:AR$124)*SSb</f>
        <v>0</v>
      </c>
      <c r="AT96" s="70">
        <f t="shared" ca="1" si="203"/>
        <v>24109.389108210093</v>
      </c>
      <c r="AU96" s="2">
        <f t="shared" ca="1" si="59"/>
        <v>0</v>
      </c>
      <c r="AV96" s="268">
        <f t="shared" ca="1" si="204"/>
        <v>0</v>
      </c>
      <c r="AW96" s="131">
        <f ca="1">SUM(AV96:AV$124)*SSc</f>
        <v>0</v>
      </c>
      <c r="AX96" s="70">
        <f t="shared" ca="1" si="205"/>
        <v>24109.389108210093</v>
      </c>
      <c r="AY96" s="2">
        <f t="shared" ca="1" si="60"/>
        <v>0</v>
      </c>
      <c r="AZ96" s="268">
        <f t="shared" ca="1" si="206"/>
        <v>0</v>
      </c>
      <c r="BA96" s="129">
        <f ca="1">SUM(AZ96:AZ$124)*SSd</f>
        <v>0</v>
      </c>
      <c r="BB96" s="70">
        <f t="shared" ca="1" si="207"/>
        <v>24109.389108210093</v>
      </c>
      <c r="BC96" s="257">
        <f t="shared" ca="1" si="61"/>
        <v>0</v>
      </c>
      <c r="BD96" s="268">
        <f t="shared" ca="1" si="208"/>
        <v>0</v>
      </c>
      <c r="BE96" s="131">
        <f ca="1">SUM(BD96:BD$124)*SSe</f>
        <v>0</v>
      </c>
      <c r="BF96" s="70">
        <f t="shared" ca="1" si="209"/>
        <v>24109.389108210093</v>
      </c>
      <c r="BG96" s="2">
        <f t="shared" ca="1" si="62"/>
        <v>0</v>
      </c>
      <c r="BH96" s="131">
        <f t="shared" ca="1" si="210"/>
        <v>0</v>
      </c>
      <c r="BI96" s="2">
        <f ca="1">SUM(BH96:BH$124)*SSf</f>
        <v>0</v>
      </c>
      <c r="BJ96" s="70">
        <f t="shared" ca="1" si="211"/>
        <v>24109.389108210093</v>
      </c>
      <c r="BK96" s="2">
        <f t="shared" ca="1" si="63"/>
        <v>0</v>
      </c>
      <c r="BL96" s="131">
        <f t="shared" ca="1" si="212"/>
        <v>0</v>
      </c>
      <c r="BM96" s="131">
        <f ca="1">SUM(BL96:BL$124)*SSg</f>
        <v>0</v>
      </c>
      <c r="BN96" s="70">
        <f t="shared" ca="1" si="213"/>
        <v>24109.389108210093</v>
      </c>
      <c r="BO96" s="2">
        <f t="shared" ca="1" si="64"/>
        <v>0</v>
      </c>
      <c r="BP96" s="131">
        <f t="shared" ca="1" si="214"/>
        <v>0</v>
      </c>
      <c r="BQ96" s="131">
        <f ca="1">SUM(BP96:BP$124)*SSh</f>
        <v>0</v>
      </c>
      <c r="BR96" s="70">
        <f t="shared" ca="1" si="215"/>
        <v>24109.389108210093</v>
      </c>
      <c r="BS96" s="2">
        <f t="shared" ca="1" si="183"/>
        <v>0</v>
      </c>
      <c r="BT96" s="131">
        <f t="shared" ca="1" si="216"/>
        <v>0</v>
      </c>
      <c r="BU96" s="131">
        <f ca="1">SUM(BT96:BT$124)*SSi</f>
        <v>0</v>
      </c>
      <c r="BV96" s="70">
        <f t="shared" ca="1" si="217"/>
        <v>24109.389108210093</v>
      </c>
      <c r="BW96" s="2">
        <f t="shared" ca="1" si="66"/>
        <v>0</v>
      </c>
      <c r="BX96" s="131">
        <f t="shared" ca="1" si="218"/>
        <v>0</v>
      </c>
      <c r="BY96" s="131">
        <f ca="1">SUM(BX96:BX$124)*SSj</f>
        <v>0</v>
      </c>
      <c r="BZ96" s="70">
        <f t="shared" ca="1" si="219"/>
        <v>24109.389108210093</v>
      </c>
      <c r="CA96" s="2">
        <f t="shared" ca="1" si="67"/>
        <v>0</v>
      </c>
      <c r="CB96" s="131">
        <f t="shared" ca="1" si="220"/>
        <v>0</v>
      </c>
      <c r="CC96" s="131">
        <f ca="1">SUM(CB96:CB$124)*SSk</f>
        <v>0</v>
      </c>
      <c r="CD96" s="8">
        <f t="shared" ca="1" si="221"/>
        <v>24109.389108210093</v>
      </c>
      <c r="CE96" s="2">
        <f t="shared" ca="1" si="68"/>
        <v>0</v>
      </c>
      <c r="CF96" s="131">
        <f t="shared" ca="1" si="222"/>
        <v>0</v>
      </c>
      <c r="CG96" s="131">
        <f ca="1">SUM(CF96:CF$124)*SSl</f>
        <v>0</v>
      </c>
      <c r="CH96" s="155">
        <f t="shared" si="223"/>
        <v>0.01</v>
      </c>
      <c r="CI96" s="155">
        <f t="shared" ca="1" si="224"/>
        <v>0</v>
      </c>
      <c r="CJ96" s="155">
        <f t="shared" ca="1" si="225"/>
        <v>0</v>
      </c>
      <c r="CK96" s="155">
        <f ca="1">유해지!CY96</f>
        <v>0</v>
      </c>
      <c r="CL96" s="529">
        <f t="shared" ca="1" si="184"/>
        <v>0</v>
      </c>
      <c r="CM96" s="155">
        <f t="shared" ca="1" si="226"/>
        <v>0</v>
      </c>
      <c r="CN96" s="155">
        <f ca="1">SUM(CM96:$CM$125)</f>
        <v>0</v>
      </c>
      <c r="CO96" s="101">
        <f t="shared" ca="1" si="227"/>
        <v>0</v>
      </c>
      <c r="CP96" s="154">
        <f t="shared" ca="1" si="185"/>
        <v>0</v>
      </c>
      <c r="CQ96" s="154">
        <f t="shared" ca="1" si="186"/>
        <v>0</v>
      </c>
      <c r="CR96" s="32">
        <f t="shared" ca="1" si="187"/>
        <v>0</v>
      </c>
      <c r="CS96" s="32">
        <f t="shared" ca="1" si="188"/>
        <v>0</v>
      </c>
      <c r="CT96" s="32">
        <f t="shared" ca="1" si="189"/>
        <v>0</v>
      </c>
      <c r="CU96" s="32">
        <f t="shared" ca="1" si="190"/>
        <v>0</v>
      </c>
      <c r="CV96" s="32">
        <f t="shared" si="191"/>
        <v>0</v>
      </c>
      <c r="CW96" s="32">
        <f t="shared" ca="1" si="192"/>
        <v>0</v>
      </c>
      <c r="CX96" s="259">
        <f ca="1">IF(R96&lt;m,0,ROUND(IF($R96&gt;nB,0,GPB*mB*mmB*유해지!CY96),roundB))</f>
        <v>0</v>
      </c>
      <c r="CY96" s="262">
        <f t="shared" ca="1" si="193"/>
        <v>0</v>
      </c>
      <c r="CZ96" s="259" t="e">
        <f t="shared" ca="1" si="194"/>
        <v>#DIV/0!</v>
      </c>
      <c r="DA96" s="31">
        <f t="shared" si="195"/>
        <v>5</v>
      </c>
    </row>
    <row r="97" spans="3:105">
      <c r="N97" s="5">
        <f t="shared" si="228"/>
        <v>85</v>
      </c>
      <c r="O97" s="2">
        <f t="shared" ca="1" si="171"/>
        <v>0.15087527762606218</v>
      </c>
      <c r="P97" s="2">
        <f t="shared" ca="1" si="172"/>
        <v>0.14920604679350946</v>
      </c>
      <c r="Q97" s="91"/>
      <c r="R97" s="20">
        <f t="shared" si="229"/>
        <v>85</v>
      </c>
      <c r="S97" s="20" t="str">
        <f t="shared" si="173"/>
        <v/>
      </c>
      <c r="T97" s="2">
        <f t="shared" ca="1" si="230"/>
        <v>0</v>
      </c>
      <c r="U97" s="2">
        <f t="shared" ca="1" si="230"/>
        <v>0</v>
      </c>
      <c r="V97" s="300">
        <f t="shared" si="174"/>
        <v>0.01</v>
      </c>
      <c r="W97" s="8">
        <f t="shared" si="175"/>
        <v>0</v>
      </c>
      <c r="X97" s="10">
        <f t="shared" ca="1" si="176"/>
        <v>1.0000000000000009E-2</v>
      </c>
      <c r="Y97" s="10">
        <f t="shared" ca="1" si="177"/>
        <v>0</v>
      </c>
      <c r="Z97" s="5">
        <f t="shared" ca="1" si="196"/>
        <v>0</v>
      </c>
      <c r="AA97" s="5">
        <f ca="1">+SUM(Z97:Z$124)</f>
        <v>0</v>
      </c>
      <c r="AB97" s="8">
        <f t="shared" ca="1" si="178"/>
        <v>0</v>
      </c>
      <c r="AC97" s="209">
        <f ca="1">+SUM(AB97:AB$124)*SSSM</f>
        <v>0</v>
      </c>
      <c r="AD97" s="209">
        <f t="shared" si="197"/>
        <v>0</v>
      </c>
      <c r="AE97" s="92">
        <f t="shared" ca="1" si="179"/>
        <v>0</v>
      </c>
      <c r="AF97" s="92">
        <f t="shared" ca="1" si="180"/>
        <v>0</v>
      </c>
      <c r="AG97" s="8">
        <f t="shared" ca="1" si="181"/>
        <v>0</v>
      </c>
      <c r="AH97" s="5">
        <f ca="1">+SUM(AG97:AG$124)</f>
        <v>0</v>
      </c>
      <c r="AI97" s="70">
        <f t="shared" ca="1" si="182"/>
        <v>0</v>
      </c>
      <c r="AJ97" s="208">
        <f ca="1">+SUM(AB97:AB$124)*SS50J</f>
        <v>0</v>
      </c>
      <c r="AK97" s="5">
        <f t="shared" ca="1" si="198"/>
        <v>23868.29521712799</v>
      </c>
      <c r="AL97" s="2">
        <f t="shared" ca="1" si="57"/>
        <v>0</v>
      </c>
      <c r="AM97" s="131">
        <f t="shared" ca="1" si="199"/>
        <v>3601.1356673449977</v>
      </c>
      <c r="AN97" s="129">
        <f t="shared" ca="1" si="200"/>
        <v>0</v>
      </c>
      <c r="AO97" s="129">
        <f ca="1">SUM(AN97:AN$124)*SSa</f>
        <v>0</v>
      </c>
      <c r="AP97" s="70">
        <f t="shared" ca="1" si="201"/>
        <v>23868.29521712799</v>
      </c>
      <c r="AQ97" s="2">
        <f t="shared" ca="1" si="58"/>
        <v>0</v>
      </c>
      <c r="AR97" s="127">
        <f t="shared" ca="1" si="202"/>
        <v>0</v>
      </c>
      <c r="AS97" s="127">
        <f ca="1">SUM(AR97:AR$124)*SSb</f>
        <v>0</v>
      </c>
      <c r="AT97" s="70">
        <f t="shared" ca="1" si="203"/>
        <v>23868.29521712799</v>
      </c>
      <c r="AU97" s="2">
        <f t="shared" ca="1" si="59"/>
        <v>0</v>
      </c>
      <c r="AV97" s="268">
        <f t="shared" ca="1" si="204"/>
        <v>0</v>
      </c>
      <c r="AW97" s="131">
        <f ca="1">SUM(AV97:AV$124)*SSc</f>
        <v>0</v>
      </c>
      <c r="AX97" s="70">
        <f t="shared" ca="1" si="205"/>
        <v>23868.29521712799</v>
      </c>
      <c r="AY97" s="2">
        <f t="shared" ca="1" si="60"/>
        <v>0</v>
      </c>
      <c r="AZ97" s="268">
        <f t="shared" ca="1" si="206"/>
        <v>0</v>
      </c>
      <c r="BA97" s="129">
        <f ca="1">SUM(AZ97:AZ$124)*SSd</f>
        <v>0</v>
      </c>
      <c r="BB97" s="70">
        <f t="shared" ca="1" si="207"/>
        <v>23868.29521712799</v>
      </c>
      <c r="BC97" s="257">
        <f t="shared" ca="1" si="61"/>
        <v>0</v>
      </c>
      <c r="BD97" s="268">
        <f t="shared" ca="1" si="208"/>
        <v>0</v>
      </c>
      <c r="BE97" s="131">
        <f ca="1">SUM(BD97:BD$124)*SSe</f>
        <v>0</v>
      </c>
      <c r="BF97" s="70">
        <f t="shared" ca="1" si="209"/>
        <v>23868.29521712799</v>
      </c>
      <c r="BG97" s="2">
        <f t="shared" ca="1" si="62"/>
        <v>0</v>
      </c>
      <c r="BH97" s="131">
        <f t="shared" ca="1" si="210"/>
        <v>0</v>
      </c>
      <c r="BI97" s="2">
        <f ca="1">SUM(BH97:BH$124)*SSf</f>
        <v>0</v>
      </c>
      <c r="BJ97" s="70">
        <f t="shared" ca="1" si="211"/>
        <v>23868.29521712799</v>
      </c>
      <c r="BK97" s="2">
        <f t="shared" ca="1" si="63"/>
        <v>0</v>
      </c>
      <c r="BL97" s="131">
        <f t="shared" ca="1" si="212"/>
        <v>0</v>
      </c>
      <c r="BM97" s="131">
        <f ca="1">SUM(BL97:BL$124)*SSg</f>
        <v>0</v>
      </c>
      <c r="BN97" s="70">
        <f t="shared" ca="1" si="213"/>
        <v>23868.29521712799</v>
      </c>
      <c r="BO97" s="2">
        <f t="shared" ca="1" si="64"/>
        <v>0</v>
      </c>
      <c r="BP97" s="131">
        <f t="shared" ca="1" si="214"/>
        <v>0</v>
      </c>
      <c r="BQ97" s="131">
        <f ca="1">SUM(BP97:BP$124)*SSh</f>
        <v>0</v>
      </c>
      <c r="BR97" s="70">
        <f t="shared" ca="1" si="215"/>
        <v>23868.29521712799</v>
      </c>
      <c r="BS97" s="2">
        <f t="shared" ca="1" si="183"/>
        <v>0</v>
      </c>
      <c r="BT97" s="131">
        <f t="shared" ca="1" si="216"/>
        <v>0</v>
      </c>
      <c r="BU97" s="131">
        <f ca="1">SUM(BT97:BT$124)*SSi</f>
        <v>0</v>
      </c>
      <c r="BV97" s="70">
        <f t="shared" ca="1" si="217"/>
        <v>23868.29521712799</v>
      </c>
      <c r="BW97" s="2">
        <f t="shared" ca="1" si="66"/>
        <v>0</v>
      </c>
      <c r="BX97" s="131">
        <f t="shared" ca="1" si="218"/>
        <v>0</v>
      </c>
      <c r="BY97" s="131">
        <f ca="1">SUM(BX97:BX$124)*SSj</f>
        <v>0</v>
      </c>
      <c r="BZ97" s="70">
        <f t="shared" ca="1" si="219"/>
        <v>23868.29521712799</v>
      </c>
      <c r="CA97" s="2">
        <f t="shared" ca="1" si="67"/>
        <v>0</v>
      </c>
      <c r="CB97" s="131">
        <f t="shared" ca="1" si="220"/>
        <v>0</v>
      </c>
      <c r="CC97" s="131">
        <f ca="1">SUM(CB97:CB$124)*SSk</f>
        <v>0</v>
      </c>
      <c r="CD97" s="8">
        <f t="shared" ca="1" si="221"/>
        <v>23868.29521712799</v>
      </c>
      <c r="CE97" s="2">
        <f t="shared" ca="1" si="68"/>
        <v>0</v>
      </c>
      <c r="CF97" s="131">
        <f t="shared" ca="1" si="222"/>
        <v>0</v>
      </c>
      <c r="CG97" s="131">
        <f ca="1">SUM(CF97:CF$124)*SSl</f>
        <v>0</v>
      </c>
      <c r="CH97" s="155">
        <f t="shared" si="223"/>
        <v>0.01</v>
      </c>
      <c r="CI97" s="155">
        <f t="shared" ca="1" si="224"/>
        <v>0</v>
      </c>
      <c r="CJ97" s="155">
        <f t="shared" ca="1" si="225"/>
        <v>0</v>
      </c>
      <c r="CK97" s="155">
        <f ca="1">유해지!CY97</f>
        <v>0</v>
      </c>
      <c r="CL97" s="529">
        <f t="shared" ca="1" si="184"/>
        <v>0</v>
      </c>
      <c r="CM97" s="155">
        <f t="shared" ca="1" si="226"/>
        <v>0</v>
      </c>
      <c r="CN97" s="155">
        <f ca="1">SUM(CM97:$CM$125)</f>
        <v>0</v>
      </c>
      <c r="CO97" s="101">
        <f t="shared" ca="1" si="227"/>
        <v>0</v>
      </c>
      <c r="CP97" s="154">
        <f t="shared" ca="1" si="185"/>
        <v>0</v>
      </c>
      <c r="CQ97" s="154">
        <f t="shared" ca="1" si="186"/>
        <v>0</v>
      </c>
      <c r="CR97" s="32">
        <f t="shared" ca="1" si="187"/>
        <v>0</v>
      </c>
      <c r="CS97" s="32">
        <f t="shared" ca="1" si="188"/>
        <v>0</v>
      </c>
      <c r="CT97" s="32">
        <f t="shared" ca="1" si="189"/>
        <v>0</v>
      </c>
      <c r="CU97" s="32">
        <f t="shared" ca="1" si="190"/>
        <v>0</v>
      </c>
      <c r="CV97" s="32">
        <f t="shared" si="191"/>
        <v>0</v>
      </c>
      <c r="CW97" s="32">
        <f t="shared" ca="1" si="192"/>
        <v>0</v>
      </c>
      <c r="CX97" s="259">
        <f ca="1">IF(R97&lt;m,0,ROUND(IF($R97&gt;nB,0,GPB*mB*mmB*유해지!CY97),roundB))</f>
        <v>0</v>
      </c>
      <c r="CY97" s="262">
        <f t="shared" ca="1" si="193"/>
        <v>0</v>
      </c>
      <c r="CZ97" s="259" t="e">
        <f t="shared" ca="1" si="194"/>
        <v>#DIV/0!</v>
      </c>
      <c r="DA97" s="31">
        <f t="shared" si="195"/>
        <v>5</v>
      </c>
    </row>
    <row r="98" spans="3:105">
      <c r="N98" s="5">
        <f t="shared" si="228"/>
        <v>86</v>
      </c>
      <c r="O98" s="2">
        <f t="shared" ca="1" si="171"/>
        <v>0.1475552837418701</v>
      </c>
      <c r="P98" s="2">
        <f t="shared" ca="1" si="172"/>
        <v>0.14592278415013149</v>
      </c>
      <c r="Q98" s="91"/>
      <c r="R98" s="20">
        <f t="shared" si="229"/>
        <v>86</v>
      </c>
      <c r="S98" s="20" t="str">
        <f t="shared" si="173"/>
        <v/>
      </c>
      <c r="T98" s="2">
        <f t="shared" ca="1" si="230"/>
        <v>0</v>
      </c>
      <c r="U98" s="2">
        <f t="shared" ca="1" si="230"/>
        <v>0</v>
      </c>
      <c r="V98" s="300">
        <f t="shared" si="174"/>
        <v>0.01</v>
      </c>
      <c r="W98" s="8">
        <f t="shared" si="175"/>
        <v>0</v>
      </c>
      <c r="X98" s="10">
        <f t="shared" ca="1" si="176"/>
        <v>1.0000000000000009E-2</v>
      </c>
      <c r="Y98" s="10">
        <f t="shared" ca="1" si="177"/>
        <v>0</v>
      </c>
      <c r="Z98" s="5">
        <f t="shared" ca="1" si="196"/>
        <v>0</v>
      </c>
      <c r="AA98" s="5">
        <f ca="1">+SUM(Z98:Z$124)</f>
        <v>0</v>
      </c>
      <c r="AB98" s="8">
        <f t="shared" ca="1" si="178"/>
        <v>0</v>
      </c>
      <c r="AC98" s="209">
        <f ca="1">+SUM(AB98:AB$124)*SSSM</f>
        <v>0</v>
      </c>
      <c r="AD98" s="209">
        <f t="shared" si="197"/>
        <v>0</v>
      </c>
      <c r="AE98" s="92">
        <f t="shared" ca="1" si="179"/>
        <v>0</v>
      </c>
      <c r="AF98" s="92">
        <f t="shared" ca="1" si="180"/>
        <v>0</v>
      </c>
      <c r="AG98" s="8">
        <f t="shared" ca="1" si="181"/>
        <v>0</v>
      </c>
      <c r="AH98" s="5">
        <f ca="1">+SUM(AG98:AG$124)</f>
        <v>0</v>
      </c>
      <c r="AI98" s="70">
        <f t="shared" ca="1" si="182"/>
        <v>0</v>
      </c>
      <c r="AJ98" s="208">
        <f ca="1">+SUM(AB98:AB$124)*SS50J</f>
        <v>0</v>
      </c>
      <c r="AK98" s="5">
        <f t="shared" ca="1" si="198"/>
        <v>23629.612264956711</v>
      </c>
      <c r="AL98" s="2">
        <f t="shared" ca="1" si="57"/>
        <v>0</v>
      </c>
      <c r="AM98" s="131">
        <f t="shared" ca="1" si="199"/>
        <v>3486.6741424660613</v>
      </c>
      <c r="AN98" s="129">
        <f t="shared" ca="1" si="200"/>
        <v>0</v>
      </c>
      <c r="AO98" s="129">
        <f ca="1">SUM(AN98:AN$124)*SSa</f>
        <v>0</v>
      </c>
      <c r="AP98" s="70">
        <f t="shared" ca="1" si="201"/>
        <v>23629.612264956711</v>
      </c>
      <c r="AQ98" s="2">
        <f t="shared" ca="1" si="58"/>
        <v>0</v>
      </c>
      <c r="AR98" s="127">
        <f t="shared" ca="1" si="202"/>
        <v>0</v>
      </c>
      <c r="AS98" s="127">
        <f ca="1">SUM(AR98:AR$124)*SSb</f>
        <v>0</v>
      </c>
      <c r="AT98" s="70">
        <f t="shared" ca="1" si="203"/>
        <v>23629.612264956711</v>
      </c>
      <c r="AU98" s="2">
        <f t="shared" ca="1" si="59"/>
        <v>0</v>
      </c>
      <c r="AV98" s="268">
        <f t="shared" ca="1" si="204"/>
        <v>0</v>
      </c>
      <c r="AW98" s="131">
        <f ca="1">SUM(AV98:AV$124)*SSc</f>
        <v>0</v>
      </c>
      <c r="AX98" s="70">
        <f t="shared" ca="1" si="205"/>
        <v>23629.612264956711</v>
      </c>
      <c r="AY98" s="2">
        <f t="shared" ca="1" si="60"/>
        <v>0</v>
      </c>
      <c r="AZ98" s="268">
        <f t="shared" ca="1" si="206"/>
        <v>0</v>
      </c>
      <c r="BA98" s="129">
        <f ca="1">SUM(AZ98:AZ$124)*SSd</f>
        <v>0</v>
      </c>
      <c r="BB98" s="70">
        <f t="shared" ca="1" si="207"/>
        <v>23629.612264956711</v>
      </c>
      <c r="BC98" s="257">
        <f t="shared" ca="1" si="61"/>
        <v>0</v>
      </c>
      <c r="BD98" s="268">
        <f t="shared" ca="1" si="208"/>
        <v>0</v>
      </c>
      <c r="BE98" s="131">
        <f ca="1">SUM(BD98:BD$124)*SSe</f>
        <v>0</v>
      </c>
      <c r="BF98" s="70">
        <f t="shared" ca="1" si="209"/>
        <v>23629.612264956711</v>
      </c>
      <c r="BG98" s="2">
        <f t="shared" ca="1" si="62"/>
        <v>0</v>
      </c>
      <c r="BH98" s="131">
        <f t="shared" ca="1" si="210"/>
        <v>0</v>
      </c>
      <c r="BI98" s="2">
        <f ca="1">SUM(BH98:BH$124)*SSf</f>
        <v>0</v>
      </c>
      <c r="BJ98" s="70">
        <f t="shared" ca="1" si="211"/>
        <v>23629.612264956711</v>
      </c>
      <c r="BK98" s="2">
        <f t="shared" ca="1" si="63"/>
        <v>0</v>
      </c>
      <c r="BL98" s="131">
        <f t="shared" ca="1" si="212"/>
        <v>0</v>
      </c>
      <c r="BM98" s="131">
        <f ca="1">SUM(BL98:BL$124)*SSg</f>
        <v>0</v>
      </c>
      <c r="BN98" s="70">
        <f t="shared" ca="1" si="213"/>
        <v>23629.612264956711</v>
      </c>
      <c r="BO98" s="2">
        <f t="shared" ca="1" si="64"/>
        <v>0</v>
      </c>
      <c r="BP98" s="131">
        <f t="shared" ca="1" si="214"/>
        <v>0</v>
      </c>
      <c r="BQ98" s="131">
        <f ca="1">SUM(BP98:BP$124)*SSh</f>
        <v>0</v>
      </c>
      <c r="BR98" s="70">
        <f t="shared" ca="1" si="215"/>
        <v>23629.612264956711</v>
      </c>
      <c r="BS98" s="2">
        <f t="shared" ca="1" si="183"/>
        <v>0</v>
      </c>
      <c r="BT98" s="131">
        <f t="shared" ca="1" si="216"/>
        <v>0</v>
      </c>
      <c r="BU98" s="131">
        <f ca="1">SUM(BT98:BT$124)*SSi</f>
        <v>0</v>
      </c>
      <c r="BV98" s="70">
        <f t="shared" ca="1" si="217"/>
        <v>23629.612264956711</v>
      </c>
      <c r="BW98" s="2">
        <f t="shared" ca="1" si="66"/>
        <v>0</v>
      </c>
      <c r="BX98" s="131">
        <f t="shared" ca="1" si="218"/>
        <v>0</v>
      </c>
      <c r="BY98" s="131">
        <f ca="1">SUM(BX98:BX$124)*SSj</f>
        <v>0</v>
      </c>
      <c r="BZ98" s="70">
        <f t="shared" ca="1" si="219"/>
        <v>23629.612264956711</v>
      </c>
      <c r="CA98" s="2">
        <f t="shared" ca="1" si="67"/>
        <v>0</v>
      </c>
      <c r="CB98" s="131">
        <f t="shared" ca="1" si="220"/>
        <v>0</v>
      </c>
      <c r="CC98" s="131">
        <f ca="1">SUM(CB98:CB$124)*SSk</f>
        <v>0</v>
      </c>
      <c r="CD98" s="8">
        <f t="shared" ca="1" si="221"/>
        <v>23629.612264956711</v>
      </c>
      <c r="CE98" s="2">
        <f t="shared" ca="1" si="68"/>
        <v>0</v>
      </c>
      <c r="CF98" s="131">
        <f t="shared" ca="1" si="222"/>
        <v>0</v>
      </c>
      <c r="CG98" s="131">
        <f ca="1">SUM(CF98:CF$124)*SSl</f>
        <v>0</v>
      </c>
      <c r="CH98" s="155">
        <f t="shared" si="223"/>
        <v>0.01</v>
      </c>
      <c r="CI98" s="155">
        <f t="shared" ca="1" si="224"/>
        <v>0</v>
      </c>
      <c r="CJ98" s="155">
        <f t="shared" ca="1" si="225"/>
        <v>0</v>
      </c>
      <c r="CK98" s="155">
        <f ca="1">유해지!CY98</f>
        <v>0</v>
      </c>
      <c r="CL98" s="529">
        <f t="shared" ca="1" si="184"/>
        <v>0</v>
      </c>
      <c r="CM98" s="155">
        <f t="shared" ca="1" si="226"/>
        <v>0</v>
      </c>
      <c r="CN98" s="155">
        <f ca="1">SUM(CM98:$CM$125)</f>
        <v>0</v>
      </c>
      <c r="CO98" s="101">
        <f t="shared" ca="1" si="227"/>
        <v>0</v>
      </c>
      <c r="CP98" s="154">
        <f t="shared" ca="1" si="185"/>
        <v>0</v>
      </c>
      <c r="CQ98" s="154">
        <f t="shared" ca="1" si="186"/>
        <v>0</v>
      </c>
      <c r="CR98" s="32">
        <f t="shared" ca="1" si="187"/>
        <v>0</v>
      </c>
      <c r="CS98" s="32">
        <f t="shared" ca="1" si="188"/>
        <v>0</v>
      </c>
      <c r="CT98" s="32">
        <f t="shared" ca="1" si="189"/>
        <v>0</v>
      </c>
      <c r="CU98" s="32">
        <f t="shared" ca="1" si="190"/>
        <v>0</v>
      </c>
      <c r="CV98" s="32">
        <f t="shared" si="191"/>
        <v>0</v>
      </c>
      <c r="CW98" s="32">
        <f t="shared" ca="1" si="192"/>
        <v>0</v>
      </c>
      <c r="CX98" s="259">
        <f ca="1">IF(R98&lt;m,0,ROUND(IF($R98&gt;nB,0,GPB*mB*mmB*유해지!CY98),roundB))</f>
        <v>0</v>
      </c>
      <c r="CY98" s="262">
        <f t="shared" ca="1" si="193"/>
        <v>0</v>
      </c>
      <c r="CZ98" s="259" t="e">
        <f t="shared" ca="1" si="194"/>
        <v>#DIV/0!</v>
      </c>
      <c r="DA98" s="31">
        <f t="shared" si="195"/>
        <v>5</v>
      </c>
    </row>
    <row r="99" spans="3:105">
      <c r="N99" s="5">
        <f t="shared" si="228"/>
        <v>87</v>
      </c>
      <c r="O99" s="2">
        <f t="shared" ca="1" si="171"/>
        <v>0.14430834595781919</v>
      </c>
      <c r="P99" s="2">
        <f t="shared" ca="1" si="172"/>
        <v>0.14271176933998192</v>
      </c>
      <c r="Q99" s="91"/>
      <c r="R99" s="20">
        <f t="shared" si="229"/>
        <v>87</v>
      </c>
      <c r="S99" s="20" t="str">
        <f t="shared" si="173"/>
        <v/>
      </c>
      <c r="T99" s="2">
        <f t="shared" ca="1" si="230"/>
        <v>0</v>
      </c>
      <c r="U99" s="2">
        <f t="shared" ca="1" si="230"/>
        <v>0</v>
      </c>
      <c r="V99" s="300">
        <f t="shared" si="174"/>
        <v>0.01</v>
      </c>
      <c r="W99" s="8">
        <f t="shared" si="175"/>
        <v>0</v>
      </c>
      <c r="X99" s="10">
        <f t="shared" ca="1" si="176"/>
        <v>1.0000000000000009E-2</v>
      </c>
      <c r="Y99" s="10">
        <f t="shared" ca="1" si="177"/>
        <v>0</v>
      </c>
      <c r="Z99" s="5">
        <f t="shared" ca="1" si="196"/>
        <v>0</v>
      </c>
      <c r="AA99" s="5">
        <f ca="1">+SUM(Z99:Z$124)</f>
        <v>0</v>
      </c>
      <c r="AB99" s="8">
        <f t="shared" ca="1" si="178"/>
        <v>0</v>
      </c>
      <c r="AC99" s="209">
        <f ca="1">+SUM(AB99:AB$124)*SSSM</f>
        <v>0</v>
      </c>
      <c r="AD99" s="209">
        <f t="shared" si="197"/>
        <v>0</v>
      </c>
      <c r="AE99" s="92">
        <f t="shared" ca="1" si="179"/>
        <v>0</v>
      </c>
      <c r="AF99" s="92">
        <f t="shared" ca="1" si="180"/>
        <v>0</v>
      </c>
      <c r="AG99" s="8">
        <f t="shared" ca="1" si="181"/>
        <v>0</v>
      </c>
      <c r="AH99" s="5">
        <f ca="1">+SUM(AG99:AG$124)</f>
        <v>0</v>
      </c>
      <c r="AI99" s="70">
        <f t="shared" ca="1" si="182"/>
        <v>0</v>
      </c>
      <c r="AJ99" s="208">
        <f ca="1">+SUM(AB99:AB$124)*SS50J</f>
        <v>0</v>
      </c>
      <c r="AK99" s="5">
        <f t="shared" ca="1" si="198"/>
        <v>23393.316142307143</v>
      </c>
      <c r="AL99" s="2">
        <f t="shared" ca="1" si="57"/>
        <v>0</v>
      </c>
      <c r="AM99" s="131">
        <f t="shared" ca="1" si="199"/>
        <v>3375.8507589646956</v>
      </c>
      <c r="AN99" s="129">
        <f t="shared" ca="1" si="200"/>
        <v>0</v>
      </c>
      <c r="AO99" s="129">
        <f ca="1">SUM(AN99:AN$124)*SSa</f>
        <v>0</v>
      </c>
      <c r="AP99" s="70">
        <f t="shared" ca="1" si="201"/>
        <v>23393.316142307143</v>
      </c>
      <c r="AQ99" s="2">
        <f t="shared" ca="1" si="58"/>
        <v>0</v>
      </c>
      <c r="AR99" s="127">
        <f t="shared" ca="1" si="202"/>
        <v>0</v>
      </c>
      <c r="AS99" s="127">
        <f ca="1">SUM(AR99:AR$124)*SSb</f>
        <v>0</v>
      </c>
      <c r="AT99" s="70">
        <f t="shared" ca="1" si="203"/>
        <v>23393.316142307143</v>
      </c>
      <c r="AU99" s="2">
        <f t="shared" ca="1" si="59"/>
        <v>0</v>
      </c>
      <c r="AV99" s="268">
        <f t="shared" ca="1" si="204"/>
        <v>0</v>
      </c>
      <c r="AW99" s="131">
        <f ca="1">SUM(AV99:AV$124)*SSc</f>
        <v>0</v>
      </c>
      <c r="AX99" s="70">
        <f t="shared" ca="1" si="205"/>
        <v>23393.316142307143</v>
      </c>
      <c r="AY99" s="2">
        <f t="shared" ca="1" si="60"/>
        <v>0</v>
      </c>
      <c r="AZ99" s="268">
        <f t="shared" ca="1" si="206"/>
        <v>0</v>
      </c>
      <c r="BA99" s="129">
        <f ca="1">SUM(AZ99:AZ$124)*SSd</f>
        <v>0</v>
      </c>
      <c r="BB99" s="70">
        <f t="shared" ca="1" si="207"/>
        <v>23393.316142307143</v>
      </c>
      <c r="BC99" s="257">
        <f t="shared" ca="1" si="61"/>
        <v>0</v>
      </c>
      <c r="BD99" s="268">
        <f t="shared" ca="1" si="208"/>
        <v>0</v>
      </c>
      <c r="BE99" s="131">
        <f ca="1">SUM(BD99:BD$124)*SSe</f>
        <v>0</v>
      </c>
      <c r="BF99" s="70">
        <f t="shared" ca="1" si="209"/>
        <v>23393.316142307143</v>
      </c>
      <c r="BG99" s="2">
        <f t="shared" ca="1" si="62"/>
        <v>0</v>
      </c>
      <c r="BH99" s="131">
        <f t="shared" ca="1" si="210"/>
        <v>0</v>
      </c>
      <c r="BI99" s="2">
        <f ca="1">SUM(BH99:BH$124)*SSf</f>
        <v>0</v>
      </c>
      <c r="BJ99" s="70">
        <f t="shared" ca="1" si="211"/>
        <v>23393.316142307143</v>
      </c>
      <c r="BK99" s="2">
        <f t="shared" ca="1" si="63"/>
        <v>0</v>
      </c>
      <c r="BL99" s="131">
        <f t="shared" ca="1" si="212"/>
        <v>0</v>
      </c>
      <c r="BM99" s="131">
        <f ca="1">SUM(BL99:BL$124)*SSg</f>
        <v>0</v>
      </c>
      <c r="BN99" s="70">
        <f t="shared" ca="1" si="213"/>
        <v>23393.316142307143</v>
      </c>
      <c r="BO99" s="2">
        <f t="shared" ca="1" si="64"/>
        <v>0</v>
      </c>
      <c r="BP99" s="131">
        <f t="shared" ca="1" si="214"/>
        <v>0</v>
      </c>
      <c r="BQ99" s="131">
        <f ca="1">SUM(BP99:BP$124)*SSh</f>
        <v>0</v>
      </c>
      <c r="BR99" s="70">
        <f t="shared" ca="1" si="215"/>
        <v>23393.316142307143</v>
      </c>
      <c r="BS99" s="2">
        <f t="shared" ca="1" si="183"/>
        <v>0</v>
      </c>
      <c r="BT99" s="131">
        <f t="shared" ca="1" si="216"/>
        <v>0</v>
      </c>
      <c r="BU99" s="131">
        <f ca="1">SUM(BT99:BT$124)*SSi</f>
        <v>0</v>
      </c>
      <c r="BV99" s="70">
        <f t="shared" ca="1" si="217"/>
        <v>23393.316142307143</v>
      </c>
      <c r="BW99" s="2">
        <f t="shared" ca="1" si="66"/>
        <v>0</v>
      </c>
      <c r="BX99" s="131">
        <f t="shared" ca="1" si="218"/>
        <v>0</v>
      </c>
      <c r="BY99" s="131">
        <f ca="1">SUM(BX99:BX$124)*SSj</f>
        <v>0</v>
      </c>
      <c r="BZ99" s="70">
        <f t="shared" ca="1" si="219"/>
        <v>23393.316142307143</v>
      </c>
      <c r="CA99" s="2">
        <f t="shared" ca="1" si="67"/>
        <v>0</v>
      </c>
      <c r="CB99" s="131">
        <f t="shared" ca="1" si="220"/>
        <v>0</v>
      </c>
      <c r="CC99" s="131">
        <f ca="1">SUM(CB99:CB$124)*SSk</f>
        <v>0</v>
      </c>
      <c r="CD99" s="8">
        <f t="shared" ca="1" si="221"/>
        <v>23393.316142307143</v>
      </c>
      <c r="CE99" s="2">
        <f t="shared" ca="1" si="68"/>
        <v>0</v>
      </c>
      <c r="CF99" s="131">
        <f t="shared" ca="1" si="222"/>
        <v>0</v>
      </c>
      <c r="CG99" s="131">
        <f ca="1">SUM(CF99:CF$124)*SSl</f>
        <v>0</v>
      </c>
      <c r="CH99" s="155">
        <f t="shared" si="223"/>
        <v>0.01</v>
      </c>
      <c r="CI99" s="155">
        <f t="shared" ca="1" si="224"/>
        <v>0</v>
      </c>
      <c r="CJ99" s="155">
        <f t="shared" ca="1" si="225"/>
        <v>0</v>
      </c>
      <c r="CK99" s="155">
        <f ca="1">유해지!CY99</f>
        <v>0</v>
      </c>
      <c r="CL99" s="529">
        <f t="shared" ca="1" si="184"/>
        <v>0</v>
      </c>
      <c r="CM99" s="155">
        <f t="shared" ca="1" si="226"/>
        <v>0</v>
      </c>
      <c r="CN99" s="155">
        <f ca="1">SUM(CM99:$CM$125)</f>
        <v>0</v>
      </c>
      <c r="CO99" s="101">
        <f t="shared" ca="1" si="227"/>
        <v>0</v>
      </c>
      <c r="CP99" s="154">
        <f t="shared" ca="1" si="185"/>
        <v>0</v>
      </c>
      <c r="CQ99" s="154">
        <f t="shared" ca="1" si="186"/>
        <v>0</v>
      </c>
      <c r="CR99" s="32">
        <f t="shared" ca="1" si="187"/>
        <v>0</v>
      </c>
      <c r="CS99" s="32">
        <f t="shared" ca="1" si="188"/>
        <v>0</v>
      </c>
      <c r="CT99" s="32">
        <f t="shared" ca="1" si="189"/>
        <v>0</v>
      </c>
      <c r="CU99" s="32">
        <f t="shared" ca="1" si="190"/>
        <v>0</v>
      </c>
      <c r="CV99" s="32">
        <f t="shared" si="191"/>
        <v>0</v>
      </c>
      <c r="CW99" s="32">
        <f t="shared" ca="1" si="192"/>
        <v>0</v>
      </c>
      <c r="CX99" s="259">
        <f ca="1">IF(R99&lt;m,0,ROUND(IF($R99&gt;nB,0,GPB*mB*mmB*유해지!CY99),roundB))</f>
        <v>0</v>
      </c>
      <c r="CY99" s="262">
        <f t="shared" ca="1" si="193"/>
        <v>0</v>
      </c>
      <c r="CZ99" s="259" t="e">
        <f t="shared" ca="1" si="194"/>
        <v>#DIV/0!</v>
      </c>
      <c r="DA99" s="31">
        <f t="shared" si="195"/>
        <v>5</v>
      </c>
    </row>
    <row r="100" spans="3:105">
      <c r="N100" s="5">
        <f t="shared" si="228"/>
        <v>88</v>
      </c>
      <c r="O100" s="2">
        <f t="shared" ca="1" si="171"/>
        <v>0.14113285668246378</v>
      </c>
      <c r="P100" s="2">
        <f t="shared" ca="1" si="172"/>
        <v>0.13957141255743954</v>
      </c>
      <c r="Q100" s="91"/>
      <c r="R100" s="20">
        <f t="shared" si="229"/>
        <v>88</v>
      </c>
      <c r="S100" s="20" t="str">
        <f t="shared" si="173"/>
        <v/>
      </c>
      <c r="T100" s="2">
        <f t="shared" ca="1" si="230"/>
        <v>0</v>
      </c>
      <c r="U100" s="2">
        <f t="shared" ca="1" si="230"/>
        <v>0</v>
      </c>
      <c r="V100" s="300">
        <f t="shared" si="174"/>
        <v>0.01</v>
      </c>
      <c r="W100" s="8">
        <f t="shared" si="175"/>
        <v>0</v>
      </c>
      <c r="X100" s="10">
        <f t="shared" ca="1" si="176"/>
        <v>1.0000000000000009E-2</v>
      </c>
      <c r="Y100" s="10">
        <f t="shared" ca="1" si="177"/>
        <v>0</v>
      </c>
      <c r="Z100" s="5">
        <f t="shared" ca="1" si="196"/>
        <v>0</v>
      </c>
      <c r="AA100" s="5">
        <f ca="1">+SUM(Z100:Z$124)</f>
        <v>0</v>
      </c>
      <c r="AB100" s="8">
        <f t="shared" ca="1" si="178"/>
        <v>0</v>
      </c>
      <c r="AC100" s="209">
        <f ca="1">+SUM(AB100:AB$124)*SSSM</f>
        <v>0</v>
      </c>
      <c r="AD100" s="209">
        <f t="shared" si="197"/>
        <v>0</v>
      </c>
      <c r="AE100" s="92">
        <f t="shared" ca="1" si="179"/>
        <v>0</v>
      </c>
      <c r="AF100" s="92">
        <f t="shared" ca="1" si="180"/>
        <v>0</v>
      </c>
      <c r="AG100" s="8">
        <f t="shared" ca="1" si="181"/>
        <v>0</v>
      </c>
      <c r="AH100" s="5">
        <f ca="1">+SUM(AG100:AG$124)</f>
        <v>0</v>
      </c>
      <c r="AI100" s="70">
        <f t="shared" ca="1" si="182"/>
        <v>0</v>
      </c>
      <c r="AJ100" s="208">
        <f ca="1">+SUM(AB100:AB$124)*SS50J</f>
        <v>0</v>
      </c>
      <c r="AK100" s="5">
        <f t="shared" ca="1" si="198"/>
        <v>23159.382980884071</v>
      </c>
      <c r="AL100" s="2">
        <f t="shared" ca="1" si="57"/>
        <v>0</v>
      </c>
      <c r="AM100" s="131">
        <f t="shared" ca="1" si="199"/>
        <v>3268.5498790954025</v>
      </c>
      <c r="AN100" s="129">
        <f t="shared" ca="1" si="200"/>
        <v>0</v>
      </c>
      <c r="AO100" s="129">
        <f ca="1">SUM(AN100:AN$124)*SSa</f>
        <v>0</v>
      </c>
      <c r="AP100" s="70">
        <f t="shared" ca="1" si="201"/>
        <v>23159.382980884071</v>
      </c>
      <c r="AQ100" s="2">
        <f t="shared" ca="1" si="58"/>
        <v>0</v>
      </c>
      <c r="AR100" s="127">
        <f t="shared" ca="1" si="202"/>
        <v>0</v>
      </c>
      <c r="AS100" s="127">
        <f ca="1">SUM(AR100:AR$124)*SSb</f>
        <v>0</v>
      </c>
      <c r="AT100" s="70">
        <f t="shared" ca="1" si="203"/>
        <v>23159.382980884071</v>
      </c>
      <c r="AU100" s="2">
        <f t="shared" ca="1" si="59"/>
        <v>0</v>
      </c>
      <c r="AV100" s="268">
        <f t="shared" ca="1" si="204"/>
        <v>0</v>
      </c>
      <c r="AW100" s="131">
        <f ca="1">SUM(AV100:AV$124)*SSc</f>
        <v>0</v>
      </c>
      <c r="AX100" s="70">
        <f t="shared" ca="1" si="205"/>
        <v>23159.382980884071</v>
      </c>
      <c r="AY100" s="2">
        <f t="shared" ca="1" si="60"/>
        <v>0</v>
      </c>
      <c r="AZ100" s="268">
        <f t="shared" ca="1" si="206"/>
        <v>0</v>
      </c>
      <c r="BA100" s="129">
        <f ca="1">SUM(AZ100:AZ$124)*SSd</f>
        <v>0</v>
      </c>
      <c r="BB100" s="70">
        <f t="shared" ca="1" si="207"/>
        <v>23159.382980884071</v>
      </c>
      <c r="BC100" s="257">
        <f t="shared" ca="1" si="61"/>
        <v>0</v>
      </c>
      <c r="BD100" s="268">
        <f t="shared" ca="1" si="208"/>
        <v>0</v>
      </c>
      <c r="BE100" s="131">
        <f ca="1">SUM(BD100:BD$124)*SSe</f>
        <v>0</v>
      </c>
      <c r="BF100" s="70">
        <f t="shared" ca="1" si="209"/>
        <v>23159.382980884071</v>
      </c>
      <c r="BG100" s="2">
        <f t="shared" ca="1" si="62"/>
        <v>0</v>
      </c>
      <c r="BH100" s="131">
        <f t="shared" ca="1" si="210"/>
        <v>0</v>
      </c>
      <c r="BI100" s="2">
        <f ca="1">SUM(BH100:BH$124)*SSf</f>
        <v>0</v>
      </c>
      <c r="BJ100" s="70">
        <f t="shared" ca="1" si="211"/>
        <v>23159.382980884071</v>
      </c>
      <c r="BK100" s="2">
        <f t="shared" ca="1" si="63"/>
        <v>0</v>
      </c>
      <c r="BL100" s="131">
        <f t="shared" ca="1" si="212"/>
        <v>0</v>
      </c>
      <c r="BM100" s="131">
        <f ca="1">SUM(BL100:BL$124)*SSg</f>
        <v>0</v>
      </c>
      <c r="BN100" s="70">
        <f t="shared" ca="1" si="213"/>
        <v>23159.382980884071</v>
      </c>
      <c r="BO100" s="2">
        <f t="shared" ca="1" si="64"/>
        <v>0</v>
      </c>
      <c r="BP100" s="131">
        <f t="shared" ca="1" si="214"/>
        <v>0</v>
      </c>
      <c r="BQ100" s="131">
        <f ca="1">SUM(BP100:BP$124)*SSh</f>
        <v>0</v>
      </c>
      <c r="BR100" s="70">
        <f t="shared" ca="1" si="215"/>
        <v>23159.382980884071</v>
      </c>
      <c r="BS100" s="2">
        <f t="shared" ca="1" si="183"/>
        <v>0</v>
      </c>
      <c r="BT100" s="131">
        <f t="shared" ca="1" si="216"/>
        <v>0</v>
      </c>
      <c r="BU100" s="131">
        <f ca="1">SUM(BT100:BT$124)*SSi</f>
        <v>0</v>
      </c>
      <c r="BV100" s="70">
        <f t="shared" ca="1" si="217"/>
        <v>23159.382980884071</v>
      </c>
      <c r="BW100" s="2">
        <f t="shared" ca="1" si="66"/>
        <v>0</v>
      </c>
      <c r="BX100" s="131">
        <f t="shared" ca="1" si="218"/>
        <v>0</v>
      </c>
      <c r="BY100" s="131">
        <f ca="1">SUM(BX100:BX$124)*SSj</f>
        <v>0</v>
      </c>
      <c r="BZ100" s="70">
        <f t="shared" ca="1" si="219"/>
        <v>23159.382980884071</v>
      </c>
      <c r="CA100" s="2">
        <f t="shared" ca="1" si="67"/>
        <v>0</v>
      </c>
      <c r="CB100" s="131">
        <f t="shared" ca="1" si="220"/>
        <v>0</v>
      </c>
      <c r="CC100" s="131">
        <f ca="1">SUM(CB100:CB$124)*SSk</f>
        <v>0</v>
      </c>
      <c r="CD100" s="8">
        <f t="shared" ca="1" si="221"/>
        <v>23159.382980884071</v>
      </c>
      <c r="CE100" s="2">
        <f t="shared" ca="1" si="68"/>
        <v>0</v>
      </c>
      <c r="CF100" s="131">
        <f t="shared" ca="1" si="222"/>
        <v>0</v>
      </c>
      <c r="CG100" s="131">
        <f ca="1">SUM(CF100:CF$124)*SSl</f>
        <v>0</v>
      </c>
      <c r="CH100" s="155">
        <f t="shared" si="223"/>
        <v>0.01</v>
      </c>
      <c r="CI100" s="155">
        <f t="shared" ca="1" si="224"/>
        <v>0</v>
      </c>
      <c r="CJ100" s="155">
        <f t="shared" ca="1" si="225"/>
        <v>0</v>
      </c>
      <c r="CK100" s="155">
        <f ca="1">유해지!CY100</f>
        <v>0</v>
      </c>
      <c r="CL100" s="529">
        <f t="shared" ca="1" si="184"/>
        <v>0</v>
      </c>
      <c r="CM100" s="155">
        <f t="shared" ca="1" si="226"/>
        <v>0</v>
      </c>
      <c r="CN100" s="155">
        <f ca="1">SUM(CM100:$CM$125)</f>
        <v>0</v>
      </c>
      <c r="CO100" s="101">
        <f t="shared" ca="1" si="227"/>
        <v>0</v>
      </c>
      <c r="CP100" s="154">
        <f t="shared" ca="1" si="185"/>
        <v>0</v>
      </c>
      <c r="CQ100" s="154">
        <f t="shared" ca="1" si="186"/>
        <v>0</v>
      </c>
      <c r="CR100" s="32">
        <f t="shared" ca="1" si="187"/>
        <v>0</v>
      </c>
      <c r="CS100" s="32">
        <f t="shared" ca="1" si="188"/>
        <v>0</v>
      </c>
      <c r="CT100" s="32">
        <f t="shared" ca="1" si="189"/>
        <v>0</v>
      </c>
      <c r="CU100" s="32">
        <f t="shared" ca="1" si="190"/>
        <v>0</v>
      </c>
      <c r="CV100" s="32">
        <f t="shared" si="191"/>
        <v>0</v>
      </c>
      <c r="CW100" s="32">
        <f t="shared" ca="1" si="192"/>
        <v>0</v>
      </c>
      <c r="CX100" s="259">
        <f ca="1">IF(R100&lt;m,0,ROUND(IF($R100&gt;nB,0,GPB*mB*mmB*유해지!CY100),roundB))</f>
        <v>0</v>
      </c>
      <c r="CY100" s="262">
        <f t="shared" ca="1" si="193"/>
        <v>0</v>
      </c>
      <c r="CZ100" s="259" t="e">
        <f t="shared" ca="1" si="194"/>
        <v>#DIV/0!</v>
      </c>
      <c r="DA100" s="31">
        <f t="shared" si="195"/>
        <v>5</v>
      </c>
    </row>
    <row r="101" spans="3:105">
      <c r="N101" s="5">
        <f t="shared" si="228"/>
        <v>89</v>
      </c>
      <c r="O101" s="2">
        <f t="shared" ca="1" si="171"/>
        <v>0.13802724369923108</v>
      </c>
      <c r="P101" s="2">
        <f t="shared" ca="1" si="172"/>
        <v>0.13650015898038095</v>
      </c>
      <c r="Q101" s="91"/>
      <c r="R101" s="20">
        <f t="shared" si="229"/>
        <v>89</v>
      </c>
      <c r="S101" s="20" t="str">
        <f t="shared" si="173"/>
        <v/>
      </c>
      <c r="T101" s="2">
        <f t="shared" ca="1" si="230"/>
        <v>0</v>
      </c>
      <c r="U101" s="2">
        <f t="shared" ca="1" si="230"/>
        <v>0</v>
      </c>
      <c r="V101" s="300">
        <f t="shared" si="174"/>
        <v>0.01</v>
      </c>
      <c r="W101" s="8">
        <f t="shared" si="175"/>
        <v>0</v>
      </c>
      <c r="X101" s="10">
        <f t="shared" ca="1" si="176"/>
        <v>1.0000000000000009E-2</v>
      </c>
      <c r="Y101" s="10">
        <f t="shared" ca="1" si="177"/>
        <v>0</v>
      </c>
      <c r="Z101" s="5">
        <f t="shared" ca="1" si="196"/>
        <v>0</v>
      </c>
      <c r="AA101" s="5">
        <f ca="1">+SUM(Z101:Z$124)</f>
        <v>0</v>
      </c>
      <c r="AB101" s="8">
        <f t="shared" ca="1" si="178"/>
        <v>0</v>
      </c>
      <c r="AC101" s="209">
        <f ca="1">+SUM(AB101:AB$124)*SSSM</f>
        <v>0</v>
      </c>
      <c r="AD101" s="209">
        <f t="shared" si="197"/>
        <v>0</v>
      </c>
      <c r="AE101" s="92">
        <f t="shared" ca="1" si="179"/>
        <v>0</v>
      </c>
      <c r="AF101" s="92">
        <f t="shared" ca="1" si="180"/>
        <v>0</v>
      </c>
      <c r="AG101" s="8">
        <f t="shared" ca="1" si="181"/>
        <v>0</v>
      </c>
      <c r="AH101" s="5">
        <f ca="1">+SUM(AG101:AG$124)</f>
        <v>0</v>
      </c>
      <c r="AI101" s="70">
        <f t="shared" ca="1" si="182"/>
        <v>0</v>
      </c>
      <c r="AJ101" s="208">
        <f ca="1">+SUM(AB101:AB$124)*SS50J</f>
        <v>0</v>
      </c>
      <c r="AK101" s="5">
        <f t="shared" ca="1" si="198"/>
        <v>22927.789151075231</v>
      </c>
      <c r="AL101" s="2">
        <f t="shared" ca="1" si="57"/>
        <v>0</v>
      </c>
      <c r="AM101" s="131">
        <f t="shared" ca="1" si="199"/>
        <v>3164.6595406400475</v>
      </c>
      <c r="AN101" s="129">
        <f t="shared" ca="1" si="200"/>
        <v>0</v>
      </c>
      <c r="AO101" s="129">
        <f ca="1">SUM(AN101:AN$124)*SSa</f>
        <v>0</v>
      </c>
      <c r="AP101" s="70">
        <f t="shared" ca="1" si="201"/>
        <v>22927.789151075231</v>
      </c>
      <c r="AQ101" s="2">
        <f t="shared" ca="1" si="58"/>
        <v>0</v>
      </c>
      <c r="AR101" s="127">
        <f t="shared" ca="1" si="202"/>
        <v>0</v>
      </c>
      <c r="AS101" s="127">
        <f ca="1">SUM(AR101:AR$124)*SSb</f>
        <v>0</v>
      </c>
      <c r="AT101" s="70">
        <f t="shared" ca="1" si="203"/>
        <v>22927.789151075231</v>
      </c>
      <c r="AU101" s="2">
        <f t="shared" ca="1" si="59"/>
        <v>0</v>
      </c>
      <c r="AV101" s="268">
        <f t="shared" ca="1" si="204"/>
        <v>0</v>
      </c>
      <c r="AW101" s="131">
        <f ca="1">SUM(AV101:AV$124)*SSc</f>
        <v>0</v>
      </c>
      <c r="AX101" s="70">
        <f t="shared" ca="1" si="205"/>
        <v>22927.789151075231</v>
      </c>
      <c r="AY101" s="2">
        <f t="shared" ca="1" si="60"/>
        <v>0</v>
      </c>
      <c r="AZ101" s="268">
        <f t="shared" ca="1" si="206"/>
        <v>0</v>
      </c>
      <c r="BA101" s="129">
        <f ca="1">SUM(AZ101:AZ$124)*SSd</f>
        <v>0</v>
      </c>
      <c r="BB101" s="70">
        <f t="shared" ca="1" si="207"/>
        <v>22927.789151075231</v>
      </c>
      <c r="BC101" s="257">
        <f t="shared" ca="1" si="61"/>
        <v>0</v>
      </c>
      <c r="BD101" s="268">
        <f t="shared" ca="1" si="208"/>
        <v>0</v>
      </c>
      <c r="BE101" s="131">
        <f ca="1">SUM(BD101:BD$124)*SSe</f>
        <v>0</v>
      </c>
      <c r="BF101" s="70">
        <f t="shared" ca="1" si="209"/>
        <v>22927.789151075231</v>
      </c>
      <c r="BG101" s="2">
        <f t="shared" ca="1" si="62"/>
        <v>0</v>
      </c>
      <c r="BH101" s="131">
        <f t="shared" ca="1" si="210"/>
        <v>0</v>
      </c>
      <c r="BI101" s="2">
        <f ca="1">SUM(BH101:BH$124)*SSf</f>
        <v>0</v>
      </c>
      <c r="BJ101" s="70">
        <f t="shared" ca="1" si="211"/>
        <v>22927.789151075231</v>
      </c>
      <c r="BK101" s="2">
        <f t="shared" ca="1" si="63"/>
        <v>0</v>
      </c>
      <c r="BL101" s="131">
        <f t="shared" ca="1" si="212"/>
        <v>0</v>
      </c>
      <c r="BM101" s="131">
        <f ca="1">SUM(BL101:BL$124)*SSg</f>
        <v>0</v>
      </c>
      <c r="BN101" s="70">
        <f t="shared" ca="1" si="213"/>
        <v>22927.789151075231</v>
      </c>
      <c r="BO101" s="2">
        <f t="shared" ca="1" si="64"/>
        <v>0</v>
      </c>
      <c r="BP101" s="131">
        <f t="shared" ca="1" si="214"/>
        <v>0</v>
      </c>
      <c r="BQ101" s="131">
        <f ca="1">SUM(BP101:BP$124)*SSh</f>
        <v>0</v>
      </c>
      <c r="BR101" s="70">
        <f t="shared" ca="1" si="215"/>
        <v>22927.789151075231</v>
      </c>
      <c r="BS101" s="2">
        <f t="shared" ca="1" si="183"/>
        <v>0</v>
      </c>
      <c r="BT101" s="131">
        <f t="shared" ca="1" si="216"/>
        <v>0</v>
      </c>
      <c r="BU101" s="131">
        <f ca="1">SUM(BT101:BT$124)*SSi</f>
        <v>0</v>
      </c>
      <c r="BV101" s="70">
        <f t="shared" ca="1" si="217"/>
        <v>22927.789151075231</v>
      </c>
      <c r="BW101" s="2">
        <f t="shared" ca="1" si="66"/>
        <v>0</v>
      </c>
      <c r="BX101" s="131">
        <f t="shared" ca="1" si="218"/>
        <v>0</v>
      </c>
      <c r="BY101" s="131">
        <f ca="1">SUM(BX101:BX$124)*SSj</f>
        <v>0</v>
      </c>
      <c r="BZ101" s="70">
        <f t="shared" ca="1" si="219"/>
        <v>22927.789151075231</v>
      </c>
      <c r="CA101" s="2">
        <f t="shared" ca="1" si="67"/>
        <v>0</v>
      </c>
      <c r="CB101" s="131">
        <f t="shared" ca="1" si="220"/>
        <v>0</v>
      </c>
      <c r="CC101" s="131">
        <f ca="1">SUM(CB101:CB$124)*SSk</f>
        <v>0</v>
      </c>
      <c r="CD101" s="8">
        <f t="shared" ca="1" si="221"/>
        <v>22927.789151075231</v>
      </c>
      <c r="CE101" s="2">
        <f t="shared" ca="1" si="68"/>
        <v>0</v>
      </c>
      <c r="CF101" s="131">
        <f t="shared" ca="1" si="222"/>
        <v>0</v>
      </c>
      <c r="CG101" s="131">
        <f ca="1">SUM(CF101:CF$124)*SSl</f>
        <v>0</v>
      </c>
      <c r="CH101" s="155">
        <f t="shared" si="223"/>
        <v>0.01</v>
      </c>
      <c r="CI101" s="155">
        <f t="shared" ca="1" si="224"/>
        <v>0</v>
      </c>
      <c r="CJ101" s="155">
        <f t="shared" ca="1" si="225"/>
        <v>0</v>
      </c>
      <c r="CK101" s="155">
        <f ca="1">유해지!CY101</f>
        <v>0</v>
      </c>
      <c r="CL101" s="529">
        <f t="shared" ca="1" si="184"/>
        <v>0</v>
      </c>
      <c r="CM101" s="155">
        <f t="shared" ca="1" si="226"/>
        <v>0</v>
      </c>
      <c r="CN101" s="155">
        <f ca="1">SUM(CM101:$CM$125)</f>
        <v>0</v>
      </c>
      <c r="CO101" s="101">
        <f t="shared" ca="1" si="227"/>
        <v>0</v>
      </c>
      <c r="CP101" s="154">
        <f t="shared" ca="1" si="185"/>
        <v>0</v>
      </c>
      <c r="CQ101" s="154">
        <f t="shared" ca="1" si="186"/>
        <v>0</v>
      </c>
      <c r="CR101" s="32">
        <f t="shared" ca="1" si="187"/>
        <v>0</v>
      </c>
      <c r="CS101" s="32">
        <f t="shared" ca="1" si="188"/>
        <v>0</v>
      </c>
      <c r="CT101" s="32">
        <f t="shared" ca="1" si="189"/>
        <v>0</v>
      </c>
      <c r="CU101" s="32">
        <f t="shared" ca="1" si="190"/>
        <v>0</v>
      </c>
      <c r="CV101" s="32">
        <f t="shared" si="191"/>
        <v>0</v>
      </c>
      <c r="CW101" s="32">
        <f t="shared" ca="1" si="192"/>
        <v>0</v>
      </c>
      <c r="CX101" s="259">
        <f ca="1">IF(R101&lt;m,0,ROUND(IF($R101&gt;nB,0,GPB*mB*mmB*유해지!CY101),roundB))</f>
        <v>0</v>
      </c>
      <c r="CY101" s="262">
        <f t="shared" ca="1" si="193"/>
        <v>0</v>
      </c>
      <c r="CZ101" s="259" t="e">
        <f t="shared" ca="1" si="194"/>
        <v>#DIV/0!</v>
      </c>
      <c r="DA101" s="31">
        <f t="shared" si="195"/>
        <v>5</v>
      </c>
    </row>
    <row r="102" spans="3:105">
      <c r="N102" s="5">
        <f t="shared" si="228"/>
        <v>90</v>
      </c>
      <c r="O102" s="2">
        <f t="shared" ca="1" si="171"/>
        <v>0.13498996938800106</v>
      </c>
      <c r="P102" s="2">
        <f t="shared" ca="1" si="172"/>
        <v>0.13349648800037262</v>
      </c>
      <c r="Q102" s="91"/>
      <c r="R102" s="20">
        <f t="shared" si="229"/>
        <v>90</v>
      </c>
      <c r="S102" s="20" t="str">
        <f t="shared" si="173"/>
        <v/>
      </c>
      <c r="T102" s="2">
        <f t="shared" ca="1" si="230"/>
        <v>0</v>
      </c>
      <c r="U102" s="2">
        <f t="shared" ca="1" si="230"/>
        <v>0</v>
      </c>
      <c r="V102" s="300">
        <f t="shared" si="174"/>
        <v>0.01</v>
      </c>
      <c r="W102" s="8">
        <f t="shared" si="175"/>
        <v>0</v>
      </c>
      <c r="X102" s="10">
        <f t="shared" ca="1" si="176"/>
        <v>1.0000000000000009E-2</v>
      </c>
      <c r="Y102" s="10">
        <f t="shared" ca="1" si="177"/>
        <v>0</v>
      </c>
      <c r="Z102" s="5">
        <f t="shared" ca="1" si="196"/>
        <v>0</v>
      </c>
      <c r="AA102" s="5">
        <f ca="1">+SUM(Z102:Z$124)</f>
        <v>0</v>
      </c>
      <c r="AB102" s="8">
        <f t="shared" ca="1" si="178"/>
        <v>0</v>
      </c>
      <c r="AC102" s="209">
        <f ca="1">+SUM(AB102:AB$124)*SSSM</f>
        <v>0</v>
      </c>
      <c r="AD102" s="209">
        <f t="shared" si="197"/>
        <v>0</v>
      </c>
      <c r="AE102" s="92">
        <f t="shared" ca="1" si="179"/>
        <v>0</v>
      </c>
      <c r="AF102" s="92">
        <f t="shared" ca="1" si="180"/>
        <v>0</v>
      </c>
      <c r="AG102" s="8">
        <f t="shared" ca="1" si="181"/>
        <v>0</v>
      </c>
      <c r="AH102" s="5">
        <f ca="1">+SUM(AG102:AG$124)</f>
        <v>0</v>
      </c>
      <c r="AI102" s="70">
        <f t="shared" ca="1" si="182"/>
        <v>0</v>
      </c>
      <c r="AJ102" s="208">
        <f ca="1">+SUM(AB102:AB$124)*SS50J</f>
        <v>0</v>
      </c>
      <c r="AK102" s="5">
        <f t="shared" ca="1" si="198"/>
        <v>22698.511259564479</v>
      </c>
      <c r="AL102" s="2">
        <f t="shared" ca="1" si="57"/>
        <v>0</v>
      </c>
      <c r="AM102" s="131">
        <f t="shared" ca="1" si="199"/>
        <v>3064.0713400818063</v>
      </c>
      <c r="AN102" s="129">
        <f t="shared" ca="1" si="200"/>
        <v>0</v>
      </c>
      <c r="AO102" s="129">
        <f ca="1">SUM(AN102:AN$124)*SSa</f>
        <v>0</v>
      </c>
      <c r="AP102" s="70">
        <f t="shared" ca="1" si="201"/>
        <v>22698.511259564479</v>
      </c>
      <c r="AQ102" s="2">
        <f t="shared" ca="1" si="58"/>
        <v>0</v>
      </c>
      <c r="AR102" s="127">
        <f t="shared" ca="1" si="202"/>
        <v>0</v>
      </c>
      <c r="AS102" s="127">
        <f ca="1">SUM(AR102:AR$124)*SSb</f>
        <v>0</v>
      </c>
      <c r="AT102" s="70">
        <f t="shared" ca="1" si="203"/>
        <v>22698.511259564479</v>
      </c>
      <c r="AU102" s="2">
        <f t="shared" ca="1" si="59"/>
        <v>0</v>
      </c>
      <c r="AV102" s="268">
        <f t="shared" ca="1" si="204"/>
        <v>0</v>
      </c>
      <c r="AW102" s="131">
        <f ca="1">SUM(AV102:AV$124)*SSc</f>
        <v>0</v>
      </c>
      <c r="AX102" s="70">
        <f t="shared" ca="1" si="205"/>
        <v>22698.511259564479</v>
      </c>
      <c r="AY102" s="2">
        <f t="shared" ca="1" si="60"/>
        <v>0</v>
      </c>
      <c r="AZ102" s="268">
        <f t="shared" ca="1" si="206"/>
        <v>0</v>
      </c>
      <c r="BA102" s="129">
        <f ca="1">SUM(AZ102:AZ$124)*SSd</f>
        <v>0</v>
      </c>
      <c r="BB102" s="70">
        <f t="shared" ca="1" si="207"/>
        <v>22698.511259564479</v>
      </c>
      <c r="BC102" s="257">
        <f t="shared" ca="1" si="61"/>
        <v>0</v>
      </c>
      <c r="BD102" s="268">
        <f t="shared" ca="1" si="208"/>
        <v>0</v>
      </c>
      <c r="BE102" s="131">
        <f ca="1">SUM(BD102:BD$124)*SSe</f>
        <v>0</v>
      </c>
      <c r="BF102" s="70">
        <f t="shared" ca="1" si="209"/>
        <v>22698.511259564479</v>
      </c>
      <c r="BG102" s="2">
        <f t="shared" ca="1" si="62"/>
        <v>0</v>
      </c>
      <c r="BH102" s="131">
        <f t="shared" ca="1" si="210"/>
        <v>0</v>
      </c>
      <c r="BI102" s="2">
        <f ca="1">SUM(BH102:BH$124)*SSf</f>
        <v>0</v>
      </c>
      <c r="BJ102" s="70">
        <f t="shared" ca="1" si="211"/>
        <v>22698.511259564479</v>
      </c>
      <c r="BK102" s="2">
        <f t="shared" ca="1" si="63"/>
        <v>0</v>
      </c>
      <c r="BL102" s="131">
        <f t="shared" ca="1" si="212"/>
        <v>0</v>
      </c>
      <c r="BM102" s="131">
        <f ca="1">SUM(BL102:BL$124)*SSg</f>
        <v>0</v>
      </c>
      <c r="BN102" s="70">
        <f t="shared" ca="1" si="213"/>
        <v>22698.511259564479</v>
      </c>
      <c r="BO102" s="2">
        <f t="shared" ca="1" si="64"/>
        <v>0</v>
      </c>
      <c r="BP102" s="131">
        <f t="shared" ca="1" si="214"/>
        <v>0</v>
      </c>
      <c r="BQ102" s="131">
        <f ca="1">SUM(BP102:BP$124)*SSh</f>
        <v>0</v>
      </c>
      <c r="BR102" s="70">
        <f t="shared" ca="1" si="215"/>
        <v>22698.511259564479</v>
      </c>
      <c r="BS102" s="2">
        <f t="shared" ca="1" si="183"/>
        <v>0</v>
      </c>
      <c r="BT102" s="131">
        <f t="shared" ca="1" si="216"/>
        <v>0</v>
      </c>
      <c r="BU102" s="131">
        <f ca="1">SUM(BT102:BT$124)*SSi</f>
        <v>0</v>
      </c>
      <c r="BV102" s="70">
        <f t="shared" ca="1" si="217"/>
        <v>22698.511259564479</v>
      </c>
      <c r="BW102" s="2">
        <f t="shared" ca="1" si="66"/>
        <v>0</v>
      </c>
      <c r="BX102" s="131">
        <f t="shared" ca="1" si="218"/>
        <v>0</v>
      </c>
      <c r="BY102" s="131">
        <f ca="1">SUM(BX102:BX$124)*SSj</f>
        <v>0</v>
      </c>
      <c r="BZ102" s="70">
        <f t="shared" ca="1" si="219"/>
        <v>22698.511259564479</v>
      </c>
      <c r="CA102" s="2">
        <f t="shared" ca="1" si="67"/>
        <v>0</v>
      </c>
      <c r="CB102" s="131">
        <f t="shared" ca="1" si="220"/>
        <v>0</v>
      </c>
      <c r="CC102" s="131">
        <f ca="1">SUM(CB102:CB$124)*SSk</f>
        <v>0</v>
      </c>
      <c r="CD102" s="8">
        <f t="shared" ca="1" si="221"/>
        <v>22698.511259564479</v>
      </c>
      <c r="CE102" s="2">
        <f t="shared" ca="1" si="68"/>
        <v>0</v>
      </c>
      <c r="CF102" s="131">
        <f t="shared" ca="1" si="222"/>
        <v>0</v>
      </c>
      <c r="CG102" s="131">
        <f ca="1">SUM(CF102:CF$124)*SSl</f>
        <v>0</v>
      </c>
      <c r="CH102" s="155">
        <f t="shared" si="223"/>
        <v>0.01</v>
      </c>
      <c r="CI102" s="155">
        <f t="shared" ca="1" si="224"/>
        <v>0</v>
      </c>
      <c r="CJ102" s="155">
        <f t="shared" ca="1" si="225"/>
        <v>0</v>
      </c>
      <c r="CK102" s="155">
        <f ca="1">유해지!CY102</f>
        <v>0</v>
      </c>
      <c r="CL102" s="529">
        <f t="shared" ca="1" si="184"/>
        <v>0</v>
      </c>
      <c r="CM102" s="155">
        <f t="shared" ca="1" si="226"/>
        <v>0</v>
      </c>
      <c r="CN102" s="155">
        <f ca="1">SUM(CM102:$CM$125)</f>
        <v>0</v>
      </c>
      <c r="CO102" s="101">
        <f t="shared" ca="1" si="227"/>
        <v>0</v>
      </c>
      <c r="CP102" s="154">
        <f t="shared" ca="1" si="185"/>
        <v>0</v>
      </c>
      <c r="CQ102" s="154">
        <f t="shared" ca="1" si="186"/>
        <v>0</v>
      </c>
      <c r="CR102" s="32">
        <f t="shared" ca="1" si="187"/>
        <v>0</v>
      </c>
      <c r="CS102" s="32">
        <f t="shared" ca="1" si="188"/>
        <v>0</v>
      </c>
      <c r="CT102" s="32">
        <f t="shared" ca="1" si="189"/>
        <v>0</v>
      </c>
      <c r="CU102" s="32">
        <f t="shared" ca="1" si="190"/>
        <v>0</v>
      </c>
      <c r="CV102" s="32">
        <f t="shared" si="191"/>
        <v>0</v>
      </c>
      <c r="CW102" s="32">
        <f t="shared" ca="1" si="192"/>
        <v>0</v>
      </c>
      <c r="CX102" s="259">
        <f ca="1">IF(R102&lt;m,0,ROUND(IF($R102&gt;nB,0,GPB*mB*mmB*유해지!CY102),roundB))</f>
        <v>0</v>
      </c>
      <c r="CY102" s="262">
        <f t="shared" ca="1" si="193"/>
        <v>0</v>
      </c>
      <c r="CZ102" s="259" t="e">
        <f t="shared" ca="1" si="194"/>
        <v>#DIV/0!</v>
      </c>
      <c r="DA102" s="31">
        <f t="shared" si="195"/>
        <v>5</v>
      </c>
    </row>
    <row r="103" spans="3:105">
      <c r="N103" s="5">
        <f t="shared" si="228"/>
        <v>91</v>
      </c>
      <c r="O103" s="2">
        <f t="shared" ca="1" si="171"/>
        <v>0.13201952996381525</v>
      </c>
      <c r="P103" s="2">
        <f t="shared" ca="1" si="172"/>
        <v>0.13055891246980203</v>
      </c>
      <c r="Q103" s="91"/>
      <c r="R103" s="20">
        <f t="shared" si="229"/>
        <v>91</v>
      </c>
      <c r="S103" s="20" t="str">
        <f t="shared" si="173"/>
        <v/>
      </c>
      <c r="T103" s="2">
        <f t="shared" ca="1" si="230"/>
        <v>0</v>
      </c>
      <c r="U103" s="2">
        <f t="shared" ca="1" si="230"/>
        <v>0</v>
      </c>
      <c r="V103" s="300">
        <f t="shared" si="174"/>
        <v>0.01</v>
      </c>
      <c r="W103" s="8">
        <f t="shared" si="175"/>
        <v>0</v>
      </c>
      <c r="X103" s="10">
        <f t="shared" ca="1" si="176"/>
        <v>1.0000000000000009E-2</v>
      </c>
      <c r="Y103" s="10">
        <f t="shared" ca="1" si="177"/>
        <v>0</v>
      </c>
      <c r="Z103" s="5">
        <f t="shared" ca="1" si="196"/>
        <v>0</v>
      </c>
      <c r="AA103" s="5">
        <f ca="1">+SUM(Z103:Z$124)</f>
        <v>0</v>
      </c>
      <c r="AB103" s="8">
        <f t="shared" ca="1" si="178"/>
        <v>0</v>
      </c>
      <c r="AC103" s="209">
        <f ca="1">+SUM(AB103:AB$124)*SSSM</f>
        <v>0</v>
      </c>
      <c r="AD103" s="209">
        <f t="shared" si="197"/>
        <v>0</v>
      </c>
      <c r="AE103" s="92">
        <f t="shared" ca="1" si="179"/>
        <v>0</v>
      </c>
      <c r="AF103" s="92">
        <f t="shared" ca="1" si="180"/>
        <v>0</v>
      </c>
      <c r="AG103" s="8">
        <f t="shared" ca="1" si="181"/>
        <v>0</v>
      </c>
      <c r="AH103" s="5">
        <f ca="1">+SUM(AG103:AG$124)</f>
        <v>0</v>
      </c>
      <c r="AI103" s="70">
        <f t="shared" ca="1" si="182"/>
        <v>0</v>
      </c>
      <c r="AJ103" s="208">
        <f ca="1">+SUM(AB103:AB$124)*SS50J</f>
        <v>0</v>
      </c>
      <c r="AK103" s="5">
        <f t="shared" ca="1" si="198"/>
        <v>22471.526146968834</v>
      </c>
      <c r="AL103" s="2">
        <f t="shared" ca="1" si="57"/>
        <v>0</v>
      </c>
      <c r="AM103" s="131">
        <f t="shared" ca="1" si="199"/>
        <v>2966.6803194924096</v>
      </c>
      <c r="AN103" s="129">
        <f t="shared" ca="1" si="200"/>
        <v>0</v>
      </c>
      <c r="AO103" s="129">
        <f ca="1">SUM(AN103:AN$124)*SSa</f>
        <v>0</v>
      </c>
      <c r="AP103" s="70">
        <f t="shared" ca="1" si="201"/>
        <v>22471.526146968834</v>
      </c>
      <c r="AQ103" s="2">
        <f t="shared" ca="1" si="58"/>
        <v>0</v>
      </c>
      <c r="AR103" s="127">
        <f t="shared" ca="1" si="202"/>
        <v>0</v>
      </c>
      <c r="AS103" s="127">
        <f ca="1">SUM(AR103:AR$124)*SSb</f>
        <v>0</v>
      </c>
      <c r="AT103" s="70">
        <f t="shared" ca="1" si="203"/>
        <v>22471.526146968834</v>
      </c>
      <c r="AU103" s="2">
        <f t="shared" ca="1" si="59"/>
        <v>0</v>
      </c>
      <c r="AV103" s="268">
        <f t="shared" ca="1" si="204"/>
        <v>0</v>
      </c>
      <c r="AW103" s="131">
        <f ca="1">SUM(AV103:AV$124)*SSc</f>
        <v>0</v>
      </c>
      <c r="AX103" s="70">
        <f t="shared" ca="1" si="205"/>
        <v>22471.526146968834</v>
      </c>
      <c r="AY103" s="2">
        <f t="shared" ca="1" si="60"/>
        <v>0</v>
      </c>
      <c r="AZ103" s="268">
        <f t="shared" ca="1" si="206"/>
        <v>0</v>
      </c>
      <c r="BA103" s="129">
        <f ca="1">SUM(AZ103:AZ$124)*SSd</f>
        <v>0</v>
      </c>
      <c r="BB103" s="70">
        <f t="shared" ca="1" si="207"/>
        <v>22471.526146968834</v>
      </c>
      <c r="BC103" s="257">
        <f t="shared" ca="1" si="61"/>
        <v>0</v>
      </c>
      <c r="BD103" s="268">
        <f t="shared" ca="1" si="208"/>
        <v>0</v>
      </c>
      <c r="BE103" s="131">
        <f ca="1">SUM(BD103:BD$124)*SSe</f>
        <v>0</v>
      </c>
      <c r="BF103" s="70">
        <f t="shared" ca="1" si="209"/>
        <v>22471.526146968834</v>
      </c>
      <c r="BG103" s="2">
        <f t="shared" ca="1" si="62"/>
        <v>0</v>
      </c>
      <c r="BH103" s="131">
        <f t="shared" ca="1" si="210"/>
        <v>0</v>
      </c>
      <c r="BI103" s="2">
        <f ca="1">SUM(BH103:BH$124)*SSf</f>
        <v>0</v>
      </c>
      <c r="BJ103" s="70">
        <f t="shared" ca="1" si="211"/>
        <v>22471.526146968834</v>
      </c>
      <c r="BK103" s="2">
        <f t="shared" ca="1" si="63"/>
        <v>0</v>
      </c>
      <c r="BL103" s="131">
        <f t="shared" ca="1" si="212"/>
        <v>0</v>
      </c>
      <c r="BM103" s="131">
        <f ca="1">SUM(BL103:BL$124)*SSg</f>
        <v>0</v>
      </c>
      <c r="BN103" s="70">
        <f t="shared" ca="1" si="213"/>
        <v>22471.526146968834</v>
      </c>
      <c r="BO103" s="2">
        <f t="shared" ca="1" si="64"/>
        <v>0</v>
      </c>
      <c r="BP103" s="131">
        <f t="shared" ca="1" si="214"/>
        <v>0</v>
      </c>
      <c r="BQ103" s="131">
        <f ca="1">SUM(BP103:BP$124)*SSh</f>
        <v>0</v>
      </c>
      <c r="BR103" s="70">
        <f t="shared" ca="1" si="215"/>
        <v>22471.526146968834</v>
      </c>
      <c r="BS103" s="2">
        <f t="shared" ca="1" si="183"/>
        <v>0</v>
      </c>
      <c r="BT103" s="131">
        <f t="shared" ca="1" si="216"/>
        <v>0</v>
      </c>
      <c r="BU103" s="131">
        <f ca="1">SUM(BT103:BT$124)*SSi</f>
        <v>0</v>
      </c>
      <c r="BV103" s="70">
        <f t="shared" ca="1" si="217"/>
        <v>22471.526146968834</v>
      </c>
      <c r="BW103" s="2">
        <f t="shared" ca="1" si="66"/>
        <v>0</v>
      </c>
      <c r="BX103" s="131">
        <f t="shared" ca="1" si="218"/>
        <v>0</v>
      </c>
      <c r="BY103" s="131">
        <f ca="1">SUM(BX103:BX$124)*SSj</f>
        <v>0</v>
      </c>
      <c r="BZ103" s="70">
        <f t="shared" ca="1" si="219"/>
        <v>22471.526146968834</v>
      </c>
      <c r="CA103" s="2">
        <f t="shared" ca="1" si="67"/>
        <v>0</v>
      </c>
      <c r="CB103" s="131">
        <f t="shared" ca="1" si="220"/>
        <v>0</v>
      </c>
      <c r="CC103" s="131">
        <f ca="1">SUM(CB103:CB$124)*SSk</f>
        <v>0</v>
      </c>
      <c r="CD103" s="8">
        <f t="shared" ca="1" si="221"/>
        <v>22471.526146968834</v>
      </c>
      <c r="CE103" s="2">
        <f t="shared" ca="1" si="68"/>
        <v>0</v>
      </c>
      <c r="CF103" s="131">
        <f t="shared" ca="1" si="222"/>
        <v>0</v>
      </c>
      <c r="CG103" s="131">
        <f ca="1">SUM(CF103:CF$124)*SSl</f>
        <v>0</v>
      </c>
      <c r="CH103" s="155">
        <f t="shared" si="223"/>
        <v>0.01</v>
      </c>
      <c r="CI103" s="155">
        <f t="shared" ca="1" si="224"/>
        <v>0</v>
      </c>
      <c r="CJ103" s="155">
        <f t="shared" ca="1" si="225"/>
        <v>0</v>
      </c>
      <c r="CK103" s="155">
        <f ca="1">유해지!CY103</f>
        <v>0</v>
      </c>
      <c r="CL103" s="529">
        <f t="shared" ca="1" si="184"/>
        <v>0</v>
      </c>
      <c r="CM103" s="155">
        <f t="shared" ca="1" si="226"/>
        <v>0</v>
      </c>
      <c r="CN103" s="155">
        <f ca="1">SUM(CM103:$CM$125)</f>
        <v>0</v>
      </c>
      <c r="CO103" s="101">
        <f t="shared" ca="1" si="227"/>
        <v>0</v>
      </c>
      <c r="CP103" s="154">
        <f t="shared" ca="1" si="185"/>
        <v>0</v>
      </c>
      <c r="CQ103" s="154">
        <f t="shared" ca="1" si="186"/>
        <v>0</v>
      </c>
      <c r="CR103" s="32">
        <f t="shared" ca="1" si="187"/>
        <v>0</v>
      </c>
      <c r="CS103" s="32">
        <f t="shared" ca="1" si="188"/>
        <v>0</v>
      </c>
      <c r="CT103" s="32">
        <f t="shared" ca="1" si="189"/>
        <v>0</v>
      </c>
      <c r="CU103" s="32">
        <f t="shared" ca="1" si="190"/>
        <v>0</v>
      </c>
      <c r="CV103" s="32">
        <f t="shared" si="191"/>
        <v>0</v>
      </c>
      <c r="CW103" s="32">
        <f t="shared" ca="1" si="192"/>
        <v>0</v>
      </c>
      <c r="CX103" s="259">
        <f ca="1">IF(R103&lt;m,0,ROUND(IF($R103&gt;nB,0,GPB*mB*mmB*유해지!CY103),roundB))</f>
        <v>0</v>
      </c>
      <c r="CY103" s="262">
        <f t="shared" ca="1" si="193"/>
        <v>0</v>
      </c>
      <c r="CZ103" s="259" t="e">
        <f t="shared" ca="1" si="194"/>
        <v>#DIV/0!</v>
      </c>
      <c r="DA103" s="31">
        <f t="shared" si="195"/>
        <v>5</v>
      </c>
    </row>
    <row r="104" spans="3:105">
      <c r="N104" s="5">
        <f t="shared" si="228"/>
        <v>92</v>
      </c>
      <c r="O104" s="2">
        <f t="shared" ca="1" si="171"/>
        <v>0.12911445473233762</v>
      </c>
      <c r="P104" s="2">
        <f t="shared" ca="1" si="172"/>
        <v>0.12768597796557657</v>
      </c>
      <c r="Q104" s="91"/>
      <c r="R104" s="20">
        <f t="shared" si="229"/>
        <v>92</v>
      </c>
      <c r="S104" s="20" t="str">
        <f t="shared" si="173"/>
        <v/>
      </c>
      <c r="T104" s="2">
        <f t="shared" ca="1" si="230"/>
        <v>0</v>
      </c>
      <c r="U104" s="2">
        <f t="shared" ca="1" si="230"/>
        <v>0</v>
      </c>
      <c r="V104" s="300">
        <f t="shared" si="174"/>
        <v>0.01</v>
      </c>
      <c r="W104" s="8">
        <f t="shared" si="175"/>
        <v>0</v>
      </c>
      <c r="X104" s="10">
        <f t="shared" ca="1" si="176"/>
        <v>1.0000000000000009E-2</v>
      </c>
      <c r="Y104" s="10">
        <f t="shared" ca="1" si="177"/>
        <v>0</v>
      </c>
      <c r="Z104" s="5">
        <f t="shared" ca="1" si="196"/>
        <v>0</v>
      </c>
      <c r="AA104" s="5">
        <f ca="1">+SUM(Z104:Z$124)</f>
        <v>0</v>
      </c>
      <c r="AB104" s="8">
        <f t="shared" ca="1" si="178"/>
        <v>0</v>
      </c>
      <c r="AC104" s="209">
        <f ca="1">+SUM(AB104:AB$124)*SSSM</f>
        <v>0</v>
      </c>
      <c r="AD104" s="209">
        <f t="shared" si="197"/>
        <v>0</v>
      </c>
      <c r="AE104" s="92">
        <f t="shared" ca="1" si="179"/>
        <v>0</v>
      </c>
      <c r="AF104" s="92">
        <f t="shared" ca="1" si="180"/>
        <v>0</v>
      </c>
      <c r="AG104" s="8">
        <f t="shared" ca="1" si="181"/>
        <v>0</v>
      </c>
      <c r="AH104" s="5">
        <f ca="1">+SUM(AG104:AG$124)</f>
        <v>0</v>
      </c>
      <c r="AI104" s="70">
        <f t="shared" ca="1" si="182"/>
        <v>0</v>
      </c>
      <c r="AJ104" s="208">
        <f ca="1">+SUM(AB104:AB$124)*SS50J</f>
        <v>0</v>
      </c>
      <c r="AK104" s="5">
        <f t="shared" ca="1" si="198"/>
        <v>22246.810885499144</v>
      </c>
      <c r="AL104" s="2">
        <f t="shared" ca="1" si="57"/>
        <v>0</v>
      </c>
      <c r="AM104" s="131">
        <f t="shared" ca="1" si="199"/>
        <v>2872.3848570146552</v>
      </c>
      <c r="AN104" s="129">
        <f t="shared" ca="1" si="200"/>
        <v>0</v>
      </c>
      <c r="AO104" s="129">
        <f ca="1">SUM(AN104:AN$124)*SSa</f>
        <v>0</v>
      </c>
      <c r="AP104" s="70">
        <f t="shared" ca="1" si="201"/>
        <v>22246.810885499144</v>
      </c>
      <c r="AQ104" s="2">
        <f t="shared" ca="1" si="58"/>
        <v>0</v>
      </c>
      <c r="AR104" s="127">
        <f t="shared" ca="1" si="202"/>
        <v>0</v>
      </c>
      <c r="AS104" s="127">
        <f ca="1">SUM(AR104:AR$124)*SSb</f>
        <v>0</v>
      </c>
      <c r="AT104" s="70">
        <f t="shared" ca="1" si="203"/>
        <v>22246.810885499144</v>
      </c>
      <c r="AU104" s="2">
        <f t="shared" ca="1" si="59"/>
        <v>0</v>
      </c>
      <c r="AV104" s="268">
        <f t="shared" ca="1" si="204"/>
        <v>0</v>
      </c>
      <c r="AW104" s="131">
        <f ca="1">SUM(AV104:AV$124)*SSc</f>
        <v>0</v>
      </c>
      <c r="AX104" s="70">
        <f t="shared" ca="1" si="205"/>
        <v>22246.810885499144</v>
      </c>
      <c r="AY104" s="2">
        <f t="shared" ca="1" si="60"/>
        <v>0</v>
      </c>
      <c r="AZ104" s="268">
        <f t="shared" ca="1" si="206"/>
        <v>0</v>
      </c>
      <c r="BA104" s="129">
        <f ca="1">SUM(AZ104:AZ$124)*SSd</f>
        <v>0</v>
      </c>
      <c r="BB104" s="70">
        <f t="shared" ca="1" si="207"/>
        <v>22246.810885499144</v>
      </c>
      <c r="BC104" s="257">
        <f t="shared" ca="1" si="61"/>
        <v>0</v>
      </c>
      <c r="BD104" s="268">
        <f t="shared" ca="1" si="208"/>
        <v>0</v>
      </c>
      <c r="BE104" s="131">
        <f ca="1">SUM(BD104:BD$124)*SSe</f>
        <v>0</v>
      </c>
      <c r="BF104" s="70">
        <f t="shared" ca="1" si="209"/>
        <v>22246.810885499144</v>
      </c>
      <c r="BG104" s="2">
        <f t="shared" ca="1" si="62"/>
        <v>0</v>
      </c>
      <c r="BH104" s="131">
        <f t="shared" ca="1" si="210"/>
        <v>0</v>
      </c>
      <c r="BI104" s="2">
        <f ca="1">SUM(BH104:BH$124)*SSf</f>
        <v>0</v>
      </c>
      <c r="BJ104" s="70">
        <f t="shared" ca="1" si="211"/>
        <v>22246.810885499144</v>
      </c>
      <c r="BK104" s="2">
        <f t="shared" ca="1" si="63"/>
        <v>0</v>
      </c>
      <c r="BL104" s="131">
        <f t="shared" ca="1" si="212"/>
        <v>0</v>
      </c>
      <c r="BM104" s="131">
        <f ca="1">SUM(BL104:BL$124)*SSg</f>
        <v>0</v>
      </c>
      <c r="BN104" s="70">
        <f t="shared" ca="1" si="213"/>
        <v>22246.810885499144</v>
      </c>
      <c r="BO104" s="2">
        <f t="shared" ca="1" si="64"/>
        <v>0</v>
      </c>
      <c r="BP104" s="131">
        <f t="shared" ca="1" si="214"/>
        <v>0</v>
      </c>
      <c r="BQ104" s="131">
        <f ca="1">SUM(BP104:BP$124)*SSh</f>
        <v>0</v>
      </c>
      <c r="BR104" s="70">
        <f t="shared" ca="1" si="215"/>
        <v>22246.810885499144</v>
      </c>
      <c r="BS104" s="2">
        <f t="shared" ca="1" si="183"/>
        <v>0</v>
      </c>
      <c r="BT104" s="131">
        <f t="shared" ca="1" si="216"/>
        <v>0</v>
      </c>
      <c r="BU104" s="131">
        <f ca="1">SUM(BT104:BT$124)*SSi</f>
        <v>0</v>
      </c>
      <c r="BV104" s="70">
        <f t="shared" ca="1" si="217"/>
        <v>22246.810885499144</v>
      </c>
      <c r="BW104" s="2">
        <f t="shared" ca="1" si="66"/>
        <v>0</v>
      </c>
      <c r="BX104" s="131">
        <f t="shared" ca="1" si="218"/>
        <v>0</v>
      </c>
      <c r="BY104" s="131">
        <f ca="1">SUM(BX104:BX$124)*SSj</f>
        <v>0</v>
      </c>
      <c r="BZ104" s="70">
        <f t="shared" ca="1" si="219"/>
        <v>22246.810885499144</v>
      </c>
      <c r="CA104" s="2">
        <f t="shared" ca="1" si="67"/>
        <v>0</v>
      </c>
      <c r="CB104" s="131">
        <f t="shared" ca="1" si="220"/>
        <v>0</v>
      </c>
      <c r="CC104" s="131">
        <f ca="1">SUM(CB104:CB$124)*SSk</f>
        <v>0</v>
      </c>
      <c r="CD104" s="8">
        <f t="shared" ca="1" si="221"/>
        <v>22246.810885499144</v>
      </c>
      <c r="CE104" s="2">
        <f t="shared" ca="1" si="68"/>
        <v>0</v>
      </c>
      <c r="CF104" s="131">
        <f t="shared" ca="1" si="222"/>
        <v>0</v>
      </c>
      <c r="CG104" s="131">
        <f ca="1">SUM(CF104:CF$124)*SSl</f>
        <v>0</v>
      </c>
      <c r="CH104" s="155">
        <f t="shared" si="223"/>
        <v>0.01</v>
      </c>
      <c r="CI104" s="155">
        <f t="shared" ca="1" si="224"/>
        <v>0</v>
      </c>
      <c r="CJ104" s="155">
        <f t="shared" ca="1" si="225"/>
        <v>0</v>
      </c>
      <c r="CK104" s="155">
        <f ca="1">유해지!CY104</f>
        <v>0</v>
      </c>
      <c r="CL104" s="529">
        <f t="shared" ca="1" si="184"/>
        <v>0</v>
      </c>
      <c r="CM104" s="155">
        <f t="shared" ca="1" si="226"/>
        <v>0</v>
      </c>
      <c r="CN104" s="155">
        <f ca="1">SUM(CM104:$CM$125)</f>
        <v>0</v>
      </c>
      <c r="CO104" s="101">
        <f t="shared" ca="1" si="227"/>
        <v>0</v>
      </c>
      <c r="CP104" s="154">
        <f t="shared" ca="1" si="185"/>
        <v>0</v>
      </c>
      <c r="CQ104" s="154">
        <f t="shared" ca="1" si="186"/>
        <v>0</v>
      </c>
      <c r="CR104" s="32">
        <f t="shared" ca="1" si="187"/>
        <v>0</v>
      </c>
      <c r="CS104" s="32">
        <f t="shared" ca="1" si="188"/>
        <v>0</v>
      </c>
      <c r="CT104" s="32">
        <f t="shared" ca="1" si="189"/>
        <v>0</v>
      </c>
      <c r="CU104" s="32">
        <f t="shared" ca="1" si="190"/>
        <v>0</v>
      </c>
      <c r="CV104" s="32">
        <f t="shared" si="191"/>
        <v>0</v>
      </c>
      <c r="CW104" s="32">
        <f t="shared" ca="1" si="192"/>
        <v>0</v>
      </c>
      <c r="CX104" s="259">
        <f ca="1">IF(R104&lt;m,0,ROUND(IF($R104&gt;nB,0,GPB*mB*mmB*유해지!CY104),roundB))</f>
        <v>0</v>
      </c>
      <c r="CY104" s="262">
        <f t="shared" ca="1" si="193"/>
        <v>0</v>
      </c>
      <c r="CZ104" s="259" t="e">
        <f t="shared" ca="1" si="194"/>
        <v>#DIV/0!</v>
      </c>
      <c r="DA104" s="31">
        <f t="shared" si="195"/>
        <v>5</v>
      </c>
    </row>
    <row r="105" spans="3:105">
      <c r="N105" s="5">
        <f t="shared" si="228"/>
        <v>93</v>
      </c>
      <c r="O105" s="2">
        <f t="shared" ca="1" si="171"/>
        <v>0.1262733053616994</v>
      </c>
      <c r="P105" s="2">
        <f t="shared" ca="1" si="172"/>
        <v>0.12487626206902358</v>
      </c>
      <c r="Q105" s="91"/>
      <c r="R105" s="20">
        <f t="shared" si="229"/>
        <v>93</v>
      </c>
      <c r="S105" s="20" t="str">
        <f t="shared" si="173"/>
        <v/>
      </c>
      <c r="T105" s="2">
        <f t="shared" ca="1" si="230"/>
        <v>0</v>
      </c>
      <c r="U105" s="2">
        <f t="shared" ca="1" si="230"/>
        <v>0</v>
      </c>
      <c r="V105" s="300">
        <f t="shared" si="174"/>
        <v>0.01</v>
      </c>
      <c r="W105" s="8">
        <f t="shared" si="175"/>
        <v>0</v>
      </c>
      <c r="X105" s="10">
        <f t="shared" ca="1" si="176"/>
        <v>1.0000000000000009E-2</v>
      </c>
      <c r="Y105" s="10">
        <f t="shared" ca="1" si="177"/>
        <v>0</v>
      </c>
      <c r="Z105" s="5">
        <f t="shared" ca="1" si="196"/>
        <v>0</v>
      </c>
      <c r="AA105" s="5">
        <f ca="1">+SUM(Z105:Z$124)</f>
        <v>0</v>
      </c>
      <c r="AB105" s="8">
        <f t="shared" ca="1" si="178"/>
        <v>0</v>
      </c>
      <c r="AC105" s="209">
        <f ca="1">+SUM(AB105:AB$124)*SSSM</f>
        <v>0</v>
      </c>
      <c r="AD105" s="209">
        <f t="shared" si="197"/>
        <v>0</v>
      </c>
      <c r="AE105" s="92">
        <f t="shared" ca="1" si="179"/>
        <v>0</v>
      </c>
      <c r="AF105" s="92">
        <f t="shared" ca="1" si="180"/>
        <v>0</v>
      </c>
      <c r="AG105" s="8">
        <f t="shared" ca="1" si="181"/>
        <v>0</v>
      </c>
      <c r="AH105" s="5">
        <f ca="1">+SUM(AG105:AG$124)</f>
        <v>0</v>
      </c>
      <c r="AI105" s="70">
        <f t="shared" ca="1" si="182"/>
        <v>0</v>
      </c>
      <c r="AJ105" s="208">
        <f ca="1">+SUM(AB105:AB$124)*SS50J</f>
        <v>0</v>
      </c>
      <c r="AK105" s="5">
        <f t="shared" ca="1" si="198"/>
        <v>22024.342776644153</v>
      </c>
      <c r="AL105" s="2">
        <f t="shared" ca="1" si="57"/>
        <v>0</v>
      </c>
      <c r="AM105" s="131">
        <f t="shared" ca="1" si="199"/>
        <v>2781.0865608259255</v>
      </c>
      <c r="AN105" s="129">
        <f t="shared" ca="1" si="200"/>
        <v>0</v>
      </c>
      <c r="AO105" s="129">
        <f ca="1">SUM(AN105:AN$124)*SSa</f>
        <v>0</v>
      </c>
      <c r="AP105" s="70">
        <f t="shared" ca="1" si="201"/>
        <v>22024.342776644153</v>
      </c>
      <c r="AQ105" s="2">
        <f t="shared" ca="1" si="58"/>
        <v>0</v>
      </c>
      <c r="AR105" s="127">
        <f t="shared" ca="1" si="202"/>
        <v>0</v>
      </c>
      <c r="AS105" s="127">
        <f ca="1">SUM(AR105:AR$124)*SSb</f>
        <v>0</v>
      </c>
      <c r="AT105" s="70">
        <f t="shared" ca="1" si="203"/>
        <v>22024.342776644153</v>
      </c>
      <c r="AU105" s="2">
        <f t="shared" ca="1" si="59"/>
        <v>0</v>
      </c>
      <c r="AV105" s="268">
        <f t="shared" ca="1" si="204"/>
        <v>0</v>
      </c>
      <c r="AW105" s="131">
        <f ca="1">SUM(AV105:AV$124)*SSc</f>
        <v>0</v>
      </c>
      <c r="AX105" s="70">
        <f t="shared" ca="1" si="205"/>
        <v>22024.342776644153</v>
      </c>
      <c r="AY105" s="2">
        <f t="shared" ca="1" si="60"/>
        <v>0</v>
      </c>
      <c r="AZ105" s="268">
        <f t="shared" ca="1" si="206"/>
        <v>0</v>
      </c>
      <c r="BA105" s="129">
        <f ca="1">SUM(AZ105:AZ$124)*SSd</f>
        <v>0</v>
      </c>
      <c r="BB105" s="70">
        <f t="shared" ca="1" si="207"/>
        <v>22024.342776644153</v>
      </c>
      <c r="BC105" s="257">
        <f t="shared" ca="1" si="61"/>
        <v>0</v>
      </c>
      <c r="BD105" s="268">
        <f t="shared" ca="1" si="208"/>
        <v>0</v>
      </c>
      <c r="BE105" s="131">
        <f ca="1">SUM(BD105:BD$124)*SSe</f>
        <v>0</v>
      </c>
      <c r="BF105" s="70">
        <f t="shared" ca="1" si="209"/>
        <v>22024.342776644153</v>
      </c>
      <c r="BG105" s="2">
        <f t="shared" ca="1" si="62"/>
        <v>0</v>
      </c>
      <c r="BH105" s="131">
        <f t="shared" ca="1" si="210"/>
        <v>0</v>
      </c>
      <c r="BI105" s="2">
        <f ca="1">SUM(BH105:BH$124)*SSf</f>
        <v>0</v>
      </c>
      <c r="BJ105" s="70">
        <f t="shared" ca="1" si="211"/>
        <v>22024.342776644153</v>
      </c>
      <c r="BK105" s="2">
        <f t="shared" ca="1" si="63"/>
        <v>0</v>
      </c>
      <c r="BL105" s="131">
        <f t="shared" ca="1" si="212"/>
        <v>0</v>
      </c>
      <c r="BM105" s="131">
        <f ca="1">SUM(BL105:BL$124)*SSg</f>
        <v>0</v>
      </c>
      <c r="BN105" s="70">
        <f t="shared" ca="1" si="213"/>
        <v>22024.342776644153</v>
      </c>
      <c r="BO105" s="2">
        <f t="shared" ca="1" si="64"/>
        <v>0</v>
      </c>
      <c r="BP105" s="131">
        <f t="shared" ca="1" si="214"/>
        <v>0</v>
      </c>
      <c r="BQ105" s="131">
        <f ca="1">SUM(BP105:BP$124)*SSh</f>
        <v>0</v>
      </c>
      <c r="BR105" s="70">
        <f t="shared" ca="1" si="215"/>
        <v>22024.342776644153</v>
      </c>
      <c r="BS105" s="2">
        <f t="shared" ca="1" si="183"/>
        <v>0</v>
      </c>
      <c r="BT105" s="131">
        <f t="shared" ca="1" si="216"/>
        <v>0</v>
      </c>
      <c r="BU105" s="131">
        <f ca="1">SUM(BT105:BT$124)*SSi</f>
        <v>0</v>
      </c>
      <c r="BV105" s="70">
        <f t="shared" ca="1" si="217"/>
        <v>22024.342776644153</v>
      </c>
      <c r="BW105" s="2">
        <f t="shared" ca="1" si="66"/>
        <v>0</v>
      </c>
      <c r="BX105" s="131">
        <f t="shared" ca="1" si="218"/>
        <v>0</v>
      </c>
      <c r="BY105" s="131">
        <f ca="1">SUM(BX105:BX$124)*SSj</f>
        <v>0</v>
      </c>
      <c r="BZ105" s="70">
        <f t="shared" ca="1" si="219"/>
        <v>22024.342776644153</v>
      </c>
      <c r="CA105" s="2">
        <f t="shared" ca="1" si="67"/>
        <v>0</v>
      </c>
      <c r="CB105" s="131">
        <f t="shared" ca="1" si="220"/>
        <v>0</v>
      </c>
      <c r="CC105" s="131">
        <f ca="1">SUM(CB105:CB$124)*SSk</f>
        <v>0</v>
      </c>
      <c r="CD105" s="8">
        <f t="shared" ca="1" si="221"/>
        <v>22024.342776644153</v>
      </c>
      <c r="CE105" s="2">
        <f t="shared" ca="1" si="68"/>
        <v>0</v>
      </c>
      <c r="CF105" s="131">
        <f t="shared" ca="1" si="222"/>
        <v>0</v>
      </c>
      <c r="CG105" s="131">
        <f ca="1">SUM(CF105:CF$124)*SSl</f>
        <v>0</v>
      </c>
      <c r="CH105" s="155">
        <f t="shared" si="223"/>
        <v>0.01</v>
      </c>
      <c r="CI105" s="155">
        <f t="shared" ca="1" si="224"/>
        <v>0</v>
      </c>
      <c r="CJ105" s="155">
        <f t="shared" ca="1" si="225"/>
        <v>0</v>
      </c>
      <c r="CK105" s="155">
        <f ca="1">유해지!CY105</f>
        <v>0</v>
      </c>
      <c r="CL105" s="529">
        <f t="shared" ca="1" si="184"/>
        <v>0</v>
      </c>
      <c r="CM105" s="155">
        <f t="shared" ca="1" si="226"/>
        <v>0</v>
      </c>
      <c r="CN105" s="155">
        <f ca="1">SUM(CM105:$CM$125)</f>
        <v>0</v>
      </c>
      <c r="CO105" s="101">
        <f t="shared" ca="1" si="227"/>
        <v>0</v>
      </c>
      <c r="CP105" s="154">
        <f t="shared" ca="1" si="185"/>
        <v>0</v>
      </c>
      <c r="CQ105" s="154">
        <f t="shared" ca="1" si="186"/>
        <v>0</v>
      </c>
      <c r="CR105" s="32">
        <f t="shared" ca="1" si="187"/>
        <v>0</v>
      </c>
      <c r="CS105" s="32">
        <f t="shared" ca="1" si="188"/>
        <v>0</v>
      </c>
      <c r="CT105" s="32">
        <f t="shared" ca="1" si="189"/>
        <v>0</v>
      </c>
      <c r="CU105" s="32">
        <f t="shared" ca="1" si="190"/>
        <v>0</v>
      </c>
      <c r="CV105" s="32">
        <f t="shared" si="191"/>
        <v>0</v>
      </c>
      <c r="CW105" s="32">
        <f t="shared" ca="1" si="192"/>
        <v>0</v>
      </c>
      <c r="CX105" s="259">
        <f ca="1">IF(R105&lt;m,0,ROUND(IF($R105&gt;nB,0,GPB*mB*mmB*유해지!CY105),roundB))</f>
        <v>0</v>
      </c>
      <c r="CY105" s="262">
        <f t="shared" ca="1" si="193"/>
        <v>0</v>
      </c>
      <c r="CZ105" s="259" t="e">
        <f t="shared" ca="1" si="194"/>
        <v>#DIV/0!</v>
      </c>
      <c r="DA105" s="31">
        <f t="shared" si="195"/>
        <v>5</v>
      </c>
    </row>
    <row r="106" spans="3:105">
      <c r="N106" s="5">
        <f t="shared" si="228"/>
        <v>94</v>
      </c>
      <c r="O106" s="2">
        <f t="shared" ca="1" si="171"/>
        <v>0.12349467517036616</v>
      </c>
      <c r="P106" s="2">
        <f t="shared" ca="1" si="172"/>
        <v>0.12212837366163673</v>
      </c>
      <c r="Q106" s="91"/>
      <c r="R106" s="20">
        <f t="shared" si="229"/>
        <v>94</v>
      </c>
      <c r="S106" s="20" t="str">
        <f t="shared" si="173"/>
        <v/>
      </c>
      <c r="T106" s="2">
        <f t="shared" ca="1" si="230"/>
        <v>0</v>
      </c>
      <c r="U106" s="2">
        <f t="shared" ca="1" si="230"/>
        <v>0</v>
      </c>
      <c r="V106" s="300">
        <f t="shared" si="174"/>
        <v>0.01</v>
      </c>
      <c r="W106" s="8">
        <f t="shared" si="175"/>
        <v>0</v>
      </c>
      <c r="X106" s="10">
        <f t="shared" ca="1" si="176"/>
        <v>1.0000000000000009E-2</v>
      </c>
      <c r="Y106" s="10">
        <f t="shared" ca="1" si="177"/>
        <v>0</v>
      </c>
      <c r="Z106" s="5">
        <f t="shared" ca="1" si="196"/>
        <v>0</v>
      </c>
      <c r="AA106" s="5">
        <f ca="1">+SUM(Z106:Z$124)</f>
        <v>0</v>
      </c>
      <c r="AB106" s="8">
        <f t="shared" ca="1" si="178"/>
        <v>0</v>
      </c>
      <c r="AC106" s="209">
        <f ca="1">+SUM(AB106:AB$124)*SSSM</f>
        <v>0</v>
      </c>
      <c r="AD106" s="209">
        <f t="shared" si="197"/>
        <v>0</v>
      </c>
      <c r="AE106" s="92">
        <f t="shared" ca="1" si="179"/>
        <v>0</v>
      </c>
      <c r="AF106" s="92">
        <f t="shared" ca="1" si="180"/>
        <v>0</v>
      </c>
      <c r="AG106" s="8">
        <f t="shared" ca="1" si="181"/>
        <v>0</v>
      </c>
      <c r="AH106" s="5">
        <f ca="1">+SUM(AG106:AG$124)</f>
        <v>0</v>
      </c>
      <c r="AI106" s="70">
        <f t="shared" ca="1" si="182"/>
        <v>0</v>
      </c>
      <c r="AJ106" s="208">
        <f ca="1">+SUM(AB106:AB$124)*SS50J</f>
        <v>0</v>
      </c>
      <c r="AK106" s="5">
        <f t="shared" ca="1" si="198"/>
        <v>21804.099348877709</v>
      </c>
      <c r="AL106" s="2">
        <f t="shared" ca="1" si="57"/>
        <v>0</v>
      </c>
      <c r="AM106" s="131">
        <f t="shared" ca="1" si="199"/>
        <v>2692.6901664720449</v>
      </c>
      <c r="AN106" s="129">
        <f t="shared" ca="1" si="200"/>
        <v>0</v>
      </c>
      <c r="AO106" s="129">
        <f ca="1">SUM(AN106:AN$124)*SSa</f>
        <v>0</v>
      </c>
      <c r="AP106" s="70">
        <f t="shared" ca="1" si="201"/>
        <v>21804.099348877709</v>
      </c>
      <c r="AQ106" s="2">
        <f t="shared" ca="1" si="58"/>
        <v>0</v>
      </c>
      <c r="AR106" s="127">
        <f t="shared" ca="1" si="202"/>
        <v>0</v>
      </c>
      <c r="AS106" s="127">
        <f ca="1">SUM(AR106:AR$124)*SSb</f>
        <v>0</v>
      </c>
      <c r="AT106" s="70">
        <f t="shared" ca="1" si="203"/>
        <v>21804.099348877709</v>
      </c>
      <c r="AU106" s="2">
        <f t="shared" ca="1" si="59"/>
        <v>0</v>
      </c>
      <c r="AV106" s="268">
        <f t="shared" ca="1" si="204"/>
        <v>0</v>
      </c>
      <c r="AW106" s="131">
        <f ca="1">SUM(AV106:AV$124)*SSc</f>
        <v>0</v>
      </c>
      <c r="AX106" s="70">
        <f t="shared" ca="1" si="205"/>
        <v>21804.099348877709</v>
      </c>
      <c r="AY106" s="2">
        <f t="shared" ca="1" si="60"/>
        <v>0</v>
      </c>
      <c r="AZ106" s="268">
        <f t="shared" ca="1" si="206"/>
        <v>0</v>
      </c>
      <c r="BA106" s="129">
        <f ca="1">SUM(AZ106:AZ$124)*SSd</f>
        <v>0</v>
      </c>
      <c r="BB106" s="70">
        <f t="shared" ca="1" si="207"/>
        <v>21804.099348877709</v>
      </c>
      <c r="BC106" s="257">
        <f t="shared" ca="1" si="61"/>
        <v>0</v>
      </c>
      <c r="BD106" s="268">
        <f t="shared" ca="1" si="208"/>
        <v>0</v>
      </c>
      <c r="BE106" s="131">
        <f ca="1">SUM(BD106:BD$124)*SSe</f>
        <v>0</v>
      </c>
      <c r="BF106" s="70">
        <f t="shared" ca="1" si="209"/>
        <v>21804.099348877709</v>
      </c>
      <c r="BG106" s="2">
        <f t="shared" ca="1" si="62"/>
        <v>0</v>
      </c>
      <c r="BH106" s="131">
        <f t="shared" ca="1" si="210"/>
        <v>0</v>
      </c>
      <c r="BI106" s="2">
        <f ca="1">SUM(BH106:BH$124)*SSf</f>
        <v>0</v>
      </c>
      <c r="BJ106" s="70">
        <f t="shared" ca="1" si="211"/>
        <v>21804.099348877709</v>
      </c>
      <c r="BK106" s="2">
        <f t="shared" ca="1" si="63"/>
        <v>0</v>
      </c>
      <c r="BL106" s="131">
        <f t="shared" ca="1" si="212"/>
        <v>0</v>
      </c>
      <c r="BM106" s="131">
        <f ca="1">SUM(BL106:BL$124)*SSg</f>
        <v>0</v>
      </c>
      <c r="BN106" s="70">
        <f t="shared" ca="1" si="213"/>
        <v>21804.099348877709</v>
      </c>
      <c r="BO106" s="2">
        <f t="shared" ca="1" si="64"/>
        <v>0</v>
      </c>
      <c r="BP106" s="131">
        <f t="shared" ca="1" si="214"/>
        <v>0</v>
      </c>
      <c r="BQ106" s="131">
        <f ca="1">SUM(BP106:BP$124)*SSh</f>
        <v>0</v>
      </c>
      <c r="BR106" s="70">
        <f t="shared" ca="1" si="215"/>
        <v>21804.099348877709</v>
      </c>
      <c r="BS106" s="2">
        <f t="shared" ca="1" si="183"/>
        <v>0</v>
      </c>
      <c r="BT106" s="131">
        <f t="shared" ca="1" si="216"/>
        <v>0</v>
      </c>
      <c r="BU106" s="131">
        <f ca="1">SUM(BT106:BT$124)*SSi</f>
        <v>0</v>
      </c>
      <c r="BV106" s="70">
        <f t="shared" ca="1" si="217"/>
        <v>21804.099348877709</v>
      </c>
      <c r="BW106" s="2">
        <f t="shared" ca="1" si="66"/>
        <v>0</v>
      </c>
      <c r="BX106" s="131">
        <f t="shared" ca="1" si="218"/>
        <v>0</v>
      </c>
      <c r="BY106" s="131">
        <f ca="1">SUM(BX106:BX$124)*SSj</f>
        <v>0</v>
      </c>
      <c r="BZ106" s="70">
        <f t="shared" ca="1" si="219"/>
        <v>21804.099348877709</v>
      </c>
      <c r="CA106" s="2">
        <f t="shared" ca="1" si="67"/>
        <v>0</v>
      </c>
      <c r="CB106" s="131">
        <f t="shared" ca="1" si="220"/>
        <v>0</v>
      </c>
      <c r="CC106" s="131">
        <f ca="1">SUM(CB106:CB$124)*SSk</f>
        <v>0</v>
      </c>
      <c r="CD106" s="8">
        <f t="shared" ca="1" si="221"/>
        <v>21804.099348877709</v>
      </c>
      <c r="CE106" s="2">
        <f t="shared" ca="1" si="68"/>
        <v>0</v>
      </c>
      <c r="CF106" s="131">
        <f t="shared" ca="1" si="222"/>
        <v>0</v>
      </c>
      <c r="CG106" s="131">
        <f ca="1">SUM(CF106:CF$124)*SSl</f>
        <v>0</v>
      </c>
      <c r="CH106" s="155">
        <f t="shared" si="223"/>
        <v>0.01</v>
      </c>
      <c r="CI106" s="155">
        <f t="shared" ca="1" si="224"/>
        <v>0</v>
      </c>
      <c r="CJ106" s="155">
        <f t="shared" ca="1" si="225"/>
        <v>0</v>
      </c>
      <c r="CK106" s="155">
        <f ca="1">유해지!CY106</f>
        <v>0</v>
      </c>
      <c r="CL106" s="536">
        <f t="shared" ca="1" si="184"/>
        <v>0</v>
      </c>
      <c r="CM106" s="155">
        <f t="shared" ca="1" si="226"/>
        <v>0</v>
      </c>
      <c r="CN106" s="155">
        <f ca="1">SUM(CM106:$CM$125)</f>
        <v>0</v>
      </c>
      <c r="CO106" s="101">
        <f t="shared" ca="1" si="227"/>
        <v>0</v>
      </c>
      <c r="CP106" s="154">
        <f t="shared" ca="1" si="185"/>
        <v>0</v>
      </c>
      <c r="CQ106" s="154">
        <f t="shared" ca="1" si="186"/>
        <v>0</v>
      </c>
      <c r="CR106" s="32">
        <f t="shared" ca="1" si="187"/>
        <v>0</v>
      </c>
      <c r="CS106" s="32">
        <f t="shared" ca="1" si="188"/>
        <v>0</v>
      </c>
      <c r="CT106" s="32">
        <f t="shared" ca="1" si="189"/>
        <v>0</v>
      </c>
      <c r="CU106" s="32">
        <f t="shared" ca="1" si="190"/>
        <v>0</v>
      </c>
      <c r="CV106" s="32">
        <f t="shared" si="191"/>
        <v>0</v>
      </c>
      <c r="CW106" s="32">
        <f t="shared" ca="1" si="192"/>
        <v>0</v>
      </c>
      <c r="CX106" s="259">
        <f ca="1">IF(R106&lt;m,0,ROUND(IF($R106&gt;nB,0,GPB*mB*mmB*유해지!CY106),roundB))</f>
        <v>0</v>
      </c>
      <c r="CY106" s="262">
        <f t="shared" ca="1" si="193"/>
        <v>0</v>
      </c>
      <c r="CZ106" s="259" t="e">
        <f t="shared" ca="1" si="194"/>
        <v>#DIV/0!</v>
      </c>
      <c r="DA106" s="31">
        <f t="shared" si="195"/>
        <v>5</v>
      </c>
    </row>
    <row r="107" spans="3:105">
      <c r="N107" s="5">
        <f t="shared" si="228"/>
        <v>95</v>
      </c>
      <c r="O107" s="2">
        <f t="shared" ca="1" si="171"/>
        <v>0.12077718843067596</v>
      </c>
      <c r="P107" s="2">
        <f t="shared" ca="1" si="172"/>
        <v>0.11944095223631956</v>
      </c>
      <c r="Q107" s="91"/>
      <c r="R107" s="20">
        <f t="shared" si="229"/>
        <v>95</v>
      </c>
      <c r="S107" s="20" t="str">
        <f t="shared" si="173"/>
        <v/>
      </c>
      <c r="T107" s="2">
        <f t="shared" ca="1" si="230"/>
        <v>0</v>
      </c>
      <c r="U107" s="2">
        <f t="shared" ca="1" si="230"/>
        <v>0</v>
      </c>
      <c r="V107" s="300">
        <f t="shared" si="174"/>
        <v>0.01</v>
      </c>
      <c r="W107" s="8">
        <f t="shared" si="175"/>
        <v>0</v>
      </c>
      <c r="X107" s="10">
        <f t="shared" ca="1" si="176"/>
        <v>1.0000000000000009E-2</v>
      </c>
      <c r="Y107" s="10">
        <f t="shared" ca="1" si="177"/>
        <v>0</v>
      </c>
      <c r="Z107" s="5">
        <f t="shared" ca="1" si="196"/>
        <v>0</v>
      </c>
      <c r="AA107" s="5">
        <f ca="1">+SUM(Z107:Z$124)</f>
        <v>0</v>
      </c>
      <c r="AB107" s="8">
        <f t="shared" ca="1" si="178"/>
        <v>0</v>
      </c>
      <c r="AC107" s="209">
        <f ca="1">+SUM(AB107:AB$124)*SSSM</f>
        <v>0</v>
      </c>
      <c r="AD107" s="209">
        <f t="shared" si="197"/>
        <v>0</v>
      </c>
      <c r="AE107" s="92">
        <f t="shared" ca="1" si="179"/>
        <v>0</v>
      </c>
      <c r="AF107" s="92">
        <f t="shared" ca="1" si="180"/>
        <v>0</v>
      </c>
      <c r="AG107" s="8">
        <f t="shared" ca="1" si="181"/>
        <v>0</v>
      </c>
      <c r="AH107" s="5">
        <f ca="1">+SUM(AG107:AG$124)</f>
        <v>0</v>
      </c>
      <c r="AI107" s="70">
        <f t="shared" ca="1" si="182"/>
        <v>0</v>
      </c>
      <c r="AJ107" s="208">
        <f ca="1">+SUM(AB107:AB$124)*SS50J</f>
        <v>0</v>
      </c>
      <c r="AK107" s="5">
        <f t="shared" ca="1" si="198"/>
        <v>21586.058355388934</v>
      </c>
      <c r="AL107" s="2">
        <f t="shared" ca="1" si="57"/>
        <v>0</v>
      </c>
      <c r="AM107" s="131">
        <f t="shared" ca="1" si="199"/>
        <v>2607.1034374643764</v>
      </c>
      <c r="AN107" s="129">
        <f t="shared" ca="1" si="200"/>
        <v>0</v>
      </c>
      <c r="AO107" s="129">
        <f ca="1">SUM(AN107:AN$124)*SSa</f>
        <v>0</v>
      </c>
      <c r="AP107" s="70">
        <f t="shared" ca="1" si="201"/>
        <v>21586.058355388934</v>
      </c>
      <c r="AQ107" s="2">
        <f t="shared" ca="1" si="58"/>
        <v>0</v>
      </c>
      <c r="AR107" s="127">
        <f t="shared" ca="1" si="202"/>
        <v>0</v>
      </c>
      <c r="AS107" s="127">
        <f ca="1">SUM(AR107:AR$124)*SSb</f>
        <v>0</v>
      </c>
      <c r="AT107" s="70">
        <f t="shared" ca="1" si="203"/>
        <v>21586.058355388934</v>
      </c>
      <c r="AU107" s="2">
        <f t="shared" ca="1" si="59"/>
        <v>0</v>
      </c>
      <c r="AV107" s="268">
        <f t="shared" ca="1" si="204"/>
        <v>0</v>
      </c>
      <c r="AW107" s="131">
        <f ca="1">SUM(AV107:AV$124)*SSc</f>
        <v>0</v>
      </c>
      <c r="AX107" s="70">
        <f t="shared" ca="1" si="205"/>
        <v>21586.058355388934</v>
      </c>
      <c r="AY107" s="2">
        <f t="shared" ca="1" si="60"/>
        <v>0</v>
      </c>
      <c r="AZ107" s="268">
        <f t="shared" ca="1" si="206"/>
        <v>0</v>
      </c>
      <c r="BA107" s="129">
        <f ca="1">SUM(AZ107:AZ$124)*SSd</f>
        <v>0</v>
      </c>
      <c r="BB107" s="70">
        <f t="shared" ca="1" si="207"/>
        <v>21586.058355388934</v>
      </c>
      <c r="BC107" s="257">
        <f t="shared" ca="1" si="61"/>
        <v>0</v>
      </c>
      <c r="BD107" s="268">
        <f t="shared" ca="1" si="208"/>
        <v>0</v>
      </c>
      <c r="BE107" s="131">
        <f ca="1">SUM(BD107:BD$124)*SSe</f>
        <v>0</v>
      </c>
      <c r="BF107" s="70">
        <f t="shared" ca="1" si="209"/>
        <v>21586.058355388934</v>
      </c>
      <c r="BG107" s="2">
        <f t="shared" ca="1" si="62"/>
        <v>0</v>
      </c>
      <c r="BH107" s="131">
        <f t="shared" ca="1" si="210"/>
        <v>0</v>
      </c>
      <c r="BI107" s="2">
        <f ca="1">SUM(BH107:BH$124)*SSf</f>
        <v>0</v>
      </c>
      <c r="BJ107" s="70">
        <f t="shared" ca="1" si="211"/>
        <v>21586.058355388934</v>
      </c>
      <c r="BK107" s="2">
        <f t="shared" ca="1" si="63"/>
        <v>0</v>
      </c>
      <c r="BL107" s="131">
        <f t="shared" ca="1" si="212"/>
        <v>0</v>
      </c>
      <c r="BM107" s="131">
        <f ca="1">SUM(BL107:BL$124)*SSg</f>
        <v>0</v>
      </c>
      <c r="BN107" s="70">
        <f t="shared" ca="1" si="213"/>
        <v>21586.058355388934</v>
      </c>
      <c r="BO107" s="2">
        <f t="shared" ca="1" si="64"/>
        <v>0</v>
      </c>
      <c r="BP107" s="131">
        <f t="shared" ca="1" si="214"/>
        <v>0</v>
      </c>
      <c r="BQ107" s="131">
        <f ca="1">SUM(BP107:BP$124)*SSh</f>
        <v>0</v>
      </c>
      <c r="BR107" s="70">
        <f t="shared" ca="1" si="215"/>
        <v>21586.058355388934</v>
      </c>
      <c r="BS107" s="2">
        <f t="shared" ca="1" si="183"/>
        <v>0</v>
      </c>
      <c r="BT107" s="131">
        <f t="shared" ca="1" si="216"/>
        <v>0</v>
      </c>
      <c r="BU107" s="131">
        <f ca="1">SUM(BT107:BT$124)*SSi</f>
        <v>0</v>
      </c>
      <c r="BV107" s="70">
        <f t="shared" ca="1" si="217"/>
        <v>21586.058355388934</v>
      </c>
      <c r="BW107" s="2">
        <f t="shared" ca="1" si="66"/>
        <v>0</v>
      </c>
      <c r="BX107" s="131">
        <f t="shared" ca="1" si="218"/>
        <v>0</v>
      </c>
      <c r="BY107" s="131">
        <f ca="1">SUM(BX107:BX$124)*SSj</f>
        <v>0</v>
      </c>
      <c r="BZ107" s="70">
        <f t="shared" ca="1" si="219"/>
        <v>21586.058355388934</v>
      </c>
      <c r="CA107" s="2">
        <f t="shared" ca="1" si="67"/>
        <v>0</v>
      </c>
      <c r="CB107" s="131">
        <f t="shared" ca="1" si="220"/>
        <v>0</v>
      </c>
      <c r="CC107" s="131">
        <f ca="1">SUM(CB107:CB$124)*SSk</f>
        <v>0</v>
      </c>
      <c r="CD107" s="8">
        <f t="shared" ca="1" si="221"/>
        <v>21586.058355388934</v>
      </c>
      <c r="CE107" s="2">
        <f t="shared" ca="1" si="68"/>
        <v>0</v>
      </c>
      <c r="CF107" s="131">
        <f t="shared" ca="1" si="222"/>
        <v>0</v>
      </c>
      <c r="CG107" s="131">
        <f ca="1">SUM(CF107:CF$124)*SSl</f>
        <v>0</v>
      </c>
      <c r="CH107" s="155">
        <f t="shared" si="223"/>
        <v>0.01</v>
      </c>
      <c r="CI107" s="155">
        <f t="shared" ca="1" si="224"/>
        <v>0</v>
      </c>
      <c r="CJ107" s="155">
        <f t="shared" ca="1" si="225"/>
        <v>0</v>
      </c>
      <c r="CK107" s="155">
        <f ca="1">유해지!CY107</f>
        <v>0</v>
      </c>
      <c r="CL107" s="529">
        <f t="shared" ca="1" si="184"/>
        <v>0</v>
      </c>
      <c r="CM107" s="155">
        <f t="shared" ca="1" si="226"/>
        <v>0</v>
      </c>
      <c r="CN107" s="155">
        <f ca="1">SUM(CM107:$CM$125)</f>
        <v>0</v>
      </c>
      <c r="CO107" s="101">
        <f t="shared" ca="1" si="227"/>
        <v>0</v>
      </c>
      <c r="CP107" s="154">
        <f t="shared" ca="1" si="185"/>
        <v>0</v>
      </c>
      <c r="CQ107" s="154">
        <f t="shared" ca="1" si="186"/>
        <v>0</v>
      </c>
      <c r="CR107" s="32">
        <f t="shared" ca="1" si="187"/>
        <v>0</v>
      </c>
      <c r="CS107" s="32">
        <f t="shared" ca="1" si="188"/>
        <v>0</v>
      </c>
      <c r="CT107" s="32">
        <f t="shared" ca="1" si="189"/>
        <v>0</v>
      </c>
      <c r="CU107" s="32">
        <f t="shared" ca="1" si="190"/>
        <v>0</v>
      </c>
      <c r="CV107" s="32">
        <f t="shared" si="191"/>
        <v>0</v>
      </c>
      <c r="CW107" s="32">
        <f t="shared" ca="1" si="192"/>
        <v>0</v>
      </c>
      <c r="CX107" s="259">
        <f ca="1">IF(R107&lt;m,0,ROUND(IF($R107&gt;nB,0,GPB*mB*mmB*유해지!CY107),roundB))</f>
        <v>0</v>
      </c>
      <c r="CY107" s="262">
        <f t="shared" ca="1" si="193"/>
        <v>0</v>
      </c>
      <c r="CZ107" s="259" t="e">
        <f t="shared" ca="1" si="194"/>
        <v>#DIV/0!</v>
      </c>
      <c r="DA107" s="31">
        <f t="shared" si="195"/>
        <v>5</v>
      </c>
    </row>
    <row r="108" spans="3:105">
      <c r="C108" s="33"/>
      <c r="D108" s="33"/>
      <c r="E108" s="16"/>
      <c r="N108" s="5">
        <f t="shared" si="228"/>
        <v>96</v>
      </c>
      <c r="O108" s="2">
        <f t="shared" ref="O108:O124" ca="1" si="231">+(1+iB)^-N108</f>
        <v>0.11811949968770268</v>
      </c>
      <c r="P108" s="2">
        <f t="shared" ref="P108:P124" ca="1" si="232">+(1+iB)^-(N108+0.5)</f>
        <v>0.11681266722378442</v>
      </c>
      <c r="Q108" s="91"/>
      <c r="R108" s="20">
        <f t="shared" si="229"/>
        <v>96</v>
      </c>
      <c r="S108" s="20" t="str">
        <f t="shared" ref="S108:S124" si="233">+IF(xB+R108&lt;=xB+nB,xB+R108,"")</f>
        <v/>
      </c>
      <c r="T108" s="2">
        <f t="shared" ca="1" si="230"/>
        <v>0</v>
      </c>
      <c r="U108" s="2">
        <f t="shared" ca="1" si="230"/>
        <v>0</v>
      </c>
      <c r="V108" s="300">
        <f t="shared" ref="V108:V124" si="234">IF(JRB=2,0,IF(R108&gt;=mB,VLOOKUP(R108-mB,해지율_납기후,2),IF(R108=mB-1,0,VLOOKUP(R108,해지율_납기전,2))))</f>
        <v>0.01</v>
      </c>
      <c r="W108" s="8">
        <f t="shared" ref="W108:W124" si="235">IF(R108=0,100000,IF(R108&gt;nB,0,W107*(1-X107)*(1-Y107)))</f>
        <v>0</v>
      </c>
      <c r="X108" s="10">
        <f t="shared" ref="X108:X124" ca="1" si="236">1-IFERROR((1-YTSM*$T108)*(1-V108*(1-T108/2)/(1-T108)),0)</f>
        <v>1.0000000000000009E-2</v>
      </c>
      <c r="Y108" s="10">
        <f t="shared" ref="Y108:Y124" ca="1" si="237">IFERROR(1-(1-YT50J*U108*(1-T108/2)/(1-T108))*(1-YTa*AL108*(1-T108/2)/(1-T108))*(1-YTb*AQ108*(1-T108/2)/(1-T108))*(1-YTc*AU108*(1-T108/2)/(1-T108)),0)</f>
        <v>0</v>
      </c>
      <c r="Z108" s="5">
        <f t="shared" ca="1" si="196"/>
        <v>0</v>
      </c>
      <c r="AA108" s="5">
        <f ca="1">+SUM(Z108:Z$124)</f>
        <v>0</v>
      </c>
      <c r="AB108" s="8">
        <f t="shared" ref="AB108:AB124" ca="1" si="238">W108*X108*P108</f>
        <v>0</v>
      </c>
      <c r="AC108" s="209">
        <f ca="1">+SUM(AB108:AB$124)*SSSM</f>
        <v>0</v>
      </c>
      <c r="AD108" s="209">
        <f t="shared" si="197"/>
        <v>0</v>
      </c>
      <c r="AE108" s="92">
        <f t="shared" ref="AE108:AE124" ca="1" si="239">1-IFERROR((1-NT50J*U108*(1-T108/2)/(1-T108)),0)</f>
        <v>0</v>
      </c>
      <c r="AF108" s="92">
        <f t="shared" ref="AF108:AF124" ca="1" si="240">IFERROR(1-(1-NTa*AL108*(1-T108/2)/(1-T108))*(1-NTb*AQ108*(1-T108/2)/(1-T108))*(1-NTc*AU108*(1-T108/2)/(1-T108)),0)</f>
        <v>0</v>
      </c>
      <c r="AG108" s="8">
        <f t="shared" ref="AG108:AG124" ca="1" si="241">+AD108*$O108</f>
        <v>0</v>
      </c>
      <c r="AH108" s="5">
        <f ca="1">+SUM(AG108:AG$124)</f>
        <v>0</v>
      </c>
      <c r="AI108" s="70">
        <f t="shared" ref="AI108:AI124" ca="1" si="242">AD108*AE108*P108</f>
        <v>0</v>
      </c>
      <c r="AJ108" s="208">
        <f ca="1">+SUM(AB108:AB$124)*SS50J</f>
        <v>0</v>
      </c>
      <c r="AK108" s="5">
        <f t="shared" ca="1" si="198"/>
        <v>21370.197771835043</v>
      </c>
      <c r="AL108" s="2">
        <f t="shared" ca="1" si="57"/>
        <v>0</v>
      </c>
      <c r="AM108" s="131">
        <f t="shared" ca="1" si="199"/>
        <v>2524.2370690364137</v>
      </c>
      <c r="AN108" s="129">
        <f t="shared" ca="1" si="200"/>
        <v>0</v>
      </c>
      <c r="AO108" s="129">
        <f ca="1">SUM(AN108:AN$124)*SSa</f>
        <v>0</v>
      </c>
      <c r="AP108" s="70">
        <f t="shared" ca="1" si="201"/>
        <v>21370.197771835043</v>
      </c>
      <c r="AQ108" s="2">
        <f t="shared" ca="1" si="58"/>
        <v>0</v>
      </c>
      <c r="AR108" s="127">
        <f t="shared" ca="1" si="202"/>
        <v>0</v>
      </c>
      <c r="AS108" s="127">
        <f ca="1">SUM(AR108:AR$124)*SSb</f>
        <v>0</v>
      </c>
      <c r="AT108" s="70">
        <f t="shared" ca="1" si="203"/>
        <v>21370.197771835043</v>
      </c>
      <c r="AU108" s="2">
        <f t="shared" ca="1" si="59"/>
        <v>0</v>
      </c>
      <c r="AV108" s="268">
        <f t="shared" ca="1" si="204"/>
        <v>0</v>
      </c>
      <c r="AW108" s="131">
        <f ca="1">SUM(AV108:AV$124)*SSc</f>
        <v>0</v>
      </c>
      <c r="AX108" s="70">
        <f t="shared" ca="1" si="205"/>
        <v>21370.197771835043</v>
      </c>
      <c r="AY108" s="2">
        <f t="shared" ca="1" si="60"/>
        <v>0</v>
      </c>
      <c r="AZ108" s="268">
        <f t="shared" ca="1" si="206"/>
        <v>0</v>
      </c>
      <c r="BA108" s="129">
        <f ca="1">SUM(AZ108:AZ$124)*SSd</f>
        <v>0</v>
      </c>
      <c r="BB108" s="70">
        <f t="shared" ca="1" si="207"/>
        <v>21370.197771835043</v>
      </c>
      <c r="BC108" s="257">
        <f t="shared" ca="1" si="61"/>
        <v>0</v>
      </c>
      <c r="BD108" s="268">
        <f t="shared" ca="1" si="208"/>
        <v>0</v>
      </c>
      <c r="BE108" s="131">
        <f ca="1">SUM(BD108:BD$124)*SSe</f>
        <v>0</v>
      </c>
      <c r="BF108" s="70">
        <f t="shared" ca="1" si="209"/>
        <v>21370.197771835043</v>
      </c>
      <c r="BG108" s="2">
        <f t="shared" ca="1" si="62"/>
        <v>0</v>
      </c>
      <c r="BH108" s="131">
        <f t="shared" ca="1" si="210"/>
        <v>0</v>
      </c>
      <c r="BI108" s="2">
        <f ca="1">SUM(BH108:BH$124)*SSf</f>
        <v>0</v>
      </c>
      <c r="BJ108" s="70">
        <f t="shared" ca="1" si="211"/>
        <v>21370.197771835043</v>
      </c>
      <c r="BK108" s="2">
        <f t="shared" ca="1" si="63"/>
        <v>0</v>
      </c>
      <c r="BL108" s="131">
        <f t="shared" ca="1" si="212"/>
        <v>0</v>
      </c>
      <c r="BM108" s="131">
        <f ca="1">SUM(BL108:BL$124)*SSg</f>
        <v>0</v>
      </c>
      <c r="BN108" s="70">
        <f t="shared" ca="1" si="213"/>
        <v>21370.197771835043</v>
      </c>
      <c r="BO108" s="2">
        <f t="shared" ca="1" si="64"/>
        <v>0</v>
      </c>
      <c r="BP108" s="131">
        <f t="shared" ca="1" si="214"/>
        <v>0</v>
      </c>
      <c r="BQ108" s="131">
        <f ca="1">SUM(BP108:BP$124)*SSh</f>
        <v>0</v>
      </c>
      <c r="BR108" s="70">
        <f t="shared" ca="1" si="215"/>
        <v>21370.197771835043</v>
      </c>
      <c r="BS108" s="2">
        <f t="shared" ref="BS108:BS124" ca="1" si="243">IFERROR(VLOOKUP($S108,qx_table,MATCH(BS$11,qx_title,0)+sexB),0)*IF(R108=0,MCi,1)</f>
        <v>0</v>
      </c>
      <c r="BT108" s="131">
        <f t="shared" ca="1" si="216"/>
        <v>0</v>
      </c>
      <c r="BU108" s="131">
        <f ca="1">SUM(BT108:BT$124)*SSi</f>
        <v>0</v>
      </c>
      <c r="BV108" s="70">
        <f t="shared" ca="1" si="217"/>
        <v>21370.197771835043</v>
      </c>
      <c r="BW108" s="2">
        <f t="shared" ca="1" si="66"/>
        <v>0</v>
      </c>
      <c r="BX108" s="131">
        <f t="shared" ca="1" si="218"/>
        <v>0</v>
      </c>
      <c r="BY108" s="131">
        <f ca="1">SUM(BX108:BX$124)*SSj</f>
        <v>0</v>
      </c>
      <c r="BZ108" s="70">
        <f t="shared" ca="1" si="219"/>
        <v>21370.197771835043</v>
      </c>
      <c r="CA108" s="2">
        <f t="shared" ca="1" si="67"/>
        <v>0</v>
      </c>
      <c r="CB108" s="131">
        <f t="shared" ca="1" si="220"/>
        <v>0</v>
      </c>
      <c r="CC108" s="131">
        <f ca="1">SUM(CB108:CB$124)*SSk</f>
        <v>0</v>
      </c>
      <c r="CD108" s="8">
        <f t="shared" ca="1" si="221"/>
        <v>21370.197771835043</v>
      </c>
      <c r="CE108" s="2">
        <f t="shared" ca="1" si="68"/>
        <v>0</v>
      </c>
      <c r="CF108" s="131">
        <f t="shared" ca="1" si="222"/>
        <v>0</v>
      </c>
      <c r="CG108" s="131">
        <f ca="1">SUM(CF108:CF$124)*SSl</f>
        <v>0</v>
      </c>
      <c r="CH108" s="155">
        <f t="shared" si="223"/>
        <v>0.01</v>
      </c>
      <c r="CI108" s="155">
        <f t="shared" ca="1" si="224"/>
        <v>0</v>
      </c>
      <c r="CJ108" s="155">
        <f t="shared" ca="1" si="225"/>
        <v>0</v>
      </c>
      <c r="CK108" s="155">
        <f ca="1">유해지!CY108</f>
        <v>0</v>
      </c>
      <c r="CL108" s="529">
        <f t="shared" ref="CL108:CL125" ca="1" si="244">IF(R108&lt;mB,0,(CK108+CK109)/2)</f>
        <v>0</v>
      </c>
      <c r="CM108" s="155">
        <f t="shared" ca="1" si="226"/>
        <v>0</v>
      </c>
      <c r="CN108" s="155">
        <f ca="1">SUM(CM108:$CM$125)</f>
        <v>0</v>
      </c>
      <c r="CO108" s="101">
        <f t="shared" ca="1" si="227"/>
        <v>0</v>
      </c>
      <c r="CP108" s="154">
        <f t="shared" ref="CP108:CP124" ca="1" si="245">MAX((VLOOKUP(xB+R108,기수표B,$CO$1)-VLOOKUP(xB+nB,기수표B,$CO$1)),0)</f>
        <v>0</v>
      </c>
      <c r="CQ108" s="154">
        <f t="shared" ref="CQ108:CQ125" ca="1" si="246">MAX((VLOOKUP(xB+R108,기수표B,$CN$1)-VLOOKUP(xB+nB,기수표B,$CN$1)),0)</f>
        <v>0</v>
      </c>
      <c r="CR108" s="32">
        <f t="shared" ref="CR108:CR124" ca="1" si="247">+MAX(VLOOKUP(xB+$R108,기수표B,$AH$1)-VLOOKUP(xB+mB,기수표B,$AH$1),0)</f>
        <v>0</v>
      </c>
      <c r="CS108" s="32">
        <f t="shared" ref="CS108:CS124" ca="1" si="248">+MAX(VLOOKUP(xB+$R108,기수표B,$AH$1)-VLOOKUP(xB+mB,기수표B,$AH$1)-(mmB-1)/(mmB*2)*(VLOOKUP(xB+$R108,기수표B,$AG$1)-VLOOKUP(xB+mB,기수표B,$AG$1)),0)</f>
        <v>0</v>
      </c>
      <c r="CT108" s="32">
        <f t="shared" ref="CT108:CT124" ca="1" si="249">+MAX(VLOOKUP(xB+$R108,기수표B,$AA$1)-VLOOKUP(xB+mB,기수표B,$AA$1),0)</f>
        <v>0</v>
      </c>
      <c r="CU108" s="32">
        <f t="shared" ref="CU108:CU124" ca="1" si="250">+MAX(VLOOKUP(xB+$R108,기수표B,$AA$1)-VLOOKUP(xB+mB,기수표B,$AA$1)-(mmB-1)/(2*mmB)*(VLOOKUP(xB+$R108,기수표B,$AA$1)-VLOOKUP(xB+mB,기수표B,$AA$1)),0)</f>
        <v>0</v>
      </c>
      <c r="CV108" s="32">
        <f t="shared" ref="CV108:CV124" si="251">IF(R108&gt;nB,0,VLOOKUP(xB+MAX($R108,mB),기수표B,$AA$1)-VLOOKUP(xB+nB,기수표B,$AA$1))</f>
        <v>0</v>
      </c>
      <c r="CW108" s="32">
        <f t="shared" ref="CW108:CW124" ca="1" si="252">IF(JRB=1,mmB*H$25*CS108,0)</f>
        <v>0</v>
      </c>
      <c r="CX108" s="259">
        <f ca="1">IF(R108&lt;m,0,ROUND(IF($R108&gt;nB,0,GPB*mB*mmB*유해지!CY108),roundB))</f>
        <v>0</v>
      </c>
      <c r="CY108" s="262">
        <f t="shared" ref="CY108:CY124" ca="1" si="253">+MAX(0,IF(JRB=1,CX108,MAX(0,ROUND(IF($R108&gt;nB,0,CZ108-MAX($DA108-$R108,0)/$DA108*$C$33),round))))</f>
        <v>0</v>
      </c>
      <c r="CZ108" s="259" t="e">
        <f t="shared" ref="CZ108:CZ124" ca="1" si="254">(CP108+mmB*GPB*CQ108*mB+BETAD_SB*$CV108-CW108)/Z108</f>
        <v>#DIV/0!</v>
      </c>
      <c r="DA108" s="31">
        <f t="shared" ref="DA108:DA124" si="255">+MIN(mB,7)</f>
        <v>5</v>
      </c>
    </row>
    <row r="109" spans="3:105">
      <c r="C109" s="33"/>
      <c r="D109" s="33"/>
      <c r="E109" s="16"/>
      <c r="N109" s="5">
        <f t="shared" si="228"/>
        <v>97</v>
      </c>
      <c r="O109" s="2">
        <f t="shared" ca="1" si="231"/>
        <v>0.11552029309310777</v>
      </c>
      <c r="P109" s="2">
        <f t="shared" ca="1" si="232"/>
        <v>0.11424221733377446</v>
      </c>
      <c r="Q109" s="91"/>
      <c r="R109" s="20">
        <f t="shared" si="229"/>
        <v>97</v>
      </c>
      <c r="S109" s="20" t="str">
        <f t="shared" si="233"/>
        <v/>
      </c>
      <c r="T109" s="2">
        <f t="shared" ca="1" si="230"/>
        <v>0</v>
      </c>
      <c r="U109" s="2">
        <f t="shared" ca="1" si="230"/>
        <v>0</v>
      </c>
      <c r="V109" s="300">
        <f t="shared" si="234"/>
        <v>0.01</v>
      </c>
      <c r="W109" s="8">
        <f t="shared" si="235"/>
        <v>0</v>
      </c>
      <c r="X109" s="10">
        <f t="shared" ca="1" si="236"/>
        <v>1.0000000000000009E-2</v>
      </c>
      <c r="Y109" s="10">
        <f t="shared" ca="1" si="237"/>
        <v>0</v>
      </c>
      <c r="Z109" s="5">
        <f t="shared" ref="Z109:Z124" ca="1" si="256">+W109*O109</f>
        <v>0</v>
      </c>
      <c r="AA109" s="5">
        <f ca="1">+SUM(Z109:Z$124)</f>
        <v>0</v>
      </c>
      <c r="AB109" s="8">
        <f t="shared" ca="1" si="238"/>
        <v>0</v>
      </c>
      <c r="AC109" s="209">
        <f ca="1">+SUM(AB109:AB$124)*SSSM</f>
        <v>0</v>
      </c>
      <c r="AD109" s="209">
        <f t="shared" ref="AD109:AD124" si="257">IF(R109&gt;nB,0,AD108*(1-X108)*(1-Y108)*(1-AE108)*(1-AF108))</f>
        <v>0</v>
      </c>
      <c r="AE109" s="92">
        <f t="shared" ca="1" si="239"/>
        <v>0</v>
      </c>
      <c r="AF109" s="92">
        <f t="shared" ca="1" si="240"/>
        <v>0</v>
      </c>
      <c r="AG109" s="8">
        <f t="shared" ca="1" si="241"/>
        <v>0</v>
      </c>
      <c r="AH109" s="5">
        <f ca="1">+SUM(AG109:AG$124)</f>
        <v>0</v>
      </c>
      <c r="AI109" s="70">
        <f t="shared" ca="1" si="242"/>
        <v>0</v>
      </c>
      <c r="AJ109" s="208">
        <f ca="1">+SUM(AB109:AB$124)*SS50J</f>
        <v>0</v>
      </c>
      <c r="AK109" s="5">
        <f t="shared" ref="AK109:AK124" ca="1" si="258">IFERROR(AK108*(1-$X108)*(1-$Y108)*(1-BTa*AL108*(1-$T108/2)/(1-$T108)),0)</f>
        <v>21156.49579411669</v>
      </c>
      <c r="AL109" s="2">
        <f t="shared" ca="1" si="57"/>
        <v>0</v>
      </c>
      <c r="AM109" s="131">
        <f t="shared" ca="1" si="199"/>
        <v>2444.0045949594619</v>
      </c>
      <c r="AN109" s="129">
        <f t="shared" ref="AN109:AN124" ca="1" si="259">AK109*AL109*(1-CHOOSE(JRB,1,0)*$V109/2)*$P109</f>
        <v>0</v>
      </c>
      <c r="AO109" s="129">
        <f ca="1">SUM(AN109:AN$124)*SSa</f>
        <v>0</v>
      </c>
      <c r="AP109" s="70">
        <f t="shared" ref="AP109:AP124" ca="1" si="260">IFERROR(AP108*(1-$X108)*(1-$Y108)*(1-BTb*AQ108*(1-$T108/2)/(1-$T108)),0)</f>
        <v>21156.49579411669</v>
      </c>
      <c r="AQ109" s="2">
        <f t="shared" ca="1" si="58"/>
        <v>0</v>
      </c>
      <c r="AR109" s="127">
        <f t="shared" ref="AR109:AR124" ca="1" si="261">AP109*AQ109*(1-CHOOSE(JRB,1,0)*$V109/2)*$P109</f>
        <v>0</v>
      </c>
      <c r="AS109" s="127">
        <f ca="1">SUM(AR109:AR$124)*SSb</f>
        <v>0</v>
      </c>
      <c r="AT109" s="70">
        <f t="shared" ref="AT109:AT124" ca="1" si="262">IFERROR(AT108*(1-$X108)*(1-$Y108)*(1-BTc*AU108*(1-$T108/2)/(1-$T108)),0)</f>
        <v>21156.49579411669</v>
      </c>
      <c r="AU109" s="2">
        <f t="shared" ca="1" si="59"/>
        <v>0</v>
      </c>
      <c r="AV109" s="268">
        <f t="shared" ref="AV109:AV124" ca="1" si="263">AT109*AU109*(1-CHOOSE(JRB,1,0)*$V109/2)*$P109</f>
        <v>0</v>
      </c>
      <c r="AW109" s="131">
        <f ca="1">SUM(AV109:AV$124)*SSc</f>
        <v>0</v>
      </c>
      <c r="AX109" s="70">
        <f t="shared" ref="AX109:AX124" ca="1" si="264">IFERROR(AX108*(1-$X108)*(1-$Y108)*(1-BTd*AY108*(1-$T108/2)/(1-$T108)),0)</f>
        <v>21156.49579411669</v>
      </c>
      <c r="AY109" s="2">
        <f t="shared" ca="1" si="60"/>
        <v>0</v>
      </c>
      <c r="AZ109" s="268">
        <f t="shared" ref="AZ109:AZ124" ca="1" si="265">AX109*AY109*(1-CHOOSE(JRB,1,0)*$V109/2)*$P109</f>
        <v>0</v>
      </c>
      <c r="BA109" s="129">
        <f ca="1">SUM(AZ109:AZ$124)*SSd</f>
        <v>0</v>
      </c>
      <c r="BB109" s="70">
        <f t="shared" ref="BB109:BB124" ca="1" si="266">IFERROR(BB108*(1-$X108)*(1-$Y108)*(1-BTe*BC108*(1-$T108/2)/(1-$T108)),0)</f>
        <v>21156.49579411669</v>
      </c>
      <c r="BC109" s="257">
        <f t="shared" ca="1" si="61"/>
        <v>0</v>
      </c>
      <c r="BD109" s="268">
        <f t="shared" ref="BD109:BD124" ca="1" si="267">BB109*BC109*(1-CHOOSE(JRB,1,0)*$V109/2)*$P109</f>
        <v>0</v>
      </c>
      <c r="BE109" s="131">
        <f ca="1">SUM(BD109:BD$124)*SSe</f>
        <v>0</v>
      </c>
      <c r="BF109" s="70">
        <f t="shared" ref="BF109:BF124" ca="1" si="268">IFERROR(BF108*(1-$X108)*(1-$Y108)*(1-BTf*BG108*(1-$T108/2)/(1-$T108)),0)</f>
        <v>21156.49579411669</v>
      </c>
      <c r="BG109" s="2">
        <f t="shared" ca="1" si="62"/>
        <v>0</v>
      </c>
      <c r="BH109" s="131">
        <f t="shared" ref="BH109:BH124" ca="1" si="269">BF109*BG109*(1-CHOOSE(JRB,1,0)*$V109/2)*$P109</f>
        <v>0</v>
      </c>
      <c r="BI109" s="2">
        <f ca="1">SUM(BH109:BH$124)*SSf</f>
        <v>0</v>
      </c>
      <c r="BJ109" s="70">
        <f t="shared" ref="BJ109:BJ124" ca="1" si="270">IFERROR(BJ108*(1-$X108)*(1-$Y108)*(1-BTg*BK108*(1-$T108/2)/(1-$T108)),0)</f>
        <v>21156.49579411669</v>
      </c>
      <c r="BK109" s="2">
        <f t="shared" ca="1" si="63"/>
        <v>0</v>
      </c>
      <c r="BL109" s="131">
        <f t="shared" ref="BL109:BL124" ca="1" si="271">BJ109*BK109*(1-CHOOSE(JRB,1,0)*$V109/2)*$P109</f>
        <v>0</v>
      </c>
      <c r="BM109" s="131">
        <f ca="1">SUM(BL109:BL$124)*SSg</f>
        <v>0</v>
      </c>
      <c r="BN109" s="70">
        <f t="shared" ref="BN109:BN124" ca="1" si="272">IFERROR(BN108*(1-$X108)*(1-$Y108)*(1-BTh*BO108*(1-$T108/2)/(1-$T108)),0)</f>
        <v>21156.49579411669</v>
      </c>
      <c r="BO109" s="2">
        <f t="shared" ca="1" si="64"/>
        <v>0</v>
      </c>
      <c r="BP109" s="131">
        <f t="shared" ref="BP109:BP124" ca="1" si="273">BN109*BO109*(1-CHOOSE(JRB,1,0)*$V109/2)*$P109</f>
        <v>0</v>
      </c>
      <c r="BQ109" s="131">
        <f ca="1">SUM(BP109:BP$124)*SSh</f>
        <v>0</v>
      </c>
      <c r="BR109" s="70">
        <f t="shared" ref="BR109:BR124" ca="1" si="274">IFERROR(BR108*(1-$X108)*(1-$Y108)*(1-BTi*BS108*(1-$T108/2)/(1-$T108)),0)</f>
        <v>21156.49579411669</v>
      </c>
      <c r="BS109" s="2">
        <f t="shared" ca="1" si="243"/>
        <v>0</v>
      </c>
      <c r="BT109" s="131">
        <f t="shared" ref="BT109:BT124" ca="1" si="275">BR109*BS109*(1-CHOOSE(JRB,1,0)*$V109/2)*$P109</f>
        <v>0</v>
      </c>
      <c r="BU109" s="131">
        <f ca="1">SUM(BT109:BT$124)*SSi</f>
        <v>0</v>
      </c>
      <c r="BV109" s="70">
        <f t="shared" ref="BV109:BV124" ca="1" si="276">IFERROR(BV108*(1-$X108)*(1-$Y108)*(1-BTj*BW108*(1-$T108/2)/(1-$T108)),0)</f>
        <v>21156.49579411669</v>
      </c>
      <c r="BW109" s="2">
        <f t="shared" ca="1" si="66"/>
        <v>0</v>
      </c>
      <c r="BX109" s="131">
        <f t="shared" ref="BX109:BX124" ca="1" si="277">BV109*BW109*(1-CHOOSE(JRB,1,0)*$V109/2)*$P109</f>
        <v>0</v>
      </c>
      <c r="BY109" s="131">
        <f ca="1">SUM(BX109:BX$124)*SSj</f>
        <v>0</v>
      </c>
      <c r="BZ109" s="70">
        <f t="shared" ref="BZ109:BZ124" ca="1" si="278">IFERROR(BZ108*(1-$X108)*(1-$Y108)*(1-BTk*CA108*(1-$T108/2)/(1-$T108)),0)</f>
        <v>21156.49579411669</v>
      </c>
      <c r="CA109" s="2">
        <f t="shared" ca="1" si="67"/>
        <v>0</v>
      </c>
      <c r="CB109" s="131">
        <f t="shared" ref="CB109:CB124" ca="1" si="279">BZ109*CA109*(1-CHOOSE(JRB,1,0)*$V109/2)*$P109</f>
        <v>0</v>
      </c>
      <c r="CC109" s="131">
        <f ca="1">SUM(CB109:CB$124)*SSk</f>
        <v>0</v>
      </c>
      <c r="CD109" s="8">
        <f t="shared" ref="CD109:CD124" ca="1" si="280">IFERROR(CD108*(1-$X108)*(1-$Y108)*(1-BTl*CE108*(1-$T108/2)/(1-$T108)),0)</f>
        <v>21156.49579411669</v>
      </c>
      <c r="CE109" s="2">
        <f t="shared" ca="1" si="68"/>
        <v>0</v>
      </c>
      <c r="CF109" s="131">
        <f t="shared" ref="CF109:CF124" ca="1" si="281">CD109*CE109*(1-CHOOSE(JRB,1,0)*$V109/2)*$P109</f>
        <v>0</v>
      </c>
      <c r="CG109" s="131">
        <f ca="1">SUM(CF109:CF$124)*SSl</f>
        <v>0</v>
      </c>
      <c r="CH109" s="155">
        <f t="shared" si="223"/>
        <v>0.01</v>
      </c>
      <c r="CI109" s="155">
        <f t="shared" ca="1" si="224"/>
        <v>0</v>
      </c>
      <c r="CJ109" s="155">
        <f t="shared" ca="1" si="225"/>
        <v>0</v>
      </c>
      <c r="CK109" s="155">
        <f ca="1">유해지!CY109</f>
        <v>0</v>
      </c>
      <c r="CL109" s="529">
        <f t="shared" ca="1" si="244"/>
        <v>0</v>
      </c>
      <c r="CM109" s="155">
        <f t="shared" ca="1" si="226"/>
        <v>0</v>
      </c>
      <c r="CN109" s="155">
        <f ca="1">SUM(CM109:$CM$125)</f>
        <v>0</v>
      </c>
      <c r="CO109" s="101">
        <f t="shared" ca="1" si="227"/>
        <v>0</v>
      </c>
      <c r="CP109" s="154">
        <f t="shared" ca="1" si="245"/>
        <v>0</v>
      </c>
      <c r="CQ109" s="154">
        <f t="shared" ca="1" si="246"/>
        <v>0</v>
      </c>
      <c r="CR109" s="32">
        <f t="shared" ca="1" si="247"/>
        <v>0</v>
      </c>
      <c r="CS109" s="32">
        <f t="shared" ca="1" si="248"/>
        <v>0</v>
      </c>
      <c r="CT109" s="32">
        <f t="shared" ca="1" si="249"/>
        <v>0</v>
      </c>
      <c r="CU109" s="32">
        <f t="shared" ca="1" si="250"/>
        <v>0</v>
      </c>
      <c r="CV109" s="32">
        <f t="shared" si="251"/>
        <v>0</v>
      </c>
      <c r="CW109" s="32">
        <f t="shared" ca="1" si="252"/>
        <v>0</v>
      </c>
      <c r="CX109" s="259">
        <f ca="1">IF(R109&lt;m,0,ROUND(IF($R109&gt;nB,0,GPB*mB*mmB*유해지!CY109),roundB))</f>
        <v>0</v>
      </c>
      <c r="CY109" s="262">
        <f t="shared" ca="1" si="253"/>
        <v>0</v>
      </c>
      <c r="CZ109" s="259" t="e">
        <f t="shared" ca="1" si="254"/>
        <v>#DIV/0!</v>
      </c>
      <c r="DA109" s="31">
        <f t="shared" si="255"/>
        <v>5</v>
      </c>
    </row>
    <row r="110" spans="3:105">
      <c r="C110" s="33"/>
      <c r="D110" s="33"/>
      <c r="E110" s="16"/>
      <c r="N110" s="5">
        <f t="shared" si="228"/>
        <v>98</v>
      </c>
      <c r="O110" s="2">
        <f t="shared" ca="1" si="231"/>
        <v>0.11297828175365064</v>
      </c>
      <c r="P110" s="2">
        <f t="shared" ca="1" si="232"/>
        <v>0.1117283299107819</v>
      </c>
      <c r="Q110" s="91"/>
      <c r="R110" s="20">
        <f t="shared" si="229"/>
        <v>98</v>
      </c>
      <c r="S110" s="20" t="str">
        <f t="shared" si="233"/>
        <v/>
      </c>
      <c r="T110" s="2">
        <f t="shared" ca="1" si="230"/>
        <v>0</v>
      </c>
      <c r="U110" s="2">
        <f t="shared" ca="1" si="230"/>
        <v>0</v>
      </c>
      <c r="V110" s="300">
        <f t="shared" si="234"/>
        <v>0.01</v>
      </c>
      <c r="W110" s="8">
        <f t="shared" si="235"/>
        <v>0</v>
      </c>
      <c r="X110" s="10">
        <f t="shared" ca="1" si="236"/>
        <v>1.0000000000000009E-2</v>
      </c>
      <c r="Y110" s="10">
        <f t="shared" ca="1" si="237"/>
        <v>0</v>
      </c>
      <c r="Z110" s="5">
        <f t="shared" ca="1" si="256"/>
        <v>0</v>
      </c>
      <c r="AA110" s="5">
        <f ca="1">+SUM(Z110:Z$124)</f>
        <v>0</v>
      </c>
      <c r="AB110" s="8">
        <f t="shared" ca="1" si="238"/>
        <v>0</v>
      </c>
      <c r="AC110" s="209">
        <f ca="1">+SUM(AB110:AB$124)*SSSM</f>
        <v>0</v>
      </c>
      <c r="AD110" s="209">
        <f t="shared" si="257"/>
        <v>0</v>
      </c>
      <c r="AE110" s="92">
        <f t="shared" ca="1" si="239"/>
        <v>0</v>
      </c>
      <c r="AF110" s="92">
        <f t="shared" ca="1" si="240"/>
        <v>0</v>
      </c>
      <c r="AG110" s="8">
        <f t="shared" ca="1" si="241"/>
        <v>0</v>
      </c>
      <c r="AH110" s="5">
        <f ca="1">+SUM(AG110:AG$124)</f>
        <v>0</v>
      </c>
      <c r="AI110" s="70">
        <f t="shared" ca="1" si="242"/>
        <v>0</v>
      </c>
      <c r="AJ110" s="208">
        <f ca="1">+SUM(AB110:AB$124)*SS50J</f>
        <v>0</v>
      </c>
      <c r="AK110" s="5">
        <f t="shared" ca="1" si="258"/>
        <v>20944.930836175525</v>
      </c>
      <c r="AL110" s="2">
        <f t="shared" ca="1" si="57"/>
        <v>0</v>
      </c>
      <c r="AM110" s="131">
        <f t="shared" ca="1" si="199"/>
        <v>2366.3222973201641</v>
      </c>
      <c r="AN110" s="129">
        <f t="shared" ca="1" si="259"/>
        <v>0</v>
      </c>
      <c r="AO110" s="129">
        <f ca="1">SUM(AN110:AN$124)*SSa</f>
        <v>0</v>
      </c>
      <c r="AP110" s="70">
        <f t="shared" ca="1" si="260"/>
        <v>20944.930836175525</v>
      </c>
      <c r="AQ110" s="2">
        <f t="shared" ca="1" si="58"/>
        <v>0</v>
      </c>
      <c r="AR110" s="127">
        <f t="shared" ca="1" si="261"/>
        <v>0</v>
      </c>
      <c r="AS110" s="127">
        <f ca="1">SUM(AR110:AR$124)*SSb</f>
        <v>0</v>
      </c>
      <c r="AT110" s="70">
        <f t="shared" ca="1" si="262"/>
        <v>20944.930836175525</v>
      </c>
      <c r="AU110" s="2">
        <f t="shared" ca="1" si="59"/>
        <v>0</v>
      </c>
      <c r="AV110" s="268">
        <f t="shared" ca="1" si="263"/>
        <v>0</v>
      </c>
      <c r="AW110" s="131">
        <f ca="1">SUM(AV110:AV$124)*SSc</f>
        <v>0</v>
      </c>
      <c r="AX110" s="70">
        <f t="shared" ca="1" si="264"/>
        <v>20944.930836175525</v>
      </c>
      <c r="AY110" s="2">
        <f t="shared" ca="1" si="60"/>
        <v>0</v>
      </c>
      <c r="AZ110" s="268">
        <f t="shared" ca="1" si="265"/>
        <v>0</v>
      </c>
      <c r="BA110" s="129">
        <f ca="1">SUM(AZ110:AZ$124)*SSd</f>
        <v>0</v>
      </c>
      <c r="BB110" s="70">
        <f t="shared" ca="1" si="266"/>
        <v>20944.930836175525</v>
      </c>
      <c r="BC110" s="257">
        <f t="shared" ca="1" si="61"/>
        <v>0</v>
      </c>
      <c r="BD110" s="268">
        <f t="shared" ca="1" si="267"/>
        <v>0</v>
      </c>
      <c r="BE110" s="131">
        <f ca="1">SUM(BD110:BD$124)*SSe</f>
        <v>0</v>
      </c>
      <c r="BF110" s="70">
        <f t="shared" ca="1" si="268"/>
        <v>20944.930836175525</v>
      </c>
      <c r="BG110" s="2">
        <f t="shared" ca="1" si="62"/>
        <v>0</v>
      </c>
      <c r="BH110" s="131">
        <f t="shared" ca="1" si="269"/>
        <v>0</v>
      </c>
      <c r="BI110" s="2">
        <f ca="1">SUM(BH110:BH$124)*SSf</f>
        <v>0</v>
      </c>
      <c r="BJ110" s="70">
        <f t="shared" ca="1" si="270"/>
        <v>20944.930836175525</v>
      </c>
      <c r="BK110" s="2">
        <f t="shared" ca="1" si="63"/>
        <v>0</v>
      </c>
      <c r="BL110" s="131">
        <f t="shared" ca="1" si="271"/>
        <v>0</v>
      </c>
      <c r="BM110" s="131">
        <f ca="1">SUM(BL110:BL$124)*SSg</f>
        <v>0</v>
      </c>
      <c r="BN110" s="70">
        <f t="shared" ca="1" si="272"/>
        <v>20944.930836175525</v>
      </c>
      <c r="BO110" s="2">
        <f t="shared" ca="1" si="64"/>
        <v>0</v>
      </c>
      <c r="BP110" s="131">
        <f t="shared" ca="1" si="273"/>
        <v>0</v>
      </c>
      <c r="BQ110" s="131">
        <f ca="1">SUM(BP110:BP$124)*SSh</f>
        <v>0</v>
      </c>
      <c r="BR110" s="70">
        <f t="shared" ca="1" si="274"/>
        <v>20944.930836175525</v>
      </c>
      <c r="BS110" s="2">
        <f t="shared" ca="1" si="243"/>
        <v>0</v>
      </c>
      <c r="BT110" s="131">
        <f t="shared" ca="1" si="275"/>
        <v>0</v>
      </c>
      <c r="BU110" s="131">
        <f ca="1">SUM(BT110:BT$124)*SSi</f>
        <v>0</v>
      </c>
      <c r="BV110" s="70">
        <f t="shared" ca="1" si="276"/>
        <v>20944.930836175525</v>
      </c>
      <c r="BW110" s="2">
        <f t="shared" ca="1" si="66"/>
        <v>0</v>
      </c>
      <c r="BX110" s="131">
        <f t="shared" ca="1" si="277"/>
        <v>0</v>
      </c>
      <c r="BY110" s="131">
        <f ca="1">SUM(BX110:BX$124)*SSj</f>
        <v>0</v>
      </c>
      <c r="BZ110" s="70">
        <f t="shared" ca="1" si="278"/>
        <v>20944.930836175525</v>
      </c>
      <c r="CA110" s="2">
        <f t="shared" ca="1" si="67"/>
        <v>0</v>
      </c>
      <c r="CB110" s="131">
        <f t="shared" ca="1" si="279"/>
        <v>0</v>
      </c>
      <c r="CC110" s="131">
        <f ca="1">SUM(CB110:CB$124)*SSk</f>
        <v>0</v>
      </c>
      <c r="CD110" s="8">
        <f t="shared" ca="1" si="280"/>
        <v>20944.930836175525</v>
      </c>
      <c r="CE110" s="2">
        <f t="shared" ca="1" si="68"/>
        <v>0</v>
      </c>
      <c r="CF110" s="131">
        <f t="shared" ca="1" si="281"/>
        <v>0</v>
      </c>
      <c r="CG110" s="131">
        <f ca="1">SUM(CF110:CF$124)*SSl</f>
        <v>0</v>
      </c>
      <c r="CH110" s="155">
        <f t="shared" si="223"/>
        <v>0.01</v>
      </c>
      <c r="CI110" s="155">
        <f t="shared" ca="1" si="224"/>
        <v>0</v>
      </c>
      <c r="CJ110" s="155">
        <f t="shared" ca="1" si="225"/>
        <v>0</v>
      </c>
      <c r="CK110" s="155">
        <f ca="1">유해지!CY110</f>
        <v>0</v>
      </c>
      <c r="CL110" s="529">
        <f t="shared" ca="1" si="244"/>
        <v>0</v>
      </c>
      <c r="CM110" s="155">
        <f t="shared" ca="1" si="226"/>
        <v>0</v>
      </c>
      <c r="CN110" s="155">
        <f ca="1">SUM(CM110:$CM$125)</f>
        <v>0</v>
      </c>
      <c r="CO110" s="101">
        <f t="shared" ca="1" si="227"/>
        <v>0</v>
      </c>
      <c r="CP110" s="154">
        <f t="shared" ca="1" si="245"/>
        <v>0</v>
      </c>
      <c r="CQ110" s="154">
        <f t="shared" ca="1" si="246"/>
        <v>0</v>
      </c>
      <c r="CR110" s="32">
        <f t="shared" ca="1" si="247"/>
        <v>0</v>
      </c>
      <c r="CS110" s="32">
        <f t="shared" ca="1" si="248"/>
        <v>0</v>
      </c>
      <c r="CT110" s="32">
        <f t="shared" ca="1" si="249"/>
        <v>0</v>
      </c>
      <c r="CU110" s="32">
        <f t="shared" ca="1" si="250"/>
        <v>0</v>
      </c>
      <c r="CV110" s="32">
        <f t="shared" si="251"/>
        <v>0</v>
      </c>
      <c r="CW110" s="32">
        <f t="shared" ca="1" si="252"/>
        <v>0</v>
      </c>
      <c r="CX110" s="259">
        <f ca="1">IF(R110&lt;m,0,ROUND(IF($R110&gt;nB,0,GPB*mB*mmB*유해지!CY110),roundB))</f>
        <v>0</v>
      </c>
      <c r="CY110" s="262">
        <f t="shared" ca="1" si="253"/>
        <v>0</v>
      </c>
      <c r="CZ110" s="259" t="e">
        <f t="shared" ca="1" si="254"/>
        <v>#DIV/0!</v>
      </c>
      <c r="DA110" s="31">
        <f t="shared" si="255"/>
        <v>5</v>
      </c>
    </row>
    <row r="111" spans="3:105">
      <c r="C111" s="33"/>
      <c r="D111" s="33"/>
      <c r="E111" s="16"/>
      <c r="N111" s="5">
        <f t="shared" si="228"/>
        <v>99</v>
      </c>
      <c r="O111" s="2">
        <f t="shared" ca="1" si="231"/>
        <v>0.11049220709403487</v>
      </c>
      <c r="P111" s="2">
        <f t="shared" ca="1" si="232"/>
        <v>0.10926976030394316</v>
      </c>
      <c r="Q111" s="91"/>
      <c r="R111" s="20">
        <f t="shared" si="229"/>
        <v>99</v>
      </c>
      <c r="S111" s="20" t="str">
        <f t="shared" si="233"/>
        <v/>
      </c>
      <c r="T111" s="2">
        <f t="shared" ca="1" si="230"/>
        <v>0</v>
      </c>
      <c r="U111" s="2">
        <f t="shared" ca="1" si="230"/>
        <v>0</v>
      </c>
      <c r="V111" s="300">
        <f t="shared" si="234"/>
        <v>0.01</v>
      </c>
      <c r="W111" s="8">
        <f t="shared" si="235"/>
        <v>0</v>
      </c>
      <c r="X111" s="10">
        <f t="shared" ca="1" si="236"/>
        <v>1.0000000000000009E-2</v>
      </c>
      <c r="Y111" s="10">
        <f t="shared" ca="1" si="237"/>
        <v>0</v>
      </c>
      <c r="Z111" s="5">
        <f t="shared" ca="1" si="256"/>
        <v>0</v>
      </c>
      <c r="AA111" s="5">
        <f ca="1">+SUM(Z111:Z$124)</f>
        <v>0</v>
      </c>
      <c r="AB111" s="8">
        <f t="shared" ca="1" si="238"/>
        <v>0</v>
      </c>
      <c r="AC111" s="209">
        <f ca="1">+SUM(AB111:AB$124)*SSSM</f>
        <v>0</v>
      </c>
      <c r="AD111" s="209">
        <f t="shared" si="257"/>
        <v>0</v>
      </c>
      <c r="AE111" s="92">
        <f t="shared" ca="1" si="239"/>
        <v>0</v>
      </c>
      <c r="AF111" s="92">
        <f t="shared" ca="1" si="240"/>
        <v>0</v>
      </c>
      <c r="AG111" s="8">
        <f t="shared" ca="1" si="241"/>
        <v>0</v>
      </c>
      <c r="AH111" s="5">
        <f ca="1">+SUM(AG111:AG$124)</f>
        <v>0</v>
      </c>
      <c r="AI111" s="70">
        <f t="shared" ca="1" si="242"/>
        <v>0</v>
      </c>
      <c r="AJ111" s="208">
        <f ca="1">+SUM(AB111:AB$124)*SS50J</f>
        <v>0</v>
      </c>
      <c r="AK111" s="5">
        <f t="shared" ca="1" si="258"/>
        <v>20735.481527813768</v>
      </c>
      <c r="AL111" s="2">
        <f t="shared" ca="1" si="57"/>
        <v>0</v>
      </c>
      <c r="AM111" s="131">
        <f t="shared" ca="1" si="199"/>
        <v>2291.1091191657333</v>
      </c>
      <c r="AN111" s="129">
        <f t="shared" ca="1" si="259"/>
        <v>0</v>
      </c>
      <c r="AO111" s="129">
        <f ca="1">SUM(AN111:AN$124)*SSa</f>
        <v>0</v>
      </c>
      <c r="AP111" s="70">
        <f t="shared" ca="1" si="260"/>
        <v>20735.481527813768</v>
      </c>
      <c r="AQ111" s="2">
        <f t="shared" ca="1" si="58"/>
        <v>0</v>
      </c>
      <c r="AR111" s="127">
        <f t="shared" ca="1" si="261"/>
        <v>0</v>
      </c>
      <c r="AS111" s="127">
        <f ca="1">SUM(AR111:AR$124)*SSb</f>
        <v>0</v>
      </c>
      <c r="AT111" s="70">
        <f t="shared" ca="1" si="262"/>
        <v>20735.481527813768</v>
      </c>
      <c r="AU111" s="2">
        <f t="shared" ca="1" si="59"/>
        <v>0</v>
      </c>
      <c r="AV111" s="268">
        <f t="shared" ca="1" si="263"/>
        <v>0</v>
      </c>
      <c r="AW111" s="131">
        <f ca="1">SUM(AV111:AV$124)*SSc</f>
        <v>0</v>
      </c>
      <c r="AX111" s="70">
        <f t="shared" ca="1" si="264"/>
        <v>20735.481527813768</v>
      </c>
      <c r="AY111" s="2">
        <f t="shared" ca="1" si="60"/>
        <v>0</v>
      </c>
      <c r="AZ111" s="268">
        <f t="shared" ca="1" si="265"/>
        <v>0</v>
      </c>
      <c r="BA111" s="129">
        <f ca="1">SUM(AZ111:AZ$124)*SSd</f>
        <v>0</v>
      </c>
      <c r="BB111" s="70">
        <f t="shared" ca="1" si="266"/>
        <v>20735.481527813768</v>
      </c>
      <c r="BC111" s="257">
        <f t="shared" ca="1" si="61"/>
        <v>0</v>
      </c>
      <c r="BD111" s="268">
        <f t="shared" ca="1" si="267"/>
        <v>0</v>
      </c>
      <c r="BE111" s="131">
        <f ca="1">SUM(BD111:BD$124)*SSe</f>
        <v>0</v>
      </c>
      <c r="BF111" s="70">
        <f t="shared" ca="1" si="268"/>
        <v>20735.481527813768</v>
      </c>
      <c r="BG111" s="2">
        <f t="shared" ca="1" si="62"/>
        <v>0</v>
      </c>
      <c r="BH111" s="131">
        <f t="shared" ca="1" si="269"/>
        <v>0</v>
      </c>
      <c r="BI111" s="2">
        <f ca="1">SUM(BH111:BH$124)*SSf</f>
        <v>0</v>
      </c>
      <c r="BJ111" s="70">
        <f t="shared" ca="1" si="270"/>
        <v>20735.481527813768</v>
      </c>
      <c r="BK111" s="2">
        <f t="shared" ca="1" si="63"/>
        <v>0</v>
      </c>
      <c r="BL111" s="131">
        <f t="shared" ca="1" si="271"/>
        <v>0</v>
      </c>
      <c r="BM111" s="131">
        <f ca="1">SUM(BL111:BL$124)*SSg</f>
        <v>0</v>
      </c>
      <c r="BN111" s="70">
        <f t="shared" ca="1" si="272"/>
        <v>20735.481527813768</v>
      </c>
      <c r="BO111" s="2">
        <f t="shared" ca="1" si="64"/>
        <v>0</v>
      </c>
      <c r="BP111" s="131">
        <f t="shared" ca="1" si="273"/>
        <v>0</v>
      </c>
      <c r="BQ111" s="131">
        <f ca="1">SUM(BP111:BP$124)*SSh</f>
        <v>0</v>
      </c>
      <c r="BR111" s="70">
        <f t="shared" ca="1" si="274"/>
        <v>20735.481527813768</v>
      </c>
      <c r="BS111" s="2">
        <f t="shared" ca="1" si="243"/>
        <v>0</v>
      </c>
      <c r="BT111" s="131">
        <f t="shared" ca="1" si="275"/>
        <v>0</v>
      </c>
      <c r="BU111" s="131">
        <f ca="1">SUM(BT111:BT$124)*SSi</f>
        <v>0</v>
      </c>
      <c r="BV111" s="70">
        <f t="shared" ca="1" si="276"/>
        <v>20735.481527813768</v>
      </c>
      <c r="BW111" s="2">
        <f t="shared" ca="1" si="66"/>
        <v>0</v>
      </c>
      <c r="BX111" s="131">
        <f t="shared" ca="1" si="277"/>
        <v>0</v>
      </c>
      <c r="BY111" s="131">
        <f ca="1">SUM(BX111:BX$124)*SSj</f>
        <v>0</v>
      </c>
      <c r="BZ111" s="70">
        <f t="shared" ca="1" si="278"/>
        <v>20735.481527813768</v>
      </c>
      <c r="CA111" s="2">
        <f t="shared" ca="1" si="67"/>
        <v>0</v>
      </c>
      <c r="CB111" s="131">
        <f t="shared" ca="1" si="279"/>
        <v>0</v>
      </c>
      <c r="CC111" s="131">
        <f ca="1">SUM(CB111:CB$124)*SSk</f>
        <v>0</v>
      </c>
      <c r="CD111" s="8">
        <f t="shared" ca="1" si="280"/>
        <v>20735.481527813768</v>
      </c>
      <c r="CE111" s="2">
        <f t="shared" ca="1" si="68"/>
        <v>0</v>
      </c>
      <c r="CF111" s="131">
        <f t="shared" ca="1" si="281"/>
        <v>0</v>
      </c>
      <c r="CG111" s="131">
        <f ca="1">SUM(CF111:CF$124)*SSl</f>
        <v>0</v>
      </c>
      <c r="CH111" s="155">
        <f t="shared" si="223"/>
        <v>0.01</v>
      </c>
      <c r="CI111" s="155">
        <f t="shared" ca="1" si="224"/>
        <v>0</v>
      </c>
      <c r="CJ111" s="155">
        <f t="shared" ca="1" si="225"/>
        <v>0</v>
      </c>
      <c r="CK111" s="155">
        <f ca="1">유해지!CY111</f>
        <v>0</v>
      </c>
      <c r="CL111" s="529">
        <f t="shared" ca="1" si="244"/>
        <v>0</v>
      </c>
      <c r="CM111" s="155">
        <f t="shared" ca="1" si="226"/>
        <v>0</v>
      </c>
      <c r="CN111" s="155">
        <f ca="1">SUM(CM111:$CM$125)</f>
        <v>0</v>
      </c>
      <c r="CO111" s="101">
        <f t="shared" ca="1" si="227"/>
        <v>0</v>
      </c>
      <c r="CP111" s="154">
        <f t="shared" ca="1" si="245"/>
        <v>0</v>
      </c>
      <c r="CQ111" s="154">
        <f t="shared" ca="1" si="246"/>
        <v>0</v>
      </c>
      <c r="CR111" s="32">
        <f t="shared" ca="1" si="247"/>
        <v>0</v>
      </c>
      <c r="CS111" s="32">
        <f t="shared" ca="1" si="248"/>
        <v>0</v>
      </c>
      <c r="CT111" s="32">
        <f t="shared" ca="1" si="249"/>
        <v>0</v>
      </c>
      <c r="CU111" s="32">
        <f t="shared" ca="1" si="250"/>
        <v>0</v>
      </c>
      <c r="CV111" s="32">
        <f t="shared" si="251"/>
        <v>0</v>
      </c>
      <c r="CW111" s="32">
        <f t="shared" ca="1" si="252"/>
        <v>0</v>
      </c>
      <c r="CX111" s="259">
        <f ca="1">IF(R111&lt;m,0,ROUND(IF($R111&gt;nB,0,GPB*mB*mmB*유해지!CY111),roundB))</f>
        <v>0</v>
      </c>
      <c r="CY111" s="262">
        <f t="shared" ca="1" si="253"/>
        <v>0</v>
      </c>
      <c r="CZ111" s="259" t="e">
        <f t="shared" ca="1" si="254"/>
        <v>#DIV/0!</v>
      </c>
      <c r="DA111" s="31">
        <f t="shared" si="255"/>
        <v>5</v>
      </c>
    </row>
    <row r="112" spans="3:105">
      <c r="C112" s="33"/>
      <c r="D112" s="33"/>
      <c r="N112" s="5">
        <f t="shared" si="228"/>
        <v>100</v>
      </c>
      <c r="O112" s="2">
        <f t="shared" ca="1" si="231"/>
        <v>0.10806083823377494</v>
      </c>
      <c r="P112" s="2">
        <f t="shared" ca="1" si="232"/>
        <v>0.10686529125080016</v>
      </c>
      <c r="Q112" s="91"/>
      <c r="R112" s="20">
        <f t="shared" si="229"/>
        <v>100</v>
      </c>
      <c r="S112" s="20" t="str">
        <f t="shared" si="233"/>
        <v/>
      </c>
      <c r="T112" s="2">
        <f t="shared" ref="T112:U124" ca="1" si="282">IFERROR(VLOOKUP($S112,qx_table,MATCH(T$11,qx_title,0)+sexB),0)</f>
        <v>0</v>
      </c>
      <c r="U112" s="2">
        <f t="shared" ca="1" si="282"/>
        <v>0</v>
      </c>
      <c r="V112" s="300">
        <f t="shared" si="234"/>
        <v>0.01</v>
      </c>
      <c r="W112" s="8">
        <f t="shared" si="235"/>
        <v>0</v>
      </c>
      <c r="X112" s="10">
        <f t="shared" ca="1" si="236"/>
        <v>1.0000000000000009E-2</v>
      </c>
      <c r="Y112" s="10">
        <f t="shared" ca="1" si="237"/>
        <v>0</v>
      </c>
      <c r="Z112" s="5">
        <f t="shared" ca="1" si="256"/>
        <v>0</v>
      </c>
      <c r="AA112" s="5">
        <f ca="1">+SUM(Z112:Z$124)</f>
        <v>0</v>
      </c>
      <c r="AB112" s="8">
        <f t="shared" ca="1" si="238"/>
        <v>0</v>
      </c>
      <c r="AC112" s="209">
        <f ca="1">+SUM(AB112:AB$124)*SSSM</f>
        <v>0</v>
      </c>
      <c r="AD112" s="209">
        <f t="shared" si="257"/>
        <v>0</v>
      </c>
      <c r="AE112" s="92">
        <f t="shared" ca="1" si="239"/>
        <v>0</v>
      </c>
      <c r="AF112" s="92">
        <f t="shared" ca="1" si="240"/>
        <v>0</v>
      </c>
      <c r="AG112" s="8">
        <f t="shared" ca="1" si="241"/>
        <v>0</v>
      </c>
      <c r="AH112" s="5">
        <f ca="1">+SUM(AG112:AG$124)</f>
        <v>0</v>
      </c>
      <c r="AI112" s="70">
        <f t="shared" ca="1" si="242"/>
        <v>0</v>
      </c>
      <c r="AJ112" s="208">
        <f ca="1">+SUM(AB112:AB$124)*SS50J</f>
        <v>0</v>
      </c>
      <c r="AK112" s="5">
        <f t="shared" ca="1" si="258"/>
        <v>20528.126712535632</v>
      </c>
      <c r="AL112" s="2">
        <f t="shared" ca="1" si="57"/>
        <v>0</v>
      </c>
      <c r="AM112" s="131">
        <f t="shared" ca="1" si="199"/>
        <v>2218.286579925747</v>
      </c>
      <c r="AN112" s="129">
        <f t="shared" ca="1" si="259"/>
        <v>0</v>
      </c>
      <c r="AO112" s="129">
        <f ca="1">SUM(AN112:AN$124)*SSa</f>
        <v>0</v>
      </c>
      <c r="AP112" s="70">
        <f t="shared" ca="1" si="260"/>
        <v>20528.126712535632</v>
      </c>
      <c r="AQ112" s="2">
        <f t="shared" ca="1" si="58"/>
        <v>0</v>
      </c>
      <c r="AR112" s="127">
        <f t="shared" ca="1" si="261"/>
        <v>0</v>
      </c>
      <c r="AS112" s="127">
        <f ca="1">SUM(AR112:AR$124)*SSb</f>
        <v>0</v>
      </c>
      <c r="AT112" s="70">
        <f t="shared" ca="1" si="262"/>
        <v>20528.126712535632</v>
      </c>
      <c r="AU112" s="2">
        <f t="shared" ca="1" si="59"/>
        <v>0</v>
      </c>
      <c r="AV112" s="268">
        <f t="shared" ca="1" si="263"/>
        <v>0</v>
      </c>
      <c r="AW112" s="131">
        <f ca="1">SUM(AV112:AV$124)*SSc</f>
        <v>0</v>
      </c>
      <c r="AX112" s="70">
        <f t="shared" ca="1" si="264"/>
        <v>20528.126712535632</v>
      </c>
      <c r="AY112" s="2">
        <f t="shared" ca="1" si="60"/>
        <v>0</v>
      </c>
      <c r="AZ112" s="268">
        <f t="shared" ca="1" si="265"/>
        <v>0</v>
      </c>
      <c r="BA112" s="129">
        <f ca="1">SUM(AZ112:AZ$124)*SSd</f>
        <v>0</v>
      </c>
      <c r="BB112" s="70">
        <f t="shared" ca="1" si="266"/>
        <v>20528.126712535632</v>
      </c>
      <c r="BC112" s="257">
        <f t="shared" ca="1" si="61"/>
        <v>0</v>
      </c>
      <c r="BD112" s="268">
        <f t="shared" ca="1" si="267"/>
        <v>0</v>
      </c>
      <c r="BE112" s="131">
        <f ca="1">SUM(BD112:BD$124)*SSe</f>
        <v>0</v>
      </c>
      <c r="BF112" s="70">
        <f t="shared" ca="1" si="268"/>
        <v>20528.126712535632</v>
      </c>
      <c r="BG112" s="2">
        <f t="shared" ca="1" si="62"/>
        <v>0</v>
      </c>
      <c r="BH112" s="131">
        <f t="shared" ca="1" si="269"/>
        <v>0</v>
      </c>
      <c r="BI112" s="2">
        <f ca="1">SUM(BH112:BH$124)*SSf</f>
        <v>0</v>
      </c>
      <c r="BJ112" s="70">
        <f t="shared" ca="1" si="270"/>
        <v>20528.126712535632</v>
      </c>
      <c r="BK112" s="2">
        <f t="shared" ca="1" si="63"/>
        <v>0</v>
      </c>
      <c r="BL112" s="131">
        <f t="shared" ca="1" si="271"/>
        <v>0</v>
      </c>
      <c r="BM112" s="131">
        <f ca="1">SUM(BL112:BL$124)*SSg</f>
        <v>0</v>
      </c>
      <c r="BN112" s="70">
        <f t="shared" ca="1" si="272"/>
        <v>20528.126712535632</v>
      </c>
      <c r="BO112" s="2">
        <f t="shared" ca="1" si="64"/>
        <v>0</v>
      </c>
      <c r="BP112" s="131">
        <f t="shared" ca="1" si="273"/>
        <v>0</v>
      </c>
      <c r="BQ112" s="131">
        <f ca="1">SUM(BP112:BP$124)*SSh</f>
        <v>0</v>
      </c>
      <c r="BR112" s="70">
        <f t="shared" ca="1" si="274"/>
        <v>20528.126712535632</v>
      </c>
      <c r="BS112" s="2">
        <f t="shared" ca="1" si="243"/>
        <v>0</v>
      </c>
      <c r="BT112" s="131">
        <f t="shared" ca="1" si="275"/>
        <v>0</v>
      </c>
      <c r="BU112" s="131">
        <f ca="1">SUM(BT112:BT$124)*SSi</f>
        <v>0</v>
      </c>
      <c r="BV112" s="70">
        <f t="shared" ca="1" si="276"/>
        <v>20528.126712535632</v>
      </c>
      <c r="BW112" s="2">
        <f t="shared" ca="1" si="66"/>
        <v>0</v>
      </c>
      <c r="BX112" s="131">
        <f t="shared" ca="1" si="277"/>
        <v>0</v>
      </c>
      <c r="BY112" s="131">
        <f ca="1">SUM(BX112:BX$124)*SSj</f>
        <v>0</v>
      </c>
      <c r="BZ112" s="70">
        <f t="shared" ca="1" si="278"/>
        <v>20528.126712535632</v>
      </c>
      <c r="CA112" s="2">
        <f t="shared" ca="1" si="67"/>
        <v>0</v>
      </c>
      <c r="CB112" s="131">
        <f t="shared" ca="1" si="279"/>
        <v>0</v>
      </c>
      <c r="CC112" s="131">
        <f ca="1">SUM(CB112:CB$124)*SSk</f>
        <v>0</v>
      </c>
      <c r="CD112" s="8">
        <f t="shared" ca="1" si="280"/>
        <v>20528.126712535632</v>
      </c>
      <c r="CE112" s="2">
        <f t="shared" ca="1" si="68"/>
        <v>0</v>
      </c>
      <c r="CF112" s="131">
        <f t="shared" ca="1" si="281"/>
        <v>0</v>
      </c>
      <c r="CG112" s="131">
        <f ca="1">SUM(CF112:CF$124)*SSl</f>
        <v>0</v>
      </c>
      <c r="CH112" s="155">
        <f t="shared" si="223"/>
        <v>0.01</v>
      </c>
      <c r="CI112" s="155">
        <f t="shared" ca="1" si="224"/>
        <v>0</v>
      </c>
      <c r="CJ112" s="155">
        <f t="shared" ca="1" si="225"/>
        <v>0</v>
      </c>
      <c r="CK112" s="155">
        <f ca="1">유해지!CY112</f>
        <v>0</v>
      </c>
      <c r="CL112" s="529">
        <f t="shared" ca="1" si="244"/>
        <v>0</v>
      </c>
      <c r="CM112" s="155">
        <f t="shared" ca="1" si="226"/>
        <v>0</v>
      </c>
      <c r="CN112" s="155">
        <f ca="1">SUM(CM112:$CM$125)</f>
        <v>0</v>
      </c>
      <c r="CO112" s="101">
        <f t="shared" ca="1" si="227"/>
        <v>0</v>
      </c>
      <c r="CP112" s="154">
        <f t="shared" ca="1" si="245"/>
        <v>0</v>
      </c>
      <c r="CQ112" s="154">
        <f t="shared" ca="1" si="246"/>
        <v>0</v>
      </c>
      <c r="CR112" s="32">
        <f t="shared" ca="1" si="247"/>
        <v>0</v>
      </c>
      <c r="CS112" s="32">
        <f t="shared" ca="1" si="248"/>
        <v>0</v>
      </c>
      <c r="CT112" s="32">
        <f t="shared" ca="1" si="249"/>
        <v>0</v>
      </c>
      <c r="CU112" s="32">
        <f t="shared" ca="1" si="250"/>
        <v>0</v>
      </c>
      <c r="CV112" s="32">
        <f t="shared" si="251"/>
        <v>0</v>
      </c>
      <c r="CW112" s="32">
        <f t="shared" ca="1" si="252"/>
        <v>0</v>
      </c>
      <c r="CX112" s="259">
        <f ca="1">IF(R112&lt;m,0,ROUND(IF($R112&gt;nB,0,GPB*mB*mmB*유해지!CY112),roundB))</f>
        <v>0</v>
      </c>
      <c r="CY112" s="262">
        <f t="shared" ca="1" si="253"/>
        <v>0</v>
      </c>
      <c r="CZ112" s="259" t="e">
        <f t="shared" ca="1" si="254"/>
        <v>#DIV/0!</v>
      </c>
      <c r="DA112" s="31">
        <f t="shared" si="255"/>
        <v>5</v>
      </c>
    </row>
    <row r="113" spans="3:105">
      <c r="C113" s="33"/>
      <c r="D113" s="33"/>
      <c r="N113" s="5">
        <f t="shared" si="228"/>
        <v>101</v>
      </c>
      <c r="O113" s="2">
        <f t="shared" ca="1" si="231"/>
        <v>0.10568297137777498</v>
      </c>
      <c r="P113" s="2">
        <f t="shared" ca="1" si="232"/>
        <v>0.10451373227462121</v>
      </c>
      <c r="Q113" s="91"/>
      <c r="R113" s="20">
        <f t="shared" si="229"/>
        <v>101</v>
      </c>
      <c r="S113" s="20" t="str">
        <f t="shared" si="233"/>
        <v/>
      </c>
      <c r="T113" s="2">
        <f t="shared" ca="1" si="282"/>
        <v>0</v>
      </c>
      <c r="U113" s="2">
        <f t="shared" ca="1" si="282"/>
        <v>0</v>
      </c>
      <c r="V113" s="300">
        <f t="shared" si="234"/>
        <v>0.01</v>
      </c>
      <c r="W113" s="8">
        <f t="shared" si="235"/>
        <v>0</v>
      </c>
      <c r="X113" s="10">
        <f t="shared" ca="1" si="236"/>
        <v>1.0000000000000009E-2</v>
      </c>
      <c r="Y113" s="10">
        <f t="shared" ca="1" si="237"/>
        <v>0</v>
      </c>
      <c r="Z113" s="5">
        <f t="shared" ca="1" si="256"/>
        <v>0</v>
      </c>
      <c r="AA113" s="5">
        <f ca="1">+SUM(Z113:Z$124)</f>
        <v>0</v>
      </c>
      <c r="AB113" s="8">
        <f t="shared" ca="1" si="238"/>
        <v>0</v>
      </c>
      <c r="AC113" s="209">
        <f ca="1">+SUM(AB113:AB$124)*SSSM</f>
        <v>0</v>
      </c>
      <c r="AD113" s="209">
        <f t="shared" si="257"/>
        <v>0</v>
      </c>
      <c r="AE113" s="92">
        <f t="shared" ca="1" si="239"/>
        <v>0</v>
      </c>
      <c r="AF113" s="92">
        <f t="shared" ca="1" si="240"/>
        <v>0</v>
      </c>
      <c r="AG113" s="8">
        <f t="shared" ca="1" si="241"/>
        <v>0</v>
      </c>
      <c r="AH113" s="5">
        <f ca="1">+SUM(AG113:AG$124)</f>
        <v>0</v>
      </c>
      <c r="AI113" s="70">
        <f t="shared" ca="1" si="242"/>
        <v>0</v>
      </c>
      <c r="AJ113" s="208">
        <f ca="1">+SUM(AB113:AB$124)*SS50J</f>
        <v>0</v>
      </c>
      <c r="AK113" s="5">
        <f t="shared" ca="1" si="258"/>
        <v>20322.845445410276</v>
      </c>
      <c r="AL113" s="2">
        <f t="shared" ca="1" si="57"/>
        <v>0</v>
      </c>
      <c r="AM113" s="131">
        <f t="shared" ca="1" si="199"/>
        <v>2147.7786935222389</v>
      </c>
      <c r="AN113" s="129">
        <f t="shared" ca="1" si="259"/>
        <v>0</v>
      </c>
      <c r="AO113" s="129">
        <f ca="1">SUM(AN113:AN$124)*SSa</f>
        <v>0</v>
      </c>
      <c r="AP113" s="70">
        <f t="shared" ca="1" si="260"/>
        <v>20322.845445410276</v>
      </c>
      <c r="AQ113" s="2">
        <f t="shared" ca="1" si="58"/>
        <v>0</v>
      </c>
      <c r="AR113" s="127">
        <f t="shared" ca="1" si="261"/>
        <v>0</v>
      </c>
      <c r="AS113" s="127">
        <f ca="1">SUM(AR113:AR$124)*SSb</f>
        <v>0</v>
      </c>
      <c r="AT113" s="70">
        <f t="shared" ca="1" si="262"/>
        <v>20322.845445410276</v>
      </c>
      <c r="AU113" s="2">
        <f t="shared" ca="1" si="59"/>
        <v>0</v>
      </c>
      <c r="AV113" s="268">
        <f t="shared" ca="1" si="263"/>
        <v>0</v>
      </c>
      <c r="AW113" s="131">
        <f ca="1">SUM(AV113:AV$124)*SSc</f>
        <v>0</v>
      </c>
      <c r="AX113" s="70">
        <f t="shared" ca="1" si="264"/>
        <v>20322.845445410276</v>
      </c>
      <c r="AY113" s="2">
        <f t="shared" ca="1" si="60"/>
        <v>0</v>
      </c>
      <c r="AZ113" s="268">
        <f t="shared" ca="1" si="265"/>
        <v>0</v>
      </c>
      <c r="BA113" s="129">
        <f ca="1">SUM(AZ113:AZ$124)*SSd</f>
        <v>0</v>
      </c>
      <c r="BB113" s="70">
        <f t="shared" ca="1" si="266"/>
        <v>20322.845445410276</v>
      </c>
      <c r="BC113" s="257">
        <f t="shared" ca="1" si="61"/>
        <v>0</v>
      </c>
      <c r="BD113" s="268">
        <f t="shared" ca="1" si="267"/>
        <v>0</v>
      </c>
      <c r="BE113" s="131">
        <f ca="1">SUM(BD113:BD$124)*SSe</f>
        <v>0</v>
      </c>
      <c r="BF113" s="70">
        <f t="shared" ca="1" si="268"/>
        <v>20322.845445410276</v>
      </c>
      <c r="BG113" s="2">
        <f t="shared" ca="1" si="62"/>
        <v>0</v>
      </c>
      <c r="BH113" s="131">
        <f t="shared" ca="1" si="269"/>
        <v>0</v>
      </c>
      <c r="BI113" s="2">
        <f ca="1">SUM(BH113:BH$124)*SSf</f>
        <v>0</v>
      </c>
      <c r="BJ113" s="70">
        <f t="shared" ca="1" si="270"/>
        <v>20322.845445410276</v>
      </c>
      <c r="BK113" s="2">
        <f t="shared" ca="1" si="63"/>
        <v>0</v>
      </c>
      <c r="BL113" s="131">
        <f t="shared" ca="1" si="271"/>
        <v>0</v>
      </c>
      <c r="BM113" s="131">
        <f ca="1">SUM(BL113:BL$124)*SSg</f>
        <v>0</v>
      </c>
      <c r="BN113" s="70">
        <f t="shared" ca="1" si="272"/>
        <v>20322.845445410276</v>
      </c>
      <c r="BO113" s="2">
        <f t="shared" ca="1" si="64"/>
        <v>0</v>
      </c>
      <c r="BP113" s="131">
        <f t="shared" ca="1" si="273"/>
        <v>0</v>
      </c>
      <c r="BQ113" s="131">
        <f ca="1">SUM(BP113:BP$124)*SSh</f>
        <v>0</v>
      </c>
      <c r="BR113" s="70">
        <f t="shared" ca="1" si="274"/>
        <v>20322.845445410276</v>
      </c>
      <c r="BS113" s="2">
        <f t="shared" ca="1" si="243"/>
        <v>0</v>
      </c>
      <c r="BT113" s="131">
        <f t="shared" ca="1" si="275"/>
        <v>0</v>
      </c>
      <c r="BU113" s="131">
        <f ca="1">SUM(BT113:BT$124)*SSi</f>
        <v>0</v>
      </c>
      <c r="BV113" s="70">
        <f t="shared" ca="1" si="276"/>
        <v>20322.845445410276</v>
      </c>
      <c r="BW113" s="2">
        <f t="shared" ca="1" si="66"/>
        <v>0</v>
      </c>
      <c r="BX113" s="131">
        <f t="shared" ca="1" si="277"/>
        <v>0</v>
      </c>
      <c r="BY113" s="131">
        <f ca="1">SUM(BX113:BX$124)*SSj</f>
        <v>0</v>
      </c>
      <c r="BZ113" s="70">
        <f t="shared" ca="1" si="278"/>
        <v>20322.845445410276</v>
      </c>
      <c r="CA113" s="2">
        <f t="shared" ca="1" si="67"/>
        <v>0</v>
      </c>
      <c r="CB113" s="131">
        <f t="shared" ca="1" si="279"/>
        <v>0</v>
      </c>
      <c r="CC113" s="131">
        <f ca="1">SUM(CB113:CB$124)*SSk</f>
        <v>0</v>
      </c>
      <c r="CD113" s="8">
        <f t="shared" ca="1" si="280"/>
        <v>20322.845445410276</v>
      </c>
      <c r="CE113" s="2">
        <f t="shared" ca="1" si="68"/>
        <v>0</v>
      </c>
      <c r="CF113" s="131">
        <f t="shared" ca="1" si="281"/>
        <v>0</v>
      </c>
      <c r="CG113" s="131">
        <f ca="1">SUM(CF113:CF$124)*SSl</f>
        <v>0</v>
      </c>
      <c r="CH113" s="155">
        <f t="shared" si="223"/>
        <v>0.01</v>
      </c>
      <c r="CI113" s="155">
        <f t="shared" ca="1" si="224"/>
        <v>0</v>
      </c>
      <c r="CJ113" s="155">
        <f t="shared" ca="1" si="225"/>
        <v>0</v>
      </c>
      <c r="CK113" s="155">
        <f ca="1">유해지!CY113</f>
        <v>0</v>
      </c>
      <c r="CL113" s="529">
        <f t="shared" ca="1" si="244"/>
        <v>0</v>
      </c>
      <c r="CM113" s="155">
        <f t="shared" ca="1" si="226"/>
        <v>0</v>
      </c>
      <c r="CN113" s="155">
        <f ca="1">SUM(CM113:$CM$125)</f>
        <v>0</v>
      </c>
      <c r="CO113" s="101">
        <f t="shared" ca="1" si="227"/>
        <v>0</v>
      </c>
      <c r="CP113" s="154">
        <f t="shared" ca="1" si="245"/>
        <v>0</v>
      </c>
      <c r="CQ113" s="154">
        <f t="shared" ca="1" si="246"/>
        <v>0</v>
      </c>
      <c r="CR113" s="32">
        <f t="shared" ca="1" si="247"/>
        <v>0</v>
      </c>
      <c r="CS113" s="32">
        <f t="shared" ca="1" si="248"/>
        <v>0</v>
      </c>
      <c r="CT113" s="32">
        <f t="shared" ca="1" si="249"/>
        <v>0</v>
      </c>
      <c r="CU113" s="32">
        <f t="shared" ca="1" si="250"/>
        <v>0</v>
      </c>
      <c r="CV113" s="32">
        <f t="shared" si="251"/>
        <v>0</v>
      </c>
      <c r="CW113" s="32">
        <f t="shared" ca="1" si="252"/>
        <v>0</v>
      </c>
      <c r="CX113" s="259">
        <f ca="1">IF(R113&lt;m,0,ROUND(IF($R113&gt;nB,0,GPB*mB*mmB*유해지!CY113),roundB))</f>
        <v>0</v>
      </c>
      <c r="CY113" s="262">
        <f t="shared" ca="1" si="253"/>
        <v>0</v>
      </c>
      <c r="CZ113" s="259" t="e">
        <f t="shared" ca="1" si="254"/>
        <v>#DIV/0!</v>
      </c>
      <c r="DA113" s="31">
        <f t="shared" si="255"/>
        <v>5</v>
      </c>
    </row>
    <row r="114" spans="3:105">
      <c r="C114" s="33"/>
      <c r="D114" s="33"/>
      <c r="N114" s="5">
        <f t="shared" si="228"/>
        <v>102</v>
      </c>
      <c r="O114" s="2">
        <f t="shared" ca="1" si="231"/>
        <v>0.10335742922031785</v>
      </c>
      <c r="P114" s="2">
        <f t="shared" ca="1" si="232"/>
        <v>0.10221391909498405</v>
      </c>
      <c r="Q114" s="91"/>
      <c r="R114" s="20">
        <f t="shared" si="229"/>
        <v>102</v>
      </c>
      <c r="S114" s="20" t="str">
        <f t="shared" si="233"/>
        <v/>
      </c>
      <c r="T114" s="2">
        <f t="shared" ca="1" si="282"/>
        <v>0</v>
      </c>
      <c r="U114" s="2">
        <f t="shared" ca="1" si="282"/>
        <v>0</v>
      </c>
      <c r="V114" s="300">
        <f t="shared" si="234"/>
        <v>0.01</v>
      </c>
      <c r="W114" s="8">
        <f t="shared" si="235"/>
        <v>0</v>
      </c>
      <c r="X114" s="10">
        <f t="shared" ca="1" si="236"/>
        <v>1.0000000000000009E-2</v>
      </c>
      <c r="Y114" s="10">
        <f t="shared" ca="1" si="237"/>
        <v>0</v>
      </c>
      <c r="Z114" s="5">
        <f t="shared" ca="1" si="256"/>
        <v>0</v>
      </c>
      <c r="AA114" s="5">
        <f ca="1">+SUM(Z114:Z$124)</f>
        <v>0</v>
      </c>
      <c r="AB114" s="8">
        <f t="shared" ca="1" si="238"/>
        <v>0</v>
      </c>
      <c r="AC114" s="209">
        <f ca="1">+SUM(AB114:AB$124)*SSSM</f>
        <v>0</v>
      </c>
      <c r="AD114" s="209">
        <f t="shared" si="257"/>
        <v>0</v>
      </c>
      <c r="AE114" s="92">
        <f t="shared" ca="1" si="239"/>
        <v>0</v>
      </c>
      <c r="AF114" s="92">
        <f t="shared" ca="1" si="240"/>
        <v>0</v>
      </c>
      <c r="AG114" s="8">
        <f t="shared" ca="1" si="241"/>
        <v>0</v>
      </c>
      <c r="AH114" s="5">
        <f ca="1">+SUM(AG114:AG$124)</f>
        <v>0</v>
      </c>
      <c r="AI114" s="70">
        <f t="shared" ca="1" si="242"/>
        <v>0</v>
      </c>
      <c r="AJ114" s="208">
        <f ca="1">+SUM(AB114:AB$124)*SS50J</f>
        <v>0</v>
      </c>
      <c r="AK114" s="5">
        <f t="shared" ca="1" si="258"/>
        <v>20119.616990956172</v>
      </c>
      <c r="AL114" s="2">
        <f t="shared" ca="1" si="57"/>
        <v>0</v>
      </c>
      <c r="AM114" s="131">
        <f t="shared" ca="1" si="199"/>
        <v>2079.511889082657</v>
      </c>
      <c r="AN114" s="129">
        <f t="shared" ca="1" si="259"/>
        <v>0</v>
      </c>
      <c r="AO114" s="129">
        <f ca="1">SUM(AN114:AN$124)*SSa</f>
        <v>0</v>
      </c>
      <c r="AP114" s="70">
        <f t="shared" ca="1" si="260"/>
        <v>20119.616990956172</v>
      </c>
      <c r="AQ114" s="2">
        <f t="shared" ca="1" si="58"/>
        <v>0</v>
      </c>
      <c r="AR114" s="127">
        <f t="shared" ca="1" si="261"/>
        <v>0</v>
      </c>
      <c r="AS114" s="127">
        <f ca="1">SUM(AR114:AR$124)*SSb</f>
        <v>0</v>
      </c>
      <c r="AT114" s="70">
        <f t="shared" ca="1" si="262"/>
        <v>20119.616990956172</v>
      </c>
      <c r="AU114" s="2">
        <f t="shared" ca="1" si="59"/>
        <v>0</v>
      </c>
      <c r="AV114" s="268">
        <f t="shared" ca="1" si="263"/>
        <v>0</v>
      </c>
      <c r="AW114" s="131">
        <f ca="1">SUM(AV114:AV$124)*SSc</f>
        <v>0</v>
      </c>
      <c r="AX114" s="70">
        <f t="shared" ca="1" si="264"/>
        <v>20119.616990956172</v>
      </c>
      <c r="AY114" s="2">
        <f t="shared" ca="1" si="60"/>
        <v>0</v>
      </c>
      <c r="AZ114" s="268">
        <f t="shared" ca="1" si="265"/>
        <v>0</v>
      </c>
      <c r="BA114" s="129">
        <f ca="1">SUM(AZ114:AZ$124)*SSd</f>
        <v>0</v>
      </c>
      <c r="BB114" s="70">
        <f t="shared" ca="1" si="266"/>
        <v>20119.616990956172</v>
      </c>
      <c r="BC114" s="257">
        <f t="shared" ca="1" si="61"/>
        <v>0</v>
      </c>
      <c r="BD114" s="268">
        <f t="shared" ca="1" si="267"/>
        <v>0</v>
      </c>
      <c r="BE114" s="131">
        <f ca="1">SUM(BD114:BD$124)*SSe</f>
        <v>0</v>
      </c>
      <c r="BF114" s="70">
        <f t="shared" ca="1" si="268"/>
        <v>20119.616990956172</v>
      </c>
      <c r="BG114" s="2">
        <f t="shared" ca="1" si="62"/>
        <v>0</v>
      </c>
      <c r="BH114" s="131">
        <f t="shared" ca="1" si="269"/>
        <v>0</v>
      </c>
      <c r="BI114" s="2">
        <f ca="1">SUM(BH114:BH$124)*SSf</f>
        <v>0</v>
      </c>
      <c r="BJ114" s="70">
        <f t="shared" ca="1" si="270"/>
        <v>20119.616990956172</v>
      </c>
      <c r="BK114" s="2">
        <f t="shared" ca="1" si="63"/>
        <v>0</v>
      </c>
      <c r="BL114" s="131">
        <f t="shared" ca="1" si="271"/>
        <v>0</v>
      </c>
      <c r="BM114" s="131">
        <f ca="1">SUM(BL114:BL$124)*SSg</f>
        <v>0</v>
      </c>
      <c r="BN114" s="70">
        <f t="shared" ca="1" si="272"/>
        <v>20119.616990956172</v>
      </c>
      <c r="BO114" s="2">
        <f t="shared" ca="1" si="64"/>
        <v>0</v>
      </c>
      <c r="BP114" s="131">
        <f t="shared" ca="1" si="273"/>
        <v>0</v>
      </c>
      <c r="BQ114" s="131">
        <f ca="1">SUM(BP114:BP$124)*SSh</f>
        <v>0</v>
      </c>
      <c r="BR114" s="70">
        <f t="shared" ca="1" si="274"/>
        <v>20119.616990956172</v>
      </c>
      <c r="BS114" s="2">
        <f t="shared" ca="1" si="243"/>
        <v>0</v>
      </c>
      <c r="BT114" s="131">
        <f t="shared" ca="1" si="275"/>
        <v>0</v>
      </c>
      <c r="BU114" s="131">
        <f ca="1">SUM(BT114:BT$124)*SSi</f>
        <v>0</v>
      </c>
      <c r="BV114" s="70">
        <f t="shared" ca="1" si="276"/>
        <v>20119.616990956172</v>
      </c>
      <c r="BW114" s="2">
        <f t="shared" ca="1" si="66"/>
        <v>0</v>
      </c>
      <c r="BX114" s="131">
        <f t="shared" ca="1" si="277"/>
        <v>0</v>
      </c>
      <c r="BY114" s="131">
        <f ca="1">SUM(BX114:BX$124)*SSj</f>
        <v>0</v>
      </c>
      <c r="BZ114" s="70">
        <f t="shared" ca="1" si="278"/>
        <v>20119.616990956172</v>
      </c>
      <c r="CA114" s="2">
        <f t="shared" ca="1" si="67"/>
        <v>0</v>
      </c>
      <c r="CB114" s="131">
        <f t="shared" ca="1" si="279"/>
        <v>0</v>
      </c>
      <c r="CC114" s="131">
        <f ca="1">SUM(CB114:CB$124)*SSk</f>
        <v>0</v>
      </c>
      <c r="CD114" s="8">
        <f t="shared" ca="1" si="280"/>
        <v>20119.616990956172</v>
      </c>
      <c r="CE114" s="2">
        <f t="shared" ca="1" si="68"/>
        <v>0</v>
      </c>
      <c r="CF114" s="131">
        <f t="shared" ca="1" si="281"/>
        <v>0</v>
      </c>
      <c r="CG114" s="131">
        <f ca="1">SUM(CF114:CF$124)*SSl</f>
        <v>0</v>
      </c>
      <c r="CH114" s="155">
        <f t="shared" si="223"/>
        <v>0.01</v>
      </c>
      <c r="CI114" s="155">
        <f t="shared" ca="1" si="224"/>
        <v>0</v>
      </c>
      <c r="CJ114" s="155">
        <f t="shared" ca="1" si="225"/>
        <v>0</v>
      </c>
      <c r="CK114" s="155">
        <f ca="1">유해지!CY114</f>
        <v>0</v>
      </c>
      <c r="CL114" s="529">
        <f t="shared" ca="1" si="244"/>
        <v>0</v>
      </c>
      <c r="CM114" s="155">
        <f t="shared" ca="1" si="226"/>
        <v>0</v>
      </c>
      <c r="CN114" s="155">
        <f ca="1">SUM(CM114:$CM$125)</f>
        <v>0</v>
      </c>
      <c r="CO114" s="101">
        <f t="shared" ca="1" si="227"/>
        <v>0</v>
      </c>
      <c r="CP114" s="154">
        <f t="shared" ca="1" si="245"/>
        <v>0</v>
      </c>
      <c r="CQ114" s="154">
        <f t="shared" ca="1" si="246"/>
        <v>0</v>
      </c>
      <c r="CR114" s="32">
        <f t="shared" ca="1" si="247"/>
        <v>0</v>
      </c>
      <c r="CS114" s="32">
        <f t="shared" ca="1" si="248"/>
        <v>0</v>
      </c>
      <c r="CT114" s="32">
        <f t="shared" ca="1" si="249"/>
        <v>0</v>
      </c>
      <c r="CU114" s="32">
        <f t="shared" ca="1" si="250"/>
        <v>0</v>
      </c>
      <c r="CV114" s="32">
        <f t="shared" si="251"/>
        <v>0</v>
      </c>
      <c r="CW114" s="32">
        <f t="shared" ca="1" si="252"/>
        <v>0</v>
      </c>
      <c r="CX114" s="259">
        <f ca="1">IF(R114&lt;m,0,ROUND(IF($R114&gt;nB,0,GPB*mB*mmB*유해지!CY114),roundB))</f>
        <v>0</v>
      </c>
      <c r="CY114" s="262">
        <f t="shared" ca="1" si="253"/>
        <v>0</v>
      </c>
      <c r="CZ114" s="259" t="e">
        <f t="shared" ca="1" si="254"/>
        <v>#DIV/0!</v>
      </c>
      <c r="DA114" s="31">
        <f t="shared" si="255"/>
        <v>5</v>
      </c>
    </row>
    <row r="115" spans="3:105">
      <c r="C115" s="33"/>
      <c r="D115" s="33"/>
      <c r="N115" s="5">
        <f t="shared" si="228"/>
        <v>103</v>
      </c>
      <c r="O115" s="2">
        <f t="shared" ca="1" si="231"/>
        <v>0.10108306036216905</v>
      </c>
      <c r="P115" s="2">
        <f t="shared" ca="1" si="232"/>
        <v>9.996471305132916E-2</v>
      </c>
      <c r="Q115" s="91"/>
      <c r="R115" s="20">
        <f t="shared" si="229"/>
        <v>103</v>
      </c>
      <c r="S115" s="20" t="str">
        <f t="shared" si="233"/>
        <v/>
      </c>
      <c r="T115" s="2">
        <f t="shared" ca="1" si="282"/>
        <v>0</v>
      </c>
      <c r="U115" s="2">
        <f t="shared" ca="1" si="282"/>
        <v>0</v>
      </c>
      <c r="V115" s="300">
        <f t="shared" si="234"/>
        <v>0.01</v>
      </c>
      <c r="W115" s="8">
        <f t="shared" si="235"/>
        <v>0</v>
      </c>
      <c r="X115" s="10">
        <f t="shared" ca="1" si="236"/>
        <v>1.0000000000000009E-2</v>
      </c>
      <c r="Y115" s="10">
        <f t="shared" ca="1" si="237"/>
        <v>0</v>
      </c>
      <c r="Z115" s="5">
        <f t="shared" ca="1" si="256"/>
        <v>0</v>
      </c>
      <c r="AA115" s="5">
        <f ca="1">+SUM(Z115:Z$124)</f>
        <v>0</v>
      </c>
      <c r="AB115" s="8">
        <f t="shared" ca="1" si="238"/>
        <v>0</v>
      </c>
      <c r="AC115" s="209">
        <f ca="1">+SUM(AB115:AB$124)*SSSM</f>
        <v>0</v>
      </c>
      <c r="AD115" s="209">
        <f t="shared" si="257"/>
        <v>0</v>
      </c>
      <c r="AE115" s="92">
        <f t="shared" ca="1" si="239"/>
        <v>0</v>
      </c>
      <c r="AF115" s="92">
        <f t="shared" ca="1" si="240"/>
        <v>0</v>
      </c>
      <c r="AG115" s="8">
        <f t="shared" ca="1" si="241"/>
        <v>0</v>
      </c>
      <c r="AH115" s="5">
        <f ca="1">+SUM(AG115:AG$124)</f>
        <v>0</v>
      </c>
      <c r="AI115" s="70">
        <f t="shared" ca="1" si="242"/>
        <v>0</v>
      </c>
      <c r="AJ115" s="208">
        <f ca="1">+SUM(AB115:AB$124)*SS50J</f>
        <v>0</v>
      </c>
      <c r="AK115" s="5">
        <f t="shared" ca="1" si="258"/>
        <v>19918.420821046609</v>
      </c>
      <c r="AL115" s="2">
        <f t="shared" ca="1" si="57"/>
        <v>0</v>
      </c>
      <c r="AM115" s="131">
        <f t="shared" ca="1" si="199"/>
        <v>2013.4149341729392</v>
      </c>
      <c r="AN115" s="129">
        <f t="shared" ca="1" si="259"/>
        <v>0</v>
      </c>
      <c r="AO115" s="129">
        <f ca="1">SUM(AN115:AN$124)*SSa</f>
        <v>0</v>
      </c>
      <c r="AP115" s="70">
        <f t="shared" ca="1" si="260"/>
        <v>19918.420821046609</v>
      </c>
      <c r="AQ115" s="2">
        <f t="shared" ca="1" si="58"/>
        <v>0</v>
      </c>
      <c r="AR115" s="127">
        <f t="shared" ca="1" si="261"/>
        <v>0</v>
      </c>
      <c r="AS115" s="127">
        <f ca="1">SUM(AR115:AR$124)*SSb</f>
        <v>0</v>
      </c>
      <c r="AT115" s="70">
        <f t="shared" ca="1" si="262"/>
        <v>19918.420821046609</v>
      </c>
      <c r="AU115" s="2">
        <f t="shared" ca="1" si="59"/>
        <v>0</v>
      </c>
      <c r="AV115" s="268">
        <f t="shared" ca="1" si="263"/>
        <v>0</v>
      </c>
      <c r="AW115" s="131">
        <f ca="1">SUM(AV115:AV$124)*SSc</f>
        <v>0</v>
      </c>
      <c r="AX115" s="70">
        <f t="shared" ca="1" si="264"/>
        <v>19918.420821046609</v>
      </c>
      <c r="AY115" s="2">
        <f t="shared" ca="1" si="60"/>
        <v>0</v>
      </c>
      <c r="AZ115" s="268">
        <f t="shared" ca="1" si="265"/>
        <v>0</v>
      </c>
      <c r="BA115" s="129">
        <f ca="1">SUM(AZ115:AZ$124)*SSd</f>
        <v>0</v>
      </c>
      <c r="BB115" s="70">
        <f t="shared" ca="1" si="266"/>
        <v>19918.420821046609</v>
      </c>
      <c r="BC115" s="257">
        <f t="shared" ca="1" si="61"/>
        <v>0</v>
      </c>
      <c r="BD115" s="268">
        <f t="shared" ca="1" si="267"/>
        <v>0</v>
      </c>
      <c r="BE115" s="131">
        <f ca="1">SUM(BD115:BD$124)*SSe</f>
        <v>0</v>
      </c>
      <c r="BF115" s="70">
        <f t="shared" ca="1" si="268"/>
        <v>19918.420821046609</v>
      </c>
      <c r="BG115" s="2">
        <f t="shared" ca="1" si="62"/>
        <v>0</v>
      </c>
      <c r="BH115" s="131">
        <f t="shared" ca="1" si="269"/>
        <v>0</v>
      </c>
      <c r="BI115" s="2">
        <f ca="1">SUM(BH115:BH$124)*SSf</f>
        <v>0</v>
      </c>
      <c r="BJ115" s="70">
        <f t="shared" ca="1" si="270"/>
        <v>19918.420821046609</v>
      </c>
      <c r="BK115" s="2">
        <f t="shared" ca="1" si="63"/>
        <v>0</v>
      </c>
      <c r="BL115" s="131">
        <f t="shared" ca="1" si="271"/>
        <v>0</v>
      </c>
      <c r="BM115" s="131">
        <f ca="1">SUM(BL115:BL$124)*SSg</f>
        <v>0</v>
      </c>
      <c r="BN115" s="70">
        <f t="shared" ca="1" si="272"/>
        <v>19918.420821046609</v>
      </c>
      <c r="BO115" s="2">
        <f t="shared" ca="1" si="64"/>
        <v>0</v>
      </c>
      <c r="BP115" s="131">
        <f t="shared" ca="1" si="273"/>
        <v>0</v>
      </c>
      <c r="BQ115" s="131">
        <f ca="1">SUM(BP115:BP$124)*SSh</f>
        <v>0</v>
      </c>
      <c r="BR115" s="70">
        <f t="shared" ca="1" si="274"/>
        <v>19918.420821046609</v>
      </c>
      <c r="BS115" s="2">
        <f t="shared" ca="1" si="243"/>
        <v>0</v>
      </c>
      <c r="BT115" s="131">
        <f t="shared" ca="1" si="275"/>
        <v>0</v>
      </c>
      <c r="BU115" s="131">
        <f ca="1">SUM(BT115:BT$124)*SSi</f>
        <v>0</v>
      </c>
      <c r="BV115" s="70">
        <f t="shared" ca="1" si="276"/>
        <v>19918.420821046609</v>
      </c>
      <c r="BW115" s="2">
        <f t="shared" ca="1" si="66"/>
        <v>0</v>
      </c>
      <c r="BX115" s="131">
        <f t="shared" ca="1" si="277"/>
        <v>0</v>
      </c>
      <c r="BY115" s="131">
        <f ca="1">SUM(BX115:BX$124)*SSj</f>
        <v>0</v>
      </c>
      <c r="BZ115" s="70">
        <f t="shared" ca="1" si="278"/>
        <v>19918.420821046609</v>
      </c>
      <c r="CA115" s="2">
        <f t="shared" ca="1" si="67"/>
        <v>0</v>
      </c>
      <c r="CB115" s="131">
        <f t="shared" ca="1" si="279"/>
        <v>0</v>
      </c>
      <c r="CC115" s="131">
        <f ca="1">SUM(CB115:CB$124)*SSk</f>
        <v>0</v>
      </c>
      <c r="CD115" s="8">
        <f t="shared" ca="1" si="280"/>
        <v>19918.420821046609</v>
      </c>
      <c r="CE115" s="2">
        <f t="shared" ca="1" si="68"/>
        <v>0</v>
      </c>
      <c r="CF115" s="131">
        <f t="shared" ca="1" si="281"/>
        <v>0</v>
      </c>
      <c r="CG115" s="131">
        <f ca="1">SUM(CF115:CF$124)*SSl</f>
        <v>0</v>
      </c>
      <c r="CH115" s="155">
        <f t="shared" si="223"/>
        <v>0.01</v>
      </c>
      <c r="CI115" s="155">
        <f t="shared" ca="1" si="224"/>
        <v>0</v>
      </c>
      <c r="CJ115" s="155">
        <f t="shared" ca="1" si="225"/>
        <v>0</v>
      </c>
      <c r="CK115" s="155">
        <f ca="1">유해지!CY115</f>
        <v>0</v>
      </c>
      <c r="CL115" s="529">
        <f t="shared" ca="1" si="244"/>
        <v>0</v>
      </c>
      <c r="CM115" s="155">
        <f t="shared" ca="1" si="226"/>
        <v>0</v>
      </c>
      <c r="CN115" s="155">
        <f ca="1">SUM(CM115:$CM$125)</f>
        <v>0</v>
      </c>
      <c r="CO115" s="101">
        <f t="shared" ca="1" si="227"/>
        <v>0</v>
      </c>
      <c r="CP115" s="154">
        <f t="shared" ca="1" si="245"/>
        <v>0</v>
      </c>
      <c r="CQ115" s="154">
        <f t="shared" ca="1" si="246"/>
        <v>0</v>
      </c>
      <c r="CR115" s="32">
        <f t="shared" ca="1" si="247"/>
        <v>0</v>
      </c>
      <c r="CS115" s="32">
        <f t="shared" ca="1" si="248"/>
        <v>0</v>
      </c>
      <c r="CT115" s="32">
        <f t="shared" ca="1" si="249"/>
        <v>0</v>
      </c>
      <c r="CU115" s="32">
        <f t="shared" ca="1" si="250"/>
        <v>0</v>
      </c>
      <c r="CV115" s="32">
        <f t="shared" si="251"/>
        <v>0</v>
      </c>
      <c r="CW115" s="32">
        <f t="shared" ca="1" si="252"/>
        <v>0</v>
      </c>
      <c r="CX115" s="259">
        <f ca="1">IF(R115&lt;m,0,ROUND(IF($R115&gt;nB,0,GPB*mB*mmB*유해지!CY115),roundB))</f>
        <v>0</v>
      </c>
      <c r="CY115" s="262">
        <f t="shared" ca="1" si="253"/>
        <v>0</v>
      </c>
      <c r="CZ115" s="259" t="e">
        <f t="shared" ca="1" si="254"/>
        <v>#DIV/0!</v>
      </c>
      <c r="DA115" s="31">
        <f t="shared" si="255"/>
        <v>5</v>
      </c>
    </row>
    <row r="116" spans="3:105">
      <c r="C116" s="33"/>
      <c r="D116" s="33"/>
      <c r="N116" s="5">
        <f t="shared" si="228"/>
        <v>104</v>
      </c>
      <c r="O116" s="2">
        <f t="shared" ca="1" si="231"/>
        <v>9.8858738740507629E-2</v>
      </c>
      <c r="P116" s="2">
        <f t="shared" ca="1" si="232"/>
        <v>9.7765000539197247E-2</v>
      </c>
      <c r="Q116" s="91"/>
      <c r="R116" s="20">
        <f t="shared" si="229"/>
        <v>104</v>
      </c>
      <c r="S116" s="20" t="str">
        <f t="shared" si="233"/>
        <v/>
      </c>
      <c r="T116" s="2">
        <f t="shared" ca="1" si="282"/>
        <v>0</v>
      </c>
      <c r="U116" s="2">
        <f t="shared" ca="1" si="282"/>
        <v>0</v>
      </c>
      <c r="V116" s="300">
        <f t="shared" si="234"/>
        <v>0.01</v>
      </c>
      <c r="W116" s="8">
        <f t="shared" si="235"/>
        <v>0</v>
      </c>
      <c r="X116" s="10">
        <f t="shared" ca="1" si="236"/>
        <v>1.0000000000000009E-2</v>
      </c>
      <c r="Y116" s="10">
        <f t="shared" ca="1" si="237"/>
        <v>0</v>
      </c>
      <c r="Z116" s="5">
        <f t="shared" ca="1" si="256"/>
        <v>0</v>
      </c>
      <c r="AA116" s="5">
        <f ca="1">+SUM(Z116:Z$124)</f>
        <v>0</v>
      </c>
      <c r="AB116" s="8">
        <f t="shared" ca="1" si="238"/>
        <v>0</v>
      </c>
      <c r="AC116" s="209">
        <f ca="1">+SUM(AB116:AB$124)*SSSM</f>
        <v>0</v>
      </c>
      <c r="AD116" s="209">
        <f t="shared" si="257"/>
        <v>0</v>
      </c>
      <c r="AE116" s="92">
        <f t="shared" ca="1" si="239"/>
        <v>0</v>
      </c>
      <c r="AF116" s="92">
        <f t="shared" ca="1" si="240"/>
        <v>0</v>
      </c>
      <c r="AG116" s="8">
        <f t="shared" ca="1" si="241"/>
        <v>0</v>
      </c>
      <c r="AH116" s="5">
        <f ca="1">+SUM(AG116:AG$124)</f>
        <v>0</v>
      </c>
      <c r="AI116" s="70">
        <f t="shared" ca="1" si="242"/>
        <v>0</v>
      </c>
      <c r="AJ116" s="208">
        <f ca="1">+SUM(AB116:AB$124)*SS50J</f>
        <v>0</v>
      </c>
      <c r="AK116" s="5">
        <f t="shared" ca="1" si="258"/>
        <v>19719.236612836143</v>
      </c>
      <c r="AL116" s="2">
        <f t="shared" ca="1" si="57"/>
        <v>0</v>
      </c>
      <c r="AM116" s="131">
        <f t="shared" ca="1" si="199"/>
        <v>1949.4188604706208</v>
      </c>
      <c r="AN116" s="129">
        <f t="shared" ca="1" si="259"/>
        <v>0</v>
      </c>
      <c r="AO116" s="129">
        <f ca="1">SUM(AN116:AN$124)*SSa</f>
        <v>0</v>
      </c>
      <c r="AP116" s="70">
        <f t="shared" ca="1" si="260"/>
        <v>19719.236612836143</v>
      </c>
      <c r="AQ116" s="2">
        <f t="shared" ca="1" si="58"/>
        <v>0</v>
      </c>
      <c r="AR116" s="127">
        <f t="shared" ca="1" si="261"/>
        <v>0</v>
      </c>
      <c r="AS116" s="127">
        <f ca="1">SUM(AR116:AR$124)*SSb</f>
        <v>0</v>
      </c>
      <c r="AT116" s="70">
        <f t="shared" ca="1" si="262"/>
        <v>19719.236612836143</v>
      </c>
      <c r="AU116" s="2">
        <f t="shared" ca="1" si="59"/>
        <v>0</v>
      </c>
      <c r="AV116" s="268">
        <f t="shared" ca="1" si="263"/>
        <v>0</v>
      </c>
      <c r="AW116" s="131">
        <f ca="1">SUM(AV116:AV$124)*SSc</f>
        <v>0</v>
      </c>
      <c r="AX116" s="70">
        <f t="shared" ca="1" si="264"/>
        <v>19719.236612836143</v>
      </c>
      <c r="AY116" s="2">
        <f t="shared" ca="1" si="60"/>
        <v>0</v>
      </c>
      <c r="AZ116" s="268">
        <f t="shared" ca="1" si="265"/>
        <v>0</v>
      </c>
      <c r="BA116" s="129">
        <f ca="1">SUM(AZ116:AZ$124)*SSd</f>
        <v>0</v>
      </c>
      <c r="BB116" s="70">
        <f t="shared" ca="1" si="266"/>
        <v>19719.236612836143</v>
      </c>
      <c r="BC116" s="257">
        <f t="shared" ca="1" si="61"/>
        <v>0</v>
      </c>
      <c r="BD116" s="268">
        <f t="shared" ca="1" si="267"/>
        <v>0</v>
      </c>
      <c r="BE116" s="131">
        <f ca="1">SUM(BD116:BD$124)*SSe</f>
        <v>0</v>
      </c>
      <c r="BF116" s="70">
        <f t="shared" ca="1" si="268"/>
        <v>19719.236612836143</v>
      </c>
      <c r="BG116" s="2">
        <f t="shared" ca="1" si="62"/>
        <v>0</v>
      </c>
      <c r="BH116" s="131">
        <f t="shared" ca="1" si="269"/>
        <v>0</v>
      </c>
      <c r="BI116" s="2">
        <f ca="1">SUM(BH116:BH$124)*SSf</f>
        <v>0</v>
      </c>
      <c r="BJ116" s="70">
        <f t="shared" ca="1" si="270"/>
        <v>19719.236612836143</v>
      </c>
      <c r="BK116" s="2">
        <f t="shared" ca="1" si="63"/>
        <v>0</v>
      </c>
      <c r="BL116" s="131">
        <f t="shared" ca="1" si="271"/>
        <v>0</v>
      </c>
      <c r="BM116" s="131">
        <f ca="1">SUM(BL116:BL$124)*SSg</f>
        <v>0</v>
      </c>
      <c r="BN116" s="70">
        <f t="shared" ca="1" si="272"/>
        <v>19719.236612836143</v>
      </c>
      <c r="BO116" s="2">
        <f t="shared" ca="1" si="64"/>
        <v>0</v>
      </c>
      <c r="BP116" s="131">
        <f t="shared" ca="1" si="273"/>
        <v>0</v>
      </c>
      <c r="BQ116" s="131">
        <f ca="1">SUM(BP116:BP$124)*SSh</f>
        <v>0</v>
      </c>
      <c r="BR116" s="70">
        <f t="shared" ca="1" si="274"/>
        <v>19719.236612836143</v>
      </c>
      <c r="BS116" s="2">
        <f t="shared" ca="1" si="243"/>
        <v>0</v>
      </c>
      <c r="BT116" s="131">
        <f t="shared" ca="1" si="275"/>
        <v>0</v>
      </c>
      <c r="BU116" s="131">
        <f ca="1">SUM(BT116:BT$124)*SSi</f>
        <v>0</v>
      </c>
      <c r="BV116" s="70">
        <f t="shared" ca="1" si="276"/>
        <v>19719.236612836143</v>
      </c>
      <c r="BW116" s="2">
        <f t="shared" ca="1" si="66"/>
        <v>0</v>
      </c>
      <c r="BX116" s="131">
        <f t="shared" ca="1" si="277"/>
        <v>0</v>
      </c>
      <c r="BY116" s="131">
        <f ca="1">SUM(BX116:BX$124)*SSj</f>
        <v>0</v>
      </c>
      <c r="BZ116" s="70">
        <f t="shared" ca="1" si="278"/>
        <v>19719.236612836143</v>
      </c>
      <c r="CA116" s="2">
        <f t="shared" ca="1" si="67"/>
        <v>0</v>
      </c>
      <c r="CB116" s="131">
        <f t="shared" ca="1" si="279"/>
        <v>0</v>
      </c>
      <c r="CC116" s="131">
        <f ca="1">SUM(CB116:CB$124)*SSk</f>
        <v>0</v>
      </c>
      <c r="CD116" s="8">
        <f t="shared" ca="1" si="280"/>
        <v>19719.236612836143</v>
      </c>
      <c r="CE116" s="2">
        <f t="shared" ca="1" si="68"/>
        <v>0</v>
      </c>
      <c r="CF116" s="131">
        <f t="shared" ca="1" si="281"/>
        <v>0</v>
      </c>
      <c r="CG116" s="131">
        <f ca="1">SUM(CF116:CF$124)*SSl</f>
        <v>0</v>
      </c>
      <c r="CH116" s="155">
        <f t="shared" si="223"/>
        <v>0.01</v>
      </c>
      <c r="CI116" s="155">
        <f t="shared" ca="1" si="224"/>
        <v>0</v>
      </c>
      <c r="CJ116" s="155">
        <f t="shared" ca="1" si="225"/>
        <v>0</v>
      </c>
      <c r="CK116" s="155">
        <f ca="1">유해지!CY116</f>
        <v>0</v>
      </c>
      <c r="CL116" s="529">
        <f t="shared" ca="1" si="244"/>
        <v>0</v>
      </c>
      <c r="CM116" s="155">
        <f t="shared" ca="1" si="226"/>
        <v>0</v>
      </c>
      <c r="CN116" s="155">
        <f ca="1">SUM(CM116:$CM$125)</f>
        <v>0</v>
      </c>
      <c r="CO116" s="101">
        <f t="shared" ca="1" si="227"/>
        <v>0</v>
      </c>
      <c r="CP116" s="154">
        <f t="shared" ca="1" si="245"/>
        <v>0</v>
      </c>
      <c r="CQ116" s="154">
        <f t="shared" ca="1" si="246"/>
        <v>0</v>
      </c>
      <c r="CR116" s="32">
        <f t="shared" ca="1" si="247"/>
        <v>0</v>
      </c>
      <c r="CS116" s="32">
        <f t="shared" ca="1" si="248"/>
        <v>0</v>
      </c>
      <c r="CT116" s="32">
        <f t="shared" ca="1" si="249"/>
        <v>0</v>
      </c>
      <c r="CU116" s="32">
        <f t="shared" ca="1" si="250"/>
        <v>0</v>
      </c>
      <c r="CV116" s="32">
        <f t="shared" si="251"/>
        <v>0</v>
      </c>
      <c r="CW116" s="32">
        <f t="shared" ca="1" si="252"/>
        <v>0</v>
      </c>
      <c r="CX116" s="259">
        <f ca="1">IF(R116&lt;m,0,ROUND(IF($R116&gt;nB,0,GPB*mB*mmB*유해지!CY116),roundB))</f>
        <v>0</v>
      </c>
      <c r="CY116" s="262">
        <f t="shared" ca="1" si="253"/>
        <v>0</v>
      </c>
      <c r="CZ116" s="259" t="e">
        <f t="shared" ca="1" si="254"/>
        <v>#DIV/0!</v>
      </c>
      <c r="DA116" s="31">
        <f t="shared" si="255"/>
        <v>5</v>
      </c>
    </row>
    <row r="117" spans="3:105">
      <c r="C117" s="33"/>
      <c r="D117" s="33"/>
      <c r="N117" s="5">
        <f t="shared" si="228"/>
        <v>105</v>
      </c>
      <c r="O117" s="2">
        <f t="shared" ca="1" si="231"/>
        <v>9.6683363071401129E-2</v>
      </c>
      <c r="P117" s="2">
        <f t="shared" ca="1" si="232"/>
        <v>9.5613692458872579E-2</v>
      </c>
      <c r="Q117" s="91"/>
      <c r="R117" s="20">
        <f t="shared" si="229"/>
        <v>105</v>
      </c>
      <c r="S117" s="20" t="str">
        <f t="shared" si="233"/>
        <v/>
      </c>
      <c r="T117" s="2">
        <f t="shared" ca="1" si="282"/>
        <v>0</v>
      </c>
      <c r="U117" s="2">
        <f t="shared" ca="1" si="282"/>
        <v>0</v>
      </c>
      <c r="V117" s="300">
        <f t="shared" si="234"/>
        <v>0.01</v>
      </c>
      <c r="W117" s="8">
        <f t="shared" si="235"/>
        <v>0</v>
      </c>
      <c r="X117" s="10">
        <f t="shared" ca="1" si="236"/>
        <v>1.0000000000000009E-2</v>
      </c>
      <c r="Y117" s="10">
        <f t="shared" ca="1" si="237"/>
        <v>0</v>
      </c>
      <c r="Z117" s="5">
        <f t="shared" ca="1" si="256"/>
        <v>0</v>
      </c>
      <c r="AA117" s="5">
        <f ca="1">+SUM(Z117:Z$124)</f>
        <v>0</v>
      </c>
      <c r="AB117" s="8">
        <f t="shared" ca="1" si="238"/>
        <v>0</v>
      </c>
      <c r="AC117" s="209">
        <f ca="1">+SUM(AB117:AB$124)*SSSM</f>
        <v>0</v>
      </c>
      <c r="AD117" s="209">
        <f t="shared" si="257"/>
        <v>0</v>
      </c>
      <c r="AE117" s="92">
        <f t="shared" ca="1" si="239"/>
        <v>0</v>
      </c>
      <c r="AF117" s="92">
        <f t="shared" ca="1" si="240"/>
        <v>0</v>
      </c>
      <c r="AG117" s="8">
        <f t="shared" ca="1" si="241"/>
        <v>0</v>
      </c>
      <c r="AH117" s="5">
        <f ca="1">+SUM(AG117:AG$124)</f>
        <v>0</v>
      </c>
      <c r="AI117" s="70">
        <f t="shared" ca="1" si="242"/>
        <v>0</v>
      </c>
      <c r="AJ117" s="208">
        <f ca="1">+SUM(AB117:AB$124)*SS50J</f>
        <v>0</v>
      </c>
      <c r="AK117" s="5">
        <f t="shared" ca="1" si="258"/>
        <v>19522.044246707781</v>
      </c>
      <c r="AL117" s="2">
        <f t="shared" ca="1" si="57"/>
        <v>0</v>
      </c>
      <c r="AM117" s="131">
        <f t="shared" ca="1" si="199"/>
        <v>1887.4568918004059</v>
      </c>
      <c r="AN117" s="129">
        <f t="shared" ca="1" si="259"/>
        <v>0</v>
      </c>
      <c r="AO117" s="129">
        <f ca="1">SUM(AN117:AN$124)*SSa</f>
        <v>0</v>
      </c>
      <c r="AP117" s="70">
        <f t="shared" ca="1" si="260"/>
        <v>19522.044246707781</v>
      </c>
      <c r="AQ117" s="2">
        <f t="shared" ca="1" si="58"/>
        <v>0</v>
      </c>
      <c r="AR117" s="127">
        <f t="shared" ca="1" si="261"/>
        <v>0</v>
      </c>
      <c r="AS117" s="127">
        <f ca="1">SUM(AR117:AR$124)*SSb</f>
        <v>0</v>
      </c>
      <c r="AT117" s="70">
        <f t="shared" ca="1" si="262"/>
        <v>19522.044246707781</v>
      </c>
      <c r="AU117" s="2">
        <f t="shared" ca="1" si="59"/>
        <v>0</v>
      </c>
      <c r="AV117" s="268">
        <f t="shared" ca="1" si="263"/>
        <v>0</v>
      </c>
      <c r="AW117" s="131">
        <f ca="1">SUM(AV117:AV$124)*SSc</f>
        <v>0</v>
      </c>
      <c r="AX117" s="70">
        <f t="shared" ca="1" si="264"/>
        <v>19522.044246707781</v>
      </c>
      <c r="AY117" s="2">
        <f t="shared" ca="1" si="60"/>
        <v>0</v>
      </c>
      <c r="AZ117" s="268">
        <f t="shared" ca="1" si="265"/>
        <v>0</v>
      </c>
      <c r="BA117" s="129">
        <f ca="1">SUM(AZ117:AZ$124)*SSd</f>
        <v>0</v>
      </c>
      <c r="BB117" s="70">
        <f t="shared" ca="1" si="266"/>
        <v>19522.044246707781</v>
      </c>
      <c r="BC117" s="257">
        <f t="shared" ca="1" si="61"/>
        <v>0</v>
      </c>
      <c r="BD117" s="268">
        <f t="shared" ca="1" si="267"/>
        <v>0</v>
      </c>
      <c r="BE117" s="131">
        <f ca="1">SUM(BD117:BD$124)*SSe</f>
        <v>0</v>
      </c>
      <c r="BF117" s="70">
        <f t="shared" ca="1" si="268"/>
        <v>19522.044246707781</v>
      </c>
      <c r="BG117" s="2">
        <f t="shared" ca="1" si="62"/>
        <v>0</v>
      </c>
      <c r="BH117" s="131">
        <f t="shared" ca="1" si="269"/>
        <v>0</v>
      </c>
      <c r="BI117" s="2">
        <f ca="1">SUM(BH117:BH$124)*SSf</f>
        <v>0</v>
      </c>
      <c r="BJ117" s="70">
        <f t="shared" ca="1" si="270"/>
        <v>19522.044246707781</v>
      </c>
      <c r="BK117" s="2">
        <f t="shared" ca="1" si="63"/>
        <v>0</v>
      </c>
      <c r="BL117" s="131">
        <f t="shared" ca="1" si="271"/>
        <v>0</v>
      </c>
      <c r="BM117" s="131">
        <f ca="1">SUM(BL117:BL$124)*SSg</f>
        <v>0</v>
      </c>
      <c r="BN117" s="70">
        <f t="shared" ca="1" si="272"/>
        <v>19522.044246707781</v>
      </c>
      <c r="BO117" s="2">
        <f t="shared" ca="1" si="64"/>
        <v>0</v>
      </c>
      <c r="BP117" s="131">
        <f t="shared" ca="1" si="273"/>
        <v>0</v>
      </c>
      <c r="BQ117" s="131">
        <f ca="1">SUM(BP117:BP$124)*SSh</f>
        <v>0</v>
      </c>
      <c r="BR117" s="70">
        <f t="shared" ca="1" si="274"/>
        <v>19522.044246707781</v>
      </c>
      <c r="BS117" s="2">
        <f t="shared" ca="1" si="243"/>
        <v>0</v>
      </c>
      <c r="BT117" s="131">
        <f t="shared" ca="1" si="275"/>
        <v>0</v>
      </c>
      <c r="BU117" s="131">
        <f ca="1">SUM(BT117:BT$124)*SSi</f>
        <v>0</v>
      </c>
      <c r="BV117" s="70">
        <f t="shared" ca="1" si="276"/>
        <v>19522.044246707781</v>
      </c>
      <c r="BW117" s="2">
        <f t="shared" ca="1" si="66"/>
        <v>0</v>
      </c>
      <c r="BX117" s="131">
        <f t="shared" ca="1" si="277"/>
        <v>0</v>
      </c>
      <c r="BY117" s="131">
        <f ca="1">SUM(BX117:BX$124)*SSj</f>
        <v>0</v>
      </c>
      <c r="BZ117" s="70">
        <f t="shared" ca="1" si="278"/>
        <v>19522.044246707781</v>
      </c>
      <c r="CA117" s="2">
        <f t="shared" ca="1" si="67"/>
        <v>0</v>
      </c>
      <c r="CB117" s="131">
        <f t="shared" ca="1" si="279"/>
        <v>0</v>
      </c>
      <c r="CC117" s="131">
        <f ca="1">SUM(CB117:CB$124)*SSk</f>
        <v>0</v>
      </c>
      <c r="CD117" s="8">
        <f t="shared" ca="1" si="280"/>
        <v>19522.044246707781</v>
      </c>
      <c r="CE117" s="2">
        <f t="shared" ca="1" si="68"/>
        <v>0</v>
      </c>
      <c r="CF117" s="131">
        <f t="shared" ca="1" si="281"/>
        <v>0</v>
      </c>
      <c r="CG117" s="131">
        <f ca="1">SUM(CF117:CF$124)*SSl</f>
        <v>0</v>
      </c>
      <c r="CH117" s="155">
        <f t="shared" si="223"/>
        <v>0.01</v>
      </c>
      <c r="CI117" s="155">
        <f t="shared" ca="1" si="224"/>
        <v>0</v>
      </c>
      <c r="CJ117" s="155">
        <f t="shared" ca="1" si="225"/>
        <v>0</v>
      </c>
      <c r="CK117" s="155">
        <f ca="1">유해지!CY117</f>
        <v>0</v>
      </c>
      <c r="CL117" s="529">
        <f t="shared" ca="1" si="244"/>
        <v>0</v>
      </c>
      <c r="CM117" s="155">
        <f t="shared" ca="1" si="226"/>
        <v>0</v>
      </c>
      <c r="CN117" s="155">
        <f ca="1">SUM(CM117:$CM$125)</f>
        <v>0</v>
      </c>
      <c r="CO117" s="101">
        <f t="shared" ca="1" si="227"/>
        <v>0</v>
      </c>
      <c r="CP117" s="154">
        <f t="shared" ca="1" si="245"/>
        <v>0</v>
      </c>
      <c r="CQ117" s="154">
        <f t="shared" ca="1" si="246"/>
        <v>0</v>
      </c>
      <c r="CR117" s="32">
        <f t="shared" ca="1" si="247"/>
        <v>0</v>
      </c>
      <c r="CS117" s="32">
        <f t="shared" ca="1" si="248"/>
        <v>0</v>
      </c>
      <c r="CT117" s="32">
        <f t="shared" ca="1" si="249"/>
        <v>0</v>
      </c>
      <c r="CU117" s="32">
        <f t="shared" ca="1" si="250"/>
        <v>0</v>
      </c>
      <c r="CV117" s="32">
        <f t="shared" si="251"/>
        <v>0</v>
      </c>
      <c r="CW117" s="32">
        <f t="shared" ca="1" si="252"/>
        <v>0</v>
      </c>
      <c r="CX117" s="259">
        <f ca="1">IF(R117&lt;m,0,ROUND(IF($R117&gt;nB,0,GPB*mB*mmB*유해지!CY117),roundB))</f>
        <v>0</v>
      </c>
      <c r="CY117" s="262">
        <f t="shared" ca="1" si="253"/>
        <v>0</v>
      </c>
      <c r="CZ117" s="259" t="e">
        <f t="shared" ca="1" si="254"/>
        <v>#DIV/0!</v>
      </c>
      <c r="DA117" s="31">
        <f t="shared" si="255"/>
        <v>5</v>
      </c>
    </row>
    <row r="118" spans="3:105">
      <c r="C118" s="33"/>
      <c r="D118" s="33"/>
      <c r="N118" s="5">
        <f t="shared" si="228"/>
        <v>106</v>
      </c>
      <c r="O118" s="2">
        <f t="shared" ca="1" si="231"/>
        <v>9.4555856304548797E-2</v>
      </c>
      <c r="P118" s="2">
        <f t="shared" ca="1" si="232"/>
        <v>9.3509723676159021E-2</v>
      </c>
      <c r="Q118" s="91"/>
      <c r="R118" s="20">
        <f t="shared" si="229"/>
        <v>106</v>
      </c>
      <c r="S118" s="20" t="str">
        <f t="shared" si="233"/>
        <v/>
      </c>
      <c r="T118" s="2">
        <f t="shared" ca="1" si="282"/>
        <v>0</v>
      </c>
      <c r="U118" s="2">
        <f t="shared" ca="1" si="282"/>
        <v>0</v>
      </c>
      <c r="V118" s="300">
        <f t="shared" si="234"/>
        <v>0.01</v>
      </c>
      <c r="W118" s="8">
        <f t="shared" si="235"/>
        <v>0</v>
      </c>
      <c r="X118" s="10">
        <f t="shared" ca="1" si="236"/>
        <v>1.0000000000000009E-2</v>
      </c>
      <c r="Y118" s="10">
        <f t="shared" ca="1" si="237"/>
        <v>0</v>
      </c>
      <c r="Z118" s="5">
        <f t="shared" ca="1" si="256"/>
        <v>0</v>
      </c>
      <c r="AA118" s="5">
        <f ca="1">+SUM(Z118:Z$124)</f>
        <v>0</v>
      </c>
      <c r="AB118" s="8">
        <f t="shared" ca="1" si="238"/>
        <v>0</v>
      </c>
      <c r="AC118" s="209">
        <f ca="1">+SUM(AB118:AB$124)*SSSM</f>
        <v>0</v>
      </c>
      <c r="AD118" s="209">
        <f t="shared" si="257"/>
        <v>0</v>
      </c>
      <c r="AE118" s="92">
        <f t="shared" ca="1" si="239"/>
        <v>0</v>
      </c>
      <c r="AF118" s="92">
        <f t="shared" ca="1" si="240"/>
        <v>0</v>
      </c>
      <c r="AG118" s="8">
        <f t="shared" ca="1" si="241"/>
        <v>0</v>
      </c>
      <c r="AH118" s="5">
        <f ca="1">+SUM(AG118:AG$124)</f>
        <v>0</v>
      </c>
      <c r="AI118" s="70">
        <f t="shared" ca="1" si="242"/>
        <v>0</v>
      </c>
      <c r="AJ118" s="208">
        <f ca="1">+SUM(AB118:AB$124)*SS50J</f>
        <v>0</v>
      </c>
      <c r="AK118" s="5">
        <f t="shared" ca="1" si="258"/>
        <v>19326.823804240703</v>
      </c>
      <c r="AL118" s="2">
        <f t="shared" ca="1" si="57"/>
        <v>0</v>
      </c>
      <c r="AM118" s="131">
        <f t="shared" ca="1" si="199"/>
        <v>1827.4643744571169</v>
      </c>
      <c r="AN118" s="129">
        <f t="shared" ca="1" si="259"/>
        <v>0</v>
      </c>
      <c r="AO118" s="129">
        <f ca="1">SUM(AN118:AN$124)*SSa</f>
        <v>0</v>
      </c>
      <c r="AP118" s="70">
        <f t="shared" ca="1" si="260"/>
        <v>19326.823804240703</v>
      </c>
      <c r="AQ118" s="2">
        <f t="shared" ca="1" si="58"/>
        <v>0</v>
      </c>
      <c r="AR118" s="127">
        <f t="shared" ca="1" si="261"/>
        <v>0</v>
      </c>
      <c r="AS118" s="127">
        <f ca="1">SUM(AR118:AR$124)*SSb</f>
        <v>0</v>
      </c>
      <c r="AT118" s="70">
        <f t="shared" ca="1" si="262"/>
        <v>19326.823804240703</v>
      </c>
      <c r="AU118" s="2">
        <f t="shared" ca="1" si="59"/>
        <v>0</v>
      </c>
      <c r="AV118" s="268">
        <f t="shared" ca="1" si="263"/>
        <v>0</v>
      </c>
      <c r="AW118" s="131">
        <f ca="1">SUM(AV118:AV$124)*SSc</f>
        <v>0</v>
      </c>
      <c r="AX118" s="70">
        <f t="shared" ca="1" si="264"/>
        <v>19326.823804240703</v>
      </c>
      <c r="AY118" s="2">
        <f t="shared" ca="1" si="60"/>
        <v>0</v>
      </c>
      <c r="AZ118" s="268">
        <f t="shared" ca="1" si="265"/>
        <v>0</v>
      </c>
      <c r="BA118" s="129">
        <f ca="1">SUM(AZ118:AZ$124)*SSd</f>
        <v>0</v>
      </c>
      <c r="BB118" s="70">
        <f t="shared" ca="1" si="266"/>
        <v>19326.823804240703</v>
      </c>
      <c r="BC118" s="257">
        <f t="shared" ca="1" si="61"/>
        <v>0</v>
      </c>
      <c r="BD118" s="268">
        <f t="shared" ca="1" si="267"/>
        <v>0</v>
      </c>
      <c r="BE118" s="131">
        <f ca="1">SUM(BD118:BD$124)*SSe</f>
        <v>0</v>
      </c>
      <c r="BF118" s="70">
        <f t="shared" ca="1" si="268"/>
        <v>19326.823804240703</v>
      </c>
      <c r="BG118" s="2">
        <f t="shared" ca="1" si="62"/>
        <v>0</v>
      </c>
      <c r="BH118" s="131">
        <f t="shared" ca="1" si="269"/>
        <v>0</v>
      </c>
      <c r="BI118" s="2">
        <f ca="1">SUM(BH118:BH$124)*SSf</f>
        <v>0</v>
      </c>
      <c r="BJ118" s="70">
        <f t="shared" ca="1" si="270"/>
        <v>19326.823804240703</v>
      </c>
      <c r="BK118" s="2">
        <f t="shared" ca="1" si="63"/>
        <v>0</v>
      </c>
      <c r="BL118" s="131">
        <f t="shared" ca="1" si="271"/>
        <v>0</v>
      </c>
      <c r="BM118" s="131">
        <f ca="1">SUM(BL118:BL$124)*SSg</f>
        <v>0</v>
      </c>
      <c r="BN118" s="70">
        <f t="shared" ca="1" si="272"/>
        <v>19326.823804240703</v>
      </c>
      <c r="BO118" s="2">
        <f t="shared" ca="1" si="64"/>
        <v>0</v>
      </c>
      <c r="BP118" s="131">
        <f t="shared" ca="1" si="273"/>
        <v>0</v>
      </c>
      <c r="BQ118" s="131">
        <f ca="1">SUM(BP118:BP$124)*SSh</f>
        <v>0</v>
      </c>
      <c r="BR118" s="70">
        <f t="shared" ca="1" si="274"/>
        <v>19326.823804240703</v>
      </c>
      <c r="BS118" s="2">
        <f t="shared" ca="1" si="243"/>
        <v>0</v>
      </c>
      <c r="BT118" s="131">
        <f t="shared" ca="1" si="275"/>
        <v>0</v>
      </c>
      <c r="BU118" s="131">
        <f ca="1">SUM(BT118:BT$124)*SSi</f>
        <v>0</v>
      </c>
      <c r="BV118" s="70">
        <f t="shared" ca="1" si="276"/>
        <v>19326.823804240703</v>
      </c>
      <c r="BW118" s="2">
        <f t="shared" ca="1" si="66"/>
        <v>0</v>
      </c>
      <c r="BX118" s="131">
        <f t="shared" ca="1" si="277"/>
        <v>0</v>
      </c>
      <c r="BY118" s="131">
        <f ca="1">SUM(BX118:BX$124)*SSj</f>
        <v>0</v>
      </c>
      <c r="BZ118" s="70">
        <f t="shared" ca="1" si="278"/>
        <v>19326.823804240703</v>
      </c>
      <c r="CA118" s="2">
        <f t="shared" ca="1" si="67"/>
        <v>0</v>
      </c>
      <c r="CB118" s="131">
        <f t="shared" ca="1" si="279"/>
        <v>0</v>
      </c>
      <c r="CC118" s="131">
        <f ca="1">SUM(CB118:CB$124)*SSk</f>
        <v>0</v>
      </c>
      <c r="CD118" s="8">
        <f t="shared" ca="1" si="280"/>
        <v>19326.823804240703</v>
      </c>
      <c r="CE118" s="2">
        <f t="shared" ca="1" si="68"/>
        <v>0</v>
      </c>
      <c r="CF118" s="131">
        <f t="shared" ca="1" si="281"/>
        <v>0</v>
      </c>
      <c r="CG118" s="131">
        <f ca="1">SUM(CF118:CF$124)*SSl</f>
        <v>0</v>
      </c>
      <c r="CH118" s="155">
        <f t="shared" si="223"/>
        <v>0.01</v>
      </c>
      <c r="CI118" s="155">
        <f t="shared" ca="1" si="224"/>
        <v>0</v>
      </c>
      <c r="CJ118" s="155">
        <f t="shared" ca="1" si="225"/>
        <v>0</v>
      </c>
      <c r="CK118" s="155">
        <f ca="1">유해지!CY118</f>
        <v>0</v>
      </c>
      <c r="CL118" s="529">
        <f t="shared" ca="1" si="244"/>
        <v>0</v>
      </c>
      <c r="CM118" s="155">
        <f t="shared" ca="1" si="226"/>
        <v>0</v>
      </c>
      <c r="CN118" s="155">
        <f ca="1">SUM(CM118:$CM$125)</f>
        <v>0</v>
      </c>
      <c r="CO118" s="101">
        <f t="shared" ca="1" si="227"/>
        <v>0</v>
      </c>
      <c r="CP118" s="154">
        <f t="shared" ca="1" si="245"/>
        <v>0</v>
      </c>
      <c r="CQ118" s="154">
        <f t="shared" ca="1" si="246"/>
        <v>0</v>
      </c>
      <c r="CR118" s="32">
        <f t="shared" ca="1" si="247"/>
        <v>0</v>
      </c>
      <c r="CS118" s="32">
        <f t="shared" ca="1" si="248"/>
        <v>0</v>
      </c>
      <c r="CT118" s="32">
        <f t="shared" ca="1" si="249"/>
        <v>0</v>
      </c>
      <c r="CU118" s="32">
        <f t="shared" ca="1" si="250"/>
        <v>0</v>
      </c>
      <c r="CV118" s="32">
        <f t="shared" si="251"/>
        <v>0</v>
      </c>
      <c r="CW118" s="32">
        <f t="shared" ca="1" si="252"/>
        <v>0</v>
      </c>
      <c r="CX118" s="259">
        <f ca="1">IF(R118&lt;m,0,ROUND(IF($R118&gt;nB,0,GPB*mB*mmB*유해지!CY118),roundB))</f>
        <v>0</v>
      </c>
      <c r="CY118" s="262">
        <f t="shared" ca="1" si="253"/>
        <v>0</v>
      </c>
      <c r="CZ118" s="259" t="e">
        <f t="shared" ca="1" si="254"/>
        <v>#DIV/0!</v>
      </c>
      <c r="DA118" s="31">
        <f t="shared" si="255"/>
        <v>5</v>
      </c>
    </row>
    <row r="119" spans="3:105">
      <c r="C119" s="33"/>
      <c r="D119" s="33"/>
      <c r="N119" s="5">
        <f t="shared" si="228"/>
        <v>107</v>
      </c>
      <c r="O119" s="2">
        <f t="shared" ca="1" si="231"/>
        <v>9.2475165090023265E-2</v>
      </c>
      <c r="P119" s="2">
        <f t="shared" ca="1" si="232"/>
        <v>9.1452052495021072E-2</v>
      </c>
      <c r="Q119" s="91"/>
      <c r="R119" s="20">
        <f t="shared" si="229"/>
        <v>107</v>
      </c>
      <c r="S119" s="20" t="str">
        <f t="shared" si="233"/>
        <v/>
      </c>
      <c r="T119" s="2">
        <f t="shared" ca="1" si="282"/>
        <v>0</v>
      </c>
      <c r="U119" s="2">
        <f t="shared" ca="1" si="282"/>
        <v>0</v>
      </c>
      <c r="V119" s="300">
        <f t="shared" si="234"/>
        <v>0.01</v>
      </c>
      <c r="W119" s="8">
        <f t="shared" si="235"/>
        <v>0</v>
      </c>
      <c r="X119" s="10">
        <f t="shared" ca="1" si="236"/>
        <v>1.0000000000000009E-2</v>
      </c>
      <c r="Y119" s="10">
        <f t="shared" ca="1" si="237"/>
        <v>0</v>
      </c>
      <c r="Z119" s="5">
        <f t="shared" ca="1" si="256"/>
        <v>0</v>
      </c>
      <c r="AA119" s="5">
        <f ca="1">+SUM(Z119:Z$124)</f>
        <v>0</v>
      </c>
      <c r="AB119" s="8">
        <f t="shared" ca="1" si="238"/>
        <v>0</v>
      </c>
      <c r="AC119" s="209">
        <f ca="1">+SUM(AB119:AB$124)*SSSM</f>
        <v>0</v>
      </c>
      <c r="AD119" s="209">
        <f t="shared" si="257"/>
        <v>0</v>
      </c>
      <c r="AE119" s="92">
        <f t="shared" ca="1" si="239"/>
        <v>0</v>
      </c>
      <c r="AF119" s="92">
        <f t="shared" ca="1" si="240"/>
        <v>0</v>
      </c>
      <c r="AG119" s="8">
        <f t="shared" ca="1" si="241"/>
        <v>0</v>
      </c>
      <c r="AH119" s="5">
        <f ca="1">+SUM(AG119:AG$124)</f>
        <v>0</v>
      </c>
      <c r="AI119" s="70">
        <f t="shared" ca="1" si="242"/>
        <v>0</v>
      </c>
      <c r="AJ119" s="208">
        <f ca="1">+SUM(AB119:AB$124)*SS50J</f>
        <v>0</v>
      </c>
      <c r="AK119" s="5">
        <f t="shared" ca="1" si="258"/>
        <v>19133.555566198294</v>
      </c>
      <c r="AL119" s="2">
        <f t="shared" ca="1" si="57"/>
        <v>0</v>
      </c>
      <c r="AM119" s="131">
        <f t="shared" ca="1" si="199"/>
        <v>1769.3787097433208</v>
      </c>
      <c r="AN119" s="129">
        <f t="shared" ca="1" si="259"/>
        <v>0</v>
      </c>
      <c r="AO119" s="129">
        <f ca="1">SUM(AN119:AN$124)*SSa</f>
        <v>0</v>
      </c>
      <c r="AP119" s="70">
        <f t="shared" ca="1" si="260"/>
        <v>19133.555566198294</v>
      </c>
      <c r="AQ119" s="2">
        <f t="shared" ca="1" si="58"/>
        <v>0</v>
      </c>
      <c r="AR119" s="127">
        <f t="shared" ca="1" si="261"/>
        <v>0</v>
      </c>
      <c r="AS119" s="127">
        <f ca="1">SUM(AR119:AR$124)*SSb</f>
        <v>0</v>
      </c>
      <c r="AT119" s="70">
        <f t="shared" ca="1" si="262"/>
        <v>19133.555566198294</v>
      </c>
      <c r="AU119" s="2">
        <f t="shared" ca="1" si="59"/>
        <v>0</v>
      </c>
      <c r="AV119" s="268">
        <f t="shared" ca="1" si="263"/>
        <v>0</v>
      </c>
      <c r="AW119" s="131">
        <f ca="1">SUM(AV119:AV$124)*SSc</f>
        <v>0</v>
      </c>
      <c r="AX119" s="70">
        <f t="shared" ca="1" si="264"/>
        <v>19133.555566198294</v>
      </c>
      <c r="AY119" s="2">
        <f t="shared" ca="1" si="60"/>
        <v>0</v>
      </c>
      <c r="AZ119" s="268">
        <f t="shared" ca="1" si="265"/>
        <v>0</v>
      </c>
      <c r="BA119" s="129">
        <f ca="1">SUM(AZ119:AZ$124)*SSd</f>
        <v>0</v>
      </c>
      <c r="BB119" s="70">
        <f t="shared" ca="1" si="266"/>
        <v>19133.555566198294</v>
      </c>
      <c r="BC119" s="257">
        <f t="shared" ca="1" si="61"/>
        <v>0</v>
      </c>
      <c r="BD119" s="268">
        <f t="shared" ca="1" si="267"/>
        <v>0</v>
      </c>
      <c r="BE119" s="131">
        <f ca="1">SUM(BD119:BD$124)*SSe</f>
        <v>0</v>
      </c>
      <c r="BF119" s="70">
        <f t="shared" ca="1" si="268"/>
        <v>19133.555566198294</v>
      </c>
      <c r="BG119" s="2">
        <f t="shared" ca="1" si="62"/>
        <v>0</v>
      </c>
      <c r="BH119" s="131">
        <f t="shared" ca="1" si="269"/>
        <v>0</v>
      </c>
      <c r="BI119" s="2">
        <f ca="1">SUM(BH119:BH$124)*SSf</f>
        <v>0</v>
      </c>
      <c r="BJ119" s="70">
        <f t="shared" ca="1" si="270"/>
        <v>19133.555566198294</v>
      </c>
      <c r="BK119" s="2">
        <f t="shared" ca="1" si="63"/>
        <v>0</v>
      </c>
      <c r="BL119" s="131">
        <f t="shared" ca="1" si="271"/>
        <v>0</v>
      </c>
      <c r="BM119" s="131">
        <f ca="1">SUM(BL119:BL$124)*SSg</f>
        <v>0</v>
      </c>
      <c r="BN119" s="70">
        <f t="shared" ca="1" si="272"/>
        <v>19133.555566198294</v>
      </c>
      <c r="BO119" s="2">
        <f t="shared" ca="1" si="64"/>
        <v>0</v>
      </c>
      <c r="BP119" s="131">
        <f t="shared" ca="1" si="273"/>
        <v>0</v>
      </c>
      <c r="BQ119" s="131">
        <f ca="1">SUM(BP119:BP$124)*SSh</f>
        <v>0</v>
      </c>
      <c r="BR119" s="70">
        <f t="shared" ca="1" si="274"/>
        <v>19133.555566198294</v>
      </c>
      <c r="BS119" s="2">
        <f t="shared" ca="1" si="243"/>
        <v>0</v>
      </c>
      <c r="BT119" s="131">
        <f t="shared" ca="1" si="275"/>
        <v>0</v>
      </c>
      <c r="BU119" s="131">
        <f ca="1">SUM(BT119:BT$124)*SSi</f>
        <v>0</v>
      </c>
      <c r="BV119" s="70">
        <f t="shared" ca="1" si="276"/>
        <v>19133.555566198294</v>
      </c>
      <c r="BW119" s="2">
        <f t="shared" ca="1" si="66"/>
        <v>0</v>
      </c>
      <c r="BX119" s="131">
        <f t="shared" ca="1" si="277"/>
        <v>0</v>
      </c>
      <c r="BY119" s="131">
        <f ca="1">SUM(BX119:BX$124)*SSj</f>
        <v>0</v>
      </c>
      <c r="BZ119" s="70">
        <f t="shared" ca="1" si="278"/>
        <v>19133.555566198294</v>
      </c>
      <c r="CA119" s="2">
        <f t="shared" ca="1" si="67"/>
        <v>0</v>
      </c>
      <c r="CB119" s="131">
        <f t="shared" ca="1" si="279"/>
        <v>0</v>
      </c>
      <c r="CC119" s="131">
        <f ca="1">SUM(CB119:CB$124)*SSk</f>
        <v>0</v>
      </c>
      <c r="CD119" s="8">
        <f t="shared" ca="1" si="280"/>
        <v>19133.555566198294</v>
      </c>
      <c r="CE119" s="2">
        <f t="shared" ca="1" si="68"/>
        <v>0</v>
      </c>
      <c r="CF119" s="131">
        <f t="shared" ca="1" si="281"/>
        <v>0</v>
      </c>
      <c r="CG119" s="131">
        <f ca="1">SUM(CF119:CF$124)*SSl</f>
        <v>0</v>
      </c>
      <c r="CH119" s="155">
        <f t="shared" si="223"/>
        <v>0.01</v>
      </c>
      <c r="CI119" s="155">
        <f t="shared" ca="1" si="224"/>
        <v>0</v>
      </c>
      <c r="CJ119" s="155">
        <f t="shared" ca="1" si="225"/>
        <v>0</v>
      </c>
      <c r="CK119" s="155">
        <f ca="1">유해지!CY119</f>
        <v>0</v>
      </c>
      <c r="CL119" s="529">
        <f t="shared" ca="1" si="244"/>
        <v>0</v>
      </c>
      <c r="CM119" s="155">
        <f t="shared" ca="1" si="226"/>
        <v>0</v>
      </c>
      <c r="CN119" s="155">
        <f ca="1">SUM(CM119:$CM$125)</f>
        <v>0</v>
      </c>
      <c r="CO119" s="101">
        <f t="shared" ca="1" si="227"/>
        <v>0</v>
      </c>
      <c r="CP119" s="154">
        <f t="shared" ca="1" si="245"/>
        <v>0</v>
      </c>
      <c r="CQ119" s="154">
        <f t="shared" ca="1" si="246"/>
        <v>0</v>
      </c>
      <c r="CR119" s="32">
        <f t="shared" ca="1" si="247"/>
        <v>0</v>
      </c>
      <c r="CS119" s="32">
        <f t="shared" ca="1" si="248"/>
        <v>0</v>
      </c>
      <c r="CT119" s="32">
        <f t="shared" ca="1" si="249"/>
        <v>0</v>
      </c>
      <c r="CU119" s="32">
        <f t="shared" ca="1" si="250"/>
        <v>0</v>
      </c>
      <c r="CV119" s="32">
        <f t="shared" si="251"/>
        <v>0</v>
      </c>
      <c r="CW119" s="32">
        <f t="shared" ca="1" si="252"/>
        <v>0</v>
      </c>
      <c r="CX119" s="259">
        <f ca="1">IF(R119&lt;m,0,ROUND(IF($R119&gt;nB,0,GPB*mB*mmB*유해지!CY119),roundB))</f>
        <v>0</v>
      </c>
      <c r="CY119" s="262">
        <f t="shared" ca="1" si="253"/>
        <v>0</v>
      </c>
      <c r="CZ119" s="259" t="e">
        <f t="shared" ca="1" si="254"/>
        <v>#DIV/0!</v>
      </c>
      <c r="DA119" s="31">
        <f t="shared" si="255"/>
        <v>5</v>
      </c>
    </row>
    <row r="120" spans="3:105">
      <c r="C120" s="33"/>
      <c r="D120" s="33"/>
      <c r="N120" s="5">
        <f t="shared" si="228"/>
        <v>108</v>
      </c>
      <c r="O120" s="2">
        <f t="shared" ca="1" si="231"/>
        <v>9.0440259256746452E-2</v>
      </c>
      <c r="P120" s="2">
        <f t="shared" ca="1" si="232"/>
        <v>8.9439660141829871E-2</v>
      </c>
      <c r="Q120" s="91"/>
      <c r="R120" s="20">
        <f t="shared" si="229"/>
        <v>108</v>
      </c>
      <c r="S120" s="20" t="str">
        <f t="shared" si="233"/>
        <v/>
      </c>
      <c r="T120" s="2">
        <f t="shared" ca="1" si="282"/>
        <v>0</v>
      </c>
      <c r="U120" s="2">
        <f t="shared" ca="1" si="282"/>
        <v>0</v>
      </c>
      <c r="V120" s="300">
        <f t="shared" si="234"/>
        <v>0.01</v>
      </c>
      <c r="W120" s="8">
        <f t="shared" si="235"/>
        <v>0</v>
      </c>
      <c r="X120" s="10">
        <f t="shared" ca="1" si="236"/>
        <v>1.0000000000000009E-2</v>
      </c>
      <c r="Y120" s="10">
        <f t="shared" ca="1" si="237"/>
        <v>0</v>
      </c>
      <c r="Z120" s="5">
        <f t="shared" ca="1" si="256"/>
        <v>0</v>
      </c>
      <c r="AA120" s="5">
        <f ca="1">+SUM(Z120:Z$124)</f>
        <v>0</v>
      </c>
      <c r="AB120" s="8">
        <f t="shared" ca="1" si="238"/>
        <v>0</v>
      </c>
      <c r="AC120" s="209">
        <f ca="1">+SUM(AB120:AB$124)*SSSM</f>
        <v>0</v>
      </c>
      <c r="AD120" s="209">
        <f t="shared" si="257"/>
        <v>0</v>
      </c>
      <c r="AE120" s="92">
        <f t="shared" ca="1" si="239"/>
        <v>0</v>
      </c>
      <c r="AF120" s="92">
        <f t="shared" ca="1" si="240"/>
        <v>0</v>
      </c>
      <c r="AG120" s="8">
        <f t="shared" ca="1" si="241"/>
        <v>0</v>
      </c>
      <c r="AH120" s="5">
        <f ca="1">+SUM(AG120:AG$124)</f>
        <v>0</v>
      </c>
      <c r="AI120" s="70">
        <f t="shared" ca="1" si="242"/>
        <v>0</v>
      </c>
      <c r="AJ120" s="208">
        <f ca="1">+SUM(AB120:AB$124)*SS50J</f>
        <v>0</v>
      </c>
      <c r="AK120" s="5">
        <f t="shared" ca="1" si="258"/>
        <v>18942.220010536312</v>
      </c>
      <c r="AL120" s="2">
        <f t="shared" ca="1" si="57"/>
        <v>0</v>
      </c>
      <c r="AM120" s="131">
        <f t="shared" ca="1" si="199"/>
        <v>1713.1392886512347</v>
      </c>
      <c r="AN120" s="129">
        <f t="shared" ca="1" si="259"/>
        <v>0</v>
      </c>
      <c r="AO120" s="129">
        <f ca="1">SUM(AN120:AN$124)*SSa</f>
        <v>0</v>
      </c>
      <c r="AP120" s="70">
        <f t="shared" ca="1" si="260"/>
        <v>18942.220010536312</v>
      </c>
      <c r="AQ120" s="2">
        <f t="shared" ca="1" si="58"/>
        <v>0</v>
      </c>
      <c r="AR120" s="127">
        <f t="shared" ca="1" si="261"/>
        <v>0</v>
      </c>
      <c r="AS120" s="127">
        <f ca="1">SUM(AR120:AR$124)*SSb</f>
        <v>0</v>
      </c>
      <c r="AT120" s="70">
        <f t="shared" ca="1" si="262"/>
        <v>18942.220010536312</v>
      </c>
      <c r="AU120" s="2">
        <f t="shared" ca="1" si="59"/>
        <v>0</v>
      </c>
      <c r="AV120" s="268">
        <f t="shared" ca="1" si="263"/>
        <v>0</v>
      </c>
      <c r="AW120" s="131">
        <f ca="1">SUM(AV120:AV$124)*SSc</f>
        <v>0</v>
      </c>
      <c r="AX120" s="70">
        <f t="shared" ca="1" si="264"/>
        <v>18942.220010536312</v>
      </c>
      <c r="AY120" s="2">
        <f t="shared" ca="1" si="60"/>
        <v>0</v>
      </c>
      <c r="AZ120" s="268">
        <f t="shared" ca="1" si="265"/>
        <v>0</v>
      </c>
      <c r="BA120" s="129">
        <f ca="1">SUM(AZ120:AZ$124)*SSd</f>
        <v>0</v>
      </c>
      <c r="BB120" s="70">
        <f t="shared" ca="1" si="266"/>
        <v>18942.220010536312</v>
      </c>
      <c r="BC120" s="257">
        <f t="shared" ca="1" si="61"/>
        <v>0</v>
      </c>
      <c r="BD120" s="268">
        <f t="shared" ca="1" si="267"/>
        <v>0</v>
      </c>
      <c r="BE120" s="131">
        <f ca="1">SUM(BD120:BD$124)*SSe</f>
        <v>0</v>
      </c>
      <c r="BF120" s="70">
        <f t="shared" ca="1" si="268"/>
        <v>18942.220010536312</v>
      </c>
      <c r="BG120" s="2">
        <f t="shared" ca="1" si="62"/>
        <v>0</v>
      </c>
      <c r="BH120" s="131">
        <f t="shared" ca="1" si="269"/>
        <v>0</v>
      </c>
      <c r="BI120" s="2">
        <f ca="1">SUM(BH120:BH$124)*SSf</f>
        <v>0</v>
      </c>
      <c r="BJ120" s="70">
        <f t="shared" ca="1" si="270"/>
        <v>18942.220010536312</v>
      </c>
      <c r="BK120" s="2">
        <f t="shared" ca="1" si="63"/>
        <v>0</v>
      </c>
      <c r="BL120" s="131">
        <f t="shared" ca="1" si="271"/>
        <v>0</v>
      </c>
      <c r="BM120" s="131">
        <f ca="1">SUM(BL120:BL$124)*SSg</f>
        <v>0</v>
      </c>
      <c r="BN120" s="70">
        <f t="shared" ca="1" si="272"/>
        <v>18942.220010536312</v>
      </c>
      <c r="BO120" s="2">
        <f t="shared" ca="1" si="64"/>
        <v>0</v>
      </c>
      <c r="BP120" s="131">
        <f t="shared" ca="1" si="273"/>
        <v>0</v>
      </c>
      <c r="BQ120" s="131">
        <f ca="1">SUM(BP120:BP$124)*SSh</f>
        <v>0</v>
      </c>
      <c r="BR120" s="70">
        <f t="shared" ca="1" si="274"/>
        <v>18942.220010536312</v>
      </c>
      <c r="BS120" s="2">
        <f t="shared" ca="1" si="243"/>
        <v>0</v>
      </c>
      <c r="BT120" s="131">
        <f t="shared" ca="1" si="275"/>
        <v>0</v>
      </c>
      <c r="BU120" s="131">
        <f ca="1">SUM(BT120:BT$124)*SSi</f>
        <v>0</v>
      </c>
      <c r="BV120" s="70">
        <f t="shared" ca="1" si="276"/>
        <v>18942.220010536312</v>
      </c>
      <c r="BW120" s="2">
        <f t="shared" ca="1" si="66"/>
        <v>0</v>
      </c>
      <c r="BX120" s="131">
        <f t="shared" ca="1" si="277"/>
        <v>0</v>
      </c>
      <c r="BY120" s="131">
        <f ca="1">SUM(BX120:BX$124)*SSj</f>
        <v>0</v>
      </c>
      <c r="BZ120" s="70">
        <f t="shared" ca="1" si="278"/>
        <v>18942.220010536312</v>
      </c>
      <c r="CA120" s="2">
        <f t="shared" ca="1" si="67"/>
        <v>0</v>
      </c>
      <c r="CB120" s="131">
        <f t="shared" ca="1" si="279"/>
        <v>0</v>
      </c>
      <c r="CC120" s="131">
        <f ca="1">SUM(CB120:CB$124)*SSk</f>
        <v>0</v>
      </c>
      <c r="CD120" s="8">
        <f t="shared" ca="1" si="280"/>
        <v>18942.220010536312</v>
      </c>
      <c r="CE120" s="2">
        <f t="shared" ca="1" si="68"/>
        <v>0</v>
      </c>
      <c r="CF120" s="131">
        <f t="shared" ca="1" si="281"/>
        <v>0</v>
      </c>
      <c r="CG120" s="131">
        <f ca="1">SUM(CF120:CF$124)*SSl</f>
        <v>0</v>
      </c>
      <c r="CH120" s="155">
        <f t="shared" si="223"/>
        <v>0.01</v>
      </c>
      <c r="CI120" s="155">
        <f t="shared" ca="1" si="224"/>
        <v>0</v>
      </c>
      <c r="CJ120" s="155">
        <f t="shared" ca="1" si="225"/>
        <v>0</v>
      </c>
      <c r="CK120" s="155">
        <f ca="1">유해지!CY120</f>
        <v>0</v>
      </c>
      <c r="CL120" s="529">
        <f t="shared" ca="1" si="244"/>
        <v>0</v>
      </c>
      <c r="CM120" s="155">
        <f t="shared" ca="1" si="226"/>
        <v>0</v>
      </c>
      <c r="CN120" s="155">
        <f ca="1">SUM(CM120:$CM$125)</f>
        <v>0</v>
      </c>
      <c r="CO120" s="101">
        <f t="shared" ca="1" si="227"/>
        <v>0</v>
      </c>
      <c r="CP120" s="154">
        <f t="shared" ca="1" si="245"/>
        <v>0</v>
      </c>
      <c r="CQ120" s="154">
        <f t="shared" ca="1" si="246"/>
        <v>0</v>
      </c>
      <c r="CR120" s="32">
        <f t="shared" ca="1" si="247"/>
        <v>0</v>
      </c>
      <c r="CS120" s="32">
        <f t="shared" ca="1" si="248"/>
        <v>0</v>
      </c>
      <c r="CT120" s="32">
        <f t="shared" ca="1" si="249"/>
        <v>0</v>
      </c>
      <c r="CU120" s="32">
        <f t="shared" ca="1" si="250"/>
        <v>0</v>
      </c>
      <c r="CV120" s="32">
        <f t="shared" si="251"/>
        <v>0</v>
      </c>
      <c r="CW120" s="32">
        <f t="shared" ca="1" si="252"/>
        <v>0</v>
      </c>
      <c r="CX120" s="259">
        <f ca="1">IF(R120&lt;m,0,ROUND(IF($R120&gt;nB,0,GPB*mB*mmB*유해지!CY120),roundB))</f>
        <v>0</v>
      </c>
      <c r="CY120" s="262">
        <f t="shared" ca="1" si="253"/>
        <v>0</v>
      </c>
      <c r="CZ120" s="259" t="e">
        <f t="shared" ca="1" si="254"/>
        <v>#DIV/0!</v>
      </c>
      <c r="DA120" s="31">
        <f t="shared" si="255"/>
        <v>5</v>
      </c>
    </row>
    <row r="121" spans="3:105">
      <c r="C121" s="33"/>
      <c r="D121" s="33"/>
      <c r="N121" s="5">
        <f t="shared" si="228"/>
        <v>109</v>
      </c>
      <c r="O121" s="2">
        <f t="shared" ca="1" si="231"/>
        <v>8.8450131302441531E-2</v>
      </c>
      <c r="P121" s="2">
        <f t="shared" ca="1" si="232"/>
        <v>8.7471550260958333E-2</v>
      </c>
      <c r="Q121" s="91"/>
      <c r="R121" s="20">
        <f t="shared" si="229"/>
        <v>109</v>
      </c>
      <c r="S121" s="20" t="str">
        <f t="shared" si="233"/>
        <v/>
      </c>
      <c r="T121" s="2">
        <f t="shared" ca="1" si="282"/>
        <v>0</v>
      </c>
      <c r="U121" s="2">
        <f t="shared" ca="1" si="282"/>
        <v>0</v>
      </c>
      <c r="V121" s="300">
        <f t="shared" si="234"/>
        <v>0.01</v>
      </c>
      <c r="W121" s="8">
        <f t="shared" si="235"/>
        <v>0</v>
      </c>
      <c r="X121" s="10">
        <f t="shared" ca="1" si="236"/>
        <v>1.0000000000000009E-2</v>
      </c>
      <c r="Y121" s="10">
        <f t="shared" ca="1" si="237"/>
        <v>0</v>
      </c>
      <c r="Z121" s="5">
        <f t="shared" ca="1" si="256"/>
        <v>0</v>
      </c>
      <c r="AA121" s="5">
        <f ca="1">+SUM(Z121:Z$124)</f>
        <v>0</v>
      </c>
      <c r="AB121" s="8">
        <f t="shared" ca="1" si="238"/>
        <v>0</v>
      </c>
      <c r="AC121" s="209">
        <f ca="1">+SUM(AB121:AB$124)*SSSM</f>
        <v>0</v>
      </c>
      <c r="AD121" s="209">
        <f t="shared" si="257"/>
        <v>0</v>
      </c>
      <c r="AE121" s="92">
        <f t="shared" ca="1" si="239"/>
        <v>0</v>
      </c>
      <c r="AF121" s="92">
        <f t="shared" ca="1" si="240"/>
        <v>0</v>
      </c>
      <c r="AG121" s="8">
        <f t="shared" ca="1" si="241"/>
        <v>0</v>
      </c>
      <c r="AH121" s="5">
        <f ca="1">+SUM(AG121:AG$124)</f>
        <v>0</v>
      </c>
      <c r="AI121" s="70">
        <f t="shared" ca="1" si="242"/>
        <v>0</v>
      </c>
      <c r="AJ121" s="208">
        <f ca="1">+SUM(AB121:AB$124)*SS50J</f>
        <v>0</v>
      </c>
      <c r="AK121" s="5">
        <f t="shared" ca="1" si="258"/>
        <v>18752.797810430948</v>
      </c>
      <c r="AL121" s="2">
        <f t="shared" ca="1" si="57"/>
        <v>0</v>
      </c>
      <c r="AM121" s="131">
        <f t="shared" ca="1" si="199"/>
        <v>1658.6874286207553</v>
      </c>
      <c r="AN121" s="129">
        <f t="shared" ca="1" si="259"/>
        <v>0</v>
      </c>
      <c r="AO121" s="129">
        <f ca="1">SUM(AN121:AN$124)*SSa</f>
        <v>0</v>
      </c>
      <c r="AP121" s="70">
        <f t="shared" ca="1" si="260"/>
        <v>18752.797810430948</v>
      </c>
      <c r="AQ121" s="2">
        <f t="shared" ca="1" si="58"/>
        <v>0</v>
      </c>
      <c r="AR121" s="127">
        <f t="shared" ca="1" si="261"/>
        <v>0</v>
      </c>
      <c r="AS121" s="127">
        <f ca="1">SUM(AR121:AR$124)*SSb</f>
        <v>0</v>
      </c>
      <c r="AT121" s="70">
        <f t="shared" ca="1" si="262"/>
        <v>18752.797810430948</v>
      </c>
      <c r="AU121" s="2">
        <f t="shared" ca="1" si="59"/>
        <v>0</v>
      </c>
      <c r="AV121" s="268">
        <f t="shared" ca="1" si="263"/>
        <v>0</v>
      </c>
      <c r="AW121" s="131">
        <f ca="1">SUM(AV121:AV$124)*SSc</f>
        <v>0</v>
      </c>
      <c r="AX121" s="70">
        <f t="shared" ca="1" si="264"/>
        <v>18752.797810430948</v>
      </c>
      <c r="AY121" s="2">
        <f t="shared" ca="1" si="60"/>
        <v>0</v>
      </c>
      <c r="AZ121" s="268">
        <f t="shared" ca="1" si="265"/>
        <v>0</v>
      </c>
      <c r="BA121" s="129">
        <f ca="1">SUM(AZ121:AZ$124)*SSd</f>
        <v>0</v>
      </c>
      <c r="BB121" s="70">
        <f t="shared" ca="1" si="266"/>
        <v>18752.797810430948</v>
      </c>
      <c r="BC121" s="257">
        <f t="shared" ca="1" si="61"/>
        <v>0</v>
      </c>
      <c r="BD121" s="268">
        <f t="shared" ca="1" si="267"/>
        <v>0</v>
      </c>
      <c r="BE121" s="131">
        <f ca="1">SUM(BD121:BD$124)*SSe</f>
        <v>0</v>
      </c>
      <c r="BF121" s="70">
        <f t="shared" ca="1" si="268"/>
        <v>18752.797810430948</v>
      </c>
      <c r="BG121" s="2">
        <f t="shared" ca="1" si="62"/>
        <v>0</v>
      </c>
      <c r="BH121" s="131">
        <f t="shared" ca="1" si="269"/>
        <v>0</v>
      </c>
      <c r="BI121" s="2">
        <f ca="1">SUM(BH121:BH$124)*SSf</f>
        <v>0</v>
      </c>
      <c r="BJ121" s="70">
        <f t="shared" ca="1" si="270"/>
        <v>18752.797810430948</v>
      </c>
      <c r="BK121" s="2">
        <f t="shared" ca="1" si="63"/>
        <v>0</v>
      </c>
      <c r="BL121" s="131">
        <f t="shared" ca="1" si="271"/>
        <v>0</v>
      </c>
      <c r="BM121" s="131">
        <f ca="1">SUM(BL121:BL$124)*SSg</f>
        <v>0</v>
      </c>
      <c r="BN121" s="70">
        <f t="shared" ca="1" si="272"/>
        <v>18752.797810430948</v>
      </c>
      <c r="BO121" s="2">
        <f t="shared" ca="1" si="64"/>
        <v>0</v>
      </c>
      <c r="BP121" s="131">
        <f t="shared" ca="1" si="273"/>
        <v>0</v>
      </c>
      <c r="BQ121" s="131">
        <f ca="1">SUM(BP121:BP$124)*SSh</f>
        <v>0</v>
      </c>
      <c r="BR121" s="70">
        <f t="shared" ca="1" si="274"/>
        <v>18752.797810430948</v>
      </c>
      <c r="BS121" s="2">
        <f t="shared" ca="1" si="243"/>
        <v>0</v>
      </c>
      <c r="BT121" s="131">
        <f t="shared" ca="1" si="275"/>
        <v>0</v>
      </c>
      <c r="BU121" s="131">
        <f ca="1">SUM(BT121:BT$124)*SSi</f>
        <v>0</v>
      </c>
      <c r="BV121" s="70">
        <f t="shared" ca="1" si="276"/>
        <v>18752.797810430948</v>
      </c>
      <c r="BW121" s="2">
        <f t="shared" ca="1" si="66"/>
        <v>0</v>
      </c>
      <c r="BX121" s="131">
        <f t="shared" ca="1" si="277"/>
        <v>0</v>
      </c>
      <c r="BY121" s="131">
        <f ca="1">SUM(BX121:BX$124)*SSj</f>
        <v>0</v>
      </c>
      <c r="BZ121" s="70">
        <f t="shared" ca="1" si="278"/>
        <v>18752.797810430948</v>
      </c>
      <c r="CA121" s="2">
        <f t="shared" ca="1" si="67"/>
        <v>0</v>
      </c>
      <c r="CB121" s="131">
        <f t="shared" ca="1" si="279"/>
        <v>0</v>
      </c>
      <c r="CC121" s="131">
        <f ca="1">SUM(CB121:CB$124)*SSk</f>
        <v>0</v>
      </c>
      <c r="CD121" s="8">
        <f t="shared" ca="1" si="280"/>
        <v>18752.797810430948</v>
      </c>
      <c r="CE121" s="2">
        <f t="shared" ca="1" si="68"/>
        <v>0</v>
      </c>
      <c r="CF121" s="131">
        <f t="shared" ca="1" si="281"/>
        <v>0</v>
      </c>
      <c r="CG121" s="131">
        <f ca="1">SUM(CF121:CF$124)*SSl</f>
        <v>0</v>
      </c>
      <c r="CH121" s="155">
        <f t="shared" si="223"/>
        <v>0.01</v>
      </c>
      <c r="CI121" s="155">
        <f t="shared" ca="1" si="224"/>
        <v>0</v>
      </c>
      <c r="CJ121" s="155">
        <f t="shared" ca="1" si="225"/>
        <v>0</v>
      </c>
      <c r="CK121" s="155">
        <f ca="1">유해지!CY121</f>
        <v>0</v>
      </c>
      <c r="CL121" s="529">
        <f t="shared" ca="1" si="244"/>
        <v>0</v>
      </c>
      <c r="CM121" s="155">
        <f t="shared" ca="1" si="226"/>
        <v>0</v>
      </c>
      <c r="CN121" s="155">
        <f ca="1">SUM(CM121:$CM$125)</f>
        <v>0</v>
      </c>
      <c r="CO121" s="101">
        <f t="shared" ca="1" si="227"/>
        <v>0</v>
      </c>
      <c r="CP121" s="154">
        <f t="shared" ca="1" si="245"/>
        <v>0</v>
      </c>
      <c r="CQ121" s="154">
        <f t="shared" ca="1" si="246"/>
        <v>0</v>
      </c>
      <c r="CR121" s="32">
        <f t="shared" ca="1" si="247"/>
        <v>0</v>
      </c>
      <c r="CS121" s="32">
        <f t="shared" ca="1" si="248"/>
        <v>0</v>
      </c>
      <c r="CT121" s="32">
        <f t="shared" ca="1" si="249"/>
        <v>0</v>
      </c>
      <c r="CU121" s="32">
        <f t="shared" ca="1" si="250"/>
        <v>0</v>
      </c>
      <c r="CV121" s="32">
        <f t="shared" si="251"/>
        <v>0</v>
      </c>
      <c r="CW121" s="32">
        <f t="shared" ca="1" si="252"/>
        <v>0</v>
      </c>
      <c r="CX121" s="259">
        <f ca="1">IF(R121&lt;m,0,ROUND(IF($R121&gt;nB,0,GPB*mB*mmB*유해지!CY121),roundB))</f>
        <v>0</v>
      </c>
      <c r="CY121" s="262">
        <f t="shared" ca="1" si="253"/>
        <v>0</v>
      </c>
      <c r="CZ121" s="259" t="e">
        <f t="shared" ca="1" si="254"/>
        <v>#DIV/0!</v>
      </c>
      <c r="DA121" s="31">
        <f t="shared" si="255"/>
        <v>5</v>
      </c>
    </row>
    <row r="122" spans="3:105">
      <c r="C122" s="33"/>
      <c r="D122" s="33"/>
      <c r="N122" s="5">
        <f t="shared" si="228"/>
        <v>110</v>
      </c>
      <c r="O122" s="2">
        <f t="shared" ca="1" si="231"/>
        <v>8.6503795894808347E-2</v>
      </c>
      <c r="P122" s="2">
        <f t="shared" ca="1" si="232"/>
        <v>8.5546748421475124E-2</v>
      </c>
      <c r="Q122" s="91"/>
      <c r="R122" s="20">
        <f t="shared" si="229"/>
        <v>110</v>
      </c>
      <c r="S122" s="20" t="str">
        <f t="shared" si="233"/>
        <v/>
      </c>
      <c r="T122" s="2">
        <f t="shared" ca="1" si="282"/>
        <v>0</v>
      </c>
      <c r="U122" s="2">
        <f t="shared" ca="1" si="282"/>
        <v>0</v>
      </c>
      <c r="V122" s="300">
        <f t="shared" si="234"/>
        <v>0.01</v>
      </c>
      <c r="W122" s="8">
        <f t="shared" si="235"/>
        <v>0</v>
      </c>
      <c r="X122" s="10">
        <f t="shared" ca="1" si="236"/>
        <v>1.0000000000000009E-2</v>
      </c>
      <c r="Y122" s="10">
        <f t="shared" ca="1" si="237"/>
        <v>0</v>
      </c>
      <c r="Z122" s="5">
        <f t="shared" ca="1" si="256"/>
        <v>0</v>
      </c>
      <c r="AA122" s="5">
        <f ca="1">+SUM(Z122:Z$124)</f>
        <v>0</v>
      </c>
      <c r="AB122" s="8">
        <f t="shared" ca="1" si="238"/>
        <v>0</v>
      </c>
      <c r="AC122" s="209">
        <f ca="1">+SUM(AB122:AB$124)*SSSM</f>
        <v>0</v>
      </c>
      <c r="AD122" s="209">
        <f t="shared" si="257"/>
        <v>0</v>
      </c>
      <c r="AE122" s="92">
        <f t="shared" ca="1" si="239"/>
        <v>0</v>
      </c>
      <c r="AF122" s="92">
        <f t="shared" ca="1" si="240"/>
        <v>0</v>
      </c>
      <c r="AG122" s="8">
        <f t="shared" ca="1" si="241"/>
        <v>0</v>
      </c>
      <c r="AH122" s="5">
        <f ca="1">+SUM(AG122:AG$124)</f>
        <v>0</v>
      </c>
      <c r="AI122" s="70">
        <f t="shared" ca="1" si="242"/>
        <v>0</v>
      </c>
      <c r="AJ122" s="208">
        <f ca="1">+SUM(AB122:AB$124)*SS50J</f>
        <v>0</v>
      </c>
      <c r="AK122" s="5">
        <f t="shared" ca="1" si="258"/>
        <v>18565.269832326638</v>
      </c>
      <c r="AL122" s="2">
        <f t="shared" ca="1" si="57"/>
        <v>0</v>
      </c>
      <c r="AM122" s="131">
        <f t="shared" ca="1" si="199"/>
        <v>1605.9663123076261</v>
      </c>
      <c r="AN122" s="129">
        <f t="shared" ca="1" si="259"/>
        <v>0</v>
      </c>
      <c r="AO122" s="129">
        <f ca="1">SUM(AN122:AN$124)*SSa</f>
        <v>0</v>
      </c>
      <c r="AP122" s="70">
        <f t="shared" ca="1" si="260"/>
        <v>18565.269832326638</v>
      </c>
      <c r="AQ122" s="2">
        <f t="shared" ca="1" si="58"/>
        <v>0</v>
      </c>
      <c r="AR122" s="127">
        <f t="shared" ca="1" si="261"/>
        <v>0</v>
      </c>
      <c r="AS122" s="127">
        <f ca="1">SUM(AR122:AR$124)*SSb</f>
        <v>0</v>
      </c>
      <c r="AT122" s="70">
        <f t="shared" ca="1" si="262"/>
        <v>18565.269832326638</v>
      </c>
      <c r="AU122" s="2">
        <f t="shared" ca="1" si="59"/>
        <v>0</v>
      </c>
      <c r="AV122" s="268">
        <f t="shared" ca="1" si="263"/>
        <v>0</v>
      </c>
      <c r="AW122" s="131">
        <f ca="1">SUM(AV122:AV$124)*SSc</f>
        <v>0</v>
      </c>
      <c r="AX122" s="70">
        <f t="shared" ca="1" si="264"/>
        <v>18565.269832326638</v>
      </c>
      <c r="AY122" s="2">
        <f t="shared" ca="1" si="60"/>
        <v>0</v>
      </c>
      <c r="AZ122" s="268">
        <f t="shared" ca="1" si="265"/>
        <v>0</v>
      </c>
      <c r="BA122" s="129">
        <f ca="1">SUM(AZ122:AZ$124)*SSd</f>
        <v>0</v>
      </c>
      <c r="BB122" s="70">
        <f t="shared" ca="1" si="266"/>
        <v>18565.269832326638</v>
      </c>
      <c r="BC122" s="257">
        <f t="shared" ca="1" si="61"/>
        <v>0</v>
      </c>
      <c r="BD122" s="268">
        <f t="shared" ca="1" si="267"/>
        <v>0</v>
      </c>
      <c r="BE122" s="131">
        <f ca="1">SUM(BD122:BD$124)*SSe</f>
        <v>0</v>
      </c>
      <c r="BF122" s="70">
        <f t="shared" ca="1" si="268"/>
        <v>18565.269832326638</v>
      </c>
      <c r="BG122" s="2">
        <f t="shared" ca="1" si="62"/>
        <v>0</v>
      </c>
      <c r="BH122" s="131">
        <f t="shared" ca="1" si="269"/>
        <v>0</v>
      </c>
      <c r="BI122" s="2">
        <f ca="1">SUM(BH122:BH$124)*SSf</f>
        <v>0</v>
      </c>
      <c r="BJ122" s="70">
        <f t="shared" ca="1" si="270"/>
        <v>18565.269832326638</v>
      </c>
      <c r="BK122" s="2">
        <f t="shared" ca="1" si="63"/>
        <v>0</v>
      </c>
      <c r="BL122" s="131">
        <f t="shared" ca="1" si="271"/>
        <v>0</v>
      </c>
      <c r="BM122" s="131">
        <f ca="1">SUM(BL122:BL$124)*SSg</f>
        <v>0</v>
      </c>
      <c r="BN122" s="70">
        <f t="shared" ca="1" si="272"/>
        <v>18565.269832326638</v>
      </c>
      <c r="BO122" s="2">
        <f t="shared" ca="1" si="64"/>
        <v>0</v>
      </c>
      <c r="BP122" s="131">
        <f t="shared" ca="1" si="273"/>
        <v>0</v>
      </c>
      <c r="BQ122" s="131">
        <f ca="1">SUM(BP122:BP$124)*SSh</f>
        <v>0</v>
      </c>
      <c r="BR122" s="70">
        <f t="shared" ca="1" si="274"/>
        <v>18565.269832326638</v>
      </c>
      <c r="BS122" s="2">
        <f t="shared" ca="1" si="243"/>
        <v>0</v>
      </c>
      <c r="BT122" s="131">
        <f t="shared" ca="1" si="275"/>
        <v>0</v>
      </c>
      <c r="BU122" s="131">
        <f ca="1">SUM(BT122:BT$124)*SSi</f>
        <v>0</v>
      </c>
      <c r="BV122" s="70">
        <f t="shared" ca="1" si="276"/>
        <v>18565.269832326638</v>
      </c>
      <c r="BW122" s="2">
        <f t="shared" ca="1" si="66"/>
        <v>0</v>
      </c>
      <c r="BX122" s="131">
        <f t="shared" ca="1" si="277"/>
        <v>0</v>
      </c>
      <c r="BY122" s="131">
        <f ca="1">SUM(BX122:BX$124)*SSj</f>
        <v>0</v>
      </c>
      <c r="BZ122" s="70">
        <f t="shared" ca="1" si="278"/>
        <v>18565.269832326638</v>
      </c>
      <c r="CA122" s="2">
        <f t="shared" ca="1" si="67"/>
        <v>0</v>
      </c>
      <c r="CB122" s="131">
        <f t="shared" ca="1" si="279"/>
        <v>0</v>
      </c>
      <c r="CC122" s="131">
        <f ca="1">SUM(CB122:CB$124)*SSk</f>
        <v>0</v>
      </c>
      <c r="CD122" s="8">
        <f t="shared" ca="1" si="280"/>
        <v>18565.269832326638</v>
      </c>
      <c r="CE122" s="2">
        <f t="shared" ca="1" si="68"/>
        <v>0</v>
      </c>
      <c r="CF122" s="131">
        <f t="shared" ca="1" si="281"/>
        <v>0</v>
      </c>
      <c r="CG122" s="131">
        <f ca="1">SUM(CF122:CF$124)*SSl</f>
        <v>0</v>
      </c>
      <c r="CH122" s="155">
        <f t="shared" si="223"/>
        <v>0.01</v>
      </c>
      <c r="CI122" s="155">
        <f t="shared" ca="1" si="224"/>
        <v>0</v>
      </c>
      <c r="CJ122" s="155">
        <f t="shared" ca="1" si="225"/>
        <v>0</v>
      </c>
      <c r="CK122" s="155">
        <f ca="1">유해지!CY122</f>
        <v>0</v>
      </c>
      <c r="CL122" s="529">
        <f t="shared" ca="1" si="244"/>
        <v>0</v>
      </c>
      <c r="CM122" s="155">
        <f t="shared" ca="1" si="226"/>
        <v>0</v>
      </c>
      <c r="CN122" s="155">
        <f ca="1">SUM(CM122:$CM$125)</f>
        <v>0</v>
      </c>
      <c r="CO122" s="101">
        <f t="shared" ca="1" si="227"/>
        <v>0</v>
      </c>
      <c r="CP122" s="154">
        <f t="shared" ca="1" si="245"/>
        <v>0</v>
      </c>
      <c r="CQ122" s="154">
        <f t="shared" ca="1" si="246"/>
        <v>0</v>
      </c>
      <c r="CR122" s="32">
        <f t="shared" ca="1" si="247"/>
        <v>0</v>
      </c>
      <c r="CS122" s="32">
        <f t="shared" ca="1" si="248"/>
        <v>0</v>
      </c>
      <c r="CT122" s="32">
        <f t="shared" ca="1" si="249"/>
        <v>0</v>
      </c>
      <c r="CU122" s="32">
        <f t="shared" ca="1" si="250"/>
        <v>0</v>
      </c>
      <c r="CV122" s="32">
        <f t="shared" si="251"/>
        <v>0</v>
      </c>
      <c r="CW122" s="32">
        <f t="shared" ca="1" si="252"/>
        <v>0</v>
      </c>
      <c r="CX122" s="259">
        <f ca="1">IF(R122&lt;m,0,ROUND(IF($R122&gt;nB,0,GPB*mB*mmB*유해지!CY122),roundB))</f>
        <v>0</v>
      </c>
      <c r="CY122" s="262">
        <f t="shared" ca="1" si="253"/>
        <v>0</v>
      </c>
      <c r="CZ122" s="259" t="e">
        <f t="shared" ca="1" si="254"/>
        <v>#DIV/0!</v>
      </c>
      <c r="DA122" s="31">
        <f t="shared" si="255"/>
        <v>5</v>
      </c>
    </row>
    <row r="123" spans="3:105">
      <c r="C123" s="33"/>
      <c r="D123" s="33"/>
      <c r="N123" s="5">
        <f t="shared" si="228"/>
        <v>111</v>
      </c>
      <c r="O123" s="2">
        <f t="shared" ca="1" si="231"/>
        <v>8.4600289383675656E-2</v>
      </c>
      <c r="P123" s="2">
        <f t="shared" ca="1" si="232"/>
        <v>8.3664301634694516E-2</v>
      </c>
      <c r="Q123" s="91"/>
      <c r="R123" s="20">
        <f t="shared" si="229"/>
        <v>111</v>
      </c>
      <c r="S123" s="20" t="str">
        <f t="shared" si="233"/>
        <v/>
      </c>
      <c r="T123" s="2">
        <f t="shared" ca="1" si="282"/>
        <v>0</v>
      </c>
      <c r="U123" s="2">
        <f t="shared" ca="1" si="282"/>
        <v>0</v>
      </c>
      <c r="V123" s="300">
        <f t="shared" si="234"/>
        <v>0.01</v>
      </c>
      <c r="W123" s="8">
        <f t="shared" si="235"/>
        <v>0</v>
      </c>
      <c r="X123" s="10">
        <f t="shared" ca="1" si="236"/>
        <v>1.0000000000000009E-2</v>
      </c>
      <c r="Y123" s="10">
        <f t="shared" ca="1" si="237"/>
        <v>0</v>
      </c>
      <c r="Z123" s="5">
        <f t="shared" ca="1" si="256"/>
        <v>0</v>
      </c>
      <c r="AA123" s="5">
        <f ca="1">+SUM(Z123:Z$124)</f>
        <v>0</v>
      </c>
      <c r="AB123" s="8">
        <f t="shared" ca="1" si="238"/>
        <v>0</v>
      </c>
      <c r="AC123" s="209">
        <f ca="1">+SUM(AB123:AB$124)*SSSM</f>
        <v>0</v>
      </c>
      <c r="AD123" s="209">
        <f t="shared" si="257"/>
        <v>0</v>
      </c>
      <c r="AE123" s="92">
        <f t="shared" ca="1" si="239"/>
        <v>0</v>
      </c>
      <c r="AF123" s="92">
        <f t="shared" ca="1" si="240"/>
        <v>0</v>
      </c>
      <c r="AG123" s="8">
        <f t="shared" ca="1" si="241"/>
        <v>0</v>
      </c>
      <c r="AH123" s="5">
        <f ca="1">+SUM(AG123:AG$124)</f>
        <v>0</v>
      </c>
      <c r="AI123" s="70">
        <f t="shared" ca="1" si="242"/>
        <v>0</v>
      </c>
      <c r="AJ123" s="208">
        <f ca="1">+SUM(AB123:AB$124)*SS50J</f>
        <v>0</v>
      </c>
      <c r="AK123" s="5">
        <f t="shared" ca="1" si="258"/>
        <v>18379.617134003372</v>
      </c>
      <c r="AL123" s="2">
        <f t="shared" ca="1" si="57"/>
        <v>0</v>
      </c>
      <c r="AM123" s="131">
        <f t="shared" ca="1" si="199"/>
        <v>1554.9209282978486</v>
      </c>
      <c r="AN123" s="129">
        <f t="shared" ca="1" si="259"/>
        <v>0</v>
      </c>
      <c r="AO123" s="129">
        <f ca="1">SUM(AN123:AN$124)*SSa</f>
        <v>0</v>
      </c>
      <c r="AP123" s="70">
        <f t="shared" ca="1" si="260"/>
        <v>18379.617134003372</v>
      </c>
      <c r="AQ123" s="2">
        <f t="shared" ca="1" si="58"/>
        <v>0</v>
      </c>
      <c r="AR123" s="127">
        <f t="shared" ca="1" si="261"/>
        <v>0</v>
      </c>
      <c r="AS123" s="127">
        <f ca="1">SUM(AR123:AR$124)*SSb</f>
        <v>0</v>
      </c>
      <c r="AT123" s="70">
        <f t="shared" ca="1" si="262"/>
        <v>18379.617134003372</v>
      </c>
      <c r="AU123" s="2">
        <f t="shared" ca="1" si="59"/>
        <v>0</v>
      </c>
      <c r="AV123" s="268">
        <f t="shared" ca="1" si="263"/>
        <v>0</v>
      </c>
      <c r="AW123" s="131">
        <f ca="1">SUM(AV123:AV$124)*SSc</f>
        <v>0</v>
      </c>
      <c r="AX123" s="70">
        <f t="shared" ca="1" si="264"/>
        <v>18379.617134003372</v>
      </c>
      <c r="AY123" s="2">
        <f t="shared" ca="1" si="60"/>
        <v>0</v>
      </c>
      <c r="AZ123" s="268">
        <f t="shared" ca="1" si="265"/>
        <v>0</v>
      </c>
      <c r="BA123" s="129">
        <f ca="1">SUM(AZ123:AZ$124)*SSd</f>
        <v>0</v>
      </c>
      <c r="BB123" s="70">
        <f t="shared" ca="1" si="266"/>
        <v>18379.617134003372</v>
      </c>
      <c r="BC123" s="257">
        <f t="shared" ca="1" si="61"/>
        <v>0</v>
      </c>
      <c r="BD123" s="268">
        <f t="shared" ca="1" si="267"/>
        <v>0</v>
      </c>
      <c r="BE123" s="131">
        <f ca="1">SUM(BD123:BD$124)*SSe</f>
        <v>0</v>
      </c>
      <c r="BF123" s="70">
        <f t="shared" ca="1" si="268"/>
        <v>18379.617134003372</v>
      </c>
      <c r="BG123" s="2">
        <f t="shared" ca="1" si="62"/>
        <v>0</v>
      </c>
      <c r="BH123" s="131">
        <f t="shared" ca="1" si="269"/>
        <v>0</v>
      </c>
      <c r="BI123" s="2">
        <f ca="1">SUM(BH123:BH$124)*SSf</f>
        <v>0</v>
      </c>
      <c r="BJ123" s="70">
        <f t="shared" ca="1" si="270"/>
        <v>18379.617134003372</v>
      </c>
      <c r="BK123" s="2">
        <f t="shared" ca="1" si="63"/>
        <v>0</v>
      </c>
      <c r="BL123" s="131">
        <f t="shared" ca="1" si="271"/>
        <v>0</v>
      </c>
      <c r="BM123" s="131">
        <f ca="1">SUM(BL123:BL$124)*SSg</f>
        <v>0</v>
      </c>
      <c r="BN123" s="70">
        <f t="shared" ca="1" si="272"/>
        <v>18379.617134003372</v>
      </c>
      <c r="BO123" s="2">
        <f t="shared" ca="1" si="64"/>
        <v>0</v>
      </c>
      <c r="BP123" s="131">
        <f t="shared" ca="1" si="273"/>
        <v>0</v>
      </c>
      <c r="BQ123" s="131">
        <f ca="1">SUM(BP123:BP$124)*SSh</f>
        <v>0</v>
      </c>
      <c r="BR123" s="70">
        <f t="shared" ca="1" si="274"/>
        <v>18379.617134003372</v>
      </c>
      <c r="BS123" s="2">
        <f t="shared" ca="1" si="243"/>
        <v>0</v>
      </c>
      <c r="BT123" s="131">
        <f t="shared" ca="1" si="275"/>
        <v>0</v>
      </c>
      <c r="BU123" s="131">
        <f ca="1">SUM(BT123:BT$124)*SSi</f>
        <v>0</v>
      </c>
      <c r="BV123" s="70">
        <f t="shared" ca="1" si="276"/>
        <v>18379.617134003372</v>
      </c>
      <c r="BW123" s="2">
        <f t="shared" ca="1" si="66"/>
        <v>0</v>
      </c>
      <c r="BX123" s="131">
        <f t="shared" ca="1" si="277"/>
        <v>0</v>
      </c>
      <c r="BY123" s="131">
        <f ca="1">SUM(BX123:BX$124)*SSj</f>
        <v>0</v>
      </c>
      <c r="BZ123" s="70">
        <f t="shared" ca="1" si="278"/>
        <v>18379.617134003372</v>
      </c>
      <c r="CA123" s="2">
        <f t="shared" ca="1" si="67"/>
        <v>0</v>
      </c>
      <c r="CB123" s="131">
        <f t="shared" ca="1" si="279"/>
        <v>0</v>
      </c>
      <c r="CC123" s="131">
        <f ca="1">SUM(CB123:CB$124)*SSk</f>
        <v>0</v>
      </c>
      <c r="CD123" s="8">
        <f t="shared" ca="1" si="280"/>
        <v>18379.617134003372</v>
      </c>
      <c r="CE123" s="2">
        <f t="shared" ca="1" si="68"/>
        <v>0</v>
      </c>
      <c r="CF123" s="131">
        <f t="shared" ca="1" si="281"/>
        <v>0</v>
      </c>
      <c r="CG123" s="131">
        <f ca="1">SUM(CF123:CF$124)*SSl</f>
        <v>0</v>
      </c>
      <c r="CH123" s="155">
        <f t="shared" si="223"/>
        <v>0.01</v>
      </c>
      <c r="CI123" s="155">
        <f t="shared" ca="1" si="224"/>
        <v>0</v>
      </c>
      <c r="CJ123" s="155">
        <f t="shared" ca="1" si="225"/>
        <v>0</v>
      </c>
      <c r="CK123" s="155">
        <f ca="1">유해지!CY123</f>
        <v>0</v>
      </c>
      <c r="CL123" s="529">
        <f t="shared" ca="1" si="244"/>
        <v>0</v>
      </c>
      <c r="CM123" s="155">
        <f t="shared" ca="1" si="226"/>
        <v>0</v>
      </c>
      <c r="CN123" s="155">
        <f ca="1">SUM(CM123:$CM$125)</f>
        <v>0</v>
      </c>
      <c r="CO123" s="101">
        <f t="shared" ca="1" si="227"/>
        <v>0</v>
      </c>
      <c r="CP123" s="154">
        <f t="shared" ca="1" si="245"/>
        <v>0</v>
      </c>
      <c r="CQ123" s="154">
        <f t="shared" ca="1" si="246"/>
        <v>0</v>
      </c>
      <c r="CR123" s="32">
        <f t="shared" ca="1" si="247"/>
        <v>0</v>
      </c>
      <c r="CS123" s="32">
        <f t="shared" ca="1" si="248"/>
        <v>0</v>
      </c>
      <c r="CT123" s="32">
        <f t="shared" ca="1" si="249"/>
        <v>0</v>
      </c>
      <c r="CU123" s="32">
        <f t="shared" ca="1" si="250"/>
        <v>0</v>
      </c>
      <c r="CV123" s="32">
        <f t="shared" si="251"/>
        <v>0</v>
      </c>
      <c r="CW123" s="32">
        <f t="shared" ca="1" si="252"/>
        <v>0</v>
      </c>
      <c r="CX123" s="259">
        <f ca="1">IF(R123&lt;m,0,ROUND(IF($R123&gt;nB,0,GPB*mB*mmB*유해지!CY123),roundB))</f>
        <v>0</v>
      </c>
      <c r="CY123" s="262">
        <f t="shared" ca="1" si="253"/>
        <v>0</v>
      </c>
      <c r="CZ123" s="259" t="e">
        <f t="shared" ca="1" si="254"/>
        <v>#DIV/0!</v>
      </c>
      <c r="DA123" s="31">
        <f t="shared" si="255"/>
        <v>5</v>
      </c>
    </row>
    <row r="124" spans="3:105">
      <c r="C124" s="33"/>
      <c r="D124" s="33"/>
      <c r="N124" s="6">
        <f t="shared" si="228"/>
        <v>112</v>
      </c>
      <c r="O124" s="3">
        <f t="shared" ca="1" si="231"/>
        <v>8.2738669323888181E-2</v>
      </c>
      <c r="P124" s="3">
        <f t="shared" ca="1" si="232"/>
        <v>8.1823277882341824E-2</v>
      </c>
      <c r="Q124" s="91"/>
      <c r="R124" s="20">
        <f t="shared" si="229"/>
        <v>112</v>
      </c>
      <c r="S124" s="20" t="str">
        <f t="shared" si="233"/>
        <v/>
      </c>
      <c r="T124" s="2">
        <f t="shared" ca="1" si="282"/>
        <v>0</v>
      </c>
      <c r="U124" s="2">
        <f t="shared" ca="1" si="282"/>
        <v>0</v>
      </c>
      <c r="V124" s="300">
        <f t="shared" si="234"/>
        <v>0.01</v>
      </c>
      <c r="W124" s="8">
        <f t="shared" si="235"/>
        <v>0</v>
      </c>
      <c r="X124" s="10">
        <f t="shared" ca="1" si="236"/>
        <v>1.0000000000000009E-2</v>
      </c>
      <c r="Y124" s="10">
        <f t="shared" ca="1" si="237"/>
        <v>0</v>
      </c>
      <c r="Z124" s="6">
        <f t="shared" ca="1" si="256"/>
        <v>0</v>
      </c>
      <c r="AA124" s="6">
        <f ca="1">+SUM(Z124:Z$124)</f>
        <v>0</v>
      </c>
      <c r="AB124" s="8">
        <f t="shared" ca="1" si="238"/>
        <v>0</v>
      </c>
      <c r="AC124" s="209">
        <f ca="1">+SUM(AB124:AB$124)*SSSM</f>
        <v>0</v>
      </c>
      <c r="AD124" s="209">
        <f t="shared" si="257"/>
        <v>0</v>
      </c>
      <c r="AE124" s="92">
        <f t="shared" ca="1" si="239"/>
        <v>0</v>
      </c>
      <c r="AF124" s="92">
        <f t="shared" ca="1" si="240"/>
        <v>0</v>
      </c>
      <c r="AG124" s="9">
        <f t="shared" ca="1" si="241"/>
        <v>0</v>
      </c>
      <c r="AH124" s="6">
        <f ca="1">+SUM(AG124:AG$124)</f>
        <v>0</v>
      </c>
      <c r="AI124" s="70">
        <f t="shared" ca="1" si="242"/>
        <v>0</v>
      </c>
      <c r="AJ124" s="208">
        <f ca="1">+SUM(AB124:AB$124)*SS50J</f>
        <v>0</v>
      </c>
      <c r="AK124" s="5">
        <f t="shared" ca="1" si="258"/>
        <v>18195.82096266334</v>
      </c>
      <c r="AL124" s="2">
        <f t="shared" ca="1" si="57"/>
        <v>0</v>
      </c>
      <c r="AM124" s="131">
        <f t="shared" ca="1" si="199"/>
        <v>1505.4980137064747</v>
      </c>
      <c r="AN124" s="129">
        <f t="shared" ca="1" si="259"/>
        <v>0</v>
      </c>
      <c r="AO124" s="129">
        <f ca="1">SUM(AN124:AN$124)*SSa</f>
        <v>0</v>
      </c>
      <c r="AP124" s="70">
        <f t="shared" ca="1" si="260"/>
        <v>18195.82096266334</v>
      </c>
      <c r="AQ124" s="2">
        <f t="shared" ca="1" si="58"/>
        <v>0</v>
      </c>
      <c r="AR124" s="127">
        <f t="shared" ca="1" si="261"/>
        <v>0</v>
      </c>
      <c r="AS124" s="127">
        <f ca="1">SUM(AR124:AR$124)*SSb</f>
        <v>0</v>
      </c>
      <c r="AT124" s="70">
        <f t="shared" ca="1" si="262"/>
        <v>18195.82096266334</v>
      </c>
      <c r="AU124" s="2">
        <f t="shared" ca="1" si="59"/>
        <v>0</v>
      </c>
      <c r="AV124" s="268">
        <f t="shared" ca="1" si="263"/>
        <v>0</v>
      </c>
      <c r="AW124" s="131">
        <f ca="1">SUM(AV124:AV$124)*SSc</f>
        <v>0</v>
      </c>
      <c r="AX124" s="70">
        <f t="shared" ca="1" si="264"/>
        <v>18195.82096266334</v>
      </c>
      <c r="AY124" s="2">
        <f t="shared" ca="1" si="60"/>
        <v>0</v>
      </c>
      <c r="AZ124" s="268">
        <f t="shared" ca="1" si="265"/>
        <v>0</v>
      </c>
      <c r="BA124" s="129">
        <f ca="1">SUM(AZ124:AZ$124)*SSd</f>
        <v>0</v>
      </c>
      <c r="BB124" s="70">
        <f t="shared" ca="1" si="266"/>
        <v>18195.82096266334</v>
      </c>
      <c r="BC124" s="257">
        <f t="shared" ca="1" si="61"/>
        <v>0</v>
      </c>
      <c r="BD124" s="268">
        <f t="shared" ca="1" si="267"/>
        <v>0</v>
      </c>
      <c r="BE124" s="131">
        <f ca="1">SUM(BD124:BD$124)*SSe</f>
        <v>0</v>
      </c>
      <c r="BF124" s="70">
        <f t="shared" ca="1" si="268"/>
        <v>18195.82096266334</v>
      </c>
      <c r="BG124" s="2">
        <f t="shared" ca="1" si="62"/>
        <v>0</v>
      </c>
      <c r="BH124" s="131">
        <f t="shared" ca="1" si="269"/>
        <v>0</v>
      </c>
      <c r="BI124" s="2">
        <f ca="1">SUM(BH124:BH$124)*SSf</f>
        <v>0</v>
      </c>
      <c r="BJ124" s="70">
        <f t="shared" ca="1" si="270"/>
        <v>18195.82096266334</v>
      </c>
      <c r="BK124" s="2">
        <f t="shared" ca="1" si="63"/>
        <v>0</v>
      </c>
      <c r="BL124" s="131">
        <f t="shared" ca="1" si="271"/>
        <v>0</v>
      </c>
      <c r="BM124" s="131">
        <f ca="1">SUM(BL124:BL$124)*SSg</f>
        <v>0</v>
      </c>
      <c r="BN124" s="70">
        <f t="shared" ca="1" si="272"/>
        <v>18195.82096266334</v>
      </c>
      <c r="BO124" s="2">
        <f t="shared" ca="1" si="64"/>
        <v>0</v>
      </c>
      <c r="BP124" s="131">
        <f t="shared" ca="1" si="273"/>
        <v>0</v>
      </c>
      <c r="BQ124" s="131">
        <f ca="1">SUM(BP124:BP$124)*SSh</f>
        <v>0</v>
      </c>
      <c r="BR124" s="70">
        <f t="shared" ca="1" si="274"/>
        <v>18195.82096266334</v>
      </c>
      <c r="BS124" s="2">
        <f t="shared" ca="1" si="243"/>
        <v>0</v>
      </c>
      <c r="BT124" s="131">
        <f t="shared" ca="1" si="275"/>
        <v>0</v>
      </c>
      <c r="BU124" s="131">
        <f ca="1">SUM(BT124:BT$124)*SSi</f>
        <v>0</v>
      </c>
      <c r="BV124" s="70">
        <f t="shared" ca="1" si="276"/>
        <v>18195.82096266334</v>
      </c>
      <c r="BW124" s="2">
        <f t="shared" ca="1" si="66"/>
        <v>0</v>
      </c>
      <c r="BX124" s="131">
        <f t="shared" ca="1" si="277"/>
        <v>0</v>
      </c>
      <c r="BY124" s="131">
        <f ca="1">SUM(BX124:BX$124)*SSj</f>
        <v>0</v>
      </c>
      <c r="BZ124" s="70">
        <f t="shared" ca="1" si="278"/>
        <v>18195.82096266334</v>
      </c>
      <c r="CA124" s="2">
        <f t="shared" ca="1" si="67"/>
        <v>0</v>
      </c>
      <c r="CB124" s="131">
        <f t="shared" ca="1" si="279"/>
        <v>0</v>
      </c>
      <c r="CC124" s="131">
        <f ca="1">SUM(CB124:CB$124)*SSk</f>
        <v>0</v>
      </c>
      <c r="CD124" s="8">
        <f t="shared" ca="1" si="280"/>
        <v>18195.82096266334</v>
      </c>
      <c r="CE124" s="2">
        <f t="shared" ca="1" si="68"/>
        <v>0</v>
      </c>
      <c r="CF124" s="131">
        <f t="shared" ca="1" si="281"/>
        <v>0</v>
      </c>
      <c r="CG124" s="131">
        <f ca="1">SUM(CF124:CF$124)*SSl</f>
        <v>0</v>
      </c>
      <c r="CH124" s="155">
        <f t="shared" si="223"/>
        <v>0.01</v>
      </c>
      <c r="CI124" s="155">
        <f t="shared" ca="1" si="224"/>
        <v>0</v>
      </c>
      <c r="CJ124" s="155">
        <f t="shared" ca="1" si="225"/>
        <v>0</v>
      </c>
      <c r="CK124" s="155">
        <f ca="1">유해지!CY124</f>
        <v>0</v>
      </c>
      <c r="CL124" s="529">
        <f t="shared" ca="1" si="244"/>
        <v>0</v>
      </c>
      <c r="CM124" s="155">
        <f t="shared" ca="1" si="226"/>
        <v>0</v>
      </c>
      <c r="CN124" s="155">
        <f ca="1">SUM(CM124:$CM$125)</f>
        <v>0</v>
      </c>
      <c r="CO124" s="101">
        <f t="shared" ca="1" si="227"/>
        <v>0</v>
      </c>
      <c r="CP124" s="154">
        <f t="shared" ca="1" si="245"/>
        <v>0</v>
      </c>
      <c r="CQ124" s="154">
        <f t="shared" ca="1" si="246"/>
        <v>0</v>
      </c>
      <c r="CR124" s="32">
        <f t="shared" ca="1" si="247"/>
        <v>0</v>
      </c>
      <c r="CS124" s="32">
        <f t="shared" ca="1" si="248"/>
        <v>0</v>
      </c>
      <c r="CT124" s="32">
        <f t="shared" ca="1" si="249"/>
        <v>0</v>
      </c>
      <c r="CU124" s="32">
        <f t="shared" ca="1" si="250"/>
        <v>0</v>
      </c>
      <c r="CV124" s="95">
        <f t="shared" si="251"/>
        <v>0</v>
      </c>
      <c r="CW124" s="32">
        <f t="shared" ca="1" si="252"/>
        <v>0</v>
      </c>
      <c r="CX124" s="259">
        <f ca="1">IF(R124&lt;m,0,ROUND(IF($R124&gt;nB,0,GPB*mB*mmB*유해지!CY124),roundB))</f>
        <v>0</v>
      </c>
      <c r="CY124" s="262">
        <f t="shared" ca="1" si="253"/>
        <v>0</v>
      </c>
      <c r="CZ124" s="259" t="e">
        <f t="shared" ca="1" si="254"/>
        <v>#DIV/0!</v>
      </c>
      <c r="DA124" s="31">
        <f t="shared" si="255"/>
        <v>5</v>
      </c>
    </row>
    <row r="125" spans="3:105">
      <c r="C125" s="33"/>
      <c r="D125" s="33"/>
      <c r="R125" s="88"/>
      <c r="V125" s="301"/>
      <c r="AM125" s="131">
        <f t="shared" si="199"/>
        <v>0</v>
      </c>
      <c r="CH125" s="155">
        <f t="shared" si="223"/>
        <v>0</v>
      </c>
      <c r="CI125" s="155">
        <f t="shared" si="224"/>
        <v>0</v>
      </c>
      <c r="CJ125" s="155">
        <f t="shared" si="225"/>
        <v>0</v>
      </c>
      <c r="CK125" s="155">
        <f>유해지!CY125</f>
        <v>0</v>
      </c>
      <c r="CL125" s="529">
        <f t="shared" si="244"/>
        <v>0</v>
      </c>
      <c r="CM125" s="155">
        <f t="shared" si="226"/>
        <v>0</v>
      </c>
      <c r="CN125" s="155">
        <f>SUM(CM125:$CM$125)</f>
        <v>0</v>
      </c>
      <c r="CQ125" s="154">
        <f t="shared" ca="1" si="246"/>
        <v>8359.7409108504035</v>
      </c>
    </row>
    <row r="126" spans="3:105">
      <c r="C126" s="33"/>
      <c r="D126" s="33"/>
    </row>
    <row r="127" spans="3:105">
      <c r="C127" s="33"/>
      <c r="D127" s="33"/>
    </row>
    <row r="128" spans="3:105">
      <c r="C128" s="33"/>
      <c r="D128" s="33"/>
    </row>
    <row r="129" spans="3:4">
      <c r="C129" s="33"/>
      <c r="D129" s="33"/>
    </row>
    <row r="130" spans="3:4">
      <c r="C130" s="33"/>
      <c r="D130" s="33"/>
    </row>
    <row r="131" spans="3:4">
      <c r="C131" s="33"/>
      <c r="D131" s="33"/>
    </row>
    <row r="132" spans="3:4">
      <c r="C132" s="33"/>
      <c r="D132" s="33"/>
    </row>
    <row r="133" spans="3:4">
      <c r="C133" s="33"/>
      <c r="D133" s="33"/>
    </row>
    <row r="134" spans="3:4">
      <c r="C134" s="33"/>
      <c r="D134" s="33"/>
    </row>
    <row r="135" spans="3:4">
      <c r="C135" s="33"/>
      <c r="D135" s="33"/>
    </row>
    <row r="136" spans="3:4">
      <c r="C136" s="33"/>
      <c r="D136" s="33"/>
    </row>
    <row r="137" spans="3:4">
      <c r="C137" s="33"/>
      <c r="D137" s="33"/>
    </row>
    <row r="138" spans="3:4">
      <c r="C138" s="33"/>
      <c r="D138" s="33"/>
    </row>
    <row r="139" spans="3:4">
      <c r="C139" s="33"/>
      <c r="D139" s="33"/>
    </row>
    <row r="140" spans="3:4">
      <c r="C140" s="33"/>
      <c r="D140" s="33"/>
    </row>
    <row r="141" spans="3:4">
      <c r="C141" s="33"/>
      <c r="D141" s="33"/>
    </row>
    <row r="142" spans="3:4">
      <c r="C142" s="33"/>
      <c r="D142" s="33"/>
    </row>
    <row r="143" spans="3:4">
      <c r="C143" s="33"/>
      <c r="D143" s="33"/>
    </row>
    <row r="144" spans="3:4">
      <c r="C144" s="33"/>
      <c r="D144" s="33"/>
    </row>
    <row r="145" spans="3:4">
      <c r="C145" s="33"/>
      <c r="D145" s="33"/>
    </row>
    <row r="146" spans="3:4">
      <c r="C146" s="33"/>
      <c r="D146" s="33"/>
    </row>
    <row r="147" spans="3:4">
      <c r="C147" s="33"/>
      <c r="D147" s="33"/>
    </row>
    <row r="148" spans="3:4">
      <c r="C148" s="33"/>
      <c r="D148" s="33"/>
    </row>
    <row r="149" spans="3:4">
      <c r="C149" s="33"/>
      <c r="D149" s="33"/>
    </row>
    <row r="150" spans="3:4">
      <c r="C150" s="33"/>
      <c r="D150" s="33"/>
    </row>
    <row r="151" spans="3:4">
      <c r="C151" s="33"/>
      <c r="D151" s="33"/>
    </row>
    <row r="152" spans="3:4">
      <c r="C152" s="33"/>
      <c r="D152" s="33"/>
    </row>
    <row r="153" spans="3:4">
      <c r="C153" s="33"/>
      <c r="D153" s="33"/>
    </row>
    <row r="154" spans="3:4">
      <c r="C154" s="33"/>
      <c r="D154" s="33"/>
    </row>
    <row r="155" spans="3:4">
      <c r="C155" s="33"/>
      <c r="D155" s="33"/>
    </row>
    <row r="156" spans="3:4">
      <c r="C156" s="33"/>
      <c r="D156" s="33"/>
    </row>
    <row r="157" spans="3:4">
      <c r="C157" s="33"/>
      <c r="D157" s="33"/>
    </row>
  </sheetData>
  <mergeCells count="22">
    <mergeCell ref="AK9:AO9"/>
    <mergeCell ref="AT9:AW9"/>
    <mergeCell ref="AX9:BA9"/>
    <mergeCell ref="BB9:BE9"/>
    <mergeCell ref="BF9:BI9"/>
    <mergeCell ref="AP9:AS9"/>
    <mergeCell ref="BJ9:BM9"/>
    <mergeCell ref="CX9:CZ9"/>
    <mergeCell ref="BZ9:CC9"/>
    <mergeCell ref="CD9:CG9"/>
    <mergeCell ref="B2:D2"/>
    <mergeCell ref="S9:S11"/>
    <mergeCell ref="T9:V9"/>
    <mergeCell ref="W9:AA9"/>
    <mergeCell ref="AD9:AH9"/>
    <mergeCell ref="N9:P9"/>
    <mergeCell ref="R9:R11"/>
    <mergeCell ref="AB9:AC9"/>
    <mergeCell ref="AI9:AJ9"/>
    <mergeCell ref="BN9:BQ9"/>
    <mergeCell ref="BR9:BU9"/>
    <mergeCell ref="BV9:BY9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B8BFC-3065-45F9-B40B-330CE128A872}">
  <sheetPr codeName="Sheet10">
    <tabColor rgb="FF7030A0"/>
  </sheetPr>
  <dimension ref="A1:DA157"/>
  <sheetViews>
    <sheetView topLeftCell="A9" workbookViewId="0">
      <selection activeCell="C34" sqref="C34"/>
    </sheetView>
  </sheetViews>
  <sheetFormatPr defaultColWidth="9" defaultRowHeight="17.399999999999999"/>
  <cols>
    <col min="1" max="1" width="9" style="13"/>
    <col min="2" max="2" width="17.59765625" style="13" customWidth="1"/>
    <col min="3" max="3" width="20.09765625" style="13" customWidth="1"/>
    <col min="4" max="4" width="17.69921875" style="13" bestFit="1" customWidth="1"/>
    <col min="5" max="5" width="13.69921875" style="13" customWidth="1"/>
    <col min="6" max="6" width="10" style="13" customWidth="1"/>
    <col min="7" max="7" width="15.09765625" style="13" customWidth="1"/>
    <col min="8" max="8" width="18.8984375" style="13" customWidth="1"/>
    <col min="9" max="9" width="17.69921875" style="13" customWidth="1"/>
    <col min="10" max="10" width="18.5" style="13" customWidth="1"/>
    <col min="11" max="11" width="16.8984375" style="13" customWidth="1"/>
    <col min="12" max="12" width="18.09765625" style="13" customWidth="1"/>
    <col min="13" max="13" width="15" style="13" customWidth="1"/>
    <col min="14" max="14" width="4.5" style="13" customWidth="1"/>
    <col min="15" max="15" width="9.09765625" style="13" customWidth="1"/>
    <col min="16" max="16" width="12.59765625" style="13" customWidth="1"/>
    <col min="17" max="17" width="9.09765625" style="13" customWidth="1"/>
    <col min="18" max="18" width="7.69921875" style="13" customWidth="1"/>
    <col min="19" max="19" width="9" style="13" customWidth="1"/>
    <col min="20" max="22" width="10" style="13" customWidth="1"/>
    <col min="23" max="23" width="12.8984375" style="13" customWidth="1"/>
    <col min="24" max="25" width="10" style="13" customWidth="1"/>
    <col min="26" max="26" width="12.3984375" style="13" customWidth="1"/>
    <col min="27" max="27" width="16.5" style="13" customWidth="1"/>
    <col min="28" max="28" width="12.8984375" style="13" customWidth="1"/>
    <col min="29" max="29" width="17.8984375" style="13" customWidth="1"/>
    <col min="30" max="30" width="12.3984375" style="13" customWidth="1"/>
    <col min="31" max="32" width="10" style="13" customWidth="1"/>
    <col min="33" max="33" width="14.8984375" style="16" customWidth="1"/>
    <col min="34" max="36" width="10" style="13" customWidth="1"/>
    <col min="37" max="37" width="13.19921875" style="13" customWidth="1"/>
    <col min="38" max="39" width="12.19921875" style="13" customWidth="1"/>
    <col min="40" max="40" width="12.09765625" style="128" customWidth="1"/>
    <col min="41" max="41" width="15.19921875" style="128" customWidth="1"/>
    <col min="42" max="42" width="10" style="13" customWidth="1"/>
    <col min="43" max="43" width="15.19921875" style="13" customWidth="1"/>
    <col min="44" max="45" width="14.8984375" style="126" customWidth="1"/>
    <col min="46" max="46" width="10" style="13" customWidth="1"/>
    <col min="47" max="47" width="11.09765625" style="13" customWidth="1"/>
    <col min="48" max="48" width="11.09765625" style="130" customWidth="1"/>
    <col min="49" max="49" width="15.09765625" style="130" customWidth="1"/>
    <col min="50" max="50" width="11.09765625" style="13" customWidth="1"/>
    <col min="51" max="51" width="12.59765625" style="13" customWidth="1"/>
    <col min="52" max="52" width="12.59765625" style="128" customWidth="1"/>
    <col min="53" max="53" width="15.5" style="128" customWidth="1"/>
    <col min="54" max="54" width="12.59765625" style="13" customWidth="1"/>
    <col min="55" max="55" width="12.09765625" style="13" customWidth="1"/>
    <col min="56" max="56" width="10" style="130" customWidth="1"/>
    <col min="57" max="57" width="14" style="130" customWidth="1"/>
    <col min="58" max="60" width="10" style="130" customWidth="1"/>
    <col min="61" max="61" width="11.8984375" style="130" customWidth="1"/>
    <col min="62" max="64" width="10" style="130" customWidth="1"/>
    <col min="65" max="65" width="13.19921875" style="130" customWidth="1"/>
    <col min="66" max="68" width="10" style="130" customWidth="1"/>
    <col min="69" max="69" width="14.09765625" style="130" customWidth="1"/>
    <col min="70" max="80" width="10" style="130" customWidth="1"/>
    <col min="81" max="81" width="13.69921875" style="130" customWidth="1"/>
    <col min="82" max="82" width="14" style="130" customWidth="1"/>
    <col min="83" max="84" width="10" style="130" customWidth="1"/>
    <col min="85" max="91" width="13.3984375" style="130" customWidth="1"/>
    <col min="92" max="92" width="10" style="130" customWidth="1"/>
    <col min="93" max="93" width="17.8984375" style="13" customWidth="1"/>
    <col min="94" max="95" width="16.8984375" style="13" customWidth="1"/>
    <col min="96" max="101" width="12.69921875" style="13" customWidth="1"/>
    <col min="102" max="103" width="15.09765625" style="13" customWidth="1"/>
    <col min="104" max="104" width="12.69921875" style="13" customWidth="1"/>
    <col min="105" max="16384" width="9" style="13"/>
  </cols>
  <sheetData>
    <row r="1" spans="2:105">
      <c r="S1" s="13">
        <v>1</v>
      </c>
      <c r="T1" s="13">
        <f t="shared" ref="T1:CE1" si="0">+S1+1</f>
        <v>2</v>
      </c>
      <c r="U1" s="13">
        <f t="shared" si="0"/>
        <v>3</v>
      </c>
      <c r="V1" s="13">
        <f t="shared" si="0"/>
        <v>4</v>
      </c>
      <c r="W1" s="13">
        <f t="shared" si="0"/>
        <v>5</v>
      </c>
      <c r="X1" s="13">
        <f t="shared" si="0"/>
        <v>6</v>
      </c>
      <c r="Y1" s="13">
        <f t="shared" si="0"/>
        <v>7</v>
      </c>
      <c r="Z1" s="13">
        <f t="shared" si="0"/>
        <v>8</v>
      </c>
      <c r="AA1" s="13">
        <f t="shared" si="0"/>
        <v>9</v>
      </c>
      <c r="AB1" s="13">
        <f t="shared" si="0"/>
        <v>10</v>
      </c>
      <c r="AC1" s="13">
        <f t="shared" si="0"/>
        <v>11</v>
      </c>
      <c r="AD1" s="13">
        <f t="shared" si="0"/>
        <v>12</v>
      </c>
      <c r="AE1" s="13">
        <f t="shared" si="0"/>
        <v>13</v>
      </c>
      <c r="AF1" s="13">
        <f t="shared" si="0"/>
        <v>14</v>
      </c>
      <c r="AG1" s="13">
        <f t="shared" si="0"/>
        <v>15</v>
      </c>
      <c r="AH1" s="13">
        <f t="shared" si="0"/>
        <v>16</v>
      </c>
      <c r="AI1" s="13">
        <f t="shared" si="0"/>
        <v>17</v>
      </c>
      <c r="AJ1" s="13">
        <f t="shared" si="0"/>
        <v>18</v>
      </c>
      <c r="AK1" s="13">
        <f t="shared" si="0"/>
        <v>19</v>
      </c>
      <c r="AL1" s="13">
        <f t="shared" si="0"/>
        <v>20</v>
      </c>
      <c r="AM1" s="13">
        <f t="shared" si="0"/>
        <v>21</v>
      </c>
      <c r="AN1" s="13">
        <f t="shared" si="0"/>
        <v>22</v>
      </c>
      <c r="AO1" s="13">
        <f t="shared" si="0"/>
        <v>23</v>
      </c>
      <c r="AP1" s="13">
        <f t="shared" si="0"/>
        <v>24</v>
      </c>
      <c r="AQ1" s="13">
        <f t="shared" si="0"/>
        <v>25</v>
      </c>
      <c r="AR1" s="13">
        <f t="shared" si="0"/>
        <v>26</v>
      </c>
      <c r="AS1" s="13">
        <f t="shared" si="0"/>
        <v>27</v>
      </c>
      <c r="AT1" s="13">
        <f t="shared" si="0"/>
        <v>28</v>
      </c>
      <c r="AU1" s="13">
        <f t="shared" si="0"/>
        <v>29</v>
      </c>
      <c r="AV1" s="13">
        <f t="shared" si="0"/>
        <v>30</v>
      </c>
      <c r="AW1" s="13">
        <f t="shared" si="0"/>
        <v>31</v>
      </c>
      <c r="AX1" s="13">
        <f t="shared" si="0"/>
        <v>32</v>
      </c>
      <c r="AY1" s="134">
        <f t="shared" si="0"/>
        <v>33</v>
      </c>
      <c r="AZ1" s="134">
        <f t="shared" si="0"/>
        <v>34</v>
      </c>
      <c r="BA1" s="134">
        <f t="shared" si="0"/>
        <v>35</v>
      </c>
      <c r="BB1" s="134">
        <f t="shared" si="0"/>
        <v>36</v>
      </c>
      <c r="BC1" s="134">
        <f t="shared" si="0"/>
        <v>37</v>
      </c>
      <c r="BD1" s="134">
        <f t="shared" si="0"/>
        <v>38</v>
      </c>
      <c r="BE1" s="134">
        <f t="shared" si="0"/>
        <v>39</v>
      </c>
      <c r="BF1" s="134">
        <f t="shared" si="0"/>
        <v>40</v>
      </c>
      <c r="BG1" s="134">
        <f t="shared" si="0"/>
        <v>41</v>
      </c>
      <c r="BH1" s="134">
        <f t="shared" si="0"/>
        <v>42</v>
      </c>
      <c r="BI1" s="134">
        <f t="shared" si="0"/>
        <v>43</v>
      </c>
      <c r="BJ1" s="134">
        <f t="shared" si="0"/>
        <v>44</v>
      </c>
      <c r="BK1" s="134">
        <f t="shared" si="0"/>
        <v>45</v>
      </c>
      <c r="BL1" s="134">
        <f t="shared" si="0"/>
        <v>46</v>
      </c>
      <c r="BM1" s="134">
        <f t="shared" si="0"/>
        <v>47</v>
      </c>
      <c r="BN1" s="134">
        <f t="shared" si="0"/>
        <v>48</v>
      </c>
      <c r="BO1" s="134">
        <f t="shared" si="0"/>
        <v>49</v>
      </c>
      <c r="BP1" s="134">
        <f t="shared" si="0"/>
        <v>50</v>
      </c>
      <c r="BQ1" s="134">
        <f t="shared" si="0"/>
        <v>51</v>
      </c>
      <c r="BR1" s="134">
        <f t="shared" si="0"/>
        <v>52</v>
      </c>
      <c r="BS1" s="134">
        <f t="shared" si="0"/>
        <v>53</v>
      </c>
      <c r="BT1" s="134">
        <f t="shared" si="0"/>
        <v>54</v>
      </c>
      <c r="BU1" s="134">
        <f t="shared" si="0"/>
        <v>55</v>
      </c>
      <c r="BV1" s="134">
        <f t="shared" si="0"/>
        <v>56</v>
      </c>
      <c r="BW1" s="134">
        <f t="shared" si="0"/>
        <v>57</v>
      </c>
      <c r="BX1" s="134">
        <f t="shared" si="0"/>
        <v>58</v>
      </c>
      <c r="BY1" s="134">
        <f t="shared" si="0"/>
        <v>59</v>
      </c>
      <c r="BZ1" s="134">
        <f t="shared" si="0"/>
        <v>60</v>
      </c>
      <c r="CA1" s="134">
        <f t="shared" si="0"/>
        <v>61</v>
      </c>
      <c r="CB1" s="134">
        <f t="shared" si="0"/>
        <v>62</v>
      </c>
      <c r="CC1" s="134">
        <f t="shared" si="0"/>
        <v>63</v>
      </c>
      <c r="CD1" s="134">
        <f t="shared" si="0"/>
        <v>64</v>
      </c>
      <c r="CE1" s="134">
        <f t="shared" si="0"/>
        <v>65</v>
      </c>
      <c r="CF1" s="134">
        <f t="shared" ref="CF1:CG1" si="1">+CE1+1</f>
        <v>66</v>
      </c>
      <c r="CG1" s="134">
        <f t="shared" si="1"/>
        <v>67</v>
      </c>
      <c r="CH1" s="134">
        <f t="shared" ref="CH1" si="2">+CG1+1</f>
        <v>68</v>
      </c>
      <c r="CI1" s="134">
        <f t="shared" ref="CI1" si="3">+CH1+1</f>
        <v>69</v>
      </c>
      <c r="CJ1" s="134">
        <f t="shared" ref="CJ1" si="4">+CI1+1</f>
        <v>70</v>
      </c>
      <c r="CK1" s="134">
        <f t="shared" ref="CK1" si="5">+CJ1+1</f>
        <v>71</v>
      </c>
      <c r="CL1" s="134">
        <f t="shared" ref="CL1" si="6">+CK1+1</f>
        <v>72</v>
      </c>
      <c r="CM1" s="134">
        <f t="shared" ref="CM1" si="7">+CL1+1</f>
        <v>73</v>
      </c>
      <c r="CN1" s="134">
        <f t="shared" ref="CN1" si="8">+CM1+1</f>
        <v>74</v>
      </c>
      <c r="CO1" s="134">
        <f t="shared" ref="CO1" si="9">+CN1+1</f>
        <v>75</v>
      </c>
      <c r="CP1" s="134">
        <f t="shared" ref="CP1" si="10">+CO1+1</f>
        <v>76</v>
      </c>
      <c r="CQ1" s="134">
        <f t="shared" ref="CQ1" si="11">+CP1+1</f>
        <v>77</v>
      </c>
      <c r="CR1" s="134">
        <f t="shared" ref="CR1" si="12">+CQ1+1</f>
        <v>78</v>
      </c>
      <c r="CS1" s="134">
        <f t="shared" ref="CS1" si="13">+CR1+1</f>
        <v>79</v>
      </c>
      <c r="CT1" s="134">
        <f t="shared" ref="CT1" si="14">+CS1+1</f>
        <v>80</v>
      </c>
      <c r="CU1" s="134">
        <f t="shared" ref="CU1" si="15">+CT1+1</f>
        <v>81</v>
      </c>
      <c r="CV1" s="134">
        <f t="shared" ref="CV1" si="16">+CU1+1</f>
        <v>82</v>
      </c>
      <c r="CW1" s="134">
        <f t="shared" ref="CW1" si="17">+CV1+1</f>
        <v>83</v>
      </c>
      <c r="CX1" s="134">
        <f t="shared" ref="CX1" si="18">+CW1+1</f>
        <v>84</v>
      </c>
      <c r="CY1" s="134">
        <f t="shared" ref="CY1" si="19">+CX1+1</f>
        <v>85</v>
      </c>
      <c r="CZ1" s="134">
        <f t="shared" ref="CZ1" si="20">+CY1+1</f>
        <v>86</v>
      </c>
      <c r="DA1" s="134">
        <f t="shared" ref="DA1" si="21">+CZ1+1</f>
        <v>87</v>
      </c>
    </row>
    <row r="2" spans="2:105" ht="21">
      <c r="B2" s="603" t="str">
        <f ca="1">MAIN!B2</f>
        <v>■ 상품 요율체크 : 남녀특정암진단특약(무배당, 무해지)</v>
      </c>
      <c r="C2" s="604"/>
      <c r="D2" s="605"/>
      <c r="AG2" s="13"/>
      <c r="BL2" s="153"/>
      <c r="BM2" s="153"/>
      <c r="BN2" s="153"/>
      <c r="BO2" s="153"/>
      <c r="BP2" s="153"/>
      <c r="CP2" s="17" t="s">
        <v>154</v>
      </c>
      <c r="CQ2" s="17"/>
    </row>
    <row r="3" spans="2:105">
      <c r="B3" s="17"/>
      <c r="W3" s="103" t="s">
        <v>155</v>
      </c>
      <c r="X3" s="82" t="s">
        <v>105</v>
      </c>
      <c r="Y3" s="77"/>
      <c r="AD3" s="103" t="s">
        <v>155</v>
      </c>
      <c r="AE3" s="85" t="s">
        <v>106</v>
      </c>
      <c r="AF3" s="87"/>
      <c r="AG3" s="27"/>
      <c r="AH3" s="27"/>
      <c r="AI3" s="27"/>
      <c r="AJ3" s="27"/>
      <c r="AK3" s="103" t="s">
        <v>155</v>
      </c>
      <c r="AL3" s="85" t="s">
        <v>107</v>
      </c>
      <c r="AM3" s="87"/>
      <c r="AN3" s="150"/>
      <c r="AO3" s="150"/>
      <c r="AP3" s="103" t="s">
        <v>155</v>
      </c>
      <c r="AQ3" s="85" t="s">
        <v>108</v>
      </c>
      <c r="AR3" s="151"/>
      <c r="AS3" s="151"/>
      <c r="AT3" s="103" t="s">
        <v>155</v>
      </c>
      <c r="AU3" s="85" t="s">
        <v>156</v>
      </c>
      <c r="AV3" s="153"/>
      <c r="AW3" s="153"/>
      <c r="AX3" s="103" t="s">
        <v>155</v>
      </c>
      <c r="AY3" s="85" t="s">
        <v>109</v>
      </c>
      <c r="BB3" s="103" t="s">
        <v>155</v>
      </c>
      <c r="BC3" s="85" t="s">
        <v>110</v>
      </c>
      <c r="BF3" s="103" t="s">
        <v>155</v>
      </c>
      <c r="BG3" s="85" t="s">
        <v>179</v>
      </c>
      <c r="BH3" s="128"/>
      <c r="BI3" s="128"/>
      <c r="BJ3" s="103" t="s">
        <v>155</v>
      </c>
      <c r="BK3" s="85" t="s">
        <v>180</v>
      </c>
      <c r="BL3" s="85" t="s">
        <v>527</v>
      </c>
      <c r="BM3" s="85" t="s">
        <v>528</v>
      </c>
      <c r="BN3" s="85" t="s">
        <v>529</v>
      </c>
      <c r="BO3" s="85" t="s">
        <v>530</v>
      </c>
      <c r="BP3" s="85" t="s">
        <v>531</v>
      </c>
    </row>
    <row r="4" spans="2:105" ht="19.2">
      <c r="B4" s="13" t="s">
        <v>79</v>
      </c>
      <c r="G4" s="13" t="s">
        <v>75</v>
      </c>
      <c r="N4" s="102" t="s">
        <v>118</v>
      </c>
      <c r="R4" s="102" t="s">
        <v>8</v>
      </c>
      <c r="W4" s="85" t="s">
        <v>112</v>
      </c>
      <c r="X4" s="85">
        <f ca="1">YTSM</f>
        <v>0</v>
      </c>
      <c r="Y4" s="87"/>
      <c r="AA4" s="213"/>
      <c r="AD4" s="85" t="s">
        <v>112</v>
      </c>
      <c r="AE4" s="85">
        <f ca="1">YT50J</f>
        <v>0</v>
      </c>
      <c r="AF4" s="87"/>
      <c r="AG4" s="13"/>
      <c r="AK4" s="85" t="s">
        <v>112</v>
      </c>
      <c r="AL4" s="85">
        <f ca="1">YTa</f>
        <v>1</v>
      </c>
      <c r="AM4" s="87"/>
      <c r="AP4" s="85" t="s">
        <v>112</v>
      </c>
      <c r="AQ4" s="85">
        <f ca="1">YTb</f>
        <v>0</v>
      </c>
      <c r="AT4" s="85" t="s">
        <v>112</v>
      </c>
      <c r="AU4" s="85">
        <f ca="1">YTc</f>
        <v>0</v>
      </c>
      <c r="AX4" s="85" t="s">
        <v>112</v>
      </c>
      <c r="AY4" s="85">
        <f ca="1">YTd</f>
        <v>0</v>
      </c>
      <c r="BB4" s="85" t="s">
        <v>112</v>
      </c>
      <c r="BC4" s="85">
        <f ca="1">YTe</f>
        <v>0</v>
      </c>
      <c r="BF4" s="85" t="s">
        <v>112</v>
      </c>
      <c r="BG4" s="85">
        <f ca="1">YTf</f>
        <v>0</v>
      </c>
      <c r="BH4" s="128"/>
      <c r="BI4" s="128"/>
      <c r="BJ4" s="85" t="s">
        <v>112</v>
      </c>
      <c r="BK4" s="85">
        <f ca="1">YTg</f>
        <v>0</v>
      </c>
      <c r="BL4" s="85" cm="1">
        <f t="array" aca="1" ref="BL4" ca="1">YTh</f>
        <v>0</v>
      </c>
      <c r="BM4" s="85">
        <f ca="1">YTi</f>
        <v>0</v>
      </c>
      <c r="BN4" s="85">
        <f ca="1">YTj</f>
        <v>0</v>
      </c>
      <c r="BO4" s="85">
        <f ca="1">YTk</f>
        <v>0</v>
      </c>
      <c r="BP4" s="85">
        <f ca="1">YTl</f>
        <v>0</v>
      </c>
    </row>
    <row r="5" spans="2:105">
      <c r="W5" s="85" t="s">
        <v>113</v>
      </c>
      <c r="X5" s="85">
        <f ca="1">NTSM</f>
        <v>0</v>
      </c>
      <c r="Y5" s="87"/>
      <c r="AA5" s="213"/>
      <c r="AD5" s="85" t="s">
        <v>113</v>
      </c>
      <c r="AE5" s="85">
        <f ca="1">NT50J</f>
        <v>1</v>
      </c>
      <c r="AF5" s="87"/>
      <c r="AG5" s="13"/>
      <c r="AK5" s="85" t="s">
        <v>113</v>
      </c>
      <c r="AL5" s="85">
        <f ca="1">NTa</f>
        <v>0</v>
      </c>
      <c r="AM5" s="87"/>
      <c r="AP5" s="85" t="s">
        <v>113</v>
      </c>
      <c r="AQ5" s="85">
        <f ca="1">NTb</f>
        <v>0</v>
      </c>
      <c r="AT5" s="85" t="s">
        <v>113</v>
      </c>
      <c r="AU5" s="85">
        <f ca="1">NTc</f>
        <v>0</v>
      </c>
      <c r="AX5" s="85" t="s">
        <v>113</v>
      </c>
      <c r="AY5" s="85">
        <f ca="1">NTd</f>
        <v>0</v>
      </c>
      <c r="BB5" s="85" t="s">
        <v>113</v>
      </c>
      <c r="BC5" s="85">
        <f ca="1">NTe</f>
        <v>0</v>
      </c>
      <c r="BF5" s="85" t="s">
        <v>113</v>
      </c>
      <c r="BG5" s="85">
        <f ca="1">NTf</f>
        <v>0</v>
      </c>
      <c r="BH5" s="128"/>
      <c r="BI5" s="128"/>
      <c r="BJ5" s="85" t="s">
        <v>113</v>
      </c>
      <c r="BK5" s="85">
        <f ca="1">NTg</f>
        <v>0</v>
      </c>
      <c r="BL5" s="85">
        <f ca="1">NTh</f>
        <v>0</v>
      </c>
      <c r="BM5" s="85">
        <f ca="1">NTi</f>
        <v>0</v>
      </c>
      <c r="BN5" s="85">
        <f ca="1">NTj</f>
        <v>0</v>
      </c>
      <c r="BO5" s="85">
        <f ca="1">NTk</f>
        <v>0</v>
      </c>
      <c r="BP5" s="85">
        <f ca="1">NTl</f>
        <v>0</v>
      </c>
    </row>
    <row r="6" spans="2:105">
      <c r="B6" s="106" t="s">
        <v>212</v>
      </c>
      <c r="C6" s="118">
        <v>1</v>
      </c>
      <c r="D6" s="44" t="str">
        <f>CHOOSE(JRB,"무해지","유해지")</f>
        <v>무해지</v>
      </c>
      <c r="E6" s="44"/>
      <c r="G6" s="13" t="s">
        <v>77</v>
      </c>
      <c r="W6" s="82" t="s">
        <v>117</v>
      </c>
      <c r="X6" s="89" t="s">
        <v>119</v>
      </c>
      <c r="AA6" s="213"/>
      <c r="AD6" s="85" t="s">
        <v>117</v>
      </c>
      <c r="AE6" s="89">
        <f ca="1">BT50J</f>
        <v>0</v>
      </c>
      <c r="AF6" s="87"/>
      <c r="AG6" s="13"/>
      <c r="AK6" s="85" t="s">
        <v>117</v>
      </c>
      <c r="AL6" s="85">
        <f ca="1">BTa</f>
        <v>0</v>
      </c>
      <c r="AM6" s="87"/>
      <c r="AP6" s="85" t="s">
        <v>117</v>
      </c>
      <c r="AQ6" s="85">
        <f ca="1">BTb</f>
        <v>0</v>
      </c>
      <c r="AT6" s="85" t="s">
        <v>117</v>
      </c>
      <c r="AU6" s="85">
        <f ca="1">BTc</f>
        <v>0</v>
      </c>
      <c r="AX6" s="85" t="s">
        <v>117</v>
      </c>
      <c r="AY6" s="85">
        <f ca="1">BTd</f>
        <v>0</v>
      </c>
      <c r="BB6" s="85" t="s">
        <v>117</v>
      </c>
      <c r="BC6" s="85">
        <f ca="1">BTe</f>
        <v>0</v>
      </c>
      <c r="BF6" s="85" t="s">
        <v>117</v>
      </c>
      <c r="BG6" s="85">
        <f ca="1">BTf</f>
        <v>0</v>
      </c>
      <c r="BH6" s="128"/>
      <c r="BI6" s="128"/>
      <c r="BJ6" s="85" t="s">
        <v>117</v>
      </c>
      <c r="BK6" s="85">
        <f ca="1">BTg</f>
        <v>0</v>
      </c>
      <c r="BL6" s="85">
        <f ca="1">BTh</f>
        <v>0</v>
      </c>
      <c r="BM6" s="85">
        <f ca="1">BTi</f>
        <v>0</v>
      </c>
      <c r="BN6" s="85">
        <f ca="1">BTj</f>
        <v>0</v>
      </c>
      <c r="BO6" s="85">
        <f ca="1">BTk</f>
        <v>0</v>
      </c>
      <c r="BP6" s="85">
        <f ca="1">BTl</f>
        <v>0</v>
      </c>
      <c r="CH6" s="130" t="s">
        <v>1023</v>
      </c>
      <c r="CI6" s="130">
        <f ca="1">INPUT!E21</f>
        <v>1</v>
      </c>
    </row>
    <row r="7" spans="2:105">
      <c r="B7" s="106" t="str">
        <f>MAIN!B9</f>
        <v>형태</v>
      </c>
      <c r="C7" s="118">
        <f>MAIN!C9</f>
        <v>2</v>
      </c>
      <c r="D7" s="44" t="str">
        <f>CHOOSE(YHB,"만기환급형","순수형")</f>
        <v>순수형</v>
      </c>
      <c r="E7" s="44"/>
      <c r="F7" s="19"/>
      <c r="G7" s="122" t="s">
        <v>82</v>
      </c>
      <c r="H7" s="67">
        <v>0</v>
      </c>
      <c r="I7" s="67" t="s">
        <v>88</v>
      </c>
      <c r="J7" s="67" t="s">
        <v>12</v>
      </c>
      <c r="K7" s="19"/>
      <c r="W7" s="85" t="s">
        <v>111</v>
      </c>
      <c r="X7" s="85">
        <f ca="1">SSSM</f>
        <v>0</v>
      </c>
      <c r="Y7" s="87"/>
      <c r="AA7" s="213"/>
      <c r="AD7" s="85" t="s">
        <v>111</v>
      </c>
      <c r="AE7" s="85">
        <f ca="1">SS50J</f>
        <v>0</v>
      </c>
      <c r="AF7" s="87"/>
      <c r="AG7" s="13"/>
      <c r="AK7" s="85" t="s">
        <v>111</v>
      </c>
      <c r="AL7" s="85">
        <f ca="1">SSa</f>
        <v>1</v>
      </c>
      <c r="AM7" s="87"/>
      <c r="AP7" s="85" t="s">
        <v>111</v>
      </c>
      <c r="AQ7" s="85">
        <f ca="1">SSb</f>
        <v>0</v>
      </c>
      <c r="AT7" s="85" t="s">
        <v>111</v>
      </c>
      <c r="AU7" s="85">
        <f ca="1">SSc</f>
        <v>0</v>
      </c>
      <c r="AX7" s="85" t="s">
        <v>111</v>
      </c>
      <c r="AY7" s="258">
        <f ca="1">SSd</f>
        <v>0</v>
      </c>
      <c r="BB7" s="85" t="s">
        <v>111</v>
      </c>
      <c r="BC7" s="258">
        <f ca="1">SSe</f>
        <v>0</v>
      </c>
      <c r="BF7" s="85" t="s">
        <v>111</v>
      </c>
      <c r="BG7" s="258">
        <f ca="1">SSf</f>
        <v>0</v>
      </c>
      <c r="BH7" s="128"/>
      <c r="BI7" s="128"/>
      <c r="BJ7" s="85" t="s">
        <v>111</v>
      </c>
      <c r="BK7" s="258">
        <f ca="1">SSg</f>
        <v>0</v>
      </c>
      <c r="BL7" s="243" cm="1">
        <f t="array" aca="1" ref="BL7" ca="1">SSh</f>
        <v>0</v>
      </c>
      <c r="BM7" s="243">
        <f ca="1">SSi</f>
        <v>0</v>
      </c>
      <c r="BN7" s="243">
        <f ca="1">SSj</f>
        <v>0</v>
      </c>
      <c r="BO7" s="243">
        <f ca="1">SSk</f>
        <v>0</v>
      </c>
      <c r="BP7" s="243">
        <f ca="1">SSl</f>
        <v>0</v>
      </c>
    </row>
    <row r="8" spans="2:105">
      <c r="B8" s="106" t="s">
        <v>0</v>
      </c>
      <c r="C8" s="118">
        <f>sex</f>
        <v>1</v>
      </c>
      <c r="D8" s="44" t="str">
        <f>+IF(sexB=1,"남자","여자")</f>
        <v>남자</v>
      </c>
      <c r="E8" s="44"/>
      <c r="F8" s="16"/>
      <c r="G8" s="122" t="s">
        <v>17</v>
      </c>
      <c r="H8" s="22">
        <f ca="1">HLOOKUP($G8,기수표B,2,FALSE)</f>
        <v>100000</v>
      </c>
      <c r="I8" s="125">
        <f ca="1">HLOOKUP($G8,기수표B,mB+2,FALSE)</f>
        <v>31976.931069241684</v>
      </c>
      <c r="J8" s="125">
        <f ca="1">HLOOKUP($G8,기수표B,nB+2,FALSE)</f>
        <v>23240.979794346586</v>
      </c>
      <c r="K8" s="16"/>
      <c r="AG8" s="13"/>
      <c r="CR8" s="13" t="s">
        <v>1012</v>
      </c>
      <c r="CT8" s="13" t="s">
        <v>1011</v>
      </c>
    </row>
    <row r="9" spans="2:105">
      <c r="B9" s="106" t="s">
        <v>1</v>
      </c>
      <c r="C9" s="250">
        <f>MAIN!C11</f>
        <v>8</v>
      </c>
      <c r="D9" s="44"/>
      <c r="E9" s="44"/>
      <c r="F9" s="16"/>
      <c r="G9" s="122" t="s">
        <v>18</v>
      </c>
      <c r="H9" s="22">
        <f ca="1">HLOOKUP($G9,기수표B,2,FALSE)</f>
        <v>1121525.5020498768</v>
      </c>
      <c r="I9" s="125">
        <f ca="1">HLOOKUP($G9,기수표B,mB+2,FALSE)</f>
        <v>79767.416865990308</v>
      </c>
      <c r="J9" s="125">
        <f ca="1">HLOOKUP($G9,기수표B,nB+2,FALSE)</f>
        <v>23240.979794346586</v>
      </c>
      <c r="K9" s="16"/>
      <c r="N9" s="606" t="s">
        <v>15</v>
      </c>
      <c r="O9" s="607"/>
      <c r="P9" s="608"/>
      <c r="Q9" s="97"/>
      <c r="R9" s="609" t="s">
        <v>152</v>
      </c>
      <c r="S9" s="609" t="s">
        <v>7</v>
      </c>
      <c r="T9" s="619" t="s">
        <v>47</v>
      </c>
      <c r="U9" s="620"/>
      <c r="V9" s="621"/>
      <c r="W9" s="618" t="s">
        <v>48</v>
      </c>
      <c r="X9" s="618"/>
      <c r="Y9" s="618"/>
      <c r="Z9" s="618"/>
      <c r="AA9" s="618"/>
      <c r="AB9" s="612" t="s">
        <v>198</v>
      </c>
      <c r="AC9" s="614"/>
      <c r="AD9" s="618" t="s">
        <v>49</v>
      </c>
      <c r="AE9" s="618"/>
      <c r="AF9" s="618"/>
      <c r="AG9" s="618"/>
      <c r="AH9" s="618"/>
      <c r="AI9" s="612" t="s">
        <v>199</v>
      </c>
      <c r="AJ9" s="614"/>
      <c r="AK9" s="612" t="s">
        <v>147</v>
      </c>
      <c r="AL9" s="613"/>
      <c r="AM9" s="613"/>
      <c r="AN9" s="613"/>
      <c r="AO9" s="614"/>
      <c r="AP9" s="612" t="s">
        <v>148</v>
      </c>
      <c r="AQ9" s="613"/>
      <c r="AR9" s="613"/>
      <c r="AS9" s="614"/>
      <c r="AT9" s="612" t="s">
        <v>149</v>
      </c>
      <c r="AU9" s="613"/>
      <c r="AV9" s="613"/>
      <c r="AW9" s="614"/>
      <c r="AX9" s="612" t="s">
        <v>150</v>
      </c>
      <c r="AY9" s="613"/>
      <c r="AZ9" s="613"/>
      <c r="BA9" s="614"/>
      <c r="BB9" s="612" t="s">
        <v>151</v>
      </c>
      <c r="BC9" s="613"/>
      <c r="BD9" s="613"/>
      <c r="BE9" s="614"/>
      <c r="BF9" s="612" t="s">
        <v>177</v>
      </c>
      <c r="BG9" s="613"/>
      <c r="BH9" s="613"/>
      <c r="BI9" s="614"/>
      <c r="BJ9" s="612" t="s">
        <v>178</v>
      </c>
      <c r="BK9" s="613"/>
      <c r="BL9" s="613"/>
      <c r="BM9" s="614"/>
      <c r="BN9" s="612" t="s">
        <v>499</v>
      </c>
      <c r="BO9" s="613"/>
      <c r="BP9" s="613"/>
      <c r="BQ9" s="614"/>
      <c r="BR9" s="612" t="s">
        <v>500</v>
      </c>
      <c r="BS9" s="613"/>
      <c r="BT9" s="613"/>
      <c r="BU9" s="614"/>
      <c r="BV9" s="612" t="s">
        <v>501</v>
      </c>
      <c r="BW9" s="613"/>
      <c r="BX9" s="613"/>
      <c r="BY9" s="614"/>
      <c r="BZ9" s="612" t="s">
        <v>502</v>
      </c>
      <c r="CA9" s="613"/>
      <c r="CB9" s="613"/>
      <c r="CC9" s="614"/>
      <c r="CD9" s="612" t="s">
        <v>503</v>
      </c>
      <c r="CE9" s="613"/>
      <c r="CF9" s="613"/>
      <c r="CG9" s="614"/>
      <c r="CH9" s="100" t="s">
        <v>1025</v>
      </c>
      <c r="CI9" s="100" t="s">
        <v>1026</v>
      </c>
      <c r="CJ9" s="100" t="s">
        <v>1027</v>
      </c>
      <c r="CK9" s="479" t="s">
        <v>1028</v>
      </c>
      <c r="CL9" s="100"/>
      <c r="CM9" s="100"/>
      <c r="CN9" s="100"/>
      <c r="CO9" s="90" t="s">
        <v>89</v>
      </c>
      <c r="CP9" s="295"/>
      <c r="CQ9" s="480"/>
      <c r="CR9" s="93" t="s">
        <v>1010</v>
      </c>
      <c r="CS9" s="93"/>
      <c r="CT9" s="93" t="s">
        <v>1010</v>
      </c>
      <c r="CU9" s="93"/>
      <c r="CV9" s="93"/>
      <c r="CW9" s="298"/>
      <c r="CX9" s="615" t="s">
        <v>540</v>
      </c>
      <c r="CY9" s="616"/>
      <c r="CZ9" s="617"/>
      <c r="DA9" s="263"/>
    </row>
    <row r="10" spans="2:105">
      <c r="B10" s="106" t="s">
        <v>2</v>
      </c>
      <c r="C10" s="250">
        <f>MAIN!C12</f>
        <v>30</v>
      </c>
      <c r="D10" s="120" t="str">
        <f>MAIN!D12</f>
        <v>세만기</v>
      </c>
      <c r="E10" s="44"/>
      <c r="F10" s="16"/>
      <c r="G10" s="122" t="s">
        <v>51</v>
      </c>
      <c r="H10" s="22">
        <f ca="1">HLOOKUP($G10,기수표B,2,FALSE)</f>
        <v>100000</v>
      </c>
      <c r="I10" s="125">
        <f ca="1">HLOOKUP($G10,기수표B,mB+2,FALSE)</f>
        <v>31955.800890791295</v>
      </c>
      <c r="J10" s="125">
        <f ca="1">HLOOKUP($G10,기수표B,nB+2,FALSE)</f>
        <v>23223.137208866436</v>
      </c>
      <c r="K10" s="16"/>
      <c r="N10" s="35" t="s">
        <v>12</v>
      </c>
      <c r="O10" s="35" t="s">
        <v>13</v>
      </c>
      <c r="P10" s="35" t="s">
        <v>14</v>
      </c>
      <c r="Q10" s="97"/>
      <c r="R10" s="610"/>
      <c r="S10" s="610"/>
      <c r="T10" s="99" t="s">
        <v>58</v>
      </c>
      <c r="U10" s="35" t="s">
        <v>126</v>
      </c>
      <c r="V10" s="36" t="s">
        <v>10</v>
      </c>
      <c r="W10" s="99" t="s">
        <v>11</v>
      </c>
      <c r="X10" s="99" t="s">
        <v>53</v>
      </c>
      <c r="Y10" s="99" t="s">
        <v>184</v>
      </c>
      <c r="Z10" s="35" t="s">
        <v>17</v>
      </c>
      <c r="AA10" s="35" t="s">
        <v>18</v>
      </c>
      <c r="AB10" s="35" t="s">
        <v>61</v>
      </c>
      <c r="AC10" s="35" t="s">
        <v>54</v>
      </c>
      <c r="AD10" s="99" t="s">
        <v>50</v>
      </c>
      <c r="AE10" s="99" t="s">
        <v>124</v>
      </c>
      <c r="AF10" s="99" t="s">
        <v>185</v>
      </c>
      <c r="AG10" s="35" t="s">
        <v>51</v>
      </c>
      <c r="AH10" s="35" t="s">
        <v>52</v>
      </c>
      <c r="AI10" s="35"/>
      <c r="AJ10" s="35"/>
      <c r="AK10" s="35" t="s">
        <v>127</v>
      </c>
      <c r="AL10" s="35" t="s">
        <v>128</v>
      </c>
      <c r="AM10" s="35" t="s">
        <v>544</v>
      </c>
      <c r="AN10" s="136" t="s">
        <v>129</v>
      </c>
      <c r="AO10" s="136" t="s">
        <v>130</v>
      </c>
      <c r="AP10" s="35" t="s">
        <v>131</v>
      </c>
      <c r="AQ10" s="35" t="s">
        <v>132</v>
      </c>
      <c r="AR10" s="152" t="s">
        <v>133</v>
      </c>
      <c r="AS10" s="152" t="s">
        <v>134</v>
      </c>
      <c r="AT10" s="35" t="s">
        <v>135</v>
      </c>
      <c r="AU10" s="35" t="s">
        <v>136</v>
      </c>
      <c r="AV10" s="135" t="s">
        <v>137</v>
      </c>
      <c r="AW10" s="135" t="s">
        <v>138</v>
      </c>
      <c r="AX10" s="35" t="s">
        <v>139</v>
      </c>
      <c r="AY10" s="35" t="s">
        <v>140</v>
      </c>
      <c r="AZ10" s="136" t="s">
        <v>141</v>
      </c>
      <c r="BA10" s="136" t="s">
        <v>142</v>
      </c>
      <c r="BB10" s="35" t="s">
        <v>143</v>
      </c>
      <c r="BC10" s="35" t="s">
        <v>144</v>
      </c>
      <c r="BD10" s="135" t="s">
        <v>145</v>
      </c>
      <c r="BE10" s="135" t="s">
        <v>146</v>
      </c>
      <c r="BF10" s="35" t="s">
        <v>169</v>
      </c>
      <c r="BG10" s="35" t="s">
        <v>170</v>
      </c>
      <c r="BH10" s="135" t="s">
        <v>171</v>
      </c>
      <c r="BI10" s="135" t="s">
        <v>172</v>
      </c>
      <c r="BJ10" s="35" t="s">
        <v>173</v>
      </c>
      <c r="BK10" s="35" t="s">
        <v>174</v>
      </c>
      <c r="BL10" s="135" t="s">
        <v>175</v>
      </c>
      <c r="BM10" s="135" t="s">
        <v>176</v>
      </c>
      <c r="BN10" s="35" t="s">
        <v>504</v>
      </c>
      <c r="BO10" s="35" t="s">
        <v>505</v>
      </c>
      <c r="BP10" s="135" t="s">
        <v>506</v>
      </c>
      <c r="BQ10" s="135" t="s">
        <v>507</v>
      </c>
      <c r="BR10" s="35" t="s">
        <v>508</v>
      </c>
      <c r="BS10" s="35" t="s">
        <v>509</v>
      </c>
      <c r="BT10" s="135" t="s">
        <v>510</v>
      </c>
      <c r="BU10" s="135" t="s">
        <v>511</v>
      </c>
      <c r="BV10" s="35" t="s">
        <v>512</v>
      </c>
      <c r="BW10" s="35" t="s">
        <v>513</v>
      </c>
      <c r="BX10" s="135" t="s">
        <v>514</v>
      </c>
      <c r="BY10" s="135" t="s">
        <v>515</v>
      </c>
      <c r="BZ10" s="35" t="s">
        <v>516</v>
      </c>
      <c r="CA10" s="35" t="s">
        <v>517</v>
      </c>
      <c r="CB10" s="135" t="s">
        <v>518</v>
      </c>
      <c r="CC10" s="135" t="s">
        <v>519</v>
      </c>
      <c r="CD10" s="35" t="s">
        <v>520</v>
      </c>
      <c r="CE10" s="35" t="s">
        <v>521</v>
      </c>
      <c r="CF10" s="135" t="s">
        <v>522</v>
      </c>
      <c r="CG10" s="135" t="s">
        <v>523</v>
      </c>
      <c r="CH10" s="135"/>
      <c r="CI10" s="135"/>
      <c r="CJ10" s="135"/>
      <c r="CK10" s="135"/>
      <c r="CL10" s="135"/>
      <c r="CM10" s="135"/>
      <c r="CN10" s="135"/>
      <c r="CO10" s="94"/>
      <c r="CP10" s="295" t="s">
        <v>25</v>
      </c>
      <c r="CQ10" s="295"/>
      <c r="CR10" s="93" t="s">
        <v>26</v>
      </c>
      <c r="CS10" s="93" t="s">
        <v>535</v>
      </c>
      <c r="CT10" s="93" t="s">
        <v>538</v>
      </c>
      <c r="CU10" s="93" t="s">
        <v>539</v>
      </c>
      <c r="CV10" s="93" t="s">
        <v>27</v>
      </c>
      <c r="CW10" s="93" t="s">
        <v>543</v>
      </c>
      <c r="CX10" s="263" t="s">
        <v>23</v>
      </c>
      <c r="CY10" s="263" t="s">
        <v>24</v>
      </c>
      <c r="CZ10" s="263" t="s">
        <v>40</v>
      </c>
      <c r="DA10" s="263" t="s">
        <v>153</v>
      </c>
    </row>
    <row r="11" spans="2:105">
      <c r="B11" s="106" t="s">
        <v>232</v>
      </c>
      <c r="C11" s="250">
        <f>+IF(D10="년만기",C10,C10-xB)</f>
        <v>22</v>
      </c>
      <c r="D11" s="44" t="s">
        <v>234</v>
      </c>
      <c r="E11" s="119"/>
      <c r="F11" s="15"/>
      <c r="G11" s="122" t="s">
        <v>52</v>
      </c>
      <c r="H11" s="22">
        <f ca="1">HLOOKUP($G11,기수표B,2,FALSE)</f>
        <v>1121275.9531292694</v>
      </c>
      <c r="I11" s="125">
        <f ca="1">HLOOKUP($G11,기수표B,mB+2,FALSE)</f>
        <v>79710.92166079882</v>
      </c>
      <c r="J11" s="125">
        <f ca="1">HLOOKUP($G11,기수표B,nB+2,FALSE)</f>
        <v>23223.137208866436</v>
      </c>
      <c r="K11" s="15"/>
      <c r="N11" s="62"/>
      <c r="O11" s="62"/>
      <c r="P11" s="62"/>
      <c r="Q11" s="97"/>
      <c r="R11" s="611"/>
      <c r="S11" s="611"/>
      <c r="T11" s="99">
        <f ca="1">QQSM</f>
        <v>0</v>
      </c>
      <c r="U11" s="35" t="str">
        <f ca="1">QQ50J</f>
        <v>qx_ad50%</v>
      </c>
      <c r="V11" s="36" t="s">
        <v>123</v>
      </c>
      <c r="W11" s="99"/>
      <c r="X11" s="99">
        <f ca="1">QQSM</f>
        <v>0</v>
      </c>
      <c r="Y11" s="99"/>
      <c r="Z11" s="35" t="s">
        <v>17</v>
      </c>
      <c r="AA11" s="35" t="s">
        <v>18</v>
      </c>
      <c r="AB11" s="35" t="s">
        <v>61</v>
      </c>
      <c r="AC11" s="35" t="s">
        <v>54</v>
      </c>
      <c r="AD11" s="99"/>
      <c r="AE11" s="99" t="str">
        <f ca="1">QQ50J</f>
        <v>qx_ad50%</v>
      </c>
      <c r="AF11" s="99"/>
      <c r="AG11" s="35" t="s">
        <v>51</v>
      </c>
      <c r="AH11" s="35" t="s">
        <v>52</v>
      </c>
      <c r="AI11" s="176" t="s">
        <v>201</v>
      </c>
      <c r="AJ11" s="35" t="s">
        <v>202</v>
      </c>
      <c r="AK11" s="147"/>
      <c r="AL11" s="147" t="str">
        <f ca="1">QQa</f>
        <v>qx_am2</v>
      </c>
      <c r="AM11" s="147"/>
      <c r="AN11" s="136"/>
      <c r="AO11" s="136"/>
      <c r="AP11" s="147"/>
      <c r="AQ11" s="147">
        <f ca="1">QQb</f>
        <v>0</v>
      </c>
      <c r="AR11" s="152"/>
      <c r="AS11" s="152"/>
      <c r="AT11" s="147"/>
      <c r="AU11" s="148">
        <f ca="1">QQc</f>
        <v>0</v>
      </c>
      <c r="AV11" s="135"/>
      <c r="AW11" s="135"/>
      <c r="AX11" s="148"/>
      <c r="AY11" s="148">
        <f ca="1">QQd</f>
        <v>0</v>
      </c>
      <c r="AZ11" s="136"/>
      <c r="BA11" s="136"/>
      <c r="BB11" s="148"/>
      <c r="BC11" s="148">
        <f ca="1">QQe</f>
        <v>0</v>
      </c>
      <c r="BD11" s="135"/>
      <c r="BE11" s="135"/>
      <c r="BF11" s="148"/>
      <c r="BG11" s="148">
        <f ca="1">QQf</f>
        <v>0</v>
      </c>
      <c r="BH11" s="135"/>
      <c r="BI11" s="135"/>
      <c r="BJ11" s="148"/>
      <c r="BK11" s="148">
        <f ca="1">QQg</f>
        <v>0</v>
      </c>
      <c r="BL11" s="135"/>
      <c r="BM11" s="135"/>
      <c r="BN11" s="148"/>
      <c r="BO11" s="148">
        <f ca="1">QQh</f>
        <v>0</v>
      </c>
      <c r="BP11" s="135"/>
      <c r="BQ11" s="135"/>
      <c r="BR11" s="148"/>
      <c r="BS11" s="148">
        <f ca="1">QQi</f>
        <v>0</v>
      </c>
      <c r="BT11" s="135"/>
      <c r="BU11" s="135"/>
      <c r="BV11" s="148"/>
      <c r="BW11" s="148">
        <f ca="1">QQj</f>
        <v>0</v>
      </c>
      <c r="BX11" s="135"/>
      <c r="BY11" s="135"/>
      <c r="BZ11" s="148"/>
      <c r="CA11" s="148">
        <f ca="1">QQk</f>
        <v>0</v>
      </c>
      <c r="CB11" s="135"/>
      <c r="CC11" s="135"/>
      <c r="CD11" s="148"/>
      <c r="CE11" s="148">
        <f ca="1">QQl</f>
        <v>0</v>
      </c>
      <c r="CF11" s="135"/>
      <c r="CG11" s="135"/>
      <c r="CH11" s="135" t="s">
        <v>123</v>
      </c>
      <c r="CI11" s="135"/>
      <c r="CJ11" s="135"/>
      <c r="CK11" s="135" t="s">
        <v>1029</v>
      </c>
      <c r="CL11" s="135" t="s">
        <v>1030</v>
      </c>
      <c r="CM11" s="135" t="s">
        <v>1031</v>
      </c>
      <c r="CN11" s="135" t="s">
        <v>1032</v>
      </c>
      <c r="CO11" s="90" t="s">
        <v>93</v>
      </c>
      <c r="CP11" s="296" t="s">
        <v>541</v>
      </c>
      <c r="CQ11" s="296" t="s">
        <v>1033</v>
      </c>
      <c r="CR11" s="149"/>
      <c r="CS11" s="149"/>
      <c r="CT11" s="149"/>
      <c r="CU11" s="149"/>
      <c r="CV11" s="93" t="s">
        <v>27</v>
      </c>
      <c r="CW11" s="149"/>
      <c r="CX11" s="316"/>
      <c r="CY11" s="316"/>
      <c r="CZ11" s="316"/>
      <c r="DA11" s="316"/>
    </row>
    <row r="12" spans="2:105">
      <c r="B12" s="106" t="s">
        <v>3</v>
      </c>
      <c r="C12" s="118">
        <f ca="1">INPUT!E19</f>
        <v>20</v>
      </c>
      <c r="D12" s="44" t="s">
        <v>233</v>
      </c>
      <c r="E12" s="119"/>
      <c r="F12" s="15"/>
      <c r="G12" s="123" t="s">
        <v>42</v>
      </c>
      <c r="H12" s="139">
        <f ca="1">H9-J9</f>
        <v>1098284.5222555303</v>
      </c>
      <c r="I12" s="21"/>
      <c r="K12" s="21"/>
      <c r="L12" s="241"/>
      <c r="M12" s="242"/>
      <c r="N12" s="4">
        <v>0</v>
      </c>
      <c r="O12" s="1">
        <f t="shared" ref="O12" ca="1" si="22">+(1+iB)^-N12</f>
        <v>1</v>
      </c>
      <c r="P12" s="11">
        <f t="shared" ref="P12" ca="1" si="23">+(1+iB)^-(N12+0.5)</f>
        <v>0.98893635286829751</v>
      </c>
      <c r="Q12" s="98"/>
      <c r="R12" s="20">
        <v>0</v>
      </c>
      <c r="S12" s="20">
        <f t="shared" ref="S12" si="24">+IF(xB+R12&lt;=xB+nB,xB+R12,"")</f>
        <v>8</v>
      </c>
      <c r="T12" s="2">
        <f t="shared" ref="T12:U12" ca="1" si="25">IFERROR(VLOOKUP($S12,qx_table,MATCH(T$11,qx_title,0)+sexB),0)</f>
        <v>0</v>
      </c>
      <c r="U12" s="2">
        <f t="shared" ca="1" si="25"/>
        <v>1.9000000000000001E-5</v>
      </c>
      <c r="V12" s="300">
        <f t="shared" ref="V12:V43" ca="1" si="26">IF(JRB=2,0,IF(R12&gt;=mB,VLOOKUP(R12-mB,해지율_납기후,2),IF(R12=mB-1,0,VLOOKUP(R12,해지율_납기전,2))))</f>
        <v>9.2499999999999999E-2</v>
      </c>
      <c r="W12" s="8">
        <f t="shared" ref="W12" si="27">IF(R12=0,100000,IF(R12&gt;nB,0,W11*(1-X11)*(1-Y11)))</f>
        <v>100000</v>
      </c>
      <c r="X12" s="10">
        <f t="shared" ref="X12:X75" ca="1" si="28">1-IFERROR((1-YTSM*$T12)*(1-V12*(1-T12/2)/(1-T12)),0)</f>
        <v>9.2500000000000027E-2</v>
      </c>
      <c r="Y12" s="92">
        <f t="shared" ref="Y12:Y75" ca="1" si="29">IFERROR(1-(1-YT50J*U12*(1-T12/2)/(1-T12))*(1-YTa*AL12*(1-T12/2)/(1-T12))*(1-YTb*AQ12*(1-T12/2)/(1-T12))*(1-YTc*AU12*(1-T12/2)/(1-T12)),0)</f>
        <v>2.2232200003191593E-7</v>
      </c>
      <c r="Z12" s="8">
        <f ca="1">+W12*$O12</f>
        <v>100000</v>
      </c>
      <c r="AA12" s="8">
        <f ca="1">+SUM(Z12:Z$124)</f>
        <v>1121525.5020498768</v>
      </c>
      <c r="AB12" s="8">
        <f t="shared" ref="AB12:AB75" ca="1" si="30">W12*X12*P12</f>
        <v>9147.6612640317544</v>
      </c>
      <c r="AC12" s="209">
        <f ca="1">+SUM(AB12:AB$124)*SSSM</f>
        <v>0</v>
      </c>
      <c r="AD12" s="209">
        <f>+$W$12</f>
        <v>100000</v>
      </c>
      <c r="AE12" s="92">
        <f t="shared" ref="AE12:AE75" ca="1" si="31">1-IFERROR((1-NT50J*U12*(1-T12/2)/(1-T12)),0)</f>
        <v>1.8999999999991246E-5</v>
      </c>
      <c r="AF12" s="92">
        <f t="shared" ref="AF12:AF75" ca="1" si="32">IFERROR(1-(1-NTa*AL12*(1-T12/2)/(1-T12))*(1-NTb*AQ12*(1-T12/2)/(1-T12))*(1-NTc*AU12*(1-T12/2)/(1-T12)),0)</f>
        <v>0</v>
      </c>
      <c r="AG12" s="8">
        <f t="shared" ref="AG12:AG75" ca="1" si="33">+AD12*$O12</f>
        <v>100000</v>
      </c>
      <c r="AH12" s="5">
        <f ca="1">+SUM(AG12:AG$124)</f>
        <v>1121275.9531292694</v>
      </c>
      <c r="AI12" s="70">
        <f t="shared" ref="AI12:AI75" ca="1" si="34">AD12*AE12*P12</f>
        <v>1.8789790704488996</v>
      </c>
      <c r="AJ12" s="208">
        <f ca="1">+SUM(AB12:AB$124)*SS50J</f>
        <v>0</v>
      </c>
      <c r="AK12" s="209">
        <v>100000</v>
      </c>
      <c r="AL12" s="257">
        <f t="shared" ref="AL12" ca="1" si="35">IFERROR(VLOOKUP($S12,qx_table,MATCH(AL$11,qx_title,0)+sexB),0)</f>
        <v>2.2232199999999997E-7</v>
      </c>
      <c r="AM12" s="131">
        <f ca="1">AK12*O12</f>
        <v>100000</v>
      </c>
      <c r="AN12" s="129">
        <f ca="1">AK12*AL12*(1-CHOOSE(JRB,1,0)*$V12/2)*$P12*IF(cost_location=0,1,MCa)</f>
        <v>1.0484683805233763E-2</v>
      </c>
      <c r="AO12" s="129">
        <f ca="1">SUM(AN12:AN$124)*SSa</f>
        <v>0.3913466304231486</v>
      </c>
      <c r="AP12" s="70">
        <v>100000</v>
      </c>
      <c r="AQ12" s="2">
        <f t="shared" ref="AQ12" ca="1" si="36">IFERROR(VLOOKUP($S12,qx_table,MATCH(AQ$11,qx_title,0)+sexB),0)</f>
        <v>0</v>
      </c>
      <c r="AR12" s="127">
        <f ca="1">AP12*AQ12*(1-CHOOSE(JRB,1,0)*$V12/2)*$P12*IF(cost_location=0,1,MCb)</f>
        <v>0</v>
      </c>
      <c r="AS12" s="127">
        <f ca="1">SUM(AR12:AR$124)*SSb</f>
        <v>0</v>
      </c>
      <c r="AT12" s="70">
        <v>100000</v>
      </c>
      <c r="AU12" s="2">
        <f t="shared" ref="AU12" ca="1" si="37">IFERROR(VLOOKUP($S12,qx_table,MATCH(AU$11,qx_title,0)+sexB),0)</f>
        <v>0</v>
      </c>
      <c r="AV12" s="268">
        <f ca="1">AT12*AU12*(1-CHOOSE(JRB,1,0)*$V12/2)*$P12*IF(cost_location=0,1,MCc)</f>
        <v>0</v>
      </c>
      <c r="AW12" s="131">
        <f ca="1">SUM(AV12:AV$124)*SSc</f>
        <v>0</v>
      </c>
      <c r="AX12" s="70">
        <v>100000</v>
      </c>
      <c r="AY12" s="2">
        <f t="shared" ref="AY12" ca="1" si="38">IFERROR(VLOOKUP($S12,qx_table,MATCH(AY$11,qx_title,0)+sexB),0)</f>
        <v>0</v>
      </c>
      <c r="AZ12" s="268">
        <f ca="1">AX12*AY12*(1-CHOOSE(JRB,1,0)*$V12/2)*$P12*IF(cost_location=0,1,MCd)</f>
        <v>0</v>
      </c>
      <c r="BA12" s="129">
        <f ca="1">SUM(AZ12:AZ$124)*SSd</f>
        <v>0</v>
      </c>
      <c r="BB12" s="70">
        <v>100000</v>
      </c>
      <c r="BC12" s="257">
        <f t="shared" ref="BC12" ca="1" si="39">IFERROR(VLOOKUP($S12,qx_table,MATCH(BC$11,qx_title,0)+sexB),0)</f>
        <v>0</v>
      </c>
      <c r="BD12" s="268">
        <f ca="1">BB12*BC12*(1-CHOOSE(JRB,1,0)*$V12/2)*$P12*IF(cost_location=0,1,MCe)</f>
        <v>0</v>
      </c>
      <c r="BE12" s="131">
        <f ca="1">SUM(BD12:BD$124)*SSe</f>
        <v>0</v>
      </c>
      <c r="BF12" s="70">
        <v>100000</v>
      </c>
      <c r="BG12" s="2">
        <f t="shared" ref="BG12" ca="1" si="40">IFERROR(VLOOKUP($S12,qx_table,MATCH(BG$11,qx_title,0)+sexB),0)</f>
        <v>0</v>
      </c>
      <c r="BH12" s="131">
        <f ca="1">BF12*BG12*(1-CHOOSE(JRB,1,0)*$V12/2)*$P12*IF(cost_location=0,1,MCf)</f>
        <v>0</v>
      </c>
      <c r="BI12" s="2">
        <f ca="1">SUM(BH12:BH$124)*SSf</f>
        <v>0</v>
      </c>
      <c r="BJ12" s="70">
        <v>100000</v>
      </c>
      <c r="BK12" s="2">
        <f t="shared" ref="BK12" ca="1" si="41">IFERROR(VLOOKUP($S12,qx_table,MATCH(BK$11,qx_title,0)+sexB),0)</f>
        <v>0</v>
      </c>
      <c r="BL12" s="131">
        <f ca="1">BJ12*BK12*(1-CHOOSE(JRB,1,0)*$V12/2)*$P12*IF(cost_location=0,1,MCg)</f>
        <v>0</v>
      </c>
      <c r="BM12" s="131">
        <f ca="1">SUM(BL12:BL$124)*SSg</f>
        <v>0</v>
      </c>
      <c r="BN12" s="70">
        <v>100000</v>
      </c>
      <c r="BO12" s="2">
        <f t="shared" ref="BO12" ca="1" si="42">IFERROR(VLOOKUP($S12,qx_table,MATCH(BO$11,qx_title,0)+sexB),0)</f>
        <v>0</v>
      </c>
      <c r="BP12" s="131">
        <f ca="1">BN12*BO12*(1-CHOOSE(JRB,1,0)*$V12/2)*$P12*IF(cost_location=0,1,MCh)</f>
        <v>0</v>
      </c>
      <c r="BQ12" s="131">
        <f ca="1">SUM(BP12:BP$124)*SSh</f>
        <v>0</v>
      </c>
      <c r="BR12" s="70">
        <v>100000</v>
      </c>
      <c r="BS12" s="2">
        <f t="shared" ref="BS12" ca="1" si="43">IFERROR(VLOOKUP($S12,qx_table,MATCH(BS$11,qx_title,0)+sexB),0)*IF(R12=0,MCi,1)</f>
        <v>0</v>
      </c>
      <c r="BT12" s="131">
        <f ca="1">BR12*BS12*(1-CHOOSE(JRB,1,0)*$V12/2)*$P12*IF(cost_location=0,1,MCi)</f>
        <v>0</v>
      </c>
      <c r="BU12" s="131">
        <f ca="1">SUM(BT12:BT$124)*SSi</f>
        <v>0</v>
      </c>
      <c r="BV12" s="70">
        <v>100000</v>
      </c>
      <c r="BW12" s="2">
        <f t="shared" ref="BW12" ca="1" si="44">IFERROR(VLOOKUP($S12,qx_table,MATCH(BW$11,qx_title,0)+sexB),0)</f>
        <v>0</v>
      </c>
      <c r="BX12" s="131">
        <f ca="1">BV12*BW12*(1-CHOOSE(JRB,1,0)*$V12/2)*$P12*IF(cost_location=0,1,MCj)</f>
        <v>0</v>
      </c>
      <c r="BY12" s="131">
        <f ca="1">SUM(BX12:BX$124)*SSj</f>
        <v>0</v>
      </c>
      <c r="BZ12" s="70">
        <v>100000</v>
      </c>
      <c r="CA12" s="2">
        <f t="shared" ref="CA12" ca="1" si="45">IFERROR(VLOOKUP($S12,qx_table,MATCH(CA$11,qx_title,0)+sexB),0)</f>
        <v>0</v>
      </c>
      <c r="CB12" s="131">
        <f ca="1">BZ12*CA12*(1-CHOOSE(JRB,1,0)*$V12/2)*$P12*IF(cost_location=0,1,MCk)</f>
        <v>0</v>
      </c>
      <c r="CC12" s="131">
        <f ca="1">SUM(CB12:CB$124)*SSk</f>
        <v>0</v>
      </c>
      <c r="CD12" s="70">
        <v>100000</v>
      </c>
      <c r="CE12" s="2">
        <f t="shared" ref="CE12" ca="1" si="46">IFERROR(VLOOKUP($S12,qx_table,MATCH(CE$11,qx_title,0)+sexB),0)</f>
        <v>0</v>
      </c>
      <c r="CF12" s="131">
        <f ca="1">CD12*CE12*(1-CHOOSE(JRB,1,0)*$V12/2)*$P12*IF(cost_location=0,1,MCl)</f>
        <v>0</v>
      </c>
      <c r="CG12" s="131">
        <f ca="1">SUM(CF12:CF$124)*SSl</f>
        <v>0</v>
      </c>
      <c r="CH12" s="155">
        <f ca="1">V12</f>
        <v>9.2499999999999999E-2</v>
      </c>
      <c r="CI12" s="155">
        <f ca="1">W12*CH12*(1-$CI$6*AL12/2)</f>
        <v>9249.9989717607496</v>
      </c>
      <c r="CJ12" s="155">
        <f ca="1">CI12*P12</f>
        <v>9147.6602471685783</v>
      </c>
      <c r="CK12" s="155" t="e">
        <f ca="1">'유해지 (기준P)'!CZ12</f>
        <v>#DIV/0!</v>
      </c>
      <c r="CL12" s="155">
        <f t="shared" ref="CL12:CL43" ca="1" si="47">IF(R12&lt;mB,0,(CK12+CK13)/2)</f>
        <v>0</v>
      </c>
      <c r="CM12" s="155">
        <f ca="1">CL12*CJ12</f>
        <v>0</v>
      </c>
      <c r="CN12" s="155">
        <f ca="1">SUM(CM12:$CM$124)</f>
        <v>395.11507188454124</v>
      </c>
      <c r="CO12" s="101">
        <f ca="1">AC12+AJ12+AO12+AS12+AW12+BA12+BE12+BI12+BM12+BQ12+BU12+BY12+CC12+CG12</f>
        <v>0.3913466304231486</v>
      </c>
      <c r="CP12" s="154">
        <f t="shared" ref="CP12:CP43" ca="1" si="48">MAX((VLOOKUP(xB+R12,기수표B,$CO$1)-VLOOKUP(xB+nB,기수표B,$CO$1)),0)</f>
        <v>0.37267131288500716</v>
      </c>
      <c r="CQ12" s="154">
        <f t="shared" ref="CQ12:CQ43" ca="1" si="49">MAX((VLOOKUP(xB+R12,기수표B,$CN$1)-VLOOKUP(xB+nB,기수표B,$CN$1)),0)</f>
        <v>395.11507188454124</v>
      </c>
      <c r="CR12" s="32">
        <f ca="1">+MAX(VLOOKUP(xB+$R12,기수표B,$AH$1)-VLOOKUP(xB+mB,기수표B,$AH$1),0)</f>
        <v>1041565.0314684706</v>
      </c>
      <c r="CS12" s="32">
        <f t="shared" ref="CS12:CS43" ca="1" si="50">+MAX(VLOOKUP(xB+$R12,기수표B,$AH$1)-VLOOKUP(xB+mB,기수표B,$AH$1)-(mmB-1)/(mmB*2)*(VLOOKUP(xB+$R12,기수표B,$AG$1)-VLOOKUP(xB+mB,기수표B,$AG$1)),0)</f>
        <v>1041565.0314684706</v>
      </c>
      <c r="CT12" s="32">
        <f t="shared" ref="CT12" ca="1" si="51">+MAX(VLOOKUP(xB+$R12,기수표B,$AA$1)-VLOOKUP(xB+mB,기수표B,$AA$1),0)</f>
        <v>1041758.0851838866</v>
      </c>
      <c r="CU12" s="32">
        <f t="shared" ref="CU12:CU43" ca="1" si="52">+MAX(VLOOKUP(xB+$R12,기수표B,$AA$1)-VLOOKUP(xB+mB,기수표B,$AA$1)-(mmB-1)/(2*mmB)*(VLOOKUP(xB+$R12,기수표B,$AA$1)-VLOOKUP(xB+mB,기수표B,$AA$1)),0)</f>
        <v>1041758.0851838866</v>
      </c>
      <c r="CV12" s="32">
        <f t="shared" ref="CV12:CV43" ca="1" si="53">IF(R12&gt;nB,0,VLOOKUP(xB+MAX($R12,mB),기수표B,$AA$1)-VLOOKUP(xB+nB,기수표B,$AA$1))</f>
        <v>56526.437071643726</v>
      </c>
      <c r="CW12" s="259">
        <f t="shared" ref="CW12:CW43" ca="1" si="54">IF(JRB=1,mmB*NPPB*$CS12,0)</f>
        <v>0.39111361593764993</v>
      </c>
      <c r="CX12" s="259" t="e">
        <f t="shared" ref="CX12:CX43" ca="1" si="55">ROUND(IF($R12&gt;nB,0,$CZ12-MAX($DA12-$R12,0)/$DA12*$C$31),roundB)</f>
        <v>#REF!</v>
      </c>
      <c r="CY12" s="262" t="e">
        <f t="shared" ref="CY12:CY43" ca="1" si="56">+IF(JRB=1,CX12,MAX(0,ROUND(IF($R12&gt;nB,0,CZ12-MAX($DA12-$R12,0)/$DA12*$C$33),round)))</f>
        <v>#REF!</v>
      </c>
      <c r="CZ12" s="259">
        <f t="shared" ref="CZ12:CZ43" ca="1" si="57">(CP12+CQ12+BETAD_SB*$CV12-CW12)/Z12</f>
        <v>3.9515315601856022E-3</v>
      </c>
      <c r="DA12" s="31">
        <f t="shared" ref="DA12" ca="1" si="58">+MIN(mB,7)</f>
        <v>7</v>
      </c>
    </row>
    <row r="13" spans="2:105">
      <c r="B13" s="106" t="s">
        <v>4</v>
      </c>
      <c r="C13" s="118">
        <v>1</v>
      </c>
      <c r="D13" s="44" t="str">
        <f>CHOOSE(mmB,"년납","6월납",,"3월납",,,,,,,,"월납")</f>
        <v>년납</v>
      </c>
      <c r="F13" s="21"/>
      <c r="G13" s="122" t="s">
        <v>20</v>
      </c>
      <c r="H13" s="23">
        <f ca="1">I9-J9</f>
        <v>56526.437071643726</v>
      </c>
      <c r="I13" s="69"/>
      <c r="J13" s="69"/>
      <c r="M13" s="242"/>
      <c r="N13" s="5">
        <f>+N12+1</f>
        <v>1</v>
      </c>
      <c r="O13" s="2">
        <f t="shared" ref="O13" ca="1" si="59">+(1+iB)^-N13</f>
        <v>0.97799511002444994</v>
      </c>
      <c r="P13" s="12">
        <f t="shared" ref="P13" ca="1" si="60">+(1+iB)^-(N13+0.5)</f>
        <v>0.96717491723060878</v>
      </c>
      <c r="Q13" s="98"/>
      <c r="R13" s="20">
        <f>R12+1</f>
        <v>1</v>
      </c>
      <c r="S13" s="20">
        <f t="shared" ref="S13" si="61">+IF(xB+R13&lt;=xB+nB,xB+R13,"")</f>
        <v>9</v>
      </c>
      <c r="T13" s="2">
        <f t="shared" ref="T13:U13" ca="1" si="62">IFERROR(VLOOKUP($S13,qx_table,MATCH(T$11,qx_title,0)+sexB),0)</f>
        <v>0</v>
      </c>
      <c r="U13" s="2">
        <f t="shared" ca="1" si="62"/>
        <v>1.8E-5</v>
      </c>
      <c r="V13" s="300">
        <f t="shared" ca="1" si="26"/>
        <v>0.13550000000000001</v>
      </c>
      <c r="W13" s="8">
        <f t="shared" ref="W13" ca="1" si="63">IF(R13=0,100000,IF(R13&gt;nB,0,W12*(1-X12)*(1-Y12)))</f>
        <v>90749.979824278504</v>
      </c>
      <c r="X13" s="10">
        <f t="shared" ca="1" si="28"/>
        <v>0.13549999999999995</v>
      </c>
      <c r="Y13" s="92">
        <f t="shared" ca="1" si="29"/>
        <v>2.2947800004669006E-7</v>
      </c>
      <c r="Z13" s="8">
        <f t="shared" ref="Z13:Z76" ca="1" si="64">+W13*O13</f>
        <v>88753.03650296187</v>
      </c>
      <c r="AA13" s="8">
        <f ca="1">+SUM(Z13:Z$124)</f>
        <v>1021525.5020498772</v>
      </c>
      <c r="AB13" s="8">
        <f t="shared" ca="1" si="30"/>
        <v>11892.984622518117</v>
      </c>
      <c r="AC13" s="209">
        <f ca="1">+SUM(AB13:AB$124)*SSSM</f>
        <v>0</v>
      </c>
      <c r="AD13" s="209">
        <f t="shared" ref="AD13" ca="1" si="65">IF(R13&gt;nB,0,AD12*(1-X12)*(1-Y12)*(1-AE12)*(1-AF12))</f>
        <v>90748.255574661845</v>
      </c>
      <c r="AE13" s="92">
        <f t="shared" ca="1" si="31"/>
        <v>1.799999999996249E-5</v>
      </c>
      <c r="AF13" s="92">
        <f t="shared" ca="1" si="32"/>
        <v>0</v>
      </c>
      <c r="AG13" s="8">
        <f t="shared" ca="1" si="33"/>
        <v>88751.350195268315</v>
      </c>
      <c r="AH13" s="5">
        <f ca="1">+SUM(AG13:AG$124)</f>
        <v>1021275.9531292694</v>
      </c>
      <c r="AI13" s="70">
        <f t="shared" ca="1" si="34"/>
        <v>1.5798498583331304</v>
      </c>
      <c r="AJ13" s="208">
        <f ca="1">+SUM(AB13:AB$124)*SS50J</f>
        <v>0</v>
      </c>
      <c r="AK13" s="209">
        <f t="shared" ref="AK13:AK76" ca="1" si="66">IFERROR(AK12*(1-$X12)*(1-$Y12)*(1-BTa*AL12*(1-$T12/2)/(1-$T12)),0)</f>
        <v>90749.979824278504</v>
      </c>
      <c r="AL13" s="257">
        <f t="shared" ref="AL13" ca="1" si="67">IFERROR(VLOOKUP($S13,qx_table,MATCH(AL$11,qx_title,0)+sexB),0)</f>
        <v>2.2947799999999996E-7</v>
      </c>
      <c r="AM13" s="131">
        <f t="shared" ref="AM13:AM76" ca="1" si="68">AK13*O13</f>
        <v>88753.03650296187</v>
      </c>
      <c r="AN13" s="129">
        <f t="shared" ref="AN13:AN44" ca="1" si="69">AK13*AL13*(1-CHOOSE(JRB,1,0)*$V13/2)*$P13</f>
        <v>1.8776948292793298E-2</v>
      </c>
      <c r="AO13" s="129">
        <f ca="1">SUM(AN13:AN$124)*SSa</f>
        <v>0.38086194661791478</v>
      </c>
      <c r="AP13" s="70">
        <f t="shared" ref="AP13:AP76" ca="1" si="70">IFERROR(AP12*(1-$X12)*(1-$Y12)*(1-BTb*AQ12*(1-$T12/2)/(1-$T12)),0)</f>
        <v>90749.979824278504</v>
      </c>
      <c r="AQ13" s="2">
        <f t="shared" ref="AQ13" ca="1" si="71">IFERROR(VLOOKUP($S13,qx_table,MATCH(AQ$11,qx_title,0)+sexB),0)</f>
        <v>0</v>
      </c>
      <c r="AR13" s="127">
        <f t="shared" ref="AR13:AR44" ca="1" si="72">AP13*AQ13*(1-CHOOSE(JRB,1,0)*$V13/2)*$P13</f>
        <v>0</v>
      </c>
      <c r="AS13" s="127">
        <f ca="1">SUM(AR13:AR$124)*SSb</f>
        <v>0</v>
      </c>
      <c r="AT13" s="70">
        <f t="shared" ref="AT13:AT76" ca="1" si="73">IFERROR(AT12*(1-$X12)*(1-$Y12)*(1-BTc*AU12*(1-$T12/2)/(1-$T12)),0)</f>
        <v>90749.979824278504</v>
      </c>
      <c r="AU13" s="2">
        <f t="shared" ref="AU13" ca="1" si="74">IFERROR(VLOOKUP($S13,qx_table,MATCH(AU$11,qx_title,0)+sexB),0)</f>
        <v>0</v>
      </c>
      <c r="AV13" s="268">
        <f t="shared" ref="AV13:AV44" ca="1" si="75">AT13*AU13*(1-CHOOSE(JRB,1,0)*$V13/2)*$P13</f>
        <v>0</v>
      </c>
      <c r="AW13" s="131">
        <f ca="1">SUM(AV13:AV$124)*SSc</f>
        <v>0</v>
      </c>
      <c r="AX13" s="70">
        <f t="shared" ref="AX13:AX76" ca="1" si="76">IFERROR(AX12*(1-$X12)*(1-$Y12)*(1-BTd*AY12*(1-$T12/2)/(1-$T12)),0)</f>
        <v>90749.979824278504</v>
      </c>
      <c r="AY13" s="2">
        <f t="shared" ref="AY13" ca="1" si="77">IFERROR(VLOOKUP($S13,qx_table,MATCH(AY$11,qx_title,0)+sexB),0)</f>
        <v>0</v>
      </c>
      <c r="AZ13" s="268">
        <f t="shared" ref="AZ13:AZ44" ca="1" si="78">AX13*AY13*(1-CHOOSE(JRB,1,0)*$V13/2)*$P13</f>
        <v>0</v>
      </c>
      <c r="BA13" s="129">
        <f ca="1">SUM(AZ13:AZ$124)*SSd</f>
        <v>0</v>
      </c>
      <c r="BB13" s="70">
        <f t="shared" ref="BB13:BB76" ca="1" si="79">IFERROR(BB12*(1-$X12)*(1-$Y12)*(1-BTe*BC12*(1-$T12/2)/(1-$T12)),0)</f>
        <v>90749.979824278504</v>
      </c>
      <c r="BC13" s="257">
        <f t="shared" ref="BC13" ca="1" si="80">IFERROR(VLOOKUP($S13,qx_table,MATCH(BC$11,qx_title,0)+sexB),0)</f>
        <v>0</v>
      </c>
      <c r="BD13" s="268">
        <f t="shared" ref="BD13:BD44" ca="1" si="81">BB13*BC13*(1-CHOOSE(JRB,1,0)*$V13/2)*$P13</f>
        <v>0</v>
      </c>
      <c r="BE13" s="131">
        <f ca="1">SUM(BD13:BD$124)*SSe</f>
        <v>0</v>
      </c>
      <c r="BF13" s="70">
        <f t="shared" ref="BF13:BF76" ca="1" si="82">IFERROR(BF12*(1-$X12)*(1-$Y12)*(1-BTf*BG12*(1-$T12/2)/(1-$T12)),0)</f>
        <v>90749.979824278504</v>
      </c>
      <c r="BG13" s="2">
        <f t="shared" ref="BG13" ca="1" si="83">IFERROR(VLOOKUP($S13,qx_table,MATCH(BG$11,qx_title,0)+sexB),0)</f>
        <v>0</v>
      </c>
      <c r="BH13" s="131">
        <f t="shared" ref="BH13:BH44" ca="1" si="84">BF13*BG13*(1-CHOOSE(JRB,1,0)*$V13/2)*$P13</f>
        <v>0</v>
      </c>
      <c r="BI13" s="2">
        <f ca="1">SUM(BH13:BH$124)*SSf</f>
        <v>0</v>
      </c>
      <c r="BJ13" s="70">
        <f t="shared" ref="BJ13:BJ76" ca="1" si="85">IFERROR(BJ12*(1-$X12)*(1-$Y12)*(1-BTg*BK12*(1-$T12/2)/(1-$T12)),0)</f>
        <v>90749.979824278504</v>
      </c>
      <c r="BK13" s="2">
        <f t="shared" ref="BK13" ca="1" si="86">IFERROR(VLOOKUP($S13,qx_table,MATCH(BK$11,qx_title,0)+sexB),0)</f>
        <v>0</v>
      </c>
      <c r="BL13" s="131">
        <f t="shared" ref="BL13:BL44" ca="1" si="87">BJ13*BK13*(1-CHOOSE(JRB,1,0)*$V13/2)*$P13</f>
        <v>0</v>
      </c>
      <c r="BM13" s="131">
        <f ca="1">SUM(BL13:BL$124)*SSg</f>
        <v>0</v>
      </c>
      <c r="BN13" s="70">
        <f t="shared" ref="BN13:BN76" ca="1" si="88">IFERROR(BN12*(1-$X12)*(1-$Y12)*(1-BTh*BO12*(1-$T12/2)/(1-$T12)),0)</f>
        <v>90749.979824278504</v>
      </c>
      <c r="BO13" s="2">
        <f t="shared" ref="BO13" ca="1" si="89">IFERROR(VLOOKUP($S13,qx_table,MATCH(BO$11,qx_title,0)+sexB),0)</f>
        <v>0</v>
      </c>
      <c r="BP13" s="131">
        <f t="shared" ref="BP13:BP44" ca="1" si="90">BN13*BO13*(1-CHOOSE(JRB,1,0)*$V13/2)*$P13</f>
        <v>0</v>
      </c>
      <c r="BQ13" s="131">
        <f ca="1">SUM(BP13:BP$124)*SSh</f>
        <v>0</v>
      </c>
      <c r="BR13" s="70">
        <f t="shared" ref="BR13:BR76" ca="1" si="91">IFERROR(BR12*(1-$X12)*(1-$Y12)*(1-BTi*BS12*(1-$T12/2)/(1-$T12)),0)</f>
        <v>90749.979824278504</v>
      </c>
      <c r="BS13" s="2">
        <f t="shared" ref="BS13" ca="1" si="92">IFERROR(VLOOKUP($S13,qx_table,MATCH(BS$11,qx_title,0)+sexB),0)*IF(R13=0,MCi,1)</f>
        <v>0</v>
      </c>
      <c r="BT13" s="131">
        <f t="shared" ref="BT13:BT44" ca="1" si="93">BR13*BS13*(1-CHOOSE(JRB,1,0)*$V13/2)*$P13</f>
        <v>0</v>
      </c>
      <c r="BU13" s="131">
        <f ca="1">SUM(BT13:BT$124)*SSi</f>
        <v>0</v>
      </c>
      <c r="BV13" s="70">
        <f t="shared" ref="BV13:BV76" ca="1" si="94">IFERROR(BV12*(1-$X12)*(1-$Y12)*(1-BTj*BW12*(1-$T12/2)/(1-$T12)),0)</f>
        <v>90749.979824278504</v>
      </c>
      <c r="BW13" s="2">
        <f t="shared" ref="BW13" ca="1" si="95">IFERROR(VLOOKUP($S13,qx_table,MATCH(BW$11,qx_title,0)+sexB),0)</f>
        <v>0</v>
      </c>
      <c r="BX13" s="131">
        <f t="shared" ref="BX13:BX44" ca="1" si="96">BV13*BW13*(1-CHOOSE(JRB,1,0)*$V13/2)*$P13</f>
        <v>0</v>
      </c>
      <c r="BY13" s="131">
        <f ca="1">SUM(BX13:BX$124)*SSj</f>
        <v>0</v>
      </c>
      <c r="BZ13" s="70">
        <f t="shared" ref="BZ13:BZ76" ca="1" si="97">IFERROR(BZ12*(1-$X12)*(1-$Y12)*(1-BTk*CA12*(1-$T12/2)/(1-$T12)),0)</f>
        <v>90749.979824278504</v>
      </c>
      <c r="CA13" s="2">
        <f t="shared" ref="CA13" ca="1" si="98">IFERROR(VLOOKUP($S13,qx_table,MATCH(CA$11,qx_title,0)+sexB),0)</f>
        <v>0</v>
      </c>
      <c r="CB13" s="131">
        <f t="shared" ref="CB13:CB44" ca="1" si="99">BZ13*CA13*(1-CHOOSE(JRB,1,0)*$V13/2)*$P13</f>
        <v>0</v>
      </c>
      <c r="CC13" s="131">
        <f ca="1">SUM(CB13:CB$124)*SSk</f>
        <v>0</v>
      </c>
      <c r="CD13" s="8">
        <f t="shared" ref="CD13:CD76" ca="1" si="100">IFERROR(CD12*(1-$X12)*(1-$Y12)*(1-BTl*CE12*(1-$T12/2)/(1-$T12)),0)</f>
        <v>90749.979824278504</v>
      </c>
      <c r="CE13" s="2">
        <f t="shared" ref="CE13" ca="1" si="101">IFERROR(VLOOKUP($S13,qx_table,MATCH(CE$11,qx_title,0)+sexB),0)</f>
        <v>0</v>
      </c>
      <c r="CF13" s="131">
        <f t="shared" ref="CF13:CF44" ca="1" si="102">CD13*CE13*(1-CHOOSE(JRB,1,0)*$V13/2)*$P13</f>
        <v>0</v>
      </c>
      <c r="CG13" s="131">
        <f ca="1">SUM(CF13:CF$124)*SSl</f>
        <v>0</v>
      </c>
      <c r="CH13" s="155">
        <f t="shared" ref="CH13:CH76" ca="1" si="103">V13</f>
        <v>0.13550000000000001</v>
      </c>
      <c r="CI13" s="155">
        <f t="shared" ref="CI13:CI76" ca="1" si="104">W13*CH13*(1-$CI$6*AL13/2)</f>
        <v>12296.620855287596</v>
      </c>
      <c r="CJ13" s="155">
        <f t="shared" ref="CJ13:CJ76" ca="1" si="105">CI13*P13</f>
        <v>11892.983257928958</v>
      </c>
      <c r="CK13" s="155">
        <f ca="1">'유해지 (기준P)'!CZ13</f>
        <v>4.1000000000000002E-2</v>
      </c>
      <c r="CL13" s="155">
        <f t="shared" ca="1" si="47"/>
        <v>0</v>
      </c>
      <c r="CM13" s="155">
        <f t="shared" ref="CM13:CM76" ca="1" si="106">CL13*CJ13</f>
        <v>0</v>
      </c>
      <c r="CN13" s="155">
        <f ca="1">SUM(CM13:$CM$124)</f>
        <v>395.11507188454124</v>
      </c>
      <c r="CO13" s="101">
        <f t="shared" ref="CO13:CO76" ca="1" si="107">AC13+AJ13+AO13+AS13+AW13+BA13+BE13+BI13+BM13+BQ13+BU13+BY13+CC13+CG13</f>
        <v>0.38086194661791478</v>
      </c>
      <c r="CP13" s="154">
        <f t="shared" ca="1" si="48"/>
        <v>0.36218662907977334</v>
      </c>
      <c r="CQ13" s="154">
        <f t="shared" ca="1" si="49"/>
        <v>395.11507188454124</v>
      </c>
      <c r="CR13" s="32">
        <f t="shared" ref="CR13" ca="1" si="108">+MAX(VLOOKUP(xB+$R13,기수표B,$AH$1)-VLOOKUP(xB+mB,기수표B,$AH$1),0)</f>
        <v>941565.03146847058</v>
      </c>
      <c r="CS13" s="32">
        <f t="shared" ca="1" si="50"/>
        <v>941565.03146847058</v>
      </c>
      <c r="CT13" s="32">
        <f t="shared" ref="CT13" ca="1" si="109">+MAX(VLOOKUP(xB+$R13,기수표B,$AA$1)-VLOOKUP(xB+mB,기수표B,$AA$1),0)</f>
        <v>941758.08518388693</v>
      </c>
      <c r="CU13" s="32">
        <f t="shared" ca="1" si="52"/>
        <v>941758.08518388693</v>
      </c>
      <c r="CV13" s="32">
        <f t="shared" ca="1" si="53"/>
        <v>56526.437071643726</v>
      </c>
      <c r="CW13" s="259">
        <f t="shared" ca="1" si="54"/>
        <v>0.35356304500630531</v>
      </c>
      <c r="CX13" s="259" t="e">
        <f t="shared" ca="1" si="55"/>
        <v>#REF!</v>
      </c>
      <c r="CY13" s="262" t="e">
        <f t="shared" ca="1" si="56"/>
        <v>#REF!</v>
      </c>
      <c r="CZ13" s="259">
        <f t="shared" ca="1" si="57"/>
        <v>4.4525825535276006E-3</v>
      </c>
      <c r="DA13" s="31">
        <f t="shared" ref="DA13" ca="1" si="110">+MIN(mB,7)</f>
        <v>7</v>
      </c>
    </row>
    <row r="14" spans="2:105">
      <c r="B14" s="106" t="s">
        <v>5</v>
      </c>
      <c r="C14" s="118">
        <f ca="1">MAIN!C16</f>
        <v>2.2499999999999999E-2</v>
      </c>
      <c r="D14" s="44"/>
      <c r="F14" s="21"/>
      <c r="G14" s="122" t="s">
        <v>160</v>
      </c>
      <c r="H14" s="291">
        <f ca="1">VLOOKUP(xB,기수표B,CP$1,FALSE)</f>
        <v>0.37267131288500716</v>
      </c>
      <c r="I14" s="291"/>
      <c r="J14" s="291"/>
      <c r="M14" s="242"/>
      <c r="N14" s="5">
        <f t="shared" ref="N14:N77" si="111">+N13+1</f>
        <v>2</v>
      </c>
      <c r="O14" s="2">
        <f t="shared" ref="O14" ca="1" si="112">+(1+iB)^-N14</f>
        <v>0.95647443523173592</v>
      </c>
      <c r="P14" s="2">
        <f t="shared" ref="P14" ca="1" si="113">+(1+iB)^-(N14+0.5)</f>
        <v>0.94589233958983754</v>
      </c>
      <c r="Q14" s="91"/>
      <c r="R14" s="20">
        <f t="shared" ref="R14:R77" si="114">R13+1</f>
        <v>2</v>
      </c>
      <c r="S14" s="20">
        <f t="shared" ref="S14" si="115">+IF(xB+R14&lt;=xB+nB,xB+R14,"")</f>
        <v>10</v>
      </c>
      <c r="T14" s="2">
        <f t="shared" ref="T14:U14" ca="1" si="116">IFERROR(VLOOKUP($S14,qx_table,MATCH(T$11,qx_title,0)+sexB),0)</f>
        <v>0</v>
      </c>
      <c r="U14" s="2">
        <f t="shared" ca="1" si="116"/>
        <v>1.5999999999999999E-5</v>
      </c>
      <c r="V14" s="300">
        <f t="shared" ca="1" si="26"/>
        <v>7.3499999999999996E-2</v>
      </c>
      <c r="W14" s="8">
        <f t="shared" ref="W14" ca="1" si="117">IF(R14=0,100000,IF(R14&gt;nB,0,W13*(1-X13)*(1-Y13)))</f>
        <v>78453.339554769176</v>
      </c>
      <c r="X14" s="10">
        <f t="shared" ca="1" si="28"/>
        <v>7.350000000000001E-2</v>
      </c>
      <c r="Y14" s="92">
        <f t="shared" ca="1" si="29"/>
        <v>2.4196000003584572E-7</v>
      </c>
      <c r="Z14" s="8">
        <f t="shared" ca="1" si="64"/>
        <v>75038.61364269146</v>
      </c>
      <c r="AA14" s="8">
        <f ca="1">+SUM(Z14:Z$124)</f>
        <v>932772.46554691542</v>
      </c>
      <c r="AB14" s="8">
        <f t="shared" ca="1" si="30"/>
        <v>5454.3183481570977</v>
      </c>
      <c r="AC14" s="209">
        <f ca="1">+SUM(AB14:AB$124)*SSSM</f>
        <v>0</v>
      </c>
      <c r="AD14" s="209">
        <f t="shared" ref="AD14" ca="1" si="118">IF(R14&gt;nB,0,AD13*(1-X13)*(1-Y13)*(1-AE13)*(1-AF13))</f>
        <v>78450.436808036698</v>
      </c>
      <c r="AE14" s="92">
        <f t="shared" ca="1" si="31"/>
        <v>1.6000000000016001E-5</v>
      </c>
      <c r="AF14" s="92">
        <f t="shared" ca="1" si="32"/>
        <v>0</v>
      </c>
      <c r="AG14" s="8">
        <f t="shared" ca="1" si="33"/>
        <v>75035.837239649889</v>
      </c>
      <c r="AH14" s="5">
        <f ca="1">+SUM(AG14:AG$124)</f>
        <v>932524.60293400125</v>
      </c>
      <c r="AI14" s="70">
        <f t="shared" ca="1" si="34"/>
        <v>1.1872906754283641</v>
      </c>
      <c r="AJ14" s="208">
        <f ca="1">+SUM(AB14:AB$124)*SS50J</f>
        <v>0</v>
      </c>
      <c r="AK14" s="209">
        <f t="shared" ca="1" si="66"/>
        <v>78453.339554769176</v>
      </c>
      <c r="AL14" s="257">
        <f t="shared" ref="AL14" ca="1" si="119">IFERROR(VLOOKUP($S14,qx_table,MATCH(AL$11,qx_title,0)+sexB),0)</f>
        <v>2.4195999999999998E-7</v>
      </c>
      <c r="AM14" s="131">
        <f t="shared" ca="1" si="68"/>
        <v>75038.61364269146</v>
      </c>
      <c r="AN14" s="129">
        <f t="shared" ca="1" si="69"/>
        <v>1.7295604151547316E-2</v>
      </c>
      <c r="AO14" s="129">
        <f ca="1">SUM(AN14:AN$124)*SSa</f>
        <v>0.36208499832512153</v>
      </c>
      <c r="AP14" s="70">
        <f t="shared" ca="1" si="70"/>
        <v>78453.339554769176</v>
      </c>
      <c r="AQ14" s="2">
        <f t="shared" ref="AQ14" ca="1" si="120">IFERROR(VLOOKUP($S14,qx_table,MATCH(AQ$11,qx_title,0)+sexB),0)</f>
        <v>0</v>
      </c>
      <c r="AR14" s="127">
        <f t="shared" ca="1" si="72"/>
        <v>0</v>
      </c>
      <c r="AS14" s="127">
        <f ca="1">SUM(AR14:AR$124)*SSb</f>
        <v>0</v>
      </c>
      <c r="AT14" s="70">
        <f t="shared" ca="1" si="73"/>
        <v>78453.339554769176</v>
      </c>
      <c r="AU14" s="2">
        <f t="shared" ref="AU14" ca="1" si="121">IFERROR(VLOOKUP($S14,qx_table,MATCH(AU$11,qx_title,0)+sexB),0)</f>
        <v>0</v>
      </c>
      <c r="AV14" s="268">
        <f t="shared" ca="1" si="75"/>
        <v>0</v>
      </c>
      <c r="AW14" s="131">
        <f ca="1">SUM(AV14:AV$124)*SSc</f>
        <v>0</v>
      </c>
      <c r="AX14" s="70">
        <f t="shared" ca="1" si="76"/>
        <v>78453.339554769176</v>
      </c>
      <c r="AY14" s="2">
        <f t="shared" ref="AY14" ca="1" si="122">IFERROR(VLOOKUP($S14,qx_table,MATCH(AY$11,qx_title,0)+sexB),0)</f>
        <v>0</v>
      </c>
      <c r="AZ14" s="268">
        <f t="shared" ca="1" si="78"/>
        <v>0</v>
      </c>
      <c r="BA14" s="129">
        <f ca="1">SUM(AZ14:AZ$124)*SSd</f>
        <v>0</v>
      </c>
      <c r="BB14" s="70">
        <f t="shared" ca="1" si="79"/>
        <v>78453.339554769176</v>
      </c>
      <c r="BC14" s="257">
        <f t="shared" ref="BC14" ca="1" si="123">IFERROR(VLOOKUP($S14,qx_table,MATCH(BC$11,qx_title,0)+sexB),0)</f>
        <v>0</v>
      </c>
      <c r="BD14" s="268">
        <f t="shared" ca="1" si="81"/>
        <v>0</v>
      </c>
      <c r="BE14" s="131">
        <f ca="1">SUM(BD14:BD$124)*SSe</f>
        <v>0</v>
      </c>
      <c r="BF14" s="70">
        <f t="shared" ca="1" si="82"/>
        <v>78453.339554769176</v>
      </c>
      <c r="BG14" s="2">
        <f t="shared" ref="BG14" ca="1" si="124">IFERROR(VLOOKUP($S14,qx_table,MATCH(BG$11,qx_title,0)+sexB),0)</f>
        <v>0</v>
      </c>
      <c r="BH14" s="131">
        <f t="shared" ca="1" si="84"/>
        <v>0</v>
      </c>
      <c r="BI14" s="2">
        <f ca="1">SUM(BH14:BH$124)*SSf</f>
        <v>0</v>
      </c>
      <c r="BJ14" s="70">
        <f t="shared" ca="1" si="85"/>
        <v>78453.339554769176</v>
      </c>
      <c r="BK14" s="2">
        <f t="shared" ref="BK14" ca="1" si="125">IFERROR(VLOOKUP($S14,qx_table,MATCH(BK$11,qx_title,0)+sexB),0)</f>
        <v>0</v>
      </c>
      <c r="BL14" s="131">
        <f t="shared" ca="1" si="87"/>
        <v>0</v>
      </c>
      <c r="BM14" s="131">
        <f ca="1">SUM(BL14:BL$124)*SSg</f>
        <v>0</v>
      </c>
      <c r="BN14" s="70">
        <f t="shared" ca="1" si="88"/>
        <v>78453.339554769176</v>
      </c>
      <c r="BO14" s="2">
        <f t="shared" ref="BO14" ca="1" si="126">IFERROR(VLOOKUP($S14,qx_table,MATCH(BO$11,qx_title,0)+sexB),0)</f>
        <v>0</v>
      </c>
      <c r="BP14" s="131">
        <f t="shared" ca="1" si="90"/>
        <v>0</v>
      </c>
      <c r="BQ14" s="131">
        <f ca="1">SUM(BP14:BP$124)*SSh</f>
        <v>0</v>
      </c>
      <c r="BR14" s="70">
        <f t="shared" ca="1" si="91"/>
        <v>78453.339554769176</v>
      </c>
      <c r="BS14" s="2">
        <f t="shared" ref="BS14" ca="1" si="127">IFERROR(VLOOKUP($S14,qx_table,MATCH(BS$11,qx_title,0)+sexB),0)*IF(R14=0,MCi,1)</f>
        <v>0</v>
      </c>
      <c r="BT14" s="131">
        <f t="shared" ca="1" si="93"/>
        <v>0</v>
      </c>
      <c r="BU14" s="131">
        <f ca="1">SUM(BT14:BT$124)*SSi</f>
        <v>0</v>
      </c>
      <c r="BV14" s="70">
        <f t="shared" ca="1" si="94"/>
        <v>78453.339554769176</v>
      </c>
      <c r="BW14" s="2">
        <f t="shared" ref="BW14" ca="1" si="128">IFERROR(VLOOKUP($S14,qx_table,MATCH(BW$11,qx_title,0)+sexB),0)</f>
        <v>0</v>
      </c>
      <c r="BX14" s="131">
        <f t="shared" ca="1" si="96"/>
        <v>0</v>
      </c>
      <c r="BY14" s="131">
        <f ca="1">SUM(BX14:BX$124)*SSj</f>
        <v>0</v>
      </c>
      <c r="BZ14" s="70">
        <f t="shared" ca="1" si="97"/>
        <v>78453.339554769176</v>
      </c>
      <c r="CA14" s="2">
        <f t="shared" ref="CA14" ca="1" si="129">IFERROR(VLOOKUP($S14,qx_table,MATCH(CA$11,qx_title,0)+sexB),0)</f>
        <v>0</v>
      </c>
      <c r="CB14" s="131">
        <f t="shared" ca="1" si="99"/>
        <v>0</v>
      </c>
      <c r="CC14" s="131">
        <f ca="1">SUM(CB14:CB$124)*SSk</f>
        <v>0</v>
      </c>
      <c r="CD14" s="8">
        <f t="shared" ca="1" si="100"/>
        <v>78453.339554769176</v>
      </c>
      <c r="CE14" s="2">
        <f t="shared" ref="CE14" ca="1" si="130">IFERROR(VLOOKUP($S14,qx_table,MATCH(CE$11,qx_title,0)+sexB),0)</f>
        <v>0</v>
      </c>
      <c r="CF14" s="131">
        <f t="shared" ca="1" si="102"/>
        <v>0</v>
      </c>
      <c r="CG14" s="131">
        <f ca="1">SUM(CF14:CF$124)*SSl</f>
        <v>0</v>
      </c>
      <c r="CH14" s="155">
        <f t="shared" ca="1" si="103"/>
        <v>7.3499999999999996E-2</v>
      </c>
      <c r="CI14" s="155">
        <f t="shared" ca="1" si="104"/>
        <v>5766.3197596660848</v>
      </c>
      <c r="CJ14" s="155">
        <f t="shared" ca="1" si="105"/>
        <v>5454.3176882936623</v>
      </c>
      <c r="CK14" s="155">
        <f ca="1">'유해지 (기준P)'!CZ14</f>
        <v>8.3000000000000004E-2</v>
      </c>
      <c r="CL14" s="155">
        <f t="shared" ca="1" si="47"/>
        <v>0</v>
      </c>
      <c r="CM14" s="155">
        <f t="shared" ca="1" si="106"/>
        <v>0</v>
      </c>
      <c r="CN14" s="155">
        <f ca="1">SUM(CM14:$CM$124)</f>
        <v>395.11507188454124</v>
      </c>
      <c r="CO14" s="101">
        <f t="shared" ca="1" si="107"/>
        <v>0.36208499832512153</v>
      </c>
      <c r="CP14" s="154">
        <f t="shared" ca="1" si="48"/>
        <v>0.34340968078698009</v>
      </c>
      <c r="CQ14" s="154">
        <f t="shared" ca="1" si="49"/>
        <v>395.11507188454124</v>
      </c>
      <c r="CR14" s="32">
        <f t="shared" ref="CR14" ca="1" si="131">+MAX(VLOOKUP(xB+$R14,기수표B,$AH$1)-VLOOKUP(xB+mB,기수표B,$AH$1),0)</f>
        <v>852813.68127320241</v>
      </c>
      <c r="CS14" s="32">
        <f t="shared" ca="1" si="50"/>
        <v>852813.68127320241</v>
      </c>
      <c r="CT14" s="32">
        <f t="shared" ref="CT14" ca="1" si="132">+MAX(VLOOKUP(xB+$R14,기수표B,$AA$1)-VLOOKUP(xB+mB,기수표B,$AA$1),0)</f>
        <v>853005.04868092516</v>
      </c>
      <c r="CU14" s="32">
        <f t="shared" ca="1" si="52"/>
        <v>853005.04868092516</v>
      </c>
      <c r="CV14" s="32">
        <f t="shared" ca="1" si="53"/>
        <v>56526.437071643726</v>
      </c>
      <c r="CW14" s="259">
        <f t="shared" ca="1" si="54"/>
        <v>0.32023640629870509</v>
      </c>
      <c r="CX14" s="259" t="e">
        <f t="shared" ca="1" si="55"/>
        <v>#REF!</v>
      </c>
      <c r="CY14" s="262" t="e">
        <f t="shared" ca="1" si="56"/>
        <v>#REF!</v>
      </c>
      <c r="CZ14" s="259">
        <f t="shared" ca="1" si="57"/>
        <v>5.2665521444450608E-3</v>
      </c>
      <c r="DA14" s="31">
        <f t="shared" ref="DA14" ca="1" si="133">+MIN(mB,7)</f>
        <v>7</v>
      </c>
    </row>
    <row r="15" spans="2:105">
      <c r="B15" s="106" t="s">
        <v>6</v>
      </c>
      <c r="C15" s="118">
        <f ca="1">MAIN!C17</f>
        <v>0.97799511002444994</v>
      </c>
      <c r="D15" s="44"/>
      <c r="F15" s="16"/>
      <c r="G15" s="122" t="s">
        <v>186</v>
      </c>
      <c r="H15" s="291">
        <f ca="1">CQ12*mB</f>
        <v>7902.301437690825</v>
      </c>
      <c r="I15" s="291"/>
      <c r="J15" s="291"/>
      <c r="M15" s="242"/>
      <c r="N15" s="5">
        <f t="shared" si="111"/>
        <v>3</v>
      </c>
      <c r="O15" s="2">
        <f t="shared" ref="O15" ca="1" si="134">+(1+iB)^-N15</f>
        <v>0.93542732052003519</v>
      </c>
      <c r="P15" s="2">
        <f t="shared" ref="P15" ca="1" si="135">+(1+iB)^-(N15+0.5)</f>
        <v>0.9250780827284476</v>
      </c>
      <c r="Q15" s="91"/>
      <c r="R15" s="20">
        <f t="shared" si="114"/>
        <v>3</v>
      </c>
      <c r="S15" s="20">
        <f t="shared" ref="S15" si="136">+IF(xB+R15&lt;=xB+nB,xB+R15,"")</f>
        <v>11</v>
      </c>
      <c r="T15" s="2">
        <f t="shared" ref="T15:U15" ca="1" si="137">IFERROR(VLOOKUP($S15,qx_table,MATCH(T$11,qx_title,0)+sexB),0)</f>
        <v>0</v>
      </c>
      <c r="U15" s="2">
        <f t="shared" ca="1" si="137"/>
        <v>1.5999999999999999E-5</v>
      </c>
      <c r="V15" s="300">
        <f t="shared" ca="1" si="26"/>
        <v>5.5500000000000001E-2</v>
      </c>
      <c r="W15" s="8">
        <f t="shared" ref="W15" ca="1" si="138">IF(R15=0,100000,IF(R15&gt;nB,0,W14*(1-X14)*(1-Y14)))</f>
        <v>72687.001510142494</v>
      </c>
      <c r="X15" s="10">
        <f t="shared" ca="1" si="28"/>
        <v>5.5499999999999994E-2</v>
      </c>
      <c r="Y15" s="92">
        <f t="shared" ca="1" si="29"/>
        <v>2.5611999998620405E-7</v>
      </c>
      <c r="Z15" s="8">
        <f t="shared" ca="1" si="64"/>
        <v>67993.407059268342</v>
      </c>
      <c r="AA15" s="8">
        <f ca="1">+SUM(Z15:Z$124)</f>
        <v>857733.85190422391</v>
      </c>
      <c r="AB15" s="8">
        <f t="shared" ca="1" si="30"/>
        <v>3731.8839357936722</v>
      </c>
      <c r="AC15" s="209">
        <f ca="1">+SUM(AB15:AB$124)*SSSM</f>
        <v>0</v>
      </c>
      <c r="AD15" s="209">
        <f t="shared" ref="AD15" ca="1" si="139">IF(R15&gt;nB,0,AD14*(1-X14)*(1-Y14)*(1-AE14)*(1-AF14))</f>
        <v>72683.149166951742</v>
      </c>
      <c r="AE15" s="92">
        <f t="shared" ca="1" si="31"/>
        <v>1.6000000000016001E-5</v>
      </c>
      <c r="AF15" s="92">
        <f t="shared" ca="1" si="32"/>
        <v>0</v>
      </c>
      <c r="AG15" s="8">
        <f t="shared" ca="1" si="33"/>
        <v>67989.803472199696</v>
      </c>
      <c r="AH15" s="5">
        <f ca="1">+SUM(AG15:AG$124)</f>
        <v>857488.76569435117</v>
      </c>
      <c r="AI15" s="70">
        <f t="shared" ca="1" si="34"/>
        <v>1.0758014124495474</v>
      </c>
      <c r="AJ15" s="208">
        <f ca="1">+SUM(AB15:AB$124)*SS50J</f>
        <v>0</v>
      </c>
      <c r="AK15" s="209">
        <f t="shared" ca="1" si="66"/>
        <v>72687.001510142494</v>
      </c>
      <c r="AL15" s="257">
        <f t="shared" ref="AL15" ca="1" si="140">IFERROR(VLOOKUP($S15,qx_table,MATCH(AL$11,qx_title,0)+sexB),0)</f>
        <v>2.5611999999999999E-7</v>
      </c>
      <c r="AM15" s="131">
        <f t="shared" ca="1" si="68"/>
        <v>67993.407059268342</v>
      </c>
      <c r="AN15" s="129">
        <f t="shared" ca="1" si="69"/>
        <v>1.6743898792470107E-2</v>
      </c>
      <c r="AO15" s="129">
        <f ca="1">SUM(AN15:AN$124)*SSa</f>
        <v>0.34478939417357418</v>
      </c>
      <c r="AP15" s="70">
        <f t="shared" ca="1" si="70"/>
        <v>72687.001510142494</v>
      </c>
      <c r="AQ15" s="2">
        <f t="shared" ref="AQ15" ca="1" si="141">IFERROR(VLOOKUP($S15,qx_table,MATCH(AQ$11,qx_title,0)+sexB),0)</f>
        <v>0</v>
      </c>
      <c r="AR15" s="127">
        <f t="shared" ca="1" si="72"/>
        <v>0</v>
      </c>
      <c r="AS15" s="127">
        <f ca="1">SUM(AR15:AR$124)*SSb</f>
        <v>0</v>
      </c>
      <c r="AT15" s="70">
        <f t="shared" ca="1" si="73"/>
        <v>72687.001510142494</v>
      </c>
      <c r="AU15" s="2">
        <f t="shared" ref="AU15" ca="1" si="142">IFERROR(VLOOKUP($S15,qx_table,MATCH(AU$11,qx_title,0)+sexB),0)</f>
        <v>0</v>
      </c>
      <c r="AV15" s="268">
        <f t="shared" ca="1" si="75"/>
        <v>0</v>
      </c>
      <c r="AW15" s="131">
        <f ca="1">SUM(AV15:AV$124)*SSc</f>
        <v>0</v>
      </c>
      <c r="AX15" s="70">
        <f t="shared" ca="1" si="76"/>
        <v>72687.001510142494</v>
      </c>
      <c r="AY15" s="2">
        <f t="shared" ref="AY15" ca="1" si="143">IFERROR(VLOOKUP($S15,qx_table,MATCH(AY$11,qx_title,0)+sexB),0)</f>
        <v>0</v>
      </c>
      <c r="AZ15" s="268">
        <f t="shared" ca="1" si="78"/>
        <v>0</v>
      </c>
      <c r="BA15" s="129">
        <f ca="1">SUM(AZ15:AZ$124)*SSd</f>
        <v>0</v>
      </c>
      <c r="BB15" s="70">
        <f t="shared" ca="1" si="79"/>
        <v>72687.001510142494</v>
      </c>
      <c r="BC15" s="257">
        <f t="shared" ref="BC15" ca="1" si="144">IFERROR(VLOOKUP($S15,qx_table,MATCH(BC$11,qx_title,0)+sexB),0)</f>
        <v>0</v>
      </c>
      <c r="BD15" s="268">
        <f t="shared" ca="1" si="81"/>
        <v>0</v>
      </c>
      <c r="BE15" s="131">
        <f ca="1">SUM(BD15:BD$124)*SSe</f>
        <v>0</v>
      </c>
      <c r="BF15" s="70">
        <f t="shared" ca="1" si="82"/>
        <v>72687.001510142494</v>
      </c>
      <c r="BG15" s="2">
        <f t="shared" ref="BG15" ca="1" si="145">IFERROR(VLOOKUP($S15,qx_table,MATCH(BG$11,qx_title,0)+sexB),0)</f>
        <v>0</v>
      </c>
      <c r="BH15" s="131">
        <f t="shared" ca="1" si="84"/>
        <v>0</v>
      </c>
      <c r="BI15" s="2">
        <f ca="1">SUM(BH15:BH$124)*SSf</f>
        <v>0</v>
      </c>
      <c r="BJ15" s="70">
        <f t="shared" ca="1" si="85"/>
        <v>72687.001510142494</v>
      </c>
      <c r="BK15" s="2">
        <f t="shared" ref="BK15" ca="1" si="146">IFERROR(VLOOKUP($S15,qx_table,MATCH(BK$11,qx_title,0)+sexB),0)</f>
        <v>0</v>
      </c>
      <c r="BL15" s="131">
        <f t="shared" ca="1" si="87"/>
        <v>0</v>
      </c>
      <c r="BM15" s="131">
        <f ca="1">SUM(BL15:BL$124)*SSg</f>
        <v>0</v>
      </c>
      <c r="BN15" s="70">
        <f t="shared" ca="1" si="88"/>
        <v>72687.001510142494</v>
      </c>
      <c r="BO15" s="2">
        <f t="shared" ref="BO15" ca="1" si="147">IFERROR(VLOOKUP($S15,qx_table,MATCH(BO$11,qx_title,0)+sexB),0)</f>
        <v>0</v>
      </c>
      <c r="BP15" s="131">
        <f t="shared" ca="1" si="90"/>
        <v>0</v>
      </c>
      <c r="BQ15" s="131">
        <f ca="1">SUM(BP15:BP$124)*SSh</f>
        <v>0</v>
      </c>
      <c r="BR15" s="70">
        <f t="shared" ca="1" si="91"/>
        <v>72687.001510142494</v>
      </c>
      <c r="BS15" s="2">
        <f t="shared" ref="BS15" ca="1" si="148">IFERROR(VLOOKUP($S15,qx_table,MATCH(BS$11,qx_title,0)+sexB),0)*IF(R15=0,MCi,1)</f>
        <v>0</v>
      </c>
      <c r="BT15" s="131">
        <f t="shared" ca="1" si="93"/>
        <v>0</v>
      </c>
      <c r="BU15" s="131">
        <f ca="1">SUM(BT15:BT$124)*SSi</f>
        <v>0</v>
      </c>
      <c r="BV15" s="70">
        <f t="shared" ca="1" si="94"/>
        <v>72687.001510142494</v>
      </c>
      <c r="BW15" s="2">
        <f t="shared" ref="BW15" ca="1" si="149">IFERROR(VLOOKUP($S15,qx_table,MATCH(BW$11,qx_title,0)+sexB),0)</f>
        <v>0</v>
      </c>
      <c r="BX15" s="131">
        <f t="shared" ca="1" si="96"/>
        <v>0</v>
      </c>
      <c r="BY15" s="131">
        <f ca="1">SUM(BX15:BX$124)*SSj</f>
        <v>0</v>
      </c>
      <c r="BZ15" s="70">
        <f t="shared" ca="1" si="97"/>
        <v>72687.001510142494</v>
      </c>
      <c r="CA15" s="2">
        <f t="shared" ref="CA15" ca="1" si="150">IFERROR(VLOOKUP($S15,qx_table,MATCH(CA$11,qx_title,0)+sexB),0)</f>
        <v>0</v>
      </c>
      <c r="CB15" s="131">
        <f t="shared" ca="1" si="99"/>
        <v>0</v>
      </c>
      <c r="CC15" s="131">
        <f ca="1">SUM(CB15:CB$124)*SSk</f>
        <v>0</v>
      </c>
      <c r="CD15" s="8">
        <f t="shared" ca="1" si="100"/>
        <v>72687.001510142494</v>
      </c>
      <c r="CE15" s="2">
        <f t="shared" ref="CE15" ca="1" si="151">IFERROR(VLOOKUP($S15,qx_table,MATCH(CE$11,qx_title,0)+sexB),0)</f>
        <v>0</v>
      </c>
      <c r="CF15" s="131">
        <f t="shared" ca="1" si="102"/>
        <v>0</v>
      </c>
      <c r="CG15" s="131">
        <f ca="1">SUM(CF15:CF$124)*SSl</f>
        <v>0</v>
      </c>
      <c r="CH15" s="155">
        <f t="shared" ca="1" si="103"/>
        <v>5.5500000000000001E-2</v>
      </c>
      <c r="CI15" s="155">
        <f t="shared" ca="1" si="104"/>
        <v>4034.1280672024018</v>
      </c>
      <c r="CJ15" s="155">
        <f t="shared" ca="1" si="105"/>
        <v>3731.8834578886158</v>
      </c>
      <c r="CK15" s="155">
        <f ca="1">'유해지 (기준P)'!CZ15</f>
        <v>0.111</v>
      </c>
      <c r="CL15" s="155">
        <f t="shared" ca="1" si="47"/>
        <v>0</v>
      </c>
      <c r="CM15" s="155">
        <f t="shared" ca="1" si="106"/>
        <v>0</v>
      </c>
      <c r="CN15" s="155">
        <f ca="1">SUM(CM15:$CM$124)</f>
        <v>395.11507188454124</v>
      </c>
      <c r="CO15" s="101">
        <f t="shared" ca="1" si="107"/>
        <v>0.34478939417357418</v>
      </c>
      <c r="CP15" s="154">
        <f t="shared" ca="1" si="48"/>
        <v>0.32611407663543274</v>
      </c>
      <c r="CQ15" s="154">
        <f t="shared" ca="1" si="49"/>
        <v>395.11507188454124</v>
      </c>
      <c r="CR15" s="32">
        <f t="shared" ref="CR15" ca="1" si="152">+MAX(VLOOKUP(xB+$R15,기수표B,$AH$1)-VLOOKUP(xB+mB,기수표B,$AH$1),0)</f>
        <v>777777.84403355233</v>
      </c>
      <c r="CS15" s="32">
        <f t="shared" ca="1" si="50"/>
        <v>777777.84403355233</v>
      </c>
      <c r="CT15" s="32">
        <f t="shared" ref="CT15" ca="1" si="153">+MAX(VLOOKUP(xB+$R15,기수표B,$AA$1)-VLOOKUP(xB+mB,기수표B,$AA$1),0)</f>
        <v>777966.43503823364</v>
      </c>
      <c r="CU15" s="32">
        <f t="shared" ca="1" si="52"/>
        <v>777966.43503823364</v>
      </c>
      <c r="CV15" s="32">
        <f t="shared" ca="1" si="53"/>
        <v>56526.437071643726</v>
      </c>
      <c r="CW15" s="259">
        <f t="shared" ca="1" si="54"/>
        <v>0.29206002101210199</v>
      </c>
      <c r="CX15" s="259" t="e">
        <f t="shared" ca="1" si="55"/>
        <v>#REF!</v>
      </c>
      <c r="CY15" s="262" t="e">
        <f t="shared" ca="1" si="56"/>
        <v>#REF!</v>
      </c>
      <c r="CZ15" s="259">
        <f t="shared" ca="1" si="57"/>
        <v>5.812411371484064E-3</v>
      </c>
      <c r="DA15" s="31">
        <f t="shared" ref="DA15" ca="1" si="154">+MIN(mB,7)</f>
        <v>7</v>
      </c>
    </row>
    <row r="16" spans="2:105">
      <c r="B16" s="106" t="s">
        <v>16</v>
      </c>
      <c r="C16" s="227">
        <f ca="1">S</f>
        <v>10000000</v>
      </c>
      <c r="D16" s="44"/>
      <c r="F16" s="21"/>
      <c r="G16" s="122" t="s">
        <v>187</v>
      </c>
      <c r="H16" s="291">
        <f ca="1">H14+H15</f>
        <v>7902.6741090037103</v>
      </c>
      <c r="I16" s="291"/>
      <c r="J16" s="291"/>
      <c r="M16" s="242"/>
      <c r="N16" s="5">
        <f t="shared" si="111"/>
        <v>4</v>
      </c>
      <c r="O16" s="2">
        <f t="shared" ref="O16" ca="1" si="155">+(1+iB)^-N16</f>
        <v>0.91484334525186817</v>
      </c>
      <c r="P16" s="2">
        <f t="shared" ref="P16" ca="1" si="156">+(1+iB)^-(N16+0.5)</f>
        <v>0.90472184129921518</v>
      </c>
      <c r="Q16" s="91"/>
      <c r="R16" s="20">
        <f t="shared" si="114"/>
        <v>4</v>
      </c>
      <c r="S16" s="20">
        <f t="shared" ref="S16" si="157">+IF(xB+R16&lt;=xB+nB,xB+R16,"")</f>
        <v>12</v>
      </c>
      <c r="T16" s="231">
        <f t="shared" ref="T16:U16" ca="1" si="158">IFERROR(VLOOKUP($S16,qx_table,MATCH(T$11,qx_title,0)+sexB),0)</f>
        <v>0</v>
      </c>
      <c r="U16" s="231">
        <f t="shared" ca="1" si="158"/>
        <v>1.4999999999999999E-5</v>
      </c>
      <c r="V16" s="300">
        <f t="shared" ca="1" si="26"/>
        <v>0.06</v>
      </c>
      <c r="W16" s="8">
        <f t="shared" ref="W16" ca="1" si="159">IF(R16=0,100000,IF(R16&gt;nB,0,W15*(1-X15)*(1-Y15)))</f>
        <v>68652.855342955765</v>
      </c>
      <c r="X16" s="233">
        <f t="shared" ca="1" si="28"/>
        <v>6.0000000000000053E-2</v>
      </c>
      <c r="Y16" s="235">
        <f t="shared" ca="1" si="29"/>
        <v>2.7481900000125847E-7</v>
      </c>
      <c r="Z16" s="232">
        <f t="shared" ca="1" si="64"/>
        <v>62806.607843042242</v>
      </c>
      <c r="AA16" s="232">
        <f ca="1">+SUM(Z16:Z$124)</f>
        <v>789740.44484495558</v>
      </c>
      <c r="AB16" s="232">
        <f t="shared" ca="1" si="30"/>
        <v>3726.7042617796592</v>
      </c>
      <c r="AC16" s="234">
        <f ca="1">+SUM(AB16:AB$124)*SSSM</f>
        <v>0</v>
      </c>
      <c r="AD16" s="209">
        <f t="shared" ref="AD16" ca="1" si="160">IF(R16&gt;nB,0,AD15*(1-X15)*(1-Y15)*(1-AE15)*(1-AF15))</f>
        <v>68648.118418275117</v>
      </c>
      <c r="AE16" s="235">
        <f t="shared" ca="1" si="31"/>
        <v>1.4999999999987246E-5</v>
      </c>
      <c r="AF16" s="235">
        <f t="shared" ca="1" si="32"/>
        <v>0</v>
      </c>
      <c r="AG16" s="232">
        <f t="shared" ca="1" si="33"/>
        <v>62802.274299021192</v>
      </c>
      <c r="AH16" s="236">
        <f ca="1">+SUM(AG16:AG$124)</f>
        <v>789498.96222215146</v>
      </c>
      <c r="AI16" s="237">
        <f t="shared" ca="1" si="34"/>
        <v>0.93161178145583423</v>
      </c>
      <c r="AJ16" s="238">
        <f ca="1">+SUM(AB16:AB$124)*SS50J</f>
        <v>0</v>
      </c>
      <c r="AK16" s="209">
        <f t="shared" ca="1" si="66"/>
        <v>68652.855342955765</v>
      </c>
      <c r="AL16" s="257">
        <f t="shared" ref="AL16" ca="1" si="161">IFERROR(VLOOKUP($S16,qx_table,MATCH(AL$11,qx_title,0)+sexB),0)</f>
        <v>2.7481900000000005E-7</v>
      </c>
      <c r="AM16" s="131">
        <f t="shared" ca="1" si="68"/>
        <v>62806.607843042242</v>
      </c>
      <c r="AN16" s="129">
        <f t="shared" ca="1" si="69"/>
        <v>1.6557401072708047E-2</v>
      </c>
      <c r="AO16" s="129">
        <f ca="1">SUM(AN16:AN$124)*SSa</f>
        <v>0.32804549538110406</v>
      </c>
      <c r="AP16" s="70">
        <f t="shared" ca="1" si="70"/>
        <v>68652.855342955765</v>
      </c>
      <c r="AQ16" s="2">
        <f t="shared" ref="AQ16" ca="1" si="162">IFERROR(VLOOKUP($S16,qx_table,MATCH(AQ$11,qx_title,0)+sexB),0)</f>
        <v>0</v>
      </c>
      <c r="AR16" s="127">
        <f t="shared" ca="1" si="72"/>
        <v>0</v>
      </c>
      <c r="AS16" s="127">
        <f ca="1">SUM(AR16:AR$124)*SSb</f>
        <v>0</v>
      </c>
      <c r="AT16" s="70">
        <f t="shared" ca="1" si="73"/>
        <v>68652.855342955765</v>
      </c>
      <c r="AU16" s="2">
        <f t="shared" ref="AU16" ca="1" si="163">IFERROR(VLOOKUP($S16,qx_table,MATCH(AU$11,qx_title,0)+sexB),0)</f>
        <v>0</v>
      </c>
      <c r="AV16" s="268">
        <f t="shared" ca="1" si="75"/>
        <v>0</v>
      </c>
      <c r="AW16" s="131">
        <f ca="1">SUM(AV16:AV$124)*SSc</f>
        <v>0</v>
      </c>
      <c r="AX16" s="70">
        <f t="shared" ca="1" si="76"/>
        <v>68652.855342955765</v>
      </c>
      <c r="AY16" s="2">
        <f t="shared" ref="AY16" ca="1" si="164">IFERROR(VLOOKUP($S16,qx_table,MATCH(AY$11,qx_title,0)+sexB),0)</f>
        <v>0</v>
      </c>
      <c r="AZ16" s="268">
        <f t="shared" ca="1" si="78"/>
        <v>0</v>
      </c>
      <c r="BA16" s="129">
        <f ca="1">SUM(AZ16:AZ$124)*SSd</f>
        <v>0</v>
      </c>
      <c r="BB16" s="70">
        <f t="shared" ca="1" si="79"/>
        <v>68652.855342955765</v>
      </c>
      <c r="BC16" s="257">
        <f t="shared" ref="BC16" ca="1" si="165">IFERROR(VLOOKUP($S16,qx_table,MATCH(BC$11,qx_title,0)+sexB),0)</f>
        <v>0</v>
      </c>
      <c r="BD16" s="268">
        <f t="shared" ca="1" si="81"/>
        <v>0</v>
      </c>
      <c r="BE16" s="131">
        <f ca="1">SUM(BD16:BD$124)*SSe</f>
        <v>0</v>
      </c>
      <c r="BF16" s="70">
        <f t="shared" ca="1" si="82"/>
        <v>68652.855342955765</v>
      </c>
      <c r="BG16" s="2">
        <f t="shared" ref="BG16" ca="1" si="166">IFERROR(VLOOKUP($S16,qx_table,MATCH(BG$11,qx_title,0)+sexB),0)</f>
        <v>0</v>
      </c>
      <c r="BH16" s="131">
        <f t="shared" ca="1" si="84"/>
        <v>0</v>
      </c>
      <c r="BI16" s="2">
        <f ca="1">SUM(BH16:BH$124)*SSf</f>
        <v>0</v>
      </c>
      <c r="BJ16" s="70">
        <f t="shared" ca="1" si="85"/>
        <v>68652.855342955765</v>
      </c>
      <c r="BK16" s="2">
        <f t="shared" ref="BK16" ca="1" si="167">IFERROR(VLOOKUP($S16,qx_table,MATCH(BK$11,qx_title,0)+sexB),0)</f>
        <v>0</v>
      </c>
      <c r="BL16" s="131">
        <f t="shared" ca="1" si="87"/>
        <v>0</v>
      </c>
      <c r="BM16" s="131">
        <f ca="1">SUM(BL16:BL$124)*SSg</f>
        <v>0</v>
      </c>
      <c r="BN16" s="70">
        <f t="shared" ca="1" si="88"/>
        <v>68652.855342955765</v>
      </c>
      <c r="BO16" s="2">
        <f t="shared" ref="BO16" ca="1" si="168">IFERROR(VLOOKUP($S16,qx_table,MATCH(BO$11,qx_title,0)+sexB),0)</f>
        <v>0</v>
      </c>
      <c r="BP16" s="131">
        <f t="shared" ca="1" si="90"/>
        <v>0</v>
      </c>
      <c r="BQ16" s="131">
        <f ca="1">SUM(BP16:BP$124)*SSh</f>
        <v>0</v>
      </c>
      <c r="BR16" s="70">
        <f t="shared" ca="1" si="91"/>
        <v>68652.855342955765</v>
      </c>
      <c r="BS16" s="2">
        <f t="shared" ref="BS16" ca="1" si="169">IFERROR(VLOOKUP($S16,qx_table,MATCH(BS$11,qx_title,0)+sexB),0)*IF(R16=0,MCi,1)</f>
        <v>0</v>
      </c>
      <c r="BT16" s="131">
        <f t="shared" ca="1" si="93"/>
        <v>0</v>
      </c>
      <c r="BU16" s="131">
        <f ca="1">SUM(BT16:BT$124)*SSi</f>
        <v>0</v>
      </c>
      <c r="BV16" s="70">
        <f t="shared" ca="1" si="94"/>
        <v>68652.855342955765</v>
      </c>
      <c r="BW16" s="2">
        <f t="shared" ref="BW16" ca="1" si="170">IFERROR(VLOOKUP($S16,qx_table,MATCH(BW$11,qx_title,0)+sexB),0)</f>
        <v>0</v>
      </c>
      <c r="BX16" s="131">
        <f t="shared" ca="1" si="96"/>
        <v>0</v>
      </c>
      <c r="BY16" s="131">
        <f ca="1">SUM(BX16:BX$124)*SSj</f>
        <v>0</v>
      </c>
      <c r="BZ16" s="70">
        <f t="shared" ca="1" si="97"/>
        <v>68652.855342955765</v>
      </c>
      <c r="CA16" s="2">
        <f t="shared" ref="CA16" ca="1" si="171">IFERROR(VLOOKUP($S16,qx_table,MATCH(CA$11,qx_title,0)+sexB),0)</f>
        <v>0</v>
      </c>
      <c r="CB16" s="131">
        <f t="shared" ca="1" si="99"/>
        <v>0</v>
      </c>
      <c r="CC16" s="131">
        <f ca="1">SUM(CB16:CB$124)*SSk</f>
        <v>0</v>
      </c>
      <c r="CD16" s="8">
        <f t="shared" ca="1" si="100"/>
        <v>68652.855342955765</v>
      </c>
      <c r="CE16" s="2">
        <f t="shared" ref="CE16" ca="1" si="172">IFERROR(VLOOKUP($S16,qx_table,MATCH(CE$11,qx_title,0)+sexB),0)</f>
        <v>0</v>
      </c>
      <c r="CF16" s="131">
        <f t="shared" ca="1" si="102"/>
        <v>0</v>
      </c>
      <c r="CG16" s="131">
        <f ca="1">SUM(CF16:CF$124)*SSl</f>
        <v>0</v>
      </c>
      <c r="CH16" s="155">
        <f t="shared" ca="1" si="103"/>
        <v>0.06</v>
      </c>
      <c r="CI16" s="155">
        <f t="shared" ca="1" si="104"/>
        <v>4119.1707545640738</v>
      </c>
      <c r="CJ16" s="155">
        <f t="shared" ca="1" si="105"/>
        <v>3726.7037496950866</v>
      </c>
      <c r="CK16" s="155">
        <f ca="1">'유해지 (기준P)'!CZ16</f>
        <v>0.114</v>
      </c>
      <c r="CL16" s="155">
        <f t="shared" ca="1" si="47"/>
        <v>0</v>
      </c>
      <c r="CM16" s="155">
        <f t="shared" ca="1" si="106"/>
        <v>0</v>
      </c>
      <c r="CN16" s="155">
        <f ca="1">SUM(CM16:$CM$124)</f>
        <v>395.11507188454124</v>
      </c>
      <c r="CO16" s="101">
        <f t="shared" ca="1" si="107"/>
        <v>0.32804549538110406</v>
      </c>
      <c r="CP16" s="154">
        <f t="shared" ca="1" si="48"/>
        <v>0.30937017784296261</v>
      </c>
      <c r="CQ16" s="154">
        <f t="shared" ca="1" si="49"/>
        <v>395.11507188454124</v>
      </c>
      <c r="CR16" s="239">
        <f t="shared" ref="CR16" ca="1" si="173">+MAX(VLOOKUP(xB+$R16,기수표B,$AH$1)-VLOOKUP(xB+mB,기수표B,$AH$1),0)</f>
        <v>709788.04056135262</v>
      </c>
      <c r="CS16" s="32">
        <f t="shared" ca="1" si="50"/>
        <v>709788.04056135262</v>
      </c>
      <c r="CT16" s="32">
        <f t="shared" ref="CT16" ca="1" si="174">+MAX(VLOOKUP(xB+$R16,기수표B,$AA$1)-VLOOKUP(xB+mB,기수표B,$AA$1),0)</f>
        <v>709973.02797896531</v>
      </c>
      <c r="CU16" s="32">
        <f t="shared" ca="1" si="52"/>
        <v>709973.02797896531</v>
      </c>
      <c r="CV16" s="239">
        <f t="shared" ca="1" si="53"/>
        <v>56526.437071643726</v>
      </c>
      <c r="CW16" s="259">
        <f t="shared" ca="1" si="54"/>
        <v>0.26652946163319186</v>
      </c>
      <c r="CX16" s="259" t="e">
        <f t="shared" ca="1" si="55"/>
        <v>#REF!</v>
      </c>
      <c r="CY16" s="262" t="e">
        <f t="shared" ca="1" si="56"/>
        <v>#REF!</v>
      </c>
      <c r="CZ16" s="259">
        <f t="shared" ca="1" si="57"/>
        <v>6.2925614455327525E-3</v>
      </c>
      <c r="DA16" s="240">
        <f t="shared" ref="DA16" ca="1" si="175">+MIN(mB,7)</f>
        <v>7</v>
      </c>
    </row>
    <row r="17" spans="2:105">
      <c r="B17" s="106" t="s">
        <v>29</v>
      </c>
      <c r="C17" s="118">
        <f ca="1">LEN(SB)-1</f>
        <v>7</v>
      </c>
      <c r="D17" s="44"/>
      <c r="F17" s="21"/>
      <c r="J17" s="241"/>
      <c r="L17" s="309"/>
      <c r="M17" s="242"/>
      <c r="N17" s="5">
        <f t="shared" si="111"/>
        <v>5</v>
      </c>
      <c r="O17" s="2">
        <f t="shared" ref="O17" ca="1" si="176">+(1+iB)^-N17</f>
        <v>0.89471231809473661</v>
      </c>
      <c r="P17" s="2">
        <f t="shared" ref="P17" ca="1" si="177">+(1+iB)^-(N17+0.5)</f>
        <v>0.88481353672294882</v>
      </c>
      <c r="Q17" s="91"/>
      <c r="R17" s="20">
        <f t="shared" si="114"/>
        <v>5</v>
      </c>
      <c r="S17" s="20">
        <f t="shared" ref="S17" si="178">+IF(xB+R17&lt;=xB+nB,xB+R17,"")</f>
        <v>13</v>
      </c>
      <c r="T17" s="2">
        <f t="shared" ref="T17:U17" ca="1" si="179">IFERROR(VLOOKUP($S17,qx_table,MATCH(T$11,qx_title,0)+sexB),0)</f>
        <v>0</v>
      </c>
      <c r="U17" s="2">
        <f t="shared" ca="1" si="179"/>
        <v>1.4999999999999999E-5</v>
      </c>
      <c r="V17" s="300">
        <f t="shared" ca="1" si="26"/>
        <v>3.2500000000000001E-2</v>
      </c>
      <c r="W17" s="8">
        <f t="shared" ref="W17" ca="1" si="180">IF(R17=0,100000,IF(R17&gt;nB,0,W16*(1-X16)*(1-Y16)))</f>
        <v>64533.666287295906</v>
      </c>
      <c r="X17" s="10">
        <f t="shared" ca="1" si="28"/>
        <v>3.2499999999999973E-2</v>
      </c>
      <c r="Y17" s="92">
        <f t="shared" ca="1" si="29"/>
        <v>2.9835399995015166E-7</v>
      </c>
      <c r="Z17" s="8">
        <f t="shared" ca="1" si="64"/>
        <v>57739.066159058675</v>
      </c>
      <c r="AA17" s="8">
        <f ca="1">+SUM(Z17:Z$124)</f>
        <v>726933.83700191334</v>
      </c>
      <c r="AB17" s="8">
        <f t="shared" ca="1" si="30"/>
        <v>1855.758498924225</v>
      </c>
      <c r="AC17" s="209">
        <f ca="1">+SUM(AB17:AB$124)*SSSM</f>
        <v>0</v>
      </c>
      <c r="AD17" s="209">
        <f t="shared" ref="AD17" ca="1" si="181">IF(R17&gt;nB,0,AD16*(1-X16)*(1-Y16)*(1-AE16)*(1-AF16))</f>
        <v>64528.245641116097</v>
      </c>
      <c r="AE17" s="92">
        <f t="shared" ca="1" si="31"/>
        <v>1.4999999999987246E-5</v>
      </c>
      <c r="AF17" s="92">
        <f t="shared" ca="1" si="32"/>
        <v>0</v>
      </c>
      <c r="AG17" s="8">
        <f t="shared" ca="1" si="33"/>
        <v>57734.216240149566</v>
      </c>
      <c r="AH17" s="5">
        <f ca="1">+SUM(AG17:AG$124)</f>
        <v>726696.68792313023</v>
      </c>
      <c r="AI17" s="70">
        <f t="shared" ca="1" si="34"/>
        <v>0.85643197866291898</v>
      </c>
      <c r="AJ17" s="208">
        <f ca="1">+SUM(AB17:AB$124)*SS50J</f>
        <v>0</v>
      </c>
      <c r="AK17" s="209">
        <f t="shared" ca="1" si="66"/>
        <v>64533.666287295906</v>
      </c>
      <c r="AL17" s="257">
        <f t="shared" ref="AL17" ca="1" si="182">IFERROR(VLOOKUP($S17,qx_table,MATCH(AL$11,qx_title,0)+sexB),0)</f>
        <v>2.9835399999999997E-7</v>
      </c>
      <c r="AM17" s="131">
        <f t="shared" ca="1" si="68"/>
        <v>57739.066159058675</v>
      </c>
      <c r="AN17" s="129">
        <f t="shared" ca="1" si="69"/>
        <v>1.6759254935576402E-2</v>
      </c>
      <c r="AO17" s="129">
        <f ca="1">SUM(AN17:AN$124)*SSa</f>
        <v>0.31148809430839602</v>
      </c>
      <c r="AP17" s="70">
        <f t="shared" ca="1" si="70"/>
        <v>64533.666287295906</v>
      </c>
      <c r="AQ17" s="2">
        <f t="shared" ref="AQ17" ca="1" si="183">IFERROR(VLOOKUP($S17,qx_table,MATCH(AQ$11,qx_title,0)+sexB),0)</f>
        <v>0</v>
      </c>
      <c r="AR17" s="127">
        <f t="shared" ca="1" si="72"/>
        <v>0</v>
      </c>
      <c r="AS17" s="127">
        <f ca="1">SUM(AR17:AR$124)*SSb</f>
        <v>0</v>
      </c>
      <c r="AT17" s="70">
        <f t="shared" ca="1" si="73"/>
        <v>64533.666287295906</v>
      </c>
      <c r="AU17" s="2">
        <f t="shared" ref="AU17" ca="1" si="184">IFERROR(VLOOKUP($S17,qx_table,MATCH(AU$11,qx_title,0)+sexB),0)</f>
        <v>0</v>
      </c>
      <c r="AV17" s="268">
        <f t="shared" ca="1" si="75"/>
        <v>0</v>
      </c>
      <c r="AW17" s="131">
        <f ca="1">SUM(AV17:AV$124)*SSc</f>
        <v>0</v>
      </c>
      <c r="AX17" s="70">
        <f t="shared" ca="1" si="76"/>
        <v>64533.666287295906</v>
      </c>
      <c r="AY17" s="2">
        <f t="shared" ref="AY17" ca="1" si="185">IFERROR(VLOOKUP($S17,qx_table,MATCH(AY$11,qx_title,0)+sexB),0)</f>
        <v>0</v>
      </c>
      <c r="AZ17" s="268">
        <f t="shared" ca="1" si="78"/>
        <v>0</v>
      </c>
      <c r="BA17" s="129">
        <f ca="1">SUM(AZ17:AZ$124)*SSd</f>
        <v>0</v>
      </c>
      <c r="BB17" s="70">
        <f t="shared" ca="1" si="79"/>
        <v>64533.666287295906</v>
      </c>
      <c r="BC17" s="257">
        <f t="shared" ref="BC17" ca="1" si="186">IFERROR(VLOOKUP($S17,qx_table,MATCH(BC$11,qx_title,0)+sexB),0)</f>
        <v>0</v>
      </c>
      <c r="BD17" s="268">
        <f t="shared" ca="1" si="81"/>
        <v>0</v>
      </c>
      <c r="BE17" s="131">
        <f ca="1">SUM(BD17:BD$124)*SSe</f>
        <v>0</v>
      </c>
      <c r="BF17" s="70">
        <f t="shared" ca="1" si="82"/>
        <v>64533.666287295906</v>
      </c>
      <c r="BG17" s="2">
        <f t="shared" ref="BG17" ca="1" si="187">IFERROR(VLOOKUP($S17,qx_table,MATCH(BG$11,qx_title,0)+sexB),0)</f>
        <v>0</v>
      </c>
      <c r="BH17" s="131">
        <f t="shared" ca="1" si="84"/>
        <v>0</v>
      </c>
      <c r="BI17" s="2">
        <f ca="1">SUM(BH17:BH$124)*SSf</f>
        <v>0</v>
      </c>
      <c r="BJ17" s="70">
        <f t="shared" ca="1" si="85"/>
        <v>64533.666287295906</v>
      </c>
      <c r="BK17" s="2">
        <f t="shared" ref="BK17" ca="1" si="188">IFERROR(VLOOKUP($S17,qx_table,MATCH(BK$11,qx_title,0)+sexB),0)</f>
        <v>0</v>
      </c>
      <c r="BL17" s="131">
        <f t="shared" ca="1" si="87"/>
        <v>0</v>
      </c>
      <c r="BM17" s="131">
        <f ca="1">SUM(BL17:BL$124)*SSg</f>
        <v>0</v>
      </c>
      <c r="BN17" s="70">
        <f t="shared" ca="1" si="88"/>
        <v>64533.666287295906</v>
      </c>
      <c r="BO17" s="2">
        <f t="shared" ref="BO17" ca="1" si="189">IFERROR(VLOOKUP($S17,qx_table,MATCH(BO$11,qx_title,0)+sexB),0)</f>
        <v>0</v>
      </c>
      <c r="BP17" s="131">
        <f t="shared" ca="1" si="90"/>
        <v>0</v>
      </c>
      <c r="BQ17" s="131">
        <f ca="1">SUM(BP17:BP$124)*SSh</f>
        <v>0</v>
      </c>
      <c r="BR17" s="70">
        <f t="shared" ca="1" si="91"/>
        <v>64533.666287295906</v>
      </c>
      <c r="BS17" s="2">
        <f t="shared" ref="BS17" ca="1" si="190">IFERROR(VLOOKUP($S17,qx_table,MATCH(BS$11,qx_title,0)+sexB),0)*IF(R17=0,MCi,1)</f>
        <v>0</v>
      </c>
      <c r="BT17" s="131">
        <f t="shared" ca="1" si="93"/>
        <v>0</v>
      </c>
      <c r="BU17" s="131">
        <f ca="1">SUM(BT17:BT$124)*SSi</f>
        <v>0</v>
      </c>
      <c r="BV17" s="70">
        <f t="shared" ca="1" si="94"/>
        <v>64533.666287295906</v>
      </c>
      <c r="BW17" s="2">
        <f t="shared" ref="BW17" ca="1" si="191">IFERROR(VLOOKUP($S17,qx_table,MATCH(BW$11,qx_title,0)+sexB),0)</f>
        <v>0</v>
      </c>
      <c r="BX17" s="131">
        <f t="shared" ca="1" si="96"/>
        <v>0</v>
      </c>
      <c r="BY17" s="131">
        <f ca="1">SUM(BX17:BX$124)*SSj</f>
        <v>0</v>
      </c>
      <c r="BZ17" s="70">
        <f t="shared" ca="1" si="97"/>
        <v>64533.666287295906</v>
      </c>
      <c r="CA17" s="2">
        <f t="shared" ref="CA17" ca="1" si="192">IFERROR(VLOOKUP($S17,qx_table,MATCH(CA$11,qx_title,0)+sexB),0)</f>
        <v>0</v>
      </c>
      <c r="CB17" s="131">
        <f t="shared" ca="1" si="99"/>
        <v>0</v>
      </c>
      <c r="CC17" s="131">
        <f ca="1">SUM(CB17:CB$124)*SSk</f>
        <v>0</v>
      </c>
      <c r="CD17" s="8">
        <f t="shared" ca="1" si="100"/>
        <v>64533.666287295906</v>
      </c>
      <c r="CE17" s="2">
        <f t="shared" ref="CE17" ca="1" si="193">IFERROR(VLOOKUP($S17,qx_table,MATCH(CE$11,qx_title,0)+sexB),0)</f>
        <v>0</v>
      </c>
      <c r="CF17" s="131">
        <f t="shared" ca="1" si="102"/>
        <v>0</v>
      </c>
      <c r="CG17" s="131">
        <f ca="1">SUM(CF17:CF$124)*SSl</f>
        <v>0</v>
      </c>
      <c r="CH17" s="155">
        <f t="shared" ca="1" si="103"/>
        <v>3.2500000000000001E-2</v>
      </c>
      <c r="CI17" s="155">
        <f t="shared" ca="1" si="104"/>
        <v>2097.343841461608</v>
      </c>
      <c r="CJ17" s="155">
        <f t="shared" ca="1" si="105"/>
        <v>1855.7582220877412</v>
      </c>
      <c r="CK17" s="155">
        <f ca="1">'유해지 (기준P)'!CZ17</f>
        <v>0.108</v>
      </c>
      <c r="CL17" s="155">
        <f t="shared" ca="1" si="47"/>
        <v>0</v>
      </c>
      <c r="CM17" s="155">
        <f t="shared" ca="1" si="106"/>
        <v>0</v>
      </c>
      <c r="CN17" s="155">
        <f ca="1">SUM(CM17:$CM$124)</f>
        <v>395.11507188454124</v>
      </c>
      <c r="CO17" s="101">
        <f t="shared" ca="1" si="107"/>
        <v>0.31148809430839602</v>
      </c>
      <c r="CP17" s="154">
        <f t="shared" ca="1" si="48"/>
        <v>0.29281277677025458</v>
      </c>
      <c r="CQ17" s="154">
        <f t="shared" ca="1" si="49"/>
        <v>395.11507188454124</v>
      </c>
      <c r="CR17" s="32">
        <f t="shared" ref="CR17" ca="1" si="194">+MAX(VLOOKUP(xB+$R17,기수표B,$AH$1)-VLOOKUP(xB+mB,기수표B,$AH$1),0)</f>
        <v>646985.7662623314</v>
      </c>
      <c r="CS17" s="32">
        <f t="shared" ca="1" si="50"/>
        <v>646985.7662623314</v>
      </c>
      <c r="CT17" s="32">
        <f t="shared" ref="CT17" ca="1" si="195">+MAX(VLOOKUP(xB+$R17,기수표B,$AA$1)-VLOOKUP(xB+mB,기수표B,$AA$1),0)</f>
        <v>647166.42013592308</v>
      </c>
      <c r="CU17" s="32">
        <f t="shared" ca="1" si="52"/>
        <v>647166.42013592308</v>
      </c>
      <c r="CV17" s="32">
        <f t="shared" ca="1" si="53"/>
        <v>56526.437071643726</v>
      </c>
      <c r="CW17" s="259">
        <f t="shared" ca="1" si="54"/>
        <v>0.24294684907604025</v>
      </c>
      <c r="CX17" s="259" t="e">
        <f t="shared" ca="1" si="55"/>
        <v>#REF!</v>
      </c>
      <c r="CY17" s="262" t="e">
        <f t="shared" ca="1" si="56"/>
        <v>#REF!</v>
      </c>
      <c r="CZ17" s="259">
        <f t="shared" ca="1" si="57"/>
        <v>6.8449576784036853E-3</v>
      </c>
      <c r="DA17" s="31">
        <f t="shared" ref="DA17" ca="1" si="196">+MIN(mB,7)</f>
        <v>7</v>
      </c>
    </row>
    <row r="18" spans="2:105">
      <c r="F18" s="16"/>
      <c r="G18" s="13" t="s">
        <v>76</v>
      </c>
      <c r="I18" s="16"/>
      <c r="K18" s="16"/>
      <c r="M18" s="242"/>
      <c r="N18" s="5">
        <f t="shared" si="111"/>
        <v>6</v>
      </c>
      <c r="O18" s="2">
        <f t="shared" ref="O18" ca="1" si="197">+(1+iB)^-N18</f>
        <v>0.87502427197529253</v>
      </c>
      <c r="P18" s="2">
        <f t="shared" ref="P18" ca="1" si="198">+(1+iB)^-(N18+0.5)</f>
        <v>0.86534331219848315</v>
      </c>
      <c r="Q18" s="91"/>
      <c r="R18" s="20">
        <f t="shared" si="114"/>
        <v>6</v>
      </c>
      <c r="S18" s="20">
        <f t="shared" ref="S18" si="199">+IF(xB+R18&lt;=xB+nB,xB+R18,"")</f>
        <v>14</v>
      </c>
      <c r="T18" s="2">
        <f t="shared" ref="T18:U18" ca="1" si="200">IFERROR(VLOOKUP($S18,qx_table,MATCH(T$11,qx_title,0)+sexB),0)</f>
        <v>0</v>
      </c>
      <c r="U18" s="2">
        <f t="shared" ca="1" si="200"/>
        <v>1.4000000000000001E-5</v>
      </c>
      <c r="V18" s="300">
        <f t="shared" ca="1" si="26"/>
        <v>2.9499999999999998E-2</v>
      </c>
      <c r="W18" s="8">
        <f t="shared" ref="W18" ca="1" si="201">IF(R18=0,100000,IF(R18&gt;nB,0,W17*(1-X17)*(1-Y17)))</f>
        <v>62436.303504832336</v>
      </c>
      <c r="X18" s="10">
        <f t="shared" ca="1" si="28"/>
        <v>2.9499999999999971E-2</v>
      </c>
      <c r="Y18" s="92">
        <f t="shared" ca="1" si="29"/>
        <v>3.2724800003158805E-7</v>
      </c>
      <c r="Z18" s="8">
        <f t="shared" ca="1" si="64"/>
        <v>54633.28101914432</v>
      </c>
      <c r="AA18" s="8">
        <f ca="1">+SUM(Z18:Z$124)</f>
        <v>669194.77084285463</v>
      </c>
      <c r="AB18" s="8">
        <f t="shared" ca="1" si="30"/>
        <v>1593.8507114508891</v>
      </c>
      <c r="AC18" s="209">
        <f ca="1">+SUM(AB18:AB$124)*SSSM</f>
        <v>0</v>
      </c>
      <c r="AD18" s="209">
        <f t="shared" ref="AD18" ca="1" si="202">IF(R18&gt;nB,0,AD17*(1-X17)*(1-Y17)*(1-AE17)*(1-AF17))</f>
        <v>62430.122565332618</v>
      </c>
      <c r="AE18" s="92">
        <f t="shared" ca="1" si="31"/>
        <v>1.399999999995849E-5</v>
      </c>
      <c r="AF18" s="92">
        <f t="shared" ca="1" si="32"/>
        <v>0</v>
      </c>
      <c r="AG18" s="8">
        <f t="shared" ca="1" si="33"/>
        <v>54627.872547058454</v>
      </c>
      <c r="AH18" s="5">
        <f ca="1">+SUM(AG18:AG$124)</f>
        <v>668962.47168298066</v>
      </c>
      <c r="AI18" s="70">
        <f t="shared" ca="1" si="34"/>
        <v>0.75632884658074817</v>
      </c>
      <c r="AJ18" s="208">
        <f ca="1">+SUM(AB18:AB$124)*SS50J</f>
        <v>0</v>
      </c>
      <c r="AK18" s="209">
        <f t="shared" ca="1" si="66"/>
        <v>62436.303504832336</v>
      </c>
      <c r="AL18" s="257">
        <f t="shared" ref="AL18" ca="1" si="203">IFERROR(VLOOKUP($S18,qx_table,MATCH(AL$11,qx_title,0)+sexB),0)</f>
        <v>3.2724800000000002E-7</v>
      </c>
      <c r="AM18" s="131">
        <f t="shared" ca="1" si="68"/>
        <v>54633.28101914432</v>
      </c>
      <c r="AN18" s="129">
        <f t="shared" ca="1" si="69"/>
        <v>1.7420036843083835E-2</v>
      </c>
      <c r="AO18" s="129">
        <f ca="1">SUM(AN18:AN$124)*SSa</f>
        <v>0.29472883937281963</v>
      </c>
      <c r="AP18" s="70">
        <f t="shared" ca="1" si="70"/>
        <v>62436.303504832336</v>
      </c>
      <c r="AQ18" s="2">
        <f t="shared" ref="AQ18" ca="1" si="204">IFERROR(VLOOKUP($S18,qx_table,MATCH(AQ$11,qx_title,0)+sexB),0)</f>
        <v>0</v>
      </c>
      <c r="AR18" s="127">
        <f t="shared" ca="1" si="72"/>
        <v>0</v>
      </c>
      <c r="AS18" s="127">
        <f ca="1">SUM(AR18:AR$124)*SSb</f>
        <v>0</v>
      </c>
      <c r="AT18" s="70">
        <f t="shared" ca="1" si="73"/>
        <v>62436.303504832336</v>
      </c>
      <c r="AU18" s="2">
        <f t="shared" ref="AU18" ca="1" si="205">IFERROR(VLOOKUP($S18,qx_table,MATCH(AU$11,qx_title,0)+sexB),0)</f>
        <v>0</v>
      </c>
      <c r="AV18" s="268">
        <f t="shared" ca="1" si="75"/>
        <v>0</v>
      </c>
      <c r="AW18" s="131">
        <f ca="1">SUM(AV18:AV$124)*SSc</f>
        <v>0</v>
      </c>
      <c r="AX18" s="70">
        <f t="shared" ca="1" si="76"/>
        <v>62436.303504832336</v>
      </c>
      <c r="AY18" s="2">
        <f t="shared" ref="AY18" ca="1" si="206">IFERROR(VLOOKUP($S18,qx_table,MATCH(AY$11,qx_title,0)+sexB),0)</f>
        <v>0</v>
      </c>
      <c r="AZ18" s="268">
        <f t="shared" ca="1" si="78"/>
        <v>0</v>
      </c>
      <c r="BA18" s="129">
        <f ca="1">SUM(AZ18:AZ$124)*SSd</f>
        <v>0</v>
      </c>
      <c r="BB18" s="70">
        <f t="shared" ca="1" si="79"/>
        <v>62436.303504832336</v>
      </c>
      <c r="BC18" s="257">
        <f t="shared" ref="BC18" ca="1" si="207">IFERROR(VLOOKUP($S18,qx_table,MATCH(BC$11,qx_title,0)+sexB),0)</f>
        <v>0</v>
      </c>
      <c r="BD18" s="268">
        <f t="shared" ca="1" si="81"/>
        <v>0</v>
      </c>
      <c r="BE18" s="131">
        <f ca="1">SUM(BD18:BD$124)*SSe</f>
        <v>0</v>
      </c>
      <c r="BF18" s="70">
        <f t="shared" ca="1" si="82"/>
        <v>62436.303504832336</v>
      </c>
      <c r="BG18" s="2">
        <f t="shared" ref="BG18" ca="1" si="208">IFERROR(VLOOKUP($S18,qx_table,MATCH(BG$11,qx_title,0)+sexB),0)</f>
        <v>0</v>
      </c>
      <c r="BH18" s="131">
        <f t="shared" ca="1" si="84"/>
        <v>0</v>
      </c>
      <c r="BI18" s="2">
        <f ca="1">SUM(BH18:BH$124)*SSf</f>
        <v>0</v>
      </c>
      <c r="BJ18" s="70">
        <f t="shared" ca="1" si="85"/>
        <v>62436.303504832336</v>
      </c>
      <c r="BK18" s="2">
        <f t="shared" ref="BK18" ca="1" si="209">IFERROR(VLOOKUP($S18,qx_table,MATCH(BK$11,qx_title,0)+sexB),0)</f>
        <v>0</v>
      </c>
      <c r="BL18" s="131">
        <f t="shared" ca="1" si="87"/>
        <v>0</v>
      </c>
      <c r="BM18" s="131">
        <f ca="1">SUM(BL18:BL$124)*SSg</f>
        <v>0</v>
      </c>
      <c r="BN18" s="70">
        <f t="shared" ca="1" si="88"/>
        <v>62436.303504832336</v>
      </c>
      <c r="BO18" s="2">
        <f t="shared" ref="BO18" ca="1" si="210">IFERROR(VLOOKUP($S18,qx_table,MATCH(BO$11,qx_title,0)+sexB),0)</f>
        <v>0</v>
      </c>
      <c r="BP18" s="131">
        <f t="shared" ca="1" si="90"/>
        <v>0</v>
      </c>
      <c r="BQ18" s="131">
        <f ca="1">SUM(BP18:BP$124)*SSh</f>
        <v>0</v>
      </c>
      <c r="BR18" s="70">
        <f t="shared" ca="1" si="91"/>
        <v>62436.303504832336</v>
      </c>
      <c r="BS18" s="2">
        <f t="shared" ref="BS18" ca="1" si="211">IFERROR(VLOOKUP($S18,qx_table,MATCH(BS$11,qx_title,0)+sexB),0)*IF(R18=0,MCi,1)</f>
        <v>0</v>
      </c>
      <c r="BT18" s="131">
        <f t="shared" ca="1" si="93"/>
        <v>0</v>
      </c>
      <c r="BU18" s="131">
        <f ca="1">SUM(BT18:BT$124)*SSi</f>
        <v>0</v>
      </c>
      <c r="BV18" s="70">
        <f t="shared" ca="1" si="94"/>
        <v>62436.303504832336</v>
      </c>
      <c r="BW18" s="2">
        <f t="shared" ref="BW18" ca="1" si="212">IFERROR(VLOOKUP($S18,qx_table,MATCH(BW$11,qx_title,0)+sexB),0)</f>
        <v>0</v>
      </c>
      <c r="BX18" s="131">
        <f t="shared" ca="1" si="96"/>
        <v>0</v>
      </c>
      <c r="BY18" s="131">
        <f ca="1">SUM(BX18:BX$124)*SSj</f>
        <v>0</v>
      </c>
      <c r="BZ18" s="70">
        <f t="shared" ca="1" si="97"/>
        <v>62436.303504832336</v>
      </c>
      <c r="CA18" s="2">
        <f t="shared" ref="CA18" ca="1" si="213">IFERROR(VLOOKUP($S18,qx_table,MATCH(CA$11,qx_title,0)+sexB),0)</f>
        <v>0</v>
      </c>
      <c r="CB18" s="131">
        <f t="shared" ca="1" si="99"/>
        <v>0</v>
      </c>
      <c r="CC18" s="131">
        <f ca="1">SUM(CB18:CB$124)*SSk</f>
        <v>0</v>
      </c>
      <c r="CD18" s="8">
        <f t="shared" ca="1" si="100"/>
        <v>62436.303504832336</v>
      </c>
      <c r="CE18" s="2">
        <f t="shared" ref="CE18" ca="1" si="214">IFERROR(VLOOKUP($S18,qx_table,MATCH(CE$11,qx_title,0)+sexB),0)</f>
        <v>0</v>
      </c>
      <c r="CF18" s="131">
        <f t="shared" ca="1" si="102"/>
        <v>0</v>
      </c>
      <c r="CG18" s="131">
        <f ca="1">SUM(CF18:CF$124)*SSl</f>
        <v>0</v>
      </c>
      <c r="CH18" s="155">
        <f t="shared" ca="1" si="103"/>
        <v>2.9499999999999998E-2</v>
      </c>
      <c r="CI18" s="155">
        <f t="shared" ca="1" si="104"/>
        <v>1841.8706520182611</v>
      </c>
      <c r="CJ18" s="155">
        <f t="shared" ca="1" si="105"/>
        <v>1593.8504506586619</v>
      </c>
      <c r="CK18" s="155">
        <f ca="1">'유해지 (기준P)'!CZ18</f>
        <v>0.111</v>
      </c>
      <c r="CL18" s="155">
        <f t="shared" ca="1" si="47"/>
        <v>0</v>
      </c>
      <c r="CM18" s="155">
        <f t="shared" ca="1" si="106"/>
        <v>0</v>
      </c>
      <c r="CN18" s="155">
        <f ca="1">SUM(CM18:$CM$124)</f>
        <v>395.11507188454124</v>
      </c>
      <c r="CO18" s="101">
        <f t="shared" ca="1" si="107"/>
        <v>0.29472883937281963</v>
      </c>
      <c r="CP18" s="154">
        <f t="shared" ca="1" si="48"/>
        <v>0.27605352183467818</v>
      </c>
      <c r="CQ18" s="154">
        <f t="shared" ca="1" si="49"/>
        <v>395.11507188454124</v>
      </c>
      <c r="CR18" s="32">
        <f t="shared" ref="CR18" ca="1" si="215">+MAX(VLOOKUP(xB+$R18,기수표B,$AH$1)-VLOOKUP(xB+mB,기수표B,$AH$1),0)</f>
        <v>589251.55002218182</v>
      </c>
      <c r="CS18" s="32">
        <f t="shared" ca="1" si="50"/>
        <v>589251.55002218182</v>
      </c>
      <c r="CT18" s="32">
        <f t="shared" ref="CT18" ca="1" si="216">+MAX(VLOOKUP(xB+$R18,기수표B,$AA$1)-VLOOKUP(xB+mB,기수표B,$AA$1),0)</f>
        <v>589427.35397686437</v>
      </c>
      <c r="CU18" s="32">
        <f t="shared" ca="1" si="52"/>
        <v>589427.35397686437</v>
      </c>
      <c r="CV18" s="32">
        <f t="shared" ca="1" si="53"/>
        <v>56526.437071643726</v>
      </c>
      <c r="CW18" s="259">
        <f t="shared" ca="1" si="54"/>
        <v>0.22126732125512699</v>
      </c>
      <c r="CX18" s="259" t="e">
        <f t="shared" ca="1" si="55"/>
        <v>#REF!</v>
      </c>
      <c r="CY18" s="262" t="e">
        <f t="shared" ca="1" si="56"/>
        <v>#REF!</v>
      </c>
      <c r="CZ18" s="259">
        <f t="shared" ca="1" si="57"/>
        <v>7.2341689378622375E-3</v>
      </c>
      <c r="DA18" s="31">
        <f t="shared" ref="DA18" ca="1" si="217">+MIN(mB,7)</f>
        <v>7</v>
      </c>
    </row>
    <row r="19" spans="2:105">
      <c r="C19" s="44"/>
      <c r="D19" s="44"/>
      <c r="F19" s="16"/>
      <c r="G19" s="18"/>
      <c r="H19" s="66" t="s">
        <v>540</v>
      </c>
      <c r="I19" s="66"/>
      <c r="J19" s="66"/>
      <c r="K19" s="66" t="s">
        <v>545</v>
      </c>
      <c r="L19" s="310"/>
      <c r="M19" s="242"/>
      <c r="N19" s="5">
        <f t="shared" si="111"/>
        <v>7</v>
      </c>
      <c r="O19" s="2">
        <f t="shared" ref="O19" ca="1" si="218">+(1+iB)^-N19</f>
        <v>0.8557694591445405</v>
      </c>
      <c r="P19" s="2">
        <f t="shared" ref="P19" ca="1" si="219">+(1+iB)^-(N19+0.5)</f>
        <v>0.84630152782247736</v>
      </c>
      <c r="Q19" s="91"/>
      <c r="R19" s="20">
        <f t="shared" si="114"/>
        <v>7</v>
      </c>
      <c r="S19" s="20">
        <f t="shared" ref="S19" si="220">+IF(xB+R19&lt;=xB+nB,xB+R19,"")</f>
        <v>15</v>
      </c>
      <c r="T19" s="2">
        <f t="shared" ref="T19:U19" ca="1" si="221">IFERROR(VLOOKUP($S19,qx_table,MATCH(T$11,qx_title,0)+sexB),0)</f>
        <v>0</v>
      </c>
      <c r="U19" s="2">
        <f t="shared" ca="1" si="221"/>
        <v>3.3000000000000003E-5</v>
      </c>
      <c r="V19" s="300">
        <f t="shared" ca="1" si="26"/>
        <v>2.5999999999999999E-2</v>
      </c>
      <c r="W19" s="8">
        <f t="shared" ref="W19" ca="1" si="222">IF(R19=0,100000,IF(R19&gt;nB,0,W18*(1-X18)*(1-Y18)))</f>
        <v>60594.412722032917</v>
      </c>
      <c r="X19" s="10">
        <f t="shared" ca="1" si="28"/>
        <v>2.6000000000000023E-2</v>
      </c>
      <c r="Y19" s="92">
        <f t="shared" ca="1" si="29"/>
        <v>3.4194599995984731E-7</v>
      </c>
      <c r="Z19" s="8">
        <f t="shared" ca="1" si="64"/>
        <v>51854.847802315177</v>
      </c>
      <c r="AA19" s="8">
        <f ca="1">+SUM(Z19:Z$124)</f>
        <v>614561.48982371029</v>
      </c>
      <c r="AB19" s="8">
        <f t="shared" ca="1" si="30"/>
        <v>1333.3097456682187</v>
      </c>
      <c r="AC19" s="209">
        <f ca="1">+SUM(AB19:AB$124)*SSSM</f>
        <v>0</v>
      </c>
      <c r="AD19" s="209">
        <f t="shared" ref="AD19" ca="1" si="223">IF(R19&gt;nB,0,AD18*(1-X18)*(1-Y18)*(1-AE18)*(1-AF18))</f>
        <v>60587.565884413765</v>
      </c>
      <c r="AE19" s="92">
        <f t="shared" ca="1" si="31"/>
        <v>3.2999999999949736E-5</v>
      </c>
      <c r="AF19" s="92">
        <f t="shared" ca="1" si="32"/>
        <v>0</v>
      </c>
      <c r="AG19" s="8">
        <f t="shared" ca="1" si="33"/>
        <v>51848.988487788978</v>
      </c>
      <c r="AH19" s="5">
        <f ca="1">+SUM(AG19:AG$124)</f>
        <v>614334.59913592227</v>
      </c>
      <c r="AI19" s="70">
        <f t="shared" ca="1" si="34"/>
        <v>1.6920865359732271</v>
      </c>
      <c r="AJ19" s="208">
        <f ca="1">+SUM(AB19:AB$124)*SS50J</f>
        <v>0</v>
      </c>
      <c r="AK19" s="209">
        <f t="shared" ca="1" si="66"/>
        <v>60594.412722032917</v>
      </c>
      <c r="AL19" s="257">
        <f t="shared" ref="AL19" ca="1" si="224">IFERROR(VLOOKUP($S19,qx_table,MATCH(AL$11,qx_title,0)+sexB),0)</f>
        <v>3.4194600000000001E-7</v>
      </c>
      <c r="AM19" s="131">
        <f t="shared" ca="1" si="68"/>
        <v>51854.847802315177</v>
      </c>
      <c r="AN19" s="129">
        <f t="shared" ca="1" si="69"/>
        <v>1.7307422121017883E-2</v>
      </c>
      <c r="AO19" s="129">
        <f ca="1">SUM(AN19:AN$124)*SSa</f>
        <v>0.27730880252973583</v>
      </c>
      <c r="AP19" s="70">
        <f t="shared" ca="1" si="70"/>
        <v>60594.412722032917</v>
      </c>
      <c r="AQ19" s="2">
        <f t="shared" ref="AQ19" ca="1" si="225">IFERROR(VLOOKUP($S19,qx_table,MATCH(AQ$11,qx_title,0)+sexB),0)</f>
        <v>0</v>
      </c>
      <c r="AR19" s="127">
        <f t="shared" ca="1" si="72"/>
        <v>0</v>
      </c>
      <c r="AS19" s="127">
        <f ca="1">SUM(AR19:AR$124)*SSb</f>
        <v>0</v>
      </c>
      <c r="AT19" s="70">
        <f t="shared" ca="1" si="73"/>
        <v>60594.412722032917</v>
      </c>
      <c r="AU19" s="2">
        <f t="shared" ref="AU19" ca="1" si="226">IFERROR(VLOOKUP($S19,qx_table,MATCH(AU$11,qx_title,0)+sexB),0)</f>
        <v>0</v>
      </c>
      <c r="AV19" s="268">
        <f t="shared" ca="1" si="75"/>
        <v>0</v>
      </c>
      <c r="AW19" s="131">
        <f ca="1">SUM(AV19:AV$124)*SSc</f>
        <v>0</v>
      </c>
      <c r="AX19" s="70">
        <f t="shared" ca="1" si="76"/>
        <v>60594.412722032917</v>
      </c>
      <c r="AY19" s="2">
        <f t="shared" ref="AY19" ca="1" si="227">IFERROR(VLOOKUP($S19,qx_table,MATCH(AY$11,qx_title,0)+sexB),0)</f>
        <v>0</v>
      </c>
      <c r="AZ19" s="268">
        <f t="shared" ca="1" si="78"/>
        <v>0</v>
      </c>
      <c r="BA19" s="129">
        <f ca="1">SUM(AZ19:AZ$124)*SSd</f>
        <v>0</v>
      </c>
      <c r="BB19" s="70">
        <f t="shared" ca="1" si="79"/>
        <v>60594.412722032917</v>
      </c>
      <c r="BC19" s="257">
        <f t="shared" ref="BC19" ca="1" si="228">IFERROR(VLOOKUP($S19,qx_table,MATCH(BC$11,qx_title,0)+sexB),0)</f>
        <v>0</v>
      </c>
      <c r="BD19" s="268">
        <f t="shared" ca="1" si="81"/>
        <v>0</v>
      </c>
      <c r="BE19" s="131">
        <f ca="1">SUM(BD19:BD$124)*SSe</f>
        <v>0</v>
      </c>
      <c r="BF19" s="70">
        <f t="shared" ca="1" si="82"/>
        <v>60594.412722032917</v>
      </c>
      <c r="BG19" s="2">
        <f t="shared" ref="BG19" ca="1" si="229">IFERROR(VLOOKUP($S19,qx_table,MATCH(BG$11,qx_title,0)+sexB),0)</f>
        <v>0</v>
      </c>
      <c r="BH19" s="131">
        <f t="shared" ca="1" si="84"/>
        <v>0</v>
      </c>
      <c r="BI19" s="2">
        <f ca="1">SUM(BH19:BH$124)*SSf</f>
        <v>0</v>
      </c>
      <c r="BJ19" s="70">
        <f t="shared" ca="1" si="85"/>
        <v>60594.412722032917</v>
      </c>
      <c r="BK19" s="2">
        <f t="shared" ref="BK19" ca="1" si="230">IFERROR(VLOOKUP($S19,qx_table,MATCH(BK$11,qx_title,0)+sexB),0)</f>
        <v>0</v>
      </c>
      <c r="BL19" s="131">
        <f t="shared" ca="1" si="87"/>
        <v>0</v>
      </c>
      <c r="BM19" s="131">
        <f ca="1">SUM(BL19:BL$124)*SSg</f>
        <v>0</v>
      </c>
      <c r="BN19" s="70">
        <f t="shared" ca="1" si="88"/>
        <v>60594.412722032917</v>
      </c>
      <c r="BO19" s="2">
        <f t="shared" ref="BO19" ca="1" si="231">IFERROR(VLOOKUP($S19,qx_table,MATCH(BO$11,qx_title,0)+sexB),0)</f>
        <v>0</v>
      </c>
      <c r="BP19" s="131">
        <f t="shared" ca="1" si="90"/>
        <v>0</v>
      </c>
      <c r="BQ19" s="131">
        <f ca="1">SUM(BP19:BP$124)*SSh</f>
        <v>0</v>
      </c>
      <c r="BR19" s="70">
        <f t="shared" ca="1" si="91"/>
        <v>60594.412722032917</v>
      </c>
      <c r="BS19" s="2">
        <f t="shared" ref="BS19" ca="1" si="232">IFERROR(VLOOKUP($S19,qx_table,MATCH(BS$11,qx_title,0)+sexB),0)*IF(R19=0,MCi,1)</f>
        <v>0</v>
      </c>
      <c r="BT19" s="131">
        <f t="shared" ca="1" si="93"/>
        <v>0</v>
      </c>
      <c r="BU19" s="131">
        <f ca="1">SUM(BT19:BT$124)*SSi</f>
        <v>0</v>
      </c>
      <c r="BV19" s="70">
        <f t="shared" ca="1" si="94"/>
        <v>60594.412722032917</v>
      </c>
      <c r="BW19" s="2">
        <f t="shared" ref="BW19" ca="1" si="233">IFERROR(VLOOKUP($S19,qx_table,MATCH(BW$11,qx_title,0)+sexB),0)</f>
        <v>0</v>
      </c>
      <c r="BX19" s="131">
        <f t="shared" ca="1" si="96"/>
        <v>0</v>
      </c>
      <c r="BY19" s="131">
        <f ca="1">SUM(BX19:BX$124)*SSj</f>
        <v>0</v>
      </c>
      <c r="BZ19" s="70">
        <f t="shared" ca="1" si="97"/>
        <v>60594.412722032917</v>
      </c>
      <c r="CA19" s="2">
        <f t="shared" ref="CA19" ca="1" si="234">IFERROR(VLOOKUP($S19,qx_table,MATCH(CA$11,qx_title,0)+sexB),0)</f>
        <v>0</v>
      </c>
      <c r="CB19" s="131">
        <f t="shared" ca="1" si="99"/>
        <v>0</v>
      </c>
      <c r="CC19" s="131">
        <f ca="1">SUM(CB19:CB$124)*SSk</f>
        <v>0</v>
      </c>
      <c r="CD19" s="8">
        <f t="shared" ca="1" si="100"/>
        <v>60594.412722032917</v>
      </c>
      <c r="CE19" s="2">
        <f t="shared" ref="CE19" ca="1" si="235">IFERROR(VLOOKUP($S19,qx_table,MATCH(CE$11,qx_title,0)+sexB),0)</f>
        <v>0</v>
      </c>
      <c r="CF19" s="131">
        <f t="shared" ca="1" si="102"/>
        <v>0</v>
      </c>
      <c r="CG19" s="131">
        <f ca="1">SUM(CF19:CF$124)*SSl</f>
        <v>0</v>
      </c>
      <c r="CH19" s="155">
        <f t="shared" ca="1" si="103"/>
        <v>2.5999999999999999E-2</v>
      </c>
      <c r="CI19" s="155">
        <f t="shared" ca="1" si="104"/>
        <v>1575.4544614126341</v>
      </c>
      <c r="CJ19" s="155">
        <f t="shared" ca="1" si="105"/>
        <v>1333.3095177082505</v>
      </c>
      <c r="CK19" s="155">
        <f ca="1">'유해지 (기준P)'!CZ19</f>
        <v>0.113</v>
      </c>
      <c r="CL19" s="155">
        <f t="shared" ca="1" si="47"/>
        <v>0</v>
      </c>
      <c r="CM19" s="155">
        <f t="shared" ca="1" si="106"/>
        <v>0</v>
      </c>
      <c r="CN19" s="155">
        <f ca="1">SUM(CM19:$CM$124)</f>
        <v>395.11507188454124</v>
      </c>
      <c r="CO19" s="101">
        <f t="shared" ca="1" si="107"/>
        <v>0.27730880252973583</v>
      </c>
      <c r="CP19" s="154">
        <f t="shared" ca="1" si="48"/>
        <v>0.25863348499159439</v>
      </c>
      <c r="CQ19" s="154">
        <f t="shared" ca="1" si="49"/>
        <v>395.11507188454124</v>
      </c>
      <c r="CR19" s="32">
        <f t="shared" ref="CR19" ca="1" si="236">+MAX(VLOOKUP(xB+$R19,기수표B,$AH$1)-VLOOKUP(xB+mB,기수표B,$AH$1),0)</f>
        <v>534623.67747512343</v>
      </c>
      <c r="CS19" s="32">
        <f t="shared" ca="1" si="50"/>
        <v>534623.67747512343</v>
      </c>
      <c r="CT19" s="32">
        <f t="shared" ref="CT19" ca="1" si="237">+MAX(VLOOKUP(xB+$R19,기수표B,$AA$1)-VLOOKUP(xB+mB,기수표B,$AA$1),0)</f>
        <v>534794.07295772003</v>
      </c>
      <c r="CU19" s="32">
        <f t="shared" ca="1" si="52"/>
        <v>534794.07295772003</v>
      </c>
      <c r="CV19" s="32">
        <f t="shared" ca="1" si="53"/>
        <v>56526.437071643726</v>
      </c>
      <c r="CW19" s="259">
        <f t="shared" ca="1" si="54"/>
        <v>0.20075424322605931</v>
      </c>
      <c r="CX19" s="259" t="e">
        <f t="shared" ca="1" si="55"/>
        <v>#REF!</v>
      </c>
      <c r="CY19" s="262" t="e">
        <f t="shared" ca="1" si="56"/>
        <v>#REF!</v>
      </c>
      <c r="CZ19" s="259">
        <f t="shared" ca="1" si="57"/>
        <v>7.6218423988071654E-3</v>
      </c>
      <c r="DA19" s="31">
        <f t="shared" ref="DA19" ca="1" si="238">+MIN(mB,7)</f>
        <v>7</v>
      </c>
    </row>
    <row r="20" spans="2:105">
      <c r="B20" s="124" t="s">
        <v>45</v>
      </c>
      <c r="C20" s="121">
        <f>MAIN!I9</f>
        <v>0</v>
      </c>
      <c r="D20" s="44" t="s">
        <v>526</v>
      </c>
      <c r="G20" s="69" t="s">
        <v>158</v>
      </c>
      <c r="H20" s="230">
        <f ca="1">+$H$11-$I$11-(mmB-1)/(2*mmB)*($H$10-$I$10)</f>
        <v>1041565.0314684706</v>
      </c>
      <c r="I20" s="230"/>
      <c r="J20" s="230"/>
      <c r="K20" s="228">
        <f ca="1">H11-I11</f>
        <v>1041565.0314684706</v>
      </c>
      <c r="L20" s="311"/>
      <c r="M20" s="242"/>
      <c r="N20" s="5">
        <f t="shared" si="111"/>
        <v>8</v>
      </c>
      <c r="O20" s="2">
        <f t="shared" ref="O20" ca="1" si="239">+(1+iB)^-N20</f>
        <v>0.836938346351629</v>
      </c>
      <c r="P20" s="2">
        <f t="shared" ref="P20" ca="1" si="240">+(1+iB)^-(N20+0.5)</f>
        <v>0.82767875581660377</v>
      </c>
      <c r="Q20" s="91"/>
      <c r="R20" s="20">
        <f t="shared" si="114"/>
        <v>8</v>
      </c>
      <c r="S20" s="20">
        <f t="shared" ref="S20" si="241">+IF(xB+R20&lt;=xB+nB,xB+R20,"")</f>
        <v>16</v>
      </c>
      <c r="T20" s="2">
        <f t="shared" ref="T20:U20" ca="1" si="242">IFERROR(VLOOKUP($S20,qx_table,MATCH(T$11,qx_title,0)+sexB),0)</f>
        <v>0</v>
      </c>
      <c r="U20" s="2">
        <f t="shared" ca="1" si="242"/>
        <v>3.3000000000000003E-5</v>
      </c>
      <c r="V20" s="300">
        <f t="shared" ca="1" si="26"/>
        <v>2.3E-2</v>
      </c>
      <c r="W20" s="8">
        <f t="shared" ref="W20" ca="1" si="243">IF(R20=0,100000,IF(R20&gt;nB,0,W19*(1-X19)*(1-Y19)))</f>
        <v>59018.937809963456</v>
      </c>
      <c r="X20" s="10">
        <f t="shared" ca="1" si="28"/>
        <v>2.300000000000002E-2</v>
      </c>
      <c r="Y20" s="92">
        <f t="shared" ca="1" si="29"/>
        <v>3.4086000000321803E-7</v>
      </c>
      <c r="Z20" s="8">
        <f t="shared" ca="1" si="64"/>
        <v>49395.212214100444</v>
      </c>
      <c r="AA20" s="8">
        <f ca="1">+SUM(Z20:Z$124)</f>
        <v>562706.64202139503</v>
      </c>
      <c r="AB20" s="8">
        <f t="shared" ca="1" si="30"/>
        <v>1123.5205833718665</v>
      </c>
      <c r="AC20" s="209">
        <f ca="1">+SUM(AB20:AB$124)*SSSM</f>
        <v>0</v>
      </c>
      <c r="AD20" s="209">
        <f t="shared" ref="AD20" ca="1" si="244">IF(R20&gt;nB,0,AD19*(1-X19)*(1-Y19)*(1-AE19)*(1-AF19))</f>
        <v>59010.321587526028</v>
      </c>
      <c r="AE20" s="92">
        <f t="shared" ca="1" si="31"/>
        <v>3.2999999999949736E-5</v>
      </c>
      <c r="AF20" s="92">
        <f t="shared" ca="1" si="32"/>
        <v>0</v>
      </c>
      <c r="AG20" s="8">
        <f t="shared" ca="1" si="33"/>
        <v>49388.000967141867</v>
      </c>
      <c r="AH20" s="5">
        <f ca="1">+SUM(AG20:AG$124)</f>
        <v>562485.61064813309</v>
      </c>
      <c r="AI20" s="70">
        <f t="shared" ca="1" si="34"/>
        <v>1.6117724552102852</v>
      </c>
      <c r="AJ20" s="208">
        <f ca="1">+SUM(AB20:AB$124)*SS50J</f>
        <v>0</v>
      </c>
      <c r="AK20" s="209">
        <f t="shared" ca="1" si="66"/>
        <v>59018.937809963456</v>
      </c>
      <c r="AL20" s="257">
        <f t="shared" ref="AL20" ca="1" si="245">IFERROR(VLOOKUP($S20,qx_table,MATCH(AL$11,qx_title,0)+sexB),0)</f>
        <v>3.4086E-7</v>
      </c>
      <c r="AM20" s="131">
        <f t="shared" ca="1" si="68"/>
        <v>49395.212214100444</v>
      </c>
      <c r="AN20" s="129">
        <f t="shared" ca="1" si="69"/>
        <v>1.6459093432546978E-2</v>
      </c>
      <c r="AO20" s="129">
        <f ca="1">SUM(AN20:AN$124)*SSa</f>
        <v>0.2600013804087179</v>
      </c>
      <c r="AP20" s="70">
        <f t="shared" ca="1" si="70"/>
        <v>59018.937809963456</v>
      </c>
      <c r="AQ20" s="2">
        <f t="shared" ref="AQ20" ca="1" si="246">IFERROR(VLOOKUP($S20,qx_table,MATCH(AQ$11,qx_title,0)+sexB),0)</f>
        <v>0</v>
      </c>
      <c r="AR20" s="127">
        <f t="shared" ca="1" si="72"/>
        <v>0</v>
      </c>
      <c r="AS20" s="127">
        <f ca="1">SUM(AR20:AR$124)*SSb</f>
        <v>0</v>
      </c>
      <c r="AT20" s="70">
        <f t="shared" ca="1" si="73"/>
        <v>59018.937809963456</v>
      </c>
      <c r="AU20" s="2">
        <f t="shared" ref="AU20" ca="1" si="247">IFERROR(VLOOKUP($S20,qx_table,MATCH(AU$11,qx_title,0)+sexB),0)</f>
        <v>0</v>
      </c>
      <c r="AV20" s="268">
        <f t="shared" ca="1" si="75"/>
        <v>0</v>
      </c>
      <c r="AW20" s="131">
        <f ca="1">SUM(AV20:AV$124)*SSc</f>
        <v>0</v>
      </c>
      <c r="AX20" s="70">
        <f t="shared" ca="1" si="76"/>
        <v>59018.937809963456</v>
      </c>
      <c r="AY20" s="2">
        <f t="shared" ref="AY20" ca="1" si="248">IFERROR(VLOOKUP($S20,qx_table,MATCH(AY$11,qx_title,0)+sexB),0)</f>
        <v>0</v>
      </c>
      <c r="AZ20" s="268">
        <f t="shared" ca="1" si="78"/>
        <v>0</v>
      </c>
      <c r="BA20" s="129">
        <f ca="1">SUM(AZ20:AZ$124)*SSd</f>
        <v>0</v>
      </c>
      <c r="BB20" s="70">
        <f t="shared" ca="1" si="79"/>
        <v>59018.937809963456</v>
      </c>
      <c r="BC20" s="257">
        <f t="shared" ref="BC20" ca="1" si="249">IFERROR(VLOOKUP($S20,qx_table,MATCH(BC$11,qx_title,0)+sexB),0)</f>
        <v>0</v>
      </c>
      <c r="BD20" s="268">
        <f t="shared" ca="1" si="81"/>
        <v>0</v>
      </c>
      <c r="BE20" s="131">
        <f ca="1">SUM(BD20:BD$124)*SSe</f>
        <v>0</v>
      </c>
      <c r="BF20" s="70">
        <f t="shared" ca="1" si="82"/>
        <v>59018.937809963456</v>
      </c>
      <c r="BG20" s="2">
        <f t="shared" ref="BG20" ca="1" si="250">IFERROR(VLOOKUP($S20,qx_table,MATCH(BG$11,qx_title,0)+sexB),0)</f>
        <v>0</v>
      </c>
      <c r="BH20" s="131">
        <f t="shared" ca="1" si="84"/>
        <v>0</v>
      </c>
      <c r="BI20" s="2">
        <f ca="1">SUM(BH20:BH$124)*SSf</f>
        <v>0</v>
      </c>
      <c r="BJ20" s="70">
        <f t="shared" ca="1" si="85"/>
        <v>59018.937809963456</v>
      </c>
      <c r="BK20" s="2">
        <f t="shared" ref="BK20" ca="1" si="251">IFERROR(VLOOKUP($S20,qx_table,MATCH(BK$11,qx_title,0)+sexB),0)</f>
        <v>0</v>
      </c>
      <c r="BL20" s="131">
        <f t="shared" ca="1" si="87"/>
        <v>0</v>
      </c>
      <c r="BM20" s="131">
        <f ca="1">SUM(BL20:BL$124)*SSg</f>
        <v>0</v>
      </c>
      <c r="BN20" s="70">
        <f t="shared" ca="1" si="88"/>
        <v>59018.937809963456</v>
      </c>
      <c r="BO20" s="2">
        <f t="shared" ref="BO20" ca="1" si="252">IFERROR(VLOOKUP($S20,qx_table,MATCH(BO$11,qx_title,0)+sexB),0)</f>
        <v>0</v>
      </c>
      <c r="BP20" s="131">
        <f t="shared" ca="1" si="90"/>
        <v>0</v>
      </c>
      <c r="BQ20" s="131">
        <f ca="1">SUM(BP20:BP$124)*SSh</f>
        <v>0</v>
      </c>
      <c r="BR20" s="70">
        <f t="shared" ca="1" si="91"/>
        <v>59018.937809963456</v>
      </c>
      <c r="BS20" s="2">
        <f t="shared" ref="BS20" ca="1" si="253">IFERROR(VLOOKUP($S20,qx_table,MATCH(BS$11,qx_title,0)+sexB),0)*IF(R20=0,MCi,1)</f>
        <v>0</v>
      </c>
      <c r="BT20" s="131">
        <f t="shared" ca="1" si="93"/>
        <v>0</v>
      </c>
      <c r="BU20" s="131">
        <f ca="1">SUM(BT20:BT$124)*SSi</f>
        <v>0</v>
      </c>
      <c r="BV20" s="70">
        <f t="shared" ca="1" si="94"/>
        <v>59018.937809963456</v>
      </c>
      <c r="BW20" s="2">
        <f t="shared" ref="BW20" ca="1" si="254">IFERROR(VLOOKUP($S20,qx_table,MATCH(BW$11,qx_title,0)+sexB),0)</f>
        <v>0</v>
      </c>
      <c r="BX20" s="131">
        <f t="shared" ca="1" si="96"/>
        <v>0</v>
      </c>
      <c r="BY20" s="131">
        <f ca="1">SUM(BX20:BX$124)*SSj</f>
        <v>0</v>
      </c>
      <c r="BZ20" s="70">
        <f t="shared" ca="1" si="97"/>
        <v>59018.937809963456</v>
      </c>
      <c r="CA20" s="2">
        <f t="shared" ref="CA20" ca="1" si="255">IFERROR(VLOOKUP($S20,qx_table,MATCH(CA$11,qx_title,0)+sexB),0)</f>
        <v>0</v>
      </c>
      <c r="CB20" s="131">
        <f t="shared" ca="1" si="99"/>
        <v>0</v>
      </c>
      <c r="CC20" s="131">
        <f ca="1">SUM(CB20:CB$124)*SSk</f>
        <v>0</v>
      </c>
      <c r="CD20" s="8">
        <f t="shared" ca="1" si="100"/>
        <v>59018.937809963456</v>
      </c>
      <c r="CE20" s="2">
        <f t="shared" ref="CE20" ca="1" si="256">IFERROR(VLOOKUP($S20,qx_table,MATCH(CE$11,qx_title,0)+sexB),0)</f>
        <v>0</v>
      </c>
      <c r="CF20" s="131">
        <f t="shared" ca="1" si="102"/>
        <v>0</v>
      </c>
      <c r="CG20" s="131">
        <f ca="1">SUM(CF20:CF$124)*SSl</f>
        <v>0</v>
      </c>
      <c r="CH20" s="155">
        <f t="shared" ca="1" si="103"/>
        <v>2.3E-2</v>
      </c>
      <c r="CI20" s="155">
        <f t="shared" ca="1" si="104"/>
        <v>1357.4353382814154</v>
      </c>
      <c r="CJ20" s="155">
        <f t="shared" ca="1" si="105"/>
        <v>1123.5203918902525</v>
      </c>
      <c r="CK20" s="155">
        <f ca="1">'유해지 (기준P)'!CZ20</f>
        <v>0.104</v>
      </c>
      <c r="CL20" s="155">
        <f t="shared" ca="1" si="47"/>
        <v>0</v>
      </c>
      <c r="CM20" s="155">
        <f t="shared" ca="1" si="106"/>
        <v>0</v>
      </c>
      <c r="CN20" s="155">
        <f ca="1">SUM(CM20:$CM$124)</f>
        <v>395.11507188454124</v>
      </c>
      <c r="CO20" s="101">
        <f t="shared" ca="1" si="107"/>
        <v>0.2600013804087179</v>
      </c>
      <c r="CP20" s="154">
        <f t="shared" ca="1" si="48"/>
        <v>0.24132606287057642</v>
      </c>
      <c r="CQ20" s="154">
        <f t="shared" ca="1" si="49"/>
        <v>395.11507188454124</v>
      </c>
      <c r="CR20" s="32">
        <f t="shared" ref="CR20" ca="1" si="257">+MAX(VLOOKUP(xB+$R20,기수표B,$AH$1)-VLOOKUP(xB+mB,기수표B,$AH$1),0)</f>
        <v>482774.68898733426</v>
      </c>
      <c r="CS20" s="32">
        <f t="shared" ca="1" si="50"/>
        <v>482774.68898733426</v>
      </c>
      <c r="CT20" s="32">
        <f t="shared" ref="CT20" ca="1" si="258">+MAX(VLOOKUP(xB+$R20,기수표B,$AA$1)-VLOOKUP(xB+mB,기수표B,$AA$1),0)</f>
        <v>482939.22515540471</v>
      </c>
      <c r="CU20" s="32">
        <f t="shared" ca="1" si="52"/>
        <v>482939.22515540471</v>
      </c>
      <c r="CV20" s="32">
        <f t="shared" ca="1" si="53"/>
        <v>56526.437071643726</v>
      </c>
      <c r="CW20" s="259">
        <f t="shared" ca="1" si="54"/>
        <v>0.18128465202676733</v>
      </c>
      <c r="CX20" s="259" t="e">
        <f t="shared" ca="1" si="55"/>
        <v>#REF!</v>
      </c>
      <c r="CY20" s="262" t="e">
        <f t="shared" ca="1" si="56"/>
        <v>#REF!</v>
      </c>
      <c r="CZ20" s="259">
        <f t="shared" ca="1" si="57"/>
        <v>8.0014159675911509E-3</v>
      </c>
      <c r="DA20" s="31">
        <f t="shared" ref="DA20" ca="1" si="259">+MIN(mB,7)</f>
        <v>7</v>
      </c>
    </row>
    <row r="21" spans="2:105">
      <c r="B21" s="124" t="s">
        <v>157</v>
      </c>
      <c r="C21" s="121">
        <f ca="1">MAIN!I11</f>
        <v>0.8</v>
      </c>
      <c r="G21" s="69" t="s">
        <v>542</v>
      </c>
      <c r="H21" s="230">
        <f ca="1">+$H$9-$I$9-(mmB-1)/(2*mmB)*($H$8-$I$8)</f>
        <v>1041758.0851838866</v>
      </c>
      <c r="I21" s="230"/>
      <c r="J21" s="230"/>
      <c r="K21" s="230">
        <f ca="1">+$H$9-$I$9</f>
        <v>1041758.0851838866</v>
      </c>
      <c r="L21" s="311"/>
      <c r="N21" s="5">
        <f t="shared" si="111"/>
        <v>9</v>
      </c>
      <c r="O21" s="2">
        <f t="shared" ref="O21" ca="1" si="260">+(1+iB)^-N21</f>
        <v>0.81852161012384261</v>
      </c>
      <c r="P21" s="2">
        <f t="shared" ref="P21" ca="1" si="261">+(1+iB)^-(N21+0.5)</f>
        <v>0.80946577585975921</v>
      </c>
      <c r="Q21" s="91"/>
      <c r="R21" s="20">
        <f t="shared" si="114"/>
        <v>9</v>
      </c>
      <c r="S21" s="20">
        <f t="shared" ref="S21" si="262">+IF(xB+R21&lt;=xB+nB,xB+R21,"")</f>
        <v>17</v>
      </c>
      <c r="T21" s="2">
        <f t="shared" ref="T21:U21" ca="1" si="263">IFERROR(VLOOKUP($S21,qx_table,MATCH(T$11,qx_title,0)+sexB),0)</f>
        <v>0</v>
      </c>
      <c r="U21" s="2">
        <f t="shared" ca="1" si="263"/>
        <v>3.1999999999999999E-5</v>
      </c>
      <c r="V21" s="300">
        <f t="shared" ca="1" si="26"/>
        <v>1.95E-2</v>
      </c>
      <c r="W21" s="8">
        <f t="shared" ref="W21" ca="1" si="264">IF(R21=0,100000,IF(R21&gt;nB,0,W20*(1-X20)*(1-Y20)))</f>
        <v>57661.482585834645</v>
      </c>
      <c r="X21" s="10">
        <f t="shared" ca="1" si="28"/>
        <v>1.9499999999999962E-2</v>
      </c>
      <c r="Y21" s="92">
        <f t="shared" ca="1" si="29"/>
        <v>3.3972900004286544E-7</v>
      </c>
      <c r="Z21" s="8">
        <f t="shared" ca="1" si="64"/>
        <v>47197.169568285288</v>
      </c>
      <c r="AA21" s="8">
        <f ca="1">+SUM(Z21:Z$124)</f>
        <v>513311.42980729457</v>
      </c>
      <c r="AB21" s="8">
        <f t="shared" ca="1" si="30"/>
        <v>910.16243640204755</v>
      </c>
      <c r="AC21" s="209">
        <f ca="1">+SUM(AB21:AB$124)*SSSM</f>
        <v>0</v>
      </c>
      <c r="AD21" s="209">
        <f t="shared" ref="AD21" ca="1" si="265">IF(R21&gt;nB,0,AD20*(1-X20)*(1-Y20)*(1-AE20)*(1-AF20))</f>
        <v>57651.161988252861</v>
      </c>
      <c r="AE21" s="92">
        <f t="shared" ca="1" si="31"/>
        <v>3.2000000000032003E-5</v>
      </c>
      <c r="AF21" s="92">
        <f t="shared" ca="1" si="32"/>
        <v>0</v>
      </c>
      <c r="AG21" s="8">
        <f t="shared" ca="1" si="33"/>
        <v>47188.721936135204</v>
      </c>
      <c r="AH21" s="5">
        <f ca="1">+SUM(AG21:AG$124)</f>
        <v>513097.60968099133</v>
      </c>
      <c r="AI21" s="70">
        <f t="shared" ca="1" si="34"/>
        <v>1.4933325621787017</v>
      </c>
      <c r="AJ21" s="208">
        <f ca="1">+SUM(AB21:AB$124)*SS50J</f>
        <v>0</v>
      </c>
      <c r="AK21" s="209">
        <f t="shared" ca="1" si="66"/>
        <v>57661.482585834645</v>
      </c>
      <c r="AL21" s="257">
        <f t="shared" ref="AL21" ca="1" si="266">IFERROR(VLOOKUP($S21,qx_table,MATCH(AL$11,qx_title,0)+sexB),0)</f>
        <v>3.3972900000000001E-7</v>
      </c>
      <c r="AM21" s="131">
        <f t="shared" ca="1" si="68"/>
        <v>47197.169568285288</v>
      </c>
      <c r="AN21" s="129">
        <f t="shared" ca="1" si="69"/>
        <v>1.5702245679818289E-2</v>
      </c>
      <c r="AO21" s="129">
        <f ca="1">SUM(AN21:AN$124)*SSa</f>
        <v>0.24354228697617095</v>
      </c>
      <c r="AP21" s="70">
        <f t="shared" ca="1" si="70"/>
        <v>57661.482585834645</v>
      </c>
      <c r="AQ21" s="2">
        <f t="shared" ref="AQ21" ca="1" si="267">IFERROR(VLOOKUP($S21,qx_table,MATCH(AQ$11,qx_title,0)+sexB),0)</f>
        <v>0</v>
      </c>
      <c r="AR21" s="127">
        <f t="shared" ca="1" si="72"/>
        <v>0</v>
      </c>
      <c r="AS21" s="127">
        <f ca="1">SUM(AR21:AR$124)*SSb</f>
        <v>0</v>
      </c>
      <c r="AT21" s="70">
        <f t="shared" ca="1" si="73"/>
        <v>57661.482585834645</v>
      </c>
      <c r="AU21" s="2">
        <f t="shared" ref="AU21" ca="1" si="268">IFERROR(VLOOKUP($S21,qx_table,MATCH(AU$11,qx_title,0)+sexB),0)</f>
        <v>0</v>
      </c>
      <c r="AV21" s="268">
        <f t="shared" ca="1" si="75"/>
        <v>0</v>
      </c>
      <c r="AW21" s="131">
        <f ca="1">SUM(AV21:AV$124)*SSc</f>
        <v>0</v>
      </c>
      <c r="AX21" s="70">
        <f t="shared" ca="1" si="76"/>
        <v>57661.482585834645</v>
      </c>
      <c r="AY21" s="2">
        <f t="shared" ref="AY21" ca="1" si="269">IFERROR(VLOOKUP($S21,qx_table,MATCH(AY$11,qx_title,0)+sexB),0)</f>
        <v>0</v>
      </c>
      <c r="AZ21" s="268">
        <f t="shared" ca="1" si="78"/>
        <v>0</v>
      </c>
      <c r="BA21" s="129">
        <f ca="1">SUM(AZ21:AZ$124)*SSd</f>
        <v>0</v>
      </c>
      <c r="BB21" s="70">
        <f t="shared" ca="1" si="79"/>
        <v>57661.482585834645</v>
      </c>
      <c r="BC21" s="257">
        <f t="shared" ref="BC21" ca="1" si="270">IFERROR(VLOOKUP($S21,qx_table,MATCH(BC$11,qx_title,0)+sexB),0)</f>
        <v>0</v>
      </c>
      <c r="BD21" s="268">
        <f t="shared" ca="1" si="81"/>
        <v>0</v>
      </c>
      <c r="BE21" s="131">
        <f ca="1">SUM(BD21:BD$124)*SSe</f>
        <v>0</v>
      </c>
      <c r="BF21" s="70">
        <f t="shared" ca="1" si="82"/>
        <v>57661.482585834645</v>
      </c>
      <c r="BG21" s="2">
        <f t="shared" ref="BG21" ca="1" si="271">IFERROR(VLOOKUP($S21,qx_table,MATCH(BG$11,qx_title,0)+sexB),0)</f>
        <v>0</v>
      </c>
      <c r="BH21" s="131">
        <f t="shared" ca="1" si="84"/>
        <v>0</v>
      </c>
      <c r="BI21" s="2">
        <f ca="1">SUM(BH21:BH$124)*SSf</f>
        <v>0</v>
      </c>
      <c r="BJ21" s="70">
        <f t="shared" ca="1" si="85"/>
        <v>57661.482585834645</v>
      </c>
      <c r="BK21" s="2">
        <f t="shared" ref="BK21" ca="1" si="272">IFERROR(VLOOKUP($S21,qx_table,MATCH(BK$11,qx_title,0)+sexB),0)</f>
        <v>0</v>
      </c>
      <c r="BL21" s="131">
        <f t="shared" ca="1" si="87"/>
        <v>0</v>
      </c>
      <c r="BM21" s="131">
        <f ca="1">SUM(BL21:BL$124)*SSg</f>
        <v>0</v>
      </c>
      <c r="BN21" s="70">
        <f t="shared" ca="1" si="88"/>
        <v>57661.482585834645</v>
      </c>
      <c r="BO21" s="2">
        <f t="shared" ref="BO21" ca="1" si="273">IFERROR(VLOOKUP($S21,qx_table,MATCH(BO$11,qx_title,0)+sexB),0)</f>
        <v>0</v>
      </c>
      <c r="BP21" s="131">
        <f t="shared" ca="1" si="90"/>
        <v>0</v>
      </c>
      <c r="BQ21" s="131">
        <f ca="1">SUM(BP21:BP$124)*SSh</f>
        <v>0</v>
      </c>
      <c r="BR21" s="70">
        <f t="shared" ca="1" si="91"/>
        <v>57661.482585834645</v>
      </c>
      <c r="BS21" s="2">
        <f t="shared" ref="BS21" ca="1" si="274">IFERROR(VLOOKUP($S21,qx_table,MATCH(BS$11,qx_title,0)+sexB),0)*IF(R21=0,MCi,1)</f>
        <v>0</v>
      </c>
      <c r="BT21" s="131">
        <f t="shared" ca="1" si="93"/>
        <v>0</v>
      </c>
      <c r="BU21" s="131">
        <f ca="1">SUM(BT21:BT$124)*SSi</f>
        <v>0</v>
      </c>
      <c r="BV21" s="70">
        <f t="shared" ca="1" si="94"/>
        <v>57661.482585834645</v>
      </c>
      <c r="BW21" s="2">
        <f t="shared" ref="BW21" ca="1" si="275">IFERROR(VLOOKUP($S21,qx_table,MATCH(BW$11,qx_title,0)+sexB),0)</f>
        <v>0</v>
      </c>
      <c r="BX21" s="131">
        <f t="shared" ca="1" si="96"/>
        <v>0</v>
      </c>
      <c r="BY21" s="131">
        <f ca="1">SUM(BX21:BX$124)*SSj</f>
        <v>0</v>
      </c>
      <c r="BZ21" s="70">
        <f t="shared" ca="1" si="97"/>
        <v>57661.482585834645</v>
      </c>
      <c r="CA21" s="2">
        <f t="shared" ref="CA21" ca="1" si="276">IFERROR(VLOOKUP($S21,qx_table,MATCH(CA$11,qx_title,0)+sexB),0)</f>
        <v>0</v>
      </c>
      <c r="CB21" s="131">
        <f t="shared" ca="1" si="99"/>
        <v>0</v>
      </c>
      <c r="CC21" s="131">
        <f ca="1">SUM(CB21:CB$124)*SSk</f>
        <v>0</v>
      </c>
      <c r="CD21" s="8">
        <f t="shared" ca="1" si="100"/>
        <v>57661.482585834645</v>
      </c>
      <c r="CE21" s="2">
        <f t="shared" ref="CE21" ca="1" si="277">IFERROR(VLOOKUP($S21,qx_table,MATCH(CE$11,qx_title,0)+sexB),0)</f>
        <v>0</v>
      </c>
      <c r="CF21" s="131">
        <f t="shared" ca="1" si="102"/>
        <v>0</v>
      </c>
      <c r="CG21" s="131">
        <f ca="1">SUM(CF21:CF$124)*SSl</f>
        <v>0</v>
      </c>
      <c r="CH21" s="155">
        <f t="shared" ca="1" si="103"/>
        <v>1.95E-2</v>
      </c>
      <c r="CI21" s="155">
        <f t="shared" ca="1" si="104"/>
        <v>1124.3987194283168</v>
      </c>
      <c r="CJ21" s="155">
        <f t="shared" ca="1" si="105"/>
        <v>910.16228179776215</v>
      </c>
      <c r="CK21" s="155">
        <f ca="1">'유해지 (기준P)'!CZ21</f>
        <v>0.10100000000000001</v>
      </c>
      <c r="CL21" s="155">
        <f t="shared" ca="1" si="47"/>
        <v>0</v>
      </c>
      <c r="CM21" s="155">
        <f t="shared" ca="1" si="106"/>
        <v>0</v>
      </c>
      <c r="CN21" s="155">
        <f ca="1">SUM(CM21:$CM$124)</f>
        <v>395.11507188454124</v>
      </c>
      <c r="CO21" s="101">
        <f t="shared" ca="1" si="107"/>
        <v>0.24354228697617095</v>
      </c>
      <c r="CP21" s="154">
        <f t="shared" ca="1" si="48"/>
        <v>0.22486696943802947</v>
      </c>
      <c r="CQ21" s="154">
        <f t="shared" ca="1" si="49"/>
        <v>395.11507188454124</v>
      </c>
      <c r="CR21" s="32">
        <f t="shared" ref="CR21" ca="1" si="278">+MAX(VLOOKUP(xB+$R21,기수표B,$AH$1)-VLOOKUP(xB+mB,기수표B,$AH$1),0)</f>
        <v>433386.68802019249</v>
      </c>
      <c r="CS21" s="32">
        <f t="shared" ca="1" si="50"/>
        <v>433386.68802019249</v>
      </c>
      <c r="CT21" s="32">
        <f t="shared" ref="CT21" ca="1" si="279">+MAX(VLOOKUP(xB+$R21,기수표B,$AA$1)-VLOOKUP(xB+mB,기수표B,$AA$1),0)</f>
        <v>433544.01294130425</v>
      </c>
      <c r="CU21" s="32">
        <f t="shared" ca="1" si="52"/>
        <v>433544.01294130425</v>
      </c>
      <c r="CV21" s="32">
        <f t="shared" ca="1" si="53"/>
        <v>56526.437071643726</v>
      </c>
      <c r="CW21" s="259">
        <f t="shared" ca="1" si="54"/>
        <v>0.16273917569202759</v>
      </c>
      <c r="CX21" s="259" t="e">
        <f t="shared" ca="1" si="55"/>
        <v>#REF!</v>
      </c>
      <c r="CY21" s="262" t="e">
        <f t="shared" ca="1" si="56"/>
        <v>#REF!</v>
      </c>
      <c r="CZ21" s="259">
        <f t="shared" ca="1" si="57"/>
        <v>8.3740980599171563E-3</v>
      </c>
      <c r="DA21" s="31">
        <f t="shared" ref="DA21" ca="1" si="280">+MIN(mB,7)</f>
        <v>7</v>
      </c>
    </row>
    <row r="22" spans="2:105">
      <c r="B22" s="124" t="s">
        <v>91</v>
      </c>
      <c r="C22" s="121">
        <f ca="1">MAIN!I10</f>
        <v>0</v>
      </c>
      <c r="D22" s="44" t="s">
        <v>90</v>
      </c>
      <c r="F22" s="44"/>
      <c r="G22" s="18" t="s">
        <v>63</v>
      </c>
      <c r="H22" s="251" t="e">
        <f ca="1">H14*(1-BETA_GPB-GAMB)+((ALP_SB+ALP_PPB*NPPB)*$H$8+BETA_SB*H20+BETAD_SB*$H$13)*#REF!/H20</f>
        <v>#REF!</v>
      </c>
      <c r="I22" s="251"/>
      <c r="J22" s="251">
        <f ca="1">H14*(1-BETA_GPB-GAMB)+(ALP_SB*$H$8+BETA_SB*K20+BETAD_SB*$H$13)*H15/K20</f>
        <v>0.24125073522205706</v>
      </c>
      <c r="K22" s="251">
        <f ca="1">H14*(1-BETA_GPB-GAMB)+(ALP_SB*$H$8+BETA_SB*K20+BETAD_SB*$H$13)*H15/K20</f>
        <v>0.24125073522205706</v>
      </c>
      <c r="L22" s="312"/>
      <c r="N22" s="5">
        <f t="shared" si="111"/>
        <v>10</v>
      </c>
      <c r="O22" s="2">
        <f t="shared" ref="O22" ca="1" si="281">+(1+iB)^-N22</f>
        <v>0.8005101321504573</v>
      </c>
      <c r="P22" s="2">
        <f t="shared" ref="P22" ca="1" si="282">+(1+iB)^-(N22+0.5)</f>
        <v>0.79165357052299201</v>
      </c>
      <c r="Q22" s="91"/>
      <c r="R22" s="20">
        <f t="shared" si="114"/>
        <v>10</v>
      </c>
      <c r="S22" s="20">
        <f t="shared" ref="S22" si="283">+IF(xB+R22&lt;=xB+nB,xB+R22,"")</f>
        <v>18</v>
      </c>
      <c r="T22" s="2">
        <f t="shared" ref="T22:U22" ca="1" si="284">IFERROR(VLOOKUP($S22,qx_table,MATCH(T$11,qx_title,0)+sexB),0)</f>
        <v>0</v>
      </c>
      <c r="U22" s="2">
        <f t="shared" ca="1" si="284"/>
        <v>3.1999999999999999E-5</v>
      </c>
      <c r="V22" s="300">
        <f t="shared" ca="1" si="26"/>
        <v>1.6E-2</v>
      </c>
      <c r="W22" s="8">
        <f t="shared" ref="W22" ca="1" si="285">IF(R22=0,100000,IF(R22&gt;nB,0,W21*(1-X21)*(1-Y21)))</f>
        <v>56537.064468123972</v>
      </c>
      <c r="X22" s="10">
        <f t="shared" ca="1" si="28"/>
        <v>1.6000000000000014E-2</v>
      </c>
      <c r="Y22" s="10">
        <f t="shared" ca="1" si="29"/>
        <v>3.3763499995842494E-7</v>
      </c>
      <c r="Z22" s="8">
        <f t="shared" ca="1" si="64"/>
        <v>45258.492948776846</v>
      </c>
      <c r="AA22" s="8">
        <f ca="1">+SUM(Z22:Z$124)</f>
        <v>466114.26023900922</v>
      </c>
      <c r="AB22" s="8">
        <f t="shared" ca="1" si="30"/>
        <v>716.12430324926345</v>
      </c>
      <c r="AC22" s="209">
        <f ca="1">+SUM(AB22:AB$124)*SSSM</f>
        <v>0</v>
      </c>
      <c r="AD22" s="209">
        <f t="shared" ref="AD22" ca="1" si="286">IF(R22&gt;nB,0,AD21*(1-X21)*(1-Y21)*(1-AE21)*(1-AF21))</f>
        <v>56525.136263388849</v>
      </c>
      <c r="AE22" s="92">
        <f t="shared" ca="1" si="31"/>
        <v>3.2000000000032003E-5</v>
      </c>
      <c r="AF22" s="92">
        <f t="shared" ca="1" si="32"/>
        <v>0</v>
      </c>
      <c r="AG22" s="8">
        <f t="shared" ca="1" si="33"/>
        <v>45248.944300028015</v>
      </c>
      <c r="AH22" s="5">
        <f ca="1">+SUM(AG22:AG$124)</f>
        <v>465908.88774485607</v>
      </c>
      <c r="AI22" s="70">
        <f t="shared" ca="1" si="34"/>
        <v>1.4319464303121661</v>
      </c>
      <c r="AJ22" s="208">
        <f ca="1">+SUM(AB22:AB$124)*SS50J</f>
        <v>0</v>
      </c>
      <c r="AK22" s="209">
        <f t="shared" ca="1" si="66"/>
        <v>56537.064468123972</v>
      </c>
      <c r="AL22" s="257">
        <f t="shared" ref="AL22" ca="1" si="287">IFERROR(VLOOKUP($S22,qx_table,MATCH(AL$11,qx_title,0)+sexB),0)</f>
        <v>3.3763499999999997E-7</v>
      </c>
      <c r="AM22" s="131">
        <f t="shared" ca="1" si="68"/>
        <v>45258.492948776846</v>
      </c>
      <c r="AN22" s="129">
        <f t="shared" ca="1" si="69"/>
        <v>1.4990895005909019E-2</v>
      </c>
      <c r="AO22" s="129">
        <f ca="1">SUM(AN22:AN$124)*SSa</f>
        <v>0.22784004129635263</v>
      </c>
      <c r="AP22" s="70">
        <f t="shared" ca="1" si="70"/>
        <v>56537.064468123972</v>
      </c>
      <c r="AQ22" s="2">
        <f t="shared" ref="AQ22" ca="1" si="288">IFERROR(VLOOKUP($S22,qx_table,MATCH(AQ$11,qx_title,0)+sexB),0)</f>
        <v>0</v>
      </c>
      <c r="AR22" s="127">
        <f t="shared" ca="1" si="72"/>
        <v>0</v>
      </c>
      <c r="AS22" s="127">
        <f ca="1">SUM(AR22:AR$124)*SSb</f>
        <v>0</v>
      </c>
      <c r="AT22" s="70">
        <f t="shared" ca="1" si="73"/>
        <v>56537.064468123972</v>
      </c>
      <c r="AU22" s="2">
        <f t="shared" ref="AU22" ca="1" si="289">IFERROR(VLOOKUP($S22,qx_table,MATCH(AU$11,qx_title,0)+sexB),0)</f>
        <v>0</v>
      </c>
      <c r="AV22" s="268">
        <f t="shared" ca="1" si="75"/>
        <v>0</v>
      </c>
      <c r="AW22" s="131">
        <f ca="1">SUM(AV22:AV$124)*SSc</f>
        <v>0</v>
      </c>
      <c r="AX22" s="70">
        <f t="shared" ca="1" si="76"/>
        <v>56537.064468123972</v>
      </c>
      <c r="AY22" s="2">
        <f t="shared" ref="AY22" ca="1" si="290">IFERROR(VLOOKUP($S22,qx_table,MATCH(AY$11,qx_title,0)+sexB),0)</f>
        <v>0</v>
      </c>
      <c r="AZ22" s="268">
        <f t="shared" ca="1" si="78"/>
        <v>0</v>
      </c>
      <c r="BA22" s="129">
        <f ca="1">SUM(AZ22:AZ$124)*SSd</f>
        <v>0</v>
      </c>
      <c r="BB22" s="70">
        <f t="shared" ca="1" si="79"/>
        <v>56537.064468123972</v>
      </c>
      <c r="BC22" s="257">
        <f t="shared" ref="BC22" ca="1" si="291">IFERROR(VLOOKUP($S22,qx_table,MATCH(BC$11,qx_title,0)+sexB),0)</f>
        <v>0</v>
      </c>
      <c r="BD22" s="268">
        <f t="shared" ca="1" si="81"/>
        <v>0</v>
      </c>
      <c r="BE22" s="131">
        <f ca="1">SUM(BD22:BD$124)*SSe</f>
        <v>0</v>
      </c>
      <c r="BF22" s="70">
        <f t="shared" ca="1" si="82"/>
        <v>56537.064468123972</v>
      </c>
      <c r="BG22" s="2">
        <f t="shared" ref="BG22" ca="1" si="292">IFERROR(VLOOKUP($S22,qx_table,MATCH(BG$11,qx_title,0)+sexB),0)</f>
        <v>0</v>
      </c>
      <c r="BH22" s="131">
        <f t="shared" ca="1" si="84"/>
        <v>0</v>
      </c>
      <c r="BI22" s="2">
        <f ca="1">SUM(BH22:BH$124)*SSf</f>
        <v>0</v>
      </c>
      <c r="BJ22" s="70">
        <f t="shared" ca="1" si="85"/>
        <v>56537.064468123972</v>
      </c>
      <c r="BK22" s="2">
        <f t="shared" ref="BK22" ca="1" si="293">IFERROR(VLOOKUP($S22,qx_table,MATCH(BK$11,qx_title,0)+sexB),0)</f>
        <v>0</v>
      </c>
      <c r="BL22" s="131">
        <f t="shared" ca="1" si="87"/>
        <v>0</v>
      </c>
      <c r="BM22" s="131">
        <f ca="1">SUM(BL22:BL$124)*SSg</f>
        <v>0</v>
      </c>
      <c r="BN22" s="70">
        <f t="shared" ca="1" si="88"/>
        <v>56537.064468123972</v>
      </c>
      <c r="BO22" s="2">
        <f t="shared" ref="BO22" ca="1" si="294">IFERROR(VLOOKUP($S22,qx_table,MATCH(BO$11,qx_title,0)+sexB),0)</f>
        <v>0</v>
      </c>
      <c r="BP22" s="131">
        <f t="shared" ca="1" si="90"/>
        <v>0</v>
      </c>
      <c r="BQ22" s="131">
        <f ca="1">SUM(BP22:BP$124)*SSh</f>
        <v>0</v>
      </c>
      <c r="BR22" s="70">
        <f t="shared" ca="1" si="91"/>
        <v>56537.064468123972</v>
      </c>
      <c r="BS22" s="2">
        <f t="shared" ref="BS22" ca="1" si="295">IFERROR(VLOOKUP($S22,qx_table,MATCH(BS$11,qx_title,0)+sexB),0)*IF(R22=0,MCi,1)</f>
        <v>0</v>
      </c>
      <c r="BT22" s="131">
        <f t="shared" ca="1" si="93"/>
        <v>0</v>
      </c>
      <c r="BU22" s="131">
        <f ca="1">SUM(BT22:BT$124)*SSi</f>
        <v>0</v>
      </c>
      <c r="BV22" s="70">
        <f t="shared" ca="1" si="94"/>
        <v>56537.064468123972</v>
      </c>
      <c r="BW22" s="2">
        <f t="shared" ref="BW22" ca="1" si="296">IFERROR(VLOOKUP($S22,qx_table,MATCH(BW$11,qx_title,0)+sexB),0)</f>
        <v>0</v>
      </c>
      <c r="BX22" s="131">
        <f t="shared" ca="1" si="96"/>
        <v>0</v>
      </c>
      <c r="BY22" s="131">
        <f ca="1">SUM(BX22:BX$124)*SSj</f>
        <v>0</v>
      </c>
      <c r="BZ22" s="70">
        <f t="shared" ca="1" si="97"/>
        <v>56537.064468123972</v>
      </c>
      <c r="CA22" s="2">
        <f t="shared" ref="CA22" ca="1" si="297">IFERROR(VLOOKUP($S22,qx_table,MATCH(CA$11,qx_title,0)+sexB),0)</f>
        <v>0</v>
      </c>
      <c r="CB22" s="131">
        <f t="shared" ca="1" si="99"/>
        <v>0</v>
      </c>
      <c r="CC22" s="131">
        <f ca="1">SUM(CB22:CB$124)*SSk</f>
        <v>0</v>
      </c>
      <c r="CD22" s="8">
        <f t="shared" ca="1" si="100"/>
        <v>56537.064468123972</v>
      </c>
      <c r="CE22" s="2">
        <f t="shared" ref="CE22" ca="1" si="298">IFERROR(VLOOKUP($S22,qx_table,MATCH(CE$11,qx_title,0)+sexB),0)</f>
        <v>0</v>
      </c>
      <c r="CF22" s="131">
        <f t="shared" ca="1" si="102"/>
        <v>0</v>
      </c>
      <c r="CG22" s="131">
        <f ca="1">SUM(CF22:CF$124)*SSl</f>
        <v>0</v>
      </c>
      <c r="CH22" s="155">
        <f t="shared" ca="1" si="103"/>
        <v>1.6E-2</v>
      </c>
      <c r="CI22" s="155">
        <f t="shared" ca="1" si="104"/>
        <v>904.59287877884947</v>
      </c>
      <c r="CJ22" s="155">
        <f t="shared" ca="1" si="105"/>
        <v>716.12418235494829</v>
      </c>
      <c r="CK22" s="155">
        <f ca="1">'유해지 (기준P)'!CZ22</f>
        <v>0.104</v>
      </c>
      <c r="CL22" s="155">
        <f t="shared" ca="1" si="47"/>
        <v>0</v>
      </c>
      <c r="CM22" s="155">
        <f t="shared" ca="1" si="106"/>
        <v>0</v>
      </c>
      <c r="CN22" s="155">
        <f ca="1">SUM(CM22:$CM$124)</f>
        <v>395.11507188454124</v>
      </c>
      <c r="CO22" s="101">
        <f t="shared" ca="1" si="107"/>
        <v>0.22784004129635263</v>
      </c>
      <c r="CP22" s="154">
        <f t="shared" ca="1" si="48"/>
        <v>0.20916472375821116</v>
      </c>
      <c r="CQ22" s="154">
        <f t="shared" ca="1" si="49"/>
        <v>395.11507188454124</v>
      </c>
      <c r="CR22" s="32">
        <f t="shared" ref="CR22" ca="1" si="299">+MAX(VLOOKUP(xB+$R22,기수표B,$AH$1)-VLOOKUP(xB+mB,기수표B,$AH$1),0)</f>
        <v>386197.96608405723</v>
      </c>
      <c r="CS22" s="32">
        <f t="shared" ca="1" si="50"/>
        <v>386197.96608405723</v>
      </c>
      <c r="CT22" s="32">
        <f t="shared" ref="CT22" ca="1" si="300">+MAX(VLOOKUP(xB+$R22,기수표B,$AA$1)-VLOOKUP(xB+mB,기수표B,$AA$1),0)</f>
        <v>386346.8433730189</v>
      </c>
      <c r="CU22" s="32">
        <f t="shared" ca="1" si="52"/>
        <v>386346.8433730189</v>
      </c>
      <c r="CV22" s="32">
        <f t="shared" ca="1" si="53"/>
        <v>56526.437071643726</v>
      </c>
      <c r="CW22" s="259">
        <f t="shared" ca="1" si="54"/>
        <v>0.14501954118980415</v>
      </c>
      <c r="CX22" s="259" t="e">
        <f t="shared" ca="1" si="55"/>
        <v>#REF!</v>
      </c>
      <c r="CY22" s="262" t="e">
        <f t="shared" ca="1" si="56"/>
        <v>#REF!</v>
      </c>
      <c r="CZ22" s="259">
        <f t="shared" ca="1" si="57"/>
        <v>8.7328525046449397E-3</v>
      </c>
      <c r="DA22" s="31">
        <f t="shared" ref="DA22" ca="1" si="301">+MIN(mB,7)</f>
        <v>7</v>
      </c>
    </row>
    <row r="23" spans="2:105">
      <c r="B23" s="124" t="s">
        <v>524</v>
      </c>
      <c r="C23" s="261">
        <v>0</v>
      </c>
      <c r="D23" s="44"/>
      <c r="F23" s="44"/>
      <c r="G23" s="18" t="s">
        <v>64</v>
      </c>
      <c r="H23" s="230" t="e">
        <f ca="1">mmB*((1-BETA_GPB-GAMB)*H20-#REF!)</f>
        <v>#REF!</v>
      </c>
      <c r="I23" s="230"/>
      <c r="J23" s="230"/>
      <c r="K23" s="230">
        <f ca="1">1*((1-BETA_GPB-GAMB)*K20-H15*(1+ALP_PPB*$H$8/K20))</f>
        <v>642468.88725912187</v>
      </c>
      <c r="L23" s="315"/>
      <c r="N23" s="5">
        <f t="shared" si="111"/>
        <v>11</v>
      </c>
      <c r="O23" s="2">
        <f t="shared" ref="O23" ca="1" si="302">+(1+iB)^-N23</f>
        <v>0.78289499476817348</v>
      </c>
      <c r="P23" s="2">
        <f t="shared" ref="P23" ca="1" si="303">+(1+iB)^-(N23+0.5)</f>
        <v>0.77423332080488216</v>
      </c>
      <c r="Q23" s="91"/>
      <c r="R23" s="20">
        <f t="shared" si="114"/>
        <v>11</v>
      </c>
      <c r="S23" s="20">
        <f t="shared" ref="S23" si="304">+IF(xB+R23&lt;=xB+nB,xB+R23,"")</f>
        <v>19</v>
      </c>
      <c r="T23" s="2">
        <f t="shared" ref="T23:U23" ca="1" si="305">IFERROR(VLOOKUP($S23,qx_table,MATCH(T$11,qx_title,0)+sexB),0)</f>
        <v>0</v>
      </c>
      <c r="U23" s="2">
        <f t="shared" ca="1" si="305"/>
        <v>3.1999999999999999E-5</v>
      </c>
      <c r="V23" s="300">
        <f t="shared" ca="1" si="26"/>
        <v>1.35E-2</v>
      </c>
      <c r="W23" s="8">
        <f t="shared" ref="W23" ca="1" si="306">IF(R23=0,100000,IF(R23&gt;nB,0,W22*(1-X22)*(1-Y22)))</f>
        <v>55632.452653164502</v>
      </c>
      <c r="X23" s="10">
        <f t="shared" ca="1" si="28"/>
        <v>1.3499999999999956E-2</v>
      </c>
      <c r="Y23" s="10">
        <f t="shared" ca="1" si="29"/>
        <v>3.323239999852845E-7</v>
      </c>
      <c r="Z23" s="8">
        <f t="shared" ca="1" si="64"/>
        <v>43554.36872883988</v>
      </c>
      <c r="AA23" s="8">
        <f ca="1">+SUM(Z23:Z$124)</f>
        <v>420855.76729023241</v>
      </c>
      <c r="AB23" s="8">
        <f t="shared" ca="1" si="30"/>
        <v>581.47873058942719</v>
      </c>
      <c r="AC23" s="209">
        <f ca="1">+SUM(AB23:AB$124)*SSSM</f>
        <v>0</v>
      </c>
      <c r="AD23" s="209">
        <f t="shared" ref="AD23" ca="1" si="307">IF(R23&gt;nB,0,AD22*(1-X22)*(1-Y22)*(1-AE22)*(1-AF22))</f>
        <v>55618.935440778354</v>
      </c>
      <c r="AE23" s="92">
        <f t="shared" ca="1" si="31"/>
        <v>3.2000000000032003E-5</v>
      </c>
      <c r="AF23" s="92">
        <f t="shared" ca="1" si="32"/>
        <v>0</v>
      </c>
      <c r="AG23" s="8">
        <f t="shared" ca="1" si="33"/>
        <v>43543.786170919549</v>
      </c>
      <c r="AH23" s="5">
        <f ca="1">+SUM(AG23:AG$124)</f>
        <v>420659.94344482804</v>
      </c>
      <c r="AI23" s="70">
        <f t="shared" ca="1" si="34"/>
        <v>1.3779850587516558</v>
      </c>
      <c r="AJ23" s="208">
        <f ca="1">+SUM(AB23:AB$124)*SS50J</f>
        <v>0</v>
      </c>
      <c r="AK23" s="209">
        <f t="shared" ca="1" si="66"/>
        <v>55632.452653164502</v>
      </c>
      <c r="AL23" s="257">
        <f t="shared" ref="AL23" ca="1" si="308">IFERROR(VLOOKUP($S23,qx_table,MATCH(AL$11,qx_title,0)+sexB),0)</f>
        <v>3.3232400000000001E-7</v>
      </c>
      <c r="AM23" s="131">
        <f t="shared" ca="1" si="68"/>
        <v>43554.36872883988</v>
      </c>
      <c r="AN23" s="129">
        <f t="shared" ca="1" si="69"/>
        <v>1.4217405343345682E-2</v>
      </c>
      <c r="AO23" s="129">
        <f ca="1">SUM(AN23:AN$124)*SSa</f>
        <v>0.21284914629044363</v>
      </c>
      <c r="AP23" s="70">
        <f t="shared" ca="1" si="70"/>
        <v>55632.452653164502</v>
      </c>
      <c r="AQ23" s="2">
        <f t="shared" ref="AQ23" ca="1" si="309">IFERROR(VLOOKUP($S23,qx_table,MATCH(AQ$11,qx_title,0)+sexB),0)</f>
        <v>0</v>
      </c>
      <c r="AR23" s="127">
        <f t="shared" ca="1" si="72"/>
        <v>0</v>
      </c>
      <c r="AS23" s="127">
        <f ca="1">SUM(AR23:AR$124)*SSb</f>
        <v>0</v>
      </c>
      <c r="AT23" s="70">
        <f t="shared" ca="1" si="73"/>
        <v>55632.452653164502</v>
      </c>
      <c r="AU23" s="2">
        <f t="shared" ref="AU23" ca="1" si="310">IFERROR(VLOOKUP($S23,qx_table,MATCH(AU$11,qx_title,0)+sexB),0)</f>
        <v>0</v>
      </c>
      <c r="AV23" s="268">
        <f t="shared" ca="1" si="75"/>
        <v>0</v>
      </c>
      <c r="AW23" s="131">
        <f ca="1">SUM(AV23:AV$124)*SSc</f>
        <v>0</v>
      </c>
      <c r="AX23" s="70">
        <f t="shared" ca="1" si="76"/>
        <v>55632.452653164502</v>
      </c>
      <c r="AY23" s="2">
        <f t="shared" ref="AY23" ca="1" si="311">IFERROR(VLOOKUP($S23,qx_table,MATCH(AY$11,qx_title,0)+sexB),0)</f>
        <v>0</v>
      </c>
      <c r="AZ23" s="268">
        <f t="shared" ca="1" si="78"/>
        <v>0</v>
      </c>
      <c r="BA23" s="129">
        <f ca="1">SUM(AZ23:AZ$124)*SSd</f>
        <v>0</v>
      </c>
      <c r="BB23" s="70">
        <f t="shared" ca="1" si="79"/>
        <v>55632.452653164502</v>
      </c>
      <c r="BC23" s="257">
        <f t="shared" ref="BC23" ca="1" si="312">IFERROR(VLOOKUP($S23,qx_table,MATCH(BC$11,qx_title,0)+sexB),0)</f>
        <v>0</v>
      </c>
      <c r="BD23" s="268">
        <f t="shared" ca="1" si="81"/>
        <v>0</v>
      </c>
      <c r="BE23" s="131">
        <f ca="1">SUM(BD23:BD$124)*SSe</f>
        <v>0</v>
      </c>
      <c r="BF23" s="70">
        <f t="shared" ca="1" si="82"/>
        <v>55632.452653164502</v>
      </c>
      <c r="BG23" s="2">
        <f t="shared" ref="BG23" ca="1" si="313">IFERROR(VLOOKUP($S23,qx_table,MATCH(BG$11,qx_title,0)+sexB),0)</f>
        <v>0</v>
      </c>
      <c r="BH23" s="131">
        <f t="shared" ca="1" si="84"/>
        <v>0</v>
      </c>
      <c r="BI23" s="2">
        <f ca="1">SUM(BH23:BH$124)*SSf</f>
        <v>0</v>
      </c>
      <c r="BJ23" s="70">
        <f t="shared" ca="1" si="85"/>
        <v>55632.452653164502</v>
      </c>
      <c r="BK23" s="2">
        <f t="shared" ref="BK23" ca="1" si="314">IFERROR(VLOOKUP($S23,qx_table,MATCH(BK$11,qx_title,0)+sexB),0)</f>
        <v>0</v>
      </c>
      <c r="BL23" s="131">
        <f t="shared" ca="1" si="87"/>
        <v>0</v>
      </c>
      <c r="BM23" s="131">
        <f ca="1">SUM(BL23:BL$124)*SSg</f>
        <v>0</v>
      </c>
      <c r="BN23" s="70">
        <f t="shared" ca="1" si="88"/>
        <v>55632.452653164502</v>
      </c>
      <c r="BO23" s="2">
        <f t="shared" ref="BO23" ca="1" si="315">IFERROR(VLOOKUP($S23,qx_table,MATCH(BO$11,qx_title,0)+sexB),0)</f>
        <v>0</v>
      </c>
      <c r="BP23" s="131">
        <f t="shared" ca="1" si="90"/>
        <v>0</v>
      </c>
      <c r="BQ23" s="131">
        <f ca="1">SUM(BP23:BP$124)*SSh</f>
        <v>0</v>
      </c>
      <c r="BR23" s="70">
        <f t="shared" ca="1" si="91"/>
        <v>55632.452653164502</v>
      </c>
      <c r="BS23" s="2">
        <f t="shared" ref="BS23" ca="1" si="316">IFERROR(VLOOKUP($S23,qx_table,MATCH(BS$11,qx_title,0)+sexB),0)*IF(R23=0,MCi,1)</f>
        <v>0</v>
      </c>
      <c r="BT23" s="131">
        <f t="shared" ca="1" si="93"/>
        <v>0</v>
      </c>
      <c r="BU23" s="131">
        <f ca="1">SUM(BT23:BT$124)*SSi</f>
        <v>0</v>
      </c>
      <c r="BV23" s="70">
        <f t="shared" ca="1" si="94"/>
        <v>55632.452653164502</v>
      </c>
      <c r="BW23" s="2">
        <f t="shared" ref="BW23" ca="1" si="317">IFERROR(VLOOKUP($S23,qx_table,MATCH(BW$11,qx_title,0)+sexB),0)</f>
        <v>0</v>
      </c>
      <c r="BX23" s="131">
        <f t="shared" ca="1" si="96"/>
        <v>0</v>
      </c>
      <c r="BY23" s="131">
        <f ca="1">SUM(BX23:BX$124)*SSj</f>
        <v>0</v>
      </c>
      <c r="BZ23" s="70">
        <f t="shared" ca="1" si="97"/>
        <v>55632.452653164502</v>
      </c>
      <c r="CA23" s="2">
        <f t="shared" ref="CA23" ca="1" si="318">IFERROR(VLOOKUP($S23,qx_table,MATCH(CA$11,qx_title,0)+sexB),0)</f>
        <v>0</v>
      </c>
      <c r="CB23" s="131">
        <f t="shared" ca="1" si="99"/>
        <v>0</v>
      </c>
      <c r="CC23" s="131">
        <f ca="1">SUM(CB23:CB$124)*SSk</f>
        <v>0</v>
      </c>
      <c r="CD23" s="8">
        <f t="shared" ca="1" si="100"/>
        <v>55632.452653164502</v>
      </c>
      <c r="CE23" s="2">
        <f t="shared" ref="CE23" ca="1" si="319">IFERROR(VLOOKUP($S23,qx_table,MATCH(CE$11,qx_title,0)+sexB),0)</f>
        <v>0</v>
      </c>
      <c r="CF23" s="131">
        <f t="shared" ca="1" si="102"/>
        <v>0</v>
      </c>
      <c r="CG23" s="131">
        <f ca="1">SUM(CF23:CF$124)*SSl</f>
        <v>0</v>
      </c>
      <c r="CH23" s="155">
        <f t="shared" ca="1" si="103"/>
        <v>1.35E-2</v>
      </c>
      <c r="CI23" s="155">
        <f t="shared" ca="1" si="104"/>
        <v>751.03798602372615</v>
      </c>
      <c r="CJ23" s="155">
        <f t="shared" ca="1" si="105"/>
        <v>581.47863396976015</v>
      </c>
      <c r="CK23" s="155">
        <f ca="1">'유해지 (기준P)'!CZ23</f>
        <v>0.10199999999999999</v>
      </c>
      <c r="CL23" s="155">
        <f t="shared" ca="1" si="47"/>
        <v>0</v>
      </c>
      <c r="CM23" s="155">
        <f t="shared" ca="1" si="106"/>
        <v>0</v>
      </c>
      <c r="CN23" s="155">
        <f ca="1">SUM(CM23:$CM$124)</f>
        <v>395.11507188454124</v>
      </c>
      <c r="CO23" s="101">
        <f t="shared" ca="1" si="107"/>
        <v>0.21284914629044363</v>
      </c>
      <c r="CP23" s="154">
        <f t="shared" ca="1" si="48"/>
        <v>0.19417382875230216</v>
      </c>
      <c r="CQ23" s="154">
        <f t="shared" ca="1" si="49"/>
        <v>395.11507188454124</v>
      </c>
      <c r="CR23" s="32">
        <f t="shared" ref="CR23" ca="1" si="320">+MAX(VLOOKUP(xB+$R23,기수표B,$AH$1)-VLOOKUP(xB+mB,기수표B,$AH$1),0)</f>
        <v>340949.0217840292</v>
      </c>
      <c r="CS23" s="32">
        <f t="shared" ca="1" si="50"/>
        <v>340949.0217840292</v>
      </c>
      <c r="CT23" s="32">
        <f t="shared" ref="CT23" ca="1" si="321">+MAX(VLOOKUP(xB+$R23,기수표B,$AA$1)-VLOOKUP(xB+mB,기수표B,$AA$1),0)</f>
        <v>341088.35042424209</v>
      </c>
      <c r="CU23" s="32">
        <f t="shared" ca="1" si="52"/>
        <v>341088.35042424209</v>
      </c>
      <c r="CV23" s="32">
        <f t="shared" ca="1" si="53"/>
        <v>56526.437071643726</v>
      </c>
      <c r="CW23" s="259">
        <f t="shared" ca="1" si="54"/>
        <v>0.12802830426473749</v>
      </c>
      <c r="CX23" s="259" t="e">
        <f t="shared" ca="1" si="55"/>
        <v>#REF!</v>
      </c>
      <c r="CY23" s="262" t="e">
        <f t="shared" ca="1" si="56"/>
        <v>#REF!</v>
      </c>
      <c r="CZ23" s="259">
        <f t="shared" ca="1" si="57"/>
        <v>9.0745832250896698E-3</v>
      </c>
      <c r="DA23" s="31">
        <f t="shared" ref="DA23" ca="1" si="322">+MIN(mB,7)</f>
        <v>7</v>
      </c>
    </row>
    <row r="24" spans="2:105">
      <c r="B24" s="124" t="s">
        <v>43</v>
      </c>
      <c r="C24" s="121">
        <f ca="1">MAIN!I12</f>
        <v>0.35</v>
      </c>
      <c r="D24" s="44"/>
      <c r="F24" s="44"/>
      <c r="G24" s="18" t="s">
        <v>55</v>
      </c>
      <c r="H24" s="305" t="e">
        <f ca="1">+H22/H23</f>
        <v>#REF!</v>
      </c>
      <c r="I24" s="319"/>
      <c r="J24" s="294"/>
      <c r="K24" s="294">
        <f ca="1">+K22/K23</f>
        <v>3.7550570931344619E-7</v>
      </c>
      <c r="L24" s="314"/>
      <c r="N24" s="5">
        <f t="shared" si="111"/>
        <v>12</v>
      </c>
      <c r="O24" s="2">
        <f t="shared" ref="O24" ca="1" si="323">+(1+iB)^-N24</f>
        <v>0.76566747654589096</v>
      </c>
      <c r="P24" s="2">
        <f t="shared" ref="P24" ca="1" si="324">+(1+iB)^-(N24+0.5)</f>
        <v>0.75719640176516601</v>
      </c>
      <c r="Q24" s="91"/>
      <c r="R24" s="20">
        <f t="shared" si="114"/>
        <v>12</v>
      </c>
      <c r="S24" s="20">
        <f t="shared" ref="S24" si="325">+IF(xB+R24&lt;=xB+nB,xB+R24,"")</f>
        <v>20</v>
      </c>
      <c r="T24" s="2">
        <f t="shared" ref="T24:U24" ca="1" si="326">IFERROR(VLOOKUP($S24,qx_table,MATCH(T$11,qx_title,0)+sexB),0)</f>
        <v>0</v>
      </c>
      <c r="U24" s="2">
        <f t="shared" ca="1" si="326"/>
        <v>4.8000000000000001E-5</v>
      </c>
      <c r="V24" s="300">
        <f t="shared" ca="1" si="26"/>
        <v>1.35E-2</v>
      </c>
      <c r="W24" s="8">
        <f t="shared" ref="W24" ca="1" si="327">IF(R24=0,100000,IF(R24&gt;nB,0,W23*(1-X23)*(1-Y23)))</f>
        <v>54881.39630393558</v>
      </c>
      <c r="X24" s="10">
        <f t="shared" ca="1" si="28"/>
        <v>1.3499999999999956E-2</v>
      </c>
      <c r="Y24" s="10">
        <f t="shared" ca="1" si="29"/>
        <v>3.2291600005063259E-7</v>
      </c>
      <c r="Z24" s="8">
        <f t="shared" ca="1" si="64"/>
        <v>42020.900217349343</v>
      </c>
      <c r="AA24" s="8">
        <f ca="1">+SUM(Z24:Z$124)</f>
        <v>377301.3985613925</v>
      </c>
      <c r="AB24" s="8">
        <f t="shared" ca="1" si="30"/>
        <v>561.00594337003758</v>
      </c>
      <c r="AC24" s="209">
        <f ca="1">+SUM(AB24:AB$124)*SSSM</f>
        <v>0</v>
      </c>
      <c r="AD24" s="209">
        <f t="shared" ref="AD24" ca="1" si="328">IF(R24&gt;nB,0,AD23*(1-X23)*(1-Y23)*(1-AE23)*(1-AF23))</f>
        <v>54866.305800377588</v>
      </c>
      <c r="AE24" s="92">
        <f t="shared" ca="1" si="31"/>
        <v>4.8000000000048004E-5</v>
      </c>
      <c r="AF24" s="92">
        <f t="shared" ca="1" si="32"/>
        <v>0</v>
      </c>
      <c r="AG24" s="8">
        <f t="shared" ca="1" si="33"/>
        <v>42009.345909570286</v>
      </c>
      <c r="AH24" s="5">
        <f ca="1">+SUM(AG24:AG$124)</f>
        <v>377116.15727390855</v>
      </c>
      <c r="AI24" s="70">
        <f t="shared" ca="1" si="34"/>
        <v>1.9941393278512662</v>
      </c>
      <c r="AJ24" s="208">
        <f ca="1">+SUM(AB24:AB$124)*SS50J</f>
        <v>0</v>
      </c>
      <c r="AK24" s="209">
        <f t="shared" ca="1" si="66"/>
        <v>54881.39630393558</v>
      </c>
      <c r="AL24" s="257">
        <f t="shared" ref="AL24" ca="1" si="329">IFERROR(VLOOKUP($S24,qx_table,MATCH(AL$11,qx_title,0)+sexB),0)</f>
        <v>3.2291599999999998E-7</v>
      </c>
      <c r="AM24" s="131">
        <f t="shared" ca="1" si="68"/>
        <v>42020.900217349343</v>
      </c>
      <c r="AN24" s="129">
        <f t="shared" ca="1" si="69"/>
        <v>1.3328517043823479E-2</v>
      </c>
      <c r="AO24" s="129">
        <f ca="1">SUM(AN24:AN$124)*SSa</f>
        <v>0.19863174094709796</v>
      </c>
      <c r="AP24" s="70">
        <f t="shared" ca="1" si="70"/>
        <v>54881.39630393558</v>
      </c>
      <c r="AQ24" s="2">
        <f t="shared" ref="AQ24" ca="1" si="330">IFERROR(VLOOKUP($S24,qx_table,MATCH(AQ$11,qx_title,0)+sexB),0)</f>
        <v>0</v>
      </c>
      <c r="AR24" s="127">
        <f t="shared" ca="1" si="72"/>
        <v>0</v>
      </c>
      <c r="AS24" s="127">
        <f ca="1">SUM(AR24:AR$124)*SSb</f>
        <v>0</v>
      </c>
      <c r="AT24" s="70">
        <f t="shared" ca="1" si="73"/>
        <v>54881.39630393558</v>
      </c>
      <c r="AU24" s="2">
        <f t="shared" ref="AU24" ca="1" si="331">IFERROR(VLOOKUP($S24,qx_table,MATCH(AU$11,qx_title,0)+sexB),0)</f>
        <v>0</v>
      </c>
      <c r="AV24" s="268">
        <f t="shared" ca="1" si="75"/>
        <v>0</v>
      </c>
      <c r="AW24" s="131">
        <f ca="1">SUM(AV24:AV$124)*SSc</f>
        <v>0</v>
      </c>
      <c r="AX24" s="70">
        <f t="shared" ca="1" si="76"/>
        <v>54881.39630393558</v>
      </c>
      <c r="AY24" s="2">
        <f t="shared" ref="AY24" ca="1" si="332">IFERROR(VLOOKUP($S24,qx_table,MATCH(AY$11,qx_title,0)+sexB),0)</f>
        <v>0</v>
      </c>
      <c r="AZ24" s="268">
        <f t="shared" ca="1" si="78"/>
        <v>0</v>
      </c>
      <c r="BA24" s="129">
        <f ca="1">SUM(AZ24:AZ$124)*SSd</f>
        <v>0</v>
      </c>
      <c r="BB24" s="70">
        <f t="shared" ca="1" si="79"/>
        <v>54881.39630393558</v>
      </c>
      <c r="BC24" s="257">
        <f t="shared" ref="BC24" ca="1" si="333">IFERROR(VLOOKUP($S24,qx_table,MATCH(BC$11,qx_title,0)+sexB),0)</f>
        <v>0</v>
      </c>
      <c r="BD24" s="268">
        <f t="shared" ca="1" si="81"/>
        <v>0</v>
      </c>
      <c r="BE24" s="131">
        <f ca="1">SUM(BD24:BD$124)*SSe</f>
        <v>0</v>
      </c>
      <c r="BF24" s="70">
        <f t="shared" ca="1" si="82"/>
        <v>54881.39630393558</v>
      </c>
      <c r="BG24" s="2">
        <f t="shared" ref="BG24" ca="1" si="334">IFERROR(VLOOKUP($S24,qx_table,MATCH(BG$11,qx_title,0)+sexB),0)</f>
        <v>0</v>
      </c>
      <c r="BH24" s="131">
        <f t="shared" ca="1" si="84"/>
        <v>0</v>
      </c>
      <c r="BI24" s="2">
        <f ca="1">SUM(BH24:BH$124)*SSf</f>
        <v>0</v>
      </c>
      <c r="BJ24" s="70">
        <f t="shared" ca="1" si="85"/>
        <v>54881.39630393558</v>
      </c>
      <c r="BK24" s="2">
        <f t="shared" ref="BK24" ca="1" si="335">IFERROR(VLOOKUP($S24,qx_table,MATCH(BK$11,qx_title,0)+sexB),0)</f>
        <v>0</v>
      </c>
      <c r="BL24" s="131">
        <f t="shared" ca="1" si="87"/>
        <v>0</v>
      </c>
      <c r="BM24" s="131">
        <f ca="1">SUM(BL24:BL$124)*SSg</f>
        <v>0</v>
      </c>
      <c r="BN24" s="70">
        <f t="shared" ca="1" si="88"/>
        <v>54881.39630393558</v>
      </c>
      <c r="BO24" s="2">
        <f t="shared" ref="BO24" ca="1" si="336">IFERROR(VLOOKUP($S24,qx_table,MATCH(BO$11,qx_title,0)+sexB),0)</f>
        <v>0</v>
      </c>
      <c r="BP24" s="131">
        <f t="shared" ca="1" si="90"/>
        <v>0</v>
      </c>
      <c r="BQ24" s="131">
        <f ca="1">SUM(BP24:BP$124)*SSh</f>
        <v>0</v>
      </c>
      <c r="BR24" s="70">
        <f t="shared" ca="1" si="91"/>
        <v>54881.39630393558</v>
      </c>
      <c r="BS24" s="2">
        <f t="shared" ref="BS24" ca="1" si="337">IFERROR(VLOOKUP($S24,qx_table,MATCH(BS$11,qx_title,0)+sexB),0)*IF(R24=0,MCi,1)</f>
        <v>0</v>
      </c>
      <c r="BT24" s="131">
        <f t="shared" ca="1" si="93"/>
        <v>0</v>
      </c>
      <c r="BU24" s="131">
        <f ca="1">SUM(BT24:BT$124)*SSi</f>
        <v>0</v>
      </c>
      <c r="BV24" s="70">
        <f t="shared" ca="1" si="94"/>
        <v>54881.39630393558</v>
      </c>
      <c r="BW24" s="2">
        <f t="shared" ref="BW24" ca="1" si="338">IFERROR(VLOOKUP($S24,qx_table,MATCH(BW$11,qx_title,0)+sexB),0)</f>
        <v>0</v>
      </c>
      <c r="BX24" s="131">
        <f t="shared" ca="1" si="96"/>
        <v>0</v>
      </c>
      <c r="BY24" s="131">
        <f ca="1">SUM(BX24:BX$124)*SSj</f>
        <v>0</v>
      </c>
      <c r="BZ24" s="70">
        <f t="shared" ca="1" si="97"/>
        <v>54881.39630393558</v>
      </c>
      <c r="CA24" s="2">
        <f t="shared" ref="CA24" ca="1" si="339">IFERROR(VLOOKUP($S24,qx_table,MATCH(CA$11,qx_title,0)+sexB),0)</f>
        <v>0</v>
      </c>
      <c r="CB24" s="131">
        <f t="shared" ca="1" si="99"/>
        <v>0</v>
      </c>
      <c r="CC24" s="131">
        <f ca="1">SUM(CB24:CB$124)*SSk</f>
        <v>0</v>
      </c>
      <c r="CD24" s="8">
        <f t="shared" ca="1" si="100"/>
        <v>54881.39630393558</v>
      </c>
      <c r="CE24" s="2">
        <f t="shared" ref="CE24" ca="1" si="340">IFERROR(VLOOKUP($S24,qx_table,MATCH(CE$11,qx_title,0)+sexB),0)</f>
        <v>0</v>
      </c>
      <c r="CF24" s="131">
        <f t="shared" ca="1" si="102"/>
        <v>0</v>
      </c>
      <c r="CG24" s="131">
        <f ca="1">SUM(CF24:CF$124)*SSl</f>
        <v>0</v>
      </c>
      <c r="CH24" s="155">
        <f t="shared" ca="1" si="103"/>
        <v>1.35E-2</v>
      </c>
      <c r="CI24" s="155">
        <f t="shared" ca="1" si="104"/>
        <v>740.89873047908384</v>
      </c>
      <c r="CJ24" s="155">
        <f t="shared" ca="1" si="105"/>
        <v>561.00585279114182</v>
      </c>
      <c r="CK24" s="155">
        <f ca="1">'유해지 (기준P)'!CZ24</f>
        <v>0.1</v>
      </c>
      <c r="CL24" s="155">
        <f t="shared" ca="1" si="47"/>
        <v>0</v>
      </c>
      <c r="CM24" s="155">
        <f t="shared" ca="1" si="106"/>
        <v>0</v>
      </c>
      <c r="CN24" s="155">
        <f ca="1">SUM(CM24:$CM$124)</f>
        <v>395.11507188454124</v>
      </c>
      <c r="CO24" s="101">
        <f t="shared" ca="1" si="107"/>
        <v>0.19863174094709796</v>
      </c>
      <c r="CP24" s="154">
        <f t="shared" ca="1" si="48"/>
        <v>0.17995642340895648</v>
      </c>
      <c r="CQ24" s="154">
        <f t="shared" ca="1" si="49"/>
        <v>395.11507188454124</v>
      </c>
      <c r="CR24" s="32">
        <f t="shared" ref="CR24" ca="1" si="341">+MAX(VLOOKUP(xB+$R24,기수표B,$AH$1)-VLOOKUP(xB+mB,기수표B,$AH$1),0)</f>
        <v>297405.23561310972</v>
      </c>
      <c r="CS24" s="32">
        <f t="shared" ca="1" si="50"/>
        <v>297405.23561310972</v>
      </c>
      <c r="CT24" s="32">
        <f t="shared" ref="CT24" ca="1" si="342">+MAX(VLOOKUP(xB+$R24,기수표B,$AA$1)-VLOOKUP(xB+mB,기수표B,$AA$1),0)</f>
        <v>297533.98169540218</v>
      </c>
      <c r="CU24" s="32">
        <f t="shared" ca="1" si="52"/>
        <v>297533.98169540218</v>
      </c>
      <c r="CV24" s="32">
        <f t="shared" ca="1" si="53"/>
        <v>56526.437071643726</v>
      </c>
      <c r="CW24" s="259">
        <f t="shared" ca="1" si="54"/>
        <v>0.11167736395243336</v>
      </c>
      <c r="CX24" s="259" t="e">
        <f t="shared" ca="1" si="55"/>
        <v>#REF!</v>
      </c>
      <c r="CY24" s="262" t="e">
        <f t="shared" ca="1" si="56"/>
        <v>#REF!</v>
      </c>
      <c r="CZ24" s="259">
        <f t="shared" ca="1" si="57"/>
        <v>9.4057927206872421E-3</v>
      </c>
      <c r="DA24" s="31">
        <f t="shared" ref="DA24" ca="1" si="343">+MIN(mB,7)</f>
        <v>7</v>
      </c>
    </row>
    <row r="25" spans="2:105">
      <c r="B25" s="124" t="s">
        <v>95</v>
      </c>
      <c r="C25" s="245">
        <f ca="1">MAIN!I13</f>
        <v>9.9999999999999995E-7</v>
      </c>
      <c r="D25" s="44"/>
      <c r="F25" s="44"/>
      <c r="G25" s="18" t="s">
        <v>72</v>
      </c>
      <c r="H25" s="299" t="e">
        <f ca="1">+H24+$C$26*$H$13/(mmB*H20)</f>
        <v>#REF!</v>
      </c>
      <c r="I25" s="299"/>
      <c r="J25" s="320"/>
      <c r="K25" s="299">
        <f ca="1">+K24+$C$26*$H$13/K20</f>
        <v>4.2977638408057892E-7</v>
      </c>
      <c r="L25" s="313">
        <f>I25+J25</f>
        <v>0</v>
      </c>
      <c r="N25" s="5">
        <f t="shared" si="111"/>
        <v>13</v>
      </c>
      <c r="O25" s="2">
        <f t="shared" ref="O25" ca="1" si="344">+(1+iB)^-N25</f>
        <v>0.74881904796664145</v>
      </c>
      <c r="P25" s="2">
        <f t="shared" ref="P25" ca="1" si="345">+(1+iB)^-(N25+0.5)</f>
        <v>0.74053437825444102</v>
      </c>
      <c r="Q25" s="91"/>
      <c r="R25" s="20">
        <f t="shared" si="114"/>
        <v>13</v>
      </c>
      <c r="S25" s="20">
        <f t="shared" ref="S25" si="346">+IF(xB+R25&lt;=xB+nB,xB+R25,"")</f>
        <v>21</v>
      </c>
      <c r="T25" s="2">
        <f t="shared" ref="T25:U25" ca="1" si="347">IFERROR(VLOOKUP($S25,qx_table,MATCH(T$11,qx_title,0)+sexB),0)</f>
        <v>0</v>
      </c>
      <c r="U25" s="2">
        <f t="shared" ca="1" si="347"/>
        <v>4.8000000000000001E-5</v>
      </c>
      <c r="V25" s="300">
        <f t="shared" ca="1" si="26"/>
        <v>1.35E-2</v>
      </c>
      <c r="W25" s="8">
        <f t="shared" ref="W25" ca="1" si="348">IF(R25=0,100000,IF(R25&gt;nB,0,W24*(1-X24)*(1-Y24)))</f>
        <v>54140.479970999571</v>
      </c>
      <c r="X25" s="10">
        <f t="shared" ca="1" si="28"/>
        <v>1.3499999999999956E-2</v>
      </c>
      <c r="Y25" s="10">
        <f t="shared" ca="1" si="29"/>
        <v>3.1199999994679928E-7</v>
      </c>
      <c r="Z25" s="8">
        <f t="shared" ca="1" si="64"/>
        <v>40541.422668340922</v>
      </c>
      <c r="AA25" s="8">
        <f ca="1">+SUM(Z25:Z$124)</f>
        <v>335280.49834404327</v>
      </c>
      <c r="AB25" s="8">
        <f t="shared" ca="1" si="30"/>
        <v>541.25397009523419</v>
      </c>
      <c r="AC25" s="209">
        <f ca="1">+SUM(AB25:AB$124)*SSSM</f>
        <v>0</v>
      </c>
      <c r="AD25" s="209">
        <f t="shared" ref="AD25" ca="1" si="349">IF(R25&gt;nB,0,AD24*(1-X24)*(1-Y24)*(1-AE24)*(1-AF24))</f>
        <v>54122.995165573477</v>
      </c>
      <c r="AE25" s="92">
        <f t="shared" ca="1" si="31"/>
        <v>4.8000000000048004E-5</v>
      </c>
      <c r="AF25" s="92">
        <f t="shared" ca="1" si="32"/>
        <v>0</v>
      </c>
      <c r="AG25" s="8">
        <f t="shared" ca="1" si="33"/>
        <v>40528.32971298787</v>
      </c>
      <c r="AH25" s="5">
        <f ca="1">+SUM(AG25:AG$124)</f>
        <v>335106.81136433827</v>
      </c>
      <c r="AI25" s="70">
        <f t="shared" ca="1" si="34"/>
        <v>1.9238370515638155</v>
      </c>
      <c r="AJ25" s="208">
        <f ca="1">+SUM(AB25:AB$124)*SS50J</f>
        <v>0</v>
      </c>
      <c r="AK25" s="209">
        <f t="shared" ca="1" si="66"/>
        <v>54140.479970999571</v>
      </c>
      <c r="AL25" s="257">
        <f t="shared" ref="AL25" ca="1" si="350">IFERROR(VLOOKUP($S25,qx_table,MATCH(AL$11,qx_title,0)+sexB),0)</f>
        <v>3.1199999999999999E-7</v>
      </c>
      <c r="AM25" s="131">
        <f t="shared" ca="1" si="68"/>
        <v>40541.422668340922</v>
      </c>
      <c r="AN25" s="129">
        <f t="shared" ca="1" si="69"/>
        <v>1.2424545022866154E-2</v>
      </c>
      <c r="AO25" s="129">
        <f ca="1">SUM(AN25:AN$124)*SSa</f>
        <v>0.18530322390327447</v>
      </c>
      <c r="AP25" s="70">
        <f t="shared" ca="1" si="70"/>
        <v>54140.479970999571</v>
      </c>
      <c r="AQ25" s="2">
        <f t="shared" ref="AQ25" ca="1" si="351">IFERROR(VLOOKUP($S25,qx_table,MATCH(AQ$11,qx_title,0)+sexB),0)</f>
        <v>0</v>
      </c>
      <c r="AR25" s="127">
        <f t="shared" ca="1" si="72"/>
        <v>0</v>
      </c>
      <c r="AS25" s="127">
        <f ca="1">SUM(AR25:AR$124)*SSb</f>
        <v>0</v>
      </c>
      <c r="AT25" s="70">
        <f t="shared" ca="1" si="73"/>
        <v>54140.479970999571</v>
      </c>
      <c r="AU25" s="2">
        <f t="shared" ref="AU25" ca="1" si="352">IFERROR(VLOOKUP($S25,qx_table,MATCH(AU$11,qx_title,0)+sexB),0)</f>
        <v>0</v>
      </c>
      <c r="AV25" s="268">
        <f t="shared" ca="1" si="75"/>
        <v>0</v>
      </c>
      <c r="AW25" s="131">
        <f ca="1">SUM(AV25:AV$124)*SSc</f>
        <v>0</v>
      </c>
      <c r="AX25" s="70">
        <f t="shared" ca="1" si="76"/>
        <v>54140.479970999571</v>
      </c>
      <c r="AY25" s="2">
        <f t="shared" ref="AY25" ca="1" si="353">IFERROR(VLOOKUP($S25,qx_table,MATCH(AY$11,qx_title,0)+sexB),0)</f>
        <v>0</v>
      </c>
      <c r="AZ25" s="268">
        <f t="shared" ca="1" si="78"/>
        <v>0</v>
      </c>
      <c r="BA25" s="129">
        <f ca="1">SUM(AZ25:AZ$124)*SSd</f>
        <v>0</v>
      </c>
      <c r="BB25" s="70">
        <f t="shared" ca="1" si="79"/>
        <v>54140.479970999571</v>
      </c>
      <c r="BC25" s="257">
        <f t="shared" ref="BC25" ca="1" si="354">IFERROR(VLOOKUP($S25,qx_table,MATCH(BC$11,qx_title,0)+sexB),0)</f>
        <v>0</v>
      </c>
      <c r="BD25" s="268">
        <f t="shared" ca="1" si="81"/>
        <v>0</v>
      </c>
      <c r="BE25" s="131">
        <f ca="1">SUM(BD25:BD$124)*SSe</f>
        <v>0</v>
      </c>
      <c r="BF25" s="70">
        <f t="shared" ca="1" si="82"/>
        <v>54140.479970999571</v>
      </c>
      <c r="BG25" s="2">
        <f t="shared" ref="BG25" ca="1" si="355">IFERROR(VLOOKUP($S25,qx_table,MATCH(BG$11,qx_title,0)+sexB),0)</f>
        <v>0</v>
      </c>
      <c r="BH25" s="131">
        <f t="shared" ca="1" si="84"/>
        <v>0</v>
      </c>
      <c r="BI25" s="2">
        <f ca="1">SUM(BH25:BH$124)*SSf</f>
        <v>0</v>
      </c>
      <c r="BJ25" s="70">
        <f t="shared" ca="1" si="85"/>
        <v>54140.479970999571</v>
      </c>
      <c r="BK25" s="2">
        <f t="shared" ref="BK25" ca="1" si="356">IFERROR(VLOOKUP($S25,qx_table,MATCH(BK$11,qx_title,0)+sexB),0)</f>
        <v>0</v>
      </c>
      <c r="BL25" s="131">
        <f t="shared" ca="1" si="87"/>
        <v>0</v>
      </c>
      <c r="BM25" s="131">
        <f ca="1">SUM(BL25:BL$124)*SSg</f>
        <v>0</v>
      </c>
      <c r="BN25" s="70">
        <f t="shared" ca="1" si="88"/>
        <v>54140.479970999571</v>
      </c>
      <c r="BO25" s="2">
        <f t="shared" ref="BO25" ca="1" si="357">IFERROR(VLOOKUP($S25,qx_table,MATCH(BO$11,qx_title,0)+sexB),0)</f>
        <v>0</v>
      </c>
      <c r="BP25" s="131">
        <f t="shared" ca="1" si="90"/>
        <v>0</v>
      </c>
      <c r="BQ25" s="131">
        <f ca="1">SUM(BP25:BP$124)*SSh</f>
        <v>0</v>
      </c>
      <c r="BR25" s="70">
        <f t="shared" ca="1" si="91"/>
        <v>54140.479970999571</v>
      </c>
      <c r="BS25" s="2">
        <f t="shared" ref="BS25" ca="1" si="358">IFERROR(VLOOKUP($S25,qx_table,MATCH(BS$11,qx_title,0)+sexB),0)*IF(R25=0,MCi,1)</f>
        <v>0</v>
      </c>
      <c r="BT25" s="131">
        <f t="shared" ca="1" si="93"/>
        <v>0</v>
      </c>
      <c r="BU25" s="131">
        <f ca="1">SUM(BT25:BT$124)*SSi</f>
        <v>0</v>
      </c>
      <c r="BV25" s="70">
        <f t="shared" ca="1" si="94"/>
        <v>54140.479970999571</v>
      </c>
      <c r="BW25" s="2">
        <f t="shared" ref="BW25" ca="1" si="359">IFERROR(VLOOKUP($S25,qx_table,MATCH(BW$11,qx_title,0)+sexB),0)</f>
        <v>0</v>
      </c>
      <c r="BX25" s="131">
        <f t="shared" ca="1" si="96"/>
        <v>0</v>
      </c>
      <c r="BY25" s="131">
        <f ca="1">SUM(BX25:BX$124)*SSj</f>
        <v>0</v>
      </c>
      <c r="BZ25" s="70">
        <f t="shared" ca="1" si="97"/>
        <v>54140.479970999571</v>
      </c>
      <c r="CA25" s="2">
        <f t="shared" ref="CA25" ca="1" si="360">IFERROR(VLOOKUP($S25,qx_table,MATCH(CA$11,qx_title,0)+sexB),0)</f>
        <v>0</v>
      </c>
      <c r="CB25" s="131">
        <f t="shared" ca="1" si="99"/>
        <v>0</v>
      </c>
      <c r="CC25" s="131">
        <f ca="1">SUM(CB25:CB$124)*SSk</f>
        <v>0</v>
      </c>
      <c r="CD25" s="8">
        <f t="shared" ca="1" si="100"/>
        <v>54140.479970999571</v>
      </c>
      <c r="CE25" s="2">
        <f t="shared" ref="CE25" ca="1" si="361">IFERROR(VLOOKUP($S25,qx_table,MATCH(CE$11,qx_title,0)+sexB),0)</f>
        <v>0</v>
      </c>
      <c r="CF25" s="131">
        <f t="shared" ca="1" si="102"/>
        <v>0</v>
      </c>
      <c r="CG25" s="131">
        <f ca="1">SUM(CF25:CF$124)*SSl</f>
        <v>0</v>
      </c>
      <c r="CH25" s="155">
        <f t="shared" ca="1" si="103"/>
        <v>1.35E-2</v>
      </c>
      <c r="CI25" s="155">
        <f t="shared" ca="1" si="104"/>
        <v>730.89636558864345</v>
      </c>
      <c r="CJ25" s="155">
        <f t="shared" ca="1" si="105"/>
        <v>541.25388565961669</v>
      </c>
      <c r="CK25" s="155">
        <f ca="1">'유해지 (기준P)'!CZ25</f>
        <v>9.9000000000000005E-2</v>
      </c>
      <c r="CL25" s="155">
        <f t="shared" ca="1" si="47"/>
        <v>0</v>
      </c>
      <c r="CM25" s="155">
        <f t="shared" ca="1" si="106"/>
        <v>0</v>
      </c>
      <c r="CN25" s="155">
        <f ca="1">SUM(CM25:$CM$124)</f>
        <v>395.11507188454124</v>
      </c>
      <c r="CO25" s="101">
        <f t="shared" ca="1" si="107"/>
        <v>0.18530322390327447</v>
      </c>
      <c r="CP25" s="154">
        <f t="shared" ca="1" si="48"/>
        <v>0.166627906365133</v>
      </c>
      <c r="CQ25" s="154">
        <f t="shared" ca="1" si="49"/>
        <v>395.11507188454124</v>
      </c>
      <c r="CR25" s="32">
        <f t="shared" ref="CR25" ca="1" si="362">+MAX(VLOOKUP(xB+$R25,기수표B,$AH$1)-VLOOKUP(xB+mB,기수표B,$AH$1),0)</f>
        <v>255395.88970353943</v>
      </c>
      <c r="CS25" s="32">
        <f t="shared" ca="1" si="50"/>
        <v>255395.88970353943</v>
      </c>
      <c r="CT25" s="32">
        <f t="shared" ref="CT25" ca="1" si="363">+MAX(VLOOKUP(xB+$R25,기수표B,$AA$1)-VLOOKUP(xB+mB,기수표B,$AA$1),0)</f>
        <v>255513.08147805295</v>
      </c>
      <c r="CU25" s="32">
        <f t="shared" ca="1" si="52"/>
        <v>255513.08147805295</v>
      </c>
      <c r="CV25" s="32">
        <f t="shared" ca="1" si="53"/>
        <v>56526.437071643726</v>
      </c>
      <c r="CW25" s="259">
        <f t="shared" ca="1" si="54"/>
        <v>9.5902614718866241E-2</v>
      </c>
      <c r="CX25" s="259" t="e">
        <f t="shared" ca="1" si="55"/>
        <v>#REF!</v>
      </c>
      <c r="CY25" s="262" t="e">
        <f t="shared" ca="1" si="56"/>
        <v>#REF!</v>
      </c>
      <c r="CZ25" s="259">
        <f t="shared" ca="1" si="57"/>
        <v>9.7490985170065724E-3</v>
      </c>
      <c r="DA25" s="31">
        <f t="shared" ref="DA25" ca="1" si="364">+MIN(mB,7)</f>
        <v>7</v>
      </c>
    </row>
    <row r="26" spans="2:105">
      <c r="B26" s="124" t="s">
        <v>94</v>
      </c>
      <c r="C26" s="245">
        <f ca="1">MAIN!I14</f>
        <v>9.9999999999999995E-7</v>
      </c>
      <c r="G26" s="18" t="s">
        <v>66</v>
      </c>
      <c r="H26" s="321" t="e">
        <f ca="1">+H$24+((ALP_SB+ALP_PPB*NPPB_STD)*$H$8+BETA_SB*H20+BETAD_SB*$H$13)/(mmB*H20)</f>
        <v>#REF!</v>
      </c>
      <c r="I26" s="321"/>
      <c r="J26" s="321"/>
      <c r="K26" s="321">
        <f ca="1">+K$24+((ALP_SB+ALP_PPB*'무해지 (기준P)'!NPPB_STD)*$H$8+BETA_SB*K20+BETAD_SB*$H$13)/(mmB*K20)</f>
        <v>1.4586180366298415E-6</v>
      </c>
      <c r="N26" s="5">
        <f t="shared" si="111"/>
        <v>14</v>
      </c>
      <c r="O26" s="2">
        <f t="shared" ref="O26" ca="1" si="365">+(1+iB)^-N26</f>
        <v>0.73234136720453935</v>
      </c>
      <c r="P26" s="2">
        <f t="shared" ref="P26" ca="1" si="366">+(1+iB)^-(N26+0.5)</f>
        <v>0.72423900073783964</v>
      </c>
      <c r="Q26" s="91"/>
      <c r="R26" s="20">
        <f t="shared" si="114"/>
        <v>14</v>
      </c>
      <c r="S26" s="20">
        <f t="shared" ref="S26" si="367">+IF(xB+R26&lt;=xB+nB,xB+R26,"")</f>
        <v>22</v>
      </c>
      <c r="T26" s="2">
        <f t="shared" ref="T26:U26" ca="1" si="368">IFERROR(VLOOKUP($S26,qx_table,MATCH(T$11,qx_title,0)+sexB),0)</f>
        <v>0</v>
      </c>
      <c r="U26" s="2">
        <f t="shared" ca="1" si="368"/>
        <v>4.7000000000000004E-5</v>
      </c>
      <c r="V26" s="300">
        <f t="shared" ca="1" si="26"/>
        <v>1.35E-2</v>
      </c>
      <c r="W26" s="8">
        <f t="shared" ref="W26" ca="1" si="369">IF(R26=0,100000,IF(R26&gt;nB,0,W25*(1-X25)*(1-Y25)))</f>
        <v>53409.566827601033</v>
      </c>
      <c r="X26" s="10">
        <f t="shared" ca="1" si="28"/>
        <v>1.3499999999999956E-2</v>
      </c>
      <c r="Y26" s="10">
        <f t="shared" ca="1" si="29"/>
        <v>3.0432800002255789E-7</v>
      </c>
      <c r="Z26" s="8">
        <f t="shared" ca="1" si="64"/>
        <v>39114.035192327552</v>
      </c>
      <c r="AA26" s="8">
        <f ca="1">+SUM(Z26:Z$124)</f>
        <v>294739.0756757023</v>
      </c>
      <c r="AB26" s="8">
        <f t="shared" ca="1" si="30"/>
        <v>522.19743267234389</v>
      </c>
      <c r="AC26" s="209">
        <f ca="1">+SUM(AB26:AB$124)*SSSM</f>
        <v>0</v>
      </c>
      <c r="AD26" s="209">
        <f t="shared" ref="AD26" ca="1" si="370">IF(R26&gt;nB,0,AD25*(1-X25)*(1-Y25)*(1-AE25)*(1-AF25))</f>
        <v>53389.755241162318</v>
      </c>
      <c r="AE26" s="92">
        <f t="shared" ca="1" si="31"/>
        <v>4.7000000000019249E-5</v>
      </c>
      <c r="AF26" s="92">
        <f t="shared" ca="1" si="32"/>
        <v>0</v>
      </c>
      <c r="AG26" s="8">
        <f t="shared" ca="1" si="33"/>
        <v>39099.526348028536</v>
      </c>
      <c r="AH26" s="5">
        <f ca="1">+SUM(AG26:AG$124)</f>
        <v>294578.48165135039</v>
      </c>
      <c r="AI26" s="70">
        <f t="shared" ca="1" si="34"/>
        <v>1.8173463203191143</v>
      </c>
      <c r="AJ26" s="208">
        <f ca="1">+SUM(AB26:AB$124)*SS50J</f>
        <v>0</v>
      </c>
      <c r="AK26" s="209">
        <f t="shared" ca="1" si="66"/>
        <v>53409.566827601033</v>
      </c>
      <c r="AL26" s="257">
        <f t="shared" ref="AL26" ca="1" si="371">IFERROR(VLOOKUP($S26,qx_table,MATCH(AL$11,qx_title,0)+sexB),0)</f>
        <v>3.0432800000000002E-7</v>
      </c>
      <c r="AM26" s="131">
        <f t="shared" ca="1" si="68"/>
        <v>39114.035192327552</v>
      </c>
      <c r="AN26" s="129">
        <f t="shared" ca="1" si="69"/>
        <v>1.169234037135926E-2</v>
      </c>
      <c r="AO26" s="129">
        <f ca="1">SUM(AN26:AN$124)*SSa</f>
        <v>0.17287867888040831</v>
      </c>
      <c r="AP26" s="70">
        <f t="shared" ca="1" si="70"/>
        <v>53409.566827601033</v>
      </c>
      <c r="AQ26" s="2">
        <f t="shared" ref="AQ26" ca="1" si="372">IFERROR(VLOOKUP($S26,qx_table,MATCH(AQ$11,qx_title,0)+sexB),0)</f>
        <v>0</v>
      </c>
      <c r="AR26" s="127">
        <f t="shared" ca="1" si="72"/>
        <v>0</v>
      </c>
      <c r="AS26" s="127">
        <f ca="1">SUM(AR26:AR$124)*SSb</f>
        <v>0</v>
      </c>
      <c r="AT26" s="70">
        <f t="shared" ca="1" si="73"/>
        <v>53409.566827601033</v>
      </c>
      <c r="AU26" s="2">
        <f t="shared" ref="AU26" ca="1" si="373">IFERROR(VLOOKUP($S26,qx_table,MATCH(AU$11,qx_title,0)+sexB),0)</f>
        <v>0</v>
      </c>
      <c r="AV26" s="268">
        <f t="shared" ca="1" si="75"/>
        <v>0</v>
      </c>
      <c r="AW26" s="131">
        <f ca="1">SUM(AV26:AV$124)*SSc</f>
        <v>0</v>
      </c>
      <c r="AX26" s="70">
        <f t="shared" ca="1" si="76"/>
        <v>53409.566827601033</v>
      </c>
      <c r="AY26" s="2">
        <f t="shared" ref="AY26" ca="1" si="374">IFERROR(VLOOKUP($S26,qx_table,MATCH(AY$11,qx_title,0)+sexB),0)</f>
        <v>0</v>
      </c>
      <c r="AZ26" s="268">
        <f t="shared" ca="1" si="78"/>
        <v>0</v>
      </c>
      <c r="BA26" s="129">
        <f ca="1">SUM(AZ26:AZ$124)*SSd</f>
        <v>0</v>
      </c>
      <c r="BB26" s="70">
        <f t="shared" ca="1" si="79"/>
        <v>53409.566827601033</v>
      </c>
      <c r="BC26" s="257">
        <f t="shared" ref="BC26" ca="1" si="375">IFERROR(VLOOKUP($S26,qx_table,MATCH(BC$11,qx_title,0)+sexB),0)</f>
        <v>0</v>
      </c>
      <c r="BD26" s="268">
        <f t="shared" ca="1" si="81"/>
        <v>0</v>
      </c>
      <c r="BE26" s="131">
        <f ca="1">SUM(BD26:BD$124)*SSe</f>
        <v>0</v>
      </c>
      <c r="BF26" s="70">
        <f t="shared" ca="1" si="82"/>
        <v>53409.566827601033</v>
      </c>
      <c r="BG26" s="2">
        <f t="shared" ref="BG26" ca="1" si="376">IFERROR(VLOOKUP($S26,qx_table,MATCH(BG$11,qx_title,0)+sexB),0)</f>
        <v>0</v>
      </c>
      <c r="BH26" s="131">
        <f t="shared" ca="1" si="84"/>
        <v>0</v>
      </c>
      <c r="BI26" s="2">
        <f ca="1">SUM(BH26:BH$124)*SSf</f>
        <v>0</v>
      </c>
      <c r="BJ26" s="70">
        <f t="shared" ca="1" si="85"/>
        <v>53409.566827601033</v>
      </c>
      <c r="BK26" s="2">
        <f t="shared" ref="BK26" ca="1" si="377">IFERROR(VLOOKUP($S26,qx_table,MATCH(BK$11,qx_title,0)+sexB),0)</f>
        <v>0</v>
      </c>
      <c r="BL26" s="131">
        <f t="shared" ca="1" si="87"/>
        <v>0</v>
      </c>
      <c r="BM26" s="131">
        <f ca="1">SUM(BL26:BL$124)*SSg</f>
        <v>0</v>
      </c>
      <c r="BN26" s="70">
        <f t="shared" ca="1" si="88"/>
        <v>53409.566827601033</v>
      </c>
      <c r="BO26" s="2">
        <f t="shared" ref="BO26" ca="1" si="378">IFERROR(VLOOKUP($S26,qx_table,MATCH(BO$11,qx_title,0)+sexB),0)</f>
        <v>0</v>
      </c>
      <c r="BP26" s="131">
        <f t="shared" ca="1" si="90"/>
        <v>0</v>
      </c>
      <c r="BQ26" s="131">
        <f ca="1">SUM(BP26:BP$124)*SSh</f>
        <v>0</v>
      </c>
      <c r="BR26" s="70">
        <f t="shared" ca="1" si="91"/>
        <v>53409.566827601033</v>
      </c>
      <c r="BS26" s="2">
        <f t="shared" ref="BS26" ca="1" si="379">IFERROR(VLOOKUP($S26,qx_table,MATCH(BS$11,qx_title,0)+sexB),0)*IF(R26=0,MCi,1)</f>
        <v>0</v>
      </c>
      <c r="BT26" s="131">
        <f t="shared" ca="1" si="93"/>
        <v>0</v>
      </c>
      <c r="BU26" s="131">
        <f ca="1">SUM(BT26:BT$124)*SSi</f>
        <v>0</v>
      </c>
      <c r="BV26" s="70">
        <f t="shared" ca="1" si="94"/>
        <v>53409.566827601033</v>
      </c>
      <c r="BW26" s="2">
        <f t="shared" ref="BW26" ca="1" si="380">IFERROR(VLOOKUP($S26,qx_table,MATCH(BW$11,qx_title,0)+sexB),0)</f>
        <v>0</v>
      </c>
      <c r="BX26" s="131">
        <f t="shared" ca="1" si="96"/>
        <v>0</v>
      </c>
      <c r="BY26" s="131">
        <f ca="1">SUM(BX26:BX$124)*SSj</f>
        <v>0</v>
      </c>
      <c r="BZ26" s="70">
        <f t="shared" ca="1" si="97"/>
        <v>53409.566827601033</v>
      </c>
      <c r="CA26" s="2">
        <f t="shared" ref="CA26" ca="1" si="381">IFERROR(VLOOKUP($S26,qx_table,MATCH(CA$11,qx_title,0)+sexB),0)</f>
        <v>0</v>
      </c>
      <c r="CB26" s="131">
        <f t="shared" ca="1" si="99"/>
        <v>0</v>
      </c>
      <c r="CC26" s="131">
        <f ca="1">SUM(CB26:CB$124)*SSk</f>
        <v>0</v>
      </c>
      <c r="CD26" s="8">
        <f t="shared" ca="1" si="100"/>
        <v>53409.566827601033</v>
      </c>
      <c r="CE26" s="2">
        <f t="shared" ref="CE26" ca="1" si="382">IFERROR(VLOOKUP($S26,qx_table,MATCH(CE$11,qx_title,0)+sexB),0)</f>
        <v>0</v>
      </c>
      <c r="CF26" s="131">
        <f t="shared" ca="1" si="102"/>
        <v>0</v>
      </c>
      <c r="CG26" s="131">
        <f ca="1">SUM(CF26:CF$124)*SSl</f>
        <v>0</v>
      </c>
      <c r="CH26" s="155">
        <f t="shared" ca="1" si="103"/>
        <v>1.35E-2</v>
      </c>
      <c r="CI26" s="155">
        <f t="shared" ca="1" si="104"/>
        <v>721.02904245793411</v>
      </c>
      <c r="CJ26" s="155">
        <f t="shared" ca="1" si="105"/>
        <v>522.19735321269559</v>
      </c>
      <c r="CK26" s="155">
        <f ca="1">'유해지 (기준P)'!CZ26</f>
        <v>0.10100000000000001</v>
      </c>
      <c r="CL26" s="155">
        <f t="shared" ca="1" si="47"/>
        <v>0</v>
      </c>
      <c r="CM26" s="155">
        <f t="shared" ca="1" si="106"/>
        <v>0</v>
      </c>
      <c r="CN26" s="155">
        <f ca="1">SUM(CM26:$CM$124)</f>
        <v>395.11507188454124</v>
      </c>
      <c r="CO26" s="101">
        <f t="shared" ca="1" si="107"/>
        <v>0.17287867888040831</v>
      </c>
      <c r="CP26" s="154">
        <f t="shared" ca="1" si="48"/>
        <v>0.15420336134226684</v>
      </c>
      <c r="CQ26" s="154">
        <f t="shared" ca="1" si="49"/>
        <v>395.11507188454124</v>
      </c>
      <c r="CR26" s="32">
        <f t="shared" ref="CR26" ca="1" si="383">+MAX(VLOOKUP(xB+$R26,기수표B,$AH$1)-VLOOKUP(xB+mB,기수표B,$AH$1),0)</f>
        <v>214867.55999055156</v>
      </c>
      <c r="CS26" s="32">
        <f t="shared" ca="1" si="50"/>
        <v>214867.55999055156</v>
      </c>
      <c r="CT26" s="32">
        <f t="shared" ref="CT26" ca="1" si="384">+MAX(VLOOKUP(xB+$R26,기수표B,$AA$1)-VLOOKUP(xB+mB,기수표B,$AA$1),0)</f>
        <v>214971.65880971198</v>
      </c>
      <c r="CU26" s="32">
        <f t="shared" ca="1" si="52"/>
        <v>214971.65880971198</v>
      </c>
      <c r="CV26" s="32">
        <f t="shared" ca="1" si="53"/>
        <v>56526.437071643726</v>
      </c>
      <c r="CW26" s="259">
        <f t="shared" ca="1" si="54"/>
        <v>8.0683995522701515E-2</v>
      </c>
      <c r="CX26" s="259" t="e">
        <f t="shared" ca="1" si="55"/>
        <v>#REF!</v>
      </c>
      <c r="CY26" s="262" t="e">
        <f t="shared" ca="1" si="56"/>
        <v>#REF!</v>
      </c>
      <c r="CZ26" s="259">
        <f t="shared" ca="1" si="57"/>
        <v>1.0104943551438079E-2</v>
      </c>
      <c r="DA26" s="31">
        <f t="shared" ref="DA26" ca="1" si="385">+MIN(mB,7)</f>
        <v>7</v>
      </c>
    </row>
    <row r="27" spans="2:105">
      <c r="B27" s="124" t="s">
        <v>46</v>
      </c>
      <c r="C27" s="121">
        <f ca="1">MAIN!I15</f>
        <v>2.5000000000000001E-2</v>
      </c>
      <c r="G27" s="18" t="s">
        <v>67</v>
      </c>
      <c r="H27" s="254">
        <f ca="1">(1-$C$24-$C$27)</f>
        <v>0.625</v>
      </c>
      <c r="I27" s="254"/>
      <c r="J27" s="254"/>
      <c r="K27" s="254">
        <f ca="1">(1-$C$24-$C$27)</f>
        <v>0.625</v>
      </c>
      <c r="N27" s="5">
        <f t="shared" si="111"/>
        <v>15</v>
      </c>
      <c r="O27" s="2">
        <f t="shared" ref="O27" ca="1" si="386">+(1+iB)^-N27</f>
        <v>0.7162262759946596</v>
      </c>
      <c r="P27" s="2">
        <f t="shared" ref="P27" ca="1" si="387">+(1+iB)^-(N27+0.5)</f>
        <v>0.70830220121060106</v>
      </c>
      <c r="Q27" s="91"/>
      <c r="R27" s="20">
        <f t="shared" si="114"/>
        <v>15</v>
      </c>
      <c r="S27" s="20">
        <f t="shared" ref="S27" si="388">+IF(xB+R27&lt;=xB+nB,xB+R27,"")</f>
        <v>23</v>
      </c>
      <c r="T27" s="2">
        <f t="shared" ref="T27:U27" ca="1" si="389">IFERROR(VLOOKUP($S27,qx_table,MATCH(T$11,qx_title,0)+sexB),0)</f>
        <v>0</v>
      </c>
      <c r="U27" s="2">
        <f t="shared" ca="1" si="389"/>
        <v>4.7000000000000004E-5</v>
      </c>
      <c r="V27" s="300">
        <f t="shared" ca="1" si="26"/>
        <v>1.35E-2</v>
      </c>
      <c r="W27" s="8">
        <f t="shared" ref="W27" ca="1" si="390">IF(R27=0,100000,IF(R27&gt;nB,0,W26*(1-X26)*(1-Y26)))</f>
        <v>52688.521640831124</v>
      </c>
      <c r="X27" s="10">
        <f t="shared" ca="1" si="28"/>
        <v>1.3499999999999956E-2</v>
      </c>
      <c r="Y27" s="10">
        <f t="shared" ca="1" si="29"/>
        <v>3.7524800000632297E-7</v>
      </c>
      <c r="Z27" s="8">
        <f t="shared" ca="1" si="64"/>
        <v>37736.903642476507</v>
      </c>
      <c r="AA27" s="8">
        <f ca="1">+SUM(Z27:Z$124)</f>
        <v>255625.04048337476</v>
      </c>
      <c r="AB27" s="8">
        <f t="shared" ca="1" si="30"/>
        <v>503.81184406589489</v>
      </c>
      <c r="AC27" s="209">
        <f ca="1">+SUM(AB27:AB$124)*SSSM</f>
        <v>0</v>
      </c>
      <c r="AD27" s="209">
        <f t="shared" ref="AD27" ca="1" si="391">IF(R27&gt;nB,0,AD26*(1-X26)*(1-Y26)*(1-AE26)*(1-AF26))</f>
        <v>52666.50207481387</v>
      </c>
      <c r="AE27" s="92">
        <f t="shared" ca="1" si="31"/>
        <v>4.7000000000019249E-5</v>
      </c>
      <c r="AF27" s="92">
        <f t="shared" ca="1" si="32"/>
        <v>0</v>
      </c>
      <c r="AG27" s="8">
        <f t="shared" ca="1" si="33"/>
        <v>37721.132650708954</v>
      </c>
      <c r="AH27" s="5">
        <f ca="1">+SUM(AG27:AG$124)</f>
        <v>255478.95530332188</v>
      </c>
      <c r="AI27" s="70">
        <f t="shared" ca="1" si="34"/>
        <v>1.7532785694344255</v>
      </c>
      <c r="AJ27" s="208">
        <f ca="1">+SUM(AB27:AB$124)*SS50J</f>
        <v>0</v>
      </c>
      <c r="AK27" s="209">
        <f t="shared" ca="1" si="66"/>
        <v>52688.521640831124</v>
      </c>
      <c r="AL27" s="257">
        <f t="shared" ref="AL27" ca="1" si="392">IFERROR(VLOOKUP($S27,qx_table,MATCH(AL$11,qx_title,0)+sexB),0)</f>
        <v>3.7524799999999997E-7</v>
      </c>
      <c r="AM27" s="131">
        <f t="shared" ca="1" si="68"/>
        <v>37736.903642476507</v>
      </c>
      <c r="AN27" s="129">
        <f t="shared" ca="1" si="69"/>
        <v>1.3909501463016352E-2</v>
      </c>
      <c r="AO27" s="129">
        <f ca="1">SUM(AN27:AN$124)*SSa</f>
        <v>0.16118633850904904</v>
      </c>
      <c r="AP27" s="70">
        <f t="shared" ca="1" si="70"/>
        <v>52688.521640831124</v>
      </c>
      <c r="AQ27" s="2">
        <f t="shared" ref="AQ27" ca="1" si="393">IFERROR(VLOOKUP($S27,qx_table,MATCH(AQ$11,qx_title,0)+sexB),0)</f>
        <v>0</v>
      </c>
      <c r="AR27" s="127">
        <f t="shared" ca="1" si="72"/>
        <v>0</v>
      </c>
      <c r="AS27" s="127">
        <f ca="1">SUM(AR27:AR$124)*SSb</f>
        <v>0</v>
      </c>
      <c r="AT27" s="70">
        <f t="shared" ca="1" si="73"/>
        <v>52688.521640831124</v>
      </c>
      <c r="AU27" s="2">
        <f t="shared" ref="AU27" ca="1" si="394">IFERROR(VLOOKUP($S27,qx_table,MATCH(AU$11,qx_title,0)+sexB),0)</f>
        <v>0</v>
      </c>
      <c r="AV27" s="268">
        <f t="shared" ca="1" si="75"/>
        <v>0</v>
      </c>
      <c r="AW27" s="131">
        <f ca="1">SUM(AV27:AV$124)*SSc</f>
        <v>0</v>
      </c>
      <c r="AX27" s="70">
        <f t="shared" ca="1" si="76"/>
        <v>52688.521640831124</v>
      </c>
      <c r="AY27" s="2">
        <f t="shared" ref="AY27" ca="1" si="395">IFERROR(VLOOKUP($S27,qx_table,MATCH(AY$11,qx_title,0)+sexB),0)</f>
        <v>0</v>
      </c>
      <c r="AZ27" s="268">
        <f t="shared" ca="1" si="78"/>
        <v>0</v>
      </c>
      <c r="BA27" s="129">
        <f ca="1">SUM(AZ27:AZ$124)*SSd</f>
        <v>0</v>
      </c>
      <c r="BB27" s="70">
        <f t="shared" ca="1" si="79"/>
        <v>52688.521640831124</v>
      </c>
      <c r="BC27" s="257">
        <f t="shared" ref="BC27" ca="1" si="396">IFERROR(VLOOKUP($S27,qx_table,MATCH(BC$11,qx_title,0)+sexB),0)</f>
        <v>0</v>
      </c>
      <c r="BD27" s="268">
        <f t="shared" ca="1" si="81"/>
        <v>0</v>
      </c>
      <c r="BE27" s="131">
        <f ca="1">SUM(BD27:BD$124)*SSe</f>
        <v>0</v>
      </c>
      <c r="BF27" s="70">
        <f t="shared" ca="1" si="82"/>
        <v>52688.521640831124</v>
      </c>
      <c r="BG27" s="2">
        <f t="shared" ref="BG27" ca="1" si="397">IFERROR(VLOOKUP($S27,qx_table,MATCH(BG$11,qx_title,0)+sexB),0)</f>
        <v>0</v>
      </c>
      <c r="BH27" s="131">
        <f t="shared" ca="1" si="84"/>
        <v>0</v>
      </c>
      <c r="BI27" s="2">
        <f ca="1">SUM(BH27:BH$124)*SSf</f>
        <v>0</v>
      </c>
      <c r="BJ27" s="70">
        <f t="shared" ca="1" si="85"/>
        <v>52688.521640831124</v>
      </c>
      <c r="BK27" s="2">
        <f t="shared" ref="BK27" ca="1" si="398">IFERROR(VLOOKUP($S27,qx_table,MATCH(BK$11,qx_title,0)+sexB),0)</f>
        <v>0</v>
      </c>
      <c r="BL27" s="131">
        <f t="shared" ca="1" si="87"/>
        <v>0</v>
      </c>
      <c r="BM27" s="131">
        <f ca="1">SUM(BL27:BL$124)*SSg</f>
        <v>0</v>
      </c>
      <c r="BN27" s="70">
        <f t="shared" ca="1" si="88"/>
        <v>52688.521640831124</v>
      </c>
      <c r="BO27" s="2">
        <f t="shared" ref="BO27" ca="1" si="399">IFERROR(VLOOKUP($S27,qx_table,MATCH(BO$11,qx_title,0)+sexB),0)</f>
        <v>0</v>
      </c>
      <c r="BP27" s="131">
        <f t="shared" ca="1" si="90"/>
        <v>0</v>
      </c>
      <c r="BQ27" s="131">
        <f ca="1">SUM(BP27:BP$124)*SSh</f>
        <v>0</v>
      </c>
      <c r="BR27" s="70">
        <f t="shared" ca="1" si="91"/>
        <v>52688.521640831124</v>
      </c>
      <c r="BS27" s="2">
        <f t="shared" ref="BS27" ca="1" si="400">IFERROR(VLOOKUP($S27,qx_table,MATCH(BS$11,qx_title,0)+sexB),0)*IF(R27=0,MCi,1)</f>
        <v>0</v>
      </c>
      <c r="BT27" s="131">
        <f t="shared" ca="1" si="93"/>
        <v>0</v>
      </c>
      <c r="BU27" s="131">
        <f ca="1">SUM(BT27:BT$124)*SSi</f>
        <v>0</v>
      </c>
      <c r="BV27" s="70">
        <f t="shared" ca="1" si="94"/>
        <v>52688.521640831124</v>
      </c>
      <c r="BW27" s="2">
        <f t="shared" ref="BW27" ca="1" si="401">IFERROR(VLOOKUP($S27,qx_table,MATCH(BW$11,qx_title,0)+sexB),0)</f>
        <v>0</v>
      </c>
      <c r="BX27" s="131">
        <f t="shared" ca="1" si="96"/>
        <v>0</v>
      </c>
      <c r="BY27" s="131">
        <f ca="1">SUM(BX27:BX$124)*SSj</f>
        <v>0</v>
      </c>
      <c r="BZ27" s="70">
        <f t="shared" ca="1" si="97"/>
        <v>52688.521640831124</v>
      </c>
      <c r="CA27" s="2">
        <f t="shared" ref="CA27" ca="1" si="402">IFERROR(VLOOKUP($S27,qx_table,MATCH(CA$11,qx_title,0)+sexB),0)</f>
        <v>0</v>
      </c>
      <c r="CB27" s="131">
        <f t="shared" ca="1" si="99"/>
        <v>0</v>
      </c>
      <c r="CC27" s="131">
        <f ca="1">SUM(CB27:CB$124)*SSk</f>
        <v>0</v>
      </c>
      <c r="CD27" s="8">
        <f t="shared" ca="1" si="100"/>
        <v>52688.521640831124</v>
      </c>
      <c r="CE27" s="2">
        <f t="shared" ref="CE27" ca="1" si="403">IFERROR(VLOOKUP($S27,qx_table,MATCH(CE$11,qx_title,0)+sexB),0)</f>
        <v>0</v>
      </c>
      <c r="CF27" s="131">
        <f t="shared" ca="1" si="102"/>
        <v>0</v>
      </c>
      <c r="CG27" s="131">
        <f ca="1">SUM(CF27:CF$124)*SSl</f>
        <v>0</v>
      </c>
      <c r="CH27" s="155">
        <f t="shared" ca="1" si="103"/>
        <v>1.35E-2</v>
      </c>
      <c r="CI27" s="155">
        <f t="shared" ca="1" si="104"/>
        <v>711.29490869519918</v>
      </c>
      <c r="CJ27" s="155">
        <f t="shared" ca="1" si="105"/>
        <v>503.81174953870305</v>
      </c>
      <c r="CK27" s="155">
        <f ca="1">'유해지 (기준P)'!CZ27</f>
        <v>0.1</v>
      </c>
      <c r="CL27" s="155">
        <f t="shared" ca="1" si="47"/>
        <v>0</v>
      </c>
      <c r="CM27" s="155">
        <f t="shared" ca="1" si="106"/>
        <v>0</v>
      </c>
      <c r="CN27" s="155">
        <f ca="1">SUM(CM27:$CM$124)</f>
        <v>395.11507188454124</v>
      </c>
      <c r="CO27" s="101">
        <f t="shared" ca="1" si="107"/>
        <v>0.16118633850904904</v>
      </c>
      <c r="CP27" s="154">
        <f t="shared" ca="1" si="48"/>
        <v>0.14251102097090756</v>
      </c>
      <c r="CQ27" s="154">
        <f t="shared" ca="1" si="49"/>
        <v>395.11507188454124</v>
      </c>
      <c r="CR27" s="32">
        <f t="shared" ref="CR27" ca="1" si="404">+MAX(VLOOKUP(xB+$R27,기수표B,$AH$1)-VLOOKUP(xB+mB,기수표B,$AH$1),0)</f>
        <v>175768.03364252305</v>
      </c>
      <c r="CS27" s="32">
        <f t="shared" ca="1" si="50"/>
        <v>175768.03364252305</v>
      </c>
      <c r="CT27" s="32">
        <f t="shared" ref="CT27" ca="1" si="405">+MAX(VLOOKUP(xB+$R27,기수표B,$AA$1)-VLOOKUP(xB+mB,기수표B,$AA$1),0)</f>
        <v>175857.62361738447</v>
      </c>
      <c r="CU27" s="32">
        <f t="shared" ca="1" si="52"/>
        <v>175857.62361738447</v>
      </c>
      <c r="CV27" s="32">
        <f t="shared" ca="1" si="53"/>
        <v>56526.437071643726</v>
      </c>
      <c r="CW27" s="259">
        <f t="shared" ca="1" si="54"/>
        <v>6.6001900147565296E-2</v>
      </c>
      <c r="CX27" s="259" t="e">
        <f t="shared" ca="1" si="55"/>
        <v>#REF!</v>
      </c>
      <c r="CY27" s="262" t="e">
        <f t="shared" ca="1" si="56"/>
        <v>#REF!</v>
      </c>
      <c r="CZ27" s="259">
        <f t="shared" ca="1" si="57"/>
        <v>1.0473782141403529E-2</v>
      </c>
      <c r="DA27" s="31">
        <f t="shared" ref="DA27" ca="1" si="406">+MIN(mB,7)</f>
        <v>7</v>
      </c>
    </row>
    <row r="28" spans="2:105">
      <c r="B28" s="118" t="s">
        <v>159</v>
      </c>
      <c r="C28" s="18"/>
      <c r="G28" s="18" t="s">
        <v>73</v>
      </c>
      <c r="H28" s="294" t="e">
        <f ca="1">+H26/H27</f>
        <v>#REF!</v>
      </c>
      <c r="I28" s="294"/>
      <c r="J28" s="294"/>
      <c r="K28" s="294">
        <f ca="1">+K26/K27</f>
        <v>2.3337888586077466E-6</v>
      </c>
      <c r="N28" s="5">
        <f t="shared" si="111"/>
        <v>16</v>
      </c>
      <c r="O28" s="2">
        <f t="shared" ref="O28" ca="1" si="407">+(1+iB)^-N28</f>
        <v>0.70046579559379929</v>
      </c>
      <c r="P28" s="2">
        <f t="shared" ref="P28" ca="1" si="408">+(1+iB)^-(N28+0.5)</f>
        <v>0.69271608920352201</v>
      </c>
      <c r="Q28" s="91"/>
      <c r="R28" s="20">
        <f t="shared" si="114"/>
        <v>16</v>
      </c>
      <c r="S28" s="20">
        <f t="shared" ref="S28" si="409">+IF(xB+R28&lt;=xB+nB,xB+R28,"")</f>
        <v>24</v>
      </c>
      <c r="T28" s="2">
        <f t="shared" ref="T28:U28" ca="1" si="410">IFERROR(VLOOKUP($S28,qx_table,MATCH(T$11,qx_title,0)+sexB),0)</f>
        <v>0</v>
      </c>
      <c r="U28" s="2">
        <f t="shared" ca="1" si="410"/>
        <v>4.7000000000000004E-5</v>
      </c>
      <c r="V28" s="300">
        <f t="shared" ca="1" si="26"/>
        <v>1.35E-2</v>
      </c>
      <c r="W28" s="8">
        <f t="shared" ref="W28" ca="1" si="411">IF(R28=0,100000,IF(R28&gt;nB,0,W27*(1-X27)*(1-Y27)))</f>
        <v>51977.207094329577</v>
      </c>
      <c r="X28" s="10">
        <f t="shared" ca="1" si="28"/>
        <v>1.3499999999999956E-2</v>
      </c>
      <c r="Y28" s="10">
        <f t="shared" ca="1" si="29"/>
        <v>4.6241100004618119E-7</v>
      </c>
      <c r="Z28" s="8">
        <f t="shared" ca="1" si="64"/>
        <v>36408.255720073234</v>
      </c>
      <c r="AA28" s="8">
        <f ca="1">+SUM(Z28:Z$124)</f>
        <v>217888.13684089822</v>
      </c>
      <c r="AB28" s="8">
        <f t="shared" ca="1" si="30"/>
        <v>486.07354295242322</v>
      </c>
      <c r="AC28" s="209">
        <f ca="1">+SUM(AB28:AB$124)*SSSM</f>
        <v>0</v>
      </c>
      <c r="AD28" s="209">
        <f t="shared" ref="AD28" ca="1" si="412">IF(R28&gt;nB,0,AD27*(1-X27)*(1-Y27)*(1-AE27)*(1-AF27))</f>
        <v>51953.042892819176</v>
      </c>
      <c r="AE28" s="92">
        <f t="shared" ca="1" si="31"/>
        <v>4.7000000000019249E-5</v>
      </c>
      <c r="AF28" s="92">
        <f t="shared" ca="1" si="32"/>
        <v>0</v>
      </c>
      <c r="AG28" s="8">
        <f t="shared" ca="1" si="33"/>
        <v>36391.329523437365</v>
      </c>
      <c r="AH28" s="5">
        <f ca="1">+SUM(AG28:AG$124)</f>
        <v>217757.82265261293</v>
      </c>
      <c r="AI28" s="70">
        <f t="shared" ca="1" si="34"/>
        <v>1.6914693086627097</v>
      </c>
      <c r="AJ28" s="208">
        <f ca="1">+SUM(AB28:AB$124)*SS50J</f>
        <v>0</v>
      </c>
      <c r="AK28" s="209">
        <f t="shared" ca="1" si="66"/>
        <v>51977.207094329577</v>
      </c>
      <c r="AL28" s="257">
        <f t="shared" ref="AL28" ca="1" si="413">IFERROR(VLOOKUP($S28,qx_table,MATCH(AL$11,qx_title,0)+sexB),0)</f>
        <v>4.6241100000000005E-7</v>
      </c>
      <c r="AM28" s="131">
        <f t="shared" ca="1" si="68"/>
        <v>36408.255720073234</v>
      </c>
      <c r="AN28" s="129">
        <f t="shared" ca="1" si="69"/>
        <v>1.6536932165700003E-2</v>
      </c>
      <c r="AO28" s="129">
        <f ca="1">SUM(AN28:AN$124)*SSa</f>
        <v>0.1472768370460327</v>
      </c>
      <c r="AP28" s="70">
        <f t="shared" ca="1" si="70"/>
        <v>51977.207094329577</v>
      </c>
      <c r="AQ28" s="2">
        <f t="shared" ref="AQ28" ca="1" si="414">IFERROR(VLOOKUP($S28,qx_table,MATCH(AQ$11,qx_title,0)+sexB),0)</f>
        <v>0</v>
      </c>
      <c r="AR28" s="127">
        <f t="shared" ca="1" si="72"/>
        <v>0</v>
      </c>
      <c r="AS28" s="127">
        <f ca="1">SUM(AR28:AR$124)*SSb</f>
        <v>0</v>
      </c>
      <c r="AT28" s="70">
        <f t="shared" ca="1" si="73"/>
        <v>51977.207094329577</v>
      </c>
      <c r="AU28" s="2">
        <f t="shared" ref="AU28" ca="1" si="415">IFERROR(VLOOKUP($S28,qx_table,MATCH(AU$11,qx_title,0)+sexB),0)</f>
        <v>0</v>
      </c>
      <c r="AV28" s="268">
        <f t="shared" ca="1" si="75"/>
        <v>0</v>
      </c>
      <c r="AW28" s="131">
        <f ca="1">SUM(AV28:AV$124)*SSc</f>
        <v>0</v>
      </c>
      <c r="AX28" s="70">
        <f t="shared" ca="1" si="76"/>
        <v>51977.207094329577</v>
      </c>
      <c r="AY28" s="2">
        <f t="shared" ref="AY28" ca="1" si="416">IFERROR(VLOOKUP($S28,qx_table,MATCH(AY$11,qx_title,0)+sexB),0)</f>
        <v>0</v>
      </c>
      <c r="AZ28" s="268">
        <f t="shared" ca="1" si="78"/>
        <v>0</v>
      </c>
      <c r="BA28" s="129">
        <f ca="1">SUM(AZ28:AZ$124)*SSd</f>
        <v>0</v>
      </c>
      <c r="BB28" s="70">
        <f t="shared" ca="1" si="79"/>
        <v>51977.207094329577</v>
      </c>
      <c r="BC28" s="257">
        <f t="shared" ref="BC28" ca="1" si="417">IFERROR(VLOOKUP($S28,qx_table,MATCH(BC$11,qx_title,0)+sexB),0)</f>
        <v>0</v>
      </c>
      <c r="BD28" s="268">
        <f t="shared" ca="1" si="81"/>
        <v>0</v>
      </c>
      <c r="BE28" s="131">
        <f ca="1">SUM(BD28:BD$124)*SSe</f>
        <v>0</v>
      </c>
      <c r="BF28" s="70">
        <f t="shared" ca="1" si="82"/>
        <v>51977.207094329577</v>
      </c>
      <c r="BG28" s="2">
        <f t="shared" ref="BG28" ca="1" si="418">IFERROR(VLOOKUP($S28,qx_table,MATCH(BG$11,qx_title,0)+sexB),0)</f>
        <v>0</v>
      </c>
      <c r="BH28" s="131">
        <f t="shared" ca="1" si="84"/>
        <v>0</v>
      </c>
      <c r="BI28" s="2">
        <f ca="1">SUM(BH28:BH$124)*SSf</f>
        <v>0</v>
      </c>
      <c r="BJ28" s="70">
        <f t="shared" ca="1" si="85"/>
        <v>51977.207094329577</v>
      </c>
      <c r="BK28" s="2">
        <f t="shared" ref="BK28" ca="1" si="419">IFERROR(VLOOKUP($S28,qx_table,MATCH(BK$11,qx_title,0)+sexB),0)</f>
        <v>0</v>
      </c>
      <c r="BL28" s="131">
        <f t="shared" ca="1" si="87"/>
        <v>0</v>
      </c>
      <c r="BM28" s="131">
        <f ca="1">SUM(BL28:BL$124)*SSg</f>
        <v>0</v>
      </c>
      <c r="BN28" s="70">
        <f t="shared" ca="1" si="88"/>
        <v>51977.207094329577</v>
      </c>
      <c r="BO28" s="2">
        <f t="shared" ref="BO28" ca="1" si="420">IFERROR(VLOOKUP($S28,qx_table,MATCH(BO$11,qx_title,0)+sexB),0)</f>
        <v>0</v>
      </c>
      <c r="BP28" s="131">
        <f t="shared" ca="1" si="90"/>
        <v>0</v>
      </c>
      <c r="BQ28" s="131">
        <f ca="1">SUM(BP28:BP$124)*SSh</f>
        <v>0</v>
      </c>
      <c r="BR28" s="70">
        <f t="shared" ca="1" si="91"/>
        <v>51977.207094329577</v>
      </c>
      <c r="BS28" s="2">
        <f t="shared" ref="BS28" ca="1" si="421">IFERROR(VLOOKUP($S28,qx_table,MATCH(BS$11,qx_title,0)+sexB),0)*IF(R28=0,MCi,1)</f>
        <v>0</v>
      </c>
      <c r="BT28" s="131">
        <f t="shared" ca="1" si="93"/>
        <v>0</v>
      </c>
      <c r="BU28" s="131">
        <f ca="1">SUM(BT28:BT$124)*SSi</f>
        <v>0</v>
      </c>
      <c r="BV28" s="70">
        <f t="shared" ca="1" si="94"/>
        <v>51977.207094329577</v>
      </c>
      <c r="BW28" s="2">
        <f t="shared" ref="BW28" ca="1" si="422">IFERROR(VLOOKUP($S28,qx_table,MATCH(BW$11,qx_title,0)+sexB),0)</f>
        <v>0</v>
      </c>
      <c r="BX28" s="131">
        <f t="shared" ca="1" si="96"/>
        <v>0</v>
      </c>
      <c r="BY28" s="131">
        <f ca="1">SUM(BX28:BX$124)*SSj</f>
        <v>0</v>
      </c>
      <c r="BZ28" s="70">
        <f t="shared" ca="1" si="97"/>
        <v>51977.207094329577</v>
      </c>
      <c r="CA28" s="2">
        <f t="shared" ref="CA28" ca="1" si="423">IFERROR(VLOOKUP($S28,qx_table,MATCH(CA$11,qx_title,0)+sexB),0)</f>
        <v>0</v>
      </c>
      <c r="CB28" s="131">
        <f t="shared" ca="1" si="99"/>
        <v>0</v>
      </c>
      <c r="CC28" s="131">
        <f ca="1">SUM(CB28:CB$124)*SSk</f>
        <v>0</v>
      </c>
      <c r="CD28" s="8">
        <f t="shared" ca="1" si="100"/>
        <v>51977.207094329577</v>
      </c>
      <c r="CE28" s="2">
        <f t="shared" ref="CE28" ca="1" si="424">IFERROR(VLOOKUP($S28,qx_table,MATCH(CE$11,qx_title,0)+sexB),0)</f>
        <v>0</v>
      </c>
      <c r="CF28" s="131">
        <f t="shared" ca="1" si="102"/>
        <v>0</v>
      </c>
      <c r="CG28" s="131">
        <f ca="1">SUM(CF28:CF$124)*SSl</f>
        <v>0</v>
      </c>
      <c r="CH28" s="155">
        <f t="shared" ca="1" si="103"/>
        <v>1.35E-2</v>
      </c>
      <c r="CI28" s="155">
        <f t="shared" ca="1" si="104"/>
        <v>701.69213353833118</v>
      </c>
      <c r="CJ28" s="155">
        <f t="shared" ca="1" si="105"/>
        <v>486.07343056954829</v>
      </c>
      <c r="CK28" s="155">
        <f ca="1">'유해지 (기준P)'!CZ28</f>
        <v>9.8000000000000004E-2</v>
      </c>
      <c r="CL28" s="155">
        <f t="shared" ca="1" si="47"/>
        <v>0</v>
      </c>
      <c r="CM28" s="155">
        <f t="shared" ca="1" si="106"/>
        <v>0</v>
      </c>
      <c r="CN28" s="155">
        <f ca="1">SUM(CM28:$CM$124)</f>
        <v>395.11507188454124</v>
      </c>
      <c r="CO28" s="101">
        <f t="shared" ca="1" si="107"/>
        <v>0.1472768370460327</v>
      </c>
      <c r="CP28" s="154">
        <f t="shared" ca="1" si="48"/>
        <v>0.12860151950789123</v>
      </c>
      <c r="CQ28" s="154">
        <f t="shared" ca="1" si="49"/>
        <v>395.11507188454124</v>
      </c>
      <c r="CR28" s="32">
        <f t="shared" ref="CR28" ca="1" si="425">+MAX(VLOOKUP(xB+$R28,기수표B,$AH$1)-VLOOKUP(xB+mB,기수표B,$AH$1),0)</f>
        <v>138046.90099181409</v>
      </c>
      <c r="CS28" s="32">
        <f t="shared" ca="1" si="50"/>
        <v>138046.90099181409</v>
      </c>
      <c r="CT28" s="32">
        <f t="shared" ref="CT28" ca="1" si="426">+MAX(VLOOKUP(xB+$R28,기수표B,$AA$1)-VLOOKUP(xB+mB,기수표B,$AA$1),0)</f>
        <v>138120.71997490793</v>
      </c>
      <c r="CU28" s="32">
        <f t="shared" ca="1" si="52"/>
        <v>138120.71997490793</v>
      </c>
      <c r="CV28" s="32">
        <f t="shared" ca="1" si="53"/>
        <v>56526.437071643726</v>
      </c>
      <c r="CW28" s="259">
        <f t="shared" ca="1" si="54"/>
        <v>5.1837399475454231E-2</v>
      </c>
      <c r="CX28" s="259" t="e">
        <f t="shared" ca="1" si="55"/>
        <v>#REF!</v>
      </c>
      <c r="CY28" s="262" t="e">
        <f t="shared" ca="1" si="56"/>
        <v>#REF!</v>
      </c>
      <c r="CZ28" s="259">
        <f t="shared" ca="1" si="57"/>
        <v>1.0856009293071683E-2</v>
      </c>
      <c r="DA28" s="31">
        <f t="shared" ref="DA28" ca="1" si="427">+MIN(mB,7)</f>
        <v>7</v>
      </c>
    </row>
    <row r="29" spans="2:105">
      <c r="G29" s="18" t="s">
        <v>74</v>
      </c>
      <c r="H29" s="253" t="e">
        <f ca="1">+ROUND(H28,roundB)</f>
        <v>#REF!</v>
      </c>
      <c r="I29" s="304"/>
      <c r="J29" s="304"/>
      <c r="K29" s="253">
        <f ca="1">+ROUND(K28,roundB)</f>
        <v>2.3E-6</v>
      </c>
      <c r="N29" s="5">
        <f t="shared" si="111"/>
        <v>17</v>
      </c>
      <c r="O29" s="2">
        <f t="shared" ref="O29" ca="1" si="428">+(1+iB)^-N29</f>
        <v>0.68505212283012151</v>
      </c>
      <c r="P29" s="2">
        <f t="shared" ref="P29" ca="1" si="429">+(1+iB)^-(N29+0.5)</f>
        <v>0.67747294787630519</v>
      </c>
      <c r="Q29" s="91"/>
      <c r="R29" s="20">
        <f t="shared" si="114"/>
        <v>17</v>
      </c>
      <c r="S29" s="20">
        <f t="shared" ref="S29" si="430">+IF(xB+R29&lt;=xB+nB,xB+R29,"")</f>
        <v>25</v>
      </c>
      <c r="T29" s="2">
        <f t="shared" ref="T29:U29" ca="1" si="431">IFERROR(VLOOKUP($S29,qx_table,MATCH(T$11,qx_title,0)+sexB),0)</f>
        <v>0</v>
      </c>
      <c r="U29" s="2">
        <f t="shared" ca="1" si="431"/>
        <v>4.8000000000000001E-5</v>
      </c>
      <c r="V29" s="300">
        <f t="shared" ca="1" si="26"/>
        <v>1.35E-2</v>
      </c>
      <c r="W29" s="8">
        <f t="shared" ref="W29" ca="1" si="432">IF(R29=0,100000,IF(R29&gt;nB,0,W28*(1-X28)*(1-Y28)))</f>
        <v>51275.491088194052</v>
      </c>
      <c r="X29" s="10">
        <f t="shared" ca="1" si="28"/>
        <v>1.3499999999999956E-2</v>
      </c>
      <c r="Y29" s="10">
        <f t="shared" ca="1" si="29"/>
        <v>5.613719999963962E-7</v>
      </c>
      <c r="Z29" s="8">
        <f t="shared" ca="1" si="64"/>
        <v>35126.384019124314</v>
      </c>
      <c r="AA29" s="8">
        <f ca="1">+SUM(Z29:Z$124)</f>
        <v>181479.88112082498</v>
      </c>
      <c r="AB29" s="8">
        <f t="shared" ca="1" si="30"/>
        <v>468.95973436787301</v>
      </c>
      <c r="AC29" s="209">
        <f ca="1">+SUM(AB29:AB$124)*SSSM</f>
        <v>0</v>
      </c>
      <c r="AD29" s="209">
        <f t="shared" ref="AD29" ca="1" si="433">IF(R29&gt;nB,0,AD28*(1-X28)*(1-Y28)*(1-AE28)*(1-AF28))</f>
        <v>51249.244286730609</v>
      </c>
      <c r="AE29" s="92">
        <f t="shared" ca="1" si="31"/>
        <v>4.8000000000048004E-5</v>
      </c>
      <c r="AF29" s="92">
        <f t="shared" ca="1" si="32"/>
        <v>0</v>
      </c>
      <c r="AG29" s="8">
        <f t="shared" ca="1" si="33"/>
        <v>35108.403592064278</v>
      </c>
      <c r="AH29" s="5">
        <f ca="1">+SUM(AG29:AG$124)</f>
        <v>181366.49312917556</v>
      </c>
      <c r="AI29" s="70">
        <f t="shared" ca="1" si="34"/>
        <v>1.6665588769631521</v>
      </c>
      <c r="AJ29" s="208">
        <f ca="1">+SUM(AB29:AB$124)*SS50J</f>
        <v>0</v>
      </c>
      <c r="AK29" s="209">
        <f t="shared" ca="1" si="66"/>
        <v>51275.491088194052</v>
      </c>
      <c r="AL29" s="257">
        <f t="shared" ref="AL29" ca="1" si="434">IFERROR(VLOOKUP($S29,qx_table,MATCH(AL$11,qx_title,0)+sexB),0)</f>
        <v>5.6137200000000001E-7</v>
      </c>
      <c r="AM29" s="131">
        <f t="shared" ca="1" si="68"/>
        <v>35126.384019124314</v>
      </c>
      <c r="AN29" s="129">
        <f t="shared" ca="1" si="69"/>
        <v>1.9369174308855697E-2</v>
      </c>
      <c r="AO29" s="129">
        <f ca="1">SUM(AN29:AN$124)*SSa</f>
        <v>0.13073990488033269</v>
      </c>
      <c r="AP29" s="70">
        <f t="shared" ca="1" si="70"/>
        <v>51275.491088194052</v>
      </c>
      <c r="AQ29" s="2">
        <f t="shared" ref="AQ29" ca="1" si="435">IFERROR(VLOOKUP($S29,qx_table,MATCH(AQ$11,qx_title,0)+sexB),0)</f>
        <v>0</v>
      </c>
      <c r="AR29" s="127">
        <f t="shared" ca="1" si="72"/>
        <v>0</v>
      </c>
      <c r="AS29" s="127">
        <f ca="1">SUM(AR29:AR$124)*SSb</f>
        <v>0</v>
      </c>
      <c r="AT29" s="70">
        <f t="shared" ca="1" si="73"/>
        <v>51275.491088194052</v>
      </c>
      <c r="AU29" s="2">
        <f t="shared" ref="AU29" ca="1" si="436">IFERROR(VLOOKUP($S29,qx_table,MATCH(AU$11,qx_title,0)+sexB),0)</f>
        <v>0</v>
      </c>
      <c r="AV29" s="268">
        <f t="shared" ca="1" si="75"/>
        <v>0</v>
      </c>
      <c r="AW29" s="131">
        <f ca="1">SUM(AV29:AV$124)*SSc</f>
        <v>0</v>
      </c>
      <c r="AX29" s="70">
        <f t="shared" ca="1" si="76"/>
        <v>51275.491088194052</v>
      </c>
      <c r="AY29" s="2">
        <f t="shared" ref="AY29" ca="1" si="437">IFERROR(VLOOKUP($S29,qx_table,MATCH(AY$11,qx_title,0)+sexB),0)</f>
        <v>0</v>
      </c>
      <c r="AZ29" s="268">
        <f t="shared" ca="1" si="78"/>
        <v>0</v>
      </c>
      <c r="BA29" s="129">
        <f ca="1">SUM(AZ29:AZ$124)*SSd</f>
        <v>0</v>
      </c>
      <c r="BB29" s="70">
        <f t="shared" ca="1" si="79"/>
        <v>51275.491088194052</v>
      </c>
      <c r="BC29" s="257">
        <f t="shared" ref="BC29" ca="1" si="438">IFERROR(VLOOKUP($S29,qx_table,MATCH(BC$11,qx_title,0)+sexB),0)</f>
        <v>0</v>
      </c>
      <c r="BD29" s="268">
        <f t="shared" ca="1" si="81"/>
        <v>0</v>
      </c>
      <c r="BE29" s="131">
        <f ca="1">SUM(BD29:BD$124)*SSe</f>
        <v>0</v>
      </c>
      <c r="BF29" s="70">
        <f t="shared" ca="1" si="82"/>
        <v>51275.491088194052</v>
      </c>
      <c r="BG29" s="2">
        <f t="shared" ref="BG29" ca="1" si="439">IFERROR(VLOOKUP($S29,qx_table,MATCH(BG$11,qx_title,0)+sexB),0)</f>
        <v>0</v>
      </c>
      <c r="BH29" s="131">
        <f t="shared" ca="1" si="84"/>
        <v>0</v>
      </c>
      <c r="BI29" s="2">
        <f ca="1">SUM(BH29:BH$124)*SSf</f>
        <v>0</v>
      </c>
      <c r="BJ29" s="70">
        <f t="shared" ca="1" si="85"/>
        <v>51275.491088194052</v>
      </c>
      <c r="BK29" s="2">
        <f t="shared" ref="BK29" ca="1" si="440">IFERROR(VLOOKUP($S29,qx_table,MATCH(BK$11,qx_title,0)+sexB),0)</f>
        <v>0</v>
      </c>
      <c r="BL29" s="131">
        <f t="shared" ca="1" si="87"/>
        <v>0</v>
      </c>
      <c r="BM29" s="131">
        <f ca="1">SUM(BL29:BL$124)*SSg</f>
        <v>0</v>
      </c>
      <c r="BN29" s="70">
        <f t="shared" ca="1" si="88"/>
        <v>51275.491088194052</v>
      </c>
      <c r="BO29" s="2">
        <f t="shared" ref="BO29" ca="1" si="441">IFERROR(VLOOKUP($S29,qx_table,MATCH(BO$11,qx_title,0)+sexB),0)</f>
        <v>0</v>
      </c>
      <c r="BP29" s="131">
        <f t="shared" ca="1" si="90"/>
        <v>0</v>
      </c>
      <c r="BQ29" s="131">
        <f ca="1">SUM(BP29:BP$124)*SSh</f>
        <v>0</v>
      </c>
      <c r="BR29" s="70">
        <f t="shared" ca="1" si="91"/>
        <v>51275.491088194052</v>
      </c>
      <c r="BS29" s="2">
        <f t="shared" ref="BS29" ca="1" si="442">IFERROR(VLOOKUP($S29,qx_table,MATCH(BS$11,qx_title,0)+sexB),0)*IF(R29=0,MCi,1)</f>
        <v>0</v>
      </c>
      <c r="BT29" s="131">
        <f t="shared" ca="1" si="93"/>
        <v>0</v>
      </c>
      <c r="BU29" s="131">
        <f ca="1">SUM(BT29:BT$124)*SSi</f>
        <v>0</v>
      </c>
      <c r="BV29" s="70">
        <f t="shared" ca="1" si="94"/>
        <v>51275.491088194052</v>
      </c>
      <c r="BW29" s="2">
        <f t="shared" ref="BW29" ca="1" si="443">IFERROR(VLOOKUP($S29,qx_table,MATCH(BW$11,qx_title,0)+sexB),0)</f>
        <v>0</v>
      </c>
      <c r="BX29" s="131">
        <f t="shared" ca="1" si="96"/>
        <v>0</v>
      </c>
      <c r="BY29" s="131">
        <f ca="1">SUM(BX29:BX$124)*SSj</f>
        <v>0</v>
      </c>
      <c r="BZ29" s="70">
        <f t="shared" ca="1" si="97"/>
        <v>51275.491088194052</v>
      </c>
      <c r="CA29" s="2">
        <f t="shared" ref="CA29" ca="1" si="444">IFERROR(VLOOKUP($S29,qx_table,MATCH(CA$11,qx_title,0)+sexB),0)</f>
        <v>0</v>
      </c>
      <c r="CB29" s="131">
        <f t="shared" ca="1" si="99"/>
        <v>0</v>
      </c>
      <c r="CC29" s="131">
        <f ca="1">SUM(CB29:CB$124)*SSk</f>
        <v>0</v>
      </c>
      <c r="CD29" s="8">
        <f t="shared" ca="1" si="100"/>
        <v>51275.491088194052</v>
      </c>
      <c r="CE29" s="2">
        <f t="shared" ref="CE29" ca="1" si="445">IFERROR(VLOOKUP($S29,qx_table,MATCH(CE$11,qx_title,0)+sexB),0)</f>
        <v>0</v>
      </c>
      <c r="CF29" s="131">
        <f t="shared" ca="1" si="102"/>
        <v>0</v>
      </c>
      <c r="CG29" s="131">
        <f ca="1">SUM(CF29:CF$124)*SSl</f>
        <v>0</v>
      </c>
      <c r="CH29" s="155">
        <f t="shared" ca="1" si="103"/>
        <v>1.35E-2</v>
      </c>
      <c r="CI29" s="155">
        <f t="shared" ca="1" si="104"/>
        <v>692.21893539440111</v>
      </c>
      <c r="CJ29" s="155">
        <f t="shared" ca="1" si="105"/>
        <v>468.95960273744259</v>
      </c>
      <c r="CK29" s="155">
        <f ca="1">'유해지 (기준P)'!CZ29</f>
        <v>9.5000000000000001E-2</v>
      </c>
      <c r="CL29" s="155">
        <f t="shared" ca="1" si="47"/>
        <v>0</v>
      </c>
      <c r="CM29" s="155">
        <f t="shared" ca="1" si="106"/>
        <v>0</v>
      </c>
      <c r="CN29" s="155">
        <f ca="1">SUM(CM29:$CM$124)</f>
        <v>395.11507188454124</v>
      </c>
      <c r="CO29" s="101">
        <f t="shared" ca="1" si="107"/>
        <v>0.13073990488033269</v>
      </c>
      <c r="CP29" s="154">
        <f t="shared" ca="1" si="48"/>
        <v>0.11206458734219121</v>
      </c>
      <c r="CQ29" s="154">
        <f t="shared" ca="1" si="49"/>
        <v>395.11507188454124</v>
      </c>
      <c r="CR29" s="32">
        <f t="shared" ref="CR29" ca="1" si="446">+MAX(VLOOKUP(xB+$R29,기수표B,$AH$1)-VLOOKUP(xB+mB,기수표B,$AH$1),0)</f>
        <v>101655.57146837674</v>
      </c>
      <c r="CS29" s="32">
        <f t="shared" ca="1" si="50"/>
        <v>101655.57146837674</v>
      </c>
      <c r="CT29" s="32">
        <f t="shared" ref="CT29" ca="1" si="447">+MAX(VLOOKUP(xB+$R29,기수표B,$AA$1)-VLOOKUP(xB+mB,기수표B,$AA$1),0)</f>
        <v>101712.46425483467</v>
      </c>
      <c r="CU29" s="32">
        <f t="shared" ca="1" si="52"/>
        <v>101712.46425483467</v>
      </c>
      <c r="CV29" s="32">
        <f t="shared" ca="1" si="53"/>
        <v>56526.437071643726</v>
      </c>
      <c r="CW29" s="259">
        <f t="shared" ca="1" si="54"/>
        <v>3.8172247469896531E-2</v>
      </c>
      <c r="CX29" s="259" t="e">
        <f t="shared" ca="1" si="55"/>
        <v>#REF!</v>
      </c>
      <c r="CY29" s="262" t="e">
        <f t="shared" ca="1" si="56"/>
        <v>#REF!</v>
      </c>
      <c r="CZ29" s="259">
        <f t="shared" ca="1" si="57"/>
        <v>1.1252097296616029E-2</v>
      </c>
      <c r="DA29" s="31">
        <f t="shared" ref="DA29" ca="1" si="448">+MIN(mB,7)</f>
        <v>7</v>
      </c>
    </row>
    <row r="30" spans="2:105">
      <c r="B30" s="13" t="s">
        <v>161</v>
      </c>
      <c r="H30" s="333"/>
      <c r="N30" s="5">
        <f t="shared" si="111"/>
        <v>18</v>
      </c>
      <c r="O30" s="2">
        <f t="shared" ref="O30" ca="1" si="449">+(1+iB)^-N30</f>
        <v>0.66997762623972779</v>
      </c>
      <c r="P30" s="2">
        <f t="shared" ref="P30" ca="1" si="450">+(1+iB)^-(N30+0.5)</f>
        <v>0.66256523019687541</v>
      </c>
      <c r="Q30" s="91"/>
      <c r="R30" s="20">
        <f t="shared" si="114"/>
        <v>18</v>
      </c>
      <c r="S30" s="20">
        <f t="shared" ref="S30" si="451">+IF(xB+R30&lt;=xB+nB,xB+R30,"")</f>
        <v>26</v>
      </c>
      <c r="T30" s="2">
        <f t="shared" ref="T30:U30" ca="1" si="452">IFERROR(VLOOKUP($S30,qx_table,MATCH(T$11,qx_title,0)+sexB),0)</f>
        <v>0</v>
      </c>
      <c r="U30" s="2">
        <f t="shared" ca="1" si="452"/>
        <v>5.0000000000000002E-5</v>
      </c>
      <c r="V30" s="300">
        <f t="shared" ca="1" si="26"/>
        <v>1.35E-2</v>
      </c>
      <c r="W30" s="8">
        <f t="shared" ref="W30" ca="1" si="453">IF(R30=0,100000,IF(R30&gt;nB,0,W29*(1-X29)*(1-Y29)))</f>
        <v>50583.243562470889</v>
      </c>
      <c r="X30" s="10">
        <f t="shared" ca="1" si="28"/>
        <v>1.3499999999999956E-2</v>
      </c>
      <c r="Y30" s="10">
        <f t="shared" ca="1" si="29"/>
        <v>6.7692399996488462E-7</v>
      </c>
      <c r="Z30" s="8">
        <f t="shared" ca="1" si="64"/>
        <v>33889.641449490235</v>
      </c>
      <c r="AA30" s="8">
        <f ca="1">+SUM(Z30:Z$124)</f>
        <v>146353.49710170069</v>
      </c>
      <c r="AB30" s="8">
        <f t="shared" ca="1" si="30"/>
        <v>452.44842860348598</v>
      </c>
      <c r="AC30" s="209">
        <f ca="1">+SUM(AB30:AB$124)*SSSM</f>
        <v>0</v>
      </c>
      <c r="AD30" s="209">
        <f t="shared" ref="AD30" ca="1" si="454">IF(R30&gt;nB,0,AD29*(1-X29)*(1-Y29)*(1-AE29)*(1-AF29))</f>
        <v>50554.924354509356</v>
      </c>
      <c r="AE30" s="92">
        <f t="shared" ca="1" si="31"/>
        <v>4.9999999999994493E-5</v>
      </c>
      <c r="AF30" s="92">
        <f t="shared" ca="1" si="32"/>
        <v>0</v>
      </c>
      <c r="AG30" s="8">
        <f t="shared" ca="1" si="33"/>
        <v>33870.66821376318</v>
      </c>
      <c r="AH30" s="5">
        <f ca="1">+SUM(AG30:AG$124)</f>
        <v>146258.08953711129</v>
      </c>
      <c r="AI30" s="70">
        <f t="shared" ca="1" si="34"/>
        <v>1.6747967546263713</v>
      </c>
      <c r="AJ30" s="208">
        <f ca="1">+SUM(AB30:AB$124)*SS50J</f>
        <v>0</v>
      </c>
      <c r="AK30" s="209">
        <f t="shared" ca="1" si="66"/>
        <v>50583.243562470889</v>
      </c>
      <c r="AL30" s="257">
        <f t="shared" ref="AL30" ca="1" si="455">IFERROR(VLOOKUP($S30,qx_table,MATCH(AL$11,qx_title,0)+sexB),0)</f>
        <v>6.7692399999999995E-7</v>
      </c>
      <c r="AM30" s="131">
        <f t="shared" ca="1" si="68"/>
        <v>33889.641449490235</v>
      </c>
      <c r="AN30" s="129">
        <f t="shared" ca="1" si="69"/>
        <v>2.253376710988297E-2</v>
      </c>
      <c r="AO30" s="129">
        <f ca="1">SUM(AN30:AN$124)*SSa</f>
        <v>0.11137073057147698</v>
      </c>
      <c r="AP30" s="70">
        <f t="shared" ca="1" si="70"/>
        <v>50583.243562470889</v>
      </c>
      <c r="AQ30" s="2">
        <f t="shared" ref="AQ30" ca="1" si="456">IFERROR(VLOOKUP($S30,qx_table,MATCH(AQ$11,qx_title,0)+sexB),0)</f>
        <v>0</v>
      </c>
      <c r="AR30" s="127">
        <f t="shared" ca="1" si="72"/>
        <v>0</v>
      </c>
      <c r="AS30" s="127">
        <f ca="1">SUM(AR30:AR$124)*SSb</f>
        <v>0</v>
      </c>
      <c r="AT30" s="70">
        <f t="shared" ca="1" si="73"/>
        <v>50583.243562470889</v>
      </c>
      <c r="AU30" s="2">
        <f t="shared" ref="AU30" ca="1" si="457">IFERROR(VLOOKUP($S30,qx_table,MATCH(AU$11,qx_title,0)+sexB),0)</f>
        <v>0</v>
      </c>
      <c r="AV30" s="268">
        <f t="shared" ca="1" si="75"/>
        <v>0</v>
      </c>
      <c r="AW30" s="131">
        <f ca="1">SUM(AV30:AV$124)*SSc</f>
        <v>0</v>
      </c>
      <c r="AX30" s="70">
        <f t="shared" ca="1" si="76"/>
        <v>50583.243562470889</v>
      </c>
      <c r="AY30" s="2">
        <f t="shared" ref="AY30" ca="1" si="458">IFERROR(VLOOKUP($S30,qx_table,MATCH(AY$11,qx_title,0)+sexB),0)</f>
        <v>0</v>
      </c>
      <c r="AZ30" s="268">
        <f t="shared" ca="1" si="78"/>
        <v>0</v>
      </c>
      <c r="BA30" s="129">
        <f ca="1">SUM(AZ30:AZ$124)*SSd</f>
        <v>0</v>
      </c>
      <c r="BB30" s="70">
        <f t="shared" ca="1" si="79"/>
        <v>50583.243562470889</v>
      </c>
      <c r="BC30" s="257">
        <f t="shared" ref="BC30" ca="1" si="459">IFERROR(VLOOKUP($S30,qx_table,MATCH(BC$11,qx_title,0)+sexB),0)</f>
        <v>0</v>
      </c>
      <c r="BD30" s="268">
        <f t="shared" ca="1" si="81"/>
        <v>0</v>
      </c>
      <c r="BE30" s="131">
        <f ca="1">SUM(BD30:BD$124)*SSe</f>
        <v>0</v>
      </c>
      <c r="BF30" s="70">
        <f t="shared" ca="1" si="82"/>
        <v>50583.243562470889</v>
      </c>
      <c r="BG30" s="2">
        <f t="shared" ref="BG30" ca="1" si="460">IFERROR(VLOOKUP($S30,qx_table,MATCH(BG$11,qx_title,0)+sexB),0)</f>
        <v>0</v>
      </c>
      <c r="BH30" s="131">
        <f t="shared" ca="1" si="84"/>
        <v>0</v>
      </c>
      <c r="BI30" s="2">
        <f ca="1">SUM(BH30:BH$124)*SSf</f>
        <v>0</v>
      </c>
      <c r="BJ30" s="70">
        <f t="shared" ca="1" si="85"/>
        <v>50583.243562470889</v>
      </c>
      <c r="BK30" s="2">
        <f t="shared" ref="BK30" ca="1" si="461">IFERROR(VLOOKUP($S30,qx_table,MATCH(BK$11,qx_title,0)+sexB),0)</f>
        <v>0</v>
      </c>
      <c r="BL30" s="131">
        <f t="shared" ca="1" si="87"/>
        <v>0</v>
      </c>
      <c r="BM30" s="131">
        <f ca="1">SUM(BL30:BL$124)*SSg</f>
        <v>0</v>
      </c>
      <c r="BN30" s="70">
        <f t="shared" ca="1" si="88"/>
        <v>50583.243562470889</v>
      </c>
      <c r="BO30" s="2">
        <f t="shared" ref="BO30" ca="1" si="462">IFERROR(VLOOKUP($S30,qx_table,MATCH(BO$11,qx_title,0)+sexB),0)</f>
        <v>0</v>
      </c>
      <c r="BP30" s="131">
        <f t="shared" ca="1" si="90"/>
        <v>0</v>
      </c>
      <c r="BQ30" s="131">
        <f ca="1">SUM(BP30:BP$124)*SSh</f>
        <v>0</v>
      </c>
      <c r="BR30" s="70">
        <f t="shared" ca="1" si="91"/>
        <v>50583.243562470889</v>
      </c>
      <c r="BS30" s="2">
        <f t="shared" ref="BS30" ca="1" si="463">IFERROR(VLOOKUP($S30,qx_table,MATCH(BS$11,qx_title,0)+sexB),0)*IF(R30=0,MCi,1)</f>
        <v>0</v>
      </c>
      <c r="BT30" s="131">
        <f t="shared" ca="1" si="93"/>
        <v>0</v>
      </c>
      <c r="BU30" s="131">
        <f ca="1">SUM(BT30:BT$124)*SSi</f>
        <v>0</v>
      </c>
      <c r="BV30" s="70">
        <f t="shared" ca="1" si="94"/>
        <v>50583.243562470889</v>
      </c>
      <c r="BW30" s="2">
        <f t="shared" ref="BW30" ca="1" si="464">IFERROR(VLOOKUP($S30,qx_table,MATCH(BW$11,qx_title,0)+sexB),0)</f>
        <v>0</v>
      </c>
      <c r="BX30" s="131">
        <f t="shared" ca="1" si="96"/>
        <v>0</v>
      </c>
      <c r="BY30" s="131">
        <f ca="1">SUM(BX30:BX$124)*SSj</f>
        <v>0</v>
      </c>
      <c r="BZ30" s="70">
        <f t="shared" ca="1" si="97"/>
        <v>50583.243562470889</v>
      </c>
      <c r="CA30" s="2">
        <f t="shared" ref="CA30" ca="1" si="465">IFERROR(VLOOKUP($S30,qx_table,MATCH(CA$11,qx_title,0)+sexB),0)</f>
        <v>0</v>
      </c>
      <c r="CB30" s="131">
        <f t="shared" ca="1" si="99"/>
        <v>0</v>
      </c>
      <c r="CC30" s="131">
        <f ca="1">SUM(CB30:CB$124)*SSk</f>
        <v>0</v>
      </c>
      <c r="CD30" s="8">
        <f t="shared" ca="1" si="100"/>
        <v>50583.243562470889</v>
      </c>
      <c r="CE30" s="2">
        <f t="shared" ref="CE30" ca="1" si="466">IFERROR(VLOOKUP($S30,qx_table,MATCH(CE$11,qx_title,0)+sexB),0)</f>
        <v>0</v>
      </c>
      <c r="CF30" s="131">
        <f t="shared" ca="1" si="102"/>
        <v>0</v>
      </c>
      <c r="CG30" s="131">
        <f ca="1">SUM(CF30:CF$124)*SSl</f>
        <v>0</v>
      </c>
      <c r="CH30" s="155">
        <f t="shared" ca="1" si="103"/>
        <v>1.35E-2</v>
      </c>
      <c r="CI30" s="155">
        <f t="shared" ca="1" si="104"/>
        <v>682.87355696652901</v>
      </c>
      <c r="CJ30" s="155">
        <f t="shared" ca="1" si="105"/>
        <v>452.44827546688742</v>
      </c>
      <c r="CK30" s="155">
        <f ca="1">'유해지 (기준P)'!CZ30</f>
        <v>9.1999999999999998E-2</v>
      </c>
      <c r="CL30" s="155">
        <f t="shared" ca="1" si="47"/>
        <v>0</v>
      </c>
      <c r="CM30" s="155">
        <f t="shared" ca="1" si="106"/>
        <v>0</v>
      </c>
      <c r="CN30" s="155">
        <f ca="1">SUM(CM30:$CM$124)</f>
        <v>395.11507188454124</v>
      </c>
      <c r="CO30" s="101">
        <f t="shared" ca="1" si="107"/>
        <v>0.11137073057147698</v>
      </c>
      <c r="CP30" s="154">
        <f t="shared" ca="1" si="48"/>
        <v>9.2695413033335505E-2</v>
      </c>
      <c r="CQ30" s="154">
        <f t="shared" ca="1" si="49"/>
        <v>395.11507188454124</v>
      </c>
      <c r="CR30" s="32">
        <f t="shared" ref="CR30" ca="1" si="467">+MAX(VLOOKUP(xB+$R30,기수표B,$AH$1)-VLOOKUP(xB+mB,기수표B,$AH$1),0)</f>
        <v>66547.167876312466</v>
      </c>
      <c r="CS30" s="32">
        <f t="shared" ca="1" si="50"/>
        <v>66547.167876312466</v>
      </c>
      <c r="CT30" s="32">
        <f t="shared" ref="CT30" ca="1" si="468">+MAX(VLOOKUP(xB+$R30,기수표B,$AA$1)-VLOOKUP(xB+mB,기수표B,$AA$1),0)</f>
        <v>66586.080235710382</v>
      </c>
      <c r="CU30" s="32">
        <f t="shared" ca="1" si="52"/>
        <v>66586.080235710382</v>
      </c>
      <c r="CV30" s="32">
        <f t="shared" ca="1" si="53"/>
        <v>56526.437071643726</v>
      </c>
      <c r="CW30" s="259">
        <f t="shared" ca="1" si="54"/>
        <v>2.4988841476195692E-2</v>
      </c>
      <c r="CX30" s="259" t="e">
        <f t="shared" ca="1" si="55"/>
        <v>#REF!</v>
      </c>
      <c r="CY30" s="262" t="e">
        <f t="shared" ca="1" si="56"/>
        <v>#REF!</v>
      </c>
      <c r="CZ30" s="259">
        <f t="shared" ca="1" si="57"/>
        <v>1.1662540174178063E-2</v>
      </c>
      <c r="DA30" s="31">
        <f t="shared" ref="DA30" ca="1" si="469">+MIN(mB,7)</f>
        <v>7</v>
      </c>
    </row>
    <row r="31" spans="2:105">
      <c r="B31" s="18" t="s">
        <v>162</v>
      </c>
      <c r="C31" s="256" t="e">
        <f ca="1">ROUND((ALP_GP*H28+ALP_S+ALP_PP*C28)*SB,0)/SB</f>
        <v>#REF!</v>
      </c>
      <c r="D31" s="293" t="e">
        <f ca="1">C31*S</f>
        <v>#REF!</v>
      </c>
      <c r="H31" s="333"/>
      <c r="N31" s="5">
        <f t="shared" si="111"/>
        <v>19</v>
      </c>
      <c r="O31" s="2">
        <f t="shared" ref="O31" ca="1" si="470">+(1+iB)^-N31</f>
        <v>0.65523484228824225</v>
      </c>
      <c r="P31" s="2">
        <f t="shared" ref="P31" ca="1" si="471">+(1+iB)^-(N31+0.5)</f>
        <v>0.64798555520476819</v>
      </c>
      <c r="Q31" s="91"/>
      <c r="R31" s="20">
        <f t="shared" si="114"/>
        <v>19</v>
      </c>
      <c r="S31" s="20">
        <f t="shared" ref="S31" si="472">+IF(xB+R31&lt;=xB+nB,xB+R31,"")</f>
        <v>27</v>
      </c>
      <c r="T31" s="2">
        <f t="shared" ref="T31:U31" ca="1" si="473">IFERROR(VLOOKUP($S31,qx_table,MATCH(T$11,qx_title,0)+sexB),0)</f>
        <v>0</v>
      </c>
      <c r="U31" s="2">
        <f t="shared" ca="1" si="473"/>
        <v>5.1E-5</v>
      </c>
      <c r="V31" s="300">
        <f t="shared" ca="1" si="26"/>
        <v>0</v>
      </c>
      <c r="W31" s="8">
        <f t="shared" ref="W31" ca="1" si="474">IF(R31=0,100000,IF(R31&gt;nB,0,W30*(1-X30)*(1-Y30)))</f>
        <v>49900.335995619629</v>
      </c>
      <c r="X31" s="10">
        <f t="shared" ca="1" si="28"/>
        <v>0</v>
      </c>
      <c r="Y31" s="10">
        <f t="shared" ca="1" si="29"/>
        <v>8.1868000001428243E-7</v>
      </c>
      <c r="Z31" s="8">
        <f t="shared" ca="1" si="64"/>
        <v>32696.438786220126</v>
      </c>
      <c r="AA31" s="8">
        <f ca="1">+SUM(Z31:Z$124)</f>
        <v>112463.85565221042</v>
      </c>
      <c r="AB31" s="8">
        <f t="shared" ca="1" si="30"/>
        <v>0</v>
      </c>
      <c r="AC31" s="209">
        <f ca="1">+SUM(AB31:AB$124)*SSSM</f>
        <v>0</v>
      </c>
      <c r="AD31" s="209">
        <f t="shared" ref="AD31" ca="1" si="475">IF(R31&gt;nB,0,AD30*(1-X30)*(1-Y30)*(1-AE30)*(1-AF30))</f>
        <v>49869.905495920939</v>
      </c>
      <c r="AE31" s="92">
        <f t="shared" ca="1" si="31"/>
        <v>5.1000000000023249E-5</v>
      </c>
      <c r="AF31" s="92">
        <f t="shared" ca="1" si="32"/>
        <v>0</v>
      </c>
      <c r="AG31" s="8">
        <f t="shared" ca="1" si="33"/>
        <v>32676.4996625493</v>
      </c>
      <c r="AH31" s="5">
        <f ca="1">+SUM(AG31:AG$124)</f>
        <v>112387.42132334813</v>
      </c>
      <c r="AI31" s="70">
        <f t="shared" ca="1" si="34"/>
        <v>1.6480638984407174</v>
      </c>
      <c r="AJ31" s="208">
        <f ca="1">+SUM(AB31:AB$124)*SS50J</f>
        <v>0</v>
      </c>
      <c r="AK31" s="209">
        <f t="shared" ca="1" si="66"/>
        <v>49900.335995619629</v>
      </c>
      <c r="AL31" s="257">
        <f t="shared" ref="AL31" ca="1" si="476">IFERROR(VLOOKUP($S31,qx_table,MATCH(AL$11,qx_title,0)+sexB),0)</f>
        <v>8.1868000000000008E-7</v>
      </c>
      <c r="AM31" s="131">
        <f t="shared" ca="1" si="68"/>
        <v>32696.438786220126</v>
      </c>
      <c r="AN31" s="129">
        <f t="shared" ca="1" si="69"/>
        <v>2.647176967858034E-2</v>
      </c>
      <c r="AO31" s="129">
        <f ca="1">SUM(AN31:AN$124)*SSa</f>
        <v>8.8836963461594032E-2</v>
      </c>
      <c r="AP31" s="70">
        <f t="shared" ca="1" si="70"/>
        <v>49900.335995619629</v>
      </c>
      <c r="AQ31" s="2">
        <f t="shared" ref="AQ31" ca="1" si="477">IFERROR(VLOOKUP($S31,qx_table,MATCH(AQ$11,qx_title,0)+sexB),0)</f>
        <v>0</v>
      </c>
      <c r="AR31" s="127">
        <f t="shared" ca="1" si="72"/>
        <v>0</v>
      </c>
      <c r="AS31" s="127">
        <f ca="1">SUM(AR31:AR$124)*SSb</f>
        <v>0</v>
      </c>
      <c r="AT31" s="70">
        <f t="shared" ca="1" si="73"/>
        <v>49900.335995619629</v>
      </c>
      <c r="AU31" s="2">
        <f t="shared" ref="AU31" ca="1" si="478">IFERROR(VLOOKUP($S31,qx_table,MATCH(AU$11,qx_title,0)+sexB),0)</f>
        <v>0</v>
      </c>
      <c r="AV31" s="268">
        <f t="shared" ca="1" si="75"/>
        <v>0</v>
      </c>
      <c r="AW31" s="131">
        <f ca="1">SUM(AV31:AV$124)*SSc</f>
        <v>0</v>
      </c>
      <c r="AX31" s="70">
        <f t="shared" ca="1" si="76"/>
        <v>49900.335995619629</v>
      </c>
      <c r="AY31" s="2">
        <f t="shared" ref="AY31" ca="1" si="479">IFERROR(VLOOKUP($S31,qx_table,MATCH(AY$11,qx_title,0)+sexB),0)</f>
        <v>0</v>
      </c>
      <c r="AZ31" s="268">
        <f t="shared" ca="1" si="78"/>
        <v>0</v>
      </c>
      <c r="BA31" s="129">
        <f ca="1">SUM(AZ31:AZ$124)*SSd</f>
        <v>0</v>
      </c>
      <c r="BB31" s="70">
        <f t="shared" ca="1" si="79"/>
        <v>49900.335995619629</v>
      </c>
      <c r="BC31" s="257">
        <f t="shared" ref="BC31" ca="1" si="480">IFERROR(VLOOKUP($S31,qx_table,MATCH(BC$11,qx_title,0)+sexB),0)</f>
        <v>0</v>
      </c>
      <c r="BD31" s="268">
        <f t="shared" ca="1" si="81"/>
        <v>0</v>
      </c>
      <c r="BE31" s="131">
        <f ca="1">SUM(BD31:BD$124)*SSe</f>
        <v>0</v>
      </c>
      <c r="BF31" s="70">
        <f t="shared" ca="1" si="82"/>
        <v>49900.335995619629</v>
      </c>
      <c r="BG31" s="2">
        <f t="shared" ref="BG31" ca="1" si="481">IFERROR(VLOOKUP($S31,qx_table,MATCH(BG$11,qx_title,0)+sexB),0)</f>
        <v>0</v>
      </c>
      <c r="BH31" s="131">
        <f t="shared" ca="1" si="84"/>
        <v>0</v>
      </c>
      <c r="BI31" s="2">
        <f ca="1">SUM(BH31:BH$124)*SSf</f>
        <v>0</v>
      </c>
      <c r="BJ31" s="70">
        <f t="shared" ca="1" si="85"/>
        <v>49900.335995619629</v>
      </c>
      <c r="BK31" s="2">
        <f t="shared" ref="BK31" ca="1" si="482">IFERROR(VLOOKUP($S31,qx_table,MATCH(BK$11,qx_title,0)+sexB),0)</f>
        <v>0</v>
      </c>
      <c r="BL31" s="131">
        <f t="shared" ca="1" si="87"/>
        <v>0</v>
      </c>
      <c r="BM31" s="131">
        <f ca="1">SUM(BL31:BL$124)*SSg</f>
        <v>0</v>
      </c>
      <c r="BN31" s="70">
        <f t="shared" ca="1" si="88"/>
        <v>49900.335995619629</v>
      </c>
      <c r="BO31" s="2">
        <f t="shared" ref="BO31" ca="1" si="483">IFERROR(VLOOKUP($S31,qx_table,MATCH(BO$11,qx_title,0)+sexB),0)</f>
        <v>0</v>
      </c>
      <c r="BP31" s="131">
        <f t="shared" ca="1" si="90"/>
        <v>0</v>
      </c>
      <c r="BQ31" s="131">
        <f ca="1">SUM(BP31:BP$124)*SSh</f>
        <v>0</v>
      </c>
      <c r="BR31" s="70">
        <f t="shared" ca="1" si="91"/>
        <v>49900.335995619629</v>
      </c>
      <c r="BS31" s="2">
        <f t="shared" ref="BS31" ca="1" si="484">IFERROR(VLOOKUP($S31,qx_table,MATCH(BS$11,qx_title,0)+sexB),0)*IF(R31=0,MCi,1)</f>
        <v>0</v>
      </c>
      <c r="BT31" s="131">
        <f t="shared" ca="1" si="93"/>
        <v>0</v>
      </c>
      <c r="BU31" s="131">
        <f ca="1">SUM(BT31:BT$124)*SSi</f>
        <v>0</v>
      </c>
      <c r="BV31" s="70">
        <f t="shared" ca="1" si="94"/>
        <v>49900.335995619629</v>
      </c>
      <c r="BW31" s="2">
        <f t="shared" ref="BW31" ca="1" si="485">IFERROR(VLOOKUP($S31,qx_table,MATCH(BW$11,qx_title,0)+sexB),0)</f>
        <v>0</v>
      </c>
      <c r="BX31" s="131">
        <f t="shared" ca="1" si="96"/>
        <v>0</v>
      </c>
      <c r="BY31" s="131">
        <f ca="1">SUM(BX31:BX$124)*SSj</f>
        <v>0</v>
      </c>
      <c r="BZ31" s="70">
        <f t="shared" ca="1" si="97"/>
        <v>49900.335995619629</v>
      </c>
      <c r="CA31" s="2">
        <f t="shared" ref="CA31" ca="1" si="486">IFERROR(VLOOKUP($S31,qx_table,MATCH(CA$11,qx_title,0)+sexB),0)</f>
        <v>0</v>
      </c>
      <c r="CB31" s="131">
        <f t="shared" ca="1" si="99"/>
        <v>0</v>
      </c>
      <c r="CC31" s="131">
        <f ca="1">SUM(CB31:CB$124)*SSk</f>
        <v>0</v>
      </c>
      <c r="CD31" s="8">
        <f t="shared" ca="1" si="100"/>
        <v>49900.335995619629</v>
      </c>
      <c r="CE31" s="2">
        <f t="shared" ref="CE31" ca="1" si="487">IFERROR(VLOOKUP($S31,qx_table,MATCH(CE$11,qx_title,0)+sexB),0)</f>
        <v>0</v>
      </c>
      <c r="CF31" s="131">
        <f t="shared" ca="1" si="102"/>
        <v>0</v>
      </c>
      <c r="CG31" s="131">
        <f ca="1">SUM(CF31:CF$124)*SSl</f>
        <v>0</v>
      </c>
      <c r="CH31" s="155">
        <f t="shared" ca="1" si="103"/>
        <v>0</v>
      </c>
      <c r="CI31" s="155">
        <f t="shared" ca="1" si="104"/>
        <v>0</v>
      </c>
      <c r="CJ31" s="155">
        <f t="shared" ca="1" si="105"/>
        <v>0</v>
      </c>
      <c r="CK31" s="155">
        <f ca="1">'유해지 (기준P)'!CZ31</f>
        <v>8.5000000000000006E-2</v>
      </c>
      <c r="CL31" s="155">
        <f t="shared" ca="1" si="47"/>
        <v>0</v>
      </c>
      <c r="CM31" s="155">
        <f t="shared" ca="1" si="106"/>
        <v>0</v>
      </c>
      <c r="CN31" s="155">
        <f ca="1">SUM(CM31:$CM$124)</f>
        <v>395.11507188454124</v>
      </c>
      <c r="CO31" s="101">
        <f t="shared" ca="1" si="107"/>
        <v>8.8836963461594032E-2</v>
      </c>
      <c r="CP31" s="154">
        <f t="shared" ca="1" si="48"/>
        <v>7.0161645923452559E-2</v>
      </c>
      <c r="CQ31" s="154">
        <f t="shared" ca="1" si="49"/>
        <v>395.11507188454124</v>
      </c>
      <c r="CR31" s="32">
        <f t="shared" ref="CR31" ca="1" si="488">+MAX(VLOOKUP(xB+$R31,기수표B,$AH$1)-VLOOKUP(xB+mB,기수표B,$AH$1),0)</f>
        <v>32676.499662549308</v>
      </c>
      <c r="CS31" s="32">
        <f t="shared" ca="1" si="50"/>
        <v>32676.499662549308</v>
      </c>
      <c r="CT31" s="32">
        <f t="shared" ref="CT31" ca="1" si="489">+MAX(VLOOKUP(xB+$R31,기수표B,$AA$1)-VLOOKUP(xB+mB,기수표B,$AA$1),0)</f>
        <v>32696.438786220111</v>
      </c>
      <c r="CU31" s="32">
        <f t="shared" ca="1" si="52"/>
        <v>32696.438786220111</v>
      </c>
      <c r="CV31" s="32">
        <f t="shared" ca="1" si="53"/>
        <v>56526.437071643726</v>
      </c>
      <c r="CW31" s="259">
        <f t="shared" ca="1" si="54"/>
        <v>1.2270212183666163E-2</v>
      </c>
      <c r="CX31" s="259" t="e">
        <f t="shared" ca="1" si="55"/>
        <v>#REF!</v>
      </c>
      <c r="CY31" s="262" t="e">
        <f t="shared" ca="1" si="56"/>
        <v>#REF!</v>
      </c>
      <c r="CZ31" s="259">
        <f t="shared" ca="1" si="57"/>
        <v>1.2087845172970997E-2</v>
      </c>
      <c r="DA31" s="31">
        <f t="shared" ref="DA31" ca="1" si="490">+MIN(mB,7)</f>
        <v>7</v>
      </c>
    </row>
    <row r="32" spans="2:105">
      <c r="B32" s="18" t="s">
        <v>28</v>
      </c>
      <c r="C32" s="256">
        <f ca="1">ROUND(L24*5%*MIN(nB,20)+C34*10/1000,roundB)*MAIN!$C$20</f>
        <v>9.6869999999999994E-3</v>
      </c>
      <c r="D32" s="293">
        <f ca="1">C32*S</f>
        <v>96870</v>
      </c>
      <c r="L32" s="229"/>
      <c r="N32" s="5">
        <f t="shared" si="111"/>
        <v>20</v>
      </c>
      <c r="O32" s="2">
        <f t="shared" ref="O32" ca="1" si="491">+(1+iB)^-N32</f>
        <v>0.64081647167554256</v>
      </c>
      <c r="P32" s="2">
        <f t="shared" ref="P32" ca="1" si="492">+(1+iB)^-(N32+0.5)</f>
        <v>0.6337267043567415</v>
      </c>
      <c r="Q32" s="91"/>
      <c r="R32" s="20">
        <f t="shared" si="114"/>
        <v>20</v>
      </c>
      <c r="S32" s="20">
        <f t="shared" ref="S32" si="493">+IF(xB+R32&lt;=xB+nB,xB+R32,"")</f>
        <v>28</v>
      </c>
      <c r="T32" s="2">
        <f t="shared" ref="T32:U32" ca="1" si="494">IFERROR(VLOOKUP($S32,qx_table,MATCH(T$11,qx_title,0)+sexB),0)</f>
        <v>0</v>
      </c>
      <c r="U32" s="2">
        <f t="shared" ca="1" si="494"/>
        <v>5.3000000000000001E-5</v>
      </c>
      <c r="V32" s="300">
        <f t="shared" ca="1" si="26"/>
        <v>0.215</v>
      </c>
      <c r="W32" s="8">
        <f t="shared" ref="W32" ca="1" si="495">IF(R32=0,100000,IF(R32&gt;nB,0,W31*(1-X31)*(1-Y31)))</f>
        <v>49900.295143212556</v>
      </c>
      <c r="X32" s="10">
        <f t="shared" ca="1" si="28"/>
        <v>0.21499999999999997</v>
      </c>
      <c r="Y32" s="10">
        <f t="shared" ca="1" si="29"/>
        <v>8.3666600003695635E-7</v>
      </c>
      <c r="Z32" s="8">
        <f t="shared" ca="1" si="64"/>
        <v>31976.931069241684</v>
      </c>
      <c r="AA32" s="8">
        <f ca="1">+SUM(Z32:Z$124)</f>
        <v>79767.416865990308</v>
      </c>
      <c r="AB32" s="8">
        <f t="shared" ca="1" si="30"/>
        <v>6798.9771613204121</v>
      </c>
      <c r="AC32" s="209">
        <f ca="1">+SUM(AB32:AB$124)*SSSM</f>
        <v>0</v>
      </c>
      <c r="AD32" s="209">
        <f t="shared" ref="AD32" ca="1" si="496">IF(R32&gt;nB,0,AD31*(1-X31)*(1-Y31)*(1-AE31)*(1-AF31))</f>
        <v>49867.321305328616</v>
      </c>
      <c r="AE32" s="92">
        <f t="shared" ca="1" si="31"/>
        <v>5.2999999999969738E-5</v>
      </c>
      <c r="AF32" s="92">
        <f t="shared" ca="1" si="32"/>
        <v>0</v>
      </c>
      <c r="AG32" s="8">
        <f t="shared" ca="1" si="33"/>
        <v>31955.800890791295</v>
      </c>
      <c r="AH32" s="5">
        <f ca="1">+SUM(AG32:AG$124)</f>
        <v>79710.92166079882</v>
      </c>
      <c r="AI32" s="70">
        <f t="shared" ca="1" si="34"/>
        <v>1.6749194188530487</v>
      </c>
      <c r="AJ32" s="208">
        <f ca="1">+SUM(AB32:AB$124)*SS50J</f>
        <v>0</v>
      </c>
      <c r="AK32" s="209">
        <f t="shared" ca="1" si="66"/>
        <v>49900.295143212556</v>
      </c>
      <c r="AL32" s="257">
        <f t="shared" ref="AL32" ca="1" si="497">IFERROR(VLOOKUP($S32,qx_table,MATCH(AL$11,qx_title,0)+sexB),0)</f>
        <v>8.3666599999999998E-7</v>
      </c>
      <c r="AM32" s="131">
        <f t="shared" ca="1" si="68"/>
        <v>31976.931069241684</v>
      </c>
      <c r="AN32" s="129">
        <f t="shared" ca="1" si="69"/>
        <v>2.3613777559979416E-2</v>
      </c>
      <c r="AO32" s="129">
        <f ca="1">SUM(AN32:AN$124)*SSa</f>
        <v>6.2365193783013681E-2</v>
      </c>
      <c r="AP32" s="70">
        <f t="shared" ca="1" si="70"/>
        <v>49900.295143212556</v>
      </c>
      <c r="AQ32" s="2">
        <f t="shared" ref="AQ32" ca="1" si="498">IFERROR(VLOOKUP($S32,qx_table,MATCH(AQ$11,qx_title,0)+sexB),0)</f>
        <v>0</v>
      </c>
      <c r="AR32" s="127">
        <f t="shared" ca="1" si="72"/>
        <v>0</v>
      </c>
      <c r="AS32" s="127">
        <f ca="1">SUM(AR32:AR$124)*SSb</f>
        <v>0</v>
      </c>
      <c r="AT32" s="70">
        <f t="shared" ca="1" si="73"/>
        <v>49900.295143212556</v>
      </c>
      <c r="AU32" s="2">
        <f t="shared" ref="AU32" ca="1" si="499">IFERROR(VLOOKUP($S32,qx_table,MATCH(AU$11,qx_title,0)+sexB),0)</f>
        <v>0</v>
      </c>
      <c r="AV32" s="268">
        <f t="shared" ca="1" si="75"/>
        <v>0</v>
      </c>
      <c r="AW32" s="131">
        <f ca="1">SUM(AV32:AV$124)*SSc</f>
        <v>0</v>
      </c>
      <c r="AX32" s="70">
        <f t="shared" ca="1" si="76"/>
        <v>49900.295143212556</v>
      </c>
      <c r="AY32" s="2">
        <f t="shared" ref="AY32" ca="1" si="500">IFERROR(VLOOKUP($S32,qx_table,MATCH(AY$11,qx_title,0)+sexB),0)</f>
        <v>0</v>
      </c>
      <c r="AZ32" s="268">
        <f t="shared" ca="1" si="78"/>
        <v>0</v>
      </c>
      <c r="BA32" s="129">
        <f ca="1">SUM(AZ32:AZ$124)*SSd</f>
        <v>0</v>
      </c>
      <c r="BB32" s="70">
        <f t="shared" ca="1" si="79"/>
        <v>49900.295143212556</v>
      </c>
      <c r="BC32" s="257">
        <f t="shared" ref="BC32" ca="1" si="501">IFERROR(VLOOKUP($S32,qx_table,MATCH(BC$11,qx_title,0)+sexB),0)</f>
        <v>0</v>
      </c>
      <c r="BD32" s="268">
        <f t="shared" ca="1" si="81"/>
        <v>0</v>
      </c>
      <c r="BE32" s="131">
        <f ca="1">SUM(BD32:BD$124)*SSe</f>
        <v>0</v>
      </c>
      <c r="BF32" s="70">
        <f t="shared" ca="1" si="82"/>
        <v>49900.295143212556</v>
      </c>
      <c r="BG32" s="2">
        <f t="shared" ref="BG32" ca="1" si="502">IFERROR(VLOOKUP($S32,qx_table,MATCH(BG$11,qx_title,0)+sexB),0)</f>
        <v>0</v>
      </c>
      <c r="BH32" s="131">
        <f t="shared" ca="1" si="84"/>
        <v>0</v>
      </c>
      <c r="BI32" s="2">
        <f ca="1">SUM(BH32:BH$124)*SSf</f>
        <v>0</v>
      </c>
      <c r="BJ32" s="70">
        <f t="shared" ca="1" si="85"/>
        <v>49900.295143212556</v>
      </c>
      <c r="BK32" s="2">
        <f t="shared" ref="BK32" ca="1" si="503">IFERROR(VLOOKUP($S32,qx_table,MATCH(BK$11,qx_title,0)+sexB),0)</f>
        <v>0</v>
      </c>
      <c r="BL32" s="131">
        <f t="shared" ca="1" si="87"/>
        <v>0</v>
      </c>
      <c r="BM32" s="131">
        <f ca="1">SUM(BL32:BL$124)*SSg</f>
        <v>0</v>
      </c>
      <c r="BN32" s="70">
        <f t="shared" ca="1" si="88"/>
        <v>49900.295143212556</v>
      </c>
      <c r="BO32" s="2">
        <f t="shared" ref="BO32" ca="1" si="504">IFERROR(VLOOKUP($S32,qx_table,MATCH(BO$11,qx_title,0)+sexB),0)</f>
        <v>0</v>
      </c>
      <c r="BP32" s="131">
        <f t="shared" ca="1" si="90"/>
        <v>0</v>
      </c>
      <c r="BQ32" s="131">
        <f ca="1">SUM(BP32:BP$124)*SSh</f>
        <v>0</v>
      </c>
      <c r="BR32" s="70">
        <f t="shared" ca="1" si="91"/>
        <v>49900.295143212556</v>
      </c>
      <c r="BS32" s="2">
        <f t="shared" ref="BS32" ca="1" si="505">IFERROR(VLOOKUP($S32,qx_table,MATCH(BS$11,qx_title,0)+sexB),0)*IF(R32=0,MCi,1)</f>
        <v>0</v>
      </c>
      <c r="BT32" s="131">
        <f t="shared" ca="1" si="93"/>
        <v>0</v>
      </c>
      <c r="BU32" s="131">
        <f ca="1">SUM(BT32:BT$124)*SSi</f>
        <v>0</v>
      </c>
      <c r="BV32" s="70">
        <f t="shared" ca="1" si="94"/>
        <v>49900.295143212556</v>
      </c>
      <c r="BW32" s="2">
        <f t="shared" ref="BW32" ca="1" si="506">IFERROR(VLOOKUP($S32,qx_table,MATCH(BW$11,qx_title,0)+sexB),0)</f>
        <v>0</v>
      </c>
      <c r="BX32" s="131">
        <f t="shared" ca="1" si="96"/>
        <v>0</v>
      </c>
      <c r="BY32" s="131">
        <f ca="1">SUM(BX32:BX$124)*SSj</f>
        <v>0</v>
      </c>
      <c r="BZ32" s="70">
        <f t="shared" ca="1" si="97"/>
        <v>49900.295143212556</v>
      </c>
      <c r="CA32" s="2">
        <f t="shared" ref="CA32" ca="1" si="507">IFERROR(VLOOKUP($S32,qx_table,MATCH(CA$11,qx_title,0)+sexB),0)</f>
        <v>0</v>
      </c>
      <c r="CB32" s="131">
        <f t="shared" ca="1" si="99"/>
        <v>0</v>
      </c>
      <c r="CC32" s="131">
        <f ca="1">SUM(CB32:CB$124)*SSk</f>
        <v>0</v>
      </c>
      <c r="CD32" s="8">
        <f t="shared" ca="1" si="100"/>
        <v>49900.295143212556</v>
      </c>
      <c r="CE32" s="2">
        <f t="shared" ref="CE32" ca="1" si="508">IFERROR(VLOOKUP($S32,qx_table,MATCH(CE$11,qx_title,0)+sexB),0)</f>
        <v>0</v>
      </c>
      <c r="CF32" s="131">
        <f t="shared" ca="1" si="102"/>
        <v>0</v>
      </c>
      <c r="CG32" s="131">
        <f ca="1">SUM(CF32:CF$124)*SSl</f>
        <v>0</v>
      </c>
      <c r="CH32" s="155">
        <f t="shared" ca="1" si="103"/>
        <v>0.215</v>
      </c>
      <c r="CI32" s="155">
        <f t="shared" ca="1" si="104"/>
        <v>10728.558967678564</v>
      </c>
      <c r="CJ32" s="155">
        <f t="shared" ca="1" si="105"/>
        <v>6798.974317083901</v>
      </c>
      <c r="CK32" s="155">
        <f ca="1">'유해지 (기준P)'!CZ32</f>
        <v>7.4999999999999997E-2</v>
      </c>
      <c r="CL32" s="155">
        <f t="shared" ca="1" si="47"/>
        <v>5.5999999999999994E-2</v>
      </c>
      <c r="CM32" s="155">
        <f t="shared" ca="1" si="106"/>
        <v>380.74256175669842</v>
      </c>
      <c r="CN32" s="155">
        <f ca="1">SUM(CM32:$CM$124)</f>
        <v>395.11507188454124</v>
      </c>
      <c r="CO32" s="101">
        <f t="shared" ca="1" si="107"/>
        <v>6.2365193783013681E-2</v>
      </c>
      <c r="CP32" s="154">
        <f t="shared" ca="1" si="48"/>
        <v>4.3689876244872215E-2</v>
      </c>
      <c r="CQ32" s="154">
        <f t="shared" ca="1" si="49"/>
        <v>395.11507188454124</v>
      </c>
      <c r="CR32" s="32">
        <f t="shared" ref="CR32" ca="1" si="509">+MAX(VLOOKUP(xB+$R32,기수표B,$AH$1)-VLOOKUP(xB+mB,기수표B,$AH$1),0)</f>
        <v>0</v>
      </c>
      <c r="CS32" s="32">
        <f t="shared" ca="1" si="50"/>
        <v>0</v>
      </c>
      <c r="CT32" s="32">
        <f t="shared" ref="CT32" ca="1" si="510">+MAX(VLOOKUP(xB+$R32,기수표B,$AA$1)-VLOOKUP(xB+mB,기수표B,$AA$1),0)</f>
        <v>0</v>
      </c>
      <c r="CU32" s="32">
        <f t="shared" ca="1" si="52"/>
        <v>0</v>
      </c>
      <c r="CV32" s="32">
        <f t="shared" ca="1" si="53"/>
        <v>56526.437071643726</v>
      </c>
      <c r="CW32" s="259">
        <f t="shared" ca="1" si="54"/>
        <v>0</v>
      </c>
      <c r="CX32" s="32" t="e">
        <f t="shared" ca="1" si="55"/>
        <v>#REF!</v>
      </c>
      <c r="CY32" s="262" t="e">
        <f t="shared" ca="1" si="56"/>
        <v>#REF!</v>
      </c>
      <c r="CZ32" s="259">
        <f t="shared" ca="1" si="57"/>
        <v>1.2359387689271147E-2</v>
      </c>
      <c r="DA32" s="31">
        <f t="shared" ref="DA32" ca="1" si="511">+MIN(mB,7)</f>
        <v>7</v>
      </c>
    </row>
    <row r="33" spans="1:105">
      <c r="B33" s="18" t="s">
        <v>163</v>
      </c>
      <c r="C33" s="292" t="e">
        <f ca="1">MIN(C31,C32)</f>
        <v>#REF!</v>
      </c>
      <c r="D33" s="293" t="e">
        <f ca="1">C33*S</f>
        <v>#REF!</v>
      </c>
      <c r="L33" s="229"/>
      <c r="N33" s="5">
        <f t="shared" si="111"/>
        <v>21</v>
      </c>
      <c r="O33" s="2">
        <f t="shared" ref="O33" ca="1" si="512">+(1+iB)^-N33</f>
        <v>0.62671537572180203</v>
      </c>
      <c r="P33" s="2">
        <f t="shared" ref="P33" ca="1" si="513">+(1+iB)^-(N33+0.5)</f>
        <v>0.6197816179528034</v>
      </c>
      <c r="Q33" s="91"/>
      <c r="R33" s="20">
        <f t="shared" si="114"/>
        <v>21</v>
      </c>
      <c r="S33" s="20">
        <f t="shared" ref="S33" si="514">+IF(xB+R33&lt;=xB+nB,xB+R33,"")</f>
        <v>29</v>
      </c>
      <c r="T33" s="2">
        <f t="shared" ref="T33:U33" ca="1" si="515">IFERROR(VLOOKUP($S33,qx_table,MATCH(T$11,qx_title,0)+sexB),0)</f>
        <v>0</v>
      </c>
      <c r="U33" s="2">
        <f t="shared" ca="1" si="515"/>
        <v>5.3999999999999998E-5</v>
      </c>
      <c r="V33" s="300">
        <f t="shared" ca="1" si="26"/>
        <v>3.2000000000000001E-2</v>
      </c>
      <c r="W33" s="8">
        <f t="shared" ref="W33" ca="1" si="516">IF(R33=0,100000,IF(R33&gt;nB,0,W32*(1-X32)*(1-Y32)))</f>
        <v>39171.698913765795</v>
      </c>
      <c r="X33" s="10">
        <f t="shared" ca="1" si="28"/>
        <v>3.2000000000000028E-2</v>
      </c>
      <c r="Y33" s="10">
        <f t="shared" ca="1" si="29"/>
        <v>8.4037500003297794E-7</v>
      </c>
      <c r="Z33" s="8">
        <f t="shared" ca="1" si="64"/>
        <v>24549.506002402035</v>
      </c>
      <c r="AA33" s="8">
        <f ca="1">+SUM(Z33:Z$124)</f>
        <v>47790.485796748617</v>
      </c>
      <c r="AB33" s="8">
        <f t="shared" ca="1" si="30"/>
        <v>776.89276578348347</v>
      </c>
      <c r="AC33" s="209">
        <f ca="1">+SUM(AB33:AB$124)*SSSM</f>
        <v>0</v>
      </c>
      <c r="AD33" s="209">
        <f t="shared" ref="AD33" ca="1" si="517">IF(R33&gt;nB,0,AD32*(1-X32)*(1-Y32)*(1-AE32)*(1-AF32))</f>
        <v>39143.739744516497</v>
      </c>
      <c r="AE33" s="92">
        <f t="shared" ca="1" si="31"/>
        <v>5.3999999999998494E-5</v>
      </c>
      <c r="AF33" s="92">
        <f t="shared" ca="1" si="32"/>
        <v>0</v>
      </c>
      <c r="AG33" s="8">
        <f t="shared" ca="1" si="33"/>
        <v>24531.983561141093</v>
      </c>
      <c r="AH33" s="5">
        <f ca="1">+SUM(AG33:AG$124)</f>
        <v>47755.120770007532</v>
      </c>
      <c r="AI33" s="70">
        <f t="shared" ca="1" si="34"/>
        <v>1.3100707989852776</v>
      </c>
      <c r="AJ33" s="208">
        <f ca="1">+SUM(AB33:AB$124)*SS50J</f>
        <v>0</v>
      </c>
      <c r="AK33" s="209">
        <f t="shared" ca="1" si="66"/>
        <v>39171.698913765795</v>
      </c>
      <c r="AL33" s="257">
        <f t="shared" ref="AL33" ca="1" si="518">IFERROR(VLOOKUP($S33,qx_table,MATCH(AL$11,qx_title,0)+sexB),0)</f>
        <v>8.4037499999999998E-7</v>
      </c>
      <c r="AM33" s="131">
        <f t="shared" ca="1" si="68"/>
        <v>24549.506002402035</v>
      </c>
      <c r="AN33" s="129">
        <f t="shared" ca="1" si="69"/>
        <v>2.0076098684892799E-2</v>
      </c>
      <c r="AO33" s="129">
        <f ca="1">SUM(AN33:AN$124)*SSa</f>
        <v>3.8751416223034268E-2</v>
      </c>
      <c r="AP33" s="70">
        <f t="shared" ca="1" si="70"/>
        <v>39171.698913765795</v>
      </c>
      <c r="AQ33" s="2">
        <f t="shared" ref="AQ33" ca="1" si="519">IFERROR(VLOOKUP($S33,qx_table,MATCH(AQ$11,qx_title,0)+sexB),0)</f>
        <v>0</v>
      </c>
      <c r="AR33" s="127">
        <f t="shared" ca="1" si="72"/>
        <v>0</v>
      </c>
      <c r="AS33" s="127">
        <f ca="1">SUM(AR33:AR$124)*SSb</f>
        <v>0</v>
      </c>
      <c r="AT33" s="70">
        <f t="shared" ca="1" si="73"/>
        <v>39171.698913765795</v>
      </c>
      <c r="AU33" s="2">
        <f t="shared" ref="AU33" ca="1" si="520">IFERROR(VLOOKUP($S33,qx_table,MATCH(AU$11,qx_title,0)+sexB),0)</f>
        <v>0</v>
      </c>
      <c r="AV33" s="268">
        <f t="shared" ca="1" si="75"/>
        <v>0</v>
      </c>
      <c r="AW33" s="131">
        <f ca="1">SUM(AV33:AV$124)*SSc</f>
        <v>0</v>
      </c>
      <c r="AX33" s="70">
        <f t="shared" ca="1" si="76"/>
        <v>39171.698913765795</v>
      </c>
      <c r="AY33" s="2">
        <f t="shared" ref="AY33" ca="1" si="521">IFERROR(VLOOKUP($S33,qx_table,MATCH(AY$11,qx_title,0)+sexB),0)</f>
        <v>0</v>
      </c>
      <c r="AZ33" s="268">
        <f t="shared" ca="1" si="78"/>
        <v>0</v>
      </c>
      <c r="BA33" s="129">
        <f ca="1">SUM(AZ33:AZ$124)*SSd</f>
        <v>0</v>
      </c>
      <c r="BB33" s="70">
        <f t="shared" ca="1" si="79"/>
        <v>39171.698913765795</v>
      </c>
      <c r="BC33" s="257">
        <f t="shared" ref="BC33" ca="1" si="522">IFERROR(VLOOKUP($S33,qx_table,MATCH(BC$11,qx_title,0)+sexB),0)</f>
        <v>0</v>
      </c>
      <c r="BD33" s="268">
        <f t="shared" ca="1" si="81"/>
        <v>0</v>
      </c>
      <c r="BE33" s="131">
        <f ca="1">SUM(BD33:BD$124)*SSe</f>
        <v>0</v>
      </c>
      <c r="BF33" s="70">
        <f t="shared" ca="1" si="82"/>
        <v>39171.698913765795</v>
      </c>
      <c r="BG33" s="2">
        <f t="shared" ref="BG33" ca="1" si="523">IFERROR(VLOOKUP($S33,qx_table,MATCH(BG$11,qx_title,0)+sexB),0)</f>
        <v>0</v>
      </c>
      <c r="BH33" s="131">
        <f t="shared" ca="1" si="84"/>
        <v>0</v>
      </c>
      <c r="BI33" s="2">
        <f ca="1">SUM(BH33:BH$124)*SSf</f>
        <v>0</v>
      </c>
      <c r="BJ33" s="70">
        <f t="shared" ca="1" si="85"/>
        <v>39171.698913765795</v>
      </c>
      <c r="BK33" s="2">
        <f t="shared" ref="BK33" ca="1" si="524">IFERROR(VLOOKUP($S33,qx_table,MATCH(BK$11,qx_title,0)+sexB),0)</f>
        <v>0</v>
      </c>
      <c r="BL33" s="131">
        <f t="shared" ca="1" si="87"/>
        <v>0</v>
      </c>
      <c r="BM33" s="131">
        <f ca="1">SUM(BL33:BL$124)*SSg</f>
        <v>0</v>
      </c>
      <c r="BN33" s="70">
        <f t="shared" ca="1" si="88"/>
        <v>39171.698913765795</v>
      </c>
      <c r="BO33" s="2">
        <f t="shared" ref="BO33" ca="1" si="525">IFERROR(VLOOKUP($S33,qx_table,MATCH(BO$11,qx_title,0)+sexB),0)</f>
        <v>0</v>
      </c>
      <c r="BP33" s="131">
        <f t="shared" ca="1" si="90"/>
        <v>0</v>
      </c>
      <c r="BQ33" s="131">
        <f ca="1">SUM(BP33:BP$124)*SSh</f>
        <v>0</v>
      </c>
      <c r="BR33" s="70">
        <f t="shared" ca="1" si="91"/>
        <v>39171.698913765795</v>
      </c>
      <c r="BS33" s="2">
        <f t="shared" ref="BS33" ca="1" si="526">IFERROR(VLOOKUP($S33,qx_table,MATCH(BS$11,qx_title,0)+sexB),0)*IF(R33=0,MCi,1)</f>
        <v>0</v>
      </c>
      <c r="BT33" s="131">
        <f t="shared" ca="1" si="93"/>
        <v>0</v>
      </c>
      <c r="BU33" s="131">
        <f ca="1">SUM(BT33:BT$124)*SSi</f>
        <v>0</v>
      </c>
      <c r="BV33" s="70">
        <f t="shared" ca="1" si="94"/>
        <v>39171.698913765795</v>
      </c>
      <c r="BW33" s="2">
        <f t="shared" ref="BW33" ca="1" si="527">IFERROR(VLOOKUP($S33,qx_table,MATCH(BW$11,qx_title,0)+sexB),0)</f>
        <v>0</v>
      </c>
      <c r="BX33" s="131">
        <f t="shared" ca="1" si="96"/>
        <v>0</v>
      </c>
      <c r="BY33" s="131">
        <f ca="1">SUM(BX33:BX$124)*SSj</f>
        <v>0</v>
      </c>
      <c r="BZ33" s="70">
        <f t="shared" ca="1" si="97"/>
        <v>39171.698913765795</v>
      </c>
      <c r="CA33" s="2">
        <f t="shared" ref="CA33" ca="1" si="528">IFERROR(VLOOKUP($S33,qx_table,MATCH(CA$11,qx_title,0)+sexB),0)</f>
        <v>0</v>
      </c>
      <c r="CB33" s="131">
        <f t="shared" ca="1" si="99"/>
        <v>0</v>
      </c>
      <c r="CC33" s="131">
        <f ca="1">SUM(CB33:CB$124)*SSk</f>
        <v>0</v>
      </c>
      <c r="CD33" s="8">
        <f t="shared" ca="1" si="100"/>
        <v>39171.698913765795</v>
      </c>
      <c r="CE33" s="2">
        <f t="shared" ref="CE33" ca="1" si="529">IFERROR(VLOOKUP($S33,qx_table,MATCH(CE$11,qx_title,0)+sexB),0)</f>
        <v>0</v>
      </c>
      <c r="CF33" s="131">
        <f t="shared" ca="1" si="102"/>
        <v>0</v>
      </c>
      <c r="CG33" s="131">
        <f ca="1">SUM(CF33:CF$124)*SSl</f>
        <v>0</v>
      </c>
      <c r="CH33" s="155">
        <f t="shared" ca="1" si="103"/>
        <v>3.2000000000000001E-2</v>
      </c>
      <c r="CI33" s="155">
        <f t="shared" ca="1" si="104"/>
        <v>1253.4938385378418</v>
      </c>
      <c r="CJ33" s="155">
        <f t="shared" ca="1" si="105"/>
        <v>776.89243934285378</v>
      </c>
      <c r="CK33" s="155">
        <f ca="1">'유해지 (기준P)'!CZ33</f>
        <v>3.6999999999999998E-2</v>
      </c>
      <c r="CL33" s="155">
        <f t="shared" ca="1" si="47"/>
        <v>1.8499999999999999E-2</v>
      </c>
      <c r="CM33" s="155">
        <f t="shared" ca="1" si="106"/>
        <v>14.372510127842794</v>
      </c>
      <c r="CN33" s="155">
        <f ca="1">SUM(CM33:$CM$124)</f>
        <v>14.372510127842794</v>
      </c>
      <c r="CO33" s="101">
        <f t="shared" ca="1" si="107"/>
        <v>3.8751416223034268E-2</v>
      </c>
      <c r="CP33" s="154">
        <f t="shared" ca="1" si="48"/>
        <v>2.0076098684892803E-2</v>
      </c>
      <c r="CQ33" s="154">
        <f t="shared" ca="1" si="49"/>
        <v>14.372510127842794</v>
      </c>
      <c r="CR33" s="32">
        <f t="shared" ref="CR33" ca="1" si="530">+MAX(VLOOKUP(xB+$R33,기수표B,$AH$1)-VLOOKUP(xB+mB,기수표B,$AH$1),0)</f>
        <v>0</v>
      </c>
      <c r="CS33" s="32">
        <f t="shared" ca="1" si="50"/>
        <v>0</v>
      </c>
      <c r="CT33" s="32">
        <f t="shared" ref="CT33" ca="1" si="531">+MAX(VLOOKUP(xB+$R33,기수표B,$AA$1)-VLOOKUP(xB+mB,기수표B,$AA$1),0)</f>
        <v>0</v>
      </c>
      <c r="CU33" s="32">
        <f t="shared" ca="1" si="52"/>
        <v>0</v>
      </c>
      <c r="CV33" s="32">
        <f t="shared" ca="1" si="53"/>
        <v>24549.506002402031</v>
      </c>
      <c r="CW33" s="259">
        <f t="shared" ca="1" si="54"/>
        <v>0</v>
      </c>
      <c r="CX33" s="32" t="e">
        <f t="shared" ca="1" si="55"/>
        <v>#REF!</v>
      </c>
      <c r="CY33" s="262" t="e">
        <f t="shared" ca="1" si="56"/>
        <v>#REF!</v>
      </c>
      <c r="CZ33" s="259">
        <f t="shared" ca="1" si="57"/>
        <v>5.8726785504846621E-4</v>
      </c>
      <c r="DA33" s="31">
        <f t="shared" ref="DA33" ca="1" si="532">+MIN(mB,7)</f>
        <v>7</v>
      </c>
    </row>
    <row r="34" spans="1:105">
      <c r="B34" s="18" t="s">
        <v>62</v>
      </c>
      <c r="C34" s="255">
        <f ca="1">무해지!C34</f>
        <v>0.96870000000000001</v>
      </c>
      <c r="D34" s="13" t="s">
        <v>536</v>
      </c>
      <c r="L34" s="229"/>
      <c r="N34" s="5">
        <f t="shared" si="111"/>
        <v>22</v>
      </c>
      <c r="O34" s="2">
        <f t="shared" ref="O34" ca="1" si="533">+(1+iB)^-N34</f>
        <v>0.61292457283305835</v>
      </c>
      <c r="P34" s="2">
        <f t="shared" ref="P34" ca="1" si="534">+(1+iB)^-(N34+0.5)</f>
        <v>0.6061433916408836</v>
      </c>
      <c r="Q34" s="91"/>
      <c r="R34" s="20">
        <f t="shared" si="114"/>
        <v>22</v>
      </c>
      <c r="S34" s="20">
        <f t="shared" ref="S34" si="535">+IF(xB+R34&lt;=xB+nB,xB+R34,"")</f>
        <v>30</v>
      </c>
      <c r="T34" s="2">
        <f t="shared" ref="T34:U34" ca="1" si="536">IFERROR(VLOOKUP($S34,qx_table,MATCH(T$11,qx_title,0)+sexB),0)</f>
        <v>0</v>
      </c>
      <c r="U34" s="2">
        <f t="shared" ca="1" si="536"/>
        <v>6.1000000000000005E-5</v>
      </c>
      <c r="V34" s="300">
        <f t="shared" ca="1" si="26"/>
        <v>0.01</v>
      </c>
      <c r="W34" s="8">
        <f t="shared" ref="W34" ca="1" si="537">IF(R34=0,100000,IF(R34&gt;nB,0,W33*(1-X33)*(1-Y33)))</f>
        <v>37918.172683014142</v>
      </c>
      <c r="X34" s="10">
        <f t="shared" ca="1" si="28"/>
        <v>1.0000000000000009E-2</v>
      </c>
      <c r="Y34" s="10">
        <f t="shared" ca="1" si="29"/>
        <v>8.1662399997739499E-7</v>
      </c>
      <c r="Z34" s="8">
        <f t="shared" ca="1" si="64"/>
        <v>23240.979794346586</v>
      </c>
      <c r="AA34" s="8">
        <f ca="1">+SUM(Z34:Z$124)</f>
        <v>23240.979794346586</v>
      </c>
      <c r="AB34" s="8">
        <f t="shared" ca="1" si="30"/>
        <v>229.83849794906916</v>
      </c>
      <c r="AC34" s="209">
        <f ca="1">+SUM(AB34:AB$124)*SSSM</f>
        <v>0</v>
      </c>
      <c r="AD34" s="209">
        <f t="shared" ref="AD34" ca="1" si="538">IF(R34&gt;nB,0,AD33*(1-X33)*(1-Y33)*(1-AE33)*(1-AF33))</f>
        <v>37889.062110080711</v>
      </c>
      <c r="AE34" s="92">
        <f t="shared" ca="1" si="31"/>
        <v>6.0999999999977739E-5</v>
      </c>
      <c r="AF34" s="92">
        <f t="shared" ca="1" si="32"/>
        <v>0</v>
      </c>
      <c r="AG34" s="8">
        <f t="shared" ca="1" si="33"/>
        <v>23223.137208866436</v>
      </c>
      <c r="AH34" s="5">
        <f ca="1">+SUM(AG34:AG$124)</f>
        <v>23223.137208866436</v>
      </c>
      <c r="AI34" s="70">
        <f t="shared" ca="1" si="34"/>
        <v>1.4009384814227701</v>
      </c>
      <c r="AJ34" s="208">
        <f ca="1">+SUM(AB34:AB$124)*SS50J</f>
        <v>0</v>
      </c>
      <c r="AK34" s="209">
        <f t="shared" ca="1" si="66"/>
        <v>37918.172683014142</v>
      </c>
      <c r="AL34" s="257">
        <f t="shared" ref="AL34" ca="1" si="539">IFERROR(VLOOKUP($S34,qx_table,MATCH(AL$11,qx_title,0)+sexB),0)</f>
        <v>8.1662399999999997E-7</v>
      </c>
      <c r="AM34" s="131">
        <f t="shared" ca="1" si="68"/>
        <v>23240.979794346586</v>
      </c>
      <c r="AN34" s="129">
        <f t="shared" ca="1" si="69"/>
        <v>1.8675317538141466E-2</v>
      </c>
      <c r="AO34" s="129">
        <f ca="1">SUM(AN34:AN$124)*SSa</f>
        <v>1.8675317538141466E-2</v>
      </c>
      <c r="AP34" s="70">
        <f t="shared" ca="1" si="70"/>
        <v>37918.172683014142</v>
      </c>
      <c r="AQ34" s="2">
        <f t="shared" ref="AQ34" ca="1" si="540">IFERROR(VLOOKUP($S34,qx_table,MATCH(AQ$11,qx_title,0)+sexB),0)</f>
        <v>0</v>
      </c>
      <c r="AR34" s="127">
        <f t="shared" ca="1" si="72"/>
        <v>0</v>
      </c>
      <c r="AS34" s="127">
        <f ca="1">SUM(AR34:AR$124)*SSb</f>
        <v>0</v>
      </c>
      <c r="AT34" s="70">
        <f t="shared" ca="1" si="73"/>
        <v>37918.172683014142</v>
      </c>
      <c r="AU34" s="2">
        <f t="shared" ref="AU34" ca="1" si="541">IFERROR(VLOOKUP($S34,qx_table,MATCH(AU$11,qx_title,0)+sexB),0)</f>
        <v>0</v>
      </c>
      <c r="AV34" s="268">
        <f t="shared" ca="1" si="75"/>
        <v>0</v>
      </c>
      <c r="AW34" s="131">
        <f ca="1">SUM(AV34:AV$124)*SSc</f>
        <v>0</v>
      </c>
      <c r="AX34" s="70">
        <f t="shared" ca="1" si="76"/>
        <v>37918.172683014142</v>
      </c>
      <c r="AY34" s="2">
        <f t="shared" ref="AY34" ca="1" si="542">IFERROR(VLOOKUP($S34,qx_table,MATCH(AY$11,qx_title,0)+sexB),0)</f>
        <v>0</v>
      </c>
      <c r="AZ34" s="268">
        <f t="shared" ca="1" si="78"/>
        <v>0</v>
      </c>
      <c r="BA34" s="129">
        <f ca="1">SUM(AZ34:AZ$124)*SSd</f>
        <v>0</v>
      </c>
      <c r="BB34" s="70">
        <f t="shared" ca="1" si="79"/>
        <v>37918.172683014142</v>
      </c>
      <c r="BC34" s="257">
        <f t="shared" ref="BC34" ca="1" si="543">IFERROR(VLOOKUP($S34,qx_table,MATCH(BC$11,qx_title,0)+sexB),0)</f>
        <v>0</v>
      </c>
      <c r="BD34" s="268">
        <f t="shared" ca="1" si="81"/>
        <v>0</v>
      </c>
      <c r="BE34" s="131">
        <f ca="1">SUM(BD34:BD$124)*SSe</f>
        <v>0</v>
      </c>
      <c r="BF34" s="70">
        <f t="shared" ca="1" si="82"/>
        <v>37918.172683014142</v>
      </c>
      <c r="BG34" s="2">
        <f t="shared" ref="BG34" ca="1" si="544">IFERROR(VLOOKUP($S34,qx_table,MATCH(BG$11,qx_title,0)+sexB),0)</f>
        <v>0</v>
      </c>
      <c r="BH34" s="131">
        <f t="shared" ca="1" si="84"/>
        <v>0</v>
      </c>
      <c r="BI34" s="2">
        <f ca="1">SUM(BH34:BH$124)*SSf</f>
        <v>0</v>
      </c>
      <c r="BJ34" s="70">
        <f t="shared" ca="1" si="85"/>
        <v>37918.172683014142</v>
      </c>
      <c r="BK34" s="2">
        <f t="shared" ref="BK34" ca="1" si="545">IFERROR(VLOOKUP($S34,qx_table,MATCH(BK$11,qx_title,0)+sexB),0)</f>
        <v>0</v>
      </c>
      <c r="BL34" s="131">
        <f t="shared" ca="1" si="87"/>
        <v>0</v>
      </c>
      <c r="BM34" s="131">
        <f ca="1">SUM(BL34:BL$124)*SSg</f>
        <v>0</v>
      </c>
      <c r="BN34" s="70">
        <f t="shared" ca="1" si="88"/>
        <v>37918.172683014142</v>
      </c>
      <c r="BO34" s="2">
        <f t="shared" ref="BO34" ca="1" si="546">IFERROR(VLOOKUP($S34,qx_table,MATCH(BO$11,qx_title,0)+sexB),0)</f>
        <v>0</v>
      </c>
      <c r="BP34" s="131">
        <f t="shared" ca="1" si="90"/>
        <v>0</v>
      </c>
      <c r="BQ34" s="131">
        <f ca="1">SUM(BP34:BP$124)*SSh</f>
        <v>0</v>
      </c>
      <c r="BR34" s="70">
        <f t="shared" ca="1" si="91"/>
        <v>37918.172683014142</v>
      </c>
      <c r="BS34" s="2">
        <f t="shared" ref="BS34" ca="1" si="547">IFERROR(VLOOKUP($S34,qx_table,MATCH(BS$11,qx_title,0)+sexB),0)*IF(R34=0,MCi,1)</f>
        <v>0</v>
      </c>
      <c r="BT34" s="131">
        <f t="shared" ca="1" si="93"/>
        <v>0</v>
      </c>
      <c r="BU34" s="131">
        <f ca="1">SUM(BT34:BT$124)*SSi</f>
        <v>0</v>
      </c>
      <c r="BV34" s="70">
        <f t="shared" ca="1" si="94"/>
        <v>37918.172683014142</v>
      </c>
      <c r="BW34" s="2">
        <f t="shared" ref="BW34" ca="1" si="548">IFERROR(VLOOKUP($S34,qx_table,MATCH(BW$11,qx_title,0)+sexB),0)</f>
        <v>0</v>
      </c>
      <c r="BX34" s="131">
        <f t="shared" ca="1" si="96"/>
        <v>0</v>
      </c>
      <c r="BY34" s="131">
        <f ca="1">SUM(BX34:BX$124)*SSj</f>
        <v>0</v>
      </c>
      <c r="BZ34" s="70">
        <f t="shared" ca="1" si="97"/>
        <v>37918.172683014142</v>
      </c>
      <c r="CA34" s="2">
        <f t="shared" ref="CA34" ca="1" si="549">IFERROR(VLOOKUP($S34,qx_table,MATCH(CA$11,qx_title,0)+sexB),0)</f>
        <v>0</v>
      </c>
      <c r="CB34" s="131">
        <f t="shared" ca="1" si="99"/>
        <v>0</v>
      </c>
      <c r="CC34" s="131">
        <f ca="1">SUM(CB34:CB$124)*SSk</f>
        <v>0</v>
      </c>
      <c r="CD34" s="8">
        <f t="shared" ca="1" si="100"/>
        <v>37918.172683014142</v>
      </c>
      <c r="CE34" s="2">
        <f t="shared" ref="CE34" ca="1" si="550">IFERROR(VLOOKUP($S34,qx_table,MATCH(CE$11,qx_title,0)+sexB),0)</f>
        <v>0</v>
      </c>
      <c r="CF34" s="131">
        <f t="shared" ca="1" si="102"/>
        <v>0</v>
      </c>
      <c r="CG34" s="131">
        <f ca="1">SUM(CF34:CF$124)*SSl</f>
        <v>0</v>
      </c>
      <c r="CH34" s="155">
        <f t="shared" ca="1" si="103"/>
        <v>0.01</v>
      </c>
      <c r="CI34" s="155">
        <f t="shared" ca="1" si="104"/>
        <v>379.1815720056922</v>
      </c>
      <c r="CJ34" s="155">
        <f t="shared" ca="1" si="105"/>
        <v>229.8384041032522</v>
      </c>
      <c r="CK34" s="155">
        <f ca="1">'유해지 (기준P)'!CZ34</f>
        <v>0</v>
      </c>
      <c r="CL34" s="155">
        <f t="shared" ca="1" si="47"/>
        <v>0</v>
      </c>
      <c r="CM34" s="155">
        <f t="shared" ca="1" si="106"/>
        <v>0</v>
      </c>
      <c r="CN34" s="155">
        <f ca="1">SUM(CM34:$CM$124)</f>
        <v>0</v>
      </c>
      <c r="CO34" s="101">
        <f t="shared" ca="1" si="107"/>
        <v>1.8675317538141466E-2</v>
      </c>
      <c r="CP34" s="154">
        <f t="shared" ca="1" si="48"/>
        <v>0</v>
      </c>
      <c r="CQ34" s="154">
        <f t="shared" ca="1" si="49"/>
        <v>0</v>
      </c>
      <c r="CR34" s="32">
        <f t="shared" ref="CR34" ca="1" si="551">+MAX(VLOOKUP(xB+$R34,기수표B,$AH$1)-VLOOKUP(xB+mB,기수표B,$AH$1),0)</f>
        <v>0</v>
      </c>
      <c r="CS34" s="32">
        <f t="shared" ca="1" si="50"/>
        <v>0</v>
      </c>
      <c r="CT34" s="32">
        <f t="shared" ref="CT34" ca="1" si="552">+MAX(VLOOKUP(xB+$R34,기수표B,$AA$1)-VLOOKUP(xB+mB,기수표B,$AA$1),0)</f>
        <v>0</v>
      </c>
      <c r="CU34" s="32">
        <f t="shared" ca="1" si="52"/>
        <v>0</v>
      </c>
      <c r="CV34" s="32">
        <f t="shared" ca="1" si="53"/>
        <v>0</v>
      </c>
      <c r="CW34" s="259">
        <f t="shared" ca="1" si="54"/>
        <v>0</v>
      </c>
      <c r="CX34" s="32" t="e">
        <f t="shared" ca="1" si="55"/>
        <v>#REF!</v>
      </c>
      <c r="CY34" s="262" t="e">
        <f t="shared" ca="1" si="56"/>
        <v>#REF!</v>
      </c>
      <c r="CZ34" s="259">
        <f t="shared" ca="1" si="57"/>
        <v>0</v>
      </c>
      <c r="DA34" s="31">
        <f t="shared" ref="DA34" ca="1" si="553">+MIN(mB,7)</f>
        <v>7</v>
      </c>
    </row>
    <row r="35" spans="1:105">
      <c r="C35" s="265">
        <f ca="1">C34*SB</f>
        <v>9687000</v>
      </c>
      <c r="L35" s="229"/>
      <c r="N35" s="5">
        <f t="shared" si="111"/>
        <v>23</v>
      </c>
      <c r="O35" s="2">
        <f t="shared" ref="O35" ca="1" si="554">+(1+iB)^-N35</f>
        <v>0.59943723504455593</v>
      </c>
      <c r="P35" s="2">
        <f t="shared" ref="P35" ca="1" si="555">+(1+iB)^-(N35+0.5)</f>
        <v>0.59280527299841912</v>
      </c>
      <c r="Q35" s="91"/>
      <c r="R35" s="20">
        <f t="shared" si="114"/>
        <v>23</v>
      </c>
      <c r="S35" s="20" t="str">
        <f t="shared" ref="S35" si="556">+IF(xB+R35&lt;=xB+nB,xB+R35,"")</f>
        <v/>
      </c>
      <c r="T35" s="2">
        <f t="shared" ref="T35:U35" ca="1" si="557">IFERROR(VLOOKUP($S35,qx_table,MATCH(T$11,qx_title,0)+sexB),0)</f>
        <v>0</v>
      </c>
      <c r="U35" s="2">
        <f t="shared" ca="1" si="557"/>
        <v>0</v>
      </c>
      <c r="V35" s="300">
        <f t="shared" ca="1" si="26"/>
        <v>0.01</v>
      </c>
      <c r="W35" s="8">
        <f t="shared" ref="W35" si="558">IF(R35=0,100000,IF(R35&gt;nB,0,W34*(1-X34)*(1-Y34)))</f>
        <v>0</v>
      </c>
      <c r="X35" s="10">
        <f t="shared" ca="1" si="28"/>
        <v>1.0000000000000009E-2</v>
      </c>
      <c r="Y35" s="10">
        <f t="shared" ca="1" si="29"/>
        <v>0</v>
      </c>
      <c r="Z35" s="8">
        <f t="shared" ca="1" si="64"/>
        <v>0</v>
      </c>
      <c r="AA35" s="8">
        <f ca="1">+SUM(Z35:Z$124)</f>
        <v>0</v>
      </c>
      <c r="AB35" s="8">
        <f t="shared" ca="1" si="30"/>
        <v>0</v>
      </c>
      <c r="AC35" s="209">
        <f ca="1">+SUM(AB35:AB$124)*SSSM</f>
        <v>0</v>
      </c>
      <c r="AD35" s="209">
        <f t="shared" ref="AD35" si="559">IF(R35&gt;nB,0,AD34*(1-X34)*(1-Y34)*(1-AE34)*(1-AF34))</f>
        <v>0</v>
      </c>
      <c r="AE35" s="92">
        <f t="shared" ca="1" si="31"/>
        <v>0</v>
      </c>
      <c r="AF35" s="92">
        <f t="shared" ca="1" si="32"/>
        <v>0</v>
      </c>
      <c r="AG35" s="8">
        <f t="shared" ca="1" si="33"/>
        <v>0</v>
      </c>
      <c r="AH35" s="5">
        <f ca="1">+SUM(AG35:AG$124)</f>
        <v>0</v>
      </c>
      <c r="AI35" s="70">
        <f t="shared" ca="1" si="34"/>
        <v>0</v>
      </c>
      <c r="AJ35" s="208">
        <f ca="1">+SUM(AB35:AB$124)*SS50J</f>
        <v>0</v>
      </c>
      <c r="AK35" s="209">
        <f t="shared" ca="1" si="66"/>
        <v>37538.96030094305</v>
      </c>
      <c r="AL35" s="257">
        <f t="shared" ref="AL35" ca="1" si="560">IFERROR(VLOOKUP($S35,qx_table,MATCH(AL$11,qx_title,0)+sexB),0)</f>
        <v>0</v>
      </c>
      <c r="AM35" s="131">
        <f t="shared" ca="1" si="68"/>
        <v>22502.250569244654</v>
      </c>
      <c r="AN35" s="129">
        <f t="shared" ca="1" si="69"/>
        <v>0</v>
      </c>
      <c r="AO35" s="129">
        <f ca="1">SUM(AN35:AN$124)*SSa</f>
        <v>0</v>
      </c>
      <c r="AP35" s="70">
        <f t="shared" ca="1" si="70"/>
        <v>37538.96030094305</v>
      </c>
      <c r="AQ35" s="2">
        <f t="shared" ref="AQ35" ca="1" si="561">IFERROR(VLOOKUP($S35,qx_table,MATCH(AQ$11,qx_title,0)+sexB),0)</f>
        <v>0</v>
      </c>
      <c r="AR35" s="127">
        <f t="shared" ca="1" si="72"/>
        <v>0</v>
      </c>
      <c r="AS35" s="127">
        <f ca="1">SUM(AR35:AR$124)*SSb</f>
        <v>0</v>
      </c>
      <c r="AT35" s="70">
        <f t="shared" ca="1" si="73"/>
        <v>37538.96030094305</v>
      </c>
      <c r="AU35" s="2">
        <f t="shared" ref="AU35" ca="1" si="562">IFERROR(VLOOKUP($S35,qx_table,MATCH(AU$11,qx_title,0)+sexB),0)</f>
        <v>0</v>
      </c>
      <c r="AV35" s="268">
        <f t="shared" ca="1" si="75"/>
        <v>0</v>
      </c>
      <c r="AW35" s="131">
        <f ca="1">SUM(AV35:AV$124)*SSc</f>
        <v>0</v>
      </c>
      <c r="AX35" s="70">
        <f t="shared" ca="1" si="76"/>
        <v>37538.96030094305</v>
      </c>
      <c r="AY35" s="2">
        <f t="shared" ref="AY35" ca="1" si="563">IFERROR(VLOOKUP($S35,qx_table,MATCH(AY$11,qx_title,0)+sexB),0)</f>
        <v>0</v>
      </c>
      <c r="AZ35" s="268">
        <f t="shared" ca="1" si="78"/>
        <v>0</v>
      </c>
      <c r="BA35" s="129">
        <f ca="1">SUM(AZ35:AZ$124)*SSd</f>
        <v>0</v>
      </c>
      <c r="BB35" s="70">
        <f t="shared" ca="1" si="79"/>
        <v>37538.96030094305</v>
      </c>
      <c r="BC35" s="257">
        <f t="shared" ref="BC35" ca="1" si="564">IFERROR(VLOOKUP($S35,qx_table,MATCH(BC$11,qx_title,0)+sexB),0)</f>
        <v>0</v>
      </c>
      <c r="BD35" s="268">
        <f t="shared" ca="1" si="81"/>
        <v>0</v>
      </c>
      <c r="BE35" s="131">
        <f ca="1">SUM(BD35:BD$124)*SSe</f>
        <v>0</v>
      </c>
      <c r="BF35" s="70">
        <f t="shared" ca="1" si="82"/>
        <v>37538.96030094305</v>
      </c>
      <c r="BG35" s="2">
        <f t="shared" ref="BG35" ca="1" si="565">IFERROR(VLOOKUP($S35,qx_table,MATCH(BG$11,qx_title,0)+sexB),0)</f>
        <v>0</v>
      </c>
      <c r="BH35" s="131">
        <f t="shared" ca="1" si="84"/>
        <v>0</v>
      </c>
      <c r="BI35" s="2">
        <f ca="1">SUM(BH35:BH$124)*SSf</f>
        <v>0</v>
      </c>
      <c r="BJ35" s="70">
        <f t="shared" ca="1" si="85"/>
        <v>37538.96030094305</v>
      </c>
      <c r="BK35" s="2">
        <f t="shared" ref="BK35" ca="1" si="566">IFERROR(VLOOKUP($S35,qx_table,MATCH(BK$11,qx_title,0)+sexB),0)</f>
        <v>0</v>
      </c>
      <c r="BL35" s="131">
        <f t="shared" ca="1" si="87"/>
        <v>0</v>
      </c>
      <c r="BM35" s="131">
        <f ca="1">SUM(BL35:BL$124)*SSg</f>
        <v>0</v>
      </c>
      <c r="BN35" s="70">
        <f t="shared" ca="1" si="88"/>
        <v>37538.96030094305</v>
      </c>
      <c r="BO35" s="2">
        <f t="shared" ref="BO35" ca="1" si="567">IFERROR(VLOOKUP($S35,qx_table,MATCH(BO$11,qx_title,0)+sexB),0)</f>
        <v>0</v>
      </c>
      <c r="BP35" s="131">
        <f t="shared" ca="1" si="90"/>
        <v>0</v>
      </c>
      <c r="BQ35" s="131">
        <f ca="1">SUM(BP35:BP$124)*SSh</f>
        <v>0</v>
      </c>
      <c r="BR35" s="70">
        <f t="shared" ca="1" si="91"/>
        <v>37538.96030094305</v>
      </c>
      <c r="BS35" s="2">
        <f t="shared" ref="BS35" ca="1" si="568">IFERROR(VLOOKUP($S35,qx_table,MATCH(BS$11,qx_title,0)+sexB),0)*IF(R35=0,MCi,1)</f>
        <v>0</v>
      </c>
      <c r="BT35" s="131">
        <f t="shared" ca="1" si="93"/>
        <v>0</v>
      </c>
      <c r="BU35" s="131">
        <f ca="1">SUM(BT35:BT$124)*SSi</f>
        <v>0</v>
      </c>
      <c r="BV35" s="70">
        <f t="shared" ca="1" si="94"/>
        <v>37538.96030094305</v>
      </c>
      <c r="BW35" s="2">
        <f t="shared" ref="BW35" ca="1" si="569">IFERROR(VLOOKUP($S35,qx_table,MATCH(BW$11,qx_title,0)+sexB),0)</f>
        <v>0</v>
      </c>
      <c r="BX35" s="131">
        <f t="shared" ca="1" si="96"/>
        <v>0</v>
      </c>
      <c r="BY35" s="131">
        <f ca="1">SUM(BX35:BX$124)*SSj</f>
        <v>0</v>
      </c>
      <c r="BZ35" s="70">
        <f t="shared" ca="1" si="97"/>
        <v>37538.96030094305</v>
      </c>
      <c r="CA35" s="2">
        <f t="shared" ref="CA35" ca="1" si="570">IFERROR(VLOOKUP($S35,qx_table,MATCH(CA$11,qx_title,0)+sexB),0)</f>
        <v>0</v>
      </c>
      <c r="CB35" s="131">
        <f t="shared" ca="1" si="99"/>
        <v>0</v>
      </c>
      <c r="CC35" s="131">
        <f ca="1">SUM(CB35:CB$124)*SSk</f>
        <v>0</v>
      </c>
      <c r="CD35" s="8">
        <f t="shared" ca="1" si="100"/>
        <v>37538.96030094305</v>
      </c>
      <c r="CE35" s="2">
        <f t="shared" ref="CE35" ca="1" si="571">IFERROR(VLOOKUP($S35,qx_table,MATCH(CE$11,qx_title,0)+sexB),0)</f>
        <v>0</v>
      </c>
      <c r="CF35" s="131">
        <f t="shared" ca="1" si="102"/>
        <v>0</v>
      </c>
      <c r="CG35" s="131">
        <f ca="1">SUM(CF35:CF$124)*SSl</f>
        <v>0</v>
      </c>
      <c r="CH35" s="155">
        <f t="shared" ca="1" si="103"/>
        <v>0.01</v>
      </c>
      <c r="CI35" s="155">
        <f t="shared" ca="1" si="104"/>
        <v>0</v>
      </c>
      <c r="CJ35" s="155">
        <f t="shared" ca="1" si="105"/>
        <v>0</v>
      </c>
      <c r="CK35" s="155">
        <f ca="1">'유해지 (기준P)'!CZ35</f>
        <v>0</v>
      </c>
      <c r="CL35" s="155">
        <f t="shared" ca="1" si="47"/>
        <v>0</v>
      </c>
      <c r="CM35" s="155">
        <f t="shared" ca="1" si="106"/>
        <v>0</v>
      </c>
      <c r="CN35" s="155">
        <f ca="1">SUM(CM35:$CM$124)</f>
        <v>0</v>
      </c>
      <c r="CO35" s="101">
        <f t="shared" ca="1" si="107"/>
        <v>0</v>
      </c>
      <c r="CP35" s="154">
        <f t="shared" ca="1" si="48"/>
        <v>0</v>
      </c>
      <c r="CQ35" s="154">
        <f t="shared" ca="1" si="49"/>
        <v>0</v>
      </c>
      <c r="CR35" s="32">
        <f t="shared" ref="CR35" ca="1" si="572">+MAX(VLOOKUP(xB+$R35,기수표B,$AH$1)-VLOOKUP(xB+mB,기수표B,$AH$1),0)</f>
        <v>0</v>
      </c>
      <c r="CS35" s="32">
        <f t="shared" ca="1" si="50"/>
        <v>0</v>
      </c>
      <c r="CT35" s="32">
        <f t="shared" ref="CT35" ca="1" si="573">+MAX(VLOOKUP(xB+$R35,기수표B,$AA$1)-VLOOKUP(xB+mB,기수표B,$AA$1),0)</f>
        <v>0</v>
      </c>
      <c r="CU35" s="32">
        <f t="shared" ca="1" si="52"/>
        <v>0</v>
      </c>
      <c r="CV35" s="32">
        <f t="shared" si="53"/>
        <v>0</v>
      </c>
      <c r="CW35" s="259">
        <f t="shared" ca="1" si="54"/>
        <v>0</v>
      </c>
      <c r="CX35" s="32">
        <f t="shared" ca="1" si="55"/>
        <v>0</v>
      </c>
      <c r="CY35" s="262">
        <f t="shared" ca="1" si="56"/>
        <v>0</v>
      </c>
      <c r="CZ35" s="259" t="e">
        <f t="shared" ca="1" si="57"/>
        <v>#DIV/0!</v>
      </c>
      <c r="DA35" s="31">
        <f t="shared" ref="DA35" ca="1" si="574">+MIN(mB,7)</f>
        <v>7</v>
      </c>
    </row>
    <row r="36" spans="1:105">
      <c r="N36" s="5">
        <f t="shared" si="111"/>
        <v>24</v>
      </c>
      <c r="O36" s="2">
        <f t="shared" ref="O36" ca="1" si="575">+(1+iB)^-N36</f>
        <v>0.5862466846401525</v>
      </c>
      <c r="P36" s="2">
        <f t="shared" ref="P36" ca="1" si="576">+(1+iB)^-(N36+0.5)</f>
        <v>0.579760658189163</v>
      </c>
      <c r="Q36" s="91"/>
      <c r="R36" s="20">
        <f t="shared" si="114"/>
        <v>24</v>
      </c>
      <c r="S36" s="20" t="str">
        <f t="shared" ref="S36" si="577">+IF(xB+R36&lt;=xB+nB,xB+R36,"")</f>
        <v/>
      </c>
      <c r="T36" s="2">
        <f t="shared" ref="T36:U36" ca="1" si="578">IFERROR(VLOOKUP($S36,qx_table,MATCH(T$11,qx_title,0)+sexB),0)</f>
        <v>0</v>
      </c>
      <c r="U36" s="2">
        <f t="shared" ca="1" si="578"/>
        <v>0</v>
      </c>
      <c r="V36" s="300">
        <f t="shared" ca="1" si="26"/>
        <v>0.01</v>
      </c>
      <c r="W36" s="8">
        <f t="shared" ref="W36" si="579">IF(R36=0,100000,IF(R36&gt;nB,0,W35*(1-X35)*(1-Y35)))</f>
        <v>0</v>
      </c>
      <c r="X36" s="10">
        <f t="shared" ca="1" si="28"/>
        <v>1.0000000000000009E-2</v>
      </c>
      <c r="Y36" s="10">
        <f t="shared" ca="1" si="29"/>
        <v>0</v>
      </c>
      <c r="Z36" s="8">
        <f t="shared" ca="1" si="64"/>
        <v>0</v>
      </c>
      <c r="AA36" s="8">
        <f ca="1">+SUM(Z36:Z$124)</f>
        <v>0</v>
      </c>
      <c r="AB36" s="8">
        <f t="shared" ca="1" si="30"/>
        <v>0</v>
      </c>
      <c r="AC36" s="209">
        <f ca="1">+SUM(AB36:AB$124)*SSSM</f>
        <v>0</v>
      </c>
      <c r="AD36" s="209">
        <f t="shared" ref="AD36" si="580">IF(R36&gt;nB,0,AD35*(1-X35)*(1-Y35)*(1-AE35)*(1-AF35))</f>
        <v>0</v>
      </c>
      <c r="AE36" s="92">
        <f t="shared" ca="1" si="31"/>
        <v>0</v>
      </c>
      <c r="AF36" s="92">
        <f t="shared" ca="1" si="32"/>
        <v>0</v>
      </c>
      <c r="AG36" s="8">
        <f t="shared" ca="1" si="33"/>
        <v>0</v>
      </c>
      <c r="AH36" s="5">
        <f ca="1">+SUM(AG36:AG$124)</f>
        <v>0</v>
      </c>
      <c r="AI36" s="70">
        <f t="shared" ca="1" si="34"/>
        <v>0</v>
      </c>
      <c r="AJ36" s="208">
        <f ca="1">+SUM(AB36:AB$124)*SS50J</f>
        <v>0</v>
      </c>
      <c r="AK36" s="209">
        <f t="shared" ca="1" si="66"/>
        <v>37163.570697933617</v>
      </c>
      <c r="AL36" s="257">
        <f t="shared" ref="AL36" ca="1" si="581">IFERROR(VLOOKUP($S36,qx_table,MATCH(AL$11,qx_title,0)+sexB),0)</f>
        <v>0</v>
      </c>
      <c r="AM36" s="131">
        <f t="shared" ca="1" si="68"/>
        <v>21787.020111053502</v>
      </c>
      <c r="AN36" s="129">
        <f t="shared" ca="1" si="69"/>
        <v>0</v>
      </c>
      <c r="AO36" s="129">
        <f ca="1">SUM(AN36:AN$124)*SSa</f>
        <v>0</v>
      </c>
      <c r="AP36" s="70">
        <f t="shared" ca="1" si="70"/>
        <v>37163.570697933617</v>
      </c>
      <c r="AQ36" s="2">
        <f t="shared" ref="AQ36" ca="1" si="582">IFERROR(VLOOKUP($S36,qx_table,MATCH(AQ$11,qx_title,0)+sexB),0)</f>
        <v>0</v>
      </c>
      <c r="AR36" s="127">
        <f t="shared" ca="1" si="72"/>
        <v>0</v>
      </c>
      <c r="AS36" s="127">
        <f ca="1">SUM(AR36:AR$124)*SSb</f>
        <v>0</v>
      </c>
      <c r="AT36" s="70">
        <f t="shared" ca="1" si="73"/>
        <v>37163.570697933617</v>
      </c>
      <c r="AU36" s="2">
        <f t="shared" ref="AU36" ca="1" si="583">IFERROR(VLOOKUP($S36,qx_table,MATCH(AU$11,qx_title,0)+sexB),0)</f>
        <v>0</v>
      </c>
      <c r="AV36" s="268">
        <f t="shared" ca="1" si="75"/>
        <v>0</v>
      </c>
      <c r="AW36" s="131">
        <f ca="1">SUM(AV36:AV$124)*SSc</f>
        <v>0</v>
      </c>
      <c r="AX36" s="70">
        <f t="shared" ca="1" si="76"/>
        <v>37163.570697933617</v>
      </c>
      <c r="AY36" s="2">
        <f t="shared" ref="AY36" ca="1" si="584">IFERROR(VLOOKUP($S36,qx_table,MATCH(AY$11,qx_title,0)+sexB),0)</f>
        <v>0</v>
      </c>
      <c r="AZ36" s="268">
        <f t="shared" ca="1" si="78"/>
        <v>0</v>
      </c>
      <c r="BA36" s="129">
        <f ca="1">SUM(AZ36:AZ$124)*SSd</f>
        <v>0</v>
      </c>
      <c r="BB36" s="70">
        <f t="shared" ca="1" si="79"/>
        <v>37163.570697933617</v>
      </c>
      <c r="BC36" s="257">
        <f t="shared" ref="BC36" ca="1" si="585">IFERROR(VLOOKUP($S36,qx_table,MATCH(BC$11,qx_title,0)+sexB),0)</f>
        <v>0</v>
      </c>
      <c r="BD36" s="268">
        <f t="shared" ca="1" si="81"/>
        <v>0</v>
      </c>
      <c r="BE36" s="131">
        <f ca="1">SUM(BD36:BD$124)*SSe</f>
        <v>0</v>
      </c>
      <c r="BF36" s="70">
        <f t="shared" ca="1" si="82"/>
        <v>37163.570697933617</v>
      </c>
      <c r="BG36" s="2">
        <f t="shared" ref="BG36" ca="1" si="586">IFERROR(VLOOKUP($S36,qx_table,MATCH(BG$11,qx_title,0)+sexB),0)</f>
        <v>0</v>
      </c>
      <c r="BH36" s="131">
        <f t="shared" ca="1" si="84"/>
        <v>0</v>
      </c>
      <c r="BI36" s="2">
        <f ca="1">SUM(BH36:BH$124)*SSf</f>
        <v>0</v>
      </c>
      <c r="BJ36" s="70">
        <f t="shared" ca="1" si="85"/>
        <v>37163.570697933617</v>
      </c>
      <c r="BK36" s="2">
        <f t="shared" ref="BK36" ca="1" si="587">IFERROR(VLOOKUP($S36,qx_table,MATCH(BK$11,qx_title,0)+sexB),0)</f>
        <v>0</v>
      </c>
      <c r="BL36" s="131">
        <f t="shared" ca="1" si="87"/>
        <v>0</v>
      </c>
      <c r="BM36" s="131">
        <f ca="1">SUM(BL36:BL$124)*SSg</f>
        <v>0</v>
      </c>
      <c r="BN36" s="70">
        <f t="shared" ca="1" si="88"/>
        <v>37163.570697933617</v>
      </c>
      <c r="BO36" s="2">
        <f t="shared" ref="BO36" ca="1" si="588">IFERROR(VLOOKUP($S36,qx_table,MATCH(BO$11,qx_title,0)+sexB),0)</f>
        <v>0</v>
      </c>
      <c r="BP36" s="131">
        <f t="shared" ca="1" si="90"/>
        <v>0</v>
      </c>
      <c r="BQ36" s="131">
        <f ca="1">SUM(BP36:BP$124)*SSh</f>
        <v>0</v>
      </c>
      <c r="BR36" s="70">
        <f t="shared" ca="1" si="91"/>
        <v>37163.570697933617</v>
      </c>
      <c r="BS36" s="2">
        <f t="shared" ref="BS36" ca="1" si="589">IFERROR(VLOOKUP($S36,qx_table,MATCH(BS$11,qx_title,0)+sexB),0)*IF(R36=0,MCi,1)</f>
        <v>0</v>
      </c>
      <c r="BT36" s="131">
        <f t="shared" ca="1" si="93"/>
        <v>0</v>
      </c>
      <c r="BU36" s="131">
        <f ca="1">SUM(BT36:BT$124)*SSi</f>
        <v>0</v>
      </c>
      <c r="BV36" s="70">
        <f t="shared" ca="1" si="94"/>
        <v>37163.570697933617</v>
      </c>
      <c r="BW36" s="2">
        <f t="shared" ref="BW36" ca="1" si="590">IFERROR(VLOOKUP($S36,qx_table,MATCH(BW$11,qx_title,0)+sexB),0)</f>
        <v>0</v>
      </c>
      <c r="BX36" s="131">
        <f t="shared" ca="1" si="96"/>
        <v>0</v>
      </c>
      <c r="BY36" s="131">
        <f ca="1">SUM(BX36:BX$124)*SSj</f>
        <v>0</v>
      </c>
      <c r="BZ36" s="70">
        <f t="shared" ca="1" si="97"/>
        <v>37163.570697933617</v>
      </c>
      <c r="CA36" s="2">
        <f t="shared" ref="CA36" ca="1" si="591">IFERROR(VLOOKUP($S36,qx_table,MATCH(CA$11,qx_title,0)+sexB),0)</f>
        <v>0</v>
      </c>
      <c r="CB36" s="131">
        <f t="shared" ca="1" si="99"/>
        <v>0</v>
      </c>
      <c r="CC36" s="131">
        <f ca="1">SUM(CB36:CB$124)*SSk</f>
        <v>0</v>
      </c>
      <c r="CD36" s="8">
        <f t="shared" ca="1" si="100"/>
        <v>37163.570697933617</v>
      </c>
      <c r="CE36" s="2">
        <f t="shared" ref="CE36" ca="1" si="592">IFERROR(VLOOKUP($S36,qx_table,MATCH(CE$11,qx_title,0)+sexB),0)</f>
        <v>0</v>
      </c>
      <c r="CF36" s="131">
        <f t="shared" ca="1" si="102"/>
        <v>0</v>
      </c>
      <c r="CG36" s="131">
        <f ca="1">SUM(CF36:CF$124)*SSl</f>
        <v>0</v>
      </c>
      <c r="CH36" s="155">
        <f t="shared" ca="1" si="103"/>
        <v>0.01</v>
      </c>
      <c r="CI36" s="155">
        <f t="shared" ca="1" si="104"/>
        <v>0</v>
      </c>
      <c r="CJ36" s="155">
        <f t="shared" ca="1" si="105"/>
        <v>0</v>
      </c>
      <c r="CK36" s="155">
        <f ca="1">'유해지 (기준P)'!CZ36</f>
        <v>0</v>
      </c>
      <c r="CL36" s="155">
        <f t="shared" ca="1" si="47"/>
        <v>0</v>
      </c>
      <c r="CM36" s="155">
        <f t="shared" ca="1" si="106"/>
        <v>0</v>
      </c>
      <c r="CN36" s="155">
        <f ca="1">SUM(CM36:$CM$124)</f>
        <v>0</v>
      </c>
      <c r="CO36" s="101">
        <f t="shared" ca="1" si="107"/>
        <v>0</v>
      </c>
      <c r="CP36" s="154">
        <f t="shared" ca="1" si="48"/>
        <v>0</v>
      </c>
      <c r="CQ36" s="154">
        <f t="shared" ca="1" si="49"/>
        <v>0</v>
      </c>
      <c r="CR36" s="32">
        <f t="shared" ref="CR36" ca="1" si="593">+MAX(VLOOKUP(xB+$R36,기수표B,$AH$1)-VLOOKUP(xB+mB,기수표B,$AH$1),0)</f>
        <v>0</v>
      </c>
      <c r="CS36" s="32">
        <f t="shared" ca="1" si="50"/>
        <v>0</v>
      </c>
      <c r="CT36" s="32">
        <f t="shared" ref="CT36" ca="1" si="594">+MAX(VLOOKUP(xB+$R36,기수표B,$AA$1)-VLOOKUP(xB+mB,기수표B,$AA$1),0)</f>
        <v>0</v>
      </c>
      <c r="CU36" s="32">
        <f t="shared" ca="1" si="52"/>
        <v>0</v>
      </c>
      <c r="CV36" s="32">
        <f t="shared" si="53"/>
        <v>0</v>
      </c>
      <c r="CW36" s="259">
        <f t="shared" ca="1" si="54"/>
        <v>0</v>
      </c>
      <c r="CX36" s="32">
        <f t="shared" ca="1" si="55"/>
        <v>0</v>
      </c>
      <c r="CY36" s="262">
        <f t="shared" ca="1" si="56"/>
        <v>0</v>
      </c>
      <c r="CZ36" s="259" t="e">
        <f t="shared" ca="1" si="57"/>
        <v>#DIV/0!</v>
      </c>
      <c r="DA36" s="31">
        <f t="shared" ref="DA36" ca="1" si="595">+MIN(mB,7)</f>
        <v>7</v>
      </c>
    </row>
    <row r="37" spans="1:105">
      <c r="N37" s="5">
        <f t="shared" si="111"/>
        <v>25</v>
      </c>
      <c r="O37" s="2">
        <f t="shared" ref="O37" ca="1" si="596">+(1+iB)^-N37</f>
        <v>0.57334639084611505</v>
      </c>
      <c r="P37" s="2">
        <f t="shared" ref="P37" ca="1" si="597">+(1+iB)^-(N37+0.5)</f>
        <v>0.56700308869355798</v>
      </c>
      <c r="Q37" s="91"/>
      <c r="R37" s="20">
        <f t="shared" si="114"/>
        <v>25</v>
      </c>
      <c r="S37" s="20" t="str">
        <f t="shared" ref="S37" si="598">+IF(xB+R37&lt;=xB+nB,xB+R37,"")</f>
        <v/>
      </c>
      <c r="T37" s="2">
        <f t="shared" ref="T37:U37" ca="1" si="599">IFERROR(VLOOKUP($S37,qx_table,MATCH(T$11,qx_title,0)+sexB),0)</f>
        <v>0</v>
      </c>
      <c r="U37" s="2">
        <f t="shared" ca="1" si="599"/>
        <v>0</v>
      </c>
      <c r="V37" s="300">
        <f t="shared" ca="1" si="26"/>
        <v>8.0000000000000002E-3</v>
      </c>
      <c r="W37" s="8">
        <f t="shared" ref="W37" si="600">IF(R37=0,100000,IF(R37&gt;nB,0,W36*(1-X36)*(1-Y36)))</f>
        <v>0</v>
      </c>
      <c r="X37" s="10">
        <f t="shared" ca="1" si="28"/>
        <v>8.0000000000000071E-3</v>
      </c>
      <c r="Y37" s="10">
        <f t="shared" ca="1" si="29"/>
        <v>0</v>
      </c>
      <c r="Z37" s="8">
        <f t="shared" ca="1" si="64"/>
        <v>0</v>
      </c>
      <c r="AA37" s="8">
        <f ca="1">+SUM(Z37:Z$124)</f>
        <v>0</v>
      </c>
      <c r="AB37" s="8">
        <f t="shared" ca="1" si="30"/>
        <v>0</v>
      </c>
      <c r="AC37" s="209">
        <f ca="1">+SUM(AB37:AB$124)*SSSM</f>
        <v>0</v>
      </c>
      <c r="AD37" s="209">
        <f t="shared" ref="AD37" si="601">IF(R37&gt;nB,0,AD36*(1-X36)*(1-Y36)*(1-AE36)*(1-AF36))</f>
        <v>0</v>
      </c>
      <c r="AE37" s="92">
        <f t="shared" ca="1" si="31"/>
        <v>0</v>
      </c>
      <c r="AF37" s="92">
        <f t="shared" ca="1" si="32"/>
        <v>0</v>
      </c>
      <c r="AG37" s="8">
        <f t="shared" ca="1" si="33"/>
        <v>0</v>
      </c>
      <c r="AH37" s="5">
        <f ca="1">+SUM(AG37:AG$124)</f>
        <v>0</v>
      </c>
      <c r="AI37" s="70">
        <f t="shared" ca="1" si="34"/>
        <v>0</v>
      </c>
      <c r="AJ37" s="208">
        <f ca="1">+SUM(AB37:AB$124)*SS50J</f>
        <v>0</v>
      </c>
      <c r="AK37" s="209">
        <f t="shared" ca="1" si="66"/>
        <v>36791.93499095428</v>
      </c>
      <c r="AL37" s="257">
        <f t="shared" ref="AL37" ca="1" si="602">IFERROR(VLOOKUP($S37,qx_table,MATCH(AL$11,qx_title,0)+sexB),0)</f>
        <v>0</v>
      </c>
      <c r="AM37" s="131">
        <f t="shared" ca="1" si="68"/>
        <v>21094.523139308531</v>
      </c>
      <c r="AN37" s="129">
        <f t="shared" ca="1" si="69"/>
        <v>0</v>
      </c>
      <c r="AO37" s="129">
        <f ca="1">SUM(AN37:AN$124)*SSa</f>
        <v>0</v>
      </c>
      <c r="AP37" s="70">
        <f t="shared" ca="1" si="70"/>
        <v>36791.93499095428</v>
      </c>
      <c r="AQ37" s="2">
        <f t="shared" ref="AQ37" ca="1" si="603">IFERROR(VLOOKUP($S37,qx_table,MATCH(AQ$11,qx_title,0)+sexB),0)</f>
        <v>0</v>
      </c>
      <c r="AR37" s="127">
        <f t="shared" ca="1" si="72"/>
        <v>0</v>
      </c>
      <c r="AS37" s="127">
        <f ca="1">SUM(AR37:AR$124)*SSb</f>
        <v>0</v>
      </c>
      <c r="AT37" s="70">
        <f t="shared" ca="1" si="73"/>
        <v>36791.93499095428</v>
      </c>
      <c r="AU37" s="2">
        <f t="shared" ref="AU37" ca="1" si="604">IFERROR(VLOOKUP($S37,qx_table,MATCH(AU$11,qx_title,0)+sexB),0)</f>
        <v>0</v>
      </c>
      <c r="AV37" s="268">
        <f t="shared" ca="1" si="75"/>
        <v>0</v>
      </c>
      <c r="AW37" s="131">
        <f ca="1">SUM(AV37:AV$124)*SSc</f>
        <v>0</v>
      </c>
      <c r="AX37" s="70">
        <f t="shared" ca="1" si="76"/>
        <v>36791.93499095428</v>
      </c>
      <c r="AY37" s="2">
        <f t="shared" ref="AY37" ca="1" si="605">IFERROR(VLOOKUP($S37,qx_table,MATCH(AY$11,qx_title,0)+sexB),0)</f>
        <v>0</v>
      </c>
      <c r="AZ37" s="268">
        <f t="shared" ca="1" si="78"/>
        <v>0</v>
      </c>
      <c r="BA37" s="129">
        <f ca="1">SUM(AZ37:AZ$124)*SSd</f>
        <v>0</v>
      </c>
      <c r="BB37" s="70">
        <f t="shared" ca="1" si="79"/>
        <v>36791.93499095428</v>
      </c>
      <c r="BC37" s="257">
        <f t="shared" ref="BC37" ca="1" si="606">IFERROR(VLOOKUP($S37,qx_table,MATCH(BC$11,qx_title,0)+sexB),0)</f>
        <v>0</v>
      </c>
      <c r="BD37" s="268">
        <f t="shared" ca="1" si="81"/>
        <v>0</v>
      </c>
      <c r="BE37" s="131">
        <f ca="1">SUM(BD37:BD$124)*SSe</f>
        <v>0</v>
      </c>
      <c r="BF37" s="70">
        <f t="shared" ca="1" si="82"/>
        <v>36791.93499095428</v>
      </c>
      <c r="BG37" s="2">
        <f t="shared" ref="BG37" ca="1" si="607">IFERROR(VLOOKUP($S37,qx_table,MATCH(BG$11,qx_title,0)+sexB),0)</f>
        <v>0</v>
      </c>
      <c r="BH37" s="131">
        <f t="shared" ca="1" si="84"/>
        <v>0</v>
      </c>
      <c r="BI37" s="2">
        <f ca="1">SUM(BH37:BH$124)*SSf</f>
        <v>0</v>
      </c>
      <c r="BJ37" s="70">
        <f t="shared" ca="1" si="85"/>
        <v>36791.93499095428</v>
      </c>
      <c r="BK37" s="2">
        <f t="shared" ref="BK37" ca="1" si="608">IFERROR(VLOOKUP($S37,qx_table,MATCH(BK$11,qx_title,0)+sexB),0)</f>
        <v>0</v>
      </c>
      <c r="BL37" s="131">
        <f t="shared" ca="1" si="87"/>
        <v>0</v>
      </c>
      <c r="BM37" s="131">
        <f ca="1">SUM(BL37:BL$124)*SSg</f>
        <v>0</v>
      </c>
      <c r="BN37" s="70">
        <f t="shared" ca="1" si="88"/>
        <v>36791.93499095428</v>
      </c>
      <c r="BO37" s="2">
        <f t="shared" ref="BO37" ca="1" si="609">IFERROR(VLOOKUP($S37,qx_table,MATCH(BO$11,qx_title,0)+sexB),0)</f>
        <v>0</v>
      </c>
      <c r="BP37" s="131">
        <f t="shared" ca="1" si="90"/>
        <v>0</v>
      </c>
      <c r="BQ37" s="131">
        <f ca="1">SUM(BP37:BP$124)*SSh</f>
        <v>0</v>
      </c>
      <c r="BR37" s="70">
        <f t="shared" ca="1" si="91"/>
        <v>36791.93499095428</v>
      </c>
      <c r="BS37" s="2">
        <f t="shared" ref="BS37" ca="1" si="610">IFERROR(VLOOKUP($S37,qx_table,MATCH(BS$11,qx_title,0)+sexB),0)*IF(R37=0,MCi,1)</f>
        <v>0</v>
      </c>
      <c r="BT37" s="131">
        <f t="shared" ca="1" si="93"/>
        <v>0</v>
      </c>
      <c r="BU37" s="131">
        <f ca="1">SUM(BT37:BT$124)*SSi</f>
        <v>0</v>
      </c>
      <c r="BV37" s="70">
        <f t="shared" ca="1" si="94"/>
        <v>36791.93499095428</v>
      </c>
      <c r="BW37" s="2">
        <f t="shared" ref="BW37" ca="1" si="611">IFERROR(VLOOKUP($S37,qx_table,MATCH(BW$11,qx_title,0)+sexB),0)</f>
        <v>0</v>
      </c>
      <c r="BX37" s="131">
        <f t="shared" ca="1" si="96"/>
        <v>0</v>
      </c>
      <c r="BY37" s="131">
        <f ca="1">SUM(BX37:BX$124)*SSj</f>
        <v>0</v>
      </c>
      <c r="BZ37" s="70">
        <f t="shared" ca="1" si="97"/>
        <v>36791.93499095428</v>
      </c>
      <c r="CA37" s="2">
        <f t="shared" ref="CA37" ca="1" si="612">IFERROR(VLOOKUP($S37,qx_table,MATCH(CA$11,qx_title,0)+sexB),0)</f>
        <v>0</v>
      </c>
      <c r="CB37" s="131">
        <f t="shared" ca="1" si="99"/>
        <v>0</v>
      </c>
      <c r="CC37" s="131">
        <f ca="1">SUM(CB37:CB$124)*SSk</f>
        <v>0</v>
      </c>
      <c r="CD37" s="8">
        <f t="shared" ca="1" si="100"/>
        <v>36791.93499095428</v>
      </c>
      <c r="CE37" s="2">
        <f t="shared" ref="CE37" ca="1" si="613">IFERROR(VLOOKUP($S37,qx_table,MATCH(CE$11,qx_title,0)+sexB),0)</f>
        <v>0</v>
      </c>
      <c r="CF37" s="131">
        <f t="shared" ca="1" si="102"/>
        <v>0</v>
      </c>
      <c r="CG37" s="131">
        <f ca="1">SUM(CF37:CF$124)*SSl</f>
        <v>0</v>
      </c>
      <c r="CH37" s="155">
        <f t="shared" ca="1" si="103"/>
        <v>8.0000000000000002E-3</v>
      </c>
      <c r="CI37" s="155">
        <f t="shared" ca="1" si="104"/>
        <v>0</v>
      </c>
      <c r="CJ37" s="155">
        <f t="shared" ca="1" si="105"/>
        <v>0</v>
      </c>
      <c r="CK37" s="155">
        <f ca="1">'유해지 (기준P)'!CZ37</f>
        <v>0</v>
      </c>
      <c r="CL37" s="155">
        <f t="shared" ca="1" si="47"/>
        <v>0</v>
      </c>
      <c r="CM37" s="155">
        <f t="shared" ca="1" si="106"/>
        <v>0</v>
      </c>
      <c r="CN37" s="155">
        <f ca="1">SUM(CM37:$CM$124)</f>
        <v>0</v>
      </c>
      <c r="CO37" s="101">
        <f t="shared" ca="1" si="107"/>
        <v>0</v>
      </c>
      <c r="CP37" s="154">
        <f t="shared" ca="1" si="48"/>
        <v>0</v>
      </c>
      <c r="CQ37" s="154">
        <f t="shared" ca="1" si="49"/>
        <v>0</v>
      </c>
      <c r="CR37" s="32">
        <f t="shared" ref="CR37" ca="1" si="614">+MAX(VLOOKUP(xB+$R37,기수표B,$AH$1)-VLOOKUP(xB+mB,기수표B,$AH$1),0)</f>
        <v>0</v>
      </c>
      <c r="CS37" s="32">
        <f t="shared" ca="1" si="50"/>
        <v>0</v>
      </c>
      <c r="CT37" s="32">
        <f t="shared" ref="CT37" ca="1" si="615">+MAX(VLOOKUP(xB+$R37,기수표B,$AA$1)-VLOOKUP(xB+mB,기수표B,$AA$1),0)</f>
        <v>0</v>
      </c>
      <c r="CU37" s="32">
        <f t="shared" ca="1" si="52"/>
        <v>0</v>
      </c>
      <c r="CV37" s="32">
        <f t="shared" si="53"/>
        <v>0</v>
      </c>
      <c r="CW37" s="259">
        <f t="shared" ca="1" si="54"/>
        <v>0</v>
      </c>
      <c r="CX37" s="32">
        <f t="shared" ca="1" si="55"/>
        <v>0</v>
      </c>
      <c r="CY37" s="262">
        <f t="shared" ca="1" si="56"/>
        <v>0</v>
      </c>
      <c r="CZ37" s="259" t="e">
        <f t="shared" ca="1" si="57"/>
        <v>#DIV/0!</v>
      </c>
      <c r="DA37" s="31">
        <f t="shared" ref="DA37" ca="1" si="616">+MIN(mB,7)</f>
        <v>7</v>
      </c>
    </row>
    <row r="38" spans="1:105">
      <c r="C38" s="302"/>
      <c r="N38" s="5">
        <f t="shared" si="111"/>
        <v>26</v>
      </c>
      <c r="O38" s="2">
        <f t="shared" ref="O38" ca="1" si="617">+(1+iB)^-N38</f>
        <v>0.5607299665976675</v>
      </c>
      <c r="P38" s="2">
        <f t="shared" ref="P38" ca="1" si="618">+(1+iB)^-(N38+0.5)</f>
        <v>0.55452624811105922</v>
      </c>
      <c r="Q38" s="91"/>
      <c r="R38" s="20">
        <f t="shared" si="114"/>
        <v>26</v>
      </c>
      <c r="S38" s="20" t="str">
        <f t="shared" ref="S38" si="619">+IF(xB+R38&lt;=xB+nB,xB+R38,"")</f>
        <v/>
      </c>
      <c r="T38" s="2">
        <f t="shared" ref="T38:U38" ca="1" si="620">IFERROR(VLOOKUP($S38,qx_table,MATCH(T$11,qx_title,0)+sexB),0)</f>
        <v>0</v>
      </c>
      <c r="U38" s="2">
        <f t="shared" ca="1" si="620"/>
        <v>0</v>
      </c>
      <c r="V38" s="300">
        <f t="shared" ca="1" si="26"/>
        <v>0.01</v>
      </c>
      <c r="W38" s="8">
        <f t="shared" ref="W38" si="621">IF(R38=0,100000,IF(R38&gt;nB,0,W37*(1-X37)*(1-Y37)))</f>
        <v>0</v>
      </c>
      <c r="X38" s="10">
        <f t="shared" ca="1" si="28"/>
        <v>1.0000000000000009E-2</v>
      </c>
      <c r="Y38" s="10">
        <f t="shared" ca="1" si="29"/>
        <v>0</v>
      </c>
      <c r="Z38" s="8">
        <f t="shared" ca="1" si="64"/>
        <v>0</v>
      </c>
      <c r="AA38" s="8">
        <f ca="1">+SUM(Z38:Z$124)</f>
        <v>0</v>
      </c>
      <c r="AB38" s="8">
        <f t="shared" ca="1" si="30"/>
        <v>0</v>
      </c>
      <c r="AC38" s="209">
        <f ca="1">+SUM(AB38:AB$124)*SSSM</f>
        <v>0</v>
      </c>
      <c r="AD38" s="209">
        <f t="shared" ref="AD38" si="622">IF(R38&gt;nB,0,AD37*(1-X37)*(1-Y37)*(1-AE37)*(1-AF37))</f>
        <v>0</v>
      </c>
      <c r="AE38" s="92">
        <f t="shared" ca="1" si="31"/>
        <v>0</v>
      </c>
      <c r="AF38" s="92">
        <f t="shared" ca="1" si="32"/>
        <v>0</v>
      </c>
      <c r="AG38" s="8">
        <f t="shared" ca="1" si="33"/>
        <v>0</v>
      </c>
      <c r="AH38" s="5">
        <f ca="1">+SUM(AG38:AG$124)</f>
        <v>0</v>
      </c>
      <c r="AI38" s="70">
        <f t="shared" ca="1" si="34"/>
        <v>0</v>
      </c>
      <c r="AJ38" s="208">
        <f ca="1">+SUM(AB38:AB$124)*SS50J</f>
        <v>0</v>
      </c>
      <c r="AK38" s="209">
        <f t="shared" ca="1" si="66"/>
        <v>36497.599511026645</v>
      </c>
      <c r="AL38" s="257">
        <f t="shared" ref="AL38" ca="1" si="623">IFERROR(VLOOKUP($S38,qx_table,MATCH(AL$11,qx_title,0)+sexB),0)</f>
        <v>0</v>
      </c>
      <c r="AM38" s="131">
        <f t="shared" ca="1" si="68"/>
        <v>20465.297754713018</v>
      </c>
      <c r="AN38" s="129">
        <f t="shared" ca="1" si="69"/>
        <v>0</v>
      </c>
      <c r="AO38" s="129">
        <f ca="1">SUM(AN38:AN$124)*SSa</f>
        <v>0</v>
      </c>
      <c r="AP38" s="70">
        <f t="shared" ca="1" si="70"/>
        <v>36497.599511026645</v>
      </c>
      <c r="AQ38" s="2">
        <f t="shared" ref="AQ38" ca="1" si="624">IFERROR(VLOOKUP($S38,qx_table,MATCH(AQ$11,qx_title,0)+sexB),0)</f>
        <v>0</v>
      </c>
      <c r="AR38" s="127">
        <f t="shared" ca="1" si="72"/>
        <v>0</v>
      </c>
      <c r="AS38" s="127">
        <f ca="1">SUM(AR38:AR$124)*SSb</f>
        <v>0</v>
      </c>
      <c r="AT38" s="70">
        <f t="shared" ca="1" si="73"/>
        <v>36497.599511026645</v>
      </c>
      <c r="AU38" s="2">
        <f t="shared" ref="AU38" ca="1" si="625">IFERROR(VLOOKUP($S38,qx_table,MATCH(AU$11,qx_title,0)+sexB),0)</f>
        <v>0</v>
      </c>
      <c r="AV38" s="268">
        <f t="shared" ca="1" si="75"/>
        <v>0</v>
      </c>
      <c r="AW38" s="131">
        <f ca="1">SUM(AV38:AV$124)*SSc</f>
        <v>0</v>
      </c>
      <c r="AX38" s="70">
        <f t="shared" ca="1" si="76"/>
        <v>36497.599511026645</v>
      </c>
      <c r="AY38" s="2">
        <f t="shared" ref="AY38" ca="1" si="626">IFERROR(VLOOKUP($S38,qx_table,MATCH(AY$11,qx_title,0)+sexB),0)</f>
        <v>0</v>
      </c>
      <c r="AZ38" s="268">
        <f t="shared" ca="1" si="78"/>
        <v>0</v>
      </c>
      <c r="BA38" s="129">
        <f ca="1">SUM(AZ38:AZ$124)*SSd</f>
        <v>0</v>
      </c>
      <c r="BB38" s="70">
        <f t="shared" ca="1" si="79"/>
        <v>36497.599511026645</v>
      </c>
      <c r="BC38" s="257">
        <f t="shared" ref="BC38" ca="1" si="627">IFERROR(VLOOKUP($S38,qx_table,MATCH(BC$11,qx_title,0)+sexB),0)</f>
        <v>0</v>
      </c>
      <c r="BD38" s="268">
        <f t="shared" ca="1" si="81"/>
        <v>0</v>
      </c>
      <c r="BE38" s="131">
        <f ca="1">SUM(BD38:BD$124)*SSe</f>
        <v>0</v>
      </c>
      <c r="BF38" s="70">
        <f t="shared" ca="1" si="82"/>
        <v>36497.599511026645</v>
      </c>
      <c r="BG38" s="2">
        <f t="shared" ref="BG38" ca="1" si="628">IFERROR(VLOOKUP($S38,qx_table,MATCH(BG$11,qx_title,0)+sexB),0)</f>
        <v>0</v>
      </c>
      <c r="BH38" s="131">
        <f t="shared" ca="1" si="84"/>
        <v>0</v>
      </c>
      <c r="BI38" s="2">
        <f ca="1">SUM(BH38:BH$124)*SSf</f>
        <v>0</v>
      </c>
      <c r="BJ38" s="70">
        <f t="shared" ca="1" si="85"/>
        <v>36497.599511026645</v>
      </c>
      <c r="BK38" s="2">
        <f t="shared" ref="BK38" ca="1" si="629">IFERROR(VLOOKUP($S38,qx_table,MATCH(BK$11,qx_title,0)+sexB),0)</f>
        <v>0</v>
      </c>
      <c r="BL38" s="131">
        <f t="shared" ca="1" si="87"/>
        <v>0</v>
      </c>
      <c r="BM38" s="131">
        <f ca="1">SUM(BL38:BL$124)*SSg</f>
        <v>0</v>
      </c>
      <c r="BN38" s="70">
        <f t="shared" ca="1" si="88"/>
        <v>36497.599511026645</v>
      </c>
      <c r="BO38" s="2">
        <f t="shared" ref="BO38" ca="1" si="630">IFERROR(VLOOKUP($S38,qx_table,MATCH(BO$11,qx_title,0)+sexB),0)</f>
        <v>0</v>
      </c>
      <c r="BP38" s="131">
        <f t="shared" ca="1" si="90"/>
        <v>0</v>
      </c>
      <c r="BQ38" s="131">
        <f ca="1">SUM(BP38:BP$124)*SSh</f>
        <v>0</v>
      </c>
      <c r="BR38" s="70">
        <f t="shared" ca="1" si="91"/>
        <v>36497.599511026645</v>
      </c>
      <c r="BS38" s="2">
        <f t="shared" ref="BS38" ca="1" si="631">IFERROR(VLOOKUP($S38,qx_table,MATCH(BS$11,qx_title,0)+sexB),0)*IF(R38=0,MCi,1)</f>
        <v>0</v>
      </c>
      <c r="BT38" s="131">
        <f t="shared" ca="1" si="93"/>
        <v>0</v>
      </c>
      <c r="BU38" s="131">
        <f ca="1">SUM(BT38:BT$124)*SSi</f>
        <v>0</v>
      </c>
      <c r="BV38" s="70">
        <f t="shared" ca="1" si="94"/>
        <v>36497.599511026645</v>
      </c>
      <c r="BW38" s="2">
        <f t="shared" ref="BW38" ca="1" si="632">IFERROR(VLOOKUP($S38,qx_table,MATCH(BW$11,qx_title,0)+sexB),0)</f>
        <v>0</v>
      </c>
      <c r="BX38" s="131">
        <f t="shared" ca="1" si="96"/>
        <v>0</v>
      </c>
      <c r="BY38" s="131">
        <f ca="1">SUM(BX38:BX$124)*SSj</f>
        <v>0</v>
      </c>
      <c r="BZ38" s="70">
        <f t="shared" ca="1" si="97"/>
        <v>36497.599511026645</v>
      </c>
      <c r="CA38" s="2">
        <f t="shared" ref="CA38" ca="1" si="633">IFERROR(VLOOKUP($S38,qx_table,MATCH(CA$11,qx_title,0)+sexB),0)</f>
        <v>0</v>
      </c>
      <c r="CB38" s="131">
        <f t="shared" ca="1" si="99"/>
        <v>0</v>
      </c>
      <c r="CC38" s="131">
        <f ca="1">SUM(CB38:CB$124)*SSk</f>
        <v>0</v>
      </c>
      <c r="CD38" s="8">
        <f t="shared" ca="1" si="100"/>
        <v>36497.599511026645</v>
      </c>
      <c r="CE38" s="2">
        <f t="shared" ref="CE38" ca="1" si="634">IFERROR(VLOOKUP($S38,qx_table,MATCH(CE$11,qx_title,0)+sexB),0)</f>
        <v>0</v>
      </c>
      <c r="CF38" s="131">
        <f t="shared" ca="1" si="102"/>
        <v>0</v>
      </c>
      <c r="CG38" s="131">
        <f ca="1">SUM(CF38:CF$124)*SSl</f>
        <v>0</v>
      </c>
      <c r="CH38" s="155">
        <f t="shared" ca="1" si="103"/>
        <v>0.01</v>
      </c>
      <c r="CI38" s="155">
        <f t="shared" ca="1" si="104"/>
        <v>0</v>
      </c>
      <c r="CJ38" s="155">
        <f t="shared" ca="1" si="105"/>
        <v>0</v>
      </c>
      <c r="CK38" s="155">
        <f ca="1">'유해지 (기준P)'!CZ38</f>
        <v>0</v>
      </c>
      <c r="CL38" s="155">
        <f t="shared" ca="1" si="47"/>
        <v>0</v>
      </c>
      <c r="CM38" s="155">
        <f t="shared" ca="1" si="106"/>
        <v>0</v>
      </c>
      <c r="CN38" s="155">
        <f ca="1">SUM(CM38:$CM$124)</f>
        <v>0</v>
      </c>
      <c r="CO38" s="101">
        <f t="shared" ca="1" si="107"/>
        <v>0</v>
      </c>
      <c r="CP38" s="154">
        <f t="shared" ca="1" si="48"/>
        <v>0</v>
      </c>
      <c r="CQ38" s="154">
        <f t="shared" ca="1" si="49"/>
        <v>0</v>
      </c>
      <c r="CR38" s="32">
        <f t="shared" ref="CR38" ca="1" si="635">+MAX(VLOOKUP(xB+$R38,기수표B,$AH$1)-VLOOKUP(xB+mB,기수표B,$AH$1),0)</f>
        <v>0</v>
      </c>
      <c r="CS38" s="32">
        <f t="shared" ca="1" si="50"/>
        <v>0</v>
      </c>
      <c r="CT38" s="32">
        <f t="shared" ref="CT38" ca="1" si="636">+MAX(VLOOKUP(xB+$R38,기수표B,$AA$1)-VLOOKUP(xB+mB,기수표B,$AA$1),0)</f>
        <v>0</v>
      </c>
      <c r="CU38" s="32">
        <f t="shared" ca="1" si="52"/>
        <v>0</v>
      </c>
      <c r="CV38" s="32">
        <f t="shared" si="53"/>
        <v>0</v>
      </c>
      <c r="CW38" s="259">
        <f t="shared" ca="1" si="54"/>
        <v>0</v>
      </c>
      <c r="CX38" s="32">
        <f t="shared" ca="1" si="55"/>
        <v>0</v>
      </c>
      <c r="CY38" s="262">
        <f t="shared" ca="1" si="56"/>
        <v>0</v>
      </c>
      <c r="CZ38" s="259" t="e">
        <f t="shared" ca="1" si="57"/>
        <v>#DIV/0!</v>
      </c>
      <c r="DA38" s="31">
        <f t="shared" ref="DA38" ca="1" si="637">+MIN(mB,7)</f>
        <v>7</v>
      </c>
    </row>
    <row r="39" spans="1:105">
      <c r="C39" s="302"/>
      <c r="N39" s="5">
        <f t="shared" si="111"/>
        <v>27</v>
      </c>
      <c r="O39" s="2">
        <f t="shared" ref="O39" ca="1" si="638">+(1+iB)^-N39</f>
        <v>0.54839116537669197</v>
      </c>
      <c r="P39" s="2">
        <f t="shared" ref="P39" ca="1" si="639">+(1+iB)^-(N39+0.5)</f>
        <v>0.54232395903282082</v>
      </c>
      <c r="Q39" s="91"/>
      <c r="R39" s="20">
        <f t="shared" si="114"/>
        <v>27</v>
      </c>
      <c r="S39" s="20" t="str">
        <f t="shared" ref="S39" si="640">+IF(xB+R39&lt;=xB+nB,xB+R39,"")</f>
        <v/>
      </c>
      <c r="T39" s="2">
        <f t="shared" ref="T39:U39" ca="1" si="641">IFERROR(VLOOKUP($S39,qx_table,MATCH(T$11,qx_title,0)+sexB),0)</f>
        <v>0</v>
      </c>
      <c r="U39" s="2">
        <f t="shared" ca="1" si="641"/>
        <v>0</v>
      </c>
      <c r="V39" s="300">
        <f t="shared" ca="1" si="26"/>
        <v>0.01</v>
      </c>
      <c r="W39" s="8">
        <f t="shared" ref="W39" si="642">IF(R39=0,100000,IF(R39&gt;nB,0,W38*(1-X38)*(1-Y38)))</f>
        <v>0</v>
      </c>
      <c r="X39" s="10">
        <f t="shared" ca="1" si="28"/>
        <v>1.0000000000000009E-2</v>
      </c>
      <c r="Y39" s="10">
        <f t="shared" ca="1" si="29"/>
        <v>0</v>
      </c>
      <c r="Z39" s="8">
        <f t="shared" ca="1" si="64"/>
        <v>0</v>
      </c>
      <c r="AA39" s="8">
        <f ca="1">+SUM(Z39:Z$124)</f>
        <v>0</v>
      </c>
      <c r="AB39" s="8">
        <f t="shared" ca="1" si="30"/>
        <v>0</v>
      </c>
      <c r="AC39" s="209">
        <f ca="1">+SUM(AB39:AB$124)*SSSM</f>
        <v>0</v>
      </c>
      <c r="AD39" s="209">
        <f t="shared" ref="AD39" si="643">IF(R39&gt;nB,0,AD38*(1-X38)*(1-Y38)*(1-AE38)*(1-AF38))</f>
        <v>0</v>
      </c>
      <c r="AE39" s="92">
        <f t="shared" ca="1" si="31"/>
        <v>0</v>
      </c>
      <c r="AF39" s="92">
        <f t="shared" ca="1" si="32"/>
        <v>0</v>
      </c>
      <c r="AG39" s="8">
        <f t="shared" ca="1" si="33"/>
        <v>0</v>
      </c>
      <c r="AH39" s="5">
        <f ca="1">+SUM(AG39:AG$124)</f>
        <v>0</v>
      </c>
      <c r="AI39" s="70">
        <f t="shared" ca="1" si="34"/>
        <v>0</v>
      </c>
      <c r="AJ39" s="208">
        <f ca="1">+SUM(AB39:AB$124)*SS50J</f>
        <v>0</v>
      </c>
      <c r="AK39" s="209">
        <f t="shared" ca="1" si="66"/>
        <v>36132.623515916377</v>
      </c>
      <c r="AL39" s="257">
        <f t="shared" ref="AL39" ca="1" si="644">IFERROR(VLOOKUP($S39,qx_table,MATCH(AL$11,qx_title,0)+sexB),0)</f>
        <v>0</v>
      </c>
      <c r="AM39" s="131">
        <f t="shared" ca="1" si="68"/>
        <v>19814.811518010647</v>
      </c>
      <c r="AN39" s="129">
        <f t="shared" ca="1" si="69"/>
        <v>0</v>
      </c>
      <c r="AO39" s="129">
        <f ca="1">SUM(AN39:AN$124)*SSa</f>
        <v>0</v>
      </c>
      <c r="AP39" s="70">
        <f t="shared" ca="1" si="70"/>
        <v>36132.623515916377</v>
      </c>
      <c r="AQ39" s="2">
        <f t="shared" ref="AQ39" ca="1" si="645">IFERROR(VLOOKUP($S39,qx_table,MATCH(AQ$11,qx_title,0)+sexB),0)</f>
        <v>0</v>
      </c>
      <c r="AR39" s="127">
        <f t="shared" ca="1" si="72"/>
        <v>0</v>
      </c>
      <c r="AS39" s="127">
        <f ca="1">SUM(AR39:AR$124)*SSb</f>
        <v>0</v>
      </c>
      <c r="AT39" s="70">
        <f t="shared" ca="1" si="73"/>
        <v>36132.623515916377</v>
      </c>
      <c r="AU39" s="2">
        <f t="shared" ref="AU39" ca="1" si="646">IFERROR(VLOOKUP($S39,qx_table,MATCH(AU$11,qx_title,0)+sexB),0)</f>
        <v>0</v>
      </c>
      <c r="AV39" s="268">
        <f t="shared" ca="1" si="75"/>
        <v>0</v>
      </c>
      <c r="AW39" s="131">
        <f ca="1">SUM(AV39:AV$124)*SSc</f>
        <v>0</v>
      </c>
      <c r="AX39" s="70">
        <f t="shared" ca="1" si="76"/>
        <v>36132.623515916377</v>
      </c>
      <c r="AY39" s="2">
        <f t="shared" ref="AY39" ca="1" si="647">IFERROR(VLOOKUP($S39,qx_table,MATCH(AY$11,qx_title,0)+sexB),0)</f>
        <v>0</v>
      </c>
      <c r="AZ39" s="268">
        <f t="shared" ca="1" si="78"/>
        <v>0</v>
      </c>
      <c r="BA39" s="129">
        <f ca="1">SUM(AZ39:AZ$124)*SSd</f>
        <v>0</v>
      </c>
      <c r="BB39" s="70">
        <f t="shared" ca="1" si="79"/>
        <v>36132.623515916377</v>
      </c>
      <c r="BC39" s="257">
        <f t="shared" ref="BC39" ca="1" si="648">IFERROR(VLOOKUP($S39,qx_table,MATCH(BC$11,qx_title,0)+sexB),0)</f>
        <v>0</v>
      </c>
      <c r="BD39" s="268">
        <f t="shared" ca="1" si="81"/>
        <v>0</v>
      </c>
      <c r="BE39" s="131">
        <f ca="1">SUM(BD39:BD$124)*SSe</f>
        <v>0</v>
      </c>
      <c r="BF39" s="70">
        <f t="shared" ca="1" si="82"/>
        <v>36132.623515916377</v>
      </c>
      <c r="BG39" s="2">
        <f t="shared" ref="BG39" ca="1" si="649">IFERROR(VLOOKUP($S39,qx_table,MATCH(BG$11,qx_title,0)+sexB),0)</f>
        <v>0</v>
      </c>
      <c r="BH39" s="131">
        <f t="shared" ca="1" si="84"/>
        <v>0</v>
      </c>
      <c r="BI39" s="2">
        <f ca="1">SUM(BH39:BH$124)*SSf</f>
        <v>0</v>
      </c>
      <c r="BJ39" s="70">
        <f t="shared" ca="1" si="85"/>
        <v>36132.623515916377</v>
      </c>
      <c r="BK39" s="2">
        <f t="shared" ref="BK39" ca="1" si="650">IFERROR(VLOOKUP($S39,qx_table,MATCH(BK$11,qx_title,0)+sexB),0)</f>
        <v>0</v>
      </c>
      <c r="BL39" s="131">
        <f t="shared" ca="1" si="87"/>
        <v>0</v>
      </c>
      <c r="BM39" s="131">
        <f ca="1">SUM(BL39:BL$124)*SSg</f>
        <v>0</v>
      </c>
      <c r="BN39" s="70">
        <f t="shared" ca="1" si="88"/>
        <v>36132.623515916377</v>
      </c>
      <c r="BO39" s="2">
        <f t="shared" ref="BO39" ca="1" si="651">IFERROR(VLOOKUP($S39,qx_table,MATCH(BO$11,qx_title,0)+sexB),0)</f>
        <v>0</v>
      </c>
      <c r="BP39" s="131">
        <f t="shared" ca="1" si="90"/>
        <v>0</v>
      </c>
      <c r="BQ39" s="131">
        <f ca="1">SUM(BP39:BP$124)*SSh</f>
        <v>0</v>
      </c>
      <c r="BR39" s="70">
        <f t="shared" ca="1" si="91"/>
        <v>36132.623515916377</v>
      </c>
      <c r="BS39" s="2">
        <f t="shared" ref="BS39" ca="1" si="652">IFERROR(VLOOKUP($S39,qx_table,MATCH(BS$11,qx_title,0)+sexB),0)*IF(R39=0,MCi,1)</f>
        <v>0</v>
      </c>
      <c r="BT39" s="131">
        <f t="shared" ca="1" si="93"/>
        <v>0</v>
      </c>
      <c r="BU39" s="131">
        <f ca="1">SUM(BT39:BT$124)*SSi</f>
        <v>0</v>
      </c>
      <c r="BV39" s="70">
        <f t="shared" ca="1" si="94"/>
        <v>36132.623515916377</v>
      </c>
      <c r="BW39" s="2">
        <f t="shared" ref="BW39" ca="1" si="653">IFERROR(VLOOKUP($S39,qx_table,MATCH(BW$11,qx_title,0)+sexB),0)</f>
        <v>0</v>
      </c>
      <c r="BX39" s="131">
        <f t="shared" ca="1" si="96"/>
        <v>0</v>
      </c>
      <c r="BY39" s="131">
        <f ca="1">SUM(BX39:BX$124)*SSj</f>
        <v>0</v>
      </c>
      <c r="BZ39" s="70">
        <f t="shared" ca="1" si="97"/>
        <v>36132.623515916377</v>
      </c>
      <c r="CA39" s="2">
        <f t="shared" ref="CA39" ca="1" si="654">IFERROR(VLOOKUP($S39,qx_table,MATCH(CA$11,qx_title,0)+sexB),0)</f>
        <v>0</v>
      </c>
      <c r="CB39" s="131">
        <f t="shared" ca="1" si="99"/>
        <v>0</v>
      </c>
      <c r="CC39" s="131">
        <f ca="1">SUM(CB39:CB$124)*SSk</f>
        <v>0</v>
      </c>
      <c r="CD39" s="8">
        <f t="shared" ca="1" si="100"/>
        <v>36132.623515916377</v>
      </c>
      <c r="CE39" s="2">
        <f t="shared" ref="CE39" ca="1" si="655">IFERROR(VLOOKUP($S39,qx_table,MATCH(CE$11,qx_title,0)+sexB),0)</f>
        <v>0</v>
      </c>
      <c r="CF39" s="131">
        <f t="shared" ca="1" si="102"/>
        <v>0</v>
      </c>
      <c r="CG39" s="131">
        <f ca="1">SUM(CF39:CF$124)*SSl</f>
        <v>0</v>
      </c>
      <c r="CH39" s="155">
        <f t="shared" ca="1" si="103"/>
        <v>0.01</v>
      </c>
      <c r="CI39" s="155">
        <f t="shared" ca="1" si="104"/>
        <v>0</v>
      </c>
      <c r="CJ39" s="155">
        <f t="shared" ca="1" si="105"/>
        <v>0</v>
      </c>
      <c r="CK39" s="155">
        <f ca="1">'유해지 (기준P)'!CZ39</f>
        <v>0</v>
      </c>
      <c r="CL39" s="155">
        <f t="shared" ca="1" si="47"/>
        <v>0</v>
      </c>
      <c r="CM39" s="155">
        <f t="shared" ca="1" si="106"/>
        <v>0</v>
      </c>
      <c r="CN39" s="155">
        <f ca="1">SUM(CM39:$CM$124)</f>
        <v>0</v>
      </c>
      <c r="CO39" s="101">
        <f t="shared" ca="1" si="107"/>
        <v>0</v>
      </c>
      <c r="CP39" s="154">
        <f t="shared" ca="1" si="48"/>
        <v>0</v>
      </c>
      <c r="CQ39" s="154">
        <f t="shared" ca="1" si="49"/>
        <v>0</v>
      </c>
      <c r="CR39" s="32">
        <f t="shared" ref="CR39" ca="1" si="656">+MAX(VLOOKUP(xB+$R39,기수표B,$AH$1)-VLOOKUP(xB+mB,기수표B,$AH$1),0)</f>
        <v>0</v>
      </c>
      <c r="CS39" s="32">
        <f t="shared" ca="1" si="50"/>
        <v>0</v>
      </c>
      <c r="CT39" s="32">
        <f t="shared" ref="CT39" ca="1" si="657">+MAX(VLOOKUP(xB+$R39,기수표B,$AA$1)-VLOOKUP(xB+mB,기수표B,$AA$1),0)</f>
        <v>0</v>
      </c>
      <c r="CU39" s="32">
        <f t="shared" ca="1" si="52"/>
        <v>0</v>
      </c>
      <c r="CV39" s="32">
        <f t="shared" si="53"/>
        <v>0</v>
      </c>
      <c r="CW39" s="259">
        <f t="shared" ca="1" si="54"/>
        <v>0</v>
      </c>
      <c r="CX39" s="32">
        <f t="shared" ca="1" si="55"/>
        <v>0</v>
      </c>
      <c r="CY39" s="262">
        <f t="shared" ca="1" si="56"/>
        <v>0</v>
      </c>
      <c r="CZ39" s="259" t="e">
        <f t="shared" ca="1" si="57"/>
        <v>#DIV/0!</v>
      </c>
      <c r="DA39" s="31">
        <f t="shared" ref="DA39" ca="1" si="658">+MIN(mB,7)</f>
        <v>7</v>
      </c>
    </row>
    <row r="40" spans="1:105">
      <c r="A40" s="59"/>
      <c r="E40" s="60"/>
      <c r="N40" s="5">
        <f t="shared" si="111"/>
        <v>28</v>
      </c>
      <c r="O40" s="2">
        <f t="shared" ref="O40" ca="1" si="659">+(1+iB)^-N40</f>
        <v>0.53632387811901416</v>
      </c>
      <c r="P40" s="2">
        <f t="shared" ref="P40" ca="1" si="660">+(1+iB)^-(N40+0.5)</f>
        <v>0.53039017998319882</v>
      </c>
      <c r="Q40" s="91"/>
      <c r="R40" s="20">
        <f t="shared" si="114"/>
        <v>28</v>
      </c>
      <c r="S40" s="20" t="str">
        <f t="shared" ref="S40" si="661">+IF(xB+R40&lt;=xB+nB,xB+R40,"")</f>
        <v/>
      </c>
      <c r="T40" s="2">
        <f t="shared" ref="T40:U40" ca="1" si="662">IFERROR(VLOOKUP($S40,qx_table,MATCH(T$11,qx_title,0)+sexB),0)</f>
        <v>0</v>
      </c>
      <c r="U40" s="2">
        <f t="shared" ca="1" si="662"/>
        <v>0</v>
      </c>
      <c r="V40" s="300">
        <f t="shared" ca="1" si="26"/>
        <v>0.01</v>
      </c>
      <c r="W40" s="8">
        <f t="shared" ref="W40" si="663">IF(R40=0,100000,IF(R40&gt;nB,0,W39*(1-X39)*(1-Y39)))</f>
        <v>0</v>
      </c>
      <c r="X40" s="10">
        <f t="shared" ca="1" si="28"/>
        <v>1.0000000000000009E-2</v>
      </c>
      <c r="Y40" s="10">
        <f t="shared" ca="1" si="29"/>
        <v>0</v>
      </c>
      <c r="Z40" s="8">
        <f t="shared" ca="1" si="64"/>
        <v>0</v>
      </c>
      <c r="AA40" s="8">
        <f ca="1">+SUM(Z40:Z$124)</f>
        <v>0</v>
      </c>
      <c r="AB40" s="8">
        <f t="shared" ca="1" si="30"/>
        <v>0</v>
      </c>
      <c r="AC40" s="209">
        <f ca="1">+SUM(AB40:AB$124)*SSSM</f>
        <v>0</v>
      </c>
      <c r="AD40" s="209">
        <f t="shared" ref="AD40" si="664">IF(R40&gt;nB,0,AD39*(1-X39)*(1-Y39)*(1-AE39)*(1-AF39))</f>
        <v>0</v>
      </c>
      <c r="AE40" s="92">
        <f t="shared" ca="1" si="31"/>
        <v>0</v>
      </c>
      <c r="AF40" s="92">
        <f t="shared" ca="1" si="32"/>
        <v>0</v>
      </c>
      <c r="AG40" s="8">
        <f t="shared" ca="1" si="33"/>
        <v>0</v>
      </c>
      <c r="AH40" s="5">
        <f ca="1">+SUM(AG40:AG$124)</f>
        <v>0</v>
      </c>
      <c r="AI40" s="70">
        <f t="shared" ca="1" si="34"/>
        <v>0</v>
      </c>
      <c r="AJ40" s="208">
        <f ca="1">+SUM(AB40:AB$124)*SS50J</f>
        <v>0</v>
      </c>
      <c r="AK40" s="209">
        <f t="shared" ca="1" si="66"/>
        <v>35771.297280757215</v>
      </c>
      <c r="AL40" s="257">
        <f t="shared" ref="AL40" ca="1" si="665">IFERROR(VLOOKUP($S40,qx_table,MATCH(AL$11,qx_title,0)+sexB),0)</f>
        <v>0</v>
      </c>
      <c r="AM40" s="131">
        <f t="shared" ca="1" si="68"/>
        <v>19185.000882963854</v>
      </c>
      <c r="AN40" s="129">
        <f t="shared" ca="1" si="69"/>
        <v>0</v>
      </c>
      <c r="AO40" s="129">
        <f ca="1">SUM(AN40:AN$124)*SSa</f>
        <v>0</v>
      </c>
      <c r="AP40" s="70">
        <f t="shared" ca="1" si="70"/>
        <v>35771.297280757215</v>
      </c>
      <c r="AQ40" s="2">
        <f t="shared" ref="AQ40" ca="1" si="666">IFERROR(VLOOKUP($S40,qx_table,MATCH(AQ$11,qx_title,0)+sexB),0)</f>
        <v>0</v>
      </c>
      <c r="AR40" s="127">
        <f t="shared" ca="1" si="72"/>
        <v>0</v>
      </c>
      <c r="AS40" s="127">
        <f ca="1">SUM(AR40:AR$124)*SSb</f>
        <v>0</v>
      </c>
      <c r="AT40" s="70">
        <f t="shared" ca="1" si="73"/>
        <v>35771.297280757215</v>
      </c>
      <c r="AU40" s="2">
        <f t="shared" ref="AU40" ca="1" si="667">IFERROR(VLOOKUP($S40,qx_table,MATCH(AU$11,qx_title,0)+sexB),0)</f>
        <v>0</v>
      </c>
      <c r="AV40" s="268">
        <f t="shared" ca="1" si="75"/>
        <v>0</v>
      </c>
      <c r="AW40" s="131">
        <f ca="1">SUM(AV40:AV$124)*SSc</f>
        <v>0</v>
      </c>
      <c r="AX40" s="70">
        <f t="shared" ca="1" si="76"/>
        <v>35771.297280757215</v>
      </c>
      <c r="AY40" s="2">
        <f t="shared" ref="AY40" ca="1" si="668">IFERROR(VLOOKUP($S40,qx_table,MATCH(AY$11,qx_title,0)+sexB),0)</f>
        <v>0</v>
      </c>
      <c r="AZ40" s="268">
        <f t="shared" ca="1" si="78"/>
        <v>0</v>
      </c>
      <c r="BA40" s="129">
        <f ca="1">SUM(AZ40:AZ$124)*SSd</f>
        <v>0</v>
      </c>
      <c r="BB40" s="70">
        <f t="shared" ca="1" si="79"/>
        <v>35771.297280757215</v>
      </c>
      <c r="BC40" s="257">
        <f t="shared" ref="BC40" ca="1" si="669">IFERROR(VLOOKUP($S40,qx_table,MATCH(BC$11,qx_title,0)+sexB),0)</f>
        <v>0</v>
      </c>
      <c r="BD40" s="268">
        <f t="shared" ca="1" si="81"/>
        <v>0</v>
      </c>
      <c r="BE40" s="131">
        <f ca="1">SUM(BD40:BD$124)*SSe</f>
        <v>0</v>
      </c>
      <c r="BF40" s="70">
        <f t="shared" ca="1" si="82"/>
        <v>35771.297280757215</v>
      </c>
      <c r="BG40" s="2">
        <f t="shared" ref="BG40" ca="1" si="670">IFERROR(VLOOKUP($S40,qx_table,MATCH(BG$11,qx_title,0)+sexB),0)</f>
        <v>0</v>
      </c>
      <c r="BH40" s="131">
        <f t="shared" ca="1" si="84"/>
        <v>0</v>
      </c>
      <c r="BI40" s="2">
        <f ca="1">SUM(BH40:BH$124)*SSf</f>
        <v>0</v>
      </c>
      <c r="BJ40" s="70">
        <f t="shared" ca="1" si="85"/>
        <v>35771.297280757215</v>
      </c>
      <c r="BK40" s="2">
        <f t="shared" ref="BK40" ca="1" si="671">IFERROR(VLOOKUP($S40,qx_table,MATCH(BK$11,qx_title,0)+sexB),0)</f>
        <v>0</v>
      </c>
      <c r="BL40" s="131">
        <f t="shared" ca="1" si="87"/>
        <v>0</v>
      </c>
      <c r="BM40" s="131">
        <f ca="1">SUM(BL40:BL$124)*SSg</f>
        <v>0</v>
      </c>
      <c r="BN40" s="70">
        <f t="shared" ca="1" si="88"/>
        <v>35771.297280757215</v>
      </c>
      <c r="BO40" s="2">
        <f t="shared" ref="BO40" ca="1" si="672">IFERROR(VLOOKUP($S40,qx_table,MATCH(BO$11,qx_title,0)+sexB),0)</f>
        <v>0</v>
      </c>
      <c r="BP40" s="131">
        <f t="shared" ca="1" si="90"/>
        <v>0</v>
      </c>
      <c r="BQ40" s="131">
        <f ca="1">SUM(BP40:BP$124)*SSh</f>
        <v>0</v>
      </c>
      <c r="BR40" s="70">
        <f t="shared" ca="1" si="91"/>
        <v>35771.297280757215</v>
      </c>
      <c r="BS40" s="2">
        <f t="shared" ref="BS40" ca="1" si="673">IFERROR(VLOOKUP($S40,qx_table,MATCH(BS$11,qx_title,0)+sexB),0)*IF(R40=0,MCi,1)</f>
        <v>0</v>
      </c>
      <c r="BT40" s="131">
        <f t="shared" ca="1" si="93"/>
        <v>0</v>
      </c>
      <c r="BU40" s="131">
        <f ca="1">SUM(BT40:BT$124)*SSi</f>
        <v>0</v>
      </c>
      <c r="BV40" s="70">
        <f t="shared" ca="1" si="94"/>
        <v>35771.297280757215</v>
      </c>
      <c r="BW40" s="2">
        <f t="shared" ref="BW40" ca="1" si="674">IFERROR(VLOOKUP($S40,qx_table,MATCH(BW$11,qx_title,0)+sexB),0)</f>
        <v>0</v>
      </c>
      <c r="BX40" s="131">
        <f t="shared" ca="1" si="96"/>
        <v>0</v>
      </c>
      <c r="BY40" s="131">
        <f ca="1">SUM(BX40:BX$124)*SSj</f>
        <v>0</v>
      </c>
      <c r="BZ40" s="70">
        <f t="shared" ca="1" si="97"/>
        <v>35771.297280757215</v>
      </c>
      <c r="CA40" s="2">
        <f t="shared" ref="CA40" ca="1" si="675">IFERROR(VLOOKUP($S40,qx_table,MATCH(CA$11,qx_title,0)+sexB),0)</f>
        <v>0</v>
      </c>
      <c r="CB40" s="131">
        <f t="shared" ca="1" si="99"/>
        <v>0</v>
      </c>
      <c r="CC40" s="131">
        <f ca="1">SUM(CB40:CB$124)*SSk</f>
        <v>0</v>
      </c>
      <c r="CD40" s="8">
        <f t="shared" ca="1" si="100"/>
        <v>35771.297280757215</v>
      </c>
      <c r="CE40" s="2">
        <f t="shared" ref="CE40" ca="1" si="676">IFERROR(VLOOKUP($S40,qx_table,MATCH(CE$11,qx_title,0)+sexB),0)</f>
        <v>0</v>
      </c>
      <c r="CF40" s="131">
        <f t="shared" ca="1" si="102"/>
        <v>0</v>
      </c>
      <c r="CG40" s="131">
        <f ca="1">SUM(CF40:CF$124)*SSl</f>
        <v>0</v>
      </c>
      <c r="CH40" s="155">
        <f t="shared" ca="1" si="103"/>
        <v>0.01</v>
      </c>
      <c r="CI40" s="155">
        <f t="shared" ca="1" si="104"/>
        <v>0</v>
      </c>
      <c r="CJ40" s="155">
        <f t="shared" ca="1" si="105"/>
        <v>0</v>
      </c>
      <c r="CK40" s="155">
        <f ca="1">'유해지 (기준P)'!CZ40</f>
        <v>0</v>
      </c>
      <c r="CL40" s="155">
        <f t="shared" ca="1" si="47"/>
        <v>0</v>
      </c>
      <c r="CM40" s="155">
        <f t="shared" ca="1" si="106"/>
        <v>0</v>
      </c>
      <c r="CN40" s="155">
        <f ca="1">SUM(CM40:$CM$124)</f>
        <v>0</v>
      </c>
      <c r="CO40" s="101">
        <f t="shared" ca="1" si="107"/>
        <v>0</v>
      </c>
      <c r="CP40" s="154">
        <f t="shared" ca="1" si="48"/>
        <v>0</v>
      </c>
      <c r="CQ40" s="154">
        <f t="shared" ca="1" si="49"/>
        <v>0</v>
      </c>
      <c r="CR40" s="32">
        <f t="shared" ref="CR40" ca="1" si="677">+MAX(VLOOKUP(xB+$R40,기수표B,$AH$1)-VLOOKUP(xB+mB,기수표B,$AH$1),0)</f>
        <v>0</v>
      </c>
      <c r="CS40" s="32">
        <f t="shared" ca="1" si="50"/>
        <v>0</v>
      </c>
      <c r="CT40" s="32">
        <f t="shared" ref="CT40" ca="1" si="678">+MAX(VLOOKUP(xB+$R40,기수표B,$AA$1)-VLOOKUP(xB+mB,기수표B,$AA$1),0)</f>
        <v>0</v>
      </c>
      <c r="CU40" s="32">
        <f t="shared" ca="1" si="52"/>
        <v>0</v>
      </c>
      <c r="CV40" s="32">
        <f t="shared" si="53"/>
        <v>0</v>
      </c>
      <c r="CW40" s="259">
        <f t="shared" ca="1" si="54"/>
        <v>0</v>
      </c>
      <c r="CX40" s="32">
        <f t="shared" ca="1" si="55"/>
        <v>0</v>
      </c>
      <c r="CY40" s="262">
        <f t="shared" ca="1" si="56"/>
        <v>0</v>
      </c>
      <c r="CZ40" s="259" t="e">
        <f t="shared" ca="1" si="57"/>
        <v>#DIV/0!</v>
      </c>
      <c r="DA40" s="31">
        <f t="shared" ref="DA40" ca="1" si="679">+MIN(mB,7)</f>
        <v>7</v>
      </c>
    </row>
    <row r="41" spans="1:105">
      <c r="A41" s="59"/>
      <c r="E41" s="60"/>
      <c r="N41" s="5">
        <f t="shared" si="111"/>
        <v>29</v>
      </c>
      <c r="O41" s="2">
        <f t="shared" ref="O41" ca="1" si="680">+(1+iB)^-N41</f>
        <v>0.52452213018974492</v>
      </c>
      <c r="P41" s="2">
        <f t="shared" ref="P41" ca="1" si="681">+(1+iB)^-(N41+0.5)</f>
        <v>0.51871900242855629</v>
      </c>
      <c r="Q41" s="91"/>
      <c r="R41" s="20">
        <f t="shared" si="114"/>
        <v>29</v>
      </c>
      <c r="S41" s="20" t="str">
        <f t="shared" ref="S41" si="682">+IF(xB+R41&lt;=xB+nB,xB+R41,"")</f>
        <v/>
      </c>
      <c r="T41" s="2">
        <f t="shared" ref="T41:U41" ca="1" si="683">IFERROR(VLOOKUP($S41,qx_table,MATCH(T$11,qx_title,0)+sexB),0)</f>
        <v>0</v>
      </c>
      <c r="U41" s="2">
        <f t="shared" ca="1" si="683"/>
        <v>0</v>
      </c>
      <c r="V41" s="300">
        <f t="shared" ca="1" si="26"/>
        <v>0.01</v>
      </c>
      <c r="W41" s="8">
        <f t="shared" ref="W41" si="684">IF(R41=0,100000,IF(R41&gt;nB,0,W40*(1-X40)*(1-Y40)))</f>
        <v>0</v>
      </c>
      <c r="X41" s="10">
        <f t="shared" ca="1" si="28"/>
        <v>1.0000000000000009E-2</v>
      </c>
      <c r="Y41" s="10">
        <f t="shared" ca="1" si="29"/>
        <v>0</v>
      </c>
      <c r="Z41" s="8">
        <f t="shared" ca="1" si="64"/>
        <v>0</v>
      </c>
      <c r="AA41" s="8">
        <f ca="1">+SUM(Z41:Z$124)</f>
        <v>0</v>
      </c>
      <c r="AB41" s="8">
        <f t="shared" ca="1" si="30"/>
        <v>0</v>
      </c>
      <c r="AC41" s="209">
        <f ca="1">+SUM(AB41:AB$124)*SSSM</f>
        <v>0</v>
      </c>
      <c r="AD41" s="209">
        <f t="shared" ref="AD41" si="685">IF(R41&gt;nB,0,AD40*(1-X40)*(1-Y40)*(1-AE40)*(1-AF40))</f>
        <v>0</v>
      </c>
      <c r="AE41" s="92">
        <f t="shared" ca="1" si="31"/>
        <v>0</v>
      </c>
      <c r="AF41" s="92">
        <f t="shared" ca="1" si="32"/>
        <v>0</v>
      </c>
      <c r="AG41" s="8">
        <f t="shared" ca="1" si="33"/>
        <v>0</v>
      </c>
      <c r="AH41" s="5">
        <f ca="1">+SUM(AG41:AG$124)</f>
        <v>0</v>
      </c>
      <c r="AI41" s="70">
        <f t="shared" ca="1" si="34"/>
        <v>0</v>
      </c>
      <c r="AJ41" s="208">
        <f ca="1">+SUM(AB41:AB$124)*SS50J</f>
        <v>0</v>
      </c>
      <c r="AK41" s="209">
        <f t="shared" ca="1" si="66"/>
        <v>35413.584307949641</v>
      </c>
      <c r="AL41" s="257">
        <f t="shared" ref="AL41" ca="1" si="686">IFERROR(VLOOKUP($S41,qx_table,MATCH(AL$11,qx_title,0)+sexB),0)</f>
        <v>0</v>
      </c>
      <c r="AM41" s="131">
        <f t="shared" ca="1" si="68"/>
        <v>18575.208678859868</v>
      </c>
      <c r="AN41" s="129">
        <f t="shared" ca="1" si="69"/>
        <v>0</v>
      </c>
      <c r="AO41" s="129">
        <f ca="1">SUM(AN41:AN$124)*SSa</f>
        <v>0</v>
      </c>
      <c r="AP41" s="70">
        <f t="shared" ca="1" si="70"/>
        <v>35413.584307949641</v>
      </c>
      <c r="AQ41" s="2">
        <f t="shared" ref="AQ41" ca="1" si="687">IFERROR(VLOOKUP($S41,qx_table,MATCH(AQ$11,qx_title,0)+sexB),0)</f>
        <v>0</v>
      </c>
      <c r="AR41" s="127">
        <f t="shared" ca="1" si="72"/>
        <v>0</v>
      </c>
      <c r="AS41" s="127">
        <f ca="1">SUM(AR41:AR$124)*SSb</f>
        <v>0</v>
      </c>
      <c r="AT41" s="70">
        <f t="shared" ca="1" si="73"/>
        <v>35413.584307949641</v>
      </c>
      <c r="AU41" s="2">
        <f t="shared" ref="AU41" ca="1" si="688">IFERROR(VLOOKUP($S41,qx_table,MATCH(AU$11,qx_title,0)+sexB),0)</f>
        <v>0</v>
      </c>
      <c r="AV41" s="268">
        <f t="shared" ca="1" si="75"/>
        <v>0</v>
      </c>
      <c r="AW41" s="131">
        <f ca="1">SUM(AV41:AV$124)*SSc</f>
        <v>0</v>
      </c>
      <c r="AX41" s="70">
        <f t="shared" ca="1" si="76"/>
        <v>35413.584307949641</v>
      </c>
      <c r="AY41" s="2">
        <f t="shared" ref="AY41" ca="1" si="689">IFERROR(VLOOKUP($S41,qx_table,MATCH(AY$11,qx_title,0)+sexB),0)</f>
        <v>0</v>
      </c>
      <c r="AZ41" s="268">
        <f t="shared" ca="1" si="78"/>
        <v>0</v>
      </c>
      <c r="BA41" s="129">
        <f ca="1">SUM(AZ41:AZ$124)*SSd</f>
        <v>0</v>
      </c>
      <c r="BB41" s="70">
        <f t="shared" ca="1" si="79"/>
        <v>35413.584307949641</v>
      </c>
      <c r="BC41" s="257">
        <f t="shared" ref="BC41" ca="1" si="690">IFERROR(VLOOKUP($S41,qx_table,MATCH(BC$11,qx_title,0)+sexB),0)</f>
        <v>0</v>
      </c>
      <c r="BD41" s="268">
        <f t="shared" ca="1" si="81"/>
        <v>0</v>
      </c>
      <c r="BE41" s="131">
        <f ca="1">SUM(BD41:BD$124)*SSe</f>
        <v>0</v>
      </c>
      <c r="BF41" s="70">
        <f t="shared" ca="1" si="82"/>
        <v>35413.584307949641</v>
      </c>
      <c r="BG41" s="2">
        <f t="shared" ref="BG41" ca="1" si="691">IFERROR(VLOOKUP($S41,qx_table,MATCH(BG$11,qx_title,0)+sexB),0)</f>
        <v>0</v>
      </c>
      <c r="BH41" s="131">
        <f t="shared" ca="1" si="84"/>
        <v>0</v>
      </c>
      <c r="BI41" s="2">
        <f ca="1">SUM(BH41:BH$124)*SSf</f>
        <v>0</v>
      </c>
      <c r="BJ41" s="70">
        <f t="shared" ca="1" si="85"/>
        <v>35413.584307949641</v>
      </c>
      <c r="BK41" s="2">
        <f t="shared" ref="BK41" ca="1" si="692">IFERROR(VLOOKUP($S41,qx_table,MATCH(BK$11,qx_title,0)+sexB),0)</f>
        <v>0</v>
      </c>
      <c r="BL41" s="131">
        <f t="shared" ca="1" si="87"/>
        <v>0</v>
      </c>
      <c r="BM41" s="131">
        <f ca="1">SUM(BL41:BL$124)*SSg</f>
        <v>0</v>
      </c>
      <c r="BN41" s="70">
        <f t="shared" ca="1" si="88"/>
        <v>35413.584307949641</v>
      </c>
      <c r="BO41" s="2">
        <f t="shared" ref="BO41" ca="1" si="693">IFERROR(VLOOKUP($S41,qx_table,MATCH(BO$11,qx_title,0)+sexB),0)</f>
        <v>0</v>
      </c>
      <c r="BP41" s="131">
        <f t="shared" ca="1" si="90"/>
        <v>0</v>
      </c>
      <c r="BQ41" s="131">
        <f ca="1">SUM(BP41:BP$124)*SSh</f>
        <v>0</v>
      </c>
      <c r="BR41" s="70">
        <f t="shared" ca="1" si="91"/>
        <v>35413.584307949641</v>
      </c>
      <c r="BS41" s="2">
        <f t="shared" ref="BS41" ca="1" si="694">IFERROR(VLOOKUP($S41,qx_table,MATCH(BS$11,qx_title,0)+sexB),0)*IF(R41=0,MCi,1)</f>
        <v>0</v>
      </c>
      <c r="BT41" s="131">
        <f t="shared" ca="1" si="93"/>
        <v>0</v>
      </c>
      <c r="BU41" s="131">
        <f ca="1">SUM(BT41:BT$124)*SSi</f>
        <v>0</v>
      </c>
      <c r="BV41" s="70">
        <f t="shared" ca="1" si="94"/>
        <v>35413.584307949641</v>
      </c>
      <c r="BW41" s="2">
        <f t="shared" ref="BW41" ca="1" si="695">IFERROR(VLOOKUP($S41,qx_table,MATCH(BW$11,qx_title,0)+sexB),0)</f>
        <v>0</v>
      </c>
      <c r="BX41" s="131">
        <f t="shared" ca="1" si="96"/>
        <v>0</v>
      </c>
      <c r="BY41" s="131">
        <f ca="1">SUM(BX41:BX$124)*SSj</f>
        <v>0</v>
      </c>
      <c r="BZ41" s="70">
        <f t="shared" ca="1" si="97"/>
        <v>35413.584307949641</v>
      </c>
      <c r="CA41" s="2">
        <f t="shared" ref="CA41" ca="1" si="696">IFERROR(VLOOKUP($S41,qx_table,MATCH(CA$11,qx_title,0)+sexB),0)</f>
        <v>0</v>
      </c>
      <c r="CB41" s="131">
        <f t="shared" ca="1" si="99"/>
        <v>0</v>
      </c>
      <c r="CC41" s="131">
        <f ca="1">SUM(CB41:CB$124)*SSk</f>
        <v>0</v>
      </c>
      <c r="CD41" s="8">
        <f t="shared" ca="1" si="100"/>
        <v>35413.584307949641</v>
      </c>
      <c r="CE41" s="2">
        <f t="shared" ref="CE41" ca="1" si="697">IFERROR(VLOOKUP($S41,qx_table,MATCH(CE$11,qx_title,0)+sexB),0)</f>
        <v>0</v>
      </c>
      <c r="CF41" s="131">
        <f t="shared" ca="1" si="102"/>
        <v>0</v>
      </c>
      <c r="CG41" s="131">
        <f ca="1">SUM(CF41:CF$124)*SSl</f>
        <v>0</v>
      </c>
      <c r="CH41" s="155">
        <f t="shared" ca="1" si="103"/>
        <v>0.01</v>
      </c>
      <c r="CI41" s="155">
        <f t="shared" ca="1" si="104"/>
        <v>0</v>
      </c>
      <c r="CJ41" s="155">
        <f t="shared" ca="1" si="105"/>
        <v>0</v>
      </c>
      <c r="CK41" s="155">
        <f ca="1">'유해지 (기준P)'!CZ41</f>
        <v>0</v>
      </c>
      <c r="CL41" s="155">
        <f t="shared" ca="1" si="47"/>
        <v>0</v>
      </c>
      <c r="CM41" s="155">
        <f t="shared" ca="1" si="106"/>
        <v>0</v>
      </c>
      <c r="CN41" s="155">
        <f ca="1">SUM(CM41:$CM$124)</f>
        <v>0</v>
      </c>
      <c r="CO41" s="101">
        <f t="shared" ca="1" si="107"/>
        <v>0</v>
      </c>
      <c r="CP41" s="154">
        <f t="shared" ca="1" si="48"/>
        <v>0</v>
      </c>
      <c r="CQ41" s="154">
        <f t="shared" ca="1" si="49"/>
        <v>0</v>
      </c>
      <c r="CR41" s="32">
        <f t="shared" ref="CR41" ca="1" si="698">+MAX(VLOOKUP(xB+$R41,기수표B,$AH$1)-VLOOKUP(xB+mB,기수표B,$AH$1),0)</f>
        <v>0</v>
      </c>
      <c r="CS41" s="32">
        <f t="shared" ca="1" si="50"/>
        <v>0</v>
      </c>
      <c r="CT41" s="32">
        <f t="shared" ref="CT41" ca="1" si="699">+MAX(VLOOKUP(xB+$R41,기수표B,$AA$1)-VLOOKUP(xB+mB,기수표B,$AA$1),0)</f>
        <v>0</v>
      </c>
      <c r="CU41" s="32">
        <f t="shared" ca="1" si="52"/>
        <v>0</v>
      </c>
      <c r="CV41" s="32">
        <f t="shared" si="53"/>
        <v>0</v>
      </c>
      <c r="CW41" s="259">
        <f t="shared" ca="1" si="54"/>
        <v>0</v>
      </c>
      <c r="CX41" s="32">
        <f t="shared" ca="1" si="55"/>
        <v>0</v>
      </c>
      <c r="CY41" s="262">
        <f t="shared" ca="1" si="56"/>
        <v>0</v>
      </c>
      <c r="CZ41" s="259" t="e">
        <f t="shared" ca="1" si="57"/>
        <v>#DIV/0!</v>
      </c>
      <c r="DA41" s="31">
        <f t="shared" ref="DA41" ca="1" si="700">+MIN(mB,7)</f>
        <v>7</v>
      </c>
    </row>
    <row r="42" spans="1:105">
      <c r="B42" s="269"/>
      <c r="C42" s="140"/>
      <c r="N42" s="5">
        <f t="shared" si="111"/>
        <v>30</v>
      </c>
      <c r="O42" s="2">
        <f t="shared" ref="O42" ca="1" si="701">+(1+iB)^-N42</f>
        <v>0.51298007842517834</v>
      </c>
      <c r="P42" s="2">
        <f t="shared" ref="P42" ca="1" si="702">+(1+iB)^-(N42+0.5)</f>
        <v>0.50730464785188878</v>
      </c>
      <c r="Q42" s="91"/>
      <c r="R42" s="20">
        <f t="shared" si="114"/>
        <v>30</v>
      </c>
      <c r="S42" s="20" t="str">
        <f t="shared" ref="S42" si="703">+IF(xB+R42&lt;=xB+nB,xB+R42,"")</f>
        <v/>
      </c>
      <c r="T42" s="2">
        <f t="shared" ref="T42:U42" ca="1" si="704">IFERROR(VLOOKUP($S42,qx_table,MATCH(T$11,qx_title,0)+sexB),0)</f>
        <v>0</v>
      </c>
      <c r="U42" s="2">
        <f t="shared" ca="1" si="704"/>
        <v>0</v>
      </c>
      <c r="V42" s="300">
        <f t="shared" ca="1" si="26"/>
        <v>0.01</v>
      </c>
      <c r="W42" s="8">
        <f t="shared" ref="W42" si="705">IF(R42=0,100000,IF(R42&gt;nB,0,W41*(1-X41)*(1-Y41)))</f>
        <v>0</v>
      </c>
      <c r="X42" s="10">
        <f t="shared" ca="1" si="28"/>
        <v>1.0000000000000009E-2</v>
      </c>
      <c r="Y42" s="10">
        <f t="shared" ca="1" si="29"/>
        <v>0</v>
      </c>
      <c r="Z42" s="8">
        <f t="shared" ca="1" si="64"/>
        <v>0</v>
      </c>
      <c r="AA42" s="8">
        <f ca="1">+SUM(Z42:Z$124)</f>
        <v>0</v>
      </c>
      <c r="AB42" s="8">
        <f t="shared" ca="1" si="30"/>
        <v>0</v>
      </c>
      <c r="AC42" s="209">
        <f ca="1">+SUM(AB42:AB$124)*SSSM</f>
        <v>0</v>
      </c>
      <c r="AD42" s="209">
        <f t="shared" ref="AD42" si="706">IF(R42&gt;nB,0,AD41*(1-X41)*(1-Y41)*(1-AE41)*(1-AF41))</f>
        <v>0</v>
      </c>
      <c r="AE42" s="92">
        <f t="shared" ca="1" si="31"/>
        <v>0</v>
      </c>
      <c r="AF42" s="92">
        <f t="shared" ca="1" si="32"/>
        <v>0</v>
      </c>
      <c r="AG42" s="8">
        <f t="shared" ca="1" si="33"/>
        <v>0</v>
      </c>
      <c r="AH42" s="5">
        <f ca="1">+SUM(AG42:AG$124)</f>
        <v>0</v>
      </c>
      <c r="AI42" s="70">
        <f t="shared" ca="1" si="34"/>
        <v>0</v>
      </c>
      <c r="AJ42" s="208">
        <f ca="1">+SUM(AB42:AB$124)*SS50J</f>
        <v>0</v>
      </c>
      <c r="AK42" s="209">
        <f t="shared" ca="1" si="66"/>
        <v>35059.448464870147</v>
      </c>
      <c r="AL42" s="2">
        <f t="shared" ref="AL42" ca="1" si="707">IFERROR(VLOOKUP($S42,qx_table,MATCH(AL$11,qx_title,0)+sexB),0)</f>
        <v>0</v>
      </c>
      <c r="AM42" s="131">
        <f t="shared" ca="1" si="68"/>
        <v>17984.798623052586</v>
      </c>
      <c r="AN42" s="129">
        <f t="shared" ca="1" si="69"/>
        <v>0</v>
      </c>
      <c r="AO42" s="129">
        <f ca="1">SUM(AN42:AN$124)*SSa</f>
        <v>0</v>
      </c>
      <c r="AP42" s="70">
        <f t="shared" ca="1" si="70"/>
        <v>35059.448464870147</v>
      </c>
      <c r="AQ42" s="2">
        <f t="shared" ref="AQ42" ca="1" si="708">IFERROR(VLOOKUP($S42,qx_table,MATCH(AQ$11,qx_title,0)+sexB),0)</f>
        <v>0</v>
      </c>
      <c r="AR42" s="127">
        <f t="shared" ca="1" si="72"/>
        <v>0</v>
      </c>
      <c r="AS42" s="127">
        <f ca="1">SUM(AR42:AR$124)*SSb</f>
        <v>0</v>
      </c>
      <c r="AT42" s="70">
        <f t="shared" ca="1" si="73"/>
        <v>35059.448464870147</v>
      </c>
      <c r="AU42" s="2">
        <f t="shared" ref="AU42" ca="1" si="709">IFERROR(VLOOKUP($S42,qx_table,MATCH(AU$11,qx_title,0)+sexB),0)</f>
        <v>0</v>
      </c>
      <c r="AV42" s="268">
        <f t="shared" ca="1" si="75"/>
        <v>0</v>
      </c>
      <c r="AW42" s="131">
        <f ca="1">SUM(AV42:AV$124)*SSc</f>
        <v>0</v>
      </c>
      <c r="AX42" s="70">
        <f t="shared" ca="1" si="76"/>
        <v>35059.448464870147</v>
      </c>
      <c r="AY42" s="2">
        <f t="shared" ref="AY42" ca="1" si="710">IFERROR(VLOOKUP($S42,qx_table,MATCH(AY$11,qx_title,0)+sexB),0)</f>
        <v>0</v>
      </c>
      <c r="AZ42" s="268">
        <f t="shared" ca="1" si="78"/>
        <v>0</v>
      </c>
      <c r="BA42" s="129">
        <f ca="1">SUM(AZ42:AZ$124)*SSd</f>
        <v>0</v>
      </c>
      <c r="BB42" s="70">
        <f t="shared" ca="1" si="79"/>
        <v>35059.448464870147</v>
      </c>
      <c r="BC42" s="257">
        <f t="shared" ref="BC42" ca="1" si="711">IFERROR(VLOOKUP($S42,qx_table,MATCH(BC$11,qx_title,0)+sexB),0)</f>
        <v>0</v>
      </c>
      <c r="BD42" s="268">
        <f t="shared" ca="1" si="81"/>
        <v>0</v>
      </c>
      <c r="BE42" s="131">
        <f ca="1">SUM(BD42:BD$124)*SSe</f>
        <v>0</v>
      </c>
      <c r="BF42" s="70">
        <f t="shared" ca="1" si="82"/>
        <v>35059.448464870147</v>
      </c>
      <c r="BG42" s="2">
        <f t="shared" ref="BG42" ca="1" si="712">IFERROR(VLOOKUP($S42,qx_table,MATCH(BG$11,qx_title,0)+sexB),0)</f>
        <v>0</v>
      </c>
      <c r="BH42" s="131">
        <f t="shared" ca="1" si="84"/>
        <v>0</v>
      </c>
      <c r="BI42" s="2">
        <f ca="1">SUM(BH42:BH$124)*SSf</f>
        <v>0</v>
      </c>
      <c r="BJ42" s="70">
        <f t="shared" ca="1" si="85"/>
        <v>35059.448464870147</v>
      </c>
      <c r="BK42" s="2">
        <f t="shared" ref="BK42" ca="1" si="713">IFERROR(VLOOKUP($S42,qx_table,MATCH(BK$11,qx_title,0)+sexB),0)</f>
        <v>0</v>
      </c>
      <c r="BL42" s="131">
        <f t="shared" ca="1" si="87"/>
        <v>0</v>
      </c>
      <c r="BM42" s="131">
        <f ca="1">SUM(BL42:BL$124)*SSg</f>
        <v>0</v>
      </c>
      <c r="BN42" s="70">
        <f t="shared" ca="1" si="88"/>
        <v>35059.448464870147</v>
      </c>
      <c r="BO42" s="2">
        <f t="shared" ref="BO42" ca="1" si="714">IFERROR(VLOOKUP($S42,qx_table,MATCH(BO$11,qx_title,0)+sexB),0)</f>
        <v>0</v>
      </c>
      <c r="BP42" s="131">
        <f t="shared" ca="1" si="90"/>
        <v>0</v>
      </c>
      <c r="BQ42" s="131">
        <f ca="1">SUM(BP42:BP$124)*SSh</f>
        <v>0</v>
      </c>
      <c r="BR42" s="70">
        <f t="shared" ca="1" si="91"/>
        <v>35059.448464870147</v>
      </c>
      <c r="BS42" s="2">
        <f t="shared" ref="BS42" ca="1" si="715">IFERROR(VLOOKUP($S42,qx_table,MATCH(BS$11,qx_title,0)+sexB),0)*IF(R42=0,MCi,1)</f>
        <v>0</v>
      </c>
      <c r="BT42" s="131">
        <f t="shared" ca="1" si="93"/>
        <v>0</v>
      </c>
      <c r="BU42" s="131">
        <f ca="1">SUM(BT42:BT$124)*SSi</f>
        <v>0</v>
      </c>
      <c r="BV42" s="70">
        <f t="shared" ca="1" si="94"/>
        <v>35059.448464870147</v>
      </c>
      <c r="BW42" s="2">
        <f t="shared" ref="BW42" ca="1" si="716">IFERROR(VLOOKUP($S42,qx_table,MATCH(BW$11,qx_title,0)+sexB),0)</f>
        <v>0</v>
      </c>
      <c r="BX42" s="131">
        <f t="shared" ca="1" si="96"/>
        <v>0</v>
      </c>
      <c r="BY42" s="131">
        <f ca="1">SUM(BX42:BX$124)*SSj</f>
        <v>0</v>
      </c>
      <c r="BZ42" s="70">
        <f t="shared" ca="1" si="97"/>
        <v>35059.448464870147</v>
      </c>
      <c r="CA42" s="2">
        <f t="shared" ref="CA42" ca="1" si="717">IFERROR(VLOOKUP($S42,qx_table,MATCH(CA$11,qx_title,0)+sexB),0)</f>
        <v>0</v>
      </c>
      <c r="CB42" s="131">
        <f t="shared" ca="1" si="99"/>
        <v>0</v>
      </c>
      <c r="CC42" s="131">
        <f ca="1">SUM(CB42:CB$124)*SSk</f>
        <v>0</v>
      </c>
      <c r="CD42" s="8">
        <f t="shared" ca="1" si="100"/>
        <v>35059.448464870147</v>
      </c>
      <c r="CE42" s="2">
        <f t="shared" ref="CE42" ca="1" si="718">IFERROR(VLOOKUP($S42,qx_table,MATCH(CE$11,qx_title,0)+sexB),0)</f>
        <v>0</v>
      </c>
      <c r="CF42" s="131">
        <f t="shared" ca="1" si="102"/>
        <v>0</v>
      </c>
      <c r="CG42" s="131">
        <f ca="1">SUM(CF42:CF$124)*SSl</f>
        <v>0</v>
      </c>
      <c r="CH42" s="155">
        <f t="shared" ca="1" si="103"/>
        <v>0.01</v>
      </c>
      <c r="CI42" s="155">
        <f t="shared" ca="1" si="104"/>
        <v>0</v>
      </c>
      <c r="CJ42" s="155">
        <f t="shared" ca="1" si="105"/>
        <v>0</v>
      </c>
      <c r="CK42" s="155">
        <f ca="1">'유해지 (기준P)'!CZ42</f>
        <v>0</v>
      </c>
      <c r="CL42" s="155">
        <f t="shared" ca="1" si="47"/>
        <v>0</v>
      </c>
      <c r="CM42" s="155">
        <f t="shared" ca="1" si="106"/>
        <v>0</v>
      </c>
      <c r="CN42" s="155">
        <f ca="1">SUM(CM42:$CM$124)</f>
        <v>0</v>
      </c>
      <c r="CO42" s="101">
        <f t="shared" ca="1" si="107"/>
        <v>0</v>
      </c>
      <c r="CP42" s="154">
        <f t="shared" ca="1" si="48"/>
        <v>0</v>
      </c>
      <c r="CQ42" s="154">
        <f t="shared" ca="1" si="49"/>
        <v>0</v>
      </c>
      <c r="CR42" s="32">
        <f t="shared" ref="CR42" ca="1" si="719">+MAX(VLOOKUP(xB+$R42,기수표B,$AH$1)-VLOOKUP(xB+mB,기수표B,$AH$1),0)</f>
        <v>0</v>
      </c>
      <c r="CS42" s="32">
        <f t="shared" ca="1" si="50"/>
        <v>0</v>
      </c>
      <c r="CT42" s="32">
        <f t="shared" ref="CT42" ca="1" si="720">+MAX(VLOOKUP(xB+$R42,기수표B,$AA$1)-VLOOKUP(xB+mB,기수표B,$AA$1),0)</f>
        <v>0</v>
      </c>
      <c r="CU42" s="32">
        <f t="shared" ca="1" si="52"/>
        <v>0</v>
      </c>
      <c r="CV42" s="32">
        <f t="shared" si="53"/>
        <v>0</v>
      </c>
      <c r="CW42" s="259">
        <f t="shared" ca="1" si="54"/>
        <v>0</v>
      </c>
      <c r="CX42" s="32">
        <f t="shared" ca="1" si="55"/>
        <v>0</v>
      </c>
      <c r="CY42" s="262">
        <f t="shared" ca="1" si="56"/>
        <v>0</v>
      </c>
      <c r="CZ42" s="259" t="e">
        <f t="shared" ca="1" si="57"/>
        <v>#DIV/0!</v>
      </c>
      <c r="DA42" s="31">
        <f t="shared" ref="DA42" ca="1" si="721">+MIN(mB,7)</f>
        <v>7</v>
      </c>
    </row>
    <row r="43" spans="1:105">
      <c r="A43" s="59"/>
      <c r="B43" s="270"/>
      <c r="C43" s="271"/>
      <c r="D43" s="60"/>
      <c r="E43" s="60"/>
      <c r="L43" s="16"/>
      <c r="N43" s="5">
        <f t="shared" si="111"/>
        <v>31</v>
      </c>
      <c r="O43" s="2">
        <f t="shared" ref="O43" ca="1" si="722">+(1+iB)^-N43</f>
        <v>0.50169200823978322</v>
      </c>
      <c r="P43" s="2">
        <f t="shared" ref="P43" ca="1" si="723">+(1+iB)^-(N43+0.5)</f>
        <v>0.49614146489182287</v>
      </c>
      <c r="Q43" s="91"/>
      <c r="R43" s="20">
        <f t="shared" si="114"/>
        <v>31</v>
      </c>
      <c r="S43" s="20" t="str">
        <f t="shared" ref="S43" si="724">+IF(xB+R43&lt;=xB+nB,xB+R43,"")</f>
        <v/>
      </c>
      <c r="T43" s="2">
        <f t="shared" ref="T43:U43" ca="1" si="725">IFERROR(VLOOKUP($S43,qx_table,MATCH(T$11,qx_title,0)+sexB),0)</f>
        <v>0</v>
      </c>
      <c r="U43" s="2">
        <f t="shared" ca="1" si="725"/>
        <v>0</v>
      </c>
      <c r="V43" s="300">
        <f t="shared" ca="1" si="26"/>
        <v>0.01</v>
      </c>
      <c r="W43" s="8">
        <f t="shared" ref="W43" si="726">IF(R43=0,100000,IF(R43&gt;nB,0,W42*(1-X42)*(1-Y42)))</f>
        <v>0</v>
      </c>
      <c r="X43" s="10">
        <f t="shared" ca="1" si="28"/>
        <v>1.0000000000000009E-2</v>
      </c>
      <c r="Y43" s="10">
        <f t="shared" ca="1" si="29"/>
        <v>0</v>
      </c>
      <c r="Z43" s="8">
        <f t="shared" ca="1" si="64"/>
        <v>0</v>
      </c>
      <c r="AA43" s="8">
        <f ca="1">+SUM(Z43:Z$124)</f>
        <v>0</v>
      </c>
      <c r="AB43" s="8">
        <f t="shared" ca="1" si="30"/>
        <v>0</v>
      </c>
      <c r="AC43" s="209">
        <f ca="1">+SUM(AB43:AB$124)*SSSM</f>
        <v>0</v>
      </c>
      <c r="AD43" s="209">
        <f t="shared" ref="AD43" si="727">IF(R43&gt;nB,0,AD42*(1-X42)*(1-Y42)*(1-AE42)*(1-AF42))</f>
        <v>0</v>
      </c>
      <c r="AE43" s="92">
        <f t="shared" ca="1" si="31"/>
        <v>0</v>
      </c>
      <c r="AF43" s="92">
        <f t="shared" ca="1" si="32"/>
        <v>0</v>
      </c>
      <c r="AG43" s="8">
        <f t="shared" ca="1" si="33"/>
        <v>0</v>
      </c>
      <c r="AH43" s="5">
        <f ca="1">+SUM(AG43:AG$124)</f>
        <v>0</v>
      </c>
      <c r="AI43" s="70">
        <f t="shared" ca="1" si="34"/>
        <v>0</v>
      </c>
      <c r="AJ43" s="208">
        <f ca="1">+SUM(AB43:AB$124)*SS50J</f>
        <v>0</v>
      </c>
      <c r="AK43" s="209">
        <f t="shared" ca="1" si="66"/>
        <v>34708.853980221444</v>
      </c>
      <c r="AL43" s="2">
        <f t="shared" ref="AL43" ca="1" si="728">IFERROR(VLOOKUP($S43,qx_table,MATCH(AL$11,qx_title,0)+sexB),0)</f>
        <v>0</v>
      </c>
      <c r="AM43" s="131">
        <f t="shared" ca="1" si="68"/>
        <v>17413.154657038689</v>
      </c>
      <c r="AN43" s="129">
        <f t="shared" ca="1" si="69"/>
        <v>0</v>
      </c>
      <c r="AO43" s="129">
        <f ca="1">SUM(AN43:AN$124)*SSa</f>
        <v>0</v>
      </c>
      <c r="AP43" s="70">
        <f t="shared" ca="1" si="70"/>
        <v>34708.853980221444</v>
      </c>
      <c r="AQ43" s="2">
        <f t="shared" ref="AQ43" ca="1" si="729">IFERROR(VLOOKUP($S43,qx_table,MATCH(AQ$11,qx_title,0)+sexB),0)</f>
        <v>0</v>
      </c>
      <c r="AR43" s="127">
        <f t="shared" ca="1" si="72"/>
        <v>0</v>
      </c>
      <c r="AS43" s="127">
        <f ca="1">SUM(AR43:AR$124)*SSb</f>
        <v>0</v>
      </c>
      <c r="AT43" s="70">
        <f t="shared" ca="1" si="73"/>
        <v>34708.853980221444</v>
      </c>
      <c r="AU43" s="2">
        <f t="shared" ref="AU43" ca="1" si="730">IFERROR(VLOOKUP($S43,qx_table,MATCH(AU$11,qx_title,0)+sexB),0)</f>
        <v>0</v>
      </c>
      <c r="AV43" s="268">
        <f t="shared" ca="1" si="75"/>
        <v>0</v>
      </c>
      <c r="AW43" s="131">
        <f ca="1">SUM(AV43:AV$124)*SSc</f>
        <v>0</v>
      </c>
      <c r="AX43" s="70">
        <f t="shared" ca="1" si="76"/>
        <v>34708.853980221444</v>
      </c>
      <c r="AY43" s="2">
        <f t="shared" ref="AY43" ca="1" si="731">IFERROR(VLOOKUP($S43,qx_table,MATCH(AY$11,qx_title,0)+sexB),0)</f>
        <v>0</v>
      </c>
      <c r="AZ43" s="268">
        <f t="shared" ca="1" si="78"/>
        <v>0</v>
      </c>
      <c r="BA43" s="129">
        <f ca="1">SUM(AZ43:AZ$124)*SSd</f>
        <v>0</v>
      </c>
      <c r="BB43" s="70">
        <f t="shared" ca="1" si="79"/>
        <v>34708.853980221444</v>
      </c>
      <c r="BC43" s="257">
        <f t="shared" ref="BC43" ca="1" si="732">IFERROR(VLOOKUP($S43,qx_table,MATCH(BC$11,qx_title,0)+sexB),0)</f>
        <v>0</v>
      </c>
      <c r="BD43" s="268">
        <f t="shared" ca="1" si="81"/>
        <v>0</v>
      </c>
      <c r="BE43" s="131">
        <f ca="1">SUM(BD43:BD$124)*SSe</f>
        <v>0</v>
      </c>
      <c r="BF43" s="70">
        <f t="shared" ca="1" si="82"/>
        <v>34708.853980221444</v>
      </c>
      <c r="BG43" s="2">
        <f t="shared" ref="BG43" ca="1" si="733">IFERROR(VLOOKUP($S43,qx_table,MATCH(BG$11,qx_title,0)+sexB),0)</f>
        <v>0</v>
      </c>
      <c r="BH43" s="131">
        <f t="shared" ca="1" si="84"/>
        <v>0</v>
      </c>
      <c r="BI43" s="2">
        <f ca="1">SUM(BH43:BH$124)*SSf</f>
        <v>0</v>
      </c>
      <c r="BJ43" s="70">
        <f t="shared" ca="1" si="85"/>
        <v>34708.853980221444</v>
      </c>
      <c r="BK43" s="2">
        <f t="shared" ref="BK43" ca="1" si="734">IFERROR(VLOOKUP($S43,qx_table,MATCH(BK$11,qx_title,0)+sexB),0)</f>
        <v>0</v>
      </c>
      <c r="BL43" s="131">
        <f t="shared" ca="1" si="87"/>
        <v>0</v>
      </c>
      <c r="BM43" s="131">
        <f ca="1">SUM(BL43:BL$124)*SSg</f>
        <v>0</v>
      </c>
      <c r="BN43" s="70">
        <f t="shared" ca="1" si="88"/>
        <v>34708.853980221444</v>
      </c>
      <c r="BO43" s="2">
        <f t="shared" ref="BO43" ca="1" si="735">IFERROR(VLOOKUP($S43,qx_table,MATCH(BO$11,qx_title,0)+sexB),0)</f>
        <v>0</v>
      </c>
      <c r="BP43" s="131">
        <f t="shared" ca="1" si="90"/>
        <v>0</v>
      </c>
      <c r="BQ43" s="131">
        <f ca="1">SUM(BP43:BP$124)*SSh</f>
        <v>0</v>
      </c>
      <c r="BR43" s="70">
        <f t="shared" ca="1" si="91"/>
        <v>34708.853980221444</v>
      </c>
      <c r="BS43" s="2">
        <f t="shared" ref="BS43" ca="1" si="736">IFERROR(VLOOKUP($S43,qx_table,MATCH(BS$11,qx_title,0)+sexB),0)*IF(R43=0,MCi,1)</f>
        <v>0</v>
      </c>
      <c r="BT43" s="131">
        <f t="shared" ca="1" si="93"/>
        <v>0</v>
      </c>
      <c r="BU43" s="131">
        <f ca="1">SUM(BT43:BT$124)*SSi</f>
        <v>0</v>
      </c>
      <c r="BV43" s="70">
        <f t="shared" ca="1" si="94"/>
        <v>34708.853980221444</v>
      </c>
      <c r="BW43" s="2">
        <f t="shared" ref="BW43" ca="1" si="737">IFERROR(VLOOKUP($S43,qx_table,MATCH(BW$11,qx_title,0)+sexB),0)</f>
        <v>0</v>
      </c>
      <c r="BX43" s="131">
        <f t="shared" ca="1" si="96"/>
        <v>0</v>
      </c>
      <c r="BY43" s="131">
        <f ca="1">SUM(BX43:BX$124)*SSj</f>
        <v>0</v>
      </c>
      <c r="BZ43" s="70">
        <f t="shared" ca="1" si="97"/>
        <v>34708.853980221444</v>
      </c>
      <c r="CA43" s="2">
        <f t="shared" ref="CA43" ca="1" si="738">IFERROR(VLOOKUP($S43,qx_table,MATCH(CA$11,qx_title,0)+sexB),0)</f>
        <v>0</v>
      </c>
      <c r="CB43" s="131">
        <f t="shared" ca="1" si="99"/>
        <v>0</v>
      </c>
      <c r="CC43" s="131">
        <f ca="1">SUM(CB43:CB$124)*SSk</f>
        <v>0</v>
      </c>
      <c r="CD43" s="8">
        <f t="shared" ca="1" si="100"/>
        <v>34708.853980221444</v>
      </c>
      <c r="CE43" s="2">
        <f t="shared" ref="CE43" ca="1" si="739">IFERROR(VLOOKUP($S43,qx_table,MATCH(CE$11,qx_title,0)+sexB),0)</f>
        <v>0</v>
      </c>
      <c r="CF43" s="131">
        <f t="shared" ca="1" si="102"/>
        <v>0</v>
      </c>
      <c r="CG43" s="131">
        <f ca="1">SUM(CF43:CF$124)*SSl</f>
        <v>0</v>
      </c>
      <c r="CH43" s="155">
        <f t="shared" ca="1" si="103"/>
        <v>0.01</v>
      </c>
      <c r="CI43" s="155">
        <f t="shared" ca="1" si="104"/>
        <v>0</v>
      </c>
      <c r="CJ43" s="155">
        <f t="shared" ca="1" si="105"/>
        <v>0</v>
      </c>
      <c r="CK43" s="155">
        <f ca="1">'유해지 (기준P)'!CZ43</f>
        <v>0</v>
      </c>
      <c r="CL43" s="155">
        <f t="shared" ca="1" si="47"/>
        <v>0</v>
      </c>
      <c r="CM43" s="155">
        <f t="shared" ca="1" si="106"/>
        <v>0</v>
      </c>
      <c r="CN43" s="155">
        <f ca="1">SUM(CM43:$CM$124)</f>
        <v>0</v>
      </c>
      <c r="CO43" s="101">
        <f t="shared" ca="1" si="107"/>
        <v>0</v>
      </c>
      <c r="CP43" s="154">
        <f t="shared" ca="1" si="48"/>
        <v>0</v>
      </c>
      <c r="CQ43" s="154">
        <f t="shared" ca="1" si="49"/>
        <v>0</v>
      </c>
      <c r="CR43" s="32">
        <f t="shared" ref="CR43" ca="1" si="740">+MAX(VLOOKUP(xB+$R43,기수표B,$AH$1)-VLOOKUP(xB+mB,기수표B,$AH$1),0)</f>
        <v>0</v>
      </c>
      <c r="CS43" s="32">
        <f t="shared" ca="1" si="50"/>
        <v>0</v>
      </c>
      <c r="CT43" s="32">
        <f t="shared" ref="CT43" ca="1" si="741">+MAX(VLOOKUP(xB+$R43,기수표B,$AA$1)-VLOOKUP(xB+mB,기수표B,$AA$1),0)</f>
        <v>0</v>
      </c>
      <c r="CU43" s="32">
        <f t="shared" ca="1" si="52"/>
        <v>0</v>
      </c>
      <c r="CV43" s="32">
        <f t="shared" si="53"/>
        <v>0</v>
      </c>
      <c r="CW43" s="259">
        <f t="shared" ca="1" si="54"/>
        <v>0</v>
      </c>
      <c r="CX43" s="32">
        <f t="shared" ca="1" si="55"/>
        <v>0</v>
      </c>
      <c r="CY43" s="262">
        <f t="shared" ca="1" si="56"/>
        <v>0</v>
      </c>
      <c r="CZ43" s="259" t="e">
        <f t="shared" ca="1" si="57"/>
        <v>#DIV/0!</v>
      </c>
      <c r="DA43" s="31">
        <f t="shared" ref="DA43" ca="1" si="742">+MIN(mB,7)</f>
        <v>7</v>
      </c>
    </row>
    <row r="44" spans="1:105">
      <c r="A44" s="59"/>
      <c r="C44" s="272"/>
      <c r="D44" s="60"/>
      <c r="E44" s="61"/>
      <c r="N44" s="5">
        <f t="shared" si="111"/>
        <v>32</v>
      </c>
      <c r="O44" s="2">
        <f t="shared" ref="O44" ca="1" si="743">+(1+iB)^-N44</f>
        <v>0.49065233079685422</v>
      </c>
      <c r="P44" s="2">
        <f t="shared" ref="P44" ca="1" si="744">+(1+iB)^-(N44+0.5)</f>
        <v>0.48522392654456997</v>
      </c>
      <c r="Q44" s="91"/>
      <c r="R44" s="20">
        <f t="shared" si="114"/>
        <v>32</v>
      </c>
      <c r="S44" s="20" t="str">
        <f t="shared" ref="S44" si="745">+IF(xB+R44&lt;=xB+nB,xB+R44,"")</f>
        <v/>
      </c>
      <c r="T44" s="2">
        <f t="shared" ref="T44:U44" ca="1" si="746">IFERROR(VLOOKUP($S44,qx_table,MATCH(T$11,qx_title,0)+sexB),0)</f>
        <v>0</v>
      </c>
      <c r="U44" s="2">
        <f t="shared" ca="1" si="746"/>
        <v>0</v>
      </c>
      <c r="V44" s="300">
        <f t="shared" ref="V44:V75" ca="1" si="747">IF(JRB=2,0,IF(R44&gt;=mB,VLOOKUP(R44-mB,해지율_납기후,2),IF(R44=mB-1,0,VLOOKUP(R44,해지율_납기전,2))))</f>
        <v>0.01</v>
      </c>
      <c r="W44" s="8">
        <f t="shared" ref="W44" si="748">IF(R44=0,100000,IF(R44&gt;nB,0,W43*(1-X43)*(1-Y43)))</f>
        <v>0</v>
      </c>
      <c r="X44" s="10">
        <f t="shared" ca="1" si="28"/>
        <v>1.0000000000000009E-2</v>
      </c>
      <c r="Y44" s="10">
        <f t="shared" ca="1" si="29"/>
        <v>0</v>
      </c>
      <c r="Z44" s="8">
        <f t="shared" ca="1" si="64"/>
        <v>0</v>
      </c>
      <c r="AA44" s="8">
        <f ca="1">+SUM(Z44:Z$124)</f>
        <v>0</v>
      </c>
      <c r="AB44" s="8">
        <f t="shared" ca="1" si="30"/>
        <v>0</v>
      </c>
      <c r="AC44" s="209">
        <f ca="1">+SUM(AB44:AB$124)*SSSM</f>
        <v>0</v>
      </c>
      <c r="AD44" s="209">
        <f t="shared" ref="AD44" si="749">IF(R44&gt;nB,0,AD43*(1-X43)*(1-Y43)*(1-AE43)*(1-AF43))</f>
        <v>0</v>
      </c>
      <c r="AE44" s="92">
        <f t="shared" ca="1" si="31"/>
        <v>0</v>
      </c>
      <c r="AF44" s="92">
        <f t="shared" ca="1" si="32"/>
        <v>0</v>
      </c>
      <c r="AG44" s="8">
        <f t="shared" ca="1" si="33"/>
        <v>0</v>
      </c>
      <c r="AH44" s="5">
        <f ca="1">+SUM(AG44:AG$124)</f>
        <v>0</v>
      </c>
      <c r="AI44" s="70">
        <f t="shared" ca="1" si="34"/>
        <v>0</v>
      </c>
      <c r="AJ44" s="208">
        <f ca="1">+SUM(AB44:AB$124)*SS50J</f>
        <v>0</v>
      </c>
      <c r="AK44" s="209">
        <f t="shared" ca="1" si="66"/>
        <v>34361.765440419229</v>
      </c>
      <c r="AL44" s="2">
        <f t="shared" ref="AL44" ca="1" si="750">IFERROR(VLOOKUP($S44,qx_table,MATCH(AL$11,qx_title,0)+sexB),0)</f>
        <v>0</v>
      </c>
      <c r="AM44" s="131">
        <f t="shared" ca="1" si="68"/>
        <v>16859.680303636487</v>
      </c>
      <c r="AN44" s="129">
        <f t="shared" ca="1" si="69"/>
        <v>0</v>
      </c>
      <c r="AO44" s="129">
        <f ca="1">SUM(AN44:AN$124)*SSa</f>
        <v>0</v>
      </c>
      <c r="AP44" s="70">
        <f t="shared" ca="1" si="70"/>
        <v>34361.765440419229</v>
      </c>
      <c r="AQ44" s="2">
        <f t="shared" ref="AQ44" ca="1" si="751">IFERROR(VLOOKUP($S44,qx_table,MATCH(AQ$11,qx_title,0)+sexB),0)</f>
        <v>0</v>
      </c>
      <c r="AR44" s="127">
        <f t="shared" ca="1" si="72"/>
        <v>0</v>
      </c>
      <c r="AS44" s="127">
        <f ca="1">SUM(AR44:AR$124)*SSb</f>
        <v>0</v>
      </c>
      <c r="AT44" s="70">
        <f t="shared" ca="1" si="73"/>
        <v>34361.765440419229</v>
      </c>
      <c r="AU44" s="2">
        <f t="shared" ref="AU44" ca="1" si="752">IFERROR(VLOOKUP($S44,qx_table,MATCH(AU$11,qx_title,0)+sexB),0)</f>
        <v>0</v>
      </c>
      <c r="AV44" s="268">
        <f t="shared" ca="1" si="75"/>
        <v>0</v>
      </c>
      <c r="AW44" s="131">
        <f ca="1">SUM(AV44:AV$124)*SSc</f>
        <v>0</v>
      </c>
      <c r="AX44" s="70">
        <f t="shared" ca="1" si="76"/>
        <v>34361.765440419229</v>
      </c>
      <c r="AY44" s="2">
        <f t="shared" ref="AY44" ca="1" si="753">IFERROR(VLOOKUP($S44,qx_table,MATCH(AY$11,qx_title,0)+sexB),0)</f>
        <v>0</v>
      </c>
      <c r="AZ44" s="268">
        <f t="shared" ca="1" si="78"/>
        <v>0</v>
      </c>
      <c r="BA44" s="129">
        <f ca="1">SUM(AZ44:AZ$124)*SSd</f>
        <v>0</v>
      </c>
      <c r="BB44" s="70">
        <f t="shared" ca="1" si="79"/>
        <v>34361.765440419229</v>
      </c>
      <c r="BC44" s="257">
        <f t="shared" ref="BC44" ca="1" si="754">IFERROR(VLOOKUP($S44,qx_table,MATCH(BC$11,qx_title,0)+sexB),0)</f>
        <v>0</v>
      </c>
      <c r="BD44" s="268">
        <f t="shared" ca="1" si="81"/>
        <v>0</v>
      </c>
      <c r="BE44" s="131">
        <f ca="1">SUM(BD44:BD$124)*SSe</f>
        <v>0</v>
      </c>
      <c r="BF44" s="70">
        <f t="shared" ca="1" si="82"/>
        <v>34361.765440419229</v>
      </c>
      <c r="BG44" s="2">
        <f t="shared" ref="BG44" ca="1" si="755">IFERROR(VLOOKUP($S44,qx_table,MATCH(BG$11,qx_title,0)+sexB),0)</f>
        <v>0</v>
      </c>
      <c r="BH44" s="131">
        <f t="shared" ca="1" si="84"/>
        <v>0</v>
      </c>
      <c r="BI44" s="2">
        <f ca="1">SUM(BH44:BH$124)*SSf</f>
        <v>0</v>
      </c>
      <c r="BJ44" s="70">
        <f t="shared" ca="1" si="85"/>
        <v>34361.765440419229</v>
      </c>
      <c r="BK44" s="2">
        <f t="shared" ref="BK44" ca="1" si="756">IFERROR(VLOOKUP($S44,qx_table,MATCH(BK$11,qx_title,0)+sexB),0)</f>
        <v>0</v>
      </c>
      <c r="BL44" s="131">
        <f t="shared" ca="1" si="87"/>
        <v>0</v>
      </c>
      <c r="BM44" s="131">
        <f ca="1">SUM(BL44:BL$124)*SSg</f>
        <v>0</v>
      </c>
      <c r="BN44" s="70">
        <f t="shared" ca="1" si="88"/>
        <v>34361.765440419229</v>
      </c>
      <c r="BO44" s="2">
        <f t="shared" ref="BO44" ca="1" si="757">IFERROR(VLOOKUP($S44,qx_table,MATCH(BO$11,qx_title,0)+sexB),0)</f>
        <v>0</v>
      </c>
      <c r="BP44" s="131">
        <f t="shared" ca="1" si="90"/>
        <v>0</v>
      </c>
      <c r="BQ44" s="131">
        <f ca="1">SUM(BP44:BP$124)*SSh</f>
        <v>0</v>
      </c>
      <c r="BR44" s="70">
        <f t="shared" ca="1" si="91"/>
        <v>34361.765440419229</v>
      </c>
      <c r="BS44" s="2">
        <f t="shared" ref="BS44" ca="1" si="758">IFERROR(VLOOKUP($S44,qx_table,MATCH(BS$11,qx_title,0)+sexB),0)*IF(R44=0,MCi,1)</f>
        <v>0</v>
      </c>
      <c r="BT44" s="131">
        <f t="shared" ca="1" si="93"/>
        <v>0</v>
      </c>
      <c r="BU44" s="131">
        <f ca="1">SUM(BT44:BT$124)*SSi</f>
        <v>0</v>
      </c>
      <c r="BV44" s="70">
        <f t="shared" ca="1" si="94"/>
        <v>34361.765440419229</v>
      </c>
      <c r="BW44" s="2">
        <f t="shared" ref="BW44" ca="1" si="759">IFERROR(VLOOKUP($S44,qx_table,MATCH(BW$11,qx_title,0)+sexB),0)</f>
        <v>0</v>
      </c>
      <c r="BX44" s="131">
        <f t="shared" ca="1" si="96"/>
        <v>0</v>
      </c>
      <c r="BY44" s="131">
        <f ca="1">SUM(BX44:BX$124)*SSj</f>
        <v>0</v>
      </c>
      <c r="BZ44" s="70">
        <f t="shared" ca="1" si="97"/>
        <v>34361.765440419229</v>
      </c>
      <c r="CA44" s="2">
        <f t="shared" ref="CA44" ca="1" si="760">IFERROR(VLOOKUP($S44,qx_table,MATCH(CA$11,qx_title,0)+sexB),0)</f>
        <v>0</v>
      </c>
      <c r="CB44" s="131">
        <f t="shared" ca="1" si="99"/>
        <v>0</v>
      </c>
      <c r="CC44" s="131">
        <f ca="1">SUM(CB44:CB$124)*SSk</f>
        <v>0</v>
      </c>
      <c r="CD44" s="8">
        <f t="shared" ca="1" si="100"/>
        <v>34361.765440419229</v>
      </c>
      <c r="CE44" s="2">
        <f t="shared" ref="CE44" ca="1" si="761">IFERROR(VLOOKUP($S44,qx_table,MATCH(CE$11,qx_title,0)+sexB),0)</f>
        <v>0</v>
      </c>
      <c r="CF44" s="131">
        <f t="shared" ca="1" si="102"/>
        <v>0</v>
      </c>
      <c r="CG44" s="131">
        <f ca="1">SUM(CF44:CF$124)*SSl</f>
        <v>0</v>
      </c>
      <c r="CH44" s="155">
        <f t="shared" ca="1" si="103"/>
        <v>0.01</v>
      </c>
      <c r="CI44" s="155">
        <f t="shared" ca="1" si="104"/>
        <v>0</v>
      </c>
      <c r="CJ44" s="155">
        <f t="shared" ca="1" si="105"/>
        <v>0</v>
      </c>
      <c r="CK44" s="155">
        <f ca="1">'유해지 (기준P)'!CZ44</f>
        <v>0</v>
      </c>
      <c r="CL44" s="155">
        <f t="shared" ref="CL44:CL75" ca="1" si="762">IF(R44&lt;mB,0,(CK44+CK45)/2)</f>
        <v>0</v>
      </c>
      <c r="CM44" s="155">
        <f t="shared" ca="1" si="106"/>
        <v>0</v>
      </c>
      <c r="CN44" s="155">
        <f ca="1">SUM(CM44:$CM$124)</f>
        <v>0</v>
      </c>
      <c r="CO44" s="101">
        <f t="shared" ca="1" si="107"/>
        <v>0</v>
      </c>
      <c r="CP44" s="154">
        <f t="shared" ref="CP44:CP75" ca="1" si="763">MAX((VLOOKUP(xB+R44,기수표B,$CO$1)-VLOOKUP(xB+nB,기수표B,$CO$1)),0)</f>
        <v>0</v>
      </c>
      <c r="CQ44" s="154">
        <f t="shared" ref="CQ44:CQ75" ca="1" si="764">MAX((VLOOKUP(xB+R44,기수표B,$CN$1)-VLOOKUP(xB+nB,기수표B,$CN$1)),0)</f>
        <v>0</v>
      </c>
      <c r="CR44" s="32">
        <f t="shared" ref="CR44" ca="1" si="765">+MAX(VLOOKUP(xB+$R44,기수표B,$AH$1)-VLOOKUP(xB+mB,기수표B,$AH$1),0)</f>
        <v>0</v>
      </c>
      <c r="CS44" s="32">
        <f t="shared" ref="CS44:CS75" ca="1" si="766">+MAX(VLOOKUP(xB+$R44,기수표B,$AH$1)-VLOOKUP(xB+mB,기수표B,$AH$1)-(mmB-1)/(mmB*2)*(VLOOKUP(xB+$R44,기수표B,$AG$1)-VLOOKUP(xB+mB,기수표B,$AG$1)),0)</f>
        <v>0</v>
      </c>
      <c r="CT44" s="32">
        <f t="shared" ref="CT44" ca="1" si="767">+MAX(VLOOKUP(xB+$R44,기수표B,$AA$1)-VLOOKUP(xB+mB,기수표B,$AA$1),0)</f>
        <v>0</v>
      </c>
      <c r="CU44" s="32">
        <f t="shared" ref="CU44:CU75" ca="1" si="768">+MAX(VLOOKUP(xB+$R44,기수표B,$AA$1)-VLOOKUP(xB+mB,기수표B,$AA$1)-(mmB-1)/(2*mmB)*(VLOOKUP(xB+$R44,기수표B,$AA$1)-VLOOKUP(xB+mB,기수표B,$AA$1)),0)</f>
        <v>0</v>
      </c>
      <c r="CV44" s="32">
        <f t="shared" ref="CV44:CV75" si="769">IF(R44&gt;nB,0,VLOOKUP(xB+MAX($R44,mB),기수표B,$AA$1)-VLOOKUP(xB+nB,기수표B,$AA$1))</f>
        <v>0</v>
      </c>
      <c r="CW44" s="259">
        <f t="shared" ref="CW44:CW75" ca="1" si="770">IF(JRB=1,mmB*NPPB*$CS44,0)</f>
        <v>0</v>
      </c>
      <c r="CX44" s="32">
        <f t="shared" ref="CX44:CX75" ca="1" si="771">ROUND(IF($R44&gt;nB,0,$CZ44-MAX($DA44-$R44,0)/$DA44*$C$31),roundB)</f>
        <v>0</v>
      </c>
      <c r="CY44" s="262">
        <f t="shared" ref="CY44:CY75" ca="1" si="772">+IF(JRB=1,CX44,MAX(0,ROUND(IF($R44&gt;nB,0,CZ44-MAX($DA44-$R44,0)/$DA44*$C$33),round)))</f>
        <v>0</v>
      </c>
      <c r="CZ44" s="259" t="e">
        <f t="shared" ref="CZ44:CZ75" ca="1" si="773">(CP44+CQ44+BETAD_SB*$CV44-CW44)/Z44</f>
        <v>#DIV/0!</v>
      </c>
      <c r="DA44" s="31">
        <f t="shared" ref="DA44" ca="1" si="774">+MIN(mB,7)</f>
        <v>7</v>
      </c>
    </row>
    <row r="45" spans="1:105">
      <c r="N45" s="5">
        <f t="shared" si="111"/>
        <v>33</v>
      </c>
      <c r="O45" s="2">
        <f t="shared" ref="O45" ca="1" si="775">+(1+iB)^-N45</f>
        <v>0.47985558024142216</v>
      </c>
      <c r="P45" s="2">
        <f t="shared" ref="P45" ca="1" si="776">+(1+iB)^-(N45+0.5)</f>
        <v>0.47454662742745235</v>
      </c>
      <c r="Q45" s="91"/>
      <c r="R45" s="20">
        <f t="shared" si="114"/>
        <v>33</v>
      </c>
      <c r="S45" s="20" t="str">
        <f t="shared" ref="S45" si="777">+IF(xB+R45&lt;=xB+nB,xB+R45,"")</f>
        <v/>
      </c>
      <c r="T45" s="2">
        <f t="shared" ref="T45:U45" ca="1" si="778">IFERROR(VLOOKUP($S45,qx_table,MATCH(T$11,qx_title,0)+sexB),0)</f>
        <v>0</v>
      </c>
      <c r="U45" s="2">
        <f t="shared" ca="1" si="778"/>
        <v>0</v>
      </c>
      <c r="V45" s="300">
        <f t="shared" ca="1" si="747"/>
        <v>0.01</v>
      </c>
      <c r="W45" s="8">
        <f t="shared" ref="W45" si="779">IF(R45=0,100000,IF(R45&gt;nB,0,W44*(1-X44)*(1-Y44)))</f>
        <v>0</v>
      </c>
      <c r="X45" s="10">
        <f t="shared" ca="1" si="28"/>
        <v>1.0000000000000009E-2</v>
      </c>
      <c r="Y45" s="10">
        <f t="shared" ca="1" si="29"/>
        <v>0</v>
      </c>
      <c r="Z45" s="8">
        <f t="shared" ca="1" si="64"/>
        <v>0</v>
      </c>
      <c r="AA45" s="8">
        <f ca="1">+SUM(Z45:Z$124)</f>
        <v>0</v>
      </c>
      <c r="AB45" s="8">
        <f t="shared" ca="1" si="30"/>
        <v>0</v>
      </c>
      <c r="AC45" s="209">
        <f ca="1">+SUM(AB45:AB$124)*SSSM</f>
        <v>0</v>
      </c>
      <c r="AD45" s="209">
        <f t="shared" ref="AD45" si="780">IF(R45&gt;nB,0,AD44*(1-X44)*(1-Y44)*(1-AE44)*(1-AF44))</f>
        <v>0</v>
      </c>
      <c r="AE45" s="92">
        <f t="shared" ca="1" si="31"/>
        <v>0</v>
      </c>
      <c r="AF45" s="92">
        <f t="shared" ca="1" si="32"/>
        <v>0</v>
      </c>
      <c r="AG45" s="8">
        <f t="shared" ca="1" si="33"/>
        <v>0</v>
      </c>
      <c r="AH45" s="5">
        <f ca="1">+SUM(AG45:AG$124)</f>
        <v>0</v>
      </c>
      <c r="AI45" s="70">
        <f t="shared" ca="1" si="34"/>
        <v>0</v>
      </c>
      <c r="AJ45" s="208">
        <f ca="1">+SUM(AB45:AB$124)*SS50J</f>
        <v>0</v>
      </c>
      <c r="AK45" s="5">
        <f t="shared" ca="1" si="66"/>
        <v>34018.147786015033</v>
      </c>
      <c r="AL45" s="2">
        <f t="shared" ref="AL45" ca="1" si="781">IFERROR(VLOOKUP($S45,qx_table,MATCH(AL$11,qx_title,0)+sexB),0)</f>
        <v>0</v>
      </c>
      <c r="AM45" s="131">
        <f t="shared" ca="1" si="68"/>
        <v>16323.798044596695</v>
      </c>
      <c r="AN45" s="129">
        <f t="shared" ref="AN45:AN76" ca="1" si="782">AK45*AL45*(1-CHOOSE(JRB,1,0)*$V45/2)*$P45</f>
        <v>0</v>
      </c>
      <c r="AO45" s="129">
        <f ca="1">SUM(AN45:AN$124)*SSa</f>
        <v>0</v>
      </c>
      <c r="AP45" s="70">
        <f t="shared" ca="1" si="70"/>
        <v>34018.147786015033</v>
      </c>
      <c r="AQ45" s="2">
        <f t="shared" ref="AQ45" ca="1" si="783">IFERROR(VLOOKUP($S45,qx_table,MATCH(AQ$11,qx_title,0)+sexB),0)</f>
        <v>0</v>
      </c>
      <c r="AR45" s="127">
        <f t="shared" ref="AR45:AR76" ca="1" si="784">AP45*AQ45*(1-CHOOSE(JRB,1,0)*$V45/2)*$P45</f>
        <v>0</v>
      </c>
      <c r="AS45" s="127">
        <f ca="1">SUM(AR45:AR$124)*SSb</f>
        <v>0</v>
      </c>
      <c r="AT45" s="70">
        <f t="shared" ca="1" si="73"/>
        <v>34018.147786015033</v>
      </c>
      <c r="AU45" s="2">
        <f t="shared" ref="AU45" ca="1" si="785">IFERROR(VLOOKUP($S45,qx_table,MATCH(AU$11,qx_title,0)+sexB),0)</f>
        <v>0</v>
      </c>
      <c r="AV45" s="268">
        <f t="shared" ref="AV45:AV76" ca="1" si="786">AT45*AU45*(1-CHOOSE(JRB,1,0)*$V45/2)*$P45</f>
        <v>0</v>
      </c>
      <c r="AW45" s="131">
        <f ca="1">SUM(AV45:AV$124)*SSc</f>
        <v>0</v>
      </c>
      <c r="AX45" s="70">
        <f t="shared" ca="1" si="76"/>
        <v>34018.147786015033</v>
      </c>
      <c r="AY45" s="2">
        <f t="shared" ref="AY45" ca="1" si="787">IFERROR(VLOOKUP($S45,qx_table,MATCH(AY$11,qx_title,0)+sexB),0)</f>
        <v>0</v>
      </c>
      <c r="AZ45" s="268">
        <f t="shared" ref="AZ45:AZ76" ca="1" si="788">AX45*AY45*(1-CHOOSE(JRB,1,0)*$V45/2)*$P45</f>
        <v>0</v>
      </c>
      <c r="BA45" s="129">
        <f ca="1">SUM(AZ45:AZ$124)*SSd</f>
        <v>0</v>
      </c>
      <c r="BB45" s="70">
        <f t="shared" ca="1" si="79"/>
        <v>34018.147786015033</v>
      </c>
      <c r="BC45" s="257">
        <f t="shared" ref="BC45" ca="1" si="789">IFERROR(VLOOKUP($S45,qx_table,MATCH(BC$11,qx_title,0)+sexB),0)</f>
        <v>0</v>
      </c>
      <c r="BD45" s="268">
        <f t="shared" ref="BD45:BD76" ca="1" si="790">BB45*BC45*(1-CHOOSE(JRB,1,0)*$V45/2)*$P45</f>
        <v>0</v>
      </c>
      <c r="BE45" s="131">
        <f ca="1">SUM(BD45:BD$124)*SSe</f>
        <v>0</v>
      </c>
      <c r="BF45" s="70">
        <f t="shared" ca="1" si="82"/>
        <v>34018.147786015033</v>
      </c>
      <c r="BG45" s="2">
        <f t="shared" ref="BG45" ca="1" si="791">IFERROR(VLOOKUP($S45,qx_table,MATCH(BG$11,qx_title,0)+sexB),0)</f>
        <v>0</v>
      </c>
      <c r="BH45" s="131">
        <f t="shared" ref="BH45:BH76" ca="1" si="792">BF45*BG45*(1-CHOOSE(JRB,1,0)*$V45/2)*$P45</f>
        <v>0</v>
      </c>
      <c r="BI45" s="2">
        <f ca="1">SUM(BH45:BH$124)*SSf</f>
        <v>0</v>
      </c>
      <c r="BJ45" s="70">
        <f t="shared" ca="1" si="85"/>
        <v>34018.147786015033</v>
      </c>
      <c r="BK45" s="2">
        <f t="shared" ref="BK45" ca="1" si="793">IFERROR(VLOOKUP($S45,qx_table,MATCH(BK$11,qx_title,0)+sexB),0)</f>
        <v>0</v>
      </c>
      <c r="BL45" s="131">
        <f t="shared" ref="BL45:BL76" ca="1" si="794">BJ45*BK45*(1-CHOOSE(JRB,1,0)*$V45/2)*$P45</f>
        <v>0</v>
      </c>
      <c r="BM45" s="131">
        <f ca="1">SUM(BL45:BL$124)*SSg</f>
        <v>0</v>
      </c>
      <c r="BN45" s="70">
        <f t="shared" ca="1" si="88"/>
        <v>34018.147786015033</v>
      </c>
      <c r="BO45" s="2">
        <f t="shared" ref="BO45" ca="1" si="795">IFERROR(VLOOKUP($S45,qx_table,MATCH(BO$11,qx_title,0)+sexB),0)</f>
        <v>0</v>
      </c>
      <c r="BP45" s="131">
        <f t="shared" ref="BP45:BP76" ca="1" si="796">BN45*BO45*(1-CHOOSE(JRB,1,0)*$V45/2)*$P45</f>
        <v>0</v>
      </c>
      <c r="BQ45" s="131">
        <f ca="1">SUM(BP45:BP$124)*SSh</f>
        <v>0</v>
      </c>
      <c r="BR45" s="70">
        <f t="shared" ca="1" si="91"/>
        <v>34018.147786015033</v>
      </c>
      <c r="BS45" s="2">
        <f t="shared" ref="BS45" ca="1" si="797">IFERROR(VLOOKUP($S45,qx_table,MATCH(BS$11,qx_title,0)+sexB),0)*IF(R45=0,MCi,1)</f>
        <v>0</v>
      </c>
      <c r="BT45" s="131">
        <f t="shared" ref="BT45:BT76" ca="1" si="798">BR45*BS45*(1-CHOOSE(JRB,1,0)*$V45/2)*$P45</f>
        <v>0</v>
      </c>
      <c r="BU45" s="131">
        <f ca="1">SUM(BT45:BT$124)*SSi</f>
        <v>0</v>
      </c>
      <c r="BV45" s="70">
        <f t="shared" ca="1" si="94"/>
        <v>34018.147786015033</v>
      </c>
      <c r="BW45" s="2">
        <f t="shared" ref="BW45" ca="1" si="799">IFERROR(VLOOKUP($S45,qx_table,MATCH(BW$11,qx_title,0)+sexB),0)</f>
        <v>0</v>
      </c>
      <c r="BX45" s="131">
        <f t="shared" ref="BX45:BX76" ca="1" si="800">BV45*BW45*(1-CHOOSE(JRB,1,0)*$V45/2)*$P45</f>
        <v>0</v>
      </c>
      <c r="BY45" s="131">
        <f ca="1">SUM(BX45:BX$124)*SSj</f>
        <v>0</v>
      </c>
      <c r="BZ45" s="70">
        <f t="shared" ca="1" si="97"/>
        <v>34018.147786015033</v>
      </c>
      <c r="CA45" s="2">
        <f t="shared" ref="CA45" ca="1" si="801">IFERROR(VLOOKUP($S45,qx_table,MATCH(CA$11,qx_title,0)+sexB),0)</f>
        <v>0</v>
      </c>
      <c r="CB45" s="131">
        <f t="shared" ref="CB45:CB76" ca="1" si="802">BZ45*CA45*(1-CHOOSE(JRB,1,0)*$V45/2)*$P45</f>
        <v>0</v>
      </c>
      <c r="CC45" s="131">
        <f ca="1">SUM(CB45:CB$124)*SSk</f>
        <v>0</v>
      </c>
      <c r="CD45" s="8">
        <f t="shared" ca="1" si="100"/>
        <v>34018.147786015033</v>
      </c>
      <c r="CE45" s="2">
        <f t="shared" ref="CE45" ca="1" si="803">IFERROR(VLOOKUP($S45,qx_table,MATCH(CE$11,qx_title,0)+sexB),0)</f>
        <v>0</v>
      </c>
      <c r="CF45" s="131">
        <f t="shared" ref="CF45:CF76" ca="1" si="804">CD45*CE45*(1-CHOOSE(JRB,1,0)*$V45/2)*$P45</f>
        <v>0</v>
      </c>
      <c r="CG45" s="131">
        <f ca="1">SUM(CF45:CF$124)*SSl</f>
        <v>0</v>
      </c>
      <c r="CH45" s="155">
        <f t="shared" ca="1" si="103"/>
        <v>0.01</v>
      </c>
      <c r="CI45" s="155">
        <f t="shared" ca="1" si="104"/>
        <v>0</v>
      </c>
      <c r="CJ45" s="155">
        <f t="shared" ca="1" si="105"/>
        <v>0</v>
      </c>
      <c r="CK45" s="155">
        <f ca="1">'유해지 (기준P)'!CZ45</f>
        <v>0</v>
      </c>
      <c r="CL45" s="155">
        <f t="shared" ca="1" si="762"/>
        <v>0</v>
      </c>
      <c r="CM45" s="155">
        <f t="shared" ca="1" si="106"/>
        <v>0</v>
      </c>
      <c r="CN45" s="155">
        <f ca="1">SUM(CM45:$CM$124)</f>
        <v>0</v>
      </c>
      <c r="CO45" s="101">
        <f t="shared" ca="1" si="107"/>
        <v>0</v>
      </c>
      <c r="CP45" s="154">
        <f t="shared" ca="1" si="763"/>
        <v>0</v>
      </c>
      <c r="CQ45" s="154">
        <f t="shared" ca="1" si="764"/>
        <v>0</v>
      </c>
      <c r="CR45" s="32">
        <f t="shared" ref="CR45" ca="1" si="805">+MAX(VLOOKUP(xB+$R45,기수표B,$AH$1)-VLOOKUP(xB+mB,기수표B,$AH$1),0)</f>
        <v>0</v>
      </c>
      <c r="CS45" s="32">
        <f t="shared" ca="1" si="766"/>
        <v>0</v>
      </c>
      <c r="CT45" s="32">
        <f t="shared" ref="CT45" ca="1" si="806">+MAX(VLOOKUP(xB+$R45,기수표B,$AA$1)-VLOOKUP(xB+mB,기수표B,$AA$1),0)</f>
        <v>0</v>
      </c>
      <c r="CU45" s="32">
        <f t="shared" ca="1" si="768"/>
        <v>0</v>
      </c>
      <c r="CV45" s="32">
        <f t="shared" si="769"/>
        <v>0</v>
      </c>
      <c r="CW45" s="259">
        <f t="shared" ca="1" si="770"/>
        <v>0</v>
      </c>
      <c r="CX45" s="32">
        <f t="shared" ca="1" si="771"/>
        <v>0</v>
      </c>
      <c r="CY45" s="262">
        <f t="shared" ca="1" si="772"/>
        <v>0</v>
      </c>
      <c r="CZ45" s="259" t="e">
        <f t="shared" ca="1" si="773"/>
        <v>#DIV/0!</v>
      </c>
      <c r="DA45" s="31">
        <f t="shared" ref="DA45" ca="1" si="807">+MIN(mB,7)</f>
        <v>7</v>
      </c>
    </row>
    <row r="46" spans="1:105">
      <c r="N46" s="5">
        <f t="shared" si="111"/>
        <v>34</v>
      </c>
      <c r="O46" s="2">
        <f t="shared" ref="O46" ca="1" si="808">+(1+iB)^-N46</f>
        <v>0.469296410994056</v>
      </c>
      <c r="P46" s="2">
        <f t="shared" ref="P46" ca="1" si="809">+(1+iB)^-(N46+0.5)</f>
        <v>0.4641042811026429</v>
      </c>
      <c r="Q46" s="91"/>
      <c r="R46" s="20">
        <f t="shared" si="114"/>
        <v>34</v>
      </c>
      <c r="S46" s="20" t="str">
        <f t="shared" ref="S46" si="810">+IF(xB+R46&lt;=xB+nB,xB+R46,"")</f>
        <v/>
      </c>
      <c r="T46" s="2">
        <f t="shared" ref="T46:U46" ca="1" si="811">IFERROR(VLOOKUP($S46,qx_table,MATCH(T$11,qx_title,0)+sexB),0)</f>
        <v>0</v>
      </c>
      <c r="U46" s="2">
        <f t="shared" ca="1" si="811"/>
        <v>0</v>
      </c>
      <c r="V46" s="300">
        <f t="shared" ca="1" si="747"/>
        <v>0.01</v>
      </c>
      <c r="W46" s="8">
        <f t="shared" ref="W46" si="812">IF(R46=0,100000,IF(R46&gt;nB,0,W45*(1-X45)*(1-Y45)))</f>
        <v>0</v>
      </c>
      <c r="X46" s="10">
        <f t="shared" ca="1" si="28"/>
        <v>1.0000000000000009E-2</v>
      </c>
      <c r="Y46" s="10">
        <f t="shared" ca="1" si="29"/>
        <v>0</v>
      </c>
      <c r="Z46" s="8">
        <f t="shared" ca="1" si="64"/>
        <v>0</v>
      </c>
      <c r="AA46" s="8">
        <f ca="1">+SUM(Z46:Z$124)</f>
        <v>0</v>
      </c>
      <c r="AB46" s="8">
        <f t="shared" ca="1" si="30"/>
        <v>0</v>
      </c>
      <c r="AC46" s="209">
        <f ca="1">+SUM(AB46:AB$124)*SSSM</f>
        <v>0</v>
      </c>
      <c r="AD46" s="209">
        <f t="shared" ref="AD46" si="813">IF(R46&gt;nB,0,AD45*(1-X45)*(1-Y45)*(1-AE45)*(1-AF45))</f>
        <v>0</v>
      </c>
      <c r="AE46" s="92">
        <f t="shared" ca="1" si="31"/>
        <v>0</v>
      </c>
      <c r="AF46" s="92">
        <f t="shared" ca="1" si="32"/>
        <v>0</v>
      </c>
      <c r="AG46" s="8">
        <f t="shared" ca="1" si="33"/>
        <v>0</v>
      </c>
      <c r="AH46" s="5">
        <f ca="1">+SUM(AG46:AG$124)</f>
        <v>0</v>
      </c>
      <c r="AI46" s="70">
        <f t="shared" ca="1" si="34"/>
        <v>0</v>
      </c>
      <c r="AJ46" s="208">
        <f ca="1">+SUM(AB46:AB$124)*SS50J</f>
        <v>0</v>
      </c>
      <c r="AK46" s="5">
        <f t="shared" ca="1" si="66"/>
        <v>33677.966308154886</v>
      </c>
      <c r="AL46" s="2">
        <f t="shared" ref="AL46" ca="1" si="814">IFERROR(VLOOKUP($S46,qx_table,MATCH(AL$11,qx_title,0)+sexB),0)</f>
        <v>0</v>
      </c>
      <c r="AM46" s="131">
        <f t="shared" ca="1" si="68"/>
        <v>15804.948717995827</v>
      </c>
      <c r="AN46" s="129">
        <f t="shared" ca="1" si="782"/>
        <v>0</v>
      </c>
      <c r="AO46" s="129">
        <f ca="1">SUM(AN46:AN$124)*SSa</f>
        <v>0</v>
      </c>
      <c r="AP46" s="70">
        <f t="shared" ca="1" si="70"/>
        <v>33677.966308154886</v>
      </c>
      <c r="AQ46" s="2">
        <f t="shared" ref="AQ46" ca="1" si="815">IFERROR(VLOOKUP($S46,qx_table,MATCH(AQ$11,qx_title,0)+sexB),0)</f>
        <v>0</v>
      </c>
      <c r="AR46" s="127">
        <f t="shared" ca="1" si="784"/>
        <v>0</v>
      </c>
      <c r="AS46" s="127">
        <f ca="1">SUM(AR46:AR$124)*SSb</f>
        <v>0</v>
      </c>
      <c r="AT46" s="70">
        <f t="shared" ca="1" si="73"/>
        <v>33677.966308154886</v>
      </c>
      <c r="AU46" s="2">
        <f t="shared" ref="AU46" ca="1" si="816">IFERROR(VLOOKUP($S46,qx_table,MATCH(AU$11,qx_title,0)+sexB),0)</f>
        <v>0</v>
      </c>
      <c r="AV46" s="268">
        <f t="shared" ca="1" si="786"/>
        <v>0</v>
      </c>
      <c r="AW46" s="131">
        <f ca="1">SUM(AV46:AV$124)*SSc</f>
        <v>0</v>
      </c>
      <c r="AX46" s="70">
        <f t="shared" ca="1" si="76"/>
        <v>33677.966308154886</v>
      </c>
      <c r="AY46" s="2">
        <f t="shared" ref="AY46" ca="1" si="817">IFERROR(VLOOKUP($S46,qx_table,MATCH(AY$11,qx_title,0)+sexB),0)</f>
        <v>0</v>
      </c>
      <c r="AZ46" s="268">
        <f t="shared" ca="1" si="788"/>
        <v>0</v>
      </c>
      <c r="BA46" s="129">
        <f ca="1">SUM(AZ46:AZ$124)*SSd</f>
        <v>0</v>
      </c>
      <c r="BB46" s="70">
        <f t="shared" ca="1" si="79"/>
        <v>33677.966308154886</v>
      </c>
      <c r="BC46" s="257">
        <f t="shared" ref="BC46" ca="1" si="818">IFERROR(VLOOKUP($S46,qx_table,MATCH(BC$11,qx_title,0)+sexB),0)</f>
        <v>0</v>
      </c>
      <c r="BD46" s="268">
        <f t="shared" ca="1" si="790"/>
        <v>0</v>
      </c>
      <c r="BE46" s="131">
        <f ca="1">SUM(BD46:BD$124)*SSe</f>
        <v>0</v>
      </c>
      <c r="BF46" s="70">
        <f t="shared" ca="1" si="82"/>
        <v>33677.966308154886</v>
      </c>
      <c r="BG46" s="2">
        <f t="shared" ref="BG46" ca="1" si="819">IFERROR(VLOOKUP($S46,qx_table,MATCH(BG$11,qx_title,0)+sexB),0)</f>
        <v>0</v>
      </c>
      <c r="BH46" s="131">
        <f t="shared" ca="1" si="792"/>
        <v>0</v>
      </c>
      <c r="BI46" s="2">
        <f ca="1">SUM(BH46:BH$124)*SSf</f>
        <v>0</v>
      </c>
      <c r="BJ46" s="70">
        <f t="shared" ca="1" si="85"/>
        <v>33677.966308154886</v>
      </c>
      <c r="BK46" s="2">
        <f t="shared" ref="BK46" ca="1" si="820">IFERROR(VLOOKUP($S46,qx_table,MATCH(BK$11,qx_title,0)+sexB),0)</f>
        <v>0</v>
      </c>
      <c r="BL46" s="131">
        <f t="shared" ca="1" si="794"/>
        <v>0</v>
      </c>
      <c r="BM46" s="131">
        <f ca="1">SUM(BL46:BL$124)*SSg</f>
        <v>0</v>
      </c>
      <c r="BN46" s="70">
        <f t="shared" ca="1" si="88"/>
        <v>33677.966308154886</v>
      </c>
      <c r="BO46" s="2">
        <f t="shared" ref="BO46" ca="1" si="821">IFERROR(VLOOKUP($S46,qx_table,MATCH(BO$11,qx_title,0)+sexB),0)</f>
        <v>0</v>
      </c>
      <c r="BP46" s="131">
        <f t="shared" ca="1" si="796"/>
        <v>0</v>
      </c>
      <c r="BQ46" s="131">
        <f ca="1">SUM(BP46:BP$124)*SSh</f>
        <v>0</v>
      </c>
      <c r="BR46" s="70">
        <f t="shared" ca="1" si="91"/>
        <v>33677.966308154886</v>
      </c>
      <c r="BS46" s="2">
        <f t="shared" ref="BS46" ca="1" si="822">IFERROR(VLOOKUP($S46,qx_table,MATCH(BS$11,qx_title,0)+sexB),0)*IF(R46=0,MCi,1)</f>
        <v>0</v>
      </c>
      <c r="BT46" s="131">
        <f t="shared" ca="1" si="798"/>
        <v>0</v>
      </c>
      <c r="BU46" s="131">
        <f ca="1">SUM(BT46:BT$124)*SSi</f>
        <v>0</v>
      </c>
      <c r="BV46" s="70">
        <f t="shared" ca="1" si="94"/>
        <v>33677.966308154886</v>
      </c>
      <c r="BW46" s="2">
        <f t="shared" ref="BW46" ca="1" si="823">IFERROR(VLOOKUP($S46,qx_table,MATCH(BW$11,qx_title,0)+sexB),0)</f>
        <v>0</v>
      </c>
      <c r="BX46" s="131">
        <f t="shared" ca="1" si="800"/>
        <v>0</v>
      </c>
      <c r="BY46" s="131">
        <f ca="1">SUM(BX46:BX$124)*SSj</f>
        <v>0</v>
      </c>
      <c r="BZ46" s="70">
        <f t="shared" ca="1" si="97"/>
        <v>33677.966308154886</v>
      </c>
      <c r="CA46" s="2">
        <f t="shared" ref="CA46" ca="1" si="824">IFERROR(VLOOKUP($S46,qx_table,MATCH(CA$11,qx_title,0)+sexB),0)</f>
        <v>0</v>
      </c>
      <c r="CB46" s="131">
        <f t="shared" ca="1" si="802"/>
        <v>0</v>
      </c>
      <c r="CC46" s="131">
        <f ca="1">SUM(CB46:CB$124)*SSk</f>
        <v>0</v>
      </c>
      <c r="CD46" s="8">
        <f t="shared" ca="1" si="100"/>
        <v>33677.966308154886</v>
      </c>
      <c r="CE46" s="2">
        <f t="shared" ref="CE46" ca="1" si="825">IFERROR(VLOOKUP($S46,qx_table,MATCH(CE$11,qx_title,0)+sexB),0)</f>
        <v>0</v>
      </c>
      <c r="CF46" s="131">
        <f t="shared" ca="1" si="804"/>
        <v>0</v>
      </c>
      <c r="CG46" s="131">
        <f ca="1">SUM(CF46:CF$124)*SSl</f>
        <v>0</v>
      </c>
      <c r="CH46" s="155">
        <f t="shared" ca="1" si="103"/>
        <v>0.01</v>
      </c>
      <c r="CI46" s="155">
        <f t="shared" ca="1" si="104"/>
        <v>0</v>
      </c>
      <c r="CJ46" s="155">
        <f t="shared" ca="1" si="105"/>
        <v>0</v>
      </c>
      <c r="CK46" s="155">
        <f ca="1">'유해지 (기준P)'!CZ46</f>
        <v>0</v>
      </c>
      <c r="CL46" s="155">
        <f t="shared" ca="1" si="762"/>
        <v>0</v>
      </c>
      <c r="CM46" s="155">
        <f t="shared" ca="1" si="106"/>
        <v>0</v>
      </c>
      <c r="CN46" s="155">
        <f ca="1">SUM(CM46:$CM$124)</f>
        <v>0</v>
      </c>
      <c r="CO46" s="101">
        <f t="shared" ca="1" si="107"/>
        <v>0</v>
      </c>
      <c r="CP46" s="154">
        <f t="shared" ca="1" si="763"/>
        <v>0</v>
      </c>
      <c r="CQ46" s="154">
        <f t="shared" ca="1" si="764"/>
        <v>0</v>
      </c>
      <c r="CR46" s="32">
        <f t="shared" ref="CR46" ca="1" si="826">+MAX(VLOOKUP(xB+$R46,기수표B,$AH$1)-VLOOKUP(xB+mB,기수표B,$AH$1),0)</f>
        <v>0</v>
      </c>
      <c r="CS46" s="32">
        <f t="shared" ca="1" si="766"/>
        <v>0</v>
      </c>
      <c r="CT46" s="32">
        <f t="shared" ref="CT46" ca="1" si="827">+MAX(VLOOKUP(xB+$R46,기수표B,$AA$1)-VLOOKUP(xB+mB,기수표B,$AA$1),0)</f>
        <v>0</v>
      </c>
      <c r="CU46" s="32">
        <f t="shared" ca="1" si="768"/>
        <v>0</v>
      </c>
      <c r="CV46" s="32">
        <f t="shared" si="769"/>
        <v>0</v>
      </c>
      <c r="CW46" s="259">
        <f t="shared" ca="1" si="770"/>
        <v>0</v>
      </c>
      <c r="CX46" s="32">
        <f t="shared" ca="1" si="771"/>
        <v>0</v>
      </c>
      <c r="CY46" s="262">
        <f t="shared" ca="1" si="772"/>
        <v>0</v>
      </c>
      <c r="CZ46" s="259" t="e">
        <f t="shared" ca="1" si="773"/>
        <v>#DIV/0!</v>
      </c>
      <c r="DA46" s="31">
        <f t="shared" ref="DA46" ca="1" si="828">+MIN(mB,7)</f>
        <v>7</v>
      </c>
    </row>
    <row r="47" spans="1:105">
      <c r="N47" s="5">
        <f t="shared" si="111"/>
        <v>35</v>
      </c>
      <c r="O47" s="2">
        <f t="shared" ref="O47" ca="1" si="829">+(1+iB)^-N47</f>
        <v>0.45896959510421126</v>
      </c>
      <c r="P47" s="2">
        <f t="shared" ref="P47" ca="1" si="830">+(1+iB)^-(N47+0.5)</f>
        <v>0.45389171745979745</v>
      </c>
      <c r="Q47" s="91"/>
      <c r="R47" s="20">
        <f t="shared" si="114"/>
        <v>35</v>
      </c>
      <c r="S47" s="20" t="str">
        <f t="shared" ref="S47" si="831">+IF(xB+R47&lt;=xB+nB,xB+R47,"")</f>
        <v/>
      </c>
      <c r="T47" s="2">
        <f t="shared" ref="T47:U47" ca="1" si="832">IFERROR(VLOOKUP($S47,qx_table,MATCH(T$11,qx_title,0)+sexB),0)</f>
        <v>0</v>
      </c>
      <c r="U47" s="2">
        <f t="shared" ca="1" si="832"/>
        <v>0</v>
      </c>
      <c r="V47" s="300">
        <f t="shared" ca="1" si="747"/>
        <v>0.01</v>
      </c>
      <c r="W47" s="8">
        <f t="shared" ref="W47" si="833">IF(R47=0,100000,IF(R47&gt;nB,0,W46*(1-X46)*(1-Y46)))</f>
        <v>0</v>
      </c>
      <c r="X47" s="10">
        <f t="shared" ca="1" si="28"/>
        <v>1.0000000000000009E-2</v>
      </c>
      <c r="Y47" s="10">
        <f t="shared" ca="1" si="29"/>
        <v>0</v>
      </c>
      <c r="Z47" s="8">
        <f t="shared" ca="1" si="64"/>
        <v>0</v>
      </c>
      <c r="AA47" s="8">
        <f ca="1">+SUM(Z47:Z$124)</f>
        <v>0</v>
      </c>
      <c r="AB47" s="8">
        <f t="shared" ca="1" si="30"/>
        <v>0</v>
      </c>
      <c r="AC47" s="209">
        <f ca="1">+SUM(AB47:AB$124)*SSSM</f>
        <v>0</v>
      </c>
      <c r="AD47" s="209">
        <f t="shared" ref="AD47" si="834">IF(R47&gt;nB,0,AD46*(1-X46)*(1-Y46)*(1-AE46)*(1-AF46))</f>
        <v>0</v>
      </c>
      <c r="AE47" s="92">
        <f t="shared" ca="1" si="31"/>
        <v>0</v>
      </c>
      <c r="AF47" s="92">
        <f t="shared" ca="1" si="32"/>
        <v>0</v>
      </c>
      <c r="AG47" s="8">
        <f t="shared" ca="1" si="33"/>
        <v>0</v>
      </c>
      <c r="AH47" s="5">
        <f ca="1">+SUM(AG47:AG$124)</f>
        <v>0</v>
      </c>
      <c r="AI47" s="70">
        <f t="shared" ca="1" si="34"/>
        <v>0</v>
      </c>
      <c r="AJ47" s="208">
        <f ca="1">+SUM(AB47:AB$124)*SS50J</f>
        <v>0</v>
      </c>
      <c r="AK47" s="5">
        <f t="shared" ca="1" si="66"/>
        <v>33341.186645073336</v>
      </c>
      <c r="AL47" s="2">
        <f t="shared" ref="AL47" ca="1" si="835">IFERROR(VLOOKUP($S47,qx_table,MATCH(AL$11,qx_title,0)+sexB),0)</f>
        <v>0</v>
      </c>
      <c r="AM47" s="131">
        <f t="shared" ca="1" si="68"/>
        <v>15302.590934783244</v>
      </c>
      <c r="AN47" s="129">
        <f t="shared" ca="1" si="782"/>
        <v>0</v>
      </c>
      <c r="AO47" s="129">
        <f ca="1">SUM(AN47:AN$124)*SSa</f>
        <v>0</v>
      </c>
      <c r="AP47" s="70">
        <f t="shared" ca="1" si="70"/>
        <v>33341.186645073336</v>
      </c>
      <c r="AQ47" s="2">
        <f t="shared" ref="AQ47" ca="1" si="836">IFERROR(VLOOKUP($S47,qx_table,MATCH(AQ$11,qx_title,0)+sexB),0)</f>
        <v>0</v>
      </c>
      <c r="AR47" s="127">
        <f t="shared" ca="1" si="784"/>
        <v>0</v>
      </c>
      <c r="AS47" s="127">
        <f ca="1">SUM(AR47:AR$124)*SSb</f>
        <v>0</v>
      </c>
      <c r="AT47" s="70">
        <f t="shared" ca="1" si="73"/>
        <v>33341.186645073336</v>
      </c>
      <c r="AU47" s="2">
        <f t="shared" ref="AU47" ca="1" si="837">IFERROR(VLOOKUP($S47,qx_table,MATCH(AU$11,qx_title,0)+sexB),0)</f>
        <v>0</v>
      </c>
      <c r="AV47" s="268">
        <f t="shared" ca="1" si="786"/>
        <v>0</v>
      </c>
      <c r="AW47" s="131">
        <f ca="1">SUM(AV47:AV$124)*SSc</f>
        <v>0</v>
      </c>
      <c r="AX47" s="70">
        <f t="shared" ca="1" si="76"/>
        <v>33341.186645073336</v>
      </c>
      <c r="AY47" s="2">
        <f t="shared" ref="AY47" ca="1" si="838">IFERROR(VLOOKUP($S47,qx_table,MATCH(AY$11,qx_title,0)+sexB),0)</f>
        <v>0</v>
      </c>
      <c r="AZ47" s="268">
        <f t="shared" ca="1" si="788"/>
        <v>0</v>
      </c>
      <c r="BA47" s="129">
        <f ca="1">SUM(AZ47:AZ$124)*SSd</f>
        <v>0</v>
      </c>
      <c r="BB47" s="70">
        <f t="shared" ca="1" si="79"/>
        <v>33341.186645073336</v>
      </c>
      <c r="BC47" s="257">
        <f t="shared" ref="BC47" ca="1" si="839">IFERROR(VLOOKUP($S47,qx_table,MATCH(BC$11,qx_title,0)+sexB),0)</f>
        <v>0</v>
      </c>
      <c r="BD47" s="268">
        <f t="shared" ca="1" si="790"/>
        <v>0</v>
      </c>
      <c r="BE47" s="131">
        <f ca="1">SUM(BD47:BD$124)*SSe</f>
        <v>0</v>
      </c>
      <c r="BF47" s="70">
        <f t="shared" ca="1" si="82"/>
        <v>33341.186645073336</v>
      </c>
      <c r="BG47" s="2">
        <f t="shared" ref="BG47" ca="1" si="840">IFERROR(VLOOKUP($S47,qx_table,MATCH(BG$11,qx_title,0)+sexB),0)</f>
        <v>0</v>
      </c>
      <c r="BH47" s="131">
        <f t="shared" ca="1" si="792"/>
        <v>0</v>
      </c>
      <c r="BI47" s="2">
        <f ca="1">SUM(BH47:BH$124)*SSf</f>
        <v>0</v>
      </c>
      <c r="BJ47" s="70">
        <f t="shared" ca="1" si="85"/>
        <v>33341.186645073336</v>
      </c>
      <c r="BK47" s="2">
        <f t="shared" ref="BK47" ca="1" si="841">IFERROR(VLOOKUP($S47,qx_table,MATCH(BK$11,qx_title,0)+sexB),0)</f>
        <v>0</v>
      </c>
      <c r="BL47" s="131">
        <f t="shared" ca="1" si="794"/>
        <v>0</v>
      </c>
      <c r="BM47" s="131">
        <f ca="1">SUM(BL47:BL$124)*SSg</f>
        <v>0</v>
      </c>
      <c r="BN47" s="70">
        <f t="shared" ca="1" si="88"/>
        <v>33341.186645073336</v>
      </c>
      <c r="BO47" s="2">
        <f t="shared" ref="BO47" ca="1" si="842">IFERROR(VLOOKUP($S47,qx_table,MATCH(BO$11,qx_title,0)+sexB),0)</f>
        <v>0</v>
      </c>
      <c r="BP47" s="131">
        <f t="shared" ca="1" si="796"/>
        <v>0</v>
      </c>
      <c r="BQ47" s="131">
        <f ca="1">SUM(BP47:BP$124)*SSh</f>
        <v>0</v>
      </c>
      <c r="BR47" s="70">
        <f t="shared" ca="1" si="91"/>
        <v>33341.186645073336</v>
      </c>
      <c r="BS47" s="2">
        <f t="shared" ref="BS47" ca="1" si="843">IFERROR(VLOOKUP($S47,qx_table,MATCH(BS$11,qx_title,0)+sexB),0)*IF(R47=0,MCi,1)</f>
        <v>0</v>
      </c>
      <c r="BT47" s="131">
        <f t="shared" ca="1" si="798"/>
        <v>0</v>
      </c>
      <c r="BU47" s="131">
        <f ca="1">SUM(BT47:BT$124)*SSi</f>
        <v>0</v>
      </c>
      <c r="BV47" s="70">
        <f t="shared" ca="1" si="94"/>
        <v>33341.186645073336</v>
      </c>
      <c r="BW47" s="2">
        <f t="shared" ref="BW47" ca="1" si="844">IFERROR(VLOOKUP($S47,qx_table,MATCH(BW$11,qx_title,0)+sexB),0)</f>
        <v>0</v>
      </c>
      <c r="BX47" s="131">
        <f t="shared" ca="1" si="800"/>
        <v>0</v>
      </c>
      <c r="BY47" s="131">
        <f ca="1">SUM(BX47:BX$124)*SSj</f>
        <v>0</v>
      </c>
      <c r="BZ47" s="70">
        <f t="shared" ca="1" si="97"/>
        <v>33341.186645073336</v>
      </c>
      <c r="CA47" s="2">
        <f t="shared" ref="CA47" ca="1" si="845">IFERROR(VLOOKUP($S47,qx_table,MATCH(CA$11,qx_title,0)+sexB),0)</f>
        <v>0</v>
      </c>
      <c r="CB47" s="131">
        <f t="shared" ca="1" si="802"/>
        <v>0</v>
      </c>
      <c r="CC47" s="131">
        <f ca="1">SUM(CB47:CB$124)*SSk</f>
        <v>0</v>
      </c>
      <c r="CD47" s="8">
        <f t="shared" ca="1" si="100"/>
        <v>33341.186645073336</v>
      </c>
      <c r="CE47" s="2">
        <f t="shared" ref="CE47" ca="1" si="846">IFERROR(VLOOKUP($S47,qx_table,MATCH(CE$11,qx_title,0)+sexB),0)</f>
        <v>0</v>
      </c>
      <c r="CF47" s="131">
        <f t="shared" ca="1" si="804"/>
        <v>0</v>
      </c>
      <c r="CG47" s="131">
        <f ca="1">SUM(CF47:CF$124)*SSl</f>
        <v>0</v>
      </c>
      <c r="CH47" s="155">
        <f t="shared" ca="1" si="103"/>
        <v>0.01</v>
      </c>
      <c r="CI47" s="155">
        <f t="shared" ca="1" si="104"/>
        <v>0</v>
      </c>
      <c r="CJ47" s="155">
        <f t="shared" ca="1" si="105"/>
        <v>0</v>
      </c>
      <c r="CK47" s="155">
        <f ca="1">'유해지 (기준P)'!CZ47</f>
        <v>0</v>
      </c>
      <c r="CL47" s="155">
        <f t="shared" ca="1" si="762"/>
        <v>0</v>
      </c>
      <c r="CM47" s="155">
        <f t="shared" ca="1" si="106"/>
        <v>0</v>
      </c>
      <c r="CN47" s="155">
        <f ca="1">SUM(CM47:$CM$124)</f>
        <v>0</v>
      </c>
      <c r="CO47" s="101">
        <f t="shared" ca="1" si="107"/>
        <v>0</v>
      </c>
      <c r="CP47" s="154">
        <f t="shared" ca="1" si="763"/>
        <v>0</v>
      </c>
      <c r="CQ47" s="154">
        <f t="shared" ca="1" si="764"/>
        <v>0</v>
      </c>
      <c r="CR47" s="32">
        <f t="shared" ref="CR47" ca="1" si="847">+MAX(VLOOKUP(xB+$R47,기수표B,$AH$1)-VLOOKUP(xB+mB,기수표B,$AH$1),0)</f>
        <v>0</v>
      </c>
      <c r="CS47" s="32">
        <f t="shared" ca="1" si="766"/>
        <v>0</v>
      </c>
      <c r="CT47" s="32">
        <f t="shared" ref="CT47" ca="1" si="848">+MAX(VLOOKUP(xB+$R47,기수표B,$AA$1)-VLOOKUP(xB+mB,기수표B,$AA$1),0)</f>
        <v>0</v>
      </c>
      <c r="CU47" s="32">
        <f t="shared" ca="1" si="768"/>
        <v>0</v>
      </c>
      <c r="CV47" s="32">
        <f t="shared" si="769"/>
        <v>0</v>
      </c>
      <c r="CW47" s="259">
        <f t="shared" ca="1" si="770"/>
        <v>0</v>
      </c>
      <c r="CX47" s="32">
        <f t="shared" ca="1" si="771"/>
        <v>0</v>
      </c>
      <c r="CY47" s="262">
        <f t="shared" ca="1" si="772"/>
        <v>0</v>
      </c>
      <c r="CZ47" s="259" t="e">
        <f t="shared" ca="1" si="773"/>
        <v>#DIV/0!</v>
      </c>
      <c r="DA47" s="31">
        <f t="shared" ref="DA47" ca="1" si="849">+MIN(mB,7)</f>
        <v>7</v>
      </c>
    </row>
    <row r="48" spans="1:105">
      <c r="G48" s="13" t="s">
        <v>30</v>
      </c>
      <c r="I48" s="24"/>
      <c r="J48" s="24" t="str">
        <f>+IF(sexB=1," 남자"," 여자")&amp;", "&amp;xB&amp;"세"</f>
        <v xml:space="preserve"> 남자, 8세</v>
      </c>
      <c r="N48" s="5">
        <f t="shared" si="111"/>
        <v>36</v>
      </c>
      <c r="O48" s="2">
        <f t="shared" ref="O48" ca="1" si="850">+(1+iB)^-N48</f>
        <v>0.44887001966182033</v>
      </c>
      <c r="P48" s="2">
        <f t="shared" ref="P48" ca="1" si="851">+(1+iB)^-(N48+0.5)</f>
        <v>0.44390388015628113</v>
      </c>
      <c r="Q48" s="91"/>
      <c r="R48" s="20">
        <f t="shared" si="114"/>
        <v>36</v>
      </c>
      <c r="S48" s="20" t="str">
        <f t="shared" ref="S48" si="852">+IF(xB+R48&lt;=xB+nB,xB+R48,"")</f>
        <v/>
      </c>
      <c r="T48" s="2">
        <f t="shared" ref="T48:U48" ca="1" si="853">IFERROR(VLOOKUP($S48,qx_table,MATCH(T$11,qx_title,0)+sexB),0)</f>
        <v>0</v>
      </c>
      <c r="U48" s="2">
        <f t="shared" ca="1" si="853"/>
        <v>0</v>
      </c>
      <c r="V48" s="300">
        <f t="shared" ca="1" si="747"/>
        <v>0.01</v>
      </c>
      <c r="W48" s="8">
        <f t="shared" ref="W48" si="854">IF(R48=0,100000,IF(R48&gt;nB,0,W47*(1-X47)*(1-Y47)))</f>
        <v>0</v>
      </c>
      <c r="X48" s="10">
        <f t="shared" ca="1" si="28"/>
        <v>1.0000000000000009E-2</v>
      </c>
      <c r="Y48" s="10">
        <f t="shared" ca="1" si="29"/>
        <v>0</v>
      </c>
      <c r="Z48" s="8">
        <f t="shared" ca="1" si="64"/>
        <v>0</v>
      </c>
      <c r="AA48" s="8">
        <f ca="1">+SUM(Z48:Z$124)</f>
        <v>0</v>
      </c>
      <c r="AB48" s="8">
        <f t="shared" ca="1" si="30"/>
        <v>0</v>
      </c>
      <c r="AC48" s="209">
        <f ca="1">+SUM(AB48:AB$124)*SSSM</f>
        <v>0</v>
      </c>
      <c r="AD48" s="209">
        <f t="shared" ref="AD48" si="855">IF(R48&gt;nB,0,AD47*(1-X47)*(1-Y47)*(1-AE47)*(1-AF47))</f>
        <v>0</v>
      </c>
      <c r="AE48" s="92">
        <f t="shared" ca="1" si="31"/>
        <v>0</v>
      </c>
      <c r="AF48" s="92">
        <f t="shared" ca="1" si="32"/>
        <v>0</v>
      </c>
      <c r="AG48" s="8">
        <f t="shared" ca="1" si="33"/>
        <v>0</v>
      </c>
      <c r="AH48" s="5">
        <f ca="1">+SUM(AG48:AG$124)</f>
        <v>0</v>
      </c>
      <c r="AI48" s="70">
        <f t="shared" ca="1" si="34"/>
        <v>0</v>
      </c>
      <c r="AJ48" s="208">
        <f ca="1">+SUM(AB48:AB$124)*SS50J</f>
        <v>0</v>
      </c>
      <c r="AK48" s="5">
        <f t="shared" ca="1" si="66"/>
        <v>33007.774778622603</v>
      </c>
      <c r="AL48" s="2">
        <f t="shared" ref="AL48" ca="1" si="856">IFERROR(VLOOKUP($S48,qx_table,MATCH(AL$11,qx_title,0)+sexB),0)</f>
        <v>0</v>
      </c>
      <c r="AM48" s="131">
        <f t="shared" ca="1" si="68"/>
        <v>14816.200513873266</v>
      </c>
      <c r="AN48" s="129">
        <f t="shared" ca="1" si="782"/>
        <v>0</v>
      </c>
      <c r="AO48" s="129">
        <f ca="1">SUM(AN48:AN$124)*SSa</f>
        <v>0</v>
      </c>
      <c r="AP48" s="70">
        <f t="shared" ca="1" si="70"/>
        <v>33007.774778622603</v>
      </c>
      <c r="AQ48" s="2">
        <f t="shared" ref="AQ48" ca="1" si="857">IFERROR(VLOOKUP($S48,qx_table,MATCH(AQ$11,qx_title,0)+sexB),0)</f>
        <v>0</v>
      </c>
      <c r="AR48" s="127">
        <f t="shared" ca="1" si="784"/>
        <v>0</v>
      </c>
      <c r="AS48" s="127">
        <f ca="1">SUM(AR48:AR$124)*SSb</f>
        <v>0</v>
      </c>
      <c r="AT48" s="70">
        <f t="shared" ca="1" si="73"/>
        <v>33007.774778622603</v>
      </c>
      <c r="AU48" s="2">
        <f t="shared" ref="AU48" ca="1" si="858">IFERROR(VLOOKUP($S48,qx_table,MATCH(AU$11,qx_title,0)+sexB),0)</f>
        <v>0</v>
      </c>
      <c r="AV48" s="268">
        <f t="shared" ca="1" si="786"/>
        <v>0</v>
      </c>
      <c r="AW48" s="131">
        <f ca="1">SUM(AV48:AV$124)*SSc</f>
        <v>0</v>
      </c>
      <c r="AX48" s="70">
        <f t="shared" ca="1" si="76"/>
        <v>33007.774778622603</v>
      </c>
      <c r="AY48" s="2">
        <f t="shared" ref="AY48" ca="1" si="859">IFERROR(VLOOKUP($S48,qx_table,MATCH(AY$11,qx_title,0)+sexB),0)</f>
        <v>0</v>
      </c>
      <c r="AZ48" s="268">
        <f t="shared" ca="1" si="788"/>
        <v>0</v>
      </c>
      <c r="BA48" s="129">
        <f ca="1">SUM(AZ48:AZ$124)*SSd</f>
        <v>0</v>
      </c>
      <c r="BB48" s="70">
        <f t="shared" ca="1" si="79"/>
        <v>33007.774778622603</v>
      </c>
      <c r="BC48" s="257">
        <f t="shared" ref="BC48" ca="1" si="860">IFERROR(VLOOKUP($S48,qx_table,MATCH(BC$11,qx_title,0)+sexB),0)</f>
        <v>0</v>
      </c>
      <c r="BD48" s="268">
        <f t="shared" ca="1" si="790"/>
        <v>0</v>
      </c>
      <c r="BE48" s="131">
        <f ca="1">SUM(BD48:BD$124)*SSe</f>
        <v>0</v>
      </c>
      <c r="BF48" s="70">
        <f t="shared" ca="1" si="82"/>
        <v>33007.774778622603</v>
      </c>
      <c r="BG48" s="2">
        <f t="shared" ref="BG48" ca="1" si="861">IFERROR(VLOOKUP($S48,qx_table,MATCH(BG$11,qx_title,0)+sexB),0)</f>
        <v>0</v>
      </c>
      <c r="BH48" s="131">
        <f t="shared" ca="1" si="792"/>
        <v>0</v>
      </c>
      <c r="BI48" s="2">
        <f ca="1">SUM(BH48:BH$124)*SSf</f>
        <v>0</v>
      </c>
      <c r="BJ48" s="70">
        <f t="shared" ca="1" si="85"/>
        <v>33007.774778622603</v>
      </c>
      <c r="BK48" s="2">
        <f t="shared" ref="BK48" ca="1" si="862">IFERROR(VLOOKUP($S48,qx_table,MATCH(BK$11,qx_title,0)+sexB),0)</f>
        <v>0</v>
      </c>
      <c r="BL48" s="131">
        <f t="shared" ca="1" si="794"/>
        <v>0</v>
      </c>
      <c r="BM48" s="131">
        <f ca="1">SUM(BL48:BL$124)*SSg</f>
        <v>0</v>
      </c>
      <c r="BN48" s="70">
        <f t="shared" ca="1" si="88"/>
        <v>33007.774778622603</v>
      </c>
      <c r="BO48" s="2">
        <f t="shared" ref="BO48" ca="1" si="863">IFERROR(VLOOKUP($S48,qx_table,MATCH(BO$11,qx_title,0)+sexB),0)</f>
        <v>0</v>
      </c>
      <c r="BP48" s="131">
        <f t="shared" ca="1" si="796"/>
        <v>0</v>
      </c>
      <c r="BQ48" s="131">
        <f ca="1">SUM(BP48:BP$124)*SSh</f>
        <v>0</v>
      </c>
      <c r="BR48" s="70">
        <f t="shared" ca="1" si="91"/>
        <v>33007.774778622603</v>
      </c>
      <c r="BS48" s="2">
        <f t="shared" ref="BS48" ca="1" si="864">IFERROR(VLOOKUP($S48,qx_table,MATCH(BS$11,qx_title,0)+sexB),0)*IF(R48=0,MCi,1)</f>
        <v>0</v>
      </c>
      <c r="BT48" s="131">
        <f t="shared" ca="1" si="798"/>
        <v>0</v>
      </c>
      <c r="BU48" s="131">
        <f ca="1">SUM(BT48:BT$124)*SSi</f>
        <v>0</v>
      </c>
      <c r="BV48" s="70">
        <f t="shared" ca="1" si="94"/>
        <v>33007.774778622603</v>
      </c>
      <c r="BW48" s="2">
        <f t="shared" ref="BW48" ca="1" si="865">IFERROR(VLOOKUP($S48,qx_table,MATCH(BW$11,qx_title,0)+sexB),0)</f>
        <v>0</v>
      </c>
      <c r="BX48" s="131">
        <f t="shared" ca="1" si="800"/>
        <v>0</v>
      </c>
      <c r="BY48" s="131">
        <f ca="1">SUM(BX48:BX$124)*SSj</f>
        <v>0</v>
      </c>
      <c r="BZ48" s="70">
        <f t="shared" ca="1" si="97"/>
        <v>33007.774778622603</v>
      </c>
      <c r="CA48" s="2">
        <f t="shared" ref="CA48" ca="1" si="866">IFERROR(VLOOKUP($S48,qx_table,MATCH(CA$11,qx_title,0)+sexB),0)</f>
        <v>0</v>
      </c>
      <c r="CB48" s="131">
        <f t="shared" ca="1" si="802"/>
        <v>0</v>
      </c>
      <c r="CC48" s="131">
        <f ca="1">SUM(CB48:CB$124)*SSk</f>
        <v>0</v>
      </c>
      <c r="CD48" s="8">
        <f t="shared" ca="1" si="100"/>
        <v>33007.774778622603</v>
      </c>
      <c r="CE48" s="2">
        <f t="shared" ref="CE48" ca="1" si="867">IFERROR(VLOOKUP($S48,qx_table,MATCH(CE$11,qx_title,0)+sexB),0)</f>
        <v>0</v>
      </c>
      <c r="CF48" s="131">
        <f t="shared" ca="1" si="804"/>
        <v>0</v>
      </c>
      <c r="CG48" s="131">
        <f ca="1">SUM(CF48:CF$124)*SSl</f>
        <v>0</v>
      </c>
      <c r="CH48" s="155">
        <f t="shared" ca="1" si="103"/>
        <v>0.01</v>
      </c>
      <c r="CI48" s="155">
        <f t="shared" ca="1" si="104"/>
        <v>0</v>
      </c>
      <c r="CJ48" s="155">
        <f t="shared" ca="1" si="105"/>
        <v>0</v>
      </c>
      <c r="CK48" s="155">
        <f ca="1">'유해지 (기준P)'!CZ48</f>
        <v>0</v>
      </c>
      <c r="CL48" s="155">
        <f t="shared" ca="1" si="762"/>
        <v>0</v>
      </c>
      <c r="CM48" s="155">
        <f t="shared" ca="1" si="106"/>
        <v>0</v>
      </c>
      <c r="CN48" s="155">
        <f ca="1">SUM(CM48:$CM$124)</f>
        <v>0</v>
      </c>
      <c r="CO48" s="101">
        <f t="shared" ca="1" si="107"/>
        <v>0</v>
      </c>
      <c r="CP48" s="154">
        <f t="shared" ca="1" si="763"/>
        <v>0</v>
      </c>
      <c r="CQ48" s="154">
        <f t="shared" ca="1" si="764"/>
        <v>0</v>
      </c>
      <c r="CR48" s="32">
        <f t="shared" ref="CR48" ca="1" si="868">+MAX(VLOOKUP(xB+$R48,기수표B,$AH$1)-VLOOKUP(xB+mB,기수표B,$AH$1),0)</f>
        <v>0</v>
      </c>
      <c r="CS48" s="32">
        <f t="shared" ca="1" si="766"/>
        <v>0</v>
      </c>
      <c r="CT48" s="32">
        <f t="shared" ref="CT48" ca="1" si="869">+MAX(VLOOKUP(xB+$R48,기수표B,$AA$1)-VLOOKUP(xB+mB,기수표B,$AA$1),0)</f>
        <v>0</v>
      </c>
      <c r="CU48" s="32">
        <f t="shared" ca="1" si="768"/>
        <v>0</v>
      </c>
      <c r="CV48" s="32">
        <f t="shared" si="769"/>
        <v>0</v>
      </c>
      <c r="CW48" s="259">
        <f t="shared" ca="1" si="770"/>
        <v>0</v>
      </c>
      <c r="CX48" s="32">
        <f t="shared" ca="1" si="771"/>
        <v>0</v>
      </c>
      <c r="CY48" s="262">
        <f t="shared" ca="1" si="772"/>
        <v>0</v>
      </c>
      <c r="CZ48" s="259" t="e">
        <f t="shared" ca="1" si="773"/>
        <v>#DIV/0!</v>
      </c>
      <c r="DA48" s="31">
        <f t="shared" ref="DA48" ca="1" si="870">+MIN(mB,7)</f>
        <v>7</v>
      </c>
    </row>
    <row r="49" spans="2:105">
      <c r="G49" s="51" t="s">
        <v>31</v>
      </c>
      <c r="H49" s="52"/>
      <c r="I49" s="25" t="e">
        <f ca="1">+H29*SB</f>
        <v>#REF!</v>
      </c>
      <c r="J49" s="26" t="e">
        <f t="shared" ref="J49:J56" ca="1" si="871">+I49/$I$49</f>
        <v>#REF!</v>
      </c>
      <c r="N49" s="5">
        <f t="shared" si="111"/>
        <v>37</v>
      </c>
      <c r="O49" s="2">
        <f t="shared" ref="O49" ca="1" si="872">+(1+iB)^-N49</f>
        <v>0.43899268426583893</v>
      </c>
      <c r="P49" s="2">
        <f t="shared" ref="P49" ca="1" si="873">+(1+iB)^-(N49+0.5)</f>
        <v>0.43413582411372242</v>
      </c>
      <c r="Q49" s="91"/>
      <c r="R49" s="20">
        <f t="shared" si="114"/>
        <v>37</v>
      </c>
      <c r="S49" s="20" t="str">
        <f t="shared" ref="S49" si="874">+IF(xB+R49&lt;=xB+nB,xB+R49,"")</f>
        <v/>
      </c>
      <c r="T49" s="2">
        <f t="shared" ref="T49:U49" ca="1" si="875">IFERROR(VLOOKUP($S49,qx_table,MATCH(T$11,qx_title,0)+sexB),0)</f>
        <v>0</v>
      </c>
      <c r="U49" s="2">
        <f t="shared" ca="1" si="875"/>
        <v>0</v>
      </c>
      <c r="V49" s="300">
        <f t="shared" ca="1" si="747"/>
        <v>0.01</v>
      </c>
      <c r="W49" s="8">
        <f t="shared" ref="W49" si="876">IF(R49=0,100000,IF(R49&gt;nB,0,W48*(1-X48)*(1-Y48)))</f>
        <v>0</v>
      </c>
      <c r="X49" s="10">
        <f t="shared" ca="1" si="28"/>
        <v>1.0000000000000009E-2</v>
      </c>
      <c r="Y49" s="10">
        <f t="shared" ca="1" si="29"/>
        <v>0</v>
      </c>
      <c r="Z49" s="8">
        <f t="shared" ca="1" si="64"/>
        <v>0</v>
      </c>
      <c r="AA49" s="8">
        <f ca="1">+SUM(Z49:Z$124)</f>
        <v>0</v>
      </c>
      <c r="AB49" s="8">
        <f t="shared" ca="1" si="30"/>
        <v>0</v>
      </c>
      <c r="AC49" s="209">
        <f ca="1">+SUM(AB49:AB$124)*SSSM</f>
        <v>0</v>
      </c>
      <c r="AD49" s="209">
        <f t="shared" ref="AD49" si="877">IF(R49&gt;nB,0,AD48*(1-X48)*(1-Y48)*(1-AE48)*(1-AF48))</f>
        <v>0</v>
      </c>
      <c r="AE49" s="92">
        <f t="shared" ca="1" si="31"/>
        <v>0</v>
      </c>
      <c r="AF49" s="92">
        <f t="shared" ca="1" si="32"/>
        <v>0</v>
      </c>
      <c r="AG49" s="8">
        <f t="shared" ca="1" si="33"/>
        <v>0</v>
      </c>
      <c r="AH49" s="5">
        <f ca="1">+SUM(AG49:AG$124)</f>
        <v>0</v>
      </c>
      <c r="AI49" s="70">
        <f t="shared" ca="1" si="34"/>
        <v>0</v>
      </c>
      <c r="AJ49" s="208">
        <f ca="1">+SUM(AB49:AB$124)*SS50J</f>
        <v>0</v>
      </c>
      <c r="AK49" s="5">
        <f t="shared" ca="1" si="66"/>
        <v>32677.697030836378</v>
      </c>
      <c r="AL49" s="2">
        <f t="shared" ref="AL49" ca="1" si="878">IFERROR(VLOOKUP($S49,qx_table,MATCH(AL$11,qx_title,0)+sexB),0)</f>
        <v>0</v>
      </c>
      <c r="AM49" s="131">
        <f t="shared" ca="1" si="68"/>
        <v>14345.269935192697</v>
      </c>
      <c r="AN49" s="129">
        <f t="shared" ca="1" si="782"/>
        <v>0</v>
      </c>
      <c r="AO49" s="129">
        <f ca="1">SUM(AN49:AN$124)*SSa</f>
        <v>0</v>
      </c>
      <c r="AP49" s="70">
        <f t="shared" ca="1" si="70"/>
        <v>32677.697030836378</v>
      </c>
      <c r="AQ49" s="2">
        <f t="shared" ref="AQ49" ca="1" si="879">IFERROR(VLOOKUP($S49,qx_table,MATCH(AQ$11,qx_title,0)+sexB),0)</f>
        <v>0</v>
      </c>
      <c r="AR49" s="127">
        <f t="shared" ca="1" si="784"/>
        <v>0</v>
      </c>
      <c r="AS49" s="127">
        <f ca="1">SUM(AR49:AR$124)*SSb</f>
        <v>0</v>
      </c>
      <c r="AT49" s="70">
        <f t="shared" ca="1" si="73"/>
        <v>32677.697030836378</v>
      </c>
      <c r="AU49" s="2">
        <f t="shared" ref="AU49" ca="1" si="880">IFERROR(VLOOKUP($S49,qx_table,MATCH(AU$11,qx_title,0)+sexB),0)</f>
        <v>0</v>
      </c>
      <c r="AV49" s="268">
        <f t="shared" ca="1" si="786"/>
        <v>0</v>
      </c>
      <c r="AW49" s="131">
        <f ca="1">SUM(AV49:AV$124)*SSc</f>
        <v>0</v>
      </c>
      <c r="AX49" s="70">
        <f t="shared" ca="1" si="76"/>
        <v>32677.697030836378</v>
      </c>
      <c r="AY49" s="2">
        <f t="shared" ref="AY49" ca="1" si="881">IFERROR(VLOOKUP($S49,qx_table,MATCH(AY$11,qx_title,0)+sexB),0)</f>
        <v>0</v>
      </c>
      <c r="AZ49" s="268">
        <f t="shared" ca="1" si="788"/>
        <v>0</v>
      </c>
      <c r="BA49" s="129">
        <f ca="1">SUM(AZ49:AZ$124)*SSd</f>
        <v>0</v>
      </c>
      <c r="BB49" s="70">
        <f t="shared" ca="1" si="79"/>
        <v>32677.697030836378</v>
      </c>
      <c r="BC49" s="257">
        <f t="shared" ref="BC49" ca="1" si="882">IFERROR(VLOOKUP($S49,qx_table,MATCH(BC$11,qx_title,0)+sexB),0)</f>
        <v>0</v>
      </c>
      <c r="BD49" s="268">
        <f t="shared" ca="1" si="790"/>
        <v>0</v>
      </c>
      <c r="BE49" s="131">
        <f ca="1">SUM(BD49:BD$124)*SSe</f>
        <v>0</v>
      </c>
      <c r="BF49" s="70">
        <f t="shared" ca="1" si="82"/>
        <v>32677.697030836378</v>
      </c>
      <c r="BG49" s="2">
        <f t="shared" ref="BG49" ca="1" si="883">IFERROR(VLOOKUP($S49,qx_table,MATCH(BG$11,qx_title,0)+sexB),0)</f>
        <v>0</v>
      </c>
      <c r="BH49" s="131">
        <f t="shared" ca="1" si="792"/>
        <v>0</v>
      </c>
      <c r="BI49" s="2">
        <f ca="1">SUM(BH49:BH$124)*SSf</f>
        <v>0</v>
      </c>
      <c r="BJ49" s="70">
        <f t="shared" ca="1" si="85"/>
        <v>32677.697030836378</v>
      </c>
      <c r="BK49" s="2">
        <f t="shared" ref="BK49" ca="1" si="884">IFERROR(VLOOKUP($S49,qx_table,MATCH(BK$11,qx_title,0)+sexB),0)</f>
        <v>0</v>
      </c>
      <c r="BL49" s="131">
        <f t="shared" ca="1" si="794"/>
        <v>0</v>
      </c>
      <c r="BM49" s="131">
        <f ca="1">SUM(BL49:BL$124)*SSg</f>
        <v>0</v>
      </c>
      <c r="BN49" s="70">
        <f t="shared" ca="1" si="88"/>
        <v>32677.697030836378</v>
      </c>
      <c r="BO49" s="2">
        <f t="shared" ref="BO49" ca="1" si="885">IFERROR(VLOOKUP($S49,qx_table,MATCH(BO$11,qx_title,0)+sexB),0)</f>
        <v>0</v>
      </c>
      <c r="BP49" s="131">
        <f t="shared" ca="1" si="796"/>
        <v>0</v>
      </c>
      <c r="BQ49" s="131">
        <f ca="1">SUM(BP49:BP$124)*SSh</f>
        <v>0</v>
      </c>
      <c r="BR49" s="70">
        <f t="shared" ca="1" si="91"/>
        <v>32677.697030836378</v>
      </c>
      <c r="BS49" s="2">
        <f t="shared" ref="BS49" ca="1" si="886">IFERROR(VLOOKUP($S49,qx_table,MATCH(BS$11,qx_title,0)+sexB),0)*IF(R49=0,MCi,1)</f>
        <v>0</v>
      </c>
      <c r="BT49" s="131">
        <f t="shared" ca="1" si="798"/>
        <v>0</v>
      </c>
      <c r="BU49" s="131">
        <f ca="1">SUM(BT49:BT$124)*SSi</f>
        <v>0</v>
      </c>
      <c r="BV49" s="70">
        <f t="shared" ca="1" si="94"/>
        <v>32677.697030836378</v>
      </c>
      <c r="BW49" s="2">
        <f t="shared" ref="BW49" ca="1" si="887">IFERROR(VLOOKUP($S49,qx_table,MATCH(BW$11,qx_title,0)+sexB),0)</f>
        <v>0</v>
      </c>
      <c r="BX49" s="131">
        <f t="shared" ca="1" si="800"/>
        <v>0</v>
      </c>
      <c r="BY49" s="131">
        <f ca="1">SUM(BX49:BX$124)*SSj</f>
        <v>0</v>
      </c>
      <c r="BZ49" s="70">
        <f t="shared" ca="1" si="97"/>
        <v>32677.697030836378</v>
      </c>
      <c r="CA49" s="2">
        <f t="shared" ref="CA49" ca="1" si="888">IFERROR(VLOOKUP($S49,qx_table,MATCH(CA$11,qx_title,0)+sexB),0)</f>
        <v>0</v>
      </c>
      <c r="CB49" s="131">
        <f t="shared" ca="1" si="802"/>
        <v>0</v>
      </c>
      <c r="CC49" s="131">
        <f ca="1">SUM(CB49:CB$124)*SSk</f>
        <v>0</v>
      </c>
      <c r="CD49" s="8">
        <f t="shared" ca="1" si="100"/>
        <v>32677.697030836378</v>
      </c>
      <c r="CE49" s="2">
        <f t="shared" ref="CE49" ca="1" si="889">IFERROR(VLOOKUP($S49,qx_table,MATCH(CE$11,qx_title,0)+sexB),0)</f>
        <v>0</v>
      </c>
      <c r="CF49" s="131">
        <f t="shared" ca="1" si="804"/>
        <v>0</v>
      </c>
      <c r="CG49" s="131">
        <f ca="1">SUM(CF49:CF$124)*SSl</f>
        <v>0</v>
      </c>
      <c r="CH49" s="155">
        <f t="shared" ca="1" si="103"/>
        <v>0.01</v>
      </c>
      <c r="CI49" s="155">
        <f t="shared" ca="1" si="104"/>
        <v>0</v>
      </c>
      <c r="CJ49" s="155">
        <f t="shared" ca="1" si="105"/>
        <v>0</v>
      </c>
      <c r="CK49" s="155">
        <f ca="1">'유해지 (기준P)'!CZ49</f>
        <v>0</v>
      </c>
      <c r="CL49" s="155">
        <f t="shared" ca="1" si="762"/>
        <v>0</v>
      </c>
      <c r="CM49" s="155">
        <f t="shared" ca="1" si="106"/>
        <v>0</v>
      </c>
      <c r="CN49" s="155">
        <f ca="1">SUM(CM49:$CM$124)</f>
        <v>0</v>
      </c>
      <c r="CO49" s="101">
        <f t="shared" ca="1" si="107"/>
        <v>0</v>
      </c>
      <c r="CP49" s="154">
        <f t="shared" ca="1" si="763"/>
        <v>0</v>
      </c>
      <c r="CQ49" s="154">
        <f t="shared" ca="1" si="764"/>
        <v>0</v>
      </c>
      <c r="CR49" s="32">
        <f t="shared" ref="CR49" ca="1" si="890">+MAX(VLOOKUP(xB+$R49,기수표B,$AH$1)-VLOOKUP(xB+mB,기수표B,$AH$1),0)</f>
        <v>0</v>
      </c>
      <c r="CS49" s="32">
        <f t="shared" ca="1" si="766"/>
        <v>0</v>
      </c>
      <c r="CT49" s="32">
        <f t="shared" ref="CT49" ca="1" si="891">+MAX(VLOOKUP(xB+$R49,기수표B,$AA$1)-VLOOKUP(xB+mB,기수표B,$AA$1),0)</f>
        <v>0</v>
      </c>
      <c r="CU49" s="32">
        <f t="shared" ca="1" si="768"/>
        <v>0</v>
      </c>
      <c r="CV49" s="32">
        <f t="shared" si="769"/>
        <v>0</v>
      </c>
      <c r="CW49" s="259">
        <f t="shared" ca="1" si="770"/>
        <v>0</v>
      </c>
      <c r="CX49" s="32">
        <f t="shared" ca="1" si="771"/>
        <v>0</v>
      </c>
      <c r="CY49" s="262">
        <f t="shared" ca="1" si="772"/>
        <v>0</v>
      </c>
      <c r="CZ49" s="259" t="e">
        <f t="shared" ca="1" si="773"/>
        <v>#DIV/0!</v>
      </c>
      <c r="DA49" s="31">
        <f t="shared" ref="DA49" ca="1" si="892">+MIN(mB,7)</f>
        <v>7</v>
      </c>
    </row>
    <row r="50" spans="2:105">
      <c r="G50" s="74" t="s">
        <v>32</v>
      </c>
      <c r="H50" s="75"/>
      <c r="I50" s="28" t="e">
        <f ca="1">+ROUND($H$24,roundB)*SB</f>
        <v>#REF!</v>
      </c>
      <c r="J50" s="26" t="e">
        <f t="shared" ca="1" si="871"/>
        <v>#REF!</v>
      </c>
      <c r="N50" s="5">
        <f t="shared" si="111"/>
        <v>38</v>
      </c>
      <c r="O50" s="2">
        <f t="shared" ref="O50" ca="1" si="893">+(1+iB)^-N50</f>
        <v>0.42933269854849776</v>
      </c>
      <c r="P50" s="2">
        <f t="shared" ref="P50" ca="1" si="894">+(1+iB)^-(N50+0.5)</f>
        <v>0.42458271306965517</v>
      </c>
      <c r="Q50" s="91"/>
      <c r="R50" s="20">
        <f t="shared" si="114"/>
        <v>38</v>
      </c>
      <c r="S50" s="20" t="str">
        <f t="shared" ref="S50" si="895">+IF(xB+R50&lt;=xB+nB,xB+R50,"")</f>
        <v/>
      </c>
      <c r="T50" s="2">
        <f t="shared" ref="T50:U50" ca="1" si="896">IFERROR(VLOOKUP($S50,qx_table,MATCH(T$11,qx_title,0)+sexB),0)</f>
        <v>0</v>
      </c>
      <c r="U50" s="2">
        <f t="shared" ca="1" si="896"/>
        <v>0</v>
      </c>
      <c r="V50" s="300">
        <f t="shared" ca="1" si="747"/>
        <v>0.01</v>
      </c>
      <c r="W50" s="8">
        <f t="shared" ref="W50" si="897">IF(R50=0,100000,IF(R50&gt;nB,0,W49*(1-X49)*(1-Y49)))</f>
        <v>0</v>
      </c>
      <c r="X50" s="10">
        <f t="shared" ca="1" si="28"/>
        <v>1.0000000000000009E-2</v>
      </c>
      <c r="Y50" s="10">
        <f t="shared" ca="1" si="29"/>
        <v>0</v>
      </c>
      <c r="Z50" s="8">
        <f t="shared" ca="1" si="64"/>
        <v>0</v>
      </c>
      <c r="AA50" s="8">
        <f ca="1">+SUM(Z50:Z$124)</f>
        <v>0</v>
      </c>
      <c r="AB50" s="8">
        <f t="shared" ca="1" si="30"/>
        <v>0</v>
      </c>
      <c r="AC50" s="209">
        <f ca="1">+SUM(AB50:AB$124)*SSSM</f>
        <v>0</v>
      </c>
      <c r="AD50" s="209">
        <f t="shared" ref="AD50" si="898">IF(R50&gt;nB,0,AD49*(1-X49)*(1-Y49)*(1-AE49)*(1-AF49))</f>
        <v>0</v>
      </c>
      <c r="AE50" s="92">
        <f t="shared" ca="1" si="31"/>
        <v>0</v>
      </c>
      <c r="AF50" s="92">
        <f t="shared" ca="1" si="32"/>
        <v>0</v>
      </c>
      <c r="AG50" s="8">
        <f t="shared" ca="1" si="33"/>
        <v>0</v>
      </c>
      <c r="AH50" s="5">
        <f ca="1">+SUM(AG50:AG$124)</f>
        <v>0</v>
      </c>
      <c r="AI50" s="70">
        <f t="shared" ca="1" si="34"/>
        <v>0</v>
      </c>
      <c r="AJ50" s="208">
        <f ca="1">+SUM(AB50:AB$124)*SS50J</f>
        <v>0</v>
      </c>
      <c r="AK50" s="5">
        <f t="shared" ca="1" si="66"/>
        <v>32350.920060528013</v>
      </c>
      <c r="AL50" s="2">
        <f t="shared" ref="AL50" ca="1" si="899">IFERROR(VLOOKUP($S50,qx_table,MATCH(AL$11,qx_title,0)+sexB),0)</f>
        <v>0</v>
      </c>
      <c r="AM50" s="131">
        <f t="shared" ca="1" si="68"/>
        <v>13889.307810113221</v>
      </c>
      <c r="AN50" s="129">
        <f t="shared" ca="1" si="782"/>
        <v>0</v>
      </c>
      <c r="AO50" s="129">
        <f ca="1">SUM(AN50:AN$124)*SSa</f>
        <v>0</v>
      </c>
      <c r="AP50" s="70">
        <f t="shared" ca="1" si="70"/>
        <v>32350.920060528013</v>
      </c>
      <c r="AQ50" s="2">
        <f t="shared" ref="AQ50" ca="1" si="900">IFERROR(VLOOKUP($S50,qx_table,MATCH(AQ$11,qx_title,0)+sexB),0)</f>
        <v>0</v>
      </c>
      <c r="AR50" s="127">
        <f t="shared" ca="1" si="784"/>
        <v>0</v>
      </c>
      <c r="AS50" s="127">
        <f ca="1">SUM(AR50:AR$124)*SSb</f>
        <v>0</v>
      </c>
      <c r="AT50" s="70">
        <f t="shared" ca="1" si="73"/>
        <v>32350.920060528013</v>
      </c>
      <c r="AU50" s="2">
        <f t="shared" ref="AU50" ca="1" si="901">IFERROR(VLOOKUP($S50,qx_table,MATCH(AU$11,qx_title,0)+sexB),0)</f>
        <v>0</v>
      </c>
      <c r="AV50" s="268">
        <f t="shared" ca="1" si="786"/>
        <v>0</v>
      </c>
      <c r="AW50" s="131">
        <f ca="1">SUM(AV50:AV$124)*SSc</f>
        <v>0</v>
      </c>
      <c r="AX50" s="70">
        <f t="shared" ca="1" si="76"/>
        <v>32350.920060528013</v>
      </c>
      <c r="AY50" s="2">
        <f t="shared" ref="AY50" ca="1" si="902">IFERROR(VLOOKUP($S50,qx_table,MATCH(AY$11,qx_title,0)+sexB),0)</f>
        <v>0</v>
      </c>
      <c r="AZ50" s="268">
        <f t="shared" ca="1" si="788"/>
        <v>0</v>
      </c>
      <c r="BA50" s="129">
        <f ca="1">SUM(AZ50:AZ$124)*SSd</f>
        <v>0</v>
      </c>
      <c r="BB50" s="70">
        <f t="shared" ca="1" si="79"/>
        <v>32350.920060528013</v>
      </c>
      <c r="BC50" s="257">
        <f t="shared" ref="BC50" ca="1" si="903">IFERROR(VLOOKUP($S50,qx_table,MATCH(BC$11,qx_title,0)+sexB),0)</f>
        <v>0</v>
      </c>
      <c r="BD50" s="268">
        <f t="shared" ca="1" si="790"/>
        <v>0</v>
      </c>
      <c r="BE50" s="131">
        <f ca="1">SUM(BD50:BD$124)*SSe</f>
        <v>0</v>
      </c>
      <c r="BF50" s="70">
        <f t="shared" ca="1" si="82"/>
        <v>32350.920060528013</v>
      </c>
      <c r="BG50" s="2">
        <f t="shared" ref="BG50" ca="1" si="904">IFERROR(VLOOKUP($S50,qx_table,MATCH(BG$11,qx_title,0)+sexB),0)</f>
        <v>0</v>
      </c>
      <c r="BH50" s="131">
        <f t="shared" ca="1" si="792"/>
        <v>0</v>
      </c>
      <c r="BI50" s="2">
        <f ca="1">SUM(BH50:BH$124)*SSf</f>
        <v>0</v>
      </c>
      <c r="BJ50" s="70">
        <f t="shared" ca="1" si="85"/>
        <v>32350.920060528013</v>
      </c>
      <c r="BK50" s="2">
        <f t="shared" ref="BK50" ca="1" si="905">IFERROR(VLOOKUP($S50,qx_table,MATCH(BK$11,qx_title,0)+sexB),0)</f>
        <v>0</v>
      </c>
      <c r="BL50" s="131">
        <f t="shared" ca="1" si="794"/>
        <v>0</v>
      </c>
      <c r="BM50" s="131">
        <f ca="1">SUM(BL50:BL$124)*SSg</f>
        <v>0</v>
      </c>
      <c r="BN50" s="70">
        <f t="shared" ca="1" si="88"/>
        <v>32350.920060528013</v>
      </c>
      <c r="BO50" s="2">
        <f t="shared" ref="BO50" ca="1" si="906">IFERROR(VLOOKUP($S50,qx_table,MATCH(BO$11,qx_title,0)+sexB),0)</f>
        <v>0</v>
      </c>
      <c r="BP50" s="131">
        <f t="shared" ca="1" si="796"/>
        <v>0</v>
      </c>
      <c r="BQ50" s="131">
        <f ca="1">SUM(BP50:BP$124)*SSh</f>
        <v>0</v>
      </c>
      <c r="BR50" s="70">
        <f t="shared" ca="1" si="91"/>
        <v>32350.920060528013</v>
      </c>
      <c r="BS50" s="2">
        <f t="shared" ref="BS50" ca="1" si="907">IFERROR(VLOOKUP($S50,qx_table,MATCH(BS$11,qx_title,0)+sexB),0)*IF(R50=0,MCi,1)</f>
        <v>0</v>
      </c>
      <c r="BT50" s="131">
        <f t="shared" ca="1" si="798"/>
        <v>0</v>
      </c>
      <c r="BU50" s="131">
        <f ca="1">SUM(BT50:BT$124)*SSi</f>
        <v>0</v>
      </c>
      <c r="BV50" s="70">
        <f t="shared" ca="1" si="94"/>
        <v>32350.920060528013</v>
      </c>
      <c r="BW50" s="2">
        <f t="shared" ref="BW50" ca="1" si="908">IFERROR(VLOOKUP($S50,qx_table,MATCH(BW$11,qx_title,0)+sexB),0)</f>
        <v>0</v>
      </c>
      <c r="BX50" s="131">
        <f t="shared" ca="1" si="800"/>
        <v>0</v>
      </c>
      <c r="BY50" s="131">
        <f ca="1">SUM(BX50:BX$124)*SSj</f>
        <v>0</v>
      </c>
      <c r="BZ50" s="70">
        <f t="shared" ca="1" si="97"/>
        <v>32350.920060528013</v>
      </c>
      <c r="CA50" s="2">
        <f t="shared" ref="CA50" ca="1" si="909">IFERROR(VLOOKUP($S50,qx_table,MATCH(CA$11,qx_title,0)+sexB),0)</f>
        <v>0</v>
      </c>
      <c r="CB50" s="131">
        <f t="shared" ca="1" si="802"/>
        <v>0</v>
      </c>
      <c r="CC50" s="131">
        <f ca="1">SUM(CB50:CB$124)*SSk</f>
        <v>0</v>
      </c>
      <c r="CD50" s="8">
        <f t="shared" ca="1" si="100"/>
        <v>32350.920060528013</v>
      </c>
      <c r="CE50" s="2">
        <f t="shared" ref="CE50" ca="1" si="910">IFERROR(VLOOKUP($S50,qx_table,MATCH(CE$11,qx_title,0)+sexB),0)</f>
        <v>0</v>
      </c>
      <c r="CF50" s="131">
        <f t="shared" ca="1" si="804"/>
        <v>0</v>
      </c>
      <c r="CG50" s="131">
        <f ca="1">SUM(CF50:CF$124)*SSl</f>
        <v>0</v>
      </c>
      <c r="CH50" s="155">
        <f t="shared" ca="1" si="103"/>
        <v>0.01</v>
      </c>
      <c r="CI50" s="155">
        <f t="shared" ca="1" si="104"/>
        <v>0</v>
      </c>
      <c r="CJ50" s="155">
        <f t="shared" ca="1" si="105"/>
        <v>0</v>
      </c>
      <c r="CK50" s="155">
        <f ca="1">'유해지 (기준P)'!CZ50</f>
        <v>0</v>
      </c>
      <c r="CL50" s="155">
        <f t="shared" ca="1" si="762"/>
        <v>0</v>
      </c>
      <c r="CM50" s="155">
        <f t="shared" ca="1" si="106"/>
        <v>0</v>
      </c>
      <c r="CN50" s="155">
        <f ca="1">SUM(CM50:$CM$124)</f>
        <v>0</v>
      </c>
      <c r="CO50" s="101">
        <f t="shared" ca="1" si="107"/>
        <v>0</v>
      </c>
      <c r="CP50" s="154">
        <f t="shared" ca="1" si="763"/>
        <v>0</v>
      </c>
      <c r="CQ50" s="154">
        <f t="shared" ca="1" si="764"/>
        <v>0</v>
      </c>
      <c r="CR50" s="32">
        <f t="shared" ref="CR50" ca="1" si="911">+MAX(VLOOKUP(xB+$R50,기수표B,$AH$1)-VLOOKUP(xB+mB,기수표B,$AH$1),0)</f>
        <v>0</v>
      </c>
      <c r="CS50" s="32">
        <f t="shared" ca="1" si="766"/>
        <v>0</v>
      </c>
      <c r="CT50" s="32">
        <f t="shared" ref="CT50" ca="1" si="912">+MAX(VLOOKUP(xB+$R50,기수표B,$AA$1)-VLOOKUP(xB+mB,기수표B,$AA$1),0)</f>
        <v>0</v>
      </c>
      <c r="CU50" s="32">
        <f t="shared" ca="1" si="768"/>
        <v>0</v>
      </c>
      <c r="CV50" s="32">
        <f t="shared" si="769"/>
        <v>0</v>
      </c>
      <c r="CW50" s="259">
        <f t="shared" ca="1" si="770"/>
        <v>0</v>
      </c>
      <c r="CX50" s="32">
        <f t="shared" ca="1" si="771"/>
        <v>0</v>
      </c>
      <c r="CY50" s="262">
        <f t="shared" ca="1" si="772"/>
        <v>0</v>
      </c>
      <c r="CZ50" s="259" t="e">
        <f t="shared" ca="1" si="773"/>
        <v>#DIV/0!</v>
      </c>
      <c r="DA50" s="31">
        <f t="shared" ref="DA50" ca="1" si="913">+MIN(mB,7)</f>
        <v>7</v>
      </c>
    </row>
    <row r="51" spans="2:105">
      <c r="G51" s="53"/>
      <c r="H51" s="54" t="s">
        <v>34</v>
      </c>
      <c r="I51" s="16" t="e">
        <f ca="1">+I50-I52</f>
        <v>#REF!</v>
      </c>
      <c r="J51" s="29" t="e">
        <f t="shared" ca="1" si="871"/>
        <v>#REF!</v>
      </c>
      <c r="K51" s="16"/>
      <c r="N51" s="5">
        <f t="shared" si="111"/>
        <v>39</v>
      </c>
      <c r="O51" s="2">
        <f t="shared" ref="O51" ca="1" si="914">+(1+iB)^-N51</f>
        <v>0.41988527975403206</v>
      </c>
      <c r="P51" s="2">
        <f t="shared" ref="P51" ca="1" si="915">+(1+iB)^-(N51+0.5)</f>
        <v>0.41523981718303687</v>
      </c>
      <c r="Q51" s="91"/>
      <c r="R51" s="20">
        <f t="shared" si="114"/>
        <v>39</v>
      </c>
      <c r="S51" s="20" t="str">
        <f t="shared" ref="S51" si="916">+IF(xB+R51&lt;=xB+nB,xB+R51,"")</f>
        <v/>
      </c>
      <c r="T51" s="2">
        <f t="shared" ref="T51:U51" ca="1" si="917">IFERROR(VLOOKUP($S51,qx_table,MATCH(T$11,qx_title,0)+sexB),0)</f>
        <v>0</v>
      </c>
      <c r="U51" s="2">
        <f t="shared" ca="1" si="917"/>
        <v>0</v>
      </c>
      <c r="V51" s="300">
        <f t="shared" ca="1" si="747"/>
        <v>0.01</v>
      </c>
      <c r="W51" s="8">
        <f t="shared" ref="W51" si="918">IF(R51=0,100000,IF(R51&gt;nB,0,W50*(1-X50)*(1-Y50)))</f>
        <v>0</v>
      </c>
      <c r="X51" s="10">
        <f t="shared" ca="1" si="28"/>
        <v>1.0000000000000009E-2</v>
      </c>
      <c r="Y51" s="10">
        <f t="shared" ca="1" si="29"/>
        <v>0</v>
      </c>
      <c r="Z51" s="8">
        <f t="shared" ca="1" si="64"/>
        <v>0</v>
      </c>
      <c r="AA51" s="8">
        <f ca="1">+SUM(Z51:Z$124)</f>
        <v>0</v>
      </c>
      <c r="AB51" s="8">
        <f t="shared" ca="1" si="30"/>
        <v>0</v>
      </c>
      <c r="AC51" s="209">
        <f ca="1">+SUM(AB51:AB$124)*SSSM</f>
        <v>0</v>
      </c>
      <c r="AD51" s="209">
        <f t="shared" ref="AD51" si="919">IF(R51&gt;nB,0,AD50*(1-X50)*(1-Y50)*(1-AE50)*(1-AF50))</f>
        <v>0</v>
      </c>
      <c r="AE51" s="92">
        <f t="shared" ca="1" si="31"/>
        <v>0</v>
      </c>
      <c r="AF51" s="92">
        <f t="shared" ca="1" si="32"/>
        <v>0</v>
      </c>
      <c r="AG51" s="8">
        <f t="shared" ca="1" si="33"/>
        <v>0</v>
      </c>
      <c r="AH51" s="5">
        <f ca="1">+SUM(AG51:AG$124)</f>
        <v>0</v>
      </c>
      <c r="AI51" s="70">
        <f t="shared" ca="1" si="34"/>
        <v>0</v>
      </c>
      <c r="AJ51" s="208">
        <f ca="1">+SUM(AB51:AB$124)*SS50J</f>
        <v>0</v>
      </c>
      <c r="AK51" s="5">
        <f t="shared" ca="1" si="66"/>
        <v>32027.410859922733</v>
      </c>
      <c r="AL51" s="2">
        <f t="shared" ref="AL51" ca="1" si="920">IFERROR(VLOOKUP($S51,qx_table,MATCH(AL$11,qx_title,0)+sexB),0)</f>
        <v>0</v>
      </c>
      <c r="AM51" s="131">
        <f t="shared" ca="1" si="68"/>
        <v>13447.83836871598</v>
      </c>
      <c r="AN51" s="129">
        <f t="shared" ca="1" si="782"/>
        <v>0</v>
      </c>
      <c r="AO51" s="129">
        <f ca="1">SUM(AN51:AN$124)*SSa</f>
        <v>0</v>
      </c>
      <c r="AP51" s="70">
        <f t="shared" ca="1" si="70"/>
        <v>32027.410859922733</v>
      </c>
      <c r="AQ51" s="2">
        <f t="shared" ref="AQ51" ca="1" si="921">IFERROR(VLOOKUP($S51,qx_table,MATCH(AQ$11,qx_title,0)+sexB),0)</f>
        <v>0</v>
      </c>
      <c r="AR51" s="127">
        <f t="shared" ca="1" si="784"/>
        <v>0</v>
      </c>
      <c r="AS51" s="127">
        <f ca="1">SUM(AR51:AR$124)*SSb</f>
        <v>0</v>
      </c>
      <c r="AT51" s="70">
        <f t="shared" ca="1" si="73"/>
        <v>32027.410859922733</v>
      </c>
      <c r="AU51" s="2">
        <f t="shared" ref="AU51" ca="1" si="922">IFERROR(VLOOKUP($S51,qx_table,MATCH(AU$11,qx_title,0)+sexB),0)</f>
        <v>0</v>
      </c>
      <c r="AV51" s="268">
        <f t="shared" ca="1" si="786"/>
        <v>0</v>
      </c>
      <c r="AW51" s="131">
        <f ca="1">SUM(AV51:AV$124)*SSc</f>
        <v>0</v>
      </c>
      <c r="AX51" s="70">
        <f t="shared" ca="1" si="76"/>
        <v>32027.410859922733</v>
      </c>
      <c r="AY51" s="2">
        <f t="shared" ref="AY51" ca="1" si="923">IFERROR(VLOOKUP($S51,qx_table,MATCH(AY$11,qx_title,0)+sexB),0)</f>
        <v>0</v>
      </c>
      <c r="AZ51" s="268">
        <f t="shared" ca="1" si="788"/>
        <v>0</v>
      </c>
      <c r="BA51" s="129">
        <f ca="1">SUM(AZ51:AZ$124)*SSd</f>
        <v>0</v>
      </c>
      <c r="BB51" s="70">
        <f t="shared" ca="1" si="79"/>
        <v>32027.410859922733</v>
      </c>
      <c r="BC51" s="257">
        <f t="shared" ref="BC51" ca="1" si="924">IFERROR(VLOOKUP($S51,qx_table,MATCH(BC$11,qx_title,0)+sexB),0)</f>
        <v>0</v>
      </c>
      <c r="BD51" s="268">
        <f t="shared" ca="1" si="790"/>
        <v>0</v>
      </c>
      <c r="BE51" s="131">
        <f ca="1">SUM(BD51:BD$124)*SSe</f>
        <v>0</v>
      </c>
      <c r="BF51" s="70">
        <f t="shared" ca="1" si="82"/>
        <v>32027.410859922733</v>
      </c>
      <c r="BG51" s="2">
        <f t="shared" ref="BG51" ca="1" si="925">IFERROR(VLOOKUP($S51,qx_table,MATCH(BG$11,qx_title,0)+sexB),0)</f>
        <v>0</v>
      </c>
      <c r="BH51" s="131">
        <f t="shared" ca="1" si="792"/>
        <v>0</v>
      </c>
      <c r="BI51" s="2">
        <f ca="1">SUM(BH51:BH$124)*SSf</f>
        <v>0</v>
      </c>
      <c r="BJ51" s="70">
        <f t="shared" ca="1" si="85"/>
        <v>32027.410859922733</v>
      </c>
      <c r="BK51" s="2">
        <f t="shared" ref="BK51" ca="1" si="926">IFERROR(VLOOKUP($S51,qx_table,MATCH(BK$11,qx_title,0)+sexB),0)</f>
        <v>0</v>
      </c>
      <c r="BL51" s="131">
        <f t="shared" ca="1" si="794"/>
        <v>0</v>
      </c>
      <c r="BM51" s="131">
        <f ca="1">SUM(BL51:BL$124)*SSg</f>
        <v>0</v>
      </c>
      <c r="BN51" s="70">
        <f t="shared" ca="1" si="88"/>
        <v>32027.410859922733</v>
      </c>
      <c r="BO51" s="2">
        <f t="shared" ref="BO51" ca="1" si="927">IFERROR(VLOOKUP($S51,qx_table,MATCH(BO$11,qx_title,0)+sexB),0)</f>
        <v>0</v>
      </c>
      <c r="BP51" s="131">
        <f t="shared" ca="1" si="796"/>
        <v>0</v>
      </c>
      <c r="BQ51" s="131">
        <f ca="1">SUM(BP51:BP$124)*SSh</f>
        <v>0</v>
      </c>
      <c r="BR51" s="70">
        <f t="shared" ca="1" si="91"/>
        <v>32027.410859922733</v>
      </c>
      <c r="BS51" s="2">
        <f t="shared" ref="BS51" ca="1" si="928">IFERROR(VLOOKUP($S51,qx_table,MATCH(BS$11,qx_title,0)+sexB),0)*IF(R51=0,MCi,1)</f>
        <v>0</v>
      </c>
      <c r="BT51" s="131">
        <f t="shared" ca="1" si="798"/>
        <v>0</v>
      </c>
      <c r="BU51" s="131">
        <f ca="1">SUM(BT51:BT$124)*SSi</f>
        <v>0</v>
      </c>
      <c r="BV51" s="70">
        <f t="shared" ca="1" si="94"/>
        <v>32027.410859922733</v>
      </c>
      <c r="BW51" s="2">
        <f t="shared" ref="BW51" ca="1" si="929">IFERROR(VLOOKUP($S51,qx_table,MATCH(BW$11,qx_title,0)+sexB),0)</f>
        <v>0</v>
      </c>
      <c r="BX51" s="131">
        <f t="shared" ca="1" si="800"/>
        <v>0</v>
      </c>
      <c r="BY51" s="131">
        <f ca="1">SUM(BX51:BX$124)*SSj</f>
        <v>0</v>
      </c>
      <c r="BZ51" s="70">
        <f t="shared" ca="1" si="97"/>
        <v>32027.410859922733</v>
      </c>
      <c r="CA51" s="2">
        <f t="shared" ref="CA51" ca="1" si="930">IFERROR(VLOOKUP($S51,qx_table,MATCH(CA$11,qx_title,0)+sexB),0)</f>
        <v>0</v>
      </c>
      <c r="CB51" s="131">
        <f t="shared" ca="1" si="802"/>
        <v>0</v>
      </c>
      <c r="CC51" s="131">
        <f ca="1">SUM(CB51:CB$124)*SSk</f>
        <v>0</v>
      </c>
      <c r="CD51" s="8">
        <f t="shared" ca="1" si="100"/>
        <v>32027.410859922733</v>
      </c>
      <c r="CE51" s="2">
        <f t="shared" ref="CE51" ca="1" si="931">IFERROR(VLOOKUP($S51,qx_table,MATCH(CE$11,qx_title,0)+sexB),0)</f>
        <v>0</v>
      </c>
      <c r="CF51" s="131">
        <f t="shared" ca="1" si="804"/>
        <v>0</v>
      </c>
      <c r="CG51" s="131">
        <f ca="1">SUM(CF51:CF$124)*SSl</f>
        <v>0</v>
      </c>
      <c r="CH51" s="155">
        <f t="shared" ca="1" si="103"/>
        <v>0.01</v>
      </c>
      <c r="CI51" s="155">
        <f t="shared" ca="1" si="104"/>
        <v>0</v>
      </c>
      <c r="CJ51" s="155">
        <f t="shared" ca="1" si="105"/>
        <v>0</v>
      </c>
      <c r="CK51" s="155">
        <f ca="1">'유해지 (기준P)'!CZ51</f>
        <v>0</v>
      </c>
      <c r="CL51" s="155">
        <f t="shared" ca="1" si="762"/>
        <v>0</v>
      </c>
      <c r="CM51" s="155">
        <f t="shared" ca="1" si="106"/>
        <v>0</v>
      </c>
      <c r="CN51" s="155">
        <f ca="1">SUM(CM51:$CM$124)</f>
        <v>0</v>
      </c>
      <c r="CO51" s="101">
        <f t="shared" ca="1" si="107"/>
        <v>0</v>
      </c>
      <c r="CP51" s="154">
        <f t="shared" ca="1" si="763"/>
        <v>0</v>
      </c>
      <c r="CQ51" s="154">
        <f t="shared" ca="1" si="764"/>
        <v>0</v>
      </c>
      <c r="CR51" s="32">
        <f t="shared" ref="CR51" ca="1" si="932">+MAX(VLOOKUP(xB+$R51,기수표B,$AH$1)-VLOOKUP(xB+mB,기수표B,$AH$1),0)</f>
        <v>0</v>
      </c>
      <c r="CS51" s="32">
        <f t="shared" ca="1" si="766"/>
        <v>0</v>
      </c>
      <c r="CT51" s="32">
        <f t="shared" ref="CT51" ca="1" si="933">+MAX(VLOOKUP(xB+$R51,기수표B,$AA$1)-VLOOKUP(xB+mB,기수표B,$AA$1),0)</f>
        <v>0</v>
      </c>
      <c r="CU51" s="32">
        <f t="shared" ca="1" si="768"/>
        <v>0</v>
      </c>
      <c r="CV51" s="32">
        <f t="shared" si="769"/>
        <v>0</v>
      </c>
      <c r="CW51" s="259">
        <f t="shared" ca="1" si="770"/>
        <v>0</v>
      </c>
      <c r="CX51" s="32">
        <f t="shared" ca="1" si="771"/>
        <v>0</v>
      </c>
      <c r="CY51" s="262">
        <f t="shared" ca="1" si="772"/>
        <v>0</v>
      </c>
      <c r="CZ51" s="259" t="e">
        <f t="shared" ca="1" si="773"/>
        <v>#DIV/0!</v>
      </c>
      <c r="DA51" s="31">
        <f t="shared" ref="DA51" ca="1" si="934">+MIN(mB,7)</f>
        <v>7</v>
      </c>
    </row>
    <row r="52" spans="2:105">
      <c r="G52" s="55"/>
      <c r="H52" s="56" t="s">
        <v>35</v>
      </c>
      <c r="I52" s="25" t="e">
        <f ca="1">+I50</f>
        <v>#REF!</v>
      </c>
      <c r="J52" s="30" t="e">
        <f t="shared" ca="1" si="871"/>
        <v>#REF!</v>
      </c>
      <c r="N52" s="5">
        <f t="shared" si="111"/>
        <v>40</v>
      </c>
      <c r="O52" s="2">
        <f t="shared" ref="O52" ca="1" si="935">+(1+iB)^-N52</f>
        <v>0.41064575037069156</v>
      </c>
      <c r="P52" s="2">
        <f t="shared" ref="P52" ca="1" si="936">+(1+iB)^-(N52+0.5)</f>
        <v>0.40610251069245662</v>
      </c>
      <c r="Q52" s="91"/>
      <c r="R52" s="20">
        <f t="shared" si="114"/>
        <v>40</v>
      </c>
      <c r="S52" s="20" t="str">
        <f t="shared" ref="S52" si="937">+IF(xB+R52&lt;=xB+nB,xB+R52,"")</f>
        <v/>
      </c>
      <c r="T52" s="2">
        <f t="shared" ref="T52:U52" ca="1" si="938">IFERROR(VLOOKUP($S52,qx_table,MATCH(T$11,qx_title,0)+sexB),0)</f>
        <v>0</v>
      </c>
      <c r="U52" s="2">
        <f t="shared" ca="1" si="938"/>
        <v>0</v>
      </c>
      <c r="V52" s="300">
        <f t="shared" ca="1" si="747"/>
        <v>0.01</v>
      </c>
      <c r="W52" s="8">
        <f t="shared" ref="W52" si="939">IF(R52=0,100000,IF(R52&gt;nB,0,W51*(1-X51)*(1-Y51)))</f>
        <v>0</v>
      </c>
      <c r="X52" s="10">
        <f t="shared" ca="1" si="28"/>
        <v>1.0000000000000009E-2</v>
      </c>
      <c r="Y52" s="10">
        <f t="shared" ca="1" si="29"/>
        <v>0</v>
      </c>
      <c r="Z52" s="8">
        <f t="shared" ca="1" si="64"/>
        <v>0</v>
      </c>
      <c r="AA52" s="8">
        <f ca="1">+SUM(Z52:Z$124)</f>
        <v>0</v>
      </c>
      <c r="AB52" s="8">
        <f t="shared" ca="1" si="30"/>
        <v>0</v>
      </c>
      <c r="AC52" s="209">
        <f ca="1">+SUM(AB52:AB$124)*SSSM</f>
        <v>0</v>
      </c>
      <c r="AD52" s="209">
        <f t="shared" ref="AD52" si="940">IF(R52&gt;nB,0,AD51*(1-X51)*(1-Y51)*(1-AE51)*(1-AF51))</f>
        <v>0</v>
      </c>
      <c r="AE52" s="92">
        <f t="shared" ca="1" si="31"/>
        <v>0</v>
      </c>
      <c r="AF52" s="92">
        <f t="shared" ca="1" si="32"/>
        <v>0</v>
      </c>
      <c r="AG52" s="8">
        <f t="shared" ca="1" si="33"/>
        <v>0</v>
      </c>
      <c r="AH52" s="5">
        <f ca="1">+SUM(AG52:AG$124)</f>
        <v>0</v>
      </c>
      <c r="AI52" s="70">
        <f t="shared" ca="1" si="34"/>
        <v>0</v>
      </c>
      <c r="AJ52" s="208">
        <f ca="1">+SUM(AB52:AB$124)*SS50J</f>
        <v>0</v>
      </c>
      <c r="AK52" s="5">
        <f t="shared" ca="1" si="66"/>
        <v>31707.136751323505</v>
      </c>
      <c r="AL52" s="2">
        <f t="shared" ref="AL52" ca="1" si="941">IFERROR(VLOOKUP($S52,qx_table,MATCH(AL$11,qx_title,0)+sexB),0)</f>
        <v>0</v>
      </c>
      <c r="AM52" s="131">
        <f t="shared" ca="1" si="68"/>
        <v>13020.400963353373</v>
      </c>
      <c r="AN52" s="129">
        <f t="shared" ca="1" si="782"/>
        <v>0</v>
      </c>
      <c r="AO52" s="129">
        <f ca="1">SUM(AN52:AN$124)*SSa</f>
        <v>0</v>
      </c>
      <c r="AP52" s="70">
        <f t="shared" ca="1" si="70"/>
        <v>31707.136751323505</v>
      </c>
      <c r="AQ52" s="2">
        <f t="shared" ref="AQ52" ca="1" si="942">IFERROR(VLOOKUP($S52,qx_table,MATCH(AQ$11,qx_title,0)+sexB),0)</f>
        <v>0</v>
      </c>
      <c r="AR52" s="127">
        <f t="shared" ca="1" si="784"/>
        <v>0</v>
      </c>
      <c r="AS52" s="127">
        <f ca="1">SUM(AR52:AR$124)*SSb</f>
        <v>0</v>
      </c>
      <c r="AT52" s="70">
        <f t="shared" ca="1" si="73"/>
        <v>31707.136751323505</v>
      </c>
      <c r="AU52" s="2">
        <f t="shared" ref="AU52" ca="1" si="943">IFERROR(VLOOKUP($S52,qx_table,MATCH(AU$11,qx_title,0)+sexB),0)</f>
        <v>0</v>
      </c>
      <c r="AV52" s="268">
        <f t="shared" ca="1" si="786"/>
        <v>0</v>
      </c>
      <c r="AW52" s="131">
        <f ca="1">SUM(AV52:AV$124)*SSc</f>
        <v>0</v>
      </c>
      <c r="AX52" s="70">
        <f t="shared" ca="1" si="76"/>
        <v>31707.136751323505</v>
      </c>
      <c r="AY52" s="2">
        <f t="shared" ref="AY52" ca="1" si="944">IFERROR(VLOOKUP($S52,qx_table,MATCH(AY$11,qx_title,0)+sexB),0)</f>
        <v>0</v>
      </c>
      <c r="AZ52" s="268">
        <f t="shared" ca="1" si="788"/>
        <v>0</v>
      </c>
      <c r="BA52" s="129">
        <f ca="1">SUM(AZ52:AZ$124)*SSd</f>
        <v>0</v>
      </c>
      <c r="BB52" s="70">
        <f t="shared" ca="1" si="79"/>
        <v>31707.136751323505</v>
      </c>
      <c r="BC52" s="257">
        <f t="shared" ref="BC52" ca="1" si="945">IFERROR(VLOOKUP($S52,qx_table,MATCH(BC$11,qx_title,0)+sexB),0)</f>
        <v>0</v>
      </c>
      <c r="BD52" s="268">
        <f t="shared" ca="1" si="790"/>
        <v>0</v>
      </c>
      <c r="BE52" s="131">
        <f ca="1">SUM(BD52:BD$124)*SSe</f>
        <v>0</v>
      </c>
      <c r="BF52" s="70">
        <f t="shared" ca="1" si="82"/>
        <v>31707.136751323505</v>
      </c>
      <c r="BG52" s="2">
        <f t="shared" ref="BG52" ca="1" si="946">IFERROR(VLOOKUP($S52,qx_table,MATCH(BG$11,qx_title,0)+sexB),0)</f>
        <v>0</v>
      </c>
      <c r="BH52" s="131">
        <f t="shared" ca="1" si="792"/>
        <v>0</v>
      </c>
      <c r="BI52" s="2">
        <f ca="1">SUM(BH52:BH$124)*SSf</f>
        <v>0</v>
      </c>
      <c r="BJ52" s="70">
        <f t="shared" ca="1" si="85"/>
        <v>31707.136751323505</v>
      </c>
      <c r="BK52" s="2">
        <f t="shared" ref="BK52" ca="1" si="947">IFERROR(VLOOKUP($S52,qx_table,MATCH(BK$11,qx_title,0)+sexB),0)</f>
        <v>0</v>
      </c>
      <c r="BL52" s="131">
        <f t="shared" ca="1" si="794"/>
        <v>0</v>
      </c>
      <c r="BM52" s="131">
        <f ca="1">SUM(BL52:BL$124)*SSg</f>
        <v>0</v>
      </c>
      <c r="BN52" s="70">
        <f t="shared" ca="1" si="88"/>
        <v>31707.136751323505</v>
      </c>
      <c r="BO52" s="2">
        <f t="shared" ref="BO52" ca="1" si="948">IFERROR(VLOOKUP($S52,qx_table,MATCH(BO$11,qx_title,0)+sexB),0)</f>
        <v>0</v>
      </c>
      <c r="BP52" s="131">
        <f t="shared" ca="1" si="796"/>
        <v>0</v>
      </c>
      <c r="BQ52" s="131">
        <f ca="1">SUM(BP52:BP$124)*SSh</f>
        <v>0</v>
      </c>
      <c r="BR52" s="70">
        <f t="shared" ca="1" si="91"/>
        <v>31707.136751323505</v>
      </c>
      <c r="BS52" s="2">
        <f t="shared" ref="BS52" ca="1" si="949">IFERROR(VLOOKUP($S52,qx_table,MATCH(BS$11,qx_title,0)+sexB),0)*IF(R52=0,MCi,1)</f>
        <v>0</v>
      </c>
      <c r="BT52" s="131">
        <f t="shared" ca="1" si="798"/>
        <v>0</v>
      </c>
      <c r="BU52" s="131">
        <f ca="1">SUM(BT52:BT$124)*SSi</f>
        <v>0</v>
      </c>
      <c r="BV52" s="70">
        <f t="shared" ca="1" si="94"/>
        <v>31707.136751323505</v>
      </c>
      <c r="BW52" s="2">
        <f t="shared" ref="BW52" ca="1" si="950">IFERROR(VLOOKUP($S52,qx_table,MATCH(BW$11,qx_title,0)+sexB),0)</f>
        <v>0</v>
      </c>
      <c r="BX52" s="131">
        <f t="shared" ca="1" si="800"/>
        <v>0</v>
      </c>
      <c r="BY52" s="131">
        <f ca="1">SUM(BX52:BX$124)*SSj</f>
        <v>0</v>
      </c>
      <c r="BZ52" s="70">
        <f t="shared" ca="1" si="97"/>
        <v>31707.136751323505</v>
      </c>
      <c r="CA52" s="2">
        <f t="shared" ref="CA52" ca="1" si="951">IFERROR(VLOOKUP($S52,qx_table,MATCH(CA$11,qx_title,0)+sexB),0)</f>
        <v>0</v>
      </c>
      <c r="CB52" s="131">
        <f t="shared" ca="1" si="802"/>
        <v>0</v>
      </c>
      <c r="CC52" s="131">
        <f ca="1">SUM(CB52:CB$124)*SSk</f>
        <v>0</v>
      </c>
      <c r="CD52" s="8">
        <f t="shared" ca="1" si="100"/>
        <v>31707.136751323505</v>
      </c>
      <c r="CE52" s="2">
        <f t="shared" ref="CE52" ca="1" si="952">IFERROR(VLOOKUP($S52,qx_table,MATCH(CE$11,qx_title,0)+sexB),0)</f>
        <v>0</v>
      </c>
      <c r="CF52" s="131">
        <f t="shared" ca="1" si="804"/>
        <v>0</v>
      </c>
      <c r="CG52" s="131">
        <f ca="1">SUM(CF52:CF$124)*SSl</f>
        <v>0</v>
      </c>
      <c r="CH52" s="155">
        <f t="shared" ca="1" si="103"/>
        <v>0.01</v>
      </c>
      <c r="CI52" s="155">
        <f t="shared" ca="1" si="104"/>
        <v>0</v>
      </c>
      <c r="CJ52" s="155">
        <f t="shared" ca="1" si="105"/>
        <v>0</v>
      </c>
      <c r="CK52" s="155">
        <f ca="1">'유해지 (기준P)'!CZ52</f>
        <v>0</v>
      </c>
      <c r="CL52" s="155">
        <f t="shared" ca="1" si="762"/>
        <v>0</v>
      </c>
      <c r="CM52" s="155">
        <f t="shared" ca="1" si="106"/>
        <v>0</v>
      </c>
      <c r="CN52" s="155">
        <f ca="1">SUM(CM52:$CM$124)</f>
        <v>0</v>
      </c>
      <c r="CO52" s="101">
        <f t="shared" ca="1" si="107"/>
        <v>0</v>
      </c>
      <c r="CP52" s="154">
        <f t="shared" ca="1" si="763"/>
        <v>0</v>
      </c>
      <c r="CQ52" s="154">
        <f t="shared" ca="1" si="764"/>
        <v>0</v>
      </c>
      <c r="CR52" s="32">
        <f t="shared" ref="CR52" ca="1" si="953">+MAX(VLOOKUP(xB+$R52,기수표B,$AH$1)-VLOOKUP(xB+mB,기수표B,$AH$1),0)</f>
        <v>0</v>
      </c>
      <c r="CS52" s="32">
        <f t="shared" ca="1" si="766"/>
        <v>0</v>
      </c>
      <c r="CT52" s="32">
        <f t="shared" ref="CT52" ca="1" si="954">+MAX(VLOOKUP(xB+$R52,기수표B,$AA$1)-VLOOKUP(xB+mB,기수표B,$AA$1),0)</f>
        <v>0</v>
      </c>
      <c r="CU52" s="32">
        <f t="shared" ca="1" si="768"/>
        <v>0</v>
      </c>
      <c r="CV52" s="32">
        <f t="shared" si="769"/>
        <v>0</v>
      </c>
      <c r="CW52" s="259">
        <f t="shared" ca="1" si="770"/>
        <v>0</v>
      </c>
      <c r="CX52" s="32">
        <f t="shared" ca="1" si="771"/>
        <v>0</v>
      </c>
      <c r="CY52" s="262">
        <f t="shared" ca="1" si="772"/>
        <v>0</v>
      </c>
      <c r="CZ52" s="259" t="e">
        <f t="shared" ca="1" si="773"/>
        <v>#DIV/0!</v>
      </c>
      <c r="DA52" s="31">
        <f t="shared" ref="DA52" ca="1" si="955">+MIN(mB,7)</f>
        <v>7</v>
      </c>
    </row>
    <row r="53" spans="2:105">
      <c r="G53" s="74" t="s">
        <v>33</v>
      </c>
      <c r="H53" s="75"/>
      <c r="I53" s="25" t="e">
        <f ca="1">+SUM(I54:I56)</f>
        <v>#REF!</v>
      </c>
      <c r="J53" s="30" t="e">
        <f t="shared" ca="1" si="871"/>
        <v>#REF!</v>
      </c>
      <c r="N53" s="5">
        <f t="shared" si="111"/>
        <v>41</v>
      </c>
      <c r="O53" s="2">
        <f t="shared" ref="O53" ca="1" si="956">+(1+iB)^-N53</f>
        <v>0.40160953581485731</v>
      </c>
      <c r="P53" s="2">
        <f t="shared" ref="P53" ca="1" si="957">+(1+iB)^-(N53+0.5)</f>
        <v>0.39716626962587448</v>
      </c>
      <c r="Q53" s="91"/>
      <c r="R53" s="20">
        <f t="shared" si="114"/>
        <v>41</v>
      </c>
      <c r="S53" s="20" t="str">
        <f t="shared" ref="S53" si="958">+IF(xB+R53&lt;=xB+nB,xB+R53,"")</f>
        <v/>
      </c>
      <c r="T53" s="2">
        <f t="shared" ref="T53:U53" ca="1" si="959">IFERROR(VLOOKUP($S53,qx_table,MATCH(T$11,qx_title,0)+sexB),0)</f>
        <v>0</v>
      </c>
      <c r="U53" s="2">
        <f t="shared" ca="1" si="959"/>
        <v>0</v>
      </c>
      <c r="V53" s="300">
        <f t="shared" ca="1" si="747"/>
        <v>0.01</v>
      </c>
      <c r="W53" s="8">
        <f t="shared" ref="W53" si="960">IF(R53=0,100000,IF(R53&gt;nB,0,W52*(1-X52)*(1-Y52)))</f>
        <v>0</v>
      </c>
      <c r="X53" s="10">
        <f t="shared" ca="1" si="28"/>
        <v>1.0000000000000009E-2</v>
      </c>
      <c r="Y53" s="10">
        <f t="shared" ca="1" si="29"/>
        <v>0</v>
      </c>
      <c r="Z53" s="8">
        <f t="shared" ca="1" si="64"/>
        <v>0</v>
      </c>
      <c r="AA53" s="8">
        <f ca="1">+SUM(Z53:Z$124)</f>
        <v>0</v>
      </c>
      <c r="AB53" s="8">
        <f t="shared" ca="1" si="30"/>
        <v>0</v>
      </c>
      <c r="AC53" s="209">
        <f ca="1">+SUM(AB53:AB$124)*SSSM</f>
        <v>0</v>
      </c>
      <c r="AD53" s="209">
        <f t="shared" ref="AD53" si="961">IF(R53&gt;nB,0,AD52*(1-X52)*(1-Y52)*(1-AE52)*(1-AF52))</f>
        <v>0</v>
      </c>
      <c r="AE53" s="92">
        <f t="shared" ca="1" si="31"/>
        <v>0</v>
      </c>
      <c r="AF53" s="92">
        <f t="shared" ca="1" si="32"/>
        <v>0</v>
      </c>
      <c r="AG53" s="8">
        <f t="shared" ca="1" si="33"/>
        <v>0</v>
      </c>
      <c r="AH53" s="5">
        <f ca="1">+SUM(AG53:AG$124)</f>
        <v>0</v>
      </c>
      <c r="AI53" s="70">
        <f t="shared" ca="1" si="34"/>
        <v>0</v>
      </c>
      <c r="AJ53" s="208">
        <f ca="1">+SUM(AB53:AB$124)*SS50J</f>
        <v>0</v>
      </c>
      <c r="AK53" s="5">
        <f t="shared" ca="1" si="66"/>
        <v>31390.06538381027</v>
      </c>
      <c r="AL53" s="2">
        <f t="shared" ref="AL53" ca="1" si="962">IFERROR(VLOOKUP($S53,qx_table,MATCH(AL$11,qx_title,0)+sexB),0)</f>
        <v>0</v>
      </c>
      <c r="AM53" s="131">
        <f t="shared" ca="1" si="68"/>
        <v>12606.549587990063</v>
      </c>
      <c r="AN53" s="129">
        <f t="shared" ca="1" si="782"/>
        <v>0</v>
      </c>
      <c r="AO53" s="129">
        <f ca="1">SUM(AN53:AN$124)*SSa</f>
        <v>0</v>
      </c>
      <c r="AP53" s="70">
        <f t="shared" ca="1" si="70"/>
        <v>31390.06538381027</v>
      </c>
      <c r="AQ53" s="2">
        <f t="shared" ref="AQ53" ca="1" si="963">IFERROR(VLOOKUP($S53,qx_table,MATCH(AQ$11,qx_title,0)+sexB),0)</f>
        <v>0</v>
      </c>
      <c r="AR53" s="127">
        <f t="shared" ca="1" si="784"/>
        <v>0</v>
      </c>
      <c r="AS53" s="127">
        <f ca="1">SUM(AR53:AR$124)*SSb</f>
        <v>0</v>
      </c>
      <c r="AT53" s="70">
        <f t="shared" ca="1" si="73"/>
        <v>31390.06538381027</v>
      </c>
      <c r="AU53" s="2">
        <f t="shared" ref="AU53" ca="1" si="964">IFERROR(VLOOKUP($S53,qx_table,MATCH(AU$11,qx_title,0)+sexB),0)</f>
        <v>0</v>
      </c>
      <c r="AV53" s="268">
        <f t="shared" ca="1" si="786"/>
        <v>0</v>
      </c>
      <c r="AW53" s="131">
        <f ca="1">SUM(AV53:AV$124)*SSc</f>
        <v>0</v>
      </c>
      <c r="AX53" s="70">
        <f t="shared" ca="1" si="76"/>
        <v>31390.06538381027</v>
      </c>
      <c r="AY53" s="2">
        <f t="shared" ref="AY53" ca="1" si="965">IFERROR(VLOOKUP($S53,qx_table,MATCH(AY$11,qx_title,0)+sexB),0)</f>
        <v>0</v>
      </c>
      <c r="AZ53" s="268">
        <f t="shared" ca="1" si="788"/>
        <v>0</v>
      </c>
      <c r="BA53" s="129">
        <f ca="1">SUM(AZ53:AZ$124)*SSd</f>
        <v>0</v>
      </c>
      <c r="BB53" s="70">
        <f t="shared" ca="1" si="79"/>
        <v>31390.06538381027</v>
      </c>
      <c r="BC53" s="257">
        <f t="shared" ref="BC53" ca="1" si="966">IFERROR(VLOOKUP($S53,qx_table,MATCH(BC$11,qx_title,0)+sexB),0)</f>
        <v>0</v>
      </c>
      <c r="BD53" s="268">
        <f t="shared" ca="1" si="790"/>
        <v>0</v>
      </c>
      <c r="BE53" s="131">
        <f ca="1">SUM(BD53:BD$124)*SSe</f>
        <v>0</v>
      </c>
      <c r="BF53" s="70">
        <f t="shared" ca="1" si="82"/>
        <v>31390.06538381027</v>
      </c>
      <c r="BG53" s="2">
        <f t="shared" ref="BG53" ca="1" si="967">IFERROR(VLOOKUP($S53,qx_table,MATCH(BG$11,qx_title,0)+sexB),0)</f>
        <v>0</v>
      </c>
      <c r="BH53" s="131">
        <f t="shared" ca="1" si="792"/>
        <v>0</v>
      </c>
      <c r="BI53" s="2">
        <f ca="1">SUM(BH53:BH$124)*SSf</f>
        <v>0</v>
      </c>
      <c r="BJ53" s="70">
        <f t="shared" ca="1" si="85"/>
        <v>31390.06538381027</v>
      </c>
      <c r="BK53" s="2">
        <f t="shared" ref="BK53" ca="1" si="968">IFERROR(VLOOKUP($S53,qx_table,MATCH(BK$11,qx_title,0)+sexB),0)</f>
        <v>0</v>
      </c>
      <c r="BL53" s="131">
        <f t="shared" ca="1" si="794"/>
        <v>0</v>
      </c>
      <c r="BM53" s="131">
        <f ca="1">SUM(BL53:BL$124)*SSg</f>
        <v>0</v>
      </c>
      <c r="BN53" s="70">
        <f t="shared" ca="1" si="88"/>
        <v>31390.06538381027</v>
      </c>
      <c r="BO53" s="2">
        <f t="shared" ref="BO53" ca="1" si="969">IFERROR(VLOOKUP($S53,qx_table,MATCH(BO$11,qx_title,0)+sexB),0)</f>
        <v>0</v>
      </c>
      <c r="BP53" s="131">
        <f t="shared" ca="1" si="796"/>
        <v>0</v>
      </c>
      <c r="BQ53" s="131">
        <f ca="1">SUM(BP53:BP$124)*SSh</f>
        <v>0</v>
      </c>
      <c r="BR53" s="70">
        <f t="shared" ca="1" si="91"/>
        <v>31390.06538381027</v>
      </c>
      <c r="BS53" s="2">
        <f t="shared" ref="BS53" ca="1" si="970">IFERROR(VLOOKUP($S53,qx_table,MATCH(BS$11,qx_title,0)+sexB),0)*IF(R53=0,MCi,1)</f>
        <v>0</v>
      </c>
      <c r="BT53" s="131">
        <f t="shared" ca="1" si="798"/>
        <v>0</v>
      </c>
      <c r="BU53" s="131">
        <f ca="1">SUM(BT53:BT$124)*SSi</f>
        <v>0</v>
      </c>
      <c r="BV53" s="70">
        <f t="shared" ca="1" si="94"/>
        <v>31390.06538381027</v>
      </c>
      <c r="BW53" s="2">
        <f t="shared" ref="BW53" ca="1" si="971">IFERROR(VLOOKUP($S53,qx_table,MATCH(BW$11,qx_title,0)+sexB),0)</f>
        <v>0</v>
      </c>
      <c r="BX53" s="131">
        <f t="shared" ca="1" si="800"/>
        <v>0</v>
      </c>
      <c r="BY53" s="131">
        <f ca="1">SUM(BX53:BX$124)*SSj</f>
        <v>0</v>
      </c>
      <c r="BZ53" s="70">
        <f t="shared" ca="1" si="97"/>
        <v>31390.06538381027</v>
      </c>
      <c r="CA53" s="2">
        <f t="shared" ref="CA53" ca="1" si="972">IFERROR(VLOOKUP($S53,qx_table,MATCH(CA$11,qx_title,0)+sexB),0)</f>
        <v>0</v>
      </c>
      <c r="CB53" s="131">
        <f t="shared" ca="1" si="802"/>
        <v>0</v>
      </c>
      <c r="CC53" s="131">
        <f ca="1">SUM(CB53:CB$124)*SSk</f>
        <v>0</v>
      </c>
      <c r="CD53" s="8">
        <f t="shared" ca="1" si="100"/>
        <v>31390.06538381027</v>
      </c>
      <c r="CE53" s="2">
        <f t="shared" ref="CE53" ca="1" si="973">IFERROR(VLOOKUP($S53,qx_table,MATCH(CE$11,qx_title,0)+sexB),0)</f>
        <v>0</v>
      </c>
      <c r="CF53" s="131">
        <f t="shared" ca="1" si="804"/>
        <v>0</v>
      </c>
      <c r="CG53" s="131">
        <f ca="1">SUM(CF53:CF$124)*SSl</f>
        <v>0</v>
      </c>
      <c r="CH53" s="155">
        <f t="shared" ca="1" si="103"/>
        <v>0.01</v>
      </c>
      <c r="CI53" s="155">
        <f t="shared" ca="1" si="104"/>
        <v>0</v>
      </c>
      <c r="CJ53" s="155">
        <f t="shared" ca="1" si="105"/>
        <v>0</v>
      </c>
      <c r="CK53" s="155">
        <f ca="1">'유해지 (기준P)'!CZ53</f>
        <v>0</v>
      </c>
      <c r="CL53" s="155">
        <f t="shared" ca="1" si="762"/>
        <v>0</v>
      </c>
      <c r="CM53" s="155">
        <f t="shared" ca="1" si="106"/>
        <v>0</v>
      </c>
      <c r="CN53" s="155">
        <f ca="1">SUM(CM53:$CM$124)</f>
        <v>0</v>
      </c>
      <c r="CO53" s="101">
        <f t="shared" ca="1" si="107"/>
        <v>0</v>
      </c>
      <c r="CP53" s="154">
        <f t="shared" ca="1" si="763"/>
        <v>0</v>
      </c>
      <c r="CQ53" s="154">
        <f t="shared" ca="1" si="764"/>
        <v>0</v>
      </c>
      <c r="CR53" s="32">
        <f t="shared" ref="CR53" ca="1" si="974">+MAX(VLOOKUP(xB+$R53,기수표B,$AH$1)-VLOOKUP(xB+mB,기수표B,$AH$1),0)</f>
        <v>0</v>
      </c>
      <c r="CS53" s="32">
        <f t="shared" ca="1" si="766"/>
        <v>0</v>
      </c>
      <c r="CT53" s="32">
        <f t="shared" ref="CT53" ca="1" si="975">+MAX(VLOOKUP(xB+$R53,기수표B,$AA$1)-VLOOKUP(xB+mB,기수표B,$AA$1),0)</f>
        <v>0</v>
      </c>
      <c r="CU53" s="32">
        <f t="shared" ca="1" si="768"/>
        <v>0</v>
      </c>
      <c r="CV53" s="32">
        <f t="shared" si="769"/>
        <v>0</v>
      </c>
      <c r="CW53" s="259">
        <f t="shared" ca="1" si="770"/>
        <v>0</v>
      </c>
      <c r="CX53" s="32">
        <f t="shared" ca="1" si="771"/>
        <v>0</v>
      </c>
      <c r="CY53" s="262">
        <f t="shared" ca="1" si="772"/>
        <v>0</v>
      </c>
      <c r="CZ53" s="259" t="e">
        <f t="shared" ca="1" si="773"/>
        <v>#DIV/0!</v>
      </c>
      <c r="DA53" s="31">
        <f t="shared" ref="DA53" ca="1" si="976">+MIN(mB,7)</f>
        <v>7</v>
      </c>
    </row>
    <row r="54" spans="2:105">
      <c r="G54" s="53"/>
      <c r="H54" s="54" t="s">
        <v>36</v>
      </c>
      <c r="I54" s="16" t="e">
        <f ca="1">+(ALP_GP*12*$H$29+C22+C21*C28)*H8*SB/(12*H20)</f>
        <v>#REF!</v>
      </c>
      <c r="J54" s="29" t="e">
        <f t="shared" ca="1" si="871"/>
        <v>#REF!</v>
      </c>
      <c r="N54" s="5">
        <f t="shared" si="111"/>
        <v>42</v>
      </c>
      <c r="O54" s="2">
        <f t="shared" ref="O54" ca="1" si="977">+(1+iB)^-N54</f>
        <v>0.39277216216611965</v>
      </c>
      <c r="P54" s="2">
        <f t="shared" ref="P54" ca="1" si="978">+(1+iB)^-(N54+0.5)</f>
        <v>0.3884266695607575</v>
      </c>
      <c r="Q54" s="91"/>
      <c r="R54" s="20">
        <f t="shared" si="114"/>
        <v>42</v>
      </c>
      <c r="S54" s="20" t="str">
        <f t="shared" ref="S54" si="979">+IF(xB+R54&lt;=xB+nB,xB+R54,"")</f>
        <v/>
      </c>
      <c r="T54" s="2">
        <f t="shared" ref="T54:U54" ca="1" si="980">IFERROR(VLOOKUP($S54,qx_table,MATCH(T$11,qx_title,0)+sexB),0)</f>
        <v>0</v>
      </c>
      <c r="U54" s="2">
        <f t="shared" ca="1" si="980"/>
        <v>0</v>
      </c>
      <c r="V54" s="300">
        <f t="shared" ca="1" si="747"/>
        <v>0.01</v>
      </c>
      <c r="W54" s="8">
        <f t="shared" ref="W54" si="981">IF(R54=0,100000,IF(R54&gt;nB,0,W53*(1-X53)*(1-Y53)))</f>
        <v>0</v>
      </c>
      <c r="X54" s="10">
        <f t="shared" ca="1" si="28"/>
        <v>1.0000000000000009E-2</v>
      </c>
      <c r="Y54" s="10">
        <f t="shared" ca="1" si="29"/>
        <v>0</v>
      </c>
      <c r="Z54" s="8">
        <f t="shared" ca="1" si="64"/>
        <v>0</v>
      </c>
      <c r="AA54" s="8">
        <f ca="1">+SUM(Z54:Z$124)</f>
        <v>0</v>
      </c>
      <c r="AB54" s="8">
        <f t="shared" ca="1" si="30"/>
        <v>0</v>
      </c>
      <c r="AC54" s="209">
        <f ca="1">+SUM(AB54:AB$124)*SSSM</f>
        <v>0</v>
      </c>
      <c r="AD54" s="209">
        <f t="shared" ref="AD54" si="982">IF(R54&gt;nB,0,AD53*(1-X53)*(1-Y53)*(1-AE53)*(1-AF53))</f>
        <v>0</v>
      </c>
      <c r="AE54" s="92">
        <f t="shared" ca="1" si="31"/>
        <v>0</v>
      </c>
      <c r="AF54" s="92">
        <f t="shared" ca="1" si="32"/>
        <v>0</v>
      </c>
      <c r="AG54" s="8">
        <f t="shared" ca="1" si="33"/>
        <v>0</v>
      </c>
      <c r="AH54" s="5">
        <f ca="1">+SUM(AG54:AG$124)</f>
        <v>0</v>
      </c>
      <c r="AI54" s="70">
        <f t="shared" ca="1" si="34"/>
        <v>0</v>
      </c>
      <c r="AJ54" s="208">
        <f ca="1">+SUM(AB54:AB$124)*SS50J</f>
        <v>0</v>
      </c>
      <c r="AK54" s="5">
        <f t="shared" ca="1" si="66"/>
        <v>31076.164729972166</v>
      </c>
      <c r="AL54" s="2">
        <f t="shared" ref="AL54" ca="1" si="983">IFERROR(VLOOKUP($S54,qx_table,MATCH(AL$11,qx_title,0)+sexB),0)</f>
        <v>0</v>
      </c>
      <c r="AM54" s="131">
        <f t="shared" ca="1" si="68"/>
        <v>12205.852412821676</v>
      </c>
      <c r="AN54" s="129">
        <f t="shared" ca="1" si="782"/>
        <v>0</v>
      </c>
      <c r="AO54" s="129">
        <f ca="1">SUM(AN54:AN$124)*SSa</f>
        <v>0</v>
      </c>
      <c r="AP54" s="70">
        <f t="shared" ca="1" si="70"/>
        <v>31076.164729972166</v>
      </c>
      <c r="AQ54" s="2">
        <f t="shared" ref="AQ54" ca="1" si="984">IFERROR(VLOOKUP($S54,qx_table,MATCH(AQ$11,qx_title,0)+sexB),0)</f>
        <v>0</v>
      </c>
      <c r="AR54" s="127">
        <f t="shared" ca="1" si="784"/>
        <v>0</v>
      </c>
      <c r="AS54" s="127">
        <f ca="1">SUM(AR54:AR$124)*SSb</f>
        <v>0</v>
      </c>
      <c r="AT54" s="70">
        <f t="shared" ca="1" si="73"/>
        <v>31076.164729972166</v>
      </c>
      <c r="AU54" s="2">
        <f t="shared" ref="AU54" ca="1" si="985">IFERROR(VLOOKUP($S54,qx_table,MATCH(AU$11,qx_title,0)+sexB),0)</f>
        <v>0</v>
      </c>
      <c r="AV54" s="268">
        <f t="shared" ca="1" si="786"/>
        <v>0</v>
      </c>
      <c r="AW54" s="131">
        <f ca="1">SUM(AV54:AV$124)*SSc</f>
        <v>0</v>
      </c>
      <c r="AX54" s="70">
        <f t="shared" ca="1" si="76"/>
        <v>31076.164729972166</v>
      </c>
      <c r="AY54" s="2">
        <f t="shared" ref="AY54" ca="1" si="986">IFERROR(VLOOKUP($S54,qx_table,MATCH(AY$11,qx_title,0)+sexB),0)</f>
        <v>0</v>
      </c>
      <c r="AZ54" s="268">
        <f t="shared" ca="1" si="788"/>
        <v>0</v>
      </c>
      <c r="BA54" s="129">
        <f ca="1">SUM(AZ54:AZ$124)*SSd</f>
        <v>0</v>
      </c>
      <c r="BB54" s="70">
        <f t="shared" ca="1" si="79"/>
        <v>31076.164729972166</v>
      </c>
      <c r="BC54" s="257">
        <f t="shared" ref="BC54" ca="1" si="987">IFERROR(VLOOKUP($S54,qx_table,MATCH(BC$11,qx_title,0)+sexB),0)</f>
        <v>0</v>
      </c>
      <c r="BD54" s="268">
        <f t="shared" ca="1" si="790"/>
        <v>0</v>
      </c>
      <c r="BE54" s="131">
        <f ca="1">SUM(BD54:BD$124)*SSe</f>
        <v>0</v>
      </c>
      <c r="BF54" s="70">
        <f t="shared" ca="1" si="82"/>
        <v>31076.164729972166</v>
      </c>
      <c r="BG54" s="2">
        <f t="shared" ref="BG54" ca="1" si="988">IFERROR(VLOOKUP($S54,qx_table,MATCH(BG$11,qx_title,0)+sexB),0)</f>
        <v>0</v>
      </c>
      <c r="BH54" s="131">
        <f t="shared" ca="1" si="792"/>
        <v>0</v>
      </c>
      <c r="BI54" s="2">
        <f ca="1">SUM(BH54:BH$124)*SSf</f>
        <v>0</v>
      </c>
      <c r="BJ54" s="70">
        <f t="shared" ca="1" si="85"/>
        <v>31076.164729972166</v>
      </c>
      <c r="BK54" s="2">
        <f t="shared" ref="BK54" ca="1" si="989">IFERROR(VLOOKUP($S54,qx_table,MATCH(BK$11,qx_title,0)+sexB),0)</f>
        <v>0</v>
      </c>
      <c r="BL54" s="131">
        <f t="shared" ca="1" si="794"/>
        <v>0</v>
      </c>
      <c r="BM54" s="131">
        <f ca="1">SUM(BL54:BL$124)*SSg</f>
        <v>0</v>
      </c>
      <c r="BN54" s="70">
        <f t="shared" ca="1" si="88"/>
        <v>31076.164729972166</v>
      </c>
      <c r="BO54" s="2">
        <f t="shared" ref="BO54" ca="1" si="990">IFERROR(VLOOKUP($S54,qx_table,MATCH(BO$11,qx_title,0)+sexB),0)</f>
        <v>0</v>
      </c>
      <c r="BP54" s="131">
        <f t="shared" ca="1" si="796"/>
        <v>0</v>
      </c>
      <c r="BQ54" s="131">
        <f ca="1">SUM(BP54:BP$124)*SSh</f>
        <v>0</v>
      </c>
      <c r="BR54" s="70">
        <f t="shared" ca="1" si="91"/>
        <v>31076.164729972166</v>
      </c>
      <c r="BS54" s="2">
        <f t="shared" ref="BS54" ca="1" si="991">IFERROR(VLOOKUP($S54,qx_table,MATCH(BS$11,qx_title,0)+sexB),0)*IF(R54=0,MCi,1)</f>
        <v>0</v>
      </c>
      <c r="BT54" s="131">
        <f t="shared" ca="1" si="798"/>
        <v>0</v>
      </c>
      <c r="BU54" s="131">
        <f ca="1">SUM(BT54:BT$124)*SSi</f>
        <v>0</v>
      </c>
      <c r="BV54" s="70">
        <f t="shared" ca="1" si="94"/>
        <v>31076.164729972166</v>
      </c>
      <c r="BW54" s="2">
        <f t="shared" ref="BW54" ca="1" si="992">IFERROR(VLOOKUP($S54,qx_table,MATCH(BW$11,qx_title,0)+sexB),0)</f>
        <v>0</v>
      </c>
      <c r="BX54" s="131">
        <f t="shared" ca="1" si="800"/>
        <v>0</v>
      </c>
      <c r="BY54" s="131">
        <f ca="1">SUM(BX54:BX$124)*SSj</f>
        <v>0</v>
      </c>
      <c r="BZ54" s="70">
        <f t="shared" ca="1" si="97"/>
        <v>31076.164729972166</v>
      </c>
      <c r="CA54" s="2">
        <f t="shared" ref="CA54" ca="1" si="993">IFERROR(VLOOKUP($S54,qx_table,MATCH(CA$11,qx_title,0)+sexB),0)</f>
        <v>0</v>
      </c>
      <c r="CB54" s="131">
        <f t="shared" ca="1" si="802"/>
        <v>0</v>
      </c>
      <c r="CC54" s="131">
        <f ca="1">SUM(CB54:CB$124)*SSk</f>
        <v>0</v>
      </c>
      <c r="CD54" s="8">
        <f t="shared" ca="1" si="100"/>
        <v>31076.164729972166</v>
      </c>
      <c r="CE54" s="2">
        <f t="shared" ref="CE54" ca="1" si="994">IFERROR(VLOOKUP($S54,qx_table,MATCH(CE$11,qx_title,0)+sexB),0)</f>
        <v>0</v>
      </c>
      <c r="CF54" s="131">
        <f t="shared" ca="1" si="804"/>
        <v>0</v>
      </c>
      <c r="CG54" s="131">
        <f ca="1">SUM(CF54:CF$124)*SSl</f>
        <v>0</v>
      </c>
      <c r="CH54" s="155">
        <f t="shared" ca="1" si="103"/>
        <v>0.01</v>
      </c>
      <c r="CI54" s="155">
        <f t="shared" ca="1" si="104"/>
        <v>0</v>
      </c>
      <c r="CJ54" s="155">
        <f t="shared" ca="1" si="105"/>
        <v>0</v>
      </c>
      <c r="CK54" s="155">
        <f ca="1">'유해지 (기준P)'!CZ54</f>
        <v>0</v>
      </c>
      <c r="CL54" s="155">
        <f t="shared" ca="1" si="762"/>
        <v>0</v>
      </c>
      <c r="CM54" s="155">
        <f t="shared" ca="1" si="106"/>
        <v>0</v>
      </c>
      <c r="CN54" s="155">
        <f ca="1">SUM(CM54:$CM$124)</f>
        <v>0</v>
      </c>
      <c r="CO54" s="101">
        <f t="shared" ca="1" si="107"/>
        <v>0</v>
      </c>
      <c r="CP54" s="154">
        <f t="shared" ca="1" si="763"/>
        <v>0</v>
      </c>
      <c r="CQ54" s="154">
        <f t="shared" ca="1" si="764"/>
        <v>0</v>
      </c>
      <c r="CR54" s="32">
        <f t="shared" ref="CR54" ca="1" si="995">+MAX(VLOOKUP(xB+$R54,기수표B,$AH$1)-VLOOKUP(xB+mB,기수표B,$AH$1),0)</f>
        <v>0</v>
      </c>
      <c r="CS54" s="32">
        <f t="shared" ca="1" si="766"/>
        <v>0</v>
      </c>
      <c r="CT54" s="32">
        <f t="shared" ref="CT54" ca="1" si="996">+MAX(VLOOKUP(xB+$R54,기수표B,$AA$1)-VLOOKUP(xB+mB,기수표B,$AA$1),0)</f>
        <v>0</v>
      </c>
      <c r="CU54" s="32">
        <f t="shared" ca="1" si="768"/>
        <v>0</v>
      </c>
      <c r="CV54" s="32">
        <f t="shared" si="769"/>
        <v>0</v>
      </c>
      <c r="CW54" s="259">
        <f t="shared" ca="1" si="770"/>
        <v>0</v>
      </c>
      <c r="CX54" s="32">
        <f t="shared" ca="1" si="771"/>
        <v>0</v>
      </c>
      <c r="CY54" s="262">
        <f t="shared" ca="1" si="772"/>
        <v>0</v>
      </c>
      <c r="CZ54" s="259" t="e">
        <f t="shared" ca="1" si="773"/>
        <v>#DIV/0!</v>
      </c>
      <c r="DA54" s="31">
        <f t="shared" ref="DA54" ca="1" si="997">+MIN(mB,7)</f>
        <v>7</v>
      </c>
    </row>
    <row r="55" spans="2:105">
      <c r="G55" s="53"/>
      <c r="H55" s="54" t="s">
        <v>37</v>
      </c>
      <c r="I55" s="16" t="e">
        <f ca="1">+I49-I50-I54-I56</f>
        <v>#REF!</v>
      </c>
      <c r="J55" s="29" t="e">
        <f t="shared" ca="1" si="871"/>
        <v>#REF!</v>
      </c>
      <c r="N55" s="5">
        <f t="shared" si="111"/>
        <v>43</v>
      </c>
      <c r="O55" s="2">
        <f t="shared" ref="O55" ca="1" si="998">+(1+iB)^-N55</f>
        <v>0.38412925395219527</v>
      </c>
      <c r="P55" s="2">
        <f t="shared" ref="P55" ca="1" si="999">+(1+iB)^-(N55+0.5)</f>
        <v>0.37987938343350358</v>
      </c>
      <c r="Q55" s="91"/>
      <c r="R55" s="20">
        <f t="shared" si="114"/>
        <v>43</v>
      </c>
      <c r="S55" s="20" t="str">
        <f t="shared" ref="S55" si="1000">+IF(xB+R55&lt;=xB+nB,xB+R55,"")</f>
        <v/>
      </c>
      <c r="T55" s="2">
        <f t="shared" ref="T55:U55" ca="1" si="1001">IFERROR(VLOOKUP($S55,qx_table,MATCH(T$11,qx_title,0)+sexB),0)</f>
        <v>0</v>
      </c>
      <c r="U55" s="2">
        <f t="shared" ca="1" si="1001"/>
        <v>0</v>
      </c>
      <c r="V55" s="300">
        <f t="shared" ca="1" si="747"/>
        <v>0.01</v>
      </c>
      <c r="W55" s="8">
        <f t="shared" ref="W55" si="1002">IF(R55=0,100000,IF(R55&gt;nB,0,W54*(1-X54)*(1-Y54)))</f>
        <v>0</v>
      </c>
      <c r="X55" s="10">
        <f t="shared" ca="1" si="28"/>
        <v>1.0000000000000009E-2</v>
      </c>
      <c r="Y55" s="10">
        <f t="shared" ca="1" si="29"/>
        <v>0</v>
      </c>
      <c r="Z55" s="8">
        <f t="shared" ca="1" si="64"/>
        <v>0</v>
      </c>
      <c r="AA55" s="8">
        <f ca="1">+SUM(Z55:Z$124)</f>
        <v>0</v>
      </c>
      <c r="AB55" s="8">
        <f t="shared" ca="1" si="30"/>
        <v>0</v>
      </c>
      <c r="AC55" s="209">
        <f ca="1">+SUM(AB55:AB$124)*SSSM</f>
        <v>0</v>
      </c>
      <c r="AD55" s="209">
        <f t="shared" ref="AD55" si="1003">IF(R55&gt;nB,0,AD54*(1-X54)*(1-Y54)*(1-AE54)*(1-AF54))</f>
        <v>0</v>
      </c>
      <c r="AE55" s="92">
        <f t="shared" ca="1" si="31"/>
        <v>0</v>
      </c>
      <c r="AF55" s="92">
        <f t="shared" ca="1" si="32"/>
        <v>0</v>
      </c>
      <c r="AG55" s="8">
        <f t="shared" ca="1" si="33"/>
        <v>0</v>
      </c>
      <c r="AH55" s="5">
        <f ca="1">+SUM(AG55:AG$124)</f>
        <v>0</v>
      </c>
      <c r="AI55" s="70">
        <f t="shared" ca="1" si="34"/>
        <v>0</v>
      </c>
      <c r="AJ55" s="208">
        <f ca="1">+SUM(AB55:AB$124)*SS50J</f>
        <v>0</v>
      </c>
      <c r="AK55" s="5">
        <f t="shared" ca="1" si="66"/>
        <v>30765.403082672445</v>
      </c>
      <c r="AL55" s="2">
        <f t="shared" ref="AL55" ca="1" si="1004">IFERROR(VLOOKUP($S55,qx_table,MATCH(AL$11,qx_title,0)+sexB),0)</f>
        <v>0</v>
      </c>
      <c r="AM55" s="131">
        <f t="shared" ca="1" si="68"/>
        <v>11817.891333685535</v>
      </c>
      <c r="AN55" s="129">
        <f t="shared" ca="1" si="782"/>
        <v>0</v>
      </c>
      <c r="AO55" s="129">
        <f ca="1">SUM(AN55:AN$124)*SSa</f>
        <v>0</v>
      </c>
      <c r="AP55" s="70">
        <f t="shared" ca="1" si="70"/>
        <v>30765.403082672445</v>
      </c>
      <c r="AQ55" s="2">
        <f t="shared" ref="AQ55" ca="1" si="1005">IFERROR(VLOOKUP($S55,qx_table,MATCH(AQ$11,qx_title,0)+sexB),0)</f>
        <v>0</v>
      </c>
      <c r="AR55" s="127">
        <f t="shared" ca="1" si="784"/>
        <v>0</v>
      </c>
      <c r="AS55" s="127">
        <f ca="1">SUM(AR55:AR$124)*SSb</f>
        <v>0</v>
      </c>
      <c r="AT55" s="70">
        <f t="shared" ca="1" si="73"/>
        <v>30765.403082672445</v>
      </c>
      <c r="AU55" s="2">
        <f t="shared" ref="AU55" ca="1" si="1006">IFERROR(VLOOKUP($S55,qx_table,MATCH(AU$11,qx_title,0)+sexB),0)</f>
        <v>0</v>
      </c>
      <c r="AV55" s="268">
        <f t="shared" ca="1" si="786"/>
        <v>0</v>
      </c>
      <c r="AW55" s="131">
        <f ca="1">SUM(AV55:AV$124)*SSc</f>
        <v>0</v>
      </c>
      <c r="AX55" s="70">
        <f t="shared" ca="1" si="76"/>
        <v>30765.403082672445</v>
      </c>
      <c r="AY55" s="2">
        <f t="shared" ref="AY55" ca="1" si="1007">IFERROR(VLOOKUP($S55,qx_table,MATCH(AY$11,qx_title,0)+sexB),0)</f>
        <v>0</v>
      </c>
      <c r="AZ55" s="268">
        <f t="shared" ca="1" si="788"/>
        <v>0</v>
      </c>
      <c r="BA55" s="129">
        <f ca="1">SUM(AZ55:AZ$124)*SSd</f>
        <v>0</v>
      </c>
      <c r="BB55" s="70">
        <f t="shared" ca="1" si="79"/>
        <v>30765.403082672445</v>
      </c>
      <c r="BC55" s="257">
        <f t="shared" ref="BC55" ca="1" si="1008">IFERROR(VLOOKUP($S55,qx_table,MATCH(BC$11,qx_title,0)+sexB),0)</f>
        <v>0</v>
      </c>
      <c r="BD55" s="268">
        <f t="shared" ca="1" si="790"/>
        <v>0</v>
      </c>
      <c r="BE55" s="131">
        <f ca="1">SUM(BD55:BD$124)*SSe</f>
        <v>0</v>
      </c>
      <c r="BF55" s="70">
        <f t="shared" ca="1" si="82"/>
        <v>30765.403082672445</v>
      </c>
      <c r="BG55" s="2">
        <f t="shared" ref="BG55" ca="1" si="1009">IFERROR(VLOOKUP($S55,qx_table,MATCH(BG$11,qx_title,0)+sexB),0)</f>
        <v>0</v>
      </c>
      <c r="BH55" s="131">
        <f t="shared" ca="1" si="792"/>
        <v>0</v>
      </c>
      <c r="BI55" s="2">
        <f ca="1">SUM(BH55:BH$124)*SSf</f>
        <v>0</v>
      </c>
      <c r="BJ55" s="70">
        <f t="shared" ca="1" si="85"/>
        <v>30765.403082672445</v>
      </c>
      <c r="BK55" s="2">
        <f t="shared" ref="BK55" ca="1" si="1010">IFERROR(VLOOKUP($S55,qx_table,MATCH(BK$11,qx_title,0)+sexB),0)</f>
        <v>0</v>
      </c>
      <c r="BL55" s="131">
        <f t="shared" ca="1" si="794"/>
        <v>0</v>
      </c>
      <c r="BM55" s="131">
        <f ca="1">SUM(BL55:BL$124)*SSg</f>
        <v>0</v>
      </c>
      <c r="BN55" s="70">
        <f t="shared" ca="1" si="88"/>
        <v>30765.403082672445</v>
      </c>
      <c r="BO55" s="2">
        <f t="shared" ref="BO55" ca="1" si="1011">IFERROR(VLOOKUP($S55,qx_table,MATCH(BO$11,qx_title,0)+sexB),0)</f>
        <v>0</v>
      </c>
      <c r="BP55" s="131">
        <f t="shared" ca="1" si="796"/>
        <v>0</v>
      </c>
      <c r="BQ55" s="131">
        <f ca="1">SUM(BP55:BP$124)*SSh</f>
        <v>0</v>
      </c>
      <c r="BR55" s="70">
        <f t="shared" ca="1" si="91"/>
        <v>30765.403082672445</v>
      </c>
      <c r="BS55" s="2">
        <f t="shared" ref="BS55" ca="1" si="1012">IFERROR(VLOOKUP($S55,qx_table,MATCH(BS$11,qx_title,0)+sexB),0)*IF(R55=0,MCi,1)</f>
        <v>0</v>
      </c>
      <c r="BT55" s="131">
        <f t="shared" ca="1" si="798"/>
        <v>0</v>
      </c>
      <c r="BU55" s="131">
        <f ca="1">SUM(BT55:BT$124)*SSi</f>
        <v>0</v>
      </c>
      <c r="BV55" s="70">
        <f t="shared" ca="1" si="94"/>
        <v>30765.403082672445</v>
      </c>
      <c r="BW55" s="2">
        <f t="shared" ref="BW55" ca="1" si="1013">IFERROR(VLOOKUP($S55,qx_table,MATCH(BW$11,qx_title,0)+sexB),0)</f>
        <v>0</v>
      </c>
      <c r="BX55" s="131">
        <f t="shared" ca="1" si="800"/>
        <v>0</v>
      </c>
      <c r="BY55" s="131">
        <f ca="1">SUM(BX55:BX$124)*SSj</f>
        <v>0</v>
      </c>
      <c r="BZ55" s="70">
        <f t="shared" ca="1" si="97"/>
        <v>30765.403082672445</v>
      </c>
      <c r="CA55" s="2">
        <f t="shared" ref="CA55" ca="1" si="1014">IFERROR(VLOOKUP($S55,qx_table,MATCH(CA$11,qx_title,0)+sexB),0)</f>
        <v>0</v>
      </c>
      <c r="CB55" s="131">
        <f t="shared" ca="1" si="802"/>
        <v>0</v>
      </c>
      <c r="CC55" s="131">
        <f ca="1">SUM(CB55:CB$124)*SSk</f>
        <v>0</v>
      </c>
      <c r="CD55" s="8">
        <f t="shared" ca="1" si="100"/>
        <v>30765.403082672445</v>
      </c>
      <c r="CE55" s="2">
        <f t="shared" ref="CE55" ca="1" si="1015">IFERROR(VLOOKUP($S55,qx_table,MATCH(CE$11,qx_title,0)+sexB),0)</f>
        <v>0</v>
      </c>
      <c r="CF55" s="131">
        <f t="shared" ca="1" si="804"/>
        <v>0</v>
      </c>
      <c r="CG55" s="131">
        <f ca="1">SUM(CF55:CF$124)*SSl</f>
        <v>0</v>
      </c>
      <c r="CH55" s="155">
        <f t="shared" ca="1" si="103"/>
        <v>0.01</v>
      </c>
      <c r="CI55" s="155">
        <f t="shared" ca="1" si="104"/>
        <v>0</v>
      </c>
      <c r="CJ55" s="155">
        <f t="shared" ca="1" si="105"/>
        <v>0</v>
      </c>
      <c r="CK55" s="155">
        <f ca="1">'유해지 (기준P)'!CZ55</f>
        <v>0</v>
      </c>
      <c r="CL55" s="155">
        <f t="shared" ca="1" si="762"/>
        <v>0</v>
      </c>
      <c r="CM55" s="155">
        <f t="shared" ca="1" si="106"/>
        <v>0</v>
      </c>
      <c r="CN55" s="155">
        <f ca="1">SUM(CM55:$CM$124)</f>
        <v>0</v>
      </c>
      <c r="CO55" s="101">
        <f t="shared" ca="1" si="107"/>
        <v>0</v>
      </c>
      <c r="CP55" s="154">
        <f t="shared" ca="1" si="763"/>
        <v>0</v>
      </c>
      <c r="CQ55" s="154">
        <f t="shared" ca="1" si="764"/>
        <v>0</v>
      </c>
      <c r="CR55" s="32">
        <f t="shared" ref="CR55" ca="1" si="1016">+MAX(VLOOKUP(xB+$R55,기수표B,$AH$1)-VLOOKUP(xB+mB,기수표B,$AH$1),0)</f>
        <v>0</v>
      </c>
      <c r="CS55" s="32">
        <f t="shared" ca="1" si="766"/>
        <v>0</v>
      </c>
      <c r="CT55" s="32">
        <f t="shared" ref="CT55" ca="1" si="1017">+MAX(VLOOKUP(xB+$R55,기수표B,$AA$1)-VLOOKUP(xB+mB,기수표B,$AA$1),0)</f>
        <v>0</v>
      </c>
      <c r="CU55" s="32">
        <f t="shared" ca="1" si="768"/>
        <v>0</v>
      </c>
      <c r="CV55" s="32">
        <f t="shared" si="769"/>
        <v>0</v>
      </c>
      <c r="CW55" s="259">
        <f t="shared" ca="1" si="770"/>
        <v>0</v>
      </c>
      <c r="CX55" s="32">
        <f t="shared" ca="1" si="771"/>
        <v>0</v>
      </c>
      <c r="CY55" s="262">
        <f t="shared" ca="1" si="772"/>
        <v>0</v>
      </c>
      <c r="CZ55" s="259" t="e">
        <f t="shared" ca="1" si="773"/>
        <v>#DIV/0!</v>
      </c>
      <c r="DA55" s="31">
        <f t="shared" ref="DA55" ca="1" si="1018">+MIN(mB,7)</f>
        <v>7</v>
      </c>
    </row>
    <row r="56" spans="2:105">
      <c r="G56" s="57"/>
      <c r="H56" s="58" t="s">
        <v>38</v>
      </c>
      <c r="I56" s="25" t="e">
        <f ca="1">+GAM*H29*SB</f>
        <v>#REF!</v>
      </c>
      <c r="J56" s="30" t="e">
        <f t="shared" ca="1" si="871"/>
        <v>#REF!</v>
      </c>
      <c r="N56" s="5">
        <f t="shared" si="111"/>
        <v>44</v>
      </c>
      <c r="O56" s="2">
        <f t="shared" ref="O56" ca="1" si="1019">+(1+iB)^-N56</f>
        <v>0.37567653198258705</v>
      </c>
      <c r="P56" s="2">
        <f t="shared" ref="P56" ca="1" si="1020">+(1+iB)^-(N56+0.5)</f>
        <v>0.37152017939706955</v>
      </c>
      <c r="Q56" s="91"/>
      <c r="R56" s="20">
        <f t="shared" si="114"/>
        <v>44</v>
      </c>
      <c r="S56" s="20" t="str">
        <f t="shared" ref="S56" si="1021">+IF(xB+R56&lt;=xB+nB,xB+R56,"")</f>
        <v/>
      </c>
      <c r="T56" s="2">
        <f t="shared" ref="T56:U56" ca="1" si="1022">IFERROR(VLOOKUP($S56,qx_table,MATCH(T$11,qx_title,0)+sexB),0)</f>
        <v>0</v>
      </c>
      <c r="U56" s="2">
        <f t="shared" ca="1" si="1022"/>
        <v>0</v>
      </c>
      <c r="V56" s="300">
        <f t="shared" ca="1" si="747"/>
        <v>0.01</v>
      </c>
      <c r="W56" s="8">
        <f t="shared" ref="W56" si="1023">IF(R56=0,100000,IF(R56&gt;nB,0,W55*(1-X55)*(1-Y55)))</f>
        <v>0</v>
      </c>
      <c r="X56" s="10">
        <f t="shared" ca="1" si="28"/>
        <v>1.0000000000000009E-2</v>
      </c>
      <c r="Y56" s="10">
        <f t="shared" ca="1" si="29"/>
        <v>0</v>
      </c>
      <c r="Z56" s="8">
        <f t="shared" ca="1" si="64"/>
        <v>0</v>
      </c>
      <c r="AA56" s="8">
        <f ca="1">+SUM(Z56:Z$124)</f>
        <v>0</v>
      </c>
      <c r="AB56" s="8">
        <f t="shared" ca="1" si="30"/>
        <v>0</v>
      </c>
      <c r="AC56" s="209">
        <f ca="1">+SUM(AB56:AB$124)*SSSM</f>
        <v>0</v>
      </c>
      <c r="AD56" s="209">
        <f t="shared" ref="AD56" si="1024">IF(R56&gt;nB,0,AD55*(1-X55)*(1-Y55)*(1-AE55)*(1-AF55))</f>
        <v>0</v>
      </c>
      <c r="AE56" s="92">
        <f t="shared" ca="1" si="31"/>
        <v>0</v>
      </c>
      <c r="AF56" s="92">
        <f t="shared" ca="1" si="32"/>
        <v>0</v>
      </c>
      <c r="AG56" s="8">
        <f t="shared" ca="1" si="33"/>
        <v>0</v>
      </c>
      <c r="AH56" s="5">
        <f ca="1">+SUM(AG56:AG$124)</f>
        <v>0</v>
      </c>
      <c r="AI56" s="70">
        <f t="shared" ca="1" si="34"/>
        <v>0</v>
      </c>
      <c r="AJ56" s="208">
        <f ca="1">+SUM(AB56:AB$124)*SS50J</f>
        <v>0</v>
      </c>
      <c r="AK56" s="5">
        <f t="shared" ca="1" si="66"/>
        <v>30457.74905184572</v>
      </c>
      <c r="AL56" s="2">
        <f t="shared" ref="AL56" ca="1" si="1025">IFERROR(VLOOKUP($S56,qx_table,MATCH(AL$11,qx_title,0)+sexB),0)</f>
        <v>0</v>
      </c>
      <c r="AM56" s="131">
        <f t="shared" ca="1" si="68"/>
        <v>11442.261535793328</v>
      </c>
      <c r="AN56" s="129">
        <f t="shared" ca="1" si="782"/>
        <v>0</v>
      </c>
      <c r="AO56" s="129">
        <f ca="1">SUM(AN56:AN$124)*SSa</f>
        <v>0</v>
      </c>
      <c r="AP56" s="70">
        <f t="shared" ca="1" si="70"/>
        <v>30457.74905184572</v>
      </c>
      <c r="AQ56" s="2">
        <f t="shared" ref="AQ56" ca="1" si="1026">IFERROR(VLOOKUP($S56,qx_table,MATCH(AQ$11,qx_title,0)+sexB),0)</f>
        <v>0</v>
      </c>
      <c r="AR56" s="127">
        <f t="shared" ca="1" si="784"/>
        <v>0</v>
      </c>
      <c r="AS56" s="127">
        <f ca="1">SUM(AR56:AR$124)*SSb</f>
        <v>0</v>
      </c>
      <c r="AT56" s="70">
        <f t="shared" ca="1" si="73"/>
        <v>30457.74905184572</v>
      </c>
      <c r="AU56" s="2">
        <f t="shared" ref="AU56" ca="1" si="1027">IFERROR(VLOOKUP($S56,qx_table,MATCH(AU$11,qx_title,0)+sexB),0)</f>
        <v>0</v>
      </c>
      <c r="AV56" s="268">
        <f t="shared" ca="1" si="786"/>
        <v>0</v>
      </c>
      <c r="AW56" s="131">
        <f ca="1">SUM(AV56:AV$124)*SSc</f>
        <v>0</v>
      </c>
      <c r="AX56" s="70">
        <f t="shared" ca="1" si="76"/>
        <v>30457.74905184572</v>
      </c>
      <c r="AY56" s="2">
        <f t="shared" ref="AY56" ca="1" si="1028">IFERROR(VLOOKUP($S56,qx_table,MATCH(AY$11,qx_title,0)+sexB),0)</f>
        <v>0</v>
      </c>
      <c r="AZ56" s="268">
        <f t="shared" ca="1" si="788"/>
        <v>0</v>
      </c>
      <c r="BA56" s="129">
        <f ca="1">SUM(AZ56:AZ$124)*SSd</f>
        <v>0</v>
      </c>
      <c r="BB56" s="70">
        <f t="shared" ca="1" si="79"/>
        <v>30457.74905184572</v>
      </c>
      <c r="BC56" s="257">
        <f t="shared" ref="BC56" ca="1" si="1029">IFERROR(VLOOKUP($S56,qx_table,MATCH(BC$11,qx_title,0)+sexB),0)</f>
        <v>0</v>
      </c>
      <c r="BD56" s="268">
        <f t="shared" ca="1" si="790"/>
        <v>0</v>
      </c>
      <c r="BE56" s="131">
        <f ca="1">SUM(BD56:BD$124)*SSe</f>
        <v>0</v>
      </c>
      <c r="BF56" s="70">
        <f t="shared" ca="1" si="82"/>
        <v>30457.74905184572</v>
      </c>
      <c r="BG56" s="2">
        <f t="shared" ref="BG56" ca="1" si="1030">IFERROR(VLOOKUP($S56,qx_table,MATCH(BG$11,qx_title,0)+sexB),0)</f>
        <v>0</v>
      </c>
      <c r="BH56" s="131">
        <f t="shared" ca="1" si="792"/>
        <v>0</v>
      </c>
      <c r="BI56" s="2">
        <f ca="1">SUM(BH56:BH$124)*SSf</f>
        <v>0</v>
      </c>
      <c r="BJ56" s="70">
        <f t="shared" ca="1" si="85"/>
        <v>30457.74905184572</v>
      </c>
      <c r="BK56" s="2">
        <f t="shared" ref="BK56" ca="1" si="1031">IFERROR(VLOOKUP($S56,qx_table,MATCH(BK$11,qx_title,0)+sexB),0)</f>
        <v>0</v>
      </c>
      <c r="BL56" s="131">
        <f t="shared" ca="1" si="794"/>
        <v>0</v>
      </c>
      <c r="BM56" s="131">
        <f ca="1">SUM(BL56:BL$124)*SSg</f>
        <v>0</v>
      </c>
      <c r="BN56" s="70">
        <f t="shared" ca="1" si="88"/>
        <v>30457.74905184572</v>
      </c>
      <c r="BO56" s="2">
        <f t="shared" ref="BO56" ca="1" si="1032">IFERROR(VLOOKUP($S56,qx_table,MATCH(BO$11,qx_title,0)+sexB),0)</f>
        <v>0</v>
      </c>
      <c r="BP56" s="131">
        <f t="shared" ca="1" si="796"/>
        <v>0</v>
      </c>
      <c r="BQ56" s="131">
        <f ca="1">SUM(BP56:BP$124)*SSh</f>
        <v>0</v>
      </c>
      <c r="BR56" s="70">
        <f t="shared" ca="1" si="91"/>
        <v>30457.74905184572</v>
      </c>
      <c r="BS56" s="2">
        <f t="shared" ref="BS56" ca="1" si="1033">IFERROR(VLOOKUP($S56,qx_table,MATCH(BS$11,qx_title,0)+sexB),0)*IF(R56=0,MCi,1)</f>
        <v>0</v>
      </c>
      <c r="BT56" s="131">
        <f t="shared" ca="1" si="798"/>
        <v>0</v>
      </c>
      <c r="BU56" s="131">
        <f ca="1">SUM(BT56:BT$124)*SSi</f>
        <v>0</v>
      </c>
      <c r="BV56" s="70">
        <f t="shared" ca="1" si="94"/>
        <v>30457.74905184572</v>
      </c>
      <c r="BW56" s="2">
        <f t="shared" ref="BW56" ca="1" si="1034">IFERROR(VLOOKUP($S56,qx_table,MATCH(BW$11,qx_title,0)+sexB),0)</f>
        <v>0</v>
      </c>
      <c r="BX56" s="131">
        <f t="shared" ca="1" si="800"/>
        <v>0</v>
      </c>
      <c r="BY56" s="131">
        <f ca="1">SUM(BX56:BX$124)*SSj</f>
        <v>0</v>
      </c>
      <c r="BZ56" s="70">
        <f t="shared" ca="1" si="97"/>
        <v>30457.74905184572</v>
      </c>
      <c r="CA56" s="2">
        <f t="shared" ref="CA56" ca="1" si="1035">IFERROR(VLOOKUP($S56,qx_table,MATCH(CA$11,qx_title,0)+sexB),0)</f>
        <v>0</v>
      </c>
      <c r="CB56" s="131">
        <f t="shared" ca="1" si="802"/>
        <v>0</v>
      </c>
      <c r="CC56" s="131">
        <f ca="1">SUM(CB56:CB$124)*SSk</f>
        <v>0</v>
      </c>
      <c r="CD56" s="8">
        <f t="shared" ca="1" si="100"/>
        <v>30457.74905184572</v>
      </c>
      <c r="CE56" s="2">
        <f t="shared" ref="CE56" ca="1" si="1036">IFERROR(VLOOKUP($S56,qx_table,MATCH(CE$11,qx_title,0)+sexB),0)</f>
        <v>0</v>
      </c>
      <c r="CF56" s="131">
        <f t="shared" ca="1" si="804"/>
        <v>0</v>
      </c>
      <c r="CG56" s="131">
        <f ca="1">SUM(CF56:CF$124)*SSl</f>
        <v>0</v>
      </c>
      <c r="CH56" s="155">
        <f t="shared" ca="1" si="103"/>
        <v>0.01</v>
      </c>
      <c r="CI56" s="155">
        <f t="shared" ca="1" si="104"/>
        <v>0</v>
      </c>
      <c r="CJ56" s="155">
        <f t="shared" ca="1" si="105"/>
        <v>0</v>
      </c>
      <c r="CK56" s="155">
        <f ca="1">'유해지 (기준P)'!CZ56</f>
        <v>0</v>
      </c>
      <c r="CL56" s="155">
        <f t="shared" ca="1" si="762"/>
        <v>0</v>
      </c>
      <c r="CM56" s="155">
        <f t="shared" ca="1" si="106"/>
        <v>0</v>
      </c>
      <c r="CN56" s="155">
        <f ca="1">SUM(CM56:$CM$124)</f>
        <v>0</v>
      </c>
      <c r="CO56" s="101">
        <f t="shared" ca="1" si="107"/>
        <v>0</v>
      </c>
      <c r="CP56" s="154">
        <f t="shared" ca="1" si="763"/>
        <v>0</v>
      </c>
      <c r="CQ56" s="154">
        <f t="shared" ca="1" si="764"/>
        <v>0</v>
      </c>
      <c r="CR56" s="32">
        <f t="shared" ref="CR56" ca="1" si="1037">+MAX(VLOOKUP(xB+$R56,기수표B,$AH$1)-VLOOKUP(xB+mB,기수표B,$AH$1),0)</f>
        <v>0</v>
      </c>
      <c r="CS56" s="32">
        <f t="shared" ca="1" si="766"/>
        <v>0</v>
      </c>
      <c r="CT56" s="32">
        <f t="shared" ref="CT56" ca="1" si="1038">+MAX(VLOOKUP(xB+$R56,기수표B,$AA$1)-VLOOKUP(xB+mB,기수표B,$AA$1),0)</f>
        <v>0</v>
      </c>
      <c r="CU56" s="32">
        <f t="shared" ca="1" si="768"/>
        <v>0</v>
      </c>
      <c r="CV56" s="32">
        <f t="shared" si="769"/>
        <v>0</v>
      </c>
      <c r="CW56" s="259">
        <f t="shared" ca="1" si="770"/>
        <v>0</v>
      </c>
      <c r="CX56" s="32">
        <f t="shared" ca="1" si="771"/>
        <v>0</v>
      </c>
      <c r="CY56" s="262">
        <f t="shared" ca="1" si="772"/>
        <v>0</v>
      </c>
      <c r="CZ56" s="259" t="e">
        <f t="shared" ca="1" si="773"/>
        <v>#DIV/0!</v>
      </c>
      <c r="DA56" s="31">
        <f t="shared" ref="DA56" ca="1" si="1039">+MIN(mB,7)</f>
        <v>7</v>
      </c>
    </row>
    <row r="57" spans="2:105">
      <c r="N57" s="5">
        <f t="shared" si="111"/>
        <v>45</v>
      </c>
      <c r="O57" s="2">
        <f t="shared" ref="O57" ca="1" si="1040">+(1+iB)^-N57</f>
        <v>0.36740981122991401</v>
      </c>
      <c r="P57" s="2">
        <f t="shared" ref="P57" ca="1" si="1041">+(1+iB)^-(N57+0.5)</f>
        <v>0.36334491872574043</v>
      </c>
      <c r="Q57" s="91"/>
      <c r="R57" s="20">
        <f t="shared" si="114"/>
        <v>45</v>
      </c>
      <c r="S57" s="20" t="str">
        <f t="shared" ref="S57" si="1042">+IF(xB+R57&lt;=xB+nB,xB+R57,"")</f>
        <v/>
      </c>
      <c r="T57" s="2">
        <f t="shared" ref="T57:U57" ca="1" si="1043">IFERROR(VLOOKUP($S57,qx_table,MATCH(T$11,qx_title,0)+sexB),0)</f>
        <v>0</v>
      </c>
      <c r="U57" s="2">
        <f t="shared" ca="1" si="1043"/>
        <v>0</v>
      </c>
      <c r="V57" s="300">
        <f t="shared" ca="1" si="747"/>
        <v>0.01</v>
      </c>
      <c r="W57" s="8">
        <f t="shared" ref="W57" si="1044">IF(R57=0,100000,IF(R57&gt;nB,0,W56*(1-X56)*(1-Y56)))</f>
        <v>0</v>
      </c>
      <c r="X57" s="10">
        <f t="shared" ca="1" si="28"/>
        <v>1.0000000000000009E-2</v>
      </c>
      <c r="Y57" s="10">
        <f t="shared" ca="1" si="29"/>
        <v>0</v>
      </c>
      <c r="Z57" s="8">
        <f t="shared" ca="1" si="64"/>
        <v>0</v>
      </c>
      <c r="AA57" s="8">
        <f ca="1">+SUM(Z57:Z$124)</f>
        <v>0</v>
      </c>
      <c r="AB57" s="8">
        <f t="shared" ca="1" si="30"/>
        <v>0</v>
      </c>
      <c r="AC57" s="209">
        <f ca="1">+SUM(AB57:AB$124)*SSSM</f>
        <v>0</v>
      </c>
      <c r="AD57" s="209">
        <f t="shared" ref="AD57" si="1045">IF(R57&gt;nB,0,AD56*(1-X56)*(1-Y56)*(1-AE56)*(1-AF56))</f>
        <v>0</v>
      </c>
      <c r="AE57" s="92">
        <f t="shared" ca="1" si="31"/>
        <v>0</v>
      </c>
      <c r="AF57" s="92">
        <f t="shared" ca="1" si="32"/>
        <v>0</v>
      </c>
      <c r="AG57" s="8">
        <f t="shared" ca="1" si="33"/>
        <v>0</v>
      </c>
      <c r="AH57" s="5">
        <f ca="1">+SUM(AG57:AG$124)</f>
        <v>0</v>
      </c>
      <c r="AI57" s="70">
        <f t="shared" ca="1" si="34"/>
        <v>0</v>
      </c>
      <c r="AJ57" s="208">
        <f ca="1">+SUM(AB57:AB$124)*SS50J</f>
        <v>0</v>
      </c>
      <c r="AK57" s="5">
        <f t="shared" ca="1" si="66"/>
        <v>30153.171561327261</v>
      </c>
      <c r="AL57" s="2">
        <f t="shared" ref="AL57" ca="1" si="1046">IFERROR(VLOOKUP($S57,qx_table,MATCH(AL$11,qx_title,0)+sexB),0)</f>
        <v>0</v>
      </c>
      <c r="AM57" s="131">
        <f t="shared" ca="1" si="68"/>
        <v>11078.57107133046</v>
      </c>
      <c r="AN57" s="129">
        <f t="shared" ca="1" si="782"/>
        <v>0</v>
      </c>
      <c r="AO57" s="129">
        <f ca="1">SUM(AN57:AN$124)*SSa</f>
        <v>0</v>
      </c>
      <c r="AP57" s="70">
        <f t="shared" ca="1" si="70"/>
        <v>30153.171561327261</v>
      </c>
      <c r="AQ57" s="2">
        <f t="shared" ref="AQ57" ca="1" si="1047">IFERROR(VLOOKUP($S57,qx_table,MATCH(AQ$11,qx_title,0)+sexB),0)</f>
        <v>0</v>
      </c>
      <c r="AR57" s="127">
        <f t="shared" ca="1" si="784"/>
        <v>0</v>
      </c>
      <c r="AS57" s="127">
        <f ca="1">SUM(AR57:AR$124)*SSb</f>
        <v>0</v>
      </c>
      <c r="AT57" s="70">
        <f t="shared" ca="1" si="73"/>
        <v>30153.171561327261</v>
      </c>
      <c r="AU57" s="2">
        <f t="shared" ref="AU57" ca="1" si="1048">IFERROR(VLOOKUP($S57,qx_table,MATCH(AU$11,qx_title,0)+sexB),0)</f>
        <v>0</v>
      </c>
      <c r="AV57" s="268">
        <f t="shared" ca="1" si="786"/>
        <v>0</v>
      </c>
      <c r="AW57" s="131">
        <f ca="1">SUM(AV57:AV$124)*SSc</f>
        <v>0</v>
      </c>
      <c r="AX57" s="70">
        <f t="shared" ca="1" si="76"/>
        <v>30153.171561327261</v>
      </c>
      <c r="AY57" s="2">
        <f t="shared" ref="AY57" ca="1" si="1049">IFERROR(VLOOKUP($S57,qx_table,MATCH(AY$11,qx_title,0)+sexB),0)</f>
        <v>0</v>
      </c>
      <c r="AZ57" s="268">
        <f t="shared" ca="1" si="788"/>
        <v>0</v>
      </c>
      <c r="BA57" s="129">
        <f ca="1">SUM(AZ57:AZ$124)*SSd</f>
        <v>0</v>
      </c>
      <c r="BB57" s="70">
        <f t="shared" ca="1" si="79"/>
        <v>30153.171561327261</v>
      </c>
      <c r="BC57" s="257">
        <f t="shared" ref="BC57" ca="1" si="1050">IFERROR(VLOOKUP($S57,qx_table,MATCH(BC$11,qx_title,0)+sexB),0)</f>
        <v>0</v>
      </c>
      <c r="BD57" s="268">
        <f t="shared" ca="1" si="790"/>
        <v>0</v>
      </c>
      <c r="BE57" s="131">
        <f ca="1">SUM(BD57:BD$124)*SSe</f>
        <v>0</v>
      </c>
      <c r="BF57" s="70">
        <f t="shared" ca="1" si="82"/>
        <v>30153.171561327261</v>
      </c>
      <c r="BG57" s="2">
        <f t="shared" ref="BG57" ca="1" si="1051">IFERROR(VLOOKUP($S57,qx_table,MATCH(BG$11,qx_title,0)+sexB),0)</f>
        <v>0</v>
      </c>
      <c r="BH57" s="131">
        <f t="shared" ca="1" si="792"/>
        <v>0</v>
      </c>
      <c r="BI57" s="2">
        <f ca="1">SUM(BH57:BH$124)*SSf</f>
        <v>0</v>
      </c>
      <c r="BJ57" s="70">
        <f t="shared" ca="1" si="85"/>
        <v>30153.171561327261</v>
      </c>
      <c r="BK57" s="2">
        <f t="shared" ref="BK57" ca="1" si="1052">IFERROR(VLOOKUP($S57,qx_table,MATCH(BK$11,qx_title,0)+sexB),0)</f>
        <v>0</v>
      </c>
      <c r="BL57" s="131">
        <f t="shared" ca="1" si="794"/>
        <v>0</v>
      </c>
      <c r="BM57" s="131">
        <f ca="1">SUM(BL57:BL$124)*SSg</f>
        <v>0</v>
      </c>
      <c r="BN57" s="70">
        <f t="shared" ca="1" si="88"/>
        <v>30153.171561327261</v>
      </c>
      <c r="BO57" s="2">
        <f t="shared" ref="BO57" ca="1" si="1053">IFERROR(VLOOKUP($S57,qx_table,MATCH(BO$11,qx_title,0)+sexB),0)</f>
        <v>0</v>
      </c>
      <c r="BP57" s="131">
        <f t="shared" ca="1" si="796"/>
        <v>0</v>
      </c>
      <c r="BQ57" s="131">
        <f ca="1">SUM(BP57:BP$124)*SSh</f>
        <v>0</v>
      </c>
      <c r="BR57" s="70">
        <f t="shared" ca="1" si="91"/>
        <v>30153.171561327261</v>
      </c>
      <c r="BS57" s="2">
        <f t="shared" ref="BS57" ca="1" si="1054">IFERROR(VLOOKUP($S57,qx_table,MATCH(BS$11,qx_title,0)+sexB),0)*IF(R57=0,MCi,1)</f>
        <v>0</v>
      </c>
      <c r="BT57" s="131">
        <f t="shared" ca="1" si="798"/>
        <v>0</v>
      </c>
      <c r="BU57" s="131">
        <f ca="1">SUM(BT57:BT$124)*SSi</f>
        <v>0</v>
      </c>
      <c r="BV57" s="70">
        <f t="shared" ca="1" si="94"/>
        <v>30153.171561327261</v>
      </c>
      <c r="BW57" s="2">
        <f t="shared" ref="BW57" ca="1" si="1055">IFERROR(VLOOKUP($S57,qx_table,MATCH(BW$11,qx_title,0)+sexB),0)</f>
        <v>0</v>
      </c>
      <c r="BX57" s="131">
        <f t="shared" ca="1" si="800"/>
        <v>0</v>
      </c>
      <c r="BY57" s="131">
        <f ca="1">SUM(BX57:BX$124)*SSj</f>
        <v>0</v>
      </c>
      <c r="BZ57" s="70">
        <f t="shared" ca="1" si="97"/>
        <v>30153.171561327261</v>
      </c>
      <c r="CA57" s="2">
        <f t="shared" ref="CA57" ca="1" si="1056">IFERROR(VLOOKUP($S57,qx_table,MATCH(CA$11,qx_title,0)+sexB),0)</f>
        <v>0</v>
      </c>
      <c r="CB57" s="131">
        <f t="shared" ca="1" si="802"/>
        <v>0</v>
      </c>
      <c r="CC57" s="131">
        <f ca="1">SUM(CB57:CB$124)*SSk</f>
        <v>0</v>
      </c>
      <c r="CD57" s="8">
        <f t="shared" ca="1" si="100"/>
        <v>30153.171561327261</v>
      </c>
      <c r="CE57" s="2">
        <f t="shared" ref="CE57" ca="1" si="1057">IFERROR(VLOOKUP($S57,qx_table,MATCH(CE$11,qx_title,0)+sexB),0)</f>
        <v>0</v>
      </c>
      <c r="CF57" s="131">
        <f t="shared" ca="1" si="804"/>
        <v>0</v>
      </c>
      <c r="CG57" s="131">
        <f ca="1">SUM(CF57:CF$124)*SSl</f>
        <v>0</v>
      </c>
      <c r="CH57" s="155">
        <f t="shared" ca="1" si="103"/>
        <v>0.01</v>
      </c>
      <c r="CI57" s="155">
        <f t="shared" ca="1" si="104"/>
        <v>0</v>
      </c>
      <c r="CJ57" s="155">
        <f t="shared" ca="1" si="105"/>
        <v>0</v>
      </c>
      <c r="CK57" s="155">
        <f ca="1">'유해지 (기준P)'!CZ57</f>
        <v>0</v>
      </c>
      <c r="CL57" s="155">
        <f t="shared" ca="1" si="762"/>
        <v>0</v>
      </c>
      <c r="CM57" s="155">
        <f t="shared" ca="1" si="106"/>
        <v>0</v>
      </c>
      <c r="CN57" s="155">
        <f ca="1">SUM(CM57:$CM$124)</f>
        <v>0</v>
      </c>
      <c r="CO57" s="101">
        <f t="shared" ca="1" si="107"/>
        <v>0</v>
      </c>
      <c r="CP57" s="154">
        <f t="shared" ca="1" si="763"/>
        <v>0</v>
      </c>
      <c r="CQ57" s="154">
        <f t="shared" ca="1" si="764"/>
        <v>0</v>
      </c>
      <c r="CR57" s="32">
        <f t="shared" ref="CR57" ca="1" si="1058">+MAX(VLOOKUP(xB+$R57,기수표B,$AH$1)-VLOOKUP(xB+mB,기수표B,$AH$1),0)</f>
        <v>0</v>
      </c>
      <c r="CS57" s="32">
        <f t="shared" ca="1" si="766"/>
        <v>0</v>
      </c>
      <c r="CT57" s="32">
        <f t="shared" ref="CT57" ca="1" si="1059">+MAX(VLOOKUP(xB+$R57,기수표B,$AA$1)-VLOOKUP(xB+mB,기수표B,$AA$1),0)</f>
        <v>0</v>
      </c>
      <c r="CU57" s="32">
        <f t="shared" ca="1" si="768"/>
        <v>0</v>
      </c>
      <c r="CV57" s="32">
        <f t="shared" si="769"/>
        <v>0</v>
      </c>
      <c r="CW57" s="259">
        <f t="shared" ca="1" si="770"/>
        <v>0</v>
      </c>
      <c r="CX57" s="32">
        <f t="shared" ca="1" si="771"/>
        <v>0</v>
      </c>
      <c r="CY57" s="262">
        <f t="shared" ca="1" si="772"/>
        <v>0</v>
      </c>
      <c r="CZ57" s="259" t="e">
        <f t="shared" ca="1" si="773"/>
        <v>#DIV/0!</v>
      </c>
      <c r="DA57" s="31">
        <f t="shared" ref="DA57" ca="1" si="1060">+MIN(mB,7)</f>
        <v>7</v>
      </c>
    </row>
    <row r="58" spans="2:105">
      <c r="B58" s="16"/>
      <c r="N58" s="5">
        <f t="shared" si="111"/>
        <v>46</v>
      </c>
      <c r="O58" s="2">
        <f t="shared" ref="O58" ca="1" si="1061">+(1+iB)^-N58</f>
        <v>0.35932499875786211</v>
      </c>
      <c r="P58" s="2">
        <f t="shared" ref="P58" ca="1" si="1062">+(1+iB)^-(N58+0.5)</f>
        <v>0.3553495537660053</v>
      </c>
      <c r="Q58" s="91"/>
      <c r="R58" s="20">
        <f t="shared" si="114"/>
        <v>46</v>
      </c>
      <c r="S58" s="20" t="str">
        <f t="shared" ref="S58" si="1063">+IF(xB+R58&lt;=xB+nB,xB+R58,"")</f>
        <v/>
      </c>
      <c r="T58" s="2">
        <f t="shared" ref="T58:U58" ca="1" si="1064">IFERROR(VLOOKUP($S58,qx_table,MATCH(T$11,qx_title,0)+sexB),0)</f>
        <v>0</v>
      </c>
      <c r="U58" s="2">
        <f t="shared" ca="1" si="1064"/>
        <v>0</v>
      </c>
      <c r="V58" s="300">
        <f t="shared" ca="1" si="747"/>
        <v>0.01</v>
      </c>
      <c r="W58" s="8">
        <f t="shared" ref="W58" si="1065">IF(R58=0,100000,IF(R58&gt;nB,0,W57*(1-X57)*(1-Y57)))</f>
        <v>0</v>
      </c>
      <c r="X58" s="10">
        <f t="shared" ca="1" si="28"/>
        <v>1.0000000000000009E-2</v>
      </c>
      <c r="Y58" s="10">
        <f t="shared" ca="1" si="29"/>
        <v>0</v>
      </c>
      <c r="Z58" s="8">
        <f t="shared" ca="1" si="64"/>
        <v>0</v>
      </c>
      <c r="AA58" s="8">
        <f ca="1">+SUM(Z58:Z$124)</f>
        <v>0</v>
      </c>
      <c r="AB58" s="8">
        <f t="shared" ca="1" si="30"/>
        <v>0</v>
      </c>
      <c r="AC58" s="209">
        <f ca="1">+SUM(AB58:AB$124)*SSSM</f>
        <v>0</v>
      </c>
      <c r="AD58" s="209">
        <f t="shared" ref="AD58" si="1066">IF(R58&gt;nB,0,AD57*(1-X57)*(1-Y57)*(1-AE57)*(1-AF57))</f>
        <v>0</v>
      </c>
      <c r="AE58" s="92">
        <f t="shared" ca="1" si="31"/>
        <v>0</v>
      </c>
      <c r="AF58" s="92">
        <f t="shared" ca="1" si="32"/>
        <v>0</v>
      </c>
      <c r="AG58" s="8">
        <f t="shared" ca="1" si="33"/>
        <v>0</v>
      </c>
      <c r="AH58" s="5">
        <f ca="1">+SUM(AG58:AG$124)</f>
        <v>0</v>
      </c>
      <c r="AI58" s="70">
        <f t="shared" ca="1" si="34"/>
        <v>0</v>
      </c>
      <c r="AJ58" s="208">
        <f ca="1">+SUM(AB58:AB$124)*SS50J</f>
        <v>0</v>
      </c>
      <c r="AK58" s="5">
        <f t="shared" ca="1" si="66"/>
        <v>29851.639845713988</v>
      </c>
      <c r="AL58" s="2">
        <f t="shared" ref="AL58" ca="1" si="1067">IFERROR(VLOOKUP($S58,qx_table,MATCH(AL$11,qx_title,0)+sexB),0)</f>
        <v>0</v>
      </c>
      <c r="AM58" s="131">
        <f t="shared" ca="1" si="68"/>
        <v>10726.440450481326</v>
      </c>
      <c r="AN58" s="129">
        <f t="shared" ca="1" si="782"/>
        <v>0</v>
      </c>
      <c r="AO58" s="129">
        <f ca="1">SUM(AN58:AN$124)*SSa</f>
        <v>0</v>
      </c>
      <c r="AP58" s="70">
        <f t="shared" ca="1" si="70"/>
        <v>29851.639845713988</v>
      </c>
      <c r="AQ58" s="2">
        <f t="shared" ref="AQ58" ca="1" si="1068">IFERROR(VLOOKUP($S58,qx_table,MATCH(AQ$11,qx_title,0)+sexB),0)</f>
        <v>0</v>
      </c>
      <c r="AR58" s="127">
        <f t="shared" ca="1" si="784"/>
        <v>0</v>
      </c>
      <c r="AS58" s="127">
        <f ca="1">SUM(AR58:AR$124)*SSb</f>
        <v>0</v>
      </c>
      <c r="AT58" s="70">
        <f t="shared" ca="1" si="73"/>
        <v>29851.639845713988</v>
      </c>
      <c r="AU58" s="2">
        <f t="shared" ref="AU58" ca="1" si="1069">IFERROR(VLOOKUP($S58,qx_table,MATCH(AU$11,qx_title,0)+sexB),0)</f>
        <v>0</v>
      </c>
      <c r="AV58" s="268">
        <f t="shared" ca="1" si="786"/>
        <v>0</v>
      </c>
      <c r="AW58" s="131">
        <f ca="1">SUM(AV58:AV$124)*SSc</f>
        <v>0</v>
      </c>
      <c r="AX58" s="70">
        <f t="shared" ca="1" si="76"/>
        <v>29851.639845713988</v>
      </c>
      <c r="AY58" s="2">
        <f t="shared" ref="AY58" ca="1" si="1070">IFERROR(VLOOKUP($S58,qx_table,MATCH(AY$11,qx_title,0)+sexB),0)</f>
        <v>0</v>
      </c>
      <c r="AZ58" s="268">
        <f t="shared" ca="1" si="788"/>
        <v>0</v>
      </c>
      <c r="BA58" s="129">
        <f ca="1">SUM(AZ58:AZ$124)*SSd</f>
        <v>0</v>
      </c>
      <c r="BB58" s="70">
        <f t="shared" ca="1" si="79"/>
        <v>29851.639845713988</v>
      </c>
      <c r="BC58" s="257">
        <f t="shared" ref="BC58" ca="1" si="1071">IFERROR(VLOOKUP($S58,qx_table,MATCH(BC$11,qx_title,0)+sexB),0)</f>
        <v>0</v>
      </c>
      <c r="BD58" s="268">
        <f t="shared" ca="1" si="790"/>
        <v>0</v>
      </c>
      <c r="BE58" s="131">
        <f ca="1">SUM(BD58:BD$124)*SSe</f>
        <v>0</v>
      </c>
      <c r="BF58" s="70">
        <f t="shared" ca="1" si="82"/>
        <v>29851.639845713988</v>
      </c>
      <c r="BG58" s="2">
        <f t="shared" ref="BG58" ca="1" si="1072">IFERROR(VLOOKUP($S58,qx_table,MATCH(BG$11,qx_title,0)+sexB),0)</f>
        <v>0</v>
      </c>
      <c r="BH58" s="131">
        <f t="shared" ca="1" si="792"/>
        <v>0</v>
      </c>
      <c r="BI58" s="2">
        <f ca="1">SUM(BH58:BH$124)*SSf</f>
        <v>0</v>
      </c>
      <c r="BJ58" s="70">
        <f t="shared" ca="1" si="85"/>
        <v>29851.639845713988</v>
      </c>
      <c r="BK58" s="2">
        <f t="shared" ref="BK58" ca="1" si="1073">IFERROR(VLOOKUP($S58,qx_table,MATCH(BK$11,qx_title,0)+sexB),0)</f>
        <v>0</v>
      </c>
      <c r="BL58" s="131">
        <f t="shared" ca="1" si="794"/>
        <v>0</v>
      </c>
      <c r="BM58" s="131">
        <f ca="1">SUM(BL58:BL$124)*SSg</f>
        <v>0</v>
      </c>
      <c r="BN58" s="70">
        <f t="shared" ca="1" si="88"/>
        <v>29851.639845713988</v>
      </c>
      <c r="BO58" s="2">
        <f t="shared" ref="BO58" ca="1" si="1074">IFERROR(VLOOKUP($S58,qx_table,MATCH(BO$11,qx_title,0)+sexB),0)</f>
        <v>0</v>
      </c>
      <c r="BP58" s="131">
        <f t="shared" ca="1" si="796"/>
        <v>0</v>
      </c>
      <c r="BQ58" s="131">
        <f ca="1">SUM(BP58:BP$124)*SSh</f>
        <v>0</v>
      </c>
      <c r="BR58" s="70">
        <f t="shared" ca="1" si="91"/>
        <v>29851.639845713988</v>
      </c>
      <c r="BS58" s="2">
        <f t="shared" ref="BS58" ca="1" si="1075">IFERROR(VLOOKUP($S58,qx_table,MATCH(BS$11,qx_title,0)+sexB),0)*IF(R58=0,MCi,1)</f>
        <v>0</v>
      </c>
      <c r="BT58" s="131">
        <f t="shared" ca="1" si="798"/>
        <v>0</v>
      </c>
      <c r="BU58" s="131">
        <f ca="1">SUM(BT58:BT$124)*SSi</f>
        <v>0</v>
      </c>
      <c r="BV58" s="70">
        <f t="shared" ca="1" si="94"/>
        <v>29851.639845713988</v>
      </c>
      <c r="BW58" s="2">
        <f t="shared" ref="BW58" ca="1" si="1076">IFERROR(VLOOKUP($S58,qx_table,MATCH(BW$11,qx_title,0)+sexB),0)</f>
        <v>0</v>
      </c>
      <c r="BX58" s="131">
        <f t="shared" ca="1" si="800"/>
        <v>0</v>
      </c>
      <c r="BY58" s="131">
        <f ca="1">SUM(BX58:BX$124)*SSj</f>
        <v>0</v>
      </c>
      <c r="BZ58" s="70">
        <f t="shared" ca="1" si="97"/>
        <v>29851.639845713988</v>
      </c>
      <c r="CA58" s="2">
        <f t="shared" ref="CA58" ca="1" si="1077">IFERROR(VLOOKUP($S58,qx_table,MATCH(CA$11,qx_title,0)+sexB),0)</f>
        <v>0</v>
      </c>
      <c r="CB58" s="131">
        <f t="shared" ca="1" si="802"/>
        <v>0</v>
      </c>
      <c r="CC58" s="131">
        <f ca="1">SUM(CB58:CB$124)*SSk</f>
        <v>0</v>
      </c>
      <c r="CD58" s="8">
        <f t="shared" ca="1" si="100"/>
        <v>29851.639845713988</v>
      </c>
      <c r="CE58" s="2">
        <f t="shared" ref="CE58" ca="1" si="1078">IFERROR(VLOOKUP($S58,qx_table,MATCH(CE$11,qx_title,0)+sexB),0)</f>
        <v>0</v>
      </c>
      <c r="CF58" s="131">
        <f t="shared" ca="1" si="804"/>
        <v>0</v>
      </c>
      <c r="CG58" s="131">
        <f ca="1">SUM(CF58:CF$124)*SSl</f>
        <v>0</v>
      </c>
      <c r="CH58" s="155">
        <f t="shared" ca="1" si="103"/>
        <v>0.01</v>
      </c>
      <c r="CI58" s="155">
        <f t="shared" ca="1" si="104"/>
        <v>0</v>
      </c>
      <c r="CJ58" s="155">
        <f t="shared" ca="1" si="105"/>
        <v>0</v>
      </c>
      <c r="CK58" s="155">
        <f ca="1">'유해지 (기준P)'!CZ58</f>
        <v>0</v>
      </c>
      <c r="CL58" s="155">
        <f t="shared" ca="1" si="762"/>
        <v>0</v>
      </c>
      <c r="CM58" s="155">
        <f t="shared" ca="1" si="106"/>
        <v>0</v>
      </c>
      <c r="CN58" s="155">
        <f ca="1">SUM(CM58:$CM$124)</f>
        <v>0</v>
      </c>
      <c r="CO58" s="101">
        <f t="shared" ca="1" si="107"/>
        <v>0</v>
      </c>
      <c r="CP58" s="154">
        <f t="shared" ca="1" si="763"/>
        <v>0</v>
      </c>
      <c r="CQ58" s="154">
        <f t="shared" ca="1" si="764"/>
        <v>0</v>
      </c>
      <c r="CR58" s="32">
        <f t="shared" ref="CR58" ca="1" si="1079">+MAX(VLOOKUP(xB+$R58,기수표B,$AH$1)-VLOOKUP(xB+mB,기수표B,$AH$1),0)</f>
        <v>0</v>
      </c>
      <c r="CS58" s="32">
        <f t="shared" ca="1" si="766"/>
        <v>0</v>
      </c>
      <c r="CT58" s="32">
        <f t="shared" ref="CT58" ca="1" si="1080">+MAX(VLOOKUP(xB+$R58,기수표B,$AA$1)-VLOOKUP(xB+mB,기수표B,$AA$1),0)</f>
        <v>0</v>
      </c>
      <c r="CU58" s="32">
        <f t="shared" ca="1" si="768"/>
        <v>0</v>
      </c>
      <c r="CV58" s="32">
        <f t="shared" si="769"/>
        <v>0</v>
      </c>
      <c r="CW58" s="259">
        <f t="shared" ca="1" si="770"/>
        <v>0</v>
      </c>
      <c r="CX58" s="32">
        <f t="shared" ca="1" si="771"/>
        <v>0</v>
      </c>
      <c r="CY58" s="262">
        <f t="shared" ca="1" si="772"/>
        <v>0</v>
      </c>
      <c r="CZ58" s="259" t="e">
        <f t="shared" ca="1" si="773"/>
        <v>#DIV/0!</v>
      </c>
      <c r="DA58" s="31">
        <f t="shared" ref="DA58" ca="1" si="1081">+MIN(mB,7)</f>
        <v>7</v>
      </c>
    </row>
    <row r="59" spans="2:105">
      <c r="N59" s="5">
        <f t="shared" si="111"/>
        <v>47</v>
      </c>
      <c r="O59" s="2">
        <f t="shared" ref="O59" ca="1" si="1082">+(1+iB)^-N59</f>
        <v>0.35141809169473071</v>
      </c>
      <c r="P59" s="2">
        <f t="shared" ref="P59" ca="1" si="1083">+(1+iB)^-(N59+0.5)</f>
        <v>0.34753012593252358</v>
      </c>
      <c r="Q59" s="91"/>
      <c r="R59" s="20">
        <f t="shared" si="114"/>
        <v>47</v>
      </c>
      <c r="S59" s="20" t="str">
        <f t="shared" ref="S59" si="1084">+IF(xB+R59&lt;=xB+nB,xB+R59,"")</f>
        <v/>
      </c>
      <c r="T59" s="2">
        <f t="shared" ref="T59:U59" ca="1" si="1085">IFERROR(VLOOKUP($S59,qx_table,MATCH(T$11,qx_title,0)+sexB),0)</f>
        <v>0</v>
      </c>
      <c r="U59" s="2">
        <f t="shared" ca="1" si="1085"/>
        <v>0</v>
      </c>
      <c r="V59" s="300">
        <f t="shared" ca="1" si="747"/>
        <v>0.01</v>
      </c>
      <c r="W59" s="8">
        <f t="shared" ref="W59" si="1086">IF(R59=0,100000,IF(R59&gt;nB,0,W58*(1-X58)*(1-Y58)))</f>
        <v>0</v>
      </c>
      <c r="X59" s="10">
        <f t="shared" ca="1" si="28"/>
        <v>1.0000000000000009E-2</v>
      </c>
      <c r="Y59" s="10">
        <f t="shared" ca="1" si="29"/>
        <v>0</v>
      </c>
      <c r="Z59" s="8">
        <f t="shared" ca="1" si="64"/>
        <v>0</v>
      </c>
      <c r="AA59" s="8">
        <f ca="1">+SUM(Z59:Z$124)</f>
        <v>0</v>
      </c>
      <c r="AB59" s="8">
        <f t="shared" ca="1" si="30"/>
        <v>0</v>
      </c>
      <c r="AC59" s="209">
        <f ca="1">+SUM(AB59:AB$124)*SSSM</f>
        <v>0</v>
      </c>
      <c r="AD59" s="209">
        <f t="shared" ref="AD59" si="1087">IF(R59&gt;nB,0,AD58*(1-X58)*(1-Y58)*(1-AE58)*(1-AF58))</f>
        <v>0</v>
      </c>
      <c r="AE59" s="92">
        <f t="shared" ca="1" si="31"/>
        <v>0</v>
      </c>
      <c r="AF59" s="92">
        <f t="shared" ca="1" si="32"/>
        <v>0</v>
      </c>
      <c r="AG59" s="8">
        <f t="shared" ca="1" si="33"/>
        <v>0</v>
      </c>
      <c r="AH59" s="5">
        <f ca="1">+SUM(AG59:AG$124)</f>
        <v>0</v>
      </c>
      <c r="AI59" s="70">
        <f t="shared" ca="1" si="34"/>
        <v>0</v>
      </c>
      <c r="AJ59" s="208">
        <f ca="1">+SUM(AB59:AB$124)*SS50J</f>
        <v>0</v>
      </c>
      <c r="AK59" s="5">
        <f t="shared" ca="1" si="66"/>
        <v>29553.123447256847</v>
      </c>
      <c r="AL59" s="2">
        <f t="shared" ref="AL59" ca="1" si="1088">IFERROR(VLOOKUP($S59,qx_table,MATCH(AL$11,qx_title,0)+sexB),0)</f>
        <v>0</v>
      </c>
      <c r="AM59" s="131">
        <f t="shared" ca="1" si="68"/>
        <v>10385.502245453803</v>
      </c>
      <c r="AN59" s="129">
        <f t="shared" ca="1" si="782"/>
        <v>0</v>
      </c>
      <c r="AO59" s="129">
        <f ca="1">SUM(AN59:AN$124)*SSa</f>
        <v>0</v>
      </c>
      <c r="AP59" s="70">
        <f t="shared" ca="1" si="70"/>
        <v>29553.123447256847</v>
      </c>
      <c r="AQ59" s="2">
        <f t="shared" ref="AQ59" ca="1" si="1089">IFERROR(VLOOKUP($S59,qx_table,MATCH(AQ$11,qx_title,0)+sexB),0)</f>
        <v>0</v>
      </c>
      <c r="AR59" s="127">
        <f t="shared" ca="1" si="784"/>
        <v>0</v>
      </c>
      <c r="AS59" s="127">
        <f ca="1">SUM(AR59:AR$124)*SSb</f>
        <v>0</v>
      </c>
      <c r="AT59" s="70">
        <f t="shared" ca="1" si="73"/>
        <v>29553.123447256847</v>
      </c>
      <c r="AU59" s="2">
        <f t="shared" ref="AU59" ca="1" si="1090">IFERROR(VLOOKUP($S59,qx_table,MATCH(AU$11,qx_title,0)+sexB),0)</f>
        <v>0</v>
      </c>
      <c r="AV59" s="268">
        <f t="shared" ca="1" si="786"/>
        <v>0</v>
      </c>
      <c r="AW59" s="131">
        <f ca="1">SUM(AV59:AV$124)*SSc</f>
        <v>0</v>
      </c>
      <c r="AX59" s="70">
        <f t="shared" ca="1" si="76"/>
        <v>29553.123447256847</v>
      </c>
      <c r="AY59" s="2">
        <f t="shared" ref="AY59" ca="1" si="1091">IFERROR(VLOOKUP($S59,qx_table,MATCH(AY$11,qx_title,0)+sexB),0)</f>
        <v>0</v>
      </c>
      <c r="AZ59" s="268">
        <f t="shared" ca="1" si="788"/>
        <v>0</v>
      </c>
      <c r="BA59" s="129">
        <f ca="1">SUM(AZ59:AZ$124)*SSd</f>
        <v>0</v>
      </c>
      <c r="BB59" s="70">
        <f t="shared" ca="1" si="79"/>
        <v>29553.123447256847</v>
      </c>
      <c r="BC59" s="257">
        <f t="shared" ref="BC59" ca="1" si="1092">IFERROR(VLOOKUP($S59,qx_table,MATCH(BC$11,qx_title,0)+sexB),0)</f>
        <v>0</v>
      </c>
      <c r="BD59" s="268">
        <f t="shared" ca="1" si="790"/>
        <v>0</v>
      </c>
      <c r="BE59" s="131">
        <f ca="1">SUM(BD59:BD$124)*SSe</f>
        <v>0</v>
      </c>
      <c r="BF59" s="70">
        <f t="shared" ca="1" si="82"/>
        <v>29553.123447256847</v>
      </c>
      <c r="BG59" s="2">
        <f t="shared" ref="BG59" ca="1" si="1093">IFERROR(VLOOKUP($S59,qx_table,MATCH(BG$11,qx_title,0)+sexB),0)</f>
        <v>0</v>
      </c>
      <c r="BH59" s="131">
        <f t="shared" ca="1" si="792"/>
        <v>0</v>
      </c>
      <c r="BI59" s="2">
        <f ca="1">SUM(BH59:BH$124)*SSf</f>
        <v>0</v>
      </c>
      <c r="BJ59" s="70">
        <f t="shared" ca="1" si="85"/>
        <v>29553.123447256847</v>
      </c>
      <c r="BK59" s="2">
        <f t="shared" ref="BK59" ca="1" si="1094">IFERROR(VLOOKUP($S59,qx_table,MATCH(BK$11,qx_title,0)+sexB),0)</f>
        <v>0</v>
      </c>
      <c r="BL59" s="131">
        <f t="shared" ca="1" si="794"/>
        <v>0</v>
      </c>
      <c r="BM59" s="131">
        <f ca="1">SUM(BL59:BL$124)*SSg</f>
        <v>0</v>
      </c>
      <c r="BN59" s="70">
        <f t="shared" ca="1" si="88"/>
        <v>29553.123447256847</v>
      </c>
      <c r="BO59" s="2">
        <f t="shared" ref="BO59" ca="1" si="1095">IFERROR(VLOOKUP($S59,qx_table,MATCH(BO$11,qx_title,0)+sexB),0)</f>
        <v>0</v>
      </c>
      <c r="BP59" s="131">
        <f t="shared" ca="1" si="796"/>
        <v>0</v>
      </c>
      <c r="BQ59" s="131">
        <f ca="1">SUM(BP59:BP$124)*SSh</f>
        <v>0</v>
      </c>
      <c r="BR59" s="70">
        <f t="shared" ca="1" si="91"/>
        <v>29553.123447256847</v>
      </c>
      <c r="BS59" s="2">
        <f t="shared" ref="BS59" ca="1" si="1096">IFERROR(VLOOKUP($S59,qx_table,MATCH(BS$11,qx_title,0)+sexB),0)*IF(R59=0,MCi,1)</f>
        <v>0</v>
      </c>
      <c r="BT59" s="131">
        <f t="shared" ca="1" si="798"/>
        <v>0</v>
      </c>
      <c r="BU59" s="131">
        <f ca="1">SUM(BT59:BT$124)*SSi</f>
        <v>0</v>
      </c>
      <c r="BV59" s="70">
        <f t="shared" ca="1" si="94"/>
        <v>29553.123447256847</v>
      </c>
      <c r="BW59" s="2">
        <f t="shared" ref="BW59" ca="1" si="1097">IFERROR(VLOOKUP($S59,qx_table,MATCH(BW$11,qx_title,0)+sexB),0)</f>
        <v>0</v>
      </c>
      <c r="BX59" s="131">
        <f t="shared" ca="1" si="800"/>
        <v>0</v>
      </c>
      <c r="BY59" s="131">
        <f ca="1">SUM(BX59:BX$124)*SSj</f>
        <v>0</v>
      </c>
      <c r="BZ59" s="70">
        <f t="shared" ca="1" si="97"/>
        <v>29553.123447256847</v>
      </c>
      <c r="CA59" s="2">
        <f t="shared" ref="CA59" ca="1" si="1098">IFERROR(VLOOKUP($S59,qx_table,MATCH(CA$11,qx_title,0)+sexB),0)</f>
        <v>0</v>
      </c>
      <c r="CB59" s="131">
        <f t="shared" ca="1" si="802"/>
        <v>0</v>
      </c>
      <c r="CC59" s="131">
        <f ca="1">SUM(CB59:CB$124)*SSk</f>
        <v>0</v>
      </c>
      <c r="CD59" s="8">
        <f t="shared" ca="1" si="100"/>
        <v>29553.123447256847</v>
      </c>
      <c r="CE59" s="2">
        <f t="shared" ref="CE59" ca="1" si="1099">IFERROR(VLOOKUP($S59,qx_table,MATCH(CE$11,qx_title,0)+sexB),0)</f>
        <v>0</v>
      </c>
      <c r="CF59" s="131">
        <f t="shared" ca="1" si="804"/>
        <v>0</v>
      </c>
      <c r="CG59" s="131">
        <f ca="1">SUM(CF59:CF$124)*SSl</f>
        <v>0</v>
      </c>
      <c r="CH59" s="155">
        <f t="shared" ca="1" si="103"/>
        <v>0.01</v>
      </c>
      <c r="CI59" s="155">
        <f t="shared" ca="1" si="104"/>
        <v>0</v>
      </c>
      <c r="CJ59" s="155">
        <f t="shared" ca="1" si="105"/>
        <v>0</v>
      </c>
      <c r="CK59" s="155">
        <f ca="1">'유해지 (기준P)'!CZ59</f>
        <v>0</v>
      </c>
      <c r="CL59" s="155">
        <f t="shared" ca="1" si="762"/>
        <v>0</v>
      </c>
      <c r="CM59" s="155">
        <f t="shared" ca="1" si="106"/>
        <v>0</v>
      </c>
      <c r="CN59" s="155">
        <f ca="1">SUM(CM59:$CM$124)</f>
        <v>0</v>
      </c>
      <c r="CO59" s="101">
        <f t="shared" ca="1" si="107"/>
        <v>0</v>
      </c>
      <c r="CP59" s="154">
        <f t="shared" ca="1" si="763"/>
        <v>0</v>
      </c>
      <c r="CQ59" s="154">
        <f t="shared" ca="1" si="764"/>
        <v>0</v>
      </c>
      <c r="CR59" s="32">
        <f t="shared" ref="CR59" ca="1" si="1100">+MAX(VLOOKUP(xB+$R59,기수표B,$AH$1)-VLOOKUP(xB+mB,기수표B,$AH$1),0)</f>
        <v>0</v>
      </c>
      <c r="CS59" s="32">
        <f t="shared" ca="1" si="766"/>
        <v>0</v>
      </c>
      <c r="CT59" s="32">
        <f t="shared" ref="CT59" ca="1" si="1101">+MAX(VLOOKUP(xB+$R59,기수표B,$AA$1)-VLOOKUP(xB+mB,기수표B,$AA$1),0)</f>
        <v>0</v>
      </c>
      <c r="CU59" s="32">
        <f t="shared" ca="1" si="768"/>
        <v>0</v>
      </c>
      <c r="CV59" s="32">
        <f t="shared" si="769"/>
        <v>0</v>
      </c>
      <c r="CW59" s="259">
        <f t="shared" ca="1" si="770"/>
        <v>0</v>
      </c>
      <c r="CX59" s="32">
        <f t="shared" ca="1" si="771"/>
        <v>0</v>
      </c>
      <c r="CY59" s="262">
        <f t="shared" ca="1" si="772"/>
        <v>0</v>
      </c>
      <c r="CZ59" s="259" t="e">
        <f t="shared" ca="1" si="773"/>
        <v>#DIV/0!</v>
      </c>
      <c r="DA59" s="31">
        <f t="shared" ref="DA59" ca="1" si="1102">+MIN(mB,7)</f>
        <v>7</v>
      </c>
    </row>
    <row r="60" spans="2:105">
      <c r="N60" s="5">
        <f t="shared" si="111"/>
        <v>48</v>
      </c>
      <c r="O60" s="2">
        <f t="shared" ref="O60" ca="1" si="1103">+(1+iB)^-N60</f>
        <v>0.34368517525157044</v>
      </c>
      <c r="P60" s="2">
        <f t="shared" ref="P60" ca="1" si="1104">+(1+iB)^-(N60+0.5)</f>
        <v>0.33988276374818926</v>
      </c>
      <c r="Q60" s="91"/>
      <c r="R60" s="20">
        <f t="shared" si="114"/>
        <v>48</v>
      </c>
      <c r="S60" s="20" t="str">
        <f t="shared" ref="S60" si="1105">+IF(xB+R60&lt;=xB+nB,xB+R60,"")</f>
        <v/>
      </c>
      <c r="T60" s="2">
        <f t="shared" ref="T60:U60" ca="1" si="1106">IFERROR(VLOOKUP($S60,qx_table,MATCH(T$11,qx_title,0)+sexB),0)</f>
        <v>0</v>
      </c>
      <c r="U60" s="2">
        <f t="shared" ca="1" si="1106"/>
        <v>0</v>
      </c>
      <c r="V60" s="300">
        <f t="shared" ca="1" si="747"/>
        <v>0.01</v>
      </c>
      <c r="W60" s="8">
        <f t="shared" ref="W60" si="1107">IF(R60=0,100000,IF(R60&gt;nB,0,W59*(1-X59)*(1-Y59)))</f>
        <v>0</v>
      </c>
      <c r="X60" s="10">
        <f t="shared" ca="1" si="28"/>
        <v>1.0000000000000009E-2</v>
      </c>
      <c r="Y60" s="10">
        <f t="shared" ca="1" si="29"/>
        <v>0</v>
      </c>
      <c r="Z60" s="8">
        <f t="shared" ca="1" si="64"/>
        <v>0</v>
      </c>
      <c r="AA60" s="8">
        <f ca="1">+SUM(Z60:Z$124)</f>
        <v>0</v>
      </c>
      <c r="AB60" s="8">
        <f t="shared" ca="1" si="30"/>
        <v>0</v>
      </c>
      <c r="AC60" s="209">
        <f ca="1">+SUM(AB60:AB$124)*SSSM</f>
        <v>0</v>
      </c>
      <c r="AD60" s="209">
        <f t="shared" ref="AD60" si="1108">IF(R60&gt;nB,0,AD59*(1-X59)*(1-Y59)*(1-AE59)*(1-AF59))</f>
        <v>0</v>
      </c>
      <c r="AE60" s="92">
        <f t="shared" ca="1" si="31"/>
        <v>0</v>
      </c>
      <c r="AF60" s="92">
        <f t="shared" ca="1" si="32"/>
        <v>0</v>
      </c>
      <c r="AG60" s="8">
        <f t="shared" ca="1" si="33"/>
        <v>0</v>
      </c>
      <c r="AH60" s="5">
        <f ca="1">+SUM(AG60:AG$124)</f>
        <v>0</v>
      </c>
      <c r="AI60" s="70">
        <f t="shared" ca="1" si="34"/>
        <v>0</v>
      </c>
      <c r="AJ60" s="208">
        <f ca="1">+SUM(AB60:AB$124)*SS50J</f>
        <v>0</v>
      </c>
      <c r="AK60" s="5">
        <f t="shared" ca="1" si="66"/>
        <v>29257.592212784279</v>
      </c>
      <c r="AL60" s="2">
        <f t="shared" ref="AL60" ca="1" si="1109">IFERROR(VLOOKUP($S60,qx_table,MATCH(AL$11,qx_title,0)+sexB),0)</f>
        <v>0</v>
      </c>
      <c r="AM60" s="131">
        <f t="shared" ca="1" si="68"/>
        <v>10055.400707089748</v>
      </c>
      <c r="AN60" s="129">
        <f t="shared" ca="1" si="782"/>
        <v>0</v>
      </c>
      <c r="AO60" s="129">
        <f ca="1">SUM(AN60:AN$124)*SSa</f>
        <v>0</v>
      </c>
      <c r="AP60" s="70">
        <f t="shared" ca="1" si="70"/>
        <v>29257.592212784279</v>
      </c>
      <c r="AQ60" s="2">
        <f t="shared" ref="AQ60" ca="1" si="1110">IFERROR(VLOOKUP($S60,qx_table,MATCH(AQ$11,qx_title,0)+sexB),0)</f>
        <v>0</v>
      </c>
      <c r="AR60" s="127">
        <f t="shared" ca="1" si="784"/>
        <v>0</v>
      </c>
      <c r="AS60" s="127">
        <f ca="1">SUM(AR60:AR$124)*SSb</f>
        <v>0</v>
      </c>
      <c r="AT60" s="70">
        <f t="shared" ca="1" si="73"/>
        <v>29257.592212784279</v>
      </c>
      <c r="AU60" s="2">
        <f t="shared" ref="AU60" ca="1" si="1111">IFERROR(VLOOKUP($S60,qx_table,MATCH(AU$11,qx_title,0)+sexB),0)</f>
        <v>0</v>
      </c>
      <c r="AV60" s="268">
        <f t="shared" ca="1" si="786"/>
        <v>0</v>
      </c>
      <c r="AW60" s="131">
        <f ca="1">SUM(AV60:AV$124)*SSc</f>
        <v>0</v>
      </c>
      <c r="AX60" s="70">
        <f t="shared" ca="1" si="76"/>
        <v>29257.592212784279</v>
      </c>
      <c r="AY60" s="2">
        <f t="shared" ref="AY60" ca="1" si="1112">IFERROR(VLOOKUP($S60,qx_table,MATCH(AY$11,qx_title,0)+sexB),0)</f>
        <v>0</v>
      </c>
      <c r="AZ60" s="268">
        <f t="shared" ca="1" si="788"/>
        <v>0</v>
      </c>
      <c r="BA60" s="129">
        <f ca="1">SUM(AZ60:AZ$124)*SSd</f>
        <v>0</v>
      </c>
      <c r="BB60" s="70">
        <f t="shared" ca="1" si="79"/>
        <v>29257.592212784279</v>
      </c>
      <c r="BC60" s="257">
        <f t="shared" ref="BC60" ca="1" si="1113">IFERROR(VLOOKUP($S60,qx_table,MATCH(BC$11,qx_title,0)+sexB),0)</f>
        <v>0</v>
      </c>
      <c r="BD60" s="268">
        <f t="shared" ca="1" si="790"/>
        <v>0</v>
      </c>
      <c r="BE60" s="131">
        <f ca="1">SUM(BD60:BD$124)*SSe</f>
        <v>0</v>
      </c>
      <c r="BF60" s="70">
        <f t="shared" ca="1" si="82"/>
        <v>29257.592212784279</v>
      </c>
      <c r="BG60" s="2">
        <f t="shared" ref="BG60" ca="1" si="1114">IFERROR(VLOOKUP($S60,qx_table,MATCH(BG$11,qx_title,0)+sexB),0)</f>
        <v>0</v>
      </c>
      <c r="BH60" s="131">
        <f t="shared" ca="1" si="792"/>
        <v>0</v>
      </c>
      <c r="BI60" s="2">
        <f ca="1">SUM(BH60:BH$124)*SSf</f>
        <v>0</v>
      </c>
      <c r="BJ60" s="70">
        <f t="shared" ca="1" si="85"/>
        <v>29257.592212784279</v>
      </c>
      <c r="BK60" s="2">
        <f t="shared" ref="BK60" ca="1" si="1115">IFERROR(VLOOKUP($S60,qx_table,MATCH(BK$11,qx_title,0)+sexB),0)</f>
        <v>0</v>
      </c>
      <c r="BL60" s="131">
        <f t="shared" ca="1" si="794"/>
        <v>0</v>
      </c>
      <c r="BM60" s="131">
        <f ca="1">SUM(BL60:BL$124)*SSg</f>
        <v>0</v>
      </c>
      <c r="BN60" s="70">
        <f t="shared" ca="1" si="88"/>
        <v>29257.592212784279</v>
      </c>
      <c r="BO60" s="2">
        <f t="shared" ref="BO60" ca="1" si="1116">IFERROR(VLOOKUP($S60,qx_table,MATCH(BO$11,qx_title,0)+sexB),0)</f>
        <v>0</v>
      </c>
      <c r="BP60" s="131">
        <f t="shared" ca="1" si="796"/>
        <v>0</v>
      </c>
      <c r="BQ60" s="131">
        <f ca="1">SUM(BP60:BP$124)*SSh</f>
        <v>0</v>
      </c>
      <c r="BR60" s="70">
        <f t="shared" ca="1" si="91"/>
        <v>29257.592212784279</v>
      </c>
      <c r="BS60" s="2">
        <f t="shared" ref="BS60" ca="1" si="1117">IFERROR(VLOOKUP($S60,qx_table,MATCH(BS$11,qx_title,0)+sexB),0)*IF(R60=0,MCi,1)</f>
        <v>0</v>
      </c>
      <c r="BT60" s="131">
        <f t="shared" ca="1" si="798"/>
        <v>0</v>
      </c>
      <c r="BU60" s="131">
        <f ca="1">SUM(BT60:BT$124)*SSi</f>
        <v>0</v>
      </c>
      <c r="BV60" s="70">
        <f t="shared" ca="1" si="94"/>
        <v>29257.592212784279</v>
      </c>
      <c r="BW60" s="2">
        <f t="shared" ref="BW60" ca="1" si="1118">IFERROR(VLOOKUP($S60,qx_table,MATCH(BW$11,qx_title,0)+sexB),0)</f>
        <v>0</v>
      </c>
      <c r="BX60" s="131">
        <f t="shared" ca="1" si="800"/>
        <v>0</v>
      </c>
      <c r="BY60" s="131">
        <f ca="1">SUM(BX60:BX$124)*SSj</f>
        <v>0</v>
      </c>
      <c r="BZ60" s="70">
        <f t="shared" ca="1" si="97"/>
        <v>29257.592212784279</v>
      </c>
      <c r="CA60" s="2">
        <f t="shared" ref="CA60" ca="1" si="1119">IFERROR(VLOOKUP($S60,qx_table,MATCH(CA$11,qx_title,0)+sexB),0)</f>
        <v>0</v>
      </c>
      <c r="CB60" s="131">
        <f t="shared" ca="1" si="802"/>
        <v>0</v>
      </c>
      <c r="CC60" s="131">
        <f ca="1">SUM(CB60:CB$124)*SSk</f>
        <v>0</v>
      </c>
      <c r="CD60" s="8">
        <f t="shared" ca="1" si="100"/>
        <v>29257.592212784279</v>
      </c>
      <c r="CE60" s="2">
        <f t="shared" ref="CE60" ca="1" si="1120">IFERROR(VLOOKUP($S60,qx_table,MATCH(CE$11,qx_title,0)+sexB),0)</f>
        <v>0</v>
      </c>
      <c r="CF60" s="131">
        <f t="shared" ca="1" si="804"/>
        <v>0</v>
      </c>
      <c r="CG60" s="131">
        <f ca="1">SUM(CF60:CF$124)*SSl</f>
        <v>0</v>
      </c>
      <c r="CH60" s="155">
        <f t="shared" ca="1" si="103"/>
        <v>0.01</v>
      </c>
      <c r="CI60" s="155">
        <f t="shared" ca="1" si="104"/>
        <v>0</v>
      </c>
      <c r="CJ60" s="155">
        <f t="shared" ca="1" si="105"/>
        <v>0</v>
      </c>
      <c r="CK60" s="155">
        <f ca="1">'유해지 (기준P)'!CZ60</f>
        <v>0</v>
      </c>
      <c r="CL60" s="155">
        <f t="shared" ca="1" si="762"/>
        <v>0</v>
      </c>
      <c r="CM60" s="155">
        <f t="shared" ca="1" si="106"/>
        <v>0</v>
      </c>
      <c r="CN60" s="155">
        <f ca="1">SUM(CM60:$CM$124)</f>
        <v>0</v>
      </c>
      <c r="CO60" s="101">
        <f t="shared" ca="1" si="107"/>
        <v>0</v>
      </c>
      <c r="CP60" s="154">
        <f t="shared" ca="1" si="763"/>
        <v>0</v>
      </c>
      <c r="CQ60" s="154">
        <f t="shared" ca="1" si="764"/>
        <v>0</v>
      </c>
      <c r="CR60" s="32">
        <f t="shared" ref="CR60" ca="1" si="1121">+MAX(VLOOKUP(xB+$R60,기수표B,$AH$1)-VLOOKUP(xB+mB,기수표B,$AH$1),0)</f>
        <v>0</v>
      </c>
      <c r="CS60" s="32">
        <f t="shared" ca="1" si="766"/>
        <v>0</v>
      </c>
      <c r="CT60" s="32">
        <f t="shared" ref="CT60" ca="1" si="1122">+MAX(VLOOKUP(xB+$R60,기수표B,$AA$1)-VLOOKUP(xB+mB,기수표B,$AA$1),0)</f>
        <v>0</v>
      </c>
      <c r="CU60" s="32">
        <f t="shared" ca="1" si="768"/>
        <v>0</v>
      </c>
      <c r="CV60" s="32">
        <f t="shared" si="769"/>
        <v>0</v>
      </c>
      <c r="CW60" s="259">
        <f t="shared" ca="1" si="770"/>
        <v>0</v>
      </c>
      <c r="CX60" s="32">
        <f t="shared" ca="1" si="771"/>
        <v>0</v>
      </c>
      <c r="CY60" s="262">
        <f t="shared" ca="1" si="772"/>
        <v>0</v>
      </c>
      <c r="CZ60" s="259" t="e">
        <f t="shared" ca="1" si="773"/>
        <v>#DIV/0!</v>
      </c>
      <c r="DA60" s="31">
        <f t="shared" ref="DA60" ca="1" si="1123">+MIN(mB,7)</f>
        <v>7</v>
      </c>
    </row>
    <row r="61" spans="2:105">
      <c r="N61" s="5">
        <f t="shared" si="111"/>
        <v>49</v>
      </c>
      <c r="O61" s="2">
        <f t="shared" ref="O61" ca="1" si="1124">+(1+iB)^-N61</f>
        <v>0.33612242078393195</v>
      </c>
      <c r="P61" s="2">
        <f t="shared" ref="P61" ca="1" si="1125">+(1+iB)^-(N61+0.5)</f>
        <v>0.33240368092732453</v>
      </c>
      <c r="Q61" s="91"/>
      <c r="R61" s="20">
        <f t="shared" si="114"/>
        <v>49</v>
      </c>
      <c r="S61" s="20" t="str">
        <f t="shared" ref="S61" si="1126">+IF(xB+R61&lt;=xB+nB,xB+R61,"")</f>
        <v/>
      </c>
      <c r="T61" s="2">
        <f t="shared" ref="T61:U61" ca="1" si="1127">IFERROR(VLOOKUP($S61,qx_table,MATCH(T$11,qx_title,0)+sexB),0)</f>
        <v>0</v>
      </c>
      <c r="U61" s="2">
        <f t="shared" ca="1" si="1127"/>
        <v>0</v>
      </c>
      <c r="V61" s="300">
        <f t="shared" ca="1" si="747"/>
        <v>0.01</v>
      </c>
      <c r="W61" s="8">
        <f t="shared" ref="W61" si="1128">IF(R61=0,100000,IF(R61&gt;nB,0,W60*(1-X60)*(1-Y60)))</f>
        <v>0</v>
      </c>
      <c r="X61" s="10">
        <f t="shared" ca="1" si="28"/>
        <v>1.0000000000000009E-2</v>
      </c>
      <c r="Y61" s="10">
        <f t="shared" ca="1" si="29"/>
        <v>0</v>
      </c>
      <c r="Z61" s="8">
        <f t="shared" ca="1" si="64"/>
        <v>0</v>
      </c>
      <c r="AA61" s="8">
        <f ca="1">+SUM(Z61:Z$124)</f>
        <v>0</v>
      </c>
      <c r="AB61" s="8">
        <f t="shared" ca="1" si="30"/>
        <v>0</v>
      </c>
      <c r="AC61" s="209">
        <f ca="1">+SUM(AB61:AB$124)*SSSM</f>
        <v>0</v>
      </c>
      <c r="AD61" s="209">
        <f t="shared" ref="AD61" si="1129">IF(R61&gt;nB,0,AD60*(1-X60)*(1-Y60)*(1-AE60)*(1-AF60))</f>
        <v>0</v>
      </c>
      <c r="AE61" s="92">
        <f t="shared" ca="1" si="31"/>
        <v>0</v>
      </c>
      <c r="AF61" s="92">
        <f t="shared" ca="1" si="32"/>
        <v>0</v>
      </c>
      <c r="AG61" s="8">
        <f t="shared" ca="1" si="33"/>
        <v>0</v>
      </c>
      <c r="AH61" s="5">
        <f ca="1">+SUM(AG61:AG$124)</f>
        <v>0</v>
      </c>
      <c r="AI61" s="70">
        <f t="shared" ca="1" si="34"/>
        <v>0</v>
      </c>
      <c r="AJ61" s="208">
        <f ca="1">+SUM(AB61:AB$124)*SS50J</f>
        <v>0</v>
      </c>
      <c r="AK61" s="5">
        <f t="shared" ca="1" si="66"/>
        <v>28965.016290656436</v>
      </c>
      <c r="AL61" s="2">
        <f t="shared" ref="AL61" ca="1" si="1130">IFERROR(VLOOKUP($S61,qx_table,MATCH(AL$11,qx_title,0)+sexB),0)</f>
        <v>0</v>
      </c>
      <c r="AM61" s="131">
        <f t="shared" ca="1" si="68"/>
        <v>9735.7913936614659</v>
      </c>
      <c r="AN61" s="129">
        <f t="shared" ca="1" si="782"/>
        <v>0</v>
      </c>
      <c r="AO61" s="129">
        <f ca="1">SUM(AN61:AN$124)*SSa</f>
        <v>0</v>
      </c>
      <c r="AP61" s="70">
        <f t="shared" ca="1" si="70"/>
        <v>28965.016290656436</v>
      </c>
      <c r="AQ61" s="2">
        <f t="shared" ref="AQ61" ca="1" si="1131">IFERROR(VLOOKUP($S61,qx_table,MATCH(AQ$11,qx_title,0)+sexB),0)</f>
        <v>0</v>
      </c>
      <c r="AR61" s="127">
        <f t="shared" ca="1" si="784"/>
        <v>0</v>
      </c>
      <c r="AS61" s="127">
        <f ca="1">SUM(AR61:AR$124)*SSb</f>
        <v>0</v>
      </c>
      <c r="AT61" s="70">
        <f t="shared" ca="1" si="73"/>
        <v>28965.016290656436</v>
      </c>
      <c r="AU61" s="2">
        <f t="shared" ref="AU61" ca="1" si="1132">IFERROR(VLOOKUP($S61,qx_table,MATCH(AU$11,qx_title,0)+sexB),0)</f>
        <v>0</v>
      </c>
      <c r="AV61" s="268">
        <f t="shared" ca="1" si="786"/>
        <v>0</v>
      </c>
      <c r="AW61" s="131">
        <f ca="1">SUM(AV61:AV$124)*SSc</f>
        <v>0</v>
      </c>
      <c r="AX61" s="70">
        <f t="shared" ca="1" si="76"/>
        <v>28965.016290656436</v>
      </c>
      <c r="AY61" s="2">
        <f t="shared" ref="AY61" ca="1" si="1133">IFERROR(VLOOKUP($S61,qx_table,MATCH(AY$11,qx_title,0)+sexB),0)</f>
        <v>0</v>
      </c>
      <c r="AZ61" s="268">
        <f t="shared" ca="1" si="788"/>
        <v>0</v>
      </c>
      <c r="BA61" s="129">
        <f ca="1">SUM(AZ61:AZ$124)*SSd</f>
        <v>0</v>
      </c>
      <c r="BB61" s="70">
        <f t="shared" ca="1" si="79"/>
        <v>28965.016290656436</v>
      </c>
      <c r="BC61" s="257">
        <f t="shared" ref="BC61" ca="1" si="1134">IFERROR(VLOOKUP($S61,qx_table,MATCH(BC$11,qx_title,0)+sexB),0)</f>
        <v>0</v>
      </c>
      <c r="BD61" s="268">
        <f t="shared" ca="1" si="790"/>
        <v>0</v>
      </c>
      <c r="BE61" s="131">
        <f ca="1">SUM(BD61:BD$124)*SSe</f>
        <v>0</v>
      </c>
      <c r="BF61" s="70">
        <f t="shared" ca="1" si="82"/>
        <v>28965.016290656436</v>
      </c>
      <c r="BG61" s="2">
        <f t="shared" ref="BG61" ca="1" si="1135">IFERROR(VLOOKUP($S61,qx_table,MATCH(BG$11,qx_title,0)+sexB),0)</f>
        <v>0</v>
      </c>
      <c r="BH61" s="131">
        <f t="shared" ca="1" si="792"/>
        <v>0</v>
      </c>
      <c r="BI61" s="2">
        <f ca="1">SUM(BH61:BH$124)*SSf</f>
        <v>0</v>
      </c>
      <c r="BJ61" s="70">
        <f t="shared" ca="1" si="85"/>
        <v>28965.016290656436</v>
      </c>
      <c r="BK61" s="2">
        <f t="shared" ref="BK61" ca="1" si="1136">IFERROR(VLOOKUP($S61,qx_table,MATCH(BK$11,qx_title,0)+sexB),0)</f>
        <v>0</v>
      </c>
      <c r="BL61" s="131">
        <f t="shared" ca="1" si="794"/>
        <v>0</v>
      </c>
      <c r="BM61" s="131">
        <f ca="1">SUM(BL61:BL$124)*SSg</f>
        <v>0</v>
      </c>
      <c r="BN61" s="70">
        <f t="shared" ca="1" si="88"/>
        <v>28965.016290656436</v>
      </c>
      <c r="BO61" s="2">
        <f t="shared" ref="BO61" ca="1" si="1137">IFERROR(VLOOKUP($S61,qx_table,MATCH(BO$11,qx_title,0)+sexB),0)</f>
        <v>0</v>
      </c>
      <c r="BP61" s="131">
        <f t="shared" ca="1" si="796"/>
        <v>0</v>
      </c>
      <c r="BQ61" s="131">
        <f ca="1">SUM(BP61:BP$124)*SSh</f>
        <v>0</v>
      </c>
      <c r="BR61" s="70">
        <f t="shared" ca="1" si="91"/>
        <v>28965.016290656436</v>
      </c>
      <c r="BS61" s="2">
        <f t="shared" ref="BS61" ca="1" si="1138">IFERROR(VLOOKUP($S61,qx_table,MATCH(BS$11,qx_title,0)+sexB),0)*IF(R61=0,MCi,1)</f>
        <v>0</v>
      </c>
      <c r="BT61" s="131">
        <f t="shared" ca="1" si="798"/>
        <v>0</v>
      </c>
      <c r="BU61" s="131">
        <f ca="1">SUM(BT61:BT$124)*SSi</f>
        <v>0</v>
      </c>
      <c r="BV61" s="70">
        <f t="shared" ca="1" si="94"/>
        <v>28965.016290656436</v>
      </c>
      <c r="BW61" s="2">
        <f t="shared" ref="BW61" ca="1" si="1139">IFERROR(VLOOKUP($S61,qx_table,MATCH(BW$11,qx_title,0)+sexB),0)</f>
        <v>0</v>
      </c>
      <c r="BX61" s="131">
        <f t="shared" ca="1" si="800"/>
        <v>0</v>
      </c>
      <c r="BY61" s="131">
        <f ca="1">SUM(BX61:BX$124)*SSj</f>
        <v>0</v>
      </c>
      <c r="BZ61" s="70">
        <f t="shared" ca="1" si="97"/>
        <v>28965.016290656436</v>
      </c>
      <c r="CA61" s="2">
        <f t="shared" ref="CA61" ca="1" si="1140">IFERROR(VLOOKUP($S61,qx_table,MATCH(CA$11,qx_title,0)+sexB),0)</f>
        <v>0</v>
      </c>
      <c r="CB61" s="131">
        <f t="shared" ca="1" si="802"/>
        <v>0</v>
      </c>
      <c r="CC61" s="131">
        <f ca="1">SUM(CB61:CB$124)*SSk</f>
        <v>0</v>
      </c>
      <c r="CD61" s="8">
        <f t="shared" ca="1" si="100"/>
        <v>28965.016290656436</v>
      </c>
      <c r="CE61" s="2">
        <f t="shared" ref="CE61" ca="1" si="1141">IFERROR(VLOOKUP($S61,qx_table,MATCH(CE$11,qx_title,0)+sexB),0)</f>
        <v>0</v>
      </c>
      <c r="CF61" s="131">
        <f t="shared" ca="1" si="804"/>
        <v>0</v>
      </c>
      <c r="CG61" s="131">
        <f ca="1">SUM(CF61:CF$124)*SSl</f>
        <v>0</v>
      </c>
      <c r="CH61" s="155">
        <f t="shared" ca="1" si="103"/>
        <v>0.01</v>
      </c>
      <c r="CI61" s="155">
        <f t="shared" ca="1" si="104"/>
        <v>0</v>
      </c>
      <c r="CJ61" s="155">
        <f t="shared" ca="1" si="105"/>
        <v>0</v>
      </c>
      <c r="CK61" s="155">
        <f ca="1">'유해지 (기준P)'!CZ61</f>
        <v>0</v>
      </c>
      <c r="CL61" s="155">
        <f t="shared" ca="1" si="762"/>
        <v>0</v>
      </c>
      <c r="CM61" s="155">
        <f t="shared" ca="1" si="106"/>
        <v>0</v>
      </c>
      <c r="CN61" s="155">
        <f ca="1">SUM(CM61:$CM$124)</f>
        <v>0</v>
      </c>
      <c r="CO61" s="101">
        <f t="shared" ca="1" si="107"/>
        <v>0</v>
      </c>
      <c r="CP61" s="154">
        <f t="shared" ca="1" si="763"/>
        <v>0</v>
      </c>
      <c r="CQ61" s="154">
        <f t="shared" ca="1" si="764"/>
        <v>0</v>
      </c>
      <c r="CR61" s="32">
        <f t="shared" ref="CR61" ca="1" si="1142">+MAX(VLOOKUP(xB+$R61,기수표B,$AH$1)-VLOOKUP(xB+mB,기수표B,$AH$1),0)</f>
        <v>0</v>
      </c>
      <c r="CS61" s="32">
        <f t="shared" ca="1" si="766"/>
        <v>0</v>
      </c>
      <c r="CT61" s="32">
        <f t="shared" ref="CT61" ca="1" si="1143">+MAX(VLOOKUP(xB+$R61,기수표B,$AA$1)-VLOOKUP(xB+mB,기수표B,$AA$1),0)</f>
        <v>0</v>
      </c>
      <c r="CU61" s="32">
        <f t="shared" ca="1" si="768"/>
        <v>0</v>
      </c>
      <c r="CV61" s="32">
        <f t="shared" si="769"/>
        <v>0</v>
      </c>
      <c r="CW61" s="259">
        <f t="shared" ca="1" si="770"/>
        <v>0</v>
      </c>
      <c r="CX61" s="32">
        <f t="shared" ca="1" si="771"/>
        <v>0</v>
      </c>
      <c r="CY61" s="262">
        <f t="shared" ca="1" si="772"/>
        <v>0</v>
      </c>
      <c r="CZ61" s="259" t="e">
        <f t="shared" ca="1" si="773"/>
        <v>#DIV/0!</v>
      </c>
      <c r="DA61" s="31">
        <f t="shared" ref="DA61" ca="1" si="1144">+MIN(mB,7)</f>
        <v>7</v>
      </c>
    </row>
    <row r="62" spans="2:105">
      <c r="N62" s="5">
        <f t="shared" si="111"/>
        <v>50</v>
      </c>
      <c r="O62" s="2">
        <f t="shared" ref="O62" ca="1" si="1145">+(1+iB)^-N62</f>
        <v>0.32872608389626606</v>
      </c>
      <c r="P62" s="2">
        <f t="shared" ref="P62" ca="1" si="1146">+(1+iB)^-(N62+0.5)</f>
        <v>0.3250891745010509</v>
      </c>
      <c r="Q62" s="91"/>
      <c r="R62" s="20">
        <f t="shared" si="114"/>
        <v>50</v>
      </c>
      <c r="S62" s="20" t="str">
        <f t="shared" ref="S62" si="1147">+IF(xB+R62&lt;=xB+nB,xB+R62,"")</f>
        <v/>
      </c>
      <c r="T62" s="2">
        <f t="shared" ref="T62:U62" ca="1" si="1148">IFERROR(VLOOKUP($S62,qx_table,MATCH(T$11,qx_title,0)+sexB),0)</f>
        <v>0</v>
      </c>
      <c r="U62" s="2">
        <f t="shared" ca="1" si="1148"/>
        <v>0</v>
      </c>
      <c r="V62" s="300">
        <f t="shared" ca="1" si="747"/>
        <v>0.01</v>
      </c>
      <c r="W62" s="8">
        <f t="shared" ref="W62" si="1149">IF(R62=0,100000,IF(R62&gt;nB,0,W61*(1-X61)*(1-Y61)))</f>
        <v>0</v>
      </c>
      <c r="X62" s="10">
        <f t="shared" ca="1" si="28"/>
        <v>1.0000000000000009E-2</v>
      </c>
      <c r="Y62" s="10">
        <f t="shared" ca="1" si="29"/>
        <v>0</v>
      </c>
      <c r="Z62" s="8">
        <f t="shared" ca="1" si="64"/>
        <v>0</v>
      </c>
      <c r="AA62" s="8">
        <f ca="1">+SUM(Z62:Z$124)</f>
        <v>0</v>
      </c>
      <c r="AB62" s="8">
        <f t="shared" ca="1" si="30"/>
        <v>0</v>
      </c>
      <c r="AC62" s="209">
        <f ca="1">+SUM(AB62:AB$124)*SSSM</f>
        <v>0</v>
      </c>
      <c r="AD62" s="209">
        <f t="shared" ref="AD62" si="1150">IF(R62&gt;nB,0,AD61*(1-X61)*(1-Y61)*(1-AE61)*(1-AF61))</f>
        <v>0</v>
      </c>
      <c r="AE62" s="92">
        <f t="shared" ca="1" si="31"/>
        <v>0</v>
      </c>
      <c r="AF62" s="92">
        <f t="shared" ca="1" si="32"/>
        <v>0</v>
      </c>
      <c r="AG62" s="8">
        <f t="shared" ca="1" si="33"/>
        <v>0</v>
      </c>
      <c r="AH62" s="5">
        <f ca="1">+SUM(AG62:AG$124)</f>
        <v>0</v>
      </c>
      <c r="AI62" s="70">
        <f t="shared" ca="1" si="34"/>
        <v>0</v>
      </c>
      <c r="AJ62" s="208">
        <f ca="1">+SUM(AB62:AB$124)*SS50J</f>
        <v>0</v>
      </c>
      <c r="AK62" s="5">
        <f t="shared" ca="1" si="66"/>
        <v>28675.366127749872</v>
      </c>
      <c r="AL62" s="2">
        <f t="shared" ref="AL62" ca="1" si="1151">IFERROR(VLOOKUP($S62,qx_table,MATCH(AL$11,qx_title,0)+sexB),0)</f>
        <v>0</v>
      </c>
      <c r="AM62" s="131">
        <f t="shared" ca="1" si="68"/>
        <v>9426.3408114668509</v>
      </c>
      <c r="AN62" s="129">
        <f t="shared" ca="1" si="782"/>
        <v>0</v>
      </c>
      <c r="AO62" s="129">
        <f ca="1">SUM(AN62:AN$124)*SSa</f>
        <v>0</v>
      </c>
      <c r="AP62" s="70">
        <f t="shared" ca="1" si="70"/>
        <v>28675.366127749872</v>
      </c>
      <c r="AQ62" s="2">
        <f t="shared" ref="AQ62" ca="1" si="1152">IFERROR(VLOOKUP($S62,qx_table,MATCH(AQ$11,qx_title,0)+sexB),0)</f>
        <v>0</v>
      </c>
      <c r="AR62" s="127">
        <f t="shared" ca="1" si="784"/>
        <v>0</v>
      </c>
      <c r="AS62" s="127">
        <f ca="1">SUM(AR62:AR$124)*SSb</f>
        <v>0</v>
      </c>
      <c r="AT62" s="70">
        <f t="shared" ca="1" si="73"/>
        <v>28675.366127749872</v>
      </c>
      <c r="AU62" s="2">
        <f t="shared" ref="AU62" ca="1" si="1153">IFERROR(VLOOKUP($S62,qx_table,MATCH(AU$11,qx_title,0)+sexB),0)</f>
        <v>0</v>
      </c>
      <c r="AV62" s="268">
        <f t="shared" ca="1" si="786"/>
        <v>0</v>
      </c>
      <c r="AW62" s="131">
        <f ca="1">SUM(AV62:AV$124)*SSc</f>
        <v>0</v>
      </c>
      <c r="AX62" s="70">
        <f t="shared" ca="1" si="76"/>
        <v>28675.366127749872</v>
      </c>
      <c r="AY62" s="2">
        <f t="shared" ref="AY62" ca="1" si="1154">IFERROR(VLOOKUP($S62,qx_table,MATCH(AY$11,qx_title,0)+sexB),0)</f>
        <v>0</v>
      </c>
      <c r="AZ62" s="268">
        <f t="shared" ca="1" si="788"/>
        <v>0</v>
      </c>
      <c r="BA62" s="129">
        <f ca="1">SUM(AZ62:AZ$124)*SSd</f>
        <v>0</v>
      </c>
      <c r="BB62" s="70">
        <f t="shared" ca="1" si="79"/>
        <v>28675.366127749872</v>
      </c>
      <c r="BC62" s="257">
        <f t="shared" ref="BC62" ca="1" si="1155">IFERROR(VLOOKUP($S62,qx_table,MATCH(BC$11,qx_title,0)+sexB),0)</f>
        <v>0</v>
      </c>
      <c r="BD62" s="268">
        <f t="shared" ca="1" si="790"/>
        <v>0</v>
      </c>
      <c r="BE62" s="131">
        <f ca="1">SUM(BD62:BD$124)*SSe</f>
        <v>0</v>
      </c>
      <c r="BF62" s="70">
        <f t="shared" ca="1" si="82"/>
        <v>28675.366127749872</v>
      </c>
      <c r="BG62" s="2">
        <f t="shared" ref="BG62" ca="1" si="1156">IFERROR(VLOOKUP($S62,qx_table,MATCH(BG$11,qx_title,0)+sexB),0)</f>
        <v>0</v>
      </c>
      <c r="BH62" s="131">
        <f t="shared" ca="1" si="792"/>
        <v>0</v>
      </c>
      <c r="BI62" s="2">
        <f ca="1">SUM(BH62:BH$124)*SSf</f>
        <v>0</v>
      </c>
      <c r="BJ62" s="70">
        <f t="shared" ca="1" si="85"/>
        <v>28675.366127749872</v>
      </c>
      <c r="BK62" s="2">
        <f t="shared" ref="BK62" ca="1" si="1157">IFERROR(VLOOKUP($S62,qx_table,MATCH(BK$11,qx_title,0)+sexB),0)</f>
        <v>0</v>
      </c>
      <c r="BL62" s="131">
        <f t="shared" ca="1" si="794"/>
        <v>0</v>
      </c>
      <c r="BM62" s="131">
        <f ca="1">SUM(BL62:BL$124)*SSg</f>
        <v>0</v>
      </c>
      <c r="BN62" s="70">
        <f t="shared" ca="1" si="88"/>
        <v>28675.366127749872</v>
      </c>
      <c r="BO62" s="2">
        <f t="shared" ref="BO62" ca="1" si="1158">IFERROR(VLOOKUP($S62,qx_table,MATCH(BO$11,qx_title,0)+sexB),0)</f>
        <v>0</v>
      </c>
      <c r="BP62" s="131">
        <f t="shared" ca="1" si="796"/>
        <v>0</v>
      </c>
      <c r="BQ62" s="131">
        <f ca="1">SUM(BP62:BP$124)*SSh</f>
        <v>0</v>
      </c>
      <c r="BR62" s="70">
        <f t="shared" ca="1" si="91"/>
        <v>28675.366127749872</v>
      </c>
      <c r="BS62" s="2">
        <f t="shared" ref="BS62" ca="1" si="1159">IFERROR(VLOOKUP($S62,qx_table,MATCH(BS$11,qx_title,0)+sexB),0)*IF(R62=0,MCi,1)</f>
        <v>0</v>
      </c>
      <c r="BT62" s="131">
        <f t="shared" ca="1" si="798"/>
        <v>0</v>
      </c>
      <c r="BU62" s="131">
        <f ca="1">SUM(BT62:BT$124)*SSi</f>
        <v>0</v>
      </c>
      <c r="BV62" s="70">
        <f t="shared" ca="1" si="94"/>
        <v>28675.366127749872</v>
      </c>
      <c r="BW62" s="2">
        <f t="shared" ref="BW62" ca="1" si="1160">IFERROR(VLOOKUP($S62,qx_table,MATCH(BW$11,qx_title,0)+sexB),0)</f>
        <v>0</v>
      </c>
      <c r="BX62" s="131">
        <f t="shared" ca="1" si="800"/>
        <v>0</v>
      </c>
      <c r="BY62" s="131">
        <f ca="1">SUM(BX62:BX$124)*SSj</f>
        <v>0</v>
      </c>
      <c r="BZ62" s="70">
        <f t="shared" ca="1" si="97"/>
        <v>28675.366127749872</v>
      </c>
      <c r="CA62" s="2">
        <f t="shared" ref="CA62" ca="1" si="1161">IFERROR(VLOOKUP($S62,qx_table,MATCH(CA$11,qx_title,0)+sexB),0)</f>
        <v>0</v>
      </c>
      <c r="CB62" s="131">
        <f t="shared" ca="1" si="802"/>
        <v>0</v>
      </c>
      <c r="CC62" s="131">
        <f ca="1">SUM(CB62:CB$124)*SSk</f>
        <v>0</v>
      </c>
      <c r="CD62" s="8">
        <f t="shared" ca="1" si="100"/>
        <v>28675.366127749872</v>
      </c>
      <c r="CE62" s="2">
        <f t="shared" ref="CE62" ca="1" si="1162">IFERROR(VLOOKUP($S62,qx_table,MATCH(CE$11,qx_title,0)+sexB),0)</f>
        <v>0</v>
      </c>
      <c r="CF62" s="131">
        <f t="shared" ca="1" si="804"/>
        <v>0</v>
      </c>
      <c r="CG62" s="131">
        <f ca="1">SUM(CF62:CF$124)*SSl</f>
        <v>0</v>
      </c>
      <c r="CH62" s="155">
        <f t="shared" ca="1" si="103"/>
        <v>0.01</v>
      </c>
      <c r="CI62" s="155">
        <f t="shared" ca="1" si="104"/>
        <v>0</v>
      </c>
      <c r="CJ62" s="155">
        <f t="shared" ca="1" si="105"/>
        <v>0</v>
      </c>
      <c r="CK62" s="155">
        <f ca="1">'유해지 (기준P)'!CZ62</f>
        <v>0</v>
      </c>
      <c r="CL62" s="155">
        <f t="shared" ca="1" si="762"/>
        <v>0</v>
      </c>
      <c r="CM62" s="155">
        <f t="shared" ca="1" si="106"/>
        <v>0</v>
      </c>
      <c r="CN62" s="155">
        <f ca="1">SUM(CM62:$CM$124)</f>
        <v>0</v>
      </c>
      <c r="CO62" s="101">
        <f t="shared" ca="1" si="107"/>
        <v>0</v>
      </c>
      <c r="CP62" s="154">
        <f t="shared" ca="1" si="763"/>
        <v>0</v>
      </c>
      <c r="CQ62" s="154">
        <f t="shared" ca="1" si="764"/>
        <v>0</v>
      </c>
      <c r="CR62" s="32">
        <f t="shared" ref="CR62" ca="1" si="1163">+MAX(VLOOKUP(xB+$R62,기수표B,$AH$1)-VLOOKUP(xB+mB,기수표B,$AH$1),0)</f>
        <v>0</v>
      </c>
      <c r="CS62" s="32">
        <f t="shared" ca="1" si="766"/>
        <v>0</v>
      </c>
      <c r="CT62" s="32">
        <f t="shared" ref="CT62" ca="1" si="1164">+MAX(VLOOKUP(xB+$R62,기수표B,$AA$1)-VLOOKUP(xB+mB,기수표B,$AA$1),0)</f>
        <v>0</v>
      </c>
      <c r="CU62" s="32">
        <f t="shared" ca="1" si="768"/>
        <v>0</v>
      </c>
      <c r="CV62" s="32">
        <f t="shared" si="769"/>
        <v>0</v>
      </c>
      <c r="CW62" s="259">
        <f t="shared" ca="1" si="770"/>
        <v>0</v>
      </c>
      <c r="CX62" s="32">
        <f t="shared" ca="1" si="771"/>
        <v>0</v>
      </c>
      <c r="CY62" s="262">
        <f t="shared" ca="1" si="772"/>
        <v>0</v>
      </c>
      <c r="CZ62" s="259" t="e">
        <f t="shared" ca="1" si="773"/>
        <v>#DIV/0!</v>
      </c>
      <c r="DA62" s="31">
        <f t="shared" ref="DA62" ca="1" si="1165">+MIN(mB,7)</f>
        <v>7</v>
      </c>
    </row>
    <row r="63" spans="2:105">
      <c r="N63" s="5">
        <f t="shared" si="111"/>
        <v>51</v>
      </c>
      <c r="O63" s="2">
        <f t="shared" ref="O63" ca="1" si="1166">+(1+iB)^-N63</f>
        <v>0.32149250258803524</v>
      </c>
      <c r="P63" s="2">
        <f t="shared" ref="P63" ca="1" si="1167">+(1+iB)^-(N63+0.5)</f>
        <v>0.31793562298391287</v>
      </c>
      <c r="Q63" s="91"/>
      <c r="R63" s="20">
        <f t="shared" si="114"/>
        <v>51</v>
      </c>
      <c r="S63" s="20" t="str">
        <f t="shared" ref="S63" si="1168">+IF(xB+R63&lt;=xB+nB,xB+R63,"")</f>
        <v/>
      </c>
      <c r="T63" s="2">
        <f t="shared" ref="T63:U63" ca="1" si="1169">IFERROR(VLOOKUP($S63,qx_table,MATCH(T$11,qx_title,0)+sexB),0)</f>
        <v>0</v>
      </c>
      <c r="U63" s="2">
        <f t="shared" ca="1" si="1169"/>
        <v>0</v>
      </c>
      <c r="V63" s="300">
        <f t="shared" ca="1" si="747"/>
        <v>0.01</v>
      </c>
      <c r="W63" s="8">
        <f t="shared" ref="W63" si="1170">IF(R63=0,100000,IF(R63&gt;nB,0,W62*(1-X62)*(1-Y62)))</f>
        <v>0</v>
      </c>
      <c r="X63" s="10">
        <f t="shared" ca="1" si="28"/>
        <v>1.0000000000000009E-2</v>
      </c>
      <c r="Y63" s="10">
        <f t="shared" ca="1" si="29"/>
        <v>0</v>
      </c>
      <c r="Z63" s="8">
        <f t="shared" ca="1" si="64"/>
        <v>0</v>
      </c>
      <c r="AA63" s="8">
        <f ca="1">+SUM(Z63:Z$124)</f>
        <v>0</v>
      </c>
      <c r="AB63" s="8">
        <f t="shared" ca="1" si="30"/>
        <v>0</v>
      </c>
      <c r="AC63" s="209">
        <f ca="1">+SUM(AB63:AB$124)*SSSM</f>
        <v>0</v>
      </c>
      <c r="AD63" s="209">
        <f t="shared" ref="AD63" si="1171">IF(R63&gt;nB,0,AD62*(1-X62)*(1-Y62)*(1-AE62)*(1-AF62))</f>
        <v>0</v>
      </c>
      <c r="AE63" s="92">
        <f t="shared" ca="1" si="31"/>
        <v>0</v>
      </c>
      <c r="AF63" s="92">
        <f t="shared" ca="1" si="32"/>
        <v>0</v>
      </c>
      <c r="AG63" s="8">
        <f t="shared" ca="1" si="33"/>
        <v>0</v>
      </c>
      <c r="AH63" s="5">
        <f ca="1">+SUM(AG63:AG$124)</f>
        <v>0</v>
      </c>
      <c r="AI63" s="70">
        <f t="shared" ca="1" si="34"/>
        <v>0</v>
      </c>
      <c r="AJ63" s="208">
        <f ca="1">+SUM(AB63:AB$124)*SS50J</f>
        <v>0</v>
      </c>
      <c r="AK63" s="5">
        <f t="shared" ca="1" si="66"/>
        <v>28388.612466472372</v>
      </c>
      <c r="AL63" s="2">
        <f t="shared" ref="AL63" ca="1" si="1172">IFERROR(VLOOKUP($S63,qx_table,MATCH(AL$11,qx_title,0)+sexB),0)</f>
        <v>0</v>
      </c>
      <c r="AM63" s="131">
        <f t="shared" ca="1" si="68"/>
        <v>9126.7260668480994</v>
      </c>
      <c r="AN63" s="129">
        <f t="shared" ca="1" si="782"/>
        <v>0</v>
      </c>
      <c r="AO63" s="129">
        <f ca="1">SUM(AN63:AN$124)*SSa</f>
        <v>0</v>
      </c>
      <c r="AP63" s="70">
        <f t="shared" ca="1" si="70"/>
        <v>28388.612466472372</v>
      </c>
      <c r="AQ63" s="2">
        <f t="shared" ref="AQ63" ca="1" si="1173">IFERROR(VLOOKUP($S63,qx_table,MATCH(AQ$11,qx_title,0)+sexB),0)</f>
        <v>0</v>
      </c>
      <c r="AR63" s="127">
        <f t="shared" ca="1" si="784"/>
        <v>0</v>
      </c>
      <c r="AS63" s="127">
        <f ca="1">SUM(AR63:AR$124)*SSb</f>
        <v>0</v>
      </c>
      <c r="AT63" s="70">
        <f t="shared" ca="1" si="73"/>
        <v>28388.612466472372</v>
      </c>
      <c r="AU63" s="2">
        <f t="shared" ref="AU63" ca="1" si="1174">IFERROR(VLOOKUP($S63,qx_table,MATCH(AU$11,qx_title,0)+sexB),0)</f>
        <v>0</v>
      </c>
      <c r="AV63" s="268">
        <f t="shared" ca="1" si="786"/>
        <v>0</v>
      </c>
      <c r="AW63" s="131">
        <f ca="1">SUM(AV63:AV$124)*SSc</f>
        <v>0</v>
      </c>
      <c r="AX63" s="70">
        <f t="shared" ca="1" si="76"/>
        <v>28388.612466472372</v>
      </c>
      <c r="AY63" s="2">
        <f t="shared" ref="AY63" ca="1" si="1175">IFERROR(VLOOKUP($S63,qx_table,MATCH(AY$11,qx_title,0)+sexB),0)</f>
        <v>0</v>
      </c>
      <c r="AZ63" s="268">
        <f t="shared" ca="1" si="788"/>
        <v>0</v>
      </c>
      <c r="BA63" s="129">
        <f ca="1">SUM(AZ63:AZ$124)*SSd</f>
        <v>0</v>
      </c>
      <c r="BB63" s="70">
        <f t="shared" ca="1" si="79"/>
        <v>28388.612466472372</v>
      </c>
      <c r="BC63" s="257">
        <f t="shared" ref="BC63" ca="1" si="1176">IFERROR(VLOOKUP($S63,qx_table,MATCH(BC$11,qx_title,0)+sexB),0)</f>
        <v>0</v>
      </c>
      <c r="BD63" s="268">
        <f t="shared" ca="1" si="790"/>
        <v>0</v>
      </c>
      <c r="BE63" s="131">
        <f ca="1">SUM(BD63:BD$124)*SSe</f>
        <v>0</v>
      </c>
      <c r="BF63" s="70">
        <f t="shared" ca="1" si="82"/>
        <v>28388.612466472372</v>
      </c>
      <c r="BG63" s="2">
        <f t="shared" ref="BG63" ca="1" si="1177">IFERROR(VLOOKUP($S63,qx_table,MATCH(BG$11,qx_title,0)+sexB),0)</f>
        <v>0</v>
      </c>
      <c r="BH63" s="131">
        <f t="shared" ca="1" si="792"/>
        <v>0</v>
      </c>
      <c r="BI63" s="2">
        <f ca="1">SUM(BH63:BH$124)*SSf</f>
        <v>0</v>
      </c>
      <c r="BJ63" s="70">
        <f t="shared" ca="1" si="85"/>
        <v>28388.612466472372</v>
      </c>
      <c r="BK63" s="2">
        <f t="shared" ref="BK63" ca="1" si="1178">IFERROR(VLOOKUP($S63,qx_table,MATCH(BK$11,qx_title,0)+sexB),0)</f>
        <v>0</v>
      </c>
      <c r="BL63" s="131">
        <f t="shared" ca="1" si="794"/>
        <v>0</v>
      </c>
      <c r="BM63" s="131">
        <f ca="1">SUM(BL63:BL$124)*SSg</f>
        <v>0</v>
      </c>
      <c r="BN63" s="70">
        <f t="shared" ca="1" si="88"/>
        <v>28388.612466472372</v>
      </c>
      <c r="BO63" s="2">
        <f t="shared" ref="BO63" ca="1" si="1179">IFERROR(VLOOKUP($S63,qx_table,MATCH(BO$11,qx_title,0)+sexB),0)</f>
        <v>0</v>
      </c>
      <c r="BP63" s="131">
        <f t="shared" ca="1" si="796"/>
        <v>0</v>
      </c>
      <c r="BQ63" s="131">
        <f ca="1">SUM(BP63:BP$124)*SSh</f>
        <v>0</v>
      </c>
      <c r="BR63" s="70">
        <f t="shared" ca="1" si="91"/>
        <v>28388.612466472372</v>
      </c>
      <c r="BS63" s="2">
        <f t="shared" ref="BS63" ca="1" si="1180">IFERROR(VLOOKUP($S63,qx_table,MATCH(BS$11,qx_title,0)+sexB),0)*IF(R63=0,MCi,1)</f>
        <v>0</v>
      </c>
      <c r="BT63" s="131">
        <f t="shared" ca="1" si="798"/>
        <v>0</v>
      </c>
      <c r="BU63" s="131">
        <f ca="1">SUM(BT63:BT$124)*SSi</f>
        <v>0</v>
      </c>
      <c r="BV63" s="70">
        <f t="shared" ca="1" si="94"/>
        <v>28388.612466472372</v>
      </c>
      <c r="BW63" s="2">
        <f t="shared" ref="BW63" ca="1" si="1181">IFERROR(VLOOKUP($S63,qx_table,MATCH(BW$11,qx_title,0)+sexB),0)</f>
        <v>0</v>
      </c>
      <c r="BX63" s="131">
        <f t="shared" ca="1" si="800"/>
        <v>0</v>
      </c>
      <c r="BY63" s="131">
        <f ca="1">SUM(BX63:BX$124)*SSj</f>
        <v>0</v>
      </c>
      <c r="BZ63" s="70">
        <f t="shared" ca="1" si="97"/>
        <v>28388.612466472372</v>
      </c>
      <c r="CA63" s="2">
        <f t="shared" ref="CA63" ca="1" si="1182">IFERROR(VLOOKUP($S63,qx_table,MATCH(CA$11,qx_title,0)+sexB),0)</f>
        <v>0</v>
      </c>
      <c r="CB63" s="131">
        <f t="shared" ca="1" si="802"/>
        <v>0</v>
      </c>
      <c r="CC63" s="131">
        <f ca="1">SUM(CB63:CB$124)*SSk</f>
        <v>0</v>
      </c>
      <c r="CD63" s="8">
        <f t="shared" ca="1" si="100"/>
        <v>28388.612466472372</v>
      </c>
      <c r="CE63" s="2">
        <f t="shared" ref="CE63" ca="1" si="1183">IFERROR(VLOOKUP($S63,qx_table,MATCH(CE$11,qx_title,0)+sexB),0)</f>
        <v>0</v>
      </c>
      <c r="CF63" s="131">
        <f t="shared" ca="1" si="804"/>
        <v>0</v>
      </c>
      <c r="CG63" s="131">
        <f ca="1">SUM(CF63:CF$124)*SSl</f>
        <v>0</v>
      </c>
      <c r="CH63" s="155">
        <f t="shared" ca="1" si="103"/>
        <v>0.01</v>
      </c>
      <c r="CI63" s="155">
        <f t="shared" ca="1" si="104"/>
        <v>0</v>
      </c>
      <c r="CJ63" s="155">
        <f t="shared" ca="1" si="105"/>
        <v>0</v>
      </c>
      <c r="CK63" s="155">
        <f ca="1">'유해지 (기준P)'!CZ63</f>
        <v>0</v>
      </c>
      <c r="CL63" s="155">
        <f t="shared" ca="1" si="762"/>
        <v>0</v>
      </c>
      <c r="CM63" s="155">
        <f t="shared" ca="1" si="106"/>
        <v>0</v>
      </c>
      <c r="CN63" s="155">
        <f ca="1">SUM(CM63:$CM$124)</f>
        <v>0</v>
      </c>
      <c r="CO63" s="101">
        <f t="shared" ca="1" si="107"/>
        <v>0</v>
      </c>
      <c r="CP63" s="154">
        <f t="shared" ca="1" si="763"/>
        <v>0</v>
      </c>
      <c r="CQ63" s="154">
        <f t="shared" ca="1" si="764"/>
        <v>0</v>
      </c>
      <c r="CR63" s="32">
        <f t="shared" ref="CR63" ca="1" si="1184">+MAX(VLOOKUP(xB+$R63,기수표B,$AH$1)-VLOOKUP(xB+mB,기수표B,$AH$1),0)</f>
        <v>0</v>
      </c>
      <c r="CS63" s="32">
        <f t="shared" ca="1" si="766"/>
        <v>0</v>
      </c>
      <c r="CT63" s="32">
        <f t="shared" ref="CT63" ca="1" si="1185">+MAX(VLOOKUP(xB+$R63,기수표B,$AA$1)-VLOOKUP(xB+mB,기수표B,$AA$1),0)</f>
        <v>0</v>
      </c>
      <c r="CU63" s="32">
        <f t="shared" ca="1" si="768"/>
        <v>0</v>
      </c>
      <c r="CV63" s="32">
        <f t="shared" si="769"/>
        <v>0</v>
      </c>
      <c r="CW63" s="259">
        <f t="shared" ca="1" si="770"/>
        <v>0</v>
      </c>
      <c r="CX63" s="32">
        <f t="shared" ca="1" si="771"/>
        <v>0</v>
      </c>
      <c r="CY63" s="262">
        <f t="shared" ca="1" si="772"/>
        <v>0</v>
      </c>
      <c r="CZ63" s="259" t="e">
        <f t="shared" ca="1" si="773"/>
        <v>#DIV/0!</v>
      </c>
      <c r="DA63" s="31">
        <f t="shared" ref="DA63" ca="1" si="1186">+MIN(mB,7)</f>
        <v>7</v>
      </c>
    </row>
    <row r="64" spans="2:105">
      <c r="N64" s="5">
        <f t="shared" si="111"/>
        <v>52</v>
      </c>
      <c r="O64" s="2">
        <f t="shared" ref="O64" ca="1" si="1187">+(1+iB)^-N64</f>
        <v>0.31441809544062127</v>
      </c>
      <c r="P64" s="2">
        <f t="shared" ref="P64" ca="1" si="1188">+(1+iB)^-(N64+0.5)</f>
        <v>0.31093948458084386</v>
      </c>
      <c r="Q64" s="91"/>
      <c r="R64" s="20">
        <f t="shared" si="114"/>
        <v>52</v>
      </c>
      <c r="S64" s="20" t="str">
        <f t="shared" ref="S64" si="1189">+IF(xB+R64&lt;=xB+nB,xB+R64,"")</f>
        <v/>
      </c>
      <c r="T64" s="2">
        <f t="shared" ref="T64:U64" ca="1" si="1190">IFERROR(VLOOKUP($S64,qx_table,MATCH(T$11,qx_title,0)+sexB),0)</f>
        <v>0</v>
      </c>
      <c r="U64" s="2">
        <f t="shared" ca="1" si="1190"/>
        <v>0</v>
      </c>
      <c r="V64" s="300">
        <f t="shared" ca="1" si="747"/>
        <v>0.01</v>
      </c>
      <c r="W64" s="8">
        <f t="shared" ref="W64" si="1191">IF(R64=0,100000,IF(R64&gt;nB,0,W63*(1-X63)*(1-Y63)))</f>
        <v>0</v>
      </c>
      <c r="X64" s="10">
        <f t="shared" ca="1" si="28"/>
        <v>1.0000000000000009E-2</v>
      </c>
      <c r="Y64" s="10">
        <f t="shared" ca="1" si="29"/>
        <v>0</v>
      </c>
      <c r="Z64" s="8">
        <f t="shared" ca="1" si="64"/>
        <v>0</v>
      </c>
      <c r="AA64" s="8">
        <f ca="1">+SUM(Z64:Z$124)</f>
        <v>0</v>
      </c>
      <c r="AB64" s="8">
        <f t="shared" ca="1" si="30"/>
        <v>0</v>
      </c>
      <c r="AC64" s="209">
        <f ca="1">+SUM(AB64:AB$124)*SSSM</f>
        <v>0</v>
      </c>
      <c r="AD64" s="209">
        <f t="shared" ref="AD64" si="1192">IF(R64&gt;nB,0,AD63*(1-X63)*(1-Y63)*(1-AE63)*(1-AF63))</f>
        <v>0</v>
      </c>
      <c r="AE64" s="92">
        <f t="shared" ca="1" si="31"/>
        <v>0</v>
      </c>
      <c r="AF64" s="92">
        <f t="shared" ca="1" si="32"/>
        <v>0</v>
      </c>
      <c r="AG64" s="8">
        <f t="shared" ca="1" si="33"/>
        <v>0</v>
      </c>
      <c r="AH64" s="5">
        <f ca="1">+SUM(AG64:AG$124)</f>
        <v>0</v>
      </c>
      <c r="AI64" s="70">
        <f t="shared" ca="1" si="34"/>
        <v>0</v>
      </c>
      <c r="AJ64" s="208">
        <f ca="1">+SUM(AB64:AB$124)*SS50J</f>
        <v>0</v>
      </c>
      <c r="AK64" s="5">
        <f t="shared" ca="1" si="66"/>
        <v>28104.726341807647</v>
      </c>
      <c r="AL64" s="2">
        <f t="shared" ref="AL64" ca="1" si="1193">IFERROR(VLOOKUP($S64,qx_table,MATCH(AL$11,qx_title,0)+sexB),0)</f>
        <v>0</v>
      </c>
      <c r="AM64" s="131">
        <f t="shared" ca="1" si="68"/>
        <v>8836.6345292710193</v>
      </c>
      <c r="AN64" s="129">
        <f t="shared" ca="1" si="782"/>
        <v>0</v>
      </c>
      <c r="AO64" s="129">
        <f ca="1">SUM(AN64:AN$124)*SSa</f>
        <v>0</v>
      </c>
      <c r="AP64" s="70">
        <f t="shared" ca="1" si="70"/>
        <v>28104.726341807647</v>
      </c>
      <c r="AQ64" s="2">
        <f t="shared" ref="AQ64" ca="1" si="1194">IFERROR(VLOOKUP($S64,qx_table,MATCH(AQ$11,qx_title,0)+sexB),0)</f>
        <v>0</v>
      </c>
      <c r="AR64" s="127">
        <f t="shared" ca="1" si="784"/>
        <v>0</v>
      </c>
      <c r="AS64" s="127">
        <f ca="1">SUM(AR64:AR$124)*SSb</f>
        <v>0</v>
      </c>
      <c r="AT64" s="70">
        <f t="shared" ca="1" si="73"/>
        <v>28104.726341807647</v>
      </c>
      <c r="AU64" s="2">
        <f t="shared" ref="AU64" ca="1" si="1195">IFERROR(VLOOKUP($S64,qx_table,MATCH(AU$11,qx_title,0)+sexB),0)</f>
        <v>0</v>
      </c>
      <c r="AV64" s="268">
        <f t="shared" ca="1" si="786"/>
        <v>0</v>
      </c>
      <c r="AW64" s="131">
        <f ca="1">SUM(AV64:AV$124)*SSc</f>
        <v>0</v>
      </c>
      <c r="AX64" s="70">
        <f t="shared" ca="1" si="76"/>
        <v>28104.726341807647</v>
      </c>
      <c r="AY64" s="2">
        <f t="shared" ref="AY64" ca="1" si="1196">IFERROR(VLOOKUP($S64,qx_table,MATCH(AY$11,qx_title,0)+sexB),0)</f>
        <v>0</v>
      </c>
      <c r="AZ64" s="268">
        <f t="shared" ca="1" si="788"/>
        <v>0</v>
      </c>
      <c r="BA64" s="129">
        <f ca="1">SUM(AZ64:AZ$124)*SSd</f>
        <v>0</v>
      </c>
      <c r="BB64" s="70">
        <f t="shared" ca="1" si="79"/>
        <v>28104.726341807647</v>
      </c>
      <c r="BC64" s="257">
        <f t="shared" ref="BC64" ca="1" si="1197">IFERROR(VLOOKUP($S64,qx_table,MATCH(BC$11,qx_title,0)+sexB),0)</f>
        <v>0</v>
      </c>
      <c r="BD64" s="268">
        <f t="shared" ca="1" si="790"/>
        <v>0</v>
      </c>
      <c r="BE64" s="131">
        <f ca="1">SUM(BD64:BD$124)*SSe</f>
        <v>0</v>
      </c>
      <c r="BF64" s="70">
        <f t="shared" ca="1" si="82"/>
        <v>28104.726341807647</v>
      </c>
      <c r="BG64" s="2">
        <f t="shared" ref="BG64" ca="1" si="1198">IFERROR(VLOOKUP($S64,qx_table,MATCH(BG$11,qx_title,0)+sexB),0)</f>
        <v>0</v>
      </c>
      <c r="BH64" s="131">
        <f t="shared" ca="1" si="792"/>
        <v>0</v>
      </c>
      <c r="BI64" s="2">
        <f ca="1">SUM(BH64:BH$124)*SSf</f>
        <v>0</v>
      </c>
      <c r="BJ64" s="70">
        <f t="shared" ca="1" si="85"/>
        <v>28104.726341807647</v>
      </c>
      <c r="BK64" s="2">
        <f t="shared" ref="BK64" ca="1" si="1199">IFERROR(VLOOKUP($S64,qx_table,MATCH(BK$11,qx_title,0)+sexB),0)</f>
        <v>0</v>
      </c>
      <c r="BL64" s="131">
        <f t="shared" ca="1" si="794"/>
        <v>0</v>
      </c>
      <c r="BM64" s="131">
        <f ca="1">SUM(BL64:BL$124)*SSg</f>
        <v>0</v>
      </c>
      <c r="BN64" s="70">
        <f t="shared" ca="1" si="88"/>
        <v>28104.726341807647</v>
      </c>
      <c r="BO64" s="2">
        <f t="shared" ref="BO64" ca="1" si="1200">IFERROR(VLOOKUP($S64,qx_table,MATCH(BO$11,qx_title,0)+sexB),0)</f>
        <v>0</v>
      </c>
      <c r="BP64" s="131">
        <f t="shared" ca="1" si="796"/>
        <v>0</v>
      </c>
      <c r="BQ64" s="131">
        <f ca="1">SUM(BP64:BP$124)*SSh</f>
        <v>0</v>
      </c>
      <c r="BR64" s="70">
        <f t="shared" ca="1" si="91"/>
        <v>28104.726341807647</v>
      </c>
      <c r="BS64" s="2">
        <f t="shared" ref="BS64" ca="1" si="1201">IFERROR(VLOOKUP($S64,qx_table,MATCH(BS$11,qx_title,0)+sexB),0)*IF(R64=0,MCi,1)</f>
        <v>0</v>
      </c>
      <c r="BT64" s="131">
        <f t="shared" ca="1" si="798"/>
        <v>0</v>
      </c>
      <c r="BU64" s="131">
        <f ca="1">SUM(BT64:BT$124)*SSi</f>
        <v>0</v>
      </c>
      <c r="BV64" s="70">
        <f t="shared" ca="1" si="94"/>
        <v>28104.726341807647</v>
      </c>
      <c r="BW64" s="2">
        <f t="shared" ref="BW64" ca="1" si="1202">IFERROR(VLOOKUP($S64,qx_table,MATCH(BW$11,qx_title,0)+sexB),0)</f>
        <v>0</v>
      </c>
      <c r="BX64" s="131">
        <f t="shared" ca="1" si="800"/>
        <v>0</v>
      </c>
      <c r="BY64" s="131">
        <f ca="1">SUM(BX64:BX$124)*SSj</f>
        <v>0</v>
      </c>
      <c r="BZ64" s="70">
        <f t="shared" ca="1" si="97"/>
        <v>28104.726341807647</v>
      </c>
      <c r="CA64" s="2">
        <f t="shared" ref="CA64" ca="1" si="1203">IFERROR(VLOOKUP($S64,qx_table,MATCH(CA$11,qx_title,0)+sexB),0)</f>
        <v>0</v>
      </c>
      <c r="CB64" s="131">
        <f t="shared" ca="1" si="802"/>
        <v>0</v>
      </c>
      <c r="CC64" s="131">
        <f ca="1">SUM(CB64:CB$124)*SSk</f>
        <v>0</v>
      </c>
      <c r="CD64" s="8">
        <f t="shared" ca="1" si="100"/>
        <v>28104.726341807647</v>
      </c>
      <c r="CE64" s="2">
        <f t="shared" ref="CE64" ca="1" si="1204">IFERROR(VLOOKUP($S64,qx_table,MATCH(CE$11,qx_title,0)+sexB),0)</f>
        <v>0</v>
      </c>
      <c r="CF64" s="131">
        <f t="shared" ca="1" si="804"/>
        <v>0</v>
      </c>
      <c r="CG64" s="131">
        <f ca="1">SUM(CF64:CF$124)*SSl</f>
        <v>0</v>
      </c>
      <c r="CH64" s="155">
        <f t="shared" ca="1" si="103"/>
        <v>0.01</v>
      </c>
      <c r="CI64" s="155">
        <f t="shared" ca="1" si="104"/>
        <v>0</v>
      </c>
      <c r="CJ64" s="155">
        <f t="shared" ca="1" si="105"/>
        <v>0</v>
      </c>
      <c r="CK64" s="155">
        <f ca="1">'유해지 (기준P)'!CZ64</f>
        <v>0</v>
      </c>
      <c r="CL64" s="155">
        <f t="shared" ca="1" si="762"/>
        <v>0</v>
      </c>
      <c r="CM64" s="155">
        <f t="shared" ca="1" si="106"/>
        <v>0</v>
      </c>
      <c r="CN64" s="155">
        <f ca="1">SUM(CM64:$CM$124)</f>
        <v>0</v>
      </c>
      <c r="CO64" s="101">
        <f t="shared" ca="1" si="107"/>
        <v>0</v>
      </c>
      <c r="CP64" s="154">
        <f t="shared" ca="1" si="763"/>
        <v>0</v>
      </c>
      <c r="CQ64" s="154">
        <f t="shared" ca="1" si="764"/>
        <v>0</v>
      </c>
      <c r="CR64" s="32">
        <f t="shared" ref="CR64" ca="1" si="1205">+MAX(VLOOKUP(xB+$R64,기수표B,$AH$1)-VLOOKUP(xB+mB,기수표B,$AH$1),0)</f>
        <v>0</v>
      </c>
      <c r="CS64" s="32">
        <f t="shared" ca="1" si="766"/>
        <v>0</v>
      </c>
      <c r="CT64" s="32">
        <f t="shared" ref="CT64" ca="1" si="1206">+MAX(VLOOKUP(xB+$R64,기수표B,$AA$1)-VLOOKUP(xB+mB,기수표B,$AA$1),0)</f>
        <v>0</v>
      </c>
      <c r="CU64" s="32">
        <f t="shared" ca="1" si="768"/>
        <v>0</v>
      </c>
      <c r="CV64" s="32">
        <f t="shared" si="769"/>
        <v>0</v>
      </c>
      <c r="CW64" s="259">
        <f t="shared" ca="1" si="770"/>
        <v>0</v>
      </c>
      <c r="CX64" s="32">
        <f t="shared" ca="1" si="771"/>
        <v>0</v>
      </c>
      <c r="CY64" s="262">
        <f t="shared" ca="1" si="772"/>
        <v>0</v>
      </c>
      <c r="CZ64" s="259" t="e">
        <f t="shared" ca="1" si="773"/>
        <v>#DIV/0!</v>
      </c>
      <c r="DA64" s="31">
        <f t="shared" ref="DA64" ca="1" si="1207">+MIN(mB,7)</f>
        <v>7</v>
      </c>
    </row>
    <row r="65" spans="14:105">
      <c r="N65" s="5">
        <f t="shared" si="111"/>
        <v>53</v>
      </c>
      <c r="O65" s="2">
        <f t="shared" ref="O65" ca="1" si="1208">+(1+iB)^-N65</f>
        <v>0.30749935984412835</v>
      </c>
      <c r="P65" s="2">
        <f t="shared" ref="P65" ca="1" si="1209">+(1+iB)^-(N65+0.5)</f>
        <v>0.30409729543358816</v>
      </c>
      <c r="Q65" s="91"/>
      <c r="R65" s="20">
        <f t="shared" si="114"/>
        <v>53</v>
      </c>
      <c r="S65" s="20" t="str">
        <f t="shared" ref="S65" si="1210">+IF(xB+R65&lt;=xB+nB,xB+R65,"")</f>
        <v/>
      </c>
      <c r="T65" s="2">
        <f t="shared" ref="T65:U65" ca="1" si="1211">IFERROR(VLOOKUP($S65,qx_table,MATCH(T$11,qx_title,0)+sexB),0)</f>
        <v>0</v>
      </c>
      <c r="U65" s="2">
        <f t="shared" ca="1" si="1211"/>
        <v>0</v>
      </c>
      <c r="V65" s="300">
        <f t="shared" ca="1" si="747"/>
        <v>0.01</v>
      </c>
      <c r="W65" s="8">
        <f t="shared" ref="W65" si="1212">IF(R65=0,100000,IF(R65&gt;nB,0,W64*(1-X64)*(1-Y64)))</f>
        <v>0</v>
      </c>
      <c r="X65" s="10">
        <f t="shared" ca="1" si="28"/>
        <v>1.0000000000000009E-2</v>
      </c>
      <c r="Y65" s="10">
        <f t="shared" ca="1" si="29"/>
        <v>0</v>
      </c>
      <c r="Z65" s="8">
        <f t="shared" ca="1" si="64"/>
        <v>0</v>
      </c>
      <c r="AA65" s="8">
        <f ca="1">+SUM(Z65:Z$124)</f>
        <v>0</v>
      </c>
      <c r="AB65" s="8">
        <f t="shared" ca="1" si="30"/>
        <v>0</v>
      </c>
      <c r="AC65" s="209">
        <f ca="1">+SUM(AB65:AB$124)*SSSM</f>
        <v>0</v>
      </c>
      <c r="AD65" s="209">
        <f t="shared" ref="AD65" si="1213">IF(R65&gt;nB,0,AD64*(1-X64)*(1-Y64)*(1-AE64)*(1-AF64))</f>
        <v>0</v>
      </c>
      <c r="AE65" s="92">
        <f t="shared" ca="1" si="31"/>
        <v>0</v>
      </c>
      <c r="AF65" s="92">
        <f t="shared" ca="1" si="32"/>
        <v>0</v>
      </c>
      <c r="AG65" s="8">
        <f t="shared" ca="1" si="33"/>
        <v>0</v>
      </c>
      <c r="AH65" s="5">
        <f ca="1">+SUM(AG65:AG$124)</f>
        <v>0</v>
      </c>
      <c r="AI65" s="70">
        <f t="shared" ca="1" si="34"/>
        <v>0</v>
      </c>
      <c r="AJ65" s="208">
        <f ca="1">+SUM(AB65:AB$124)*SS50J</f>
        <v>0</v>
      </c>
      <c r="AK65" s="5">
        <f t="shared" ca="1" si="66"/>
        <v>27823.67907838957</v>
      </c>
      <c r="AL65" s="2">
        <f t="shared" ref="AL65" ca="1" si="1214">IFERROR(VLOOKUP($S65,qx_table,MATCH(AL$11,qx_title,0)+sexB),0)</f>
        <v>0</v>
      </c>
      <c r="AM65" s="131">
        <f t="shared" ca="1" si="68"/>
        <v>8555.7635051132602</v>
      </c>
      <c r="AN65" s="129">
        <f t="shared" ca="1" si="782"/>
        <v>0</v>
      </c>
      <c r="AO65" s="129">
        <f ca="1">SUM(AN65:AN$124)*SSa</f>
        <v>0</v>
      </c>
      <c r="AP65" s="70">
        <f t="shared" ca="1" si="70"/>
        <v>27823.67907838957</v>
      </c>
      <c r="AQ65" s="2">
        <f t="shared" ref="AQ65" ca="1" si="1215">IFERROR(VLOOKUP($S65,qx_table,MATCH(AQ$11,qx_title,0)+sexB),0)</f>
        <v>0</v>
      </c>
      <c r="AR65" s="127">
        <f t="shared" ca="1" si="784"/>
        <v>0</v>
      </c>
      <c r="AS65" s="127">
        <f ca="1">SUM(AR65:AR$124)*SSb</f>
        <v>0</v>
      </c>
      <c r="AT65" s="70">
        <f t="shared" ca="1" si="73"/>
        <v>27823.67907838957</v>
      </c>
      <c r="AU65" s="2">
        <f t="shared" ref="AU65" ca="1" si="1216">IFERROR(VLOOKUP($S65,qx_table,MATCH(AU$11,qx_title,0)+sexB),0)</f>
        <v>0</v>
      </c>
      <c r="AV65" s="268">
        <f t="shared" ca="1" si="786"/>
        <v>0</v>
      </c>
      <c r="AW65" s="131">
        <f ca="1">SUM(AV65:AV$124)*SSc</f>
        <v>0</v>
      </c>
      <c r="AX65" s="70">
        <f t="shared" ca="1" si="76"/>
        <v>27823.67907838957</v>
      </c>
      <c r="AY65" s="2">
        <f t="shared" ref="AY65" ca="1" si="1217">IFERROR(VLOOKUP($S65,qx_table,MATCH(AY$11,qx_title,0)+sexB),0)</f>
        <v>0</v>
      </c>
      <c r="AZ65" s="268">
        <f t="shared" ca="1" si="788"/>
        <v>0</v>
      </c>
      <c r="BA65" s="129">
        <f ca="1">SUM(AZ65:AZ$124)*SSd</f>
        <v>0</v>
      </c>
      <c r="BB65" s="70">
        <f t="shared" ca="1" si="79"/>
        <v>27823.67907838957</v>
      </c>
      <c r="BC65" s="257">
        <f t="shared" ref="BC65" ca="1" si="1218">IFERROR(VLOOKUP($S65,qx_table,MATCH(BC$11,qx_title,0)+sexB),0)</f>
        <v>0</v>
      </c>
      <c r="BD65" s="268">
        <f t="shared" ca="1" si="790"/>
        <v>0</v>
      </c>
      <c r="BE65" s="131">
        <f ca="1">SUM(BD65:BD$124)*SSe</f>
        <v>0</v>
      </c>
      <c r="BF65" s="70">
        <f t="shared" ca="1" si="82"/>
        <v>27823.67907838957</v>
      </c>
      <c r="BG65" s="2">
        <f t="shared" ref="BG65" ca="1" si="1219">IFERROR(VLOOKUP($S65,qx_table,MATCH(BG$11,qx_title,0)+sexB),0)</f>
        <v>0</v>
      </c>
      <c r="BH65" s="131">
        <f t="shared" ca="1" si="792"/>
        <v>0</v>
      </c>
      <c r="BI65" s="2">
        <f ca="1">SUM(BH65:BH$124)*SSf</f>
        <v>0</v>
      </c>
      <c r="BJ65" s="70">
        <f t="shared" ca="1" si="85"/>
        <v>27823.67907838957</v>
      </c>
      <c r="BK65" s="2">
        <f t="shared" ref="BK65" ca="1" si="1220">IFERROR(VLOOKUP($S65,qx_table,MATCH(BK$11,qx_title,0)+sexB),0)</f>
        <v>0</v>
      </c>
      <c r="BL65" s="131">
        <f t="shared" ca="1" si="794"/>
        <v>0</v>
      </c>
      <c r="BM65" s="131">
        <f ca="1">SUM(BL65:BL$124)*SSg</f>
        <v>0</v>
      </c>
      <c r="BN65" s="70">
        <f t="shared" ca="1" si="88"/>
        <v>27823.67907838957</v>
      </c>
      <c r="BO65" s="2">
        <f t="shared" ref="BO65" ca="1" si="1221">IFERROR(VLOOKUP($S65,qx_table,MATCH(BO$11,qx_title,0)+sexB),0)</f>
        <v>0</v>
      </c>
      <c r="BP65" s="131">
        <f t="shared" ca="1" si="796"/>
        <v>0</v>
      </c>
      <c r="BQ65" s="131">
        <f ca="1">SUM(BP65:BP$124)*SSh</f>
        <v>0</v>
      </c>
      <c r="BR65" s="70">
        <f t="shared" ca="1" si="91"/>
        <v>27823.67907838957</v>
      </c>
      <c r="BS65" s="2">
        <f t="shared" ref="BS65" ca="1" si="1222">IFERROR(VLOOKUP($S65,qx_table,MATCH(BS$11,qx_title,0)+sexB),0)*IF(R65=0,MCi,1)</f>
        <v>0</v>
      </c>
      <c r="BT65" s="131">
        <f t="shared" ca="1" si="798"/>
        <v>0</v>
      </c>
      <c r="BU65" s="131">
        <f ca="1">SUM(BT65:BT$124)*SSi</f>
        <v>0</v>
      </c>
      <c r="BV65" s="70">
        <f t="shared" ca="1" si="94"/>
        <v>27823.67907838957</v>
      </c>
      <c r="BW65" s="2">
        <f t="shared" ref="BW65" ca="1" si="1223">IFERROR(VLOOKUP($S65,qx_table,MATCH(BW$11,qx_title,0)+sexB),0)</f>
        <v>0</v>
      </c>
      <c r="BX65" s="131">
        <f t="shared" ca="1" si="800"/>
        <v>0</v>
      </c>
      <c r="BY65" s="131">
        <f ca="1">SUM(BX65:BX$124)*SSj</f>
        <v>0</v>
      </c>
      <c r="BZ65" s="70">
        <f t="shared" ca="1" si="97"/>
        <v>27823.67907838957</v>
      </c>
      <c r="CA65" s="2">
        <f t="shared" ref="CA65" ca="1" si="1224">IFERROR(VLOOKUP($S65,qx_table,MATCH(CA$11,qx_title,0)+sexB),0)</f>
        <v>0</v>
      </c>
      <c r="CB65" s="131">
        <f t="shared" ca="1" si="802"/>
        <v>0</v>
      </c>
      <c r="CC65" s="131">
        <f ca="1">SUM(CB65:CB$124)*SSk</f>
        <v>0</v>
      </c>
      <c r="CD65" s="8">
        <f t="shared" ca="1" si="100"/>
        <v>27823.67907838957</v>
      </c>
      <c r="CE65" s="2">
        <f t="shared" ref="CE65" ca="1" si="1225">IFERROR(VLOOKUP($S65,qx_table,MATCH(CE$11,qx_title,0)+sexB),0)</f>
        <v>0</v>
      </c>
      <c r="CF65" s="131">
        <f t="shared" ca="1" si="804"/>
        <v>0</v>
      </c>
      <c r="CG65" s="131">
        <f ca="1">SUM(CF65:CF$124)*SSl</f>
        <v>0</v>
      </c>
      <c r="CH65" s="155">
        <f t="shared" ca="1" si="103"/>
        <v>0.01</v>
      </c>
      <c r="CI65" s="155">
        <f t="shared" ca="1" si="104"/>
        <v>0</v>
      </c>
      <c r="CJ65" s="155">
        <f t="shared" ca="1" si="105"/>
        <v>0</v>
      </c>
      <c r="CK65" s="155">
        <f ca="1">'유해지 (기준P)'!CZ65</f>
        <v>0</v>
      </c>
      <c r="CL65" s="155">
        <f t="shared" ca="1" si="762"/>
        <v>0</v>
      </c>
      <c r="CM65" s="155">
        <f t="shared" ca="1" si="106"/>
        <v>0</v>
      </c>
      <c r="CN65" s="155">
        <f ca="1">SUM(CM65:$CM$124)</f>
        <v>0</v>
      </c>
      <c r="CO65" s="101">
        <f t="shared" ca="1" si="107"/>
        <v>0</v>
      </c>
      <c r="CP65" s="154">
        <f t="shared" ca="1" si="763"/>
        <v>0</v>
      </c>
      <c r="CQ65" s="154">
        <f t="shared" ca="1" si="764"/>
        <v>0</v>
      </c>
      <c r="CR65" s="32">
        <f t="shared" ref="CR65" ca="1" si="1226">+MAX(VLOOKUP(xB+$R65,기수표B,$AH$1)-VLOOKUP(xB+mB,기수표B,$AH$1),0)</f>
        <v>0</v>
      </c>
      <c r="CS65" s="32">
        <f t="shared" ca="1" si="766"/>
        <v>0</v>
      </c>
      <c r="CT65" s="32">
        <f t="shared" ref="CT65" ca="1" si="1227">+MAX(VLOOKUP(xB+$R65,기수표B,$AA$1)-VLOOKUP(xB+mB,기수표B,$AA$1),0)</f>
        <v>0</v>
      </c>
      <c r="CU65" s="32">
        <f t="shared" ca="1" si="768"/>
        <v>0</v>
      </c>
      <c r="CV65" s="32">
        <f t="shared" si="769"/>
        <v>0</v>
      </c>
      <c r="CW65" s="259">
        <f t="shared" ca="1" si="770"/>
        <v>0</v>
      </c>
      <c r="CX65" s="32">
        <f t="shared" ca="1" si="771"/>
        <v>0</v>
      </c>
      <c r="CY65" s="262">
        <f t="shared" ca="1" si="772"/>
        <v>0</v>
      </c>
      <c r="CZ65" s="259" t="e">
        <f t="shared" ca="1" si="773"/>
        <v>#DIV/0!</v>
      </c>
      <c r="DA65" s="31">
        <f t="shared" ref="DA65" ca="1" si="1228">+MIN(mB,7)</f>
        <v>7</v>
      </c>
    </row>
    <row r="66" spans="14:105">
      <c r="N66" s="5">
        <f t="shared" si="111"/>
        <v>54</v>
      </c>
      <c r="O66" s="2">
        <f t="shared" ref="O66" ca="1" si="1229">+(1+iB)^-N66</f>
        <v>0.30073287026320628</v>
      </c>
      <c r="P66" s="2">
        <f t="shared" ref="P66" ca="1" si="1230">+(1+iB)^-(N66+0.5)</f>
        <v>0.29740566790570971</v>
      </c>
      <c r="Q66" s="91"/>
      <c r="R66" s="20">
        <f t="shared" si="114"/>
        <v>54</v>
      </c>
      <c r="S66" s="20" t="str">
        <f t="shared" ref="S66" si="1231">+IF(xB+R66&lt;=xB+nB,xB+R66,"")</f>
        <v/>
      </c>
      <c r="T66" s="2">
        <f t="shared" ref="T66:U66" ca="1" si="1232">IFERROR(VLOOKUP($S66,qx_table,MATCH(T$11,qx_title,0)+sexB),0)</f>
        <v>0</v>
      </c>
      <c r="U66" s="2">
        <f t="shared" ca="1" si="1232"/>
        <v>0</v>
      </c>
      <c r="V66" s="300">
        <f t="shared" ca="1" si="747"/>
        <v>0.01</v>
      </c>
      <c r="W66" s="8">
        <f t="shared" ref="W66" si="1233">IF(R66=0,100000,IF(R66&gt;nB,0,W65*(1-X65)*(1-Y65)))</f>
        <v>0</v>
      </c>
      <c r="X66" s="10">
        <f t="shared" ca="1" si="28"/>
        <v>1.0000000000000009E-2</v>
      </c>
      <c r="Y66" s="10">
        <f t="shared" ca="1" si="29"/>
        <v>0</v>
      </c>
      <c r="Z66" s="8">
        <f t="shared" ca="1" si="64"/>
        <v>0</v>
      </c>
      <c r="AA66" s="8">
        <f ca="1">+SUM(Z66:Z$124)</f>
        <v>0</v>
      </c>
      <c r="AB66" s="8">
        <f t="shared" ca="1" si="30"/>
        <v>0</v>
      </c>
      <c r="AC66" s="209">
        <f ca="1">+SUM(AB66:AB$124)*SSSM</f>
        <v>0</v>
      </c>
      <c r="AD66" s="209">
        <f t="shared" ref="AD66" si="1234">IF(R66&gt;nB,0,AD65*(1-X65)*(1-Y65)*(1-AE65)*(1-AF65))</f>
        <v>0</v>
      </c>
      <c r="AE66" s="92">
        <f t="shared" ca="1" si="31"/>
        <v>0</v>
      </c>
      <c r="AF66" s="92">
        <f t="shared" ca="1" si="32"/>
        <v>0</v>
      </c>
      <c r="AG66" s="8">
        <f t="shared" ca="1" si="33"/>
        <v>0</v>
      </c>
      <c r="AH66" s="5">
        <f ca="1">+SUM(AG66:AG$124)</f>
        <v>0</v>
      </c>
      <c r="AI66" s="70">
        <f t="shared" ca="1" si="34"/>
        <v>0</v>
      </c>
      <c r="AJ66" s="208">
        <f ca="1">+SUM(AB66:AB$124)*SS50J</f>
        <v>0</v>
      </c>
      <c r="AK66" s="5">
        <f t="shared" ca="1" si="66"/>
        <v>27545.442287605674</v>
      </c>
      <c r="AL66" s="2">
        <f t="shared" ref="AL66" ca="1" si="1235">IFERROR(VLOOKUP($S66,qx_table,MATCH(AL$11,qx_title,0)+sexB),0)</f>
        <v>0</v>
      </c>
      <c r="AM66" s="131">
        <f t="shared" ca="1" si="68"/>
        <v>8283.8199218211539</v>
      </c>
      <c r="AN66" s="129">
        <f t="shared" ca="1" si="782"/>
        <v>0</v>
      </c>
      <c r="AO66" s="129">
        <f ca="1">SUM(AN66:AN$124)*SSa</f>
        <v>0</v>
      </c>
      <c r="AP66" s="70">
        <f t="shared" ca="1" si="70"/>
        <v>27545.442287605674</v>
      </c>
      <c r="AQ66" s="2">
        <f t="shared" ref="AQ66" ca="1" si="1236">IFERROR(VLOOKUP($S66,qx_table,MATCH(AQ$11,qx_title,0)+sexB),0)</f>
        <v>0</v>
      </c>
      <c r="AR66" s="127">
        <f t="shared" ca="1" si="784"/>
        <v>0</v>
      </c>
      <c r="AS66" s="127">
        <f ca="1">SUM(AR66:AR$124)*SSb</f>
        <v>0</v>
      </c>
      <c r="AT66" s="70">
        <f t="shared" ca="1" si="73"/>
        <v>27545.442287605674</v>
      </c>
      <c r="AU66" s="2">
        <f t="shared" ref="AU66" ca="1" si="1237">IFERROR(VLOOKUP($S66,qx_table,MATCH(AU$11,qx_title,0)+sexB),0)</f>
        <v>0</v>
      </c>
      <c r="AV66" s="268">
        <f t="shared" ca="1" si="786"/>
        <v>0</v>
      </c>
      <c r="AW66" s="131">
        <f ca="1">SUM(AV66:AV$124)*SSc</f>
        <v>0</v>
      </c>
      <c r="AX66" s="70">
        <f t="shared" ca="1" si="76"/>
        <v>27545.442287605674</v>
      </c>
      <c r="AY66" s="2">
        <f t="shared" ref="AY66" ca="1" si="1238">IFERROR(VLOOKUP($S66,qx_table,MATCH(AY$11,qx_title,0)+sexB),0)</f>
        <v>0</v>
      </c>
      <c r="AZ66" s="268">
        <f t="shared" ca="1" si="788"/>
        <v>0</v>
      </c>
      <c r="BA66" s="129">
        <f ca="1">SUM(AZ66:AZ$124)*SSd</f>
        <v>0</v>
      </c>
      <c r="BB66" s="70">
        <f t="shared" ca="1" si="79"/>
        <v>27545.442287605674</v>
      </c>
      <c r="BC66" s="257">
        <f t="shared" ref="BC66" ca="1" si="1239">IFERROR(VLOOKUP($S66,qx_table,MATCH(BC$11,qx_title,0)+sexB),0)</f>
        <v>0</v>
      </c>
      <c r="BD66" s="268">
        <f t="shared" ca="1" si="790"/>
        <v>0</v>
      </c>
      <c r="BE66" s="131">
        <f ca="1">SUM(BD66:BD$124)*SSe</f>
        <v>0</v>
      </c>
      <c r="BF66" s="70">
        <f t="shared" ca="1" si="82"/>
        <v>27545.442287605674</v>
      </c>
      <c r="BG66" s="2">
        <f t="shared" ref="BG66" ca="1" si="1240">IFERROR(VLOOKUP($S66,qx_table,MATCH(BG$11,qx_title,0)+sexB),0)</f>
        <v>0</v>
      </c>
      <c r="BH66" s="131">
        <f t="shared" ca="1" si="792"/>
        <v>0</v>
      </c>
      <c r="BI66" s="2">
        <f ca="1">SUM(BH66:BH$124)*SSf</f>
        <v>0</v>
      </c>
      <c r="BJ66" s="70">
        <f t="shared" ca="1" si="85"/>
        <v>27545.442287605674</v>
      </c>
      <c r="BK66" s="2">
        <f t="shared" ref="BK66" ca="1" si="1241">IFERROR(VLOOKUP($S66,qx_table,MATCH(BK$11,qx_title,0)+sexB),0)</f>
        <v>0</v>
      </c>
      <c r="BL66" s="131">
        <f t="shared" ca="1" si="794"/>
        <v>0</v>
      </c>
      <c r="BM66" s="131">
        <f ca="1">SUM(BL66:BL$124)*SSg</f>
        <v>0</v>
      </c>
      <c r="BN66" s="70">
        <f t="shared" ca="1" si="88"/>
        <v>27545.442287605674</v>
      </c>
      <c r="BO66" s="2">
        <f t="shared" ref="BO66" ca="1" si="1242">IFERROR(VLOOKUP($S66,qx_table,MATCH(BO$11,qx_title,0)+sexB),0)</f>
        <v>0</v>
      </c>
      <c r="BP66" s="131">
        <f t="shared" ca="1" si="796"/>
        <v>0</v>
      </c>
      <c r="BQ66" s="131">
        <f ca="1">SUM(BP66:BP$124)*SSh</f>
        <v>0</v>
      </c>
      <c r="BR66" s="70">
        <f t="shared" ca="1" si="91"/>
        <v>27545.442287605674</v>
      </c>
      <c r="BS66" s="2">
        <f t="shared" ref="BS66" ca="1" si="1243">IFERROR(VLOOKUP($S66,qx_table,MATCH(BS$11,qx_title,0)+sexB),0)*IF(R66=0,MCi,1)</f>
        <v>0</v>
      </c>
      <c r="BT66" s="131">
        <f t="shared" ca="1" si="798"/>
        <v>0</v>
      </c>
      <c r="BU66" s="131">
        <f ca="1">SUM(BT66:BT$124)*SSi</f>
        <v>0</v>
      </c>
      <c r="BV66" s="70">
        <f t="shared" ca="1" si="94"/>
        <v>27545.442287605674</v>
      </c>
      <c r="BW66" s="2">
        <f t="shared" ref="BW66" ca="1" si="1244">IFERROR(VLOOKUP($S66,qx_table,MATCH(BW$11,qx_title,0)+sexB),0)</f>
        <v>0</v>
      </c>
      <c r="BX66" s="131">
        <f t="shared" ca="1" si="800"/>
        <v>0</v>
      </c>
      <c r="BY66" s="131">
        <f ca="1">SUM(BX66:BX$124)*SSj</f>
        <v>0</v>
      </c>
      <c r="BZ66" s="70">
        <f t="shared" ca="1" si="97"/>
        <v>27545.442287605674</v>
      </c>
      <c r="CA66" s="2">
        <f t="shared" ref="CA66" ca="1" si="1245">IFERROR(VLOOKUP($S66,qx_table,MATCH(CA$11,qx_title,0)+sexB),0)</f>
        <v>0</v>
      </c>
      <c r="CB66" s="131">
        <f t="shared" ca="1" si="802"/>
        <v>0</v>
      </c>
      <c r="CC66" s="131">
        <f ca="1">SUM(CB66:CB$124)*SSk</f>
        <v>0</v>
      </c>
      <c r="CD66" s="8">
        <f t="shared" ca="1" si="100"/>
        <v>27545.442287605674</v>
      </c>
      <c r="CE66" s="2">
        <f t="shared" ref="CE66" ca="1" si="1246">IFERROR(VLOOKUP($S66,qx_table,MATCH(CE$11,qx_title,0)+sexB),0)</f>
        <v>0</v>
      </c>
      <c r="CF66" s="131">
        <f t="shared" ca="1" si="804"/>
        <v>0</v>
      </c>
      <c r="CG66" s="131">
        <f ca="1">SUM(CF66:CF$124)*SSl</f>
        <v>0</v>
      </c>
      <c r="CH66" s="155">
        <f t="shared" ca="1" si="103"/>
        <v>0.01</v>
      </c>
      <c r="CI66" s="155">
        <f t="shared" ca="1" si="104"/>
        <v>0</v>
      </c>
      <c r="CJ66" s="155">
        <f t="shared" ca="1" si="105"/>
        <v>0</v>
      </c>
      <c r="CK66" s="155">
        <f ca="1">'유해지 (기준P)'!CZ66</f>
        <v>0</v>
      </c>
      <c r="CL66" s="155">
        <f t="shared" ca="1" si="762"/>
        <v>0</v>
      </c>
      <c r="CM66" s="155">
        <f t="shared" ca="1" si="106"/>
        <v>0</v>
      </c>
      <c r="CN66" s="155">
        <f ca="1">SUM(CM66:$CM$124)</f>
        <v>0</v>
      </c>
      <c r="CO66" s="101">
        <f t="shared" ca="1" si="107"/>
        <v>0</v>
      </c>
      <c r="CP66" s="154">
        <f t="shared" ca="1" si="763"/>
        <v>0</v>
      </c>
      <c r="CQ66" s="154">
        <f t="shared" ca="1" si="764"/>
        <v>0</v>
      </c>
      <c r="CR66" s="32">
        <f t="shared" ref="CR66" ca="1" si="1247">+MAX(VLOOKUP(xB+$R66,기수표B,$AH$1)-VLOOKUP(xB+mB,기수표B,$AH$1),0)</f>
        <v>0</v>
      </c>
      <c r="CS66" s="32">
        <f t="shared" ca="1" si="766"/>
        <v>0</v>
      </c>
      <c r="CT66" s="32">
        <f t="shared" ref="CT66" ca="1" si="1248">+MAX(VLOOKUP(xB+$R66,기수표B,$AA$1)-VLOOKUP(xB+mB,기수표B,$AA$1),0)</f>
        <v>0</v>
      </c>
      <c r="CU66" s="32">
        <f t="shared" ca="1" si="768"/>
        <v>0</v>
      </c>
      <c r="CV66" s="32">
        <f t="shared" si="769"/>
        <v>0</v>
      </c>
      <c r="CW66" s="259">
        <f t="shared" ca="1" si="770"/>
        <v>0</v>
      </c>
      <c r="CX66" s="32">
        <f t="shared" ca="1" si="771"/>
        <v>0</v>
      </c>
      <c r="CY66" s="262">
        <f t="shared" ca="1" si="772"/>
        <v>0</v>
      </c>
      <c r="CZ66" s="259" t="e">
        <f t="shared" ca="1" si="773"/>
        <v>#DIV/0!</v>
      </c>
      <c r="DA66" s="31">
        <f t="shared" ref="DA66" ca="1" si="1249">+MIN(mB,7)</f>
        <v>7</v>
      </c>
    </row>
    <row r="67" spans="14:105">
      <c r="N67" s="5">
        <f t="shared" si="111"/>
        <v>55</v>
      </c>
      <c r="O67" s="2">
        <f t="shared" ref="O67" ca="1" si="1250">+(1+iB)^-N67</f>
        <v>0.29411527654103309</v>
      </c>
      <c r="P67" s="2">
        <f t="shared" ref="P67" ca="1" si="1251">+(1+iB)^-(N67+0.5)</f>
        <v>0.29086128890533958</v>
      </c>
      <c r="Q67" s="91"/>
      <c r="R67" s="20">
        <f t="shared" si="114"/>
        <v>55</v>
      </c>
      <c r="S67" s="20" t="str">
        <f t="shared" ref="S67" si="1252">+IF(xB+R67&lt;=xB+nB,xB+R67,"")</f>
        <v/>
      </c>
      <c r="T67" s="2">
        <f t="shared" ref="T67:U67" ca="1" si="1253">IFERROR(VLOOKUP($S67,qx_table,MATCH(T$11,qx_title,0)+sexB),0)</f>
        <v>0</v>
      </c>
      <c r="U67" s="2">
        <f t="shared" ca="1" si="1253"/>
        <v>0</v>
      </c>
      <c r="V67" s="300">
        <f t="shared" ca="1" si="747"/>
        <v>0.01</v>
      </c>
      <c r="W67" s="8">
        <f t="shared" ref="W67" si="1254">IF(R67=0,100000,IF(R67&gt;nB,0,W66*(1-X66)*(1-Y66)))</f>
        <v>0</v>
      </c>
      <c r="X67" s="10">
        <f t="shared" ca="1" si="28"/>
        <v>1.0000000000000009E-2</v>
      </c>
      <c r="Y67" s="10">
        <f t="shared" ca="1" si="29"/>
        <v>0</v>
      </c>
      <c r="Z67" s="8">
        <f t="shared" ca="1" si="64"/>
        <v>0</v>
      </c>
      <c r="AA67" s="8">
        <f ca="1">+SUM(Z67:Z$124)</f>
        <v>0</v>
      </c>
      <c r="AB67" s="8">
        <f t="shared" ca="1" si="30"/>
        <v>0</v>
      </c>
      <c r="AC67" s="209">
        <f ca="1">+SUM(AB67:AB$124)*SSSM</f>
        <v>0</v>
      </c>
      <c r="AD67" s="209">
        <f t="shared" ref="AD67" si="1255">IF(R67&gt;nB,0,AD66*(1-X66)*(1-Y66)*(1-AE66)*(1-AF66))</f>
        <v>0</v>
      </c>
      <c r="AE67" s="92">
        <f t="shared" ca="1" si="31"/>
        <v>0</v>
      </c>
      <c r="AF67" s="92">
        <f t="shared" ca="1" si="32"/>
        <v>0</v>
      </c>
      <c r="AG67" s="8">
        <f t="shared" ca="1" si="33"/>
        <v>0</v>
      </c>
      <c r="AH67" s="5">
        <f ca="1">+SUM(AG67:AG$124)</f>
        <v>0</v>
      </c>
      <c r="AI67" s="70">
        <f t="shared" ca="1" si="34"/>
        <v>0</v>
      </c>
      <c r="AJ67" s="208">
        <f ca="1">+SUM(AB67:AB$124)*SS50J</f>
        <v>0</v>
      </c>
      <c r="AK67" s="5">
        <f t="shared" ca="1" si="66"/>
        <v>27269.987864729617</v>
      </c>
      <c r="AL67" s="2">
        <f t="shared" ref="AL67" ca="1" si="1256">IFERROR(VLOOKUP($S67,qx_table,MATCH(AL$11,qx_title,0)+sexB),0)</f>
        <v>0</v>
      </c>
      <c r="AM67" s="131">
        <f t="shared" ca="1" si="68"/>
        <v>8020.5200221055675</v>
      </c>
      <c r="AN67" s="129">
        <f t="shared" ca="1" si="782"/>
        <v>0</v>
      </c>
      <c r="AO67" s="129">
        <f ca="1">SUM(AN67:AN$124)*SSa</f>
        <v>0</v>
      </c>
      <c r="AP67" s="70">
        <f t="shared" ca="1" si="70"/>
        <v>27269.987864729617</v>
      </c>
      <c r="AQ67" s="2">
        <f t="shared" ref="AQ67" ca="1" si="1257">IFERROR(VLOOKUP($S67,qx_table,MATCH(AQ$11,qx_title,0)+sexB),0)</f>
        <v>0</v>
      </c>
      <c r="AR67" s="127">
        <f t="shared" ca="1" si="784"/>
        <v>0</v>
      </c>
      <c r="AS67" s="127">
        <f ca="1">SUM(AR67:AR$124)*SSb</f>
        <v>0</v>
      </c>
      <c r="AT67" s="70">
        <f t="shared" ca="1" si="73"/>
        <v>27269.987864729617</v>
      </c>
      <c r="AU67" s="2">
        <f t="shared" ref="AU67" ca="1" si="1258">IFERROR(VLOOKUP($S67,qx_table,MATCH(AU$11,qx_title,0)+sexB),0)</f>
        <v>0</v>
      </c>
      <c r="AV67" s="268">
        <f t="shared" ca="1" si="786"/>
        <v>0</v>
      </c>
      <c r="AW67" s="131">
        <f ca="1">SUM(AV67:AV$124)*SSc</f>
        <v>0</v>
      </c>
      <c r="AX67" s="70">
        <f t="shared" ca="1" si="76"/>
        <v>27269.987864729617</v>
      </c>
      <c r="AY67" s="2">
        <f t="shared" ref="AY67" ca="1" si="1259">IFERROR(VLOOKUP($S67,qx_table,MATCH(AY$11,qx_title,0)+sexB),0)</f>
        <v>0</v>
      </c>
      <c r="AZ67" s="268">
        <f t="shared" ca="1" si="788"/>
        <v>0</v>
      </c>
      <c r="BA67" s="129">
        <f ca="1">SUM(AZ67:AZ$124)*SSd</f>
        <v>0</v>
      </c>
      <c r="BB67" s="70">
        <f t="shared" ca="1" si="79"/>
        <v>27269.987864729617</v>
      </c>
      <c r="BC67" s="257">
        <f t="shared" ref="BC67" ca="1" si="1260">IFERROR(VLOOKUP($S67,qx_table,MATCH(BC$11,qx_title,0)+sexB),0)</f>
        <v>0</v>
      </c>
      <c r="BD67" s="268">
        <f t="shared" ca="1" si="790"/>
        <v>0</v>
      </c>
      <c r="BE67" s="131">
        <f ca="1">SUM(BD67:BD$124)*SSe</f>
        <v>0</v>
      </c>
      <c r="BF67" s="70">
        <f t="shared" ca="1" si="82"/>
        <v>27269.987864729617</v>
      </c>
      <c r="BG67" s="2">
        <f t="shared" ref="BG67" ca="1" si="1261">IFERROR(VLOOKUP($S67,qx_table,MATCH(BG$11,qx_title,0)+sexB),0)</f>
        <v>0</v>
      </c>
      <c r="BH67" s="131">
        <f t="shared" ca="1" si="792"/>
        <v>0</v>
      </c>
      <c r="BI67" s="2">
        <f ca="1">SUM(BH67:BH$124)*SSf</f>
        <v>0</v>
      </c>
      <c r="BJ67" s="70">
        <f t="shared" ca="1" si="85"/>
        <v>27269.987864729617</v>
      </c>
      <c r="BK67" s="2">
        <f t="shared" ref="BK67" ca="1" si="1262">IFERROR(VLOOKUP($S67,qx_table,MATCH(BK$11,qx_title,0)+sexB),0)</f>
        <v>0</v>
      </c>
      <c r="BL67" s="131">
        <f t="shared" ca="1" si="794"/>
        <v>0</v>
      </c>
      <c r="BM67" s="131">
        <f ca="1">SUM(BL67:BL$124)*SSg</f>
        <v>0</v>
      </c>
      <c r="BN67" s="70">
        <f t="shared" ca="1" si="88"/>
        <v>27269.987864729617</v>
      </c>
      <c r="BO67" s="2">
        <f t="shared" ref="BO67" ca="1" si="1263">IFERROR(VLOOKUP($S67,qx_table,MATCH(BO$11,qx_title,0)+sexB),0)</f>
        <v>0</v>
      </c>
      <c r="BP67" s="131">
        <f t="shared" ca="1" si="796"/>
        <v>0</v>
      </c>
      <c r="BQ67" s="131">
        <f ca="1">SUM(BP67:BP$124)*SSh</f>
        <v>0</v>
      </c>
      <c r="BR67" s="70">
        <f t="shared" ca="1" si="91"/>
        <v>27269.987864729617</v>
      </c>
      <c r="BS67" s="2">
        <f t="shared" ref="BS67" ca="1" si="1264">IFERROR(VLOOKUP($S67,qx_table,MATCH(BS$11,qx_title,0)+sexB),0)*IF(R67=0,MCi,1)</f>
        <v>0</v>
      </c>
      <c r="BT67" s="131">
        <f t="shared" ca="1" si="798"/>
        <v>0</v>
      </c>
      <c r="BU67" s="131">
        <f ca="1">SUM(BT67:BT$124)*SSi</f>
        <v>0</v>
      </c>
      <c r="BV67" s="70">
        <f t="shared" ca="1" si="94"/>
        <v>27269.987864729617</v>
      </c>
      <c r="BW67" s="2">
        <f t="shared" ref="BW67" ca="1" si="1265">IFERROR(VLOOKUP($S67,qx_table,MATCH(BW$11,qx_title,0)+sexB),0)</f>
        <v>0</v>
      </c>
      <c r="BX67" s="131">
        <f t="shared" ca="1" si="800"/>
        <v>0</v>
      </c>
      <c r="BY67" s="131">
        <f ca="1">SUM(BX67:BX$124)*SSj</f>
        <v>0</v>
      </c>
      <c r="BZ67" s="70">
        <f t="shared" ca="1" si="97"/>
        <v>27269.987864729617</v>
      </c>
      <c r="CA67" s="2">
        <f t="shared" ref="CA67" ca="1" si="1266">IFERROR(VLOOKUP($S67,qx_table,MATCH(CA$11,qx_title,0)+sexB),0)</f>
        <v>0</v>
      </c>
      <c r="CB67" s="131">
        <f t="shared" ca="1" si="802"/>
        <v>0</v>
      </c>
      <c r="CC67" s="131">
        <f ca="1">SUM(CB67:CB$124)*SSk</f>
        <v>0</v>
      </c>
      <c r="CD67" s="8">
        <f t="shared" ca="1" si="100"/>
        <v>27269.987864729617</v>
      </c>
      <c r="CE67" s="2">
        <f t="shared" ref="CE67" ca="1" si="1267">IFERROR(VLOOKUP($S67,qx_table,MATCH(CE$11,qx_title,0)+sexB),0)</f>
        <v>0</v>
      </c>
      <c r="CF67" s="131">
        <f t="shared" ca="1" si="804"/>
        <v>0</v>
      </c>
      <c r="CG67" s="131">
        <f ca="1">SUM(CF67:CF$124)*SSl</f>
        <v>0</v>
      </c>
      <c r="CH67" s="155">
        <f t="shared" ca="1" si="103"/>
        <v>0.01</v>
      </c>
      <c r="CI67" s="155">
        <f t="shared" ca="1" si="104"/>
        <v>0</v>
      </c>
      <c r="CJ67" s="155">
        <f t="shared" ca="1" si="105"/>
        <v>0</v>
      </c>
      <c r="CK67" s="155">
        <f ca="1">'유해지 (기준P)'!CZ67</f>
        <v>0</v>
      </c>
      <c r="CL67" s="155">
        <f t="shared" ca="1" si="762"/>
        <v>0</v>
      </c>
      <c r="CM67" s="155">
        <f t="shared" ca="1" si="106"/>
        <v>0</v>
      </c>
      <c r="CN67" s="155">
        <f ca="1">SUM(CM67:$CM$124)</f>
        <v>0</v>
      </c>
      <c r="CO67" s="101">
        <f t="shared" ca="1" si="107"/>
        <v>0</v>
      </c>
      <c r="CP67" s="154">
        <f t="shared" ca="1" si="763"/>
        <v>0</v>
      </c>
      <c r="CQ67" s="154">
        <f t="shared" ca="1" si="764"/>
        <v>0</v>
      </c>
      <c r="CR67" s="32">
        <f t="shared" ref="CR67" ca="1" si="1268">+MAX(VLOOKUP(xB+$R67,기수표B,$AH$1)-VLOOKUP(xB+mB,기수표B,$AH$1),0)</f>
        <v>0</v>
      </c>
      <c r="CS67" s="32">
        <f t="shared" ca="1" si="766"/>
        <v>0</v>
      </c>
      <c r="CT67" s="32">
        <f t="shared" ref="CT67" ca="1" si="1269">+MAX(VLOOKUP(xB+$R67,기수표B,$AA$1)-VLOOKUP(xB+mB,기수표B,$AA$1),0)</f>
        <v>0</v>
      </c>
      <c r="CU67" s="32">
        <f t="shared" ca="1" si="768"/>
        <v>0</v>
      </c>
      <c r="CV67" s="32">
        <f t="shared" si="769"/>
        <v>0</v>
      </c>
      <c r="CW67" s="259">
        <f t="shared" ca="1" si="770"/>
        <v>0</v>
      </c>
      <c r="CX67" s="32">
        <f t="shared" ca="1" si="771"/>
        <v>0</v>
      </c>
      <c r="CY67" s="262">
        <f t="shared" ca="1" si="772"/>
        <v>0</v>
      </c>
      <c r="CZ67" s="259" t="e">
        <f t="shared" ca="1" si="773"/>
        <v>#DIV/0!</v>
      </c>
      <c r="DA67" s="31">
        <f t="shared" ref="DA67" ca="1" si="1270">+MIN(mB,7)</f>
        <v>7</v>
      </c>
    </row>
    <row r="68" spans="14:105">
      <c r="N68" s="5">
        <f t="shared" si="111"/>
        <v>56</v>
      </c>
      <c r="O68" s="2">
        <f t="shared" ref="O68" ca="1" si="1271">+(1+iB)^-N68</f>
        <v>0.28764330224061913</v>
      </c>
      <c r="P68" s="2">
        <f t="shared" ref="P68" ca="1" si="1272">+(1+iB)^-(N68+0.5)</f>
        <v>0.28446091824483094</v>
      </c>
      <c r="Q68" s="91"/>
      <c r="R68" s="20">
        <f t="shared" si="114"/>
        <v>56</v>
      </c>
      <c r="S68" s="20" t="str">
        <f t="shared" ref="S68" si="1273">+IF(xB+R68&lt;=xB+nB,xB+R68,"")</f>
        <v/>
      </c>
      <c r="T68" s="2">
        <f t="shared" ref="T68:U68" ca="1" si="1274">IFERROR(VLOOKUP($S68,qx_table,MATCH(T$11,qx_title,0)+sexB),0)</f>
        <v>0</v>
      </c>
      <c r="U68" s="2">
        <f t="shared" ca="1" si="1274"/>
        <v>0</v>
      </c>
      <c r="V68" s="300">
        <f t="shared" ca="1" si="747"/>
        <v>0.01</v>
      </c>
      <c r="W68" s="8">
        <f t="shared" ref="W68" si="1275">IF(R68=0,100000,IF(R68&gt;nB,0,W67*(1-X67)*(1-Y67)))</f>
        <v>0</v>
      </c>
      <c r="X68" s="10">
        <f t="shared" ca="1" si="28"/>
        <v>1.0000000000000009E-2</v>
      </c>
      <c r="Y68" s="10">
        <f t="shared" ca="1" si="29"/>
        <v>0</v>
      </c>
      <c r="Z68" s="8">
        <f t="shared" ca="1" si="64"/>
        <v>0</v>
      </c>
      <c r="AA68" s="8">
        <f ca="1">+SUM(Z68:Z$124)</f>
        <v>0</v>
      </c>
      <c r="AB68" s="8">
        <f t="shared" ca="1" si="30"/>
        <v>0</v>
      </c>
      <c r="AC68" s="209">
        <f ca="1">+SUM(AB68:AB$124)*SSSM</f>
        <v>0</v>
      </c>
      <c r="AD68" s="209">
        <f t="shared" ref="AD68" si="1276">IF(R68&gt;nB,0,AD67*(1-X67)*(1-Y67)*(1-AE67)*(1-AF67))</f>
        <v>0</v>
      </c>
      <c r="AE68" s="92">
        <f t="shared" ca="1" si="31"/>
        <v>0</v>
      </c>
      <c r="AF68" s="92">
        <f t="shared" ca="1" si="32"/>
        <v>0</v>
      </c>
      <c r="AG68" s="8">
        <f t="shared" ca="1" si="33"/>
        <v>0</v>
      </c>
      <c r="AH68" s="5">
        <f ca="1">+SUM(AG68:AG$124)</f>
        <v>0</v>
      </c>
      <c r="AI68" s="70">
        <f t="shared" ca="1" si="34"/>
        <v>0</v>
      </c>
      <c r="AJ68" s="208">
        <f ca="1">+SUM(AB68:AB$124)*SS50J</f>
        <v>0</v>
      </c>
      <c r="AK68" s="5">
        <f t="shared" ca="1" si="66"/>
        <v>26997.28798608232</v>
      </c>
      <c r="AL68" s="2">
        <f t="shared" ref="AL68" ca="1" si="1277">IFERROR(VLOOKUP($S68,qx_table,MATCH(AL$11,qx_title,0)+sexB),0)</f>
        <v>0</v>
      </c>
      <c r="AM68" s="131">
        <f t="shared" ca="1" si="68"/>
        <v>7765.5890678577125</v>
      </c>
      <c r="AN68" s="129">
        <f t="shared" ca="1" si="782"/>
        <v>0</v>
      </c>
      <c r="AO68" s="129">
        <f ca="1">SUM(AN68:AN$124)*SSa</f>
        <v>0</v>
      </c>
      <c r="AP68" s="70">
        <f t="shared" ca="1" si="70"/>
        <v>26997.28798608232</v>
      </c>
      <c r="AQ68" s="2">
        <f t="shared" ref="AQ68" ca="1" si="1278">IFERROR(VLOOKUP($S68,qx_table,MATCH(AQ$11,qx_title,0)+sexB),0)</f>
        <v>0</v>
      </c>
      <c r="AR68" s="127">
        <f t="shared" ca="1" si="784"/>
        <v>0</v>
      </c>
      <c r="AS68" s="127">
        <f ca="1">SUM(AR68:AR$124)*SSb</f>
        <v>0</v>
      </c>
      <c r="AT68" s="70">
        <f t="shared" ca="1" si="73"/>
        <v>26997.28798608232</v>
      </c>
      <c r="AU68" s="2">
        <f t="shared" ref="AU68" ca="1" si="1279">IFERROR(VLOOKUP($S68,qx_table,MATCH(AU$11,qx_title,0)+sexB),0)</f>
        <v>0</v>
      </c>
      <c r="AV68" s="268">
        <f t="shared" ca="1" si="786"/>
        <v>0</v>
      </c>
      <c r="AW68" s="131">
        <f ca="1">SUM(AV68:AV$124)*SSc</f>
        <v>0</v>
      </c>
      <c r="AX68" s="70">
        <f t="shared" ca="1" si="76"/>
        <v>26997.28798608232</v>
      </c>
      <c r="AY68" s="2">
        <f t="shared" ref="AY68" ca="1" si="1280">IFERROR(VLOOKUP($S68,qx_table,MATCH(AY$11,qx_title,0)+sexB),0)</f>
        <v>0</v>
      </c>
      <c r="AZ68" s="268">
        <f t="shared" ca="1" si="788"/>
        <v>0</v>
      </c>
      <c r="BA68" s="129">
        <f ca="1">SUM(AZ68:AZ$124)*SSd</f>
        <v>0</v>
      </c>
      <c r="BB68" s="70">
        <f t="shared" ca="1" si="79"/>
        <v>26997.28798608232</v>
      </c>
      <c r="BC68" s="257">
        <f t="shared" ref="BC68" ca="1" si="1281">IFERROR(VLOOKUP($S68,qx_table,MATCH(BC$11,qx_title,0)+sexB),0)</f>
        <v>0</v>
      </c>
      <c r="BD68" s="268">
        <f t="shared" ca="1" si="790"/>
        <v>0</v>
      </c>
      <c r="BE68" s="131">
        <f ca="1">SUM(BD68:BD$124)*SSe</f>
        <v>0</v>
      </c>
      <c r="BF68" s="70">
        <f t="shared" ca="1" si="82"/>
        <v>26997.28798608232</v>
      </c>
      <c r="BG68" s="2">
        <f t="shared" ref="BG68" ca="1" si="1282">IFERROR(VLOOKUP($S68,qx_table,MATCH(BG$11,qx_title,0)+sexB),0)</f>
        <v>0</v>
      </c>
      <c r="BH68" s="131">
        <f t="shared" ca="1" si="792"/>
        <v>0</v>
      </c>
      <c r="BI68" s="2">
        <f ca="1">SUM(BH68:BH$124)*SSf</f>
        <v>0</v>
      </c>
      <c r="BJ68" s="70">
        <f t="shared" ca="1" si="85"/>
        <v>26997.28798608232</v>
      </c>
      <c r="BK68" s="2">
        <f t="shared" ref="BK68" ca="1" si="1283">IFERROR(VLOOKUP($S68,qx_table,MATCH(BK$11,qx_title,0)+sexB),0)</f>
        <v>0</v>
      </c>
      <c r="BL68" s="131">
        <f t="shared" ca="1" si="794"/>
        <v>0</v>
      </c>
      <c r="BM68" s="131">
        <f ca="1">SUM(BL68:BL$124)*SSg</f>
        <v>0</v>
      </c>
      <c r="BN68" s="70">
        <f t="shared" ca="1" si="88"/>
        <v>26997.28798608232</v>
      </c>
      <c r="BO68" s="2">
        <f t="shared" ref="BO68" ca="1" si="1284">IFERROR(VLOOKUP($S68,qx_table,MATCH(BO$11,qx_title,0)+sexB),0)</f>
        <v>0</v>
      </c>
      <c r="BP68" s="131">
        <f t="shared" ca="1" si="796"/>
        <v>0</v>
      </c>
      <c r="BQ68" s="131">
        <f ca="1">SUM(BP68:BP$124)*SSh</f>
        <v>0</v>
      </c>
      <c r="BR68" s="70">
        <f t="shared" ca="1" si="91"/>
        <v>26997.28798608232</v>
      </c>
      <c r="BS68" s="2">
        <f t="shared" ref="BS68" ca="1" si="1285">IFERROR(VLOOKUP($S68,qx_table,MATCH(BS$11,qx_title,0)+sexB),0)*IF(R68=0,MCi,1)</f>
        <v>0</v>
      </c>
      <c r="BT68" s="131">
        <f t="shared" ca="1" si="798"/>
        <v>0</v>
      </c>
      <c r="BU68" s="131">
        <f ca="1">SUM(BT68:BT$124)*SSi</f>
        <v>0</v>
      </c>
      <c r="BV68" s="70">
        <f t="shared" ca="1" si="94"/>
        <v>26997.28798608232</v>
      </c>
      <c r="BW68" s="2">
        <f t="shared" ref="BW68" ca="1" si="1286">IFERROR(VLOOKUP($S68,qx_table,MATCH(BW$11,qx_title,0)+sexB),0)</f>
        <v>0</v>
      </c>
      <c r="BX68" s="131">
        <f t="shared" ca="1" si="800"/>
        <v>0</v>
      </c>
      <c r="BY68" s="131">
        <f ca="1">SUM(BX68:BX$124)*SSj</f>
        <v>0</v>
      </c>
      <c r="BZ68" s="70">
        <f t="shared" ca="1" si="97"/>
        <v>26997.28798608232</v>
      </c>
      <c r="CA68" s="2">
        <f t="shared" ref="CA68" ca="1" si="1287">IFERROR(VLOOKUP($S68,qx_table,MATCH(CA$11,qx_title,0)+sexB),0)</f>
        <v>0</v>
      </c>
      <c r="CB68" s="131">
        <f t="shared" ca="1" si="802"/>
        <v>0</v>
      </c>
      <c r="CC68" s="131">
        <f ca="1">SUM(CB68:CB$124)*SSk</f>
        <v>0</v>
      </c>
      <c r="CD68" s="8">
        <f t="shared" ca="1" si="100"/>
        <v>26997.28798608232</v>
      </c>
      <c r="CE68" s="2">
        <f t="shared" ref="CE68" ca="1" si="1288">IFERROR(VLOOKUP($S68,qx_table,MATCH(CE$11,qx_title,0)+sexB),0)</f>
        <v>0</v>
      </c>
      <c r="CF68" s="131">
        <f t="shared" ca="1" si="804"/>
        <v>0</v>
      </c>
      <c r="CG68" s="131">
        <f ca="1">SUM(CF68:CF$124)*SSl</f>
        <v>0</v>
      </c>
      <c r="CH68" s="155">
        <f t="shared" ca="1" si="103"/>
        <v>0.01</v>
      </c>
      <c r="CI68" s="155">
        <f t="shared" ca="1" si="104"/>
        <v>0</v>
      </c>
      <c r="CJ68" s="155">
        <f t="shared" ca="1" si="105"/>
        <v>0</v>
      </c>
      <c r="CK68" s="155">
        <f ca="1">'유해지 (기준P)'!CZ68</f>
        <v>0</v>
      </c>
      <c r="CL68" s="155">
        <f t="shared" ca="1" si="762"/>
        <v>0</v>
      </c>
      <c r="CM68" s="155">
        <f t="shared" ca="1" si="106"/>
        <v>0</v>
      </c>
      <c r="CN68" s="155">
        <f ca="1">SUM(CM68:$CM$124)</f>
        <v>0</v>
      </c>
      <c r="CO68" s="101">
        <f t="shared" ca="1" si="107"/>
        <v>0</v>
      </c>
      <c r="CP68" s="154">
        <f t="shared" ca="1" si="763"/>
        <v>0</v>
      </c>
      <c r="CQ68" s="154">
        <f t="shared" ca="1" si="764"/>
        <v>0</v>
      </c>
      <c r="CR68" s="32">
        <f t="shared" ref="CR68" ca="1" si="1289">+MAX(VLOOKUP(xB+$R68,기수표B,$AH$1)-VLOOKUP(xB+mB,기수표B,$AH$1),0)</f>
        <v>0</v>
      </c>
      <c r="CS68" s="32">
        <f t="shared" ca="1" si="766"/>
        <v>0</v>
      </c>
      <c r="CT68" s="32">
        <f t="shared" ref="CT68" ca="1" si="1290">+MAX(VLOOKUP(xB+$R68,기수표B,$AA$1)-VLOOKUP(xB+mB,기수표B,$AA$1),0)</f>
        <v>0</v>
      </c>
      <c r="CU68" s="32">
        <f t="shared" ca="1" si="768"/>
        <v>0</v>
      </c>
      <c r="CV68" s="32">
        <f t="shared" si="769"/>
        <v>0</v>
      </c>
      <c r="CW68" s="259">
        <f t="shared" ca="1" si="770"/>
        <v>0</v>
      </c>
      <c r="CX68" s="32">
        <f t="shared" ca="1" si="771"/>
        <v>0</v>
      </c>
      <c r="CY68" s="262">
        <f t="shared" ca="1" si="772"/>
        <v>0</v>
      </c>
      <c r="CZ68" s="259" t="e">
        <f t="shared" ca="1" si="773"/>
        <v>#DIV/0!</v>
      </c>
      <c r="DA68" s="31">
        <f t="shared" ref="DA68" ca="1" si="1291">+MIN(mB,7)</f>
        <v>7</v>
      </c>
    </row>
    <row r="69" spans="14:105">
      <c r="N69" s="5">
        <f t="shared" si="111"/>
        <v>57</v>
      </c>
      <c r="O69" s="2">
        <f t="shared" ref="O69" ca="1" si="1292">+(1+iB)^-N69</f>
        <v>0.28131374302261047</v>
      </c>
      <c r="P69" s="2">
        <f t="shared" ref="P69" ca="1" si="1293">+(1+iB)^-(N69+0.5)</f>
        <v>0.27820138703650948</v>
      </c>
      <c r="Q69" s="91"/>
      <c r="R69" s="20">
        <f t="shared" si="114"/>
        <v>57</v>
      </c>
      <c r="S69" s="20" t="str">
        <f t="shared" ref="S69" si="1294">+IF(xB+R69&lt;=xB+nB,xB+R69,"")</f>
        <v/>
      </c>
      <c r="T69" s="2">
        <f t="shared" ref="T69:U69" ca="1" si="1295">IFERROR(VLOOKUP($S69,qx_table,MATCH(T$11,qx_title,0)+sexB),0)</f>
        <v>0</v>
      </c>
      <c r="U69" s="2">
        <f t="shared" ca="1" si="1295"/>
        <v>0</v>
      </c>
      <c r="V69" s="300">
        <f t="shared" ca="1" si="747"/>
        <v>0.01</v>
      </c>
      <c r="W69" s="8">
        <f t="shared" ref="W69" si="1296">IF(R69=0,100000,IF(R69&gt;nB,0,W68*(1-X68)*(1-Y68)))</f>
        <v>0</v>
      </c>
      <c r="X69" s="10">
        <f t="shared" ca="1" si="28"/>
        <v>1.0000000000000009E-2</v>
      </c>
      <c r="Y69" s="10">
        <f t="shared" ca="1" si="29"/>
        <v>0</v>
      </c>
      <c r="Z69" s="8">
        <f t="shared" ca="1" si="64"/>
        <v>0</v>
      </c>
      <c r="AA69" s="8">
        <f ca="1">+SUM(Z69:Z$124)</f>
        <v>0</v>
      </c>
      <c r="AB69" s="8">
        <f t="shared" ca="1" si="30"/>
        <v>0</v>
      </c>
      <c r="AC69" s="209">
        <f ca="1">+SUM(AB69:AB$124)*SSSM</f>
        <v>0</v>
      </c>
      <c r="AD69" s="209">
        <f t="shared" ref="AD69" si="1297">IF(R69&gt;nB,0,AD68*(1-X68)*(1-Y68)*(1-AE68)*(1-AF68))</f>
        <v>0</v>
      </c>
      <c r="AE69" s="92">
        <f t="shared" ca="1" si="31"/>
        <v>0</v>
      </c>
      <c r="AF69" s="92">
        <f t="shared" ca="1" si="32"/>
        <v>0</v>
      </c>
      <c r="AG69" s="8">
        <f t="shared" ca="1" si="33"/>
        <v>0</v>
      </c>
      <c r="AH69" s="5">
        <f ca="1">+SUM(AG69:AG$124)</f>
        <v>0</v>
      </c>
      <c r="AI69" s="70">
        <f t="shared" ca="1" si="34"/>
        <v>0</v>
      </c>
      <c r="AJ69" s="208">
        <f ca="1">+SUM(AB69:AB$124)*SS50J</f>
        <v>0</v>
      </c>
      <c r="AK69" s="5">
        <f t="shared" ca="1" si="66"/>
        <v>26727.315106221497</v>
      </c>
      <c r="AL69" s="2">
        <f t="shared" ref="AL69" ca="1" si="1298">IFERROR(VLOOKUP($S69,qx_table,MATCH(AL$11,qx_title,0)+sexB),0)</f>
        <v>0</v>
      </c>
      <c r="AM69" s="131">
        <f t="shared" ca="1" si="68"/>
        <v>7518.7610534759287</v>
      </c>
      <c r="AN69" s="129">
        <f t="shared" ca="1" si="782"/>
        <v>0</v>
      </c>
      <c r="AO69" s="129">
        <f ca="1">SUM(AN69:AN$124)*SSa</f>
        <v>0</v>
      </c>
      <c r="AP69" s="70">
        <f t="shared" ca="1" si="70"/>
        <v>26727.315106221497</v>
      </c>
      <c r="AQ69" s="2">
        <f t="shared" ref="AQ69" ca="1" si="1299">IFERROR(VLOOKUP($S69,qx_table,MATCH(AQ$11,qx_title,0)+sexB),0)</f>
        <v>0</v>
      </c>
      <c r="AR69" s="127">
        <f t="shared" ca="1" si="784"/>
        <v>0</v>
      </c>
      <c r="AS69" s="127">
        <f ca="1">SUM(AR69:AR$124)*SSb</f>
        <v>0</v>
      </c>
      <c r="AT69" s="70">
        <f t="shared" ca="1" si="73"/>
        <v>26727.315106221497</v>
      </c>
      <c r="AU69" s="2">
        <f t="shared" ref="AU69" ca="1" si="1300">IFERROR(VLOOKUP($S69,qx_table,MATCH(AU$11,qx_title,0)+sexB),0)</f>
        <v>0</v>
      </c>
      <c r="AV69" s="268">
        <f t="shared" ca="1" si="786"/>
        <v>0</v>
      </c>
      <c r="AW69" s="131">
        <f ca="1">SUM(AV69:AV$124)*SSc</f>
        <v>0</v>
      </c>
      <c r="AX69" s="70">
        <f t="shared" ca="1" si="76"/>
        <v>26727.315106221497</v>
      </c>
      <c r="AY69" s="2">
        <f t="shared" ref="AY69" ca="1" si="1301">IFERROR(VLOOKUP($S69,qx_table,MATCH(AY$11,qx_title,0)+sexB),0)</f>
        <v>0</v>
      </c>
      <c r="AZ69" s="268">
        <f t="shared" ca="1" si="788"/>
        <v>0</v>
      </c>
      <c r="BA69" s="129">
        <f ca="1">SUM(AZ69:AZ$124)*SSd</f>
        <v>0</v>
      </c>
      <c r="BB69" s="70">
        <f t="shared" ca="1" si="79"/>
        <v>26727.315106221497</v>
      </c>
      <c r="BC69" s="257">
        <f t="shared" ref="BC69" ca="1" si="1302">IFERROR(VLOOKUP($S69,qx_table,MATCH(BC$11,qx_title,0)+sexB),0)</f>
        <v>0</v>
      </c>
      <c r="BD69" s="268">
        <f t="shared" ca="1" si="790"/>
        <v>0</v>
      </c>
      <c r="BE69" s="131">
        <f ca="1">SUM(BD69:BD$124)*SSe</f>
        <v>0</v>
      </c>
      <c r="BF69" s="70">
        <f t="shared" ca="1" si="82"/>
        <v>26727.315106221497</v>
      </c>
      <c r="BG69" s="2">
        <f t="shared" ref="BG69" ca="1" si="1303">IFERROR(VLOOKUP($S69,qx_table,MATCH(BG$11,qx_title,0)+sexB),0)</f>
        <v>0</v>
      </c>
      <c r="BH69" s="131">
        <f t="shared" ca="1" si="792"/>
        <v>0</v>
      </c>
      <c r="BI69" s="2">
        <f ca="1">SUM(BH69:BH$124)*SSf</f>
        <v>0</v>
      </c>
      <c r="BJ69" s="70">
        <f t="shared" ca="1" si="85"/>
        <v>26727.315106221497</v>
      </c>
      <c r="BK69" s="2">
        <f t="shared" ref="BK69" ca="1" si="1304">IFERROR(VLOOKUP($S69,qx_table,MATCH(BK$11,qx_title,0)+sexB),0)</f>
        <v>0</v>
      </c>
      <c r="BL69" s="131">
        <f t="shared" ca="1" si="794"/>
        <v>0</v>
      </c>
      <c r="BM69" s="131">
        <f ca="1">SUM(BL69:BL$124)*SSg</f>
        <v>0</v>
      </c>
      <c r="BN69" s="70">
        <f t="shared" ca="1" si="88"/>
        <v>26727.315106221497</v>
      </c>
      <c r="BO69" s="2">
        <f t="shared" ref="BO69" ca="1" si="1305">IFERROR(VLOOKUP($S69,qx_table,MATCH(BO$11,qx_title,0)+sexB),0)</f>
        <v>0</v>
      </c>
      <c r="BP69" s="131">
        <f t="shared" ca="1" si="796"/>
        <v>0</v>
      </c>
      <c r="BQ69" s="131">
        <f ca="1">SUM(BP69:BP$124)*SSh</f>
        <v>0</v>
      </c>
      <c r="BR69" s="70">
        <f t="shared" ca="1" si="91"/>
        <v>26727.315106221497</v>
      </c>
      <c r="BS69" s="2">
        <f t="shared" ref="BS69" ca="1" si="1306">IFERROR(VLOOKUP($S69,qx_table,MATCH(BS$11,qx_title,0)+sexB),0)*IF(R69=0,MCi,1)</f>
        <v>0</v>
      </c>
      <c r="BT69" s="131">
        <f t="shared" ca="1" si="798"/>
        <v>0</v>
      </c>
      <c r="BU69" s="131">
        <f ca="1">SUM(BT69:BT$124)*SSi</f>
        <v>0</v>
      </c>
      <c r="BV69" s="70">
        <f t="shared" ca="1" si="94"/>
        <v>26727.315106221497</v>
      </c>
      <c r="BW69" s="2">
        <f t="shared" ref="BW69" ca="1" si="1307">IFERROR(VLOOKUP($S69,qx_table,MATCH(BW$11,qx_title,0)+sexB),0)</f>
        <v>0</v>
      </c>
      <c r="BX69" s="131">
        <f t="shared" ca="1" si="800"/>
        <v>0</v>
      </c>
      <c r="BY69" s="131">
        <f ca="1">SUM(BX69:BX$124)*SSj</f>
        <v>0</v>
      </c>
      <c r="BZ69" s="70">
        <f t="shared" ca="1" si="97"/>
        <v>26727.315106221497</v>
      </c>
      <c r="CA69" s="2">
        <f t="shared" ref="CA69" ca="1" si="1308">IFERROR(VLOOKUP($S69,qx_table,MATCH(CA$11,qx_title,0)+sexB),0)</f>
        <v>0</v>
      </c>
      <c r="CB69" s="131">
        <f t="shared" ca="1" si="802"/>
        <v>0</v>
      </c>
      <c r="CC69" s="131">
        <f ca="1">SUM(CB69:CB$124)*SSk</f>
        <v>0</v>
      </c>
      <c r="CD69" s="8">
        <f t="shared" ca="1" si="100"/>
        <v>26727.315106221497</v>
      </c>
      <c r="CE69" s="2">
        <f t="shared" ref="CE69" ca="1" si="1309">IFERROR(VLOOKUP($S69,qx_table,MATCH(CE$11,qx_title,0)+sexB),0)</f>
        <v>0</v>
      </c>
      <c r="CF69" s="131">
        <f t="shared" ca="1" si="804"/>
        <v>0</v>
      </c>
      <c r="CG69" s="131">
        <f ca="1">SUM(CF69:CF$124)*SSl</f>
        <v>0</v>
      </c>
      <c r="CH69" s="155">
        <f t="shared" ca="1" si="103"/>
        <v>0.01</v>
      </c>
      <c r="CI69" s="155">
        <f t="shared" ca="1" si="104"/>
        <v>0</v>
      </c>
      <c r="CJ69" s="155">
        <f t="shared" ca="1" si="105"/>
        <v>0</v>
      </c>
      <c r="CK69" s="155">
        <f ca="1">'유해지 (기준P)'!CZ69</f>
        <v>0</v>
      </c>
      <c r="CL69" s="155">
        <f t="shared" ca="1" si="762"/>
        <v>0</v>
      </c>
      <c r="CM69" s="155">
        <f t="shared" ca="1" si="106"/>
        <v>0</v>
      </c>
      <c r="CN69" s="155">
        <f ca="1">SUM(CM69:$CM$124)</f>
        <v>0</v>
      </c>
      <c r="CO69" s="101">
        <f t="shared" ca="1" si="107"/>
        <v>0</v>
      </c>
      <c r="CP69" s="154">
        <f t="shared" ca="1" si="763"/>
        <v>0</v>
      </c>
      <c r="CQ69" s="154">
        <f t="shared" ca="1" si="764"/>
        <v>0</v>
      </c>
      <c r="CR69" s="32">
        <f t="shared" ref="CR69" ca="1" si="1310">+MAX(VLOOKUP(xB+$R69,기수표B,$AH$1)-VLOOKUP(xB+mB,기수표B,$AH$1),0)</f>
        <v>0</v>
      </c>
      <c r="CS69" s="32">
        <f t="shared" ca="1" si="766"/>
        <v>0</v>
      </c>
      <c r="CT69" s="32">
        <f t="shared" ref="CT69" ca="1" si="1311">+MAX(VLOOKUP(xB+$R69,기수표B,$AA$1)-VLOOKUP(xB+mB,기수표B,$AA$1),0)</f>
        <v>0</v>
      </c>
      <c r="CU69" s="32">
        <f t="shared" ca="1" si="768"/>
        <v>0</v>
      </c>
      <c r="CV69" s="32">
        <f t="shared" si="769"/>
        <v>0</v>
      </c>
      <c r="CW69" s="259">
        <f t="shared" ca="1" si="770"/>
        <v>0</v>
      </c>
      <c r="CX69" s="32">
        <f t="shared" ca="1" si="771"/>
        <v>0</v>
      </c>
      <c r="CY69" s="262">
        <f t="shared" ca="1" si="772"/>
        <v>0</v>
      </c>
      <c r="CZ69" s="259" t="e">
        <f t="shared" ca="1" si="773"/>
        <v>#DIV/0!</v>
      </c>
      <c r="DA69" s="31">
        <f t="shared" ref="DA69" ca="1" si="1312">+MIN(mB,7)</f>
        <v>7</v>
      </c>
    </row>
    <row r="70" spans="14:105">
      <c r="N70" s="5">
        <f t="shared" si="111"/>
        <v>58</v>
      </c>
      <c r="O70" s="2">
        <f t="shared" ref="O70" ca="1" si="1313">+(1+iB)^-N70</f>
        <v>0.27512346505878776</v>
      </c>
      <c r="P70" s="2">
        <f t="shared" ref="P70" ca="1" si="1314">+(1+iB)^-(N70+0.5)</f>
        <v>0.27207959612372562</v>
      </c>
      <c r="Q70" s="91"/>
      <c r="R70" s="20">
        <f t="shared" si="114"/>
        <v>58</v>
      </c>
      <c r="S70" s="20" t="str">
        <f t="shared" ref="S70" si="1315">+IF(xB+R70&lt;=xB+nB,xB+R70,"")</f>
        <v/>
      </c>
      <c r="T70" s="2">
        <f t="shared" ref="T70:U70" ca="1" si="1316">IFERROR(VLOOKUP($S70,qx_table,MATCH(T$11,qx_title,0)+sexB),0)</f>
        <v>0</v>
      </c>
      <c r="U70" s="2">
        <f t="shared" ca="1" si="1316"/>
        <v>0</v>
      </c>
      <c r="V70" s="300">
        <f t="shared" ca="1" si="747"/>
        <v>0.01</v>
      </c>
      <c r="W70" s="8">
        <f t="shared" ref="W70" si="1317">IF(R70=0,100000,IF(R70&gt;nB,0,W69*(1-X69)*(1-Y69)))</f>
        <v>0</v>
      </c>
      <c r="X70" s="10">
        <f t="shared" ca="1" si="28"/>
        <v>1.0000000000000009E-2</v>
      </c>
      <c r="Y70" s="10">
        <f t="shared" ca="1" si="29"/>
        <v>0</v>
      </c>
      <c r="Z70" s="8">
        <f t="shared" ca="1" si="64"/>
        <v>0</v>
      </c>
      <c r="AA70" s="8">
        <f ca="1">+SUM(Z70:Z$124)</f>
        <v>0</v>
      </c>
      <c r="AB70" s="8">
        <f t="shared" ca="1" si="30"/>
        <v>0</v>
      </c>
      <c r="AC70" s="209">
        <f ca="1">+SUM(AB70:AB$124)*SSSM</f>
        <v>0</v>
      </c>
      <c r="AD70" s="209">
        <f t="shared" ref="AD70" si="1318">IF(R70&gt;nB,0,AD69*(1-X69)*(1-Y69)*(1-AE69)*(1-AF69))</f>
        <v>0</v>
      </c>
      <c r="AE70" s="92">
        <f t="shared" ca="1" si="31"/>
        <v>0</v>
      </c>
      <c r="AF70" s="92">
        <f t="shared" ca="1" si="32"/>
        <v>0</v>
      </c>
      <c r="AG70" s="8">
        <f t="shared" ca="1" si="33"/>
        <v>0</v>
      </c>
      <c r="AH70" s="5">
        <f ca="1">+SUM(AG70:AG$124)</f>
        <v>0</v>
      </c>
      <c r="AI70" s="70">
        <f t="shared" ca="1" si="34"/>
        <v>0</v>
      </c>
      <c r="AJ70" s="208">
        <f ca="1">+SUM(AB70:AB$124)*SS50J</f>
        <v>0</v>
      </c>
      <c r="AK70" s="5">
        <f t="shared" ca="1" si="66"/>
        <v>26460.041955159282</v>
      </c>
      <c r="AL70" s="2">
        <f t="shared" ref="AL70" ca="1" si="1319">IFERROR(VLOOKUP($S70,qx_table,MATCH(AL$11,qx_title,0)+sexB),0)</f>
        <v>0</v>
      </c>
      <c r="AM70" s="131">
        <f t="shared" ca="1" si="68"/>
        <v>7279.7784283043229</v>
      </c>
      <c r="AN70" s="129">
        <f t="shared" ca="1" si="782"/>
        <v>0</v>
      </c>
      <c r="AO70" s="129">
        <f ca="1">SUM(AN70:AN$124)*SSa</f>
        <v>0</v>
      </c>
      <c r="AP70" s="70">
        <f t="shared" ca="1" si="70"/>
        <v>26460.041955159282</v>
      </c>
      <c r="AQ70" s="2">
        <f t="shared" ref="AQ70" ca="1" si="1320">IFERROR(VLOOKUP($S70,qx_table,MATCH(AQ$11,qx_title,0)+sexB),0)</f>
        <v>0</v>
      </c>
      <c r="AR70" s="127">
        <f t="shared" ca="1" si="784"/>
        <v>0</v>
      </c>
      <c r="AS70" s="127">
        <f ca="1">SUM(AR70:AR$124)*SSb</f>
        <v>0</v>
      </c>
      <c r="AT70" s="70">
        <f t="shared" ca="1" si="73"/>
        <v>26460.041955159282</v>
      </c>
      <c r="AU70" s="2">
        <f t="shared" ref="AU70" ca="1" si="1321">IFERROR(VLOOKUP($S70,qx_table,MATCH(AU$11,qx_title,0)+sexB),0)</f>
        <v>0</v>
      </c>
      <c r="AV70" s="268">
        <f t="shared" ca="1" si="786"/>
        <v>0</v>
      </c>
      <c r="AW70" s="131">
        <f ca="1">SUM(AV70:AV$124)*SSc</f>
        <v>0</v>
      </c>
      <c r="AX70" s="70">
        <f t="shared" ca="1" si="76"/>
        <v>26460.041955159282</v>
      </c>
      <c r="AY70" s="2">
        <f t="shared" ref="AY70" ca="1" si="1322">IFERROR(VLOOKUP($S70,qx_table,MATCH(AY$11,qx_title,0)+sexB),0)</f>
        <v>0</v>
      </c>
      <c r="AZ70" s="268">
        <f t="shared" ca="1" si="788"/>
        <v>0</v>
      </c>
      <c r="BA70" s="129">
        <f ca="1">SUM(AZ70:AZ$124)*SSd</f>
        <v>0</v>
      </c>
      <c r="BB70" s="70">
        <f t="shared" ca="1" si="79"/>
        <v>26460.041955159282</v>
      </c>
      <c r="BC70" s="257">
        <f t="shared" ref="BC70" ca="1" si="1323">IFERROR(VLOOKUP($S70,qx_table,MATCH(BC$11,qx_title,0)+sexB),0)</f>
        <v>0</v>
      </c>
      <c r="BD70" s="268">
        <f t="shared" ca="1" si="790"/>
        <v>0</v>
      </c>
      <c r="BE70" s="131">
        <f ca="1">SUM(BD70:BD$124)*SSe</f>
        <v>0</v>
      </c>
      <c r="BF70" s="70">
        <f t="shared" ca="1" si="82"/>
        <v>26460.041955159282</v>
      </c>
      <c r="BG70" s="2">
        <f t="shared" ref="BG70" ca="1" si="1324">IFERROR(VLOOKUP($S70,qx_table,MATCH(BG$11,qx_title,0)+sexB),0)</f>
        <v>0</v>
      </c>
      <c r="BH70" s="131">
        <f t="shared" ca="1" si="792"/>
        <v>0</v>
      </c>
      <c r="BI70" s="2">
        <f ca="1">SUM(BH70:BH$124)*SSf</f>
        <v>0</v>
      </c>
      <c r="BJ70" s="70">
        <f t="shared" ca="1" si="85"/>
        <v>26460.041955159282</v>
      </c>
      <c r="BK70" s="2">
        <f t="shared" ref="BK70" ca="1" si="1325">IFERROR(VLOOKUP($S70,qx_table,MATCH(BK$11,qx_title,0)+sexB),0)</f>
        <v>0</v>
      </c>
      <c r="BL70" s="131">
        <f t="shared" ca="1" si="794"/>
        <v>0</v>
      </c>
      <c r="BM70" s="131">
        <f ca="1">SUM(BL70:BL$124)*SSg</f>
        <v>0</v>
      </c>
      <c r="BN70" s="70">
        <f t="shared" ca="1" si="88"/>
        <v>26460.041955159282</v>
      </c>
      <c r="BO70" s="2">
        <f t="shared" ref="BO70" ca="1" si="1326">IFERROR(VLOOKUP($S70,qx_table,MATCH(BO$11,qx_title,0)+sexB),0)</f>
        <v>0</v>
      </c>
      <c r="BP70" s="131">
        <f t="shared" ca="1" si="796"/>
        <v>0</v>
      </c>
      <c r="BQ70" s="131">
        <f ca="1">SUM(BP70:BP$124)*SSh</f>
        <v>0</v>
      </c>
      <c r="BR70" s="70">
        <f t="shared" ca="1" si="91"/>
        <v>26460.041955159282</v>
      </c>
      <c r="BS70" s="2">
        <f t="shared" ref="BS70" ca="1" si="1327">IFERROR(VLOOKUP($S70,qx_table,MATCH(BS$11,qx_title,0)+sexB),0)*IF(R70=0,MCi,1)</f>
        <v>0</v>
      </c>
      <c r="BT70" s="131">
        <f t="shared" ca="1" si="798"/>
        <v>0</v>
      </c>
      <c r="BU70" s="131">
        <f ca="1">SUM(BT70:BT$124)*SSi</f>
        <v>0</v>
      </c>
      <c r="BV70" s="70">
        <f t="shared" ca="1" si="94"/>
        <v>26460.041955159282</v>
      </c>
      <c r="BW70" s="2">
        <f t="shared" ref="BW70" ca="1" si="1328">IFERROR(VLOOKUP($S70,qx_table,MATCH(BW$11,qx_title,0)+sexB),0)</f>
        <v>0</v>
      </c>
      <c r="BX70" s="131">
        <f t="shared" ca="1" si="800"/>
        <v>0</v>
      </c>
      <c r="BY70" s="131">
        <f ca="1">SUM(BX70:BX$124)*SSj</f>
        <v>0</v>
      </c>
      <c r="BZ70" s="70">
        <f t="shared" ca="1" si="97"/>
        <v>26460.041955159282</v>
      </c>
      <c r="CA70" s="2">
        <f t="shared" ref="CA70" ca="1" si="1329">IFERROR(VLOOKUP($S70,qx_table,MATCH(CA$11,qx_title,0)+sexB),0)</f>
        <v>0</v>
      </c>
      <c r="CB70" s="131">
        <f t="shared" ca="1" si="802"/>
        <v>0</v>
      </c>
      <c r="CC70" s="131">
        <f ca="1">SUM(CB70:CB$124)*SSk</f>
        <v>0</v>
      </c>
      <c r="CD70" s="8">
        <f t="shared" ca="1" si="100"/>
        <v>26460.041955159282</v>
      </c>
      <c r="CE70" s="2">
        <f t="shared" ref="CE70" ca="1" si="1330">IFERROR(VLOOKUP($S70,qx_table,MATCH(CE$11,qx_title,0)+sexB),0)</f>
        <v>0</v>
      </c>
      <c r="CF70" s="131">
        <f t="shared" ca="1" si="804"/>
        <v>0</v>
      </c>
      <c r="CG70" s="131">
        <f ca="1">SUM(CF70:CF$124)*SSl</f>
        <v>0</v>
      </c>
      <c r="CH70" s="155">
        <f t="shared" ca="1" si="103"/>
        <v>0.01</v>
      </c>
      <c r="CI70" s="155">
        <f t="shared" ca="1" si="104"/>
        <v>0</v>
      </c>
      <c r="CJ70" s="155">
        <f t="shared" ca="1" si="105"/>
        <v>0</v>
      </c>
      <c r="CK70" s="155">
        <f ca="1">'유해지 (기준P)'!CZ70</f>
        <v>0</v>
      </c>
      <c r="CL70" s="155">
        <f t="shared" ca="1" si="762"/>
        <v>0</v>
      </c>
      <c r="CM70" s="155">
        <f t="shared" ca="1" si="106"/>
        <v>0</v>
      </c>
      <c r="CN70" s="155">
        <f ca="1">SUM(CM70:$CM$124)</f>
        <v>0</v>
      </c>
      <c r="CO70" s="101">
        <f t="shared" ca="1" si="107"/>
        <v>0</v>
      </c>
      <c r="CP70" s="154">
        <f t="shared" ca="1" si="763"/>
        <v>0</v>
      </c>
      <c r="CQ70" s="154">
        <f t="shared" ca="1" si="764"/>
        <v>0</v>
      </c>
      <c r="CR70" s="32">
        <f t="shared" ref="CR70" ca="1" si="1331">+MAX(VLOOKUP(xB+$R70,기수표B,$AH$1)-VLOOKUP(xB+mB,기수표B,$AH$1),0)</f>
        <v>0</v>
      </c>
      <c r="CS70" s="32">
        <f t="shared" ca="1" si="766"/>
        <v>0</v>
      </c>
      <c r="CT70" s="32">
        <f t="shared" ref="CT70" ca="1" si="1332">+MAX(VLOOKUP(xB+$R70,기수표B,$AA$1)-VLOOKUP(xB+mB,기수표B,$AA$1),0)</f>
        <v>0</v>
      </c>
      <c r="CU70" s="32">
        <f t="shared" ca="1" si="768"/>
        <v>0</v>
      </c>
      <c r="CV70" s="32">
        <f t="shared" si="769"/>
        <v>0</v>
      </c>
      <c r="CW70" s="259">
        <f t="shared" ca="1" si="770"/>
        <v>0</v>
      </c>
      <c r="CX70" s="32">
        <f t="shared" ca="1" si="771"/>
        <v>0</v>
      </c>
      <c r="CY70" s="262">
        <f t="shared" ca="1" si="772"/>
        <v>0</v>
      </c>
      <c r="CZ70" s="259" t="e">
        <f t="shared" ca="1" si="773"/>
        <v>#DIV/0!</v>
      </c>
      <c r="DA70" s="31">
        <f t="shared" ref="DA70" ca="1" si="1333">+MIN(mB,7)</f>
        <v>7</v>
      </c>
    </row>
    <row r="71" spans="14:105">
      <c r="N71" s="5">
        <f t="shared" si="111"/>
        <v>59</v>
      </c>
      <c r="O71" s="2">
        <f t="shared" ref="O71" ca="1" si="1334">+(1+iB)^-N71</f>
        <v>0.26906940348047709</v>
      </c>
      <c r="P71" s="2">
        <f t="shared" ref="P71" ca="1" si="1335">+(1+iB)^-(N71+0.5)</f>
        <v>0.2660925145464309</v>
      </c>
      <c r="Q71" s="91"/>
      <c r="R71" s="20">
        <f t="shared" si="114"/>
        <v>59</v>
      </c>
      <c r="S71" s="20" t="str">
        <f t="shared" ref="S71" si="1336">+IF(xB+R71&lt;=xB+nB,xB+R71,"")</f>
        <v/>
      </c>
      <c r="T71" s="2">
        <f t="shared" ref="T71:U71" ca="1" si="1337">IFERROR(VLOOKUP($S71,qx_table,MATCH(T$11,qx_title,0)+sexB),0)</f>
        <v>0</v>
      </c>
      <c r="U71" s="2">
        <f t="shared" ca="1" si="1337"/>
        <v>0</v>
      </c>
      <c r="V71" s="300">
        <f t="shared" ca="1" si="747"/>
        <v>0.01</v>
      </c>
      <c r="W71" s="8">
        <f t="shared" ref="W71" si="1338">IF(R71=0,100000,IF(R71&gt;nB,0,W70*(1-X70)*(1-Y70)))</f>
        <v>0</v>
      </c>
      <c r="X71" s="10">
        <f t="shared" ca="1" si="28"/>
        <v>1.0000000000000009E-2</v>
      </c>
      <c r="Y71" s="10">
        <f t="shared" ca="1" si="29"/>
        <v>0</v>
      </c>
      <c r="Z71" s="8">
        <f t="shared" ca="1" si="64"/>
        <v>0</v>
      </c>
      <c r="AA71" s="8">
        <f ca="1">+SUM(Z71:Z$124)</f>
        <v>0</v>
      </c>
      <c r="AB71" s="8">
        <f t="shared" ca="1" si="30"/>
        <v>0</v>
      </c>
      <c r="AC71" s="209">
        <f ca="1">+SUM(AB71:AB$124)*SSSM</f>
        <v>0</v>
      </c>
      <c r="AD71" s="209">
        <f t="shared" ref="AD71" si="1339">IF(R71&gt;nB,0,AD70*(1-X70)*(1-Y70)*(1-AE70)*(1-AF70))</f>
        <v>0</v>
      </c>
      <c r="AE71" s="92">
        <f t="shared" ca="1" si="31"/>
        <v>0</v>
      </c>
      <c r="AF71" s="92">
        <f t="shared" ca="1" si="32"/>
        <v>0</v>
      </c>
      <c r="AG71" s="8">
        <f t="shared" ca="1" si="33"/>
        <v>0</v>
      </c>
      <c r="AH71" s="5">
        <f ca="1">+SUM(AG71:AG$124)</f>
        <v>0</v>
      </c>
      <c r="AI71" s="70">
        <f t="shared" ca="1" si="34"/>
        <v>0</v>
      </c>
      <c r="AJ71" s="208">
        <f ca="1">+SUM(AB71:AB$124)*SS50J</f>
        <v>0</v>
      </c>
      <c r="AK71" s="5">
        <f t="shared" ca="1" si="66"/>
        <v>26195.44153560769</v>
      </c>
      <c r="AL71" s="2">
        <f t="shared" ref="AL71" ca="1" si="1340">IFERROR(VLOOKUP($S71,qx_table,MATCH(AL$11,qx_title,0)+sexB),0)</f>
        <v>0</v>
      </c>
      <c r="AM71" s="131">
        <f t="shared" ca="1" si="68"/>
        <v>7048.3918278936735</v>
      </c>
      <c r="AN71" s="129">
        <f t="shared" ca="1" si="782"/>
        <v>0</v>
      </c>
      <c r="AO71" s="129">
        <f ca="1">SUM(AN71:AN$124)*SSa</f>
        <v>0</v>
      </c>
      <c r="AP71" s="70">
        <f t="shared" ca="1" si="70"/>
        <v>26195.44153560769</v>
      </c>
      <c r="AQ71" s="2">
        <f t="shared" ref="AQ71" ca="1" si="1341">IFERROR(VLOOKUP($S71,qx_table,MATCH(AQ$11,qx_title,0)+sexB),0)</f>
        <v>0</v>
      </c>
      <c r="AR71" s="127">
        <f t="shared" ca="1" si="784"/>
        <v>0</v>
      </c>
      <c r="AS71" s="127">
        <f ca="1">SUM(AR71:AR$124)*SSb</f>
        <v>0</v>
      </c>
      <c r="AT71" s="70">
        <f t="shared" ca="1" si="73"/>
        <v>26195.44153560769</v>
      </c>
      <c r="AU71" s="2">
        <f t="shared" ref="AU71" ca="1" si="1342">IFERROR(VLOOKUP($S71,qx_table,MATCH(AU$11,qx_title,0)+sexB),0)</f>
        <v>0</v>
      </c>
      <c r="AV71" s="268">
        <f t="shared" ca="1" si="786"/>
        <v>0</v>
      </c>
      <c r="AW71" s="131">
        <f ca="1">SUM(AV71:AV$124)*SSc</f>
        <v>0</v>
      </c>
      <c r="AX71" s="70">
        <f t="shared" ca="1" si="76"/>
        <v>26195.44153560769</v>
      </c>
      <c r="AY71" s="2">
        <f t="shared" ref="AY71" ca="1" si="1343">IFERROR(VLOOKUP($S71,qx_table,MATCH(AY$11,qx_title,0)+sexB),0)</f>
        <v>0</v>
      </c>
      <c r="AZ71" s="268">
        <f t="shared" ca="1" si="788"/>
        <v>0</v>
      </c>
      <c r="BA71" s="129">
        <f ca="1">SUM(AZ71:AZ$124)*SSd</f>
        <v>0</v>
      </c>
      <c r="BB71" s="70">
        <f t="shared" ca="1" si="79"/>
        <v>26195.44153560769</v>
      </c>
      <c r="BC71" s="257">
        <f t="shared" ref="BC71" ca="1" si="1344">IFERROR(VLOOKUP($S71,qx_table,MATCH(BC$11,qx_title,0)+sexB),0)</f>
        <v>0</v>
      </c>
      <c r="BD71" s="268">
        <f t="shared" ca="1" si="790"/>
        <v>0</v>
      </c>
      <c r="BE71" s="131">
        <f ca="1">SUM(BD71:BD$124)*SSe</f>
        <v>0</v>
      </c>
      <c r="BF71" s="70">
        <f t="shared" ca="1" si="82"/>
        <v>26195.44153560769</v>
      </c>
      <c r="BG71" s="2">
        <f t="shared" ref="BG71" ca="1" si="1345">IFERROR(VLOOKUP($S71,qx_table,MATCH(BG$11,qx_title,0)+sexB),0)</f>
        <v>0</v>
      </c>
      <c r="BH71" s="131">
        <f t="shared" ca="1" si="792"/>
        <v>0</v>
      </c>
      <c r="BI71" s="2">
        <f ca="1">SUM(BH71:BH$124)*SSf</f>
        <v>0</v>
      </c>
      <c r="BJ71" s="70">
        <f t="shared" ca="1" si="85"/>
        <v>26195.44153560769</v>
      </c>
      <c r="BK71" s="2">
        <f t="shared" ref="BK71" ca="1" si="1346">IFERROR(VLOOKUP($S71,qx_table,MATCH(BK$11,qx_title,0)+sexB),0)</f>
        <v>0</v>
      </c>
      <c r="BL71" s="131">
        <f t="shared" ca="1" si="794"/>
        <v>0</v>
      </c>
      <c r="BM71" s="131">
        <f ca="1">SUM(BL71:BL$124)*SSg</f>
        <v>0</v>
      </c>
      <c r="BN71" s="70">
        <f t="shared" ca="1" si="88"/>
        <v>26195.44153560769</v>
      </c>
      <c r="BO71" s="2">
        <f t="shared" ref="BO71" ca="1" si="1347">IFERROR(VLOOKUP($S71,qx_table,MATCH(BO$11,qx_title,0)+sexB),0)</f>
        <v>0</v>
      </c>
      <c r="BP71" s="131">
        <f t="shared" ca="1" si="796"/>
        <v>0</v>
      </c>
      <c r="BQ71" s="131">
        <f ca="1">SUM(BP71:BP$124)*SSh</f>
        <v>0</v>
      </c>
      <c r="BR71" s="70">
        <f t="shared" ca="1" si="91"/>
        <v>26195.44153560769</v>
      </c>
      <c r="BS71" s="2">
        <f t="shared" ref="BS71" ca="1" si="1348">IFERROR(VLOOKUP($S71,qx_table,MATCH(BS$11,qx_title,0)+sexB),0)*IF(R71=0,MCi,1)</f>
        <v>0</v>
      </c>
      <c r="BT71" s="131">
        <f t="shared" ca="1" si="798"/>
        <v>0</v>
      </c>
      <c r="BU71" s="131">
        <f ca="1">SUM(BT71:BT$124)*SSi</f>
        <v>0</v>
      </c>
      <c r="BV71" s="70">
        <f t="shared" ca="1" si="94"/>
        <v>26195.44153560769</v>
      </c>
      <c r="BW71" s="2">
        <f t="shared" ref="BW71" ca="1" si="1349">IFERROR(VLOOKUP($S71,qx_table,MATCH(BW$11,qx_title,0)+sexB),0)</f>
        <v>0</v>
      </c>
      <c r="BX71" s="131">
        <f t="shared" ca="1" si="800"/>
        <v>0</v>
      </c>
      <c r="BY71" s="131">
        <f ca="1">SUM(BX71:BX$124)*SSj</f>
        <v>0</v>
      </c>
      <c r="BZ71" s="70">
        <f t="shared" ca="1" si="97"/>
        <v>26195.44153560769</v>
      </c>
      <c r="CA71" s="2">
        <f t="shared" ref="CA71" ca="1" si="1350">IFERROR(VLOOKUP($S71,qx_table,MATCH(CA$11,qx_title,0)+sexB),0)</f>
        <v>0</v>
      </c>
      <c r="CB71" s="131">
        <f t="shared" ca="1" si="802"/>
        <v>0</v>
      </c>
      <c r="CC71" s="131">
        <f ca="1">SUM(CB71:CB$124)*SSk</f>
        <v>0</v>
      </c>
      <c r="CD71" s="8">
        <f t="shared" ca="1" si="100"/>
        <v>26195.44153560769</v>
      </c>
      <c r="CE71" s="2">
        <f t="shared" ref="CE71" ca="1" si="1351">IFERROR(VLOOKUP($S71,qx_table,MATCH(CE$11,qx_title,0)+sexB),0)</f>
        <v>0</v>
      </c>
      <c r="CF71" s="131">
        <f t="shared" ca="1" si="804"/>
        <v>0</v>
      </c>
      <c r="CG71" s="131">
        <f ca="1">SUM(CF71:CF$124)*SSl</f>
        <v>0</v>
      </c>
      <c r="CH71" s="155">
        <f t="shared" ca="1" si="103"/>
        <v>0.01</v>
      </c>
      <c r="CI71" s="155">
        <f t="shared" ca="1" si="104"/>
        <v>0</v>
      </c>
      <c r="CJ71" s="155">
        <f t="shared" ca="1" si="105"/>
        <v>0</v>
      </c>
      <c r="CK71" s="155">
        <f ca="1">'유해지 (기준P)'!CZ71</f>
        <v>0</v>
      </c>
      <c r="CL71" s="155">
        <f t="shared" ca="1" si="762"/>
        <v>0</v>
      </c>
      <c r="CM71" s="155">
        <f t="shared" ca="1" si="106"/>
        <v>0</v>
      </c>
      <c r="CN71" s="155">
        <f ca="1">SUM(CM71:$CM$124)</f>
        <v>0</v>
      </c>
      <c r="CO71" s="101">
        <f t="shared" ca="1" si="107"/>
        <v>0</v>
      </c>
      <c r="CP71" s="154">
        <f t="shared" ca="1" si="763"/>
        <v>0</v>
      </c>
      <c r="CQ71" s="154">
        <f t="shared" ca="1" si="764"/>
        <v>0</v>
      </c>
      <c r="CR71" s="32">
        <f t="shared" ref="CR71" ca="1" si="1352">+MAX(VLOOKUP(xB+$R71,기수표B,$AH$1)-VLOOKUP(xB+mB,기수표B,$AH$1),0)</f>
        <v>0</v>
      </c>
      <c r="CS71" s="32">
        <f t="shared" ca="1" si="766"/>
        <v>0</v>
      </c>
      <c r="CT71" s="32">
        <f t="shared" ref="CT71" ca="1" si="1353">+MAX(VLOOKUP(xB+$R71,기수표B,$AA$1)-VLOOKUP(xB+mB,기수표B,$AA$1),0)</f>
        <v>0</v>
      </c>
      <c r="CU71" s="32">
        <f t="shared" ca="1" si="768"/>
        <v>0</v>
      </c>
      <c r="CV71" s="32">
        <f t="shared" si="769"/>
        <v>0</v>
      </c>
      <c r="CW71" s="259">
        <f t="shared" ca="1" si="770"/>
        <v>0</v>
      </c>
      <c r="CX71" s="32">
        <f t="shared" ca="1" si="771"/>
        <v>0</v>
      </c>
      <c r="CY71" s="262">
        <f t="shared" ca="1" si="772"/>
        <v>0</v>
      </c>
      <c r="CZ71" s="259" t="e">
        <f t="shared" ca="1" si="773"/>
        <v>#DIV/0!</v>
      </c>
      <c r="DA71" s="31">
        <f t="shared" ref="DA71" ca="1" si="1354">+MIN(mB,7)</f>
        <v>7</v>
      </c>
    </row>
    <row r="72" spans="14:105">
      <c r="N72" s="5">
        <f t="shared" si="111"/>
        <v>60</v>
      </c>
      <c r="O72" s="2">
        <f t="shared" ref="O72" ca="1" si="1355">+(1+iB)^-N72</f>
        <v>0.26314856086110222</v>
      </c>
      <c r="P72" s="2">
        <f t="shared" ref="P72" ca="1" si="1356">+(1+iB)^-(N72+0.5)</f>
        <v>0.26023717804051927</v>
      </c>
      <c r="Q72" s="91"/>
      <c r="R72" s="20">
        <f t="shared" si="114"/>
        <v>60</v>
      </c>
      <c r="S72" s="20" t="str">
        <f t="shared" ref="S72" si="1357">+IF(xB+R72&lt;=xB+nB,xB+R72,"")</f>
        <v/>
      </c>
      <c r="T72" s="2">
        <f t="shared" ref="T72:U72" ca="1" si="1358">IFERROR(VLOOKUP($S72,qx_table,MATCH(T$11,qx_title,0)+sexB),0)</f>
        <v>0</v>
      </c>
      <c r="U72" s="2">
        <f t="shared" ca="1" si="1358"/>
        <v>0</v>
      </c>
      <c r="V72" s="300">
        <f t="shared" ca="1" si="747"/>
        <v>0.01</v>
      </c>
      <c r="W72" s="8">
        <f t="shared" ref="W72" si="1359">IF(R72=0,100000,IF(R72&gt;nB,0,W71*(1-X71)*(1-Y71)))</f>
        <v>0</v>
      </c>
      <c r="X72" s="10">
        <f t="shared" ca="1" si="28"/>
        <v>1.0000000000000009E-2</v>
      </c>
      <c r="Y72" s="10">
        <f t="shared" ca="1" si="29"/>
        <v>0</v>
      </c>
      <c r="Z72" s="8">
        <f t="shared" ca="1" si="64"/>
        <v>0</v>
      </c>
      <c r="AA72" s="8">
        <f ca="1">+SUM(Z72:Z$124)</f>
        <v>0</v>
      </c>
      <c r="AB72" s="8">
        <f t="shared" ca="1" si="30"/>
        <v>0</v>
      </c>
      <c r="AC72" s="209">
        <f ca="1">+SUM(AB72:AB$124)*SSSM</f>
        <v>0</v>
      </c>
      <c r="AD72" s="209">
        <f t="shared" ref="AD72" si="1360">IF(R72&gt;nB,0,AD71*(1-X71)*(1-Y71)*(1-AE71)*(1-AF71))</f>
        <v>0</v>
      </c>
      <c r="AE72" s="92">
        <f t="shared" ca="1" si="31"/>
        <v>0</v>
      </c>
      <c r="AF72" s="92">
        <f t="shared" ca="1" si="32"/>
        <v>0</v>
      </c>
      <c r="AG72" s="8">
        <f t="shared" ca="1" si="33"/>
        <v>0</v>
      </c>
      <c r="AH72" s="5">
        <f ca="1">+SUM(AG72:AG$124)</f>
        <v>0</v>
      </c>
      <c r="AI72" s="70">
        <f t="shared" ca="1" si="34"/>
        <v>0</v>
      </c>
      <c r="AJ72" s="208">
        <f ca="1">+SUM(AB72:AB$124)*SS50J</f>
        <v>0</v>
      </c>
      <c r="AK72" s="5">
        <f t="shared" ca="1" si="66"/>
        <v>25933.487120251611</v>
      </c>
      <c r="AL72" s="2">
        <f t="shared" ref="AL72" ca="1" si="1361">IFERROR(VLOOKUP($S72,qx_table,MATCH(AL$11,qx_title,0)+sexB),0)</f>
        <v>0</v>
      </c>
      <c r="AM72" s="131">
        <f t="shared" ca="1" si="68"/>
        <v>6824.3598138041416</v>
      </c>
      <c r="AN72" s="129">
        <f t="shared" ca="1" si="782"/>
        <v>0</v>
      </c>
      <c r="AO72" s="129">
        <f ca="1">SUM(AN72:AN$124)*SSa</f>
        <v>0</v>
      </c>
      <c r="AP72" s="70">
        <f t="shared" ca="1" si="70"/>
        <v>25933.487120251611</v>
      </c>
      <c r="AQ72" s="2">
        <f t="shared" ref="AQ72" ca="1" si="1362">IFERROR(VLOOKUP($S72,qx_table,MATCH(AQ$11,qx_title,0)+sexB),0)</f>
        <v>0</v>
      </c>
      <c r="AR72" s="127">
        <f t="shared" ca="1" si="784"/>
        <v>0</v>
      </c>
      <c r="AS72" s="127">
        <f ca="1">SUM(AR72:AR$124)*SSb</f>
        <v>0</v>
      </c>
      <c r="AT72" s="70">
        <f t="shared" ca="1" si="73"/>
        <v>25933.487120251611</v>
      </c>
      <c r="AU72" s="2">
        <f t="shared" ref="AU72" ca="1" si="1363">IFERROR(VLOOKUP($S72,qx_table,MATCH(AU$11,qx_title,0)+sexB),0)</f>
        <v>0</v>
      </c>
      <c r="AV72" s="268">
        <f t="shared" ca="1" si="786"/>
        <v>0</v>
      </c>
      <c r="AW72" s="131">
        <f ca="1">SUM(AV72:AV$124)*SSc</f>
        <v>0</v>
      </c>
      <c r="AX72" s="70">
        <f t="shared" ca="1" si="76"/>
        <v>25933.487120251611</v>
      </c>
      <c r="AY72" s="2">
        <f t="shared" ref="AY72" ca="1" si="1364">IFERROR(VLOOKUP($S72,qx_table,MATCH(AY$11,qx_title,0)+sexB),0)</f>
        <v>0</v>
      </c>
      <c r="AZ72" s="268">
        <f t="shared" ca="1" si="788"/>
        <v>0</v>
      </c>
      <c r="BA72" s="129">
        <f ca="1">SUM(AZ72:AZ$124)*SSd</f>
        <v>0</v>
      </c>
      <c r="BB72" s="70">
        <f t="shared" ca="1" si="79"/>
        <v>25933.487120251611</v>
      </c>
      <c r="BC72" s="257">
        <f t="shared" ref="BC72" ca="1" si="1365">IFERROR(VLOOKUP($S72,qx_table,MATCH(BC$11,qx_title,0)+sexB),0)</f>
        <v>0</v>
      </c>
      <c r="BD72" s="268">
        <f t="shared" ca="1" si="790"/>
        <v>0</v>
      </c>
      <c r="BE72" s="131">
        <f ca="1">SUM(BD72:BD$124)*SSe</f>
        <v>0</v>
      </c>
      <c r="BF72" s="70">
        <f t="shared" ca="1" si="82"/>
        <v>25933.487120251611</v>
      </c>
      <c r="BG72" s="2">
        <f t="shared" ref="BG72" ca="1" si="1366">IFERROR(VLOOKUP($S72,qx_table,MATCH(BG$11,qx_title,0)+sexB),0)</f>
        <v>0</v>
      </c>
      <c r="BH72" s="131">
        <f t="shared" ca="1" si="792"/>
        <v>0</v>
      </c>
      <c r="BI72" s="2">
        <f ca="1">SUM(BH72:BH$124)*SSf</f>
        <v>0</v>
      </c>
      <c r="BJ72" s="70">
        <f t="shared" ca="1" si="85"/>
        <v>25933.487120251611</v>
      </c>
      <c r="BK72" s="2">
        <f t="shared" ref="BK72" ca="1" si="1367">IFERROR(VLOOKUP($S72,qx_table,MATCH(BK$11,qx_title,0)+sexB),0)</f>
        <v>0</v>
      </c>
      <c r="BL72" s="131">
        <f t="shared" ca="1" si="794"/>
        <v>0</v>
      </c>
      <c r="BM72" s="131">
        <f ca="1">SUM(BL72:BL$124)*SSg</f>
        <v>0</v>
      </c>
      <c r="BN72" s="70">
        <f t="shared" ca="1" si="88"/>
        <v>25933.487120251611</v>
      </c>
      <c r="BO72" s="2">
        <f t="shared" ref="BO72" ca="1" si="1368">IFERROR(VLOOKUP($S72,qx_table,MATCH(BO$11,qx_title,0)+sexB),0)</f>
        <v>0</v>
      </c>
      <c r="BP72" s="131">
        <f t="shared" ca="1" si="796"/>
        <v>0</v>
      </c>
      <c r="BQ72" s="131">
        <f ca="1">SUM(BP72:BP$124)*SSh</f>
        <v>0</v>
      </c>
      <c r="BR72" s="70">
        <f t="shared" ca="1" si="91"/>
        <v>25933.487120251611</v>
      </c>
      <c r="BS72" s="2">
        <f t="shared" ref="BS72" ca="1" si="1369">IFERROR(VLOOKUP($S72,qx_table,MATCH(BS$11,qx_title,0)+sexB),0)*IF(R72=0,MCi,1)</f>
        <v>0</v>
      </c>
      <c r="BT72" s="131">
        <f t="shared" ca="1" si="798"/>
        <v>0</v>
      </c>
      <c r="BU72" s="131">
        <f ca="1">SUM(BT72:BT$124)*SSi</f>
        <v>0</v>
      </c>
      <c r="BV72" s="70">
        <f t="shared" ca="1" si="94"/>
        <v>25933.487120251611</v>
      </c>
      <c r="BW72" s="2">
        <f t="shared" ref="BW72" ca="1" si="1370">IFERROR(VLOOKUP($S72,qx_table,MATCH(BW$11,qx_title,0)+sexB),0)</f>
        <v>0</v>
      </c>
      <c r="BX72" s="131">
        <f t="shared" ca="1" si="800"/>
        <v>0</v>
      </c>
      <c r="BY72" s="131">
        <f ca="1">SUM(BX72:BX$124)*SSj</f>
        <v>0</v>
      </c>
      <c r="BZ72" s="70">
        <f t="shared" ca="1" si="97"/>
        <v>25933.487120251611</v>
      </c>
      <c r="CA72" s="2">
        <f t="shared" ref="CA72" ca="1" si="1371">IFERROR(VLOOKUP($S72,qx_table,MATCH(CA$11,qx_title,0)+sexB),0)</f>
        <v>0</v>
      </c>
      <c r="CB72" s="131">
        <f t="shared" ca="1" si="802"/>
        <v>0</v>
      </c>
      <c r="CC72" s="131">
        <f ca="1">SUM(CB72:CB$124)*SSk</f>
        <v>0</v>
      </c>
      <c r="CD72" s="8">
        <f t="shared" ca="1" si="100"/>
        <v>25933.487120251611</v>
      </c>
      <c r="CE72" s="2">
        <f t="shared" ref="CE72" ca="1" si="1372">IFERROR(VLOOKUP($S72,qx_table,MATCH(CE$11,qx_title,0)+sexB),0)</f>
        <v>0</v>
      </c>
      <c r="CF72" s="131">
        <f t="shared" ca="1" si="804"/>
        <v>0</v>
      </c>
      <c r="CG72" s="131">
        <f ca="1">SUM(CF72:CF$124)*SSl</f>
        <v>0</v>
      </c>
      <c r="CH72" s="155">
        <f t="shared" ca="1" si="103"/>
        <v>0.01</v>
      </c>
      <c r="CI72" s="155">
        <f t="shared" ca="1" si="104"/>
        <v>0</v>
      </c>
      <c r="CJ72" s="155">
        <f t="shared" ca="1" si="105"/>
        <v>0</v>
      </c>
      <c r="CK72" s="155">
        <f ca="1">'유해지 (기준P)'!CZ72</f>
        <v>0</v>
      </c>
      <c r="CL72" s="155">
        <f t="shared" ca="1" si="762"/>
        <v>0</v>
      </c>
      <c r="CM72" s="155">
        <f t="shared" ca="1" si="106"/>
        <v>0</v>
      </c>
      <c r="CN72" s="155">
        <f ca="1">SUM(CM72:$CM$124)</f>
        <v>0</v>
      </c>
      <c r="CO72" s="101">
        <f t="shared" ca="1" si="107"/>
        <v>0</v>
      </c>
      <c r="CP72" s="154">
        <f t="shared" ca="1" si="763"/>
        <v>0</v>
      </c>
      <c r="CQ72" s="154">
        <f t="shared" ca="1" si="764"/>
        <v>0</v>
      </c>
      <c r="CR72" s="32">
        <f t="shared" ref="CR72" ca="1" si="1373">+MAX(VLOOKUP(xB+$R72,기수표B,$AH$1)-VLOOKUP(xB+mB,기수표B,$AH$1),0)</f>
        <v>0</v>
      </c>
      <c r="CS72" s="32">
        <f t="shared" ca="1" si="766"/>
        <v>0</v>
      </c>
      <c r="CT72" s="32">
        <f t="shared" ref="CT72" ca="1" si="1374">+MAX(VLOOKUP(xB+$R72,기수표B,$AA$1)-VLOOKUP(xB+mB,기수표B,$AA$1),0)</f>
        <v>0</v>
      </c>
      <c r="CU72" s="32">
        <f t="shared" ca="1" si="768"/>
        <v>0</v>
      </c>
      <c r="CV72" s="32">
        <f t="shared" si="769"/>
        <v>0</v>
      </c>
      <c r="CW72" s="259">
        <f t="shared" ca="1" si="770"/>
        <v>0</v>
      </c>
      <c r="CX72" s="32">
        <f t="shared" ca="1" si="771"/>
        <v>0</v>
      </c>
      <c r="CY72" s="262">
        <f t="shared" ca="1" si="772"/>
        <v>0</v>
      </c>
      <c r="CZ72" s="259" t="e">
        <f t="shared" ca="1" si="773"/>
        <v>#DIV/0!</v>
      </c>
      <c r="DA72" s="31">
        <f t="shared" ref="DA72" ca="1" si="1375">+MIN(mB,7)</f>
        <v>7</v>
      </c>
    </row>
    <row r="73" spans="14:105">
      <c r="N73" s="5">
        <f t="shared" si="111"/>
        <v>61</v>
      </c>
      <c r="O73" s="2">
        <f t="shared" ref="O73" ca="1" si="1376">+(1+iB)^-N73</f>
        <v>0.2573580057321293</v>
      </c>
      <c r="P73" s="2">
        <f t="shared" ref="P73" ca="1" si="1377">+(1+iB)^-(N73+0.5)</f>
        <v>0.25451068757019002</v>
      </c>
      <c r="Q73" s="91"/>
      <c r="R73" s="20">
        <f t="shared" si="114"/>
        <v>61</v>
      </c>
      <c r="S73" s="20" t="str">
        <f t="shared" ref="S73" si="1378">+IF(xB+R73&lt;=xB+nB,xB+R73,"")</f>
        <v/>
      </c>
      <c r="T73" s="2">
        <f t="shared" ref="T73:U73" ca="1" si="1379">IFERROR(VLOOKUP($S73,qx_table,MATCH(T$11,qx_title,0)+sexB),0)</f>
        <v>0</v>
      </c>
      <c r="U73" s="2">
        <f t="shared" ca="1" si="1379"/>
        <v>0</v>
      </c>
      <c r="V73" s="300">
        <f t="shared" ca="1" si="747"/>
        <v>0.01</v>
      </c>
      <c r="W73" s="8">
        <f t="shared" ref="W73" si="1380">IF(R73=0,100000,IF(R73&gt;nB,0,W72*(1-X72)*(1-Y72)))</f>
        <v>0</v>
      </c>
      <c r="X73" s="10">
        <f t="shared" ca="1" si="28"/>
        <v>1.0000000000000009E-2</v>
      </c>
      <c r="Y73" s="10">
        <f t="shared" ca="1" si="29"/>
        <v>0</v>
      </c>
      <c r="Z73" s="8">
        <f t="shared" ca="1" si="64"/>
        <v>0</v>
      </c>
      <c r="AA73" s="8">
        <f ca="1">+SUM(Z73:Z$124)</f>
        <v>0</v>
      </c>
      <c r="AB73" s="8">
        <f t="shared" ca="1" si="30"/>
        <v>0</v>
      </c>
      <c r="AC73" s="209">
        <f ca="1">+SUM(AB73:AB$124)*SSSM</f>
        <v>0</v>
      </c>
      <c r="AD73" s="209">
        <f t="shared" ref="AD73" si="1381">IF(R73&gt;nB,0,AD72*(1-X72)*(1-Y72)*(1-AE72)*(1-AF72))</f>
        <v>0</v>
      </c>
      <c r="AE73" s="92">
        <f t="shared" ca="1" si="31"/>
        <v>0</v>
      </c>
      <c r="AF73" s="92">
        <f t="shared" ca="1" si="32"/>
        <v>0</v>
      </c>
      <c r="AG73" s="8">
        <f t="shared" ca="1" si="33"/>
        <v>0</v>
      </c>
      <c r="AH73" s="5">
        <f ca="1">+SUM(AG73:AG$124)</f>
        <v>0</v>
      </c>
      <c r="AI73" s="70">
        <f t="shared" ca="1" si="34"/>
        <v>0</v>
      </c>
      <c r="AJ73" s="208">
        <f ca="1">+SUM(AB73:AB$124)*SS50J</f>
        <v>0</v>
      </c>
      <c r="AK73" s="5">
        <f t="shared" ca="1" si="66"/>
        <v>25674.152249049093</v>
      </c>
      <c r="AL73" s="2">
        <f t="shared" ref="AL73" ca="1" si="1382">IFERROR(VLOOKUP($S73,qx_table,MATCH(AL$11,qx_title,0)+sexB),0)</f>
        <v>0</v>
      </c>
      <c r="AM73" s="131">
        <f t="shared" ca="1" si="68"/>
        <v>6607.4486216783371</v>
      </c>
      <c r="AN73" s="129">
        <f t="shared" ca="1" si="782"/>
        <v>0</v>
      </c>
      <c r="AO73" s="129">
        <f ca="1">SUM(AN73:AN$124)*SSa</f>
        <v>0</v>
      </c>
      <c r="AP73" s="70">
        <f t="shared" ca="1" si="70"/>
        <v>25674.152249049093</v>
      </c>
      <c r="AQ73" s="2">
        <f t="shared" ref="AQ73" ca="1" si="1383">IFERROR(VLOOKUP($S73,qx_table,MATCH(AQ$11,qx_title,0)+sexB),0)</f>
        <v>0</v>
      </c>
      <c r="AR73" s="127">
        <f t="shared" ca="1" si="784"/>
        <v>0</v>
      </c>
      <c r="AS73" s="127">
        <f ca="1">SUM(AR73:AR$124)*SSb</f>
        <v>0</v>
      </c>
      <c r="AT73" s="70">
        <f t="shared" ca="1" si="73"/>
        <v>25674.152249049093</v>
      </c>
      <c r="AU73" s="2">
        <f t="shared" ref="AU73" ca="1" si="1384">IFERROR(VLOOKUP($S73,qx_table,MATCH(AU$11,qx_title,0)+sexB),0)</f>
        <v>0</v>
      </c>
      <c r="AV73" s="268">
        <f t="shared" ca="1" si="786"/>
        <v>0</v>
      </c>
      <c r="AW73" s="131">
        <f ca="1">SUM(AV73:AV$124)*SSc</f>
        <v>0</v>
      </c>
      <c r="AX73" s="70">
        <f t="shared" ca="1" si="76"/>
        <v>25674.152249049093</v>
      </c>
      <c r="AY73" s="2">
        <f t="shared" ref="AY73" ca="1" si="1385">IFERROR(VLOOKUP($S73,qx_table,MATCH(AY$11,qx_title,0)+sexB),0)</f>
        <v>0</v>
      </c>
      <c r="AZ73" s="268">
        <f t="shared" ca="1" si="788"/>
        <v>0</v>
      </c>
      <c r="BA73" s="129">
        <f ca="1">SUM(AZ73:AZ$124)*SSd</f>
        <v>0</v>
      </c>
      <c r="BB73" s="70">
        <f t="shared" ca="1" si="79"/>
        <v>25674.152249049093</v>
      </c>
      <c r="BC73" s="257">
        <f t="shared" ref="BC73" ca="1" si="1386">IFERROR(VLOOKUP($S73,qx_table,MATCH(BC$11,qx_title,0)+sexB),0)</f>
        <v>0</v>
      </c>
      <c r="BD73" s="268">
        <f t="shared" ca="1" si="790"/>
        <v>0</v>
      </c>
      <c r="BE73" s="131">
        <f ca="1">SUM(BD73:BD$124)*SSe</f>
        <v>0</v>
      </c>
      <c r="BF73" s="70">
        <f t="shared" ca="1" si="82"/>
        <v>25674.152249049093</v>
      </c>
      <c r="BG73" s="2">
        <f t="shared" ref="BG73" ca="1" si="1387">IFERROR(VLOOKUP($S73,qx_table,MATCH(BG$11,qx_title,0)+sexB),0)</f>
        <v>0</v>
      </c>
      <c r="BH73" s="131">
        <f t="shared" ca="1" si="792"/>
        <v>0</v>
      </c>
      <c r="BI73" s="2">
        <f ca="1">SUM(BH73:BH$124)*SSf</f>
        <v>0</v>
      </c>
      <c r="BJ73" s="70">
        <f t="shared" ca="1" si="85"/>
        <v>25674.152249049093</v>
      </c>
      <c r="BK73" s="2">
        <f t="shared" ref="BK73" ca="1" si="1388">IFERROR(VLOOKUP($S73,qx_table,MATCH(BK$11,qx_title,0)+sexB),0)</f>
        <v>0</v>
      </c>
      <c r="BL73" s="131">
        <f t="shared" ca="1" si="794"/>
        <v>0</v>
      </c>
      <c r="BM73" s="131">
        <f ca="1">SUM(BL73:BL$124)*SSg</f>
        <v>0</v>
      </c>
      <c r="BN73" s="70">
        <f t="shared" ca="1" si="88"/>
        <v>25674.152249049093</v>
      </c>
      <c r="BO73" s="2">
        <f t="shared" ref="BO73" ca="1" si="1389">IFERROR(VLOOKUP($S73,qx_table,MATCH(BO$11,qx_title,0)+sexB),0)</f>
        <v>0</v>
      </c>
      <c r="BP73" s="131">
        <f t="shared" ca="1" si="796"/>
        <v>0</v>
      </c>
      <c r="BQ73" s="131">
        <f ca="1">SUM(BP73:BP$124)*SSh</f>
        <v>0</v>
      </c>
      <c r="BR73" s="70">
        <f t="shared" ca="1" si="91"/>
        <v>25674.152249049093</v>
      </c>
      <c r="BS73" s="2">
        <f t="shared" ref="BS73" ca="1" si="1390">IFERROR(VLOOKUP($S73,qx_table,MATCH(BS$11,qx_title,0)+sexB),0)*IF(R73=0,MCi,1)</f>
        <v>0</v>
      </c>
      <c r="BT73" s="131">
        <f t="shared" ca="1" si="798"/>
        <v>0</v>
      </c>
      <c r="BU73" s="131">
        <f ca="1">SUM(BT73:BT$124)*SSi</f>
        <v>0</v>
      </c>
      <c r="BV73" s="70">
        <f t="shared" ca="1" si="94"/>
        <v>25674.152249049093</v>
      </c>
      <c r="BW73" s="2">
        <f t="shared" ref="BW73" ca="1" si="1391">IFERROR(VLOOKUP($S73,qx_table,MATCH(BW$11,qx_title,0)+sexB),0)</f>
        <v>0</v>
      </c>
      <c r="BX73" s="131">
        <f t="shared" ca="1" si="800"/>
        <v>0</v>
      </c>
      <c r="BY73" s="131">
        <f ca="1">SUM(BX73:BX$124)*SSj</f>
        <v>0</v>
      </c>
      <c r="BZ73" s="70">
        <f t="shared" ca="1" si="97"/>
        <v>25674.152249049093</v>
      </c>
      <c r="CA73" s="2">
        <f t="shared" ref="CA73" ca="1" si="1392">IFERROR(VLOOKUP($S73,qx_table,MATCH(CA$11,qx_title,0)+sexB),0)</f>
        <v>0</v>
      </c>
      <c r="CB73" s="131">
        <f t="shared" ca="1" si="802"/>
        <v>0</v>
      </c>
      <c r="CC73" s="131">
        <f ca="1">SUM(CB73:CB$124)*SSk</f>
        <v>0</v>
      </c>
      <c r="CD73" s="8">
        <f t="shared" ca="1" si="100"/>
        <v>25674.152249049093</v>
      </c>
      <c r="CE73" s="2">
        <f t="shared" ref="CE73" ca="1" si="1393">IFERROR(VLOOKUP($S73,qx_table,MATCH(CE$11,qx_title,0)+sexB),0)</f>
        <v>0</v>
      </c>
      <c r="CF73" s="131">
        <f t="shared" ca="1" si="804"/>
        <v>0</v>
      </c>
      <c r="CG73" s="131">
        <f ca="1">SUM(CF73:CF$124)*SSl</f>
        <v>0</v>
      </c>
      <c r="CH73" s="155">
        <f t="shared" ca="1" si="103"/>
        <v>0.01</v>
      </c>
      <c r="CI73" s="155">
        <f t="shared" ca="1" si="104"/>
        <v>0</v>
      </c>
      <c r="CJ73" s="155">
        <f t="shared" ca="1" si="105"/>
        <v>0</v>
      </c>
      <c r="CK73" s="155">
        <f ca="1">'유해지 (기준P)'!CZ73</f>
        <v>0</v>
      </c>
      <c r="CL73" s="155">
        <f t="shared" ca="1" si="762"/>
        <v>0</v>
      </c>
      <c r="CM73" s="155">
        <f t="shared" ca="1" si="106"/>
        <v>0</v>
      </c>
      <c r="CN73" s="155">
        <f ca="1">SUM(CM73:$CM$124)</f>
        <v>0</v>
      </c>
      <c r="CO73" s="101">
        <f t="shared" ca="1" si="107"/>
        <v>0</v>
      </c>
      <c r="CP73" s="154">
        <f t="shared" ca="1" si="763"/>
        <v>0</v>
      </c>
      <c r="CQ73" s="154">
        <f t="shared" ca="1" si="764"/>
        <v>0</v>
      </c>
      <c r="CR73" s="32">
        <f t="shared" ref="CR73" ca="1" si="1394">+MAX(VLOOKUP(xB+$R73,기수표B,$AH$1)-VLOOKUP(xB+mB,기수표B,$AH$1),0)</f>
        <v>0</v>
      </c>
      <c r="CS73" s="32">
        <f t="shared" ca="1" si="766"/>
        <v>0</v>
      </c>
      <c r="CT73" s="32">
        <f t="shared" ref="CT73" ca="1" si="1395">+MAX(VLOOKUP(xB+$R73,기수표B,$AA$1)-VLOOKUP(xB+mB,기수표B,$AA$1),0)</f>
        <v>0</v>
      </c>
      <c r="CU73" s="32">
        <f t="shared" ca="1" si="768"/>
        <v>0</v>
      </c>
      <c r="CV73" s="32">
        <f t="shared" si="769"/>
        <v>0</v>
      </c>
      <c r="CW73" s="259">
        <f t="shared" ca="1" si="770"/>
        <v>0</v>
      </c>
      <c r="CX73" s="32">
        <f t="shared" ca="1" si="771"/>
        <v>0</v>
      </c>
      <c r="CY73" s="262">
        <f t="shared" ca="1" si="772"/>
        <v>0</v>
      </c>
      <c r="CZ73" s="259" t="e">
        <f t="shared" ca="1" si="773"/>
        <v>#DIV/0!</v>
      </c>
      <c r="DA73" s="31">
        <f t="shared" ref="DA73" ca="1" si="1396">+MIN(mB,7)</f>
        <v>7</v>
      </c>
    </row>
    <row r="74" spans="14:105">
      <c r="N74" s="5">
        <f t="shared" si="111"/>
        <v>62</v>
      </c>
      <c r="O74" s="2">
        <f t="shared" ref="O74" ca="1" si="1397">+(1+iB)^-N74</f>
        <v>0.25169487113166683</v>
      </c>
      <c r="P74" s="2">
        <f t="shared" ref="P74" ca="1" si="1398">+(1+iB)^-(N74+0.5)</f>
        <v>0.24891020789260637</v>
      </c>
      <c r="Q74" s="91"/>
      <c r="R74" s="20">
        <f t="shared" si="114"/>
        <v>62</v>
      </c>
      <c r="S74" s="20" t="str">
        <f t="shared" ref="S74" si="1399">+IF(xB+R74&lt;=xB+nB,xB+R74,"")</f>
        <v/>
      </c>
      <c r="T74" s="2">
        <f t="shared" ref="T74:U74" ca="1" si="1400">IFERROR(VLOOKUP($S74,qx_table,MATCH(T$11,qx_title,0)+sexB),0)</f>
        <v>0</v>
      </c>
      <c r="U74" s="2">
        <f t="shared" ca="1" si="1400"/>
        <v>0</v>
      </c>
      <c r="V74" s="300">
        <f t="shared" ca="1" si="747"/>
        <v>0.01</v>
      </c>
      <c r="W74" s="8">
        <f t="shared" ref="W74" si="1401">IF(R74=0,100000,IF(R74&gt;nB,0,W73*(1-X73)*(1-Y73)))</f>
        <v>0</v>
      </c>
      <c r="X74" s="10">
        <f t="shared" ca="1" si="28"/>
        <v>1.0000000000000009E-2</v>
      </c>
      <c r="Y74" s="10">
        <f t="shared" ca="1" si="29"/>
        <v>0</v>
      </c>
      <c r="Z74" s="8">
        <f t="shared" ca="1" si="64"/>
        <v>0</v>
      </c>
      <c r="AA74" s="8">
        <f ca="1">+SUM(Z74:Z$124)</f>
        <v>0</v>
      </c>
      <c r="AB74" s="8">
        <f t="shared" ca="1" si="30"/>
        <v>0</v>
      </c>
      <c r="AC74" s="209">
        <f ca="1">+SUM(AB74:AB$124)*SSSM</f>
        <v>0</v>
      </c>
      <c r="AD74" s="209">
        <f t="shared" ref="AD74" si="1402">IF(R74&gt;nB,0,AD73*(1-X73)*(1-Y73)*(1-AE73)*(1-AF73))</f>
        <v>0</v>
      </c>
      <c r="AE74" s="92">
        <f t="shared" ca="1" si="31"/>
        <v>0</v>
      </c>
      <c r="AF74" s="92">
        <f t="shared" ca="1" si="32"/>
        <v>0</v>
      </c>
      <c r="AG74" s="8">
        <f t="shared" ca="1" si="33"/>
        <v>0</v>
      </c>
      <c r="AH74" s="5">
        <f ca="1">+SUM(AG74:AG$124)</f>
        <v>0</v>
      </c>
      <c r="AI74" s="70">
        <f t="shared" ca="1" si="34"/>
        <v>0</v>
      </c>
      <c r="AJ74" s="208">
        <f ca="1">+SUM(AB74:AB$124)*SS50J</f>
        <v>0</v>
      </c>
      <c r="AK74" s="5">
        <f t="shared" ca="1" si="66"/>
        <v>25417.410726558603</v>
      </c>
      <c r="AL74" s="2">
        <f t="shared" ref="AL74" ca="1" si="1403">IFERROR(VLOOKUP($S74,qx_table,MATCH(AL$11,qx_title,0)+sexB),0)</f>
        <v>0</v>
      </c>
      <c r="AM74" s="131">
        <f t="shared" ca="1" si="68"/>
        <v>6397.4319173218137</v>
      </c>
      <c r="AN74" s="129">
        <f t="shared" ca="1" si="782"/>
        <v>0</v>
      </c>
      <c r="AO74" s="129">
        <f ca="1">SUM(AN74:AN$124)*SSa</f>
        <v>0</v>
      </c>
      <c r="AP74" s="70">
        <f t="shared" ca="1" si="70"/>
        <v>25417.410726558603</v>
      </c>
      <c r="AQ74" s="2">
        <f t="shared" ref="AQ74" ca="1" si="1404">IFERROR(VLOOKUP($S74,qx_table,MATCH(AQ$11,qx_title,0)+sexB),0)</f>
        <v>0</v>
      </c>
      <c r="AR74" s="127">
        <f t="shared" ca="1" si="784"/>
        <v>0</v>
      </c>
      <c r="AS74" s="127">
        <f ca="1">SUM(AR74:AR$124)*SSb</f>
        <v>0</v>
      </c>
      <c r="AT74" s="70">
        <f t="shared" ca="1" si="73"/>
        <v>25417.410726558603</v>
      </c>
      <c r="AU74" s="2">
        <f t="shared" ref="AU74" ca="1" si="1405">IFERROR(VLOOKUP($S74,qx_table,MATCH(AU$11,qx_title,0)+sexB),0)</f>
        <v>0</v>
      </c>
      <c r="AV74" s="268">
        <f t="shared" ca="1" si="786"/>
        <v>0</v>
      </c>
      <c r="AW74" s="131">
        <f ca="1">SUM(AV74:AV$124)*SSc</f>
        <v>0</v>
      </c>
      <c r="AX74" s="70">
        <f t="shared" ca="1" si="76"/>
        <v>25417.410726558603</v>
      </c>
      <c r="AY74" s="2">
        <f t="shared" ref="AY74" ca="1" si="1406">IFERROR(VLOOKUP($S74,qx_table,MATCH(AY$11,qx_title,0)+sexB),0)</f>
        <v>0</v>
      </c>
      <c r="AZ74" s="268">
        <f t="shared" ca="1" si="788"/>
        <v>0</v>
      </c>
      <c r="BA74" s="129">
        <f ca="1">SUM(AZ74:AZ$124)*SSd</f>
        <v>0</v>
      </c>
      <c r="BB74" s="70">
        <f t="shared" ca="1" si="79"/>
        <v>25417.410726558603</v>
      </c>
      <c r="BC74" s="257">
        <f t="shared" ref="BC74" ca="1" si="1407">IFERROR(VLOOKUP($S74,qx_table,MATCH(BC$11,qx_title,0)+sexB),0)</f>
        <v>0</v>
      </c>
      <c r="BD74" s="268">
        <f t="shared" ca="1" si="790"/>
        <v>0</v>
      </c>
      <c r="BE74" s="131">
        <f ca="1">SUM(BD74:BD$124)*SSe</f>
        <v>0</v>
      </c>
      <c r="BF74" s="70">
        <f t="shared" ca="1" si="82"/>
        <v>25417.410726558603</v>
      </c>
      <c r="BG74" s="2">
        <f t="shared" ref="BG74" ca="1" si="1408">IFERROR(VLOOKUP($S74,qx_table,MATCH(BG$11,qx_title,0)+sexB),0)</f>
        <v>0</v>
      </c>
      <c r="BH74" s="131">
        <f t="shared" ca="1" si="792"/>
        <v>0</v>
      </c>
      <c r="BI74" s="2">
        <f ca="1">SUM(BH74:BH$124)*SSf</f>
        <v>0</v>
      </c>
      <c r="BJ74" s="70">
        <f t="shared" ca="1" si="85"/>
        <v>25417.410726558603</v>
      </c>
      <c r="BK74" s="2">
        <f t="shared" ref="BK74" ca="1" si="1409">IFERROR(VLOOKUP($S74,qx_table,MATCH(BK$11,qx_title,0)+sexB),0)</f>
        <v>0</v>
      </c>
      <c r="BL74" s="131">
        <f t="shared" ca="1" si="794"/>
        <v>0</v>
      </c>
      <c r="BM74" s="131">
        <f ca="1">SUM(BL74:BL$124)*SSg</f>
        <v>0</v>
      </c>
      <c r="BN74" s="70">
        <f t="shared" ca="1" si="88"/>
        <v>25417.410726558603</v>
      </c>
      <c r="BO74" s="2">
        <f t="shared" ref="BO74" ca="1" si="1410">IFERROR(VLOOKUP($S74,qx_table,MATCH(BO$11,qx_title,0)+sexB),0)</f>
        <v>0</v>
      </c>
      <c r="BP74" s="131">
        <f t="shared" ca="1" si="796"/>
        <v>0</v>
      </c>
      <c r="BQ74" s="131">
        <f ca="1">SUM(BP74:BP$124)*SSh</f>
        <v>0</v>
      </c>
      <c r="BR74" s="70">
        <f t="shared" ca="1" si="91"/>
        <v>25417.410726558603</v>
      </c>
      <c r="BS74" s="2">
        <f t="shared" ref="BS74" ca="1" si="1411">IFERROR(VLOOKUP($S74,qx_table,MATCH(BS$11,qx_title,0)+sexB),0)*IF(R74=0,MCi,1)</f>
        <v>0</v>
      </c>
      <c r="BT74" s="131">
        <f t="shared" ca="1" si="798"/>
        <v>0</v>
      </c>
      <c r="BU74" s="131">
        <f ca="1">SUM(BT74:BT$124)*SSi</f>
        <v>0</v>
      </c>
      <c r="BV74" s="70">
        <f t="shared" ca="1" si="94"/>
        <v>25417.410726558603</v>
      </c>
      <c r="BW74" s="2">
        <f t="shared" ref="BW74" ca="1" si="1412">IFERROR(VLOOKUP($S74,qx_table,MATCH(BW$11,qx_title,0)+sexB),0)</f>
        <v>0</v>
      </c>
      <c r="BX74" s="131">
        <f t="shared" ca="1" si="800"/>
        <v>0</v>
      </c>
      <c r="BY74" s="131">
        <f ca="1">SUM(BX74:BX$124)*SSj</f>
        <v>0</v>
      </c>
      <c r="BZ74" s="70">
        <f t="shared" ca="1" si="97"/>
        <v>25417.410726558603</v>
      </c>
      <c r="CA74" s="2">
        <f t="shared" ref="CA74" ca="1" si="1413">IFERROR(VLOOKUP($S74,qx_table,MATCH(CA$11,qx_title,0)+sexB),0)</f>
        <v>0</v>
      </c>
      <c r="CB74" s="131">
        <f t="shared" ca="1" si="802"/>
        <v>0</v>
      </c>
      <c r="CC74" s="131">
        <f ca="1">SUM(CB74:CB$124)*SSk</f>
        <v>0</v>
      </c>
      <c r="CD74" s="8">
        <f t="shared" ca="1" si="100"/>
        <v>25417.410726558603</v>
      </c>
      <c r="CE74" s="2">
        <f t="shared" ref="CE74" ca="1" si="1414">IFERROR(VLOOKUP($S74,qx_table,MATCH(CE$11,qx_title,0)+sexB),0)</f>
        <v>0</v>
      </c>
      <c r="CF74" s="131">
        <f t="shared" ca="1" si="804"/>
        <v>0</v>
      </c>
      <c r="CG74" s="131">
        <f ca="1">SUM(CF74:CF$124)*SSl</f>
        <v>0</v>
      </c>
      <c r="CH74" s="155">
        <f t="shared" ca="1" si="103"/>
        <v>0.01</v>
      </c>
      <c r="CI74" s="155">
        <f t="shared" ca="1" si="104"/>
        <v>0</v>
      </c>
      <c r="CJ74" s="155">
        <f t="shared" ca="1" si="105"/>
        <v>0</v>
      </c>
      <c r="CK74" s="155">
        <f ca="1">'유해지 (기준P)'!CZ74</f>
        <v>0</v>
      </c>
      <c r="CL74" s="155">
        <f t="shared" ca="1" si="762"/>
        <v>0</v>
      </c>
      <c r="CM74" s="155">
        <f t="shared" ca="1" si="106"/>
        <v>0</v>
      </c>
      <c r="CN74" s="155">
        <f ca="1">SUM(CM74:$CM$124)</f>
        <v>0</v>
      </c>
      <c r="CO74" s="101">
        <f t="shared" ca="1" si="107"/>
        <v>0</v>
      </c>
      <c r="CP74" s="154">
        <f t="shared" ca="1" si="763"/>
        <v>0</v>
      </c>
      <c r="CQ74" s="154">
        <f t="shared" ca="1" si="764"/>
        <v>0</v>
      </c>
      <c r="CR74" s="32">
        <f t="shared" ref="CR74" ca="1" si="1415">+MAX(VLOOKUP(xB+$R74,기수표B,$AH$1)-VLOOKUP(xB+mB,기수표B,$AH$1),0)</f>
        <v>0</v>
      </c>
      <c r="CS74" s="32">
        <f t="shared" ca="1" si="766"/>
        <v>0</v>
      </c>
      <c r="CT74" s="32">
        <f t="shared" ref="CT74" ca="1" si="1416">+MAX(VLOOKUP(xB+$R74,기수표B,$AA$1)-VLOOKUP(xB+mB,기수표B,$AA$1),0)</f>
        <v>0</v>
      </c>
      <c r="CU74" s="32">
        <f t="shared" ca="1" si="768"/>
        <v>0</v>
      </c>
      <c r="CV74" s="32">
        <f t="shared" si="769"/>
        <v>0</v>
      </c>
      <c r="CW74" s="259">
        <f t="shared" ca="1" si="770"/>
        <v>0</v>
      </c>
      <c r="CX74" s="32">
        <f t="shared" ca="1" si="771"/>
        <v>0</v>
      </c>
      <c r="CY74" s="262">
        <f t="shared" ca="1" si="772"/>
        <v>0</v>
      </c>
      <c r="CZ74" s="259" t="e">
        <f t="shared" ca="1" si="773"/>
        <v>#DIV/0!</v>
      </c>
      <c r="DA74" s="31">
        <f t="shared" ref="DA74" ca="1" si="1417">+MIN(mB,7)</f>
        <v>7</v>
      </c>
    </row>
    <row r="75" spans="14:105">
      <c r="N75" s="5">
        <f t="shared" si="111"/>
        <v>63</v>
      </c>
      <c r="O75" s="2">
        <f t="shared" ref="O75" ca="1" si="1418">+(1+iB)^-N75</f>
        <v>0.24615635318500426</v>
      </c>
      <c r="P75" s="2">
        <f t="shared" ref="P75" ca="1" si="1419">+(1+iB)^-(N75+0.5)</f>
        <v>0.24343296615413826</v>
      </c>
      <c r="Q75" s="91"/>
      <c r="R75" s="20">
        <f t="shared" si="114"/>
        <v>63</v>
      </c>
      <c r="S75" s="20" t="str">
        <f t="shared" ref="S75" si="1420">+IF(xB+R75&lt;=xB+nB,xB+R75,"")</f>
        <v/>
      </c>
      <c r="T75" s="2">
        <f t="shared" ref="T75:U75" ca="1" si="1421">IFERROR(VLOOKUP($S75,qx_table,MATCH(T$11,qx_title,0)+sexB),0)</f>
        <v>0</v>
      </c>
      <c r="U75" s="2">
        <f t="shared" ca="1" si="1421"/>
        <v>0</v>
      </c>
      <c r="V75" s="300">
        <f t="shared" ca="1" si="747"/>
        <v>0.01</v>
      </c>
      <c r="W75" s="8">
        <f t="shared" ref="W75" si="1422">IF(R75=0,100000,IF(R75&gt;nB,0,W74*(1-X74)*(1-Y74)))</f>
        <v>0</v>
      </c>
      <c r="X75" s="10">
        <f t="shared" ca="1" si="28"/>
        <v>1.0000000000000009E-2</v>
      </c>
      <c r="Y75" s="10">
        <f t="shared" ca="1" si="29"/>
        <v>0</v>
      </c>
      <c r="Z75" s="8">
        <f t="shared" ca="1" si="64"/>
        <v>0</v>
      </c>
      <c r="AA75" s="8">
        <f ca="1">+SUM(Z75:Z$124)</f>
        <v>0</v>
      </c>
      <c r="AB75" s="8">
        <f t="shared" ca="1" si="30"/>
        <v>0</v>
      </c>
      <c r="AC75" s="209">
        <f ca="1">+SUM(AB75:AB$124)*SSSM</f>
        <v>0</v>
      </c>
      <c r="AD75" s="209">
        <f t="shared" ref="AD75" si="1423">IF(R75&gt;nB,0,AD74*(1-X74)*(1-Y74)*(1-AE74)*(1-AF74))</f>
        <v>0</v>
      </c>
      <c r="AE75" s="92">
        <f t="shared" ca="1" si="31"/>
        <v>0</v>
      </c>
      <c r="AF75" s="92">
        <f t="shared" ca="1" si="32"/>
        <v>0</v>
      </c>
      <c r="AG75" s="8">
        <f t="shared" ca="1" si="33"/>
        <v>0</v>
      </c>
      <c r="AH75" s="5">
        <f ca="1">+SUM(AG75:AG$124)</f>
        <v>0</v>
      </c>
      <c r="AI75" s="70">
        <f t="shared" ca="1" si="34"/>
        <v>0</v>
      </c>
      <c r="AJ75" s="208">
        <f ca="1">+SUM(AB75:AB$124)*SS50J</f>
        <v>0</v>
      </c>
      <c r="AK75" s="5">
        <f t="shared" ca="1" si="66"/>
        <v>25163.236619293017</v>
      </c>
      <c r="AL75" s="2">
        <f t="shared" ref="AL75" ca="1" si="1424">IFERROR(VLOOKUP($S75,qx_table,MATCH(AL$11,qx_title,0)+sexB),0)</f>
        <v>0</v>
      </c>
      <c r="AM75" s="131">
        <f t="shared" ca="1" si="68"/>
        <v>6194.0905605365242</v>
      </c>
      <c r="AN75" s="129">
        <f t="shared" ca="1" si="782"/>
        <v>0</v>
      </c>
      <c r="AO75" s="129">
        <f ca="1">SUM(AN75:AN$124)*SSa</f>
        <v>0</v>
      </c>
      <c r="AP75" s="70">
        <f t="shared" ca="1" si="70"/>
        <v>25163.236619293017</v>
      </c>
      <c r="AQ75" s="2">
        <f t="shared" ref="AQ75" ca="1" si="1425">IFERROR(VLOOKUP($S75,qx_table,MATCH(AQ$11,qx_title,0)+sexB),0)</f>
        <v>0</v>
      </c>
      <c r="AR75" s="127">
        <f t="shared" ca="1" si="784"/>
        <v>0</v>
      </c>
      <c r="AS75" s="127">
        <f ca="1">SUM(AR75:AR$124)*SSb</f>
        <v>0</v>
      </c>
      <c r="AT75" s="70">
        <f t="shared" ca="1" si="73"/>
        <v>25163.236619293017</v>
      </c>
      <c r="AU75" s="2">
        <f t="shared" ref="AU75" ca="1" si="1426">IFERROR(VLOOKUP($S75,qx_table,MATCH(AU$11,qx_title,0)+sexB),0)</f>
        <v>0</v>
      </c>
      <c r="AV75" s="268">
        <f t="shared" ca="1" si="786"/>
        <v>0</v>
      </c>
      <c r="AW75" s="131">
        <f ca="1">SUM(AV75:AV$124)*SSc</f>
        <v>0</v>
      </c>
      <c r="AX75" s="70">
        <f t="shared" ca="1" si="76"/>
        <v>25163.236619293017</v>
      </c>
      <c r="AY75" s="2">
        <f t="shared" ref="AY75" ca="1" si="1427">IFERROR(VLOOKUP($S75,qx_table,MATCH(AY$11,qx_title,0)+sexB),0)</f>
        <v>0</v>
      </c>
      <c r="AZ75" s="268">
        <f t="shared" ca="1" si="788"/>
        <v>0</v>
      </c>
      <c r="BA75" s="129">
        <f ca="1">SUM(AZ75:AZ$124)*SSd</f>
        <v>0</v>
      </c>
      <c r="BB75" s="70">
        <f t="shared" ca="1" si="79"/>
        <v>25163.236619293017</v>
      </c>
      <c r="BC75" s="257">
        <f t="shared" ref="BC75" ca="1" si="1428">IFERROR(VLOOKUP($S75,qx_table,MATCH(BC$11,qx_title,0)+sexB),0)</f>
        <v>0</v>
      </c>
      <c r="BD75" s="268">
        <f t="shared" ca="1" si="790"/>
        <v>0</v>
      </c>
      <c r="BE75" s="131">
        <f ca="1">SUM(BD75:BD$124)*SSe</f>
        <v>0</v>
      </c>
      <c r="BF75" s="70">
        <f t="shared" ca="1" si="82"/>
        <v>25163.236619293017</v>
      </c>
      <c r="BG75" s="2">
        <f t="shared" ref="BG75" ca="1" si="1429">IFERROR(VLOOKUP($S75,qx_table,MATCH(BG$11,qx_title,0)+sexB),0)</f>
        <v>0</v>
      </c>
      <c r="BH75" s="131">
        <f t="shared" ca="1" si="792"/>
        <v>0</v>
      </c>
      <c r="BI75" s="2">
        <f ca="1">SUM(BH75:BH$124)*SSf</f>
        <v>0</v>
      </c>
      <c r="BJ75" s="70">
        <f t="shared" ca="1" si="85"/>
        <v>25163.236619293017</v>
      </c>
      <c r="BK75" s="2">
        <f t="shared" ref="BK75" ca="1" si="1430">IFERROR(VLOOKUP($S75,qx_table,MATCH(BK$11,qx_title,0)+sexB),0)</f>
        <v>0</v>
      </c>
      <c r="BL75" s="131">
        <f t="shared" ca="1" si="794"/>
        <v>0</v>
      </c>
      <c r="BM75" s="131">
        <f ca="1">SUM(BL75:BL$124)*SSg</f>
        <v>0</v>
      </c>
      <c r="BN75" s="70">
        <f t="shared" ca="1" si="88"/>
        <v>25163.236619293017</v>
      </c>
      <c r="BO75" s="2">
        <f t="shared" ref="BO75" ca="1" si="1431">IFERROR(VLOOKUP($S75,qx_table,MATCH(BO$11,qx_title,0)+sexB),0)</f>
        <v>0</v>
      </c>
      <c r="BP75" s="131">
        <f t="shared" ca="1" si="796"/>
        <v>0</v>
      </c>
      <c r="BQ75" s="131">
        <f ca="1">SUM(BP75:BP$124)*SSh</f>
        <v>0</v>
      </c>
      <c r="BR75" s="70">
        <f t="shared" ca="1" si="91"/>
        <v>25163.236619293017</v>
      </c>
      <c r="BS75" s="2">
        <f t="shared" ref="BS75" ca="1" si="1432">IFERROR(VLOOKUP($S75,qx_table,MATCH(BS$11,qx_title,0)+sexB),0)*IF(R75=0,MCi,1)</f>
        <v>0</v>
      </c>
      <c r="BT75" s="131">
        <f t="shared" ca="1" si="798"/>
        <v>0</v>
      </c>
      <c r="BU75" s="131">
        <f ca="1">SUM(BT75:BT$124)*SSi</f>
        <v>0</v>
      </c>
      <c r="BV75" s="70">
        <f t="shared" ca="1" si="94"/>
        <v>25163.236619293017</v>
      </c>
      <c r="BW75" s="2">
        <f t="shared" ref="BW75" ca="1" si="1433">IFERROR(VLOOKUP($S75,qx_table,MATCH(BW$11,qx_title,0)+sexB),0)</f>
        <v>0</v>
      </c>
      <c r="BX75" s="131">
        <f t="shared" ca="1" si="800"/>
        <v>0</v>
      </c>
      <c r="BY75" s="131">
        <f ca="1">SUM(BX75:BX$124)*SSj</f>
        <v>0</v>
      </c>
      <c r="BZ75" s="70">
        <f t="shared" ca="1" si="97"/>
        <v>25163.236619293017</v>
      </c>
      <c r="CA75" s="2">
        <f t="shared" ref="CA75" ca="1" si="1434">IFERROR(VLOOKUP($S75,qx_table,MATCH(CA$11,qx_title,0)+sexB),0)</f>
        <v>0</v>
      </c>
      <c r="CB75" s="131">
        <f t="shared" ca="1" si="802"/>
        <v>0</v>
      </c>
      <c r="CC75" s="131">
        <f ca="1">SUM(CB75:CB$124)*SSk</f>
        <v>0</v>
      </c>
      <c r="CD75" s="8">
        <f t="shared" ca="1" si="100"/>
        <v>25163.236619293017</v>
      </c>
      <c r="CE75" s="2">
        <f t="shared" ref="CE75" ca="1" si="1435">IFERROR(VLOOKUP($S75,qx_table,MATCH(CE$11,qx_title,0)+sexB),0)</f>
        <v>0</v>
      </c>
      <c r="CF75" s="131">
        <f t="shared" ca="1" si="804"/>
        <v>0</v>
      </c>
      <c r="CG75" s="131">
        <f ca="1">SUM(CF75:CF$124)*SSl</f>
        <v>0</v>
      </c>
      <c r="CH75" s="155">
        <f t="shared" ca="1" si="103"/>
        <v>0.01</v>
      </c>
      <c r="CI75" s="155">
        <f t="shared" ca="1" si="104"/>
        <v>0</v>
      </c>
      <c r="CJ75" s="155">
        <f t="shared" ca="1" si="105"/>
        <v>0</v>
      </c>
      <c r="CK75" s="155">
        <f ca="1">'유해지 (기준P)'!CZ75</f>
        <v>0</v>
      </c>
      <c r="CL75" s="155">
        <f t="shared" ca="1" si="762"/>
        <v>0</v>
      </c>
      <c r="CM75" s="155">
        <f t="shared" ca="1" si="106"/>
        <v>0</v>
      </c>
      <c r="CN75" s="155">
        <f ca="1">SUM(CM75:$CM$124)</f>
        <v>0</v>
      </c>
      <c r="CO75" s="101">
        <f t="shared" ca="1" si="107"/>
        <v>0</v>
      </c>
      <c r="CP75" s="154">
        <f t="shared" ca="1" si="763"/>
        <v>0</v>
      </c>
      <c r="CQ75" s="154">
        <f t="shared" ca="1" si="764"/>
        <v>0</v>
      </c>
      <c r="CR75" s="32">
        <f t="shared" ref="CR75" ca="1" si="1436">+MAX(VLOOKUP(xB+$R75,기수표B,$AH$1)-VLOOKUP(xB+mB,기수표B,$AH$1),0)</f>
        <v>0</v>
      </c>
      <c r="CS75" s="32">
        <f t="shared" ca="1" si="766"/>
        <v>0</v>
      </c>
      <c r="CT75" s="32">
        <f t="shared" ref="CT75" ca="1" si="1437">+MAX(VLOOKUP(xB+$R75,기수표B,$AA$1)-VLOOKUP(xB+mB,기수표B,$AA$1),0)</f>
        <v>0</v>
      </c>
      <c r="CU75" s="32">
        <f t="shared" ca="1" si="768"/>
        <v>0</v>
      </c>
      <c r="CV75" s="32">
        <f t="shared" si="769"/>
        <v>0</v>
      </c>
      <c r="CW75" s="259">
        <f t="shared" ca="1" si="770"/>
        <v>0</v>
      </c>
      <c r="CX75" s="32">
        <f t="shared" ca="1" si="771"/>
        <v>0</v>
      </c>
      <c r="CY75" s="262">
        <f t="shared" ca="1" si="772"/>
        <v>0</v>
      </c>
      <c r="CZ75" s="259" t="e">
        <f t="shared" ca="1" si="773"/>
        <v>#DIV/0!</v>
      </c>
      <c r="DA75" s="31">
        <f t="shared" ref="DA75" ca="1" si="1438">+MIN(mB,7)</f>
        <v>7</v>
      </c>
    </row>
    <row r="76" spans="14:105">
      <c r="N76" s="5">
        <f t="shared" si="111"/>
        <v>64</v>
      </c>
      <c r="O76" s="2">
        <f t="shared" ref="O76" ca="1" si="1439">+(1+iB)^-N76</f>
        <v>0.24073970971638561</v>
      </c>
      <c r="P76" s="2">
        <f t="shared" ref="P76" ca="1" si="1440">+(1+iB)^-(N76+0.5)</f>
        <v>0.23807625051749462</v>
      </c>
      <c r="Q76" s="91"/>
      <c r="R76" s="20">
        <f t="shared" si="114"/>
        <v>64</v>
      </c>
      <c r="S76" s="20" t="str">
        <f t="shared" ref="S76" si="1441">+IF(xB+R76&lt;=xB+nB,xB+R76,"")</f>
        <v/>
      </c>
      <c r="T76" s="2">
        <f t="shared" ref="T76:U76" ca="1" si="1442">IFERROR(VLOOKUP($S76,qx_table,MATCH(T$11,qx_title,0)+sexB),0)</f>
        <v>0</v>
      </c>
      <c r="U76" s="2">
        <f t="shared" ca="1" si="1442"/>
        <v>0</v>
      </c>
      <c r="V76" s="300">
        <f t="shared" ref="V76:V107" ca="1" si="1443">IF(JRB=2,0,IF(R76&gt;=mB,VLOOKUP(R76-mB,해지율_납기후,2),IF(R76=mB-1,0,VLOOKUP(R76,해지율_납기전,2))))</f>
        <v>0.01</v>
      </c>
      <c r="W76" s="8">
        <f t="shared" ref="W76" si="1444">IF(R76=0,100000,IF(R76&gt;nB,0,W75*(1-X75)*(1-Y75)))</f>
        <v>0</v>
      </c>
      <c r="X76" s="10">
        <f t="shared" ref="X76:X124" ca="1" si="1445">1-IFERROR((1-YTSM*$T76)*(1-V76*(1-T76/2)/(1-T76)),0)</f>
        <v>1.0000000000000009E-2</v>
      </c>
      <c r="Y76" s="10">
        <f t="shared" ref="Y76:Y124" ca="1" si="1446">IFERROR(1-(1-YT50J*U76*(1-T76/2)/(1-T76))*(1-YTa*AL76*(1-T76/2)/(1-T76))*(1-YTb*AQ76*(1-T76/2)/(1-T76))*(1-YTc*AU76*(1-T76/2)/(1-T76)),0)</f>
        <v>0</v>
      </c>
      <c r="Z76" s="8">
        <f t="shared" ca="1" si="64"/>
        <v>0</v>
      </c>
      <c r="AA76" s="8">
        <f ca="1">+SUM(Z76:Z$124)</f>
        <v>0</v>
      </c>
      <c r="AB76" s="8">
        <f t="shared" ref="AB76:AB124" ca="1" si="1447">W76*X76*P76</f>
        <v>0</v>
      </c>
      <c r="AC76" s="209">
        <f ca="1">+SUM(AB76:AB$124)*SSSM</f>
        <v>0</v>
      </c>
      <c r="AD76" s="209">
        <f t="shared" ref="AD76" si="1448">IF(R76&gt;nB,0,AD75*(1-X75)*(1-Y75)*(1-AE75)*(1-AF75))</f>
        <v>0</v>
      </c>
      <c r="AE76" s="92">
        <f t="shared" ref="AE76:AE124" ca="1" si="1449">1-IFERROR((1-NT50J*U76*(1-T76/2)/(1-T76)),0)</f>
        <v>0</v>
      </c>
      <c r="AF76" s="92">
        <f t="shared" ref="AF76:AF124" ca="1" si="1450">IFERROR(1-(1-NTa*AL76*(1-T76/2)/(1-T76))*(1-NTb*AQ76*(1-T76/2)/(1-T76))*(1-NTc*AU76*(1-T76/2)/(1-T76)),0)</f>
        <v>0</v>
      </c>
      <c r="AG76" s="8">
        <f t="shared" ref="AG76:AG124" ca="1" si="1451">+AD76*$O76</f>
        <v>0</v>
      </c>
      <c r="AH76" s="5">
        <f ca="1">+SUM(AG76:AG$124)</f>
        <v>0</v>
      </c>
      <c r="AI76" s="70">
        <f t="shared" ref="AI76:AI124" ca="1" si="1452">AD76*AE76*P76</f>
        <v>0</v>
      </c>
      <c r="AJ76" s="208">
        <f ca="1">+SUM(AB76:AB$124)*SS50J</f>
        <v>0</v>
      </c>
      <c r="AK76" s="5">
        <f t="shared" ca="1" si="66"/>
        <v>24911.604253100086</v>
      </c>
      <c r="AL76" s="2">
        <f t="shared" ref="AL76" ca="1" si="1453">IFERROR(VLOOKUP($S76,qx_table,MATCH(AL$11,qx_title,0)+sexB),0)</f>
        <v>0</v>
      </c>
      <c r="AM76" s="131">
        <f t="shared" ca="1" si="68"/>
        <v>5997.2123764607923</v>
      </c>
      <c r="AN76" s="129">
        <f t="shared" ca="1" si="782"/>
        <v>0</v>
      </c>
      <c r="AO76" s="129">
        <f ca="1">SUM(AN76:AN$124)*SSa</f>
        <v>0</v>
      </c>
      <c r="AP76" s="70">
        <f t="shared" ca="1" si="70"/>
        <v>24911.604253100086</v>
      </c>
      <c r="AQ76" s="2">
        <f t="shared" ref="AQ76" ca="1" si="1454">IFERROR(VLOOKUP($S76,qx_table,MATCH(AQ$11,qx_title,0)+sexB),0)</f>
        <v>0</v>
      </c>
      <c r="AR76" s="127">
        <f t="shared" ca="1" si="784"/>
        <v>0</v>
      </c>
      <c r="AS76" s="127">
        <f ca="1">SUM(AR76:AR$124)*SSb</f>
        <v>0</v>
      </c>
      <c r="AT76" s="70">
        <f t="shared" ca="1" si="73"/>
        <v>24911.604253100086</v>
      </c>
      <c r="AU76" s="2">
        <f t="shared" ref="AU76" ca="1" si="1455">IFERROR(VLOOKUP($S76,qx_table,MATCH(AU$11,qx_title,0)+sexB),0)</f>
        <v>0</v>
      </c>
      <c r="AV76" s="268">
        <f t="shared" ca="1" si="786"/>
        <v>0</v>
      </c>
      <c r="AW76" s="131">
        <f ca="1">SUM(AV76:AV$124)*SSc</f>
        <v>0</v>
      </c>
      <c r="AX76" s="70">
        <f t="shared" ca="1" si="76"/>
        <v>24911.604253100086</v>
      </c>
      <c r="AY76" s="2">
        <f t="shared" ref="AY76" ca="1" si="1456">IFERROR(VLOOKUP($S76,qx_table,MATCH(AY$11,qx_title,0)+sexB),0)</f>
        <v>0</v>
      </c>
      <c r="AZ76" s="268">
        <f t="shared" ca="1" si="788"/>
        <v>0</v>
      </c>
      <c r="BA76" s="129">
        <f ca="1">SUM(AZ76:AZ$124)*SSd</f>
        <v>0</v>
      </c>
      <c r="BB76" s="70">
        <f t="shared" ca="1" si="79"/>
        <v>24911.604253100086</v>
      </c>
      <c r="BC76" s="257">
        <f t="shared" ref="BC76" ca="1" si="1457">IFERROR(VLOOKUP($S76,qx_table,MATCH(BC$11,qx_title,0)+sexB),0)</f>
        <v>0</v>
      </c>
      <c r="BD76" s="268">
        <f t="shared" ca="1" si="790"/>
        <v>0</v>
      </c>
      <c r="BE76" s="131">
        <f ca="1">SUM(BD76:BD$124)*SSe</f>
        <v>0</v>
      </c>
      <c r="BF76" s="70">
        <f t="shared" ca="1" si="82"/>
        <v>24911.604253100086</v>
      </c>
      <c r="BG76" s="2">
        <f t="shared" ref="BG76" ca="1" si="1458">IFERROR(VLOOKUP($S76,qx_table,MATCH(BG$11,qx_title,0)+sexB),0)</f>
        <v>0</v>
      </c>
      <c r="BH76" s="131">
        <f t="shared" ca="1" si="792"/>
        <v>0</v>
      </c>
      <c r="BI76" s="2">
        <f ca="1">SUM(BH76:BH$124)*SSf</f>
        <v>0</v>
      </c>
      <c r="BJ76" s="70">
        <f t="shared" ca="1" si="85"/>
        <v>24911.604253100086</v>
      </c>
      <c r="BK76" s="2">
        <f t="shared" ref="BK76" ca="1" si="1459">IFERROR(VLOOKUP($S76,qx_table,MATCH(BK$11,qx_title,0)+sexB),0)</f>
        <v>0</v>
      </c>
      <c r="BL76" s="131">
        <f t="shared" ca="1" si="794"/>
        <v>0</v>
      </c>
      <c r="BM76" s="131">
        <f ca="1">SUM(BL76:BL$124)*SSg</f>
        <v>0</v>
      </c>
      <c r="BN76" s="70">
        <f t="shared" ca="1" si="88"/>
        <v>24911.604253100086</v>
      </c>
      <c r="BO76" s="2">
        <f t="shared" ref="BO76" ca="1" si="1460">IFERROR(VLOOKUP($S76,qx_table,MATCH(BO$11,qx_title,0)+sexB),0)</f>
        <v>0</v>
      </c>
      <c r="BP76" s="131">
        <f t="shared" ca="1" si="796"/>
        <v>0</v>
      </c>
      <c r="BQ76" s="131">
        <f ca="1">SUM(BP76:BP$124)*SSh</f>
        <v>0</v>
      </c>
      <c r="BR76" s="70">
        <f t="shared" ca="1" si="91"/>
        <v>24911.604253100086</v>
      </c>
      <c r="BS76" s="2">
        <f t="shared" ref="BS76" ca="1" si="1461">IFERROR(VLOOKUP($S76,qx_table,MATCH(BS$11,qx_title,0)+sexB),0)*IF(R76=0,MCi,1)</f>
        <v>0</v>
      </c>
      <c r="BT76" s="131">
        <f t="shared" ca="1" si="798"/>
        <v>0</v>
      </c>
      <c r="BU76" s="131">
        <f ca="1">SUM(BT76:BT$124)*SSi</f>
        <v>0</v>
      </c>
      <c r="BV76" s="70">
        <f t="shared" ca="1" si="94"/>
        <v>24911.604253100086</v>
      </c>
      <c r="BW76" s="2">
        <f t="shared" ref="BW76" ca="1" si="1462">IFERROR(VLOOKUP($S76,qx_table,MATCH(BW$11,qx_title,0)+sexB),0)</f>
        <v>0</v>
      </c>
      <c r="BX76" s="131">
        <f t="shared" ca="1" si="800"/>
        <v>0</v>
      </c>
      <c r="BY76" s="131">
        <f ca="1">SUM(BX76:BX$124)*SSj</f>
        <v>0</v>
      </c>
      <c r="BZ76" s="70">
        <f t="shared" ca="1" si="97"/>
        <v>24911.604253100086</v>
      </c>
      <c r="CA76" s="2">
        <f t="shared" ref="CA76" ca="1" si="1463">IFERROR(VLOOKUP($S76,qx_table,MATCH(CA$11,qx_title,0)+sexB),0)</f>
        <v>0</v>
      </c>
      <c r="CB76" s="131">
        <f t="shared" ca="1" si="802"/>
        <v>0</v>
      </c>
      <c r="CC76" s="131">
        <f ca="1">SUM(CB76:CB$124)*SSk</f>
        <v>0</v>
      </c>
      <c r="CD76" s="8">
        <f t="shared" ca="1" si="100"/>
        <v>24911.604253100086</v>
      </c>
      <c r="CE76" s="2">
        <f t="shared" ref="CE76" ca="1" si="1464">IFERROR(VLOOKUP($S76,qx_table,MATCH(CE$11,qx_title,0)+sexB),0)</f>
        <v>0</v>
      </c>
      <c r="CF76" s="131">
        <f t="shared" ca="1" si="804"/>
        <v>0</v>
      </c>
      <c r="CG76" s="131">
        <f ca="1">SUM(CF76:CF$124)*SSl</f>
        <v>0</v>
      </c>
      <c r="CH76" s="155">
        <f t="shared" ca="1" si="103"/>
        <v>0.01</v>
      </c>
      <c r="CI76" s="155">
        <f t="shared" ca="1" si="104"/>
        <v>0</v>
      </c>
      <c r="CJ76" s="155">
        <f t="shared" ca="1" si="105"/>
        <v>0</v>
      </c>
      <c r="CK76" s="155">
        <f ca="1">'유해지 (기준P)'!CZ76</f>
        <v>0</v>
      </c>
      <c r="CL76" s="155">
        <f t="shared" ref="CL76:CL107" ca="1" si="1465">IF(R76&lt;mB,0,(CK76+CK77)/2)</f>
        <v>0</v>
      </c>
      <c r="CM76" s="155">
        <f t="shared" ca="1" si="106"/>
        <v>0</v>
      </c>
      <c r="CN76" s="155">
        <f ca="1">SUM(CM76:$CM$124)</f>
        <v>0</v>
      </c>
      <c r="CO76" s="101">
        <f t="shared" ca="1" si="107"/>
        <v>0</v>
      </c>
      <c r="CP76" s="154">
        <f t="shared" ref="CP76:CP107" ca="1" si="1466">MAX((VLOOKUP(xB+R76,기수표B,$CO$1)-VLOOKUP(xB+nB,기수표B,$CO$1)),0)</f>
        <v>0</v>
      </c>
      <c r="CQ76" s="154">
        <f t="shared" ref="CQ76:CQ107" ca="1" si="1467">MAX((VLOOKUP(xB+R76,기수표B,$CN$1)-VLOOKUP(xB+nB,기수표B,$CN$1)),0)</f>
        <v>0</v>
      </c>
      <c r="CR76" s="32">
        <f t="shared" ref="CR76" ca="1" si="1468">+MAX(VLOOKUP(xB+$R76,기수표B,$AH$1)-VLOOKUP(xB+mB,기수표B,$AH$1),0)</f>
        <v>0</v>
      </c>
      <c r="CS76" s="32">
        <f t="shared" ref="CS76:CS107" ca="1" si="1469">+MAX(VLOOKUP(xB+$R76,기수표B,$AH$1)-VLOOKUP(xB+mB,기수표B,$AH$1)-(mmB-1)/(mmB*2)*(VLOOKUP(xB+$R76,기수표B,$AG$1)-VLOOKUP(xB+mB,기수표B,$AG$1)),0)</f>
        <v>0</v>
      </c>
      <c r="CT76" s="32">
        <f t="shared" ref="CT76" ca="1" si="1470">+MAX(VLOOKUP(xB+$R76,기수표B,$AA$1)-VLOOKUP(xB+mB,기수표B,$AA$1),0)</f>
        <v>0</v>
      </c>
      <c r="CU76" s="32">
        <f t="shared" ref="CU76:CU107" ca="1" si="1471">+MAX(VLOOKUP(xB+$R76,기수표B,$AA$1)-VLOOKUP(xB+mB,기수표B,$AA$1)-(mmB-1)/(2*mmB)*(VLOOKUP(xB+$R76,기수표B,$AA$1)-VLOOKUP(xB+mB,기수표B,$AA$1)),0)</f>
        <v>0</v>
      </c>
      <c r="CV76" s="32">
        <f t="shared" ref="CV76:CV107" si="1472">IF(R76&gt;nB,0,VLOOKUP(xB+MAX($R76,mB),기수표B,$AA$1)-VLOOKUP(xB+nB,기수표B,$AA$1))</f>
        <v>0</v>
      </c>
      <c r="CW76" s="259">
        <f t="shared" ref="CW76:CW107" ca="1" si="1473">IF(JRB=1,mmB*NPPB*$CS76,0)</f>
        <v>0</v>
      </c>
      <c r="CX76" s="32">
        <f t="shared" ref="CX76:CX107" ca="1" si="1474">ROUND(IF($R76&gt;nB,0,$CZ76-MAX($DA76-$R76,0)/$DA76*$C$31),roundB)</f>
        <v>0</v>
      </c>
      <c r="CY76" s="262">
        <f t="shared" ref="CY76:CY107" ca="1" si="1475">+IF(JRB=1,CX76,MAX(0,ROUND(IF($R76&gt;nB,0,CZ76-MAX($DA76-$R76,0)/$DA76*$C$33),round)))</f>
        <v>0</v>
      </c>
      <c r="CZ76" s="259" t="e">
        <f t="shared" ref="CZ76:CZ107" ca="1" si="1476">(CP76+CQ76+BETAD_SB*$CV76-CW76)/Z76</f>
        <v>#DIV/0!</v>
      </c>
      <c r="DA76" s="31">
        <f t="shared" ref="DA76" ca="1" si="1477">+MIN(mB,7)</f>
        <v>7</v>
      </c>
    </row>
    <row r="77" spans="14:105">
      <c r="N77" s="5">
        <f t="shared" si="111"/>
        <v>65</v>
      </c>
      <c r="O77" s="2">
        <f t="shared" ref="O77" ca="1" si="1478">+(1+iB)^-N77</f>
        <v>0.23544225889133066</v>
      </c>
      <c r="P77" s="2">
        <f t="shared" ref="P77" ca="1" si="1479">+(1+iB)^-(N77+0.5)</f>
        <v>0.2328374088190657</v>
      </c>
      <c r="Q77" s="91"/>
      <c r="R77" s="20">
        <f t="shared" si="114"/>
        <v>65</v>
      </c>
      <c r="S77" s="20" t="str">
        <f t="shared" ref="S77" si="1480">+IF(xB+R77&lt;=xB+nB,xB+R77,"")</f>
        <v/>
      </c>
      <c r="T77" s="2">
        <f t="shared" ref="T77:U77" ca="1" si="1481">IFERROR(VLOOKUP($S77,qx_table,MATCH(T$11,qx_title,0)+sexB),0)</f>
        <v>0</v>
      </c>
      <c r="U77" s="2">
        <f t="shared" ca="1" si="1481"/>
        <v>0</v>
      </c>
      <c r="V77" s="300">
        <f t="shared" ca="1" si="1443"/>
        <v>0.01</v>
      </c>
      <c r="W77" s="8">
        <f t="shared" ref="W77" si="1482">IF(R77=0,100000,IF(R77&gt;nB,0,W76*(1-X76)*(1-Y76)))</f>
        <v>0</v>
      </c>
      <c r="X77" s="10">
        <f t="shared" ca="1" si="1445"/>
        <v>1.0000000000000009E-2</v>
      </c>
      <c r="Y77" s="10">
        <f t="shared" ca="1" si="1446"/>
        <v>0</v>
      </c>
      <c r="Z77" s="8">
        <f t="shared" ref="Z77:Z124" ca="1" si="1483">+W77*O77</f>
        <v>0</v>
      </c>
      <c r="AA77" s="8">
        <f ca="1">+SUM(Z77:Z$124)</f>
        <v>0</v>
      </c>
      <c r="AB77" s="8">
        <f t="shared" ca="1" si="1447"/>
        <v>0</v>
      </c>
      <c r="AC77" s="209">
        <f ca="1">+SUM(AB77:AB$124)*SSSM</f>
        <v>0</v>
      </c>
      <c r="AD77" s="209">
        <f t="shared" ref="AD77" si="1484">IF(R77&gt;nB,0,AD76*(1-X76)*(1-Y76)*(1-AE76)*(1-AF76))</f>
        <v>0</v>
      </c>
      <c r="AE77" s="92">
        <f t="shared" ca="1" si="1449"/>
        <v>0</v>
      </c>
      <c r="AF77" s="92">
        <f t="shared" ca="1" si="1450"/>
        <v>0</v>
      </c>
      <c r="AG77" s="8">
        <f t="shared" ca="1" si="1451"/>
        <v>0</v>
      </c>
      <c r="AH77" s="5">
        <f ca="1">+SUM(AG77:AG$124)</f>
        <v>0</v>
      </c>
      <c r="AI77" s="70">
        <f t="shared" ca="1" si="1452"/>
        <v>0</v>
      </c>
      <c r="AJ77" s="208">
        <f ca="1">+SUM(AB77:AB$124)*SS50J</f>
        <v>0</v>
      </c>
      <c r="AK77" s="5">
        <f t="shared" ref="AK77:AK124" ca="1" si="1485">IFERROR(AK76*(1-$X76)*(1-$Y76)*(1-BTa*AL76*(1-$T76/2)/(1-$T76)),0)</f>
        <v>24662.488210569085</v>
      </c>
      <c r="AL77" s="2">
        <f t="shared" ref="AL77" ca="1" si="1486">IFERROR(VLOOKUP($S77,qx_table,MATCH(AL$11,qx_title,0)+sexB),0)</f>
        <v>0</v>
      </c>
      <c r="AM77" s="131">
        <f t="shared" ref="AM77:AM125" ca="1" si="1487">AK77*O77</f>
        <v>5806.5919341771969</v>
      </c>
      <c r="AN77" s="129">
        <f t="shared" ref="AN77:AN108" ca="1" si="1488">AK77*AL77*(1-CHOOSE(JRB,1,0)*$V77/2)*$P77</f>
        <v>0</v>
      </c>
      <c r="AO77" s="129">
        <f ca="1">SUM(AN77:AN$124)*SSa</f>
        <v>0</v>
      </c>
      <c r="AP77" s="70">
        <f t="shared" ref="AP77:AP124" ca="1" si="1489">IFERROR(AP76*(1-$X76)*(1-$Y76)*(1-BTb*AQ76*(1-$T76/2)/(1-$T76)),0)</f>
        <v>24662.488210569085</v>
      </c>
      <c r="AQ77" s="2">
        <f t="shared" ref="AQ77" ca="1" si="1490">IFERROR(VLOOKUP($S77,qx_table,MATCH(AQ$11,qx_title,0)+sexB),0)</f>
        <v>0</v>
      </c>
      <c r="AR77" s="127">
        <f t="shared" ref="AR77:AR108" ca="1" si="1491">AP77*AQ77*(1-CHOOSE(JRB,1,0)*$V77/2)*$P77</f>
        <v>0</v>
      </c>
      <c r="AS77" s="127">
        <f ca="1">SUM(AR77:AR$124)*SSb</f>
        <v>0</v>
      </c>
      <c r="AT77" s="70">
        <f t="shared" ref="AT77:AT124" ca="1" si="1492">IFERROR(AT76*(1-$X76)*(1-$Y76)*(1-BTc*AU76*(1-$T76/2)/(1-$T76)),0)</f>
        <v>24662.488210569085</v>
      </c>
      <c r="AU77" s="2">
        <f t="shared" ref="AU77" ca="1" si="1493">IFERROR(VLOOKUP($S77,qx_table,MATCH(AU$11,qx_title,0)+sexB),0)</f>
        <v>0</v>
      </c>
      <c r="AV77" s="268">
        <f t="shared" ref="AV77:AV108" ca="1" si="1494">AT77*AU77*(1-CHOOSE(JRB,1,0)*$V77/2)*$P77</f>
        <v>0</v>
      </c>
      <c r="AW77" s="131">
        <f ca="1">SUM(AV77:AV$124)*SSc</f>
        <v>0</v>
      </c>
      <c r="AX77" s="70">
        <f t="shared" ref="AX77:AX124" ca="1" si="1495">IFERROR(AX76*(1-$X76)*(1-$Y76)*(1-BTd*AY76*(1-$T76/2)/(1-$T76)),0)</f>
        <v>24662.488210569085</v>
      </c>
      <c r="AY77" s="2">
        <f t="shared" ref="AY77" ca="1" si="1496">IFERROR(VLOOKUP($S77,qx_table,MATCH(AY$11,qx_title,0)+sexB),0)</f>
        <v>0</v>
      </c>
      <c r="AZ77" s="268">
        <f t="shared" ref="AZ77:AZ108" ca="1" si="1497">AX77*AY77*(1-CHOOSE(JRB,1,0)*$V77/2)*$P77</f>
        <v>0</v>
      </c>
      <c r="BA77" s="129">
        <f ca="1">SUM(AZ77:AZ$124)*SSd</f>
        <v>0</v>
      </c>
      <c r="BB77" s="70">
        <f t="shared" ref="BB77:BB124" ca="1" si="1498">IFERROR(BB76*(1-$X76)*(1-$Y76)*(1-BTe*BC76*(1-$T76/2)/(1-$T76)),0)</f>
        <v>24662.488210569085</v>
      </c>
      <c r="BC77" s="257">
        <f t="shared" ref="BC77" ca="1" si="1499">IFERROR(VLOOKUP($S77,qx_table,MATCH(BC$11,qx_title,0)+sexB),0)</f>
        <v>0</v>
      </c>
      <c r="BD77" s="268">
        <f t="shared" ref="BD77:BD108" ca="1" si="1500">BB77*BC77*(1-CHOOSE(JRB,1,0)*$V77/2)*$P77</f>
        <v>0</v>
      </c>
      <c r="BE77" s="131">
        <f ca="1">SUM(BD77:BD$124)*SSe</f>
        <v>0</v>
      </c>
      <c r="BF77" s="70">
        <f t="shared" ref="BF77:BF124" ca="1" si="1501">IFERROR(BF76*(1-$X76)*(1-$Y76)*(1-BTf*BG76*(1-$T76/2)/(1-$T76)),0)</f>
        <v>24662.488210569085</v>
      </c>
      <c r="BG77" s="2">
        <f t="shared" ref="BG77" ca="1" si="1502">IFERROR(VLOOKUP($S77,qx_table,MATCH(BG$11,qx_title,0)+sexB),0)</f>
        <v>0</v>
      </c>
      <c r="BH77" s="131">
        <f t="shared" ref="BH77:BH108" ca="1" si="1503">BF77*BG77*(1-CHOOSE(JRB,1,0)*$V77/2)*$P77</f>
        <v>0</v>
      </c>
      <c r="BI77" s="2">
        <f ca="1">SUM(BH77:BH$124)*SSf</f>
        <v>0</v>
      </c>
      <c r="BJ77" s="70">
        <f t="shared" ref="BJ77:BJ124" ca="1" si="1504">IFERROR(BJ76*(1-$X76)*(1-$Y76)*(1-BTg*BK76*(1-$T76/2)/(1-$T76)),0)</f>
        <v>24662.488210569085</v>
      </c>
      <c r="BK77" s="2">
        <f t="shared" ref="BK77" ca="1" si="1505">IFERROR(VLOOKUP($S77,qx_table,MATCH(BK$11,qx_title,0)+sexB),0)</f>
        <v>0</v>
      </c>
      <c r="BL77" s="131">
        <f t="shared" ref="BL77:BL108" ca="1" si="1506">BJ77*BK77*(1-CHOOSE(JRB,1,0)*$V77/2)*$P77</f>
        <v>0</v>
      </c>
      <c r="BM77" s="131">
        <f ca="1">SUM(BL77:BL$124)*SSg</f>
        <v>0</v>
      </c>
      <c r="BN77" s="70">
        <f t="shared" ref="BN77:BN124" ca="1" si="1507">IFERROR(BN76*(1-$X76)*(1-$Y76)*(1-BTh*BO76*(1-$T76/2)/(1-$T76)),0)</f>
        <v>24662.488210569085</v>
      </c>
      <c r="BO77" s="2">
        <f t="shared" ref="BO77" ca="1" si="1508">IFERROR(VLOOKUP($S77,qx_table,MATCH(BO$11,qx_title,0)+sexB),0)</f>
        <v>0</v>
      </c>
      <c r="BP77" s="131">
        <f t="shared" ref="BP77:BP108" ca="1" si="1509">BN77*BO77*(1-CHOOSE(JRB,1,0)*$V77/2)*$P77</f>
        <v>0</v>
      </c>
      <c r="BQ77" s="131">
        <f ca="1">SUM(BP77:BP$124)*SSh</f>
        <v>0</v>
      </c>
      <c r="BR77" s="70">
        <f t="shared" ref="BR77:BR124" ca="1" si="1510">IFERROR(BR76*(1-$X76)*(1-$Y76)*(1-BTi*BS76*(1-$T76/2)/(1-$T76)),0)</f>
        <v>24662.488210569085</v>
      </c>
      <c r="BS77" s="2">
        <f t="shared" ref="BS77" ca="1" si="1511">IFERROR(VLOOKUP($S77,qx_table,MATCH(BS$11,qx_title,0)+sexB),0)*IF(R77=0,MCi,1)</f>
        <v>0</v>
      </c>
      <c r="BT77" s="131">
        <f t="shared" ref="BT77:BT108" ca="1" si="1512">BR77*BS77*(1-CHOOSE(JRB,1,0)*$V77/2)*$P77</f>
        <v>0</v>
      </c>
      <c r="BU77" s="131">
        <f ca="1">SUM(BT77:BT$124)*SSi</f>
        <v>0</v>
      </c>
      <c r="BV77" s="70">
        <f t="shared" ref="BV77:BV124" ca="1" si="1513">IFERROR(BV76*(1-$X76)*(1-$Y76)*(1-BTj*BW76*(1-$T76/2)/(1-$T76)),0)</f>
        <v>24662.488210569085</v>
      </c>
      <c r="BW77" s="2">
        <f t="shared" ref="BW77" ca="1" si="1514">IFERROR(VLOOKUP($S77,qx_table,MATCH(BW$11,qx_title,0)+sexB),0)</f>
        <v>0</v>
      </c>
      <c r="BX77" s="131">
        <f t="shared" ref="BX77:BX108" ca="1" si="1515">BV77*BW77*(1-CHOOSE(JRB,1,0)*$V77/2)*$P77</f>
        <v>0</v>
      </c>
      <c r="BY77" s="131">
        <f ca="1">SUM(BX77:BX$124)*SSj</f>
        <v>0</v>
      </c>
      <c r="BZ77" s="70">
        <f t="shared" ref="BZ77:BZ124" ca="1" si="1516">IFERROR(BZ76*(1-$X76)*(1-$Y76)*(1-BTk*CA76*(1-$T76/2)/(1-$T76)),0)</f>
        <v>24662.488210569085</v>
      </c>
      <c r="CA77" s="2">
        <f t="shared" ref="CA77" ca="1" si="1517">IFERROR(VLOOKUP($S77,qx_table,MATCH(CA$11,qx_title,0)+sexB),0)</f>
        <v>0</v>
      </c>
      <c r="CB77" s="131">
        <f t="shared" ref="CB77:CB108" ca="1" si="1518">BZ77*CA77*(1-CHOOSE(JRB,1,0)*$V77/2)*$P77</f>
        <v>0</v>
      </c>
      <c r="CC77" s="131">
        <f ca="1">SUM(CB77:CB$124)*SSk</f>
        <v>0</v>
      </c>
      <c r="CD77" s="8">
        <f t="shared" ref="CD77:CD124" ca="1" si="1519">IFERROR(CD76*(1-$X76)*(1-$Y76)*(1-BTl*CE76*(1-$T76/2)/(1-$T76)),0)</f>
        <v>24662.488210569085</v>
      </c>
      <c r="CE77" s="2">
        <f t="shared" ref="CE77" ca="1" si="1520">IFERROR(VLOOKUP($S77,qx_table,MATCH(CE$11,qx_title,0)+sexB),0)</f>
        <v>0</v>
      </c>
      <c r="CF77" s="131">
        <f t="shared" ref="CF77:CF108" ca="1" si="1521">CD77*CE77*(1-CHOOSE(JRB,1,0)*$V77/2)*$P77</f>
        <v>0</v>
      </c>
      <c r="CG77" s="131">
        <f ca="1">SUM(CF77:CF$124)*SSl</f>
        <v>0</v>
      </c>
      <c r="CH77" s="155">
        <f t="shared" ref="CH77:CH125" ca="1" si="1522">V77</f>
        <v>0.01</v>
      </c>
      <c r="CI77" s="155">
        <f t="shared" ref="CI77:CI125" ca="1" si="1523">W77*CH77*(1-$CI$6*AL77/2)</f>
        <v>0</v>
      </c>
      <c r="CJ77" s="155">
        <f t="shared" ref="CJ77:CJ125" ca="1" si="1524">CI77*P77</f>
        <v>0</v>
      </c>
      <c r="CK77" s="155">
        <f ca="1">'유해지 (기준P)'!CZ77</f>
        <v>0</v>
      </c>
      <c r="CL77" s="155">
        <f t="shared" ca="1" si="1465"/>
        <v>0</v>
      </c>
      <c r="CM77" s="155">
        <f t="shared" ref="CM77:CM125" ca="1" si="1525">CL77*CJ77</f>
        <v>0</v>
      </c>
      <c r="CN77" s="155">
        <f ca="1">SUM(CM77:$CM$124)</f>
        <v>0</v>
      </c>
      <c r="CO77" s="101">
        <f t="shared" ref="CO77:CO124" ca="1" si="1526">AC77+AJ77+AO77+AS77+AW77+BA77+BE77+BI77+BM77+BQ77+BU77+BY77+CC77+CG77</f>
        <v>0</v>
      </c>
      <c r="CP77" s="154">
        <f t="shared" ca="1" si="1466"/>
        <v>0</v>
      </c>
      <c r="CQ77" s="154">
        <f t="shared" ca="1" si="1467"/>
        <v>0</v>
      </c>
      <c r="CR77" s="32">
        <f t="shared" ref="CR77" ca="1" si="1527">+MAX(VLOOKUP(xB+$R77,기수표B,$AH$1)-VLOOKUP(xB+mB,기수표B,$AH$1),0)</f>
        <v>0</v>
      </c>
      <c r="CS77" s="32">
        <f t="shared" ca="1" si="1469"/>
        <v>0</v>
      </c>
      <c r="CT77" s="32">
        <f t="shared" ref="CT77" ca="1" si="1528">+MAX(VLOOKUP(xB+$R77,기수표B,$AA$1)-VLOOKUP(xB+mB,기수표B,$AA$1),0)</f>
        <v>0</v>
      </c>
      <c r="CU77" s="32">
        <f t="shared" ca="1" si="1471"/>
        <v>0</v>
      </c>
      <c r="CV77" s="32">
        <f t="shared" si="1472"/>
        <v>0</v>
      </c>
      <c r="CW77" s="259">
        <f t="shared" ca="1" si="1473"/>
        <v>0</v>
      </c>
      <c r="CX77" s="32">
        <f t="shared" ca="1" si="1474"/>
        <v>0</v>
      </c>
      <c r="CY77" s="262">
        <f t="shared" ca="1" si="1475"/>
        <v>0</v>
      </c>
      <c r="CZ77" s="259" t="e">
        <f t="shared" ca="1" si="1476"/>
        <v>#DIV/0!</v>
      </c>
      <c r="DA77" s="31">
        <f t="shared" ref="DA77" ca="1" si="1529">+MIN(mB,7)</f>
        <v>7</v>
      </c>
    </row>
    <row r="78" spans="14:105">
      <c r="N78" s="5">
        <f t="shared" ref="N78:N124" si="1530">+N77+1</f>
        <v>66</v>
      </c>
      <c r="O78" s="2">
        <f t="shared" ref="O78" ca="1" si="1531">+(1+iB)^-N78</f>
        <v>0.23026137788883197</v>
      </c>
      <c r="P78" s="2">
        <f t="shared" ref="P78" ca="1" si="1532">+(1+iB)^-(N78+0.5)</f>
        <v>0.22771384725580995</v>
      </c>
      <c r="Q78" s="91"/>
      <c r="R78" s="20">
        <f t="shared" ref="R78:R124" si="1533">R77+1</f>
        <v>66</v>
      </c>
      <c r="S78" s="20" t="str">
        <f t="shared" ref="S78" si="1534">+IF(xB+R78&lt;=xB+nB,xB+R78,"")</f>
        <v/>
      </c>
      <c r="T78" s="2">
        <f t="shared" ref="T78:U78" ca="1" si="1535">IFERROR(VLOOKUP($S78,qx_table,MATCH(T$11,qx_title,0)+sexB),0)</f>
        <v>0</v>
      </c>
      <c r="U78" s="2">
        <f t="shared" ca="1" si="1535"/>
        <v>0</v>
      </c>
      <c r="V78" s="300">
        <f t="shared" ca="1" si="1443"/>
        <v>0.01</v>
      </c>
      <c r="W78" s="8">
        <f t="shared" ref="W78" si="1536">IF(R78=0,100000,IF(R78&gt;nB,0,W77*(1-X77)*(1-Y77)))</f>
        <v>0</v>
      </c>
      <c r="X78" s="10">
        <f t="shared" ca="1" si="1445"/>
        <v>1.0000000000000009E-2</v>
      </c>
      <c r="Y78" s="10">
        <f t="shared" ca="1" si="1446"/>
        <v>0</v>
      </c>
      <c r="Z78" s="8">
        <f t="shared" ca="1" si="1483"/>
        <v>0</v>
      </c>
      <c r="AA78" s="8">
        <f ca="1">+SUM(Z78:Z$124)</f>
        <v>0</v>
      </c>
      <c r="AB78" s="8">
        <f t="shared" ca="1" si="1447"/>
        <v>0</v>
      </c>
      <c r="AC78" s="209">
        <f ca="1">+SUM(AB78:AB$124)*SSSM</f>
        <v>0</v>
      </c>
      <c r="AD78" s="209">
        <f t="shared" ref="AD78" si="1537">IF(R78&gt;nB,0,AD77*(1-X77)*(1-Y77)*(1-AE77)*(1-AF77))</f>
        <v>0</v>
      </c>
      <c r="AE78" s="92">
        <f t="shared" ca="1" si="1449"/>
        <v>0</v>
      </c>
      <c r="AF78" s="92">
        <f t="shared" ca="1" si="1450"/>
        <v>0</v>
      </c>
      <c r="AG78" s="8">
        <f t="shared" ca="1" si="1451"/>
        <v>0</v>
      </c>
      <c r="AH78" s="5">
        <f ca="1">+SUM(AG78:AG$124)</f>
        <v>0</v>
      </c>
      <c r="AI78" s="70">
        <f t="shared" ca="1" si="1452"/>
        <v>0</v>
      </c>
      <c r="AJ78" s="208">
        <f ca="1">+SUM(AB78:AB$124)*SS50J</f>
        <v>0</v>
      </c>
      <c r="AK78" s="5">
        <f t="shared" ca="1" si="1485"/>
        <v>24415.863328463394</v>
      </c>
      <c r="AL78" s="2">
        <f t="shared" ref="AL78" ca="1" si="1538">IFERROR(VLOOKUP($S78,qx_table,MATCH(AL$11,qx_title,0)+sexB),0)</f>
        <v>0</v>
      </c>
      <c r="AM78" s="131">
        <f t="shared" ca="1" si="1487"/>
        <v>5622.0303323573844</v>
      </c>
      <c r="AN78" s="129">
        <f t="shared" ca="1" si="1488"/>
        <v>0</v>
      </c>
      <c r="AO78" s="129">
        <f ca="1">SUM(AN78:AN$124)*SSa</f>
        <v>0</v>
      </c>
      <c r="AP78" s="70">
        <f t="shared" ca="1" si="1489"/>
        <v>24415.863328463394</v>
      </c>
      <c r="AQ78" s="2">
        <f t="shared" ref="AQ78" ca="1" si="1539">IFERROR(VLOOKUP($S78,qx_table,MATCH(AQ$11,qx_title,0)+sexB),0)</f>
        <v>0</v>
      </c>
      <c r="AR78" s="127">
        <f t="shared" ca="1" si="1491"/>
        <v>0</v>
      </c>
      <c r="AS78" s="127">
        <f ca="1">SUM(AR78:AR$124)*SSb</f>
        <v>0</v>
      </c>
      <c r="AT78" s="70">
        <f t="shared" ca="1" si="1492"/>
        <v>24415.863328463394</v>
      </c>
      <c r="AU78" s="2">
        <f t="shared" ref="AU78" ca="1" si="1540">IFERROR(VLOOKUP($S78,qx_table,MATCH(AU$11,qx_title,0)+sexB),0)</f>
        <v>0</v>
      </c>
      <c r="AV78" s="268">
        <f t="shared" ca="1" si="1494"/>
        <v>0</v>
      </c>
      <c r="AW78" s="131">
        <f ca="1">SUM(AV78:AV$124)*SSc</f>
        <v>0</v>
      </c>
      <c r="AX78" s="70">
        <f t="shared" ca="1" si="1495"/>
        <v>24415.863328463394</v>
      </c>
      <c r="AY78" s="2">
        <f t="shared" ref="AY78" ca="1" si="1541">IFERROR(VLOOKUP($S78,qx_table,MATCH(AY$11,qx_title,0)+sexB),0)</f>
        <v>0</v>
      </c>
      <c r="AZ78" s="268">
        <f t="shared" ca="1" si="1497"/>
        <v>0</v>
      </c>
      <c r="BA78" s="129">
        <f ca="1">SUM(AZ78:AZ$124)*SSd</f>
        <v>0</v>
      </c>
      <c r="BB78" s="70">
        <f t="shared" ca="1" si="1498"/>
        <v>24415.863328463394</v>
      </c>
      <c r="BC78" s="257">
        <f t="shared" ref="BC78" ca="1" si="1542">IFERROR(VLOOKUP($S78,qx_table,MATCH(BC$11,qx_title,0)+sexB),0)</f>
        <v>0</v>
      </c>
      <c r="BD78" s="268">
        <f t="shared" ca="1" si="1500"/>
        <v>0</v>
      </c>
      <c r="BE78" s="131">
        <f ca="1">SUM(BD78:BD$124)*SSe</f>
        <v>0</v>
      </c>
      <c r="BF78" s="70">
        <f t="shared" ca="1" si="1501"/>
        <v>24415.863328463394</v>
      </c>
      <c r="BG78" s="2">
        <f t="shared" ref="BG78" ca="1" si="1543">IFERROR(VLOOKUP($S78,qx_table,MATCH(BG$11,qx_title,0)+sexB),0)</f>
        <v>0</v>
      </c>
      <c r="BH78" s="131">
        <f t="shared" ca="1" si="1503"/>
        <v>0</v>
      </c>
      <c r="BI78" s="2">
        <f ca="1">SUM(BH78:BH$124)*SSf</f>
        <v>0</v>
      </c>
      <c r="BJ78" s="70">
        <f t="shared" ca="1" si="1504"/>
        <v>24415.863328463394</v>
      </c>
      <c r="BK78" s="2">
        <f t="shared" ref="BK78" ca="1" si="1544">IFERROR(VLOOKUP($S78,qx_table,MATCH(BK$11,qx_title,0)+sexB),0)</f>
        <v>0</v>
      </c>
      <c r="BL78" s="131">
        <f t="shared" ca="1" si="1506"/>
        <v>0</v>
      </c>
      <c r="BM78" s="131">
        <f ca="1">SUM(BL78:BL$124)*SSg</f>
        <v>0</v>
      </c>
      <c r="BN78" s="70">
        <f t="shared" ca="1" si="1507"/>
        <v>24415.863328463394</v>
      </c>
      <c r="BO78" s="2">
        <f t="shared" ref="BO78" ca="1" si="1545">IFERROR(VLOOKUP($S78,qx_table,MATCH(BO$11,qx_title,0)+sexB),0)</f>
        <v>0</v>
      </c>
      <c r="BP78" s="131">
        <f t="shared" ca="1" si="1509"/>
        <v>0</v>
      </c>
      <c r="BQ78" s="131">
        <f ca="1">SUM(BP78:BP$124)*SSh</f>
        <v>0</v>
      </c>
      <c r="BR78" s="70">
        <f t="shared" ca="1" si="1510"/>
        <v>24415.863328463394</v>
      </c>
      <c r="BS78" s="2">
        <f t="shared" ref="BS78" ca="1" si="1546">IFERROR(VLOOKUP($S78,qx_table,MATCH(BS$11,qx_title,0)+sexB),0)*IF(R78=0,MCi,1)</f>
        <v>0</v>
      </c>
      <c r="BT78" s="131">
        <f t="shared" ca="1" si="1512"/>
        <v>0</v>
      </c>
      <c r="BU78" s="131">
        <f ca="1">SUM(BT78:BT$124)*SSi</f>
        <v>0</v>
      </c>
      <c r="BV78" s="70">
        <f t="shared" ca="1" si="1513"/>
        <v>24415.863328463394</v>
      </c>
      <c r="BW78" s="2">
        <f t="shared" ref="BW78" ca="1" si="1547">IFERROR(VLOOKUP($S78,qx_table,MATCH(BW$11,qx_title,0)+sexB),0)</f>
        <v>0</v>
      </c>
      <c r="BX78" s="131">
        <f t="shared" ca="1" si="1515"/>
        <v>0</v>
      </c>
      <c r="BY78" s="131">
        <f ca="1">SUM(BX78:BX$124)*SSj</f>
        <v>0</v>
      </c>
      <c r="BZ78" s="70">
        <f t="shared" ca="1" si="1516"/>
        <v>24415.863328463394</v>
      </c>
      <c r="CA78" s="2">
        <f t="shared" ref="CA78" ca="1" si="1548">IFERROR(VLOOKUP($S78,qx_table,MATCH(CA$11,qx_title,0)+sexB),0)</f>
        <v>0</v>
      </c>
      <c r="CB78" s="131">
        <f t="shared" ca="1" si="1518"/>
        <v>0</v>
      </c>
      <c r="CC78" s="131">
        <f ca="1">SUM(CB78:CB$124)*SSk</f>
        <v>0</v>
      </c>
      <c r="CD78" s="8">
        <f t="shared" ca="1" si="1519"/>
        <v>24415.863328463394</v>
      </c>
      <c r="CE78" s="2">
        <f t="shared" ref="CE78" ca="1" si="1549">IFERROR(VLOOKUP($S78,qx_table,MATCH(CE$11,qx_title,0)+sexB),0)</f>
        <v>0</v>
      </c>
      <c r="CF78" s="131">
        <f t="shared" ca="1" si="1521"/>
        <v>0</v>
      </c>
      <c r="CG78" s="131">
        <f ca="1">SUM(CF78:CF$124)*SSl</f>
        <v>0</v>
      </c>
      <c r="CH78" s="155">
        <f t="shared" ca="1" si="1522"/>
        <v>0.01</v>
      </c>
      <c r="CI78" s="155">
        <f t="shared" ca="1" si="1523"/>
        <v>0</v>
      </c>
      <c r="CJ78" s="155">
        <f t="shared" ca="1" si="1524"/>
        <v>0</v>
      </c>
      <c r="CK78" s="155">
        <f ca="1">'유해지 (기준P)'!CZ78</f>
        <v>0</v>
      </c>
      <c r="CL78" s="155">
        <f t="shared" ca="1" si="1465"/>
        <v>0</v>
      </c>
      <c r="CM78" s="155">
        <f t="shared" ca="1" si="1525"/>
        <v>0</v>
      </c>
      <c r="CN78" s="155">
        <f ca="1">SUM(CM78:$CM$124)</f>
        <v>0</v>
      </c>
      <c r="CO78" s="101">
        <f t="shared" ca="1" si="1526"/>
        <v>0</v>
      </c>
      <c r="CP78" s="154">
        <f t="shared" ca="1" si="1466"/>
        <v>0</v>
      </c>
      <c r="CQ78" s="154">
        <f t="shared" ca="1" si="1467"/>
        <v>0</v>
      </c>
      <c r="CR78" s="32">
        <f t="shared" ref="CR78" ca="1" si="1550">+MAX(VLOOKUP(xB+$R78,기수표B,$AH$1)-VLOOKUP(xB+mB,기수표B,$AH$1),0)</f>
        <v>0</v>
      </c>
      <c r="CS78" s="32">
        <f t="shared" ca="1" si="1469"/>
        <v>0</v>
      </c>
      <c r="CT78" s="32">
        <f t="shared" ref="CT78" ca="1" si="1551">+MAX(VLOOKUP(xB+$R78,기수표B,$AA$1)-VLOOKUP(xB+mB,기수표B,$AA$1),0)</f>
        <v>0</v>
      </c>
      <c r="CU78" s="32">
        <f t="shared" ca="1" si="1471"/>
        <v>0</v>
      </c>
      <c r="CV78" s="32">
        <f t="shared" si="1472"/>
        <v>0</v>
      </c>
      <c r="CW78" s="259">
        <f t="shared" ca="1" si="1473"/>
        <v>0</v>
      </c>
      <c r="CX78" s="32">
        <f t="shared" ca="1" si="1474"/>
        <v>0</v>
      </c>
      <c r="CY78" s="262">
        <f t="shared" ca="1" si="1475"/>
        <v>0</v>
      </c>
      <c r="CZ78" s="259" t="e">
        <f t="shared" ca="1" si="1476"/>
        <v>#DIV/0!</v>
      </c>
      <c r="DA78" s="31">
        <f t="shared" ref="DA78" ca="1" si="1552">+MIN(mB,7)</f>
        <v>7</v>
      </c>
    </row>
    <row r="79" spans="14:105">
      <c r="N79" s="5">
        <f t="shared" si="1530"/>
        <v>67</v>
      </c>
      <c r="O79" s="2">
        <f t="shared" ref="O79" ca="1" si="1553">+(1+iB)^-N79</f>
        <v>0.22519450160276969</v>
      </c>
      <c r="P79" s="2">
        <f t="shared" ref="P79" ca="1" si="1554">+(1+iB)^-(N79+0.5)</f>
        <v>0.22270302910103662</v>
      </c>
      <c r="Q79" s="91"/>
      <c r="R79" s="20">
        <f t="shared" si="1533"/>
        <v>67</v>
      </c>
      <c r="S79" s="20" t="str">
        <f t="shared" ref="S79" si="1555">+IF(xB+R79&lt;=xB+nB,xB+R79,"")</f>
        <v/>
      </c>
      <c r="T79" s="2">
        <f t="shared" ref="T79:U79" ca="1" si="1556">IFERROR(VLOOKUP($S79,qx_table,MATCH(T$11,qx_title,0)+sexB),0)</f>
        <v>0</v>
      </c>
      <c r="U79" s="2">
        <f t="shared" ca="1" si="1556"/>
        <v>0</v>
      </c>
      <c r="V79" s="300">
        <f t="shared" ca="1" si="1443"/>
        <v>0.01</v>
      </c>
      <c r="W79" s="8">
        <f t="shared" ref="W79" si="1557">IF(R79=0,100000,IF(R79&gt;nB,0,W78*(1-X78)*(1-Y78)))</f>
        <v>0</v>
      </c>
      <c r="X79" s="10">
        <f t="shared" ca="1" si="1445"/>
        <v>1.0000000000000009E-2</v>
      </c>
      <c r="Y79" s="10">
        <f t="shared" ca="1" si="1446"/>
        <v>0</v>
      </c>
      <c r="Z79" s="8">
        <f t="shared" ca="1" si="1483"/>
        <v>0</v>
      </c>
      <c r="AA79" s="8">
        <f ca="1">+SUM(Z79:Z$124)</f>
        <v>0</v>
      </c>
      <c r="AB79" s="8">
        <f t="shared" ca="1" si="1447"/>
        <v>0</v>
      </c>
      <c r="AC79" s="209">
        <f ca="1">+SUM(AB79:AB$124)*SSSM</f>
        <v>0</v>
      </c>
      <c r="AD79" s="209">
        <f t="shared" ref="AD79" si="1558">IF(R79&gt;nB,0,AD78*(1-X78)*(1-Y78)*(1-AE78)*(1-AF78))</f>
        <v>0</v>
      </c>
      <c r="AE79" s="92">
        <f t="shared" ca="1" si="1449"/>
        <v>0</v>
      </c>
      <c r="AF79" s="92">
        <f t="shared" ca="1" si="1450"/>
        <v>0</v>
      </c>
      <c r="AG79" s="8">
        <f t="shared" ca="1" si="1451"/>
        <v>0</v>
      </c>
      <c r="AH79" s="5">
        <f ca="1">+SUM(AG79:AG$124)</f>
        <v>0</v>
      </c>
      <c r="AI79" s="70">
        <f t="shared" ca="1" si="1452"/>
        <v>0</v>
      </c>
      <c r="AJ79" s="208">
        <f ca="1">+SUM(AB79:AB$124)*SS50J</f>
        <v>0</v>
      </c>
      <c r="AK79" s="5">
        <f t="shared" ca="1" si="1485"/>
        <v>24171.70469517876</v>
      </c>
      <c r="AL79" s="2">
        <f t="shared" ref="AL79" ca="1" si="1559">IFERROR(VLOOKUP($S79,qx_table,MATCH(AL$11,qx_title,0)+sexB),0)</f>
        <v>0</v>
      </c>
      <c r="AM79" s="131">
        <f t="shared" ca="1" si="1487"/>
        <v>5443.3349917201085</v>
      </c>
      <c r="AN79" s="129">
        <f t="shared" ca="1" si="1488"/>
        <v>0</v>
      </c>
      <c r="AO79" s="129">
        <f ca="1">SUM(AN79:AN$124)*SSa</f>
        <v>0</v>
      </c>
      <c r="AP79" s="70">
        <f t="shared" ca="1" si="1489"/>
        <v>24171.70469517876</v>
      </c>
      <c r="AQ79" s="2">
        <f t="shared" ref="AQ79" ca="1" si="1560">IFERROR(VLOOKUP($S79,qx_table,MATCH(AQ$11,qx_title,0)+sexB),0)</f>
        <v>0</v>
      </c>
      <c r="AR79" s="127">
        <f t="shared" ca="1" si="1491"/>
        <v>0</v>
      </c>
      <c r="AS79" s="127">
        <f ca="1">SUM(AR79:AR$124)*SSb</f>
        <v>0</v>
      </c>
      <c r="AT79" s="70">
        <f t="shared" ca="1" si="1492"/>
        <v>24171.70469517876</v>
      </c>
      <c r="AU79" s="2">
        <f t="shared" ref="AU79" ca="1" si="1561">IFERROR(VLOOKUP($S79,qx_table,MATCH(AU$11,qx_title,0)+sexB),0)</f>
        <v>0</v>
      </c>
      <c r="AV79" s="268">
        <f t="shared" ca="1" si="1494"/>
        <v>0</v>
      </c>
      <c r="AW79" s="131">
        <f ca="1">SUM(AV79:AV$124)*SSc</f>
        <v>0</v>
      </c>
      <c r="AX79" s="70">
        <f t="shared" ca="1" si="1495"/>
        <v>24171.70469517876</v>
      </c>
      <c r="AY79" s="2">
        <f t="shared" ref="AY79" ca="1" si="1562">IFERROR(VLOOKUP($S79,qx_table,MATCH(AY$11,qx_title,0)+sexB),0)</f>
        <v>0</v>
      </c>
      <c r="AZ79" s="268">
        <f t="shared" ca="1" si="1497"/>
        <v>0</v>
      </c>
      <c r="BA79" s="129">
        <f ca="1">SUM(AZ79:AZ$124)*SSd</f>
        <v>0</v>
      </c>
      <c r="BB79" s="70">
        <f t="shared" ca="1" si="1498"/>
        <v>24171.70469517876</v>
      </c>
      <c r="BC79" s="257">
        <f t="shared" ref="BC79" ca="1" si="1563">IFERROR(VLOOKUP($S79,qx_table,MATCH(BC$11,qx_title,0)+sexB),0)</f>
        <v>0</v>
      </c>
      <c r="BD79" s="268">
        <f t="shared" ca="1" si="1500"/>
        <v>0</v>
      </c>
      <c r="BE79" s="131">
        <f ca="1">SUM(BD79:BD$124)*SSe</f>
        <v>0</v>
      </c>
      <c r="BF79" s="70">
        <f t="shared" ca="1" si="1501"/>
        <v>24171.70469517876</v>
      </c>
      <c r="BG79" s="2">
        <f t="shared" ref="BG79" ca="1" si="1564">IFERROR(VLOOKUP($S79,qx_table,MATCH(BG$11,qx_title,0)+sexB),0)</f>
        <v>0</v>
      </c>
      <c r="BH79" s="131">
        <f t="shared" ca="1" si="1503"/>
        <v>0</v>
      </c>
      <c r="BI79" s="2">
        <f ca="1">SUM(BH79:BH$124)*SSf</f>
        <v>0</v>
      </c>
      <c r="BJ79" s="70">
        <f t="shared" ca="1" si="1504"/>
        <v>24171.70469517876</v>
      </c>
      <c r="BK79" s="2">
        <f t="shared" ref="BK79" ca="1" si="1565">IFERROR(VLOOKUP($S79,qx_table,MATCH(BK$11,qx_title,0)+sexB),0)</f>
        <v>0</v>
      </c>
      <c r="BL79" s="131">
        <f t="shared" ca="1" si="1506"/>
        <v>0</v>
      </c>
      <c r="BM79" s="131">
        <f ca="1">SUM(BL79:BL$124)*SSg</f>
        <v>0</v>
      </c>
      <c r="BN79" s="70">
        <f t="shared" ca="1" si="1507"/>
        <v>24171.70469517876</v>
      </c>
      <c r="BO79" s="2">
        <f t="shared" ref="BO79" ca="1" si="1566">IFERROR(VLOOKUP($S79,qx_table,MATCH(BO$11,qx_title,0)+sexB),0)</f>
        <v>0</v>
      </c>
      <c r="BP79" s="131">
        <f t="shared" ca="1" si="1509"/>
        <v>0</v>
      </c>
      <c r="BQ79" s="131">
        <f ca="1">SUM(BP79:BP$124)*SSh</f>
        <v>0</v>
      </c>
      <c r="BR79" s="70">
        <f t="shared" ca="1" si="1510"/>
        <v>24171.70469517876</v>
      </c>
      <c r="BS79" s="2">
        <f t="shared" ref="BS79" ca="1" si="1567">IFERROR(VLOOKUP($S79,qx_table,MATCH(BS$11,qx_title,0)+sexB),0)*IF(R79=0,MCi,1)</f>
        <v>0</v>
      </c>
      <c r="BT79" s="131">
        <f t="shared" ca="1" si="1512"/>
        <v>0</v>
      </c>
      <c r="BU79" s="131">
        <f ca="1">SUM(BT79:BT$124)*SSi</f>
        <v>0</v>
      </c>
      <c r="BV79" s="70">
        <f t="shared" ca="1" si="1513"/>
        <v>24171.70469517876</v>
      </c>
      <c r="BW79" s="2">
        <f t="shared" ref="BW79" ca="1" si="1568">IFERROR(VLOOKUP($S79,qx_table,MATCH(BW$11,qx_title,0)+sexB),0)</f>
        <v>0</v>
      </c>
      <c r="BX79" s="131">
        <f t="shared" ca="1" si="1515"/>
        <v>0</v>
      </c>
      <c r="BY79" s="131">
        <f ca="1">SUM(BX79:BX$124)*SSj</f>
        <v>0</v>
      </c>
      <c r="BZ79" s="70">
        <f t="shared" ca="1" si="1516"/>
        <v>24171.70469517876</v>
      </c>
      <c r="CA79" s="2">
        <f t="shared" ref="CA79" ca="1" si="1569">IFERROR(VLOOKUP($S79,qx_table,MATCH(CA$11,qx_title,0)+sexB),0)</f>
        <v>0</v>
      </c>
      <c r="CB79" s="131">
        <f t="shared" ca="1" si="1518"/>
        <v>0</v>
      </c>
      <c r="CC79" s="131">
        <f ca="1">SUM(CB79:CB$124)*SSk</f>
        <v>0</v>
      </c>
      <c r="CD79" s="8">
        <f t="shared" ca="1" si="1519"/>
        <v>24171.70469517876</v>
      </c>
      <c r="CE79" s="2">
        <f t="shared" ref="CE79" ca="1" si="1570">IFERROR(VLOOKUP($S79,qx_table,MATCH(CE$11,qx_title,0)+sexB),0)</f>
        <v>0</v>
      </c>
      <c r="CF79" s="131">
        <f t="shared" ca="1" si="1521"/>
        <v>0</v>
      </c>
      <c r="CG79" s="131">
        <f ca="1">SUM(CF79:CF$124)*SSl</f>
        <v>0</v>
      </c>
      <c r="CH79" s="155">
        <f t="shared" ca="1" si="1522"/>
        <v>0.01</v>
      </c>
      <c r="CI79" s="155">
        <f t="shared" ca="1" si="1523"/>
        <v>0</v>
      </c>
      <c r="CJ79" s="155">
        <f t="shared" ca="1" si="1524"/>
        <v>0</v>
      </c>
      <c r="CK79" s="155">
        <f ca="1">'유해지 (기준P)'!CZ79</f>
        <v>0</v>
      </c>
      <c r="CL79" s="155">
        <f t="shared" ca="1" si="1465"/>
        <v>0</v>
      </c>
      <c r="CM79" s="155">
        <f t="shared" ca="1" si="1525"/>
        <v>0</v>
      </c>
      <c r="CN79" s="155">
        <f ca="1">SUM(CM79:$CM$124)</f>
        <v>0</v>
      </c>
      <c r="CO79" s="101">
        <f t="shared" ca="1" si="1526"/>
        <v>0</v>
      </c>
      <c r="CP79" s="154">
        <f t="shared" ca="1" si="1466"/>
        <v>0</v>
      </c>
      <c r="CQ79" s="154">
        <f t="shared" ca="1" si="1467"/>
        <v>0</v>
      </c>
      <c r="CR79" s="32">
        <f t="shared" ref="CR79" ca="1" si="1571">+MAX(VLOOKUP(xB+$R79,기수표B,$AH$1)-VLOOKUP(xB+mB,기수표B,$AH$1),0)</f>
        <v>0</v>
      </c>
      <c r="CS79" s="32">
        <f t="shared" ca="1" si="1469"/>
        <v>0</v>
      </c>
      <c r="CT79" s="32">
        <f t="shared" ref="CT79" ca="1" si="1572">+MAX(VLOOKUP(xB+$R79,기수표B,$AA$1)-VLOOKUP(xB+mB,기수표B,$AA$1),0)</f>
        <v>0</v>
      </c>
      <c r="CU79" s="32">
        <f t="shared" ca="1" si="1471"/>
        <v>0</v>
      </c>
      <c r="CV79" s="32">
        <f t="shared" si="1472"/>
        <v>0</v>
      </c>
      <c r="CW79" s="259">
        <f t="shared" ca="1" si="1473"/>
        <v>0</v>
      </c>
      <c r="CX79" s="32">
        <f t="shared" ca="1" si="1474"/>
        <v>0</v>
      </c>
      <c r="CY79" s="262">
        <f t="shared" ca="1" si="1475"/>
        <v>0</v>
      </c>
      <c r="CZ79" s="259" t="e">
        <f t="shared" ca="1" si="1476"/>
        <v>#DIV/0!</v>
      </c>
      <c r="DA79" s="31">
        <f t="shared" ref="DA79" ca="1" si="1573">+MIN(mB,7)</f>
        <v>7</v>
      </c>
    </row>
    <row r="80" spans="14:105">
      <c r="N80" s="5">
        <f t="shared" si="1530"/>
        <v>68</v>
      </c>
      <c r="O80" s="2">
        <f t="shared" ref="O80" ca="1" si="1574">+(1+iB)^-N80</f>
        <v>0.22023912137190188</v>
      </c>
      <c r="P80" s="2">
        <f t="shared" ref="P80" ca="1" si="1575">+(1+iB)^-(N80+0.5)</f>
        <v>0.21780247344844658</v>
      </c>
      <c r="Q80" s="91"/>
      <c r="R80" s="20">
        <f t="shared" si="1533"/>
        <v>68</v>
      </c>
      <c r="S80" s="20" t="str">
        <f t="shared" ref="S80" si="1576">+IF(xB+R80&lt;=xB+nB,xB+R80,"")</f>
        <v/>
      </c>
      <c r="T80" s="2">
        <f t="shared" ref="T80:U80" ca="1" si="1577">IFERROR(VLOOKUP($S80,qx_table,MATCH(T$11,qx_title,0)+sexB),0)</f>
        <v>0</v>
      </c>
      <c r="U80" s="2">
        <f t="shared" ca="1" si="1577"/>
        <v>0</v>
      </c>
      <c r="V80" s="300">
        <f t="shared" ca="1" si="1443"/>
        <v>0.01</v>
      </c>
      <c r="W80" s="8">
        <f t="shared" ref="W80" si="1578">IF(R80=0,100000,IF(R80&gt;nB,0,W79*(1-X79)*(1-Y79)))</f>
        <v>0</v>
      </c>
      <c r="X80" s="10">
        <f t="shared" ca="1" si="1445"/>
        <v>1.0000000000000009E-2</v>
      </c>
      <c r="Y80" s="10">
        <f t="shared" ca="1" si="1446"/>
        <v>0</v>
      </c>
      <c r="Z80" s="8">
        <f t="shared" ca="1" si="1483"/>
        <v>0</v>
      </c>
      <c r="AA80" s="8">
        <f ca="1">+SUM(Z80:Z$124)</f>
        <v>0</v>
      </c>
      <c r="AB80" s="8">
        <f t="shared" ca="1" si="1447"/>
        <v>0</v>
      </c>
      <c r="AC80" s="209">
        <f ca="1">+SUM(AB80:AB$124)*SSSM</f>
        <v>0</v>
      </c>
      <c r="AD80" s="209">
        <f t="shared" ref="AD80" si="1579">IF(R80&gt;nB,0,AD79*(1-X79)*(1-Y79)*(1-AE79)*(1-AF79))</f>
        <v>0</v>
      </c>
      <c r="AE80" s="92">
        <f t="shared" ca="1" si="1449"/>
        <v>0</v>
      </c>
      <c r="AF80" s="92">
        <f t="shared" ca="1" si="1450"/>
        <v>0</v>
      </c>
      <c r="AG80" s="8">
        <f t="shared" ca="1" si="1451"/>
        <v>0</v>
      </c>
      <c r="AH80" s="5">
        <f ca="1">+SUM(AG80:AG$124)</f>
        <v>0</v>
      </c>
      <c r="AI80" s="70">
        <f t="shared" ca="1" si="1452"/>
        <v>0</v>
      </c>
      <c r="AJ80" s="208">
        <f ca="1">+SUM(AB80:AB$124)*SS50J</f>
        <v>0</v>
      </c>
      <c r="AK80" s="5">
        <f t="shared" ca="1" si="1485"/>
        <v>23929.987648226972</v>
      </c>
      <c r="AL80" s="2">
        <f t="shared" ref="AL80" ca="1" si="1580">IFERROR(VLOOKUP($S80,qx_table,MATCH(AL$11,qx_title,0)+sexB),0)</f>
        <v>0</v>
      </c>
      <c r="AM80" s="131">
        <f t="shared" ca="1" si="1487"/>
        <v>5270.3194540859731</v>
      </c>
      <c r="AN80" s="129">
        <f t="shared" ca="1" si="1488"/>
        <v>0</v>
      </c>
      <c r="AO80" s="129">
        <f ca="1">SUM(AN80:AN$124)*SSa</f>
        <v>0</v>
      </c>
      <c r="AP80" s="70">
        <f t="shared" ca="1" si="1489"/>
        <v>23929.987648226972</v>
      </c>
      <c r="AQ80" s="2">
        <f t="shared" ref="AQ80" ca="1" si="1581">IFERROR(VLOOKUP($S80,qx_table,MATCH(AQ$11,qx_title,0)+sexB),0)</f>
        <v>0</v>
      </c>
      <c r="AR80" s="127">
        <f t="shared" ca="1" si="1491"/>
        <v>0</v>
      </c>
      <c r="AS80" s="127">
        <f ca="1">SUM(AR80:AR$124)*SSb</f>
        <v>0</v>
      </c>
      <c r="AT80" s="70">
        <f t="shared" ca="1" si="1492"/>
        <v>23929.987648226972</v>
      </c>
      <c r="AU80" s="2">
        <f t="shared" ref="AU80" ca="1" si="1582">IFERROR(VLOOKUP($S80,qx_table,MATCH(AU$11,qx_title,0)+sexB),0)</f>
        <v>0</v>
      </c>
      <c r="AV80" s="268">
        <f t="shared" ca="1" si="1494"/>
        <v>0</v>
      </c>
      <c r="AW80" s="131">
        <f ca="1">SUM(AV80:AV$124)*SSc</f>
        <v>0</v>
      </c>
      <c r="AX80" s="70">
        <f t="shared" ca="1" si="1495"/>
        <v>23929.987648226972</v>
      </c>
      <c r="AY80" s="2">
        <f t="shared" ref="AY80" ca="1" si="1583">IFERROR(VLOOKUP($S80,qx_table,MATCH(AY$11,qx_title,0)+sexB),0)</f>
        <v>0</v>
      </c>
      <c r="AZ80" s="268">
        <f t="shared" ca="1" si="1497"/>
        <v>0</v>
      </c>
      <c r="BA80" s="129">
        <f ca="1">SUM(AZ80:AZ$124)*SSd</f>
        <v>0</v>
      </c>
      <c r="BB80" s="70">
        <f t="shared" ca="1" si="1498"/>
        <v>23929.987648226972</v>
      </c>
      <c r="BC80" s="257">
        <f t="shared" ref="BC80" ca="1" si="1584">IFERROR(VLOOKUP($S80,qx_table,MATCH(BC$11,qx_title,0)+sexB),0)</f>
        <v>0</v>
      </c>
      <c r="BD80" s="268">
        <f t="shared" ca="1" si="1500"/>
        <v>0</v>
      </c>
      <c r="BE80" s="131">
        <f ca="1">SUM(BD80:BD$124)*SSe</f>
        <v>0</v>
      </c>
      <c r="BF80" s="70">
        <f t="shared" ca="1" si="1501"/>
        <v>23929.987648226972</v>
      </c>
      <c r="BG80" s="2">
        <f t="shared" ref="BG80" ca="1" si="1585">IFERROR(VLOOKUP($S80,qx_table,MATCH(BG$11,qx_title,0)+sexB),0)</f>
        <v>0</v>
      </c>
      <c r="BH80" s="131">
        <f t="shared" ca="1" si="1503"/>
        <v>0</v>
      </c>
      <c r="BI80" s="2">
        <f ca="1">SUM(BH80:BH$124)*SSf</f>
        <v>0</v>
      </c>
      <c r="BJ80" s="70">
        <f t="shared" ca="1" si="1504"/>
        <v>23929.987648226972</v>
      </c>
      <c r="BK80" s="2">
        <f t="shared" ref="BK80" ca="1" si="1586">IFERROR(VLOOKUP($S80,qx_table,MATCH(BK$11,qx_title,0)+sexB),0)</f>
        <v>0</v>
      </c>
      <c r="BL80" s="131">
        <f t="shared" ca="1" si="1506"/>
        <v>0</v>
      </c>
      <c r="BM80" s="131">
        <f ca="1">SUM(BL80:BL$124)*SSg</f>
        <v>0</v>
      </c>
      <c r="BN80" s="70">
        <f t="shared" ca="1" si="1507"/>
        <v>23929.987648226972</v>
      </c>
      <c r="BO80" s="2">
        <f t="shared" ref="BO80" ca="1" si="1587">IFERROR(VLOOKUP($S80,qx_table,MATCH(BO$11,qx_title,0)+sexB),0)</f>
        <v>0</v>
      </c>
      <c r="BP80" s="131">
        <f t="shared" ca="1" si="1509"/>
        <v>0</v>
      </c>
      <c r="BQ80" s="131">
        <f ca="1">SUM(BP80:BP$124)*SSh</f>
        <v>0</v>
      </c>
      <c r="BR80" s="70">
        <f t="shared" ca="1" si="1510"/>
        <v>23929.987648226972</v>
      </c>
      <c r="BS80" s="2">
        <f t="shared" ref="BS80" ca="1" si="1588">IFERROR(VLOOKUP($S80,qx_table,MATCH(BS$11,qx_title,0)+sexB),0)*IF(R80=0,MCi,1)</f>
        <v>0</v>
      </c>
      <c r="BT80" s="131">
        <f t="shared" ca="1" si="1512"/>
        <v>0</v>
      </c>
      <c r="BU80" s="131">
        <f ca="1">SUM(BT80:BT$124)*SSi</f>
        <v>0</v>
      </c>
      <c r="BV80" s="70">
        <f t="shared" ca="1" si="1513"/>
        <v>23929.987648226972</v>
      </c>
      <c r="BW80" s="2">
        <f t="shared" ref="BW80" ca="1" si="1589">IFERROR(VLOOKUP($S80,qx_table,MATCH(BW$11,qx_title,0)+sexB),0)</f>
        <v>0</v>
      </c>
      <c r="BX80" s="131">
        <f t="shared" ca="1" si="1515"/>
        <v>0</v>
      </c>
      <c r="BY80" s="131">
        <f ca="1">SUM(BX80:BX$124)*SSj</f>
        <v>0</v>
      </c>
      <c r="BZ80" s="70">
        <f t="shared" ca="1" si="1516"/>
        <v>23929.987648226972</v>
      </c>
      <c r="CA80" s="2">
        <f t="shared" ref="CA80" ca="1" si="1590">IFERROR(VLOOKUP($S80,qx_table,MATCH(CA$11,qx_title,0)+sexB),0)</f>
        <v>0</v>
      </c>
      <c r="CB80" s="131">
        <f t="shared" ca="1" si="1518"/>
        <v>0</v>
      </c>
      <c r="CC80" s="131">
        <f ca="1">SUM(CB80:CB$124)*SSk</f>
        <v>0</v>
      </c>
      <c r="CD80" s="8">
        <f t="shared" ca="1" si="1519"/>
        <v>23929.987648226972</v>
      </c>
      <c r="CE80" s="2">
        <f t="shared" ref="CE80" ca="1" si="1591">IFERROR(VLOOKUP($S80,qx_table,MATCH(CE$11,qx_title,0)+sexB),0)</f>
        <v>0</v>
      </c>
      <c r="CF80" s="131">
        <f t="shared" ca="1" si="1521"/>
        <v>0</v>
      </c>
      <c r="CG80" s="131">
        <f ca="1">SUM(CF80:CF$124)*SSl</f>
        <v>0</v>
      </c>
      <c r="CH80" s="155">
        <f t="shared" ca="1" si="1522"/>
        <v>0.01</v>
      </c>
      <c r="CI80" s="155">
        <f t="shared" ca="1" si="1523"/>
        <v>0</v>
      </c>
      <c r="CJ80" s="155">
        <f t="shared" ca="1" si="1524"/>
        <v>0</v>
      </c>
      <c r="CK80" s="155">
        <f ca="1">'유해지 (기준P)'!CZ80</f>
        <v>0</v>
      </c>
      <c r="CL80" s="155">
        <f t="shared" ca="1" si="1465"/>
        <v>0</v>
      </c>
      <c r="CM80" s="155">
        <f t="shared" ca="1" si="1525"/>
        <v>0</v>
      </c>
      <c r="CN80" s="155">
        <f ca="1">SUM(CM80:$CM$124)</f>
        <v>0</v>
      </c>
      <c r="CO80" s="101">
        <f t="shared" ca="1" si="1526"/>
        <v>0</v>
      </c>
      <c r="CP80" s="154">
        <f t="shared" ca="1" si="1466"/>
        <v>0</v>
      </c>
      <c r="CQ80" s="154">
        <f t="shared" ca="1" si="1467"/>
        <v>0</v>
      </c>
      <c r="CR80" s="32">
        <f t="shared" ref="CR80" ca="1" si="1592">+MAX(VLOOKUP(xB+$R80,기수표B,$AH$1)-VLOOKUP(xB+mB,기수표B,$AH$1),0)</f>
        <v>0</v>
      </c>
      <c r="CS80" s="32">
        <f t="shared" ca="1" si="1469"/>
        <v>0</v>
      </c>
      <c r="CT80" s="32">
        <f t="shared" ref="CT80" ca="1" si="1593">+MAX(VLOOKUP(xB+$R80,기수표B,$AA$1)-VLOOKUP(xB+mB,기수표B,$AA$1),0)</f>
        <v>0</v>
      </c>
      <c r="CU80" s="32">
        <f t="shared" ca="1" si="1471"/>
        <v>0</v>
      </c>
      <c r="CV80" s="32">
        <f t="shared" si="1472"/>
        <v>0</v>
      </c>
      <c r="CW80" s="259">
        <f t="shared" ca="1" si="1473"/>
        <v>0</v>
      </c>
      <c r="CX80" s="32">
        <f t="shared" ca="1" si="1474"/>
        <v>0</v>
      </c>
      <c r="CY80" s="262">
        <f t="shared" ca="1" si="1475"/>
        <v>0</v>
      </c>
      <c r="CZ80" s="259" t="e">
        <f t="shared" ca="1" si="1476"/>
        <v>#DIV/0!</v>
      </c>
      <c r="DA80" s="31">
        <f t="shared" ref="DA80" ca="1" si="1594">+MIN(mB,7)</f>
        <v>7</v>
      </c>
    </row>
    <row r="81" spans="14:105">
      <c r="N81" s="5">
        <f t="shared" si="1530"/>
        <v>69</v>
      </c>
      <c r="O81" s="2">
        <f t="shared" ref="O81" ca="1" si="1595">+(1+iB)^-N81</f>
        <v>0.21539278373780135</v>
      </c>
      <c r="P81" s="2">
        <f t="shared" ref="P81" ca="1" si="1596">+(1+iB)^-(N81+0.5)</f>
        <v>0.21300975398381086</v>
      </c>
      <c r="Q81" s="91"/>
      <c r="R81" s="20">
        <f t="shared" si="1533"/>
        <v>69</v>
      </c>
      <c r="S81" s="20" t="str">
        <f t="shared" ref="S81" si="1597">+IF(xB+R81&lt;=xB+nB,xB+R81,"")</f>
        <v/>
      </c>
      <c r="T81" s="2">
        <f t="shared" ref="T81:U81" ca="1" si="1598">IFERROR(VLOOKUP($S81,qx_table,MATCH(T$11,qx_title,0)+sexB),0)</f>
        <v>0</v>
      </c>
      <c r="U81" s="2">
        <f t="shared" ca="1" si="1598"/>
        <v>0</v>
      </c>
      <c r="V81" s="300">
        <f t="shared" ca="1" si="1443"/>
        <v>0.01</v>
      </c>
      <c r="W81" s="8">
        <f t="shared" ref="W81" si="1599">IF(R81=0,100000,IF(R81&gt;nB,0,W80*(1-X80)*(1-Y80)))</f>
        <v>0</v>
      </c>
      <c r="X81" s="10">
        <f t="shared" ca="1" si="1445"/>
        <v>1.0000000000000009E-2</v>
      </c>
      <c r="Y81" s="10">
        <f t="shared" ca="1" si="1446"/>
        <v>0</v>
      </c>
      <c r="Z81" s="8">
        <f t="shared" ca="1" si="1483"/>
        <v>0</v>
      </c>
      <c r="AA81" s="8">
        <f ca="1">+SUM(Z81:Z$124)</f>
        <v>0</v>
      </c>
      <c r="AB81" s="8">
        <f t="shared" ca="1" si="1447"/>
        <v>0</v>
      </c>
      <c r="AC81" s="209">
        <f ca="1">+SUM(AB81:AB$124)*SSSM</f>
        <v>0</v>
      </c>
      <c r="AD81" s="209">
        <f t="shared" ref="AD81" si="1600">IF(R81&gt;nB,0,AD80*(1-X80)*(1-Y80)*(1-AE80)*(1-AF80))</f>
        <v>0</v>
      </c>
      <c r="AE81" s="92">
        <f t="shared" ca="1" si="1449"/>
        <v>0</v>
      </c>
      <c r="AF81" s="92">
        <f t="shared" ca="1" si="1450"/>
        <v>0</v>
      </c>
      <c r="AG81" s="8">
        <f t="shared" ca="1" si="1451"/>
        <v>0</v>
      </c>
      <c r="AH81" s="5">
        <f ca="1">+SUM(AG81:AG$124)</f>
        <v>0</v>
      </c>
      <c r="AI81" s="70">
        <f t="shared" ca="1" si="1452"/>
        <v>0</v>
      </c>
      <c r="AJ81" s="208">
        <f ca="1">+SUM(AB81:AB$124)*SS50J</f>
        <v>0</v>
      </c>
      <c r="AK81" s="5">
        <f t="shared" ca="1" si="1485"/>
        <v>23690.687771744702</v>
      </c>
      <c r="AL81" s="2">
        <f t="shared" ref="AL81" ca="1" si="1601">IFERROR(VLOOKUP($S81,qx_table,MATCH(AL$11,qx_title,0)+sexB),0)</f>
        <v>0</v>
      </c>
      <c r="AM81" s="131">
        <f t="shared" ca="1" si="1487"/>
        <v>5102.8031878191814</v>
      </c>
      <c r="AN81" s="129">
        <f t="shared" ca="1" si="1488"/>
        <v>0</v>
      </c>
      <c r="AO81" s="129">
        <f ca="1">SUM(AN81:AN$124)*SSa</f>
        <v>0</v>
      </c>
      <c r="AP81" s="70">
        <f t="shared" ca="1" si="1489"/>
        <v>23690.687771744702</v>
      </c>
      <c r="AQ81" s="2">
        <f t="shared" ref="AQ81" ca="1" si="1602">IFERROR(VLOOKUP($S81,qx_table,MATCH(AQ$11,qx_title,0)+sexB),0)</f>
        <v>0</v>
      </c>
      <c r="AR81" s="127">
        <f t="shared" ca="1" si="1491"/>
        <v>0</v>
      </c>
      <c r="AS81" s="127">
        <f ca="1">SUM(AR81:AR$124)*SSb</f>
        <v>0</v>
      </c>
      <c r="AT81" s="70">
        <f t="shared" ca="1" si="1492"/>
        <v>23690.687771744702</v>
      </c>
      <c r="AU81" s="2">
        <f t="shared" ref="AU81" ca="1" si="1603">IFERROR(VLOOKUP($S81,qx_table,MATCH(AU$11,qx_title,0)+sexB),0)</f>
        <v>0</v>
      </c>
      <c r="AV81" s="268">
        <f t="shared" ca="1" si="1494"/>
        <v>0</v>
      </c>
      <c r="AW81" s="131">
        <f ca="1">SUM(AV81:AV$124)*SSc</f>
        <v>0</v>
      </c>
      <c r="AX81" s="70">
        <f t="shared" ca="1" si="1495"/>
        <v>23690.687771744702</v>
      </c>
      <c r="AY81" s="2">
        <f t="shared" ref="AY81" ca="1" si="1604">IFERROR(VLOOKUP($S81,qx_table,MATCH(AY$11,qx_title,0)+sexB),0)</f>
        <v>0</v>
      </c>
      <c r="AZ81" s="268">
        <f t="shared" ca="1" si="1497"/>
        <v>0</v>
      </c>
      <c r="BA81" s="129">
        <f ca="1">SUM(AZ81:AZ$124)*SSd</f>
        <v>0</v>
      </c>
      <c r="BB81" s="70">
        <f t="shared" ca="1" si="1498"/>
        <v>23690.687771744702</v>
      </c>
      <c r="BC81" s="257">
        <f t="shared" ref="BC81" ca="1" si="1605">IFERROR(VLOOKUP($S81,qx_table,MATCH(BC$11,qx_title,0)+sexB),0)</f>
        <v>0</v>
      </c>
      <c r="BD81" s="268">
        <f t="shared" ca="1" si="1500"/>
        <v>0</v>
      </c>
      <c r="BE81" s="131">
        <f ca="1">SUM(BD81:BD$124)*SSe</f>
        <v>0</v>
      </c>
      <c r="BF81" s="70">
        <f t="shared" ca="1" si="1501"/>
        <v>23690.687771744702</v>
      </c>
      <c r="BG81" s="2">
        <f t="shared" ref="BG81" ca="1" si="1606">IFERROR(VLOOKUP($S81,qx_table,MATCH(BG$11,qx_title,0)+sexB),0)</f>
        <v>0</v>
      </c>
      <c r="BH81" s="131">
        <f t="shared" ca="1" si="1503"/>
        <v>0</v>
      </c>
      <c r="BI81" s="2">
        <f ca="1">SUM(BH81:BH$124)*SSf</f>
        <v>0</v>
      </c>
      <c r="BJ81" s="70">
        <f t="shared" ca="1" si="1504"/>
        <v>23690.687771744702</v>
      </c>
      <c r="BK81" s="2">
        <f t="shared" ref="BK81" ca="1" si="1607">IFERROR(VLOOKUP($S81,qx_table,MATCH(BK$11,qx_title,0)+sexB),0)</f>
        <v>0</v>
      </c>
      <c r="BL81" s="131">
        <f t="shared" ca="1" si="1506"/>
        <v>0</v>
      </c>
      <c r="BM81" s="131">
        <f ca="1">SUM(BL81:BL$124)*SSg</f>
        <v>0</v>
      </c>
      <c r="BN81" s="70">
        <f t="shared" ca="1" si="1507"/>
        <v>23690.687771744702</v>
      </c>
      <c r="BO81" s="2">
        <f t="shared" ref="BO81" ca="1" si="1608">IFERROR(VLOOKUP($S81,qx_table,MATCH(BO$11,qx_title,0)+sexB),0)</f>
        <v>0</v>
      </c>
      <c r="BP81" s="131">
        <f t="shared" ca="1" si="1509"/>
        <v>0</v>
      </c>
      <c r="BQ81" s="131">
        <f ca="1">SUM(BP81:BP$124)*SSh</f>
        <v>0</v>
      </c>
      <c r="BR81" s="70">
        <f t="shared" ca="1" si="1510"/>
        <v>23690.687771744702</v>
      </c>
      <c r="BS81" s="2">
        <f t="shared" ref="BS81" ca="1" si="1609">IFERROR(VLOOKUP($S81,qx_table,MATCH(BS$11,qx_title,0)+sexB),0)*IF(R81=0,MCi,1)</f>
        <v>0</v>
      </c>
      <c r="BT81" s="131">
        <f t="shared" ca="1" si="1512"/>
        <v>0</v>
      </c>
      <c r="BU81" s="131">
        <f ca="1">SUM(BT81:BT$124)*SSi</f>
        <v>0</v>
      </c>
      <c r="BV81" s="70">
        <f t="shared" ca="1" si="1513"/>
        <v>23690.687771744702</v>
      </c>
      <c r="BW81" s="2">
        <f t="shared" ref="BW81" ca="1" si="1610">IFERROR(VLOOKUP($S81,qx_table,MATCH(BW$11,qx_title,0)+sexB),0)</f>
        <v>0</v>
      </c>
      <c r="BX81" s="131">
        <f t="shared" ca="1" si="1515"/>
        <v>0</v>
      </c>
      <c r="BY81" s="131">
        <f ca="1">SUM(BX81:BX$124)*SSj</f>
        <v>0</v>
      </c>
      <c r="BZ81" s="70">
        <f t="shared" ca="1" si="1516"/>
        <v>23690.687771744702</v>
      </c>
      <c r="CA81" s="2">
        <f t="shared" ref="CA81" ca="1" si="1611">IFERROR(VLOOKUP($S81,qx_table,MATCH(CA$11,qx_title,0)+sexB),0)</f>
        <v>0</v>
      </c>
      <c r="CB81" s="131">
        <f t="shared" ca="1" si="1518"/>
        <v>0</v>
      </c>
      <c r="CC81" s="131">
        <f ca="1">SUM(CB81:CB$124)*SSk</f>
        <v>0</v>
      </c>
      <c r="CD81" s="8">
        <f t="shared" ca="1" si="1519"/>
        <v>23690.687771744702</v>
      </c>
      <c r="CE81" s="2">
        <f t="shared" ref="CE81" ca="1" si="1612">IFERROR(VLOOKUP($S81,qx_table,MATCH(CE$11,qx_title,0)+sexB),0)</f>
        <v>0</v>
      </c>
      <c r="CF81" s="131">
        <f t="shared" ca="1" si="1521"/>
        <v>0</v>
      </c>
      <c r="CG81" s="131">
        <f ca="1">SUM(CF81:CF$124)*SSl</f>
        <v>0</v>
      </c>
      <c r="CH81" s="155">
        <f t="shared" ca="1" si="1522"/>
        <v>0.01</v>
      </c>
      <c r="CI81" s="155">
        <f t="shared" ca="1" si="1523"/>
        <v>0</v>
      </c>
      <c r="CJ81" s="155">
        <f t="shared" ca="1" si="1524"/>
        <v>0</v>
      </c>
      <c r="CK81" s="155">
        <f ca="1">'유해지 (기준P)'!CZ81</f>
        <v>0</v>
      </c>
      <c r="CL81" s="155">
        <f t="shared" ca="1" si="1465"/>
        <v>0</v>
      </c>
      <c r="CM81" s="155">
        <f t="shared" ca="1" si="1525"/>
        <v>0</v>
      </c>
      <c r="CN81" s="155">
        <f ca="1">SUM(CM81:$CM$124)</f>
        <v>0</v>
      </c>
      <c r="CO81" s="101">
        <f t="shared" ca="1" si="1526"/>
        <v>0</v>
      </c>
      <c r="CP81" s="154">
        <f t="shared" ca="1" si="1466"/>
        <v>0</v>
      </c>
      <c r="CQ81" s="154">
        <f t="shared" ca="1" si="1467"/>
        <v>0</v>
      </c>
      <c r="CR81" s="32">
        <f t="shared" ref="CR81" ca="1" si="1613">+MAX(VLOOKUP(xB+$R81,기수표B,$AH$1)-VLOOKUP(xB+mB,기수표B,$AH$1),0)</f>
        <v>0</v>
      </c>
      <c r="CS81" s="32">
        <f t="shared" ca="1" si="1469"/>
        <v>0</v>
      </c>
      <c r="CT81" s="32">
        <f t="shared" ref="CT81" ca="1" si="1614">+MAX(VLOOKUP(xB+$R81,기수표B,$AA$1)-VLOOKUP(xB+mB,기수표B,$AA$1),0)</f>
        <v>0</v>
      </c>
      <c r="CU81" s="32">
        <f t="shared" ca="1" si="1471"/>
        <v>0</v>
      </c>
      <c r="CV81" s="32">
        <f t="shared" si="1472"/>
        <v>0</v>
      </c>
      <c r="CW81" s="259">
        <f t="shared" ca="1" si="1473"/>
        <v>0</v>
      </c>
      <c r="CX81" s="32">
        <f t="shared" ca="1" si="1474"/>
        <v>0</v>
      </c>
      <c r="CY81" s="262">
        <f t="shared" ca="1" si="1475"/>
        <v>0</v>
      </c>
      <c r="CZ81" s="259" t="e">
        <f t="shared" ca="1" si="1476"/>
        <v>#DIV/0!</v>
      </c>
      <c r="DA81" s="31">
        <f t="shared" ref="DA81" ca="1" si="1615">+MIN(mB,7)</f>
        <v>7</v>
      </c>
    </row>
    <row r="82" spans="14:105">
      <c r="N82" s="5">
        <f t="shared" si="1530"/>
        <v>70</v>
      </c>
      <c r="O82" s="2">
        <f t="shared" ref="O82" ca="1" si="1616">+(1+iB)^-N82</f>
        <v>0.21065308923012357</v>
      </c>
      <c r="P82" s="2">
        <f t="shared" ref="P82" ca="1" si="1617">+(1+iB)^-(N82+0.5)</f>
        <v>0.20832249778367809</v>
      </c>
      <c r="Q82" s="91"/>
      <c r="R82" s="20">
        <f t="shared" si="1533"/>
        <v>70</v>
      </c>
      <c r="S82" s="20" t="str">
        <f t="shared" ref="S82" si="1618">+IF(xB+R82&lt;=xB+nB,xB+R82,"")</f>
        <v/>
      </c>
      <c r="T82" s="2">
        <f t="shared" ref="T82:U82" ca="1" si="1619">IFERROR(VLOOKUP($S82,qx_table,MATCH(T$11,qx_title,0)+sexB),0)</f>
        <v>0</v>
      </c>
      <c r="U82" s="2">
        <f t="shared" ca="1" si="1619"/>
        <v>0</v>
      </c>
      <c r="V82" s="300">
        <f t="shared" ca="1" si="1443"/>
        <v>0.01</v>
      </c>
      <c r="W82" s="8">
        <f t="shared" ref="W82" si="1620">IF(R82=0,100000,IF(R82&gt;nB,0,W81*(1-X81)*(1-Y81)))</f>
        <v>0</v>
      </c>
      <c r="X82" s="10">
        <f t="shared" ca="1" si="1445"/>
        <v>1.0000000000000009E-2</v>
      </c>
      <c r="Y82" s="10">
        <f t="shared" ca="1" si="1446"/>
        <v>0</v>
      </c>
      <c r="Z82" s="8">
        <f t="shared" ca="1" si="1483"/>
        <v>0</v>
      </c>
      <c r="AA82" s="8">
        <f ca="1">+SUM(Z82:Z$124)</f>
        <v>0</v>
      </c>
      <c r="AB82" s="8">
        <f t="shared" ca="1" si="1447"/>
        <v>0</v>
      </c>
      <c r="AC82" s="209">
        <f ca="1">+SUM(AB82:AB$124)*SSSM</f>
        <v>0</v>
      </c>
      <c r="AD82" s="209">
        <f t="shared" ref="AD82" si="1621">IF(R82&gt;nB,0,AD81*(1-X81)*(1-Y81)*(1-AE81)*(1-AF81))</f>
        <v>0</v>
      </c>
      <c r="AE82" s="92">
        <f t="shared" ca="1" si="1449"/>
        <v>0</v>
      </c>
      <c r="AF82" s="92">
        <f t="shared" ca="1" si="1450"/>
        <v>0</v>
      </c>
      <c r="AG82" s="8">
        <f t="shared" ca="1" si="1451"/>
        <v>0</v>
      </c>
      <c r="AH82" s="5">
        <f ca="1">+SUM(AG82:AG$124)</f>
        <v>0</v>
      </c>
      <c r="AI82" s="70">
        <f t="shared" ca="1" si="1452"/>
        <v>0</v>
      </c>
      <c r="AJ82" s="208">
        <f ca="1">+SUM(AB82:AB$124)*SS50J</f>
        <v>0</v>
      </c>
      <c r="AK82" s="5">
        <f t="shared" ca="1" si="1485"/>
        <v>23453.780894027255</v>
      </c>
      <c r="AL82" s="2">
        <f t="shared" ref="AL82" ca="1" si="1622">IFERROR(VLOOKUP($S82,qx_table,MATCH(AL$11,qx_title,0)+sexB),0)</f>
        <v>0</v>
      </c>
      <c r="AM82" s="131">
        <f t="shared" ca="1" si="1487"/>
        <v>4940.6113994532907</v>
      </c>
      <c r="AN82" s="129">
        <f t="shared" ca="1" si="1488"/>
        <v>0</v>
      </c>
      <c r="AO82" s="129">
        <f ca="1">SUM(AN82:AN$124)*SSa</f>
        <v>0</v>
      </c>
      <c r="AP82" s="70">
        <f t="shared" ca="1" si="1489"/>
        <v>23453.780894027255</v>
      </c>
      <c r="AQ82" s="2">
        <f t="shared" ref="AQ82" ca="1" si="1623">IFERROR(VLOOKUP($S82,qx_table,MATCH(AQ$11,qx_title,0)+sexB),0)</f>
        <v>0</v>
      </c>
      <c r="AR82" s="127">
        <f t="shared" ca="1" si="1491"/>
        <v>0</v>
      </c>
      <c r="AS82" s="127">
        <f ca="1">SUM(AR82:AR$124)*SSb</f>
        <v>0</v>
      </c>
      <c r="AT82" s="70">
        <f t="shared" ca="1" si="1492"/>
        <v>23453.780894027255</v>
      </c>
      <c r="AU82" s="2">
        <f t="shared" ref="AU82" ca="1" si="1624">IFERROR(VLOOKUP($S82,qx_table,MATCH(AU$11,qx_title,0)+sexB),0)</f>
        <v>0</v>
      </c>
      <c r="AV82" s="268">
        <f t="shared" ca="1" si="1494"/>
        <v>0</v>
      </c>
      <c r="AW82" s="131">
        <f ca="1">SUM(AV82:AV$124)*SSc</f>
        <v>0</v>
      </c>
      <c r="AX82" s="70">
        <f t="shared" ca="1" si="1495"/>
        <v>23453.780894027255</v>
      </c>
      <c r="AY82" s="2">
        <f t="shared" ref="AY82" ca="1" si="1625">IFERROR(VLOOKUP($S82,qx_table,MATCH(AY$11,qx_title,0)+sexB),0)</f>
        <v>0</v>
      </c>
      <c r="AZ82" s="268">
        <f t="shared" ca="1" si="1497"/>
        <v>0</v>
      </c>
      <c r="BA82" s="129">
        <f ca="1">SUM(AZ82:AZ$124)*SSd</f>
        <v>0</v>
      </c>
      <c r="BB82" s="70">
        <f t="shared" ca="1" si="1498"/>
        <v>23453.780894027255</v>
      </c>
      <c r="BC82" s="257">
        <f t="shared" ref="BC82" ca="1" si="1626">IFERROR(VLOOKUP($S82,qx_table,MATCH(BC$11,qx_title,0)+sexB),0)</f>
        <v>0</v>
      </c>
      <c r="BD82" s="268">
        <f t="shared" ca="1" si="1500"/>
        <v>0</v>
      </c>
      <c r="BE82" s="131">
        <f ca="1">SUM(BD82:BD$124)*SSe</f>
        <v>0</v>
      </c>
      <c r="BF82" s="70">
        <f t="shared" ca="1" si="1501"/>
        <v>23453.780894027255</v>
      </c>
      <c r="BG82" s="2">
        <f t="shared" ref="BG82" ca="1" si="1627">IFERROR(VLOOKUP($S82,qx_table,MATCH(BG$11,qx_title,0)+sexB),0)</f>
        <v>0</v>
      </c>
      <c r="BH82" s="131">
        <f t="shared" ca="1" si="1503"/>
        <v>0</v>
      </c>
      <c r="BI82" s="2">
        <f ca="1">SUM(BH82:BH$124)*SSf</f>
        <v>0</v>
      </c>
      <c r="BJ82" s="70">
        <f t="shared" ca="1" si="1504"/>
        <v>23453.780894027255</v>
      </c>
      <c r="BK82" s="2">
        <f t="shared" ref="BK82" ca="1" si="1628">IFERROR(VLOOKUP($S82,qx_table,MATCH(BK$11,qx_title,0)+sexB),0)</f>
        <v>0</v>
      </c>
      <c r="BL82" s="131">
        <f t="shared" ca="1" si="1506"/>
        <v>0</v>
      </c>
      <c r="BM82" s="131">
        <f ca="1">SUM(BL82:BL$124)*SSg</f>
        <v>0</v>
      </c>
      <c r="BN82" s="70">
        <f t="shared" ca="1" si="1507"/>
        <v>23453.780894027255</v>
      </c>
      <c r="BO82" s="2">
        <f t="shared" ref="BO82" ca="1" si="1629">IFERROR(VLOOKUP($S82,qx_table,MATCH(BO$11,qx_title,0)+sexB),0)</f>
        <v>0</v>
      </c>
      <c r="BP82" s="131">
        <f t="shared" ca="1" si="1509"/>
        <v>0</v>
      </c>
      <c r="BQ82" s="131">
        <f ca="1">SUM(BP82:BP$124)*SSh</f>
        <v>0</v>
      </c>
      <c r="BR82" s="70">
        <f t="shared" ca="1" si="1510"/>
        <v>23453.780894027255</v>
      </c>
      <c r="BS82" s="2">
        <f t="shared" ref="BS82" ca="1" si="1630">IFERROR(VLOOKUP($S82,qx_table,MATCH(BS$11,qx_title,0)+sexB),0)*IF(R82=0,MCi,1)</f>
        <v>0</v>
      </c>
      <c r="BT82" s="131">
        <f t="shared" ca="1" si="1512"/>
        <v>0</v>
      </c>
      <c r="BU82" s="131">
        <f ca="1">SUM(BT82:BT$124)*SSi</f>
        <v>0</v>
      </c>
      <c r="BV82" s="70">
        <f t="shared" ca="1" si="1513"/>
        <v>23453.780894027255</v>
      </c>
      <c r="BW82" s="2">
        <f t="shared" ref="BW82" ca="1" si="1631">IFERROR(VLOOKUP($S82,qx_table,MATCH(BW$11,qx_title,0)+sexB),0)</f>
        <v>0</v>
      </c>
      <c r="BX82" s="131">
        <f t="shared" ca="1" si="1515"/>
        <v>0</v>
      </c>
      <c r="BY82" s="131">
        <f ca="1">SUM(BX82:BX$124)*SSj</f>
        <v>0</v>
      </c>
      <c r="BZ82" s="70">
        <f t="shared" ca="1" si="1516"/>
        <v>23453.780894027255</v>
      </c>
      <c r="CA82" s="2">
        <f t="shared" ref="CA82" ca="1" si="1632">IFERROR(VLOOKUP($S82,qx_table,MATCH(CA$11,qx_title,0)+sexB),0)</f>
        <v>0</v>
      </c>
      <c r="CB82" s="131">
        <f t="shared" ca="1" si="1518"/>
        <v>0</v>
      </c>
      <c r="CC82" s="131">
        <f ca="1">SUM(CB82:CB$124)*SSk</f>
        <v>0</v>
      </c>
      <c r="CD82" s="8">
        <f t="shared" ca="1" si="1519"/>
        <v>23453.780894027255</v>
      </c>
      <c r="CE82" s="2">
        <f t="shared" ref="CE82" ca="1" si="1633">IFERROR(VLOOKUP($S82,qx_table,MATCH(CE$11,qx_title,0)+sexB),0)</f>
        <v>0</v>
      </c>
      <c r="CF82" s="131">
        <f t="shared" ca="1" si="1521"/>
        <v>0</v>
      </c>
      <c r="CG82" s="131">
        <f ca="1">SUM(CF82:CF$124)*SSl</f>
        <v>0</v>
      </c>
      <c r="CH82" s="155">
        <f t="shared" ca="1" si="1522"/>
        <v>0.01</v>
      </c>
      <c r="CI82" s="155">
        <f t="shared" ca="1" si="1523"/>
        <v>0</v>
      </c>
      <c r="CJ82" s="155">
        <f t="shared" ca="1" si="1524"/>
        <v>0</v>
      </c>
      <c r="CK82" s="155">
        <f ca="1">'유해지 (기준P)'!CZ82</f>
        <v>0</v>
      </c>
      <c r="CL82" s="155">
        <f t="shared" ca="1" si="1465"/>
        <v>0</v>
      </c>
      <c r="CM82" s="155">
        <f t="shared" ca="1" si="1525"/>
        <v>0</v>
      </c>
      <c r="CN82" s="155">
        <f ca="1">SUM(CM82:$CM$124)</f>
        <v>0</v>
      </c>
      <c r="CO82" s="101">
        <f t="shared" ca="1" si="1526"/>
        <v>0</v>
      </c>
      <c r="CP82" s="154">
        <f t="shared" ca="1" si="1466"/>
        <v>0</v>
      </c>
      <c r="CQ82" s="154">
        <f t="shared" ca="1" si="1467"/>
        <v>0</v>
      </c>
      <c r="CR82" s="32">
        <f t="shared" ref="CR82" ca="1" si="1634">+MAX(VLOOKUP(xB+$R82,기수표B,$AH$1)-VLOOKUP(xB+mB,기수표B,$AH$1),0)</f>
        <v>0</v>
      </c>
      <c r="CS82" s="32">
        <f t="shared" ca="1" si="1469"/>
        <v>0</v>
      </c>
      <c r="CT82" s="32">
        <f t="shared" ref="CT82" ca="1" si="1635">+MAX(VLOOKUP(xB+$R82,기수표B,$AA$1)-VLOOKUP(xB+mB,기수표B,$AA$1),0)</f>
        <v>0</v>
      </c>
      <c r="CU82" s="32">
        <f t="shared" ca="1" si="1471"/>
        <v>0</v>
      </c>
      <c r="CV82" s="32">
        <f t="shared" si="1472"/>
        <v>0</v>
      </c>
      <c r="CW82" s="259">
        <f t="shared" ca="1" si="1473"/>
        <v>0</v>
      </c>
      <c r="CX82" s="32">
        <f t="shared" ca="1" si="1474"/>
        <v>0</v>
      </c>
      <c r="CY82" s="262">
        <f t="shared" ca="1" si="1475"/>
        <v>0</v>
      </c>
      <c r="CZ82" s="259" t="e">
        <f t="shared" ca="1" si="1476"/>
        <v>#DIV/0!</v>
      </c>
      <c r="DA82" s="31">
        <f t="shared" ref="DA82" ca="1" si="1636">+MIN(mB,7)</f>
        <v>7</v>
      </c>
    </row>
    <row r="83" spans="14:105">
      <c r="N83" s="5">
        <f t="shared" si="1530"/>
        <v>71</v>
      </c>
      <c r="O83" s="2">
        <f t="shared" ref="O83" ca="1" si="1637">+(1+iB)^-N83</f>
        <v>0.20601769117860499</v>
      </c>
      <c r="P83" s="2">
        <f t="shared" ref="P83" ca="1" si="1638">+(1+iB)^-(N83+0.5)</f>
        <v>0.20373838414051645</v>
      </c>
      <c r="Q83" s="91"/>
      <c r="R83" s="20">
        <f t="shared" si="1533"/>
        <v>71</v>
      </c>
      <c r="S83" s="20" t="str">
        <f t="shared" ref="S83" si="1639">+IF(xB+R83&lt;=xB+nB,xB+R83,"")</f>
        <v/>
      </c>
      <c r="T83" s="2">
        <f t="shared" ref="T83:U83" ca="1" si="1640">IFERROR(VLOOKUP($S83,qx_table,MATCH(T$11,qx_title,0)+sexB),0)</f>
        <v>0</v>
      </c>
      <c r="U83" s="2">
        <f t="shared" ca="1" si="1640"/>
        <v>0</v>
      </c>
      <c r="V83" s="300">
        <f t="shared" ca="1" si="1443"/>
        <v>0.01</v>
      </c>
      <c r="W83" s="8">
        <f t="shared" ref="W83" si="1641">IF(R83=0,100000,IF(R83&gt;nB,0,W82*(1-X82)*(1-Y82)))</f>
        <v>0</v>
      </c>
      <c r="X83" s="10">
        <f t="shared" ca="1" si="1445"/>
        <v>1.0000000000000009E-2</v>
      </c>
      <c r="Y83" s="10">
        <f t="shared" ca="1" si="1446"/>
        <v>0</v>
      </c>
      <c r="Z83" s="5">
        <f t="shared" ca="1" si="1483"/>
        <v>0</v>
      </c>
      <c r="AA83" s="5">
        <f ca="1">+SUM(Z83:Z$124)</f>
        <v>0</v>
      </c>
      <c r="AB83" s="8">
        <f t="shared" ca="1" si="1447"/>
        <v>0</v>
      </c>
      <c r="AC83" s="209">
        <f ca="1">+SUM(AB83:AB$124)*SSSM</f>
        <v>0</v>
      </c>
      <c r="AD83" s="209">
        <f t="shared" ref="AD83" si="1642">IF(R83&gt;nB,0,AD82*(1-X82)*(1-Y82)*(1-AE82)*(1-AF82))</f>
        <v>0</v>
      </c>
      <c r="AE83" s="92">
        <f t="shared" ca="1" si="1449"/>
        <v>0</v>
      </c>
      <c r="AF83" s="92">
        <f t="shared" ca="1" si="1450"/>
        <v>0</v>
      </c>
      <c r="AG83" s="8">
        <f t="shared" ca="1" si="1451"/>
        <v>0</v>
      </c>
      <c r="AH83" s="5">
        <f ca="1">+SUM(AG83:AG$124)</f>
        <v>0</v>
      </c>
      <c r="AI83" s="70">
        <f t="shared" ca="1" si="1452"/>
        <v>0</v>
      </c>
      <c r="AJ83" s="208">
        <f ca="1">+SUM(AB83:AB$124)*SS50J</f>
        <v>0</v>
      </c>
      <c r="AK83" s="5">
        <f t="shared" ca="1" si="1485"/>
        <v>23219.243085086982</v>
      </c>
      <c r="AL83" s="2">
        <f t="shared" ref="AL83" ca="1" si="1643">IFERROR(VLOOKUP($S83,qx_table,MATCH(AL$11,qx_title,0)+sexB),0)</f>
        <v>0</v>
      </c>
      <c r="AM83" s="131">
        <f t="shared" ca="1" si="1487"/>
        <v>4783.5748513044091</v>
      </c>
      <c r="AN83" s="129">
        <f t="shared" ca="1" si="1488"/>
        <v>0</v>
      </c>
      <c r="AO83" s="129">
        <f ca="1">SUM(AN83:AN$124)*SSa</f>
        <v>0</v>
      </c>
      <c r="AP83" s="70">
        <f t="shared" ca="1" si="1489"/>
        <v>23219.243085086982</v>
      </c>
      <c r="AQ83" s="2">
        <f t="shared" ref="AQ83" ca="1" si="1644">IFERROR(VLOOKUP($S83,qx_table,MATCH(AQ$11,qx_title,0)+sexB),0)</f>
        <v>0</v>
      </c>
      <c r="AR83" s="127">
        <f t="shared" ca="1" si="1491"/>
        <v>0</v>
      </c>
      <c r="AS83" s="127">
        <f ca="1">SUM(AR83:AR$124)*SSb</f>
        <v>0</v>
      </c>
      <c r="AT83" s="70">
        <f t="shared" ca="1" si="1492"/>
        <v>23219.243085086982</v>
      </c>
      <c r="AU83" s="2">
        <f t="shared" ref="AU83" ca="1" si="1645">IFERROR(VLOOKUP($S83,qx_table,MATCH(AU$11,qx_title,0)+sexB),0)</f>
        <v>0</v>
      </c>
      <c r="AV83" s="268">
        <f t="shared" ca="1" si="1494"/>
        <v>0</v>
      </c>
      <c r="AW83" s="131">
        <f ca="1">SUM(AV83:AV$124)*SSc</f>
        <v>0</v>
      </c>
      <c r="AX83" s="70">
        <f t="shared" ca="1" si="1495"/>
        <v>23219.243085086982</v>
      </c>
      <c r="AY83" s="2">
        <f t="shared" ref="AY83" ca="1" si="1646">IFERROR(VLOOKUP($S83,qx_table,MATCH(AY$11,qx_title,0)+sexB),0)</f>
        <v>0</v>
      </c>
      <c r="AZ83" s="268">
        <f t="shared" ca="1" si="1497"/>
        <v>0</v>
      </c>
      <c r="BA83" s="129">
        <f ca="1">SUM(AZ83:AZ$124)*SSd</f>
        <v>0</v>
      </c>
      <c r="BB83" s="70">
        <f t="shared" ca="1" si="1498"/>
        <v>23219.243085086982</v>
      </c>
      <c r="BC83" s="257">
        <f t="shared" ref="BC83" ca="1" si="1647">IFERROR(VLOOKUP($S83,qx_table,MATCH(BC$11,qx_title,0)+sexB),0)</f>
        <v>0</v>
      </c>
      <c r="BD83" s="268">
        <f t="shared" ca="1" si="1500"/>
        <v>0</v>
      </c>
      <c r="BE83" s="131">
        <f ca="1">SUM(BD83:BD$124)*SSe</f>
        <v>0</v>
      </c>
      <c r="BF83" s="70">
        <f t="shared" ca="1" si="1501"/>
        <v>23219.243085086982</v>
      </c>
      <c r="BG83" s="2">
        <f t="shared" ref="BG83" ca="1" si="1648">IFERROR(VLOOKUP($S83,qx_table,MATCH(BG$11,qx_title,0)+sexB),0)</f>
        <v>0</v>
      </c>
      <c r="BH83" s="131">
        <f t="shared" ca="1" si="1503"/>
        <v>0</v>
      </c>
      <c r="BI83" s="2">
        <f ca="1">SUM(BH83:BH$124)*SSf</f>
        <v>0</v>
      </c>
      <c r="BJ83" s="70">
        <f t="shared" ca="1" si="1504"/>
        <v>23219.243085086982</v>
      </c>
      <c r="BK83" s="2">
        <f t="shared" ref="BK83" ca="1" si="1649">IFERROR(VLOOKUP($S83,qx_table,MATCH(BK$11,qx_title,0)+sexB),0)</f>
        <v>0</v>
      </c>
      <c r="BL83" s="131">
        <f t="shared" ca="1" si="1506"/>
        <v>0</v>
      </c>
      <c r="BM83" s="131">
        <f ca="1">SUM(BL83:BL$124)*SSg</f>
        <v>0</v>
      </c>
      <c r="BN83" s="70">
        <f t="shared" ca="1" si="1507"/>
        <v>23219.243085086982</v>
      </c>
      <c r="BO83" s="2">
        <f t="shared" ref="BO83" ca="1" si="1650">IFERROR(VLOOKUP($S83,qx_table,MATCH(BO$11,qx_title,0)+sexB),0)</f>
        <v>0</v>
      </c>
      <c r="BP83" s="131">
        <f t="shared" ca="1" si="1509"/>
        <v>0</v>
      </c>
      <c r="BQ83" s="131">
        <f ca="1">SUM(BP83:BP$124)*SSh</f>
        <v>0</v>
      </c>
      <c r="BR83" s="70">
        <f t="shared" ca="1" si="1510"/>
        <v>23219.243085086982</v>
      </c>
      <c r="BS83" s="2">
        <f t="shared" ref="BS83" ca="1" si="1651">IFERROR(VLOOKUP($S83,qx_table,MATCH(BS$11,qx_title,0)+sexB),0)*IF(R83=0,MCi,1)</f>
        <v>0</v>
      </c>
      <c r="BT83" s="131">
        <f t="shared" ca="1" si="1512"/>
        <v>0</v>
      </c>
      <c r="BU83" s="131">
        <f ca="1">SUM(BT83:BT$124)*SSi</f>
        <v>0</v>
      </c>
      <c r="BV83" s="70">
        <f t="shared" ca="1" si="1513"/>
        <v>23219.243085086982</v>
      </c>
      <c r="BW83" s="2">
        <f t="shared" ref="BW83" ca="1" si="1652">IFERROR(VLOOKUP($S83,qx_table,MATCH(BW$11,qx_title,0)+sexB),0)</f>
        <v>0</v>
      </c>
      <c r="BX83" s="131">
        <f t="shared" ca="1" si="1515"/>
        <v>0</v>
      </c>
      <c r="BY83" s="131">
        <f ca="1">SUM(BX83:BX$124)*SSj</f>
        <v>0</v>
      </c>
      <c r="BZ83" s="70">
        <f t="shared" ca="1" si="1516"/>
        <v>23219.243085086982</v>
      </c>
      <c r="CA83" s="2">
        <f t="shared" ref="CA83" ca="1" si="1653">IFERROR(VLOOKUP($S83,qx_table,MATCH(CA$11,qx_title,0)+sexB),0)</f>
        <v>0</v>
      </c>
      <c r="CB83" s="131">
        <f t="shared" ca="1" si="1518"/>
        <v>0</v>
      </c>
      <c r="CC83" s="131">
        <f ca="1">SUM(CB83:CB$124)*SSk</f>
        <v>0</v>
      </c>
      <c r="CD83" s="8">
        <f t="shared" ca="1" si="1519"/>
        <v>23219.243085086982</v>
      </c>
      <c r="CE83" s="2">
        <f t="shared" ref="CE83" ca="1" si="1654">IFERROR(VLOOKUP($S83,qx_table,MATCH(CE$11,qx_title,0)+sexB),0)</f>
        <v>0</v>
      </c>
      <c r="CF83" s="131">
        <f t="shared" ca="1" si="1521"/>
        <v>0</v>
      </c>
      <c r="CG83" s="131">
        <f ca="1">SUM(CF83:CF$124)*SSl</f>
        <v>0</v>
      </c>
      <c r="CH83" s="155">
        <f t="shared" ca="1" si="1522"/>
        <v>0.01</v>
      </c>
      <c r="CI83" s="155">
        <f t="shared" ca="1" si="1523"/>
        <v>0</v>
      </c>
      <c r="CJ83" s="155">
        <f t="shared" ca="1" si="1524"/>
        <v>0</v>
      </c>
      <c r="CK83" s="155">
        <f ca="1">'유해지 (기준P)'!CZ83</f>
        <v>0</v>
      </c>
      <c r="CL83" s="155">
        <f t="shared" ca="1" si="1465"/>
        <v>0</v>
      </c>
      <c r="CM83" s="155">
        <f t="shared" ca="1" si="1525"/>
        <v>0</v>
      </c>
      <c r="CN83" s="155">
        <f ca="1">SUM(CM83:$CM$124)</f>
        <v>0</v>
      </c>
      <c r="CO83" s="101">
        <f t="shared" ca="1" si="1526"/>
        <v>0</v>
      </c>
      <c r="CP83" s="154">
        <f t="shared" ca="1" si="1466"/>
        <v>0</v>
      </c>
      <c r="CQ83" s="154">
        <f t="shared" ca="1" si="1467"/>
        <v>0</v>
      </c>
      <c r="CR83" s="32">
        <f t="shared" ref="CR83" ca="1" si="1655">+MAX(VLOOKUP(xB+$R83,기수표B,$AH$1)-VLOOKUP(xB+mB,기수표B,$AH$1),0)</f>
        <v>0</v>
      </c>
      <c r="CS83" s="32">
        <f t="shared" ca="1" si="1469"/>
        <v>0</v>
      </c>
      <c r="CT83" s="32">
        <f t="shared" ref="CT83" ca="1" si="1656">+MAX(VLOOKUP(xB+$R83,기수표B,$AA$1)-VLOOKUP(xB+mB,기수표B,$AA$1),0)</f>
        <v>0</v>
      </c>
      <c r="CU83" s="32">
        <f t="shared" ca="1" si="1471"/>
        <v>0</v>
      </c>
      <c r="CV83" s="32">
        <f t="shared" si="1472"/>
        <v>0</v>
      </c>
      <c r="CW83" s="259">
        <f t="shared" ca="1" si="1473"/>
        <v>0</v>
      </c>
      <c r="CX83" s="32">
        <f t="shared" ca="1" si="1474"/>
        <v>0</v>
      </c>
      <c r="CY83" s="262">
        <f t="shared" ca="1" si="1475"/>
        <v>0</v>
      </c>
      <c r="CZ83" s="259" t="e">
        <f t="shared" ca="1" si="1476"/>
        <v>#DIV/0!</v>
      </c>
      <c r="DA83" s="31">
        <f t="shared" ref="DA83" ca="1" si="1657">+MIN(mB,7)</f>
        <v>7</v>
      </c>
    </row>
    <row r="84" spans="14:105">
      <c r="N84" s="5">
        <f t="shared" si="1530"/>
        <v>72</v>
      </c>
      <c r="O84" s="2">
        <f t="shared" ref="O84" ca="1" si="1658">+(1+iB)^-N84</f>
        <v>0.20148429455120295</v>
      </c>
      <c r="P84" s="2">
        <f t="shared" ref="P84" ca="1" si="1659">+(1+iB)^-(N84+0.5)</f>
        <v>0.19925514341370809</v>
      </c>
      <c r="Q84" s="91"/>
      <c r="R84" s="20">
        <f t="shared" si="1533"/>
        <v>72</v>
      </c>
      <c r="S84" s="20" t="str">
        <f t="shared" ref="S84" si="1660">+IF(xB+R84&lt;=xB+nB,xB+R84,"")</f>
        <v/>
      </c>
      <c r="T84" s="2">
        <f t="shared" ref="T84:U84" ca="1" si="1661">IFERROR(VLOOKUP($S84,qx_table,MATCH(T$11,qx_title,0)+sexB),0)</f>
        <v>0</v>
      </c>
      <c r="U84" s="2">
        <f t="shared" ca="1" si="1661"/>
        <v>0</v>
      </c>
      <c r="V84" s="300">
        <f t="shared" ca="1" si="1443"/>
        <v>0.01</v>
      </c>
      <c r="W84" s="8">
        <f t="shared" ref="W84" si="1662">IF(R84=0,100000,IF(R84&gt;nB,0,W83*(1-X83)*(1-Y83)))</f>
        <v>0</v>
      </c>
      <c r="X84" s="10">
        <f t="shared" ca="1" si="1445"/>
        <v>1.0000000000000009E-2</v>
      </c>
      <c r="Y84" s="10">
        <f t="shared" ca="1" si="1446"/>
        <v>0</v>
      </c>
      <c r="Z84" s="5">
        <f t="shared" ca="1" si="1483"/>
        <v>0</v>
      </c>
      <c r="AA84" s="5">
        <f ca="1">+SUM(Z84:Z$124)</f>
        <v>0</v>
      </c>
      <c r="AB84" s="8">
        <f t="shared" ca="1" si="1447"/>
        <v>0</v>
      </c>
      <c r="AC84" s="209">
        <f ca="1">+SUM(AB84:AB$124)*SSSM</f>
        <v>0</v>
      </c>
      <c r="AD84" s="209">
        <f t="shared" ref="AD84" si="1663">IF(R84&gt;nB,0,AD83*(1-X83)*(1-Y83)*(1-AE83)*(1-AF83))</f>
        <v>0</v>
      </c>
      <c r="AE84" s="92">
        <f t="shared" ca="1" si="1449"/>
        <v>0</v>
      </c>
      <c r="AF84" s="92">
        <f t="shared" ca="1" si="1450"/>
        <v>0</v>
      </c>
      <c r="AG84" s="8">
        <f t="shared" ca="1" si="1451"/>
        <v>0</v>
      </c>
      <c r="AH84" s="5">
        <f ca="1">+SUM(AG84:AG$124)</f>
        <v>0</v>
      </c>
      <c r="AI84" s="70">
        <f t="shared" ca="1" si="1452"/>
        <v>0</v>
      </c>
      <c r="AJ84" s="208">
        <f ca="1">+SUM(AB84:AB$124)*SS50J</f>
        <v>0</v>
      </c>
      <c r="AK84" s="5">
        <f t="shared" ca="1" si="1485"/>
        <v>22987.050654236111</v>
      </c>
      <c r="AL84" s="2">
        <f t="shared" ref="AL84" ca="1" si="1664">IFERROR(VLOOKUP($S84,qx_table,MATCH(AL$11,qx_title,0)+sexB),0)</f>
        <v>0</v>
      </c>
      <c r="AM84" s="131">
        <f t="shared" ca="1" si="1487"/>
        <v>4631.5296848815315</v>
      </c>
      <c r="AN84" s="129">
        <f t="shared" ca="1" si="1488"/>
        <v>0</v>
      </c>
      <c r="AO84" s="129">
        <f ca="1">SUM(AN84:AN$124)*SSa</f>
        <v>0</v>
      </c>
      <c r="AP84" s="70">
        <f t="shared" ca="1" si="1489"/>
        <v>22987.050654236111</v>
      </c>
      <c r="AQ84" s="2">
        <f t="shared" ref="AQ84" ca="1" si="1665">IFERROR(VLOOKUP($S84,qx_table,MATCH(AQ$11,qx_title,0)+sexB),0)</f>
        <v>0</v>
      </c>
      <c r="AR84" s="127">
        <f t="shared" ca="1" si="1491"/>
        <v>0</v>
      </c>
      <c r="AS84" s="127">
        <f ca="1">SUM(AR84:AR$124)*SSb</f>
        <v>0</v>
      </c>
      <c r="AT84" s="70">
        <f t="shared" ca="1" si="1492"/>
        <v>22987.050654236111</v>
      </c>
      <c r="AU84" s="2">
        <f t="shared" ref="AU84" ca="1" si="1666">IFERROR(VLOOKUP($S84,qx_table,MATCH(AU$11,qx_title,0)+sexB),0)</f>
        <v>0</v>
      </c>
      <c r="AV84" s="268">
        <f t="shared" ca="1" si="1494"/>
        <v>0</v>
      </c>
      <c r="AW84" s="131">
        <f ca="1">SUM(AV84:AV$124)*SSc</f>
        <v>0</v>
      </c>
      <c r="AX84" s="70">
        <f t="shared" ca="1" si="1495"/>
        <v>22987.050654236111</v>
      </c>
      <c r="AY84" s="2">
        <f t="shared" ref="AY84" ca="1" si="1667">IFERROR(VLOOKUP($S84,qx_table,MATCH(AY$11,qx_title,0)+sexB),0)</f>
        <v>0</v>
      </c>
      <c r="AZ84" s="268">
        <f t="shared" ca="1" si="1497"/>
        <v>0</v>
      </c>
      <c r="BA84" s="129">
        <f ca="1">SUM(AZ84:AZ$124)*SSd</f>
        <v>0</v>
      </c>
      <c r="BB84" s="70">
        <f t="shared" ca="1" si="1498"/>
        <v>22987.050654236111</v>
      </c>
      <c r="BC84" s="257">
        <f t="shared" ref="BC84" ca="1" si="1668">IFERROR(VLOOKUP($S84,qx_table,MATCH(BC$11,qx_title,0)+sexB),0)</f>
        <v>0</v>
      </c>
      <c r="BD84" s="268">
        <f t="shared" ca="1" si="1500"/>
        <v>0</v>
      </c>
      <c r="BE84" s="131">
        <f ca="1">SUM(BD84:BD$124)*SSe</f>
        <v>0</v>
      </c>
      <c r="BF84" s="70">
        <f t="shared" ca="1" si="1501"/>
        <v>22987.050654236111</v>
      </c>
      <c r="BG84" s="2">
        <f t="shared" ref="BG84" ca="1" si="1669">IFERROR(VLOOKUP($S84,qx_table,MATCH(BG$11,qx_title,0)+sexB),0)</f>
        <v>0</v>
      </c>
      <c r="BH84" s="131">
        <f t="shared" ca="1" si="1503"/>
        <v>0</v>
      </c>
      <c r="BI84" s="2">
        <f ca="1">SUM(BH84:BH$124)*SSf</f>
        <v>0</v>
      </c>
      <c r="BJ84" s="70">
        <f t="shared" ca="1" si="1504"/>
        <v>22987.050654236111</v>
      </c>
      <c r="BK84" s="2">
        <f t="shared" ref="BK84" ca="1" si="1670">IFERROR(VLOOKUP($S84,qx_table,MATCH(BK$11,qx_title,0)+sexB),0)</f>
        <v>0</v>
      </c>
      <c r="BL84" s="131">
        <f t="shared" ca="1" si="1506"/>
        <v>0</v>
      </c>
      <c r="BM84" s="131">
        <f ca="1">SUM(BL84:BL$124)*SSg</f>
        <v>0</v>
      </c>
      <c r="BN84" s="70">
        <f t="shared" ca="1" si="1507"/>
        <v>22987.050654236111</v>
      </c>
      <c r="BO84" s="2">
        <f t="shared" ref="BO84" ca="1" si="1671">IFERROR(VLOOKUP($S84,qx_table,MATCH(BO$11,qx_title,0)+sexB),0)</f>
        <v>0</v>
      </c>
      <c r="BP84" s="131">
        <f t="shared" ca="1" si="1509"/>
        <v>0</v>
      </c>
      <c r="BQ84" s="131">
        <f ca="1">SUM(BP84:BP$124)*SSh</f>
        <v>0</v>
      </c>
      <c r="BR84" s="70">
        <f t="shared" ca="1" si="1510"/>
        <v>22987.050654236111</v>
      </c>
      <c r="BS84" s="2">
        <f t="shared" ref="BS84" ca="1" si="1672">IFERROR(VLOOKUP($S84,qx_table,MATCH(BS$11,qx_title,0)+sexB),0)*IF(R84=0,MCi,1)</f>
        <v>0</v>
      </c>
      <c r="BT84" s="131">
        <f t="shared" ca="1" si="1512"/>
        <v>0</v>
      </c>
      <c r="BU84" s="131">
        <f ca="1">SUM(BT84:BT$124)*SSi</f>
        <v>0</v>
      </c>
      <c r="BV84" s="70">
        <f t="shared" ca="1" si="1513"/>
        <v>22987.050654236111</v>
      </c>
      <c r="BW84" s="2">
        <f t="shared" ref="BW84" ca="1" si="1673">IFERROR(VLOOKUP($S84,qx_table,MATCH(BW$11,qx_title,0)+sexB),0)</f>
        <v>0</v>
      </c>
      <c r="BX84" s="131">
        <f t="shared" ca="1" si="1515"/>
        <v>0</v>
      </c>
      <c r="BY84" s="131">
        <f ca="1">SUM(BX84:BX$124)*SSj</f>
        <v>0</v>
      </c>
      <c r="BZ84" s="70">
        <f t="shared" ca="1" si="1516"/>
        <v>22987.050654236111</v>
      </c>
      <c r="CA84" s="2">
        <f t="shared" ref="CA84" ca="1" si="1674">IFERROR(VLOOKUP($S84,qx_table,MATCH(CA$11,qx_title,0)+sexB),0)</f>
        <v>0</v>
      </c>
      <c r="CB84" s="131">
        <f t="shared" ca="1" si="1518"/>
        <v>0</v>
      </c>
      <c r="CC84" s="131">
        <f ca="1">SUM(CB84:CB$124)*SSk</f>
        <v>0</v>
      </c>
      <c r="CD84" s="8">
        <f t="shared" ca="1" si="1519"/>
        <v>22987.050654236111</v>
      </c>
      <c r="CE84" s="2">
        <f t="shared" ref="CE84" ca="1" si="1675">IFERROR(VLOOKUP($S84,qx_table,MATCH(CE$11,qx_title,0)+sexB),0)</f>
        <v>0</v>
      </c>
      <c r="CF84" s="131">
        <f t="shared" ca="1" si="1521"/>
        <v>0</v>
      </c>
      <c r="CG84" s="131">
        <f ca="1">SUM(CF84:CF$124)*SSl</f>
        <v>0</v>
      </c>
      <c r="CH84" s="155">
        <f t="shared" ca="1" si="1522"/>
        <v>0.01</v>
      </c>
      <c r="CI84" s="155">
        <f t="shared" ca="1" si="1523"/>
        <v>0</v>
      </c>
      <c r="CJ84" s="155">
        <f t="shared" ca="1" si="1524"/>
        <v>0</v>
      </c>
      <c r="CK84" s="155">
        <f ca="1">'유해지 (기준P)'!CZ84</f>
        <v>0</v>
      </c>
      <c r="CL84" s="155">
        <f t="shared" ca="1" si="1465"/>
        <v>0</v>
      </c>
      <c r="CM84" s="155">
        <f t="shared" ca="1" si="1525"/>
        <v>0</v>
      </c>
      <c r="CN84" s="155">
        <f ca="1">SUM(CM84:$CM$124)</f>
        <v>0</v>
      </c>
      <c r="CO84" s="101">
        <f t="shared" ca="1" si="1526"/>
        <v>0</v>
      </c>
      <c r="CP84" s="154">
        <f t="shared" ca="1" si="1466"/>
        <v>0</v>
      </c>
      <c r="CQ84" s="154">
        <f t="shared" ca="1" si="1467"/>
        <v>0</v>
      </c>
      <c r="CR84" s="32">
        <f t="shared" ref="CR84" ca="1" si="1676">+MAX(VLOOKUP(xB+$R84,기수표B,$AH$1)-VLOOKUP(xB+mB,기수표B,$AH$1),0)</f>
        <v>0</v>
      </c>
      <c r="CS84" s="32">
        <f t="shared" ca="1" si="1469"/>
        <v>0</v>
      </c>
      <c r="CT84" s="32">
        <f t="shared" ref="CT84" ca="1" si="1677">+MAX(VLOOKUP(xB+$R84,기수표B,$AA$1)-VLOOKUP(xB+mB,기수표B,$AA$1),0)</f>
        <v>0</v>
      </c>
      <c r="CU84" s="32">
        <f t="shared" ca="1" si="1471"/>
        <v>0</v>
      </c>
      <c r="CV84" s="32">
        <f t="shared" si="1472"/>
        <v>0</v>
      </c>
      <c r="CW84" s="259">
        <f t="shared" ca="1" si="1473"/>
        <v>0</v>
      </c>
      <c r="CX84" s="32">
        <f t="shared" ca="1" si="1474"/>
        <v>0</v>
      </c>
      <c r="CY84" s="262">
        <f t="shared" ca="1" si="1475"/>
        <v>0</v>
      </c>
      <c r="CZ84" s="259" t="e">
        <f t="shared" ca="1" si="1476"/>
        <v>#DIV/0!</v>
      </c>
      <c r="DA84" s="31">
        <f t="shared" ref="DA84" ca="1" si="1678">+MIN(mB,7)</f>
        <v>7</v>
      </c>
    </row>
    <row r="85" spans="14:105">
      <c r="N85" s="5">
        <f t="shared" si="1530"/>
        <v>73</v>
      </c>
      <c r="O85" s="2">
        <f t="shared" ref="O85" ca="1" si="1679">+(1+iB)^-N85</f>
        <v>0.19705065481780243</v>
      </c>
      <c r="P85" s="2">
        <f t="shared" ref="P85" ca="1" si="1680">+(1+iB)^-(N85+0.5)</f>
        <v>0.19487055590582697</v>
      </c>
      <c r="Q85" s="91"/>
      <c r="R85" s="20">
        <f t="shared" si="1533"/>
        <v>73</v>
      </c>
      <c r="S85" s="20" t="str">
        <f t="shared" ref="S85" si="1681">+IF(xB+R85&lt;=xB+nB,xB+R85,"")</f>
        <v/>
      </c>
      <c r="T85" s="2">
        <f t="shared" ref="T85:U85" ca="1" si="1682">IFERROR(VLOOKUP($S85,qx_table,MATCH(T$11,qx_title,0)+sexB),0)</f>
        <v>0</v>
      </c>
      <c r="U85" s="2">
        <f t="shared" ca="1" si="1682"/>
        <v>0</v>
      </c>
      <c r="V85" s="300">
        <f t="shared" ca="1" si="1443"/>
        <v>0.01</v>
      </c>
      <c r="W85" s="8">
        <f t="shared" ref="W85" si="1683">IF(R85=0,100000,IF(R85&gt;nB,0,W84*(1-X84)*(1-Y84)))</f>
        <v>0</v>
      </c>
      <c r="X85" s="10">
        <f t="shared" ca="1" si="1445"/>
        <v>1.0000000000000009E-2</v>
      </c>
      <c r="Y85" s="10">
        <f t="shared" ca="1" si="1446"/>
        <v>0</v>
      </c>
      <c r="Z85" s="5">
        <f t="shared" ca="1" si="1483"/>
        <v>0</v>
      </c>
      <c r="AA85" s="5">
        <f ca="1">+SUM(Z85:Z$124)</f>
        <v>0</v>
      </c>
      <c r="AB85" s="8">
        <f t="shared" ca="1" si="1447"/>
        <v>0</v>
      </c>
      <c r="AC85" s="209">
        <f ca="1">+SUM(AB85:AB$124)*SSSM</f>
        <v>0</v>
      </c>
      <c r="AD85" s="209">
        <f t="shared" ref="AD85" si="1684">IF(R85&gt;nB,0,AD84*(1-X84)*(1-Y84)*(1-AE84)*(1-AF84))</f>
        <v>0</v>
      </c>
      <c r="AE85" s="92">
        <f t="shared" ca="1" si="1449"/>
        <v>0</v>
      </c>
      <c r="AF85" s="92">
        <f t="shared" ca="1" si="1450"/>
        <v>0</v>
      </c>
      <c r="AG85" s="8">
        <f t="shared" ca="1" si="1451"/>
        <v>0</v>
      </c>
      <c r="AH85" s="5">
        <f ca="1">+SUM(AG85:AG$124)</f>
        <v>0</v>
      </c>
      <c r="AI85" s="70">
        <f t="shared" ca="1" si="1452"/>
        <v>0</v>
      </c>
      <c r="AJ85" s="208">
        <f ca="1">+SUM(AB85:AB$124)*SS50J</f>
        <v>0</v>
      </c>
      <c r="AK85" s="5">
        <f t="shared" ca="1" si="1485"/>
        <v>22757.180147693751</v>
      </c>
      <c r="AL85" s="2">
        <f t="shared" ref="AL85" ca="1" si="1685">IFERROR(VLOOKUP($S85,qx_table,MATCH(AL$11,qx_title,0)+sexB),0)</f>
        <v>0</v>
      </c>
      <c r="AM85" s="131">
        <f t="shared" ca="1" si="1487"/>
        <v>4484.3172499097473</v>
      </c>
      <c r="AN85" s="129">
        <f t="shared" ca="1" si="1488"/>
        <v>0</v>
      </c>
      <c r="AO85" s="129">
        <f ca="1">SUM(AN85:AN$124)*SSa</f>
        <v>0</v>
      </c>
      <c r="AP85" s="70">
        <f t="shared" ca="1" si="1489"/>
        <v>22757.180147693751</v>
      </c>
      <c r="AQ85" s="2">
        <f t="shared" ref="AQ85" ca="1" si="1686">IFERROR(VLOOKUP($S85,qx_table,MATCH(AQ$11,qx_title,0)+sexB),0)</f>
        <v>0</v>
      </c>
      <c r="AR85" s="127">
        <f t="shared" ca="1" si="1491"/>
        <v>0</v>
      </c>
      <c r="AS85" s="127">
        <f ca="1">SUM(AR85:AR$124)*SSb</f>
        <v>0</v>
      </c>
      <c r="AT85" s="70">
        <f t="shared" ca="1" si="1492"/>
        <v>22757.180147693751</v>
      </c>
      <c r="AU85" s="2">
        <f t="shared" ref="AU85" ca="1" si="1687">IFERROR(VLOOKUP($S85,qx_table,MATCH(AU$11,qx_title,0)+sexB),0)</f>
        <v>0</v>
      </c>
      <c r="AV85" s="268">
        <f t="shared" ca="1" si="1494"/>
        <v>0</v>
      </c>
      <c r="AW85" s="131">
        <f ca="1">SUM(AV85:AV$124)*SSc</f>
        <v>0</v>
      </c>
      <c r="AX85" s="70">
        <f t="shared" ca="1" si="1495"/>
        <v>22757.180147693751</v>
      </c>
      <c r="AY85" s="2">
        <f t="shared" ref="AY85" ca="1" si="1688">IFERROR(VLOOKUP($S85,qx_table,MATCH(AY$11,qx_title,0)+sexB),0)</f>
        <v>0</v>
      </c>
      <c r="AZ85" s="268">
        <f t="shared" ca="1" si="1497"/>
        <v>0</v>
      </c>
      <c r="BA85" s="129">
        <f ca="1">SUM(AZ85:AZ$124)*SSd</f>
        <v>0</v>
      </c>
      <c r="BB85" s="70">
        <f t="shared" ca="1" si="1498"/>
        <v>22757.180147693751</v>
      </c>
      <c r="BC85" s="257">
        <f t="shared" ref="BC85" ca="1" si="1689">IFERROR(VLOOKUP($S85,qx_table,MATCH(BC$11,qx_title,0)+sexB),0)</f>
        <v>0</v>
      </c>
      <c r="BD85" s="268">
        <f t="shared" ca="1" si="1500"/>
        <v>0</v>
      </c>
      <c r="BE85" s="131">
        <f ca="1">SUM(BD85:BD$124)*SSe</f>
        <v>0</v>
      </c>
      <c r="BF85" s="70">
        <f t="shared" ca="1" si="1501"/>
        <v>22757.180147693751</v>
      </c>
      <c r="BG85" s="2">
        <f t="shared" ref="BG85" ca="1" si="1690">IFERROR(VLOOKUP($S85,qx_table,MATCH(BG$11,qx_title,0)+sexB),0)</f>
        <v>0</v>
      </c>
      <c r="BH85" s="131">
        <f t="shared" ca="1" si="1503"/>
        <v>0</v>
      </c>
      <c r="BI85" s="2">
        <f ca="1">SUM(BH85:BH$124)*SSf</f>
        <v>0</v>
      </c>
      <c r="BJ85" s="70">
        <f t="shared" ca="1" si="1504"/>
        <v>22757.180147693751</v>
      </c>
      <c r="BK85" s="2">
        <f t="shared" ref="BK85" ca="1" si="1691">IFERROR(VLOOKUP($S85,qx_table,MATCH(BK$11,qx_title,0)+sexB),0)</f>
        <v>0</v>
      </c>
      <c r="BL85" s="131">
        <f t="shared" ca="1" si="1506"/>
        <v>0</v>
      </c>
      <c r="BM85" s="131">
        <f ca="1">SUM(BL85:BL$124)*SSg</f>
        <v>0</v>
      </c>
      <c r="BN85" s="70">
        <f t="shared" ca="1" si="1507"/>
        <v>22757.180147693751</v>
      </c>
      <c r="BO85" s="2">
        <f t="shared" ref="BO85" ca="1" si="1692">IFERROR(VLOOKUP($S85,qx_table,MATCH(BO$11,qx_title,0)+sexB),0)</f>
        <v>0</v>
      </c>
      <c r="BP85" s="131">
        <f t="shared" ca="1" si="1509"/>
        <v>0</v>
      </c>
      <c r="BQ85" s="131">
        <f ca="1">SUM(BP85:BP$124)*SSh</f>
        <v>0</v>
      </c>
      <c r="BR85" s="70">
        <f t="shared" ca="1" si="1510"/>
        <v>22757.180147693751</v>
      </c>
      <c r="BS85" s="2">
        <f t="shared" ref="BS85" ca="1" si="1693">IFERROR(VLOOKUP($S85,qx_table,MATCH(BS$11,qx_title,0)+sexB),0)*IF(R85=0,MCi,1)</f>
        <v>0</v>
      </c>
      <c r="BT85" s="131">
        <f t="shared" ca="1" si="1512"/>
        <v>0</v>
      </c>
      <c r="BU85" s="131">
        <f ca="1">SUM(BT85:BT$124)*SSi</f>
        <v>0</v>
      </c>
      <c r="BV85" s="70">
        <f t="shared" ca="1" si="1513"/>
        <v>22757.180147693751</v>
      </c>
      <c r="BW85" s="2">
        <f t="shared" ref="BW85" ca="1" si="1694">IFERROR(VLOOKUP($S85,qx_table,MATCH(BW$11,qx_title,0)+sexB),0)</f>
        <v>0</v>
      </c>
      <c r="BX85" s="131">
        <f t="shared" ca="1" si="1515"/>
        <v>0</v>
      </c>
      <c r="BY85" s="131">
        <f ca="1">SUM(BX85:BX$124)*SSj</f>
        <v>0</v>
      </c>
      <c r="BZ85" s="70">
        <f t="shared" ca="1" si="1516"/>
        <v>22757.180147693751</v>
      </c>
      <c r="CA85" s="2">
        <f t="shared" ref="CA85" ca="1" si="1695">IFERROR(VLOOKUP($S85,qx_table,MATCH(CA$11,qx_title,0)+sexB),0)</f>
        <v>0</v>
      </c>
      <c r="CB85" s="131">
        <f t="shared" ca="1" si="1518"/>
        <v>0</v>
      </c>
      <c r="CC85" s="131">
        <f ca="1">SUM(CB85:CB$124)*SSk</f>
        <v>0</v>
      </c>
      <c r="CD85" s="8">
        <f t="shared" ca="1" si="1519"/>
        <v>22757.180147693751</v>
      </c>
      <c r="CE85" s="2">
        <f t="shared" ref="CE85" ca="1" si="1696">IFERROR(VLOOKUP($S85,qx_table,MATCH(CE$11,qx_title,0)+sexB),0)</f>
        <v>0</v>
      </c>
      <c r="CF85" s="131">
        <f t="shared" ca="1" si="1521"/>
        <v>0</v>
      </c>
      <c r="CG85" s="131">
        <f ca="1">SUM(CF85:CF$124)*SSl</f>
        <v>0</v>
      </c>
      <c r="CH85" s="155">
        <f t="shared" ca="1" si="1522"/>
        <v>0.01</v>
      </c>
      <c r="CI85" s="155">
        <f t="shared" ca="1" si="1523"/>
        <v>0</v>
      </c>
      <c r="CJ85" s="155">
        <f t="shared" ca="1" si="1524"/>
        <v>0</v>
      </c>
      <c r="CK85" s="155">
        <f ca="1">'유해지 (기준P)'!CZ85</f>
        <v>0</v>
      </c>
      <c r="CL85" s="155">
        <f t="shared" ca="1" si="1465"/>
        <v>0</v>
      </c>
      <c r="CM85" s="155">
        <f t="shared" ca="1" si="1525"/>
        <v>0</v>
      </c>
      <c r="CN85" s="155">
        <f ca="1">SUM(CM85:$CM$124)</f>
        <v>0</v>
      </c>
      <c r="CO85" s="101">
        <f t="shared" ca="1" si="1526"/>
        <v>0</v>
      </c>
      <c r="CP85" s="154">
        <f t="shared" ca="1" si="1466"/>
        <v>0</v>
      </c>
      <c r="CQ85" s="154">
        <f t="shared" ca="1" si="1467"/>
        <v>0</v>
      </c>
      <c r="CR85" s="32">
        <f t="shared" ref="CR85" ca="1" si="1697">+MAX(VLOOKUP(xB+$R85,기수표B,$AH$1)-VLOOKUP(xB+mB,기수표B,$AH$1),0)</f>
        <v>0</v>
      </c>
      <c r="CS85" s="32">
        <f t="shared" ca="1" si="1469"/>
        <v>0</v>
      </c>
      <c r="CT85" s="32">
        <f t="shared" ref="CT85" ca="1" si="1698">+MAX(VLOOKUP(xB+$R85,기수표B,$AA$1)-VLOOKUP(xB+mB,기수표B,$AA$1),0)</f>
        <v>0</v>
      </c>
      <c r="CU85" s="32">
        <f t="shared" ca="1" si="1471"/>
        <v>0</v>
      </c>
      <c r="CV85" s="32">
        <f t="shared" si="1472"/>
        <v>0</v>
      </c>
      <c r="CW85" s="259">
        <f t="shared" ca="1" si="1473"/>
        <v>0</v>
      </c>
      <c r="CX85" s="32">
        <f t="shared" ca="1" si="1474"/>
        <v>0</v>
      </c>
      <c r="CY85" s="262">
        <f t="shared" ca="1" si="1475"/>
        <v>0</v>
      </c>
      <c r="CZ85" s="259" t="e">
        <f t="shared" ca="1" si="1476"/>
        <v>#DIV/0!</v>
      </c>
      <c r="DA85" s="31">
        <f t="shared" ref="DA85" ca="1" si="1699">+MIN(mB,7)</f>
        <v>7</v>
      </c>
    </row>
    <row r="86" spans="14:105">
      <c r="N86" s="5">
        <f t="shared" si="1530"/>
        <v>74</v>
      </c>
      <c r="O86" s="2">
        <f t="shared" ref="O86" ca="1" si="1700">+(1+iB)^-N86</f>
        <v>0.19271457683892659</v>
      </c>
      <c r="P86" s="2">
        <f t="shared" ref="P86" ca="1" si="1701">+(1+iB)^-(N86+0.5)</f>
        <v>0.19058245076364494</v>
      </c>
      <c r="Q86" s="91"/>
      <c r="R86" s="20">
        <f t="shared" si="1533"/>
        <v>74</v>
      </c>
      <c r="S86" s="20" t="str">
        <f t="shared" ref="S86" si="1702">+IF(xB+R86&lt;=xB+nB,xB+R86,"")</f>
        <v/>
      </c>
      <c r="T86" s="2">
        <f t="shared" ref="T86:U86" ca="1" si="1703">IFERROR(VLOOKUP($S86,qx_table,MATCH(T$11,qx_title,0)+sexB),0)</f>
        <v>0</v>
      </c>
      <c r="U86" s="2">
        <f t="shared" ca="1" si="1703"/>
        <v>0</v>
      </c>
      <c r="V86" s="300">
        <f t="shared" ca="1" si="1443"/>
        <v>0.01</v>
      </c>
      <c r="W86" s="8">
        <f t="shared" ref="W86" si="1704">IF(R86=0,100000,IF(R86&gt;nB,0,W85*(1-X85)*(1-Y85)))</f>
        <v>0</v>
      </c>
      <c r="X86" s="10">
        <f t="shared" ca="1" si="1445"/>
        <v>1.0000000000000009E-2</v>
      </c>
      <c r="Y86" s="10">
        <f t="shared" ca="1" si="1446"/>
        <v>0</v>
      </c>
      <c r="Z86" s="5">
        <f t="shared" ca="1" si="1483"/>
        <v>0</v>
      </c>
      <c r="AA86" s="5">
        <f ca="1">+SUM(Z86:Z$124)</f>
        <v>0</v>
      </c>
      <c r="AB86" s="8">
        <f t="shared" ca="1" si="1447"/>
        <v>0</v>
      </c>
      <c r="AC86" s="209">
        <f ca="1">+SUM(AB86:AB$124)*SSSM</f>
        <v>0</v>
      </c>
      <c r="AD86" s="209">
        <f t="shared" ref="AD86" si="1705">IF(R86&gt;nB,0,AD85*(1-X85)*(1-Y85)*(1-AE85)*(1-AF85))</f>
        <v>0</v>
      </c>
      <c r="AE86" s="92">
        <f t="shared" ca="1" si="1449"/>
        <v>0</v>
      </c>
      <c r="AF86" s="92">
        <f t="shared" ca="1" si="1450"/>
        <v>0</v>
      </c>
      <c r="AG86" s="8">
        <f t="shared" ca="1" si="1451"/>
        <v>0</v>
      </c>
      <c r="AH86" s="5">
        <f ca="1">+SUM(AG86:AG$124)</f>
        <v>0</v>
      </c>
      <c r="AI86" s="70">
        <f t="shared" ca="1" si="1452"/>
        <v>0</v>
      </c>
      <c r="AJ86" s="208">
        <f ca="1">+SUM(AB86:AB$124)*SS50J</f>
        <v>0</v>
      </c>
      <c r="AK86" s="5">
        <f t="shared" ca="1" si="1485"/>
        <v>22529.608346216814</v>
      </c>
      <c r="AL86" s="2">
        <f t="shared" ref="AL86" ca="1" si="1706">IFERROR(VLOOKUP($S86,qx_table,MATCH(AL$11,qx_title,0)+sexB),0)</f>
        <v>0</v>
      </c>
      <c r="AM86" s="131">
        <f t="shared" ca="1" si="1487"/>
        <v>4341.7839387879221</v>
      </c>
      <c r="AN86" s="129">
        <f t="shared" ca="1" si="1488"/>
        <v>0</v>
      </c>
      <c r="AO86" s="129">
        <f ca="1">SUM(AN86:AN$124)*SSa</f>
        <v>0</v>
      </c>
      <c r="AP86" s="70">
        <f t="shared" ca="1" si="1489"/>
        <v>22529.608346216814</v>
      </c>
      <c r="AQ86" s="2">
        <f t="shared" ref="AQ86" ca="1" si="1707">IFERROR(VLOOKUP($S86,qx_table,MATCH(AQ$11,qx_title,0)+sexB),0)</f>
        <v>0</v>
      </c>
      <c r="AR86" s="127">
        <f t="shared" ca="1" si="1491"/>
        <v>0</v>
      </c>
      <c r="AS86" s="127">
        <f ca="1">SUM(AR86:AR$124)*SSb</f>
        <v>0</v>
      </c>
      <c r="AT86" s="70">
        <f t="shared" ca="1" si="1492"/>
        <v>22529.608346216814</v>
      </c>
      <c r="AU86" s="2">
        <f t="shared" ref="AU86" ca="1" si="1708">IFERROR(VLOOKUP($S86,qx_table,MATCH(AU$11,qx_title,0)+sexB),0)</f>
        <v>0</v>
      </c>
      <c r="AV86" s="268">
        <f t="shared" ca="1" si="1494"/>
        <v>0</v>
      </c>
      <c r="AW86" s="131">
        <f ca="1">SUM(AV86:AV$124)*SSc</f>
        <v>0</v>
      </c>
      <c r="AX86" s="70">
        <f t="shared" ca="1" si="1495"/>
        <v>22529.608346216814</v>
      </c>
      <c r="AY86" s="2">
        <f t="shared" ref="AY86" ca="1" si="1709">IFERROR(VLOOKUP($S86,qx_table,MATCH(AY$11,qx_title,0)+sexB),0)</f>
        <v>0</v>
      </c>
      <c r="AZ86" s="268">
        <f t="shared" ca="1" si="1497"/>
        <v>0</v>
      </c>
      <c r="BA86" s="129">
        <f ca="1">SUM(AZ86:AZ$124)*SSd</f>
        <v>0</v>
      </c>
      <c r="BB86" s="70">
        <f t="shared" ca="1" si="1498"/>
        <v>22529.608346216814</v>
      </c>
      <c r="BC86" s="257">
        <f t="shared" ref="BC86" ca="1" si="1710">IFERROR(VLOOKUP($S86,qx_table,MATCH(BC$11,qx_title,0)+sexB),0)</f>
        <v>0</v>
      </c>
      <c r="BD86" s="268">
        <f t="shared" ca="1" si="1500"/>
        <v>0</v>
      </c>
      <c r="BE86" s="131">
        <f ca="1">SUM(BD86:BD$124)*SSe</f>
        <v>0</v>
      </c>
      <c r="BF86" s="70">
        <f t="shared" ca="1" si="1501"/>
        <v>22529.608346216814</v>
      </c>
      <c r="BG86" s="2">
        <f t="shared" ref="BG86" ca="1" si="1711">IFERROR(VLOOKUP($S86,qx_table,MATCH(BG$11,qx_title,0)+sexB),0)</f>
        <v>0</v>
      </c>
      <c r="BH86" s="131">
        <f t="shared" ca="1" si="1503"/>
        <v>0</v>
      </c>
      <c r="BI86" s="2">
        <f ca="1">SUM(BH86:BH$124)*SSf</f>
        <v>0</v>
      </c>
      <c r="BJ86" s="70">
        <f t="shared" ca="1" si="1504"/>
        <v>22529.608346216814</v>
      </c>
      <c r="BK86" s="2">
        <f t="shared" ref="BK86" ca="1" si="1712">IFERROR(VLOOKUP($S86,qx_table,MATCH(BK$11,qx_title,0)+sexB),0)</f>
        <v>0</v>
      </c>
      <c r="BL86" s="131">
        <f t="shared" ca="1" si="1506"/>
        <v>0</v>
      </c>
      <c r="BM86" s="131">
        <f ca="1">SUM(BL86:BL$124)*SSg</f>
        <v>0</v>
      </c>
      <c r="BN86" s="70">
        <f t="shared" ca="1" si="1507"/>
        <v>22529.608346216814</v>
      </c>
      <c r="BO86" s="2">
        <f t="shared" ref="BO86" ca="1" si="1713">IFERROR(VLOOKUP($S86,qx_table,MATCH(BO$11,qx_title,0)+sexB),0)</f>
        <v>0</v>
      </c>
      <c r="BP86" s="131">
        <f t="shared" ca="1" si="1509"/>
        <v>0</v>
      </c>
      <c r="BQ86" s="131">
        <f ca="1">SUM(BP86:BP$124)*SSh</f>
        <v>0</v>
      </c>
      <c r="BR86" s="70">
        <f t="shared" ca="1" si="1510"/>
        <v>22529.608346216814</v>
      </c>
      <c r="BS86" s="2">
        <f t="shared" ref="BS86" ca="1" si="1714">IFERROR(VLOOKUP($S86,qx_table,MATCH(BS$11,qx_title,0)+sexB),0)*IF(R86=0,MCi,1)</f>
        <v>0</v>
      </c>
      <c r="BT86" s="131">
        <f t="shared" ca="1" si="1512"/>
        <v>0</v>
      </c>
      <c r="BU86" s="131">
        <f ca="1">SUM(BT86:BT$124)*SSi</f>
        <v>0</v>
      </c>
      <c r="BV86" s="70">
        <f t="shared" ca="1" si="1513"/>
        <v>22529.608346216814</v>
      </c>
      <c r="BW86" s="2">
        <f t="shared" ref="BW86" ca="1" si="1715">IFERROR(VLOOKUP($S86,qx_table,MATCH(BW$11,qx_title,0)+sexB),0)</f>
        <v>0</v>
      </c>
      <c r="BX86" s="131">
        <f t="shared" ca="1" si="1515"/>
        <v>0</v>
      </c>
      <c r="BY86" s="131">
        <f ca="1">SUM(BX86:BX$124)*SSj</f>
        <v>0</v>
      </c>
      <c r="BZ86" s="70">
        <f t="shared" ca="1" si="1516"/>
        <v>22529.608346216814</v>
      </c>
      <c r="CA86" s="2">
        <f t="shared" ref="CA86" ca="1" si="1716">IFERROR(VLOOKUP($S86,qx_table,MATCH(CA$11,qx_title,0)+sexB),0)</f>
        <v>0</v>
      </c>
      <c r="CB86" s="131">
        <f t="shared" ca="1" si="1518"/>
        <v>0</v>
      </c>
      <c r="CC86" s="131">
        <f ca="1">SUM(CB86:CB$124)*SSk</f>
        <v>0</v>
      </c>
      <c r="CD86" s="8">
        <f t="shared" ca="1" si="1519"/>
        <v>22529.608346216814</v>
      </c>
      <c r="CE86" s="2">
        <f t="shared" ref="CE86" ca="1" si="1717">IFERROR(VLOOKUP($S86,qx_table,MATCH(CE$11,qx_title,0)+sexB),0)</f>
        <v>0</v>
      </c>
      <c r="CF86" s="131">
        <f t="shared" ca="1" si="1521"/>
        <v>0</v>
      </c>
      <c r="CG86" s="131">
        <f ca="1">SUM(CF86:CF$124)*SSl</f>
        <v>0</v>
      </c>
      <c r="CH86" s="155">
        <f t="shared" ca="1" si="1522"/>
        <v>0.01</v>
      </c>
      <c r="CI86" s="155">
        <f t="shared" ca="1" si="1523"/>
        <v>0</v>
      </c>
      <c r="CJ86" s="155">
        <f t="shared" ca="1" si="1524"/>
        <v>0</v>
      </c>
      <c r="CK86" s="155">
        <f ca="1">'유해지 (기준P)'!CZ86</f>
        <v>0</v>
      </c>
      <c r="CL86" s="155">
        <f t="shared" ca="1" si="1465"/>
        <v>0</v>
      </c>
      <c r="CM86" s="155">
        <f t="shared" ca="1" si="1525"/>
        <v>0</v>
      </c>
      <c r="CN86" s="155">
        <f ca="1">SUM(CM86:$CM$124)</f>
        <v>0</v>
      </c>
      <c r="CO86" s="101">
        <f t="shared" ca="1" si="1526"/>
        <v>0</v>
      </c>
      <c r="CP86" s="154">
        <f t="shared" ca="1" si="1466"/>
        <v>0</v>
      </c>
      <c r="CQ86" s="154">
        <f t="shared" ca="1" si="1467"/>
        <v>0</v>
      </c>
      <c r="CR86" s="32">
        <f t="shared" ref="CR86" ca="1" si="1718">+MAX(VLOOKUP(xB+$R86,기수표B,$AH$1)-VLOOKUP(xB+mB,기수표B,$AH$1),0)</f>
        <v>0</v>
      </c>
      <c r="CS86" s="32">
        <f t="shared" ca="1" si="1469"/>
        <v>0</v>
      </c>
      <c r="CT86" s="32">
        <f t="shared" ref="CT86" ca="1" si="1719">+MAX(VLOOKUP(xB+$R86,기수표B,$AA$1)-VLOOKUP(xB+mB,기수표B,$AA$1),0)</f>
        <v>0</v>
      </c>
      <c r="CU86" s="32">
        <f t="shared" ca="1" si="1471"/>
        <v>0</v>
      </c>
      <c r="CV86" s="32">
        <f t="shared" si="1472"/>
        <v>0</v>
      </c>
      <c r="CW86" s="259">
        <f t="shared" ca="1" si="1473"/>
        <v>0</v>
      </c>
      <c r="CX86" s="32">
        <f t="shared" ca="1" si="1474"/>
        <v>0</v>
      </c>
      <c r="CY86" s="262">
        <f t="shared" ca="1" si="1475"/>
        <v>0</v>
      </c>
      <c r="CZ86" s="259" t="e">
        <f t="shared" ca="1" si="1476"/>
        <v>#DIV/0!</v>
      </c>
      <c r="DA86" s="31">
        <f t="shared" ref="DA86" ca="1" si="1720">+MIN(mB,7)</f>
        <v>7</v>
      </c>
    </row>
    <row r="87" spans="14:105">
      <c r="N87" s="5">
        <f t="shared" si="1530"/>
        <v>75</v>
      </c>
      <c r="O87" s="2">
        <f t="shared" ref="O87" ca="1" si="1721">+(1+iB)^-N87</f>
        <v>0.18847391377890133</v>
      </c>
      <c r="P87" s="2">
        <f t="shared" ref="P87" ca="1" si="1722">+(1+iB)^-(N87+0.5)</f>
        <v>0.18638870490332027</v>
      </c>
      <c r="Q87" s="91"/>
      <c r="R87" s="20">
        <f t="shared" si="1533"/>
        <v>75</v>
      </c>
      <c r="S87" s="20" t="str">
        <f t="shared" ref="S87" si="1723">+IF(xB+R87&lt;=xB+nB,xB+R87,"")</f>
        <v/>
      </c>
      <c r="T87" s="2">
        <f t="shared" ref="T87:U87" ca="1" si="1724">IFERROR(VLOOKUP($S87,qx_table,MATCH(T$11,qx_title,0)+sexB),0)</f>
        <v>0</v>
      </c>
      <c r="U87" s="2">
        <f t="shared" ca="1" si="1724"/>
        <v>0</v>
      </c>
      <c r="V87" s="300">
        <f t="shared" ca="1" si="1443"/>
        <v>0.01</v>
      </c>
      <c r="W87" s="8">
        <f t="shared" ref="W87" si="1725">IF(R87=0,100000,IF(R87&gt;nB,0,W86*(1-X86)*(1-Y86)))</f>
        <v>0</v>
      </c>
      <c r="X87" s="10">
        <f t="shared" ca="1" si="1445"/>
        <v>1.0000000000000009E-2</v>
      </c>
      <c r="Y87" s="10">
        <f t="shared" ca="1" si="1446"/>
        <v>0</v>
      </c>
      <c r="Z87" s="5">
        <f t="shared" ca="1" si="1483"/>
        <v>0</v>
      </c>
      <c r="AA87" s="5">
        <f ca="1">+SUM(Z87:Z$124)</f>
        <v>0</v>
      </c>
      <c r="AB87" s="8">
        <f t="shared" ca="1" si="1447"/>
        <v>0</v>
      </c>
      <c r="AC87" s="209">
        <f ca="1">+SUM(AB87:AB$124)*SSSM</f>
        <v>0</v>
      </c>
      <c r="AD87" s="209">
        <f t="shared" ref="AD87" si="1726">IF(R87&gt;nB,0,AD86*(1-X86)*(1-Y86)*(1-AE86)*(1-AF86))</f>
        <v>0</v>
      </c>
      <c r="AE87" s="92">
        <f t="shared" ca="1" si="1449"/>
        <v>0</v>
      </c>
      <c r="AF87" s="92">
        <f t="shared" ca="1" si="1450"/>
        <v>0</v>
      </c>
      <c r="AG87" s="8">
        <f t="shared" ca="1" si="1451"/>
        <v>0</v>
      </c>
      <c r="AH87" s="5">
        <f ca="1">+SUM(AG87:AG$124)</f>
        <v>0</v>
      </c>
      <c r="AI87" s="70">
        <f t="shared" ca="1" si="1452"/>
        <v>0</v>
      </c>
      <c r="AJ87" s="208">
        <f ca="1">+SUM(AB87:AB$124)*SS50J</f>
        <v>0</v>
      </c>
      <c r="AK87" s="5">
        <f t="shared" ca="1" si="1485"/>
        <v>22304.312262754644</v>
      </c>
      <c r="AL87" s="2">
        <f t="shared" ref="AL87" ca="1" si="1727">IFERROR(VLOOKUP($S87,qx_table,MATCH(AL$11,qx_title,0)+sexB),0)</f>
        <v>0</v>
      </c>
      <c r="AM87" s="131">
        <f t="shared" ca="1" si="1487"/>
        <v>4203.7810263081101</v>
      </c>
      <c r="AN87" s="129">
        <f t="shared" ca="1" si="1488"/>
        <v>0</v>
      </c>
      <c r="AO87" s="129">
        <f ca="1">SUM(AN87:AN$124)*SSa</f>
        <v>0</v>
      </c>
      <c r="AP87" s="70">
        <f t="shared" ca="1" si="1489"/>
        <v>22304.312262754644</v>
      </c>
      <c r="AQ87" s="2">
        <f t="shared" ref="AQ87" ca="1" si="1728">IFERROR(VLOOKUP($S87,qx_table,MATCH(AQ$11,qx_title,0)+sexB),0)</f>
        <v>0</v>
      </c>
      <c r="AR87" s="127">
        <f t="shared" ca="1" si="1491"/>
        <v>0</v>
      </c>
      <c r="AS87" s="127">
        <f ca="1">SUM(AR87:AR$124)*SSb</f>
        <v>0</v>
      </c>
      <c r="AT87" s="70">
        <f t="shared" ca="1" si="1492"/>
        <v>22304.312262754644</v>
      </c>
      <c r="AU87" s="2">
        <f t="shared" ref="AU87" ca="1" si="1729">IFERROR(VLOOKUP($S87,qx_table,MATCH(AU$11,qx_title,0)+sexB),0)</f>
        <v>0</v>
      </c>
      <c r="AV87" s="268">
        <f t="shared" ca="1" si="1494"/>
        <v>0</v>
      </c>
      <c r="AW87" s="131">
        <f ca="1">SUM(AV87:AV$124)*SSc</f>
        <v>0</v>
      </c>
      <c r="AX87" s="70">
        <f t="shared" ca="1" si="1495"/>
        <v>22304.312262754644</v>
      </c>
      <c r="AY87" s="2">
        <f t="shared" ref="AY87" ca="1" si="1730">IFERROR(VLOOKUP($S87,qx_table,MATCH(AY$11,qx_title,0)+sexB),0)</f>
        <v>0</v>
      </c>
      <c r="AZ87" s="268">
        <f t="shared" ca="1" si="1497"/>
        <v>0</v>
      </c>
      <c r="BA87" s="129">
        <f ca="1">SUM(AZ87:AZ$124)*SSd</f>
        <v>0</v>
      </c>
      <c r="BB87" s="70">
        <f t="shared" ca="1" si="1498"/>
        <v>22304.312262754644</v>
      </c>
      <c r="BC87" s="257">
        <f t="shared" ref="BC87" ca="1" si="1731">IFERROR(VLOOKUP($S87,qx_table,MATCH(BC$11,qx_title,0)+sexB),0)</f>
        <v>0</v>
      </c>
      <c r="BD87" s="268">
        <f t="shared" ca="1" si="1500"/>
        <v>0</v>
      </c>
      <c r="BE87" s="131">
        <f ca="1">SUM(BD87:BD$124)*SSe</f>
        <v>0</v>
      </c>
      <c r="BF87" s="70">
        <f t="shared" ca="1" si="1501"/>
        <v>22304.312262754644</v>
      </c>
      <c r="BG87" s="2">
        <f t="shared" ref="BG87" ca="1" si="1732">IFERROR(VLOOKUP($S87,qx_table,MATCH(BG$11,qx_title,0)+sexB),0)</f>
        <v>0</v>
      </c>
      <c r="BH87" s="131">
        <f t="shared" ca="1" si="1503"/>
        <v>0</v>
      </c>
      <c r="BI87" s="2">
        <f ca="1">SUM(BH87:BH$124)*SSf</f>
        <v>0</v>
      </c>
      <c r="BJ87" s="70">
        <f t="shared" ca="1" si="1504"/>
        <v>22304.312262754644</v>
      </c>
      <c r="BK87" s="2">
        <f t="shared" ref="BK87" ca="1" si="1733">IFERROR(VLOOKUP($S87,qx_table,MATCH(BK$11,qx_title,0)+sexB),0)</f>
        <v>0</v>
      </c>
      <c r="BL87" s="131">
        <f t="shared" ca="1" si="1506"/>
        <v>0</v>
      </c>
      <c r="BM87" s="131">
        <f ca="1">SUM(BL87:BL$124)*SSg</f>
        <v>0</v>
      </c>
      <c r="BN87" s="70">
        <f t="shared" ca="1" si="1507"/>
        <v>22304.312262754644</v>
      </c>
      <c r="BO87" s="2">
        <f t="shared" ref="BO87" ca="1" si="1734">IFERROR(VLOOKUP($S87,qx_table,MATCH(BO$11,qx_title,0)+sexB),0)</f>
        <v>0</v>
      </c>
      <c r="BP87" s="131">
        <f t="shared" ca="1" si="1509"/>
        <v>0</v>
      </c>
      <c r="BQ87" s="131">
        <f ca="1">SUM(BP87:BP$124)*SSh</f>
        <v>0</v>
      </c>
      <c r="BR87" s="70">
        <f t="shared" ca="1" si="1510"/>
        <v>22304.312262754644</v>
      </c>
      <c r="BS87" s="2">
        <f t="shared" ref="BS87" ca="1" si="1735">IFERROR(VLOOKUP($S87,qx_table,MATCH(BS$11,qx_title,0)+sexB),0)*IF(R87=0,MCi,1)</f>
        <v>0</v>
      </c>
      <c r="BT87" s="131">
        <f t="shared" ca="1" si="1512"/>
        <v>0</v>
      </c>
      <c r="BU87" s="131">
        <f ca="1">SUM(BT87:BT$124)*SSi</f>
        <v>0</v>
      </c>
      <c r="BV87" s="70">
        <f t="shared" ca="1" si="1513"/>
        <v>22304.312262754644</v>
      </c>
      <c r="BW87" s="2">
        <f t="shared" ref="BW87" ca="1" si="1736">IFERROR(VLOOKUP($S87,qx_table,MATCH(BW$11,qx_title,0)+sexB),0)</f>
        <v>0</v>
      </c>
      <c r="BX87" s="131">
        <f t="shared" ca="1" si="1515"/>
        <v>0</v>
      </c>
      <c r="BY87" s="131">
        <f ca="1">SUM(BX87:BX$124)*SSj</f>
        <v>0</v>
      </c>
      <c r="BZ87" s="70">
        <f t="shared" ca="1" si="1516"/>
        <v>22304.312262754644</v>
      </c>
      <c r="CA87" s="2">
        <f t="shared" ref="CA87" ca="1" si="1737">IFERROR(VLOOKUP($S87,qx_table,MATCH(CA$11,qx_title,0)+sexB),0)</f>
        <v>0</v>
      </c>
      <c r="CB87" s="131">
        <f t="shared" ca="1" si="1518"/>
        <v>0</v>
      </c>
      <c r="CC87" s="131">
        <f ca="1">SUM(CB87:CB$124)*SSk</f>
        <v>0</v>
      </c>
      <c r="CD87" s="8">
        <f t="shared" ca="1" si="1519"/>
        <v>22304.312262754644</v>
      </c>
      <c r="CE87" s="2">
        <f t="shared" ref="CE87" ca="1" si="1738">IFERROR(VLOOKUP($S87,qx_table,MATCH(CE$11,qx_title,0)+sexB),0)</f>
        <v>0</v>
      </c>
      <c r="CF87" s="131">
        <f t="shared" ca="1" si="1521"/>
        <v>0</v>
      </c>
      <c r="CG87" s="131">
        <f ca="1">SUM(CF87:CF$124)*SSl</f>
        <v>0</v>
      </c>
      <c r="CH87" s="155">
        <f t="shared" ca="1" si="1522"/>
        <v>0.01</v>
      </c>
      <c r="CI87" s="155">
        <f t="shared" ca="1" si="1523"/>
        <v>0</v>
      </c>
      <c r="CJ87" s="155">
        <f t="shared" ca="1" si="1524"/>
        <v>0</v>
      </c>
      <c r="CK87" s="155">
        <f ca="1">'유해지 (기준P)'!CZ87</f>
        <v>0</v>
      </c>
      <c r="CL87" s="155">
        <f t="shared" ca="1" si="1465"/>
        <v>0</v>
      </c>
      <c r="CM87" s="155">
        <f t="shared" ca="1" si="1525"/>
        <v>0</v>
      </c>
      <c r="CN87" s="155">
        <f ca="1">SUM(CM87:$CM$124)</f>
        <v>0</v>
      </c>
      <c r="CO87" s="101">
        <f t="shared" ca="1" si="1526"/>
        <v>0</v>
      </c>
      <c r="CP87" s="154">
        <f t="shared" ca="1" si="1466"/>
        <v>0</v>
      </c>
      <c r="CQ87" s="154">
        <f t="shared" ca="1" si="1467"/>
        <v>0</v>
      </c>
      <c r="CR87" s="32">
        <f t="shared" ref="CR87" ca="1" si="1739">+MAX(VLOOKUP(xB+$R87,기수표B,$AH$1)-VLOOKUP(xB+mB,기수표B,$AH$1),0)</f>
        <v>0</v>
      </c>
      <c r="CS87" s="32">
        <f t="shared" ca="1" si="1469"/>
        <v>0</v>
      </c>
      <c r="CT87" s="32">
        <f t="shared" ref="CT87" ca="1" si="1740">+MAX(VLOOKUP(xB+$R87,기수표B,$AA$1)-VLOOKUP(xB+mB,기수표B,$AA$1),0)</f>
        <v>0</v>
      </c>
      <c r="CU87" s="32">
        <f t="shared" ca="1" si="1471"/>
        <v>0</v>
      </c>
      <c r="CV87" s="32">
        <f t="shared" si="1472"/>
        <v>0</v>
      </c>
      <c r="CW87" s="259">
        <f t="shared" ca="1" si="1473"/>
        <v>0</v>
      </c>
      <c r="CX87" s="32">
        <f t="shared" ca="1" si="1474"/>
        <v>0</v>
      </c>
      <c r="CY87" s="262">
        <f t="shared" ca="1" si="1475"/>
        <v>0</v>
      </c>
      <c r="CZ87" s="259" t="e">
        <f t="shared" ca="1" si="1476"/>
        <v>#DIV/0!</v>
      </c>
      <c r="DA87" s="31">
        <f t="shared" ref="DA87" ca="1" si="1741">+MIN(mB,7)</f>
        <v>7</v>
      </c>
    </row>
    <row r="88" spans="14:105">
      <c r="N88" s="5">
        <f t="shared" si="1530"/>
        <v>76</v>
      </c>
      <c r="O88" s="2">
        <f t="shared" ref="O88" ca="1" si="1742">+(1+iB)^-N88</f>
        <v>0.18432656604293529</v>
      </c>
      <c r="P88" s="2">
        <f t="shared" ref="P88" ca="1" si="1743">+(1+iB)^-(N88+0.5)</f>
        <v>0.18228724195923743</v>
      </c>
      <c r="Q88" s="91"/>
      <c r="R88" s="20">
        <f t="shared" si="1533"/>
        <v>76</v>
      </c>
      <c r="S88" s="20" t="str">
        <f t="shared" ref="S88" si="1744">+IF(xB+R88&lt;=xB+nB,xB+R88,"")</f>
        <v/>
      </c>
      <c r="T88" s="2">
        <f t="shared" ref="T88:U88" ca="1" si="1745">IFERROR(VLOOKUP($S88,qx_table,MATCH(T$11,qx_title,0)+sexB),0)</f>
        <v>0</v>
      </c>
      <c r="U88" s="2">
        <f t="shared" ca="1" si="1745"/>
        <v>0</v>
      </c>
      <c r="V88" s="300">
        <f t="shared" ca="1" si="1443"/>
        <v>0.01</v>
      </c>
      <c r="W88" s="8">
        <f t="shared" ref="W88" si="1746">IF(R88=0,100000,IF(R88&gt;nB,0,W87*(1-X87)*(1-Y87)))</f>
        <v>0</v>
      </c>
      <c r="X88" s="10">
        <f t="shared" ca="1" si="1445"/>
        <v>1.0000000000000009E-2</v>
      </c>
      <c r="Y88" s="10">
        <f t="shared" ca="1" si="1446"/>
        <v>0</v>
      </c>
      <c r="Z88" s="5">
        <f t="shared" ca="1" si="1483"/>
        <v>0</v>
      </c>
      <c r="AA88" s="5">
        <f ca="1">+SUM(Z88:Z$124)</f>
        <v>0</v>
      </c>
      <c r="AB88" s="8">
        <f t="shared" ca="1" si="1447"/>
        <v>0</v>
      </c>
      <c r="AC88" s="209">
        <f ca="1">+SUM(AB88:AB$124)*SSSM</f>
        <v>0</v>
      </c>
      <c r="AD88" s="209">
        <f t="shared" ref="AD88" si="1747">IF(R88&gt;nB,0,AD87*(1-X87)*(1-Y87)*(1-AE87)*(1-AF87))</f>
        <v>0</v>
      </c>
      <c r="AE88" s="92">
        <f t="shared" ca="1" si="1449"/>
        <v>0</v>
      </c>
      <c r="AF88" s="92">
        <f t="shared" ca="1" si="1450"/>
        <v>0</v>
      </c>
      <c r="AG88" s="8">
        <f t="shared" ca="1" si="1451"/>
        <v>0</v>
      </c>
      <c r="AH88" s="5">
        <f ca="1">+SUM(AG88:AG$124)</f>
        <v>0</v>
      </c>
      <c r="AI88" s="70">
        <f t="shared" ca="1" si="1452"/>
        <v>0</v>
      </c>
      <c r="AJ88" s="208">
        <f ca="1">+SUM(AB88:AB$124)*SS50J</f>
        <v>0</v>
      </c>
      <c r="AK88" s="5">
        <f t="shared" ca="1" si="1485"/>
        <v>22081.269140127097</v>
      </c>
      <c r="AL88" s="2">
        <f t="shared" ref="AL88" ca="1" si="1748">IFERROR(VLOOKUP($S88,qx_table,MATCH(AL$11,qx_title,0)+sexB),0)</f>
        <v>0</v>
      </c>
      <c r="AM88" s="131">
        <f t="shared" ca="1" si="1487"/>
        <v>4070.1645144694662</v>
      </c>
      <c r="AN88" s="129">
        <f t="shared" ca="1" si="1488"/>
        <v>0</v>
      </c>
      <c r="AO88" s="129">
        <f ca="1">SUM(AN88:AN$124)*SSa</f>
        <v>0</v>
      </c>
      <c r="AP88" s="70">
        <f t="shared" ca="1" si="1489"/>
        <v>22081.269140127097</v>
      </c>
      <c r="AQ88" s="2">
        <f t="shared" ref="AQ88" ca="1" si="1749">IFERROR(VLOOKUP($S88,qx_table,MATCH(AQ$11,qx_title,0)+sexB),0)</f>
        <v>0</v>
      </c>
      <c r="AR88" s="127">
        <f t="shared" ca="1" si="1491"/>
        <v>0</v>
      </c>
      <c r="AS88" s="127">
        <f ca="1">SUM(AR88:AR$124)*SSb</f>
        <v>0</v>
      </c>
      <c r="AT88" s="70">
        <f t="shared" ca="1" si="1492"/>
        <v>22081.269140127097</v>
      </c>
      <c r="AU88" s="2">
        <f t="shared" ref="AU88" ca="1" si="1750">IFERROR(VLOOKUP($S88,qx_table,MATCH(AU$11,qx_title,0)+sexB),0)</f>
        <v>0</v>
      </c>
      <c r="AV88" s="268">
        <f t="shared" ca="1" si="1494"/>
        <v>0</v>
      </c>
      <c r="AW88" s="131">
        <f ca="1">SUM(AV88:AV$124)*SSc</f>
        <v>0</v>
      </c>
      <c r="AX88" s="70">
        <f t="shared" ca="1" si="1495"/>
        <v>22081.269140127097</v>
      </c>
      <c r="AY88" s="2">
        <f t="shared" ref="AY88" ca="1" si="1751">IFERROR(VLOOKUP($S88,qx_table,MATCH(AY$11,qx_title,0)+sexB),0)</f>
        <v>0</v>
      </c>
      <c r="AZ88" s="268">
        <f t="shared" ca="1" si="1497"/>
        <v>0</v>
      </c>
      <c r="BA88" s="129">
        <f ca="1">SUM(AZ88:AZ$124)*SSd</f>
        <v>0</v>
      </c>
      <c r="BB88" s="70">
        <f t="shared" ca="1" si="1498"/>
        <v>22081.269140127097</v>
      </c>
      <c r="BC88" s="257">
        <f t="shared" ref="BC88" ca="1" si="1752">IFERROR(VLOOKUP($S88,qx_table,MATCH(BC$11,qx_title,0)+sexB),0)</f>
        <v>0</v>
      </c>
      <c r="BD88" s="268">
        <f t="shared" ca="1" si="1500"/>
        <v>0</v>
      </c>
      <c r="BE88" s="131">
        <f ca="1">SUM(BD88:BD$124)*SSe</f>
        <v>0</v>
      </c>
      <c r="BF88" s="70">
        <f t="shared" ca="1" si="1501"/>
        <v>22081.269140127097</v>
      </c>
      <c r="BG88" s="2">
        <f t="shared" ref="BG88" ca="1" si="1753">IFERROR(VLOOKUP($S88,qx_table,MATCH(BG$11,qx_title,0)+sexB),0)</f>
        <v>0</v>
      </c>
      <c r="BH88" s="131">
        <f t="shared" ca="1" si="1503"/>
        <v>0</v>
      </c>
      <c r="BI88" s="2">
        <f ca="1">SUM(BH88:BH$124)*SSf</f>
        <v>0</v>
      </c>
      <c r="BJ88" s="70">
        <f t="shared" ca="1" si="1504"/>
        <v>22081.269140127097</v>
      </c>
      <c r="BK88" s="2">
        <f t="shared" ref="BK88" ca="1" si="1754">IFERROR(VLOOKUP($S88,qx_table,MATCH(BK$11,qx_title,0)+sexB),0)</f>
        <v>0</v>
      </c>
      <c r="BL88" s="131">
        <f t="shared" ca="1" si="1506"/>
        <v>0</v>
      </c>
      <c r="BM88" s="131">
        <f ca="1">SUM(BL88:BL$124)*SSg</f>
        <v>0</v>
      </c>
      <c r="BN88" s="70">
        <f t="shared" ca="1" si="1507"/>
        <v>22081.269140127097</v>
      </c>
      <c r="BO88" s="2">
        <f t="shared" ref="BO88" ca="1" si="1755">IFERROR(VLOOKUP($S88,qx_table,MATCH(BO$11,qx_title,0)+sexB),0)</f>
        <v>0</v>
      </c>
      <c r="BP88" s="131">
        <f t="shared" ca="1" si="1509"/>
        <v>0</v>
      </c>
      <c r="BQ88" s="131">
        <f ca="1">SUM(BP88:BP$124)*SSh</f>
        <v>0</v>
      </c>
      <c r="BR88" s="70">
        <f t="shared" ca="1" si="1510"/>
        <v>22081.269140127097</v>
      </c>
      <c r="BS88" s="2">
        <f t="shared" ref="BS88" ca="1" si="1756">IFERROR(VLOOKUP($S88,qx_table,MATCH(BS$11,qx_title,0)+sexB),0)*IF(R88=0,MCi,1)</f>
        <v>0</v>
      </c>
      <c r="BT88" s="131">
        <f t="shared" ca="1" si="1512"/>
        <v>0</v>
      </c>
      <c r="BU88" s="131">
        <f ca="1">SUM(BT88:BT$124)*SSi</f>
        <v>0</v>
      </c>
      <c r="BV88" s="70">
        <f t="shared" ca="1" si="1513"/>
        <v>22081.269140127097</v>
      </c>
      <c r="BW88" s="2">
        <f t="shared" ref="BW88" ca="1" si="1757">IFERROR(VLOOKUP($S88,qx_table,MATCH(BW$11,qx_title,0)+sexB),0)</f>
        <v>0</v>
      </c>
      <c r="BX88" s="131">
        <f t="shared" ca="1" si="1515"/>
        <v>0</v>
      </c>
      <c r="BY88" s="131">
        <f ca="1">SUM(BX88:BX$124)*SSj</f>
        <v>0</v>
      </c>
      <c r="BZ88" s="70">
        <f t="shared" ca="1" si="1516"/>
        <v>22081.269140127097</v>
      </c>
      <c r="CA88" s="2">
        <f t="shared" ref="CA88" ca="1" si="1758">IFERROR(VLOOKUP($S88,qx_table,MATCH(CA$11,qx_title,0)+sexB),0)</f>
        <v>0</v>
      </c>
      <c r="CB88" s="131">
        <f t="shared" ca="1" si="1518"/>
        <v>0</v>
      </c>
      <c r="CC88" s="131">
        <f ca="1">SUM(CB88:CB$124)*SSk</f>
        <v>0</v>
      </c>
      <c r="CD88" s="8">
        <f t="shared" ca="1" si="1519"/>
        <v>22081.269140127097</v>
      </c>
      <c r="CE88" s="2">
        <f t="shared" ref="CE88" ca="1" si="1759">IFERROR(VLOOKUP($S88,qx_table,MATCH(CE$11,qx_title,0)+sexB),0)</f>
        <v>0</v>
      </c>
      <c r="CF88" s="131">
        <f t="shared" ca="1" si="1521"/>
        <v>0</v>
      </c>
      <c r="CG88" s="131">
        <f ca="1">SUM(CF88:CF$124)*SSl</f>
        <v>0</v>
      </c>
      <c r="CH88" s="155">
        <f t="shared" ca="1" si="1522"/>
        <v>0.01</v>
      </c>
      <c r="CI88" s="155">
        <f t="shared" ca="1" si="1523"/>
        <v>0</v>
      </c>
      <c r="CJ88" s="155">
        <f t="shared" ca="1" si="1524"/>
        <v>0</v>
      </c>
      <c r="CK88" s="155">
        <f ca="1">'유해지 (기준P)'!CZ88</f>
        <v>0</v>
      </c>
      <c r="CL88" s="155">
        <f t="shared" ca="1" si="1465"/>
        <v>0</v>
      </c>
      <c r="CM88" s="155">
        <f t="shared" ca="1" si="1525"/>
        <v>0</v>
      </c>
      <c r="CN88" s="155">
        <f ca="1">SUM(CM88:$CM$124)</f>
        <v>0</v>
      </c>
      <c r="CO88" s="101">
        <f t="shared" ca="1" si="1526"/>
        <v>0</v>
      </c>
      <c r="CP88" s="154">
        <f t="shared" ca="1" si="1466"/>
        <v>0</v>
      </c>
      <c r="CQ88" s="154">
        <f t="shared" ca="1" si="1467"/>
        <v>0</v>
      </c>
      <c r="CR88" s="32">
        <f t="shared" ref="CR88" ca="1" si="1760">+MAX(VLOOKUP(xB+$R88,기수표B,$AH$1)-VLOOKUP(xB+mB,기수표B,$AH$1),0)</f>
        <v>0</v>
      </c>
      <c r="CS88" s="32">
        <f t="shared" ca="1" si="1469"/>
        <v>0</v>
      </c>
      <c r="CT88" s="32">
        <f t="shared" ref="CT88" ca="1" si="1761">+MAX(VLOOKUP(xB+$R88,기수표B,$AA$1)-VLOOKUP(xB+mB,기수표B,$AA$1),0)</f>
        <v>0</v>
      </c>
      <c r="CU88" s="32">
        <f t="shared" ca="1" si="1471"/>
        <v>0</v>
      </c>
      <c r="CV88" s="32">
        <f t="shared" si="1472"/>
        <v>0</v>
      </c>
      <c r="CW88" s="259">
        <f t="shared" ca="1" si="1473"/>
        <v>0</v>
      </c>
      <c r="CX88" s="32">
        <f t="shared" ca="1" si="1474"/>
        <v>0</v>
      </c>
      <c r="CY88" s="262">
        <f t="shared" ca="1" si="1475"/>
        <v>0</v>
      </c>
      <c r="CZ88" s="259" t="e">
        <f t="shared" ca="1" si="1476"/>
        <v>#DIV/0!</v>
      </c>
      <c r="DA88" s="31">
        <f t="shared" ref="DA88" ca="1" si="1762">+MIN(mB,7)</f>
        <v>7</v>
      </c>
    </row>
    <row r="89" spans="14:105">
      <c r="N89" s="5">
        <f t="shared" si="1530"/>
        <v>77</v>
      </c>
      <c r="O89" s="2">
        <f t="shared" ref="O89" ca="1" si="1763">+(1+iB)^-N89</f>
        <v>0.18027048023758951</v>
      </c>
      <c r="P89" s="2">
        <f t="shared" ref="P89" ca="1" si="1764">+(1+iB)^-(N89+0.5)</f>
        <v>0.17827603125597791</v>
      </c>
      <c r="Q89" s="91"/>
      <c r="R89" s="20">
        <f t="shared" si="1533"/>
        <v>77</v>
      </c>
      <c r="S89" s="20" t="str">
        <f t="shared" ref="S89" si="1765">+IF(xB+R89&lt;=xB+nB,xB+R89,"")</f>
        <v/>
      </c>
      <c r="T89" s="2">
        <f t="shared" ref="T89:U89" ca="1" si="1766">IFERROR(VLOOKUP($S89,qx_table,MATCH(T$11,qx_title,0)+sexB),0)</f>
        <v>0</v>
      </c>
      <c r="U89" s="2">
        <f t="shared" ca="1" si="1766"/>
        <v>0</v>
      </c>
      <c r="V89" s="300">
        <f t="shared" ca="1" si="1443"/>
        <v>0.01</v>
      </c>
      <c r="W89" s="8">
        <f t="shared" ref="W89" si="1767">IF(R89=0,100000,IF(R89&gt;nB,0,W88*(1-X88)*(1-Y88)))</f>
        <v>0</v>
      </c>
      <c r="X89" s="10">
        <f t="shared" ca="1" si="1445"/>
        <v>1.0000000000000009E-2</v>
      </c>
      <c r="Y89" s="10">
        <f t="shared" ca="1" si="1446"/>
        <v>0</v>
      </c>
      <c r="Z89" s="5">
        <f t="shared" ca="1" si="1483"/>
        <v>0</v>
      </c>
      <c r="AA89" s="5">
        <f ca="1">+SUM(Z89:Z$124)</f>
        <v>0</v>
      </c>
      <c r="AB89" s="8">
        <f t="shared" ca="1" si="1447"/>
        <v>0</v>
      </c>
      <c r="AC89" s="209">
        <f ca="1">+SUM(AB89:AB$124)*SSSM</f>
        <v>0</v>
      </c>
      <c r="AD89" s="209">
        <f t="shared" ref="AD89" si="1768">IF(R89&gt;nB,0,AD88*(1-X88)*(1-Y88)*(1-AE88)*(1-AF88))</f>
        <v>0</v>
      </c>
      <c r="AE89" s="92">
        <f t="shared" ca="1" si="1449"/>
        <v>0</v>
      </c>
      <c r="AF89" s="92">
        <f t="shared" ca="1" si="1450"/>
        <v>0</v>
      </c>
      <c r="AG89" s="8">
        <f t="shared" ca="1" si="1451"/>
        <v>0</v>
      </c>
      <c r="AH89" s="5">
        <f ca="1">+SUM(AG89:AG$124)</f>
        <v>0</v>
      </c>
      <c r="AI89" s="70">
        <f t="shared" ca="1" si="1452"/>
        <v>0</v>
      </c>
      <c r="AJ89" s="208">
        <f ca="1">+SUM(AB89:AB$124)*SS50J</f>
        <v>0</v>
      </c>
      <c r="AK89" s="5">
        <f t="shared" ca="1" si="1485"/>
        <v>21860.456448725825</v>
      </c>
      <c r="AL89" s="2">
        <f t="shared" ref="AL89" ca="1" si="1769">IFERROR(VLOOKUP($S89,qx_table,MATCH(AL$11,qx_title,0)+sexB),0)</f>
        <v>0</v>
      </c>
      <c r="AM89" s="131">
        <f t="shared" ca="1" si="1487"/>
        <v>3940.7949822247151</v>
      </c>
      <c r="AN89" s="129">
        <f t="shared" ca="1" si="1488"/>
        <v>0</v>
      </c>
      <c r="AO89" s="129">
        <f ca="1">SUM(AN89:AN$124)*SSa</f>
        <v>0</v>
      </c>
      <c r="AP89" s="70">
        <f t="shared" ca="1" si="1489"/>
        <v>21860.456448725825</v>
      </c>
      <c r="AQ89" s="2">
        <f t="shared" ref="AQ89" ca="1" si="1770">IFERROR(VLOOKUP($S89,qx_table,MATCH(AQ$11,qx_title,0)+sexB),0)</f>
        <v>0</v>
      </c>
      <c r="AR89" s="127">
        <f t="shared" ca="1" si="1491"/>
        <v>0</v>
      </c>
      <c r="AS89" s="127">
        <f ca="1">SUM(AR89:AR$124)*SSb</f>
        <v>0</v>
      </c>
      <c r="AT89" s="70">
        <f t="shared" ca="1" si="1492"/>
        <v>21860.456448725825</v>
      </c>
      <c r="AU89" s="2">
        <f t="shared" ref="AU89" ca="1" si="1771">IFERROR(VLOOKUP($S89,qx_table,MATCH(AU$11,qx_title,0)+sexB),0)</f>
        <v>0</v>
      </c>
      <c r="AV89" s="268">
        <f t="shared" ca="1" si="1494"/>
        <v>0</v>
      </c>
      <c r="AW89" s="131">
        <f ca="1">SUM(AV89:AV$124)*SSc</f>
        <v>0</v>
      </c>
      <c r="AX89" s="70">
        <f t="shared" ca="1" si="1495"/>
        <v>21860.456448725825</v>
      </c>
      <c r="AY89" s="2">
        <f t="shared" ref="AY89" ca="1" si="1772">IFERROR(VLOOKUP($S89,qx_table,MATCH(AY$11,qx_title,0)+sexB),0)</f>
        <v>0</v>
      </c>
      <c r="AZ89" s="268">
        <f t="shared" ca="1" si="1497"/>
        <v>0</v>
      </c>
      <c r="BA89" s="129">
        <f ca="1">SUM(AZ89:AZ$124)*SSd</f>
        <v>0</v>
      </c>
      <c r="BB89" s="70">
        <f t="shared" ca="1" si="1498"/>
        <v>21860.456448725825</v>
      </c>
      <c r="BC89" s="257">
        <f t="shared" ref="BC89" ca="1" si="1773">IFERROR(VLOOKUP($S89,qx_table,MATCH(BC$11,qx_title,0)+sexB),0)</f>
        <v>0</v>
      </c>
      <c r="BD89" s="268">
        <f t="shared" ca="1" si="1500"/>
        <v>0</v>
      </c>
      <c r="BE89" s="131">
        <f ca="1">SUM(BD89:BD$124)*SSe</f>
        <v>0</v>
      </c>
      <c r="BF89" s="70">
        <f t="shared" ca="1" si="1501"/>
        <v>21860.456448725825</v>
      </c>
      <c r="BG89" s="2">
        <f t="shared" ref="BG89" ca="1" si="1774">IFERROR(VLOOKUP($S89,qx_table,MATCH(BG$11,qx_title,0)+sexB),0)</f>
        <v>0</v>
      </c>
      <c r="BH89" s="131">
        <f t="shared" ca="1" si="1503"/>
        <v>0</v>
      </c>
      <c r="BI89" s="2">
        <f ca="1">SUM(BH89:BH$124)*SSf</f>
        <v>0</v>
      </c>
      <c r="BJ89" s="70">
        <f t="shared" ca="1" si="1504"/>
        <v>21860.456448725825</v>
      </c>
      <c r="BK89" s="2">
        <f t="shared" ref="BK89" ca="1" si="1775">IFERROR(VLOOKUP($S89,qx_table,MATCH(BK$11,qx_title,0)+sexB),0)</f>
        <v>0</v>
      </c>
      <c r="BL89" s="131">
        <f t="shared" ca="1" si="1506"/>
        <v>0</v>
      </c>
      <c r="BM89" s="131">
        <f ca="1">SUM(BL89:BL$124)*SSg</f>
        <v>0</v>
      </c>
      <c r="BN89" s="70">
        <f t="shared" ca="1" si="1507"/>
        <v>21860.456448725825</v>
      </c>
      <c r="BO89" s="2">
        <f t="shared" ref="BO89" ca="1" si="1776">IFERROR(VLOOKUP($S89,qx_table,MATCH(BO$11,qx_title,0)+sexB),0)</f>
        <v>0</v>
      </c>
      <c r="BP89" s="131">
        <f t="shared" ca="1" si="1509"/>
        <v>0</v>
      </c>
      <c r="BQ89" s="131">
        <f ca="1">SUM(BP89:BP$124)*SSh</f>
        <v>0</v>
      </c>
      <c r="BR89" s="70">
        <f t="shared" ca="1" si="1510"/>
        <v>21860.456448725825</v>
      </c>
      <c r="BS89" s="2">
        <f t="shared" ref="BS89" ca="1" si="1777">IFERROR(VLOOKUP($S89,qx_table,MATCH(BS$11,qx_title,0)+sexB),0)*IF(R89=0,MCi,1)</f>
        <v>0</v>
      </c>
      <c r="BT89" s="131">
        <f t="shared" ca="1" si="1512"/>
        <v>0</v>
      </c>
      <c r="BU89" s="131">
        <f ca="1">SUM(BT89:BT$124)*SSi</f>
        <v>0</v>
      </c>
      <c r="BV89" s="70">
        <f t="shared" ca="1" si="1513"/>
        <v>21860.456448725825</v>
      </c>
      <c r="BW89" s="2">
        <f t="shared" ref="BW89" ca="1" si="1778">IFERROR(VLOOKUP($S89,qx_table,MATCH(BW$11,qx_title,0)+sexB),0)</f>
        <v>0</v>
      </c>
      <c r="BX89" s="131">
        <f t="shared" ca="1" si="1515"/>
        <v>0</v>
      </c>
      <c r="BY89" s="131">
        <f ca="1">SUM(BX89:BX$124)*SSj</f>
        <v>0</v>
      </c>
      <c r="BZ89" s="70">
        <f t="shared" ca="1" si="1516"/>
        <v>21860.456448725825</v>
      </c>
      <c r="CA89" s="2">
        <f t="shared" ref="CA89" ca="1" si="1779">IFERROR(VLOOKUP($S89,qx_table,MATCH(CA$11,qx_title,0)+sexB),0)</f>
        <v>0</v>
      </c>
      <c r="CB89" s="131">
        <f t="shared" ca="1" si="1518"/>
        <v>0</v>
      </c>
      <c r="CC89" s="131">
        <f ca="1">SUM(CB89:CB$124)*SSk</f>
        <v>0</v>
      </c>
      <c r="CD89" s="8">
        <f t="shared" ca="1" si="1519"/>
        <v>21860.456448725825</v>
      </c>
      <c r="CE89" s="2">
        <f t="shared" ref="CE89" ca="1" si="1780">IFERROR(VLOOKUP($S89,qx_table,MATCH(CE$11,qx_title,0)+sexB),0)</f>
        <v>0</v>
      </c>
      <c r="CF89" s="131">
        <f t="shared" ca="1" si="1521"/>
        <v>0</v>
      </c>
      <c r="CG89" s="131">
        <f ca="1">SUM(CF89:CF$124)*SSl</f>
        <v>0</v>
      </c>
      <c r="CH89" s="155">
        <f t="shared" ca="1" si="1522"/>
        <v>0.01</v>
      </c>
      <c r="CI89" s="155">
        <f t="shared" ca="1" si="1523"/>
        <v>0</v>
      </c>
      <c r="CJ89" s="155">
        <f t="shared" ca="1" si="1524"/>
        <v>0</v>
      </c>
      <c r="CK89" s="155">
        <f ca="1">'유해지 (기준P)'!CZ89</f>
        <v>0</v>
      </c>
      <c r="CL89" s="155">
        <f t="shared" ca="1" si="1465"/>
        <v>0</v>
      </c>
      <c r="CM89" s="155">
        <f t="shared" ca="1" si="1525"/>
        <v>0</v>
      </c>
      <c r="CN89" s="155">
        <f ca="1">SUM(CM89:$CM$124)</f>
        <v>0</v>
      </c>
      <c r="CO89" s="101">
        <f t="shared" ca="1" si="1526"/>
        <v>0</v>
      </c>
      <c r="CP89" s="154">
        <f t="shared" ca="1" si="1466"/>
        <v>0</v>
      </c>
      <c r="CQ89" s="154">
        <f t="shared" ca="1" si="1467"/>
        <v>0</v>
      </c>
      <c r="CR89" s="32">
        <f t="shared" ref="CR89" ca="1" si="1781">+MAX(VLOOKUP(xB+$R89,기수표B,$AH$1)-VLOOKUP(xB+mB,기수표B,$AH$1),0)</f>
        <v>0</v>
      </c>
      <c r="CS89" s="32">
        <f t="shared" ca="1" si="1469"/>
        <v>0</v>
      </c>
      <c r="CT89" s="32">
        <f t="shared" ref="CT89" ca="1" si="1782">+MAX(VLOOKUP(xB+$R89,기수표B,$AA$1)-VLOOKUP(xB+mB,기수표B,$AA$1),0)</f>
        <v>0</v>
      </c>
      <c r="CU89" s="32">
        <f t="shared" ca="1" si="1471"/>
        <v>0</v>
      </c>
      <c r="CV89" s="32">
        <f t="shared" si="1472"/>
        <v>0</v>
      </c>
      <c r="CW89" s="259">
        <f t="shared" ca="1" si="1473"/>
        <v>0</v>
      </c>
      <c r="CX89" s="32">
        <f t="shared" ca="1" si="1474"/>
        <v>0</v>
      </c>
      <c r="CY89" s="262">
        <f t="shared" ca="1" si="1475"/>
        <v>0</v>
      </c>
      <c r="CZ89" s="259" t="e">
        <f t="shared" ca="1" si="1476"/>
        <v>#DIV/0!</v>
      </c>
      <c r="DA89" s="31">
        <f t="shared" ref="DA89" ca="1" si="1783">+MIN(mB,7)</f>
        <v>7</v>
      </c>
    </row>
    <row r="90" spans="14:105">
      <c r="N90" s="5">
        <f t="shared" si="1530"/>
        <v>78</v>
      </c>
      <c r="O90" s="2">
        <f t="shared" ref="O90" ca="1" si="1784">+(1+iB)^-N90</f>
        <v>0.17630364815412175</v>
      </c>
      <c r="P90" s="2">
        <f t="shared" ref="P90" ca="1" si="1785">+(1+iB)^-(N90+0.5)</f>
        <v>0.17435308680291239</v>
      </c>
      <c r="Q90" s="91"/>
      <c r="R90" s="20">
        <f t="shared" si="1533"/>
        <v>78</v>
      </c>
      <c r="S90" s="20" t="str">
        <f t="shared" ref="S90" si="1786">+IF(xB+R90&lt;=xB+nB,xB+R90,"")</f>
        <v/>
      </c>
      <c r="T90" s="2">
        <f t="shared" ref="T90:U90" ca="1" si="1787">IFERROR(VLOOKUP($S90,qx_table,MATCH(T$11,qx_title,0)+sexB),0)</f>
        <v>0</v>
      </c>
      <c r="U90" s="2">
        <f t="shared" ca="1" si="1787"/>
        <v>0</v>
      </c>
      <c r="V90" s="300">
        <f t="shared" ca="1" si="1443"/>
        <v>0.01</v>
      </c>
      <c r="W90" s="8">
        <f t="shared" ref="W90" si="1788">IF(R90=0,100000,IF(R90&gt;nB,0,W89*(1-X89)*(1-Y89)))</f>
        <v>0</v>
      </c>
      <c r="X90" s="10">
        <f t="shared" ca="1" si="1445"/>
        <v>1.0000000000000009E-2</v>
      </c>
      <c r="Y90" s="10">
        <f t="shared" ca="1" si="1446"/>
        <v>0</v>
      </c>
      <c r="Z90" s="5">
        <f t="shared" ca="1" si="1483"/>
        <v>0</v>
      </c>
      <c r="AA90" s="5">
        <f ca="1">+SUM(Z90:Z$124)</f>
        <v>0</v>
      </c>
      <c r="AB90" s="8">
        <f t="shared" ca="1" si="1447"/>
        <v>0</v>
      </c>
      <c r="AC90" s="209">
        <f ca="1">+SUM(AB90:AB$124)*SSSM</f>
        <v>0</v>
      </c>
      <c r="AD90" s="209">
        <f t="shared" ref="AD90" si="1789">IF(R90&gt;nB,0,AD89*(1-X89)*(1-Y89)*(1-AE89)*(1-AF89))</f>
        <v>0</v>
      </c>
      <c r="AE90" s="92">
        <f t="shared" ca="1" si="1449"/>
        <v>0</v>
      </c>
      <c r="AF90" s="92">
        <f t="shared" ca="1" si="1450"/>
        <v>0</v>
      </c>
      <c r="AG90" s="8">
        <f t="shared" ca="1" si="1451"/>
        <v>0</v>
      </c>
      <c r="AH90" s="5">
        <f ca="1">+SUM(AG90:AG$124)</f>
        <v>0</v>
      </c>
      <c r="AI90" s="70">
        <f t="shared" ca="1" si="1452"/>
        <v>0</v>
      </c>
      <c r="AJ90" s="208">
        <f ca="1">+SUM(AB90:AB$124)*SS50J</f>
        <v>0</v>
      </c>
      <c r="AK90" s="5">
        <f t="shared" ca="1" si="1485"/>
        <v>21641.851884238567</v>
      </c>
      <c r="AL90" s="2">
        <f t="shared" ref="AL90" ca="1" si="1790">IFERROR(VLOOKUP($S90,qx_table,MATCH(AL$11,qx_title,0)+sexB),0)</f>
        <v>0</v>
      </c>
      <c r="AM90" s="131">
        <f t="shared" ca="1" si="1487"/>
        <v>3815.5374400024134</v>
      </c>
      <c r="AN90" s="129">
        <f t="shared" ca="1" si="1488"/>
        <v>0</v>
      </c>
      <c r="AO90" s="129">
        <f ca="1">SUM(AN90:AN$124)*SSa</f>
        <v>0</v>
      </c>
      <c r="AP90" s="70">
        <f t="shared" ca="1" si="1489"/>
        <v>21641.851884238567</v>
      </c>
      <c r="AQ90" s="2">
        <f t="shared" ref="AQ90" ca="1" si="1791">IFERROR(VLOOKUP($S90,qx_table,MATCH(AQ$11,qx_title,0)+sexB),0)</f>
        <v>0</v>
      </c>
      <c r="AR90" s="127">
        <f t="shared" ca="1" si="1491"/>
        <v>0</v>
      </c>
      <c r="AS90" s="127">
        <f ca="1">SUM(AR90:AR$124)*SSb</f>
        <v>0</v>
      </c>
      <c r="AT90" s="70">
        <f t="shared" ca="1" si="1492"/>
        <v>21641.851884238567</v>
      </c>
      <c r="AU90" s="2">
        <f t="shared" ref="AU90" ca="1" si="1792">IFERROR(VLOOKUP($S90,qx_table,MATCH(AU$11,qx_title,0)+sexB),0)</f>
        <v>0</v>
      </c>
      <c r="AV90" s="268">
        <f t="shared" ca="1" si="1494"/>
        <v>0</v>
      </c>
      <c r="AW90" s="131">
        <f ca="1">SUM(AV90:AV$124)*SSc</f>
        <v>0</v>
      </c>
      <c r="AX90" s="70">
        <f t="shared" ca="1" si="1495"/>
        <v>21641.851884238567</v>
      </c>
      <c r="AY90" s="2">
        <f t="shared" ref="AY90" ca="1" si="1793">IFERROR(VLOOKUP($S90,qx_table,MATCH(AY$11,qx_title,0)+sexB),0)</f>
        <v>0</v>
      </c>
      <c r="AZ90" s="268">
        <f t="shared" ca="1" si="1497"/>
        <v>0</v>
      </c>
      <c r="BA90" s="129">
        <f ca="1">SUM(AZ90:AZ$124)*SSd</f>
        <v>0</v>
      </c>
      <c r="BB90" s="70">
        <f t="shared" ca="1" si="1498"/>
        <v>21641.851884238567</v>
      </c>
      <c r="BC90" s="257">
        <f t="shared" ref="BC90" ca="1" si="1794">IFERROR(VLOOKUP($S90,qx_table,MATCH(BC$11,qx_title,0)+sexB),0)</f>
        <v>0</v>
      </c>
      <c r="BD90" s="268">
        <f t="shared" ca="1" si="1500"/>
        <v>0</v>
      </c>
      <c r="BE90" s="131">
        <f ca="1">SUM(BD90:BD$124)*SSe</f>
        <v>0</v>
      </c>
      <c r="BF90" s="70">
        <f t="shared" ca="1" si="1501"/>
        <v>21641.851884238567</v>
      </c>
      <c r="BG90" s="2">
        <f t="shared" ref="BG90" ca="1" si="1795">IFERROR(VLOOKUP($S90,qx_table,MATCH(BG$11,qx_title,0)+sexB),0)</f>
        <v>0</v>
      </c>
      <c r="BH90" s="131">
        <f t="shared" ca="1" si="1503"/>
        <v>0</v>
      </c>
      <c r="BI90" s="2">
        <f ca="1">SUM(BH90:BH$124)*SSf</f>
        <v>0</v>
      </c>
      <c r="BJ90" s="70">
        <f t="shared" ca="1" si="1504"/>
        <v>21641.851884238567</v>
      </c>
      <c r="BK90" s="2">
        <f t="shared" ref="BK90" ca="1" si="1796">IFERROR(VLOOKUP($S90,qx_table,MATCH(BK$11,qx_title,0)+sexB),0)</f>
        <v>0</v>
      </c>
      <c r="BL90" s="131">
        <f t="shared" ca="1" si="1506"/>
        <v>0</v>
      </c>
      <c r="BM90" s="131">
        <f ca="1">SUM(BL90:BL$124)*SSg</f>
        <v>0</v>
      </c>
      <c r="BN90" s="70">
        <f t="shared" ca="1" si="1507"/>
        <v>21641.851884238567</v>
      </c>
      <c r="BO90" s="2">
        <f t="shared" ref="BO90" ca="1" si="1797">IFERROR(VLOOKUP($S90,qx_table,MATCH(BO$11,qx_title,0)+sexB),0)</f>
        <v>0</v>
      </c>
      <c r="BP90" s="131">
        <f t="shared" ca="1" si="1509"/>
        <v>0</v>
      </c>
      <c r="BQ90" s="131">
        <f ca="1">SUM(BP90:BP$124)*SSh</f>
        <v>0</v>
      </c>
      <c r="BR90" s="70">
        <f t="shared" ca="1" si="1510"/>
        <v>21641.851884238567</v>
      </c>
      <c r="BS90" s="2">
        <f t="shared" ref="BS90" ca="1" si="1798">IFERROR(VLOOKUP($S90,qx_table,MATCH(BS$11,qx_title,0)+sexB),0)*IF(R90=0,MCi,1)</f>
        <v>0</v>
      </c>
      <c r="BT90" s="131">
        <f t="shared" ca="1" si="1512"/>
        <v>0</v>
      </c>
      <c r="BU90" s="131">
        <f ca="1">SUM(BT90:BT$124)*SSi</f>
        <v>0</v>
      </c>
      <c r="BV90" s="70">
        <f t="shared" ca="1" si="1513"/>
        <v>21641.851884238567</v>
      </c>
      <c r="BW90" s="2">
        <f t="shared" ref="BW90" ca="1" si="1799">IFERROR(VLOOKUP($S90,qx_table,MATCH(BW$11,qx_title,0)+sexB),0)</f>
        <v>0</v>
      </c>
      <c r="BX90" s="131">
        <f t="shared" ca="1" si="1515"/>
        <v>0</v>
      </c>
      <c r="BY90" s="131">
        <f ca="1">SUM(BX90:BX$124)*SSj</f>
        <v>0</v>
      </c>
      <c r="BZ90" s="70">
        <f t="shared" ca="1" si="1516"/>
        <v>21641.851884238567</v>
      </c>
      <c r="CA90" s="2">
        <f t="shared" ref="CA90" ca="1" si="1800">IFERROR(VLOOKUP($S90,qx_table,MATCH(CA$11,qx_title,0)+sexB),0)</f>
        <v>0</v>
      </c>
      <c r="CB90" s="131">
        <f t="shared" ca="1" si="1518"/>
        <v>0</v>
      </c>
      <c r="CC90" s="131">
        <f ca="1">SUM(CB90:CB$124)*SSk</f>
        <v>0</v>
      </c>
      <c r="CD90" s="8">
        <f t="shared" ca="1" si="1519"/>
        <v>21641.851884238567</v>
      </c>
      <c r="CE90" s="2">
        <f t="shared" ref="CE90" ca="1" si="1801">IFERROR(VLOOKUP($S90,qx_table,MATCH(CE$11,qx_title,0)+sexB),0)</f>
        <v>0</v>
      </c>
      <c r="CF90" s="131">
        <f t="shared" ca="1" si="1521"/>
        <v>0</v>
      </c>
      <c r="CG90" s="131">
        <f ca="1">SUM(CF90:CF$124)*SSl</f>
        <v>0</v>
      </c>
      <c r="CH90" s="155">
        <f t="shared" ca="1" si="1522"/>
        <v>0.01</v>
      </c>
      <c r="CI90" s="155">
        <f t="shared" ca="1" si="1523"/>
        <v>0</v>
      </c>
      <c r="CJ90" s="155">
        <f t="shared" ca="1" si="1524"/>
        <v>0</v>
      </c>
      <c r="CK90" s="155">
        <f ca="1">'유해지 (기준P)'!CZ90</f>
        <v>0</v>
      </c>
      <c r="CL90" s="155">
        <f t="shared" ca="1" si="1465"/>
        <v>0</v>
      </c>
      <c r="CM90" s="155">
        <f t="shared" ca="1" si="1525"/>
        <v>0</v>
      </c>
      <c r="CN90" s="155">
        <f ca="1">SUM(CM90:$CM$124)</f>
        <v>0</v>
      </c>
      <c r="CO90" s="101">
        <f t="shared" ca="1" si="1526"/>
        <v>0</v>
      </c>
      <c r="CP90" s="154">
        <f t="shared" ca="1" si="1466"/>
        <v>0</v>
      </c>
      <c r="CQ90" s="154">
        <f t="shared" ca="1" si="1467"/>
        <v>0</v>
      </c>
      <c r="CR90" s="32">
        <f t="shared" ref="CR90" ca="1" si="1802">+MAX(VLOOKUP(xB+$R90,기수표B,$AH$1)-VLOOKUP(xB+mB,기수표B,$AH$1),0)</f>
        <v>0</v>
      </c>
      <c r="CS90" s="32">
        <f t="shared" ca="1" si="1469"/>
        <v>0</v>
      </c>
      <c r="CT90" s="32">
        <f t="shared" ref="CT90" ca="1" si="1803">+MAX(VLOOKUP(xB+$R90,기수표B,$AA$1)-VLOOKUP(xB+mB,기수표B,$AA$1),0)</f>
        <v>0</v>
      </c>
      <c r="CU90" s="32">
        <f t="shared" ca="1" si="1471"/>
        <v>0</v>
      </c>
      <c r="CV90" s="32">
        <f t="shared" si="1472"/>
        <v>0</v>
      </c>
      <c r="CW90" s="259">
        <f t="shared" ca="1" si="1473"/>
        <v>0</v>
      </c>
      <c r="CX90" s="32">
        <f t="shared" ca="1" si="1474"/>
        <v>0</v>
      </c>
      <c r="CY90" s="262">
        <f t="shared" ca="1" si="1475"/>
        <v>0</v>
      </c>
      <c r="CZ90" s="259" t="e">
        <f t="shared" ca="1" si="1476"/>
        <v>#DIV/0!</v>
      </c>
      <c r="DA90" s="31">
        <f t="shared" ref="DA90" ca="1" si="1804">+MIN(mB,7)</f>
        <v>7</v>
      </c>
    </row>
    <row r="91" spans="14:105">
      <c r="N91" s="5">
        <f t="shared" si="1530"/>
        <v>79</v>
      </c>
      <c r="O91" s="2">
        <f t="shared" ref="O91" ca="1" si="1805">+(1+iB)^-N91</f>
        <v>0.17242410577420222</v>
      </c>
      <c r="P91" s="2">
        <f t="shared" ref="P91" ca="1" si="1806">+(1+iB)^-(N91+0.5)</f>
        <v>0.1705164663109168</v>
      </c>
      <c r="Q91" s="91"/>
      <c r="R91" s="20">
        <f t="shared" si="1533"/>
        <v>79</v>
      </c>
      <c r="S91" s="20" t="str">
        <f t="shared" ref="S91" si="1807">+IF(xB+R91&lt;=xB+nB,xB+R91,"")</f>
        <v/>
      </c>
      <c r="T91" s="2">
        <f t="shared" ref="T91:U91" ca="1" si="1808">IFERROR(VLOOKUP($S91,qx_table,MATCH(T$11,qx_title,0)+sexB),0)</f>
        <v>0</v>
      </c>
      <c r="U91" s="2">
        <f t="shared" ca="1" si="1808"/>
        <v>0</v>
      </c>
      <c r="V91" s="300">
        <f t="shared" ca="1" si="1443"/>
        <v>0.01</v>
      </c>
      <c r="W91" s="8">
        <f t="shared" ref="W91" si="1809">IF(R91=0,100000,IF(R91&gt;nB,0,W90*(1-X90)*(1-Y90)))</f>
        <v>0</v>
      </c>
      <c r="X91" s="10">
        <f t="shared" ca="1" si="1445"/>
        <v>1.0000000000000009E-2</v>
      </c>
      <c r="Y91" s="10">
        <f t="shared" ca="1" si="1446"/>
        <v>0</v>
      </c>
      <c r="Z91" s="5">
        <f t="shared" ca="1" si="1483"/>
        <v>0</v>
      </c>
      <c r="AA91" s="5">
        <f ca="1">+SUM(Z91:Z$124)</f>
        <v>0</v>
      </c>
      <c r="AB91" s="8">
        <f t="shared" ca="1" si="1447"/>
        <v>0</v>
      </c>
      <c r="AC91" s="209">
        <f ca="1">+SUM(AB91:AB$124)*SSSM</f>
        <v>0</v>
      </c>
      <c r="AD91" s="209">
        <f t="shared" ref="AD91" si="1810">IF(R91&gt;nB,0,AD90*(1-X90)*(1-Y90)*(1-AE90)*(1-AF90))</f>
        <v>0</v>
      </c>
      <c r="AE91" s="92">
        <f t="shared" ca="1" si="1449"/>
        <v>0</v>
      </c>
      <c r="AF91" s="92">
        <f t="shared" ca="1" si="1450"/>
        <v>0</v>
      </c>
      <c r="AG91" s="8">
        <f t="shared" ca="1" si="1451"/>
        <v>0</v>
      </c>
      <c r="AH91" s="5">
        <f ca="1">+SUM(AG91:AG$124)</f>
        <v>0</v>
      </c>
      <c r="AI91" s="70">
        <f t="shared" ca="1" si="1452"/>
        <v>0</v>
      </c>
      <c r="AJ91" s="208">
        <f ca="1">+SUM(AB91:AB$124)*SS50J</f>
        <v>0</v>
      </c>
      <c r="AK91" s="5">
        <f t="shared" ca="1" si="1485"/>
        <v>21425.43336539618</v>
      </c>
      <c r="AL91" s="2">
        <f t="shared" ref="AL91" ca="1" si="1811">IFERROR(VLOOKUP($S91,qx_table,MATCH(AL$11,qx_title,0)+sexB),0)</f>
        <v>0</v>
      </c>
      <c r="AM91" s="131">
        <f t="shared" ca="1" si="1487"/>
        <v>3694.2611888531924</v>
      </c>
      <c r="AN91" s="129">
        <f t="shared" ca="1" si="1488"/>
        <v>0</v>
      </c>
      <c r="AO91" s="129">
        <f ca="1">SUM(AN91:AN$124)*SSa</f>
        <v>0</v>
      </c>
      <c r="AP91" s="70">
        <f t="shared" ca="1" si="1489"/>
        <v>21425.43336539618</v>
      </c>
      <c r="AQ91" s="2">
        <f t="shared" ref="AQ91" ca="1" si="1812">IFERROR(VLOOKUP($S91,qx_table,MATCH(AQ$11,qx_title,0)+sexB),0)</f>
        <v>0</v>
      </c>
      <c r="AR91" s="127">
        <f t="shared" ca="1" si="1491"/>
        <v>0</v>
      </c>
      <c r="AS91" s="127">
        <f ca="1">SUM(AR91:AR$124)*SSb</f>
        <v>0</v>
      </c>
      <c r="AT91" s="70">
        <f t="shared" ca="1" si="1492"/>
        <v>21425.43336539618</v>
      </c>
      <c r="AU91" s="2">
        <f t="shared" ref="AU91" ca="1" si="1813">IFERROR(VLOOKUP($S91,qx_table,MATCH(AU$11,qx_title,0)+sexB),0)</f>
        <v>0</v>
      </c>
      <c r="AV91" s="268">
        <f t="shared" ca="1" si="1494"/>
        <v>0</v>
      </c>
      <c r="AW91" s="131">
        <f ca="1">SUM(AV91:AV$124)*SSc</f>
        <v>0</v>
      </c>
      <c r="AX91" s="70">
        <f t="shared" ca="1" si="1495"/>
        <v>21425.43336539618</v>
      </c>
      <c r="AY91" s="2">
        <f t="shared" ref="AY91" ca="1" si="1814">IFERROR(VLOOKUP($S91,qx_table,MATCH(AY$11,qx_title,0)+sexB),0)</f>
        <v>0</v>
      </c>
      <c r="AZ91" s="268">
        <f t="shared" ca="1" si="1497"/>
        <v>0</v>
      </c>
      <c r="BA91" s="129">
        <f ca="1">SUM(AZ91:AZ$124)*SSd</f>
        <v>0</v>
      </c>
      <c r="BB91" s="70">
        <f t="shared" ca="1" si="1498"/>
        <v>21425.43336539618</v>
      </c>
      <c r="BC91" s="257">
        <f t="shared" ref="BC91" ca="1" si="1815">IFERROR(VLOOKUP($S91,qx_table,MATCH(BC$11,qx_title,0)+sexB),0)</f>
        <v>0</v>
      </c>
      <c r="BD91" s="268">
        <f t="shared" ca="1" si="1500"/>
        <v>0</v>
      </c>
      <c r="BE91" s="131">
        <f ca="1">SUM(BD91:BD$124)*SSe</f>
        <v>0</v>
      </c>
      <c r="BF91" s="70">
        <f t="shared" ca="1" si="1501"/>
        <v>21425.43336539618</v>
      </c>
      <c r="BG91" s="2">
        <f t="shared" ref="BG91" ca="1" si="1816">IFERROR(VLOOKUP($S91,qx_table,MATCH(BG$11,qx_title,0)+sexB),0)</f>
        <v>0</v>
      </c>
      <c r="BH91" s="131">
        <f t="shared" ca="1" si="1503"/>
        <v>0</v>
      </c>
      <c r="BI91" s="2">
        <f ca="1">SUM(BH91:BH$124)*SSf</f>
        <v>0</v>
      </c>
      <c r="BJ91" s="70">
        <f t="shared" ca="1" si="1504"/>
        <v>21425.43336539618</v>
      </c>
      <c r="BK91" s="2">
        <f t="shared" ref="BK91" ca="1" si="1817">IFERROR(VLOOKUP($S91,qx_table,MATCH(BK$11,qx_title,0)+sexB),0)</f>
        <v>0</v>
      </c>
      <c r="BL91" s="131">
        <f t="shared" ca="1" si="1506"/>
        <v>0</v>
      </c>
      <c r="BM91" s="131">
        <f ca="1">SUM(BL91:BL$124)*SSg</f>
        <v>0</v>
      </c>
      <c r="BN91" s="70">
        <f t="shared" ca="1" si="1507"/>
        <v>21425.43336539618</v>
      </c>
      <c r="BO91" s="2">
        <f t="shared" ref="BO91" ca="1" si="1818">IFERROR(VLOOKUP($S91,qx_table,MATCH(BO$11,qx_title,0)+sexB),0)</f>
        <v>0</v>
      </c>
      <c r="BP91" s="131">
        <f t="shared" ca="1" si="1509"/>
        <v>0</v>
      </c>
      <c r="BQ91" s="131">
        <f ca="1">SUM(BP91:BP$124)*SSh</f>
        <v>0</v>
      </c>
      <c r="BR91" s="70">
        <f t="shared" ca="1" si="1510"/>
        <v>21425.43336539618</v>
      </c>
      <c r="BS91" s="2">
        <f t="shared" ref="BS91" ca="1" si="1819">IFERROR(VLOOKUP($S91,qx_table,MATCH(BS$11,qx_title,0)+sexB),0)*IF(R91=0,MCi,1)</f>
        <v>0</v>
      </c>
      <c r="BT91" s="131">
        <f t="shared" ca="1" si="1512"/>
        <v>0</v>
      </c>
      <c r="BU91" s="131">
        <f ca="1">SUM(BT91:BT$124)*SSi</f>
        <v>0</v>
      </c>
      <c r="BV91" s="70">
        <f t="shared" ca="1" si="1513"/>
        <v>21425.43336539618</v>
      </c>
      <c r="BW91" s="2">
        <f t="shared" ref="BW91" ca="1" si="1820">IFERROR(VLOOKUP($S91,qx_table,MATCH(BW$11,qx_title,0)+sexB),0)</f>
        <v>0</v>
      </c>
      <c r="BX91" s="131">
        <f t="shared" ca="1" si="1515"/>
        <v>0</v>
      </c>
      <c r="BY91" s="131">
        <f ca="1">SUM(BX91:BX$124)*SSj</f>
        <v>0</v>
      </c>
      <c r="BZ91" s="70">
        <f t="shared" ca="1" si="1516"/>
        <v>21425.43336539618</v>
      </c>
      <c r="CA91" s="2">
        <f t="shared" ref="CA91" ca="1" si="1821">IFERROR(VLOOKUP($S91,qx_table,MATCH(CA$11,qx_title,0)+sexB),0)</f>
        <v>0</v>
      </c>
      <c r="CB91" s="131">
        <f t="shared" ca="1" si="1518"/>
        <v>0</v>
      </c>
      <c r="CC91" s="131">
        <f ca="1">SUM(CB91:CB$124)*SSk</f>
        <v>0</v>
      </c>
      <c r="CD91" s="8">
        <f t="shared" ca="1" si="1519"/>
        <v>21425.43336539618</v>
      </c>
      <c r="CE91" s="2">
        <f t="shared" ref="CE91" ca="1" si="1822">IFERROR(VLOOKUP($S91,qx_table,MATCH(CE$11,qx_title,0)+sexB),0)</f>
        <v>0</v>
      </c>
      <c r="CF91" s="131">
        <f t="shared" ca="1" si="1521"/>
        <v>0</v>
      </c>
      <c r="CG91" s="131">
        <f ca="1">SUM(CF91:CF$124)*SSl</f>
        <v>0</v>
      </c>
      <c r="CH91" s="155">
        <f t="shared" ca="1" si="1522"/>
        <v>0.01</v>
      </c>
      <c r="CI91" s="155">
        <f t="shared" ca="1" si="1523"/>
        <v>0</v>
      </c>
      <c r="CJ91" s="155">
        <f t="shared" ca="1" si="1524"/>
        <v>0</v>
      </c>
      <c r="CK91" s="155">
        <f ca="1">'유해지 (기준P)'!CZ91</f>
        <v>0</v>
      </c>
      <c r="CL91" s="155">
        <f t="shared" ca="1" si="1465"/>
        <v>0</v>
      </c>
      <c r="CM91" s="155">
        <f t="shared" ca="1" si="1525"/>
        <v>0</v>
      </c>
      <c r="CN91" s="155">
        <f ca="1">SUM(CM91:$CM$124)</f>
        <v>0</v>
      </c>
      <c r="CO91" s="101">
        <f t="shared" ca="1" si="1526"/>
        <v>0</v>
      </c>
      <c r="CP91" s="154">
        <f t="shared" ca="1" si="1466"/>
        <v>0</v>
      </c>
      <c r="CQ91" s="154">
        <f t="shared" ca="1" si="1467"/>
        <v>0</v>
      </c>
      <c r="CR91" s="32">
        <f t="shared" ref="CR91" ca="1" si="1823">+MAX(VLOOKUP(xB+$R91,기수표B,$AH$1)-VLOOKUP(xB+mB,기수표B,$AH$1),0)</f>
        <v>0</v>
      </c>
      <c r="CS91" s="32">
        <f t="shared" ca="1" si="1469"/>
        <v>0</v>
      </c>
      <c r="CT91" s="32">
        <f t="shared" ref="CT91" ca="1" si="1824">+MAX(VLOOKUP(xB+$R91,기수표B,$AA$1)-VLOOKUP(xB+mB,기수표B,$AA$1),0)</f>
        <v>0</v>
      </c>
      <c r="CU91" s="32">
        <f t="shared" ca="1" si="1471"/>
        <v>0</v>
      </c>
      <c r="CV91" s="32">
        <f t="shared" si="1472"/>
        <v>0</v>
      </c>
      <c r="CW91" s="259">
        <f t="shared" ca="1" si="1473"/>
        <v>0</v>
      </c>
      <c r="CX91" s="32">
        <f t="shared" ca="1" si="1474"/>
        <v>0</v>
      </c>
      <c r="CY91" s="262">
        <f t="shared" ca="1" si="1475"/>
        <v>0</v>
      </c>
      <c r="CZ91" s="259" t="e">
        <f t="shared" ca="1" si="1476"/>
        <v>#DIV/0!</v>
      </c>
      <c r="DA91" s="31">
        <f t="shared" ref="DA91" ca="1" si="1825">+MIN(mB,7)</f>
        <v>7</v>
      </c>
    </row>
    <row r="92" spans="14:105">
      <c r="N92" s="5">
        <f t="shared" si="1530"/>
        <v>80</v>
      </c>
      <c r="O92" s="2">
        <f t="shared" ref="O92" ca="1" si="1826">+(1+iB)^-N92</f>
        <v>0.16862993229750833</v>
      </c>
      <c r="P92" s="2">
        <f t="shared" ref="P92" ca="1" si="1827">+(1+iB)^-(N92+0.5)</f>
        <v>0.16676427023072546</v>
      </c>
      <c r="Q92" s="91"/>
      <c r="R92" s="20">
        <f t="shared" si="1533"/>
        <v>80</v>
      </c>
      <c r="S92" s="20" t="str">
        <f t="shared" ref="S92" si="1828">+IF(xB+R92&lt;=xB+nB,xB+R92,"")</f>
        <v/>
      </c>
      <c r="T92" s="2">
        <f t="shared" ref="T92:U92" ca="1" si="1829">IFERROR(VLOOKUP($S92,qx_table,MATCH(T$11,qx_title,0)+sexB),0)</f>
        <v>0</v>
      </c>
      <c r="U92" s="2">
        <f t="shared" ca="1" si="1829"/>
        <v>0</v>
      </c>
      <c r="V92" s="300">
        <f t="shared" ca="1" si="1443"/>
        <v>0.01</v>
      </c>
      <c r="W92" s="8">
        <f t="shared" ref="W92" si="1830">IF(R92=0,100000,IF(R92&gt;nB,0,W91*(1-X91)*(1-Y91)))</f>
        <v>0</v>
      </c>
      <c r="X92" s="10">
        <f t="shared" ca="1" si="1445"/>
        <v>1.0000000000000009E-2</v>
      </c>
      <c r="Y92" s="10">
        <f t="shared" ca="1" si="1446"/>
        <v>0</v>
      </c>
      <c r="Z92" s="5">
        <f t="shared" ca="1" si="1483"/>
        <v>0</v>
      </c>
      <c r="AA92" s="5">
        <f ca="1">+SUM(Z92:Z$124)</f>
        <v>0</v>
      </c>
      <c r="AB92" s="8">
        <f t="shared" ca="1" si="1447"/>
        <v>0</v>
      </c>
      <c r="AC92" s="209">
        <f ca="1">+SUM(AB92:AB$124)*SSSM</f>
        <v>0</v>
      </c>
      <c r="AD92" s="209">
        <f t="shared" ref="AD92" si="1831">IF(R92&gt;nB,0,AD91*(1-X91)*(1-Y91)*(1-AE91)*(1-AF91))</f>
        <v>0</v>
      </c>
      <c r="AE92" s="92">
        <f t="shared" ca="1" si="1449"/>
        <v>0</v>
      </c>
      <c r="AF92" s="92">
        <f t="shared" ca="1" si="1450"/>
        <v>0</v>
      </c>
      <c r="AG92" s="8">
        <f t="shared" ca="1" si="1451"/>
        <v>0</v>
      </c>
      <c r="AH92" s="5">
        <f ca="1">+SUM(AG92:AG$124)</f>
        <v>0</v>
      </c>
      <c r="AI92" s="70">
        <f t="shared" ca="1" si="1452"/>
        <v>0</v>
      </c>
      <c r="AJ92" s="208">
        <f ca="1">+SUM(AB92:AB$124)*SS50J</f>
        <v>0</v>
      </c>
      <c r="AK92" s="5">
        <f t="shared" ca="1" si="1485"/>
        <v>21211.17903174222</v>
      </c>
      <c r="AL92" s="2">
        <f t="shared" ref="AL92" ca="1" si="1832">IFERROR(VLOOKUP($S92,qx_table,MATCH(AL$11,qx_title,0)+sexB),0)</f>
        <v>0</v>
      </c>
      <c r="AM92" s="131">
        <f t="shared" ca="1" si="1487"/>
        <v>3576.8396840730188</v>
      </c>
      <c r="AN92" s="129">
        <f t="shared" ca="1" si="1488"/>
        <v>0</v>
      </c>
      <c r="AO92" s="129">
        <f ca="1">SUM(AN92:AN$124)*SSa</f>
        <v>0</v>
      </c>
      <c r="AP92" s="70">
        <f t="shared" ca="1" si="1489"/>
        <v>21211.17903174222</v>
      </c>
      <c r="AQ92" s="2">
        <f t="shared" ref="AQ92" ca="1" si="1833">IFERROR(VLOOKUP($S92,qx_table,MATCH(AQ$11,qx_title,0)+sexB),0)</f>
        <v>0</v>
      </c>
      <c r="AR92" s="127">
        <f t="shared" ca="1" si="1491"/>
        <v>0</v>
      </c>
      <c r="AS92" s="127">
        <f ca="1">SUM(AR92:AR$124)*SSb</f>
        <v>0</v>
      </c>
      <c r="AT92" s="70">
        <f t="shared" ca="1" si="1492"/>
        <v>21211.17903174222</v>
      </c>
      <c r="AU92" s="2">
        <f t="shared" ref="AU92" ca="1" si="1834">IFERROR(VLOOKUP($S92,qx_table,MATCH(AU$11,qx_title,0)+sexB),0)</f>
        <v>0</v>
      </c>
      <c r="AV92" s="268">
        <f t="shared" ca="1" si="1494"/>
        <v>0</v>
      </c>
      <c r="AW92" s="131">
        <f ca="1">SUM(AV92:AV$124)*SSc</f>
        <v>0</v>
      </c>
      <c r="AX92" s="70">
        <f t="shared" ca="1" si="1495"/>
        <v>21211.17903174222</v>
      </c>
      <c r="AY92" s="2">
        <f t="shared" ref="AY92" ca="1" si="1835">IFERROR(VLOOKUP($S92,qx_table,MATCH(AY$11,qx_title,0)+sexB),0)</f>
        <v>0</v>
      </c>
      <c r="AZ92" s="268">
        <f t="shared" ca="1" si="1497"/>
        <v>0</v>
      </c>
      <c r="BA92" s="129">
        <f ca="1">SUM(AZ92:AZ$124)*SSd</f>
        <v>0</v>
      </c>
      <c r="BB92" s="70">
        <f t="shared" ca="1" si="1498"/>
        <v>21211.17903174222</v>
      </c>
      <c r="BC92" s="257">
        <f t="shared" ref="BC92" ca="1" si="1836">IFERROR(VLOOKUP($S92,qx_table,MATCH(BC$11,qx_title,0)+sexB),0)</f>
        <v>0</v>
      </c>
      <c r="BD92" s="268">
        <f t="shared" ca="1" si="1500"/>
        <v>0</v>
      </c>
      <c r="BE92" s="131">
        <f ca="1">SUM(BD92:BD$124)*SSe</f>
        <v>0</v>
      </c>
      <c r="BF92" s="70">
        <f t="shared" ca="1" si="1501"/>
        <v>21211.17903174222</v>
      </c>
      <c r="BG92" s="2">
        <f t="shared" ref="BG92" ca="1" si="1837">IFERROR(VLOOKUP($S92,qx_table,MATCH(BG$11,qx_title,0)+sexB),0)</f>
        <v>0</v>
      </c>
      <c r="BH92" s="131">
        <f t="shared" ca="1" si="1503"/>
        <v>0</v>
      </c>
      <c r="BI92" s="2">
        <f ca="1">SUM(BH92:BH$124)*SSf</f>
        <v>0</v>
      </c>
      <c r="BJ92" s="70">
        <f t="shared" ca="1" si="1504"/>
        <v>21211.17903174222</v>
      </c>
      <c r="BK92" s="2">
        <f t="shared" ref="BK92" ca="1" si="1838">IFERROR(VLOOKUP($S92,qx_table,MATCH(BK$11,qx_title,0)+sexB),0)</f>
        <v>0</v>
      </c>
      <c r="BL92" s="131">
        <f t="shared" ca="1" si="1506"/>
        <v>0</v>
      </c>
      <c r="BM92" s="131">
        <f ca="1">SUM(BL92:BL$124)*SSg</f>
        <v>0</v>
      </c>
      <c r="BN92" s="70">
        <f t="shared" ca="1" si="1507"/>
        <v>21211.17903174222</v>
      </c>
      <c r="BO92" s="2">
        <f t="shared" ref="BO92" ca="1" si="1839">IFERROR(VLOOKUP($S92,qx_table,MATCH(BO$11,qx_title,0)+sexB),0)</f>
        <v>0</v>
      </c>
      <c r="BP92" s="131">
        <f t="shared" ca="1" si="1509"/>
        <v>0</v>
      </c>
      <c r="BQ92" s="131">
        <f ca="1">SUM(BP92:BP$124)*SSh</f>
        <v>0</v>
      </c>
      <c r="BR92" s="70">
        <f t="shared" ca="1" si="1510"/>
        <v>21211.17903174222</v>
      </c>
      <c r="BS92" s="2">
        <f t="shared" ref="BS92" ca="1" si="1840">IFERROR(VLOOKUP($S92,qx_table,MATCH(BS$11,qx_title,0)+sexB),0)*IF(R92=0,MCi,1)</f>
        <v>0</v>
      </c>
      <c r="BT92" s="131">
        <f t="shared" ca="1" si="1512"/>
        <v>0</v>
      </c>
      <c r="BU92" s="131">
        <f ca="1">SUM(BT92:BT$124)*SSi</f>
        <v>0</v>
      </c>
      <c r="BV92" s="70">
        <f t="shared" ca="1" si="1513"/>
        <v>21211.17903174222</v>
      </c>
      <c r="BW92" s="2">
        <f t="shared" ref="BW92" ca="1" si="1841">IFERROR(VLOOKUP($S92,qx_table,MATCH(BW$11,qx_title,0)+sexB),0)</f>
        <v>0</v>
      </c>
      <c r="BX92" s="131">
        <f t="shared" ca="1" si="1515"/>
        <v>0</v>
      </c>
      <c r="BY92" s="131">
        <f ca="1">SUM(BX92:BX$124)*SSj</f>
        <v>0</v>
      </c>
      <c r="BZ92" s="70">
        <f t="shared" ca="1" si="1516"/>
        <v>21211.17903174222</v>
      </c>
      <c r="CA92" s="2">
        <f t="shared" ref="CA92" ca="1" si="1842">IFERROR(VLOOKUP($S92,qx_table,MATCH(CA$11,qx_title,0)+sexB),0)</f>
        <v>0</v>
      </c>
      <c r="CB92" s="131">
        <f t="shared" ca="1" si="1518"/>
        <v>0</v>
      </c>
      <c r="CC92" s="131">
        <f ca="1">SUM(CB92:CB$124)*SSk</f>
        <v>0</v>
      </c>
      <c r="CD92" s="8">
        <f t="shared" ca="1" si="1519"/>
        <v>21211.17903174222</v>
      </c>
      <c r="CE92" s="2">
        <f t="shared" ref="CE92" ca="1" si="1843">IFERROR(VLOOKUP($S92,qx_table,MATCH(CE$11,qx_title,0)+sexB),0)</f>
        <v>0</v>
      </c>
      <c r="CF92" s="131">
        <f t="shared" ca="1" si="1521"/>
        <v>0</v>
      </c>
      <c r="CG92" s="131">
        <f ca="1">SUM(CF92:CF$124)*SSl</f>
        <v>0</v>
      </c>
      <c r="CH92" s="155">
        <f t="shared" ca="1" si="1522"/>
        <v>0.01</v>
      </c>
      <c r="CI92" s="155">
        <f t="shared" ca="1" si="1523"/>
        <v>0</v>
      </c>
      <c r="CJ92" s="155">
        <f t="shared" ca="1" si="1524"/>
        <v>0</v>
      </c>
      <c r="CK92" s="155">
        <f ca="1">'유해지 (기준P)'!CZ92</f>
        <v>0</v>
      </c>
      <c r="CL92" s="155">
        <f t="shared" ca="1" si="1465"/>
        <v>0</v>
      </c>
      <c r="CM92" s="155">
        <f t="shared" ca="1" si="1525"/>
        <v>0</v>
      </c>
      <c r="CN92" s="155">
        <f ca="1">SUM(CM92:$CM$124)</f>
        <v>0</v>
      </c>
      <c r="CO92" s="101">
        <f t="shared" ca="1" si="1526"/>
        <v>0</v>
      </c>
      <c r="CP92" s="154">
        <f t="shared" ca="1" si="1466"/>
        <v>0</v>
      </c>
      <c r="CQ92" s="154">
        <f t="shared" ca="1" si="1467"/>
        <v>0</v>
      </c>
      <c r="CR92" s="32">
        <f t="shared" ref="CR92" ca="1" si="1844">+MAX(VLOOKUP(xB+$R92,기수표B,$AH$1)-VLOOKUP(xB+mB,기수표B,$AH$1),0)</f>
        <v>0</v>
      </c>
      <c r="CS92" s="32">
        <f t="shared" ca="1" si="1469"/>
        <v>0</v>
      </c>
      <c r="CT92" s="32">
        <f t="shared" ref="CT92" ca="1" si="1845">+MAX(VLOOKUP(xB+$R92,기수표B,$AA$1)-VLOOKUP(xB+mB,기수표B,$AA$1),0)</f>
        <v>0</v>
      </c>
      <c r="CU92" s="32">
        <f t="shared" ca="1" si="1471"/>
        <v>0</v>
      </c>
      <c r="CV92" s="32">
        <f t="shared" si="1472"/>
        <v>0</v>
      </c>
      <c r="CW92" s="259">
        <f t="shared" ca="1" si="1473"/>
        <v>0</v>
      </c>
      <c r="CX92" s="32">
        <f t="shared" ca="1" si="1474"/>
        <v>0</v>
      </c>
      <c r="CY92" s="262">
        <f t="shared" ca="1" si="1475"/>
        <v>0</v>
      </c>
      <c r="CZ92" s="259" t="e">
        <f t="shared" ca="1" si="1476"/>
        <v>#DIV/0!</v>
      </c>
      <c r="DA92" s="31">
        <f t="shared" ref="DA92" ca="1" si="1846">+MIN(mB,7)</f>
        <v>7</v>
      </c>
    </row>
    <row r="93" spans="14:105">
      <c r="N93" s="5">
        <f t="shared" si="1530"/>
        <v>81</v>
      </c>
      <c r="O93" s="2">
        <f t="shared" ref="O93" ca="1" si="1847">+(1+iB)^-N93</f>
        <v>0.16491924919071718</v>
      </c>
      <c r="P93" s="2">
        <f t="shared" ref="P93" ca="1" si="1848">+(1+iB)^-(N93+0.5)</f>
        <v>0.16309464081244546</v>
      </c>
      <c r="Q93" s="91"/>
      <c r="R93" s="20">
        <f t="shared" si="1533"/>
        <v>81</v>
      </c>
      <c r="S93" s="20" t="str">
        <f t="shared" ref="S93" si="1849">+IF(xB+R93&lt;=xB+nB,xB+R93,"")</f>
        <v/>
      </c>
      <c r="T93" s="2">
        <f t="shared" ref="T93:U93" ca="1" si="1850">IFERROR(VLOOKUP($S93,qx_table,MATCH(T$11,qx_title,0)+sexB),0)</f>
        <v>0</v>
      </c>
      <c r="U93" s="2">
        <f t="shared" ca="1" si="1850"/>
        <v>0</v>
      </c>
      <c r="V93" s="300">
        <f t="shared" ca="1" si="1443"/>
        <v>0.01</v>
      </c>
      <c r="W93" s="8">
        <f t="shared" ref="W93" si="1851">IF(R93=0,100000,IF(R93&gt;nB,0,W92*(1-X92)*(1-Y92)))</f>
        <v>0</v>
      </c>
      <c r="X93" s="10">
        <f t="shared" ca="1" si="1445"/>
        <v>1.0000000000000009E-2</v>
      </c>
      <c r="Y93" s="10">
        <f t="shared" ca="1" si="1446"/>
        <v>0</v>
      </c>
      <c r="Z93" s="5">
        <f t="shared" ca="1" si="1483"/>
        <v>0</v>
      </c>
      <c r="AA93" s="5">
        <f ca="1">+SUM(Z93:Z$124)</f>
        <v>0</v>
      </c>
      <c r="AB93" s="8">
        <f t="shared" ca="1" si="1447"/>
        <v>0</v>
      </c>
      <c r="AC93" s="209">
        <f ca="1">+SUM(AB93:AB$124)*SSSM</f>
        <v>0</v>
      </c>
      <c r="AD93" s="209">
        <f t="shared" ref="AD93" si="1852">IF(R93&gt;nB,0,AD92*(1-X92)*(1-Y92)*(1-AE92)*(1-AF92))</f>
        <v>0</v>
      </c>
      <c r="AE93" s="92">
        <f t="shared" ca="1" si="1449"/>
        <v>0</v>
      </c>
      <c r="AF93" s="92">
        <f t="shared" ca="1" si="1450"/>
        <v>0</v>
      </c>
      <c r="AG93" s="8">
        <f t="shared" ca="1" si="1451"/>
        <v>0</v>
      </c>
      <c r="AH93" s="5">
        <f ca="1">+SUM(AG93:AG$124)</f>
        <v>0</v>
      </c>
      <c r="AI93" s="70">
        <f t="shared" ca="1" si="1452"/>
        <v>0</v>
      </c>
      <c r="AJ93" s="208">
        <f ca="1">+SUM(AB93:AB$124)*SS50J</f>
        <v>0</v>
      </c>
      <c r="AK93" s="5">
        <f t="shared" ca="1" si="1485"/>
        <v>20999.067241424797</v>
      </c>
      <c r="AL93" s="2">
        <f t="shared" ref="AL93" ca="1" si="1853">IFERROR(VLOOKUP($S93,qx_table,MATCH(AL$11,qx_title,0)+sexB),0)</f>
        <v>0</v>
      </c>
      <c r="AM93" s="131">
        <f t="shared" ca="1" si="1487"/>
        <v>3463.1504031611621</v>
      </c>
      <c r="AN93" s="129">
        <f t="shared" ca="1" si="1488"/>
        <v>0</v>
      </c>
      <c r="AO93" s="129">
        <f ca="1">SUM(AN93:AN$124)*SSa</f>
        <v>0</v>
      </c>
      <c r="AP93" s="70">
        <f t="shared" ca="1" si="1489"/>
        <v>20999.067241424797</v>
      </c>
      <c r="AQ93" s="2">
        <f t="shared" ref="AQ93" ca="1" si="1854">IFERROR(VLOOKUP($S93,qx_table,MATCH(AQ$11,qx_title,0)+sexB),0)</f>
        <v>0</v>
      </c>
      <c r="AR93" s="127">
        <f t="shared" ca="1" si="1491"/>
        <v>0</v>
      </c>
      <c r="AS93" s="127">
        <f ca="1">SUM(AR93:AR$124)*SSb</f>
        <v>0</v>
      </c>
      <c r="AT93" s="70">
        <f t="shared" ca="1" si="1492"/>
        <v>20999.067241424797</v>
      </c>
      <c r="AU93" s="2">
        <f t="shared" ref="AU93" ca="1" si="1855">IFERROR(VLOOKUP($S93,qx_table,MATCH(AU$11,qx_title,0)+sexB),0)</f>
        <v>0</v>
      </c>
      <c r="AV93" s="268">
        <f t="shared" ca="1" si="1494"/>
        <v>0</v>
      </c>
      <c r="AW93" s="131">
        <f ca="1">SUM(AV93:AV$124)*SSc</f>
        <v>0</v>
      </c>
      <c r="AX93" s="70">
        <f t="shared" ca="1" si="1495"/>
        <v>20999.067241424797</v>
      </c>
      <c r="AY93" s="2">
        <f t="shared" ref="AY93" ca="1" si="1856">IFERROR(VLOOKUP($S93,qx_table,MATCH(AY$11,qx_title,0)+sexB),0)</f>
        <v>0</v>
      </c>
      <c r="AZ93" s="268">
        <f t="shared" ca="1" si="1497"/>
        <v>0</v>
      </c>
      <c r="BA93" s="129">
        <f ca="1">SUM(AZ93:AZ$124)*SSd</f>
        <v>0</v>
      </c>
      <c r="BB93" s="70">
        <f t="shared" ca="1" si="1498"/>
        <v>20999.067241424797</v>
      </c>
      <c r="BC93" s="257">
        <f t="shared" ref="BC93" ca="1" si="1857">IFERROR(VLOOKUP($S93,qx_table,MATCH(BC$11,qx_title,0)+sexB),0)</f>
        <v>0</v>
      </c>
      <c r="BD93" s="268">
        <f t="shared" ca="1" si="1500"/>
        <v>0</v>
      </c>
      <c r="BE93" s="131">
        <f ca="1">SUM(BD93:BD$124)*SSe</f>
        <v>0</v>
      </c>
      <c r="BF93" s="70">
        <f t="shared" ca="1" si="1501"/>
        <v>20999.067241424797</v>
      </c>
      <c r="BG93" s="2">
        <f t="shared" ref="BG93" ca="1" si="1858">IFERROR(VLOOKUP($S93,qx_table,MATCH(BG$11,qx_title,0)+sexB),0)</f>
        <v>0</v>
      </c>
      <c r="BH93" s="131">
        <f t="shared" ca="1" si="1503"/>
        <v>0</v>
      </c>
      <c r="BI93" s="2">
        <f ca="1">SUM(BH93:BH$124)*SSf</f>
        <v>0</v>
      </c>
      <c r="BJ93" s="70">
        <f t="shared" ca="1" si="1504"/>
        <v>20999.067241424797</v>
      </c>
      <c r="BK93" s="2">
        <f t="shared" ref="BK93" ca="1" si="1859">IFERROR(VLOOKUP($S93,qx_table,MATCH(BK$11,qx_title,0)+sexB),0)</f>
        <v>0</v>
      </c>
      <c r="BL93" s="131">
        <f t="shared" ca="1" si="1506"/>
        <v>0</v>
      </c>
      <c r="BM93" s="131">
        <f ca="1">SUM(BL93:BL$124)*SSg</f>
        <v>0</v>
      </c>
      <c r="BN93" s="70">
        <f t="shared" ca="1" si="1507"/>
        <v>20999.067241424797</v>
      </c>
      <c r="BO93" s="2">
        <f t="shared" ref="BO93" ca="1" si="1860">IFERROR(VLOOKUP($S93,qx_table,MATCH(BO$11,qx_title,0)+sexB),0)</f>
        <v>0</v>
      </c>
      <c r="BP93" s="131">
        <f t="shared" ca="1" si="1509"/>
        <v>0</v>
      </c>
      <c r="BQ93" s="131">
        <f ca="1">SUM(BP93:BP$124)*SSh</f>
        <v>0</v>
      </c>
      <c r="BR93" s="70">
        <f t="shared" ca="1" si="1510"/>
        <v>20999.067241424797</v>
      </c>
      <c r="BS93" s="2">
        <f t="shared" ref="BS93" ca="1" si="1861">IFERROR(VLOOKUP($S93,qx_table,MATCH(BS$11,qx_title,0)+sexB),0)*IF(R93=0,MCi,1)</f>
        <v>0</v>
      </c>
      <c r="BT93" s="131">
        <f t="shared" ca="1" si="1512"/>
        <v>0</v>
      </c>
      <c r="BU93" s="131">
        <f ca="1">SUM(BT93:BT$124)*SSi</f>
        <v>0</v>
      </c>
      <c r="BV93" s="70">
        <f t="shared" ca="1" si="1513"/>
        <v>20999.067241424797</v>
      </c>
      <c r="BW93" s="2">
        <f t="shared" ref="BW93" ca="1" si="1862">IFERROR(VLOOKUP($S93,qx_table,MATCH(BW$11,qx_title,0)+sexB),0)</f>
        <v>0</v>
      </c>
      <c r="BX93" s="131">
        <f t="shared" ca="1" si="1515"/>
        <v>0</v>
      </c>
      <c r="BY93" s="131">
        <f ca="1">SUM(BX93:BX$124)*SSj</f>
        <v>0</v>
      </c>
      <c r="BZ93" s="70">
        <f t="shared" ca="1" si="1516"/>
        <v>20999.067241424797</v>
      </c>
      <c r="CA93" s="2">
        <f t="shared" ref="CA93" ca="1" si="1863">IFERROR(VLOOKUP($S93,qx_table,MATCH(CA$11,qx_title,0)+sexB),0)</f>
        <v>0</v>
      </c>
      <c r="CB93" s="131">
        <f t="shared" ca="1" si="1518"/>
        <v>0</v>
      </c>
      <c r="CC93" s="131">
        <f ca="1">SUM(CB93:CB$124)*SSk</f>
        <v>0</v>
      </c>
      <c r="CD93" s="8">
        <f t="shared" ca="1" si="1519"/>
        <v>20999.067241424797</v>
      </c>
      <c r="CE93" s="2">
        <f t="shared" ref="CE93" ca="1" si="1864">IFERROR(VLOOKUP($S93,qx_table,MATCH(CE$11,qx_title,0)+sexB),0)</f>
        <v>0</v>
      </c>
      <c r="CF93" s="131">
        <f t="shared" ca="1" si="1521"/>
        <v>0</v>
      </c>
      <c r="CG93" s="131">
        <f ca="1">SUM(CF93:CF$124)*SSl</f>
        <v>0</v>
      </c>
      <c r="CH93" s="155">
        <f t="shared" ca="1" si="1522"/>
        <v>0.01</v>
      </c>
      <c r="CI93" s="155">
        <f t="shared" ca="1" si="1523"/>
        <v>0</v>
      </c>
      <c r="CJ93" s="155">
        <f t="shared" ca="1" si="1524"/>
        <v>0</v>
      </c>
      <c r="CK93" s="155">
        <f ca="1">'유해지 (기준P)'!CZ93</f>
        <v>0</v>
      </c>
      <c r="CL93" s="155">
        <f t="shared" ca="1" si="1465"/>
        <v>0</v>
      </c>
      <c r="CM93" s="155">
        <f t="shared" ca="1" si="1525"/>
        <v>0</v>
      </c>
      <c r="CN93" s="155">
        <f ca="1">SUM(CM93:$CM$124)</f>
        <v>0</v>
      </c>
      <c r="CO93" s="101">
        <f t="shared" ca="1" si="1526"/>
        <v>0</v>
      </c>
      <c r="CP93" s="154">
        <f t="shared" ca="1" si="1466"/>
        <v>0</v>
      </c>
      <c r="CQ93" s="154">
        <f t="shared" ca="1" si="1467"/>
        <v>0</v>
      </c>
      <c r="CR93" s="32">
        <f t="shared" ref="CR93" ca="1" si="1865">+MAX(VLOOKUP(xB+$R93,기수표B,$AH$1)-VLOOKUP(xB+mB,기수표B,$AH$1),0)</f>
        <v>0</v>
      </c>
      <c r="CS93" s="32">
        <f t="shared" ca="1" si="1469"/>
        <v>0</v>
      </c>
      <c r="CT93" s="32">
        <f t="shared" ref="CT93" ca="1" si="1866">+MAX(VLOOKUP(xB+$R93,기수표B,$AA$1)-VLOOKUP(xB+mB,기수표B,$AA$1),0)</f>
        <v>0</v>
      </c>
      <c r="CU93" s="32">
        <f t="shared" ca="1" si="1471"/>
        <v>0</v>
      </c>
      <c r="CV93" s="32">
        <f t="shared" si="1472"/>
        <v>0</v>
      </c>
      <c r="CW93" s="259">
        <f t="shared" ca="1" si="1473"/>
        <v>0</v>
      </c>
      <c r="CX93" s="32">
        <f t="shared" ca="1" si="1474"/>
        <v>0</v>
      </c>
      <c r="CY93" s="262">
        <f t="shared" ca="1" si="1475"/>
        <v>0</v>
      </c>
      <c r="CZ93" s="259" t="e">
        <f t="shared" ca="1" si="1476"/>
        <v>#DIV/0!</v>
      </c>
      <c r="DA93" s="31">
        <f t="shared" ref="DA93" ca="1" si="1867">+MIN(mB,7)</f>
        <v>7</v>
      </c>
    </row>
    <row r="94" spans="14:105">
      <c r="N94" s="5">
        <f t="shared" si="1530"/>
        <v>82</v>
      </c>
      <c r="O94" s="2">
        <f t="shared" ref="O94" ca="1" si="1868">+(1+iB)^-N94</f>
        <v>0.16129021925742518</v>
      </c>
      <c r="P94" s="2">
        <f t="shared" ref="P94" ca="1" si="1869">+(1+iB)^-(N94+0.5)</f>
        <v>0.1595057611857657</v>
      </c>
      <c r="Q94" s="91"/>
      <c r="R94" s="20">
        <f t="shared" si="1533"/>
        <v>82</v>
      </c>
      <c r="S94" s="20" t="str">
        <f t="shared" ref="S94" si="1870">+IF(xB+R94&lt;=xB+nB,xB+R94,"")</f>
        <v/>
      </c>
      <c r="T94" s="2">
        <f t="shared" ref="T94:U94" ca="1" si="1871">IFERROR(VLOOKUP($S94,qx_table,MATCH(T$11,qx_title,0)+sexB),0)</f>
        <v>0</v>
      </c>
      <c r="U94" s="2">
        <f t="shared" ca="1" si="1871"/>
        <v>0</v>
      </c>
      <c r="V94" s="300">
        <f t="shared" ca="1" si="1443"/>
        <v>0.01</v>
      </c>
      <c r="W94" s="8">
        <f t="shared" ref="W94" si="1872">IF(R94=0,100000,IF(R94&gt;nB,0,W93*(1-X93)*(1-Y93)))</f>
        <v>0</v>
      </c>
      <c r="X94" s="10">
        <f t="shared" ca="1" si="1445"/>
        <v>1.0000000000000009E-2</v>
      </c>
      <c r="Y94" s="10">
        <f t="shared" ca="1" si="1446"/>
        <v>0</v>
      </c>
      <c r="Z94" s="5">
        <f t="shared" ca="1" si="1483"/>
        <v>0</v>
      </c>
      <c r="AA94" s="5">
        <f ca="1">+SUM(Z94:Z$124)</f>
        <v>0</v>
      </c>
      <c r="AB94" s="8">
        <f t="shared" ca="1" si="1447"/>
        <v>0</v>
      </c>
      <c r="AC94" s="209">
        <f ca="1">+SUM(AB94:AB$124)*SSSM</f>
        <v>0</v>
      </c>
      <c r="AD94" s="209">
        <f t="shared" ref="AD94" si="1873">IF(R94&gt;nB,0,AD93*(1-X93)*(1-Y93)*(1-AE93)*(1-AF93))</f>
        <v>0</v>
      </c>
      <c r="AE94" s="92">
        <f t="shared" ca="1" si="1449"/>
        <v>0</v>
      </c>
      <c r="AF94" s="92">
        <f t="shared" ca="1" si="1450"/>
        <v>0</v>
      </c>
      <c r="AG94" s="8">
        <f t="shared" ca="1" si="1451"/>
        <v>0</v>
      </c>
      <c r="AH94" s="5">
        <f ca="1">+SUM(AG94:AG$124)</f>
        <v>0</v>
      </c>
      <c r="AI94" s="70">
        <f t="shared" ca="1" si="1452"/>
        <v>0</v>
      </c>
      <c r="AJ94" s="208">
        <f ca="1">+SUM(AB94:AB$124)*SS50J</f>
        <v>0</v>
      </c>
      <c r="AK94" s="5">
        <f t="shared" ca="1" si="1485"/>
        <v>20789.076569010547</v>
      </c>
      <c r="AL94" s="2">
        <f t="shared" ref="AL94" ca="1" si="1874">IFERROR(VLOOKUP($S94,qx_table,MATCH(AL$11,qx_title,0)+sexB),0)</f>
        <v>0</v>
      </c>
      <c r="AM94" s="131">
        <f t="shared" ca="1" si="1487"/>
        <v>3353.0747179751115</v>
      </c>
      <c r="AN94" s="129">
        <f t="shared" ca="1" si="1488"/>
        <v>0</v>
      </c>
      <c r="AO94" s="129">
        <f ca="1">SUM(AN94:AN$124)*SSa</f>
        <v>0</v>
      </c>
      <c r="AP94" s="70">
        <f t="shared" ca="1" si="1489"/>
        <v>20789.076569010547</v>
      </c>
      <c r="AQ94" s="2">
        <f t="shared" ref="AQ94" ca="1" si="1875">IFERROR(VLOOKUP($S94,qx_table,MATCH(AQ$11,qx_title,0)+sexB),0)</f>
        <v>0</v>
      </c>
      <c r="AR94" s="127">
        <f t="shared" ca="1" si="1491"/>
        <v>0</v>
      </c>
      <c r="AS94" s="127">
        <f ca="1">SUM(AR94:AR$124)*SSb</f>
        <v>0</v>
      </c>
      <c r="AT94" s="70">
        <f t="shared" ca="1" si="1492"/>
        <v>20789.076569010547</v>
      </c>
      <c r="AU94" s="2">
        <f t="shared" ref="AU94" ca="1" si="1876">IFERROR(VLOOKUP($S94,qx_table,MATCH(AU$11,qx_title,0)+sexB),0)</f>
        <v>0</v>
      </c>
      <c r="AV94" s="268">
        <f t="shared" ca="1" si="1494"/>
        <v>0</v>
      </c>
      <c r="AW94" s="131">
        <f ca="1">SUM(AV94:AV$124)*SSc</f>
        <v>0</v>
      </c>
      <c r="AX94" s="70">
        <f t="shared" ca="1" si="1495"/>
        <v>20789.076569010547</v>
      </c>
      <c r="AY94" s="2">
        <f t="shared" ref="AY94" ca="1" si="1877">IFERROR(VLOOKUP($S94,qx_table,MATCH(AY$11,qx_title,0)+sexB),0)</f>
        <v>0</v>
      </c>
      <c r="AZ94" s="268">
        <f t="shared" ca="1" si="1497"/>
        <v>0</v>
      </c>
      <c r="BA94" s="129">
        <f ca="1">SUM(AZ94:AZ$124)*SSd</f>
        <v>0</v>
      </c>
      <c r="BB94" s="70">
        <f t="shared" ca="1" si="1498"/>
        <v>20789.076569010547</v>
      </c>
      <c r="BC94" s="257">
        <f t="shared" ref="BC94" ca="1" si="1878">IFERROR(VLOOKUP($S94,qx_table,MATCH(BC$11,qx_title,0)+sexB),0)</f>
        <v>0</v>
      </c>
      <c r="BD94" s="268">
        <f t="shared" ca="1" si="1500"/>
        <v>0</v>
      </c>
      <c r="BE94" s="131">
        <f ca="1">SUM(BD94:BD$124)*SSe</f>
        <v>0</v>
      </c>
      <c r="BF94" s="70">
        <f t="shared" ca="1" si="1501"/>
        <v>20789.076569010547</v>
      </c>
      <c r="BG94" s="2">
        <f t="shared" ref="BG94" ca="1" si="1879">IFERROR(VLOOKUP($S94,qx_table,MATCH(BG$11,qx_title,0)+sexB),0)</f>
        <v>0</v>
      </c>
      <c r="BH94" s="131">
        <f t="shared" ca="1" si="1503"/>
        <v>0</v>
      </c>
      <c r="BI94" s="2">
        <f ca="1">SUM(BH94:BH$124)*SSf</f>
        <v>0</v>
      </c>
      <c r="BJ94" s="70">
        <f t="shared" ca="1" si="1504"/>
        <v>20789.076569010547</v>
      </c>
      <c r="BK94" s="2">
        <f t="shared" ref="BK94" ca="1" si="1880">IFERROR(VLOOKUP($S94,qx_table,MATCH(BK$11,qx_title,0)+sexB),0)</f>
        <v>0</v>
      </c>
      <c r="BL94" s="131">
        <f t="shared" ca="1" si="1506"/>
        <v>0</v>
      </c>
      <c r="BM94" s="131">
        <f ca="1">SUM(BL94:BL$124)*SSg</f>
        <v>0</v>
      </c>
      <c r="BN94" s="70">
        <f t="shared" ca="1" si="1507"/>
        <v>20789.076569010547</v>
      </c>
      <c r="BO94" s="2">
        <f t="shared" ref="BO94" ca="1" si="1881">IFERROR(VLOOKUP($S94,qx_table,MATCH(BO$11,qx_title,0)+sexB),0)</f>
        <v>0</v>
      </c>
      <c r="BP94" s="131">
        <f t="shared" ca="1" si="1509"/>
        <v>0</v>
      </c>
      <c r="BQ94" s="131">
        <f ca="1">SUM(BP94:BP$124)*SSh</f>
        <v>0</v>
      </c>
      <c r="BR94" s="70">
        <f t="shared" ca="1" si="1510"/>
        <v>20789.076569010547</v>
      </c>
      <c r="BS94" s="2">
        <f t="shared" ref="BS94" ca="1" si="1882">IFERROR(VLOOKUP($S94,qx_table,MATCH(BS$11,qx_title,0)+sexB),0)*IF(R94=0,MCi,1)</f>
        <v>0</v>
      </c>
      <c r="BT94" s="131">
        <f t="shared" ca="1" si="1512"/>
        <v>0</v>
      </c>
      <c r="BU94" s="131">
        <f ca="1">SUM(BT94:BT$124)*SSi</f>
        <v>0</v>
      </c>
      <c r="BV94" s="70">
        <f t="shared" ca="1" si="1513"/>
        <v>20789.076569010547</v>
      </c>
      <c r="BW94" s="2">
        <f t="shared" ref="BW94" ca="1" si="1883">IFERROR(VLOOKUP($S94,qx_table,MATCH(BW$11,qx_title,0)+sexB),0)</f>
        <v>0</v>
      </c>
      <c r="BX94" s="131">
        <f t="shared" ca="1" si="1515"/>
        <v>0</v>
      </c>
      <c r="BY94" s="131">
        <f ca="1">SUM(BX94:BX$124)*SSj</f>
        <v>0</v>
      </c>
      <c r="BZ94" s="70">
        <f t="shared" ca="1" si="1516"/>
        <v>20789.076569010547</v>
      </c>
      <c r="CA94" s="2">
        <f t="shared" ref="CA94" ca="1" si="1884">IFERROR(VLOOKUP($S94,qx_table,MATCH(CA$11,qx_title,0)+sexB),0)</f>
        <v>0</v>
      </c>
      <c r="CB94" s="131">
        <f t="shared" ca="1" si="1518"/>
        <v>0</v>
      </c>
      <c r="CC94" s="131">
        <f ca="1">SUM(CB94:CB$124)*SSk</f>
        <v>0</v>
      </c>
      <c r="CD94" s="8">
        <f t="shared" ca="1" si="1519"/>
        <v>20789.076569010547</v>
      </c>
      <c r="CE94" s="2">
        <f t="shared" ref="CE94" ca="1" si="1885">IFERROR(VLOOKUP($S94,qx_table,MATCH(CE$11,qx_title,0)+sexB),0)</f>
        <v>0</v>
      </c>
      <c r="CF94" s="131">
        <f t="shared" ca="1" si="1521"/>
        <v>0</v>
      </c>
      <c r="CG94" s="131">
        <f ca="1">SUM(CF94:CF$124)*SSl</f>
        <v>0</v>
      </c>
      <c r="CH94" s="155">
        <f t="shared" ca="1" si="1522"/>
        <v>0.01</v>
      </c>
      <c r="CI94" s="155">
        <f t="shared" ca="1" si="1523"/>
        <v>0</v>
      </c>
      <c r="CJ94" s="155">
        <f t="shared" ca="1" si="1524"/>
        <v>0</v>
      </c>
      <c r="CK94" s="155">
        <f ca="1">'유해지 (기준P)'!CZ94</f>
        <v>0</v>
      </c>
      <c r="CL94" s="155">
        <f t="shared" ca="1" si="1465"/>
        <v>0</v>
      </c>
      <c r="CM94" s="155">
        <f t="shared" ca="1" si="1525"/>
        <v>0</v>
      </c>
      <c r="CN94" s="155">
        <f ca="1">SUM(CM94:$CM$124)</f>
        <v>0</v>
      </c>
      <c r="CO94" s="101">
        <f t="shared" ca="1" si="1526"/>
        <v>0</v>
      </c>
      <c r="CP94" s="154">
        <f t="shared" ca="1" si="1466"/>
        <v>0</v>
      </c>
      <c r="CQ94" s="154">
        <f t="shared" ca="1" si="1467"/>
        <v>0</v>
      </c>
      <c r="CR94" s="32">
        <f t="shared" ref="CR94" ca="1" si="1886">+MAX(VLOOKUP(xB+$R94,기수표B,$AH$1)-VLOOKUP(xB+mB,기수표B,$AH$1),0)</f>
        <v>0</v>
      </c>
      <c r="CS94" s="32">
        <f t="shared" ca="1" si="1469"/>
        <v>0</v>
      </c>
      <c r="CT94" s="32">
        <f t="shared" ref="CT94" ca="1" si="1887">+MAX(VLOOKUP(xB+$R94,기수표B,$AA$1)-VLOOKUP(xB+mB,기수표B,$AA$1),0)</f>
        <v>0</v>
      </c>
      <c r="CU94" s="32">
        <f t="shared" ca="1" si="1471"/>
        <v>0</v>
      </c>
      <c r="CV94" s="32">
        <f t="shared" si="1472"/>
        <v>0</v>
      </c>
      <c r="CW94" s="259">
        <f t="shared" ca="1" si="1473"/>
        <v>0</v>
      </c>
      <c r="CX94" s="32">
        <f t="shared" ca="1" si="1474"/>
        <v>0</v>
      </c>
      <c r="CY94" s="262">
        <f t="shared" ca="1" si="1475"/>
        <v>0</v>
      </c>
      <c r="CZ94" s="259" t="e">
        <f t="shared" ca="1" si="1476"/>
        <v>#DIV/0!</v>
      </c>
      <c r="DA94" s="31">
        <f t="shared" ref="DA94" ca="1" si="1888">+MIN(mB,7)</f>
        <v>7</v>
      </c>
    </row>
    <row r="95" spans="14:105">
      <c r="N95" s="5">
        <f t="shared" si="1530"/>
        <v>83</v>
      </c>
      <c r="O95" s="2">
        <f t="shared" ref="O95" ca="1" si="1889">+(1+iB)^-N95</f>
        <v>0.15774104572853317</v>
      </c>
      <c r="P95" s="2">
        <f t="shared" ref="P95" ca="1" si="1890">+(1+iB)^-(N95+0.5)</f>
        <v>0.15599585446040659</v>
      </c>
      <c r="Q95" s="91"/>
      <c r="R95" s="20">
        <f t="shared" si="1533"/>
        <v>83</v>
      </c>
      <c r="S95" s="20" t="str">
        <f t="shared" ref="S95" si="1891">+IF(xB+R95&lt;=xB+nB,xB+R95,"")</f>
        <v/>
      </c>
      <c r="T95" s="2">
        <f t="shared" ref="T95:U95" ca="1" si="1892">IFERROR(VLOOKUP($S95,qx_table,MATCH(T$11,qx_title,0)+sexB),0)</f>
        <v>0</v>
      </c>
      <c r="U95" s="2">
        <f t="shared" ca="1" si="1892"/>
        <v>0</v>
      </c>
      <c r="V95" s="300">
        <f t="shared" ca="1" si="1443"/>
        <v>0.01</v>
      </c>
      <c r="W95" s="8">
        <f t="shared" ref="W95" si="1893">IF(R95=0,100000,IF(R95&gt;nB,0,W94*(1-X94)*(1-Y94)))</f>
        <v>0</v>
      </c>
      <c r="X95" s="10">
        <f t="shared" ca="1" si="1445"/>
        <v>1.0000000000000009E-2</v>
      </c>
      <c r="Y95" s="10">
        <f t="shared" ca="1" si="1446"/>
        <v>0</v>
      </c>
      <c r="Z95" s="5">
        <f t="shared" ca="1" si="1483"/>
        <v>0</v>
      </c>
      <c r="AA95" s="5">
        <f ca="1">+SUM(Z95:Z$124)</f>
        <v>0</v>
      </c>
      <c r="AB95" s="8">
        <f t="shared" ca="1" si="1447"/>
        <v>0</v>
      </c>
      <c r="AC95" s="209">
        <f ca="1">+SUM(AB95:AB$124)*SSSM</f>
        <v>0</v>
      </c>
      <c r="AD95" s="209">
        <f t="shared" ref="AD95" si="1894">IF(R95&gt;nB,0,AD94*(1-X94)*(1-Y94)*(1-AE94)*(1-AF94))</f>
        <v>0</v>
      </c>
      <c r="AE95" s="92">
        <f t="shared" ca="1" si="1449"/>
        <v>0</v>
      </c>
      <c r="AF95" s="92">
        <f t="shared" ca="1" si="1450"/>
        <v>0</v>
      </c>
      <c r="AG95" s="8">
        <f t="shared" ca="1" si="1451"/>
        <v>0</v>
      </c>
      <c r="AH95" s="5">
        <f ca="1">+SUM(AG95:AG$124)</f>
        <v>0</v>
      </c>
      <c r="AI95" s="70">
        <f t="shared" ca="1" si="1452"/>
        <v>0</v>
      </c>
      <c r="AJ95" s="208">
        <f ca="1">+SUM(AB95:AB$124)*SS50J</f>
        <v>0</v>
      </c>
      <c r="AK95" s="5">
        <f t="shared" ca="1" si="1485"/>
        <v>20581.185803320441</v>
      </c>
      <c r="AL95" s="2">
        <f t="shared" ref="AL95" ca="1" si="1895">IFERROR(VLOOKUP($S95,qx_table,MATCH(AL$11,qx_title,0)+sexB),0)</f>
        <v>0</v>
      </c>
      <c r="AM95" s="131">
        <f t="shared" ca="1" si="1487"/>
        <v>3246.4977709490076</v>
      </c>
      <c r="AN95" s="129">
        <f t="shared" ca="1" si="1488"/>
        <v>0</v>
      </c>
      <c r="AO95" s="129">
        <f ca="1">SUM(AN95:AN$124)*SSa</f>
        <v>0</v>
      </c>
      <c r="AP95" s="70">
        <f t="shared" ca="1" si="1489"/>
        <v>20581.185803320441</v>
      </c>
      <c r="AQ95" s="2">
        <f t="shared" ref="AQ95" ca="1" si="1896">IFERROR(VLOOKUP($S95,qx_table,MATCH(AQ$11,qx_title,0)+sexB),0)</f>
        <v>0</v>
      </c>
      <c r="AR95" s="127">
        <f t="shared" ca="1" si="1491"/>
        <v>0</v>
      </c>
      <c r="AS95" s="127">
        <f ca="1">SUM(AR95:AR$124)*SSb</f>
        <v>0</v>
      </c>
      <c r="AT95" s="70">
        <f t="shared" ca="1" si="1492"/>
        <v>20581.185803320441</v>
      </c>
      <c r="AU95" s="2">
        <f t="shared" ref="AU95" ca="1" si="1897">IFERROR(VLOOKUP($S95,qx_table,MATCH(AU$11,qx_title,0)+sexB),0)</f>
        <v>0</v>
      </c>
      <c r="AV95" s="268">
        <f t="shared" ca="1" si="1494"/>
        <v>0</v>
      </c>
      <c r="AW95" s="131">
        <f ca="1">SUM(AV95:AV$124)*SSc</f>
        <v>0</v>
      </c>
      <c r="AX95" s="70">
        <f t="shared" ca="1" si="1495"/>
        <v>20581.185803320441</v>
      </c>
      <c r="AY95" s="2">
        <f t="shared" ref="AY95" ca="1" si="1898">IFERROR(VLOOKUP($S95,qx_table,MATCH(AY$11,qx_title,0)+sexB),0)</f>
        <v>0</v>
      </c>
      <c r="AZ95" s="268">
        <f t="shared" ca="1" si="1497"/>
        <v>0</v>
      </c>
      <c r="BA95" s="129">
        <f ca="1">SUM(AZ95:AZ$124)*SSd</f>
        <v>0</v>
      </c>
      <c r="BB95" s="70">
        <f t="shared" ca="1" si="1498"/>
        <v>20581.185803320441</v>
      </c>
      <c r="BC95" s="257">
        <f t="shared" ref="BC95" ca="1" si="1899">IFERROR(VLOOKUP($S95,qx_table,MATCH(BC$11,qx_title,0)+sexB),0)</f>
        <v>0</v>
      </c>
      <c r="BD95" s="268">
        <f t="shared" ca="1" si="1500"/>
        <v>0</v>
      </c>
      <c r="BE95" s="131">
        <f ca="1">SUM(BD95:BD$124)*SSe</f>
        <v>0</v>
      </c>
      <c r="BF95" s="70">
        <f t="shared" ca="1" si="1501"/>
        <v>20581.185803320441</v>
      </c>
      <c r="BG95" s="2">
        <f t="shared" ref="BG95" ca="1" si="1900">IFERROR(VLOOKUP($S95,qx_table,MATCH(BG$11,qx_title,0)+sexB),0)</f>
        <v>0</v>
      </c>
      <c r="BH95" s="131">
        <f t="shared" ca="1" si="1503"/>
        <v>0</v>
      </c>
      <c r="BI95" s="2">
        <f ca="1">SUM(BH95:BH$124)*SSf</f>
        <v>0</v>
      </c>
      <c r="BJ95" s="70">
        <f t="shared" ca="1" si="1504"/>
        <v>20581.185803320441</v>
      </c>
      <c r="BK95" s="2">
        <f t="shared" ref="BK95" ca="1" si="1901">IFERROR(VLOOKUP($S95,qx_table,MATCH(BK$11,qx_title,0)+sexB),0)</f>
        <v>0</v>
      </c>
      <c r="BL95" s="131">
        <f t="shared" ca="1" si="1506"/>
        <v>0</v>
      </c>
      <c r="BM95" s="131">
        <f ca="1">SUM(BL95:BL$124)*SSg</f>
        <v>0</v>
      </c>
      <c r="BN95" s="70">
        <f t="shared" ca="1" si="1507"/>
        <v>20581.185803320441</v>
      </c>
      <c r="BO95" s="2">
        <f t="shared" ref="BO95" ca="1" si="1902">IFERROR(VLOOKUP($S95,qx_table,MATCH(BO$11,qx_title,0)+sexB),0)</f>
        <v>0</v>
      </c>
      <c r="BP95" s="131">
        <f t="shared" ca="1" si="1509"/>
        <v>0</v>
      </c>
      <c r="BQ95" s="131">
        <f ca="1">SUM(BP95:BP$124)*SSh</f>
        <v>0</v>
      </c>
      <c r="BR95" s="70">
        <f t="shared" ca="1" si="1510"/>
        <v>20581.185803320441</v>
      </c>
      <c r="BS95" s="2">
        <f t="shared" ref="BS95" ca="1" si="1903">IFERROR(VLOOKUP($S95,qx_table,MATCH(BS$11,qx_title,0)+sexB),0)*IF(R95=0,MCi,1)</f>
        <v>0</v>
      </c>
      <c r="BT95" s="131">
        <f t="shared" ca="1" si="1512"/>
        <v>0</v>
      </c>
      <c r="BU95" s="131">
        <f ca="1">SUM(BT95:BT$124)*SSi</f>
        <v>0</v>
      </c>
      <c r="BV95" s="70">
        <f t="shared" ca="1" si="1513"/>
        <v>20581.185803320441</v>
      </c>
      <c r="BW95" s="2">
        <f t="shared" ref="BW95" ca="1" si="1904">IFERROR(VLOOKUP($S95,qx_table,MATCH(BW$11,qx_title,0)+sexB),0)</f>
        <v>0</v>
      </c>
      <c r="BX95" s="131">
        <f t="shared" ca="1" si="1515"/>
        <v>0</v>
      </c>
      <c r="BY95" s="131">
        <f ca="1">SUM(BX95:BX$124)*SSj</f>
        <v>0</v>
      </c>
      <c r="BZ95" s="70">
        <f t="shared" ca="1" si="1516"/>
        <v>20581.185803320441</v>
      </c>
      <c r="CA95" s="2">
        <f t="shared" ref="CA95" ca="1" si="1905">IFERROR(VLOOKUP($S95,qx_table,MATCH(CA$11,qx_title,0)+sexB),0)</f>
        <v>0</v>
      </c>
      <c r="CB95" s="131">
        <f t="shared" ca="1" si="1518"/>
        <v>0</v>
      </c>
      <c r="CC95" s="131">
        <f ca="1">SUM(CB95:CB$124)*SSk</f>
        <v>0</v>
      </c>
      <c r="CD95" s="8">
        <f t="shared" ca="1" si="1519"/>
        <v>20581.185803320441</v>
      </c>
      <c r="CE95" s="2">
        <f t="shared" ref="CE95" ca="1" si="1906">IFERROR(VLOOKUP($S95,qx_table,MATCH(CE$11,qx_title,0)+sexB),0)</f>
        <v>0</v>
      </c>
      <c r="CF95" s="131">
        <f t="shared" ca="1" si="1521"/>
        <v>0</v>
      </c>
      <c r="CG95" s="131">
        <f ca="1">SUM(CF95:CF$124)*SSl</f>
        <v>0</v>
      </c>
      <c r="CH95" s="155">
        <f t="shared" ca="1" si="1522"/>
        <v>0.01</v>
      </c>
      <c r="CI95" s="155">
        <f t="shared" ca="1" si="1523"/>
        <v>0</v>
      </c>
      <c r="CJ95" s="155">
        <f t="shared" ca="1" si="1524"/>
        <v>0</v>
      </c>
      <c r="CK95" s="155">
        <f ca="1">'유해지 (기준P)'!CZ95</f>
        <v>0</v>
      </c>
      <c r="CL95" s="155">
        <f t="shared" ca="1" si="1465"/>
        <v>0</v>
      </c>
      <c r="CM95" s="155">
        <f t="shared" ca="1" si="1525"/>
        <v>0</v>
      </c>
      <c r="CN95" s="155">
        <f ca="1">SUM(CM95:$CM$124)</f>
        <v>0</v>
      </c>
      <c r="CO95" s="101">
        <f t="shared" ca="1" si="1526"/>
        <v>0</v>
      </c>
      <c r="CP95" s="154">
        <f t="shared" ca="1" si="1466"/>
        <v>0</v>
      </c>
      <c r="CQ95" s="154">
        <f t="shared" ca="1" si="1467"/>
        <v>0</v>
      </c>
      <c r="CR95" s="32">
        <f t="shared" ref="CR95" ca="1" si="1907">+MAX(VLOOKUP(xB+$R95,기수표B,$AH$1)-VLOOKUP(xB+mB,기수표B,$AH$1),0)</f>
        <v>0</v>
      </c>
      <c r="CS95" s="32">
        <f t="shared" ca="1" si="1469"/>
        <v>0</v>
      </c>
      <c r="CT95" s="32">
        <f t="shared" ref="CT95" ca="1" si="1908">+MAX(VLOOKUP(xB+$R95,기수표B,$AA$1)-VLOOKUP(xB+mB,기수표B,$AA$1),0)</f>
        <v>0</v>
      </c>
      <c r="CU95" s="32">
        <f t="shared" ca="1" si="1471"/>
        <v>0</v>
      </c>
      <c r="CV95" s="32">
        <f t="shared" si="1472"/>
        <v>0</v>
      </c>
      <c r="CW95" s="259">
        <f t="shared" ca="1" si="1473"/>
        <v>0</v>
      </c>
      <c r="CX95" s="32">
        <f t="shared" ca="1" si="1474"/>
        <v>0</v>
      </c>
      <c r="CY95" s="262">
        <f t="shared" ca="1" si="1475"/>
        <v>0</v>
      </c>
      <c r="CZ95" s="259" t="e">
        <f t="shared" ca="1" si="1476"/>
        <v>#DIV/0!</v>
      </c>
      <c r="DA95" s="31">
        <f t="shared" ref="DA95" ca="1" si="1909">+MIN(mB,7)</f>
        <v>7</v>
      </c>
    </row>
    <row r="96" spans="14:105">
      <c r="N96" s="5">
        <f t="shared" si="1530"/>
        <v>84</v>
      </c>
      <c r="O96" s="2">
        <f t="shared" ref="O96" ca="1" si="1910">+(1+iB)^-N96</f>
        <v>0.15426997137264856</v>
      </c>
      <c r="P96" s="2">
        <f t="shared" ref="P96" ca="1" si="1911">+(1+iB)^-(N96+0.5)</f>
        <v>0.15256318284636342</v>
      </c>
      <c r="Q96" s="91"/>
      <c r="R96" s="20">
        <f t="shared" si="1533"/>
        <v>84</v>
      </c>
      <c r="S96" s="20" t="str">
        <f t="shared" ref="S96" si="1912">+IF(xB+R96&lt;=xB+nB,xB+R96,"")</f>
        <v/>
      </c>
      <c r="T96" s="2">
        <f t="shared" ref="T96:U96" ca="1" si="1913">IFERROR(VLOOKUP($S96,qx_table,MATCH(T$11,qx_title,0)+sexB),0)</f>
        <v>0</v>
      </c>
      <c r="U96" s="2">
        <f t="shared" ca="1" si="1913"/>
        <v>0</v>
      </c>
      <c r="V96" s="300">
        <f t="shared" ca="1" si="1443"/>
        <v>0.01</v>
      </c>
      <c r="W96" s="8">
        <f t="shared" ref="W96" si="1914">IF(R96=0,100000,IF(R96&gt;nB,0,W95*(1-X95)*(1-Y95)))</f>
        <v>0</v>
      </c>
      <c r="X96" s="10">
        <f t="shared" ca="1" si="1445"/>
        <v>1.0000000000000009E-2</v>
      </c>
      <c r="Y96" s="10">
        <f t="shared" ca="1" si="1446"/>
        <v>0</v>
      </c>
      <c r="Z96" s="5">
        <f t="shared" ca="1" si="1483"/>
        <v>0</v>
      </c>
      <c r="AA96" s="5">
        <f ca="1">+SUM(Z96:Z$124)</f>
        <v>0</v>
      </c>
      <c r="AB96" s="8">
        <f t="shared" ca="1" si="1447"/>
        <v>0</v>
      </c>
      <c r="AC96" s="209">
        <f ca="1">+SUM(AB96:AB$124)*SSSM</f>
        <v>0</v>
      </c>
      <c r="AD96" s="209">
        <f t="shared" ref="AD96" si="1915">IF(R96&gt;nB,0,AD95*(1-X95)*(1-Y95)*(1-AE95)*(1-AF95))</f>
        <v>0</v>
      </c>
      <c r="AE96" s="92">
        <f t="shared" ca="1" si="1449"/>
        <v>0</v>
      </c>
      <c r="AF96" s="92">
        <f t="shared" ca="1" si="1450"/>
        <v>0</v>
      </c>
      <c r="AG96" s="8">
        <f t="shared" ca="1" si="1451"/>
        <v>0</v>
      </c>
      <c r="AH96" s="5">
        <f ca="1">+SUM(AG96:AG$124)</f>
        <v>0</v>
      </c>
      <c r="AI96" s="70">
        <f t="shared" ca="1" si="1452"/>
        <v>0</v>
      </c>
      <c r="AJ96" s="208">
        <f ca="1">+SUM(AB96:AB$124)*SS50J</f>
        <v>0</v>
      </c>
      <c r="AK96" s="5">
        <f t="shared" ca="1" si="1485"/>
        <v>20375.373945287236</v>
      </c>
      <c r="AL96" s="2">
        <f t="shared" ref="AL96" ca="1" si="1916">IFERROR(VLOOKUP($S96,qx_table,MATCH(AL$11,qx_title,0)+sexB),0)</f>
        <v>0</v>
      </c>
      <c r="AM96" s="131">
        <f t="shared" ca="1" si="1487"/>
        <v>3143.3083552464714</v>
      </c>
      <c r="AN96" s="129">
        <f t="shared" ca="1" si="1488"/>
        <v>0</v>
      </c>
      <c r="AO96" s="129">
        <f ca="1">SUM(AN96:AN$124)*SSa</f>
        <v>0</v>
      </c>
      <c r="AP96" s="70">
        <f t="shared" ca="1" si="1489"/>
        <v>20375.373945287236</v>
      </c>
      <c r="AQ96" s="2">
        <f t="shared" ref="AQ96" ca="1" si="1917">IFERROR(VLOOKUP($S96,qx_table,MATCH(AQ$11,qx_title,0)+sexB),0)</f>
        <v>0</v>
      </c>
      <c r="AR96" s="127">
        <f t="shared" ca="1" si="1491"/>
        <v>0</v>
      </c>
      <c r="AS96" s="127">
        <f ca="1">SUM(AR96:AR$124)*SSb</f>
        <v>0</v>
      </c>
      <c r="AT96" s="70">
        <f t="shared" ca="1" si="1492"/>
        <v>20375.373945287236</v>
      </c>
      <c r="AU96" s="2">
        <f t="shared" ref="AU96" ca="1" si="1918">IFERROR(VLOOKUP($S96,qx_table,MATCH(AU$11,qx_title,0)+sexB),0)</f>
        <v>0</v>
      </c>
      <c r="AV96" s="268">
        <f t="shared" ca="1" si="1494"/>
        <v>0</v>
      </c>
      <c r="AW96" s="131">
        <f ca="1">SUM(AV96:AV$124)*SSc</f>
        <v>0</v>
      </c>
      <c r="AX96" s="70">
        <f t="shared" ca="1" si="1495"/>
        <v>20375.373945287236</v>
      </c>
      <c r="AY96" s="2">
        <f t="shared" ref="AY96" ca="1" si="1919">IFERROR(VLOOKUP($S96,qx_table,MATCH(AY$11,qx_title,0)+sexB),0)</f>
        <v>0</v>
      </c>
      <c r="AZ96" s="268">
        <f t="shared" ca="1" si="1497"/>
        <v>0</v>
      </c>
      <c r="BA96" s="129">
        <f ca="1">SUM(AZ96:AZ$124)*SSd</f>
        <v>0</v>
      </c>
      <c r="BB96" s="70">
        <f t="shared" ca="1" si="1498"/>
        <v>20375.373945287236</v>
      </c>
      <c r="BC96" s="257">
        <f t="shared" ref="BC96" ca="1" si="1920">IFERROR(VLOOKUP($S96,qx_table,MATCH(BC$11,qx_title,0)+sexB),0)</f>
        <v>0</v>
      </c>
      <c r="BD96" s="268">
        <f t="shared" ca="1" si="1500"/>
        <v>0</v>
      </c>
      <c r="BE96" s="131">
        <f ca="1">SUM(BD96:BD$124)*SSe</f>
        <v>0</v>
      </c>
      <c r="BF96" s="70">
        <f t="shared" ca="1" si="1501"/>
        <v>20375.373945287236</v>
      </c>
      <c r="BG96" s="2">
        <f t="shared" ref="BG96" ca="1" si="1921">IFERROR(VLOOKUP($S96,qx_table,MATCH(BG$11,qx_title,0)+sexB),0)</f>
        <v>0</v>
      </c>
      <c r="BH96" s="131">
        <f t="shared" ca="1" si="1503"/>
        <v>0</v>
      </c>
      <c r="BI96" s="2">
        <f ca="1">SUM(BH96:BH$124)*SSf</f>
        <v>0</v>
      </c>
      <c r="BJ96" s="70">
        <f t="shared" ca="1" si="1504"/>
        <v>20375.373945287236</v>
      </c>
      <c r="BK96" s="2">
        <f t="shared" ref="BK96" ca="1" si="1922">IFERROR(VLOOKUP($S96,qx_table,MATCH(BK$11,qx_title,0)+sexB),0)</f>
        <v>0</v>
      </c>
      <c r="BL96" s="131">
        <f t="shared" ca="1" si="1506"/>
        <v>0</v>
      </c>
      <c r="BM96" s="131">
        <f ca="1">SUM(BL96:BL$124)*SSg</f>
        <v>0</v>
      </c>
      <c r="BN96" s="70">
        <f t="shared" ca="1" si="1507"/>
        <v>20375.373945287236</v>
      </c>
      <c r="BO96" s="2">
        <f t="shared" ref="BO96" ca="1" si="1923">IFERROR(VLOOKUP($S96,qx_table,MATCH(BO$11,qx_title,0)+sexB),0)</f>
        <v>0</v>
      </c>
      <c r="BP96" s="131">
        <f t="shared" ca="1" si="1509"/>
        <v>0</v>
      </c>
      <c r="BQ96" s="131">
        <f ca="1">SUM(BP96:BP$124)*SSh</f>
        <v>0</v>
      </c>
      <c r="BR96" s="70">
        <f t="shared" ca="1" si="1510"/>
        <v>20375.373945287236</v>
      </c>
      <c r="BS96" s="2">
        <f t="shared" ref="BS96" ca="1" si="1924">IFERROR(VLOOKUP($S96,qx_table,MATCH(BS$11,qx_title,0)+sexB),0)*IF(R96=0,MCi,1)</f>
        <v>0</v>
      </c>
      <c r="BT96" s="131">
        <f t="shared" ca="1" si="1512"/>
        <v>0</v>
      </c>
      <c r="BU96" s="131">
        <f ca="1">SUM(BT96:BT$124)*SSi</f>
        <v>0</v>
      </c>
      <c r="BV96" s="70">
        <f t="shared" ca="1" si="1513"/>
        <v>20375.373945287236</v>
      </c>
      <c r="BW96" s="2">
        <f t="shared" ref="BW96" ca="1" si="1925">IFERROR(VLOOKUP($S96,qx_table,MATCH(BW$11,qx_title,0)+sexB),0)</f>
        <v>0</v>
      </c>
      <c r="BX96" s="131">
        <f t="shared" ca="1" si="1515"/>
        <v>0</v>
      </c>
      <c r="BY96" s="131">
        <f ca="1">SUM(BX96:BX$124)*SSj</f>
        <v>0</v>
      </c>
      <c r="BZ96" s="70">
        <f t="shared" ca="1" si="1516"/>
        <v>20375.373945287236</v>
      </c>
      <c r="CA96" s="2">
        <f t="shared" ref="CA96" ca="1" si="1926">IFERROR(VLOOKUP($S96,qx_table,MATCH(CA$11,qx_title,0)+sexB),0)</f>
        <v>0</v>
      </c>
      <c r="CB96" s="131">
        <f t="shared" ca="1" si="1518"/>
        <v>0</v>
      </c>
      <c r="CC96" s="131">
        <f ca="1">SUM(CB96:CB$124)*SSk</f>
        <v>0</v>
      </c>
      <c r="CD96" s="8">
        <f t="shared" ca="1" si="1519"/>
        <v>20375.373945287236</v>
      </c>
      <c r="CE96" s="2">
        <f t="shared" ref="CE96" ca="1" si="1927">IFERROR(VLOOKUP($S96,qx_table,MATCH(CE$11,qx_title,0)+sexB),0)</f>
        <v>0</v>
      </c>
      <c r="CF96" s="131">
        <f t="shared" ca="1" si="1521"/>
        <v>0</v>
      </c>
      <c r="CG96" s="131">
        <f ca="1">SUM(CF96:CF$124)*SSl</f>
        <v>0</v>
      </c>
      <c r="CH96" s="155">
        <f t="shared" ca="1" si="1522"/>
        <v>0.01</v>
      </c>
      <c r="CI96" s="155">
        <f t="shared" ca="1" si="1523"/>
        <v>0</v>
      </c>
      <c r="CJ96" s="155">
        <f t="shared" ca="1" si="1524"/>
        <v>0</v>
      </c>
      <c r="CK96" s="155">
        <f ca="1">'유해지 (기준P)'!CZ96</f>
        <v>0</v>
      </c>
      <c r="CL96" s="155">
        <f t="shared" ca="1" si="1465"/>
        <v>0</v>
      </c>
      <c r="CM96" s="155">
        <f t="shared" ca="1" si="1525"/>
        <v>0</v>
      </c>
      <c r="CN96" s="155">
        <f ca="1">SUM(CM96:$CM$124)</f>
        <v>0</v>
      </c>
      <c r="CO96" s="101">
        <f t="shared" ca="1" si="1526"/>
        <v>0</v>
      </c>
      <c r="CP96" s="154">
        <f t="shared" ca="1" si="1466"/>
        <v>0</v>
      </c>
      <c r="CQ96" s="154">
        <f t="shared" ca="1" si="1467"/>
        <v>0</v>
      </c>
      <c r="CR96" s="32">
        <f t="shared" ref="CR96" ca="1" si="1928">+MAX(VLOOKUP(xB+$R96,기수표B,$AH$1)-VLOOKUP(xB+mB,기수표B,$AH$1),0)</f>
        <v>0</v>
      </c>
      <c r="CS96" s="32">
        <f t="shared" ca="1" si="1469"/>
        <v>0</v>
      </c>
      <c r="CT96" s="32">
        <f t="shared" ref="CT96" ca="1" si="1929">+MAX(VLOOKUP(xB+$R96,기수표B,$AA$1)-VLOOKUP(xB+mB,기수표B,$AA$1),0)</f>
        <v>0</v>
      </c>
      <c r="CU96" s="32">
        <f t="shared" ca="1" si="1471"/>
        <v>0</v>
      </c>
      <c r="CV96" s="32">
        <f t="shared" si="1472"/>
        <v>0</v>
      </c>
      <c r="CW96" s="259">
        <f t="shared" ca="1" si="1473"/>
        <v>0</v>
      </c>
      <c r="CX96" s="32">
        <f t="shared" ca="1" si="1474"/>
        <v>0</v>
      </c>
      <c r="CY96" s="262">
        <f t="shared" ca="1" si="1475"/>
        <v>0</v>
      </c>
      <c r="CZ96" s="259" t="e">
        <f t="shared" ca="1" si="1476"/>
        <v>#DIV/0!</v>
      </c>
      <c r="DA96" s="31">
        <f t="shared" ref="DA96" ca="1" si="1930">+MIN(mB,7)</f>
        <v>7</v>
      </c>
    </row>
    <row r="97" spans="3:105">
      <c r="N97" s="5">
        <f t="shared" si="1530"/>
        <v>85</v>
      </c>
      <c r="O97" s="2">
        <f t="shared" ref="O97" ca="1" si="1931">+(1+iB)^-N97</f>
        <v>0.15087527762606218</v>
      </c>
      <c r="P97" s="2">
        <f t="shared" ref="P97" ca="1" si="1932">+(1+iB)^-(N97+0.5)</f>
        <v>0.14920604679350946</v>
      </c>
      <c r="Q97" s="91"/>
      <c r="R97" s="20">
        <f t="shared" si="1533"/>
        <v>85</v>
      </c>
      <c r="S97" s="20" t="str">
        <f t="shared" ref="S97" si="1933">+IF(xB+R97&lt;=xB+nB,xB+R97,"")</f>
        <v/>
      </c>
      <c r="T97" s="2">
        <f t="shared" ref="T97:U97" ca="1" si="1934">IFERROR(VLOOKUP($S97,qx_table,MATCH(T$11,qx_title,0)+sexB),0)</f>
        <v>0</v>
      </c>
      <c r="U97" s="2">
        <f t="shared" ca="1" si="1934"/>
        <v>0</v>
      </c>
      <c r="V97" s="300">
        <f t="shared" ca="1" si="1443"/>
        <v>0.01</v>
      </c>
      <c r="W97" s="8">
        <f t="shared" ref="W97" si="1935">IF(R97=0,100000,IF(R97&gt;nB,0,W96*(1-X96)*(1-Y96)))</f>
        <v>0</v>
      </c>
      <c r="X97" s="10">
        <f t="shared" ca="1" si="1445"/>
        <v>1.0000000000000009E-2</v>
      </c>
      <c r="Y97" s="10">
        <f t="shared" ca="1" si="1446"/>
        <v>0</v>
      </c>
      <c r="Z97" s="5">
        <f t="shared" ca="1" si="1483"/>
        <v>0</v>
      </c>
      <c r="AA97" s="5">
        <f ca="1">+SUM(Z97:Z$124)</f>
        <v>0</v>
      </c>
      <c r="AB97" s="8">
        <f t="shared" ca="1" si="1447"/>
        <v>0</v>
      </c>
      <c r="AC97" s="209">
        <f ca="1">+SUM(AB97:AB$124)*SSSM</f>
        <v>0</v>
      </c>
      <c r="AD97" s="209">
        <f t="shared" ref="AD97" si="1936">IF(R97&gt;nB,0,AD96*(1-X96)*(1-Y96)*(1-AE96)*(1-AF96))</f>
        <v>0</v>
      </c>
      <c r="AE97" s="92">
        <f t="shared" ca="1" si="1449"/>
        <v>0</v>
      </c>
      <c r="AF97" s="92">
        <f t="shared" ca="1" si="1450"/>
        <v>0</v>
      </c>
      <c r="AG97" s="8">
        <f t="shared" ca="1" si="1451"/>
        <v>0</v>
      </c>
      <c r="AH97" s="5">
        <f ca="1">+SUM(AG97:AG$124)</f>
        <v>0</v>
      </c>
      <c r="AI97" s="70">
        <f t="shared" ca="1" si="1452"/>
        <v>0</v>
      </c>
      <c r="AJ97" s="208">
        <f ca="1">+SUM(AB97:AB$124)*SS50J</f>
        <v>0</v>
      </c>
      <c r="AK97" s="5">
        <f t="shared" ca="1" si="1485"/>
        <v>20171.620205834362</v>
      </c>
      <c r="AL97" s="2">
        <f t="shared" ref="AL97" ca="1" si="1937">IFERROR(VLOOKUP($S97,qx_table,MATCH(AL$11,qx_title,0)+sexB),0)</f>
        <v>0</v>
      </c>
      <c r="AM97" s="131">
        <f t="shared" ca="1" si="1487"/>
        <v>3043.3987987227447</v>
      </c>
      <c r="AN97" s="129">
        <f t="shared" ca="1" si="1488"/>
        <v>0</v>
      </c>
      <c r="AO97" s="129">
        <f ca="1">SUM(AN97:AN$124)*SSa</f>
        <v>0</v>
      </c>
      <c r="AP97" s="70">
        <f t="shared" ca="1" si="1489"/>
        <v>20171.620205834362</v>
      </c>
      <c r="AQ97" s="2">
        <f t="shared" ref="AQ97" ca="1" si="1938">IFERROR(VLOOKUP($S97,qx_table,MATCH(AQ$11,qx_title,0)+sexB),0)</f>
        <v>0</v>
      </c>
      <c r="AR97" s="127">
        <f t="shared" ca="1" si="1491"/>
        <v>0</v>
      </c>
      <c r="AS97" s="127">
        <f ca="1">SUM(AR97:AR$124)*SSb</f>
        <v>0</v>
      </c>
      <c r="AT97" s="70">
        <f t="shared" ca="1" si="1492"/>
        <v>20171.620205834362</v>
      </c>
      <c r="AU97" s="2">
        <f t="shared" ref="AU97" ca="1" si="1939">IFERROR(VLOOKUP($S97,qx_table,MATCH(AU$11,qx_title,0)+sexB),0)</f>
        <v>0</v>
      </c>
      <c r="AV97" s="268">
        <f t="shared" ca="1" si="1494"/>
        <v>0</v>
      </c>
      <c r="AW97" s="131">
        <f ca="1">SUM(AV97:AV$124)*SSc</f>
        <v>0</v>
      </c>
      <c r="AX97" s="70">
        <f t="shared" ca="1" si="1495"/>
        <v>20171.620205834362</v>
      </c>
      <c r="AY97" s="2">
        <f t="shared" ref="AY97" ca="1" si="1940">IFERROR(VLOOKUP($S97,qx_table,MATCH(AY$11,qx_title,0)+sexB),0)</f>
        <v>0</v>
      </c>
      <c r="AZ97" s="268">
        <f t="shared" ca="1" si="1497"/>
        <v>0</v>
      </c>
      <c r="BA97" s="129">
        <f ca="1">SUM(AZ97:AZ$124)*SSd</f>
        <v>0</v>
      </c>
      <c r="BB97" s="70">
        <f t="shared" ca="1" si="1498"/>
        <v>20171.620205834362</v>
      </c>
      <c r="BC97" s="257">
        <f t="shared" ref="BC97" ca="1" si="1941">IFERROR(VLOOKUP($S97,qx_table,MATCH(BC$11,qx_title,0)+sexB),0)</f>
        <v>0</v>
      </c>
      <c r="BD97" s="268">
        <f t="shared" ca="1" si="1500"/>
        <v>0</v>
      </c>
      <c r="BE97" s="131">
        <f ca="1">SUM(BD97:BD$124)*SSe</f>
        <v>0</v>
      </c>
      <c r="BF97" s="70">
        <f t="shared" ca="1" si="1501"/>
        <v>20171.620205834362</v>
      </c>
      <c r="BG97" s="2">
        <f t="shared" ref="BG97" ca="1" si="1942">IFERROR(VLOOKUP($S97,qx_table,MATCH(BG$11,qx_title,0)+sexB),0)</f>
        <v>0</v>
      </c>
      <c r="BH97" s="131">
        <f t="shared" ca="1" si="1503"/>
        <v>0</v>
      </c>
      <c r="BI97" s="2">
        <f ca="1">SUM(BH97:BH$124)*SSf</f>
        <v>0</v>
      </c>
      <c r="BJ97" s="70">
        <f t="shared" ca="1" si="1504"/>
        <v>20171.620205834362</v>
      </c>
      <c r="BK97" s="2">
        <f t="shared" ref="BK97" ca="1" si="1943">IFERROR(VLOOKUP($S97,qx_table,MATCH(BK$11,qx_title,0)+sexB),0)</f>
        <v>0</v>
      </c>
      <c r="BL97" s="131">
        <f t="shared" ca="1" si="1506"/>
        <v>0</v>
      </c>
      <c r="BM97" s="131">
        <f ca="1">SUM(BL97:BL$124)*SSg</f>
        <v>0</v>
      </c>
      <c r="BN97" s="70">
        <f t="shared" ca="1" si="1507"/>
        <v>20171.620205834362</v>
      </c>
      <c r="BO97" s="2">
        <f t="shared" ref="BO97" ca="1" si="1944">IFERROR(VLOOKUP($S97,qx_table,MATCH(BO$11,qx_title,0)+sexB),0)</f>
        <v>0</v>
      </c>
      <c r="BP97" s="131">
        <f t="shared" ca="1" si="1509"/>
        <v>0</v>
      </c>
      <c r="BQ97" s="131">
        <f ca="1">SUM(BP97:BP$124)*SSh</f>
        <v>0</v>
      </c>
      <c r="BR97" s="70">
        <f t="shared" ca="1" si="1510"/>
        <v>20171.620205834362</v>
      </c>
      <c r="BS97" s="2">
        <f t="shared" ref="BS97" ca="1" si="1945">IFERROR(VLOOKUP($S97,qx_table,MATCH(BS$11,qx_title,0)+sexB),0)*IF(R97=0,MCi,1)</f>
        <v>0</v>
      </c>
      <c r="BT97" s="131">
        <f t="shared" ca="1" si="1512"/>
        <v>0</v>
      </c>
      <c r="BU97" s="131">
        <f ca="1">SUM(BT97:BT$124)*SSi</f>
        <v>0</v>
      </c>
      <c r="BV97" s="70">
        <f t="shared" ca="1" si="1513"/>
        <v>20171.620205834362</v>
      </c>
      <c r="BW97" s="2">
        <f t="shared" ref="BW97" ca="1" si="1946">IFERROR(VLOOKUP($S97,qx_table,MATCH(BW$11,qx_title,0)+sexB),0)</f>
        <v>0</v>
      </c>
      <c r="BX97" s="131">
        <f t="shared" ca="1" si="1515"/>
        <v>0</v>
      </c>
      <c r="BY97" s="131">
        <f ca="1">SUM(BX97:BX$124)*SSj</f>
        <v>0</v>
      </c>
      <c r="BZ97" s="70">
        <f t="shared" ca="1" si="1516"/>
        <v>20171.620205834362</v>
      </c>
      <c r="CA97" s="2">
        <f t="shared" ref="CA97" ca="1" si="1947">IFERROR(VLOOKUP($S97,qx_table,MATCH(CA$11,qx_title,0)+sexB),0)</f>
        <v>0</v>
      </c>
      <c r="CB97" s="131">
        <f t="shared" ca="1" si="1518"/>
        <v>0</v>
      </c>
      <c r="CC97" s="131">
        <f ca="1">SUM(CB97:CB$124)*SSk</f>
        <v>0</v>
      </c>
      <c r="CD97" s="8">
        <f t="shared" ca="1" si="1519"/>
        <v>20171.620205834362</v>
      </c>
      <c r="CE97" s="2">
        <f t="shared" ref="CE97" ca="1" si="1948">IFERROR(VLOOKUP($S97,qx_table,MATCH(CE$11,qx_title,0)+sexB),0)</f>
        <v>0</v>
      </c>
      <c r="CF97" s="131">
        <f t="shared" ca="1" si="1521"/>
        <v>0</v>
      </c>
      <c r="CG97" s="131">
        <f ca="1">SUM(CF97:CF$124)*SSl</f>
        <v>0</v>
      </c>
      <c r="CH97" s="155">
        <f t="shared" ca="1" si="1522"/>
        <v>0.01</v>
      </c>
      <c r="CI97" s="155">
        <f t="shared" ca="1" si="1523"/>
        <v>0</v>
      </c>
      <c r="CJ97" s="155">
        <f t="shared" ca="1" si="1524"/>
        <v>0</v>
      </c>
      <c r="CK97" s="155">
        <f ca="1">'유해지 (기준P)'!CZ97</f>
        <v>0</v>
      </c>
      <c r="CL97" s="155">
        <f t="shared" ca="1" si="1465"/>
        <v>0</v>
      </c>
      <c r="CM97" s="155">
        <f t="shared" ca="1" si="1525"/>
        <v>0</v>
      </c>
      <c r="CN97" s="155">
        <f ca="1">SUM(CM97:$CM$124)</f>
        <v>0</v>
      </c>
      <c r="CO97" s="101">
        <f t="shared" ca="1" si="1526"/>
        <v>0</v>
      </c>
      <c r="CP97" s="154">
        <f t="shared" ca="1" si="1466"/>
        <v>0</v>
      </c>
      <c r="CQ97" s="154">
        <f t="shared" ca="1" si="1467"/>
        <v>0</v>
      </c>
      <c r="CR97" s="32">
        <f t="shared" ref="CR97" ca="1" si="1949">+MAX(VLOOKUP(xB+$R97,기수표B,$AH$1)-VLOOKUP(xB+mB,기수표B,$AH$1),0)</f>
        <v>0</v>
      </c>
      <c r="CS97" s="32">
        <f t="shared" ca="1" si="1469"/>
        <v>0</v>
      </c>
      <c r="CT97" s="32">
        <f t="shared" ref="CT97" ca="1" si="1950">+MAX(VLOOKUP(xB+$R97,기수표B,$AA$1)-VLOOKUP(xB+mB,기수표B,$AA$1),0)</f>
        <v>0</v>
      </c>
      <c r="CU97" s="32">
        <f t="shared" ca="1" si="1471"/>
        <v>0</v>
      </c>
      <c r="CV97" s="32">
        <f t="shared" si="1472"/>
        <v>0</v>
      </c>
      <c r="CW97" s="259">
        <f t="shared" ca="1" si="1473"/>
        <v>0</v>
      </c>
      <c r="CX97" s="32">
        <f t="shared" ca="1" si="1474"/>
        <v>0</v>
      </c>
      <c r="CY97" s="262">
        <f t="shared" ca="1" si="1475"/>
        <v>0</v>
      </c>
      <c r="CZ97" s="259" t="e">
        <f t="shared" ca="1" si="1476"/>
        <v>#DIV/0!</v>
      </c>
      <c r="DA97" s="31">
        <f t="shared" ref="DA97" ca="1" si="1951">+MIN(mB,7)</f>
        <v>7</v>
      </c>
    </row>
    <row r="98" spans="3:105">
      <c r="N98" s="5">
        <f t="shared" si="1530"/>
        <v>86</v>
      </c>
      <c r="O98" s="2">
        <f t="shared" ref="O98" ca="1" si="1952">+(1+iB)^-N98</f>
        <v>0.1475552837418701</v>
      </c>
      <c r="P98" s="2">
        <f t="shared" ref="P98" ca="1" si="1953">+(1+iB)^-(N98+0.5)</f>
        <v>0.14592278415013149</v>
      </c>
      <c r="Q98" s="91"/>
      <c r="R98" s="20">
        <f t="shared" si="1533"/>
        <v>86</v>
      </c>
      <c r="S98" s="20" t="str">
        <f t="shared" ref="S98" si="1954">+IF(xB+R98&lt;=xB+nB,xB+R98,"")</f>
        <v/>
      </c>
      <c r="T98" s="2">
        <f t="shared" ref="T98:U98" ca="1" si="1955">IFERROR(VLOOKUP($S98,qx_table,MATCH(T$11,qx_title,0)+sexB),0)</f>
        <v>0</v>
      </c>
      <c r="U98" s="2">
        <f t="shared" ca="1" si="1955"/>
        <v>0</v>
      </c>
      <c r="V98" s="300">
        <f t="shared" ca="1" si="1443"/>
        <v>0.01</v>
      </c>
      <c r="W98" s="8">
        <f t="shared" ref="W98" si="1956">IF(R98=0,100000,IF(R98&gt;nB,0,W97*(1-X97)*(1-Y97)))</f>
        <v>0</v>
      </c>
      <c r="X98" s="10">
        <f t="shared" ca="1" si="1445"/>
        <v>1.0000000000000009E-2</v>
      </c>
      <c r="Y98" s="10">
        <f t="shared" ca="1" si="1446"/>
        <v>0</v>
      </c>
      <c r="Z98" s="5">
        <f t="shared" ca="1" si="1483"/>
        <v>0</v>
      </c>
      <c r="AA98" s="5">
        <f ca="1">+SUM(Z98:Z$124)</f>
        <v>0</v>
      </c>
      <c r="AB98" s="8">
        <f t="shared" ca="1" si="1447"/>
        <v>0</v>
      </c>
      <c r="AC98" s="209">
        <f ca="1">+SUM(AB98:AB$124)*SSSM</f>
        <v>0</v>
      </c>
      <c r="AD98" s="209">
        <f t="shared" ref="AD98" si="1957">IF(R98&gt;nB,0,AD97*(1-X97)*(1-Y97)*(1-AE97)*(1-AF97))</f>
        <v>0</v>
      </c>
      <c r="AE98" s="92">
        <f t="shared" ca="1" si="1449"/>
        <v>0</v>
      </c>
      <c r="AF98" s="92">
        <f t="shared" ca="1" si="1450"/>
        <v>0</v>
      </c>
      <c r="AG98" s="8">
        <f t="shared" ca="1" si="1451"/>
        <v>0</v>
      </c>
      <c r="AH98" s="5">
        <f ca="1">+SUM(AG98:AG$124)</f>
        <v>0</v>
      </c>
      <c r="AI98" s="70">
        <f t="shared" ca="1" si="1452"/>
        <v>0</v>
      </c>
      <c r="AJ98" s="208">
        <f ca="1">+SUM(AB98:AB$124)*SS50J</f>
        <v>0</v>
      </c>
      <c r="AK98" s="5">
        <f t="shared" ca="1" si="1485"/>
        <v>19969.904003776017</v>
      </c>
      <c r="AL98" s="2">
        <f t="shared" ref="AL98" ca="1" si="1958">IFERROR(VLOOKUP($S98,qx_table,MATCH(AL$11,qx_title,0)+sexB),0)</f>
        <v>0</v>
      </c>
      <c r="AM98" s="131">
        <f t="shared" ca="1" si="1487"/>
        <v>2946.664851575078</v>
      </c>
      <c r="AN98" s="129">
        <f t="shared" ca="1" si="1488"/>
        <v>0</v>
      </c>
      <c r="AO98" s="129">
        <f ca="1">SUM(AN98:AN$124)*SSa</f>
        <v>0</v>
      </c>
      <c r="AP98" s="70">
        <f t="shared" ca="1" si="1489"/>
        <v>19969.904003776017</v>
      </c>
      <c r="AQ98" s="2">
        <f t="shared" ref="AQ98" ca="1" si="1959">IFERROR(VLOOKUP($S98,qx_table,MATCH(AQ$11,qx_title,0)+sexB),0)</f>
        <v>0</v>
      </c>
      <c r="AR98" s="127">
        <f t="shared" ca="1" si="1491"/>
        <v>0</v>
      </c>
      <c r="AS98" s="127">
        <f ca="1">SUM(AR98:AR$124)*SSb</f>
        <v>0</v>
      </c>
      <c r="AT98" s="70">
        <f t="shared" ca="1" si="1492"/>
        <v>19969.904003776017</v>
      </c>
      <c r="AU98" s="2">
        <f t="shared" ref="AU98" ca="1" si="1960">IFERROR(VLOOKUP($S98,qx_table,MATCH(AU$11,qx_title,0)+sexB),0)</f>
        <v>0</v>
      </c>
      <c r="AV98" s="268">
        <f t="shared" ca="1" si="1494"/>
        <v>0</v>
      </c>
      <c r="AW98" s="131">
        <f ca="1">SUM(AV98:AV$124)*SSc</f>
        <v>0</v>
      </c>
      <c r="AX98" s="70">
        <f t="shared" ca="1" si="1495"/>
        <v>19969.904003776017</v>
      </c>
      <c r="AY98" s="2">
        <f t="shared" ref="AY98" ca="1" si="1961">IFERROR(VLOOKUP($S98,qx_table,MATCH(AY$11,qx_title,0)+sexB),0)</f>
        <v>0</v>
      </c>
      <c r="AZ98" s="268">
        <f t="shared" ca="1" si="1497"/>
        <v>0</v>
      </c>
      <c r="BA98" s="129">
        <f ca="1">SUM(AZ98:AZ$124)*SSd</f>
        <v>0</v>
      </c>
      <c r="BB98" s="70">
        <f t="shared" ca="1" si="1498"/>
        <v>19969.904003776017</v>
      </c>
      <c r="BC98" s="257">
        <f t="shared" ref="BC98" ca="1" si="1962">IFERROR(VLOOKUP($S98,qx_table,MATCH(BC$11,qx_title,0)+sexB),0)</f>
        <v>0</v>
      </c>
      <c r="BD98" s="268">
        <f t="shared" ca="1" si="1500"/>
        <v>0</v>
      </c>
      <c r="BE98" s="131">
        <f ca="1">SUM(BD98:BD$124)*SSe</f>
        <v>0</v>
      </c>
      <c r="BF98" s="70">
        <f t="shared" ca="1" si="1501"/>
        <v>19969.904003776017</v>
      </c>
      <c r="BG98" s="2">
        <f t="shared" ref="BG98" ca="1" si="1963">IFERROR(VLOOKUP($S98,qx_table,MATCH(BG$11,qx_title,0)+sexB),0)</f>
        <v>0</v>
      </c>
      <c r="BH98" s="131">
        <f t="shared" ca="1" si="1503"/>
        <v>0</v>
      </c>
      <c r="BI98" s="2">
        <f ca="1">SUM(BH98:BH$124)*SSf</f>
        <v>0</v>
      </c>
      <c r="BJ98" s="70">
        <f t="shared" ca="1" si="1504"/>
        <v>19969.904003776017</v>
      </c>
      <c r="BK98" s="2">
        <f t="shared" ref="BK98" ca="1" si="1964">IFERROR(VLOOKUP($S98,qx_table,MATCH(BK$11,qx_title,0)+sexB),0)</f>
        <v>0</v>
      </c>
      <c r="BL98" s="131">
        <f t="shared" ca="1" si="1506"/>
        <v>0</v>
      </c>
      <c r="BM98" s="131">
        <f ca="1">SUM(BL98:BL$124)*SSg</f>
        <v>0</v>
      </c>
      <c r="BN98" s="70">
        <f t="shared" ca="1" si="1507"/>
        <v>19969.904003776017</v>
      </c>
      <c r="BO98" s="2">
        <f t="shared" ref="BO98" ca="1" si="1965">IFERROR(VLOOKUP($S98,qx_table,MATCH(BO$11,qx_title,0)+sexB),0)</f>
        <v>0</v>
      </c>
      <c r="BP98" s="131">
        <f t="shared" ca="1" si="1509"/>
        <v>0</v>
      </c>
      <c r="BQ98" s="131">
        <f ca="1">SUM(BP98:BP$124)*SSh</f>
        <v>0</v>
      </c>
      <c r="BR98" s="70">
        <f t="shared" ca="1" si="1510"/>
        <v>19969.904003776017</v>
      </c>
      <c r="BS98" s="2">
        <f t="shared" ref="BS98" ca="1" si="1966">IFERROR(VLOOKUP($S98,qx_table,MATCH(BS$11,qx_title,0)+sexB),0)*IF(R98=0,MCi,1)</f>
        <v>0</v>
      </c>
      <c r="BT98" s="131">
        <f t="shared" ca="1" si="1512"/>
        <v>0</v>
      </c>
      <c r="BU98" s="131">
        <f ca="1">SUM(BT98:BT$124)*SSi</f>
        <v>0</v>
      </c>
      <c r="BV98" s="70">
        <f t="shared" ca="1" si="1513"/>
        <v>19969.904003776017</v>
      </c>
      <c r="BW98" s="2">
        <f t="shared" ref="BW98" ca="1" si="1967">IFERROR(VLOOKUP($S98,qx_table,MATCH(BW$11,qx_title,0)+sexB),0)</f>
        <v>0</v>
      </c>
      <c r="BX98" s="131">
        <f t="shared" ca="1" si="1515"/>
        <v>0</v>
      </c>
      <c r="BY98" s="131">
        <f ca="1">SUM(BX98:BX$124)*SSj</f>
        <v>0</v>
      </c>
      <c r="BZ98" s="70">
        <f t="shared" ca="1" si="1516"/>
        <v>19969.904003776017</v>
      </c>
      <c r="CA98" s="2">
        <f t="shared" ref="CA98" ca="1" si="1968">IFERROR(VLOOKUP($S98,qx_table,MATCH(CA$11,qx_title,0)+sexB),0)</f>
        <v>0</v>
      </c>
      <c r="CB98" s="131">
        <f t="shared" ca="1" si="1518"/>
        <v>0</v>
      </c>
      <c r="CC98" s="131">
        <f ca="1">SUM(CB98:CB$124)*SSk</f>
        <v>0</v>
      </c>
      <c r="CD98" s="8">
        <f t="shared" ca="1" si="1519"/>
        <v>19969.904003776017</v>
      </c>
      <c r="CE98" s="2">
        <f t="shared" ref="CE98" ca="1" si="1969">IFERROR(VLOOKUP($S98,qx_table,MATCH(CE$11,qx_title,0)+sexB),0)</f>
        <v>0</v>
      </c>
      <c r="CF98" s="131">
        <f t="shared" ca="1" si="1521"/>
        <v>0</v>
      </c>
      <c r="CG98" s="131">
        <f ca="1">SUM(CF98:CF$124)*SSl</f>
        <v>0</v>
      </c>
      <c r="CH98" s="155">
        <f t="shared" ca="1" si="1522"/>
        <v>0.01</v>
      </c>
      <c r="CI98" s="155">
        <f t="shared" ca="1" si="1523"/>
        <v>0</v>
      </c>
      <c r="CJ98" s="155">
        <f t="shared" ca="1" si="1524"/>
        <v>0</v>
      </c>
      <c r="CK98" s="155">
        <f ca="1">'유해지 (기준P)'!CZ98</f>
        <v>0</v>
      </c>
      <c r="CL98" s="155">
        <f t="shared" ca="1" si="1465"/>
        <v>0</v>
      </c>
      <c r="CM98" s="155">
        <f t="shared" ca="1" si="1525"/>
        <v>0</v>
      </c>
      <c r="CN98" s="155">
        <f ca="1">SUM(CM98:$CM$124)</f>
        <v>0</v>
      </c>
      <c r="CO98" s="101">
        <f t="shared" ca="1" si="1526"/>
        <v>0</v>
      </c>
      <c r="CP98" s="154">
        <f t="shared" ca="1" si="1466"/>
        <v>0</v>
      </c>
      <c r="CQ98" s="154">
        <f t="shared" ca="1" si="1467"/>
        <v>0</v>
      </c>
      <c r="CR98" s="32">
        <f t="shared" ref="CR98" ca="1" si="1970">+MAX(VLOOKUP(xB+$R98,기수표B,$AH$1)-VLOOKUP(xB+mB,기수표B,$AH$1),0)</f>
        <v>0</v>
      </c>
      <c r="CS98" s="32">
        <f t="shared" ca="1" si="1469"/>
        <v>0</v>
      </c>
      <c r="CT98" s="32">
        <f t="shared" ref="CT98" ca="1" si="1971">+MAX(VLOOKUP(xB+$R98,기수표B,$AA$1)-VLOOKUP(xB+mB,기수표B,$AA$1),0)</f>
        <v>0</v>
      </c>
      <c r="CU98" s="32">
        <f t="shared" ca="1" si="1471"/>
        <v>0</v>
      </c>
      <c r="CV98" s="32">
        <f t="shared" si="1472"/>
        <v>0</v>
      </c>
      <c r="CW98" s="259">
        <f t="shared" ca="1" si="1473"/>
        <v>0</v>
      </c>
      <c r="CX98" s="32">
        <f t="shared" ca="1" si="1474"/>
        <v>0</v>
      </c>
      <c r="CY98" s="262">
        <f t="shared" ca="1" si="1475"/>
        <v>0</v>
      </c>
      <c r="CZ98" s="259" t="e">
        <f t="shared" ca="1" si="1476"/>
        <v>#DIV/0!</v>
      </c>
      <c r="DA98" s="31">
        <f t="shared" ref="DA98" ca="1" si="1972">+MIN(mB,7)</f>
        <v>7</v>
      </c>
    </row>
    <row r="99" spans="3:105">
      <c r="N99" s="5">
        <f t="shared" si="1530"/>
        <v>87</v>
      </c>
      <c r="O99" s="2">
        <f t="shared" ref="O99" ca="1" si="1973">+(1+iB)^-N99</f>
        <v>0.14430834595781919</v>
      </c>
      <c r="P99" s="2">
        <f t="shared" ref="P99" ca="1" si="1974">+(1+iB)^-(N99+0.5)</f>
        <v>0.14271176933998192</v>
      </c>
      <c r="Q99" s="91"/>
      <c r="R99" s="20">
        <f t="shared" si="1533"/>
        <v>87</v>
      </c>
      <c r="S99" s="20" t="str">
        <f t="shared" ref="S99" si="1975">+IF(xB+R99&lt;=xB+nB,xB+R99,"")</f>
        <v/>
      </c>
      <c r="T99" s="2">
        <f t="shared" ref="T99:U99" ca="1" si="1976">IFERROR(VLOOKUP($S99,qx_table,MATCH(T$11,qx_title,0)+sexB),0)</f>
        <v>0</v>
      </c>
      <c r="U99" s="2">
        <f t="shared" ca="1" si="1976"/>
        <v>0</v>
      </c>
      <c r="V99" s="300">
        <f t="shared" ca="1" si="1443"/>
        <v>0.01</v>
      </c>
      <c r="W99" s="8">
        <f t="shared" ref="W99" si="1977">IF(R99=0,100000,IF(R99&gt;nB,0,W98*(1-X98)*(1-Y98)))</f>
        <v>0</v>
      </c>
      <c r="X99" s="10">
        <f t="shared" ca="1" si="1445"/>
        <v>1.0000000000000009E-2</v>
      </c>
      <c r="Y99" s="10">
        <f t="shared" ca="1" si="1446"/>
        <v>0</v>
      </c>
      <c r="Z99" s="5">
        <f t="shared" ca="1" si="1483"/>
        <v>0</v>
      </c>
      <c r="AA99" s="5">
        <f ca="1">+SUM(Z99:Z$124)</f>
        <v>0</v>
      </c>
      <c r="AB99" s="8">
        <f t="shared" ca="1" si="1447"/>
        <v>0</v>
      </c>
      <c r="AC99" s="209">
        <f ca="1">+SUM(AB99:AB$124)*SSSM</f>
        <v>0</v>
      </c>
      <c r="AD99" s="209">
        <f t="shared" ref="AD99" si="1978">IF(R99&gt;nB,0,AD98*(1-X98)*(1-Y98)*(1-AE98)*(1-AF98))</f>
        <v>0</v>
      </c>
      <c r="AE99" s="92">
        <f t="shared" ca="1" si="1449"/>
        <v>0</v>
      </c>
      <c r="AF99" s="92">
        <f t="shared" ca="1" si="1450"/>
        <v>0</v>
      </c>
      <c r="AG99" s="8">
        <f t="shared" ca="1" si="1451"/>
        <v>0</v>
      </c>
      <c r="AH99" s="5">
        <f ca="1">+SUM(AG99:AG$124)</f>
        <v>0</v>
      </c>
      <c r="AI99" s="70">
        <f t="shared" ca="1" si="1452"/>
        <v>0</v>
      </c>
      <c r="AJ99" s="208">
        <f ca="1">+SUM(AB99:AB$124)*SS50J</f>
        <v>0</v>
      </c>
      <c r="AK99" s="5">
        <f t="shared" ca="1" si="1485"/>
        <v>19770.204963738255</v>
      </c>
      <c r="AL99" s="2">
        <f t="shared" ref="AL99" ca="1" si="1979">IFERROR(VLOOKUP($S99,qx_table,MATCH(AL$11,qx_title,0)+sexB),0)</f>
        <v>0</v>
      </c>
      <c r="AM99" s="131">
        <f t="shared" ca="1" si="1487"/>
        <v>2853.0055775641345</v>
      </c>
      <c r="AN99" s="129">
        <f t="shared" ca="1" si="1488"/>
        <v>0</v>
      </c>
      <c r="AO99" s="129">
        <f ca="1">SUM(AN99:AN$124)*SSa</f>
        <v>0</v>
      </c>
      <c r="AP99" s="70">
        <f t="shared" ca="1" si="1489"/>
        <v>19770.204963738255</v>
      </c>
      <c r="AQ99" s="2">
        <f t="shared" ref="AQ99" ca="1" si="1980">IFERROR(VLOOKUP($S99,qx_table,MATCH(AQ$11,qx_title,0)+sexB),0)</f>
        <v>0</v>
      </c>
      <c r="AR99" s="127">
        <f t="shared" ca="1" si="1491"/>
        <v>0</v>
      </c>
      <c r="AS99" s="127">
        <f ca="1">SUM(AR99:AR$124)*SSb</f>
        <v>0</v>
      </c>
      <c r="AT99" s="70">
        <f t="shared" ca="1" si="1492"/>
        <v>19770.204963738255</v>
      </c>
      <c r="AU99" s="2">
        <f t="shared" ref="AU99" ca="1" si="1981">IFERROR(VLOOKUP($S99,qx_table,MATCH(AU$11,qx_title,0)+sexB),0)</f>
        <v>0</v>
      </c>
      <c r="AV99" s="268">
        <f t="shared" ca="1" si="1494"/>
        <v>0</v>
      </c>
      <c r="AW99" s="131">
        <f ca="1">SUM(AV99:AV$124)*SSc</f>
        <v>0</v>
      </c>
      <c r="AX99" s="70">
        <f t="shared" ca="1" si="1495"/>
        <v>19770.204963738255</v>
      </c>
      <c r="AY99" s="2">
        <f t="shared" ref="AY99" ca="1" si="1982">IFERROR(VLOOKUP($S99,qx_table,MATCH(AY$11,qx_title,0)+sexB),0)</f>
        <v>0</v>
      </c>
      <c r="AZ99" s="268">
        <f t="shared" ca="1" si="1497"/>
        <v>0</v>
      </c>
      <c r="BA99" s="129">
        <f ca="1">SUM(AZ99:AZ$124)*SSd</f>
        <v>0</v>
      </c>
      <c r="BB99" s="70">
        <f t="shared" ca="1" si="1498"/>
        <v>19770.204963738255</v>
      </c>
      <c r="BC99" s="257">
        <f t="shared" ref="BC99" ca="1" si="1983">IFERROR(VLOOKUP($S99,qx_table,MATCH(BC$11,qx_title,0)+sexB),0)</f>
        <v>0</v>
      </c>
      <c r="BD99" s="268">
        <f t="shared" ca="1" si="1500"/>
        <v>0</v>
      </c>
      <c r="BE99" s="131">
        <f ca="1">SUM(BD99:BD$124)*SSe</f>
        <v>0</v>
      </c>
      <c r="BF99" s="70">
        <f t="shared" ca="1" si="1501"/>
        <v>19770.204963738255</v>
      </c>
      <c r="BG99" s="2">
        <f t="shared" ref="BG99" ca="1" si="1984">IFERROR(VLOOKUP($S99,qx_table,MATCH(BG$11,qx_title,0)+sexB),0)</f>
        <v>0</v>
      </c>
      <c r="BH99" s="131">
        <f t="shared" ca="1" si="1503"/>
        <v>0</v>
      </c>
      <c r="BI99" s="2">
        <f ca="1">SUM(BH99:BH$124)*SSf</f>
        <v>0</v>
      </c>
      <c r="BJ99" s="70">
        <f t="shared" ca="1" si="1504"/>
        <v>19770.204963738255</v>
      </c>
      <c r="BK99" s="2">
        <f t="shared" ref="BK99" ca="1" si="1985">IFERROR(VLOOKUP($S99,qx_table,MATCH(BK$11,qx_title,0)+sexB),0)</f>
        <v>0</v>
      </c>
      <c r="BL99" s="131">
        <f t="shared" ca="1" si="1506"/>
        <v>0</v>
      </c>
      <c r="BM99" s="131">
        <f ca="1">SUM(BL99:BL$124)*SSg</f>
        <v>0</v>
      </c>
      <c r="BN99" s="70">
        <f t="shared" ca="1" si="1507"/>
        <v>19770.204963738255</v>
      </c>
      <c r="BO99" s="2">
        <f t="shared" ref="BO99" ca="1" si="1986">IFERROR(VLOOKUP($S99,qx_table,MATCH(BO$11,qx_title,0)+sexB),0)</f>
        <v>0</v>
      </c>
      <c r="BP99" s="131">
        <f t="shared" ca="1" si="1509"/>
        <v>0</v>
      </c>
      <c r="BQ99" s="131">
        <f ca="1">SUM(BP99:BP$124)*SSh</f>
        <v>0</v>
      </c>
      <c r="BR99" s="70">
        <f t="shared" ca="1" si="1510"/>
        <v>19770.204963738255</v>
      </c>
      <c r="BS99" s="2">
        <f t="shared" ref="BS99" ca="1" si="1987">IFERROR(VLOOKUP($S99,qx_table,MATCH(BS$11,qx_title,0)+sexB),0)*IF(R99=0,MCi,1)</f>
        <v>0</v>
      </c>
      <c r="BT99" s="131">
        <f t="shared" ca="1" si="1512"/>
        <v>0</v>
      </c>
      <c r="BU99" s="131">
        <f ca="1">SUM(BT99:BT$124)*SSi</f>
        <v>0</v>
      </c>
      <c r="BV99" s="70">
        <f t="shared" ca="1" si="1513"/>
        <v>19770.204963738255</v>
      </c>
      <c r="BW99" s="2">
        <f t="shared" ref="BW99" ca="1" si="1988">IFERROR(VLOOKUP($S99,qx_table,MATCH(BW$11,qx_title,0)+sexB),0)</f>
        <v>0</v>
      </c>
      <c r="BX99" s="131">
        <f t="shared" ca="1" si="1515"/>
        <v>0</v>
      </c>
      <c r="BY99" s="131">
        <f ca="1">SUM(BX99:BX$124)*SSj</f>
        <v>0</v>
      </c>
      <c r="BZ99" s="70">
        <f t="shared" ca="1" si="1516"/>
        <v>19770.204963738255</v>
      </c>
      <c r="CA99" s="2">
        <f t="shared" ref="CA99" ca="1" si="1989">IFERROR(VLOOKUP($S99,qx_table,MATCH(CA$11,qx_title,0)+sexB),0)</f>
        <v>0</v>
      </c>
      <c r="CB99" s="131">
        <f t="shared" ca="1" si="1518"/>
        <v>0</v>
      </c>
      <c r="CC99" s="131">
        <f ca="1">SUM(CB99:CB$124)*SSk</f>
        <v>0</v>
      </c>
      <c r="CD99" s="8">
        <f t="shared" ca="1" si="1519"/>
        <v>19770.204963738255</v>
      </c>
      <c r="CE99" s="2">
        <f t="shared" ref="CE99" ca="1" si="1990">IFERROR(VLOOKUP($S99,qx_table,MATCH(CE$11,qx_title,0)+sexB),0)</f>
        <v>0</v>
      </c>
      <c r="CF99" s="131">
        <f t="shared" ca="1" si="1521"/>
        <v>0</v>
      </c>
      <c r="CG99" s="131">
        <f ca="1">SUM(CF99:CF$124)*SSl</f>
        <v>0</v>
      </c>
      <c r="CH99" s="155">
        <f t="shared" ca="1" si="1522"/>
        <v>0.01</v>
      </c>
      <c r="CI99" s="155">
        <f t="shared" ca="1" si="1523"/>
        <v>0</v>
      </c>
      <c r="CJ99" s="155">
        <f t="shared" ca="1" si="1524"/>
        <v>0</v>
      </c>
      <c r="CK99" s="155">
        <f ca="1">'유해지 (기준P)'!CZ99</f>
        <v>0</v>
      </c>
      <c r="CL99" s="155">
        <f t="shared" ca="1" si="1465"/>
        <v>0</v>
      </c>
      <c r="CM99" s="155">
        <f t="shared" ca="1" si="1525"/>
        <v>0</v>
      </c>
      <c r="CN99" s="155">
        <f ca="1">SUM(CM99:$CM$124)</f>
        <v>0</v>
      </c>
      <c r="CO99" s="101">
        <f t="shared" ca="1" si="1526"/>
        <v>0</v>
      </c>
      <c r="CP99" s="154">
        <f t="shared" ca="1" si="1466"/>
        <v>0</v>
      </c>
      <c r="CQ99" s="154">
        <f t="shared" ca="1" si="1467"/>
        <v>0</v>
      </c>
      <c r="CR99" s="32">
        <f t="shared" ref="CR99" ca="1" si="1991">+MAX(VLOOKUP(xB+$R99,기수표B,$AH$1)-VLOOKUP(xB+mB,기수표B,$AH$1),0)</f>
        <v>0</v>
      </c>
      <c r="CS99" s="32">
        <f t="shared" ca="1" si="1469"/>
        <v>0</v>
      </c>
      <c r="CT99" s="32">
        <f t="shared" ref="CT99" ca="1" si="1992">+MAX(VLOOKUP(xB+$R99,기수표B,$AA$1)-VLOOKUP(xB+mB,기수표B,$AA$1),0)</f>
        <v>0</v>
      </c>
      <c r="CU99" s="32">
        <f t="shared" ca="1" si="1471"/>
        <v>0</v>
      </c>
      <c r="CV99" s="32">
        <f t="shared" si="1472"/>
        <v>0</v>
      </c>
      <c r="CW99" s="259">
        <f t="shared" ca="1" si="1473"/>
        <v>0</v>
      </c>
      <c r="CX99" s="32">
        <f t="shared" ca="1" si="1474"/>
        <v>0</v>
      </c>
      <c r="CY99" s="262">
        <f t="shared" ca="1" si="1475"/>
        <v>0</v>
      </c>
      <c r="CZ99" s="259" t="e">
        <f t="shared" ca="1" si="1476"/>
        <v>#DIV/0!</v>
      </c>
      <c r="DA99" s="31">
        <f t="shared" ref="DA99" ca="1" si="1993">+MIN(mB,7)</f>
        <v>7</v>
      </c>
    </row>
    <row r="100" spans="3:105">
      <c r="N100" s="5">
        <f t="shared" si="1530"/>
        <v>88</v>
      </c>
      <c r="O100" s="2">
        <f t="shared" ref="O100" ca="1" si="1994">+(1+iB)^-N100</f>
        <v>0.14113285668246378</v>
      </c>
      <c r="P100" s="2">
        <f t="shared" ref="P100" ca="1" si="1995">+(1+iB)^-(N100+0.5)</f>
        <v>0.13957141255743954</v>
      </c>
      <c r="Q100" s="91"/>
      <c r="R100" s="20">
        <f t="shared" si="1533"/>
        <v>88</v>
      </c>
      <c r="S100" s="20" t="str">
        <f t="shared" ref="S100" si="1996">+IF(xB+R100&lt;=xB+nB,xB+R100,"")</f>
        <v/>
      </c>
      <c r="T100" s="2">
        <f t="shared" ref="T100:U100" ca="1" si="1997">IFERROR(VLOOKUP($S100,qx_table,MATCH(T$11,qx_title,0)+sexB),0)</f>
        <v>0</v>
      </c>
      <c r="U100" s="2">
        <f t="shared" ca="1" si="1997"/>
        <v>0</v>
      </c>
      <c r="V100" s="300">
        <f t="shared" ca="1" si="1443"/>
        <v>0.01</v>
      </c>
      <c r="W100" s="8">
        <f t="shared" ref="W100" si="1998">IF(R100=0,100000,IF(R100&gt;nB,0,W99*(1-X99)*(1-Y99)))</f>
        <v>0</v>
      </c>
      <c r="X100" s="10">
        <f t="shared" ca="1" si="1445"/>
        <v>1.0000000000000009E-2</v>
      </c>
      <c r="Y100" s="10">
        <f t="shared" ca="1" si="1446"/>
        <v>0</v>
      </c>
      <c r="Z100" s="5">
        <f t="shared" ca="1" si="1483"/>
        <v>0</v>
      </c>
      <c r="AA100" s="5">
        <f ca="1">+SUM(Z100:Z$124)</f>
        <v>0</v>
      </c>
      <c r="AB100" s="8">
        <f t="shared" ca="1" si="1447"/>
        <v>0</v>
      </c>
      <c r="AC100" s="209">
        <f ca="1">+SUM(AB100:AB$124)*SSSM</f>
        <v>0</v>
      </c>
      <c r="AD100" s="209">
        <f t="shared" ref="AD100" si="1999">IF(R100&gt;nB,0,AD99*(1-X99)*(1-Y99)*(1-AE99)*(1-AF99))</f>
        <v>0</v>
      </c>
      <c r="AE100" s="92">
        <f t="shared" ca="1" si="1449"/>
        <v>0</v>
      </c>
      <c r="AF100" s="92">
        <f t="shared" ca="1" si="1450"/>
        <v>0</v>
      </c>
      <c r="AG100" s="8">
        <f t="shared" ca="1" si="1451"/>
        <v>0</v>
      </c>
      <c r="AH100" s="5">
        <f ca="1">+SUM(AG100:AG$124)</f>
        <v>0</v>
      </c>
      <c r="AI100" s="70">
        <f t="shared" ca="1" si="1452"/>
        <v>0</v>
      </c>
      <c r="AJ100" s="208">
        <f ca="1">+SUM(AB100:AB$124)*SS50J</f>
        <v>0</v>
      </c>
      <c r="AK100" s="5">
        <f t="shared" ca="1" si="1485"/>
        <v>19572.502914100871</v>
      </c>
      <c r="AL100" s="2">
        <f t="shared" ref="AL100" ca="1" si="2000">IFERROR(VLOOKUP($S100,qx_table,MATCH(AL$11,qx_title,0)+sexB),0)</f>
        <v>0</v>
      </c>
      <c r="AM100" s="131">
        <f t="shared" ca="1" si="1487"/>
        <v>2762.3232486929028</v>
      </c>
      <c r="AN100" s="129">
        <f t="shared" ca="1" si="1488"/>
        <v>0</v>
      </c>
      <c r="AO100" s="129">
        <f ca="1">SUM(AN100:AN$124)*SSa</f>
        <v>0</v>
      </c>
      <c r="AP100" s="70">
        <f t="shared" ca="1" si="1489"/>
        <v>19572.502914100871</v>
      </c>
      <c r="AQ100" s="2">
        <f t="shared" ref="AQ100" ca="1" si="2001">IFERROR(VLOOKUP($S100,qx_table,MATCH(AQ$11,qx_title,0)+sexB),0)</f>
        <v>0</v>
      </c>
      <c r="AR100" s="127">
        <f t="shared" ca="1" si="1491"/>
        <v>0</v>
      </c>
      <c r="AS100" s="127">
        <f ca="1">SUM(AR100:AR$124)*SSb</f>
        <v>0</v>
      </c>
      <c r="AT100" s="70">
        <f t="shared" ca="1" si="1492"/>
        <v>19572.502914100871</v>
      </c>
      <c r="AU100" s="2">
        <f t="shared" ref="AU100" ca="1" si="2002">IFERROR(VLOOKUP($S100,qx_table,MATCH(AU$11,qx_title,0)+sexB),0)</f>
        <v>0</v>
      </c>
      <c r="AV100" s="268">
        <f t="shared" ca="1" si="1494"/>
        <v>0</v>
      </c>
      <c r="AW100" s="131">
        <f ca="1">SUM(AV100:AV$124)*SSc</f>
        <v>0</v>
      </c>
      <c r="AX100" s="70">
        <f t="shared" ca="1" si="1495"/>
        <v>19572.502914100871</v>
      </c>
      <c r="AY100" s="2">
        <f t="shared" ref="AY100" ca="1" si="2003">IFERROR(VLOOKUP($S100,qx_table,MATCH(AY$11,qx_title,0)+sexB),0)</f>
        <v>0</v>
      </c>
      <c r="AZ100" s="268">
        <f t="shared" ca="1" si="1497"/>
        <v>0</v>
      </c>
      <c r="BA100" s="129">
        <f ca="1">SUM(AZ100:AZ$124)*SSd</f>
        <v>0</v>
      </c>
      <c r="BB100" s="70">
        <f t="shared" ca="1" si="1498"/>
        <v>19572.502914100871</v>
      </c>
      <c r="BC100" s="257">
        <f t="shared" ref="BC100" ca="1" si="2004">IFERROR(VLOOKUP($S100,qx_table,MATCH(BC$11,qx_title,0)+sexB),0)</f>
        <v>0</v>
      </c>
      <c r="BD100" s="268">
        <f t="shared" ca="1" si="1500"/>
        <v>0</v>
      </c>
      <c r="BE100" s="131">
        <f ca="1">SUM(BD100:BD$124)*SSe</f>
        <v>0</v>
      </c>
      <c r="BF100" s="70">
        <f t="shared" ca="1" si="1501"/>
        <v>19572.502914100871</v>
      </c>
      <c r="BG100" s="2">
        <f t="shared" ref="BG100" ca="1" si="2005">IFERROR(VLOOKUP($S100,qx_table,MATCH(BG$11,qx_title,0)+sexB),0)</f>
        <v>0</v>
      </c>
      <c r="BH100" s="131">
        <f t="shared" ca="1" si="1503"/>
        <v>0</v>
      </c>
      <c r="BI100" s="2">
        <f ca="1">SUM(BH100:BH$124)*SSf</f>
        <v>0</v>
      </c>
      <c r="BJ100" s="70">
        <f t="shared" ca="1" si="1504"/>
        <v>19572.502914100871</v>
      </c>
      <c r="BK100" s="2">
        <f t="shared" ref="BK100" ca="1" si="2006">IFERROR(VLOOKUP($S100,qx_table,MATCH(BK$11,qx_title,0)+sexB),0)</f>
        <v>0</v>
      </c>
      <c r="BL100" s="131">
        <f t="shared" ca="1" si="1506"/>
        <v>0</v>
      </c>
      <c r="BM100" s="131">
        <f ca="1">SUM(BL100:BL$124)*SSg</f>
        <v>0</v>
      </c>
      <c r="BN100" s="70">
        <f t="shared" ca="1" si="1507"/>
        <v>19572.502914100871</v>
      </c>
      <c r="BO100" s="2">
        <f t="shared" ref="BO100" ca="1" si="2007">IFERROR(VLOOKUP($S100,qx_table,MATCH(BO$11,qx_title,0)+sexB),0)</f>
        <v>0</v>
      </c>
      <c r="BP100" s="131">
        <f t="shared" ca="1" si="1509"/>
        <v>0</v>
      </c>
      <c r="BQ100" s="131">
        <f ca="1">SUM(BP100:BP$124)*SSh</f>
        <v>0</v>
      </c>
      <c r="BR100" s="70">
        <f t="shared" ca="1" si="1510"/>
        <v>19572.502914100871</v>
      </c>
      <c r="BS100" s="2">
        <f t="shared" ref="BS100" ca="1" si="2008">IFERROR(VLOOKUP($S100,qx_table,MATCH(BS$11,qx_title,0)+sexB),0)*IF(R100=0,MCi,1)</f>
        <v>0</v>
      </c>
      <c r="BT100" s="131">
        <f t="shared" ca="1" si="1512"/>
        <v>0</v>
      </c>
      <c r="BU100" s="131">
        <f ca="1">SUM(BT100:BT$124)*SSi</f>
        <v>0</v>
      </c>
      <c r="BV100" s="70">
        <f t="shared" ca="1" si="1513"/>
        <v>19572.502914100871</v>
      </c>
      <c r="BW100" s="2">
        <f t="shared" ref="BW100" ca="1" si="2009">IFERROR(VLOOKUP($S100,qx_table,MATCH(BW$11,qx_title,0)+sexB),0)</f>
        <v>0</v>
      </c>
      <c r="BX100" s="131">
        <f t="shared" ca="1" si="1515"/>
        <v>0</v>
      </c>
      <c r="BY100" s="131">
        <f ca="1">SUM(BX100:BX$124)*SSj</f>
        <v>0</v>
      </c>
      <c r="BZ100" s="70">
        <f t="shared" ca="1" si="1516"/>
        <v>19572.502914100871</v>
      </c>
      <c r="CA100" s="2">
        <f t="shared" ref="CA100" ca="1" si="2010">IFERROR(VLOOKUP($S100,qx_table,MATCH(CA$11,qx_title,0)+sexB),0)</f>
        <v>0</v>
      </c>
      <c r="CB100" s="131">
        <f t="shared" ca="1" si="1518"/>
        <v>0</v>
      </c>
      <c r="CC100" s="131">
        <f ca="1">SUM(CB100:CB$124)*SSk</f>
        <v>0</v>
      </c>
      <c r="CD100" s="8">
        <f t="shared" ca="1" si="1519"/>
        <v>19572.502914100871</v>
      </c>
      <c r="CE100" s="2">
        <f t="shared" ref="CE100" ca="1" si="2011">IFERROR(VLOOKUP($S100,qx_table,MATCH(CE$11,qx_title,0)+sexB),0)</f>
        <v>0</v>
      </c>
      <c r="CF100" s="131">
        <f t="shared" ca="1" si="1521"/>
        <v>0</v>
      </c>
      <c r="CG100" s="131">
        <f ca="1">SUM(CF100:CF$124)*SSl</f>
        <v>0</v>
      </c>
      <c r="CH100" s="155">
        <f t="shared" ca="1" si="1522"/>
        <v>0.01</v>
      </c>
      <c r="CI100" s="155">
        <f t="shared" ca="1" si="1523"/>
        <v>0</v>
      </c>
      <c r="CJ100" s="155">
        <f t="shared" ca="1" si="1524"/>
        <v>0</v>
      </c>
      <c r="CK100" s="155">
        <f ca="1">'유해지 (기준P)'!CZ100</f>
        <v>0</v>
      </c>
      <c r="CL100" s="155">
        <f t="shared" ca="1" si="1465"/>
        <v>0</v>
      </c>
      <c r="CM100" s="155">
        <f t="shared" ca="1" si="1525"/>
        <v>0</v>
      </c>
      <c r="CN100" s="155">
        <f ca="1">SUM(CM100:$CM$124)</f>
        <v>0</v>
      </c>
      <c r="CO100" s="101">
        <f t="shared" ca="1" si="1526"/>
        <v>0</v>
      </c>
      <c r="CP100" s="154">
        <f t="shared" ca="1" si="1466"/>
        <v>0</v>
      </c>
      <c r="CQ100" s="154">
        <f t="shared" ca="1" si="1467"/>
        <v>0</v>
      </c>
      <c r="CR100" s="32">
        <f t="shared" ref="CR100" ca="1" si="2012">+MAX(VLOOKUP(xB+$R100,기수표B,$AH$1)-VLOOKUP(xB+mB,기수표B,$AH$1),0)</f>
        <v>0</v>
      </c>
      <c r="CS100" s="32">
        <f t="shared" ca="1" si="1469"/>
        <v>0</v>
      </c>
      <c r="CT100" s="32">
        <f t="shared" ref="CT100" ca="1" si="2013">+MAX(VLOOKUP(xB+$R100,기수표B,$AA$1)-VLOOKUP(xB+mB,기수표B,$AA$1),0)</f>
        <v>0</v>
      </c>
      <c r="CU100" s="32">
        <f t="shared" ca="1" si="1471"/>
        <v>0</v>
      </c>
      <c r="CV100" s="32">
        <f t="shared" si="1472"/>
        <v>0</v>
      </c>
      <c r="CW100" s="259">
        <f t="shared" ca="1" si="1473"/>
        <v>0</v>
      </c>
      <c r="CX100" s="32">
        <f t="shared" ca="1" si="1474"/>
        <v>0</v>
      </c>
      <c r="CY100" s="262">
        <f t="shared" ca="1" si="1475"/>
        <v>0</v>
      </c>
      <c r="CZ100" s="259" t="e">
        <f t="shared" ca="1" si="1476"/>
        <v>#DIV/0!</v>
      </c>
      <c r="DA100" s="31">
        <f t="shared" ref="DA100" ca="1" si="2014">+MIN(mB,7)</f>
        <v>7</v>
      </c>
    </row>
    <row r="101" spans="3:105">
      <c r="N101" s="5">
        <f t="shared" si="1530"/>
        <v>89</v>
      </c>
      <c r="O101" s="2">
        <f t="shared" ref="O101" ca="1" si="2015">+(1+iB)^-N101</f>
        <v>0.13802724369923108</v>
      </c>
      <c r="P101" s="2">
        <f t="shared" ref="P101" ca="1" si="2016">+(1+iB)^-(N101+0.5)</f>
        <v>0.13650015898038095</v>
      </c>
      <c r="Q101" s="91"/>
      <c r="R101" s="20">
        <f t="shared" si="1533"/>
        <v>89</v>
      </c>
      <c r="S101" s="20" t="str">
        <f t="shared" ref="S101" si="2017">+IF(xB+R101&lt;=xB+nB,xB+R101,"")</f>
        <v/>
      </c>
      <c r="T101" s="2">
        <f t="shared" ref="T101:U101" ca="1" si="2018">IFERROR(VLOOKUP($S101,qx_table,MATCH(T$11,qx_title,0)+sexB),0)</f>
        <v>0</v>
      </c>
      <c r="U101" s="2">
        <f t="shared" ca="1" si="2018"/>
        <v>0</v>
      </c>
      <c r="V101" s="300">
        <f t="shared" ca="1" si="1443"/>
        <v>0.01</v>
      </c>
      <c r="W101" s="8">
        <f t="shared" ref="W101" si="2019">IF(R101=0,100000,IF(R101&gt;nB,0,W100*(1-X100)*(1-Y100)))</f>
        <v>0</v>
      </c>
      <c r="X101" s="10">
        <f t="shared" ca="1" si="1445"/>
        <v>1.0000000000000009E-2</v>
      </c>
      <c r="Y101" s="10">
        <f t="shared" ca="1" si="1446"/>
        <v>0</v>
      </c>
      <c r="Z101" s="5">
        <f t="shared" ca="1" si="1483"/>
        <v>0</v>
      </c>
      <c r="AA101" s="5">
        <f ca="1">+SUM(Z101:Z$124)</f>
        <v>0</v>
      </c>
      <c r="AB101" s="8">
        <f t="shared" ca="1" si="1447"/>
        <v>0</v>
      </c>
      <c r="AC101" s="209">
        <f ca="1">+SUM(AB101:AB$124)*SSSM</f>
        <v>0</v>
      </c>
      <c r="AD101" s="209">
        <f t="shared" ref="AD101" si="2020">IF(R101&gt;nB,0,AD100*(1-X100)*(1-Y100)*(1-AE100)*(1-AF100))</f>
        <v>0</v>
      </c>
      <c r="AE101" s="92">
        <f t="shared" ca="1" si="1449"/>
        <v>0</v>
      </c>
      <c r="AF101" s="92">
        <f t="shared" ca="1" si="1450"/>
        <v>0</v>
      </c>
      <c r="AG101" s="8">
        <f t="shared" ca="1" si="1451"/>
        <v>0</v>
      </c>
      <c r="AH101" s="5">
        <f ca="1">+SUM(AG101:AG$124)</f>
        <v>0</v>
      </c>
      <c r="AI101" s="70">
        <f t="shared" ca="1" si="1452"/>
        <v>0</v>
      </c>
      <c r="AJ101" s="208">
        <f ca="1">+SUM(AB101:AB$124)*SS50J</f>
        <v>0</v>
      </c>
      <c r="AK101" s="5">
        <f t="shared" ca="1" si="1485"/>
        <v>19376.777884959862</v>
      </c>
      <c r="AL101" s="2">
        <f t="shared" ref="AL101" ca="1" si="2021">IFERROR(VLOOKUP($S101,qx_table,MATCH(AL$11,qx_title,0)+sexB),0)</f>
        <v>0</v>
      </c>
      <c r="AM101" s="131">
        <f t="shared" ca="1" si="1487"/>
        <v>2674.5232432332264</v>
      </c>
      <c r="AN101" s="129">
        <f t="shared" ca="1" si="1488"/>
        <v>0</v>
      </c>
      <c r="AO101" s="129">
        <f ca="1">SUM(AN101:AN$124)*SSa</f>
        <v>0</v>
      </c>
      <c r="AP101" s="70">
        <f t="shared" ca="1" si="1489"/>
        <v>19376.777884959862</v>
      </c>
      <c r="AQ101" s="2">
        <f t="shared" ref="AQ101" ca="1" si="2022">IFERROR(VLOOKUP($S101,qx_table,MATCH(AQ$11,qx_title,0)+sexB),0)</f>
        <v>0</v>
      </c>
      <c r="AR101" s="127">
        <f t="shared" ca="1" si="1491"/>
        <v>0</v>
      </c>
      <c r="AS101" s="127">
        <f ca="1">SUM(AR101:AR$124)*SSb</f>
        <v>0</v>
      </c>
      <c r="AT101" s="70">
        <f t="shared" ca="1" si="1492"/>
        <v>19376.777884959862</v>
      </c>
      <c r="AU101" s="2">
        <f t="shared" ref="AU101" ca="1" si="2023">IFERROR(VLOOKUP($S101,qx_table,MATCH(AU$11,qx_title,0)+sexB),0)</f>
        <v>0</v>
      </c>
      <c r="AV101" s="268">
        <f t="shared" ca="1" si="1494"/>
        <v>0</v>
      </c>
      <c r="AW101" s="131">
        <f ca="1">SUM(AV101:AV$124)*SSc</f>
        <v>0</v>
      </c>
      <c r="AX101" s="70">
        <f t="shared" ca="1" si="1495"/>
        <v>19376.777884959862</v>
      </c>
      <c r="AY101" s="2">
        <f t="shared" ref="AY101" ca="1" si="2024">IFERROR(VLOOKUP($S101,qx_table,MATCH(AY$11,qx_title,0)+sexB),0)</f>
        <v>0</v>
      </c>
      <c r="AZ101" s="268">
        <f t="shared" ca="1" si="1497"/>
        <v>0</v>
      </c>
      <c r="BA101" s="129">
        <f ca="1">SUM(AZ101:AZ$124)*SSd</f>
        <v>0</v>
      </c>
      <c r="BB101" s="70">
        <f t="shared" ca="1" si="1498"/>
        <v>19376.777884959862</v>
      </c>
      <c r="BC101" s="257">
        <f t="shared" ref="BC101" ca="1" si="2025">IFERROR(VLOOKUP($S101,qx_table,MATCH(BC$11,qx_title,0)+sexB),0)</f>
        <v>0</v>
      </c>
      <c r="BD101" s="268">
        <f t="shared" ca="1" si="1500"/>
        <v>0</v>
      </c>
      <c r="BE101" s="131">
        <f ca="1">SUM(BD101:BD$124)*SSe</f>
        <v>0</v>
      </c>
      <c r="BF101" s="70">
        <f t="shared" ca="1" si="1501"/>
        <v>19376.777884959862</v>
      </c>
      <c r="BG101" s="2">
        <f t="shared" ref="BG101" ca="1" si="2026">IFERROR(VLOOKUP($S101,qx_table,MATCH(BG$11,qx_title,0)+sexB),0)</f>
        <v>0</v>
      </c>
      <c r="BH101" s="131">
        <f t="shared" ca="1" si="1503"/>
        <v>0</v>
      </c>
      <c r="BI101" s="2">
        <f ca="1">SUM(BH101:BH$124)*SSf</f>
        <v>0</v>
      </c>
      <c r="BJ101" s="70">
        <f t="shared" ca="1" si="1504"/>
        <v>19376.777884959862</v>
      </c>
      <c r="BK101" s="2">
        <f t="shared" ref="BK101" ca="1" si="2027">IFERROR(VLOOKUP($S101,qx_table,MATCH(BK$11,qx_title,0)+sexB),0)</f>
        <v>0</v>
      </c>
      <c r="BL101" s="131">
        <f t="shared" ca="1" si="1506"/>
        <v>0</v>
      </c>
      <c r="BM101" s="131">
        <f ca="1">SUM(BL101:BL$124)*SSg</f>
        <v>0</v>
      </c>
      <c r="BN101" s="70">
        <f t="shared" ca="1" si="1507"/>
        <v>19376.777884959862</v>
      </c>
      <c r="BO101" s="2">
        <f t="shared" ref="BO101" ca="1" si="2028">IFERROR(VLOOKUP($S101,qx_table,MATCH(BO$11,qx_title,0)+sexB),0)</f>
        <v>0</v>
      </c>
      <c r="BP101" s="131">
        <f t="shared" ca="1" si="1509"/>
        <v>0</v>
      </c>
      <c r="BQ101" s="131">
        <f ca="1">SUM(BP101:BP$124)*SSh</f>
        <v>0</v>
      </c>
      <c r="BR101" s="70">
        <f t="shared" ca="1" si="1510"/>
        <v>19376.777884959862</v>
      </c>
      <c r="BS101" s="2">
        <f t="shared" ref="BS101" ca="1" si="2029">IFERROR(VLOOKUP($S101,qx_table,MATCH(BS$11,qx_title,0)+sexB),0)*IF(R101=0,MCi,1)</f>
        <v>0</v>
      </c>
      <c r="BT101" s="131">
        <f t="shared" ca="1" si="1512"/>
        <v>0</v>
      </c>
      <c r="BU101" s="131">
        <f ca="1">SUM(BT101:BT$124)*SSi</f>
        <v>0</v>
      </c>
      <c r="BV101" s="70">
        <f t="shared" ca="1" si="1513"/>
        <v>19376.777884959862</v>
      </c>
      <c r="BW101" s="2">
        <f t="shared" ref="BW101" ca="1" si="2030">IFERROR(VLOOKUP($S101,qx_table,MATCH(BW$11,qx_title,0)+sexB),0)</f>
        <v>0</v>
      </c>
      <c r="BX101" s="131">
        <f t="shared" ca="1" si="1515"/>
        <v>0</v>
      </c>
      <c r="BY101" s="131">
        <f ca="1">SUM(BX101:BX$124)*SSj</f>
        <v>0</v>
      </c>
      <c r="BZ101" s="70">
        <f t="shared" ca="1" si="1516"/>
        <v>19376.777884959862</v>
      </c>
      <c r="CA101" s="2">
        <f t="shared" ref="CA101" ca="1" si="2031">IFERROR(VLOOKUP($S101,qx_table,MATCH(CA$11,qx_title,0)+sexB),0)</f>
        <v>0</v>
      </c>
      <c r="CB101" s="131">
        <f t="shared" ca="1" si="1518"/>
        <v>0</v>
      </c>
      <c r="CC101" s="131">
        <f ca="1">SUM(CB101:CB$124)*SSk</f>
        <v>0</v>
      </c>
      <c r="CD101" s="8">
        <f t="shared" ca="1" si="1519"/>
        <v>19376.777884959862</v>
      </c>
      <c r="CE101" s="2">
        <f t="shared" ref="CE101" ca="1" si="2032">IFERROR(VLOOKUP($S101,qx_table,MATCH(CE$11,qx_title,0)+sexB),0)</f>
        <v>0</v>
      </c>
      <c r="CF101" s="131">
        <f t="shared" ca="1" si="1521"/>
        <v>0</v>
      </c>
      <c r="CG101" s="131">
        <f ca="1">SUM(CF101:CF$124)*SSl</f>
        <v>0</v>
      </c>
      <c r="CH101" s="155">
        <f t="shared" ca="1" si="1522"/>
        <v>0.01</v>
      </c>
      <c r="CI101" s="155">
        <f t="shared" ca="1" si="1523"/>
        <v>0</v>
      </c>
      <c r="CJ101" s="155">
        <f t="shared" ca="1" si="1524"/>
        <v>0</v>
      </c>
      <c r="CK101" s="155">
        <f ca="1">'유해지 (기준P)'!CZ101</f>
        <v>0</v>
      </c>
      <c r="CL101" s="155">
        <f t="shared" ca="1" si="1465"/>
        <v>0</v>
      </c>
      <c r="CM101" s="155">
        <f t="shared" ca="1" si="1525"/>
        <v>0</v>
      </c>
      <c r="CN101" s="155">
        <f ca="1">SUM(CM101:$CM$124)</f>
        <v>0</v>
      </c>
      <c r="CO101" s="101">
        <f t="shared" ca="1" si="1526"/>
        <v>0</v>
      </c>
      <c r="CP101" s="154">
        <f t="shared" ca="1" si="1466"/>
        <v>0</v>
      </c>
      <c r="CQ101" s="154">
        <f t="shared" ca="1" si="1467"/>
        <v>0</v>
      </c>
      <c r="CR101" s="32">
        <f t="shared" ref="CR101" ca="1" si="2033">+MAX(VLOOKUP(xB+$R101,기수표B,$AH$1)-VLOOKUP(xB+mB,기수표B,$AH$1),0)</f>
        <v>0</v>
      </c>
      <c r="CS101" s="32">
        <f t="shared" ca="1" si="1469"/>
        <v>0</v>
      </c>
      <c r="CT101" s="32">
        <f t="shared" ref="CT101" ca="1" si="2034">+MAX(VLOOKUP(xB+$R101,기수표B,$AA$1)-VLOOKUP(xB+mB,기수표B,$AA$1),0)</f>
        <v>0</v>
      </c>
      <c r="CU101" s="32">
        <f t="shared" ca="1" si="1471"/>
        <v>0</v>
      </c>
      <c r="CV101" s="32">
        <f t="shared" si="1472"/>
        <v>0</v>
      </c>
      <c r="CW101" s="259">
        <f t="shared" ca="1" si="1473"/>
        <v>0</v>
      </c>
      <c r="CX101" s="32">
        <f t="shared" ca="1" si="1474"/>
        <v>0</v>
      </c>
      <c r="CY101" s="262">
        <f t="shared" ca="1" si="1475"/>
        <v>0</v>
      </c>
      <c r="CZ101" s="259" t="e">
        <f t="shared" ca="1" si="1476"/>
        <v>#DIV/0!</v>
      </c>
      <c r="DA101" s="31">
        <f t="shared" ref="DA101" ca="1" si="2035">+MIN(mB,7)</f>
        <v>7</v>
      </c>
    </row>
    <row r="102" spans="3:105">
      <c r="N102" s="5">
        <f t="shared" si="1530"/>
        <v>90</v>
      </c>
      <c r="O102" s="2">
        <f t="shared" ref="O102" ca="1" si="2036">+(1+iB)^-N102</f>
        <v>0.13498996938800106</v>
      </c>
      <c r="P102" s="2">
        <f t="shared" ref="P102" ca="1" si="2037">+(1+iB)^-(N102+0.5)</f>
        <v>0.13349648800037262</v>
      </c>
      <c r="Q102" s="91"/>
      <c r="R102" s="20">
        <f t="shared" si="1533"/>
        <v>90</v>
      </c>
      <c r="S102" s="20" t="str">
        <f t="shared" ref="S102" si="2038">+IF(xB+R102&lt;=xB+nB,xB+R102,"")</f>
        <v/>
      </c>
      <c r="T102" s="2">
        <f t="shared" ref="T102:U102" ca="1" si="2039">IFERROR(VLOOKUP($S102,qx_table,MATCH(T$11,qx_title,0)+sexB),0)</f>
        <v>0</v>
      </c>
      <c r="U102" s="2">
        <f t="shared" ca="1" si="2039"/>
        <v>0</v>
      </c>
      <c r="V102" s="300">
        <f t="shared" ca="1" si="1443"/>
        <v>0.01</v>
      </c>
      <c r="W102" s="8">
        <f t="shared" ref="W102" si="2040">IF(R102=0,100000,IF(R102&gt;nB,0,W101*(1-X101)*(1-Y101)))</f>
        <v>0</v>
      </c>
      <c r="X102" s="10">
        <f t="shared" ca="1" si="1445"/>
        <v>1.0000000000000009E-2</v>
      </c>
      <c r="Y102" s="10">
        <f t="shared" ca="1" si="1446"/>
        <v>0</v>
      </c>
      <c r="Z102" s="5">
        <f t="shared" ca="1" si="1483"/>
        <v>0</v>
      </c>
      <c r="AA102" s="5">
        <f ca="1">+SUM(Z102:Z$124)</f>
        <v>0</v>
      </c>
      <c r="AB102" s="8">
        <f t="shared" ca="1" si="1447"/>
        <v>0</v>
      </c>
      <c r="AC102" s="209">
        <f ca="1">+SUM(AB102:AB$124)*SSSM</f>
        <v>0</v>
      </c>
      <c r="AD102" s="209">
        <f t="shared" ref="AD102" si="2041">IF(R102&gt;nB,0,AD101*(1-X101)*(1-Y101)*(1-AE101)*(1-AF101))</f>
        <v>0</v>
      </c>
      <c r="AE102" s="92">
        <f t="shared" ca="1" si="1449"/>
        <v>0</v>
      </c>
      <c r="AF102" s="92">
        <f t="shared" ca="1" si="1450"/>
        <v>0</v>
      </c>
      <c r="AG102" s="8">
        <f t="shared" ca="1" si="1451"/>
        <v>0</v>
      </c>
      <c r="AH102" s="5">
        <f ca="1">+SUM(AG102:AG$124)</f>
        <v>0</v>
      </c>
      <c r="AI102" s="70">
        <f t="shared" ca="1" si="1452"/>
        <v>0</v>
      </c>
      <c r="AJ102" s="208">
        <f ca="1">+SUM(AB102:AB$124)*SS50J</f>
        <v>0</v>
      </c>
      <c r="AK102" s="5">
        <f t="shared" ca="1" si="1485"/>
        <v>19183.010106110261</v>
      </c>
      <c r="AL102" s="2">
        <f t="shared" ref="AL102" ca="1" si="2042">IFERROR(VLOOKUP($S102,qx_table,MATCH(AL$11,qx_title,0)+sexB),0)</f>
        <v>0</v>
      </c>
      <c r="AM102" s="131">
        <f t="shared" ca="1" si="1487"/>
        <v>2589.5139469935393</v>
      </c>
      <c r="AN102" s="129">
        <f t="shared" ca="1" si="1488"/>
        <v>0</v>
      </c>
      <c r="AO102" s="129">
        <f ca="1">SUM(AN102:AN$124)*SSa</f>
        <v>0</v>
      </c>
      <c r="AP102" s="70">
        <f t="shared" ca="1" si="1489"/>
        <v>19183.010106110261</v>
      </c>
      <c r="AQ102" s="2">
        <f t="shared" ref="AQ102" ca="1" si="2043">IFERROR(VLOOKUP($S102,qx_table,MATCH(AQ$11,qx_title,0)+sexB),0)</f>
        <v>0</v>
      </c>
      <c r="AR102" s="127">
        <f t="shared" ca="1" si="1491"/>
        <v>0</v>
      </c>
      <c r="AS102" s="127">
        <f ca="1">SUM(AR102:AR$124)*SSb</f>
        <v>0</v>
      </c>
      <c r="AT102" s="70">
        <f t="shared" ca="1" si="1492"/>
        <v>19183.010106110261</v>
      </c>
      <c r="AU102" s="2">
        <f t="shared" ref="AU102" ca="1" si="2044">IFERROR(VLOOKUP($S102,qx_table,MATCH(AU$11,qx_title,0)+sexB),0)</f>
        <v>0</v>
      </c>
      <c r="AV102" s="268">
        <f t="shared" ca="1" si="1494"/>
        <v>0</v>
      </c>
      <c r="AW102" s="131">
        <f ca="1">SUM(AV102:AV$124)*SSc</f>
        <v>0</v>
      </c>
      <c r="AX102" s="70">
        <f t="shared" ca="1" si="1495"/>
        <v>19183.010106110261</v>
      </c>
      <c r="AY102" s="2">
        <f t="shared" ref="AY102" ca="1" si="2045">IFERROR(VLOOKUP($S102,qx_table,MATCH(AY$11,qx_title,0)+sexB),0)</f>
        <v>0</v>
      </c>
      <c r="AZ102" s="268">
        <f t="shared" ca="1" si="1497"/>
        <v>0</v>
      </c>
      <c r="BA102" s="129">
        <f ca="1">SUM(AZ102:AZ$124)*SSd</f>
        <v>0</v>
      </c>
      <c r="BB102" s="70">
        <f t="shared" ca="1" si="1498"/>
        <v>19183.010106110261</v>
      </c>
      <c r="BC102" s="257">
        <f t="shared" ref="BC102" ca="1" si="2046">IFERROR(VLOOKUP($S102,qx_table,MATCH(BC$11,qx_title,0)+sexB),0)</f>
        <v>0</v>
      </c>
      <c r="BD102" s="268">
        <f t="shared" ca="1" si="1500"/>
        <v>0</v>
      </c>
      <c r="BE102" s="131">
        <f ca="1">SUM(BD102:BD$124)*SSe</f>
        <v>0</v>
      </c>
      <c r="BF102" s="70">
        <f t="shared" ca="1" si="1501"/>
        <v>19183.010106110261</v>
      </c>
      <c r="BG102" s="2">
        <f t="shared" ref="BG102" ca="1" si="2047">IFERROR(VLOOKUP($S102,qx_table,MATCH(BG$11,qx_title,0)+sexB),0)</f>
        <v>0</v>
      </c>
      <c r="BH102" s="131">
        <f t="shared" ca="1" si="1503"/>
        <v>0</v>
      </c>
      <c r="BI102" s="2">
        <f ca="1">SUM(BH102:BH$124)*SSf</f>
        <v>0</v>
      </c>
      <c r="BJ102" s="70">
        <f t="shared" ca="1" si="1504"/>
        <v>19183.010106110261</v>
      </c>
      <c r="BK102" s="2">
        <f t="shared" ref="BK102" ca="1" si="2048">IFERROR(VLOOKUP($S102,qx_table,MATCH(BK$11,qx_title,0)+sexB),0)</f>
        <v>0</v>
      </c>
      <c r="BL102" s="131">
        <f t="shared" ca="1" si="1506"/>
        <v>0</v>
      </c>
      <c r="BM102" s="131">
        <f ca="1">SUM(BL102:BL$124)*SSg</f>
        <v>0</v>
      </c>
      <c r="BN102" s="70">
        <f t="shared" ca="1" si="1507"/>
        <v>19183.010106110261</v>
      </c>
      <c r="BO102" s="2">
        <f t="shared" ref="BO102" ca="1" si="2049">IFERROR(VLOOKUP($S102,qx_table,MATCH(BO$11,qx_title,0)+sexB),0)</f>
        <v>0</v>
      </c>
      <c r="BP102" s="131">
        <f t="shared" ca="1" si="1509"/>
        <v>0</v>
      </c>
      <c r="BQ102" s="131">
        <f ca="1">SUM(BP102:BP$124)*SSh</f>
        <v>0</v>
      </c>
      <c r="BR102" s="70">
        <f t="shared" ca="1" si="1510"/>
        <v>19183.010106110261</v>
      </c>
      <c r="BS102" s="2">
        <f t="shared" ref="BS102" ca="1" si="2050">IFERROR(VLOOKUP($S102,qx_table,MATCH(BS$11,qx_title,0)+sexB),0)*IF(R102=0,MCi,1)</f>
        <v>0</v>
      </c>
      <c r="BT102" s="131">
        <f t="shared" ca="1" si="1512"/>
        <v>0</v>
      </c>
      <c r="BU102" s="131">
        <f ca="1">SUM(BT102:BT$124)*SSi</f>
        <v>0</v>
      </c>
      <c r="BV102" s="70">
        <f t="shared" ca="1" si="1513"/>
        <v>19183.010106110261</v>
      </c>
      <c r="BW102" s="2">
        <f t="shared" ref="BW102" ca="1" si="2051">IFERROR(VLOOKUP($S102,qx_table,MATCH(BW$11,qx_title,0)+sexB),0)</f>
        <v>0</v>
      </c>
      <c r="BX102" s="131">
        <f t="shared" ca="1" si="1515"/>
        <v>0</v>
      </c>
      <c r="BY102" s="131">
        <f ca="1">SUM(BX102:BX$124)*SSj</f>
        <v>0</v>
      </c>
      <c r="BZ102" s="70">
        <f t="shared" ca="1" si="1516"/>
        <v>19183.010106110261</v>
      </c>
      <c r="CA102" s="2">
        <f t="shared" ref="CA102" ca="1" si="2052">IFERROR(VLOOKUP($S102,qx_table,MATCH(CA$11,qx_title,0)+sexB),0)</f>
        <v>0</v>
      </c>
      <c r="CB102" s="131">
        <f t="shared" ca="1" si="1518"/>
        <v>0</v>
      </c>
      <c r="CC102" s="131">
        <f ca="1">SUM(CB102:CB$124)*SSk</f>
        <v>0</v>
      </c>
      <c r="CD102" s="8">
        <f t="shared" ca="1" si="1519"/>
        <v>19183.010106110261</v>
      </c>
      <c r="CE102" s="2">
        <f t="shared" ref="CE102" ca="1" si="2053">IFERROR(VLOOKUP($S102,qx_table,MATCH(CE$11,qx_title,0)+sexB),0)</f>
        <v>0</v>
      </c>
      <c r="CF102" s="131">
        <f t="shared" ca="1" si="1521"/>
        <v>0</v>
      </c>
      <c r="CG102" s="131">
        <f ca="1">SUM(CF102:CF$124)*SSl</f>
        <v>0</v>
      </c>
      <c r="CH102" s="155">
        <f t="shared" ca="1" si="1522"/>
        <v>0.01</v>
      </c>
      <c r="CI102" s="155">
        <f t="shared" ca="1" si="1523"/>
        <v>0</v>
      </c>
      <c r="CJ102" s="155">
        <f t="shared" ca="1" si="1524"/>
        <v>0</v>
      </c>
      <c r="CK102" s="155">
        <f ca="1">'유해지 (기준P)'!CZ102</f>
        <v>0</v>
      </c>
      <c r="CL102" s="155">
        <f t="shared" ca="1" si="1465"/>
        <v>0</v>
      </c>
      <c r="CM102" s="155">
        <f t="shared" ca="1" si="1525"/>
        <v>0</v>
      </c>
      <c r="CN102" s="155">
        <f ca="1">SUM(CM102:$CM$124)</f>
        <v>0</v>
      </c>
      <c r="CO102" s="101">
        <f t="shared" ca="1" si="1526"/>
        <v>0</v>
      </c>
      <c r="CP102" s="154">
        <f t="shared" ca="1" si="1466"/>
        <v>0</v>
      </c>
      <c r="CQ102" s="154">
        <f t="shared" ca="1" si="1467"/>
        <v>0</v>
      </c>
      <c r="CR102" s="32">
        <f t="shared" ref="CR102" ca="1" si="2054">+MAX(VLOOKUP(xB+$R102,기수표B,$AH$1)-VLOOKUP(xB+mB,기수표B,$AH$1),0)</f>
        <v>0</v>
      </c>
      <c r="CS102" s="32">
        <f t="shared" ca="1" si="1469"/>
        <v>0</v>
      </c>
      <c r="CT102" s="32">
        <f t="shared" ref="CT102" ca="1" si="2055">+MAX(VLOOKUP(xB+$R102,기수표B,$AA$1)-VLOOKUP(xB+mB,기수표B,$AA$1),0)</f>
        <v>0</v>
      </c>
      <c r="CU102" s="32">
        <f t="shared" ca="1" si="1471"/>
        <v>0</v>
      </c>
      <c r="CV102" s="32">
        <f t="shared" si="1472"/>
        <v>0</v>
      </c>
      <c r="CW102" s="259">
        <f t="shared" ca="1" si="1473"/>
        <v>0</v>
      </c>
      <c r="CX102" s="32">
        <f t="shared" ca="1" si="1474"/>
        <v>0</v>
      </c>
      <c r="CY102" s="262">
        <f t="shared" ca="1" si="1475"/>
        <v>0</v>
      </c>
      <c r="CZ102" s="259" t="e">
        <f t="shared" ca="1" si="1476"/>
        <v>#DIV/0!</v>
      </c>
      <c r="DA102" s="31">
        <f t="shared" ref="DA102" ca="1" si="2056">+MIN(mB,7)</f>
        <v>7</v>
      </c>
    </row>
    <row r="103" spans="3:105">
      <c r="N103" s="5">
        <f t="shared" si="1530"/>
        <v>91</v>
      </c>
      <c r="O103" s="2">
        <f t="shared" ref="O103" ca="1" si="2057">+(1+iB)^-N103</f>
        <v>0.13201952996381525</v>
      </c>
      <c r="P103" s="2">
        <f t="shared" ref="P103" ca="1" si="2058">+(1+iB)^-(N103+0.5)</f>
        <v>0.13055891246980203</v>
      </c>
      <c r="Q103" s="91"/>
      <c r="R103" s="20">
        <f t="shared" si="1533"/>
        <v>91</v>
      </c>
      <c r="S103" s="20" t="str">
        <f t="shared" ref="S103" si="2059">+IF(xB+R103&lt;=xB+nB,xB+R103,"")</f>
        <v/>
      </c>
      <c r="T103" s="2">
        <f t="shared" ref="T103:U103" ca="1" si="2060">IFERROR(VLOOKUP($S103,qx_table,MATCH(T$11,qx_title,0)+sexB),0)</f>
        <v>0</v>
      </c>
      <c r="U103" s="2">
        <f t="shared" ca="1" si="2060"/>
        <v>0</v>
      </c>
      <c r="V103" s="300">
        <f t="shared" ca="1" si="1443"/>
        <v>0.01</v>
      </c>
      <c r="W103" s="8">
        <f t="shared" ref="W103" si="2061">IF(R103=0,100000,IF(R103&gt;nB,0,W102*(1-X102)*(1-Y102)))</f>
        <v>0</v>
      </c>
      <c r="X103" s="10">
        <f t="shared" ca="1" si="1445"/>
        <v>1.0000000000000009E-2</v>
      </c>
      <c r="Y103" s="10">
        <f t="shared" ca="1" si="1446"/>
        <v>0</v>
      </c>
      <c r="Z103" s="5">
        <f t="shared" ca="1" si="1483"/>
        <v>0</v>
      </c>
      <c r="AA103" s="5">
        <f ca="1">+SUM(Z103:Z$124)</f>
        <v>0</v>
      </c>
      <c r="AB103" s="8">
        <f t="shared" ca="1" si="1447"/>
        <v>0</v>
      </c>
      <c r="AC103" s="209">
        <f ca="1">+SUM(AB103:AB$124)*SSSM</f>
        <v>0</v>
      </c>
      <c r="AD103" s="209">
        <f t="shared" ref="AD103" si="2062">IF(R103&gt;nB,0,AD102*(1-X102)*(1-Y102)*(1-AE102)*(1-AF102))</f>
        <v>0</v>
      </c>
      <c r="AE103" s="92">
        <f t="shared" ca="1" si="1449"/>
        <v>0</v>
      </c>
      <c r="AF103" s="92">
        <f t="shared" ca="1" si="1450"/>
        <v>0</v>
      </c>
      <c r="AG103" s="8">
        <f t="shared" ca="1" si="1451"/>
        <v>0</v>
      </c>
      <c r="AH103" s="5">
        <f ca="1">+SUM(AG103:AG$124)</f>
        <v>0</v>
      </c>
      <c r="AI103" s="70">
        <f t="shared" ca="1" si="1452"/>
        <v>0</v>
      </c>
      <c r="AJ103" s="208">
        <f ca="1">+SUM(AB103:AB$124)*SS50J</f>
        <v>0</v>
      </c>
      <c r="AK103" s="5">
        <f t="shared" ca="1" si="1485"/>
        <v>18991.180005049158</v>
      </c>
      <c r="AL103" s="2">
        <f t="shared" ref="AL103" ca="1" si="2063">IFERROR(VLOOKUP($S103,qx_table,MATCH(AL$11,qx_title,0)+sexB),0)</f>
        <v>0</v>
      </c>
      <c r="AM103" s="131">
        <f t="shared" ca="1" si="1487"/>
        <v>2507.2066577247965</v>
      </c>
      <c r="AN103" s="129">
        <f t="shared" ca="1" si="1488"/>
        <v>0</v>
      </c>
      <c r="AO103" s="129">
        <f ca="1">SUM(AN103:AN$124)*SSa</f>
        <v>0</v>
      </c>
      <c r="AP103" s="70">
        <f t="shared" ca="1" si="1489"/>
        <v>18991.180005049158</v>
      </c>
      <c r="AQ103" s="2">
        <f t="shared" ref="AQ103" ca="1" si="2064">IFERROR(VLOOKUP($S103,qx_table,MATCH(AQ$11,qx_title,0)+sexB),0)</f>
        <v>0</v>
      </c>
      <c r="AR103" s="127">
        <f t="shared" ca="1" si="1491"/>
        <v>0</v>
      </c>
      <c r="AS103" s="127">
        <f ca="1">SUM(AR103:AR$124)*SSb</f>
        <v>0</v>
      </c>
      <c r="AT103" s="70">
        <f t="shared" ca="1" si="1492"/>
        <v>18991.180005049158</v>
      </c>
      <c r="AU103" s="2">
        <f t="shared" ref="AU103" ca="1" si="2065">IFERROR(VLOOKUP($S103,qx_table,MATCH(AU$11,qx_title,0)+sexB),0)</f>
        <v>0</v>
      </c>
      <c r="AV103" s="268">
        <f t="shared" ca="1" si="1494"/>
        <v>0</v>
      </c>
      <c r="AW103" s="131">
        <f ca="1">SUM(AV103:AV$124)*SSc</f>
        <v>0</v>
      </c>
      <c r="AX103" s="70">
        <f t="shared" ca="1" si="1495"/>
        <v>18991.180005049158</v>
      </c>
      <c r="AY103" s="2">
        <f t="shared" ref="AY103" ca="1" si="2066">IFERROR(VLOOKUP($S103,qx_table,MATCH(AY$11,qx_title,0)+sexB),0)</f>
        <v>0</v>
      </c>
      <c r="AZ103" s="268">
        <f t="shared" ca="1" si="1497"/>
        <v>0</v>
      </c>
      <c r="BA103" s="129">
        <f ca="1">SUM(AZ103:AZ$124)*SSd</f>
        <v>0</v>
      </c>
      <c r="BB103" s="70">
        <f t="shared" ca="1" si="1498"/>
        <v>18991.180005049158</v>
      </c>
      <c r="BC103" s="257">
        <f t="shared" ref="BC103" ca="1" si="2067">IFERROR(VLOOKUP($S103,qx_table,MATCH(BC$11,qx_title,0)+sexB),0)</f>
        <v>0</v>
      </c>
      <c r="BD103" s="268">
        <f t="shared" ca="1" si="1500"/>
        <v>0</v>
      </c>
      <c r="BE103" s="131">
        <f ca="1">SUM(BD103:BD$124)*SSe</f>
        <v>0</v>
      </c>
      <c r="BF103" s="70">
        <f t="shared" ca="1" si="1501"/>
        <v>18991.180005049158</v>
      </c>
      <c r="BG103" s="2">
        <f t="shared" ref="BG103" ca="1" si="2068">IFERROR(VLOOKUP($S103,qx_table,MATCH(BG$11,qx_title,0)+sexB),0)</f>
        <v>0</v>
      </c>
      <c r="BH103" s="131">
        <f t="shared" ca="1" si="1503"/>
        <v>0</v>
      </c>
      <c r="BI103" s="2">
        <f ca="1">SUM(BH103:BH$124)*SSf</f>
        <v>0</v>
      </c>
      <c r="BJ103" s="70">
        <f t="shared" ca="1" si="1504"/>
        <v>18991.180005049158</v>
      </c>
      <c r="BK103" s="2">
        <f t="shared" ref="BK103" ca="1" si="2069">IFERROR(VLOOKUP($S103,qx_table,MATCH(BK$11,qx_title,0)+sexB),0)</f>
        <v>0</v>
      </c>
      <c r="BL103" s="131">
        <f t="shared" ca="1" si="1506"/>
        <v>0</v>
      </c>
      <c r="BM103" s="131">
        <f ca="1">SUM(BL103:BL$124)*SSg</f>
        <v>0</v>
      </c>
      <c r="BN103" s="70">
        <f t="shared" ca="1" si="1507"/>
        <v>18991.180005049158</v>
      </c>
      <c r="BO103" s="2">
        <f t="shared" ref="BO103" ca="1" si="2070">IFERROR(VLOOKUP($S103,qx_table,MATCH(BO$11,qx_title,0)+sexB),0)</f>
        <v>0</v>
      </c>
      <c r="BP103" s="131">
        <f t="shared" ca="1" si="1509"/>
        <v>0</v>
      </c>
      <c r="BQ103" s="131">
        <f ca="1">SUM(BP103:BP$124)*SSh</f>
        <v>0</v>
      </c>
      <c r="BR103" s="70">
        <f t="shared" ca="1" si="1510"/>
        <v>18991.180005049158</v>
      </c>
      <c r="BS103" s="2">
        <f t="shared" ref="BS103" ca="1" si="2071">IFERROR(VLOOKUP($S103,qx_table,MATCH(BS$11,qx_title,0)+sexB),0)*IF(R103=0,MCi,1)</f>
        <v>0</v>
      </c>
      <c r="BT103" s="131">
        <f t="shared" ca="1" si="1512"/>
        <v>0</v>
      </c>
      <c r="BU103" s="131">
        <f ca="1">SUM(BT103:BT$124)*SSi</f>
        <v>0</v>
      </c>
      <c r="BV103" s="70">
        <f t="shared" ca="1" si="1513"/>
        <v>18991.180005049158</v>
      </c>
      <c r="BW103" s="2">
        <f t="shared" ref="BW103" ca="1" si="2072">IFERROR(VLOOKUP($S103,qx_table,MATCH(BW$11,qx_title,0)+sexB),0)</f>
        <v>0</v>
      </c>
      <c r="BX103" s="131">
        <f t="shared" ca="1" si="1515"/>
        <v>0</v>
      </c>
      <c r="BY103" s="131">
        <f ca="1">SUM(BX103:BX$124)*SSj</f>
        <v>0</v>
      </c>
      <c r="BZ103" s="70">
        <f t="shared" ca="1" si="1516"/>
        <v>18991.180005049158</v>
      </c>
      <c r="CA103" s="2">
        <f t="shared" ref="CA103" ca="1" si="2073">IFERROR(VLOOKUP($S103,qx_table,MATCH(CA$11,qx_title,0)+sexB),0)</f>
        <v>0</v>
      </c>
      <c r="CB103" s="131">
        <f t="shared" ca="1" si="1518"/>
        <v>0</v>
      </c>
      <c r="CC103" s="131">
        <f ca="1">SUM(CB103:CB$124)*SSk</f>
        <v>0</v>
      </c>
      <c r="CD103" s="8">
        <f t="shared" ca="1" si="1519"/>
        <v>18991.180005049158</v>
      </c>
      <c r="CE103" s="2">
        <f t="shared" ref="CE103" ca="1" si="2074">IFERROR(VLOOKUP($S103,qx_table,MATCH(CE$11,qx_title,0)+sexB),0)</f>
        <v>0</v>
      </c>
      <c r="CF103" s="131">
        <f t="shared" ca="1" si="1521"/>
        <v>0</v>
      </c>
      <c r="CG103" s="131">
        <f ca="1">SUM(CF103:CF$124)*SSl</f>
        <v>0</v>
      </c>
      <c r="CH103" s="155">
        <f t="shared" ca="1" si="1522"/>
        <v>0.01</v>
      </c>
      <c r="CI103" s="155">
        <f t="shared" ca="1" si="1523"/>
        <v>0</v>
      </c>
      <c r="CJ103" s="155">
        <f t="shared" ca="1" si="1524"/>
        <v>0</v>
      </c>
      <c r="CK103" s="155">
        <f ca="1">'유해지 (기준P)'!CZ103</f>
        <v>0</v>
      </c>
      <c r="CL103" s="155">
        <f t="shared" ca="1" si="1465"/>
        <v>0</v>
      </c>
      <c r="CM103" s="155">
        <f t="shared" ca="1" si="1525"/>
        <v>0</v>
      </c>
      <c r="CN103" s="155">
        <f ca="1">SUM(CM103:$CM$124)</f>
        <v>0</v>
      </c>
      <c r="CO103" s="101">
        <f t="shared" ca="1" si="1526"/>
        <v>0</v>
      </c>
      <c r="CP103" s="154">
        <f t="shared" ca="1" si="1466"/>
        <v>0</v>
      </c>
      <c r="CQ103" s="154">
        <f t="shared" ca="1" si="1467"/>
        <v>0</v>
      </c>
      <c r="CR103" s="32">
        <f t="shared" ref="CR103" ca="1" si="2075">+MAX(VLOOKUP(xB+$R103,기수표B,$AH$1)-VLOOKUP(xB+mB,기수표B,$AH$1),0)</f>
        <v>0</v>
      </c>
      <c r="CS103" s="32">
        <f t="shared" ca="1" si="1469"/>
        <v>0</v>
      </c>
      <c r="CT103" s="32">
        <f t="shared" ref="CT103" ca="1" si="2076">+MAX(VLOOKUP(xB+$R103,기수표B,$AA$1)-VLOOKUP(xB+mB,기수표B,$AA$1),0)</f>
        <v>0</v>
      </c>
      <c r="CU103" s="32">
        <f t="shared" ca="1" si="1471"/>
        <v>0</v>
      </c>
      <c r="CV103" s="32">
        <f t="shared" si="1472"/>
        <v>0</v>
      </c>
      <c r="CW103" s="259">
        <f t="shared" ca="1" si="1473"/>
        <v>0</v>
      </c>
      <c r="CX103" s="32">
        <f t="shared" ca="1" si="1474"/>
        <v>0</v>
      </c>
      <c r="CY103" s="262">
        <f t="shared" ca="1" si="1475"/>
        <v>0</v>
      </c>
      <c r="CZ103" s="259" t="e">
        <f t="shared" ca="1" si="1476"/>
        <v>#DIV/0!</v>
      </c>
      <c r="DA103" s="31">
        <f t="shared" ref="DA103" ca="1" si="2077">+MIN(mB,7)</f>
        <v>7</v>
      </c>
    </row>
    <row r="104" spans="3:105">
      <c r="N104" s="5">
        <f t="shared" si="1530"/>
        <v>92</v>
      </c>
      <c r="O104" s="2">
        <f t="shared" ref="O104" ca="1" si="2078">+(1+iB)^-N104</f>
        <v>0.12911445473233762</v>
      </c>
      <c r="P104" s="2">
        <f t="shared" ref="P104" ca="1" si="2079">+(1+iB)^-(N104+0.5)</f>
        <v>0.12768597796557657</v>
      </c>
      <c r="Q104" s="91"/>
      <c r="R104" s="20">
        <f t="shared" si="1533"/>
        <v>92</v>
      </c>
      <c r="S104" s="20" t="str">
        <f t="shared" ref="S104" si="2080">+IF(xB+R104&lt;=xB+nB,xB+R104,"")</f>
        <v/>
      </c>
      <c r="T104" s="2">
        <f t="shared" ref="T104:U104" ca="1" si="2081">IFERROR(VLOOKUP($S104,qx_table,MATCH(T$11,qx_title,0)+sexB),0)</f>
        <v>0</v>
      </c>
      <c r="U104" s="2">
        <f t="shared" ca="1" si="2081"/>
        <v>0</v>
      </c>
      <c r="V104" s="300">
        <f t="shared" ca="1" si="1443"/>
        <v>0.01</v>
      </c>
      <c r="W104" s="8">
        <f t="shared" ref="W104" si="2082">IF(R104=0,100000,IF(R104&gt;nB,0,W103*(1-X103)*(1-Y103)))</f>
        <v>0</v>
      </c>
      <c r="X104" s="10">
        <f t="shared" ca="1" si="1445"/>
        <v>1.0000000000000009E-2</v>
      </c>
      <c r="Y104" s="10">
        <f t="shared" ca="1" si="1446"/>
        <v>0</v>
      </c>
      <c r="Z104" s="5">
        <f t="shared" ca="1" si="1483"/>
        <v>0</v>
      </c>
      <c r="AA104" s="5">
        <f ca="1">+SUM(Z104:Z$124)</f>
        <v>0</v>
      </c>
      <c r="AB104" s="8">
        <f t="shared" ca="1" si="1447"/>
        <v>0</v>
      </c>
      <c r="AC104" s="209">
        <f ca="1">+SUM(AB104:AB$124)*SSSM</f>
        <v>0</v>
      </c>
      <c r="AD104" s="209">
        <f t="shared" ref="AD104" si="2083">IF(R104&gt;nB,0,AD103*(1-X103)*(1-Y103)*(1-AE103)*(1-AF103))</f>
        <v>0</v>
      </c>
      <c r="AE104" s="92">
        <f t="shared" ca="1" si="1449"/>
        <v>0</v>
      </c>
      <c r="AF104" s="92">
        <f t="shared" ca="1" si="1450"/>
        <v>0</v>
      </c>
      <c r="AG104" s="8">
        <f t="shared" ca="1" si="1451"/>
        <v>0</v>
      </c>
      <c r="AH104" s="5">
        <f ca="1">+SUM(AG104:AG$124)</f>
        <v>0</v>
      </c>
      <c r="AI104" s="70">
        <f t="shared" ca="1" si="1452"/>
        <v>0</v>
      </c>
      <c r="AJ104" s="208">
        <f ca="1">+SUM(AB104:AB$124)*SS50J</f>
        <v>0</v>
      </c>
      <c r="AK104" s="5">
        <f t="shared" ca="1" si="1485"/>
        <v>18801.268204998665</v>
      </c>
      <c r="AL104" s="2">
        <f t="shared" ref="AL104" ca="1" si="2084">IFERROR(VLOOKUP($S104,qx_table,MATCH(AL$11,qx_title,0)+sexB),0)</f>
        <v>0</v>
      </c>
      <c r="AM104" s="131">
        <f t="shared" ca="1" si="1487"/>
        <v>2427.515492564839</v>
      </c>
      <c r="AN104" s="129">
        <f t="shared" ca="1" si="1488"/>
        <v>0</v>
      </c>
      <c r="AO104" s="129">
        <f ca="1">SUM(AN104:AN$124)*SSa</f>
        <v>0</v>
      </c>
      <c r="AP104" s="70">
        <f t="shared" ca="1" si="1489"/>
        <v>18801.268204998665</v>
      </c>
      <c r="AQ104" s="2">
        <f t="shared" ref="AQ104" ca="1" si="2085">IFERROR(VLOOKUP($S104,qx_table,MATCH(AQ$11,qx_title,0)+sexB),0)</f>
        <v>0</v>
      </c>
      <c r="AR104" s="127">
        <f t="shared" ca="1" si="1491"/>
        <v>0</v>
      </c>
      <c r="AS104" s="127">
        <f ca="1">SUM(AR104:AR$124)*SSb</f>
        <v>0</v>
      </c>
      <c r="AT104" s="70">
        <f t="shared" ca="1" si="1492"/>
        <v>18801.268204998665</v>
      </c>
      <c r="AU104" s="2">
        <f t="shared" ref="AU104" ca="1" si="2086">IFERROR(VLOOKUP($S104,qx_table,MATCH(AU$11,qx_title,0)+sexB),0)</f>
        <v>0</v>
      </c>
      <c r="AV104" s="268">
        <f t="shared" ca="1" si="1494"/>
        <v>0</v>
      </c>
      <c r="AW104" s="131">
        <f ca="1">SUM(AV104:AV$124)*SSc</f>
        <v>0</v>
      </c>
      <c r="AX104" s="70">
        <f t="shared" ca="1" si="1495"/>
        <v>18801.268204998665</v>
      </c>
      <c r="AY104" s="2">
        <f t="shared" ref="AY104" ca="1" si="2087">IFERROR(VLOOKUP($S104,qx_table,MATCH(AY$11,qx_title,0)+sexB),0)</f>
        <v>0</v>
      </c>
      <c r="AZ104" s="268">
        <f t="shared" ca="1" si="1497"/>
        <v>0</v>
      </c>
      <c r="BA104" s="129">
        <f ca="1">SUM(AZ104:AZ$124)*SSd</f>
        <v>0</v>
      </c>
      <c r="BB104" s="70">
        <f t="shared" ca="1" si="1498"/>
        <v>18801.268204998665</v>
      </c>
      <c r="BC104" s="257">
        <f t="shared" ref="BC104" ca="1" si="2088">IFERROR(VLOOKUP($S104,qx_table,MATCH(BC$11,qx_title,0)+sexB),0)</f>
        <v>0</v>
      </c>
      <c r="BD104" s="268">
        <f t="shared" ca="1" si="1500"/>
        <v>0</v>
      </c>
      <c r="BE104" s="131">
        <f ca="1">SUM(BD104:BD$124)*SSe</f>
        <v>0</v>
      </c>
      <c r="BF104" s="70">
        <f t="shared" ca="1" si="1501"/>
        <v>18801.268204998665</v>
      </c>
      <c r="BG104" s="2">
        <f t="shared" ref="BG104" ca="1" si="2089">IFERROR(VLOOKUP($S104,qx_table,MATCH(BG$11,qx_title,0)+sexB),0)</f>
        <v>0</v>
      </c>
      <c r="BH104" s="131">
        <f t="shared" ca="1" si="1503"/>
        <v>0</v>
      </c>
      <c r="BI104" s="2">
        <f ca="1">SUM(BH104:BH$124)*SSf</f>
        <v>0</v>
      </c>
      <c r="BJ104" s="70">
        <f t="shared" ca="1" si="1504"/>
        <v>18801.268204998665</v>
      </c>
      <c r="BK104" s="2">
        <f t="shared" ref="BK104" ca="1" si="2090">IFERROR(VLOOKUP($S104,qx_table,MATCH(BK$11,qx_title,0)+sexB),0)</f>
        <v>0</v>
      </c>
      <c r="BL104" s="131">
        <f t="shared" ca="1" si="1506"/>
        <v>0</v>
      </c>
      <c r="BM104" s="131">
        <f ca="1">SUM(BL104:BL$124)*SSg</f>
        <v>0</v>
      </c>
      <c r="BN104" s="70">
        <f t="shared" ca="1" si="1507"/>
        <v>18801.268204998665</v>
      </c>
      <c r="BO104" s="2">
        <f t="shared" ref="BO104" ca="1" si="2091">IFERROR(VLOOKUP($S104,qx_table,MATCH(BO$11,qx_title,0)+sexB),0)</f>
        <v>0</v>
      </c>
      <c r="BP104" s="131">
        <f t="shared" ca="1" si="1509"/>
        <v>0</v>
      </c>
      <c r="BQ104" s="131">
        <f ca="1">SUM(BP104:BP$124)*SSh</f>
        <v>0</v>
      </c>
      <c r="BR104" s="70">
        <f t="shared" ca="1" si="1510"/>
        <v>18801.268204998665</v>
      </c>
      <c r="BS104" s="2">
        <f t="shared" ref="BS104" ca="1" si="2092">IFERROR(VLOOKUP($S104,qx_table,MATCH(BS$11,qx_title,0)+sexB),0)*IF(R104=0,MCi,1)</f>
        <v>0</v>
      </c>
      <c r="BT104" s="131">
        <f t="shared" ca="1" si="1512"/>
        <v>0</v>
      </c>
      <c r="BU104" s="131">
        <f ca="1">SUM(BT104:BT$124)*SSi</f>
        <v>0</v>
      </c>
      <c r="BV104" s="70">
        <f t="shared" ca="1" si="1513"/>
        <v>18801.268204998665</v>
      </c>
      <c r="BW104" s="2">
        <f t="shared" ref="BW104" ca="1" si="2093">IFERROR(VLOOKUP($S104,qx_table,MATCH(BW$11,qx_title,0)+sexB),0)</f>
        <v>0</v>
      </c>
      <c r="BX104" s="131">
        <f t="shared" ca="1" si="1515"/>
        <v>0</v>
      </c>
      <c r="BY104" s="131">
        <f ca="1">SUM(BX104:BX$124)*SSj</f>
        <v>0</v>
      </c>
      <c r="BZ104" s="70">
        <f t="shared" ca="1" si="1516"/>
        <v>18801.268204998665</v>
      </c>
      <c r="CA104" s="2">
        <f t="shared" ref="CA104" ca="1" si="2094">IFERROR(VLOOKUP($S104,qx_table,MATCH(CA$11,qx_title,0)+sexB),0)</f>
        <v>0</v>
      </c>
      <c r="CB104" s="131">
        <f t="shared" ca="1" si="1518"/>
        <v>0</v>
      </c>
      <c r="CC104" s="131">
        <f ca="1">SUM(CB104:CB$124)*SSk</f>
        <v>0</v>
      </c>
      <c r="CD104" s="8">
        <f t="shared" ca="1" si="1519"/>
        <v>18801.268204998665</v>
      </c>
      <c r="CE104" s="2">
        <f t="shared" ref="CE104" ca="1" si="2095">IFERROR(VLOOKUP($S104,qx_table,MATCH(CE$11,qx_title,0)+sexB),0)</f>
        <v>0</v>
      </c>
      <c r="CF104" s="131">
        <f t="shared" ca="1" si="1521"/>
        <v>0</v>
      </c>
      <c r="CG104" s="131">
        <f ca="1">SUM(CF104:CF$124)*SSl</f>
        <v>0</v>
      </c>
      <c r="CH104" s="155">
        <f t="shared" ca="1" si="1522"/>
        <v>0.01</v>
      </c>
      <c r="CI104" s="155">
        <f t="shared" ca="1" si="1523"/>
        <v>0</v>
      </c>
      <c r="CJ104" s="155">
        <f t="shared" ca="1" si="1524"/>
        <v>0</v>
      </c>
      <c r="CK104" s="155">
        <f ca="1">'유해지 (기준P)'!CZ104</f>
        <v>0</v>
      </c>
      <c r="CL104" s="155">
        <f t="shared" ca="1" si="1465"/>
        <v>0</v>
      </c>
      <c r="CM104" s="155">
        <f t="shared" ca="1" si="1525"/>
        <v>0</v>
      </c>
      <c r="CN104" s="155">
        <f ca="1">SUM(CM104:$CM$124)</f>
        <v>0</v>
      </c>
      <c r="CO104" s="101">
        <f t="shared" ca="1" si="1526"/>
        <v>0</v>
      </c>
      <c r="CP104" s="154">
        <f t="shared" ca="1" si="1466"/>
        <v>0</v>
      </c>
      <c r="CQ104" s="154">
        <f t="shared" ca="1" si="1467"/>
        <v>0</v>
      </c>
      <c r="CR104" s="32">
        <f t="shared" ref="CR104" ca="1" si="2096">+MAX(VLOOKUP(xB+$R104,기수표B,$AH$1)-VLOOKUP(xB+mB,기수표B,$AH$1),0)</f>
        <v>0</v>
      </c>
      <c r="CS104" s="32">
        <f t="shared" ca="1" si="1469"/>
        <v>0</v>
      </c>
      <c r="CT104" s="32">
        <f t="shared" ref="CT104" ca="1" si="2097">+MAX(VLOOKUP(xB+$R104,기수표B,$AA$1)-VLOOKUP(xB+mB,기수표B,$AA$1),0)</f>
        <v>0</v>
      </c>
      <c r="CU104" s="32">
        <f t="shared" ca="1" si="1471"/>
        <v>0</v>
      </c>
      <c r="CV104" s="32">
        <f t="shared" si="1472"/>
        <v>0</v>
      </c>
      <c r="CW104" s="259">
        <f t="shared" ca="1" si="1473"/>
        <v>0</v>
      </c>
      <c r="CX104" s="32">
        <f t="shared" ca="1" si="1474"/>
        <v>0</v>
      </c>
      <c r="CY104" s="262">
        <f t="shared" ca="1" si="1475"/>
        <v>0</v>
      </c>
      <c r="CZ104" s="259" t="e">
        <f t="shared" ca="1" si="1476"/>
        <v>#DIV/0!</v>
      </c>
      <c r="DA104" s="31">
        <f t="shared" ref="DA104" ca="1" si="2098">+MIN(mB,7)</f>
        <v>7</v>
      </c>
    </row>
    <row r="105" spans="3:105">
      <c r="N105" s="5">
        <f t="shared" si="1530"/>
        <v>93</v>
      </c>
      <c r="O105" s="2">
        <f t="shared" ref="O105" ca="1" si="2099">+(1+iB)^-N105</f>
        <v>0.1262733053616994</v>
      </c>
      <c r="P105" s="2">
        <f t="shared" ref="P105" ca="1" si="2100">+(1+iB)^-(N105+0.5)</f>
        <v>0.12487626206902358</v>
      </c>
      <c r="Q105" s="91"/>
      <c r="R105" s="20">
        <f t="shared" si="1533"/>
        <v>93</v>
      </c>
      <c r="S105" s="20" t="str">
        <f t="shared" ref="S105" si="2101">+IF(xB+R105&lt;=xB+nB,xB+R105,"")</f>
        <v/>
      </c>
      <c r="T105" s="2">
        <f t="shared" ref="T105:U105" ca="1" si="2102">IFERROR(VLOOKUP($S105,qx_table,MATCH(T$11,qx_title,0)+sexB),0)</f>
        <v>0</v>
      </c>
      <c r="U105" s="2">
        <f t="shared" ca="1" si="2102"/>
        <v>0</v>
      </c>
      <c r="V105" s="300">
        <f t="shared" ca="1" si="1443"/>
        <v>0.01</v>
      </c>
      <c r="W105" s="8">
        <f t="shared" ref="W105" si="2103">IF(R105=0,100000,IF(R105&gt;nB,0,W104*(1-X104)*(1-Y104)))</f>
        <v>0</v>
      </c>
      <c r="X105" s="10">
        <f t="shared" ca="1" si="1445"/>
        <v>1.0000000000000009E-2</v>
      </c>
      <c r="Y105" s="10">
        <f t="shared" ca="1" si="1446"/>
        <v>0</v>
      </c>
      <c r="Z105" s="5">
        <f t="shared" ca="1" si="1483"/>
        <v>0</v>
      </c>
      <c r="AA105" s="5">
        <f ca="1">+SUM(Z105:Z$124)</f>
        <v>0</v>
      </c>
      <c r="AB105" s="8">
        <f t="shared" ca="1" si="1447"/>
        <v>0</v>
      </c>
      <c r="AC105" s="209">
        <f ca="1">+SUM(AB105:AB$124)*SSSM</f>
        <v>0</v>
      </c>
      <c r="AD105" s="209">
        <f t="shared" ref="AD105" si="2104">IF(R105&gt;nB,0,AD104*(1-X104)*(1-Y104)*(1-AE104)*(1-AF104))</f>
        <v>0</v>
      </c>
      <c r="AE105" s="92">
        <f t="shared" ca="1" si="1449"/>
        <v>0</v>
      </c>
      <c r="AF105" s="92">
        <f t="shared" ca="1" si="1450"/>
        <v>0</v>
      </c>
      <c r="AG105" s="8">
        <f t="shared" ca="1" si="1451"/>
        <v>0</v>
      </c>
      <c r="AH105" s="5">
        <f ca="1">+SUM(AG105:AG$124)</f>
        <v>0</v>
      </c>
      <c r="AI105" s="70">
        <f t="shared" ca="1" si="1452"/>
        <v>0</v>
      </c>
      <c r="AJ105" s="208">
        <f ca="1">+SUM(AB105:AB$124)*SS50J</f>
        <v>0</v>
      </c>
      <c r="AK105" s="5">
        <f t="shared" ca="1" si="1485"/>
        <v>18613.255522948679</v>
      </c>
      <c r="AL105" s="2">
        <f t="shared" ref="AL105" ca="1" si="2105">IFERROR(VLOOKUP($S105,qx_table,MATCH(AL$11,qx_title,0)+sexB),0)</f>
        <v>0</v>
      </c>
      <c r="AM105" s="131">
        <f t="shared" ca="1" si="1487"/>
        <v>2350.3572984246362</v>
      </c>
      <c r="AN105" s="129">
        <f t="shared" ca="1" si="1488"/>
        <v>0</v>
      </c>
      <c r="AO105" s="129">
        <f ca="1">SUM(AN105:AN$124)*SSa</f>
        <v>0</v>
      </c>
      <c r="AP105" s="70">
        <f t="shared" ca="1" si="1489"/>
        <v>18613.255522948679</v>
      </c>
      <c r="AQ105" s="2">
        <f t="shared" ref="AQ105" ca="1" si="2106">IFERROR(VLOOKUP($S105,qx_table,MATCH(AQ$11,qx_title,0)+sexB),0)</f>
        <v>0</v>
      </c>
      <c r="AR105" s="127">
        <f t="shared" ca="1" si="1491"/>
        <v>0</v>
      </c>
      <c r="AS105" s="127">
        <f ca="1">SUM(AR105:AR$124)*SSb</f>
        <v>0</v>
      </c>
      <c r="AT105" s="70">
        <f t="shared" ca="1" si="1492"/>
        <v>18613.255522948679</v>
      </c>
      <c r="AU105" s="2">
        <f t="shared" ref="AU105" ca="1" si="2107">IFERROR(VLOOKUP($S105,qx_table,MATCH(AU$11,qx_title,0)+sexB),0)</f>
        <v>0</v>
      </c>
      <c r="AV105" s="268">
        <f t="shared" ca="1" si="1494"/>
        <v>0</v>
      </c>
      <c r="AW105" s="131">
        <f ca="1">SUM(AV105:AV$124)*SSc</f>
        <v>0</v>
      </c>
      <c r="AX105" s="70">
        <f t="shared" ca="1" si="1495"/>
        <v>18613.255522948679</v>
      </c>
      <c r="AY105" s="2">
        <f t="shared" ref="AY105" ca="1" si="2108">IFERROR(VLOOKUP($S105,qx_table,MATCH(AY$11,qx_title,0)+sexB),0)</f>
        <v>0</v>
      </c>
      <c r="AZ105" s="268">
        <f t="shared" ca="1" si="1497"/>
        <v>0</v>
      </c>
      <c r="BA105" s="129">
        <f ca="1">SUM(AZ105:AZ$124)*SSd</f>
        <v>0</v>
      </c>
      <c r="BB105" s="70">
        <f t="shared" ca="1" si="1498"/>
        <v>18613.255522948679</v>
      </c>
      <c r="BC105" s="257">
        <f t="shared" ref="BC105" ca="1" si="2109">IFERROR(VLOOKUP($S105,qx_table,MATCH(BC$11,qx_title,0)+sexB),0)</f>
        <v>0</v>
      </c>
      <c r="BD105" s="268">
        <f t="shared" ca="1" si="1500"/>
        <v>0</v>
      </c>
      <c r="BE105" s="131">
        <f ca="1">SUM(BD105:BD$124)*SSe</f>
        <v>0</v>
      </c>
      <c r="BF105" s="70">
        <f t="shared" ca="1" si="1501"/>
        <v>18613.255522948679</v>
      </c>
      <c r="BG105" s="2">
        <f t="shared" ref="BG105" ca="1" si="2110">IFERROR(VLOOKUP($S105,qx_table,MATCH(BG$11,qx_title,0)+sexB),0)</f>
        <v>0</v>
      </c>
      <c r="BH105" s="131">
        <f t="shared" ca="1" si="1503"/>
        <v>0</v>
      </c>
      <c r="BI105" s="2">
        <f ca="1">SUM(BH105:BH$124)*SSf</f>
        <v>0</v>
      </c>
      <c r="BJ105" s="70">
        <f t="shared" ca="1" si="1504"/>
        <v>18613.255522948679</v>
      </c>
      <c r="BK105" s="2">
        <f t="shared" ref="BK105" ca="1" si="2111">IFERROR(VLOOKUP($S105,qx_table,MATCH(BK$11,qx_title,0)+sexB),0)</f>
        <v>0</v>
      </c>
      <c r="BL105" s="131">
        <f t="shared" ca="1" si="1506"/>
        <v>0</v>
      </c>
      <c r="BM105" s="131">
        <f ca="1">SUM(BL105:BL$124)*SSg</f>
        <v>0</v>
      </c>
      <c r="BN105" s="70">
        <f t="shared" ca="1" si="1507"/>
        <v>18613.255522948679</v>
      </c>
      <c r="BO105" s="2">
        <f t="shared" ref="BO105" ca="1" si="2112">IFERROR(VLOOKUP($S105,qx_table,MATCH(BO$11,qx_title,0)+sexB),0)</f>
        <v>0</v>
      </c>
      <c r="BP105" s="131">
        <f t="shared" ca="1" si="1509"/>
        <v>0</v>
      </c>
      <c r="BQ105" s="131">
        <f ca="1">SUM(BP105:BP$124)*SSh</f>
        <v>0</v>
      </c>
      <c r="BR105" s="70">
        <f t="shared" ca="1" si="1510"/>
        <v>18613.255522948679</v>
      </c>
      <c r="BS105" s="2">
        <f t="shared" ref="BS105" ca="1" si="2113">IFERROR(VLOOKUP($S105,qx_table,MATCH(BS$11,qx_title,0)+sexB),0)*IF(R105=0,MCi,1)</f>
        <v>0</v>
      </c>
      <c r="BT105" s="131">
        <f t="shared" ca="1" si="1512"/>
        <v>0</v>
      </c>
      <c r="BU105" s="131">
        <f ca="1">SUM(BT105:BT$124)*SSi</f>
        <v>0</v>
      </c>
      <c r="BV105" s="70">
        <f t="shared" ca="1" si="1513"/>
        <v>18613.255522948679</v>
      </c>
      <c r="BW105" s="2">
        <f t="shared" ref="BW105" ca="1" si="2114">IFERROR(VLOOKUP($S105,qx_table,MATCH(BW$11,qx_title,0)+sexB),0)</f>
        <v>0</v>
      </c>
      <c r="BX105" s="131">
        <f t="shared" ca="1" si="1515"/>
        <v>0</v>
      </c>
      <c r="BY105" s="131">
        <f ca="1">SUM(BX105:BX$124)*SSj</f>
        <v>0</v>
      </c>
      <c r="BZ105" s="70">
        <f t="shared" ca="1" si="1516"/>
        <v>18613.255522948679</v>
      </c>
      <c r="CA105" s="2">
        <f t="shared" ref="CA105" ca="1" si="2115">IFERROR(VLOOKUP($S105,qx_table,MATCH(CA$11,qx_title,0)+sexB),0)</f>
        <v>0</v>
      </c>
      <c r="CB105" s="131">
        <f t="shared" ca="1" si="1518"/>
        <v>0</v>
      </c>
      <c r="CC105" s="131">
        <f ca="1">SUM(CB105:CB$124)*SSk</f>
        <v>0</v>
      </c>
      <c r="CD105" s="8">
        <f t="shared" ca="1" si="1519"/>
        <v>18613.255522948679</v>
      </c>
      <c r="CE105" s="2">
        <f t="shared" ref="CE105" ca="1" si="2116">IFERROR(VLOOKUP($S105,qx_table,MATCH(CE$11,qx_title,0)+sexB),0)</f>
        <v>0</v>
      </c>
      <c r="CF105" s="131">
        <f t="shared" ca="1" si="1521"/>
        <v>0</v>
      </c>
      <c r="CG105" s="131">
        <f ca="1">SUM(CF105:CF$124)*SSl</f>
        <v>0</v>
      </c>
      <c r="CH105" s="155">
        <f t="shared" ca="1" si="1522"/>
        <v>0.01</v>
      </c>
      <c r="CI105" s="155">
        <f t="shared" ca="1" si="1523"/>
        <v>0</v>
      </c>
      <c r="CJ105" s="155">
        <f t="shared" ca="1" si="1524"/>
        <v>0</v>
      </c>
      <c r="CK105" s="155">
        <f ca="1">'유해지 (기준P)'!CZ105</f>
        <v>0</v>
      </c>
      <c r="CL105" s="155">
        <f t="shared" ca="1" si="1465"/>
        <v>0</v>
      </c>
      <c r="CM105" s="155">
        <f t="shared" ca="1" si="1525"/>
        <v>0</v>
      </c>
      <c r="CN105" s="155">
        <f ca="1">SUM(CM105:$CM$124)</f>
        <v>0</v>
      </c>
      <c r="CO105" s="101">
        <f t="shared" ca="1" si="1526"/>
        <v>0</v>
      </c>
      <c r="CP105" s="154">
        <f t="shared" ca="1" si="1466"/>
        <v>0</v>
      </c>
      <c r="CQ105" s="154">
        <f t="shared" ca="1" si="1467"/>
        <v>0</v>
      </c>
      <c r="CR105" s="32">
        <f t="shared" ref="CR105" ca="1" si="2117">+MAX(VLOOKUP(xB+$R105,기수표B,$AH$1)-VLOOKUP(xB+mB,기수표B,$AH$1),0)</f>
        <v>0</v>
      </c>
      <c r="CS105" s="32">
        <f t="shared" ca="1" si="1469"/>
        <v>0</v>
      </c>
      <c r="CT105" s="32">
        <f t="shared" ref="CT105" ca="1" si="2118">+MAX(VLOOKUP(xB+$R105,기수표B,$AA$1)-VLOOKUP(xB+mB,기수표B,$AA$1),0)</f>
        <v>0</v>
      </c>
      <c r="CU105" s="32">
        <f t="shared" ca="1" si="1471"/>
        <v>0</v>
      </c>
      <c r="CV105" s="32">
        <f t="shared" si="1472"/>
        <v>0</v>
      </c>
      <c r="CW105" s="259">
        <f t="shared" ca="1" si="1473"/>
        <v>0</v>
      </c>
      <c r="CX105" s="32">
        <f t="shared" ca="1" si="1474"/>
        <v>0</v>
      </c>
      <c r="CY105" s="262">
        <f t="shared" ca="1" si="1475"/>
        <v>0</v>
      </c>
      <c r="CZ105" s="259" t="e">
        <f t="shared" ca="1" si="1476"/>
        <v>#DIV/0!</v>
      </c>
      <c r="DA105" s="31">
        <f t="shared" ref="DA105" ca="1" si="2119">+MIN(mB,7)</f>
        <v>7</v>
      </c>
    </row>
    <row r="106" spans="3:105">
      <c r="N106" s="5">
        <f t="shared" si="1530"/>
        <v>94</v>
      </c>
      <c r="O106" s="2">
        <f t="shared" ref="O106" ca="1" si="2120">+(1+iB)^-N106</f>
        <v>0.12349467517036616</v>
      </c>
      <c r="P106" s="2">
        <f t="shared" ref="P106" ca="1" si="2121">+(1+iB)^-(N106+0.5)</f>
        <v>0.12212837366163673</v>
      </c>
      <c r="Q106" s="91"/>
      <c r="R106" s="20">
        <f t="shared" si="1533"/>
        <v>94</v>
      </c>
      <c r="S106" s="20" t="str">
        <f t="shared" ref="S106" si="2122">+IF(xB+R106&lt;=xB+nB,xB+R106,"")</f>
        <v/>
      </c>
      <c r="T106" s="2">
        <f t="shared" ref="T106:U106" ca="1" si="2123">IFERROR(VLOOKUP($S106,qx_table,MATCH(T$11,qx_title,0)+sexB),0)</f>
        <v>0</v>
      </c>
      <c r="U106" s="2">
        <f t="shared" ca="1" si="2123"/>
        <v>0</v>
      </c>
      <c r="V106" s="300">
        <f t="shared" ca="1" si="1443"/>
        <v>0.01</v>
      </c>
      <c r="W106" s="8">
        <f t="shared" ref="W106" si="2124">IF(R106=0,100000,IF(R106&gt;nB,0,W105*(1-X105)*(1-Y105)))</f>
        <v>0</v>
      </c>
      <c r="X106" s="10">
        <f t="shared" ca="1" si="1445"/>
        <v>1.0000000000000009E-2</v>
      </c>
      <c r="Y106" s="10">
        <f t="shared" ca="1" si="1446"/>
        <v>0</v>
      </c>
      <c r="Z106" s="5">
        <f t="shared" ca="1" si="1483"/>
        <v>0</v>
      </c>
      <c r="AA106" s="5">
        <f ca="1">+SUM(Z106:Z$124)</f>
        <v>0</v>
      </c>
      <c r="AB106" s="8">
        <f t="shared" ca="1" si="1447"/>
        <v>0</v>
      </c>
      <c r="AC106" s="209">
        <f ca="1">+SUM(AB106:AB$124)*SSSM</f>
        <v>0</v>
      </c>
      <c r="AD106" s="209">
        <f t="shared" ref="AD106" si="2125">IF(R106&gt;nB,0,AD105*(1-X105)*(1-Y105)*(1-AE105)*(1-AF105))</f>
        <v>0</v>
      </c>
      <c r="AE106" s="92">
        <f t="shared" ca="1" si="1449"/>
        <v>0</v>
      </c>
      <c r="AF106" s="92">
        <f t="shared" ca="1" si="1450"/>
        <v>0</v>
      </c>
      <c r="AG106" s="8">
        <f t="shared" ca="1" si="1451"/>
        <v>0</v>
      </c>
      <c r="AH106" s="5">
        <f ca="1">+SUM(AG106:AG$124)</f>
        <v>0</v>
      </c>
      <c r="AI106" s="70">
        <f t="shared" ca="1" si="1452"/>
        <v>0</v>
      </c>
      <c r="AJ106" s="208">
        <f ca="1">+SUM(AB106:AB$124)*SS50J</f>
        <v>0</v>
      </c>
      <c r="AK106" s="5">
        <f t="shared" ca="1" si="1485"/>
        <v>18427.122967719191</v>
      </c>
      <c r="AL106" s="2">
        <f t="shared" ref="AL106" ca="1" si="2126">IFERROR(VLOOKUP($S106,qx_table,MATCH(AL$11,qx_title,0)+sexB),0)</f>
        <v>0</v>
      </c>
      <c r="AM106" s="131">
        <f t="shared" ca="1" si="1487"/>
        <v>2275.6515652228754</v>
      </c>
      <c r="AN106" s="129">
        <f t="shared" ca="1" si="1488"/>
        <v>0</v>
      </c>
      <c r="AO106" s="129">
        <f ca="1">SUM(AN106:AN$124)*SSa</f>
        <v>0</v>
      </c>
      <c r="AP106" s="70">
        <f t="shared" ca="1" si="1489"/>
        <v>18427.122967719191</v>
      </c>
      <c r="AQ106" s="2">
        <f t="shared" ref="AQ106" ca="1" si="2127">IFERROR(VLOOKUP($S106,qx_table,MATCH(AQ$11,qx_title,0)+sexB),0)</f>
        <v>0</v>
      </c>
      <c r="AR106" s="127">
        <f t="shared" ca="1" si="1491"/>
        <v>0</v>
      </c>
      <c r="AS106" s="127">
        <f ca="1">SUM(AR106:AR$124)*SSb</f>
        <v>0</v>
      </c>
      <c r="AT106" s="70">
        <f t="shared" ca="1" si="1492"/>
        <v>18427.122967719191</v>
      </c>
      <c r="AU106" s="2">
        <f t="shared" ref="AU106" ca="1" si="2128">IFERROR(VLOOKUP($S106,qx_table,MATCH(AU$11,qx_title,0)+sexB),0)</f>
        <v>0</v>
      </c>
      <c r="AV106" s="268">
        <f t="shared" ca="1" si="1494"/>
        <v>0</v>
      </c>
      <c r="AW106" s="131">
        <f ca="1">SUM(AV106:AV$124)*SSc</f>
        <v>0</v>
      </c>
      <c r="AX106" s="70">
        <f t="shared" ca="1" si="1495"/>
        <v>18427.122967719191</v>
      </c>
      <c r="AY106" s="2">
        <f t="shared" ref="AY106" ca="1" si="2129">IFERROR(VLOOKUP($S106,qx_table,MATCH(AY$11,qx_title,0)+sexB),0)</f>
        <v>0</v>
      </c>
      <c r="AZ106" s="268">
        <f t="shared" ca="1" si="1497"/>
        <v>0</v>
      </c>
      <c r="BA106" s="129">
        <f ca="1">SUM(AZ106:AZ$124)*SSd</f>
        <v>0</v>
      </c>
      <c r="BB106" s="70">
        <f t="shared" ca="1" si="1498"/>
        <v>18427.122967719191</v>
      </c>
      <c r="BC106" s="257">
        <f t="shared" ref="BC106" ca="1" si="2130">IFERROR(VLOOKUP($S106,qx_table,MATCH(BC$11,qx_title,0)+sexB),0)</f>
        <v>0</v>
      </c>
      <c r="BD106" s="268">
        <f t="shared" ca="1" si="1500"/>
        <v>0</v>
      </c>
      <c r="BE106" s="131">
        <f ca="1">SUM(BD106:BD$124)*SSe</f>
        <v>0</v>
      </c>
      <c r="BF106" s="70">
        <f t="shared" ca="1" si="1501"/>
        <v>18427.122967719191</v>
      </c>
      <c r="BG106" s="2">
        <f t="shared" ref="BG106" ca="1" si="2131">IFERROR(VLOOKUP($S106,qx_table,MATCH(BG$11,qx_title,0)+sexB),0)</f>
        <v>0</v>
      </c>
      <c r="BH106" s="131">
        <f t="shared" ca="1" si="1503"/>
        <v>0</v>
      </c>
      <c r="BI106" s="2">
        <f ca="1">SUM(BH106:BH$124)*SSf</f>
        <v>0</v>
      </c>
      <c r="BJ106" s="70">
        <f t="shared" ca="1" si="1504"/>
        <v>18427.122967719191</v>
      </c>
      <c r="BK106" s="2">
        <f t="shared" ref="BK106" ca="1" si="2132">IFERROR(VLOOKUP($S106,qx_table,MATCH(BK$11,qx_title,0)+sexB),0)</f>
        <v>0</v>
      </c>
      <c r="BL106" s="131">
        <f t="shared" ca="1" si="1506"/>
        <v>0</v>
      </c>
      <c r="BM106" s="131">
        <f ca="1">SUM(BL106:BL$124)*SSg</f>
        <v>0</v>
      </c>
      <c r="BN106" s="70">
        <f t="shared" ca="1" si="1507"/>
        <v>18427.122967719191</v>
      </c>
      <c r="BO106" s="2">
        <f t="shared" ref="BO106" ca="1" si="2133">IFERROR(VLOOKUP($S106,qx_table,MATCH(BO$11,qx_title,0)+sexB),0)</f>
        <v>0</v>
      </c>
      <c r="BP106" s="131">
        <f t="shared" ca="1" si="1509"/>
        <v>0</v>
      </c>
      <c r="BQ106" s="131">
        <f ca="1">SUM(BP106:BP$124)*SSh</f>
        <v>0</v>
      </c>
      <c r="BR106" s="70">
        <f t="shared" ca="1" si="1510"/>
        <v>18427.122967719191</v>
      </c>
      <c r="BS106" s="2">
        <f t="shared" ref="BS106" ca="1" si="2134">IFERROR(VLOOKUP($S106,qx_table,MATCH(BS$11,qx_title,0)+sexB),0)*IF(R106=0,MCi,1)</f>
        <v>0</v>
      </c>
      <c r="BT106" s="131">
        <f t="shared" ca="1" si="1512"/>
        <v>0</v>
      </c>
      <c r="BU106" s="131">
        <f ca="1">SUM(BT106:BT$124)*SSi</f>
        <v>0</v>
      </c>
      <c r="BV106" s="70">
        <f t="shared" ca="1" si="1513"/>
        <v>18427.122967719191</v>
      </c>
      <c r="BW106" s="2">
        <f t="shared" ref="BW106" ca="1" si="2135">IFERROR(VLOOKUP($S106,qx_table,MATCH(BW$11,qx_title,0)+sexB),0)</f>
        <v>0</v>
      </c>
      <c r="BX106" s="131">
        <f t="shared" ca="1" si="1515"/>
        <v>0</v>
      </c>
      <c r="BY106" s="131">
        <f ca="1">SUM(BX106:BX$124)*SSj</f>
        <v>0</v>
      </c>
      <c r="BZ106" s="70">
        <f t="shared" ca="1" si="1516"/>
        <v>18427.122967719191</v>
      </c>
      <c r="CA106" s="2">
        <f t="shared" ref="CA106" ca="1" si="2136">IFERROR(VLOOKUP($S106,qx_table,MATCH(CA$11,qx_title,0)+sexB),0)</f>
        <v>0</v>
      </c>
      <c r="CB106" s="131">
        <f t="shared" ca="1" si="1518"/>
        <v>0</v>
      </c>
      <c r="CC106" s="131">
        <f ca="1">SUM(CB106:CB$124)*SSk</f>
        <v>0</v>
      </c>
      <c r="CD106" s="8">
        <f t="shared" ca="1" si="1519"/>
        <v>18427.122967719191</v>
      </c>
      <c r="CE106" s="2">
        <f t="shared" ref="CE106" ca="1" si="2137">IFERROR(VLOOKUP($S106,qx_table,MATCH(CE$11,qx_title,0)+sexB),0)</f>
        <v>0</v>
      </c>
      <c r="CF106" s="131">
        <f t="shared" ca="1" si="1521"/>
        <v>0</v>
      </c>
      <c r="CG106" s="131">
        <f ca="1">SUM(CF106:CF$124)*SSl</f>
        <v>0</v>
      </c>
      <c r="CH106" s="155">
        <f t="shared" ca="1" si="1522"/>
        <v>0.01</v>
      </c>
      <c r="CI106" s="155">
        <f t="shared" ca="1" si="1523"/>
        <v>0</v>
      </c>
      <c r="CJ106" s="155">
        <f t="shared" ca="1" si="1524"/>
        <v>0</v>
      </c>
      <c r="CK106" s="155">
        <f ca="1">'유해지 (기준P)'!CZ106</f>
        <v>0</v>
      </c>
      <c r="CL106" s="155">
        <f t="shared" ca="1" si="1465"/>
        <v>0</v>
      </c>
      <c r="CM106" s="155">
        <f t="shared" ca="1" si="1525"/>
        <v>0</v>
      </c>
      <c r="CN106" s="155">
        <f ca="1">SUM(CM106:$CM$124)</f>
        <v>0</v>
      </c>
      <c r="CO106" s="101">
        <f t="shared" ca="1" si="1526"/>
        <v>0</v>
      </c>
      <c r="CP106" s="154">
        <f t="shared" ca="1" si="1466"/>
        <v>0</v>
      </c>
      <c r="CQ106" s="154">
        <f t="shared" ca="1" si="1467"/>
        <v>0</v>
      </c>
      <c r="CR106" s="32">
        <f t="shared" ref="CR106" ca="1" si="2138">+MAX(VLOOKUP(xB+$R106,기수표B,$AH$1)-VLOOKUP(xB+mB,기수표B,$AH$1),0)</f>
        <v>0</v>
      </c>
      <c r="CS106" s="32">
        <f t="shared" ca="1" si="1469"/>
        <v>0</v>
      </c>
      <c r="CT106" s="32">
        <f t="shared" ref="CT106" ca="1" si="2139">+MAX(VLOOKUP(xB+$R106,기수표B,$AA$1)-VLOOKUP(xB+mB,기수표B,$AA$1),0)</f>
        <v>0</v>
      </c>
      <c r="CU106" s="32">
        <f t="shared" ca="1" si="1471"/>
        <v>0</v>
      </c>
      <c r="CV106" s="32">
        <f t="shared" si="1472"/>
        <v>0</v>
      </c>
      <c r="CW106" s="259">
        <f t="shared" ca="1" si="1473"/>
        <v>0</v>
      </c>
      <c r="CX106" s="32">
        <f t="shared" ca="1" si="1474"/>
        <v>0</v>
      </c>
      <c r="CY106" s="262">
        <f t="shared" ca="1" si="1475"/>
        <v>0</v>
      </c>
      <c r="CZ106" s="259" t="e">
        <f t="shared" ca="1" si="1476"/>
        <v>#DIV/0!</v>
      </c>
      <c r="DA106" s="31">
        <f t="shared" ref="DA106" ca="1" si="2140">+MIN(mB,7)</f>
        <v>7</v>
      </c>
    </row>
    <row r="107" spans="3:105">
      <c r="N107" s="5">
        <f t="shared" si="1530"/>
        <v>95</v>
      </c>
      <c r="O107" s="2">
        <f t="shared" ref="O107" ca="1" si="2141">+(1+iB)^-N107</f>
        <v>0.12077718843067596</v>
      </c>
      <c r="P107" s="2">
        <f t="shared" ref="P107" ca="1" si="2142">+(1+iB)^-(N107+0.5)</f>
        <v>0.11944095223631956</v>
      </c>
      <c r="Q107" s="91"/>
      <c r="R107" s="20">
        <f t="shared" si="1533"/>
        <v>95</v>
      </c>
      <c r="S107" s="20" t="str">
        <f t="shared" ref="S107" si="2143">+IF(xB+R107&lt;=xB+nB,xB+R107,"")</f>
        <v/>
      </c>
      <c r="T107" s="2">
        <f t="shared" ref="T107:U107" ca="1" si="2144">IFERROR(VLOOKUP($S107,qx_table,MATCH(T$11,qx_title,0)+sexB),0)</f>
        <v>0</v>
      </c>
      <c r="U107" s="2">
        <f t="shared" ca="1" si="2144"/>
        <v>0</v>
      </c>
      <c r="V107" s="300">
        <f t="shared" ca="1" si="1443"/>
        <v>0.01</v>
      </c>
      <c r="W107" s="8">
        <f t="shared" ref="W107" si="2145">IF(R107=0,100000,IF(R107&gt;nB,0,W106*(1-X106)*(1-Y106)))</f>
        <v>0</v>
      </c>
      <c r="X107" s="10">
        <f t="shared" ca="1" si="1445"/>
        <v>1.0000000000000009E-2</v>
      </c>
      <c r="Y107" s="10">
        <f t="shared" ca="1" si="1446"/>
        <v>0</v>
      </c>
      <c r="Z107" s="5">
        <f t="shared" ca="1" si="1483"/>
        <v>0</v>
      </c>
      <c r="AA107" s="5">
        <f ca="1">+SUM(Z107:Z$124)</f>
        <v>0</v>
      </c>
      <c r="AB107" s="8">
        <f t="shared" ca="1" si="1447"/>
        <v>0</v>
      </c>
      <c r="AC107" s="209">
        <f ca="1">+SUM(AB107:AB$124)*SSSM</f>
        <v>0</v>
      </c>
      <c r="AD107" s="209">
        <f t="shared" ref="AD107" si="2146">IF(R107&gt;nB,0,AD106*(1-X106)*(1-Y106)*(1-AE106)*(1-AF106))</f>
        <v>0</v>
      </c>
      <c r="AE107" s="92">
        <f t="shared" ca="1" si="1449"/>
        <v>0</v>
      </c>
      <c r="AF107" s="92">
        <f t="shared" ca="1" si="1450"/>
        <v>0</v>
      </c>
      <c r="AG107" s="8">
        <f t="shared" ca="1" si="1451"/>
        <v>0</v>
      </c>
      <c r="AH107" s="5">
        <f ca="1">+SUM(AG107:AG$124)</f>
        <v>0</v>
      </c>
      <c r="AI107" s="70">
        <f t="shared" ca="1" si="1452"/>
        <v>0</v>
      </c>
      <c r="AJ107" s="208">
        <f ca="1">+SUM(AB107:AB$124)*SS50J</f>
        <v>0</v>
      </c>
      <c r="AK107" s="5">
        <f t="shared" ca="1" si="1485"/>
        <v>18242.851738041998</v>
      </c>
      <c r="AL107" s="2">
        <f t="shared" ref="AL107" ca="1" si="2147">IFERROR(VLOOKUP($S107,qx_table,MATCH(AL$11,qx_title,0)+sexB),0)</f>
        <v>0</v>
      </c>
      <c r="AM107" s="131">
        <f t="shared" ca="1" si="1487"/>
        <v>2203.3203418783828</v>
      </c>
      <c r="AN107" s="129">
        <f t="shared" ca="1" si="1488"/>
        <v>0</v>
      </c>
      <c r="AO107" s="129">
        <f ca="1">SUM(AN107:AN$124)*SSa</f>
        <v>0</v>
      </c>
      <c r="AP107" s="70">
        <f t="shared" ca="1" si="1489"/>
        <v>18242.851738041998</v>
      </c>
      <c r="AQ107" s="2">
        <f t="shared" ref="AQ107" ca="1" si="2148">IFERROR(VLOOKUP($S107,qx_table,MATCH(AQ$11,qx_title,0)+sexB),0)</f>
        <v>0</v>
      </c>
      <c r="AR107" s="127">
        <f t="shared" ca="1" si="1491"/>
        <v>0</v>
      </c>
      <c r="AS107" s="127">
        <f ca="1">SUM(AR107:AR$124)*SSb</f>
        <v>0</v>
      </c>
      <c r="AT107" s="70">
        <f t="shared" ca="1" si="1492"/>
        <v>18242.851738041998</v>
      </c>
      <c r="AU107" s="2">
        <f t="shared" ref="AU107" ca="1" si="2149">IFERROR(VLOOKUP($S107,qx_table,MATCH(AU$11,qx_title,0)+sexB),0)</f>
        <v>0</v>
      </c>
      <c r="AV107" s="268">
        <f t="shared" ca="1" si="1494"/>
        <v>0</v>
      </c>
      <c r="AW107" s="131">
        <f ca="1">SUM(AV107:AV$124)*SSc</f>
        <v>0</v>
      </c>
      <c r="AX107" s="70">
        <f t="shared" ca="1" si="1495"/>
        <v>18242.851738041998</v>
      </c>
      <c r="AY107" s="2">
        <f t="shared" ref="AY107" ca="1" si="2150">IFERROR(VLOOKUP($S107,qx_table,MATCH(AY$11,qx_title,0)+sexB),0)</f>
        <v>0</v>
      </c>
      <c r="AZ107" s="268">
        <f t="shared" ca="1" si="1497"/>
        <v>0</v>
      </c>
      <c r="BA107" s="129">
        <f ca="1">SUM(AZ107:AZ$124)*SSd</f>
        <v>0</v>
      </c>
      <c r="BB107" s="70">
        <f t="shared" ca="1" si="1498"/>
        <v>18242.851738041998</v>
      </c>
      <c r="BC107" s="257">
        <f t="shared" ref="BC107" ca="1" si="2151">IFERROR(VLOOKUP($S107,qx_table,MATCH(BC$11,qx_title,0)+sexB),0)</f>
        <v>0</v>
      </c>
      <c r="BD107" s="268">
        <f t="shared" ca="1" si="1500"/>
        <v>0</v>
      </c>
      <c r="BE107" s="131">
        <f ca="1">SUM(BD107:BD$124)*SSe</f>
        <v>0</v>
      </c>
      <c r="BF107" s="70">
        <f t="shared" ca="1" si="1501"/>
        <v>18242.851738041998</v>
      </c>
      <c r="BG107" s="2">
        <f t="shared" ref="BG107" ca="1" si="2152">IFERROR(VLOOKUP($S107,qx_table,MATCH(BG$11,qx_title,0)+sexB),0)</f>
        <v>0</v>
      </c>
      <c r="BH107" s="131">
        <f t="shared" ca="1" si="1503"/>
        <v>0</v>
      </c>
      <c r="BI107" s="2">
        <f ca="1">SUM(BH107:BH$124)*SSf</f>
        <v>0</v>
      </c>
      <c r="BJ107" s="70">
        <f t="shared" ca="1" si="1504"/>
        <v>18242.851738041998</v>
      </c>
      <c r="BK107" s="2">
        <f t="shared" ref="BK107" ca="1" si="2153">IFERROR(VLOOKUP($S107,qx_table,MATCH(BK$11,qx_title,0)+sexB),0)</f>
        <v>0</v>
      </c>
      <c r="BL107" s="131">
        <f t="shared" ca="1" si="1506"/>
        <v>0</v>
      </c>
      <c r="BM107" s="131">
        <f ca="1">SUM(BL107:BL$124)*SSg</f>
        <v>0</v>
      </c>
      <c r="BN107" s="70">
        <f t="shared" ca="1" si="1507"/>
        <v>18242.851738041998</v>
      </c>
      <c r="BO107" s="2">
        <f t="shared" ref="BO107" ca="1" si="2154">IFERROR(VLOOKUP($S107,qx_table,MATCH(BO$11,qx_title,0)+sexB),0)</f>
        <v>0</v>
      </c>
      <c r="BP107" s="131">
        <f t="shared" ca="1" si="1509"/>
        <v>0</v>
      </c>
      <c r="BQ107" s="131">
        <f ca="1">SUM(BP107:BP$124)*SSh</f>
        <v>0</v>
      </c>
      <c r="BR107" s="70">
        <f t="shared" ca="1" si="1510"/>
        <v>18242.851738041998</v>
      </c>
      <c r="BS107" s="2">
        <f t="shared" ref="BS107" ca="1" si="2155">IFERROR(VLOOKUP($S107,qx_table,MATCH(BS$11,qx_title,0)+sexB),0)*IF(R107=0,MCi,1)</f>
        <v>0</v>
      </c>
      <c r="BT107" s="131">
        <f t="shared" ca="1" si="1512"/>
        <v>0</v>
      </c>
      <c r="BU107" s="131">
        <f ca="1">SUM(BT107:BT$124)*SSi</f>
        <v>0</v>
      </c>
      <c r="BV107" s="70">
        <f t="shared" ca="1" si="1513"/>
        <v>18242.851738041998</v>
      </c>
      <c r="BW107" s="2">
        <f t="shared" ref="BW107" ca="1" si="2156">IFERROR(VLOOKUP($S107,qx_table,MATCH(BW$11,qx_title,0)+sexB),0)</f>
        <v>0</v>
      </c>
      <c r="BX107" s="131">
        <f t="shared" ca="1" si="1515"/>
        <v>0</v>
      </c>
      <c r="BY107" s="131">
        <f ca="1">SUM(BX107:BX$124)*SSj</f>
        <v>0</v>
      </c>
      <c r="BZ107" s="70">
        <f t="shared" ca="1" si="1516"/>
        <v>18242.851738041998</v>
      </c>
      <c r="CA107" s="2">
        <f t="shared" ref="CA107" ca="1" si="2157">IFERROR(VLOOKUP($S107,qx_table,MATCH(CA$11,qx_title,0)+sexB),0)</f>
        <v>0</v>
      </c>
      <c r="CB107" s="131">
        <f t="shared" ca="1" si="1518"/>
        <v>0</v>
      </c>
      <c r="CC107" s="131">
        <f ca="1">SUM(CB107:CB$124)*SSk</f>
        <v>0</v>
      </c>
      <c r="CD107" s="8">
        <f t="shared" ca="1" si="1519"/>
        <v>18242.851738041998</v>
      </c>
      <c r="CE107" s="2">
        <f t="shared" ref="CE107" ca="1" si="2158">IFERROR(VLOOKUP($S107,qx_table,MATCH(CE$11,qx_title,0)+sexB),0)</f>
        <v>0</v>
      </c>
      <c r="CF107" s="131">
        <f t="shared" ca="1" si="1521"/>
        <v>0</v>
      </c>
      <c r="CG107" s="131">
        <f ca="1">SUM(CF107:CF$124)*SSl</f>
        <v>0</v>
      </c>
      <c r="CH107" s="155">
        <f t="shared" ca="1" si="1522"/>
        <v>0.01</v>
      </c>
      <c r="CI107" s="155">
        <f t="shared" ca="1" si="1523"/>
        <v>0</v>
      </c>
      <c r="CJ107" s="155">
        <f t="shared" ca="1" si="1524"/>
        <v>0</v>
      </c>
      <c r="CK107" s="155">
        <f ca="1">'유해지 (기준P)'!CZ107</f>
        <v>0</v>
      </c>
      <c r="CL107" s="155">
        <f t="shared" ca="1" si="1465"/>
        <v>0</v>
      </c>
      <c r="CM107" s="155">
        <f t="shared" ca="1" si="1525"/>
        <v>0</v>
      </c>
      <c r="CN107" s="155">
        <f ca="1">SUM(CM107:$CM$124)</f>
        <v>0</v>
      </c>
      <c r="CO107" s="101">
        <f t="shared" ca="1" si="1526"/>
        <v>0</v>
      </c>
      <c r="CP107" s="154">
        <f t="shared" ca="1" si="1466"/>
        <v>0</v>
      </c>
      <c r="CQ107" s="154">
        <f t="shared" ca="1" si="1467"/>
        <v>0</v>
      </c>
      <c r="CR107" s="32">
        <f t="shared" ref="CR107" ca="1" si="2159">+MAX(VLOOKUP(xB+$R107,기수표B,$AH$1)-VLOOKUP(xB+mB,기수표B,$AH$1),0)</f>
        <v>0</v>
      </c>
      <c r="CS107" s="32">
        <f t="shared" ca="1" si="1469"/>
        <v>0</v>
      </c>
      <c r="CT107" s="32">
        <f t="shared" ref="CT107" ca="1" si="2160">+MAX(VLOOKUP(xB+$R107,기수표B,$AA$1)-VLOOKUP(xB+mB,기수표B,$AA$1),0)</f>
        <v>0</v>
      </c>
      <c r="CU107" s="32">
        <f t="shared" ca="1" si="1471"/>
        <v>0</v>
      </c>
      <c r="CV107" s="32">
        <f t="shared" si="1472"/>
        <v>0</v>
      </c>
      <c r="CW107" s="259">
        <f t="shared" ca="1" si="1473"/>
        <v>0</v>
      </c>
      <c r="CX107" s="32">
        <f t="shared" ca="1" si="1474"/>
        <v>0</v>
      </c>
      <c r="CY107" s="262">
        <f t="shared" ca="1" si="1475"/>
        <v>0</v>
      </c>
      <c r="CZ107" s="259" t="e">
        <f t="shared" ca="1" si="1476"/>
        <v>#DIV/0!</v>
      </c>
      <c r="DA107" s="31">
        <f t="shared" ref="DA107" ca="1" si="2161">+MIN(mB,7)</f>
        <v>7</v>
      </c>
    </row>
    <row r="108" spans="3:105">
      <c r="C108" s="33"/>
      <c r="D108" s="33"/>
      <c r="E108" s="16"/>
      <c r="N108" s="5">
        <f t="shared" si="1530"/>
        <v>96</v>
      </c>
      <c r="O108" s="2">
        <f t="shared" ref="O108" ca="1" si="2162">+(1+iB)^-N108</f>
        <v>0.11811949968770268</v>
      </c>
      <c r="P108" s="2">
        <f t="shared" ref="P108" ca="1" si="2163">+(1+iB)^-(N108+0.5)</f>
        <v>0.11681266722378442</v>
      </c>
      <c r="Q108" s="91"/>
      <c r="R108" s="20">
        <f t="shared" si="1533"/>
        <v>96</v>
      </c>
      <c r="S108" s="20" t="str">
        <f t="shared" ref="S108" si="2164">+IF(xB+R108&lt;=xB+nB,xB+R108,"")</f>
        <v/>
      </c>
      <c r="T108" s="2">
        <f t="shared" ref="T108:U108" ca="1" si="2165">IFERROR(VLOOKUP($S108,qx_table,MATCH(T$11,qx_title,0)+sexB),0)</f>
        <v>0</v>
      </c>
      <c r="U108" s="2">
        <f t="shared" ca="1" si="2165"/>
        <v>0</v>
      </c>
      <c r="V108" s="300">
        <f t="shared" ref="V108:V124" ca="1" si="2166">IF(JRB=2,0,IF(R108&gt;=mB,VLOOKUP(R108-mB,해지율_납기후,2),IF(R108=mB-1,0,VLOOKUP(R108,해지율_납기전,2))))</f>
        <v>0.01</v>
      </c>
      <c r="W108" s="8">
        <f t="shared" ref="W108" si="2167">IF(R108=0,100000,IF(R108&gt;nB,0,W107*(1-X107)*(1-Y107)))</f>
        <v>0</v>
      </c>
      <c r="X108" s="10">
        <f t="shared" ca="1" si="1445"/>
        <v>1.0000000000000009E-2</v>
      </c>
      <c r="Y108" s="10">
        <f t="shared" ca="1" si="1446"/>
        <v>0</v>
      </c>
      <c r="Z108" s="5">
        <f t="shared" ca="1" si="1483"/>
        <v>0</v>
      </c>
      <c r="AA108" s="5">
        <f ca="1">+SUM(Z108:Z$124)</f>
        <v>0</v>
      </c>
      <c r="AB108" s="8">
        <f t="shared" ca="1" si="1447"/>
        <v>0</v>
      </c>
      <c r="AC108" s="209">
        <f ca="1">+SUM(AB108:AB$124)*SSSM</f>
        <v>0</v>
      </c>
      <c r="AD108" s="209">
        <f t="shared" ref="AD108" si="2168">IF(R108&gt;nB,0,AD107*(1-X107)*(1-Y107)*(1-AE107)*(1-AF107))</f>
        <v>0</v>
      </c>
      <c r="AE108" s="92">
        <f t="shared" ca="1" si="1449"/>
        <v>0</v>
      </c>
      <c r="AF108" s="92">
        <f t="shared" ca="1" si="1450"/>
        <v>0</v>
      </c>
      <c r="AG108" s="8">
        <f t="shared" ca="1" si="1451"/>
        <v>0</v>
      </c>
      <c r="AH108" s="5">
        <f ca="1">+SUM(AG108:AG$124)</f>
        <v>0</v>
      </c>
      <c r="AI108" s="70">
        <f t="shared" ca="1" si="1452"/>
        <v>0</v>
      </c>
      <c r="AJ108" s="208">
        <f ca="1">+SUM(AB108:AB$124)*SS50J</f>
        <v>0</v>
      </c>
      <c r="AK108" s="5">
        <f t="shared" ca="1" si="1485"/>
        <v>18060.423220661578</v>
      </c>
      <c r="AL108" s="2">
        <f t="shared" ref="AL108" ca="1" si="2169">IFERROR(VLOOKUP($S108,qx_table,MATCH(AL$11,qx_title,0)+sexB),0)</f>
        <v>0</v>
      </c>
      <c r="AM108" s="131">
        <f t="shared" ca="1" si="1487"/>
        <v>2133.2881549727135</v>
      </c>
      <c r="AN108" s="129">
        <f t="shared" ca="1" si="1488"/>
        <v>0</v>
      </c>
      <c r="AO108" s="129">
        <f ca="1">SUM(AN108:AN$124)*SSa</f>
        <v>0</v>
      </c>
      <c r="AP108" s="70">
        <f t="shared" ca="1" si="1489"/>
        <v>18060.423220661578</v>
      </c>
      <c r="AQ108" s="2">
        <f t="shared" ref="AQ108" ca="1" si="2170">IFERROR(VLOOKUP($S108,qx_table,MATCH(AQ$11,qx_title,0)+sexB),0)</f>
        <v>0</v>
      </c>
      <c r="AR108" s="127">
        <f t="shared" ca="1" si="1491"/>
        <v>0</v>
      </c>
      <c r="AS108" s="127">
        <f ca="1">SUM(AR108:AR$124)*SSb</f>
        <v>0</v>
      </c>
      <c r="AT108" s="70">
        <f t="shared" ca="1" si="1492"/>
        <v>18060.423220661578</v>
      </c>
      <c r="AU108" s="2">
        <f t="shared" ref="AU108" ca="1" si="2171">IFERROR(VLOOKUP($S108,qx_table,MATCH(AU$11,qx_title,0)+sexB),0)</f>
        <v>0</v>
      </c>
      <c r="AV108" s="268">
        <f t="shared" ca="1" si="1494"/>
        <v>0</v>
      </c>
      <c r="AW108" s="131">
        <f ca="1">SUM(AV108:AV$124)*SSc</f>
        <v>0</v>
      </c>
      <c r="AX108" s="70">
        <f t="shared" ca="1" si="1495"/>
        <v>18060.423220661578</v>
      </c>
      <c r="AY108" s="2">
        <f t="shared" ref="AY108" ca="1" si="2172">IFERROR(VLOOKUP($S108,qx_table,MATCH(AY$11,qx_title,0)+sexB),0)</f>
        <v>0</v>
      </c>
      <c r="AZ108" s="268">
        <f t="shared" ca="1" si="1497"/>
        <v>0</v>
      </c>
      <c r="BA108" s="129">
        <f ca="1">SUM(AZ108:AZ$124)*SSd</f>
        <v>0</v>
      </c>
      <c r="BB108" s="70">
        <f t="shared" ca="1" si="1498"/>
        <v>18060.423220661578</v>
      </c>
      <c r="BC108" s="257">
        <f t="shared" ref="BC108" ca="1" si="2173">IFERROR(VLOOKUP($S108,qx_table,MATCH(BC$11,qx_title,0)+sexB),0)</f>
        <v>0</v>
      </c>
      <c r="BD108" s="268">
        <f t="shared" ca="1" si="1500"/>
        <v>0</v>
      </c>
      <c r="BE108" s="131">
        <f ca="1">SUM(BD108:BD$124)*SSe</f>
        <v>0</v>
      </c>
      <c r="BF108" s="70">
        <f t="shared" ca="1" si="1501"/>
        <v>18060.423220661578</v>
      </c>
      <c r="BG108" s="2">
        <f t="shared" ref="BG108" ca="1" si="2174">IFERROR(VLOOKUP($S108,qx_table,MATCH(BG$11,qx_title,0)+sexB),0)</f>
        <v>0</v>
      </c>
      <c r="BH108" s="131">
        <f t="shared" ca="1" si="1503"/>
        <v>0</v>
      </c>
      <c r="BI108" s="2">
        <f ca="1">SUM(BH108:BH$124)*SSf</f>
        <v>0</v>
      </c>
      <c r="BJ108" s="70">
        <f t="shared" ca="1" si="1504"/>
        <v>18060.423220661578</v>
      </c>
      <c r="BK108" s="2">
        <f t="shared" ref="BK108" ca="1" si="2175">IFERROR(VLOOKUP($S108,qx_table,MATCH(BK$11,qx_title,0)+sexB),0)</f>
        <v>0</v>
      </c>
      <c r="BL108" s="131">
        <f t="shared" ca="1" si="1506"/>
        <v>0</v>
      </c>
      <c r="BM108" s="131">
        <f ca="1">SUM(BL108:BL$124)*SSg</f>
        <v>0</v>
      </c>
      <c r="BN108" s="70">
        <f t="shared" ca="1" si="1507"/>
        <v>18060.423220661578</v>
      </c>
      <c r="BO108" s="2">
        <f t="shared" ref="BO108" ca="1" si="2176">IFERROR(VLOOKUP($S108,qx_table,MATCH(BO$11,qx_title,0)+sexB),0)</f>
        <v>0</v>
      </c>
      <c r="BP108" s="131">
        <f t="shared" ca="1" si="1509"/>
        <v>0</v>
      </c>
      <c r="BQ108" s="131">
        <f ca="1">SUM(BP108:BP$124)*SSh</f>
        <v>0</v>
      </c>
      <c r="BR108" s="70">
        <f t="shared" ca="1" si="1510"/>
        <v>18060.423220661578</v>
      </c>
      <c r="BS108" s="2">
        <f t="shared" ref="BS108" ca="1" si="2177">IFERROR(VLOOKUP($S108,qx_table,MATCH(BS$11,qx_title,0)+sexB),0)*IF(R108=0,MCi,1)</f>
        <v>0</v>
      </c>
      <c r="BT108" s="131">
        <f t="shared" ca="1" si="1512"/>
        <v>0</v>
      </c>
      <c r="BU108" s="131">
        <f ca="1">SUM(BT108:BT$124)*SSi</f>
        <v>0</v>
      </c>
      <c r="BV108" s="70">
        <f t="shared" ca="1" si="1513"/>
        <v>18060.423220661578</v>
      </c>
      <c r="BW108" s="2">
        <f t="shared" ref="BW108" ca="1" si="2178">IFERROR(VLOOKUP($S108,qx_table,MATCH(BW$11,qx_title,0)+sexB),0)</f>
        <v>0</v>
      </c>
      <c r="BX108" s="131">
        <f t="shared" ca="1" si="1515"/>
        <v>0</v>
      </c>
      <c r="BY108" s="131">
        <f ca="1">SUM(BX108:BX$124)*SSj</f>
        <v>0</v>
      </c>
      <c r="BZ108" s="70">
        <f t="shared" ca="1" si="1516"/>
        <v>18060.423220661578</v>
      </c>
      <c r="CA108" s="2">
        <f t="shared" ref="CA108" ca="1" si="2179">IFERROR(VLOOKUP($S108,qx_table,MATCH(CA$11,qx_title,0)+sexB),0)</f>
        <v>0</v>
      </c>
      <c r="CB108" s="131">
        <f t="shared" ca="1" si="1518"/>
        <v>0</v>
      </c>
      <c r="CC108" s="131">
        <f ca="1">SUM(CB108:CB$124)*SSk</f>
        <v>0</v>
      </c>
      <c r="CD108" s="8">
        <f t="shared" ca="1" si="1519"/>
        <v>18060.423220661578</v>
      </c>
      <c r="CE108" s="2">
        <f t="shared" ref="CE108" ca="1" si="2180">IFERROR(VLOOKUP($S108,qx_table,MATCH(CE$11,qx_title,0)+sexB),0)</f>
        <v>0</v>
      </c>
      <c r="CF108" s="131">
        <f t="shared" ca="1" si="1521"/>
        <v>0</v>
      </c>
      <c r="CG108" s="131">
        <f ca="1">SUM(CF108:CF$124)*SSl</f>
        <v>0</v>
      </c>
      <c r="CH108" s="155">
        <f t="shared" ca="1" si="1522"/>
        <v>0.01</v>
      </c>
      <c r="CI108" s="155">
        <f t="shared" ca="1" si="1523"/>
        <v>0</v>
      </c>
      <c r="CJ108" s="155">
        <f t="shared" ca="1" si="1524"/>
        <v>0</v>
      </c>
      <c r="CK108" s="155">
        <f ca="1">'유해지 (기준P)'!CZ108</f>
        <v>0</v>
      </c>
      <c r="CL108" s="155">
        <f t="shared" ref="CL108:CL125" ca="1" si="2181">IF(R108&lt;mB,0,(CK108+CK109)/2)</f>
        <v>0</v>
      </c>
      <c r="CM108" s="155">
        <f t="shared" ca="1" si="1525"/>
        <v>0</v>
      </c>
      <c r="CN108" s="155">
        <f ca="1">SUM(CM108:$CM$124)</f>
        <v>0</v>
      </c>
      <c r="CO108" s="101">
        <f t="shared" ca="1" si="1526"/>
        <v>0</v>
      </c>
      <c r="CP108" s="154">
        <f t="shared" ref="CP108:CP124" ca="1" si="2182">MAX((VLOOKUP(xB+R108,기수표B,$CO$1)-VLOOKUP(xB+nB,기수표B,$CO$1)),0)</f>
        <v>0</v>
      </c>
      <c r="CQ108" s="154">
        <f t="shared" ref="CQ108:CQ125" ca="1" si="2183">MAX((VLOOKUP(xB+R108,기수표B,$CN$1)-VLOOKUP(xB+nB,기수표B,$CN$1)),0)</f>
        <v>0</v>
      </c>
      <c r="CR108" s="32">
        <f t="shared" ref="CR108" ca="1" si="2184">+MAX(VLOOKUP(xB+$R108,기수표B,$AH$1)-VLOOKUP(xB+mB,기수표B,$AH$1),0)</f>
        <v>0</v>
      </c>
      <c r="CS108" s="32">
        <f t="shared" ref="CS108:CS124" ca="1" si="2185">+MAX(VLOOKUP(xB+$R108,기수표B,$AH$1)-VLOOKUP(xB+mB,기수표B,$AH$1)-(mmB-1)/(mmB*2)*(VLOOKUP(xB+$R108,기수표B,$AG$1)-VLOOKUP(xB+mB,기수표B,$AG$1)),0)</f>
        <v>0</v>
      </c>
      <c r="CT108" s="32">
        <f t="shared" ref="CT108" ca="1" si="2186">+MAX(VLOOKUP(xB+$R108,기수표B,$AA$1)-VLOOKUP(xB+mB,기수표B,$AA$1),0)</f>
        <v>0</v>
      </c>
      <c r="CU108" s="32">
        <f t="shared" ref="CU108:CU124" ca="1" si="2187">+MAX(VLOOKUP(xB+$R108,기수표B,$AA$1)-VLOOKUP(xB+mB,기수표B,$AA$1)-(mmB-1)/(2*mmB)*(VLOOKUP(xB+$R108,기수표B,$AA$1)-VLOOKUP(xB+mB,기수표B,$AA$1)),0)</f>
        <v>0</v>
      </c>
      <c r="CV108" s="32">
        <f t="shared" ref="CV108:CV124" si="2188">IF(R108&gt;nB,0,VLOOKUP(xB+MAX($R108,mB),기수표B,$AA$1)-VLOOKUP(xB+nB,기수표B,$AA$1))</f>
        <v>0</v>
      </c>
      <c r="CW108" s="259">
        <f t="shared" ref="CW108:CW124" ca="1" si="2189">IF(JRB=1,mmB*NPPB*$CS108,0)</f>
        <v>0</v>
      </c>
      <c r="CX108" s="32">
        <f t="shared" ref="CX108:CX124" ca="1" si="2190">ROUND(IF($R108&gt;nB,0,$CZ108-MAX($DA108-$R108,0)/$DA108*$C$31),roundB)</f>
        <v>0</v>
      </c>
      <c r="CY108" s="262">
        <f t="shared" ref="CY108:CY124" ca="1" si="2191">+IF(JRB=1,CX108,MAX(0,ROUND(IF($R108&gt;nB,0,CZ108-MAX($DA108-$R108,0)/$DA108*$C$33),round)))</f>
        <v>0</v>
      </c>
      <c r="CZ108" s="259" t="e">
        <f t="shared" ref="CZ108:CZ124" ca="1" si="2192">(CP108+CQ108+BETAD_SB*$CV108-CW108)/Z108</f>
        <v>#DIV/0!</v>
      </c>
      <c r="DA108" s="31">
        <f t="shared" ref="DA108" ca="1" si="2193">+MIN(mB,7)</f>
        <v>7</v>
      </c>
    </row>
    <row r="109" spans="3:105">
      <c r="C109" s="33"/>
      <c r="D109" s="33"/>
      <c r="E109" s="16"/>
      <c r="N109" s="5">
        <f t="shared" si="1530"/>
        <v>97</v>
      </c>
      <c r="O109" s="2">
        <f t="shared" ref="O109" ca="1" si="2194">+(1+iB)^-N109</f>
        <v>0.11552029309310777</v>
      </c>
      <c r="P109" s="2">
        <f t="shared" ref="P109" ca="1" si="2195">+(1+iB)^-(N109+0.5)</f>
        <v>0.11424221733377446</v>
      </c>
      <c r="Q109" s="91"/>
      <c r="R109" s="20">
        <f t="shared" si="1533"/>
        <v>97</v>
      </c>
      <c r="S109" s="20" t="str">
        <f t="shared" ref="S109" si="2196">+IF(xB+R109&lt;=xB+nB,xB+R109,"")</f>
        <v/>
      </c>
      <c r="T109" s="2">
        <f t="shared" ref="T109:U109" ca="1" si="2197">IFERROR(VLOOKUP($S109,qx_table,MATCH(T$11,qx_title,0)+sexB),0)</f>
        <v>0</v>
      </c>
      <c r="U109" s="2">
        <f t="shared" ca="1" si="2197"/>
        <v>0</v>
      </c>
      <c r="V109" s="300">
        <f t="shared" ca="1" si="2166"/>
        <v>0.01</v>
      </c>
      <c r="W109" s="8">
        <f t="shared" ref="W109" si="2198">IF(R109=0,100000,IF(R109&gt;nB,0,W108*(1-X108)*(1-Y108)))</f>
        <v>0</v>
      </c>
      <c r="X109" s="10">
        <f t="shared" ca="1" si="1445"/>
        <v>1.0000000000000009E-2</v>
      </c>
      <c r="Y109" s="10">
        <f t="shared" ca="1" si="1446"/>
        <v>0</v>
      </c>
      <c r="Z109" s="5">
        <f t="shared" ca="1" si="1483"/>
        <v>0</v>
      </c>
      <c r="AA109" s="5">
        <f ca="1">+SUM(Z109:Z$124)</f>
        <v>0</v>
      </c>
      <c r="AB109" s="8">
        <f t="shared" ca="1" si="1447"/>
        <v>0</v>
      </c>
      <c r="AC109" s="209">
        <f ca="1">+SUM(AB109:AB$124)*SSSM</f>
        <v>0</v>
      </c>
      <c r="AD109" s="209">
        <f t="shared" ref="AD109" si="2199">IF(R109&gt;nB,0,AD108*(1-X108)*(1-Y108)*(1-AE108)*(1-AF108))</f>
        <v>0</v>
      </c>
      <c r="AE109" s="92">
        <f t="shared" ca="1" si="1449"/>
        <v>0</v>
      </c>
      <c r="AF109" s="92">
        <f t="shared" ca="1" si="1450"/>
        <v>0</v>
      </c>
      <c r="AG109" s="8">
        <f t="shared" ca="1" si="1451"/>
        <v>0</v>
      </c>
      <c r="AH109" s="5">
        <f ca="1">+SUM(AG109:AG$124)</f>
        <v>0</v>
      </c>
      <c r="AI109" s="70">
        <f t="shared" ca="1" si="1452"/>
        <v>0</v>
      </c>
      <c r="AJ109" s="208">
        <f ca="1">+SUM(AB109:AB$124)*SS50J</f>
        <v>0</v>
      </c>
      <c r="AK109" s="5">
        <f t="shared" ca="1" si="1485"/>
        <v>17879.818988454961</v>
      </c>
      <c r="AL109" s="2">
        <f t="shared" ref="AL109" ca="1" si="2200">IFERROR(VLOOKUP($S109,qx_table,MATCH(AL$11,qx_title,0)+sexB),0)</f>
        <v>0</v>
      </c>
      <c r="AM109" s="131">
        <f t="shared" ca="1" si="1487"/>
        <v>2065.4819299980309</v>
      </c>
      <c r="AN109" s="129">
        <f t="shared" ref="AN109:AN124" ca="1" si="2201">AK109*AL109*(1-CHOOSE(JRB,1,0)*$V109/2)*$P109</f>
        <v>0</v>
      </c>
      <c r="AO109" s="129">
        <f ca="1">SUM(AN109:AN$124)*SSa</f>
        <v>0</v>
      </c>
      <c r="AP109" s="70">
        <f t="shared" ca="1" si="1489"/>
        <v>17879.818988454961</v>
      </c>
      <c r="AQ109" s="2">
        <f t="shared" ref="AQ109" ca="1" si="2202">IFERROR(VLOOKUP($S109,qx_table,MATCH(AQ$11,qx_title,0)+sexB),0)</f>
        <v>0</v>
      </c>
      <c r="AR109" s="127">
        <f t="shared" ref="AR109:AR124" ca="1" si="2203">AP109*AQ109*(1-CHOOSE(JRB,1,0)*$V109/2)*$P109</f>
        <v>0</v>
      </c>
      <c r="AS109" s="127">
        <f ca="1">SUM(AR109:AR$124)*SSb</f>
        <v>0</v>
      </c>
      <c r="AT109" s="70">
        <f t="shared" ca="1" si="1492"/>
        <v>17879.818988454961</v>
      </c>
      <c r="AU109" s="2">
        <f t="shared" ref="AU109" ca="1" si="2204">IFERROR(VLOOKUP($S109,qx_table,MATCH(AU$11,qx_title,0)+sexB),0)</f>
        <v>0</v>
      </c>
      <c r="AV109" s="268">
        <f t="shared" ref="AV109:AV124" ca="1" si="2205">AT109*AU109*(1-CHOOSE(JRB,1,0)*$V109/2)*$P109</f>
        <v>0</v>
      </c>
      <c r="AW109" s="131">
        <f ca="1">SUM(AV109:AV$124)*SSc</f>
        <v>0</v>
      </c>
      <c r="AX109" s="70">
        <f t="shared" ca="1" si="1495"/>
        <v>17879.818988454961</v>
      </c>
      <c r="AY109" s="2">
        <f t="shared" ref="AY109" ca="1" si="2206">IFERROR(VLOOKUP($S109,qx_table,MATCH(AY$11,qx_title,0)+sexB),0)</f>
        <v>0</v>
      </c>
      <c r="AZ109" s="268">
        <f t="shared" ref="AZ109:AZ124" ca="1" si="2207">AX109*AY109*(1-CHOOSE(JRB,1,0)*$V109/2)*$P109</f>
        <v>0</v>
      </c>
      <c r="BA109" s="129">
        <f ca="1">SUM(AZ109:AZ$124)*SSd</f>
        <v>0</v>
      </c>
      <c r="BB109" s="70">
        <f t="shared" ca="1" si="1498"/>
        <v>17879.818988454961</v>
      </c>
      <c r="BC109" s="257">
        <f t="shared" ref="BC109" ca="1" si="2208">IFERROR(VLOOKUP($S109,qx_table,MATCH(BC$11,qx_title,0)+sexB),0)</f>
        <v>0</v>
      </c>
      <c r="BD109" s="268">
        <f t="shared" ref="BD109:BD124" ca="1" si="2209">BB109*BC109*(1-CHOOSE(JRB,1,0)*$V109/2)*$P109</f>
        <v>0</v>
      </c>
      <c r="BE109" s="131">
        <f ca="1">SUM(BD109:BD$124)*SSe</f>
        <v>0</v>
      </c>
      <c r="BF109" s="70">
        <f t="shared" ca="1" si="1501"/>
        <v>17879.818988454961</v>
      </c>
      <c r="BG109" s="2">
        <f t="shared" ref="BG109" ca="1" si="2210">IFERROR(VLOOKUP($S109,qx_table,MATCH(BG$11,qx_title,0)+sexB),0)</f>
        <v>0</v>
      </c>
      <c r="BH109" s="131">
        <f t="shared" ref="BH109:BH124" ca="1" si="2211">BF109*BG109*(1-CHOOSE(JRB,1,0)*$V109/2)*$P109</f>
        <v>0</v>
      </c>
      <c r="BI109" s="2">
        <f ca="1">SUM(BH109:BH$124)*SSf</f>
        <v>0</v>
      </c>
      <c r="BJ109" s="70">
        <f t="shared" ca="1" si="1504"/>
        <v>17879.818988454961</v>
      </c>
      <c r="BK109" s="2">
        <f t="shared" ref="BK109" ca="1" si="2212">IFERROR(VLOOKUP($S109,qx_table,MATCH(BK$11,qx_title,0)+sexB),0)</f>
        <v>0</v>
      </c>
      <c r="BL109" s="131">
        <f t="shared" ref="BL109:BL124" ca="1" si="2213">BJ109*BK109*(1-CHOOSE(JRB,1,0)*$V109/2)*$P109</f>
        <v>0</v>
      </c>
      <c r="BM109" s="131">
        <f ca="1">SUM(BL109:BL$124)*SSg</f>
        <v>0</v>
      </c>
      <c r="BN109" s="70">
        <f t="shared" ca="1" si="1507"/>
        <v>17879.818988454961</v>
      </c>
      <c r="BO109" s="2">
        <f t="shared" ref="BO109" ca="1" si="2214">IFERROR(VLOOKUP($S109,qx_table,MATCH(BO$11,qx_title,0)+sexB),0)</f>
        <v>0</v>
      </c>
      <c r="BP109" s="131">
        <f t="shared" ref="BP109:BP124" ca="1" si="2215">BN109*BO109*(1-CHOOSE(JRB,1,0)*$V109/2)*$P109</f>
        <v>0</v>
      </c>
      <c r="BQ109" s="131">
        <f ca="1">SUM(BP109:BP$124)*SSh</f>
        <v>0</v>
      </c>
      <c r="BR109" s="70">
        <f t="shared" ca="1" si="1510"/>
        <v>17879.818988454961</v>
      </c>
      <c r="BS109" s="2">
        <f t="shared" ref="BS109" ca="1" si="2216">IFERROR(VLOOKUP($S109,qx_table,MATCH(BS$11,qx_title,0)+sexB),0)*IF(R109=0,MCi,1)</f>
        <v>0</v>
      </c>
      <c r="BT109" s="131">
        <f t="shared" ref="BT109:BT124" ca="1" si="2217">BR109*BS109*(1-CHOOSE(JRB,1,0)*$V109/2)*$P109</f>
        <v>0</v>
      </c>
      <c r="BU109" s="131">
        <f ca="1">SUM(BT109:BT$124)*SSi</f>
        <v>0</v>
      </c>
      <c r="BV109" s="70">
        <f t="shared" ca="1" si="1513"/>
        <v>17879.818988454961</v>
      </c>
      <c r="BW109" s="2">
        <f t="shared" ref="BW109" ca="1" si="2218">IFERROR(VLOOKUP($S109,qx_table,MATCH(BW$11,qx_title,0)+sexB),0)</f>
        <v>0</v>
      </c>
      <c r="BX109" s="131">
        <f t="shared" ref="BX109:BX124" ca="1" si="2219">BV109*BW109*(1-CHOOSE(JRB,1,0)*$V109/2)*$P109</f>
        <v>0</v>
      </c>
      <c r="BY109" s="131">
        <f ca="1">SUM(BX109:BX$124)*SSj</f>
        <v>0</v>
      </c>
      <c r="BZ109" s="70">
        <f t="shared" ca="1" si="1516"/>
        <v>17879.818988454961</v>
      </c>
      <c r="CA109" s="2">
        <f t="shared" ref="CA109" ca="1" si="2220">IFERROR(VLOOKUP($S109,qx_table,MATCH(CA$11,qx_title,0)+sexB),0)</f>
        <v>0</v>
      </c>
      <c r="CB109" s="131">
        <f t="shared" ref="CB109:CB124" ca="1" si="2221">BZ109*CA109*(1-CHOOSE(JRB,1,0)*$V109/2)*$P109</f>
        <v>0</v>
      </c>
      <c r="CC109" s="131">
        <f ca="1">SUM(CB109:CB$124)*SSk</f>
        <v>0</v>
      </c>
      <c r="CD109" s="8">
        <f t="shared" ca="1" si="1519"/>
        <v>17879.818988454961</v>
      </c>
      <c r="CE109" s="2">
        <f t="shared" ref="CE109" ca="1" si="2222">IFERROR(VLOOKUP($S109,qx_table,MATCH(CE$11,qx_title,0)+sexB),0)</f>
        <v>0</v>
      </c>
      <c r="CF109" s="131">
        <f t="shared" ref="CF109:CF124" ca="1" si="2223">CD109*CE109*(1-CHOOSE(JRB,1,0)*$V109/2)*$P109</f>
        <v>0</v>
      </c>
      <c r="CG109" s="131">
        <f ca="1">SUM(CF109:CF$124)*SSl</f>
        <v>0</v>
      </c>
      <c r="CH109" s="155">
        <f t="shared" ca="1" si="1522"/>
        <v>0.01</v>
      </c>
      <c r="CI109" s="155">
        <f t="shared" ca="1" si="1523"/>
        <v>0</v>
      </c>
      <c r="CJ109" s="155">
        <f t="shared" ca="1" si="1524"/>
        <v>0</v>
      </c>
      <c r="CK109" s="155">
        <f ca="1">'유해지 (기준P)'!CZ109</f>
        <v>0</v>
      </c>
      <c r="CL109" s="155">
        <f t="shared" ca="1" si="2181"/>
        <v>0</v>
      </c>
      <c r="CM109" s="155">
        <f t="shared" ca="1" si="1525"/>
        <v>0</v>
      </c>
      <c r="CN109" s="155">
        <f ca="1">SUM(CM109:$CM$124)</f>
        <v>0</v>
      </c>
      <c r="CO109" s="101">
        <f t="shared" ca="1" si="1526"/>
        <v>0</v>
      </c>
      <c r="CP109" s="154">
        <f t="shared" ca="1" si="2182"/>
        <v>0</v>
      </c>
      <c r="CQ109" s="154">
        <f t="shared" ca="1" si="2183"/>
        <v>0</v>
      </c>
      <c r="CR109" s="32">
        <f t="shared" ref="CR109" ca="1" si="2224">+MAX(VLOOKUP(xB+$R109,기수표B,$AH$1)-VLOOKUP(xB+mB,기수표B,$AH$1),0)</f>
        <v>0</v>
      </c>
      <c r="CS109" s="32">
        <f t="shared" ca="1" si="2185"/>
        <v>0</v>
      </c>
      <c r="CT109" s="32">
        <f t="shared" ref="CT109" ca="1" si="2225">+MAX(VLOOKUP(xB+$R109,기수표B,$AA$1)-VLOOKUP(xB+mB,기수표B,$AA$1),0)</f>
        <v>0</v>
      </c>
      <c r="CU109" s="32">
        <f t="shared" ca="1" si="2187"/>
        <v>0</v>
      </c>
      <c r="CV109" s="32">
        <f t="shared" si="2188"/>
        <v>0</v>
      </c>
      <c r="CW109" s="259">
        <f t="shared" ca="1" si="2189"/>
        <v>0</v>
      </c>
      <c r="CX109" s="32">
        <f t="shared" ca="1" si="2190"/>
        <v>0</v>
      </c>
      <c r="CY109" s="262">
        <f t="shared" ca="1" si="2191"/>
        <v>0</v>
      </c>
      <c r="CZ109" s="259" t="e">
        <f t="shared" ca="1" si="2192"/>
        <v>#DIV/0!</v>
      </c>
      <c r="DA109" s="31">
        <f t="shared" ref="DA109" ca="1" si="2226">+MIN(mB,7)</f>
        <v>7</v>
      </c>
    </row>
    <row r="110" spans="3:105">
      <c r="C110" s="33"/>
      <c r="D110" s="33"/>
      <c r="E110" s="16"/>
      <c r="N110" s="5">
        <f t="shared" si="1530"/>
        <v>98</v>
      </c>
      <c r="O110" s="2">
        <f t="shared" ref="O110" ca="1" si="2227">+(1+iB)^-N110</f>
        <v>0.11297828175365064</v>
      </c>
      <c r="P110" s="2">
        <f t="shared" ref="P110" ca="1" si="2228">+(1+iB)^-(N110+0.5)</f>
        <v>0.1117283299107819</v>
      </c>
      <c r="Q110" s="91"/>
      <c r="R110" s="20">
        <f t="shared" si="1533"/>
        <v>98</v>
      </c>
      <c r="S110" s="20" t="str">
        <f t="shared" ref="S110" si="2229">+IF(xB+R110&lt;=xB+nB,xB+R110,"")</f>
        <v/>
      </c>
      <c r="T110" s="2">
        <f t="shared" ref="T110:U110" ca="1" si="2230">IFERROR(VLOOKUP($S110,qx_table,MATCH(T$11,qx_title,0)+sexB),0)</f>
        <v>0</v>
      </c>
      <c r="U110" s="2">
        <f t="shared" ca="1" si="2230"/>
        <v>0</v>
      </c>
      <c r="V110" s="300">
        <f t="shared" ca="1" si="2166"/>
        <v>0.01</v>
      </c>
      <c r="W110" s="8">
        <f t="shared" ref="W110" si="2231">IF(R110=0,100000,IF(R110&gt;nB,0,W109*(1-X109)*(1-Y109)))</f>
        <v>0</v>
      </c>
      <c r="X110" s="10">
        <f t="shared" ca="1" si="1445"/>
        <v>1.0000000000000009E-2</v>
      </c>
      <c r="Y110" s="10">
        <f t="shared" ca="1" si="1446"/>
        <v>0</v>
      </c>
      <c r="Z110" s="5">
        <f t="shared" ca="1" si="1483"/>
        <v>0</v>
      </c>
      <c r="AA110" s="5">
        <f ca="1">+SUM(Z110:Z$124)</f>
        <v>0</v>
      </c>
      <c r="AB110" s="8">
        <f t="shared" ca="1" si="1447"/>
        <v>0</v>
      </c>
      <c r="AC110" s="209">
        <f ca="1">+SUM(AB110:AB$124)*SSSM</f>
        <v>0</v>
      </c>
      <c r="AD110" s="209">
        <f t="shared" ref="AD110" si="2232">IF(R110&gt;nB,0,AD109*(1-X109)*(1-Y109)*(1-AE109)*(1-AF109))</f>
        <v>0</v>
      </c>
      <c r="AE110" s="92">
        <f t="shared" ca="1" si="1449"/>
        <v>0</v>
      </c>
      <c r="AF110" s="92">
        <f t="shared" ca="1" si="1450"/>
        <v>0</v>
      </c>
      <c r="AG110" s="8">
        <f t="shared" ca="1" si="1451"/>
        <v>0</v>
      </c>
      <c r="AH110" s="5">
        <f ca="1">+SUM(AG110:AG$124)</f>
        <v>0</v>
      </c>
      <c r="AI110" s="70">
        <f t="shared" ca="1" si="1452"/>
        <v>0</v>
      </c>
      <c r="AJ110" s="208">
        <f ca="1">+SUM(AB110:AB$124)*SS50J</f>
        <v>0</v>
      </c>
      <c r="AK110" s="5">
        <f t="shared" ca="1" si="1485"/>
        <v>17701.020798570411</v>
      </c>
      <c r="AL110" s="2">
        <f t="shared" ref="AL110" ca="1" si="2233">IFERROR(VLOOKUP($S110,qx_table,MATCH(AL$11,qx_title,0)+sexB),0)</f>
        <v>0</v>
      </c>
      <c r="AM110" s="131">
        <f t="shared" ca="1" si="1487"/>
        <v>1999.830915108118</v>
      </c>
      <c r="AN110" s="129">
        <f t="shared" ca="1" si="2201"/>
        <v>0</v>
      </c>
      <c r="AO110" s="129">
        <f ca="1">SUM(AN110:AN$124)*SSa</f>
        <v>0</v>
      </c>
      <c r="AP110" s="70">
        <f t="shared" ca="1" si="1489"/>
        <v>17701.020798570411</v>
      </c>
      <c r="AQ110" s="2">
        <f t="shared" ref="AQ110" ca="1" si="2234">IFERROR(VLOOKUP($S110,qx_table,MATCH(AQ$11,qx_title,0)+sexB),0)</f>
        <v>0</v>
      </c>
      <c r="AR110" s="127">
        <f t="shared" ca="1" si="2203"/>
        <v>0</v>
      </c>
      <c r="AS110" s="127">
        <f ca="1">SUM(AR110:AR$124)*SSb</f>
        <v>0</v>
      </c>
      <c r="AT110" s="70">
        <f t="shared" ca="1" si="1492"/>
        <v>17701.020798570411</v>
      </c>
      <c r="AU110" s="2">
        <f t="shared" ref="AU110" ca="1" si="2235">IFERROR(VLOOKUP($S110,qx_table,MATCH(AU$11,qx_title,0)+sexB),0)</f>
        <v>0</v>
      </c>
      <c r="AV110" s="268">
        <f t="shared" ca="1" si="2205"/>
        <v>0</v>
      </c>
      <c r="AW110" s="131">
        <f ca="1">SUM(AV110:AV$124)*SSc</f>
        <v>0</v>
      </c>
      <c r="AX110" s="70">
        <f t="shared" ca="1" si="1495"/>
        <v>17701.020798570411</v>
      </c>
      <c r="AY110" s="2">
        <f t="shared" ref="AY110" ca="1" si="2236">IFERROR(VLOOKUP($S110,qx_table,MATCH(AY$11,qx_title,0)+sexB),0)</f>
        <v>0</v>
      </c>
      <c r="AZ110" s="268">
        <f t="shared" ca="1" si="2207"/>
        <v>0</v>
      </c>
      <c r="BA110" s="129">
        <f ca="1">SUM(AZ110:AZ$124)*SSd</f>
        <v>0</v>
      </c>
      <c r="BB110" s="70">
        <f t="shared" ca="1" si="1498"/>
        <v>17701.020798570411</v>
      </c>
      <c r="BC110" s="257">
        <f t="shared" ref="BC110" ca="1" si="2237">IFERROR(VLOOKUP($S110,qx_table,MATCH(BC$11,qx_title,0)+sexB),0)</f>
        <v>0</v>
      </c>
      <c r="BD110" s="268">
        <f t="shared" ca="1" si="2209"/>
        <v>0</v>
      </c>
      <c r="BE110" s="131">
        <f ca="1">SUM(BD110:BD$124)*SSe</f>
        <v>0</v>
      </c>
      <c r="BF110" s="70">
        <f t="shared" ca="1" si="1501"/>
        <v>17701.020798570411</v>
      </c>
      <c r="BG110" s="2">
        <f t="shared" ref="BG110" ca="1" si="2238">IFERROR(VLOOKUP($S110,qx_table,MATCH(BG$11,qx_title,0)+sexB),0)</f>
        <v>0</v>
      </c>
      <c r="BH110" s="131">
        <f t="shared" ca="1" si="2211"/>
        <v>0</v>
      </c>
      <c r="BI110" s="2">
        <f ca="1">SUM(BH110:BH$124)*SSf</f>
        <v>0</v>
      </c>
      <c r="BJ110" s="70">
        <f t="shared" ca="1" si="1504"/>
        <v>17701.020798570411</v>
      </c>
      <c r="BK110" s="2">
        <f t="shared" ref="BK110" ca="1" si="2239">IFERROR(VLOOKUP($S110,qx_table,MATCH(BK$11,qx_title,0)+sexB),0)</f>
        <v>0</v>
      </c>
      <c r="BL110" s="131">
        <f t="shared" ca="1" si="2213"/>
        <v>0</v>
      </c>
      <c r="BM110" s="131">
        <f ca="1">SUM(BL110:BL$124)*SSg</f>
        <v>0</v>
      </c>
      <c r="BN110" s="70">
        <f t="shared" ca="1" si="1507"/>
        <v>17701.020798570411</v>
      </c>
      <c r="BO110" s="2">
        <f t="shared" ref="BO110" ca="1" si="2240">IFERROR(VLOOKUP($S110,qx_table,MATCH(BO$11,qx_title,0)+sexB),0)</f>
        <v>0</v>
      </c>
      <c r="BP110" s="131">
        <f t="shared" ca="1" si="2215"/>
        <v>0</v>
      </c>
      <c r="BQ110" s="131">
        <f ca="1">SUM(BP110:BP$124)*SSh</f>
        <v>0</v>
      </c>
      <c r="BR110" s="70">
        <f t="shared" ca="1" si="1510"/>
        <v>17701.020798570411</v>
      </c>
      <c r="BS110" s="2">
        <f t="shared" ref="BS110" ca="1" si="2241">IFERROR(VLOOKUP($S110,qx_table,MATCH(BS$11,qx_title,0)+sexB),0)*IF(R110=0,MCi,1)</f>
        <v>0</v>
      </c>
      <c r="BT110" s="131">
        <f t="shared" ca="1" si="2217"/>
        <v>0</v>
      </c>
      <c r="BU110" s="131">
        <f ca="1">SUM(BT110:BT$124)*SSi</f>
        <v>0</v>
      </c>
      <c r="BV110" s="70">
        <f t="shared" ca="1" si="1513"/>
        <v>17701.020798570411</v>
      </c>
      <c r="BW110" s="2">
        <f t="shared" ref="BW110" ca="1" si="2242">IFERROR(VLOOKUP($S110,qx_table,MATCH(BW$11,qx_title,0)+sexB),0)</f>
        <v>0</v>
      </c>
      <c r="BX110" s="131">
        <f t="shared" ca="1" si="2219"/>
        <v>0</v>
      </c>
      <c r="BY110" s="131">
        <f ca="1">SUM(BX110:BX$124)*SSj</f>
        <v>0</v>
      </c>
      <c r="BZ110" s="70">
        <f t="shared" ca="1" si="1516"/>
        <v>17701.020798570411</v>
      </c>
      <c r="CA110" s="2">
        <f t="shared" ref="CA110" ca="1" si="2243">IFERROR(VLOOKUP($S110,qx_table,MATCH(CA$11,qx_title,0)+sexB),0)</f>
        <v>0</v>
      </c>
      <c r="CB110" s="131">
        <f t="shared" ca="1" si="2221"/>
        <v>0</v>
      </c>
      <c r="CC110" s="131">
        <f ca="1">SUM(CB110:CB$124)*SSk</f>
        <v>0</v>
      </c>
      <c r="CD110" s="8">
        <f t="shared" ca="1" si="1519"/>
        <v>17701.020798570411</v>
      </c>
      <c r="CE110" s="2">
        <f t="shared" ref="CE110" ca="1" si="2244">IFERROR(VLOOKUP($S110,qx_table,MATCH(CE$11,qx_title,0)+sexB),0)</f>
        <v>0</v>
      </c>
      <c r="CF110" s="131">
        <f t="shared" ca="1" si="2223"/>
        <v>0</v>
      </c>
      <c r="CG110" s="131">
        <f ca="1">SUM(CF110:CF$124)*SSl</f>
        <v>0</v>
      </c>
      <c r="CH110" s="155">
        <f t="shared" ca="1" si="1522"/>
        <v>0.01</v>
      </c>
      <c r="CI110" s="155">
        <f t="shared" ca="1" si="1523"/>
        <v>0</v>
      </c>
      <c r="CJ110" s="155">
        <f t="shared" ca="1" si="1524"/>
        <v>0</v>
      </c>
      <c r="CK110" s="155">
        <f ca="1">'유해지 (기준P)'!CZ110</f>
        <v>0</v>
      </c>
      <c r="CL110" s="155">
        <f t="shared" ca="1" si="2181"/>
        <v>0</v>
      </c>
      <c r="CM110" s="155">
        <f t="shared" ca="1" si="1525"/>
        <v>0</v>
      </c>
      <c r="CN110" s="155">
        <f ca="1">SUM(CM110:$CM$124)</f>
        <v>0</v>
      </c>
      <c r="CO110" s="101">
        <f t="shared" ca="1" si="1526"/>
        <v>0</v>
      </c>
      <c r="CP110" s="154">
        <f t="shared" ca="1" si="2182"/>
        <v>0</v>
      </c>
      <c r="CQ110" s="154">
        <f t="shared" ca="1" si="2183"/>
        <v>0</v>
      </c>
      <c r="CR110" s="32">
        <f t="shared" ref="CR110" ca="1" si="2245">+MAX(VLOOKUP(xB+$R110,기수표B,$AH$1)-VLOOKUP(xB+mB,기수표B,$AH$1),0)</f>
        <v>0</v>
      </c>
      <c r="CS110" s="32">
        <f t="shared" ca="1" si="2185"/>
        <v>0</v>
      </c>
      <c r="CT110" s="32">
        <f t="shared" ref="CT110" ca="1" si="2246">+MAX(VLOOKUP(xB+$R110,기수표B,$AA$1)-VLOOKUP(xB+mB,기수표B,$AA$1),0)</f>
        <v>0</v>
      </c>
      <c r="CU110" s="32">
        <f t="shared" ca="1" si="2187"/>
        <v>0</v>
      </c>
      <c r="CV110" s="32">
        <f t="shared" si="2188"/>
        <v>0</v>
      </c>
      <c r="CW110" s="259">
        <f t="shared" ca="1" si="2189"/>
        <v>0</v>
      </c>
      <c r="CX110" s="32">
        <f t="shared" ca="1" si="2190"/>
        <v>0</v>
      </c>
      <c r="CY110" s="262">
        <f t="shared" ca="1" si="2191"/>
        <v>0</v>
      </c>
      <c r="CZ110" s="259" t="e">
        <f t="shared" ca="1" si="2192"/>
        <v>#DIV/0!</v>
      </c>
      <c r="DA110" s="31">
        <f t="shared" ref="DA110" ca="1" si="2247">+MIN(mB,7)</f>
        <v>7</v>
      </c>
    </row>
    <row r="111" spans="3:105">
      <c r="C111" s="33"/>
      <c r="D111" s="33"/>
      <c r="E111" s="16"/>
      <c r="N111" s="5">
        <f t="shared" si="1530"/>
        <v>99</v>
      </c>
      <c r="O111" s="2">
        <f t="shared" ref="O111" ca="1" si="2248">+(1+iB)^-N111</f>
        <v>0.11049220709403487</v>
      </c>
      <c r="P111" s="2">
        <f t="shared" ref="P111" ca="1" si="2249">+(1+iB)^-(N111+0.5)</f>
        <v>0.10926976030394316</v>
      </c>
      <c r="Q111" s="91"/>
      <c r="R111" s="20">
        <f t="shared" si="1533"/>
        <v>99</v>
      </c>
      <c r="S111" s="20" t="str">
        <f t="shared" ref="S111" si="2250">+IF(xB+R111&lt;=xB+nB,xB+R111,"")</f>
        <v/>
      </c>
      <c r="T111" s="2">
        <f t="shared" ref="T111:U111" ca="1" si="2251">IFERROR(VLOOKUP($S111,qx_table,MATCH(T$11,qx_title,0)+sexB),0)</f>
        <v>0</v>
      </c>
      <c r="U111" s="2">
        <f t="shared" ca="1" si="2251"/>
        <v>0</v>
      </c>
      <c r="V111" s="300">
        <f t="shared" ca="1" si="2166"/>
        <v>0.01</v>
      </c>
      <c r="W111" s="8">
        <f t="shared" ref="W111" si="2252">IF(R111=0,100000,IF(R111&gt;nB,0,W110*(1-X110)*(1-Y110)))</f>
        <v>0</v>
      </c>
      <c r="X111" s="10">
        <f t="shared" ca="1" si="1445"/>
        <v>1.0000000000000009E-2</v>
      </c>
      <c r="Y111" s="10">
        <f t="shared" ca="1" si="1446"/>
        <v>0</v>
      </c>
      <c r="Z111" s="5">
        <f t="shared" ca="1" si="1483"/>
        <v>0</v>
      </c>
      <c r="AA111" s="5">
        <f ca="1">+SUM(Z111:Z$124)</f>
        <v>0</v>
      </c>
      <c r="AB111" s="8">
        <f t="shared" ca="1" si="1447"/>
        <v>0</v>
      </c>
      <c r="AC111" s="209">
        <f ca="1">+SUM(AB111:AB$124)*SSSM</f>
        <v>0</v>
      </c>
      <c r="AD111" s="209">
        <f t="shared" ref="AD111" si="2253">IF(R111&gt;nB,0,AD110*(1-X110)*(1-Y110)*(1-AE110)*(1-AF110))</f>
        <v>0</v>
      </c>
      <c r="AE111" s="92">
        <f t="shared" ca="1" si="1449"/>
        <v>0</v>
      </c>
      <c r="AF111" s="92">
        <f t="shared" ca="1" si="1450"/>
        <v>0</v>
      </c>
      <c r="AG111" s="8">
        <f t="shared" ca="1" si="1451"/>
        <v>0</v>
      </c>
      <c r="AH111" s="5">
        <f ca="1">+SUM(AG111:AG$124)</f>
        <v>0</v>
      </c>
      <c r="AI111" s="70">
        <f t="shared" ca="1" si="1452"/>
        <v>0</v>
      </c>
      <c r="AJ111" s="208">
        <f ca="1">+SUM(AB111:AB$124)*SS50J</f>
        <v>0</v>
      </c>
      <c r="AK111" s="5">
        <f t="shared" ca="1" si="1485"/>
        <v>17524.010590584705</v>
      </c>
      <c r="AL111" s="2">
        <f t="shared" ref="AL111" ca="1" si="2254">IFERROR(VLOOKUP($S111,qx_table,MATCH(AL$11,qx_title,0)+sexB),0)</f>
        <v>0</v>
      </c>
      <c r="AM111" s="131">
        <f t="shared" ca="1" si="1487"/>
        <v>1936.2666072929455</v>
      </c>
      <c r="AN111" s="129">
        <f t="shared" ca="1" si="2201"/>
        <v>0</v>
      </c>
      <c r="AO111" s="129">
        <f ca="1">SUM(AN111:AN$124)*SSa</f>
        <v>0</v>
      </c>
      <c r="AP111" s="70">
        <f t="shared" ca="1" si="1489"/>
        <v>17524.010590584705</v>
      </c>
      <c r="AQ111" s="2">
        <f t="shared" ref="AQ111" ca="1" si="2255">IFERROR(VLOOKUP($S111,qx_table,MATCH(AQ$11,qx_title,0)+sexB),0)</f>
        <v>0</v>
      </c>
      <c r="AR111" s="127">
        <f t="shared" ca="1" si="2203"/>
        <v>0</v>
      </c>
      <c r="AS111" s="127">
        <f ca="1">SUM(AR111:AR$124)*SSb</f>
        <v>0</v>
      </c>
      <c r="AT111" s="70">
        <f t="shared" ca="1" si="1492"/>
        <v>17524.010590584705</v>
      </c>
      <c r="AU111" s="2">
        <f t="shared" ref="AU111" ca="1" si="2256">IFERROR(VLOOKUP($S111,qx_table,MATCH(AU$11,qx_title,0)+sexB),0)</f>
        <v>0</v>
      </c>
      <c r="AV111" s="268">
        <f t="shared" ca="1" si="2205"/>
        <v>0</v>
      </c>
      <c r="AW111" s="131">
        <f ca="1">SUM(AV111:AV$124)*SSc</f>
        <v>0</v>
      </c>
      <c r="AX111" s="70">
        <f t="shared" ca="1" si="1495"/>
        <v>17524.010590584705</v>
      </c>
      <c r="AY111" s="2">
        <f t="shared" ref="AY111" ca="1" si="2257">IFERROR(VLOOKUP($S111,qx_table,MATCH(AY$11,qx_title,0)+sexB),0)</f>
        <v>0</v>
      </c>
      <c r="AZ111" s="268">
        <f t="shared" ca="1" si="2207"/>
        <v>0</v>
      </c>
      <c r="BA111" s="129">
        <f ca="1">SUM(AZ111:AZ$124)*SSd</f>
        <v>0</v>
      </c>
      <c r="BB111" s="70">
        <f t="shared" ca="1" si="1498"/>
        <v>17524.010590584705</v>
      </c>
      <c r="BC111" s="257">
        <f t="shared" ref="BC111" ca="1" si="2258">IFERROR(VLOOKUP($S111,qx_table,MATCH(BC$11,qx_title,0)+sexB),0)</f>
        <v>0</v>
      </c>
      <c r="BD111" s="268">
        <f t="shared" ca="1" si="2209"/>
        <v>0</v>
      </c>
      <c r="BE111" s="131">
        <f ca="1">SUM(BD111:BD$124)*SSe</f>
        <v>0</v>
      </c>
      <c r="BF111" s="70">
        <f t="shared" ca="1" si="1501"/>
        <v>17524.010590584705</v>
      </c>
      <c r="BG111" s="2">
        <f t="shared" ref="BG111" ca="1" si="2259">IFERROR(VLOOKUP($S111,qx_table,MATCH(BG$11,qx_title,0)+sexB),0)</f>
        <v>0</v>
      </c>
      <c r="BH111" s="131">
        <f t="shared" ca="1" si="2211"/>
        <v>0</v>
      </c>
      <c r="BI111" s="2">
        <f ca="1">SUM(BH111:BH$124)*SSf</f>
        <v>0</v>
      </c>
      <c r="BJ111" s="70">
        <f t="shared" ca="1" si="1504"/>
        <v>17524.010590584705</v>
      </c>
      <c r="BK111" s="2">
        <f t="shared" ref="BK111" ca="1" si="2260">IFERROR(VLOOKUP($S111,qx_table,MATCH(BK$11,qx_title,0)+sexB),0)</f>
        <v>0</v>
      </c>
      <c r="BL111" s="131">
        <f t="shared" ca="1" si="2213"/>
        <v>0</v>
      </c>
      <c r="BM111" s="131">
        <f ca="1">SUM(BL111:BL$124)*SSg</f>
        <v>0</v>
      </c>
      <c r="BN111" s="70">
        <f t="shared" ca="1" si="1507"/>
        <v>17524.010590584705</v>
      </c>
      <c r="BO111" s="2">
        <f t="shared" ref="BO111" ca="1" si="2261">IFERROR(VLOOKUP($S111,qx_table,MATCH(BO$11,qx_title,0)+sexB),0)</f>
        <v>0</v>
      </c>
      <c r="BP111" s="131">
        <f t="shared" ca="1" si="2215"/>
        <v>0</v>
      </c>
      <c r="BQ111" s="131">
        <f ca="1">SUM(BP111:BP$124)*SSh</f>
        <v>0</v>
      </c>
      <c r="BR111" s="70">
        <f t="shared" ca="1" si="1510"/>
        <v>17524.010590584705</v>
      </c>
      <c r="BS111" s="2">
        <f t="shared" ref="BS111" ca="1" si="2262">IFERROR(VLOOKUP($S111,qx_table,MATCH(BS$11,qx_title,0)+sexB),0)*IF(R111=0,MCi,1)</f>
        <v>0</v>
      </c>
      <c r="BT111" s="131">
        <f t="shared" ca="1" si="2217"/>
        <v>0</v>
      </c>
      <c r="BU111" s="131">
        <f ca="1">SUM(BT111:BT$124)*SSi</f>
        <v>0</v>
      </c>
      <c r="BV111" s="70">
        <f t="shared" ca="1" si="1513"/>
        <v>17524.010590584705</v>
      </c>
      <c r="BW111" s="2">
        <f t="shared" ref="BW111" ca="1" si="2263">IFERROR(VLOOKUP($S111,qx_table,MATCH(BW$11,qx_title,0)+sexB),0)</f>
        <v>0</v>
      </c>
      <c r="BX111" s="131">
        <f t="shared" ca="1" si="2219"/>
        <v>0</v>
      </c>
      <c r="BY111" s="131">
        <f ca="1">SUM(BX111:BX$124)*SSj</f>
        <v>0</v>
      </c>
      <c r="BZ111" s="70">
        <f t="shared" ca="1" si="1516"/>
        <v>17524.010590584705</v>
      </c>
      <c r="CA111" s="2">
        <f t="shared" ref="CA111" ca="1" si="2264">IFERROR(VLOOKUP($S111,qx_table,MATCH(CA$11,qx_title,0)+sexB),0)</f>
        <v>0</v>
      </c>
      <c r="CB111" s="131">
        <f t="shared" ca="1" si="2221"/>
        <v>0</v>
      </c>
      <c r="CC111" s="131">
        <f ca="1">SUM(CB111:CB$124)*SSk</f>
        <v>0</v>
      </c>
      <c r="CD111" s="8">
        <f t="shared" ca="1" si="1519"/>
        <v>17524.010590584705</v>
      </c>
      <c r="CE111" s="2">
        <f t="shared" ref="CE111" ca="1" si="2265">IFERROR(VLOOKUP($S111,qx_table,MATCH(CE$11,qx_title,0)+sexB),0)</f>
        <v>0</v>
      </c>
      <c r="CF111" s="131">
        <f t="shared" ca="1" si="2223"/>
        <v>0</v>
      </c>
      <c r="CG111" s="131">
        <f ca="1">SUM(CF111:CF$124)*SSl</f>
        <v>0</v>
      </c>
      <c r="CH111" s="155">
        <f t="shared" ca="1" si="1522"/>
        <v>0.01</v>
      </c>
      <c r="CI111" s="155">
        <f t="shared" ca="1" si="1523"/>
        <v>0</v>
      </c>
      <c r="CJ111" s="155">
        <f t="shared" ca="1" si="1524"/>
        <v>0</v>
      </c>
      <c r="CK111" s="155">
        <f ca="1">'유해지 (기준P)'!CZ111</f>
        <v>0</v>
      </c>
      <c r="CL111" s="155">
        <f t="shared" ca="1" si="2181"/>
        <v>0</v>
      </c>
      <c r="CM111" s="155">
        <f t="shared" ca="1" si="1525"/>
        <v>0</v>
      </c>
      <c r="CN111" s="155">
        <f ca="1">SUM(CM111:$CM$124)</f>
        <v>0</v>
      </c>
      <c r="CO111" s="101">
        <f t="shared" ca="1" si="1526"/>
        <v>0</v>
      </c>
      <c r="CP111" s="154">
        <f t="shared" ca="1" si="2182"/>
        <v>0</v>
      </c>
      <c r="CQ111" s="154">
        <f t="shared" ca="1" si="2183"/>
        <v>0</v>
      </c>
      <c r="CR111" s="32">
        <f t="shared" ref="CR111" ca="1" si="2266">+MAX(VLOOKUP(xB+$R111,기수표B,$AH$1)-VLOOKUP(xB+mB,기수표B,$AH$1),0)</f>
        <v>0</v>
      </c>
      <c r="CS111" s="32">
        <f t="shared" ca="1" si="2185"/>
        <v>0</v>
      </c>
      <c r="CT111" s="32">
        <f t="shared" ref="CT111" ca="1" si="2267">+MAX(VLOOKUP(xB+$R111,기수표B,$AA$1)-VLOOKUP(xB+mB,기수표B,$AA$1),0)</f>
        <v>0</v>
      </c>
      <c r="CU111" s="32">
        <f t="shared" ca="1" si="2187"/>
        <v>0</v>
      </c>
      <c r="CV111" s="32">
        <f t="shared" si="2188"/>
        <v>0</v>
      </c>
      <c r="CW111" s="259">
        <f t="shared" ca="1" si="2189"/>
        <v>0</v>
      </c>
      <c r="CX111" s="32">
        <f t="shared" ca="1" si="2190"/>
        <v>0</v>
      </c>
      <c r="CY111" s="262">
        <f t="shared" ca="1" si="2191"/>
        <v>0</v>
      </c>
      <c r="CZ111" s="259" t="e">
        <f t="shared" ca="1" si="2192"/>
        <v>#DIV/0!</v>
      </c>
      <c r="DA111" s="31">
        <f t="shared" ref="DA111" ca="1" si="2268">+MIN(mB,7)</f>
        <v>7</v>
      </c>
    </row>
    <row r="112" spans="3:105">
      <c r="C112" s="33"/>
      <c r="D112" s="33"/>
      <c r="N112" s="5">
        <f t="shared" si="1530"/>
        <v>100</v>
      </c>
      <c r="O112" s="2">
        <f t="shared" ref="O112" ca="1" si="2269">+(1+iB)^-N112</f>
        <v>0.10806083823377494</v>
      </c>
      <c r="P112" s="2">
        <f t="shared" ref="P112" ca="1" si="2270">+(1+iB)^-(N112+0.5)</f>
        <v>0.10686529125080016</v>
      </c>
      <c r="Q112" s="91"/>
      <c r="R112" s="20">
        <f t="shared" si="1533"/>
        <v>100</v>
      </c>
      <c r="S112" s="20" t="str">
        <f t="shared" ref="S112" si="2271">+IF(xB+R112&lt;=xB+nB,xB+R112,"")</f>
        <v/>
      </c>
      <c r="T112" s="2">
        <f t="shared" ref="T112:U112" ca="1" si="2272">IFERROR(VLOOKUP($S112,qx_table,MATCH(T$11,qx_title,0)+sexB),0)</f>
        <v>0</v>
      </c>
      <c r="U112" s="2">
        <f t="shared" ca="1" si="2272"/>
        <v>0</v>
      </c>
      <c r="V112" s="300">
        <f t="shared" ca="1" si="2166"/>
        <v>0.01</v>
      </c>
      <c r="W112" s="8">
        <f t="shared" ref="W112" si="2273">IF(R112=0,100000,IF(R112&gt;nB,0,W111*(1-X111)*(1-Y111)))</f>
        <v>0</v>
      </c>
      <c r="X112" s="10">
        <f t="shared" ca="1" si="1445"/>
        <v>1.0000000000000009E-2</v>
      </c>
      <c r="Y112" s="10">
        <f t="shared" ca="1" si="1446"/>
        <v>0</v>
      </c>
      <c r="Z112" s="5">
        <f t="shared" ca="1" si="1483"/>
        <v>0</v>
      </c>
      <c r="AA112" s="5">
        <f ca="1">+SUM(Z112:Z$124)</f>
        <v>0</v>
      </c>
      <c r="AB112" s="8">
        <f t="shared" ca="1" si="1447"/>
        <v>0</v>
      </c>
      <c r="AC112" s="209">
        <f ca="1">+SUM(AB112:AB$124)*SSSM</f>
        <v>0</v>
      </c>
      <c r="AD112" s="209">
        <f t="shared" ref="AD112" si="2274">IF(R112&gt;nB,0,AD111*(1-X111)*(1-Y111)*(1-AE111)*(1-AF111))</f>
        <v>0</v>
      </c>
      <c r="AE112" s="92">
        <f t="shared" ca="1" si="1449"/>
        <v>0</v>
      </c>
      <c r="AF112" s="92">
        <f t="shared" ca="1" si="1450"/>
        <v>0</v>
      </c>
      <c r="AG112" s="8">
        <f t="shared" ca="1" si="1451"/>
        <v>0</v>
      </c>
      <c r="AH112" s="5">
        <f ca="1">+SUM(AG112:AG$124)</f>
        <v>0</v>
      </c>
      <c r="AI112" s="70">
        <f t="shared" ca="1" si="1452"/>
        <v>0</v>
      </c>
      <c r="AJ112" s="208">
        <f ca="1">+SUM(AB112:AB$124)*SS50J</f>
        <v>0</v>
      </c>
      <c r="AK112" s="5">
        <f t="shared" ca="1" si="1485"/>
        <v>17348.770484678858</v>
      </c>
      <c r="AL112" s="2">
        <f t="shared" ref="AL112" ca="1" si="2275">IFERROR(VLOOKUP($S112,qx_table,MATCH(AL$11,qx_title,0)+sexB),0)</f>
        <v>0</v>
      </c>
      <c r="AM112" s="131">
        <f t="shared" ca="1" si="1487"/>
        <v>1874.7226808997714</v>
      </c>
      <c r="AN112" s="129">
        <f t="shared" ca="1" si="2201"/>
        <v>0</v>
      </c>
      <c r="AO112" s="129">
        <f ca="1">SUM(AN112:AN$124)*SSa</f>
        <v>0</v>
      </c>
      <c r="AP112" s="70">
        <f t="shared" ca="1" si="1489"/>
        <v>17348.770484678858</v>
      </c>
      <c r="AQ112" s="2">
        <f t="shared" ref="AQ112" ca="1" si="2276">IFERROR(VLOOKUP($S112,qx_table,MATCH(AQ$11,qx_title,0)+sexB),0)</f>
        <v>0</v>
      </c>
      <c r="AR112" s="127">
        <f t="shared" ca="1" si="2203"/>
        <v>0</v>
      </c>
      <c r="AS112" s="127">
        <f ca="1">SUM(AR112:AR$124)*SSb</f>
        <v>0</v>
      </c>
      <c r="AT112" s="70">
        <f t="shared" ca="1" si="1492"/>
        <v>17348.770484678858</v>
      </c>
      <c r="AU112" s="2">
        <f t="shared" ref="AU112" ca="1" si="2277">IFERROR(VLOOKUP($S112,qx_table,MATCH(AU$11,qx_title,0)+sexB),0)</f>
        <v>0</v>
      </c>
      <c r="AV112" s="268">
        <f t="shared" ca="1" si="2205"/>
        <v>0</v>
      </c>
      <c r="AW112" s="131">
        <f ca="1">SUM(AV112:AV$124)*SSc</f>
        <v>0</v>
      </c>
      <c r="AX112" s="70">
        <f t="shared" ca="1" si="1495"/>
        <v>17348.770484678858</v>
      </c>
      <c r="AY112" s="2">
        <f t="shared" ref="AY112" ca="1" si="2278">IFERROR(VLOOKUP($S112,qx_table,MATCH(AY$11,qx_title,0)+sexB),0)</f>
        <v>0</v>
      </c>
      <c r="AZ112" s="268">
        <f t="shared" ca="1" si="2207"/>
        <v>0</v>
      </c>
      <c r="BA112" s="129">
        <f ca="1">SUM(AZ112:AZ$124)*SSd</f>
        <v>0</v>
      </c>
      <c r="BB112" s="70">
        <f t="shared" ca="1" si="1498"/>
        <v>17348.770484678858</v>
      </c>
      <c r="BC112" s="257">
        <f t="shared" ref="BC112" ca="1" si="2279">IFERROR(VLOOKUP($S112,qx_table,MATCH(BC$11,qx_title,0)+sexB),0)</f>
        <v>0</v>
      </c>
      <c r="BD112" s="268">
        <f t="shared" ca="1" si="2209"/>
        <v>0</v>
      </c>
      <c r="BE112" s="131">
        <f ca="1">SUM(BD112:BD$124)*SSe</f>
        <v>0</v>
      </c>
      <c r="BF112" s="70">
        <f t="shared" ca="1" si="1501"/>
        <v>17348.770484678858</v>
      </c>
      <c r="BG112" s="2">
        <f t="shared" ref="BG112" ca="1" si="2280">IFERROR(VLOOKUP($S112,qx_table,MATCH(BG$11,qx_title,0)+sexB),0)</f>
        <v>0</v>
      </c>
      <c r="BH112" s="131">
        <f t="shared" ca="1" si="2211"/>
        <v>0</v>
      </c>
      <c r="BI112" s="2">
        <f ca="1">SUM(BH112:BH$124)*SSf</f>
        <v>0</v>
      </c>
      <c r="BJ112" s="70">
        <f t="shared" ca="1" si="1504"/>
        <v>17348.770484678858</v>
      </c>
      <c r="BK112" s="2">
        <f t="shared" ref="BK112" ca="1" si="2281">IFERROR(VLOOKUP($S112,qx_table,MATCH(BK$11,qx_title,0)+sexB),0)</f>
        <v>0</v>
      </c>
      <c r="BL112" s="131">
        <f t="shared" ca="1" si="2213"/>
        <v>0</v>
      </c>
      <c r="BM112" s="131">
        <f ca="1">SUM(BL112:BL$124)*SSg</f>
        <v>0</v>
      </c>
      <c r="BN112" s="70">
        <f t="shared" ca="1" si="1507"/>
        <v>17348.770484678858</v>
      </c>
      <c r="BO112" s="2">
        <f t="shared" ref="BO112" ca="1" si="2282">IFERROR(VLOOKUP($S112,qx_table,MATCH(BO$11,qx_title,0)+sexB),0)</f>
        <v>0</v>
      </c>
      <c r="BP112" s="131">
        <f t="shared" ca="1" si="2215"/>
        <v>0</v>
      </c>
      <c r="BQ112" s="131">
        <f ca="1">SUM(BP112:BP$124)*SSh</f>
        <v>0</v>
      </c>
      <c r="BR112" s="70">
        <f t="shared" ca="1" si="1510"/>
        <v>17348.770484678858</v>
      </c>
      <c r="BS112" s="2">
        <f t="shared" ref="BS112" ca="1" si="2283">IFERROR(VLOOKUP($S112,qx_table,MATCH(BS$11,qx_title,0)+sexB),0)*IF(R112=0,MCi,1)</f>
        <v>0</v>
      </c>
      <c r="BT112" s="131">
        <f t="shared" ca="1" si="2217"/>
        <v>0</v>
      </c>
      <c r="BU112" s="131">
        <f ca="1">SUM(BT112:BT$124)*SSi</f>
        <v>0</v>
      </c>
      <c r="BV112" s="70">
        <f t="shared" ca="1" si="1513"/>
        <v>17348.770484678858</v>
      </c>
      <c r="BW112" s="2">
        <f t="shared" ref="BW112" ca="1" si="2284">IFERROR(VLOOKUP($S112,qx_table,MATCH(BW$11,qx_title,0)+sexB),0)</f>
        <v>0</v>
      </c>
      <c r="BX112" s="131">
        <f t="shared" ca="1" si="2219"/>
        <v>0</v>
      </c>
      <c r="BY112" s="131">
        <f ca="1">SUM(BX112:BX$124)*SSj</f>
        <v>0</v>
      </c>
      <c r="BZ112" s="70">
        <f t="shared" ca="1" si="1516"/>
        <v>17348.770484678858</v>
      </c>
      <c r="CA112" s="2">
        <f t="shared" ref="CA112" ca="1" si="2285">IFERROR(VLOOKUP($S112,qx_table,MATCH(CA$11,qx_title,0)+sexB),0)</f>
        <v>0</v>
      </c>
      <c r="CB112" s="131">
        <f t="shared" ca="1" si="2221"/>
        <v>0</v>
      </c>
      <c r="CC112" s="131">
        <f ca="1">SUM(CB112:CB$124)*SSk</f>
        <v>0</v>
      </c>
      <c r="CD112" s="8">
        <f t="shared" ca="1" si="1519"/>
        <v>17348.770484678858</v>
      </c>
      <c r="CE112" s="2">
        <f t="shared" ref="CE112" ca="1" si="2286">IFERROR(VLOOKUP($S112,qx_table,MATCH(CE$11,qx_title,0)+sexB),0)</f>
        <v>0</v>
      </c>
      <c r="CF112" s="131">
        <f t="shared" ca="1" si="2223"/>
        <v>0</v>
      </c>
      <c r="CG112" s="131">
        <f ca="1">SUM(CF112:CF$124)*SSl</f>
        <v>0</v>
      </c>
      <c r="CH112" s="155">
        <f t="shared" ca="1" si="1522"/>
        <v>0.01</v>
      </c>
      <c r="CI112" s="155">
        <f t="shared" ca="1" si="1523"/>
        <v>0</v>
      </c>
      <c r="CJ112" s="155">
        <f t="shared" ca="1" si="1524"/>
        <v>0</v>
      </c>
      <c r="CK112" s="155">
        <f ca="1">'유해지 (기준P)'!CZ112</f>
        <v>0</v>
      </c>
      <c r="CL112" s="155">
        <f t="shared" ca="1" si="2181"/>
        <v>0</v>
      </c>
      <c r="CM112" s="155">
        <f t="shared" ca="1" si="1525"/>
        <v>0</v>
      </c>
      <c r="CN112" s="155">
        <f ca="1">SUM(CM112:$CM$124)</f>
        <v>0</v>
      </c>
      <c r="CO112" s="101">
        <f t="shared" ca="1" si="1526"/>
        <v>0</v>
      </c>
      <c r="CP112" s="154">
        <f t="shared" ca="1" si="2182"/>
        <v>0</v>
      </c>
      <c r="CQ112" s="154">
        <f t="shared" ca="1" si="2183"/>
        <v>0</v>
      </c>
      <c r="CR112" s="32">
        <f t="shared" ref="CR112" ca="1" si="2287">+MAX(VLOOKUP(xB+$R112,기수표B,$AH$1)-VLOOKUP(xB+mB,기수표B,$AH$1),0)</f>
        <v>0</v>
      </c>
      <c r="CS112" s="32">
        <f t="shared" ca="1" si="2185"/>
        <v>0</v>
      </c>
      <c r="CT112" s="32">
        <f t="shared" ref="CT112" ca="1" si="2288">+MAX(VLOOKUP(xB+$R112,기수표B,$AA$1)-VLOOKUP(xB+mB,기수표B,$AA$1),0)</f>
        <v>0</v>
      </c>
      <c r="CU112" s="32">
        <f t="shared" ca="1" si="2187"/>
        <v>0</v>
      </c>
      <c r="CV112" s="32">
        <f t="shared" si="2188"/>
        <v>0</v>
      </c>
      <c r="CW112" s="259">
        <f t="shared" ca="1" si="2189"/>
        <v>0</v>
      </c>
      <c r="CX112" s="32">
        <f t="shared" ca="1" si="2190"/>
        <v>0</v>
      </c>
      <c r="CY112" s="262">
        <f t="shared" ca="1" si="2191"/>
        <v>0</v>
      </c>
      <c r="CZ112" s="259" t="e">
        <f t="shared" ca="1" si="2192"/>
        <v>#DIV/0!</v>
      </c>
      <c r="DA112" s="31">
        <f t="shared" ref="DA112" ca="1" si="2289">+MIN(mB,7)</f>
        <v>7</v>
      </c>
    </row>
    <row r="113" spans="3:105">
      <c r="C113" s="33"/>
      <c r="D113" s="33"/>
      <c r="N113" s="5">
        <f t="shared" si="1530"/>
        <v>101</v>
      </c>
      <c r="O113" s="2">
        <f t="shared" ref="O113" ca="1" si="2290">+(1+iB)^-N113</f>
        <v>0.10568297137777498</v>
      </c>
      <c r="P113" s="2">
        <f t="shared" ref="P113" ca="1" si="2291">+(1+iB)^-(N113+0.5)</f>
        <v>0.10451373227462121</v>
      </c>
      <c r="Q113" s="91"/>
      <c r="R113" s="20">
        <f t="shared" si="1533"/>
        <v>101</v>
      </c>
      <c r="S113" s="20" t="str">
        <f t="shared" ref="S113" si="2292">+IF(xB+R113&lt;=xB+nB,xB+R113,"")</f>
        <v/>
      </c>
      <c r="T113" s="2">
        <f t="shared" ref="T113:U113" ca="1" si="2293">IFERROR(VLOOKUP($S113,qx_table,MATCH(T$11,qx_title,0)+sexB),0)</f>
        <v>0</v>
      </c>
      <c r="U113" s="2">
        <f t="shared" ca="1" si="2293"/>
        <v>0</v>
      </c>
      <c r="V113" s="300">
        <f t="shared" ca="1" si="2166"/>
        <v>0.01</v>
      </c>
      <c r="W113" s="8">
        <f t="shared" ref="W113" si="2294">IF(R113=0,100000,IF(R113&gt;nB,0,W112*(1-X112)*(1-Y112)))</f>
        <v>0</v>
      </c>
      <c r="X113" s="10">
        <f t="shared" ca="1" si="1445"/>
        <v>1.0000000000000009E-2</v>
      </c>
      <c r="Y113" s="10">
        <f t="shared" ca="1" si="1446"/>
        <v>0</v>
      </c>
      <c r="Z113" s="5">
        <f t="shared" ca="1" si="1483"/>
        <v>0</v>
      </c>
      <c r="AA113" s="5">
        <f ca="1">+SUM(Z113:Z$124)</f>
        <v>0</v>
      </c>
      <c r="AB113" s="8">
        <f t="shared" ca="1" si="1447"/>
        <v>0</v>
      </c>
      <c r="AC113" s="209">
        <f ca="1">+SUM(AB113:AB$124)*SSSM</f>
        <v>0</v>
      </c>
      <c r="AD113" s="209">
        <f t="shared" ref="AD113" si="2295">IF(R113&gt;nB,0,AD112*(1-X112)*(1-Y112)*(1-AE112)*(1-AF112))</f>
        <v>0</v>
      </c>
      <c r="AE113" s="92">
        <f t="shared" ca="1" si="1449"/>
        <v>0</v>
      </c>
      <c r="AF113" s="92">
        <f t="shared" ca="1" si="1450"/>
        <v>0</v>
      </c>
      <c r="AG113" s="8">
        <f t="shared" ca="1" si="1451"/>
        <v>0</v>
      </c>
      <c r="AH113" s="5">
        <f ca="1">+SUM(AG113:AG$124)</f>
        <v>0</v>
      </c>
      <c r="AI113" s="70">
        <f t="shared" ca="1" si="1452"/>
        <v>0</v>
      </c>
      <c r="AJ113" s="208">
        <f ca="1">+SUM(AB113:AB$124)*SS50J</f>
        <v>0</v>
      </c>
      <c r="AK113" s="5">
        <f t="shared" ca="1" si="1485"/>
        <v>17175.282779832069</v>
      </c>
      <c r="AL113" s="2">
        <f t="shared" ref="AL113" ca="1" si="2296">IFERROR(VLOOKUP($S113,qx_table,MATCH(AL$11,qx_title,0)+sexB),0)</f>
        <v>0</v>
      </c>
      <c r="AM113" s="131">
        <f t="shared" ca="1" si="1487"/>
        <v>1815.134918426184</v>
      </c>
      <c r="AN113" s="129">
        <f t="shared" ca="1" si="2201"/>
        <v>0</v>
      </c>
      <c r="AO113" s="129">
        <f ca="1">SUM(AN113:AN$124)*SSa</f>
        <v>0</v>
      </c>
      <c r="AP113" s="70">
        <f t="shared" ca="1" si="1489"/>
        <v>17175.282779832069</v>
      </c>
      <c r="AQ113" s="2">
        <f t="shared" ref="AQ113" ca="1" si="2297">IFERROR(VLOOKUP($S113,qx_table,MATCH(AQ$11,qx_title,0)+sexB),0)</f>
        <v>0</v>
      </c>
      <c r="AR113" s="127">
        <f t="shared" ca="1" si="2203"/>
        <v>0</v>
      </c>
      <c r="AS113" s="127">
        <f ca="1">SUM(AR113:AR$124)*SSb</f>
        <v>0</v>
      </c>
      <c r="AT113" s="70">
        <f t="shared" ca="1" si="1492"/>
        <v>17175.282779832069</v>
      </c>
      <c r="AU113" s="2">
        <f t="shared" ref="AU113" ca="1" si="2298">IFERROR(VLOOKUP($S113,qx_table,MATCH(AU$11,qx_title,0)+sexB),0)</f>
        <v>0</v>
      </c>
      <c r="AV113" s="268">
        <f t="shared" ca="1" si="2205"/>
        <v>0</v>
      </c>
      <c r="AW113" s="131">
        <f ca="1">SUM(AV113:AV$124)*SSc</f>
        <v>0</v>
      </c>
      <c r="AX113" s="70">
        <f t="shared" ca="1" si="1495"/>
        <v>17175.282779832069</v>
      </c>
      <c r="AY113" s="2">
        <f t="shared" ref="AY113" ca="1" si="2299">IFERROR(VLOOKUP($S113,qx_table,MATCH(AY$11,qx_title,0)+sexB),0)</f>
        <v>0</v>
      </c>
      <c r="AZ113" s="268">
        <f t="shared" ca="1" si="2207"/>
        <v>0</v>
      </c>
      <c r="BA113" s="129">
        <f ca="1">SUM(AZ113:AZ$124)*SSd</f>
        <v>0</v>
      </c>
      <c r="BB113" s="70">
        <f t="shared" ca="1" si="1498"/>
        <v>17175.282779832069</v>
      </c>
      <c r="BC113" s="257">
        <f t="shared" ref="BC113" ca="1" si="2300">IFERROR(VLOOKUP($S113,qx_table,MATCH(BC$11,qx_title,0)+sexB),0)</f>
        <v>0</v>
      </c>
      <c r="BD113" s="268">
        <f t="shared" ca="1" si="2209"/>
        <v>0</v>
      </c>
      <c r="BE113" s="131">
        <f ca="1">SUM(BD113:BD$124)*SSe</f>
        <v>0</v>
      </c>
      <c r="BF113" s="70">
        <f t="shared" ca="1" si="1501"/>
        <v>17175.282779832069</v>
      </c>
      <c r="BG113" s="2">
        <f t="shared" ref="BG113" ca="1" si="2301">IFERROR(VLOOKUP($S113,qx_table,MATCH(BG$11,qx_title,0)+sexB),0)</f>
        <v>0</v>
      </c>
      <c r="BH113" s="131">
        <f t="shared" ca="1" si="2211"/>
        <v>0</v>
      </c>
      <c r="BI113" s="2">
        <f ca="1">SUM(BH113:BH$124)*SSf</f>
        <v>0</v>
      </c>
      <c r="BJ113" s="70">
        <f t="shared" ca="1" si="1504"/>
        <v>17175.282779832069</v>
      </c>
      <c r="BK113" s="2">
        <f t="shared" ref="BK113" ca="1" si="2302">IFERROR(VLOOKUP($S113,qx_table,MATCH(BK$11,qx_title,0)+sexB),0)</f>
        <v>0</v>
      </c>
      <c r="BL113" s="131">
        <f t="shared" ca="1" si="2213"/>
        <v>0</v>
      </c>
      <c r="BM113" s="131">
        <f ca="1">SUM(BL113:BL$124)*SSg</f>
        <v>0</v>
      </c>
      <c r="BN113" s="70">
        <f t="shared" ca="1" si="1507"/>
        <v>17175.282779832069</v>
      </c>
      <c r="BO113" s="2">
        <f t="shared" ref="BO113" ca="1" si="2303">IFERROR(VLOOKUP($S113,qx_table,MATCH(BO$11,qx_title,0)+sexB),0)</f>
        <v>0</v>
      </c>
      <c r="BP113" s="131">
        <f t="shared" ca="1" si="2215"/>
        <v>0</v>
      </c>
      <c r="BQ113" s="131">
        <f ca="1">SUM(BP113:BP$124)*SSh</f>
        <v>0</v>
      </c>
      <c r="BR113" s="70">
        <f t="shared" ca="1" si="1510"/>
        <v>17175.282779832069</v>
      </c>
      <c r="BS113" s="2">
        <f t="shared" ref="BS113" ca="1" si="2304">IFERROR(VLOOKUP($S113,qx_table,MATCH(BS$11,qx_title,0)+sexB),0)*IF(R113=0,MCi,1)</f>
        <v>0</v>
      </c>
      <c r="BT113" s="131">
        <f t="shared" ca="1" si="2217"/>
        <v>0</v>
      </c>
      <c r="BU113" s="131">
        <f ca="1">SUM(BT113:BT$124)*SSi</f>
        <v>0</v>
      </c>
      <c r="BV113" s="70">
        <f t="shared" ca="1" si="1513"/>
        <v>17175.282779832069</v>
      </c>
      <c r="BW113" s="2">
        <f t="shared" ref="BW113" ca="1" si="2305">IFERROR(VLOOKUP($S113,qx_table,MATCH(BW$11,qx_title,0)+sexB),0)</f>
        <v>0</v>
      </c>
      <c r="BX113" s="131">
        <f t="shared" ca="1" si="2219"/>
        <v>0</v>
      </c>
      <c r="BY113" s="131">
        <f ca="1">SUM(BX113:BX$124)*SSj</f>
        <v>0</v>
      </c>
      <c r="BZ113" s="70">
        <f t="shared" ca="1" si="1516"/>
        <v>17175.282779832069</v>
      </c>
      <c r="CA113" s="2">
        <f t="shared" ref="CA113" ca="1" si="2306">IFERROR(VLOOKUP($S113,qx_table,MATCH(CA$11,qx_title,0)+sexB),0)</f>
        <v>0</v>
      </c>
      <c r="CB113" s="131">
        <f t="shared" ca="1" si="2221"/>
        <v>0</v>
      </c>
      <c r="CC113" s="131">
        <f ca="1">SUM(CB113:CB$124)*SSk</f>
        <v>0</v>
      </c>
      <c r="CD113" s="8">
        <f t="shared" ca="1" si="1519"/>
        <v>17175.282779832069</v>
      </c>
      <c r="CE113" s="2">
        <f t="shared" ref="CE113" ca="1" si="2307">IFERROR(VLOOKUP($S113,qx_table,MATCH(CE$11,qx_title,0)+sexB),0)</f>
        <v>0</v>
      </c>
      <c r="CF113" s="131">
        <f t="shared" ca="1" si="2223"/>
        <v>0</v>
      </c>
      <c r="CG113" s="131">
        <f ca="1">SUM(CF113:CF$124)*SSl</f>
        <v>0</v>
      </c>
      <c r="CH113" s="155">
        <f t="shared" ca="1" si="1522"/>
        <v>0.01</v>
      </c>
      <c r="CI113" s="155">
        <f t="shared" ca="1" si="1523"/>
        <v>0</v>
      </c>
      <c r="CJ113" s="155">
        <f t="shared" ca="1" si="1524"/>
        <v>0</v>
      </c>
      <c r="CK113" s="155">
        <f ca="1">'유해지 (기준P)'!CZ113</f>
        <v>0</v>
      </c>
      <c r="CL113" s="155">
        <f t="shared" ca="1" si="2181"/>
        <v>0</v>
      </c>
      <c r="CM113" s="155">
        <f t="shared" ca="1" si="1525"/>
        <v>0</v>
      </c>
      <c r="CN113" s="155">
        <f ca="1">SUM(CM113:$CM$124)</f>
        <v>0</v>
      </c>
      <c r="CO113" s="101">
        <f t="shared" ca="1" si="1526"/>
        <v>0</v>
      </c>
      <c r="CP113" s="154">
        <f t="shared" ca="1" si="2182"/>
        <v>0</v>
      </c>
      <c r="CQ113" s="154">
        <f t="shared" ca="1" si="2183"/>
        <v>0</v>
      </c>
      <c r="CR113" s="32">
        <f t="shared" ref="CR113" ca="1" si="2308">+MAX(VLOOKUP(xB+$R113,기수표B,$AH$1)-VLOOKUP(xB+mB,기수표B,$AH$1),0)</f>
        <v>0</v>
      </c>
      <c r="CS113" s="32">
        <f t="shared" ca="1" si="2185"/>
        <v>0</v>
      </c>
      <c r="CT113" s="32">
        <f t="shared" ref="CT113" ca="1" si="2309">+MAX(VLOOKUP(xB+$R113,기수표B,$AA$1)-VLOOKUP(xB+mB,기수표B,$AA$1),0)</f>
        <v>0</v>
      </c>
      <c r="CU113" s="32">
        <f t="shared" ca="1" si="2187"/>
        <v>0</v>
      </c>
      <c r="CV113" s="32">
        <f t="shared" si="2188"/>
        <v>0</v>
      </c>
      <c r="CW113" s="259">
        <f t="shared" ca="1" si="2189"/>
        <v>0</v>
      </c>
      <c r="CX113" s="32">
        <f t="shared" ca="1" si="2190"/>
        <v>0</v>
      </c>
      <c r="CY113" s="262">
        <f t="shared" ca="1" si="2191"/>
        <v>0</v>
      </c>
      <c r="CZ113" s="259" t="e">
        <f t="shared" ca="1" si="2192"/>
        <v>#DIV/0!</v>
      </c>
      <c r="DA113" s="31">
        <f t="shared" ref="DA113" ca="1" si="2310">+MIN(mB,7)</f>
        <v>7</v>
      </c>
    </row>
    <row r="114" spans="3:105">
      <c r="C114" s="33"/>
      <c r="D114" s="33"/>
      <c r="N114" s="5">
        <f t="shared" si="1530"/>
        <v>102</v>
      </c>
      <c r="O114" s="2">
        <f t="shared" ref="O114" ca="1" si="2311">+(1+iB)^-N114</f>
        <v>0.10335742922031785</v>
      </c>
      <c r="P114" s="2">
        <f t="shared" ref="P114" ca="1" si="2312">+(1+iB)^-(N114+0.5)</f>
        <v>0.10221391909498405</v>
      </c>
      <c r="Q114" s="91"/>
      <c r="R114" s="20">
        <f t="shared" si="1533"/>
        <v>102</v>
      </c>
      <c r="S114" s="20" t="str">
        <f t="shared" ref="S114" si="2313">+IF(xB+R114&lt;=xB+nB,xB+R114,"")</f>
        <v/>
      </c>
      <c r="T114" s="2">
        <f t="shared" ref="T114:U114" ca="1" si="2314">IFERROR(VLOOKUP($S114,qx_table,MATCH(T$11,qx_title,0)+sexB),0)</f>
        <v>0</v>
      </c>
      <c r="U114" s="2">
        <f t="shared" ca="1" si="2314"/>
        <v>0</v>
      </c>
      <c r="V114" s="300">
        <f t="shared" ca="1" si="2166"/>
        <v>0.01</v>
      </c>
      <c r="W114" s="8">
        <f t="shared" ref="W114" si="2315">IF(R114=0,100000,IF(R114&gt;nB,0,W113*(1-X113)*(1-Y113)))</f>
        <v>0</v>
      </c>
      <c r="X114" s="10">
        <f t="shared" ca="1" si="1445"/>
        <v>1.0000000000000009E-2</v>
      </c>
      <c r="Y114" s="10">
        <f t="shared" ca="1" si="1446"/>
        <v>0</v>
      </c>
      <c r="Z114" s="5">
        <f t="shared" ca="1" si="1483"/>
        <v>0</v>
      </c>
      <c r="AA114" s="5">
        <f ca="1">+SUM(Z114:Z$124)</f>
        <v>0</v>
      </c>
      <c r="AB114" s="8">
        <f t="shared" ca="1" si="1447"/>
        <v>0</v>
      </c>
      <c r="AC114" s="209">
        <f ca="1">+SUM(AB114:AB$124)*SSSM</f>
        <v>0</v>
      </c>
      <c r="AD114" s="209">
        <f t="shared" ref="AD114" si="2316">IF(R114&gt;nB,0,AD113*(1-X113)*(1-Y113)*(1-AE113)*(1-AF113))</f>
        <v>0</v>
      </c>
      <c r="AE114" s="92">
        <f t="shared" ca="1" si="1449"/>
        <v>0</v>
      </c>
      <c r="AF114" s="92">
        <f t="shared" ca="1" si="1450"/>
        <v>0</v>
      </c>
      <c r="AG114" s="8">
        <f t="shared" ca="1" si="1451"/>
        <v>0</v>
      </c>
      <c r="AH114" s="5">
        <f ca="1">+SUM(AG114:AG$124)</f>
        <v>0</v>
      </c>
      <c r="AI114" s="70">
        <f t="shared" ca="1" si="1452"/>
        <v>0</v>
      </c>
      <c r="AJ114" s="208">
        <f ca="1">+SUM(AB114:AB$124)*SS50J</f>
        <v>0</v>
      </c>
      <c r="AK114" s="5">
        <f t="shared" ca="1" si="1485"/>
        <v>17003.529952033747</v>
      </c>
      <c r="AL114" s="2">
        <f t="shared" ref="AL114" ca="1" si="2317">IFERROR(VLOOKUP($S114,qx_table,MATCH(AL$11,qx_title,0)+sexB),0)</f>
        <v>0</v>
      </c>
      <c r="AM114" s="131">
        <f t="shared" ca="1" si="1487"/>
        <v>1757.4411435128825</v>
      </c>
      <c r="AN114" s="129">
        <f t="shared" ca="1" si="2201"/>
        <v>0</v>
      </c>
      <c r="AO114" s="129">
        <f ca="1">SUM(AN114:AN$124)*SSa</f>
        <v>0</v>
      </c>
      <c r="AP114" s="70">
        <f t="shared" ca="1" si="1489"/>
        <v>17003.529952033747</v>
      </c>
      <c r="AQ114" s="2">
        <f t="shared" ref="AQ114" ca="1" si="2318">IFERROR(VLOOKUP($S114,qx_table,MATCH(AQ$11,qx_title,0)+sexB),0)</f>
        <v>0</v>
      </c>
      <c r="AR114" s="127">
        <f t="shared" ca="1" si="2203"/>
        <v>0</v>
      </c>
      <c r="AS114" s="127">
        <f ca="1">SUM(AR114:AR$124)*SSb</f>
        <v>0</v>
      </c>
      <c r="AT114" s="70">
        <f t="shared" ca="1" si="1492"/>
        <v>17003.529952033747</v>
      </c>
      <c r="AU114" s="2">
        <f t="shared" ref="AU114" ca="1" si="2319">IFERROR(VLOOKUP($S114,qx_table,MATCH(AU$11,qx_title,0)+sexB),0)</f>
        <v>0</v>
      </c>
      <c r="AV114" s="268">
        <f t="shared" ca="1" si="2205"/>
        <v>0</v>
      </c>
      <c r="AW114" s="131">
        <f ca="1">SUM(AV114:AV$124)*SSc</f>
        <v>0</v>
      </c>
      <c r="AX114" s="70">
        <f t="shared" ca="1" si="1495"/>
        <v>17003.529952033747</v>
      </c>
      <c r="AY114" s="2">
        <f t="shared" ref="AY114" ca="1" si="2320">IFERROR(VLOOKUP($S114,qx_table,MATCH(AY$11,qx_title,0)+sexB),0)</f>
        <v>0</v>
      </c>
      <c r="AZ114" s="268">
        <f t="shared" ca="1" si="2207"/>
        <v>0</v>
      </c>
      <c r="BA114" s="129">
        <f ca="1">SUM(AZ114:AZ$124)*SSd</f>
        <v>0</v>
      </c>
      <c r="BB114" s="70">
        <f t="shared" ca="1" si="1498"/>
        <v>17003.529952033747</v>
      </c>
      <c r="BC114" s="257">
        <f t="shared" ref="BC114" ca="1" si="2321">IFERROR(VLOOKUP($S114,qx_table,MATCH(BC$11,qx_title,0)+sexB),0)</f>
        <v>0</v>
      </c>
      <c r="BD114" s="268">
        <f t="shared" ca="1" si="2209"/>
        <v>0</v>
      </c>
      <c r="BE114" s="131">
        <f ca="1">SUM(BD114:BD$124)*SSe</f>
        <v>0</v>
      </c>
      <c r="BF114" s="70">
        <f t="shared" ca="1" si="1501"/>
        <v>17003.529952033747</v>
      </c>
      <c r="BG114" s="2">
        <f t="shared" ref="BG114" ca="1" si="2322">IFERROR(VLOOKUP($S114,qx_table,MATCH(BG$11,qx_title,0)+sexB),0)</f>
        <v>0</v>
      </c>
      <c r="BH114" s="131">
        <f t="shared" ca="1" si="2211"/>
        <v>0</v>
      </c>
      <c r="BI114" s="2">
        <f ca="1">SUM(BH114:BH$124)*SSf</f>
        <v>0</v>
      </c>
      <c r="BJ114" s="70">
        <f t="shared" ca="1" si="1504"/>
        <v>17003.529952033747</v>
      </c>
      <c r="BK114" s="2">
        <f t="shared" ref="BK114" ca="1" si="2323">IFERROR(VLOOKUP($S114,qx_table,MATCH(BK$11,qx_title,0)+sexB),0)</f>
        <v>0</v>
      </c>
      <c r="BL114" s="131">
        <f t="shared" ca="1" si="2213"/>
        <v>0</v>
      </c>
      <c r="BM114" s="131">
        <f ca="1">SUM(BL114:BL$124)*SSg</f>
        <v>0</v>
      </c>
      <c r="BN114" s="70">
        <f t="shared" ca="1" si="1507"/>
        <v>17003.529952033747</v>
      </c>
      <c r="BO114" s="2">
        <f t="shared" ref="BO114" ca="1" si="2324">IFERROR(VLOOKUP($S114,qx_table,MATCH(BO$11,qx_title,0)+sexB),0)</f>
        <v>0</v>
      </c>
      <c r="BP114" s="131">
        <f t="shared" ca="1" si="2215"/>
        <v>0</v>
      </c>
      <c r="BQ114" s="131">
        <f ca="1">SUM(BP114:BP$124)*SSh</f>
        <v>0</v>
      </c>
      <c r="BR114" s="70">
        <f t="shared" ca="1" si="1510"/>
        <v>17003.529952033747</v>
      </c>
      <c r="BS114" s="2">
        <f t="shared" ref="BS114" ca="1" si="2325">IFERROR(VLOOKUP($S114,qx_table,MATCH(BS$11,qx_title,0)+sexB),0)*IF(R114=0,MCi,1)</f>
        <v>0</v>
      </c>
      <c r="BT114" s="131">
        <f t="shared" ca="1" si="2217"/>
        <v>0</v>
      </c>
      <c r="BU114" s="131">
        <f ca="1">SUM(BT114:BT$124)*SSi</f>
        <v>0</v>
      </c>
      <c r="BV114" s="70">
        <f t="shared" ca="1" si="1513"/>
        <v>17003.529952033747</v>
      </c>
      <c r="BW114" s="2">
        <f t="shared" ref="BW114" ca="1" si="2326">IFERROR(VLOOKUP($S114,qx_table,MATCH(BW$11,qx_title,0)+sexB),0)</f>
        <v>0</v>
      </c>
      <c r="BX114" s="131">
        <f t="shared" ca="1" si="2219"/>
        <v>0</v>
      </c>
      <c r="BY114" s="131">
        <f ca="1">SUM(BX114:BX$124)*SSj</f>
        <v>0</v>
      </c>
      <c r="BZ114" s="70">
        <f t="shared" ca="1" si="1516"/>
        <v>17003.529952033747</v>
      </c>
      <c r="CA114" s="2">
        <f t="shared" ref="CA114" ca="1" si="2327">IFERROR(VLOOKUP($S114,qx_table,MATCH(CA$11,qx_title,0)+sexB),0)</f>
        <v>0</v>
      </c>
      <c r="CB114" s="131">
        <f t="shared" ca="1" si="2221"/>
        <v>0</v>
      </c>
      <c r="CC114" s="131">
        <f ca="1">SUM(CB114:CB$124)*SSk</f>
        <v>0</v>
      </c>
      <c r="CD114" s="8">
        <f t="shared" ca="1" si="1519"/>
        <v>17003.529952033747</v>
      </c>
      <c r="CE114" s="2">
        <f t="shared" ref="CE114" ca="1" si="2328">IFERROR(VLOOKUP($S114,qx_table,MATCH(CE$11,qx_title,0)+sexB),0)</f>
        <v>0</v>
      </c>
      <c r="CF114" s="131">
        <f t="shared" ca="1" si="2223"/>
        <v>0</v>
      </c>
      <c r="CG114" s="131">
        <f ca="1">SUM(CF114:CF$124)*SSl</f>
        <v>0</v>
      </c>
      <c r="CH114" s="155">
        <f t="shared" ca="1" si="1522"/>
        <v>0.01</v>
      </c>
      <c r="CI114" s="155">
        <f t="shared" ca="1" si="1523"/>
        <v>0</v>
      </c>
      <c r="CJ114" s="155">
        <f t="shared" ca="1" si="1524"/>
        <v>0</v>
      </c>
      <c r="CK114" s="155">
        <f ca="1">'유해지 (기준P)'!CZ114</f>
        <v>0</v>
      </c>
      <c r="CL114" s="155">
        <f t="shared" ca="1" si="2181"/>
        <v>0</v>
      </c>
      <c r="CM114" s="155">
        <f t="shared" ca="1" si="1525"/>
        <v>0</v>
      </c>
      <c r="CN114" s="155">
        <f ca="1">SUM(CM114:$CM$124)</f>
        <v>0</v>
      </c>
      <c r="CO114" s="101">
        <f t="shared" ca="1" si="1526"/>
        <v>0</v>
      </c>
      <c r="CP114" s="154">
        <f t="shared" ca="1" si="2182"/>
        <v>0</v>
      </c>
      <c r="CQ114" s="154">
        <f t="shared" ca="1" si="2183"/>
        <v>0</v>
      </c>
      <c r="CR114" s="32">
        <f t="shared" ref="CR114" ca="1" si="2329">+MAX(VLOOKUP(xB+$R114,기수표B,$AH$1)-VLOOKUP(xB+mB,기수표B,$AH$1),0)</f>
        <v>0</v>
      </c>
      <c r="CS114" s="32">
        <f t="shared" ca="1" si="2185"/>
        <v>0</v>
      </c>
      <c r="CT114" s="32">
        <f t="shared" ref="CT114" ca="1" si="2330">+MAX(VLOOKUP(xB+$R114,기수표B,$AA$1)-VLOOKUP(xB+mB,기수표B,$AA$1),0)</f>
        <v>0</v>
      </c>
      <c r="CU114" s="32">
        <f t="shared" ca="1" si="2187"/>
        <v>0</v>
      </c>
      <c r="CV114" s="32">
        <f t="shared" si="2188"/>
        <v>0</v>
      </c>
      <c r="CW114" s="259">
        <f t="shared" ca="1" si="2189"/>
        <v>0</v>
      </c>
      <c r="CX114" s="32">
        <f t="shared" ca="1" si="2190"/>
        <v>0</v>
      </c>
      <c r="CY114" s="262">
        <f t="shared" ca="1" si="2191"/>
        <v>0</v>
      </c>
      <c r="CZ114" s="259" t="e">
        <f t="shared" ca="1" si="2192"/>
        <v>#DIV/0!</v>
      </c>
      <c r="DA114" s="31">
        <f t="shared" ref="DA114" ca="1" si="2331">+MIN(mB,7)</f>
        <v>7</v>
      </c>
    </row>
    <row r="115" spans="3:105">
      <c r="C115" s="33"/>
      <c r="D115" s="33"/>
      <c r="N115" s="5">
        <f t="shared" si="1530"/>
        <v>103</v>
      </c>
      <c r="O115" s="2">
        <f t="shared" ref="O115" ca="1" si="2332">+(1+iB)^-N115</f>
        <v>0.10108306036216905</v>
      </c>
      <c r="P115" s="2">
        <f t="shared" ref="P115" ca="1" si="2333">+(1+iB)^-(N115+0.5)</f>
        <v>9.996471305132916E-2</v>
      </c>
      <c r="Q115" s="91"/>
      <c r="R115" s="20">
        <f t="shared" si="1533"/>
        <v>103</v>
      </c>
      <c r="S115" s="20" t="str">
        <f t="shared" ref="S115" si="2334">+IF(xB+R115&lt;=xB+nB,xB+R115,"")</f>
        <v/>
      </c>
      <c r="T115" s="2">
        <f t="shared" ref="T115:U115" ca="1" si="2335">IFERROR(VLOOKUP($S115,qx_table,MATCH(T$11,qx_title,0)+sexB),0)</f>
        <v>0</v>
      </c>
      <c r="U115" s="2">
        <f t="shared" ca="1" si="2335"/>
        <v>0</v>
      </c>
      <c r="V115" s="300">
        <f t="shared" ca="1" si="2166"/>
        <v>0.01</v>
      </c>
      <c r="W115" s="8">
        <f t="shared" ref="W115" si="2336">IF(R115=0,100000,IF(R115&gt;nB,0,W114*(1-X114)*(1-Y114)))</f>
        <v>0</v>
      </c>
      <c r="X115" s="10">
        <f t="shared" ca="1" si="1445"/>
        <v>1.0000000000000009E-2</v>
      </c>
      <c r="Y115" s="10">
        <f t="shared" ca="1" si="1446"/>
        <v>0</v>
      </c>
      <c r="Z115" s="5">
        <f t="shared" ca="1" si="1483"/>
        <v>0</v>
      </c>
      <c r="AA115" s="5">
        <f ca="1">+SUM(Z115:Z$124)</f>
        <v>0</v>
      </c>
      <c r="AB115" s="8">
        <f t="shared" ca="1" si="1447"/>
        <v>0</v>
      </c>
      <c r="AC115" s="209">
        <f ca="1">+SUM(AB115:AB$124)*SSSM</f>
        <v>0</v>
      </c>
      <c r="AD115" s="209">
        <f t="shared" ref="AD115" si="2337">IF(R115&gt;nB,0,AD114*(1-X114)*(1-Y114)*(1-AE114)*(1-AF114))</f>
        <v>0</v>
      </c>
      <c r="AE115" s="92">
        <f t="shared" ca="1" si="1449"/>
        <v>0</v>
      </c>
      <c r="AF115" s="92">
        <f t="shared" ca="1" si="1450"/>
        <v>0</v>
      </c>
      <c r="AG115" s="8">
        <f t="shared" ca="1" si="1451"/>
        <v>0</v>
      </c>
      <c r="AH115" s="5">
        <f ca="1">+SUM(AG115:AG$124)</f>
        <v>0</v>
      </c>
      <c r="AI115" s="70">
        <f t="shared" ca="1" si="1452"/>
        <v>0</v>
      </c>
      <c r="AJ115" s="208">
        <f ca="1">+SUM(AB115:AB$124)*SS50J</f>
        <v>0</v>
      </c>
      <c r="AK115" s="5">
        <f t="shared" ca="1" si="1485"/>
        <v>16833.494652513407</v>
      </c>
      <c r="AL115" s="2">
        <f t="shared" ref="AL115" ca="1" si="2338">IFERROR(VLOOKUP($S115,qx_table,MATCH(AL$11,qx_title,0)+sexB),0)</f>
        <v>0</v>
      </c>
      <c r="AM115" s="131">
        <f t="shared" ca="1" si="1487"/>
        <v>1701.5811560662626</v>
      </c>
      <c r="AN115" s="129">
        <f t="shared" ca="1" si="2201"/>
        <v>0</v>
      </c>
      <c r="AO115" s="129">
        <f ca="1">SUM(AN115:AN$124)*SSa</f>
        <v>0</v>
      </c>
      <c r="AP115" s="70">
        <f t="shared" ca="1" si="1489"/>
        <v>16833.494652513407</v>
      </c>
      <c r="AQ115" s="2">
        <f t="shared" ref="AQ115" ca="1" si="2339">IFERROR(VLOOKUP($S115,qx_table,MATCH(AQ$11,qx_title,0)+sexB),0)</f>
        <v>0</v>
      </c>
      <c r="AR115" s="127">
        <f t="shared" ca="1" si="2203"/>
        <v>0</v>
      </c>
      <c r="AS115" s="127">
        <f ca="1">SUM(AR115:AR$124)*SSb</f>
        <v>0</v>
      </c>
      <c r="AT115" s="70">
        <f t="shared" ca="1" si="1492"/>
        <v>16833.494652513407</v>
      </c>
      <c r="AU115" s="2">
        <f t="shared" ref="AU115" ca="1" si="2340">IFERROR(VLOOKUP($S115,qx_table,MATCH(AU$11,qx_title,0)+sexB),0)</f>
        <v>0</v>
      </c>
      <c r="AV115" s="268">
        <f t="shared" ca="1" si="2205"/>
        <v>0</v>
      </c>
      <c r="AW115" s="131">
        <f ca="1">SUM(AV115:AV$124)*SSc</f>
        <v>0</v>
      </c>
      <c r="AX115" s="70">
        <f t="shared" ca="1" si="1495"/>
        <v>16833.494652513407</v>
      </c>
      <c r="AY115" s="2">
        <f t="shared" ref="AY115" ca="1" si="2341">IFERROR(VLOOKUP($S115,qx_table,MATCH(AY$11,qx_title,0)+sexB),0)</f>
        <v>0</v>
      </c>
      <c r="AZ115" s="268">
        <f t="shared" ca="1" si="2207"/>
        <v>0</v>
      </c>
      <c r="BA115" s="129">
        <f ca="1">SUM(AZ115:AZ$124)*SSd</f>
        <v>0</v>
      </c>
      <c r="BB115" s="70">
        <f t="shared" ca="1" si="1498"/>
        <v>16833.494652513407</v>
      </c>
      <c r="BC115" s="257">
        <f t="shared" ref="BC115" ca="1" si="2342">IFERROR(VLOOKUP($S115,qx_table,MATCH(BC$11,qx_title,0)+sexB),0)</f>
        <v>0</v>
      </c>
      <c r="BD115" s="268">
        <f t="shared" ca="1" si="2209"/>
        <v>0</v>
      </c>
      <c r="BE115" s="131">
        <f ca="1">SUM(BD115:BD$124)*SSe</f>
        <v>0</v>
      </c>
      <c r="BF115" s="70">
        <f t="shared" ca="1" si="1501"/>
        <v>16833.494652513407</v>
      </c>
      <c r="BG115" s="2">
        <f t="shared" ref="BG115" ca="1" si="2343">IFERROR(VLOOKUP($S115,qx_table,MATCH(BG$11,qx_title,0)+sexB),0)</f>
        <v>0</v>
      </c>
      <c r="BH115" s="131">
        <f t="shared" ca="1" si="2211"/>
        <v>0</v>
      </c>
      <c r="BI115" s="2">
        <f ca="1">SUM(BH115:BH$124)*SSf</f>
        <v>0</v>
      </c>
      <c r="BJ115" s="70">
        <f t="shared" ca="1" si="1504"/>
        <v>16833.494652513407</v>
      </c>
      <c r="BK115" s="2">
        <f t="shared" ref="BK115" ca="1" si="2344">IFERROR(VLOOKUP($S115,qx_table,MATCH(BK$11,qx_title,0)+sexB),0)</f>
        <v>0</v>
      </c>
      <c r="BL115" s="131">
        <f t="shared" ca="1" si="2213"/>
        <v>0</v>
      </c>
      <c r="BM115" s="131">
        <f ca="1">SUM(BL115:BL$124)*SSg</f>
        <v>0</v>
      </c>
      <c r="BN115" s="70">
        <f t="shared" ca="1" si="1507"/>
        <v>16833.494652513407</v>
      </c>
      <c r="BO115" s="2">
        <f t="shared" ref="BO115" ca="1" si="2345">IFERROR(VLOOKUP($S115,qx_table,MATCH(BO$11,qx_title,0)+sexB),0)</f>
        <v>0</v>
      </c>
      <c r="BP115" s="131">
        <f t="shared" ca="1" si="2215"/>
        <v>0</v>
      </c>
      <c r="BQ115" s="131">
        <f ca="1">SUM(BP115:BP$124)*SSh</f>
        <v>0</v>
      </c>
      <c r="BR115" s="70">
        <f t="shared" ca="1" si="1510"/>
        <v>16833.494652513407</v>
      </c>
      <c r="BS115" s="2">
        <f t="shared" ref="BS115" ca="1" si="2346">IFERROR(VLOOKUP($S115,qx_table,MATCH(BS$11,qx_title,0)+sexB),0)*IF(R115=0,MCi,1)</f>
        <v>0</v>
      </c>
      <c r="BT115" s="131">
        <f t="shared" ca="1" si="2217"/>
        <v>0</v>
      </c>
      <c r="BU115" s="131">
        <f ca="1">SUM(BT115:BT$124)*SSi</f>
        <v>0</v>
      </c>
      <c r="BV115" s="70">
        <f t="shared" ca="1" si="1513"/>
        <v>16833.494652513407</v>
      </c>
      <c r="BW115" s="2">
        <f t="shared" ref="BW115" ca="1" si="2347">IFERROR(VLOOKUP($S115,qx_table,MATCH(BW$11,qx_title,0)+sexB),0)</f>
        <v>0</v>
      </c>
      <c r="BX115" s="131">
        <f t="shared" ca="1" si="2219"/>
        <v>0</v>
      </c>
      <c r="BY115" s="131">
        <f ca="1">SUM(BX115:BX$124)*SSj</f>
        <v>0</v>
      </c>
      <c r="BZ115" s="70">
        <f t="shared" ca="1" si="1516"/>
        <v>16833.494652513407</v>
      </c>
      <c r="CA115" s="2">
        <f t="shared" ref="CA115" ca="1" si="2348">IFERROR(VLOOKUP($S115,qx_table,MATCH(CA$11,qx_title,0)+sexB),0)</f>
        <v>0</v>
      </c>
      <c r="CB115" s="131">
        <f t="shared" ca="1" si="2221"/>
        <v>0</v>
      </c>
      <c r="CC115" s="131">
        <f ca="1">SUM(CB115:CB$124)*SSk</f>
        <v>0</v>
      </c>
      <c r="CD115" s="8">
        <f t="shared" ca="1" si="1519"/>
        <v>16833.494652513407</v>
      </c>
      <c r="CE115" s="2">
        <f t="shared" ref="CE115" ca="1" si="2349">IFERROR(VLOOKUP($S115,qx_table,MATCH(CE$11,qx_title,0)+sexB),0)</f>
        <v>0</v>
      </c>
      <c r="CF115" s="131">
        <f t="shared" ca="1" si="2223"/>
        <v>0</v>
      </c>
      <c r="CG115" s="131">
        <f ca="1">SUM(CF115:CF$124)*SSl</f>
        <v>0</v>
      </c>
      <c r="CH115" s="155">
        <f t="shared" ca="1" si="1522"/>
        <v>0.01</v>
      </c>
      <c r="CI115" s="155">
        <f t="shared" ca="1" si="1523"/>
        <v>0</v>
      </c>
      <c r="CJ115" s="155">
        <f t="shared" ca="1" si="1524"/>
        <v>0</v>
      </c>
      <c r="CK115" s="155">
        <f ca="1">'유해지 (기준P)'!CZ115</f>
        <v>0</v>
      </c>
      <c r="CL115" s="155">
        <f t="shared" ca="1" si="2181"/>
        <v>0</v>
      </c>
      <c r="CM115" s="155">
        <f t="shared" ca="1" si="1525"/>
        <v>0</v>
      </c>
      <c r="CN115" s="155">
        <f ca="1">SUM(CM115:$CM$124)</f>
        <v>0</v>
      </c>
      <c r="CO115" s="101">
        <f t="shared" ca="1" si="1526"/>
        <v>0</v>
      </c>
      <c r="CP115" s="154">
        <f t="shared" ca="1" si="2182"/>
        <v>0</v>
      </c>
      <c r="CQ115" s="154">
        <f t="shared" ca="1" si="2183"/>
        <v>0</v>
      </c>
      <c r="CR115" s="32">
        <f t="shared" ref="CR115" ca="1" si="2350">+MAX(VLOOKUP(xB+$R115,기수표B,$AH$1)-VLOOKUP(xB+mB,기수표B,$AH$1),0)</f>
        <v>0</v>
      </c>
      <c r="CS115" s="32">
        <f t="shared" ca="1" si="2185"/>
        <v>0</v>
      </c>
      <c r="CT115" s="32">
        <f t="shared" ref="CT115" ca="1" si="2351">+MAX(VLOOKUP(xB+$R115,기수표B,$AA$1)-VLOOKUP(xB+mB,기수표B,$AA$1),0)</f>
        <v>0</v>
      </c>
      <c r="CU115" s="32">
        <f t="shared" ca="1" si="2187"/>
        <v>0</v>
      </c>
      <c r="CV115" s="32">
        <f t="shared" si="2188"/>
        <v>0</v>
      </c>
      <c r="CW115" s="259">
        <f t="shared" ca="1" si="2189"/>
        <v>0</v>
      </c>
      <c r="CX115" s="32">
        <f t="shared" ca="1" si="2190"/>
        <v>0</v>
      </c>
      <c r="CY115" s="262">
        <f t="shared" ca="1" si="2191"/>
        <v>0</v>
      </c>
      <c r="CZ115" s="259" t="e">
        <f t="shared" ca="1" si="2192"/>
        <v>#DIV/0!</v>
      </c>
      <c r="DA115" s="31">
        <f t="shared" ref="DA115" ca="1" si="2352">+MIN(mB,7)</f>
        <v>7</v>
      </c>
    </row>
    <row r="116" spans="3:105">
      <c r="C116" s="33"/>
      <c r="D116" s="33"/>
      <c r="N116" s="5">
        <f t="shared" si="1530"/>
        <v>104</v>
      </c>
      <c r="O116" s="2">
        <f t="shared" ref="O116" ca="1" si="2353">+(1+iB)^-N116</f>
        <v>9.8858738740507629E-2</v>
      </c>
      <c r="P116" s="2">
        <f t="shared" ref="P116" ca="1" si="2354">+(1+iB)^-(N116+0.5)</f>
        <v>9.7765000539197247E-2</v>
      </c>
      <c r="Q116" s="91"/>
      <c r="R116" s="20">
        <f t="shared" si="1533"/>
        <v>104</v>
      </c>
      <c r="S116" s="20" t="str">
        <f t="shared" ref="S116" si="2355">+IF(xB+R116&lt;=xB+nB,xB+R116,"")</f>
        <v/>
      </c>
      <c r="T116" s="2">
        <f t="shared" ref="T116:U116" ca="1" si="2356">IFERROR(VLOOKUP($S116,qx_table,MATCH(T$11,qx_title,0)+sexB),0)</f>
        <v>0</v>
      </c>
      <c r="U116" s="2">
        <f t="shared" ca="1" si="2356"/>
        <v>0</v>
      </c>
      <c r="V116" s="300">
        <f t="shared" ca="1" si="2166"/>
        <v>0.01</v>
      </c>
      <c r="W116" s="8">
        <f t="shared" ref="W116" si="2357">IF(R116=0,100000,IF(R116&gt;nB,0,W115*(1-X115)*(1-Y115)))</f>
        <v>0</v>
      </c>
      <c r="X116" s="10">
        <f t="shared" ca="1" si="1445"/>
        <v>1.0000000000000009E-2</v>
      </c>
      <c r="Y116" s="10">
        <f t="shared" ca="1" si="1446"/>
        <v>0</v>
      </c>
      <c r="Z116" s="5">
        <f t="shared" ca="1" si="1483"/>
        <v>0</v>
      </c>
      <c r="AA116" s="5">
        <f ca="1">+SUM(Z116:Z$124)</f>
        <v>0</v>
      </c>
      <c r="AB116" s="8">
        <f t="shared" ca="1" si="1447"/>
        <v>0</v>
      </c>
      <c r="AC116" s="209">
        <f ca="1">+SUM(AB116:AB$124)*SSSM</f>
        <v>0</v>
      </c>
      <c r="AD116" s="209">
        <f t="shared" ref="AD116" si="2358">IF(R116&gt;nB,0,AD115*(1-X115)*(1-Y115)*(1-AE115)*(1-AF115))</f>
        <v>0</v>
      </c>
      <c r="AE116" s="92">
        <f t="shared" ca="1" si="1449"/>
        <v>0</v>
      </c>
      <c r="AF116" s="92">
        <f t="shared" ca="1" si="1450"/>
        <v>0</v>
      </c>
      <c r="AG116" s="8">
        <f t="shared" ca="1" si="1451"/>
        <v>0</v>
      </c>
      <c r="AH116" s="5">
        <f ca="1">+SUM(AG116:AG$124)</f>
        <v>0</v>
      </c>
      <c r="AI116" s="70">
        <f t="shared" ca="1" si="1452"/>
        <v>0</v>
      </c>
      <c r="AJ116" s="208">
        <f ca="1">+SUM(AB116:AB$124)*SS50J</f>
        <v>0</v>
      </c>
      <c r="AK116" s="5">
        <f t="shared" ca="1" si="1485"/>
        <v>16665.159705988273</v>
      </c>
      <c r="AL116" s="2">
        <f t="shared" ref="AL116" ca="1" si="2359">IFERROR(VLOOKUP($S116,qx_table,MATCH(AL$11,qx_title,0)+sexB),0)</f>
        <v>0</v>
      </c>
      <c r="AM116" s="131">
        <f t="shared" ca="1" si="1487"/>
        <v>1647.4966694431296</v>
      </c>
      <c r="AN116" s="129">
        <f t="shared" ca="1" si="2201"/>
        <v>0</v>
      </c>
      <c r="AO116" s="129">
        <f ca="1">SUM(AN116:AN$124)*SSa</f>
        <v>0</v>
      </c>
      <c r="AP116" s="70">
        <f t="shared" ca="1" si="1489"/>
        <v>16665.159705988273</v>
      </c>
      <c r="AQ116" s="2">
        <f t="shared" ref="AQ116" ca="1" si="2360">IFERROR(VLOOKUP($S116,qx_table,MATCH(AQ$11,qx_title,0)+sexB),0)</f>
        <v>0</v>
      </c>
      <c r="AR116" s="127">
        <f t="shared" ca="1" si="2203"/>
        <v>0</v>
      </c>
      <c r="AS116" s="127">
        <f ca="1">SUM(AR116:AR$124)*SSb</f>
        <v>0</v>
      </c>
      <c r="AT116" s="70">
        <f t="shared" ca="1" si="1492"/>
        <v>16665.159705988273</v>
      </c>
      <c r="AU116" s="2">
        <f t="shared" ref="AU116" ca="1" si="2361">IFERROR(VLOOKUP($S116,qx_table,MATCH(AU$11,qx_title,0)+sexB),0)</f>
        <v>0</v>
      </c>
      <c r="AV116" s="268">
        <f t="shared" ca="1" si="2205"/>
        <v>0</v>
      </c>
      <c r="AW116" s="131">
        <f ca="1">SUM(AV116:AV$124)*SSc</f>
        <v>0</v>
      </c>
      <c r="AX116" s="70">
        <f t="shared" ca="1" si="1495"/>
        <v>16665.159705988273</v>
      </c>
      <c r="AY116" s="2">
        <f t="shared" ref="AY116" ca="1" si="2362">IFERROR(VLOOKUP($S116,qx_table,MATCH(AY$11,qx_title,0)+sexB),0)</f>
        <v>0</v>
      </c>
      <c r="AZ116" s="268">
        <f t="shared" ca="1" si="2207"/>
        <v>0</v>
      </c>
      <c r="BA116" s="129">
        <f ca="1">SUM(AZ116:AZ$124)*SSd</f>
        <v>0</v>
      </c>
      <c r="BB116" s="70">
        <f t="shared" ca="1" si="1498"/>
        <v>16665.159705988273</v>
      </c>
      <c r="BC116" s="257">
        <f t="shared" ref="BC116" ca="1" si="2363">IFERROR(VLOOKUP($S116,qx_table,MATCH(BC$11,qx_title,0)+sexB),0)</f>
        <v>0</v>
      </c>
      <c r="BD116" s="268">
        <f t="shared" ca="1" si="2209"/>
        <v>0</v>
      </c>
      <c r="BE116" s="131">
        <f ca="1">SUM(BD116:BD$124)*SSe</f>
        <v>0</v>
      </c>
      <c r="BF116" s="70">
        <f t="shared" ca="1" si="1501"/>
        <v>16665.159705988273</v>
      </c>
      <c r="BG116" s="2">
        <f t="shared" ref="BG116" ca="1" si="2364">IFERROR(VLOOKUP($S116,qx_table,MATCH(BG$11,qx_title,0)+sexB),0)</f>
        <v>0</v>
      </c>
      <c r="BH116" s="131">
        <f t="shared" ca="1" si="2211"/>
        <v>0</v>
      </c>
      <c r="BI116" s="2">
        <f ca="1">SUM(BH116:BH$124)*SSf</f>
        <v>0</v>
      </c>
      <c r="BJ116" s="70">
        <f t="shared" ca="1" si="1504"/>
        <v>16665.159705988273</v>
      </c>
      <c r="BK116" s="2">
        <f t="shared" ref="BK116" ca="1" si="2365">IFERROR(VLOOKUP($S116,qx_table,MATCH(BK$11,qx_title,0)+sexB),0)</f>
        <v>0</v>
      </c>
      <c r="BL116" s="131">
        <f t="shared" ca="1" si="2213"/>
        <v>0</v>
      </c>
      <c r="BM116" s="131">
        <f ca="1">SUM(BL116:BL$124)*SSg</f>
        <v>0</v>
      </c>
      <c r="BN116" s="70">
        <f t="shared" ca="1" si="1507"/>
        <v>16665.159705988273</v>
      </c>
      <c r="BO116" s="2">
        <f t="shared" ref="BO116" ca="1" si="2366">IFERROR(VLOOKUP($S116,qx_table,MATCH(BO$11,qx_title,0)+sexB),0)</f>
        <v>0</v>
      </c>
      <c r="BP116" s="131">
        <f t="shared" ca="1" si="2215"/>
        <v>0</v>
      </c>
      <c r="BQ116" s="131">
        <f ca="1">SUM(BP116:BP$124)*SSh</f>
        <v>0</v>
      </c>
      <c r="BR116" s="70">
        <f t="shared" ca="1" si="1510"/>
        <v>16665.159705988273</v>
      </c>
      <c r="BS116" s="2">
        <f t="shared" ref="BS116" ca="1" si="2367">IFERROR(VLOOKUP($S116,qx_table,MATCH(BS$11,qx_title,0)+sexB),0)*IF(R116=0,MCi,1)</f>
        <v>0</v>
      </c>
      <c r="BT116" s="131">
        <f t="shared" ca="1" si="2217"/>
        <v>0</v>
      </c>
      <c r="BU116" s="131">
        <f ca="1">SUM(BT116:BT$124)*SSi</f>
        <v>0</v>
      </c>
      <c r="BV116" s="70">
        <f t="shared" ca="1" si="1513"/>
        <v>16665.159705988273</v>
      </c>
      <c r="BW116" s="2">
        <f t="shared" ref="BW116" ca="1" si="2368">IFERROR(VLOOKUP($S116,qx_table,MATCH(BW$11,qx_title,0)+sexB),0)</f>
        <v>0</v>
      </c>
      <c r="BX116" s="131">
        <f t="shared" ca="1" si="2219"/>
        <v>0</v>
      </c>
      <c r="BY116" s="131">
        <f ca="1">SUM(BX116:BX$124)*SSj</f>
        <v>0</v>
      </c>
      <c r="BZ116" s="70">
        <f t="shared" ca="1" si="1516"/>
        <v>16665.159705988273</v>
      </c>
      <c r="CA116" s="2">
        <f t="shared" ref="CA116" ca="1" si="2369">IFERROR(VLOOKUP($S116,qx_table,MATCH(CA$11,qx_title,0)+sexB),0)</f>
        <v>0</v>
      </c>
      <c r="CB116" s="131">
        <f t="shared" ca="1" si="2221"/>
        <v>0</v>
      </c>
      <c r="CC116" s="131">
        <f ca="1">SUM(CB116:CB$124)*SSk</f>
        <v>0</v>
      </c>
      <c r="CD116" s="8">
        <f t="shared" ca="1" si="1519"/>
        <v>16665.159705988273</v>
      </c>
      <c r="CE116" s="2">
        <f t="shared" ref="CE116" ca="1" si="2370">IFERROR(VLOOKUP($S116,qx_table,MATCH(CE$11,qx_title,0)+sexB),0)</f>
        <v>0</v>
      </c>
      <c r="CF116" s="131">
        <f t="shared" ca="1" si="2223"/>
        <v>0</v>
      </c>
      <c r="CG116" s="131">
        <f ca="1">SUM(CF116:CF$124)*SSl</f>
        <v>0</v>
      </c>
      <c r="CH116" s="155">
        <f t="shared" ca="1" si="1522"/>
        <v>0.01</v>
      </c>
      <c r="CI116" s="155">
        <f t="shared" ca="1" si="1523"/>
        <v>0</v>
      </c>
      <c r="CJ116" s="155">
        <f t="shared" ca="1" si="1524"/>
        <v>0</v>
      </c>
      <c r="CK116" s="155">
        <f ca="1">'유해지 (기준P)'!CZ116</f>
        <v>0</v>
      </c>
      <c r="CL116" s="155">
        <f t="shared" ca="1" si="2181"/>
        <v>0</v>
      </c>
      <c r="CM116" s="155">
        <f t="shared" ca="1" si="1525"/>
        <v>0</v>
      </c>
      <c r="CN116" s="155">
        <f ca="1">SUM(CM116:$CM$124)</f>
        <v>0</v>
      </c>
      <c r="CO116" s="101">
        <f t="shared" ca="1" si="1526"/>
        <v>0</v>
      </c>
      <c r="CP116" s="154">
        <f t="shared" ca="1" si="2182"/>
        <v>0</v>
      </c>
      <c r="CQ116" s="154">
        <f t="shared" ca="1" si="2183"/>
        <v>0</v>
      </c>
      <c r="CR116" s="32">
        <f t="shared" ref="CR116" ca="1" si="2371">+MAX(VLOOKUP(xB+$R116,기수표B,$AH$1)-VLOOKUP(xB+mB,기수표B,$AH$1),0)</f>
        <v>0</v>
      </c>
      <c r="CS116" s="32">
        <f t="shared" ca="1" si="2185"/>
        <v>0</v>
      </c>
      <c r="CT116" s="32">
        <f t="shared" ref="CT116" ca="1" si="2372">+MAX(VLOOKUP(xB+$R116,기수표B,$AA$1)-VLOOKUP(xB+mB,기수표B,$AA$1),0)</f>
        <v>0</v>
      </c>
      <c r="CU116" s="32">
        <f t="shared" ca="1" si="2187"/>
        <v>0</v>
      </c>
      <c r="CV116" s="32">
        <f t="shared" si="2188"/>
        <v>0</v>
      </c>
      <c r="CW116" s="259">
        <f t="shared" ca="1" si="2189"/>
        <v>0</v>
      </c>
      <c r="CX116" s="32">
        <f t="shared" ca="1" si="2190"/>
        <v>0</v>
      </c>
      <c r="CY116" s="262">
        <f t="shared" ca="1" si="2191"/>
        <v>0</v>
      </c>
      <c r="CZ116" s="259" t="e">
        <f t="shared" ca="1" si="2192"/>
        <v>#DIV/0!</v>
      </c>
      <c r="DA116" s="31">
        <f t="shared" ref="DA116" ca="1" si="2373">+MIN(mB,7)</f>
        <v>7</v>
      </c>
    </row>
    <row r="117" spans="3:105">
      <c r="C117" s="33"/>
      <c r="D117" s="33"/>
      <c r="N117" s="5">
        <f t="shared" si="1530"/>
        <v>105</v>
      </c>
      <c r="O117" s="2">
        <f t="shared" ref="O117" ca="1" si="2374">+(1+iB)^-N117</f>
        <v>9.6683363071401129E-2</v>
      </c>
      <c r="P117" s="2">
        <f t="shared" ref="P117" ca="1" si="2375">+(1+iB)^-(N117+0.5)</f>
        <v>9.5613692458872579E-2</v>
      </c>
      <c r="Q117" s="91"/>
      <c r="R117" s="20">
        <f t="shared" si="1533"/>
        <v>105</v>
      </c>
      <c r="S117" s="20" t="str">
        <f t="shared" ref="S117" si="2376">+IF(xB+R117&lt;=xB+nB,xB+R117,"")</f>
        <v/>
      </c>
      <c r="T117" s="2">
        <f t="shared" ref="T117:U117" ca="1" si="2377">IFERROR(VLOOKUP($S117,qx_table,MATCH(T$11,qx_title,0)+sexB),0)</f>
        <v>0</v>
      </c>
      <c r="U117" s="2">
        <f t="shared" ca="1" si="2377"/>
        <v>0</v>
      </c>
      <c r="V117" s="300">
        <f t="shared" ca="1" si="2166"/>
        <v>0.01</v>
      </c>
      <c r="W117" s="8">
        <f t="shared" ref="W117" si="2378">IF(R117=0,100000,IF(R117&gt;nB,0,W116*(1-X116)*(1-Y116)))</f>
        <v>0</v>
      </c>
      <c r="X117" s="10">
        <f t="shared" ca="1" si="1445"/>
        <v>1.0000000000000009E-2</v>
      </c>
      <c r="Y117" s="10">
        <f t="shared" ca="1" si="1446"/>
        <v>0</v>
      </c>
      <c r="Z117" s="5">
        <f t="shared" ca="1" si="1483"/>
        <v>0</v>
      </c>
      <c r="AA117" s="5">
        <f ca="1">+SUM(Z117:Z$124)</f>
        <v>0</v>
      </c>
      <c r="AB117" s="8">
        <f t="shared" ca="1" si="1447"/>
        <v>0</v>
      </c>
      <c r="AC117" s="209">
        <f ca="1">+SUM(AB117:AB$124)*SSSM</f>
        <v>0</v>
      </c>
      <c r="AD117" s="209">
        <f t="shared" ref="AD117" si="2379">IF(R117&gt;nB,0,AD116*(1-X116)*(1-Y116)*(1-AE116)*(1-AF116))</f>
        <v>0</v>
      </c>
      <c r="AE117" s="92">
        <f t="shared" ca="1" si="1449"/>
        <v>0</v>
      </c>
      <c r="AF117" s="92">
        <f t="shared" ca="1" si="1450"/>
        <v>0</v>
      </c>
      <c r="AG117" s="8">
        <f t="shared" ca="1" si="1451"/>
        <v>0</v>
      </c>
      <c r="AH117" s="5">
        <f ca="1">+SUM(AG117:AG$124)</f>
        <v>0</v>
      </c>
      <c r="AI117" s="70">
        <f t="shared" ca="1" si="1452"/>
        <v>0</v>
      </c>
      <c r="AJ117" s="208">
        <f ca="1">+SUM(AB117:AB$124)*SS50J</f>
        <v>0</v>
      </c>
      <c r="AK117" s="5">
        <f t="shared" ca="1" si="1485"/>
        <v>16498.508108928392</v>
      </c>
      <c r="AL117" s="2">
        <f t="shared" ref="AL117" ca="1" si="2380">IFERROR(VLOOKUP($S117,qx_table,MATCH(AL$11,qx_title,0)+sexB),0)</f>
        <v>0</v>
      </c>
      <c r="AM117" s="131">
        <f t="shared" ca="1" si="1487"/>
        <v>1595.1312496319795</v>
      </c>
      <c r="AN117" s="129">
        <f t="shared" ca="1" si="2201"/>
        <v>0</v>
      </c>
      <c r="AO117" s="129">
        <f ca="1">SUM(AN117:AN$124)*SSa</f>
        <v>0</v>
      </c>
      <c r="AP117" s="70">
        <f t="shared" ca="1" si="1489"/>
        <v>16498.508108928392</v>
      </c>
      <c r="AQ117" s="2">
        <f t="shared" ref="AQ117" ca="1" si="2381">IFERROR(VLOOKUP($S117,qx_table,MATCH(AQ$11,qx_title,0)+sexB),0)</f>
        <v>0</v>
      </c>
      <c r="AR117" s="127">
        <f t="shared" ca="1" si="2203"/>
        <v>0</v>
      </c>
      <c r="AS117" s="127">
        <f ca="1">SUM(AR117:AR$124)*SSb</f>
        <v>0</v>
      </c>
      <c r="AT117" s="70">
        <f t="shared" ca="1" si="1492"/>
        <v>16498.508108928392</v>
      </c>
      <c r="AU117" s="2">
        <f t="shared" ref="AU117" ca="1" si="2382">IFERROR(VLOOKUP($S117,qx_table,MATCH(AU$11,qx_title,0)+sexB),0)</f>
        <v>0</v>
      </c>
      <c r="AV117" s="268">
        <f t="shared" ca="1" si="2205"/>
        <v>0</v>
      </c>
      <c r="AW117" s="131">
        <f ca="1">SUM(AV117:AV$124)*SSc</f>
        <v>0</v>
      </c>
      <c r="AX117" s="70">
        <f t="shared" ca="1" si="1495"/>
        <v>16498.508108928392</v>
      </c>
      <c r="AY117" s="2">
        <f t="shared" ref="AY117" ca="1" si="2383">IFERROR(VLOOKUP($S117,qx_table,MATCH(AY$11,qx_title,0)+sexB),0)</f>
        <v>0</v>
      </c>
      <c r="AZ117" s="268">
        <f t="shared" ca="1" si="2207"/>
        <v>0</v>
      </c>
      <c r="BA117" s="129">
        <f ca="1">SUM(AZ117:AZ$124)*SSd</f>
        <v>0</v>
      </c>
      <c r="BB117" s="70">
        <f t="shared" ca="1" si="1498"/>
        <v>16498.508108928392</v>
      </c>
      <c r="BC117" s="257">
        <f t="shared" ref="BC117" ca="1" si="2384">IFERROR(VLOOKUP($S117,qx_table,MATCH(BC$11,qx_title,0)+sexB),0)</f>
        <v>0</v>
      </c>
      <c r="BD117" s="268">
        <f t="shared" ca="1" si="2209"/>
        <v>0</v>
      </c>
      <c r="BE117" s="131">
        <f ca="1">SUM(BD117:BD$124)*SSe</f>
        <v>0</v>
      </c>
      <c r="BF117" s="70">
        <f t="shared" ca="1" si="1501"/>
        <v>16498.508108928392</v>
      </c>
      <c r="BG117" s="2">
        <f t="shared" ref="BG117" ca="1" si="2385">IFERROR(VLOOKUP($S117,qx_table,MATCH(BG$11,qx_title,0)+sexB),0)</f>
        <v>0</v>
      </c>
      <c r="BH117" s="131">
        <f t="shared" ca="1" si="2211"/>
        <v>0</v>
      </c>
      <c r="BI117" s="2">
        <f ca="1">SUM(BH117:BH$124)*SSf</f>
        <v>0</v>
      </c>
      <c r="BJ117" s="70">
        <f t="shared" ca="1" si="1504"/>
        <v>16498.508108928392</v>
      </c>
      <c r="BK117" s="2">
        <f t="shared" ref="BK117" ca="1" si="2386">IFERROR(VLOOKUP($S117,qx_table,MATCH(BK$11,qx_title,0)+sexB),0)</f>
        <v>0</v>
      </c>
      <c r="BL117" s="131">
        <f t="shared" ca="1" si="2213"/>
        <v>0</v>
      </c>
      <c r="BM117" s="131">
        <f ca="1">SUM(BL117:BL$124)*SSg</f>
        <v>0</v>
      </c>
      <c r="BN117" s="70">
        <f t="shared" ca="1" si="1507"/>
        <v>16498.508108928392</v>
      </c>
      <c r="BO117" s="2">
        <f t="shared" ref="BO117" ca="1" si="2387">IFERROR(VLOOKUP($S117,qx_table,MATCH(BO$11,qx_title,0)+sexB),0)</f>
        <v>0</v>
      </c>
      <c r="BP117" s="131">
        <f t="shared" ca="1" si="2215"/>
        <v>0</v>
      </c>
      <c r="BQ117" s="131">
        <f ca="1">SUM(BP117:BP$124)*SSh</f>
        <v>0</v>
      </c>
      <c r="BR117" s="70">
        <f t="shared" ca="1" si="1510"/>
        <v>16498.508108928392</v>
      </c>
      <c r="BS117" s="2">
        <f t="shared" ref="BS117" ca="1" si="2388">IFERROR(VLOOKUP($S117,qx_table,MATCH(BS$11,qx_title,0)+sexB),0)*IF(R117=0,MCi,1)</f>
        <v>0</v>
      </c>
      <c r="BT117" s="131">
        <f t="shared" ca="1" si="2217"/>
        <v>0</v>
      </c>
      <c r="BU117" s="131">
        <f ca="1">SUM(BT117:BT$124)*SSi</f>
        <v>0</v>
      </c>
      <c r="BV117" s="70">
        <f t="shared" ca="1" si="1513"/>
        <v>16498.508108928392</v>
      </c>
      <c r="BW117" s="2">
        <f t="shared" ref="BW117" ca="1" si="2389">IFERROR(VLOOKUP($S117,qx_table,MATCH(BW$11,qx_title,0)+sexB),0)</f>
        <v>0</v>
      </c>
      <c r="BX117" s="131">
        <f t="shared" ca="1" si="2219"/>
        <v>0</v>
      </c>
      <c r="BY117" s="131">
        <f ca="1">SUM(BX117:BX$124)*SSj</f>
        <v>0</v>
      </c>
      <c r="BZ117" s="70">
        <f t="shared" ca="1" si="1516"/>
        <v>16498.508108928392</v>
      </c>
      <c r="CA117" s="2">
        <f t="shared" ref="CA117" ca="1" si="2390">IFERROR(VLOOKUP($S117,qx_table,MATCH(CA$11,qx_title,0)+sexB),0)</f>
        <v>0</v>
      </c>
      <c r="CB117" s="131">
        <f t="shared" ca="1" si="2221"/>
        <v>0</v>
      </c>
      <c r="CC117" s="131">
        <f ca="1">SUM(CB117:CB$124)*SSk</f>
        <v>0</v>
      </c>
      <c r="CD117" s="8">
        <f t="shared" ca="1" si="1519"/>
        <v>16498.508108928392</v>
      </c>
      <c r="CE117" s="2">
        <f t="shared" ref="CE117" ca="1" si="2391">IFERROR(VLOOKUP($S117,qx_table,MATCH(CE$11,qx_title,0)+sexB),0)</f>
        <v>0</v>
      </c>
      <c r="CF117" s="131">
        <f t="shared" ca="1" si="2223"/>
        <v>0</v>
      </c>
      <c r="CG117" s="131">
        <f ca="1">SUM(CF117:CF$124)*SSl</f>
        <v>0</v>
      </c>
      <c r="CH117" s="155">
        <f t="shared" ca="1" si="1522"/>
        <v>0.01</v>
      </c>
      <c r="CI117" s="155">
        <f t="shared" ca="1" si="1523"/>
        <v>0</v>
      </c>
      <c r="CJ117" s="155">
        <f t="shared" ca="1" si="1524"/>
        <v>0</v>
      </c>
      <c r="CK117" s="155">
        <f ca="1">'유해지 (기준P)'!CZ117</f>
        <v>0</v>
      </c>
      <c r="CL117" s="155">
        <f t="shared" ca="1" si="2181"/>
        <v>0</v>
      </c>
      <c r="CM117" s="155">
        <f t="shared" ca="1" si="1525"/>
        <v>0</v>
      </c>
      <c r="CN117" s="155">
        <f ca="1">SUM(CM117:$CM$124)</f>
        <v>0</v>
      </c>
      <c r="CO117" s="101">
        <f t="shared" ca="1" si="1526"/>
        <v>0</v>
      </c>
      <c r="CP117" s="154">
        <f t="shared" ca="1" si="2182"/>
        <v>0</v>
      </c>
      <c r="CQ117" s="154">
        <f t="shared" ca="1" si="2183"/>
        <v>0</v>
      </c>
      <c r="CR117" s="32">
        <f t="shared" ref="CR117" ca="1" si="2392">+MAX(VLOOKUP(xB+$R117,기수표B,$AH$1)-VLOOKUP(xB+mB,기수표B,$AH$1),0)</f>
        <v>0</v>
      </c>
      <c r="CS117" s="32">
        <f t="shared" ca="1" si="2185"/>
        <v>0</v>
      </c>
      <c r="CT117" s="32">
        <f t="shared" ref="CT117" ca="1" si="2393">+MAX(VLOOKUP(xB+$R117,기수표B,$AA$1)-VLOOKUP(xB+mB,기수표B,$AA$1),0)</f>
        <v>0</v>
      </c>
      <c r="CU117" s="32">
        <f t="shared" ca="1" si="2187"/>
        <v>0</v>
      </c>
      <c r="CV117" s="32">
        <f t="shared" si="2188"/>
        <v>0</v>
      </c>
      <c r="CW117" s="259">
        <f t="shared" ca="1" si="2189"/>
        <v>0</v>
      </c>
      <c r="CX117" s="32">
        <f t="shared" ca="1" si="2190"/>
        <v>0</v>
      </c>
      <c r="CY117" s="262">
        <f t="shared" ca="1" si="2191"/>
        <v>0</v>
      </c>
      <c r="CZ117" s="259" t="e">
        <f t="shared" ca="1" si="2192"/>
        <v>#DIV/0!</v>
      </c>
      <c r="DA117" s="31">
        <f t="shared" ref="DA117" ca="1" si="2394">+MIN(mB,7)</f>
        <v>7</v>
      </c>
    </row>
    <row r="118" spans="3:105">
      <c r="C118" s="33"/>
      <c r="D118" s="33"/>
      <c r="N118" s="5">
        <f t="shared" si="1530"/>
        <v>106</v>
      </c>
      <c r="O118" s="2">
        <f t="shared" ref="O118" ca="1" si="2395">+(1+iB)^-N118</f>
        <v>9.4555856304548797E-2</v>
      </c>
      <c r="P118" s="2">
        <f t="shared" ref="P118" ca="1" si="2396">+(1+iB)^-(N118+0.5)</f>
        <v>9.3509723676159021E-2</v>
      </c>
      <c r="Q118" s="91"/>
      <c r="R118" s="20">
        <f t="shared" si="1533"/>
        <v>106</v>
      </c>
      <c r="S118" s="20" t="str">
        <f t="shared" ref="S118" si="2397">+IF(xB+R118&lt;=xB+nB,xB+R118,"")</f>
        <v/>
      </c>
      <c r="T118" s="2">
        <f t="shared" ref="T118:U118" ca="1" si="2398">IFERROR(VLOOKUP($S118,qx_table,MATCH(T$11,qx_title,0)+sexB),0)</f>
        <v>0</v>
      </c>
      <c r="U118" s="2">
        <f t="shared" ca="1" si="2398"/>
        <v>0</v>
      </c>
      <c r="V118" s="300">
        <f t="shared" ca="1" si="2166"/>
        <v>0.01</v>
      </c>
      <c r="W118" s="8">
        <f t="shared" ref="W118" si="2399">IF(R118=0,100000,IF(R118&gt;nB,0,W117*(1-X117)*(1-Y117)))</f>
        <v>0</v>
      </c>
      <c r="X118" s="10">
        <f t="shared" ca="1" si="1445"/>
        <v>1.0000000000000009E-2</v>
      </c>
      <c r="Y118" s="10">
        <f t="shared" ca="1" si="1446"/>
        <v>0</v>
      </c>
      <c r="Z118" s="5">
        <f t="shared" ca="1" si="1483"/>
        <v>0</v>
      </c>
      <c r="AA118" s="5">
        <f ca="1">+SUM(Z118:Z$124)</f>
        <v>0</v>
      </c>
      <c r="AB118" s="8">
        <f t="shared" ca="1" si="1447"/>
        <v>0</v>
      </c>
      <c r="AC118" s="209">
        <f ca="1">+SUM(AB118:AB$124)*SSSM</f>
        <v>0</v>
      </c>
      <c r="AD118" s="209">
        <f t="shared" ref="AD118" si="2400">IF(R118&gt;nB,0,AD117*(1-X117)*(1-Y117)*(1-AE117)*(1-AF117))</f>
        <v>0</v>
      </c>
      <c r="AE118" s="92">
        <f t="shared" ca="1" si="1449"/>
        <v>0</v>
      </c>
      <c r="AF118" s="92">
        <f t="shared" ca="1" si="1450"/>
        <v>0</v>
      </c>
      <c r="AG118" s="8">
        <f t="shared" ca="1" si="1451"/>
        <v>0</v>
      </c>
      <c r="AH118" s="5">
        <f ca="1">+SUM(AG118:AG$124)</f>
        <v>0</v>
      </c>
      <c r="AI118" s="70">
        <f t="shared" ca="1" si="1452"/>
        <v>0</v>
      </c>
      <c r="AJ118" s="208">
        <f ca="1">+SUM(AB118:AB$124)*SS50J</f>
        <v>0</v>
      </c>
      <c r="AK118" s="5">
        <f t="shared" ca="1" si="1485"/>
        <v>16333.523027839108</v>
      </c>
      <c r="AL118" s="2">
        <f t="shared" ref="AL118" ca="1" si="2401">IFERROR(VLOOKUP($S118,qx_table,MATCH(AL$11,qx_title,0)+sexB),0)</f>
        <v>0</v>
      </c>
      <c r="AM118" s="131">
        <f t="shared" ca="1" si="1487"/>
        <v>1544.4302563673934</v>
      </c>
      <c r="AN118" s="129">
        <f t="shared" ca="1" si="2201"/>
        <v>0</v>
      </c>
      <c r="AO118" s="129">
        <f ca="1">SUM(AN118:AN$124)*SSa</f>
        <v>0</v>
      </c>
      <c r="AP118" s="70">
        <f t="shared" ca="1" si="1489"/>
        <v>16333.523027839108</v>
      </c>
      <c r="AQ118" s="2">
        <f t="shared" ref="AQ118" ca="1" si="2402">IFERROR(VLOOKUP($S118,qx_table,MATCH(AQ$11,qx_title,0)+sexB),0)</f>
        <v>0</v>
      </c>
      <c r="AR118" s="127">
        <f t="shared" ca="1" si="2203"/>
        <v>0</v>
      </c>
      <c r="AS118" s="127">
        <f ca="1">SUM(AR118:AR$124)*SSb</f>
        <v>0</v>
      </c>
      <c r="AT118" s="70">
        <f t="shared" ca="1" si="1492"/>
        <v>16333.523027839108</v>
      </c>
      <c r="AU118" s="2">
        <f t="shared" ref="AU118" ca="1" si="2403">IFERROR(VLOOKUP($S118,qx_table,MATCH(AU$11,qx_title,0)+sexB),0)</f>
        <v>0</v>
      </c>
      <c r="AV118" s="268">
        <f t="shared" ca="1" si="2205"/>
        <v>0</v>
      </c>
      <c r="AW118" s="131">
        <f ca="1">SUM(AV118:AV$124)*SSc</f>
        <v>0</v>
      </c>
      <c r="AX118" s="70">
        <f t="shared" ca="1" si="1495"/>
        <v>16333.523027839108</v>
      </c>
      <c r="AY118" s="2">
        <f t="shared" ref="AY118" ca="1" si="2404">IFERROR(VLOOKUP($S118,qx_table,MATCH(AY$11,qx_title,0)+sexB),0)</f>
        <v>0</v>
      </c>
      <c r="AZ118" s="268">
        <f t="shared" ca="1" si="2207"/>
        <v>0</v>
      </c>
      <c r="BA118" s="129">
        <f ca="1">SUM(AZ118:AZ$124)*SSd</f>
        <v>0</v>
      </c>
      <c r="BB118" s="70">
        <f t="shared" ca="1" si="1498"/>
        <v>16333.523027839108</v>
      </c>
      <c r="BC118" s="257">
        <f t="shared" ref="BC118" ca="1" si="2405">IFERROR(VLOOKUP($S118,qx_table,MATCH(BC$11,qx_title,0)+sexB),0)</f>
        <v>0</v>
      </c>
      <c r="BD118" s="268">
        <f t="shared" ca="1" si="2209"/>
        <v>0</v>
      </c>
      <c r="BE118" s="131">
        <f ca="1">SUM(BD118:BD$124)*SSe</f>
        <v>0</v>
      </c>
      <c r="BF118" s="70">
        <f t="shared" ca="1" si="1501"/>
        <v>16333.523027839108</v>
      </c>
      <c r="BG118" s="2">
        <f t="shared" ref="BG118" ca="1" si="2406">IFERROR(VLOOKUP($S118,qx_table,MATCH(BG$11,qx_title,0)+sexB),0)</f>
        <v>0</v>
      </c>
      <c r="BH118" s="131">
        <f t="shared" ca="1" si="2211"/>
        <v>0</v>
      </c>
      <c r="BI118" s="2">
        <f ca="1">SUM(BH118:BH$124)*SSf</f>
        <v>0</v>
      </c>
      <c r="BJ118" s="70">
        <f t="shared" ca="1" si="1504"/>
        <v>16333.523027839108</v>
      </c>
      <c r="BK118" s="2">
        <f t="shared" ref="BK118" ca="1" si="2407">IFERROR(VLOOKUP($S118,qx_table,MATCH(BK$11,qx_title,0)+sexB),0)</f>
        <v>0</v>
      </c>
      <c r="BL118" s="131">
        <f t="shared" ca="1" si="2213"/>
        <v>0</v>
      </c>
      <c r="BM118" s="131">
        <f ca="1">SUM(BL118:BL$124)*SSg</f>
        <v>0</v>
      </c>
      <c r="BN118" s="70">
        <f t="shared" ca="1" si="1507"/>
        <v>16333.523027839108</v>
      </c>
      <c r="BO118" s="2">
        <f t="shared" ref="BO118" ca="1" si="2408">IFERROR(VLOOKUP($S118,qx_table,MATCH(BO$11,qx_title,0)+sexB),0)</f>
        <v>0</v>
      </c>
      <c r="BP118" s="131">
        <f t="shared" ca="1" si="2215"/>
        <v>0</v>
      </c>
      <c r="BQ118" s="131">
        <f ca="1">SUM(BP118:BP$124)*SSh</f>
        <v>0</v>
      </c>
      <c r="BR118" s="70">
        <f t="shared" ca="1" si="1510"/>
        <v>16333.523027839108</v>
      </c>
      <c r="BS118" s="2">
        <f t="shared" ref="BS118" ca="1" si="2409">IFERROR(VLOOKUP($S118,qx_table,MATCH(BS$11,qx_title,0)+sexB),0)*IF(R118=0,MCi,1)</f>
        <v>0</v>
      </c>
      <c r="BT118" s="131">
        <f t="shared" ca="1" si="2217"/>
        <v>0</v>
      </c>
      <c r="BU118" s="131">
        <f ca="1">SUM(BT118:BT$124)*SSi</f>
        <v>0</v>
      </c>
      <c r="BV118" s="70">
        <f t="shared" ca="1" si="1513"/>
        <v>16333.523027839108</v>
      </c>
      <c r="BW118" s="2">
        <f t="shared" ref="BW118" ca="1" si="2410">IFERROR(VLOOKUP($S118,qx_table,MATCH(BW$11,qx_title,0)+sexB),0)</f>
        <v>0</v>
      </c>
      <c r="BX118" s="131">
        <f t="shared" ca="1" si="2219"/>
        <v>0</v>
      </c>
      <c r="BY118" s="131">
        <f ca="1">SUM(BX118:BX$124)*SSj</f>
        <v>0</v>
      </c>
      <c r="BZ118" s="70">
        <f t="shared" ca="1" si="1516"/>
        <v>16333.523027839108</v>
      </c>
      <c r="CA118" s="2">
        <f t="shared" ref="CA118" ca="1" si="2411">IFERROR(VLOOKUP($S118,qx_table,MATCH(CA$11,qx_title,0)+sexB),0)</f>
        <v>0</v>
      </c>
      <c r="CB118" s="131">
        <f t="shared" ca="1" si="2221"/>
        <v>0</v>
      </c>
      <c r="CC118" s="131">
        <f ca="1">SUM(CB118:CB$124)*SSk</f>
        <v>0</v>
      </c>
      <c r="CD118" s="8">
        <f t="shared" ca="1" si="1519"/>
        <v>16333.523027839108</v>
      </c>
      <c r="CE118" s="2">
        <f t="shared" ref="CE118" ca="1" si="2412">IFERROR(VLOOKUP($S118,qx_table,MATCH(CE$11,qx_title,0)+sexB),0)</f>
        <v>0</v>
      </c>
      <c r="CF118" s="131">
        <f t="shared" ca="1" si="2223"/>
        <v>0</v>
      </c>
      <c r="CG118" s="131">
        <f ca="1">SUM(CF118:CF$124)*SSl</f>
        <v>0</v>
      </c>
      <c r="CH118" s="155">
        <f t="shared" ca="1" si="1522"/>
        <v>0.01</v>
      </c>
      <c r="CI118" s="155">
        <f t="shared" ca="1" si="1523"/>
        <v>0</v>
      </c>
      <c r="CJ118" s="155">
        <f t="shared" ca="1" si="1524"/>
        <v>0</v>
      </c>
      <c r="CK118" s="155">
        <f ca="1">'유해지 (기준P)'!CZ118</f>
        <v>0</v>
      </c>
      <c r="CL118" s="155">
        <f t="shared" ca="1" si="2181"/>
        <v>0</v>
      </c>
      <c r="CM118" s="155">
        <f t="shared" ca="1" si="1525"/>
        <v>0</v>
      </c>
      <c r="CN118" s="155">
        <f ca="1">SUM(CM118:$CM$124)</f>
        <v>0</v>
      </c>
      <c r="CO118" s="101">
        <f t="shared" ca="1" si="1526"/>
        <v>0</v>
      </c>
      <c r="CP118" s="154">
        <f t="shared" ca="1" si="2182"/>
        <v>0</v>
      </c>
      <c r="CQ118" s="154">
        <f t="shared" ca="1" si="2183"/>
        <v>0</v>
      </c>
      <c r="CR118" s="32">
        <f t="shared" ref="CR118" ca="1" si="2413">+MAX(VLOOKUP(xB+$R118,기수표B,$AH$1)-VLOOKUP(xB+mB,기수표B,$AH$1),0)</f>
        <v>0</v>
      </c>
      <c r="CS118" s="32">
        <f t="shared" ca="1" si="2185"/>
        <v>0</v>
      </c>
      <c r="CT118" s="32">
        <f t="shared" ref="CT118" ca="1" si="2414">+MAX(VLOOKUP(xB+$R118,기수표B,$AA$1)-VLOOKUP(xB+mB,기수표B,$AA$1),0)</f>
        <v>0</v>
      </c>
      <c r="CU118" s="32">
        <f t="shared" ca="1" si="2187"/>
        <v>0</v>
      </c>
      <c r="CV118" s="32">
        <f t="shared" si="2188"/>
        <v>0</v>
      </c>
      <c r="CW118" s="259">
        <f t="shared" ca="1" si="2189"/>
        <v>0</v>
      </c>
      <c r="CX118" s="32">
        <f t="shared" ca="1" si="2190"/>
        <v>0</v>
      </c>
      <c r="CY118" s="262">
        <f t="shared" ca="1" si="2191"/>
        <v>0</v>
      </c>
      <c r="CZ118" s="259" t="e">
        <f t="shared" ca="1" si="2192"/>
        <v>#DIV/0!</v>
      </c>
      <c r="DA118" s="31">
        <f t="shared" ref="DA118" ca="1" si="2415">+MIN(mB,7)</f>
        <v>7</v>
      </c>
    </row>
    <row r="119" spans="3:105">
      <c r="C119" s="33"/>
      <c r="D119" s="33"/>
      <c r="N119" s="5">
        <f t="shared" si="1530"/>
        <v>107</v>
      </c>
      <c r="O119" s="2">
        <f t="shared" ref="O119" ca="1" si="2416">+(1+iB)^-N119</f>
        <v>9.2475165090023265E-2</v>
      </c>
      <c r="P119" s="2">
        <f t="shared" ref="P119" ca="1" si="2417">+(1+iB)^-(N119+0.5)</f>
        <v>9.1452052495021072E-2</v>
      </c>
      <c r="Q119" s="91"/>
      <c r="R119" s="20">
        <f t="shared" si="1533"/>
        <v>107</v>
      </c>
      <c r="S119" s="20" t="str">
        <f t="shared" ref="S119" si="2418">+IF(xB+R119&lt;=xB+nB,xB+R119,"")</f>
        <v/>
      </c>
      <c r="T119" s="2">
        <f t="shared" ref="T119:U119" ca="1" si="2419">IFERROR(VLOOKUP($S119,qx_table,MATCH(T$11,qx_title,0)+sexB),0)</f>
        <v>0</v>
      </c>
      <c r="U119" s="2">
        <f t="shared" ca="1" si="2419"/>
        <v>0</v>
      </c>
      <c r="V119" s="300">
        <f t="shared" ca="1" si="2166"/>
        <v>0.01</v>
      </c>
      <c r="W119" s="8">
        <f t="shared" ref="W119" si="2420">IF(R119=0,100000,IF(R119&gt;nB,0,W118*(1-X118)*(1-Y118)))</f>
        <v>0</v>
      </c>
      <c r="X119" s="10">
        <f t="shared" ca="1" si="1445"/>
        <v>1.0000000000000009E-2</v>
      </c>
      <c r="Y119" s="10">
        <f t="shared" ca="1" si="1446"/>
        <v>0</v>
      </c>
      <c r="Z119" s="5">
        <f t="shared" ca="1" si="1483"/>
        <v>0</v>
      </c>
      <c r="AA119" s="5">
        <f ca="1">+SUM(Z119:Z$124)</f>
        <v>0</v>
      </c>
      <c r="AB119" s="8">
        <f t="shared" ca="1" si="1447"/>
        <v>0</v>
      </c>
      <c r="AC119" s="209">
        <f ca="1">+SUM(AB119:AB$124)*SSSM</f>
        <v>0</v>
      </c>
      <c r="AD119" s="209">
        <f t="shared" ref="AD119" si="2421">IF(R119&gt;nB,0,AD118*(1-X118)*(1-Y118)*(1-AE118)*(1-AF118))</f>
        <v>0</v>
      </c>
      <c r="AE119" s="92">
        <f t="shared" ca="1" si="1449"/>
        <v>0</v>
      </c>
      <c r="AF119" s="92">
        <f t="shared" ca="1" si="1450"/>
        <v>0</v>
      </c>
      <c r="AG119" s="8">
        <f t="shared" ca="1" si="1451"/>
        <v>0</v>
      </c>
      <c r="AH119" s="5">
        <f ca="1">+SUM(AG119:AG$124)</f>
        <v>0</v>
      </c>
      <c r="AI119" s="70">
        <f t="shared" ca="1" si="1452"/>
        <v>0</v>
      </c>
      <c r="AJ119" s="208">
        <f ca="1">+SUM(AB119:AB$124)*SS50J</f>
        <v>0</v>
      </c>
      <c r="AK119" s="5">
        <f t="shared" ca="1" si="1485"/>
        <v>16170.187797560717</v>
      </c>
      <c r="AL119" s="2">
        <f t="shared" ref="AL119" ca="1" si="2422">IFERROR(VLOOKUP($S119,qx_table,MATCH(AL$11,qx_title,0)+sexB),0)</f>
        <v>0</v>
      </c>
      <c r="AM119" s="131">
        <f t="shared" ca="1" si="1487"/>
        <v>1495.340786116107</v>
      </c>
      <c r="AN119" s="129">
        <f t="shared" ca="1" si="2201"/>
        <v>0</v>
      </c>
      <c r="AO119" s="129">
        <f ca="1">SUM(AN119:AN$124)*SSa</f>
        <v>0</v>
      </c>
      <c r="AP119" s="70">
        <f t="shared" ca="1" si="1489"/>
        <v>16170.187797560717</v>
      </c>
      <c r="AQ119" s="2">
        <f t="shared" ref="AQ119" ca="1" si="2423">IFERROR(VLOOKUP($S119,qx_table,MATCH(AQ$11,qx_title,0)+sexB),0)</f>
        <v>0</v>
      </c>
      <c r="AR119" s="127">
        <f t="shared" ca="1" si="2203"/>
        <v>0</v>
      </c>
      <c r="AS119" s="127">
        <f ca="1">SUM(AR119:AR$124)*SSb</f>
        <v>0</v>
      </c>
      <c r="AT119" s="70">
        <f t="shared" ca="1" si="1492"/>
        <v>16170.187797560717</v>
      </c>
      <c r="AU119" s="2">
        <f t="shared" ref="AU119" ca="1" si="2424">IFERROR(VLOOKUP($S119,qx_table,MATCH(AU$11,qx_title,0)+sexB),0)</f>
        <v>0</v>
      </c>
      <c r="AV119" s="268">
        <f t="shared" ca="1" si="2205"/>
        <v>0</v>
      </c>
      <c r="AW119" s="131">
        <f ca="1">SUM(AV119:AV$124)*SSc</f>
        <v>0</v>
      </c>
      <c r="AX119" s="70">
        <f t="shared" ca="1" si="1495"/>
        <v>16170.187797560717</v>
      </c>
      <c r="AY119" s="2">
        <f t="shared" ref="AY119" ca="1" si="2425">IFERROR(VLOOKUP($S119,qx_table,MATCH(AY$11,qx_title,0)+sexB),0)</f>
        <v>0</v>
      </c>
      <c r="AZ119" s="268">
        <f t="shared" ca="1" si="2207"/>
        <v>0</v>
      </c>
      <c r="BA119" s="129">
        <f ca="1">SUM(AZ119:AZ$124)*SSd</f>
        <v>0</v>
      </c>
      <c r="BB119" s="70">
        <f t="shared" ca="1" si="1498"/>
        <v>16170.187797560717</v>
      </c>
      <c r="BC119" s="257">
        <f t="shared" ref="BC119" ca="1" si="2426">IFERROR(VLOOKUP($S119,qx_table,MATCH(BC$11,qx_title,0)+sexB),0)</f>
        <v>0</v>
      </c>
      <c r="BD119" s="268">
        <f t="shared" ca="1" si="2209"/>
        <v>0</v>
      </c>
      <c r="BE119" s="131">
        <f ca="1">SUM(BD119:BD$124)*SSe</f>
        <v>0</v>
      </c>
      <c r="BF119" s="70">
        <f t="shared" ca="1" si="1501"/>
        <v>16170.187797560717</v>
      </c>
      <c r="BG119" s="2">
        <f t="shared" ref="BG119" ca="1" si="2427">IFERROR(VLOOKUP($S119,qx_table,MATCH(BG$11,qx_title,0)+sexB),0)</f>
        <v>0</v>
      </c>
      <c r="BH119" s="131">
        <f t="shared" ca="1" si="2211"/>
        <v>0</v>
      </c>
      <c r="BI119" s="2">
        <f ca="1">SUM(BH119:BH$124)*SSf</f>
        <v>0</v>
      </c>
      <c r="BJ119" s="70">
        <f t="shared" ca="1" si="1504"/>
        <v>16170.187797560717</v>
      </c>
      <c r="BK119" s="2">
        <f t="shared" ref="BK119" ca="1" si="2428">IFERROR(VLOOKUP($S119,qx_table,MATCH(BK$11,qx_title,0)+sexB),0)</f>
        <v>0</v>
      </c>
      <c r="BL119" s="131">
        <f t="shared" ca="1" si="2213"/>
        <v>0</v>
      </c>
      <c r="BM119" s="131">
        <f ca="1">SUM(BL119:BL$124)*SSg</f>
        <v>0</v>
      </c>
      <c r="BN119" s="70">
        <f t="shared" ca="1" si="1507"/>
        <v>16170.187797560717</v>
      </c>
      <c r="BO119" s="2">
        <f t="shared" ref="BO119" ca="1" si="2429">IFERROR(VLOOKUP($S119,qx_table,MATCH(BO$11,qx_title,0)+sexB),0)</f>
        <v>0</v>
      </c>
      <c r="BP119" s="131">
        <f t="shared" ca="1" si="2215"/>
        <v>0</v>
      </c>
      <c r="BQ119" s="131">
        <f ca="1">SUM(BP119:BP$124)*SSh</f>
        <v>0</v>
      </c>
      <c r="BR119" s="70">
        <f t="shared" ca="1" si="1510"/>
        <v>16170.187797560717</v>
      </c>
      <c r="BS119" s="2">
        <f t="shared" ref="BS119" ca="1" si="2430">IFERROR(VLOOKUP($S119,qx_table,MATCH(BS$11,qx_title,0)+sexB),0)*IF(R119=0,MCi,1)</f>
        <v>0</v>
      </c>
      <c r="BT119" s="131">
        <f t="shared" ca="1" si="2217"/>
        <v>0</v>
      </c>
      <c r="BU119" s="131">
        <f ca="1">SUM(BT119:BT$124)*SSi</f>
        <v>0</v>
      </c>
      <c r="BV119" s="70">
        <f t="shared" ca="1" si="1513"/>
        <v>16170.187797560717</v>
      </c>
      <c r="BW119" s="2">
        <f t="shared" ref="BW119" ca="1" si="2431">IFERROR(VLOOKUP($S119,qx_table,MATCH(BW$11,qx_title,0)+sexB),0)</f>
        <v>0</v>
      </c>
      <c r="BX119" s="131">
        <f t="shared" ca="1" si="2219"/>
        <v>0</v>
      </c>
      <c r="BY119" s="131">
        <f ca="1">SUM(BX119:BX$124)*SSj</f>
        <v>0</v>
      </c>
      <c r="BZ119" s="70">
        <f t="shared" ca="1" si="1516"/>
        <v>16170.187797560717</v>
      </c>
      <c r="CA119" s="2">
        <f t="shared" ref="CA119" ca="1" si="2432">IFERROR(VLOOKUP($S119,qx_table,MATCH(CA$11,qx_title,0)+sexB),0)</f>
        <v>0</v>
      </c>
      <c r="CB119" s="131">
        <f t="shared" ca="1" si="2221"/>
        <v>0</v>
      </c>
      <c r="CC119" s="131">
        <f ca="1">SUM(CB119:CB$124)*SSk</f>
        <v>0</v>
      </c>
      <c r="CD119" s="8">
        <f t="shared" ca="1" si="1519"/>
        <v>16170.187797560717</v>
      </c>
      <c r="CE119" s="2">
        <f t="shared" ref="CE119" ca="1" si="2433">IFERROR(VLOOKUP($S119,qx_table,MATCH(CE$11,qx_title,0)+sexB),0)</f>
        <v>0</v>
      </c>
      <c r="CF119" s="131">
        <f t="shared" ca="1" si="2223"/>
        <v>0</v>
      </c>
      <c r="CG119" s="131">
        <f ca="1">SUM(CF119:CF$124)*SSl</f>
        <v>0</v>
      </c>
      <c r="CH119" s="155">
        <f t="shared" ca="1" si="1522"/>
        <v>0.01</v>
      </c>
      <c r="CI119" s="155">
        <f t="shared" ca="1" si="1523"/>
        <v>0</v>
      </c>
      <c r="CJ119" s="155">
        <f t="shared" ca="1" si="1524"/>
        <v>0</v>
      </c>
      <c r="CK119" s="155">
        <f ca="1">'유해지 (기준P)'!CZ119</f>
        <v>0</v>
      </c>
      <c r="CL119" s="155">
        <f t="shared" ca="1" si="2181"/>
        <v>0</v>
      </c>
      <c r="CM119" s="155">
        <f t="shared" ca="1" si="1525"/>
        <v>0</v>
      </c>
      <c r="CN119" s="155">
        <f ca="1">SUM(CM119:$CM$124)</f>
        <v>0</v>
      </c>
      <c r="CO119" s="101">
        <f t="shared" ca="1" si="1526"/>
        <v>0</v>
      </c>
      <c r="CP119" s="154">
        <f t="shared" ca="1" si="2182"/>
        <v>0</v>
      </c>
      <c r="CQ119" s="154">
        <f t="shared" ca="1" si="2183"/>
        <v>0</v>
      </c>
      <c r="CR119" s="32">
        <f t="shared" ref="CR119" ca="1" si="2434">+MAX(VLOOKUP(xB+$R119,기수표B,$AH$1)-VLOOKUP(xB+mB,기수표B,$AH$1),0)</f>
        <v>0</v>
      </c>
      <c r="CS119" s="32">
        <f t="shared" ca="1" si="2185"/>
        <v>0</v>
      </c>
      <c r="CT119" s="32">
        <f t="shared" ref="CT119" ca="1" si="2435">+MAX(VLOOKUP(xB+$R119,기수표B,$AA$1)-VLOOKUP(xB+mB,기수표B,$AA$1),0)</f>
        <v>0</v>
      </c>
      <c r="CU119" s="32">
        <f t="shared" ca="1" si="2187"/>
        <v>0</v>
      </c>
      <c r="CV119" s="32">
        <f t="shared" si="2188"/>
        <v>0</v>
      </c>
      <c r="CW119" s="259">
        <f t="shared" ca="1" si="2189"/>
        <v>0</v>
      </c>
      <c r="CX119" s="32">
        <f t="shared" ca="1" si="2190"/>
        <v>0</v>
      </c>
      <c r="CY119" s="262">
        <f t="shared" ca="1" si="2191"/>
        <v>0</v>
      </c>
      <c r="CZ119" s="259" t="e">
        <f t="shared" ca="1" si="2192"/>
        <v>#DIV/0!</v>
      </c>
      <c r="DA119" s="31">
        <f t="shared" ref="DA119" ca="1" si="2436">+MIN(mB,7)</f>
        <v>7</v>
      </c>
    </row>
    <row r="120" spans="3:105">
      <c r="C120" s="33"/>
      <c r="D120" s="33"/>
      <c r="N120" s="5">
        <f t="shared" si="1530"/>
        <v>108</v>
      </c>
      <c r="O120" s="2">
        <f t="shared" ref="O120" ca="1" si="2437">+(1+iB)^-N120</f>
        <v>9.0440259256746452E-2</v>
      </c>
      <c r="P120" s="2">
        <f t="shared" ref="P120" ca="1" si="2438">+(1+iB)^-(N120+0.5)</f>
        <v>8.9439660141829871E-2</v>
      </c>
      <c r="Q120" s="91"/>
      <c r="R120" s="20">
        <f t="shared" si="1533"/>
        <v>108</v>
      </c>
      <c r="S120" s="20" t="str">
        <f t="shared" ref="S120" si="2439">+IF(xB+R120&lt;=xB+nB,xB+R120,"")</f>
        <v/>
      </c>
      <c r="T120" s="2">
        <f t="shared" ref="T120:U120" ca="1" si="2440">IFERROR(VLOOKUP($S120,qx_table,MATCH(T$11,qx_title,0)+sexB),0)</f>
        <v>0</v>
      </c>
      <c r="U120" s="2">
        <f t="shared" ca="1" si="2440"/>
        <v>0</v>
      </c>
      <c r="V120" s="300">
        <f t="shared" ca="1" si="2166"/>
        <v>0.01</v>
      </c>
      <c r="W120" s="8">
        <f t="shared" ref="W120" si="2441">IF(R120=0,100000,IF(R120&gt;nB,0,W119*(1-X119)*(1-Y119)))</f>
        <v>0</v>
      </c>
      <c r="X120" s="10">
        <f t="shared" ca="1" si="1445"/>
        <v>1.0000000000000009E-2</v>
      </c>
      <c r="Y120" s="10">
        <f t="shared" ca="1" si="1446"/>
        <v>0</v>
      </c>
      <c r="Z120" s="5">
        <f t="shared" ca="1" si="1483"/>
        <v>0</v>
      </c>
      <c r="AA120" s="5">
        <f ca="1">+SUM(Z120:Z$124)</f>
        <v>0</v>
      </c>
      <c r="AB120" s="8">
        <f t="shared" ca="1" si="1447"/>
        <v>0</v>
      </c>
      <c r="AC120" s="209">
        <f ca="1">+SUM(AB120:AB$124)*SSSM</f>
        <v>0</v>
      </c>
      <c r="AD120" s="209">
        <f t="shared" ref="AD120" si="2442">IF(R120&gt;nB,0,AD119*(1-X119)*(1-Y119)*(1-AE119)*(1-AF119))</f>
        <v>0</v>
      </c>
      <c r="AE120" s="92">
        <f t="shared" ca="1" si="1449"/>
        <v>0</v>
      </c>
      <c r="AF120" s="92">
        <f t="shared" ca="1" si="1450"/>
        <v>0</v>
      </c>
      <c r="AG120" s="8">
        <f t="shared" ca="1" si="1451"/>
        <v>0</v>
      </c>
      <c r="AH120" s="5">
        <f ca="1">+SUM(AG120:AG$124)</f>
        <v>0</v>
      </c>
      <c r="AI120" s="70">
        <f t="shared" ca="1" si="1452"/>
        <v>0</v>
      </c>
      <c r="AJ120" s="208">
        <f ca="1">+SUM(AB120:AB$124)*SS50J</f>
        <v>0</v>
      </c>
      <c r="AK120" s="5">
        <f t="shared" ca="1" si="1485"/>
        <v>16008.48591958511</v>
      </c>
      <c r="AL120" s="2">
        <f t="shared" ref="AL120" ca="1" si="2443">IFERROR(VLOOKUP($S120,qx_table,MATCH(AL$11,qx_title,0)+sexB),0)</f>
        <v>0</v>
      </c>
      <c r="AM120" s="131">
        <f t="shared" ca="1" si="1487"/>
        <v>1447.8116168752524</v>
      </c>
      <c r="AN120" s="129">
        <f t="shared" ca="1" si="2201"/>
        <v>0</v>
      </c>
      <c r="AO120" s="129">
        <f ca="1">SUM(AN120:AN$124)*SSa</f>
        <v>0</v>
      </c>
      <c r="AP120" s="70">
        <f t="shared" ca="1" si="1489"/>
        <v>16008.48591958511</v>
      </c>
      <c r="AQ120" s="2">
        <f t="shared" ref="AQ120" ca="1" si="2444">IFERROR(VLOOKUP($S120,qx_table,MATCH(AQ$11,qx_title,0)+sexB),0)</f>
        <v>0</v>
      </c>
      <c r="AR120" s="127">
        <f t="shared" ca="1" si="2203"/>
        <v>0</v>
      </c>
      <c r="AS120" s="127">
        <f ca="1">SUM(AR120:AR$124)*SSb</f>
        <v>0</v>
      </c>
      <c r="AT120" s="70">
        <f t="shared" ca="1" si="1492"/>
        <v>16008.48591958511</v>
      </c>
      <c r="AU120" s="2">
        <f t="shared" ref="AU120" ca="1" si="2445">IFERROR(VLOOKUP($S120,qx_table,MATCH(AU$11,qx_title,0)+sexB),0)</f>
        <v>0</v>
      </c>
      <c r="AV120" s="268">
        <f t="shared" ca="1" si="2205"/>
        <v>0</v>
      </c>
      <c r="AW120" s="131">
        <f ca="1">SUM(AV120:AV$124)*SSc</f>
        <v>0</v>
      </c>
      <c r="AX120" s="70">
        <f t="shared" ca="1" si="1495"/>
        <v>16008.48591958511</v>
      </c>
      <c r="AY120" s="2">
        <f t="shared" ref="AY120" ca="1" si="2446">IFERROR(VLOOKUP($S120,qx_table,MATCH(AY$11,qx_title,0)+sexB),0)</f>
        <v>0</v>
      </c>
      <c r="AZ120" s="268">
        <f t="shared" ca="1" si="2207"/>
        <v>0</v>
      </c>
      <c r="BA120" s="129">
        <f ca="1">SUM(AZ120:AZ$124)*SSd</f>
        <v>0</v>
      </c>
      <c r="BB120" s="70">
        <f t="shared" ca="1" si="1498"/>
        <v>16008.48591958511</v>
      </c>
      <c r="BC120" s="257">
        <f t="shared" ref="BC120" ca="1" si="2447">IFERROR(VLOOKUP($S120,qx_table,MATCH(BC$11,qx_title,0)+sexB),0)</f>
        <v>0</v>
      </c>
      <c r="BD120" s="268">
        <f t="shared" ca="1" si="2209"/>
        <v>0</v>
      </c>
      <c r="BE120" s="131">
        <f ca="1">SUM(BD120:BD$124)*SSe</f>
        <v>0</v>
      </c>
      <c r="BF120" s="70">
        <f t="shared" ca="1" si="1501"/>
        <v>16008.48591958511</v>
      </c>
      <c r="BG120" s="2">
        <f t="shared" ref="BG120" ca="1" si="2448">IFERROR(VLOOKUP($S120,qx_table,MATCH(BG$11,qx_title,0)+sexB),0)</f>
        <v>0</v>
      </c>
      <c r="BH120" s="131">
        <f t="shared" ca="1" si="2211"/>
        <v>0</v>
      </c>
      <c r="BI120" s="2">
        <f ca="1">SUM(BH120:BH$124)*SSf</f>
        <v>0</v>
      </c>
      <c r="BJ120" s="70">
        <f t="shared" ca="1" si="1504"/>
        <v>16008.48591958511</v>
      </c>
      <c r="BK120" s="2">
        <f t="shared" ref="BK120" ca="1" si="2449">IFERROR(VLOOKUP($S120,qx_table,MATCH(BK$11,qx_title,0)+sexB),0)</f>
        <v>0</v>
      </c>
      <c r="BL120" s="131">
        <f t="shared" ca="1" si="2213"/>
        <v>0</v>
      </c>
      <c r="BM120" s="131">
        <f ca="1">SUM(BL120:BL$124)*SSg</f>
        <v>0</v>
      </c>
      <c r="BN120" s="70">
        <f t="shared" ca="1" si="1507"/>
        <v>16008.48591958511</v>
      </c>
      <c r="BO120" s="2">
        <f t="shared" ref="BO120" ca="1" si="2450">IFERROR(VLOOKUP($S120,qx_table,MATCH(BO$11,qx_title,0)+sexB),0)</f>
        <v>0</v>
      </c>
      <c r="BP120" s="131">
        <f t="shared" ca="1" si="2215"/>
        <v>0</v>
      </c>
      <c r="BQ120" s="131">
        <f ca="1">SUM(BP120:BP$124)*SSh</f>
        <v>0</v>
      </c>
      <c r="BR120" s="70">
        <f t="shared" ca="1" si="1510"/>
        <v>16008.48591958511</v>
      </c>
      <c r="BS120" s="2">
        <f t="shared" ref="BS120" ca="1" si="2451">IFERROR(VLOOKUP($S120,qx_table,MATCH(BS$11,qx_title,0)+sexB),0)*IF(R120=0,MCi,1)</f>
        <v>0</v>
      </c>
      <c r="BT120" s="131">
        <f t="shared" ca="1" si="2217"/>
        <v>0</v>
      </c>
      <c r="BU120" s="131">
        <f ca="1">SUM(BT120:BT$124)*SSi</f>
        <v>0</v>
      </c>
      <c r="BV120" s="70">
        <f t="shared" ca="1" si="1513"/>
        <v>16008.48591958511</v>
      </c>
      <c r="BW120" s="2">
        <f t="shared" ref="BW120" ca="1" si="2452">IFERROR(VLOOKUP($S120,qx_table,MATCH(BW$11,qx_title,0)+sexB),0)</f>
        <v>0</v>
      </c>
      <c r="BX120" s="131">
        <f t="shared" ca="1" si="2219"/>
        <v>0</v>
      </c>
      <c r="BY120" s="131">
        <f ca="1">SUM(BX120:BX$124)*SSj</f>
        <v>0</v>
      </c>
      <c r="BZ120" s="70">
        <f t="shared" ca="1" si="1516"/>
        <v>16008.48591958511</v>
      </c>
      <c r="CA120" s="2">
        <f t="shared" ref="CA120" ca="1" si="2453">IFERROR(VLOOKUP($S120,qx_table,MATCH(CA$11,qx_title,0)+sexB),0)</f>
        <v>0</v>
      </c>
      <c r="CB120" s="131">
        <f t="shared" ca="1" si="2221"/>
        <v>0</v>
      </c>
      <c r="CC120" s="131">
        <f ca="1">SUM(CB120:CB$124)*SSk</f>
        <v>0</v>
      </c>
      <c r="CD120" s="8">
        <f t="shared" ca="1" si="1519"/>
        <v>16008.48591958511</v>
      </c>
      <c r="CE120" s="2">
        <f t="shared" ref="CE120" ca="1" si="2454">IFERROR(VLOOKUP($S120,qx_table,MATCH(CE$11,qx_title,0)+sexB),0)</f>
        <v>0</v>
      </c>
      <c r="CF120" s="131">
        <f t="shared" ca="1" si="2223"/>
        <v>0</v>
      </c>
      <c r="CG120" s="131">
        <f ca="1">SUM(CF120:CF$124)*SSl</f>
        <v>0</v>
      </c>
      <c r="CH120" s="155">
        <f t="shared" ca="1" si="1522"/>
        <v>0.01</v>
      </c>
      <c r="CI120" s="155">
        <f t="shared" ca="1" si="1523"/>
        <v>0</v>
      </c>
      <c r="CJ120" s="155">
        <f t="shared" ca="1" si="1524"/>
        <v>0</v>
      </c>
      <c r="CK120" s="155">
        <f ca="1">'유해지 (기준P)'!CZ120</f>
        <v>0</v>
      </c>
      <c r="CL120" s="155">
        <f t="shared" ca="1" si="2181"/>
        <v>0</v>
      </c>
      <c r="CM120" s="155">
        <f t="shared" ca="1" si="1525"/>
        <v>0</v>
      </c>
      <c r="CN120" s="155">
        <f ca="1">SUM(CM120:$CM$124)</f>
        <v>0</v>
      </c>
      <c r="CO120" s="101">
        <f t="shared" ca="1" si="1526"/>
        <v>0</v>
      </c>
      <c r="CP120" s="154">
        <f t="shared" ca="1" si="2182"/>
        <v>0</v>
      </c>
      <c r="CQ120" s="154">
        <f t="shared" ca="1" si="2183"/>
        <v>0</v>
      </c>
      <c r="CR120" s="32">
        <f t="shared" ref="CR120" ca="1" si="2455">+MAX(VLOOKUP(xB+$R120,기수표B,$AH$1)-VLOOKUP(xB+mB,기수표B,$AH$1),0)</f>
        <v>0</v>
      </c>
      <c r="CS120" s="32">
        <f t="shared" ca="1" si="2185"/>
        <v>0</v>
      </c>
      <c r="CT120" s="32">
        <f t="shared" ref="CT120" ca="1" si="2456">+MAX(VLOOKUP(xB+$R120,기수표B,$AA$1)-VLOOKUP(xB+mB,기수표B,$AA$1),0)</f>
        <v>0</v>
      </c>
      <c r="CU120" s="32">
        <f t="shared" ca="1" si="2187"/>
        <v>0</v>
      </c>
      <c r="CV120" s="32">
        <f t="shared" si="2188"/>
        <v>0</v>
      </c>
      <c r="CW120" s="259">
        <f t="shared" ca="1" si="2189"/>
        <v>0</v>
      </c>
      <c r="CX120" s="32">
        <f t="shared" ca="1" si="2190"/>
        <v>0</v>
      </c>
      <c r="CY120" s="262">
        <f t="shared" ca="1" si="2191"/>
        <v>0</v>
      </c>
      <c r="CZ120" s="259" t="e">
        <f t="shared" ca="1" si="2192"/>
        <v>#DIV/0!</v>
      </c>
      <c r="DA120" s="31">
        <f t="shared" ref="DA120" ca="1" si="2457">+MIN(mB,7)</f>
        <v>7</v>
      </c>
    </row>
    <row r="121" spans="3:105">
      <c r="C121" s="33"/>
      <c r="D121" s="33"/>
      <c r="N121" s="5">
        <f t="shared" si="1530"/>
        <v>109</v>
      </c>
      <c r="O121" s="2">
        <f t="shared" ref="O121" ca="1" si="2458">+(1+iB)^-N121</f>
        <v>8.8450131302441531E-2</v>
      </c>
      <c r="P121" s="2">
        <f t="shared" ref="P121" ca="1" si="2459">+(1+iB)^-(N121+0.5)</f>
        <v>8.7471550260958333E-2</v>
      </c>
      <c r="Q121" s="91"/>
      <c r="R121" s="20">
        <f t="shared" si="1533"/>
        <v>109</v>
      </c>
      <c r="S121" s="20" t="str">
        <f t="shared" ref="S121" si="2460">+IF(xB+R121&lt;=xB+nB,xB+R121,"")</f>
        <v/>
      </c>
      <c r="T121" s="2">
        <f t="shared" ref="T121:U121" ca="1" si="2461">IFERROR(VLOOKUP($S121,qx_table,MATCH(T$11,qx_title,0)+sexB),0)</f>
        <v>0</v>
      </c>
      <c r="U121" s="2">
        <f t="shared" ca="1" si="2461"/>
        <v>0</v>
      </c>
      <c r="V121" s="300">
        <f t="shared" ca="1" si="2166"/>
        <v>0.01</v>
      </c>
      <c r="W121" s="8">
        <f t="shared" ref="W121" si="2462">IF(R121=0,100000,IF(R121&gt;nB,0,W120*(1-X120)*(1-Y120)))</f>
        <v>0</v>
      </c>
      <c r="X121" s="10">
        <f t="shared" ca="1" si="1445"/>
        <v>1.0000000000000009E-2</v>
      </c>
      <c r="Y121" s="10">
        <f t="shared" ca="1" si="1446"/>
        <v>0</v>
      </c>
      <c r="Z121" s="5">
        <f t="shared" ca="1" si="1483"/>
        <v>0</v>
      </c>
      <c r="AA121" s="5">
        <f ca="1">+SUM(Z121:Z$124)</f>
        <v>0</v>
      </c>
      <c r="AB121" s="8">
        <f t="shared" ca="1" si="1447"/>
        <v>0</v>
      </c>
      <c r="AC121" s="209">
        <f ca="1">+SUM(AB121:AB$124)*SSSM</f>
        <v>0</v>
      </c>
      <c r="AD121" s="209">
        <f t="shared" ref="AD121" si="2463">IF(R121&gt;nB,0,AD120*(1-X120)*(1-Y120)*(1-AE120)*(1-AF120))</f>
        <v>0</v>
      </c>
      <c r="AE121" s="92">
        <f t="shared" ca="1" si="1449"/>
        <v>0</v>
      </c>
      <c r="AF121" s="92">
        <f t="shared" ca="1" si="1450"/>
        <v>0</v>
      </c>
      <c r="AG121" s="8">
        <f t="shared" ca="1" si="1451"/>
        <v>0</v>
      </c>
      <c r="AH121" s="5">
        <f ca="1">+SUM(AG121:AG$124)</f>
        <v>0</v>
      </c>
      <c r="AI121" s="70">
        <f t="shared" ca="1" si="1452"/>
        <v>0</v>
      </c>
      <c r="AJ121" s="208">
        <f ca="1">+SUM(AB121:AB$124)*SS50J</f>
        <v>0</v>
      </c>
      <c r="AK121" s="5">
        <f t="shared" ca="1" si="1485"/>
        <v>15848.401060389258</v>
      </c>
      <c r="AL121" s="2">
        <f t="shared" ref="AL121" ca="1" si="2464">IFERROR(VLOOKUP($S121,qx_table,MATCH(AL$11,qx_title,0)+sexB),0)</f>
        <v>0</v>
      </c>
      <c r="AM121" s="131">
        <f t="shared" ca="1" si="1487"/>
        <v>1401.7931547251835</v>
      </c>
      <c r="AN121" s="129">
        <f t="shared" ca="1" si="2201"/>
        <v>0</v>
      </c>
      <c r="AO121" s="129">
        <f ca="1">SUM(AN121:AN$124)*SSa</f>
        <v>0</v>
      </c>
      <c r="AP121" s="70">
        <f t="shared" ca="1" si="1489"/>
        <v>15848.401060389258</v>
      </c>
      <c r="AQ121" s="2">
        <f t="shared" ref="AQ121" ca="1" si="2465">IFERROR(VLOOKUP($S121,qx_table,MATCH(AQ$11,qx_title,0)+sexB),0)</f>
        <v>0</v>
      </c>
      <c r="AR121" s="127">
        <f t="shared" ca="1" si="2203"/>
        <v>0</v>
      </c>
      <c r="AS121" s="127">
        <f ca="1">SUM(AR121:AR$124)*SSb</f>
        <v>0</v>
      </c>
      <c r="AT121" s="70">
        <f t="shared" ca="1" si="1492"/>
        <v>15848.401060389258</v>
      </c>
      <c r="AU121" s="2">
        <f t="shared" ref="AU121" ca="1" si="2466">IFERROR(VLOOKUP($S121,qx_table,MATCH(AU$11,qx_title,0)+sexB),0)</f>
        <v>0</v>
      </c>
      <c r="AV121" s="268">
        <f t="shared" ca="1" si="2205"/>
        <v>0</v>
      </c>
      <c r="AW121" s="131">
        <f ca="1">SUM(AV121:AV$124)*SSc</f>
        <v>0</v>
      </c>
      <c r="AX121" s="70">
        <f t="shared" ca="1" si="1495"/>
        <v>15848.401060389258</v>
      </c>
      <c r="AY121" s="2">
        <f t="shared" ref="AY121" ca="1" si="2467">IFERROR(VLOOKUP($S121,qx_table,MATCH(AY$11,qx_title,0)+sexB),0)</f>
        <v>0</v>
      </c>
      <c r="AZ121" s="268">
        <f t="shared" ca="1" si="2207"/>
        <v>0</v>
      </c>
      <c r="BA121" s="129">
        <f ca="1">SUM(AZ121:AZ$124)*SSd</f>
        <v>0</v>
      </c>
      <c r="BB121" s="70">
        <f t="shared" ca="1" si="1498"/>
        <v>15848.401060389258</v>
      </c>
      <c r="BC121" s="257">
        <f t="shared" ref="BC121" ca="1" si="2468">IFERROR(VLOOKUP($S121,qx_table,MATCH(BC$11,qx_title,0)+sexB),0)</f>
        <v>0</v>
      </c>
      <c r="BD121" s="268">
        <f t="shared" ca="1" si="2209"/>
        <v>0</v>
      </c>
      <c r="BE121" s="131">
        <f ca="1">SUM(BD121:BD$124)*SSe</f>
        <v>0</v>
      </c>
      <c r="BF121" s="70">
        <f t="shared" ca="1" si="1501"/>
        <v>15848.401060389258</v>
      </c>
      <c r="BG121" s="2">
        <f t="shared" ref="BG121" ca="1" si="2469">IFERROR(VLOOKUP($S121,qx_table,MATCH(BG$11,qx_title,0)+sexB),0)</f>
        <v>0</v>
      </c>
      <c r="BH121" s="131">
        <f t="shared" ca="1" si="2211"/>
        <v>0</v>
      </c>
      <c r="BI121" s="2">
        <f ca="1">SUM(BH121:BH$124)*SSf</f>
        <v>0</v>
      </c>
      <c r="BJ121" s="70">
        <f t="shared" ca="1" si="1504"/>
        <v>15848.401060389258</v>
      </c>
      <c r="BK121" s="2">
        <f t="shared" ref="BK121" ca="1" si="2470">IFERROR(VLOOKUP($S121,qx_table,MATCH(BK$11,qx_title,0)+sexB),0)</f>
        <v>0</v>
      </c>
      <c r="BL121" s="131">
        <f t="shared" ca="1" si="2213"/>
        <v>0</v>
      </c>
      <c r="BM121" s="131">
        <f ca="1">SUM(BL121:BL$124)*SSg</f>
        <v>0</v>
      </c>
      <c r="BN121" s="70">
        <f t="shared" ca="1" si="1507"/>
        <v>15848.401060389258</v>
      </c>
      <c r="BO121" s="2">
        <f t="shared" ref="BO121" ca="1" si="2471">IFERROR(VLOOKUP($S121,qx_table,MATCH(BO$11,qx_title,0)+sexB),0)</f>
        <v>0</v>
      </c>
      <c r="BP121" s="131">
        <f t="shared" ca="1" si="2215"/>
        <v>0</v>
      </c>
      <c r="BQ121" s="131">
        <f ca="1">SUM(BP121:BP$124)*SSh</f>
        <v>0</v>
      </c>
      <c r="BR121" s="70">
        <f t="shared" ca="1" si="1510"/>
        <v>15848.401060389258</v>
      </c>
      <c r="BS121" s="2">
        <f t="shared" ref="BS121" ca="1" si="2472">IFERROR(VLOOKUP($S121,qx_table,MATCH(BS$11,qx_title,0)+sexB),0)*IF(R121=0,MCi,1)</f>
        <v>0</v>
      </c>
      <c r="BT121" s="131">
        <f t="shared" ca="1" si="2217"/>
        <v>0</v>
      </c>
      <c r="BU121" s="131">
        <f ca="1">SUM(BT121:BT$124)*SSi</f>
        <v>0</v>
      </c>
      <c r="BV121" s="70">
        <f t="shared" ca="1" si="1513"/>
        <v>15848.401060389258</v>
      </c>
      <c r="BW121" s="2">
        <f t="shared" ref="BW121" ca="1" si="2473">IFERROR(VLOOKUP($S121,qx_table,MATCH(BW$11,qx_title,0)+sexB),0)</f>
        <v>0</v>
      </c>
      <c r="BX121" s="131">
        <f t="shared" ca="1" si="2219"/>
        <v>0</v>
      </c>
      <c r="BY121" s="131">
        <f ca="1">SUM(BX121:BX$124)*SSj</f>
        <v>0</v>
      </c>
      <c r="BZ121" s="70">
        <f t="shared" ca="1" si="1516"/>
        <v>15848.401060389258</v>
      </c>
      <c r="CA121" s="2">
        <f t="shared" ref="CA121" ca="1" si="2474">IFERROR(VLOOKUP($S121,qx_table,MATCH(CA$11,qx_title,0)+sexB),0)</f>
        <v>0</v>
      </c>
      <c r="CB121" s="131">
        <f t="shared" ca="1" si="2221"/>
        <v>0</v>
      </c>
      <c r="CC121" s="131">
        <f ca="1">SUM(CB121:CB$124)*SSk</f>
        <v>0</v>
      </c>
      <c r="CD121" s="8">
        <f t="shared" ca="1" si="1519"/>
        <v>15848.401060389258</v>
      </c>
      <c r="CE121" s="2">
        <f t="shared" ref="CE121" ca="1" si="2475">IFERROR(VLOOKUP($S121,qx_table,MATCH(CE$11,qx_title,0)+sexB),0)</f>
        <v>0</v>
      </c>
      <c r="CF121" s="131">
        <f t="shared" ca="1" si="2223"/>
        <v>0</v>
      </c>
      <c r="CG121" s="131">
        <f ca="1">SUM(CF121:CF$124)*SSl</f>
        <v>0</v>
      </c>
      <c r="CH121" s="155">
        <f t="shared" ca="1" si="1522"/>
        <v>0.01</v>
      </c>
      <c r="CI121" s="155">
        <f t="shared" ca="1" si="1523"/>
        <v>0</v>
      </c>
      <c r="CJ121" s="155">
        <f t="shared" ca="1" si="1524"/>
        <v>0</v>
      </c>
      <c r="CK121" s="155">
        <f ca="1">'유해지 (기준P)'!CZ121</f>
        <v>0</v>
      </c>
      <c r="CL121" s="155">
        <f t="shared" ca="1" si="2181"/>
        <v>0</v>
      </c>
      <c r="CM121" s="155">
        <f t="shared" ca="1" si="1525"/>
        <v>0</v>
      </c>
      <c r="CN121" s="155">
        <f ca="1">SUM(CM121:$CM$124)</f>
        <v>0</v>
      </c>
      <c r="CO121" s="101">
        <f t="shared" ca="1" si="1526"/>
        <v>0</v>
      </c>
      <c r="CP121" s="154">
        <f t="shared" ca="1" si="2182"/>
        <v>0</v>
      </c>
      <c r="CQ121" s="154">
        <f t="shared" ca="1" si="2183"/>
        <v>0</v>
      </c>
      <c r="CR121" s="32">
        <f t="shared" ref="CR121" ca="1" si="2476">+MAX(VLOOKUP(xB+$R121,기수표B,$AH$1)-VLOOKUP(xB+mB,기수표B,$AH$1),0)</f>
        <v>0</v>
      </c>
      <c r="CS121" s="32">
        <f t="shared" ca="1" si="2185"/>
        <v>0</v>
      </c>
      <c r="CT121" s="32">
        <f t="shared" ref="CT121" ca="1" si="2477">+MAX(VLOOKUP(xB+$R121,기수표B,$AA$1)-VLOOKUP(xB+mB,기수표B,$AA$1),0)</f>
        <v>0</v>
      </c>
      <c r="CU121" s="32">
        <f t="shared" ca="1" si="2187"/>
        <v>0</v>
      </c>
      <c r="CV121" s="32">
        <f t="shared" si="2188"/>
        <v>0</v>
      </c>
      <c r="CW121" s="259">
        <f t="shared" ca="1" si="2189"/>
        <v>0</v>
      </c>
      <c r="CX121" s="32">
        <f t="shared" ca="1" si="2190"/>
        <v>0</v>
      </c>
      <c r="CY121" s="262">
        <f t="shared" ca="1" si="2191"/>
        <v>0</v>
      </c>
      <c r="CZ121" s="259" t="e">
        <f t="shared" ca="1" si="2192"/>
        <v>#DIV/0!</v>
      </c>
      <c r="DA121" s="31">
        <f t="shared" ref="DA121" ca="1" si="2478">+MIN(mB,7)</f>
        <v>7</v>
      </c>
    </row>
    <row r="122" spans="3:105">
      <c r="C122" s="33"/>
      <c r="D122" s="33"/>
      <c r="N122" s="5">
        <f t="shared" si="1530"/>
        <v>110</v>
      </c>
      <c r="O122" s="2">
        <f t="shared" ref="O122" ca="1" si="2479">+(1+iB)^-N122</f>
        <v>8.6503795894808347E-2</v>
      </c>
      <c r="P122" s="2">
        <f t="shared" ref="P122" ca="1" si="2480">+(1+iB)^-(N122+0.5)</f>
        <v>8.5546748421475124E-2</v>
      </c>
      <c r="Q122" s="91"/>
      <c r="R122" s="20">
        <f t="shared" si="1533"/>
        <v>110</v>
      </c>
      <c r="S122" s="20" t="str">
        <f t="shared" ref="S122" si="2481">+IF(xB+R122&lt;=xB+nB,xB+R122,"")</f>
        <v/>
      </c>
      <c r="T122" s="2">
        <f t="shared" ref="T122:U122" ca="1" si="2482">IFERROR(VLOOKUP($S122,qx_table,MATCH(T$11,qx_title,0)+sexB),0)</f>
        <v>0</v>
      </c>
      <c r="U122" s="2">
        <f t="shared" ca="1" si="2482"/>
        <v>0</v>
      </c>
      <c r="V122" s="300">
        <f t="shared" ca="1" si="2166"/>
        <v>0.01</v>
      </c>
      <c r="W122" s="8">
        <f t="shared" ref="W122" si="2483">IF(R122=0,100000,IF(R122&gt;nB,0,W121*(1-X121)*(1-Y121)))</f>
        <v>0</v>
      </c>
      <c r="X122" s="10">
        <f t="shared" ca="1" si="1445"/>
        <v>1.0000000000000009E-2</v>
      </c>
      <c r="Y122" s="10">
        <f t="shared" ca="1" si="1446"/>
        <v>0</v>
      </c>
      <c r="Z122" s="5">
        <f t="shared" ca="1" si="1483"/>
        <v>0</v>
      </c>
      <c r="AA122" s="5">
        <f ca="1">+SUM(Z122:Z$124)</f>
        <v>0</v>
      </c>
      <c r="AB122" s="8">
        <f t="shared" ca="1" si="1447"/>
        <v>0</v>
      </c>
      <c r="AC122" s="209">
        <f ca="1">+SUM(AB122:AB$124)*SSSM</f>
        <v>0</v>
      </c>
      <c r="AD122" s="209">
        <f t="shared" ref="AD122" si="2484">IF(R122&gt;nB,0,AD121*(1-X121)*(1-Y121)*(1-AE121)*(1-AF121))</f>
        <v>0</v>
      </c>
      <c r="AE122" s="92">
        <f t="shared" ca="1" si="1449"/>
        <v>0</v>
      </c>
      <c r="AF122" s="92">
        <f t="shared" ca="1" si="1450"/>
        <v>0</v>
      </c>
      <c r="AG122" s="8">
        <f t="shared" ca="1" si="1451"/>
        <v>0</v>
      </c>
      <c r="AH122" s="5">
        <f ca="1">+SUM(AG122:AG$124)</f>
        <v>0</v>
      </c>
      <c r="AI122" s="70">
        <f t="shared" ca="1" si="1452"/>
        <v>0</v>
      </c>
      <c r="AJ122" s="208">
        <f ca="1">+SUM(AB122:AB$124)*SS50J</f>
        <v>0</v>
      </c>
      <c r="AK122" s="5">
        <f t="shared" ca="1" si="1485"/>
        <v>15689.917049785367</v>
      </c>
      <c r="AL122" s="2">
        <f t="shared" ref="AL122" ca="1" si="2485">IFERROR(VLOOKUP($S122,qx_table,MATCH(AL$11,qx_title,0)+sexB),0)</f>
        <v>0</v>
      </c>
      <c r="AM122" s="131">
        <f t="shared" ca="1" si="1487"/>
        <v>1357.2373820811069</v>
      </c>
      <c r="AN122" s="129">
        <f t="shared" ca="1" si="2201"/>
        <v>0</v>
      </c>
      <c r="AO122" s="129">
        <f ca="1">SUM(AN122:AN$124)*SSa</f>
        <v>0</v>
      </c>
      <c r="AP122" s="70">
        <f t="shared" ca="1" si="1489"/>
        <v>15689.917049785367</v>
      </c>
      <c r="AQ122" s="2">
        <f t="shared" ref="AQ122" ca="1" si="2486">IFERROR(VLOOKUP($S122,qx_table,MATCH(AQ$11,qx_title,0)+sexB),0)</f>
        <v>0</v>
      </c>
      <c r="AR122" s="127">
        <f t="shared" ca="1" si="2203"/>
        <v>0</v>
      </c>
      <c r="AS122" s="127">
        <f ca="1">SUM(AR122:AR$124)*SSb</f>
        <v>0</v>
      </c>
      <c r="AT122" s="70">
        <f t="shared" ca="1" si="1492"/>
        <v>15689.917049785367</v>
      </c>
      <c r="AU122" s="2">
        <f t="shared" ref="AU122" ca="1" si="2487">IFERROR(VLOOKUP($S122,qx_table,MATCH(AU$11,qx_title,0)+sexB),0)</f>
        <v>0</v>
      </c>
      <c r="AV122" s="268">
        <f t="shared" ca="1" si="2205"/>
        <v>0</v>
      </c>
      <c r="AW122" s="131">
        <f ca="1">SUM(AV122:AV$124)*SSc</f>
        <v>0</v>
      </c>
      <c r="AX122" s="70">
        <f t="shared" ca="1" si="1495"/>
        <v>15689.917049785367</v>
      </c>
      <c r="AY122" s="2">
        <f t="shared" ref="AY122" ca="1" si="2488">IFERROR(VLOOKUP($S122,qx_table,MATCH(AY$11,qx_title,0)+sexB),0)</f>
        <v>0</v>
      </c>
      <c r="AZ122" s="268">
        <f t="shared" ca="1" si="2207"/>
        <v>0</v>
      </c>
      <c r="BA122" s="129">
        <f ca="1">SUM(AZ122:AZ$124)*SSd</f>
        <v>0</v>
      </c>
      <c r="BB122" s="70">
        <f t="shared" ca="1" si="1498"/>
        <v>15689.917049785367</v>
      </c>
      <c r="BC122" s="257">
        <f t="shared" ref="BC122" ca="1" si="2489">IFERROR(VLOOKUP($S122,qx_table,MATCH(BC$11,qx_title,0)+sexB),0)</f>
        <v>0</v>
      </c>
      <c r="BD122" s="268">
        <f t="shared" ca="1" si="2209"/>
        <v>0</v>
      </c>
      <c r="BE122" s="131">
        <f ca="1">SUM(BD122:BD$124)*SSe</f>
        <v>0</v>
      </c>
      <c r="BF122" s="70">
        <f t="shared" ca="1" si="1501"/>
        <v>15689.917049785367</v>
      </c>
      <c r="BG122" s="2">
        <f t="shared" ref="BG122" ca="1" si="2490">IFERROR(VLOOKUP($S122,qx_table,MATCH(BG$11,qx_title,0)+sexB),0)</f>
        <v>0</v>
      </c>
      <c r="BH122" s="131">
        <f t="shared" ca="1" si="2211"/>
        <v>0</v>
      </c>
      <c r="BI122" s="2">
        <f ca="1">SUM(BH122:BH$124)*SSf</f>
        <v>0</v>
      </c>
      <c r="BJ122" s="70">
        <f t="shared" ca="1" si="1504"/>
        <v>15689.917049785367</v>
      </c>
      <c r="BK122" s="2">
        <f t="shared" ref="BK122" ca="1" si="2491">IFERROR(VLOOKUP($S122,qx_table,MATCH(BK$11,qx_title,0)+sexB),0)</f>
        <v>0</v>
      </c>
      <c r="BL122" s="131">
        <f t="shared" ca="1" si="2213"/>
        <v>0</v>
      </c>
      <c r="BM122" s="131">
        <f ca="1">SUM(BL122:BL$124)*SSg</f>
        <v>0</v>
      </c>
      <c r="BN122" s="70">
        <f t="shared" ca="1" si="1507"/>
        <v>15689.917049785367</v>
      </c>
      <c r="BO122" s="2">
        <f t="shared" ref="BO122" ca="1" si="2492">IFERROR(VLOOKUP($S122,qx_table,MATCH(BO$11,qx_title,0)+sexB),0)</f>
        <v>0</v>
      </c>
      <c r="BP122" s="131">
        <f t="shared" ca="1" si="2215"/>
        <v>0</v>
      </c>
      <c r="BQ122" s="131">
        <f ca="1">SUM(BP122:BP$124)*SSh</f>
        <v>0</v>
      </c>
      <c r="BR122" s="70">
        <f t="shared" ca="1" si="1510"/>
        <v>15689.917049785367</v>
      </c>
      <c r="BS122" s="2">
        <f t="shared" ref="BS122" ca="1" si="2493">IFERROR(VLOOKUP($S122,qx_table,MATCH(BS$11,qx_title,0)+sexB),0)*IF(R122=0,MCi,1)</f>
        <v>0</v>
      </c>
      <c r="BT122" s="131">
        <f t="shared" ca="1" si="2217"/>
        <v>0</v>
      </c>
      <c r="BU122" s="131">
        <f ca="1">SUM(BT122:BT$124)*SSi</f>
        <v>0</v>
      </c>
      <c r="BV122" s="70">
        <f t="shared" ca="1" si="1513"/>
        <v>15689.917049785367</v>
      </c>
      <c r="BW122" s="2">
        <f t="shared" ref="BW122" ca="1" si="2494">IFERROR(VLOOKUP($S122,qx_table,MATCH(BW$11,qx_title,0)+sexB),0)</f>
        <v>0</v>
      </c>
      <c r="BX122" s="131">
        <f t="shared" ca="1" si="2219"/>
        <v>0</v>
      </c>
      <c r="BY122" s="131">
        <f ca="1">SUM(BX122:BX$124)*SSj</f>
        <v>0</v>
      </c>
      <c r="BZ122" s="70">
        <f t="shared" ca="1" si="1516"/>
        <v>15689.917049785367</v>
      </c>
      <c r="CA122" s="2">
        <f t="shared" ref="CA122" ca="1" si="2495">IFERROR(VLOOKUP($S122,qx_table,MATCH(CA$11,qx_title,0)+sexB),0)</f>
        <v>0</v>
      </c>
      <c r="CB122" s="131">
        <f t="shared" ca="1" si="2221"/>
        <v>0</v>
      </c>
      <c r="CC122" s="131">
        <f ca="1">SUM(CB122:CB$124)*SSk</f>
        <v>0</v>
      </c>
      <c r="CD122" s="8">
        <f t="shared" ca="1" si="1519"/>
        <v>15689.917049785367</v>
      </c>
      <c r="CE122" s="2">
        <f t="shared" ref="CE122" ca="1" si="2496">IFERROR(VLOOKUP($S122,qx_table,MATCH(CE$11,qx_title,0)+sexB),0)</f>
        <v>0</v>
      </c>
      <c r="CF122" s="131">
        <f t="shared" ca="1" si="2223"/>
        <v>0</v>
      </c>
      <c r="CG122" s="131">
        <f ca="1">SUM(CF122:CF$124)*SSl</f>
        <v>0</v>
      </c>
      <c r="CH122" s="155">
        <f t="shared" ca="1" si="1522"/>
        <v>0.01</v>
      </c>
      <c r="CI122" s="155">
        <f t="shared" ca="1" si="1523"/>
        <v>0</v>
      </c>
      <c r="CJ122" s="155">
        <f t="shared" ca="1" si="1524"/>
        <v>0</v>
      </c>
      <c r="CK122" s="155">
        <f ca="1">'유해지 (기준P)'!CZ122</f>
        <v>0</v>
      </c>
      <c r="CL122" s="155">
        <f t="shared" ca="1" si="2181"/>
        <v>0</v>
      </c>
      <c r="CM122" s="155">
        <f t="shared" ca="1" si="1525"/>
        <v>0</v>
      </c>
      <c r="CN122" s="155">
        <f ca="1">SUM(CM122:$CM$124)</f>
        <v>0</v>
      </c>
      <c r="CO122" s="101">
        <f t="shared" ca="1" si="1526"/>
        <v>0</v>
      </c>
      <c r="CP122" s="154">
        <f t="shared" ca="1" si="2182"/>
        <v>0</v>
      </c>
      <c r="CQ122" s="154">
        <f t="shared" ca="1" si="2183"/>
        <v>0</v>
      </c>
      <c r="CR122" s="32">
        <f t="shared" ref="CR122" ca="1" si="2497">+MAX(VLOOKUP(xB+$R122,기수표B,$AH$1)-VLOOKUP(xB+mB,기수표B,$AH$1),0)</f>
        <v>0</v>
      </c>
      <c r="CS122" s="32">
        <f t="shared" ca="1" si="2185"/>
        <v>0</v>
      </c>
      <c r="CT122" s="32">
        <f t="shared" ref="CT122" ca="1" si="2498">+MAX(VLOOKUP(xB+$R122,기수표B,$AA$1)-VLOOKUP(xB+mB,기수표B,$AA$1),0)</f>
        <v>0</v>
      </c>
      <c r="CU122" s="32">
        <f t="shared" ca="1" si="2187"/>
        <v>0</v>
      </c>
      <c r="CV122" s="32">
        <f t="shared" si="2188"/>
        <v>0</v>
      </c>
      <c r="CW122" s="259">
        <f t="shared" ca="1" si="2189"/>
        <v>0</v>
      </c>
      <c r="CX122" s="32">
        <f t="shared" ca="1" si="2190"/>
        <v>0</v>
      </c>
      <c r="CY122" s="262">
        <f t="shared" ca="1" si="2191"/>
        <v>0</v>
      </c>
      <c r="CZ122" s="259" t="e">
        <f t="shared" ca="1" si="2192"/>
        <v>#DIV/0!</v>
      </c>
      <c r="DA122" s="31">
        <f t="shared" ref="DA122" ca="1" si="2499">+MIN(mB,7)</f>
        <v>7</v>
      </c>
    </row>
    <row r="123" spans="3:105">
      <c r="C123" s="33"/>
      <c r="D123" s="33"/>
      <c r="N123" s="5">
        <f t="shared" si="1530"/>
        <v>111</v>
      </c>
      <c r="O123" s="2">
        <f t="shared" ref="O123" ca="1" si="2500">+(1+iB)^-N123</f>
        <v>8.4600289383675656E-2</v>
      </c>
      <c r="P123" s="2">
        <f t="shared" ref="P123" ca="1" si="2501">+(1+iB)^-(N123+0.5)</f>
        <v>8.3664301634694516E-2</v>
      </c>
      <c r="Q123" s="91"/>
      <c r="R123" s="20">
        <f t="shared" si="1533"/>
        <v>111</v>
      </c>
      <c r="S123" s="20" t="str">
        <f t="shared" ref="S123" si="2502">+IF(xB+R123&lt;=xB+nB,xB+R123,"")</f>
        <v/>
      </c>
      <c r="T123" s="2">
        <f t="shared" ref="T123:U123" ca="1" si="2503">IFERROR(VLOOKUP($S123,qx_table,MATCH(T$11,qx_title,0)+sexB),0)</f>
        <v>0</v>
      </c>
      <c r="U123" s="2">
        <f t="shared" ca="1" si="2503"/>
        <v>0</v>
      </c>
      <c r="V123" s="300">
        <f t="shared" ca="1" si="2166"/>
        <v>0.01</v>
      </c>
      <c r="W123" s="8">
        <f t="shared" ref="W123" si="2504">IF(R123=0,100000,IF(R123&gt;nB,0,W122*(1-X122)*(1-Y122)))</f>
        <v>0</v>
      </c>
      <c r="X123" s="10">
        <f t="shared" ca="1" si="1445"/>
        <v>1.0000000000000009E-2</v>
      </c>
      <c r="Y123" s="10">
        <f t="shared" ca="1" si="1446"/>
        <v>0</v>
      </c>
      <c r="Z123" s="5">
        <f t="shared" ca="1" si="1483"/>
        <v>0</v>
      </c>
      <c r="AA123" s="5">
        <f ca="1">+SUM(Z123:Z$124)</f>
        <v>0</v>
      </c>
      <c r="AB123" s="8">
        <f t="shared" ca="1" si="1447"/>
        <v>0</v>
      </c>
      <c r="AC123" s="209">
        <f ca="1">+SUM(AB123:AB$124)*SSSM</f>
        <v>0</v>
      </c>
      <c r="AD123" s="209">
        <f t="shared" ref="AD123" si="2505">IF(R123&gt;nB,0,AD122*(1-X122)*(1-Y122)*(1-AE122)*(1-AF122))</f>
        <v>0</v>
      </c>
      <c r="AE123" s="92">
        <f t="shared" ca="1" si="1449"/>
        <v>0</v>
      </c>
      <c r="AF123" s="92">
        <f t="shared" ca="1" si="1450"/>
        <v>0</v>
      </c>
      <c r="AG123" s="8">
        <f t="shared" ca="1" si="1451"/>
        <v>0</v>
      </c>
      <c r="AH123" s="5">
        <f ca="1">+SUM(AG123:AG$124)</f>
        <v>0</v>
      </c>
      <c r="AI123" s="70">
        <f t="shared" ca="1" si="1452"/>
        <v>0</v>
      </c>
      <c r="AJ123" s="208">
        <f ca="1">+SUM(AB123:AB$124)*SS50J</f>
        <v>0</v>
      </c>
      <c r="AK123" s="5">
        <f t="shared" ca="1" si="1485"/>
        <v>15533.017879287512</v>
      </c>
      <c r="AL123" s="2">
        <f t="shared" ref="AL123" ca="1" si="2506">IFERROR(VLOOKUP($S123,qx_table,MATCH(AL$11,qx_title,0)+sexB),0)</f>
        <v>0</v>
      </c>
      <c r="AM123" s="131">
        <f t="shared" ca="1" si="1487"/>
        <v>1314.0978075895314</v>
      </c>
      <c r="AN123" s="129">
        <f t="shared" ca="1" si="2201"/>
        <v>0</v>
      </c>
      <c r="AO123" s="129">
        <f ca="1">SUM(AN123:AN$124)*SSa</f>
        <v>0</v>
      </c>
      <c r="AP123" s="70">
        <f t="shared" ca="1" si="1489"/>
        <v>15533.017879287512</v>
      </c>
      <c r="AQ123" s="2">
        <f t="shared" ref="AQ123" ca="1" si="2507">IFERROR(VLOOKUP($S123,qx_table,MATCH(AQ$11,qx_title,0)+sexB),0)</f>
        <v>0</v>
      </c>
      <c r="AR123" s="127">
        <f t="shared" ca="1" si="2203"/>
        <v>0</v>
      </c>
      <c r="AS123" s="127">
        <f ca="1">SUM(AR123:AR$124)*SSb</f>
        <v>0</v>
      </c>
      <c r="AT123" s="70">
        <f t="shared" ca="1" si="1492"/>
        <v>15533.017879287512</v>
      </c>
      <c r="AU123" s="2">
        <f t="shared" ref="AU123" ca="1" si="2508">IFERROR(VLOOKUP($S123,qx_table,MATCH(AU$11,qx_title,0)+sexB),0)</f>
        <v>0</v>
      </c>
      <c r="AV123" s="268">
        <f t="shared" ca="1" si="2205"/>
        <v>0</v>
      </c>
      <c r="AW123" s="131">
        <f ca="1">SUM(AV123:AV$124)*SSc</f>
        <v>0</v>
      </c>
      <c r="AX123" s="70">
        <f t="shared" ca="1" si="1495"/>
        <v>15533.017879287512</v>
      </c>
      <c r="AY123" s="2">
        <f t="shared" ref="AY123" ca="1" si="2509">IFERROR(VLOOKUP($S123,qx_table,MATCH(AY$11,qx_title,0)+sexB),0)</f>
        <v>0</v>
      </c>
      <c r="AZ123" s="268">
        <f t="shared" ca="1" si="2207"/>
        <v>0</v>
      </c>
      <c r="BA123" s="129">
        <f ca="1">SUM(AZ123:AZ$124)*SSd</f>
        <v>0</v>
      </c>
      <c r="BB123" s="70">
        <f t="shared" ca="1" si="1498"/>
        <v>15533.017879287512</v>
      </c>
      <c r="BC123" s="257">
        <f t="shared" ref="BC123" ca="1" si="2510">IFERROR(VLOOKUP($S123,qx_table,MATCH(BC$11,qx_title,0)+sexB),0)</f>
        <v>0</v>
      </c>
      <c r="BD123" s="268">
        <f t="shared" ca="1" si="2209"/>
        <v>0</v>
      </c>
      <c r="BE123" s="131">
        <f ca="1">SUM(BD123:BD$124)*SSe</f>
        <v>0</v>
      </c>
      <c r="BF123" s="70">
        <f t="shared" ca="1" si="1501"/>
        <v>15533.017879287512</v>
      </c>
      <c r="BG123" s="2">
        <f t="shared" ref="BG123" ca="1" si="2511">IFERROR(VLOOKUP($S123,qx_table,MATCH(BG$11,qx_title,0)+sexB),0)</f>
        <v>0</v>
      </c>
      <c r="BH123" s="131">
        <f t="shared" ca="1" si="2211"/>
        <v>0</v>
      </c>
      <c r="BI123" s="2">
        <f ca="1">SUM(BH123:BH$124)*SSf</f>
        <v>0</v>
      </c>
      <c r="BJ123" s="70">
        <f t="shared" ca="1" si="1504"/>
        <v>15533.017879287512</v>
      </c>
      <c r="BK123" s="2">
        <f t="shared" ref="BK123" ca="1" si="2512">IFERROR(VLOOKUP($S123,qx_table,MATCH(BK$11,qx_title,0)+sexB),0)</f>
        <v>0</v>
      </c>
      <c r="BL123" s="131">
        <f t="shared" ca="1" si="2213"/>
        <v>0</v>
      </c>
      <c r="BM123" s="131">
        <f ca="1">SUM(BL123:BL$124)*SSg</f>
        <v>0</v>
      </c>
      <c r="BN123" s="70">
        <f t="shared" ca="1" si="1507"/>
        <v>15533.017879287512</v>
      </c>
      <c r="BO123" s="2">
        <f t="shared" ref="BO123" ca="1" si="2513">IFERROR(VLOOKUP($S123,qx_table,MATCH(BO$11,qx_title,0)+sexB),0)</f>
        <v>0</v>
      </c>
      <c r="BP123" s="131">
        <f t="shared" ca="1" si="2215"/>
        <v>0</v>
      </c>
      <c r="BQ123" s="131">
        <f ca="1">SUM(BP123:BP$124)*SSh</f>
        <v>0</v>
      </c>
      <c r="BR123" s="70">
        <f t="shared" ca="1" si="1510"/>
        <v>15533.017879287512</v>
      </c>
      <c r="BS123" s="2">
        <f t="shared" ref="BS123" ca="1" si="2514">IFERROR(VLOOKUP($S123,qx_table,MATCH(BS$11,qx_title,0)+sexB),0)*IF(R123=0,MCi,1)</f>
        <v>0</v>
      </c>
      <c r="BT123" s="131">
        <f t="shared" ca="1" si="2217"/>
        <v>0</v>
      </c>
      <c r="BU123" s="131">
        <f ca="1">SUM(BT123:BT$124)*SSi</f>
        <v>0</v>
      </c>
      <c r="BV123" s="70">
        <f t="shared" ca="1" si="1513"/>
        <v>15533.017879287512</v>
      </c>
      <c r="BW123" s="2">
        <f t="shared" ref="BW123" ca="1" si="2515">IFERROR(VLOOKUP($S123,qx_table,MATCH(BW$11,qx_title,0)+sexB),0)</f>
        <v>0</v>
      </c>
      <c r="BX123" s="131">
        <f t="shared" ca="1" si="2219"/>
        <v>0</v>
      </c>
      <c r="BY123" s="131">
        <f ca="1">SUM(BX123:BX$124)*SSj</f>
        <v>0</v>
      </c>
      <c r="BZ123" s="70">
        <f t="shared" ca="1" si="1516"/>
        <v>15533.017879287512</v>
      </c>
      <c r="CA123" s="2">
        <f t="shared" ref="CA123" ca="1" si="2516">IFERROR(VLOOKUP($S123,qx_table,MATCH(CA$11,qx_title,0)+sexB),0)</f>
        <v>0</v>
      </c>
      <c r="CB123" s="131">
        <f t="shared" ca="1" si="2221"/>
        <v>0</v>
      </c>
      <c r="CC123" s="131">
        <f ca="1">SUM(CB123:CB$124)*SSk</f>
        <v>0</v>
      </c>
      <c r="CD123" s="8">
        <f t="shared" ca="1" si="1519"/>
        <v>15533.017879287512</v>
      </c>
      <c r="CE123" s="2">
        <f t="shared" ref="CE123" ca="1" si="2517">IFERROR(VLOOKUP($S123,qx_table,MATCH(CE$11,qx_title,0)+sexB),0)</f>
        <v>0</v>
      </c>
      <c r="CF123" s="131">
        <f t="shared" ca="1" si="2223"/>
        <v>0</v>
      </c>
      <c r="CG123" s="131">
        <f ca="1">SUM(CF123:CF$124)*SSl</f>
        <v>0</v>
      </c>
      <c r="CH123" s="155">
        <f t="shared" ca="1" si="1522"/>
        <v>0.01</v>
      </c>
      <c r="CI123" s="155">
        <f t="shared" ca="1" si="1523"/>
        <v>0</v>
      </c>
      <c r="CJ123" s="155">
        <f t="shared" ca="1" si="1524"/>
        <v>0</v>
      </c>
      <c r="CK123" s="155">
        <f ca="1">'유해지 (기준P)'!CZ123</f>
        <v>0</v>
      </c>
      <c r="CL123" s="155">
        <f t="shared" ca="1" si="2181"/>
        <v>0</v>
      </c>
      <c r="CM123" s="155">
        <f t="shared" ca="1" si="1525"/>
        <v>0</v>
      </c>
      <c r="CN123" s="155">
        <f ca="1">SUM(CM123:$CM$124)</f>
        <v>0</v>
      </c>
      <c r="CO123" s="101">
        <f t="shared" ca="1" si="1526"/>
        <v>0</v>
      </c>
      <c r="CP123" s="154">
        <f t="shared" ca="1" si="2182"/>
        <v>0</v>
      </c>
      <c r="CQ123" s="154">
        <f t="shared" ca="1" si="2183"/>
        <v>0</v>
      </c>
      <c r="CR123" s="32">
        <f t="shared" ref="CR123" ca="1" si="2518">+MAX(VLOOKUP(xB+$R123,기수표B,$AH$1)-VLOOKUP(xB+mB,기수표B,$AH$1),0)</f>
        <v>0</v>
      </c>
      <c r="CS123" s="32">
        <f t="shared" ca="1" si="2185"/>
        <v>0</v>
      </c>
      <c r="CT123" s="32">
        <f t="shared" ref="CT123" ca="1" si="2519">+MAX(VLOOKUP(xB+$R123,기수표B,$AA$1)-VLOOKUP(xB+mB,기수표B,$AA$1),0)</f>
        <v>0</v>
      </c>
      <c r="CU123" s="32">
        <f t="shared" ca="1" si="2187"/>
        <v>0</v>
      </c>
      <c r="CV123" s="32">
        <f t="shared" si="2188"/>
        <v>0</v>
      </c>
      <c r="CW123" s="259">
        <f t="shared" ca="1" si="2189"/>
        <v>0</v>
      </c>
      <c r="CX123" s="32">
        <f t="shared" ca="1" si="2190"/>
        <v>0</v>
      </c>
      <c r="CY123" s="262">
        <f t="shared" ca="1" si="2191"/>
        <v>0</v>
      </c>
      <c r="CZ123" s="259" t="e">
        <f t="shared" ca="1" si="2192"/>
        <v>#DIV/0!</v>
      </c>
      <c r="DA123" s="31">
        <f t="shared" ref="DA123" ca="1" si="2520">+MIN(mB,7)</f>
        <v>7</v>
      </c>
    </row>
    <row r="124" spans="3:105">
      <c r="C124" s="33"/>
      <c r="D124" s="33"/>
      <c r="N124" s="6">
        <f t="shared" si="1530"/>
        <v>112</v>
      </c>
      <c r="O124" s="3">
        <f t="shared" ref="O124" ca="1" si="2521">+(1+iB)^-N124</f>
        <v>8.2738669323888181E-2</v>
      </c>
      <c r="P124" s="3">
        <f t="shared" ref="P124" ca="1" si="2522">+(1+iB)^-(N124+0.5)</f>
        <v>8.1823277882341824E-2</v>
      </c>
      <c r="Q124" s="91"/>
      <c r="R124" s="20">
        <f t="shared" si="1533"/>
        <v>112</v>
      </c>
      <c r="S124" s="20" t="str">
        <f t="shared" ref="S124" si="2523">+IF(xB+R124&lt;=xB+nB,xB+R124,"")</f>
        <v/>
      </c>
      <c r="T124" s="2">
        <f t="shared" ref="T124:U124" ca="1" si="2524">IFERROR(VLOOKUP($S124,qx_table,MATCH(T$11,qx_title,0)+sexB),0)</f>
        <v>0</v>
      </c>
      <c r="U124" s="2">
        <f t="shared" ca="1" si="2524"/>
        <v>0</v>
      </c>
      <c r="V124" s="300">
        <f t="shared" ca="1" si="2166"/>
        <v>0.01</v>
      </c>
      <c r="W124" s="8">
        <f t="shared" ref="W124" si="2525">IF(R124=0,100000,IF(R124&gt;nB,0,W123*(1-X123)*(1-Y123)))</f>
        <v>0</v>
      </c>
      <c r="X124" s="10">
        <f t="shared" ca="1" si="1445"/>
        <v>1.0000000000000009E-2</v>
      </c>
      <c r="Y124" s="10">
        <f t="shared" ca="1" si="1446"/>
        <v>0</v>
      </c>
      <c r="Z124" s="6">
        <f t="shared" ca="1" si="1483"/>
        <v>0</v>
      </c>
      <c r="AA124" s="6">
        <f ca="1">+SUM(Z124:Z$124)</f>
        <v>0</v>
      </c>
      <c r="AB124" s="8">
        <f t="shared" ca="1" si="1447"/>
        <v>0</v>
      </c>
      <c r="AC124" s="209">
        <f ca="1">+SUM(AB124:AB$124)*SSSM</f>
        <v>0</v>
      </c>
      <c r="AD124" s="209">
        <f t="shared" ref="AD124" si="2526">IF(R124&gt;nB,0,AD123*(1-X123)*(1-Y123)*(1-AE123)*(1-AF123))</f>
        <v>0</v>
      </c>
      <c r="AE124" s="92">
        <f t="shared" ca="1" si="1449"/>
        <v>0</v>
      </c>
      <c r="AF124" s="92">
        <f t="shared" ca="1" si="1450"/>
        <v>0</v>
      </c>
      <c r="AG124" s="9">
        <f t="shared" ca="1" si="1451"/>
        <v>0</v>
      </c>
      <c r="AH124" s="6">
        <f ca="1">+SUM(AG124:AG$124)</f>
        <v>0</v>
      </c>
      <c r="AI124" s="70">
        <f t="shared" ca="1" si="1452"/>
        <v>0</v>
      </c>
      <c r="AJ124" s="208">
        <f ca="1">+SUM(AB124:AB$124)*SS50J</f>
        <v>0</v>
      </c>
      <c r="AK124" s="5">
        <f t="shared" ca="1" si="1485"/>
        <v>15377.687700494636</v>
      </c>
      <c r="AL124" s="2">
        <f t="shared" ref="AL124" ca="1" si="2527">IFERROR(VLOOKUP($S124,qx_table,MATCH(AL$11,qx_title,0)+sexB),0)</f>
        <v>0</v>
      </c>
      <c r="AM124" s="131">
        <f t="shared" ca="1" si="1487"/>
        <v>1272.3294176172481</v>
      </c>
      <c r="AN124" s="129">
        <f t="shared" ca="1" si="2201"/>
        <v>0</v>
      </c>
      <c r="AO124" s="129">
        <f ca="1">SUM(AN124:AN$124)*SSa</f>
        <v>0</v>
      </c>
      <c r="AP124" s="70">
        <f t="shared" ca="1" si="1489"/>
        <v>15377.687700494636</v>
      </c>
      <c r="AQ124" s="2">
        <f t="shared" ref="AQ124" ca="1" si="2528">IFERROR(VLOOKUP($S124,qx_table,MATCH(AQ$11,qx_title,0)+sexB),0)</f>
        <v>0</v>
      </c>
      <c r="AR124" s="127">
        <f t="shared" ca="1" si="2203"/>
        <v>0</v>
      </c>
      <c r="AS124" s="127">
        <f ca="1">SUM(AR124:AR$124)*SSb</f>
        <v>0</v>
      </c>
      <c r="AT124" s="70">
        <f t="shared" ca="1" si="1492"/>
        <v>15377.687700494636</v>
      </c>
      <c r="AU124" s="2">
        <f t="shared" ref="AU124" ca="1" si="2529">IFERROR(VLOOKUP($S124,qx_table,MATCH(AU$11,qx_title,0)+sexB),0)</f>
        <v>0</v>
      </c>
      <c r="AV124" s="268">
        <f t="shared" ca="1" si="2205"/>
        <v>0</v>
      </c>
      <c r="AW124" s="131">
        <f ca="1">SUM(AV124:AV$124)*SSc</f>
        <v>0</v>
      </c>
      <c r="AX124" s="70">
        <f t="shared" ca="1" si="1495"/>
        <v>15377.687700494636</v>
      </c>
      <c r="AY124" s="2">
        <f t="shared" ref="AY124" ca="1" si="2530">IFERROR(VLOOKUP($S124,qx_table,MATCH(AY$11,qx_title,0)+sexB),0)</f>
        <v>0</v>
      </c>
      <c r="AZ124" s="268">
        <f t="shared" ca="1" si="2207"/>
        <v>0</v>
      </c>
      <c r="BA124" s="129">
        <f ca="1">SUM(AZ124:AZ$124)*SSd</f>
        <v>0</v>
      </c>
      <c r="BB124" s="70">
        <f t="shared" ca="1" si="1498"/>
        <v>15377.687700494636</v>
      </c>
      <c r="BC124" s="257">
        <f t="shared" ref="BC124" ca="1" si="2531">IFERROR(VLOOKUP($S124,qx_table,MATCH(BC$11,qx_title,0)+sexB),0)</f>
        <v>0</v>
      </c>
      <c r="BD124" s="268">
        <f t="shared" ca="1" si="2209"/>
        <v>0</v>
      </c>
      <c r="BE124" s="131">
        <f ca="1">SUM(BD124:BD$124)*SSe</f>
        <v>0</v>
      </c>
      <c r="BF124" s="70">
        <f t="shared" ca="1" si="1501"/>
        <v>15377.687700494636</v>
      </c>
      <c r="BG124" s="2">
        <f t="shared" ref="BG124" ca="1" si="2532">IFERROR(VLOOKUP($S124,qx_table,MATCH(BG$11,qx_title,0)+sexB),0)</f>
        <v>0</v>
      </c>
      <c r="BH124" s="131">
        <f t="shared" ca="1" si="2211"/>
        <v>0</v>
      </c>
      <c r="BI124" s="2">
        <f ca="1">SUM(BH124:BH$124)*SSf</f>
        <v>0</v>
      </c>
      <c r="BJ124" s="70">
        <f t="shared" ca="1" si="1504"/>
        <v>15377.687700494636</v>
      </c>
      <c r="BK124" s="2">
        <f t="shared" ref="BK124" ca="1" si="2533">IFERROR(VLOOKUP($S124,qx_table,MATCH(BK$11,qx_title,0)+sexB),0)</f>
        <v>0</v>
      </c>
      <c r="BL124" s="131">
        <f t="shared" ca="1" si="2213"/>
        <v>0</v>
      </c>
      <c r="BM124" s="131">
        <f ca="1">SUM(BL124:BL$124)*SSg</f>
        <v>0</v>
      </c>
      <c r="BN124" s="70">
        <f t="shared" ca="1" si="1507"/>
        <v>15377.687700494636</v>
      </c>
      <c r="BO124" s="2">
        <f t="shared" ref="BO124" ca="1" si="2534">IFERROR(VLOOKUP($S124,qx_table,MATCH(BO$11,qx_title,0)+sexB),0)</f>
        <v>0</v>
      </c>
      <c r="BP124" s="131">
        <f t="shared" ca="1" si="2215"/>
        <v>0</v>
      </c>
      <c r="BQ124" s="131">
        <f ca="1">SUM(BP124:BP$124)*SSh</f>
        <v>0</v>
      </c>
      <c r="BR124" s="70">
        <f t="shared" ca="1" si="1510"/>
        <v>15377.687700494636</v>
      </c>
      <c r="BS124" s="2">
        <f t="shared" ref="BS124" ca="1" si="2535">IFERROR(VLOOKUP($S124,qx_table,MATCH(BS$11,qx_title,0)+sexB),0)*IF(R124=0,MCi,1)</f>
        <v>0</v>
      </c>
      <c r="BT124" s="131">
        <f t="shared" ca="1" si="2217"/>
        <v>0</v>
      </c>
      <c r="BU124" s="131">
        <f ca="1">SUM(BT124:BT$124)*SSi</f>
        <v>0</v>
      </c>
      <c r="BV124" s="70">
        <f t="shared" ca="1" si="1513"/>
        <v>15377.687700494636</v>
      </c>
      <c r="BW124" s="2">
        <f t="shared" ref="BW124" ca="1" si="2536">IFERROR(VLOOKUP($S124,qx_table,MATCH(BW$11,qx_title,0)+sexB),0)</f>
        <v>0</v>
      </c>
      <c r="BX124" s="131">
        <f t="shared" ca="1" si="2219"/>
        <v>0</v>
      </c>
      <c r="BY124" s="131">
        <f ca="1">SUM(BX124:BX$124)*SSj</f>
        <v>0</v>
      </c>
      <c r="BZ124" s="70">
        <f t="shared" ca="1" si="1516"/>
        <v>15377.687700494636</v>
      </c>
      <c r="CA124" s="2">
        <f t="shared" ref="CA124" ca="1" si="2537">IFERROR(VLOOKUP($S124,qx_table,MATCH(CA$11,qx_title,0)+sexB),0)</f>
        <v>0</v>
      </c>
      <c r="CB124" s="131">
        <f t="shared" ca="1" si="2221"/>
        <v>0</v>
      </c>
      <c r="CC124" s="131">
        <f ca="1">SUM(CB124:CB$124)*SSk</f>
        <v>0</v>
      </c>
      <c r="CD124" s="8">
        <f t="shared" ca="1" si="1519"/>
        <v>15377.687700494636</v>
      </c>
      <c r="CE124" s="2">
        <f t="shared" ref="CE124" ca="1" si="2538">IFERROR(VLOOKUP($S124,qx_table,MATCH(CE$11,qx_title,0)+sexB),0)</f>
        <v>0</v>
      </c>
      <c r="CF124" s="131">
        <f t="shared" ca="1" si="2223"/>
        <v>0</v>
      </c>
      <c r="CG124" s="131">
        <f ca="1">SUM(CF124:CF$124)*SSl</f>
        <v>0</v>
      </c>
      <c r="CH124" s="155">
        <f t="shared" ca="1" si="1522"/>
        <v>0.01</v>
      </c>
      <c r="CI124" s="155">
        <f t="shared" ca="1" si="1523"/>
        <v>0</v>
      </c>
      <c r="CJ124" s="155">
        <f t="shared" ca="1" si="1524"/>
        <v>0</v>
      </c>
      <c r="CK124" s="155">
        <f ca="1">'유해지 (기준P)'!CZ124</f>
        <v>0</v>
      </c>
      <c r="CL124" s="155">
        <f t="shared" ca="1" si="2181"/>
        <v>0</v>
      </c>
      <c r="CM124" s="155">
        <f t="shared" ca="1" si="1525"/>
        <v>0</v>
      </c>
      <c r="CN124" s="155">
        <f ca="1">SUM(CM124:$CM$124)</f>
        <v>0</v>
      </c>
      <c r="CO124" s="101">
        <f t="shared" ca="1" si="1526"/>
        <v>0</v>
      </c>
      <c r="CP124" s="154">
        <f t="shared" ca="1" si="2182"/>
        <v>0</v>
      </c>
      <c r="CQ124" s="154">
        <f t="shared" ca="1" si="2183"/>
        <v>0</v>
      </c>
      <c r="CR124" s="32">
        <f t="shared" ref="CR124" ca="1" si="2539">+MAX(VLOOKUP(xB+$R124,기수표B,$AH$1)-VLOOKUP(xB+mB,기수표B,$AH$1),0)</f>
        <v>0</v>
      </c>
      <c r="CS124" s="32">
        <f t="shared" ca="1" si="2185"/>
        <v>0</v>
      </c>
      <c r="CT124" s="32">
        <f t="shared" ref="CT124" ca="1" si="2540">+MAX(VLOOKUP(xB+$R124,기수표B,$AA$1)-VLOOKUP(xB+mB,기수표B,$AA$1),0)</f>
        <v>0</v>
      </c>
      <c r="CU124" s="32">
        <f t="shared" ca="1" si="2187"/>
        <v>0</v>
      </c>
      <c r="CV124" s="95">
        <f t="shared" si="2188"/>
        <v>0</v>
      </c>
      <c r="CW124" s="259">
        <f t="shared" ca="1" si="2189"/>
        <v>0</v>
      </c>
      <c r="CX124" s="32">
        <f t="shared" ca="1" si="2190"/>
        <v>0</v>
      </c>
      <c r="CY124" s="262">
        <f t="shared" ca="1" si="2191"/>
        <v>0</v>
      </c>
      <c r="CZ124" s="259" t="e">
        <f t="shared" ca="1" si="2192"/>
        <v>#DIV/0!</v>
      </c>
      <c r="DA124" s="31">
        <f t="shared" ref="DA124" ca="1" si="2541">+MIN(mB,7)</f>
        <v>7</v>
      </c>
    </row>
    <row r="125" spans="3:105">
      <c r="C125" s="33"/>
      <c r="D125" s="33"/>
      <c r="R125" s="88"/>
      <c r="V125" s="301"/>
      <c r="AM125" s="131">
        <f t="shared" si="1487"/>
        <v>0</v>
      </c>
      <c r="CH125" s="155">
        <f t="shared" si="1522"/>
        <v>0</v>
      </c>
      <c r="CI125" s="155">
        <f t="shared" ca="1" si="1523"/>
        <v>0</v>
      </c>
      <c r="CJ125" s="155">
        <f t="shared" ca="1" si="1524"/>
        <v>0</v>
      </c>
      <c r="CK125" s="155">
        <f>'유해지 (기준P)'!CZ125</f>
        <v>0</v>
      </c>
      <c r="CL125" s="155">
        <f t="shared" ca="1" si="2181"/>
        <v>0</v>
      </c>
      <c r="CM125" s="155">
        <f t="shared" ca="1" si="1525"/>
        <v>0</v>
      </c>
      <c r="CN125" s="155">
        <f ca="1">SUM(CM$124:$CM125)</f>
        <v>0</v>
      </c>
      <c r="CQ125" s="154">
        <f t="shared" ca="1" si="2183"/>
        <v>395.11507188454124</v>
      </c>
    </row>
    <row r="126" spans="3:105">
      <c r="C126" s="33"/>
      <c r="D126" s="33"/>
    </row>
    <row r="127" spans="3:105">
      <c r="C127" s="33"/>
      <c r="D127" s="33"/>
    </row>
    <row r="128" spans="3:105">
      <c r="C128" s="33"/>
      <c r="D128" s="33"/>
    </row>
    <row r="129" spans="3:4">
      <c r="C129" s="33"/>
      <c r="D129" s="33"/>
    </row>
    <row r="130" spans="3:4">
      <c r="C130" s="33"/>
      <c r="D130" s="33"/>
    </row>
    <row r="131" spans="3:4">
      <c r="C131" s="33"/>
      <c r="D131" s="33"/>
    </row>
    <row r="132" spans="3:4">
      <c r="C132" s="33"/>
      <c r="D132" s="33"/>
    </row>
    <row r="133" spans="3:4">
      <c r="C133" s="33"/>
      <c r="D133" s="33"/>
    </row>
    <row r="134" spans="3:4">
      <c r="C134" s="33"/>
      <c r="D134" s="33"/>
    </row>
    <row r="135" spans="3:4">
      <c r="C135" s="33"/>
      <c r="D135" s="33"/>
    </row>
    <row r="136" spans="3:4">
      <c r="C136" s="33"/>
      <c r="D136" s="33"/>
    </row>
    <row r="137" spans="3:4">
      <c r="C137" s="33"/>
      <c r="D137" s="33"/>
    </row>
    <row r="138" spans="3:4">
      <c r="C138" s="33"/>
      <c r="D138" s="33"/>
    </row>
    <row r="139" spans="3:4">
      <c r="C139" s="33"/>
      <c r="D139" s="33"/>
    </row>
    <row r="140" spans="3:4">
      <c r="C140" s="33"/>
      <c r="D140" s="33"/>
    </row>
    <row r="141" spans="3:4">
      <c r="C141" s="33"/>
      <c r="D141" s="33"/>
    </row>
    <row r="142" spans="3:4">
      <c r="C142" s="33"/>
      <c r="D142" s="33"/>
    </row>
    <row r="143" spans="3:4">
      <c r="C143" s="33"/>
      <c r="D143" s="33"/>
    </row>
    <row r="144" spans="3:4">
      <c r="C144" s="33"/>
      <c r="D144" s="33"/>
    </row>
    <row r="145" spans="3:4">
      <c r="C145" s="33"/>
      <c r="D145" s="33"/>
    </row>
    <row r="146" spans="3:4">
      <c r="C146" s="33"/>
      <c r="D146" s="33"/>
    </row>
    <row r="147" spans="3:4">
      <c r="C147" s="33"/>
      <c r="D147" s="33"/>
    </row>
    <row r="148" spans="3:4">
      <c r="C148" s="33"/>
      <c r="D148" s="33"/>
    </row>
    <row r="149" spans="3:4">
      <c r="C149" s="33"/>
      <c r="D149" s="33"/>
    </row>
    <row r="150" spans="3:4">
      <c r="C150" s="33"/>
      <c r="D150" s="33"/>
    </row>
    <row r="151" spans="3:4">
      <c r="C151" s="33"/>
      <c r="D151" s="33"/>
    </row>
    <row r="152" spans="3:4">
      <c r="C152" s="33"/>
      <c r="D152" s="33"/>
    </row>
    <row r="153" spans="3:4">
      <c r="C153" s="33"/>
      <c r="D153" s="33"/>
    </row>
    <row r="154" spans="3:4">
      <c r="C154" s="33"/>
      <c r="D154" s="33"/>
    </row>
    <row r="155" spans="3:4">
      <c r="C155" s="33"/>
      <c r="D155" s="33"/>
    </row>
    <row r="156" spans="3:4">
      <c r="C156" s="33"/>
      <c r="D156" s="33"/>
    </row>
    <row r="157" spans="3:4">
      <c r="C157" s="33"/>
      <c r="D157" s="33"/>
    </row>
  </sheetData>
  <mergeCells count="22">
    <mergeCell ref="CX9:CZ9"/>
    <mergeCell ref="W9:AA9"/>
    <mergeCell ref="AB9:AC9"/>
    <mergeCell ref="AD9:AH9"/>
    <mergeCell ref="AI9:AJ9"/>
    <mergeCell ref="CD9:CG9"/>
    <mergeCell ref="AK9:AO9"/>
    <mergeCell ref="AP9:AS9"/>
    <mergeCell ref="AT9:AW9"/>
    <mergeCell ref="AX9:BA9"/>
    <mergeCell ref="BB9:BE9"/>
    <mergeCell ref="BF9:BI9"/>
    <mergeCell ref="BJ9:BM9"/>
    <mergeCell ref="BN9:BQ9"/>
    <mergeCell ref="BR9:BU9"/>
    <mergeCell ref="BV9:BY9"/>
    <mergeCell ref="BZ9:CC9"/>
    <mergeCell ref="B2:D2"/>
    <mergeCell ref="N9:P9"/>
    <mergeCell ref="R9:R11"/>
    <mergeCell ref="S9:S11"/>
    <mergeCell ref="T9:V9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B1:AF144"/>
  <sheetViews>
    <sheetView workbookViewId="0">
      <selection activeCell="C15" sqref="C15"/>
    </sheetView>
  </sheetViews>
  <sheetFormatPr defaultColWidth="9" defaultRowHeight="17.399999999999999"/>
  <cols>
    <col min="1" max="1" width="9" style="13"/>
    <col min="2" max="2" width="15.3984375" style="13" customWidth="1"/>
    <col min="3" max="4" width="14.8984375" style="13" bestFit="1" customWidth="1"/>
    <col min="5" max="5" width="10.19921875" style="13" bestFit="1" customWidth="1"/>
    <col min="6" max="6" width="10" style="13" customWidth="1"/>
    <col min="7" max="7" width="14.19921875" style="13" customWidth="1"/>
    <col min="8" max="11" width="13.8984375" style="13" customWidth="1"/>
    <col min="12" max="12" width="10" style="13" customWidth="1"/>
    <col min="13" max="13" width="5.3984375" style="13" customWidth="1"/>
    <col min="14" max="14" width="4.5" style="13" customWidth="1"/>
    <col min="15" max="15" width="9.09765625" style="13" customWidth="1"/>
    <col min="16" max="16" width="12.19921875" style="13" customWidth="1"/>
    <col min="17" max="17" width="7.09765625" style="13" customWidth="1"/>
    <col min="18" max="18" width="4.5" style="13" customWidth="1"/>
    <col min="19" max="19" width="9" style="13" customWidth="1"/>
    <col min="20" max="21" width="10" style="13" customWidth="1"/>
    <col min="22" max="22" width="11.8984375" style="50" customWidth="1"/>
    <col min="23" max="25" width="10" style="13" customWidth="1"/>
    <col min="26" max="26" width="10" style="16" customWidth="1"/>
    <col min="27" max="27" width="13.3984375" style="13" customWidth="1"/>
    <col min="28" max="28" width="12.19921875" style="13" customWidth="1"/>
    <col min="29" max="30" width="10" style="128" customWidth="1"/>
    <col min="31" max="16384" width="9" style="13"/>
  </cols>
  <sheetData>
    <row r="1" spans="2:32">
      <c r="S1" s="13">
        <v>1</v>
      </c>
      <c r="T1" s="13">
        <f t="shared" ref="T1:AD1" si="0">+S1+1</f>
        <v>2</v>
      </c>
      <c r="U1" s="13">
        <f t="shared" si="0"/>
        <v>3</v>
      </c>
      <c r="V1" s="13">
        <f t="shared" si="0"/>
        <v>4</v>
      </c>
      <c r="W1" s="13">
        <f t="shared" si="0"/>
        <v>5</v>
      </c>
      <c r="X1" s="13">
        <f t="shared" si="0"/>
        <v>6</v>
      </c>
      <c r="Y1" s="13">
        <f t="shared" si="0"/>
        <v>7</v>
      </c>
      <c r="Z1" s="13">
        <f t="shared" si="0"/>
        <v>8</v>
      </c>
      <c r="AA1" s="13">
        <f t="shared" si="0"/>
        <v>9</v>
      </c>
      <c r="AB1" s="13">
        <f t="shared" si="0"/>
        <v>10</v>
      </c>
      <c r="AC1" s="134">
        <f t="shared" si="0"/>
        <v>11</v>
      </c>
      <c r="AD1" s="134">
        <f t="shared" si="0"/>
        <v>12</v>
      </c>
    </row>
    <row r="2" spans="2:32" ht="21">
      <c r="B2" s="635" t="s">
        <v>434</v>
      </c>
      <c r="C2" s="636"/>
      <c r="D2" s="637"/>
      <c r="S2" s="102" t="s">
        <v>8</v>
      </c>
    </row>
    <row r="3" spans="2:32">
      <c r="B3" s="17"/>
    </row>
    <row r="4" spans="2:32" ht="19.2">
      <c r="B4" s="102" t="s">
        <v>78</v>
      </c>
      <c r="C4" s="102"/>
      <c r="D4" s="102"/>
      <c r="E4" s="102"/>
      <c r="F4" s="102"/>
      <c r="G4" s="102" t="s">
        <v>75</v>
      </c>
      <c r="H4" s="102"/>
      <c r="N4" s="606" t="s">
        <v>15</v>
      </c>
      <c r="O4" s="607"/>
      <c r="P4" s="608"/>
      <c r="Q4" s="97"/>
      <c r="S4" s="638" t="s">
        <v>7</v>
      </c>
      <c r="T4" s="619" t="s">
        <v>47</v>
      </c>
      <c r="U4" s="620"/>
      <c r="V4" s="618" t="s">
        <v>48</v>
      </c>
      <c r="W4" s="618"/>
      <c r="X4" s="618"/>
      <c r="Y4" s="618" t="s">
        <v>49</v>
      </c>
      <c r="Z4" s="618"/>
      <c r="AA4" s="618"/>
      <c r="AB4" s="612" t="s">
        <v>60</v>
      </c>
      <c r="AC4" s="613"/>
      <c r="AD4" s="614"/>
    </row>
    <row r="5" spans="2:32">
      <c r="N5" s="62" t="s">
        <v>12</v>
      </c>
      <c r="O5" s="62" t="s">
        <v>13</v>
      </c>
      <c r="P5" s="62" t="s">
        <v>14</v>
      </c>
      <c r="Q5" s="97"/>
      <c r="S5" s="609"/>
      <c r="T5" s="40" t="s">
        <v>58</v>
      </c>
      <c r="U5" s="35" t="s">
        <v>9</v>
      </c>
      <c r="V5" s="132" t="s">
        <v>11</v>
      </c>
      <c r="W5" s="35" t="s">
        <v>17</v>
      </c>
      <c r="X5" s="35" t="s">
        <v>18</v>
      </c>
      <c r="Y5" s="40" t="s">
        <v>50</v>
      </c>
      <c r="Z5" s="35" t="s">
        <v>51</v>
      </c>
      <c r="AA5" s="35" t="s">
        <v>52</v>
      </c>
      <c r="AB5" s="35" t="s">
        <v>53</v>
      </c>
      <c r="AC5" s="136" t="s">
        <v>61</v>
      </c>
      <c r="AD5" s="136" t="s">
        <v>54</v>
      </c>
    </row>
    <row r="6" spans="2:32">
      <c r="B6" s="34" t="s">
        <v>39</v>
      </c>
      <c r="C6" s="18" t="s">
        <v>229</v>
      </c>
      <c r="D6" s="13" t="str">
        <f>+IF(C6=1,"무해지","유해지")</f>
        <v>유해지</v>
      </c>
      <c r="F6" s="19"/>
      <c r="G6" s="17" t="s">
        <v>77</v>
      </c>
      <c r="L6" s="27"/>
      <c r="N6" s="64"/>
      <c r="O6" s="63"/>
      <c r="P6" s="63"/>
      <c r="Q6" s="97"/>
      <c r="S6" s="65"/>
      <c r="T6" s="40" t="s">
        <v>81</v>
      </c>
      <c r="U6" s="35" t="s">
        <v>80</v>
      </c>
      <c r="V6" s="132"/>
      <c r="W6" s="35" t="s">
        <v>17</v>
      </c>
      <c r="X6" s="35" t="s">
        <v>18</v>
      </c>
      <c r="Y6" s="40"/>
      <c r="Z6" s="35" t="s">
        <v>51</v>
      </c>
      <c r="AA6" s="35" t="s">
        <v>52</v>
      </c>
      <c r="AB6" s="35" t="s">
        <v>81</v>
      </c>
      <c r="AC6" s="136"/>
      <c r="AD6" s="136" t="s">
        <v>54</v>
      </c>
      <c r="AE6" s="7"/>
    </row>
    <row r="7" spans="2:32">
      <c r="B7" s="34" t="str">
        <f>+IF(C7=1,"표준체","우량체")</f>
        <v>우량체</v>
      </c>
      <c r="C7" s="38">
        <f>MAIN!C9</f>
        <v>2</v>
      </c>
      <c r="D7" s="39" t="s">
        <v>44</v>
      </c>
      <c r="F7" s="16"/>
      <c r="G7" s="67" t="s">
        <v>82</v>
      </c>
      <c r="H7" s="67">
        <v>0</v>
      </c>
      <c r="I7" s="67" t="s">
        <v>88</v>
      </c>
      <c r="J7" s="67" t="s">
        <v>12</v>
      </c>
      <c r="L7" s="27"/>
      <c r="N7" s="4">
        <v>0</v>
      </c>
      <c r="O7" s="1">
        <f t="shared" ref="O7:O38" ca="1" si="1">+(1+i)^-N7</f>
        <v>1</v>
      </c>
      <c r="P7" s="11">
        <f t="shared" ref="P7:P38" ca="1" si="2">+(1+i)^-(N7+0.5)</f>
        <v>0.98893635286829751</v>
      </c>
      <c r="Q7" s="98"/>
      <c r="S7" s="42">
        <f>+x</f>
        <v>8</v>
      </c>
      <c r="T7" s="2">
        <f t="shared" ref="T7:T38" si="3">IFERROR(VLOOKUP($S7,qx_table,MATCH(T$6,qx_title,0)+sexD,FALSE),0)</f>
        <v>4.0000000000000003E-5</v>
      </c>
      <c r="U7" s="2">
        <f t="shared" ref="U7:U38" si="4">IFERROR(VLOOKUP($S7,qx_table,MATCH(U$6,qx_title,0)+sexD,FALSE)*$B$21,0)</f>
        <v>0</v>
      </c>
      <c r="V7" s="133">
        <v>100000</v>
      </c>
      <c r="W7" s="5">
        <f ca="1">+V7*$O7</f>
        <v>100000</v>
      </c>
      <c r="X7" s="5">
        <f ca="1">+SUM(W7:W$119)</f>
        <v>3714789.8592776805</v>
      </c>
      <c r="Y7" s="5">
        <f>+$V$7</f>
        <v>100000</v>
      </c>
      <c r="Z7" s="5">
        <f ca="1">+Y7*$O7</f>
        <v>100000</v>
      </c>
      <c r="AA7" s="5">
        <f ca="1">+SUM(Z7:Z$119)</f>
        <v>3714789.8592776805</v>
      </c>
      <c r="AB7" s="10">
        <f t="shared" ref="AB7:AB38" si="5">T7</f>
        <v>4.0000000000000003E-5</v>
      </c>
      <c r="AC7" s="129">
        <f t="shared" ref="AC7:AC38" ca="1" si="6">$V7*AB7*$P7</f>
        <v>3.95574541147319</v>
      </c>
      <c r="AD7" s="129">
        <f ca="1">SUM(AC7:$AC$131)</f>
        <v>18460.700540893988</v>
      </c>
      <c r="AE7" s="138"/>
      <c r="AF7" s="137"/>
    </row>
    <row r="8" spans="2:32">
      <c r="B8" s="34" t="s">
        <v>0</v>
      </c>
      <c r="C8" s="38">
        <f>MAIN!C10</f>
        <v>1</v>
      </c>
      <c r="D8" s="13" t="str">
        <f>+IF(sex=1,"남자","여자")</f>
        <v>남자</v>
      </c>
      <c r="F8" s="16"/>
      <c r="G8" s="67" t="s">
        <v>17</v>
      </c>
      <c r="H8" s="22">
        <f ca="1">HLOOKUP($G8,기수표D,$H$7+2,FALSE)</f>
        <v>100000</v>
      </c>
      <c r="I8" s="22">
        <f ca="1">HLOOKUP($G8,기수표D,mD+2,FALSE)</f>
        <v>89446.9876997346</v>
      </c>
      <c r="J8" s="22">
        <f ca="1">HLOOKUP($G8,기수표D,nD+2,FALSE)</f>
        <v>60974.087300468724</v>
      </c>
      <c r="L8" s="27"/>
      <c r="N8" s="5">
        <f>+N7+1</f>
        <v>1</v>
      </c>
      <c r="O8" s="2">
        <f t="shared" ca="1" si="1"/>
        <v>0.97799511002444994</v>
      </c>
      <c r="P8" s="12">
        <f t="shared" ca="1" si="2"/>
        <v>0.96717491723060878</v>
      </c>
      <c r="Q8" s="98"/>
      <c r="S8" s="43">
        <f t="shared" ref="S8:S71" si="7">+S7+1</f>
        <v>9</v>
      </c>
      <c r="T8" s="2">
        <f t="shared" si="3"/>
        <v>4.5000000000000003E-5</v>
      </c>
      <c r="U8" s="2">
        <f t="shared" si="4"/>
        <v>0</v>
      </c>
      <c r="V8" s="133">
        <f>IFERROR(V7*(1-T7),0)</f>
        <v>99996</v>
      </c>
      <c r="W8" s="5">
        <f t="shared" ref="W8:W39" ca="1" si="8">+V8*O8</f>
        <v>97795.599022004899</v>
      </c>
      <c r="X8" s="5">
        <f ca="1">+SUM(W8:W$119)</f>
        <v>3614789.8592776805</v>
      </c>
      <c r="Y8" s="70">
        <f>IFERROR(Y7*(1-T7)*(1-U7*(1-T7/2)/(1-T7)),0)</f>
        <v>99996</v>
      </c>
      <c r="Z8" s="70">
        <f ca="1">+Y8*$O8</f>
        <v>97795.599022004899</v>
      </c>
      <c r="AA8" s="70">
        <f ca="1">+SUM(Z8:Z$119)</f>
        <v>3614789.8592776805</v>
      </c>
      <c r="AB8" s="10">
        <f t="shared" si="5"/>
        <v>4.5000000000000003E-5</v>
      </c>
      <c r="AC8" s="129">
        <f t="shared" ca="1" si="6"/>
        <v>4.3521130360526383</v>
      </c>
      <c r="AD8" s="129">
        <f ca="1">SUM(AC8:$AC$131)</f>
        <v>18456.744795482515</v>
      </c>
      <c r="AE8" s="138"/>
      <c r="AF8" s="137"/>
    </row>
    <row r="9" spans="2:32">
      <c r="B9" s="34" t="s">
        <v>1</v>
      </c>
      <c r="C9" s="38">
        <f>MAIN!C11</f>
        <v>8</v>
      </c>
      <c r="G9" s="67" t="s">
        <v>18</v>
      </c>
      <c r="H9" s="22">
        <f ca="1">HLOOKUP($G9,기수표D,$H$7+2,FALSE)</f>
        <v>3714789.8592776805</v>
      </c>
      <c r="I9" s="22">
        <f ca="1">HLOOKUP($G9,기수표D,mD+2,FALSE)</f>
        <v>3236358.530875369</v>
      </c>
      <c r="J9" s="22">
        <f ca="1">HLOOKUP($G9,기수표D,nD+2,FALSE)</f>
        <v>1958276.1508031702</v>
      </c>
      <c r="L9" s="27"/>
      <c r="N9" s="5">
        <f t="shared" ref="N9:N72" si="9">+N8+1</f>
        <v>2</v>
      </c>
      <c r="O9" s="2">
        <f t="shared" ca="1" si="1"/>
        <v>0.95647443523173592</v>
      </c>
      <c r="P9" s="2">
        <f t="shared" ca="1" si="2"/>
        <v>0.94589233958983754</v>
      </c>
      <c r="Q9" s="91"/>
      <c r="S9" s="43">
        <f t="shared" si="7"/>
        <v>10</v>
      </c>
      <c r="T9" s="2">
        <f t="shared" si="3"/>
        <v>5.1E-5</v>
      </c>
      <c r="U9" s="2">
        <f t="shared" si="4"/>
        <v>0</v>
      </c>
      <c r="V9" s="133">
        <f t="shared" ref="V9:V72" si="10">IFERROR(V8*(1-T8),0)</f>
        <v>99991.500180000003</v>
      </c>
      <c r="W9" s="5">
        <f t="shared" ca="1" si="8"/>
        <v>95639.313662639528</v>
      </c>
      <c r="X9" s="5">
        <f ca="1">+SUM(W9:W$119)</f>
        <v>3516994.2602556758</v>
      </c>
      <c r="Y9" s="70">
        <f t="shared" ref="Y9:Y72" si="11">IFERROR(Y8*(1-T8)*(1-U8*(1-T8/2)/(1-T8)),0)</f>
        <v>99991.500180000003</v>
      </c>
      <c r="Z9" s="70">
        <f t="shared" ref="Z9:Z72" ca="1" si="12">+Y9*$O9</f>
        <v>95639.313662639528</v>
      </c>
      <c r="AA9" s="70">
        <f ca="1">+SUM(Z9:Z$119)</f>
        <v>3516994.2602556758</v>
      </c>
      <c r="AB9" s="10">
        <f t="shared" si="5"/>
        <v>5.1E-5</v>
      </c>
      <c r="AC9" s="129">
        <f t="shared" ca="1" si="6"/>
        <v>4.8236408962622503</v>
      </c>
      <c r="AD9" s="129">
        <f ca="1">SUM(AC9:$AC$131)</f>
        <v>18452.392682446462</v>
      </c>
      <c r="AE9" s="138"/>
      <c r="AF9" s="137"/>
    </row>
    <row r="10" spans="2:32">
      <c r="B10" s="34" t="s">
        <v>2</v>
      </c>
      <c r="C10" s="38">
        <f>n</f>
        <v>22</v>
      </c>
      <c r="D10" s="13" t="s">
        <v>234</v>
      </c>
      <c r="F10" s="14"/>
      <c r="G10" s="67" t="s">
        <v>51</v>
      </c>
      <c r="H10" s="22">
        <f ca="1">HLOOKUP($G10,기수표D,$H$7+2,FALSE)</f>
        <v>100000</v>
      </c>
      <c r="I10" s="22">
        <f ca="1">HLOOKUP($G10,기수표D,mD+2,FALSE)</f>
        <v>89446.9876997346</v>
      </c>
      <c r="J10" s="22">
        <f ca="1">HLOOKUP($G10,기수표D,nD+2,FALSE)</f>
        <v>60974.087300468724</v>
      </c>
      <c r="N10" s="5">
        <f t="shared" si="9"/>
        <v>3</v>
      </c>
      <c r="O10" s="2">
        <f t="shared" ca="1" si="1"/>
        <v>0.93542732052003519</v>
      </c>
      <c r="P10" s="2">
        <f t="shared" ca="1" si="2"/>
        <v>0.9250780827284476</v>
      </c>
      <c r="Q10" s="91"/>
      <c r="S10" s="43">
        <f t="shared" si="7"/>
        <v>11</v>
      </c>
      <c r="T10" s="2">
        <f t="shared" si="3"/>
        <v>6.0000000000000002E-5</v>
      </c>
      <c r="U10" s="2">
        <f t="shared" si="4"/>
        <v>0</v>
      </c>
      <c r="V10" s="133">
        <f t="shared" si="10"/>
        <v>99986.400613490827</v>
      </c>
      <c r="W10" s="5">
        <f t="shared" ca="1" si="8"/>
        <v>93530.010814320529</v>
      </c>
      <c r="X10" s="5">
        <f ca="1">+SUM(W10:W$119)</f>
        <v>3421354.9465930359</v>
      </c>
      <c r="Y10" s="70">
        <f t="shared" si="11"/>
        <v>99986.400613490827</v>
      </c>
      <c r="Z10" s="70">
        <f t="shared" ca="1" si="12"/>
        <v>93530.010814320529</v>
      </c>
      <c r="AA10" s="70">
        <f ca="1">+SUM(Z10:Z$119)</f>
        <v>3421354.9465930359</v>
      </c>
      <c r="AB10" s="10">
        <f t="shared" si="5"/>
        <v>6.0000000000000002E-5</v>
      </c>
      <c r="AC10" s="129">
        <f t="shared" ca="1" si="6"/>
        <v>5.5497136667067943</v>
      </c>
      <c r="AD10" s="129">
        <f ca="1">SUM(AC10:$AC$131)</f>
        <v>18447.569041550199</v>
      </c>
      <c r="AE10" s="138"/>
      <c r="AF10" s="137"/>
    </row>
    <row r="11" spans="2:32">
      <c r="B11" s="34" t="s">
        <v>3</v>
      </c>
      <c r="C11" s="38">
        <f>m</f>
        <v>5</v>
      </c>
      <c r="D11" s="14" t="s">
        <v>233</v>
      </c>
      <c r="E11" s="15"/>
      <c r="F11" s="15"/>
      <c r="G11" s="67" t="s">
        <v>52</v>
      </c>
      <c r="H11" s="22">
        <f ca="1">HLOOKUP($G11,기수표D,$H$7+2,FALSE)</f>
        <v>3714789.8592776805</v>
      </c>
      <c r="I11" s="22">
        <f ca="1">HLOOKUP($G11,기수표D,mD+2,FALSE)</f>
        <v>3236358.530875369</v>
      </c>
      <c r="J11" s="22">
        <f ca="1">HLOOKUP($G11,기수표D,nD+2,FALSE)</f>
        <v>1958276.1508031702</v>
      </c>
      <c r="N11" s="5">
        <f t="shared" si="9"/>
        <v>4</v>
      </c>
      <c r="O11" s="2">
        <f t="shared" ca="1" si="1"/>
        <v>0.91484334525186817</v>
      </c>
      <c r="P11" s="2">
        <f t="shared" ca="1" si="2"/>
        <v>0.90472184129921518</v>
      </c>
      <c r="Q11" s="91"/>
      <c r="S11" s="43">
        <f t="shared" si="7"/>
        <v>12</v>
      </c>
      <c r="T11" s="2">
        <f t="shared" si="3"/>
        <v>7.4999999999999993E-5</v>
      </c>
      <c r="U11" s="2">
        <f t="shared" si="4"/>
        <v>0</v>
      </c>
      <c r="V11" s="133">
        <f t="shared" si="10"/>
        <v>99980.401429454025</v>
      </c>
      <c r="W11" s="5">
        <f t="shared" ca="1" si="8"/>
        <v>91466.404903346382</v>
      </c>
      <c r="X11" s="5">
        <f ca="1">+SUM(W11:W$119)</f>
        <v>3327824.9357787156</v>
      </c>
      <c r="Y11" s="70">
        <f t="shared" si="11"/>
        <v>99980.401429454025</v>
      </c>
      <c r="Z11" s="70">
        <f t="shared" ca="1" si="12"/>
        <v>91466.404903346382</v>
      </c>
      <c r="AA11" s="70">
        <f ca="1">+SUM(Z11:Z$119)</f>
        <v>3327824.9357787156</v>
      </c>
      <c r="AB11" s="10">
        <f t="shared" si="5"/>
        <v>7.4999999999999993E-5</v>
      </c>
      <c r="AC11" s="129">
        <f t="shared" ca="1" si="6"/>
        <v>6.7840839656317744</v>
      </c>
      <c r="AD11" s="129">
        <f ca="1">SUM(AC11:$AC$131)</f>
        <v>18442.019327883496</v>
      </c>
      <c r="AE11" s="138"/>
      <c r="AF11" s="137"/>
    </row>
    <row r="12" spans="2:32">
      <c r="B12" s="34" t="s">
        <v>4</v>
      </c>
      <c r="C12" s="38">
        <f>mm</f>
        <v>12</v>
      </c>
      <c r="D12" s="14" t="str">
        <f>CHOOSE(mm,"년납","6월납",,"3월납",,,,,,,,"월납")</f>
        <v>월납</v>
      </c>
      <c r="E12" s="15"/>
      <c r="F12" s="21"/>
      <c r="G12" s="68" t="s">
        <v>42</v>
      </c>
      <c r="H12" s="23">
        <f ca="1">H9-J9</f>
        <v>1756513.7084745103</v>
      </c>
      <c r="I12" s="21"/>
      <c r="J12" s="16"/>
      <c r="N12" s="5">
        <f t="shared" si="9"/>
        <v>5</v>
      </c>
      <c r="O12" s="2">
        <f t="shared" ca="1" si="1"/>
        <v>0.89471231809473661</v>
      </c>
      <c r="P12" s="2">
        <f t="shared" ca="1" si="2"/>
        <v>0.88481353672294882</v>
      </c>
      <c r="Q12" s="91"/>
      <c r="S12" s="43">
        <f t="shared" si="7"/>
        <v>13</v>
      </c>
      <c r="T12" s="2">
        <f t="shared" si="3"/>
        <v>9.8999999999999994E-5</v>
      </c>
      <c r="U12" s="2">
        <f t="shared" si="4"/>
        <v>0</v>
      </c>
      <c r="V12" s="133">
        <f t="shared" si="10"/>
        <v>99972.902899346809</v>
      </c>
      <c r="W12" s="5">
        <f t="shared" ca="1" si="8"/>
        <v>89446.9876997346</v>
      </c>
      <c r="X12" s="5">
        <f ca="1">+SUM(W12:W$119)</f>
        <v>3236358.530875369</v>
      </c>
      <c r="Y12" s="70">
        <f t="shared" si="11"/>
        <v>99972.902899346809</v>
      </c>
      <c r="Z12" s="70">
        <f t="shared" ca="1" si="12"/>
        <v>89446.9876997346</v>
      </c>
      <c r="AA12" s="70">
        <f ca="1">+SUM(Z12:Z$119)</f>
        <v>3236358.530875369</v>
      </c>
      <c r="AB12" s="10">
        <f t="shared" si="5"/>
        <v>9.8999999999999994E-5</v>
      </c>
      <c r="AC12" s="129">
        <f t="shared" ca="1" si="6"/>
        <v>8.7572804012922667</v>
      </c>
      <c r="AD12" s="129">
        <f ca="1">SUM(AC12:$AC$131)</f>
        <v>18435.235243917861</v>
      </c>
      <c r="AE12" s="138"/>
      <c r="AF12" s="137"/>
    </row>
    <row r="13" spans="2:32">
      <c r="B13" s="34" t="s">
        <v>5</v>
      </c>
      <c r="C13" s="192">
        <f ca="1">i</f>
        <v>2.2499999999999999E-2</v>
      </c>
      <c r="F13" s="21"/>
      <c r="G13" s="67" t="s">
        <v>20</v>
      </c>
      <c r="H13" s="23">
        <f ca="1">I9-J9</f>
        <v>1278082.3800721988</v>
      </c>
      <c r="I13" s="21"/>
      <c r="L13" s="27"/>
      <c r="N13" s="5">
        <f t="shared" si="9"/>
        <v>6</v>
      </c>
      <c r="O13" s="2">
        <f t="shared" ca="1" si="1"/>
        <v>0.87502427197529253</v>
      </c>
      <c r="P13" s="2">
        <f t="shared" ca="1" si="2"/>
        <v>0.86534331219848315</v>
      </c>
      <c r="Q13" s="91"/>
      <c r="S13" s="43">
        <f t="shared" si="7"/>
        <v>14</v>
      </c>
      <c r="T13" s="2">
        <f t="shared" si="3"/>
        <v>1.2899999999999999E-4</v>
      </c>
      <c r="U13" s="2">
        <f t="shared" si="4"/>
        <v>0</v>
      </c>
      <c r="V13" s="133">
        <f t="shared" si="10"/>
        <v>99963.005581959776</v>
      </c>
      <c r="W13" s="5">
        <f t="shared" ca="1" si="8"/>
        <v>87470.056183816458</v>
      </c>
      <c r="X13" s="5">
        <f ca="1">+SUM(W13:W$119)</f>
        <v>3146911.5431756349</v>
      </c>
      <c r="Y13" s="70">
        <f t="shared" si="11"/>
        <v>99963.005581959776</v>
      </c>
      <c r="Z13" s="70">
        <f t="shared" ca="1" si="12"/>
        <v>87470.056183816458</v>
      </c>
      <c r="AA13" s="70">
        <f ca="1">+SUM(Z13:Z$119)</f>
        <v>3146911.5431756349</v>
      </c>
      <c r="AB13" s="10">
        <f t="shared" si="5"/>
        <v>1.2899999999999999E-4</v>
      </c>
      <c r="AC13" s="129">
        <f t="shared" ca="1" si="6"/>
        <v>11.1587990668415</v>
      </c>
      <c r="AD13" s="129">
        <f ca="1">SUM(AC13:$AC$131)</f>
        <v>18426.477963516569</v>
      </c>
      <c r="AE13" s="138"/>
      <c r="AF13" s="137"/>
    </row>
    <row r="14" spans="2:32">
      <c r="B14" s="34" t="s">
        <v>6</v>
      </c>
      <c r="C14" s="38">
        <f ca="1">MAIN!C17</f>
        <v>0.97799511002444994</v>
      </c>
      <c r="F14" s="16"/>
      <c r="G14" s="122" t="s">
        <v>160</v>
      </c>
      <c r="H14" s="139">
        <f ca="1">(VLOOKUP(xD,기수표D,AD1,FALSE)-VLOOKUP(xD+nD,기수표D,AD1,FALSE))</f>
        <v>378.20614331696925</v>
      </c>
      <c r="I14" s="16"/>
      <c r="N14" s="5">
        <f t="shared" si="9"/>
        <v>7</v>
      </c>
      <c r="O14" s="2">
        <f t="shared" ca="1" si="1"/>
        <v>0.8557694591445405</v>
      </c>
      <c r="P14" s="2">
        <f t="shared" ca="1" si="2"/>
        <v>0.84630152782247736</v>
      </c>
      <c r="Q14" s="91"/>
      <c r="S14" s="43">
        <f t="shared" si="7"/>
        <v>15</v>
      </c>
      <c r="T14" s="2">
        <f t="shared" si="3"/>
        <v>1.63E-4</v>
      </c>
      <c r="U14" s="2">
        <f t="shared" si="4"/>
        <v>0</v>
      </c>
      <c r="V14" s="133">
        <f t="shared" si="10"/>
        <v>99950.110354239703</v>
      </c>
      <c r="W14" s="5">
        <f t="shared" ca="1" si="8"/>
        <v>85534.251879284842</v>
      </c>
      <c r="X14" s="5">
        <f ca="1">+SUM(W14:W$119)</f>
        <v>3059441.486991819</v>
      </c>
      <c r="Y14" s="70">
        <f t="shared" si="11"/>
        <v>99950.110354239703</v>
      </c>
      <c r="Z14" s="70">
        <f t="shared" ca="1" si="12"/>
        <v>85534.251879284842</v>
      </c>
      <c r="AA14" s="70">
        <f ca="1">+SUM(Z14:Z$119)</f>
        <v>3059441.486991819</v>
      </c>
      <c r="AB14" s="10">
        <f t="shared" si="5"/>
        <v>1.63E-4</v>
      </c>
      <c r="AC14" s="129">
        <f t="shared" ca="1" si="6"/>
        <v>13.787832769107379</v>
      </c>
      <c r="AD14" s="129">
        <f ca="1">SUM(AC14:$AC$131)</f>
        <v>18415.319164449727</v>
      </c>
      <c r="AE14" s="138"/>
      <c r="AF14" s="137"/>
    </row>
    <row r="15" spans="2:32">
      <c r="B15" s="34" t="s">
        <v>16</v>
      </c>
      <c r="C15" s="521">
        <f ca="1">S</f>
        <v>10000000</v>
      </c>
      <c r="F15" s="21"/>
      <c r="G15" s="16"/>
      <c r="N15" s="5">
        <f t="shared" si="9"/>
        <v>8</v>
      </c>
      <c r="O15" s="2">
        <f t="shared" ca="1" si="1"/>
        <v>0.836938346351629</v>
      </c>
      <c r="P15" s="2">
        <f t="shared" ca="1" si="2"/>
        <v>0.82767875581660377</v>
      </c>
      <c r="Q15" s="91"/>
      <c r="S15" s="43">
        <f t="shared" si="7"/>
        <v>16</v>
      </c>
      <c r="T15" s="2">
        <f t="shared" si="3"/>
        <v>1.95E-4</v>
      </c>
      <c r="U15" s="2">
        <f t="shared" si="4"/>
        <v>0</v>
      </c>
      <c r="V15" s="133">
        <f t="shared" si="10"/>
        <v>99933.818486251956</v>
      </c>
      <c r="W15" s="5">
        <f t="shared" ca="1" si="8"/>
        <v>83638.44478848757</v>
      </c>
      <c r="X15" s="5">
        <f ca="1">+SUM(W15:W$119)</f>
        <v>2973907.2351125344</v>
      </c>
      <c r="Y15" s="70">
        <f t="shared" si="11"/>
        <v>99933.818486251956</v>
      </c>
      <c r="Z15" s="70">
        <f t="shared" ca="1" si="12"/>
        <v>83638.44478848757</v>
      </c>
      <c r="AA15" s="70">
        <f ca="1">+SUM(Z15:Z$119)</f>
        <v>2973907.2351125344</v>
      </c>
      <c r="AB15" s="10">
        <f t="shared" si="5"/>
        <v>1.95E-4</v>
      </c>
      <c r="AC15" s="129">
        <f t="shared" ca="1" si="6"/>
        <v>16.129054216997151</v>
      </c>
      <c r="AD15" s="129">
        <f ca="1">SUM(AC15:$AC$131)</f>
        <v>18401.53133168062</v>
      </c>
      <c r="AE15" s="138"/>
      <c r="AF15" s="137"/>
    </row>
    <row r="16" spans="2:32">
      <c r="B16" s="34" t="s">
        <v>29</v>
      </c>
      <c r="C16" s="38">
        <f ca="1">round</f>
        <v>7</v>
      </c>
      <c r="F16" s="21"/>
      <c r="N16" s="5">
        <f t="shared" si="9"/>
        <v>9</v>
      </c>
      <c r="O16" s="2">
        <f t="shared" ca="1" si="1"/>
        <v>0.81852161012384261</v>
      </c>
      <c r="P16" s="2">
        <f t="shared" ca="1" si="2"/>
        <v>0.80946577585975921</v>
      </c>
      <c r="Q16" s="91"/>
      <c r="S16" s="43">
        <f t="shared" si="7"/>
        <v>17</v>
      </c>
      <c r="T16" s="2">
        <f t="shared" si="3"/>
        <v>2.2100000000000001E-4</v>
      </c>
      <c r="U16" s="2">
        <f t="shared" si="4"/>
        <v>0</v>
      </c>
      <c r="V16" s="133">
        <f t="shared" si="10"/>
        <v>99914.331391647138</v>
      </c>
      <c r="W16" s="5">
        <f t="shared" ca="1" si="8"/>
        <v>81782.039405138203</v>
      </c>
      <c r="X16" s="5">
        <f ca="1">+SUM(W16:W$119)</f>
        <v>2890268.7903240467</v>
      </c>
      <c r="Y16" s="70">
        <f t="shared" si="11"/>
        <v>99914.331391647138</v>
      </c>
      <c r="Z16" s="70">
        <f t="shared" ca="1" si="12"/>
        <v>81782.039405138203</v>
      </c>
      <c r="AA16" s="70">
        <f ca="1">+SUM(Z16:Z$119)</f>
        <v>2890268.7903240467</v>
      </c>
      <c r="AB16" s="10">
        <f t="shared" si="5"/>
        <v>2.2100000000000001E-4</v>
      </c>
      <c r="AC16" s="129">
        <f t="shared" ca="1" si="6"/>
        <v>17.873868223258171</v>
      </c>
      <c r="AD16" s="129">
        <f ca="1">SUM(AC16:$AC$131)</f>
        <v>18385.402277463625</v>
      </c>
      <c r="AE16" s="138"/>
      <c r="AF16" s="137"/>
    </row>
    <row r="17" spans="2:32">
      <c r="B17" s="18" t="s">
        <v>2</v>
      </c>
      <c r="C17" s="193">
        <f>MAIN!C12</f>
        <v>30</v>
      </c>
      <c r="D17" s="41" t="str">
        <f>IF(C17&lt;=30,"년만기","세만기")</f>
        <v>년만기</v>
      </c>
      <c r="F17" s="16"/>
      <c r="N17" s="5">
        <f t="shared" si="9"/>
        <v>10</v>
      </c>
      <c r="O17" s="2">
        <f t="shared" ca="1" si="1"/>
        <v>0.8005101321504573</v>
      </c>
      <c r="P17" s="2">
        <f t="shared" ca="1" si="2"/>
        <v>0.79165357052299201</v>
      </c>
      <c r="Q17" s="91"/>
      <c r="S17" s="43">
        <f t="shared" si="7"/>
        <v>18</v>
      </c>
      <c r="T17" s="2">
        <f t="shared" si="3"/>
        <v>2.43E-4</v>
      </c>
      <c r="U17" s="2">
        <f t="shared" si="4"/>
        <v>0</v>
      </c>
      <c r="V17" s="133">
        <f t="shared" si="10"/>
        <v>99892.250324409586</v>
      </c>
      <c r="W17" s="5">
        <f t="shared" ca="1" si="8"/>
        <v>79964.758507999679</v>
      </c>
      <c r="X17" s="5">
        <f ca="1">+SUM(W17:W$119)</f>
        <v>2808486.7509189085</v>
      </c>
      <c r="Y17" s="70">
        <f t="shared" si="11"/>
        <v>99892.250324409586</v>
      </c>
      <c r="Z17" s="70">
        <f t="shared" ca="1" si="12"/>
        <v>79964.758507999679</v>
      </c>
      <c r="AA17" s="70">
        <f ca="1">+SUM(Z17:Z$119)</f>
        <v>2808486.7509189085</v>
      </c>
      <c r="AB17" s="10">
        <f t="shared" si="5"/>
        <v>2.43E-4</v>
      </c>
      <c r="AC17" s="129">
        <f t="shared" ca="1" si="6"/>
        <v>19.216453762765571</v>
      </c>
      <c r="AD17" s="129">
        <f ca="1">SUM(AC17:$AC$131)</f>
        <v>18367.528409240367</v>
      </c>
      <c r="AE17" s="138"/>
      <c r="AF17" s="137"/>
    </row>
    <row r="18" spans="2:32">
      <c r="F18" s="16"/>
      <c r="G18" s="17" t="s">
        <v>76</v>
      </c>
      <c r="I18" s="16"/>
      <c r="J18" s="16"/>
      <c r="K18" s="13" t="s">
        <v>19</v>
      </c>
      <c r="N18" s="5">
        <f t="shared" si="9"/>
        <v>11</v>
      </c>
      <c r="O18" s="2">
        <f t="shared" ca="1" si="1"/>
        <v>0.78289499476817348</v>
      </c>
      <c r="P18" s="2">
        <f t="shared" ca="1" si="2"/>
        <v>0.77423332080488216</v>
      </c>
      <c r="Q18" s="91"/>
      <c r="S18" s="43">
        <f t="shared" si="7"/>
        <v>19</v>
      </c>
      <c r="T18" s="2">
        <f t="shared" si="3"/>
        <v>2.6200000000000003E-4</v>
      </c>
      <c r="U18" s="2">
        <f t="shared" si="4"/>
        <v>0</v>
      </c>
      <c r="V18" s="133">
        <f t="shared" si="10"/>
        <v>99867.976507580752</v>
      </c>
      <c r="W18" s="5">
        <f t="shared" ca="1" si="8"/>
        <v>78186.138945410508</v>
      </c>
      <c r="X18" s="5">
        <f ca="1">+SUM(W18:W$119)</f>
        <v>2728521.9924109085</v>
      </c>
      <c r="Y18" s="70">
        <f t="shared" si="11"/>
        <v>99867.976507580752</v>
      </c>
      <c r="Z18" s="70">
        <f t="shared" ca="1" si="12"/>
        <v>78186.138945410508</v>
      </c>
      <c r="AA18" s="70">
        <f ca="1">+SUM(Z18:Z$119)</f>
        <v>2728521.9924109085</v>
      </c>
      <c r="AB18" s="10">
        <f t="shared" si="5"/>
        <v>2.6200000000000003E-4</v>
      </c>
      <c r="AC18" s="129">
        <f t="shared" ca="1" si="6"/>
        <v>20.258132154504391</v>
      </c>
      <c r="AD18" s="129">
        <f ca="1">SUM(AC18:$AC$131)</f>
        <v>18348.311955477599</v>
      </c>
      <c r="AE18" s="138"/>
      <c r="AF18" s="137"/>
    </row>
    <row r="19" spans="2:32">
      <c r="F19" s="16"/>
      <c r="G19" s="18"/>
      <c r="H19" s="66" t="s">
        <v>68</v>
      </c>
      <c r="I19" s="66" t="s">
        <v>69</v>
      </c>
      <c r="J19" s="66" t="s">
        <v>70</v>
      </c>
      <c r="K19" s="66" t="s">
        <v>71</v>
      </c>
      <c r="N19" s="5">
        <f t="shared" si="9"/>
        <v>12</v>
      </c>
      <c r="O19" s="2">
        <f t="shared" ca="1" si="1"/>
        <v>0.76566747654589096</v>
      </c>
      <c r="P19" s="2">
        <f t="shared" ca="1" si="2"/>
        <v>0.75719640176516601</v>
      </c>
      <c r="Q19" s="91"/>
      <c r="S19" s="43">
        <f t="shared" si="7"/>
        <v>20</v>
      </c>
      <c r="T19" s="2">
        <f t="shared" si="3"/>
        <v>2.7799999999999998E-4</v>
      </c>
      <c r="U19" s="2">
        <f t="shared" si="4"/>
        <v>0</v>
      </c>
      <c r="V19" s="133">
        <f t="shared" si="10"/>
        <v>99841.811097735772</v>
      </c>
      <c r="W19" s="5">
        <f t="shared" ca="1" si="8"/>
        <v>76445.627556974883</v>
      </c>
      <c r="X19" s="5">
        <f ca="1">+SUM(W19:W$119)</f>
        <v>2650335.8534654984</v>
      </c>
      <c r="Y19" s="70">
        <f t="shared" si="11"/>
        <v>99841.811097735772</v>
      </c>
      <c r="Z19" s="70">
        <f t="shared" ca="1" si="12"/>
        <v>76445.627556974883</v>
      </c>
      <c r="AA19" s="70">
        <f ca="1">+SUM(Z19:Z$119)</f>
        <v>2650335.8534654984</v>
      </c>
      <c r="AB19" s="10">
        <f t="shared" si="5"/>
        <v>2.7799999999999998E-4</v>
      </c>
      <c r="AC19" s="129">
        <f t="shared" ca="1" si="6"/>
        <v>21.016761110280576</v>
      </c>
      <c r="AD19" s="129">
        <f ca="1">SUM(AC19:$AC$131)</f>
        <v>18328.053823323095</v>
      </c>
      <c r="AE19" s="138"/>
      <c r="AF19" s="137"/>
    </row>
    <row r="20" spans="2:32">
      <c r="B20" s="18" t="s">
        <v>92</v>
      </c>
      <c r="C20" s="18"/>
      <c r="F20" s="16"/>
      <c r="G20" s="67" t="s">
        <v>158</v>
      </c>
      <c r="H20" s="23">
        <f ca="1">$H$11-$I$11-11/24*($H$10-$I$10)</f>
        <v>473594.53109802323</v>
      </c>
      <c r="I20" s="23">
        <f ca="1">$H$11-$I$11-(mmD-1)/(2*mmD)*($H$10-$I$10)</f>
        <v>473594.53109802323</v>
      </c>
      <c r="J20" s="23">
        <f ca="1">$H$11-$I$11</f>
        <v>478431.32840231154</v>
      </c>
      <c r="K20" s="23">
        <f ca="1">H11-VLOOKUP(xD+MIN(20,nD),기수표D,$AA$1)</f>
        <v>1630334.5204599416</v>
      </c>
      <c r="N20" s="5">
        <f t="shared" si="9"/>
        <v>13</v>
      </c>
      <c r="O20" s="2">
        <f t="shared" ca="1" si="1"/>
        <v>0.74881904796664145</v>
      </c>
      <c r="P20" s="2">
        <f t="shared" ca="1" si="2"/>
        <v>0.74053437825444102</v>
      </c>
      <c r="Q20" s="91"/>
      <c r="S20" s="43">
        <f t="shared" si="7"/>
        <v>21</v>
      </c>
      <c r="T20" s="2">
        <f t="shared" si="3"/>
        <v>2.9500000000000001E-4</v>
      </c>
      <c r="U20" s="2">
        <f t="shared" si="4"/>
        <v>0</v>
      </c>
      <c r="V20" s="133">
        <f t="shared" si="10"/>
        <v>99814.055074250602</v>
      </c>
      <c r="W20" s="5">
        <f t="shared" ca="1" si="8"/>
        <v>74742.665694390249</v>
      </c>
      <c r="X20" s="5">
        <f ca="1">+SUM(W20:W$119)</f>
        <v>2573890.2259085234</v>
      </c>
      <c r="Y20" s="70">
        <f t="shared" si="11"/>
        <v>99814.055074250602</v>
      </c>
      <c r="Z20" s="70">
        <f t="shared" ca="1" si="12"/>
        <v>74742.665694390249</v>
      </c>
      <c r="AA20" s="70">
        <f ca="1">+SUM(Z20:Z$119)</f>
        <v>2573890.2259085234</v>
      </c>
      <c r="AB20" s="10">
        <f t="shared" si="5"/>
        <v>2.9500000000000001E-4</v>
      </c>
      <c r="AC20" s="129">
        <f t="shared" ca="1" si="6"/>
        <v>21.805143068562089</v>
      </c>
      <c r="AD20" s="129">
        <f ca="1">SUM(AC20:$AC$131)</f>
        <v>18307.037062212814</v>
      </c>
      <c r="AE20" s="138"/>
      <c r="AF20" s="137"/>
    </row>
    <row r="21" spans="2:32">
      <c r="B21" s="18">
        <v>0</v>
      </c>
      <c r="C21" s="18" t="str">
        <f>IF(B21=0,"미포함","포함")</f>
        <v>미포함</v>
      </c>
      <c r="F21" s="16"/>
      <c r="G21" s="18" t="s">
        <v>63</v>
      </c>
      <c r="H21" s="46">
        <f ca="1">H14</f>
        <v>378.20614331696925</v>
      </c>
      <c r="I21" s="46">
        <f ca="1">$H$21</f>
        <v>378.20614331696925</v>
      </c>
      <c r="J21" s="46">
        <f ca="1">$H$21</f>
        <v>378.20614331696925</v>
      </c>
      <c r="K21" s="46">
        <f ca="1">$H$21</f>
        <v>378.20614331696925</v>
      </c>
      <c r="N21" s="5">
        <f t="shared" si="9"/>
        <v>14</v>
      </c>
      <c r="O21" s="2">
        <f t="shared" ca="1" si="1"/>
        <v>0.73234136720453935</v>
      </c>
      <c r="P21" s="2">
        <f t="shared" ca="1" si="2"/>
        <v>0.72423900073783964</v>
      </c>
      <c r="Q21" s="91"/>
      <c r="S21" s="43">
        <f t="shared" si="7"/>
        <v>22</v>
      </c>
      <c r="T21" s="2">
        <f t="shared" si="3"/>
        <v>3.1300000000000002E-4</v>
      </c>
      <c r="U21" s="2">
        <f t="shared" si="4"/>
        <v>0</v>
      </c>
      <c r="V21" s="133">
        <f t="shared" si="10"/>
        <v>99784.609928003687</v>
      </c>
      <c r="W21" s="5">
        <f t="shared" ca="1" si="8"/>
        <v>73076.397660645875</v>
      </c>
      <c r="X21" s="5">
        <f ca="1">+SUM(W21:W$119)</f>
        <v>2499147.5602141335</v>
      </c>
      <c r="Y21" s="70">
        <f t="shared" si="11"/>
        <v>99784.609928003687</v>
      </c>
      <c r="Z21" s="70">
        <f t="shared" ca="1" si="12"/>
        <v>73076.397660645875</v>
      </c>
      <c r="AA21" s="70">
        <f ca="1">+SUM(Z21:Z$119)</f>
        <v>2499147.5602141335</v>
      </c>
      <c r="AB21" s="10">
        <f t="shared" si="5"/>
        <v>3.1300000000000002E-4</v>
      </c>
      <c r="AC21" s="129">
        <f t="shared" ca="1" si="6"/>
        <v>22.619854635364295</v>
      </c>
      <c r="AD21" s="129">
        <f ca="1">SUM(AC21:$AC$131)</f>
        <v>18285.231919144255</v>
      </c>
      <c r="AE21" s="138"/>
      <c r="AF21" s="137"/>
    </row>
    <row r="22" spans="2:32">
      <c r="G22" s="18" t="s">
        <v>64</v>
      </c>
      <c r="H22" s="46">
        <f ca="1">12*H20</f>
        <v>5683134.3731762785</v>
      </c>
      <c r="I22" s="18">
        <f ca="1">+$I$20*mmD</f>
        <v>5683134.3731762785</v>
      </c>
      <c r="J22" s="23">
        <f ca="1">+J20</f>
        <v>478431.32840231154</v>
      </c>
      <c r="K22" s="23">
        <f ca="1">+K20</f>
        <v>1630334.5204599416</v>
      </c>
      <c r="N22" s="5">
        <f t="shared" si="9"/>
        <v>15</v>
      </c>
      <c r="O22" s="2">
        <f t="shared" ca="1" si="1"/>
        <v>0.7162262759946596</v>
      </c>
      <c r="P22" s="2">
        <f t="shared" ca="1" si="2"/>
        <v>0.70830220121060106</v>
      </c>
      <c r="Q22" s="91"/>
      <c r="S22" s="43">
        <f t="shared" si="7"/>
        <v>23</v>
      </c>
      <c r="T22" s="2">
        <f t="shared" si="3"/>
        <v>3.3199999999999999E-4</v>
      </c>
      <c r="U22" s="2">
        <f t="shared" si="4"/>
        <v>0</v>
      </c>
      <c r="V22" s="133">
        <f t="shared" si="10"/>
        <v>99753.377345096218</v>
      </c>
      <c r="W22" s="5">
        <f t="shared" ca="1" si="8"/>
        <v>71445.989973768315</v>
      </c>
      <c r="X22" s="5">
        <f ca="1">+SUM(W22:W$119)</f>
        <v>2426071.1625534883</v>
      </c>
      <c r="Y22" s="70">
        <f t="shared" si="11"/>
        <v>99753.377345096218</v>
      </c>
      <c r="Z22" s="70">
        <f t="shared" ca="1" si="12"/>
        <v>71445.989973768315</v>
      </c>
      <c r="AA22" s="70">
        <f ca="1">+SUM(Z22:Z$119)</f>
        <v>2426071.1625534883</v>
      </c>
      <c r="AB22" s="10">
        <f t="shared" si="5"/>
        <v>3.3199999999999999E-4</v>
      </c>
      <c r="AC22" s="129">
        <f t="shared" ca="1" si="6"/>
        <v>23.457638201572152</v>
      </c>
      <c r="AD22" s="129">
        <f ca="1">SUM(AC22:$AC$131)</f>
        <v>18262.612064508889</v>
      </c>
      <c r="AE22" s="138"/>
      <c r="AF22" s="137"/>
    </row>
    <row r="23" spans="2:32">
      <c r="B23" s="27"/>
      <c r="C23" s="27"/>
      <c r="D23" s="27"/>
      <c r="G23" s="18" t="s">
        <v>65</v>
      </c>
      <c r="H23" s="212">
        <f ca="1">+H21/H22</f>
        <v>6.6548865200523409E-5</v>
      </c>
      <c r="I23" s="104">
        <f ca="1">+I21/I22</f>
        <v>6.6548865200523409E-5</v>
      </c>
      <c r="J23" s="201">
        <f ca="1">+J21/J22</f>
        <v>7.9051291348324244E-4</v>
      </c>
      <c r="K23" s="201">
        <f ca="1">+K21/K22</f>
        <v>2.3198070001625903E-4</v>
      </c>
      <c r="N23" s="5">
        <f t="shared" si="9"/>
        <v>16</v>
      </c>
      <c r="O23" s="2">
        <f t="shared" ca="1" si="1"/>
        <v>0.70046579559379929</v>
      </c>
      <c r="P23" s="2">
        <f t="shared" ca="1" si="2"/>
        <v>0.69271608920352201</v>
      </c>
      <c r="Q23" s="91"/>
      <c r="S23" s="43">
        <f t="shared" si="7"/>
        <v>24</v>
      </c>
      <c r="T23" s="2">
        <f t="shared" si="3"/>
        <v>3.5100000000000002E-4</v>
      </c>
      <c r="U23" s="2">
        <f t="shared" si="4"/>
        <v>0</v>
      </c>
      <c r="V23" s="133">
        <f t="shared" si="10"/>
        <v>99720.259223817644</v>
      </c>
      <c r="W23" s="5">
        <f t="shared" ca="1" si="8"/>
        <v>69850.630714031329</v>
      </c>
      <c r="X23" s="5">
        <f ca="1">+SUM(W23:W$119)</f>
        <v>2354625.1725797197</v>
      </c>
      <c r="Y23" s="70">
        <f t="shared" si="11"/>
        <v>99720.259223817644</v>
      </c>
      <c r="Z23" s="70">
        <f t="shared" ca="1" si="12"/>
        <v>69850.630714031329</v>
      </c>
      <c r="AA23" s="70">
        <f ca="1">+SUM(Z23:Z$119)</f>
        <v>2354625.1725797197</v>
      </c>
      <c r="AB23" s="10">
        <f t="shared" si="5"/>
        <v>3.5100000000000002E-4</v>
      </c>
      <c r="AC23" s="129">
        <f t="shared" ca="1" si="6"/>
        <v>24.246317622343422</v>
      </c>
      <c r="AD23" s="129">
        <f ca="1">SUM(AC23:$AC$131)</f>
        <v>18239.154426307316</v>
      </c>
      <c r="AE23" s="138"/>
      <c r="AF23" s="137"/>
    </row>
    <row r="24" spans="2:32">
      <c r="B24" s="27"/>
      <c r="C24" s="16"/>
      <c r="D24" s="16"/>
      <c r="G24" s="18" t="s">
        <v>532</v>
      </c>
      <c r="H24" s="246">
        <f ca="1">ROUND(H23,5)</f>
        <v>6.9999999999999994E-5</v>
      </c>
      <c r="I24" s="246">
        <f t="shared" ref="I24:K24" ca="1" si="13">ROUND(I23,5)</f>
        <v>6.9999999999999994E-5</v>
      </c>
      <c r="J24" s="246">
        <f t="shared" ca="1" si="13"/>
        <v>7.9000000000000001E-4</v>
      </c>
      <c r="K24" s="246">
        <f t="shared" ca="1" si="13"/>
        <v>2.3000000000000001E-4</v>
      </c>
      <c r="N24" s="5">
        <f t="shared" si="9"/>
        <v>17</v>
      </c>
      <c r="O24" s="2">
        <f t="shared" ca="1" si="1"/>
        <v>0.68505212283012151</v>
      </c>
      <c r="P24" s="2">
        <f t="shared" ca="1" si="2"/>
        <v>0.67747294787630519</v>
      </c>
      <c r="Q24" s="91"/>
      <c r="S24" s="43">
        <f t="shared" si="7"/>
        <v>25</v>
      </c>
      <c r="T24" s="2">
        <f t="shared" si="3"/>
        <v>3.7100000000000002E-4</v>
      </c>
      <c r="U24" s="2">
        <f t="shared" si="4"/>
        <v>0</v>
      </c>
      <c r="V24" s="133">
        <f t="shared" si="10"/>
        <v>99685.257412830091</v>
      </c>
      <c r="W24" s="5">
        <f t="shared" ca="1" si="8"/>
        <v>68289.597205526356</v>
      </c>
      <c r="X24" s="5">
        <f ca="1">+SUM(W24:W$119)</f>
        <v>2284774.5418656883</v>
      </c>
      <c r="Y24" s="70">
        <f t="shared" si="11"/>
        <v>99685.257412830091</v>
      </c>
      <c r="Z24" s="70">
        <f t="shared" ca="1" si="12"/>
        <v>68289.597205526356</v>
      </c>
      <c r="AA24" s="70">
        <f ca="1">+SUM(Z24:Z$119)</f>
        <v>2284774.5418656883</v>
      </c>
      <c r="AB24" s="10">
        <f t="shared" si="5"/>
        <v>3.7100000000000002E-4</v>
      </c>
      <c r="AC24" s="129">
        <f t="shared" ca="1" si="6"/>
        <v>25.055138188932254</v>
      </c>
      <c r="AD24" s="129">
        <f ca="1">SUM(AC24:$AC$131)</f>
        <v>18214.908108684973</v>
      </c>
      <c r="AE24" s="138"/>
      <c r="AF24" s="137"/>
    </row>
    <row r="25" spans="2:32">
      <c r="B25" s="27"/>
      <c r="C25" s="16"/>
      <c r="D25" s="16"/>
      <c r="N25" s="5">
        <f t="shared" si="9"/>
        <v>18</v>
      </c>
      <c r="O25" s="2">
        <f t="shared" ca="1" si="1"/>
        <v>0.66997762623972779</v>
      </c>
      <c r="P25" s="2">
        <f t="shared" ca="1" si="2"/>
        <v>0.66256523019687541</v>
      </c>
      <c r="Q25" s="91"/>
      <c r="S25" s="43">
        <f t="shared" si="7"/>
        <v>26</v>
      </c>
      <c r="T25" s="2">
        <f t="shared" si="3"/>
        <v>3.9100000000000002E-4</v>
      </c>
      <c r="U25" s="2">
        <f t="shared" si="4"/>
        <v>0</v>
      </c>
      <c r="V25" s="133">
        <f t="shared" si="10"/>
        <v>99648.274182329929</v>
      </c>
      <c r="W25" s="5">
        <f t="shared" ca="1" si="8"/>
        <v>66762.114195562957</v>
      </c>
      <c r="X25" s="5">
        <f ca="1">+SUM(W25:W$119)</f>
        <v>2216484.9446601616</v>
      </c>
      <c r="Y25" s="70">
        <f t="shared" si="11"/>
        <v>99648.274182329929</v>
      </c>
      <c r="Z25" s="70">
        <f t="shared" ca="1" si="12"/>
        <v>66762.114195562957</v>
      </c>
      <c r="AA25" s="70">
        <f ca="1">+SUM(Z25:Z$119)</f>
        <v>2216484.9446601616</v>
      </c>
      <c r="AB25" s="10">
        <f t="shared" si="5"/>
        <v>3.9100000000000002E-4</v>
      </c>
      <c r="AC25" s="129">
        <f t="shared" ca="1" si="6"/>
        <v>25.815181353433687</v>
      </c>
      <c r="AD25" s="129">
        <f ca="1">SUM(AC25:$AC$131)</f>
        <v>18189.852970496042</v>
      </c>
      <c r="AE25" s="138"/>
      <c r="AF25" s="137"/>
    </row>
    <row r="26" spans="2:32">
      <c r="B26" s="27"/>
      <c r="C26" s="16"/>
      <c r="D26" s="16"/>
      <c r="N26" s="5">
        <f t="shared" si="9"/>
        <v>19</v>
      </c>
      <c r="O26" s="2">
        <f t="shared" ca="1" si="1"/>
        <v>0.65523484228824225</v>
      </c>
      <c r="P26" s="2">
        <f t="shared" ca="1" si="2"/>
        <v>0.64798555520476819</v>
      </c>
      <c r="Q26" s="91"/>
      <c r="S26" s="43">
        <f t="shared" si="7"/>
        <v>27</v>
      </c>
      <c r="T26" s="2">
        <f t="shared" si="3"/>
        <v>4.1100000000000002E-4</v>
      </c>
      <c r="U26" s="2">
        <f t="shared" si="4"/>
        <v>0</v>
      </c>
      <c r="V26" s="133">
        <f t="shared" si="10"/>
        <v>99609.311707124638</v>
      </c>
      <c r="W26" s="5">
        <f t="shared" ca="1" si="8"/>
        <v>65267.491646858172</v>
      </c>
      <c r="X26" s="5">
        <f ca="1">+SUM(W26:W$119)</f>
        <v>2149722.8304645978</v>
      </c>
      <c r="Y26" s="70">
        <f t="shared" si="11"/>
        <v>99609.311707124638</v>
      </c>
      <c r="Z26" s="70">
        <f t="shared" ca="1" si="12"/>
        <v>65267.491646858172</v>
      </c>
      <c r="AA26" s="70">
        <f ca="1">+SUM(Z26:Z$119)</f>
        <v>2149722.8304645978</v>
      </c>
      <c r="AB26" s="10">
        <f t="shared" si="5"/>
        <v>4.1100000000000002E-4</v>
      </c>
      <c r="AC26" s="129">
        <f t="shared" ca="1" si="6"/>
        <v>26.528157406693555</v>
      </c>
      <c r="AD26" s="129">
        <f ca="1">SUM(AC26:$AC$131)</f>
        <v>18164.037789142607</v>
      </c>
      <c r="AE26" s="138"/>
      <c r="AF26" s="137"/>
    </row>
    <row r="27" spans="2:32">
      <c r="B27" s="27"/>
      <c r="C27" s="50"/>
      <c r="D27" s="21"/>
      <c r="N27" s="5">
        <f t="shared" si="9"/>
        <v>20</v>
      </c>
      <c r="O27" s="2">
        <f t="shared" ca="1" si="1"/>
        <v>0.64081647167554256</v>
      </c>
      <c r="P27" s="2">
        <f t="shared" ca="1" si="2"/>
        <v>0.6337267043567415</v>
      </c>
      <c r="Q27" s="91"/>
      <c r="S27" s="43">
        <f t="shared" si="7"/>
        <v>28</v>
      </c>
      <c r="T27" s="2">
        <f t="shared" si="3"/>
        <v>4.3100000000000001E-4</v>
      </c>
      <c r="U27" s="2">
        <f t="shared" si="4"/>
        <v>0</v>
      </c>
      <c r="V27" s="133">
        <f t="shared" si="10"/>
        <v>99568.372280013005</v>
      </c>
      <c r="W27" s="5">
        <f t="shared" ca="1" si="8"/>
        <v>63805.053014954829</v>
      </c>
      <c r="X27" s="5">
        <f ca="1">+SUM(W27:W$119)</f>
        <v>2084455.3388177389</v>
      </c>
      <c r="Y27" s="70">
        <f t="shared" si="11"/>
        <v>99568.372280013005</v>
      </c>
      <c r="Z27" s="70">
        <f t="shared" ca="1" si="12"/>
        <v>63805.053014954829</v>
      </c>
      <c r="AA27" s="70">
        <f ca="1">+SUM(Z27:Z$119)</f>
        <v>2084455.3388177389</v>
      </c>
      <c r="AB27" s="10">
        <f t="shared" si="5"/>
        <v>4.3100000000000001E-4</v>
      </c>
      <c r="AC27" s="129">
        <f t="shared" ca="1" si="6"/>
        <v>27.195727798389623</v>
      </c>
      <c r="AD27" s="129">
        <f ca="1">SUM(AC27:$AC$131)</f>
        <v>18137.509631735913</v>
      </c>
      <c r="AE27" s="138"/>
      <c r="AF27" s="137"/>
    </row>
    <row r="28" spans="2:32">
      <c r="B28" s="27"/>
      <c r="C28" s="50"/>
      <c r="D28" s="21"/>
      <c r="N28" s="5">
        <f t="shared" si="9"/>
        <v>21</v>
      </c>
      <c r="O28" s="2">
        <f t="shared" ca="1" si="1"/>
        <v>0.62671537572180203</v>
      </c>
      <c r="P28" s="2">
        <f t="shared" ca="1" si="2"/>
        <v>0.6197816179528034</v>
      </c>
      <c r="Q28" s="91"/>
      <c r="S28" s="43">
        <f t="shared" si="7"/>
        <v>29</v>
      </c>
      <c r="T28" s="2">
        <f t="shared" si="3"/>
        <v>4.5100000000000001E-4</v>
      </c>
      <c r="U28" s="2">
        <f t="shared" si="4"/>
        <v>0</v>
      </c>
      <c r="V28" s="133">
        <f t="shared" si="10"/>
        <v>99525.458311560331</v>
      </c>
      <c r="W28" s="5">
        <f t="shared" ca="1" si="8"/>
        <v>62374.134999614078</v>
      </c>
      <c r="X28" s="5">
        <f ca="1">+SUM(W28:W$119)</f>
        <v>2020650.2858027844</v>
      </c>
      <c r="Y28" s="70">
        <f t="shared" si="11"/>
        <v>99525.458311560331</v>
      </c>
      <c r="Z28" s="70">
        <f t="shared" ca="1" si="12"/>
        <v>62374.134999614078</v>
      </c>
      <c r="AA28" s="70">
        <f ca="1">+SUM(Z28:Z$119)</f>
        <v>2020650.2858027844</v>
      </c>
      <c r="AB28" s="10">
        <f t="shared" si="5"/>
        <v>4.5100000000000001E-4</v>
      </c>
      <c r="AC28" s="129">
        <f t="shared" ca="1" si="6"/>
        <v>27.81950636050475</v>
      </c>
      <c r="AD28" s="129">
        <f ca="1">SUM(AC28:$AC$131)</f>
        <v>18110.313903937524</v>
      </c>
      <c r="AE28" s="138"/>
      <c r="AF28" s="137"/>
    </row>
    <row r="29" spans="2:32">
      <c r="B29" s="27"/>
      <c r="C29" s="50"/>
      <c r="D29" s="16"/>
      <c r="F29" s="16"/>
      <c r="N29" s="5">
        <f t="shared" si="9"/>
        <v>22</v>
      </c>
      <c r="O29" s="2">
        <f t="shared" ca="1" si="1"/>
        <v>0.61292457283305835</v>
      </c>
      <c r="P29" s="2">
        <f t="shared" ca="1" si="2"/>
        <v>0.6061433916408836</v>
      </c>
      <c r="Q29" s="91"/>
      <c r="S29" s="43">
        <f t="shared" si="7"/>
        <v>30</v>
      </c>
      <c r="T29" s="2">
        <f t="shared" si="3"/>
        <v>4.7100000000000001E-4</v>
      </c>
      <c r="U29" s="2">
        <f t="shared" si="4"/>
        <v>0</v>
      </c>
      <c r="V29" s="133">
        <f t="shared" si="10"/>
        <v>99480.572329861825</v>
      </c>
      <c r="W29" s="5">
        <f t="shared" ca="1" si="8"/>
        <v>60974.087300468724</v>
      </c>
      <c r="X29" s="5">
        <f ca="1">+SUM(W29:W$119)</f>
        <v>1958276.1508031702</v>
      </c>
      <c r="Y29" s="70">
        <f t="shared" si="11"/>
        <v>99480.572329861825</v>
      </c>
      <c r="Z29" s="70">
        <f t="shared" ca="1" si="12"/>
        <v>60974.087300468724</v>
      </c>
      <c r="AA29" s="70">
        <f ca="1">+SUM(Z29:Z$119)</f>
        <v>1958276.1508031702</v>
      </c>
      <c r="AB29" s="10">
        <f t="shared" si="5"/>
        <v>4.7100000000000001E-4</v>
      </c>
      <c r="AC29" s="129">
        <f t="shared" ca="1" si="6"/>
        <v>28.40106050328178</v>
      </c>
      <c r="AD29" s="129">
        <f ca="1">SUM(AC29:$AC$131)</f>
        <v>18082.494397577018</v>
      </c>
      <c r="AE29" s="138"/>
      <c r="AF29" s="137"/>
    </row>
    <row r="30" spans="2:32">
      <c r="B30" s="27"/>
      <c r="C30" s="50"/>
      <c r="N30" s="5">
        <f t="shared" si="9"/>
        <v>23</v>
      </c>
      <c r="O30" s="2">
        <f t="shared" ca="1" si="1"/>
        <v>0.59943723504455593</v>
      </c>
      <c r="P30" s="2">
        <f t="shared" ca="1" si="2"/>
        <v>0.59280527299841912</v>
      </c>
      <c r="Q30" s="91"/>
      <c r="S30" s="43">
        <f t="shared" si="7"/>
        <v>31</v>
      </c>
      <c r="T30" s="2">
        <f t="shared" si="3"/>
        <v>4.9100000000000001E-4</v>
      </c>
      <c r="U30" s="2">
        <f t="shared" si="4"/>
        <v>0</v>
      </c>
      <c r="V30" s="133">
        <f t="shared" si="10"/>
        <v>99433.716980294455</v>
      </c>
      <c r="W30" s="5">
        <f t="shared" ca="1" si="8"/>
        <v>59604.27237687062</v>
      </c>
      <c r="X30" s="5">
        <f ca="1">+SUM(W30:W$119)</f>
        <v>1897302.0635027015</v>
      </c>
      <c r="Y30" s="70">
        <f t="shared" si="11"/>
        <v>99433.716980294455</v>
      </c>
      <c r="Z30" s="70">
        <f t="shared" ca="1" si="12"/>
        <v>59604.27237687062</v>
      </c>
      <c r="AA30" s="70">
        <f ca="1">+SUM(Z30:Z$119)</f>
        <v>1897302.0635027015</v>
      </c>
      <c r="AB30" s="10">
        <f t="shared" si="5"/>
        <v>4.9100000000000001E-4</v>
      </c>
      <c r="AC30" s="129">
        <f t="shared" ca="1" si="6"/>
        <v>28.941912384217741</v>
      </c>
      <c r="AD30" s="129">
        <f ca="1">SUM(AC30:$AC$131)</f>
        <v>18054.093337073737</v>
      </c>
      <c r="AE30" s="138"/>
      <c r="AF30" s="137"/>
    </row>
    <row r="31" spans="2:32">
      <c r="B31" s="27"/>
      <c r="C31" s="50"/>
      <c r="D31" s="16"/>
      <c r="N31" s="5">
        <f t="shared" si="9"/>
        <v>24</v>
      </c>
      <c r="O31" s="2">
        <f t="shared" ca="1" si="1"/>
        <v>0.5862466846401525</v>
      </c>
      <c r="P31" s="2">
        <f t="shared" ca="1" si="2"/>
        <v>0.579760658189163</v>
      </c>
      <c r="Q31" s="91"/>
      <c r="S31" s="43">
        <f t="shared" si="7"/>
        <v>32</v>
      </c>
      <c r="T31" s="2">
        <f t="shared" si="3"/>
        <v>5.1199999999999998E-4</v>
      </c>
      <c r="U31" s="2">
        <f t="shared" si="4"/>
        <v>0</v>
      </c>
      <c r="V31" s="133">
        <f t="shared" si="10"/>
        <v>99384.895025257123</v>
      </c>
      <c r="W31" s="5">
        <f t="shared" ca="1" si="8"/>
        <v>58264.065211866575</v>
      </c>
      <c r="X31" s="5">
        <f ca="1">+SUM(W31:W$119)</f>
        <v>1837697.7911258307</v>
      </c>
      <c r="Y31" s="70">
        <f t="shared" si="11"/>
        <v>99384.895025257123</v>
      </c>
      <c r="Z31" s="70">
        <f t="shared" ca="1" si="12"/>
        <v>58264.065211866575</v>
      </c>
      <c r="AA31" s="70">
        <f ca="1">+SUM(Z31:Z$119)</f>
        <v>1837697.7911258307</v>
      </c>
      <c r="AB31" s="10">
        <f t="shared" si="5"/>
        <v>5.1199999999999998E-4</v>
      </c>
      <c r="AC31" s="129">
        <f t="shared" ca="1" si="6"/>
        <v>29.501159502798817</v>
      </c>
      <c r="AD31" s="129">
        <f ca="1">SUM(AC31:$AC$131)</f>
        <v>18025.15142468952</v>
      </c>
      <c r="AE31" s="138"/>
      <c r="AF31" s="137"/>
    </row>
    <row r="32" spans="2:32">
      <c r="B32" s="27"/>
      <c r="C32" s="50"/>
      <c r="D32" s="16"/>
      <c r="N32" s="5">
        <f t="shared" si="9"/>
        <v>25</v>
      </c>
      <c r="O32" s="2">
        <f t="shared" ca="1" si="1"/>
        <v>0.57334639084611505</v>
      </c>
      <c r="P32" s="2">
        <f t="shared" ca="1" si="2"/>
        <v>0.56700308869355798</v>
      </c>
      <c r="Q32" s="91"/>
      <c r="S32" s="43">
        <f t="shared" si="7"/>
        <v>33</v>
      </c>
      <c r="T32" s="2">
        <f t="shared" si="3"/>
        <v>5.3399999999999997E-4</v>
      </c>
      <c r="U32" s="2">
        <f t="shared" si="4"/>
        <v>0</v>
      </c>
      <c r="V32" s="133">
        <f t="shared" si="10"/>
        <v>99334.009959004194</v>
      </c>
      <c r="W32" s="5">
        <f t="shared" ca="1" si="8"/>
        <v>56952.796098267107</v>
      </c>
      <c r="X32" s="5">
        <f ca="1">+SUM(W32:W$119)</f>
        <v>1779433.7259139644</v>
      </c>
      <c r="Y32" s="70">
        <f t="shared" si="11"/>
        <v>99334.009959004194</v>
      </c>
      <c r="Z32" s="70">
        <f t="shared" ca="1" si="12"/>
        <v>56952.796098267107</v>
      </c>
      <c r="AA32" s="70">
        <f ca="1">+SUM(Z32:Z$119)</f>
        <v>1779433.7259139644</v>
      </c>
      <c r="AB32" s="10">
        <f t="shared" si="5"/>
        <v>5.3399999999999997E-4</v>
      </c>
      <c r="AC32" s="129">
        <f t="shared" ca="1" si="6"/>
        <v>30.07631670514446</v>
      </c>
      <c r="AD32" s="129">
        <f ca="1">SUM(AC32:$AC$131)</f>
        <v>17995.650265186723</v>
      </c>
      <c r="AE32" s="138"/>
      <c r="AF32" s="137"/>
    </row>
    <row r="33" spans="2:32">
      <c r="N33" s="5">
        <f t="shared" si="9"/>
        <v>26</v>
      </c>
      <c r="O33" s="2">
        <f t="shared" ca="1" si="1"/>
        <v>0.5607299665976675</v>
      </c>
      <c r="P33" s="2">
        <f t="shared" ca="1" si="2"/>
        <v>0.55452624811105922</v>
      </c>
      <c r="Q33" s="91"/>
      <c r="S33" s="43">
        <f t="shared" si="7"/>
        <v>34</v>
      </c>
      <c r="T33" s="2">
        <f t="shared" si="3"/>
        <v>5.5699999999999999E-4</v>
      </c>
      <c r="U33" s="2">
        <f t="shared" si="4"/>
        <v>0</v>
      </c>
      <c r="V33" s="133">
        <f t="shared" si="10"/>
        <v>99280.965597686081</v>
      </c>
      <c r="W33" s="5">
        <f t="shared" ca="1" si="8"/>
        <v>55669.81252337469</v>
      </c>
      <c r="X33" s="5">
        <f ca="1">+SUM(W33:W$119)</f>
        <v>1722480.9298156973</v>
      </c>
      <c r="Y33" s="70">
        <f t="shared" si="11"/>
        <v>99280.965597686081</v>
      </c>
      <c r="Z33" s="70">
        <f t="shared" ca="1" si="12"/>
        <v>55669.81252337469</v>
      </c>
      <c r="AA33" s="70">
        <f ca="1">+SUM(Z33:Z$119)</f>
        <v>1722480.9298156973</v>
      </c>
      <c r="AB33" s="10">
        <f t="shared" si="5"/>
        <v>5.5699999999999999E-4</v>
      </c>
      <c r="AC33" s="129">
        <f t="shared" ca="1" si="6"/>
        <v>30.6650230584825</v>
      </c>
      <c r="AD33" s="129">
        <f ca="1">SUM(AC33:$AC$131)</f>
        <v>17965.573948481575</v>
      </c>
      <c r="AE33" s="138"/>
      <c r="AF33" s="137"/>
    </row>
    <row r="34" spans="2:32">
      <c r="E34" s="27"/>
      <c r="N34" s="5">
        <f t="shared" si="9"/>
        <v>27</v>
      </c>
      <c r="O34" s="2">
        <f t="shared" ca="1" si="1"/>
        <v>0.54839116537669197</v>
      </c>
      <c r="P34" s="2">
        <f t="shared" ca="1" si="2"/>
        <v>0.54232395903282082</v>
      </c>
      <c r="Q34" s="91"/>
      <c r="S34" s="43">
        <f t="shared" si="7"/>
        <v>35</v>
      </c>
      <c r="T34" s="2">
        <f t="shared" si="3"/>
        <v>5.8E-4</v>
      </c>
      <c r="U34" s="2">
        <f t="shared" si="4"/>
        <v>0</v>
      </c>
      <c r="V34" s="133">
        <f t="shared" si="10"/>
        <v>99225.666099848168</v>
      </c>
      <c r="W34" s="5">
        <f t="shared" ca="1" si="8"/>
        <v>54414.478667774252</v>
      </c>
      <c r="X34" s="5">
        <f ca="1">+SUM(W34:W$119)</f>
        <v>1666811.1172923229</v>
      </c>
      <c r="Y34" s="70">
        <f t="shared" si="11"/>
        <v>99225.666099848168</v>
      </c>
      <c r="Z34" s="70">
        <f t="shared" ca="1" si="12"/>
        <v>54414.478667774252</v>
      </c>
      <c r="AA34" s="70">
        <f ca="1">+SUM(Z34:Z$119)</f>
        <v>1666811.1172923229</v>
      </c>
      <c r="AB34" s="10">
        <f t="shared" si="5"/>
        <v>5.8E-4</v>
      </c>
      <c r="AC34" s="129">
        <f t="shared" ca="1" si="6"/>
        <v>31.211224524624281</v>
      </c>
      <c r="AD34" s="129">
        <f ca="1">SUM(AC34:$AC$131)</f>
        <v>17934.908925423089</v>
      </c>
      <c r="AE34" s="138"/>
      <c r="AF34" s="137"/>
    </row>
    <row r="35" spans="2:32">
      <c r="E35" s="16"/>
      <c r="N35" s="5">
        <f t="shared" si="9"/>
        <v>28</v>
      </c>
      <c r="O35" s="2">
        <f t="shared" ca="1" si="1"/>
        <v>0.53632387811901416</v>
      </c>
      <c r="P35" s="2">
        <f t="shared" ca="1" si="2"/>
        <v>0.53039017998319882</v>
      </c>
      <c r="Q35" s="91"/>
      <c r="S35" s="43">
        <f t="shared" si="7"/>
        <v>36</v>
      </c>
      <c r="T35" s="2">
        <f t="shared" si="3"/>
        <v>6.0400000000000004E-4</v>
      </c>
      <c r="U35" s="2">
        <f t="shared" si="4"/>
        <v>0</v>
      </c>
      <c r="V35" s="133">
        <f t="shared" si="10"/>
        <v>99168.11521351026</v>
      </c>
      <c r="W35" s="5">
        <f t="shared" ca="1" si="8"/>
        <v>53186.22813706303</v>
      </c>
      <c r="X35" s="5">
        <f ca="1">+SUM(W35:W$119)</f>
        <v>1612396.6386245487</v>
      </c>
      <c r="Y35" s="70">
        <f t="shared" si="11"/>
        <v>99168.11521351026</v>
      </c>
      <c r="Z35" s="70">
        <f t="shared" ca="1" si="12"/>
        <v>53186.22813706303</v>
      </c>
      <c r="AA35" s="70">
        <f ca="1">+SUM(Z35:Z$119)</f>
        <v>1612396.6386245487</v>
      </c>
      <c r="AB35" s="10">
        <f t="shared" si="5"/>
        <v>6.0400000000000004E-4</v>
      </c>
      <c r="AC35" s="129">
        <f t="shared" ca="1" si="6"/>
        <v>31.769067863919737</v>
      </c>
      <c r="AD35" s="129">
        <f ca="1">SUM(AC35:$AC$131)</f>
        <v>17903.697700898469</v>
      </c>
      <c r="AE35" s="138"/>
      <c r="AF35" s="137"/>
    </row>
    <row r="36" spans="2:32">
      <c r="E36" s="16"/>
      <c r="N36" s="5">
        <f t="shared" si="9"/>
        <v>29</v>
      </c>
      <c r="O36" s="2">
        <f t="shared" ca="1" si="1"/>
        <v>0.52452213018974492</v>
      </c>
      <c r="P36" s="2">
        <f t="shared" ca="1" si="2"/>
        <v>0.51871900242855629</v>
      </c>
      <c r="Q36" s="91"/>
      <c r="S36" s="43">
        <f t="shared" si="7"/>
        <v>37</v>
      </c>
      <c r="T36" s="2">
        <f t="shared" si="3"/>
        <v>6.29E-4</v>
      </c>
      <c r="U36" s="2">
        <f t="shared" si="4"/>
        <v>0</v>
      </c>
      <c r="V36" s="133">
        <f t="shared" si="10"/>
        <v>99108.217671921302</v>
      </c>
      <c r="W36" s="5">
        <f t="shared" ca="1" si="8"/>
        <v>51984.453452585083</v>
      </c>
      <c r="X36" s="5">
        <f ca="1">+SUM(W36:W$119)</f>
        <v>1559210.4104874856</v>
      </c>
      <c r="Y36" s="70">
        <f t="shared" si="11"/>
        <v>99108.217671921302</v>
      </c>
      <c r="Z36" s="70">
        <f t="shared" ca="1" si="12"/>
        <v>51984.453452585083</v>
      </c>
      <c r="AA36" s="70">
        <f ca="1">+SUM(Z36:Z$119)</f>
        <v>1559210.4104874856</v>
      </c>
      <c r="AB36" s="10">
        <f t="shared" si="5"/>
        <v>6.29E-4</v>
      </c>
      <c r="AC36" s="129">
        <f t="shared" ca="1" si="6"/>
        <v>32.336459640245025</v>
      </c>
      <c r="AD36" s="129">
        <f ca="1">SUM(AC36:$AC$131)</f>
        <v>17871.928633034546</v>
      </c>
      <c r="AE36" s="138"/>
      <c r="AF36" s="137"/>
    </row>
    <row r="37" spans="2:32">
      <c r="E37" s="16"/>
      <c r="N37" s="5">
        <f t="shared" si="9"/>
        <v>30</v>
      </c>
      <c r="O37" s="2">
        <f t="shared" ca="1" si="1"/>
        <v>0.51298007842517834</v>
      </c>
      <c r="P37" s="2">
        <f t="shared" ca="1" si="2"/>
        <v>0.50730464785188878</v>
      </c>
      <c r="Q37" s="91"/>
      <c r="S37" s="43">
        <f t="shared" si="7"/>
        <v>38</v>
      </c>
      <c r="T37" s="2">
        <f t="shared" si="3"/>
        <v>6.5600000000000001E-4</v>
      </c>
      <c r="U37" s="2">
        <f t="shared" si="4"/>
        <v>0</v>
      </c>
      <c r="V37" s="133">
        <f t="shared" si="10"/>
        <v>99045.878603005665</v>
      </c>
      <c r="W37" s="5">
        <f t="shared" ca="1" si="8"/>
        <v>50808.562573460542</v>
      </c>
      <c r="X37" s="5">
        <f ca="1">+SUM(W37:W$119)</f>
        <v>1507225.9570349001</v>
      </c>
      <c r="Y37" s="70">
        <f t="shared" si="11"/>
        <v>99045.878603005665</v>
      </c>
      <c r="Z37" s="70">
        <f t="shared" ca="1" si="12"/>
        <v>50808.562573460542</v>
      </c>
      <c r="AA37" s="70">
        <f ca="1">+SUM(Z37:Z$119)</f>
        <v>1507225.9570349001</v>
      </c>
      <c r="AB37" s="10">
        <f t="shared" si="5"/>
        <v>6.5600000000000001E-4</v>
      </c>
      <c r="AC37" s="129">
        <f t="shared" ca="1" si="6"/>
        <v>32.961661075216441</v>
      </c>
      <c r="AD37" s="129">
        <f ca="1">SUM(AC37:$AC$131)</f>
        <v>17839.592173394303</v>
      </c>
      <c r="AE37" s="138"/>
      <c r="AF37" s="137"/>
    </row>
    <row r="38" spans="2:32">
      <c r="E38" s="16"/>
      <c r="N38" s="5">
        <f t="shared" si="9"/>
        <v>31</v>
      </c>
      <c r="O38" s="2">
        <f t="shared" ca="1" si="1"/>
        <v>0.50169200823978322</v>
      </c>
      <c r="P38" s="2">
        <f t="shared" ca="1" si="2"/>
        <v>0.49614146489182287</v>
      </c>
      <c r="Q38" s="91"/>
      <c r="S38" s="43">
        <f t="shared" si="7"/>
        <v>39</v>
      </c>
      <c r="T38" s="2">
        <f t="shared" si="3"/>
        <v>6.8199999999999999E-4</v>
      </c>
      <c r="U38" s="2">
        <f t="shared" si="4"/>
        <v>0</v>
      </c>
      <c r="V38" s="133">
        <f t="shared" si="10"/>
        <v>98980.904506642095</v>
      </c>
      <c r="W38" s="5">
        <f t="shared" ca="1" si="8"/>
        <v>49657.928759327478</v>
      </c>
      <c r="X38" s="5">
        <f ca="1">+SUM(W38:W$119)</f>
        <v>1456417.3944614395</v>
      </c>
      <c r="Y38" s="70">
        <f t="shared" si="11"/>
        <v>98980.904506642095</v>
      </c>
      <c r="Z38" s="70">
        <f t="shared" ca="1" si="12"/>
        <v>49657.928759327478</v>
      </c>
      <c r="AA38" s="70">
        <f ca="1">+SUM(Z38:Z$119)</f>
        <v>1456417.3944614395</v>
      </c>
      <c r="AB38" s="10">
        <f t="shared" si="5"/>
        <v>6.8199999999999999E-4</v>
      </c>
      <c r="AC38" s="129">
        <f t="shared" ca="1" si="6"/>
        <v>33.492018113521759</v>
      </c>
      <c r="AD38" s="129">
        <f ca="1">SUM(AC38:$AC$131)</f>
        <v>17806.630512319087</v>
      </c>
      <c r="AE38" s="138"/>
      <c r="AF38" s="137"/>
    </row>
    <row r="39" spans="2:32">
      <c r="E39" s="16"/>
      <c r="N39" s="5">
        <f t="shared" si="9"/>
        <v>32</v>
      </c>
      <c r="O39" s="2">
        <f t="shared" ref="O39:O70" ca="1" si="14">+(1+i)^-N39</f>
        <v>0.49065233079685422</v>
      </c>
      <c r="P39" s="2">
        <f t="shared" ref="P39:P70" ca="1" si="15">+(1+i)^-(N39+0.5)</f>
        <v>0.48522392654456997</v>
      </c>
      <c r="Q39" s="91"/>
      <c r="S39" s="43">
        <f t="shared" si="7"/>
        <v>40</v>
      </c>
      <c r="T39" s="2">
        <f t="shared" ref="T39:T70" si="16">IFERROR(VLOOKUP($S39,qx_table,MATCH(T$6,qx_title,0)+sexD,FALSE),0)</f>
        <v>7.0799999999999997E-4</v>
      </c>
      <c r="U39" s="2">
        <f t="shared" ref="U39:U70" si="17">IFERROR(VLOOKUP($S39,qx_table,MATCH(U$6,qx_title,0)+sexD,FALSE)*$B$21,0)</f>
        <v>0</v>
      </c>
      <c r="V39" s="133">
        <f t="shared" si="10"/>
        <v>98913.399529768576</v>
      </c>
      <c r="W39" s="5">
        <f t="shared" ca="1" si="8"/>
        <v>48532.090026321413</v>
      </c>
      <c r="X39" s="5">
        <f ca="1">+SUM(W39:W$119)</f>
        <v>1406759.4657021118</v>
      </c>
      <c r="Y39" s="70">
        <f t="shared" si="11"/>
        <v>98913.399529768576</v>
      </c>
      <c r="Z39" s="70">
        <f t="shared" ca="1" si="12"/>
        <v>48532.090026321413</v>
      </c>
      <c r="AA39" s="70">
        <f ca="1">+SUM(Z39:Z$119)</f>
        <v>1406759.4657021118</v>
      </c>
      <c r="AB39" s="10">
        <f t="shared" ref="AB39:AB70" si="18">T39</f>
        <v>7.0799999999999997E-4</v>
      </c>
      <c r="AC39" s="129">
        <f t="shared" ref="AC39:AC70" ca="1" si="19">$V39*AB39*$P39</f>
        <v>33.980564860255939</v>
      </c>
      <c r="AD39" s="129">
        <f ca="1">SUM(AC39:$AC$131)</f>
        <v>17773.138494205563</v>
      </c>
      <c r="AE39" s="138"/>
      <c r="AF39" s="137"/>
    </row>
    <row r="40" spans="2:32">
      <c r="N40" s="5">
        <f t="shared" si="9"/>
        <v>33</v>
      </c>
      <c r="O40" s="2">
        <f t="shared" ca="1" si="14"/>
        <v>0.47985558024142216</v>
      </c>
      <c r="P40" s="2">
        <f t="shared" ca="1" si="15"/>
        <v>0.47454662742745235</v>
      </c>
      <c r="Q40" s="91"/>
      <c r="S40" s="43">
        <f t="shared" si="7"/>
        <v>41</v>
      </c>
      <c r="T40" s="2">
        <f t="shared" si="16"/>
        <v>7.4100000000000001E-4</v>
      </c>
      <c r="U40" s="2">
        <f t="shared" si="17"/>
        <v>0</v>
      </c>
      <c r="V40" s="133">
        <f t="shared" si="10"/>
        <v>98843.368842901502</v>
      </c>
      <c r="W40" s="5">
        <f t="shared" ref="W40:W71" ca="1" si="20">+V40*O40</f>
        <v>47430.542109127411</v>
      </c>
      <c r="X40" s="5">
        <f ca="1">+SUM(W40:W$119)</f>
        <v>1358227.3756757905</v>
      </c>
      <c r="Y40" s="70">
        <f t="shared" si="11"/>
        <v>98843.368842901502</v>
      </c>
      <c r="Z40" s="70">
        <f t="shared" ca="1" si="12"/>
        <v>47430.542109127411</v>
      </c>
      <c r="AA40" s="70">
        <f ca="1">+SUM(Z40:Z$119)</f>
        <v>1358227.3756757905</v>
      </c>
      <c r="AB40" s="10">
        <f t="shared" si="18"/>
        <v>7.4100000000000001E-4</v>
      </c>
      <c r="AC40" s="129">
        <f t="shared" ca="1" si="19"/>
        <v>34.757188410023275</v>
      </c>
      <c r="AD40" s="129">
        <f ca="1">SUM(AC40:$AC$131)</f>
        <v>17739.157929345307</v>
      </c>
      <c r="AE40" s="138"/>
      <c r="AF40" s="137"/>
    </row>
    <row r="41" spans="2:32">
      <c r="N41" s="5">
        <f t="shared" si="9"/>
        <v>34</v>
      </c>
      <c r="O41" s="2">
        <f t="shared" ca="1" si="14"/>
        <v>0.469296410994056</v>
      </c>
      <c r="P41" s="2">
        <f t="shared" ca="1" si="15"/>
        <v>0.4641042811026429</v>
      </c>
      <c r="Q41" s="91"/>
      <c r="S41" s="43">
        <f t="shared" si="7"/>
        <v>42</v>
      </c>
      <c r="T41" s="2">
        <f t="shared" si="16"/>
        <v>7.8899999999999999E-4</v>
      </c>
      <c r="U41" s="2">
        <f t="shared" si="17"/>
        <v>0</v>
      </c>
      <c r="V41" s="133">
        <f t="shared" si="10"/>
        <v>98770.125906588917</v>
      </c>
      <c r="W41" s="5">
        <f t="shared" ca="1" si="20"/>
        <v>46352.465601393211</v>
      </c>
      <c r="X41" s="5">
        <f ca="1">+SUM(W41:W$119)</f>
        <v>1310796.8335666631</v>
      </c>
      <c r="Y41" s="70">
        <f t="shared" si="11"/>
        <v>98770.125906588917</v>
      </c>
      <c r="Z41" s="70">
        <f t="shared" ca="1" si="12"/>
        <v>46352.465601393211</v>
      </c>
      <c r="AA41" s="70">
        <f ca="1">+SUM(Z41:Z$119)</f>
        <v>1310796.8335666631</v>
      </c>
      <c r="AB41" s="10">
        <f t="shared" si="18"/>
        <v>7.8899999999999999E-4</v>
      </c>
      <c r="AC41" s="129">
        <f t="shared" ca="1" si="19"/>
        <v>36.167474601574739</v>
      </c>
      <c r="AD41" s="129">
        <f ca="1">SUM(AC41:$AC$131)</f>
        <v>17704.400740935285</v>
      </c>
      <c r="AE41" s="138"/>
      <c r="AF41" s="137"/>
    </row>
    <row r="42" spans="2:32">
      <c r="N42" s="5">
        <f t="shared" si="9"/>
        <v>35</v>
      </c>
      <c r="O42" s="2">
        <f t="shared" ca="1" si="14"/>
        <v>0.45896959510421126</v>
      </c>
      <c r="P42" s="2">
        <f t="shared" ca="1" si="15"/>
        <v>0.45389171745979745</v>
      </c>
      <c r="Q42" s="91"/>
      <c r="S42" s="43">
        <f t="shared" si="7"/>
        <v>43</v>
      </c>
      <c r="T42" s="2">
        <f t="shared" si="16"/>
        <v>8.5599999999999999E-4</v>
      </c>
      <c r="U42" s="2">
        <f t="shared" si="17"/>
        <v>0</v>
      </c>
      <c r="V42" s="133">
        <f t="shared" si="10"/>
        <v>98692.196277248615</v>
      </c>
      <c r="W42" s="5">
        <f t="shared" ca="1" si="20"/>
        <v>45296.717365314144</v>
      </c>
      <c r="X42" s="5">
        <f ca="1">+SUM(W42:W$119)</f>
        <v>1264444.3679652698</v>
      </c>
      <c r="Y42" s="70">
        <f t="shared" si="11"/>
        <v>98692.196277248615</v>
      </c>
      <c r="Z42" s="70">
        <f t="shared" ca="1" si="12"/>
        <v>45296.717365314144</v>
      </c>
      <c r="AA42" s="70">
        <f ca="1">+SUM(Z42:Z$119)</f>
        <v>1264444.3679652698</v>
      </c>
      <c r="AB42" s="10">
        <f t="shared" si="18"/>
        <v>8.5599999999999999E-4</v>
      </c>
      <c r="AC42" s="129">
        <f t="shared" ca="1" si="19"/>
        <v>38.345008320744789</v>
      </c>
      <c r="AD42" s="129">
        <f ca="1">SUM(AC42:$AC$131)</f>
        <v>17668.233266333711</v>
      </c>
      <c r="AE42" s="138"/>
      <c r="AF42" s="137"/>
    </row>
    <row r="43" spans="2:32">
      <c r="N43" s="5">
        <f t="shared" si="9"/>
        <v>36</v>
      </c>
      <c r="O43" s="2">
        <f t="shared" ca="1" si="14"/>
        <v>0.44887001966182033</v>
      </c>
      <c r="P43" s="2">
        <f t="shared" ca="1" si="15"/>
        <v>0.44390388015628113</v>
      </c>
      <c r="Q43" s="91"/>
      <c r="S43" s="43">
        <f t="shared" si="7"/>
        <v>44</v>
      </c>
      <c r="T43" s="2">
        <f t="shared" si="16"/>
        <v>9.3599999999999998E-4</v>
      </c>
      <c r="U43" s="2">
        <f t="shared" si="17"/>
        <v>0</v>
      </c>
      <c r="V43" s="133">
        <f t="shared" si="10"/>
        <v>98607.715757235288</v>
      </c>
      <c r="W43" s="5">
        <f t="shared" ca="1" si="20"/>
        <v>44262.047310757393</v>
      </c>
      <c r="X43" s="5">
        <f ca="1">+SUM(W43:W$119)</f>
        <v>1219147.6505999558</v>
      </c>
      <c r="Y43" s="70">
        <f t="shared" si="11"/>
        <v>98607.715757235288</v>
      </c>
      <c r="Z43" s="70">
        <f t="shared" ca="1" si="12"/>
        <v>44262.047310757393</v>
      </c>
      <c r="AA43" s="70">
        <f ca="1">+SUM(Z43:Z$119)</f>
        <v>1219147.6505999558</v>
      </c>
      <c r="AB43" s="10">
        <f t="shared" si="18"/>
        <v>9.3599999999999998E-4</v>
      </c>
      <c r="AC43" s="129">
        <f t="shared" ca="1" si="19"/>
        <v>40.970917389153406</v>
      </c>
      <c r="AD43" s="129">
        <f ca="1">SUM(AC43:$AC$131)</f>
        <v>17629.888258012965</v>
      </c>
      <c r="AE43" s="138"/>
      <c r="AF43" s="137"/>
    </row>
    <row r="44" spans="2:32">
      <c r="B44" s="16"/>
      <c r="N44" s="5">
        <f t="shared" si="9"/>
        <v>37</v>
      </c>
      <c r="O44" s="2">
        <f t="shared" ca="1" si="14"/>
        <v>0.43899268426583893</v>
      </c>
      <c r="P44" s="2">
        <f t="shared" ca="1" si="15"/>
        <v>0.43413582411372242</v>
      </c>
      <c r="Q44" s="91"/>
      <c r="S44" s="43">
        <f t="shared" si="7"/>
        <v>45</v>
      </c>
      <c r="T44" s="2">
        <f t="shared" si="16"/>
        <v>1.023E-3</v>
      </c>
      <c r="U44" s="2">
        <f t="shared" si="17"/>
        <v>0</v>
      </c>
      <c r="V44" s="133">
        <f t="shared" si="10"/>
        <v>98515.418935286507</v>
      </c>
      <c r="W44" s="5">
        <f t="shared" ca="1" si="20"/>
        <v>43247.548199975077</v>
      </c>
      <c r="X44" s="5">
        <f ca="1">+SUM(W44:W$119)</f>
        <v>1174885.6032891984</v>
      </c>
      <c r="Y44" s="70">
        <f t="shared" si="11"/>
        <v>98515.418935286507</v>
      </c>
      <c r="Z44" s="70">
        <f t="shared" ca="1" si="12"/>
        <v>43247.548199975077</v>
      </c>
      <c r="AA44" s="70">
        <f ca="1">+SUM(Z44:Z$119)</f>
        <v>1174885.6032891984</v>
      </c>
      <c r="AB44" s="10">
        <f t="shared" si="18"/>
        <v>1.023E-3</v>
      </c>
      <c r="AC44" s="129">
        <f t="shared" ca="1" si="19"/>
        <v>43.752761256888952</v>
      </c>
      <c r="AD44" s="129">
        <f ca="1">SUM(AC44:$AC$131)</f>
        <v>17588.917340623811</v>
      </c>
      <c r="AE44" s="138"/>
      <c r="AF44" s="137"/>
    </row>
    <row r="45" spans="2:32">
      <c r="N45" s="5">
        <f t="shared" si="9"/>
        <v>38</v>
      </c>
      <c r="O45" s="2">
        <f t="shared" ca="1" si="14"/>
        <v>0.42933269854849776</v>
      </c>
      <c r="P45" s="2">
        <f t="shared" ca="1" si="15"/>
        <v>0.42458271306965517</v>
      </c>
      <c r="Q45" s="91"/>
      <c r="S45" s="43">
        <f t="shared" si="7"/>
        <v>46</v>
      </c>
      <c r="T45" s="2">
        <f t="shared" si="16"/>
        <v>1.1150000000000001E-3</v>
      </c>
      <c r="U45" s="2">
        <f t="shared" si="17"/>
        <v>0</v>
      </c>
      <c r="V45" s="133">
        <f t="shared" si="10"/>
        <v>98414.637661715708</v>
      </c>
      <c r="W45" s="5">
        <f t="shared" ca="1" si="20"/>
        <v>42252.621963977028</v>
      </c>
      <c r="X45" s="5">
        <f ca="1">+SUM(W45:W$119)</f>
        <v>1131638.0550892234</v>
      </c>
      <c r="Y45" s="70">
        <f t="shared" si="11"/>
        <v>98414.637661715708</v>
      </c>
      <c r="Z45" s="70">
        <f t="shared" ca="1" si="12"/>
        <v>42252.621963977028</v>
      </c>
      <c r="AA45" s="70">
        <f ca="1">+SUM(Z45:Z$119)</f>
        <v>1131638.0550892234</v>
      </c>
      <c r="AB45" s="10">
        <f t="shared" si="18"/>
        <v>1.1150000000000001E-3</v>
      </c>
      <c r="AC45" s="129">
        <f t="shared" ca="1" si="19"/>
        <v>46.590446558558831</v>
      </c>
      <c r="AD45" s="129">
        <f ca="1">SUM(AC45:$AC$131)</f>
        <v>17545.164579366923</v>
      </c>
      <c r="AE45" s="138"/>
      <c r="AF45" s="137"/>
    </row>
    <row r="46" spans="2:32">
      <c r="N46" s="5">
        <f t="shared" si="9"/>
        <v>39</v>
      </c>
      <c r="O46" s="2">
        <f t="shared" ca="1" si="14"/>
        <v>0.41988527975403206</v>
      </c>
      <c r="P46" s="2">
        <f t="shared" ca="1" si="15"/>
        <v>0.41523981718303687</v>
      </c>
      <c r="Q46" s="91"/>
      <c r="S46" s="43">
        <f t="shared" si="7"/>
        <v>47</v>
      </c>
      <c r="T46" s="2">
        <f t="shared" si="16"/>
        <v>1.217E-3</v>
      </c>
      <c r="U46" s="2">
        <f t="shared" si="17"/>
        <v>0</v>
      </c>
      <c r="V46" s="133">
        <f t="shared" si="10"/>
        <v>98304.905340722893</v>
      </c>
      <c r="W46" s="5">
        <f t="shared" ca="1" si="20"/>
        <v>41276.782680183074</v>
      </c>
      <c r="X46" s="5">
        <f ca="1">+SUM(W46:W$119)</f>
        <v>1089385.4331252461</v>
      </c>
      <c r="Y46" s="70">
        <f t="shared" si="11"/>
        <v>98304.905340722893</v>
      </c>
      <c r="Z46" s="70">
        <f t="shared" ca="1" si="12"/>
        <v>41276.782680183074</v>
      </c>
      <c r="AA46" s="70">
        <f ca="1">+SUM(Z46:Z$119)</f>
        <v>1089385.4331252461</v>
      </c>
      <c r="AB46" s="10">
        <f t="shared" si="18"/>
        <v>1.217E-3</v>
      </c>
      <c r="AC46" s="129">
        <f t="shared" ca="1" si="19"/>
        <v>49.678074991924937</v>
      </c>
      <c r="AD46" s="129">
        <f ca="1">SUM(AC46:$AC$131)</f>
        <v>17498.574132808364</v>
      </c>
      <c r="AE46" s="138"/>
      <c r="AF46" s="137"/>
    </row>
    <row r="47" spans="2:32">
      <c r="N47" s="5">
        <f t="shared" si="9"/>
        <v>40</v>
      </c>
      <c r="O47" s="2">
        <f t="shared" ca="1" si="14"/>
        <v>0.41064575037069156</v>
      </c>
      <c r="P47" s="2">
        <f t="shared" ca="1" si="15"/>
        <v>0.40610251069245662</v>
      </c>
      <c r="Q47" s="91"/>
      <c r="S47" s="43">
        <f t="shared" si="7"/>
        <v>48</v>
      </c>
      <c r="T47" s="2">
        <f t="shared" si="16"/>
        <v>1.3359999999999999E-3</v>
      </c>
      <c r="U47" s="2">
        <f t="shared" si="17"/>
        <v>0</v>
      </c>
      <c r="V47" s="133">
        <f t="shared" si="10"/>
        <v>98185.268270923232</v>
      </c>
      <c r="W47" s="5">
        <f t="shared" ca="1" si="20"/>
        <v>40319.363164460927</v>
      </c>
      <c r="X47" s="5">
        <f ca="1">+SUM(W47:W$119)</f>
        <v>1048108.6504450628</v>
      </c>
      <c r="Y47" s="70">
        <f t="shared" si="11"/>
        <v>98185.268270923232</v>
      </c>
      <c r="Z47" s="70">
        <f t="shared" ca="1" si="12"/>
        <v>40319.363164460927</v>
      </c>
      <c r="AA47" s="70">
        <f ca="1">+SUM(Z47:Z$119)</f>
        <v>1048108.6504450628</v>
      </c>
      <c r="AB47" s="10">
        <f t="shared" si="18"/>
        <v>1.3359999999999999E-3</v>
      </c>
      <c r="AC47" s="129">
        <f t="shared" ca="1" si="19"/>
        <v>53.27070736766666</v>
      </c>
      <c r="AD47" s="129">
        <f ca="1">SUM(AC47:$AC$131)</f>
        <v>17448.896057816441</v>
      </c>
      <c r="AE47" s="138"/>
      <c r="AF47" s="137"/>
    </row>
    <row r="48" spans="2:32">
      <c r="N48" s="5">
        <f t="shared" si="9"/>
        <v>41</v>
      </c>
      <c r="O48" s="2">
        <f t="shared" ca="1" si="14"/>
        <v>0.40160953581485731</v>
      </c>
      <c r="P48" s="2">
        <f t="shared" ca="1" si="15"/>
        <v>0.39716626962587448</v>
      </c>
      <c r="Q48" s="91"/>
      <c r="S48" s="43">
        <f t="shared" si="7"/>
        <v>49</v>
      </c>
      <c r="T48" s="2">
        <f t="shared" si="16"/>
        <v>1.4649999999999999E-3</v>
      </c>
      <c r="U48" s="2">
        <f t="shared" si="17"/>
        <v>0</v>
      </c>
      <c r="V48" s="133">
        <f t="shared" si="10"/>
        <v>98054.092752513272</v>
      </c>
      <c r="W48" s="5">
        <f t="shared" ca="1" si="20"/>
        <v>39379.458675083821</v>
      </c>
      <c r="X48" s="5">
        <f ca="1">+SUM(W48:W$119)</f>
        <v>1007789.287280602</v>
      </c>
      <c r="Y48" s="70">
        <f t="shared" si="11"/>
        <v>98054.092752513272</v>
      </c>
      <c r="Z48" s="70">
        <f t="shared" ca="1" si="12"/>
        <v>39379.458675083821</v>
      </c>
      <c r="AA48" s="70">
        <f ca="1">+SUM(Z48:Z$119)</f>
        <v>1007789.287280602</v>
      </c>
      <c r="AB48" s="10">
        <f t="shared" si="18"/>
        <v>1.4649999999999999E-3</v>
      </c>
      <c r="AC48" s="129">
        <f t="shared" ca="1" si="19"/>
        <v>57.052635121695495</v>
      </c>
      <c r="AD48" s="129">
        <f ca="1">SUM(AC48:$AC$131)</f>
        <v>17395.625350448772</v>
      </c>
      <c r="AE48" s="138"/>
      <c r="AF48" s="137"/>
    </row>
    <row r="49" spans="14:32">
      <c r="N49" s="5">
        <f t="shared" si="9"/>
        <v>42</v>
      </c>
      <c r="O49" s="2">
        <f t="shared" ca="1" si="14"/>
        <v>0.39277216216611965</v>
      </c>
      <c r="P49" s="2">
        <f t="shared" ca="1" si="15"/>
        <v>0.3884266695607575</v>
      </c>
      <c r="Q49" s="91"/>
      <c r="S49" s="43">
        <f t="shared" si="7"/>
        <v>50</v>
      </c>
      <c r="T49" s="2">
        <f t="shared" si="16"/>
        <v>1.6000000000000001E-3</v>
      </c>
      <c r="U49" s="2">
        <f t="shared" si="17"/>
        <v>0</v>
      </c>
      <c r="V49" s="133">
        <f t="shared" si="10"/>
        <v>97910.443506630836</v>
      </c>
      <c r="W49" s="5">
        <f t="shared" ca="1" si="20"/>
        <v>38456.496594743105</v>
      </c>
      <c r="X49" s="5">
        <f ca="1">+SUM(W49:W$119)</f>
        <v>968409.82860551809</v>
      </c>
      <c r="Y49" s="70">
        <f t="shared" si="11"/>
        <v>97910.443506630836</v>
      </c>
      <c r="Z49" s="70">
        <f t="shared" ca="1" si="12"/>
        <v>38456.496594743105</v>
      </c>
      <c r="AA49" s="70">
        <f ca="1">+SUM(Z49:Z$119)</f>
        <v>968409.82860551809</v>
      </c>
      <c r="AB49" s="10">
        <f t="shared" si="18"/>
        <v>1.6000000000000001E-3</v>
      </c>
      <c r="AC49" s="129">
        <f t="shared" ca="1" si="19"/>
        <v>60.849643978395697</v>
      </c>
      <c r="AD49" s="129">
        <f ca="1">SUM(AC49:$AC$131)</f>
        <v>17338.572715327075</v>
      </c>
      <c r="AE49" s="138"/>
      <c r="AF49" s="137"/>
    </row>
    <row r="50" spans="14:32">
      <c r="N50" s="5">
        <f t="shared" si="9"/>
        <v>43</v>
      </c>
      <c r="O50" s="2">
        <f t="shared" ca="1" si="14"/>
        <v>0.38412925395219527</v>
      </c>
      <c r="P50" s="2">
        <f t="shared" ca="1" si="15"/>
        <v>0.37987938343350358</v>
      </c>
      <c r="Q50" s="91"/>
      <c r="S50" s="43">
        <f t="shared" si="7"/>
        <v>51</v>
      </c>
      <c r="T50" s="2">
        <f t="shared" si="16"/>
        <v>1.74E-3</v>
      </c>
      <c r="U50" s="2">
        <f t="shared" si="17"/>
        <v>0</v>
      </c>
      <c r="V50" s="133">
        <f t="shared" si="10"/>
        <v>97753.786797020221</v>
      </c>
      <c r="W50" s="5">
        <f t="shared" ca="1" si="20"/>
        <v>37550.089193341337</v>
      </c>
      <c r="X50" s="5">
        <f ca="1">+SUM(W50:W$119)</f>
        <v>929953.33201077499</v>
      </c>
      <c r="Y50" s="70">
        <f t="shared" si="11"/>
        <v>97753.786797020221</v>
      </c>
      <c r="Z50" s="70">
        <f t="shared" ca="1" si="12"/>
        <v>37550.089193341337</v>
      </c>
      <c r="AA50" s="70">
        <f ca="1">+SUM(Z50:Z$119)</f>
        <v>929953.33201077499</v>
      </c>
      <c r="AB50" s="10">
        <f t="shared" si="18"/>
        <v>1.74E-3</v>
      </c>
      <c r="AC50" s="129">
        <f t="shared" ca="1" si="19"/>
        <v>64.614287966731425</v>
      </c>
      <c r="AD50" s="129">
        <f ca="1">SUM(AC50:$AC$131)</f>
        <v>17277.723071348679</v>
      </c>
      <c r="AE50" s="138"/>
      <c r="AF50" s="137"/>
    </row>
    <row r="51" spans="14:32">
      <c r="N51" s="5">
        <f t="shared" si="9"/>
        <v>44</v>
      </c>
      <c r="O51" s="2">
        <f t="shared" ca="1" si="14"/>
        <v>0.37567653198258705</v>
      </c>
      <c r="P51" s="2">
        <f t="shared" ca="1" si="15"/>
        <v>0.37152017939706955</v>
      </c>
      <c r="Q51" s="91"/>
      <c r="S51" s="43">
        <f t="shared" si="7"/>
        <v>52</v>
      </c>
      <c r="T51" s="2">
        <f t="shared" si="16"/>
        <v>1.8910000000000001E-3</v>
      </c>
      <c r="U51" s="2">
        <f t="shared" si="17"/>
        <v>0</v>
      </c>
      <c r="V51" s="133">
        <f t="shared" si="10"/>
        <v>97583.695207993413</v>
      </c>
      <c r="W51" s="5">
        <f t="shared" ca="1" si="20"/>
        <v>36659.904193784765</v>
      </c>
      <c r="X51" s="5">
        <f ca="1">+SUM(W51:W$119)</f>
        <v>892403.24281743367</v>
      </c>
      <c r="Y51" s="70">
        <f t="shared" si="11"/>
        <v>97583.695207993413</v>
      </c>
      <c r="Z51" s="70">
        <f t="shared" ca="1" si="12"/>
        <v>36659.904193784765</v>
      </c>
      <c r="AA51" s="70">
        <f ca="1">+SUM(Z51:Z$119)</f>
        <v>892403.24281743367</v>
      </c>
      <c r="AB51" s="10">
        <f t="shared" si="18"/>
        <v>1.8910000000000001E-3</v>
      </c>
      <c r="AC51" s="129">
        <f t="shared" ca="1" si="19"/>
        <v>68.556903897265954</v>
      </c>
      <c r="AD51" s="129">
        <f ca="1">SUM(AC51:$AC$131)</f>
        <v>17213.108783381947</v>
      </c>
      <c r="AE51" s="138"/>
      <c r="AF51" s="137"/>
    </row>
    <row r="52" spans="14:32">
      <c r="N52" s="5">
        <f t="shared" si="9"/>
        <v>45</v>
      </c>
      <c r="O52" s="2">
        <f t="shared" ca="1" si="14"/>
        <v>0.36740981122991401</v>
      </c>
      <c r="P52" s="2">
        <f t="shared" ca="1" si="15"/>
        <v>0.36334491872574043</v>
      </c>
      <c r="Q52" s="91"/>
      <c r="S52" s="43">
        <f t="shared" si="7"/>
        <v>53</v>
      </c>
      <c r="T52" s="2">
        <f t="shared" si="16"/>
        <v>2.0590000000000001E-3</v>
      </c>
      <c r="U52" s="2">
        <f t="shared" si="17"/>
        <v>0</v>
      </c>
      <c r="V52" s="133">
        <f t="shared" si="10"/>
        <v>97399.164440355104</v>
      </c>
      <c r="W52" s="5">
        <f t="shared" ca="1" si="20"/>
        <v>35785.40862098222</v>
      </c>
      <c r="X52" s="5">
        <f ca="1">+SUM(W52:W$119)</f>
        <v>855743.33862364886</v>
      </c>
      <c r="Y52" s="70">
        <f t="shared" si="11"/>
        <v>97399.164440355104</v>
      </c>
      <c r="Z52" s="70">
        <f t="shared" ca="1" si="12"/>
        <v>35785.40862098222</v>
      </c>
      <c r="AA52" s="70">
        <f ca="1">+SUM(Z52:Z$119)</f>
        <v>855743.33862364886</v>
      </c>
      <c r="AB52" s="10">
        <f t="shared" si="18"/>
        <v>2.0590000000000001E-3</v>
      </c>
      <c r="AC52" s="129">
        <f t="shared" ca="1" si="19"/>
        <v>72.866962972836319</v>
      </c>
      <c r="AD52" s="129">
        <f ca="1">SUM(AC52:$AC$131)</f>
        <v>17144.551879484679</v>
      </c>
      <c r="AE52" s="138"/>
      <c r="AF52" s="137"/>
    </row>
    <row r="53" spans="14:32">
      <c r="N53" s="5">
        <f t="shared" si="9"/>
        <v>46</v>
      </c>
      <c r="O53" s="2">
        <f t="shared" ca="1" si="14"/>
        <v>0.35932499875786211</v>
      </c>
      <c r="P53" s="2">
        <f t="shared" ca="1" si="15"/>
        <v>0.3553495537660053</v>
      </c>
      <c r="Q53" s="91"/>
      <c r="S53" s="43">
        <f t="shared" si="7"/>
        <v>54</v>
      </c>
      <c r="T53" s="2">
        <f t="shared" si="16"/>
        <v>2.235E-3</v>
      </c>
      <c r="U53" s="2">
        <f t="shared" si="17"/>
        <v>0</v>
      </c>
      <c r="V53" s="133">
        <f t="shared" si="10"/>
        <v>97198.619560772408</v>
      </c>
      <c r="W53" s="5">
        <f t="shared" ca="1" si="20"/>
        <v>34925.893852940455</v>
      </c>
      <c r="X53" s="5">
        <f ca="1">+SUM(W53:W$119)</f>
        <v>819957.93000266666</v>
      </c>
      <c r="Y53" s="70">
        <f t="shared" si="11"/>
        <v>97198.619560772408</v>
      </c>
      <c r="Z53" s="70">
        <f t="shared" ca="1" si="12"/>
        <v>34925.893852940455</v>
      </c>
      <c r="AA53" s="70">
        <f ca="1">+SUM(Z53:Z$119)</f>
        <v>819957.93000266666</v>
      </c>
      <c r="AB53" s="10">
        <f t="shared" si="18"/>
        <v>2.235E-3</v>
      </c>
      <c r="AC53" s="129">
        <f t="shared" ca="1" si="19"/>
        <v>77.195751405768547</v>
      </c>
      <c r="AD53" s="129">
        <f ca="1">SUM(AC53:$AC$131)</f>
        <v>17071.684916511844</v>
      </c>
      <c r="AE53" s="138"/>
      <c r="AF53" s="137"/>
    </row>
    <row r="54" spans="14:32">
      <c r="N54" s="5">
        <f t="shared" si="9"/>
        <v>47</v>
      </c>
      <c r="O54" s="2">
        <f t="shared" ca="1" si="14"/>
        <v>0.35141809169473071</v>
      </c>
      <c r="P54" s="2">
        <f t="shared" ca="1" si="15"/>
        <v>0.34753012593252358</v>
      </c>
      <c r="Q54" s="91"/>
      <c r="S54" s="43">
        <f t="shared" si="7"/>
        <v>55</v>
      </c>
      <c r="T54" s="2">
        <f t="shared" si="16"/>
        <v>2.4160000000000002E-3</v>
      </c>
      <c r="U54" s="2">
        <f t="shared" si="17"/>
        <v>0</v>
      </c>
      <c r="V54" s="133">
        <f t="shared" si="10"/>
        <v>96981.38064605408</v>
      </c>
      <c r="W54" s="5">
        <f t="shared" ca="1" si="20"/>
        <v>34081.011716556612</v>
      </c>
      <c r="X54" s="5">
        <f ca="1">+SUM(W54:W$119)</f>
        <v>785032.03614972637</v>
      </c>
      <c r="Y54" s="70">
        <f t="shared" si="11"/>
        <v>96981.38064605408</v>
      </c>
      <c r="Z54" s="70">
        <f t="shared" ca="1" si="12"/>
        <v>34081.011716556612</v>
      </c>
      <c r="AA54" s="70">
        <f ca="1">+SUM(Z54:Z$119)</f>
        <v>785032.03614972637</v>
      </c>
      <c r="AB54" s="10">
        <f t="shared" si="18"/>
        <v>2.4160000000000002E-3</v>
      </c>
      <c r="AC54" s="129">
        <f t="shared" ca="1" si="19"/>
        <v>81.428746652544163</v>
      </c>
      <c r="AD54" s="129">
        <f ca="1">SUM(AC54:$AC$131)</f>
        <v>16994.489165106075</v>
      </c>
      <c r="AE54" s="138"/>
      <c r="AF54" s="137"/>
    </row>
    <row r="55" spans="14:32">
      <c r="N55" s="5">
        <f t="shared" si="9"/>
        <v>48</v>
      </c>
      <c r="O55" s="2">
        <f t="shared" ca="1" si="14"/>
        <v>0.34368517525157044</v>
      </c>
      <c r="P55" s="2">
        <f t="shared" ca="1" si="15"/>
        <v>0.33988276374818926</v>
      </c>
      <c r="Q55" s="91"/>
      <c r="S55" s="43">
        <f t="shared" si="7"/>
        <v>56</v>
      </c>
      <c r="T55" s="2">
        <f t="shared" si="16"/>
        <v>2.6120000000000002E-3</v>
      </c>
      <c r="U55" s="2">
        <f t="shared" si="17"/>
        <v>0</v>
      </c>
      <c r="V55" s="133">
        <f t="shared" si="10"/>
        <v>96747.073630413215</v>
      </c>
      <c r="W55" s="5">
        <f t="shared" ca="1" si="20"/>
        <v>33250.534955745155</v>
      </c>
      <c r="X55" s="5">
        <f ca="1">+SUM(W55:W$119)</f>
        <v>750951.02443316986</v>
      </c>
      <c r="Y55" s="70">
        <f t="shared" si="11"/>
        <v>96747.073630413215</v>
      </c>
      <c r="Z55" s="70">
        <f t="shared" ca="1" si="12"/>
        <v>33250.534955745155</v>
      </c>
      <c r="AA55" s="70">
        <f ca="1">+SUM(Z55:Z$119)</f>
        <v>750951.02443316986</v>
      </c>
      <c r="AB55" s="10">
        <f t="shared" si="18"/>
        <v>2.6120000000000002E-3</v>
      </c>
      <c r="AC55" s="129">
        <f t="shared" ca="1" si="19"/>
        <v>85.889515155382114</v>
      </c>
      <c r="AD55" s="129">
        <f ca="1">SUM(AC55:$AC$131)</f>
        <v>16913.06041845353</v>
      </c>
      <c r="AE55" s="138"/>
      <c r="AF55" s="137"/>
    </row>
    <row r="56" spans="14:32">
      <c r="N56" s="5">
        <f t="shared" si="9"/>
        <v>49</v>
      </c>
      <c r="O56" s="2">
        <f t="shared" ca="1" si="14"/>
        <v>0.33612242078393195</v>
      </c>
      <c r="P56" s="2">
        <f t="shared" ca="1" si="15"/>
        <v>0.33240368092732453</v>
      </c>
      <c r="Q56" s="91"/>
      <c r="S56" s="43">
        <f t="shared" si="7"/>
        <v>57</v>
      </c>
      <c r="T56" s="2">
        <f t="shared" si="16"/>
        <v>2.8389999999999999E-3</v>
      </c>
      <c r="U56" s="2">
        <f t="shared" si="17"/>
        <v>0</v>
      </c>
      <c r="V56" s="133">
        <f t="shared" si="10"/>
        <v>96494.370274090586</v>
      </c>
      <c r="W56" s="5">
        <f t="shared" ca="1" si="20"/>
        <v>32433.921328548411</v>
      </c>
      <c r="X56" s="5">
        <f ca="1">+SUM(W56:W$119)</f>
        <v>717700.48947742453</v>
      </c>
      <c r="Y56" s="70">
        <f t="shared" si="11"/>
        <v>96494.370274090586</v>
      </c>
      <c r="Z56" s="70">
        <f t="shared" ca="1" si="12"/>
        <v>32433.921328548411</v>
      </c>
      <c r="AA56" s="70">
        <f ca="1">+SUM(Z56:Z$119)</f>
        <v>717700.48947742453</v>
      </c>
      <c r="AB56" s="10">
        <f t="shared" si="18"/>
        <v>2.8389999999999999E-3</v>
      </c>
      <c r="AC56" s="129">
        <f t="shared" ca="1" si="19"/>
        <v>91.061163100888365</v>
      </c>
      <c r="AD56" s="129">
        <f ca="1">SUM(AC56:$AC$131)</f>
        <v>16827.170903298149</v>
      </c>
      <c r="AE56" s="138"/>
      <c r="AF56" s="137"/>
    </row>
    <row r="57" spans="14:32">
      <c r="N57" s="5">
        <f t="shared" si="9"/>
        <v>50</v>
      </c>
      <c r="O57" s="2">
        <f t="shared" ca="1" si="14"/>
        <v>0.32872608389626606</v>
      </c>
      <c r="P57" s="2">
        <f t="shared" ca="1" si="15"/>
        <v>0.3250891745010509</v>
      </c>
      <c r="Q57" s="91"/>
      <c r="S57" s="43">
        <f t="shared" si="7"/>
        <v>58</v>
      </c>
      <c r="T57" s="2">
        <f t="shared" si="16"/>
        <v>3.107E-3</v>
      </c>
      <c r="U57" s="2">
        <f t="shared" si="17"/>
        <v>0</v>
      </c>
      <c r="V57" s="133">
        <f t="shared" si="10"/>
        <v>96220.422756882443</v>
      </c>
      <c r="W57" s="5">
        <f t="shared" ca="1" si="20"/>
        <v>31630.162763713128</v>
      </c>
      <c r="X57" s="5">
        <f ca="1">+SUM(W57:W$119)</f>
        <v>685266.56814887619</v>
      </c>
      <c r="Y57" s="70">
        <f t="shared" si="11"/>
        <v>96220.422756882443</v>
      </c>
      <c r="Z57" s="70">
        <f t="shared" ca="1" si="12"/>
        <v>31630.162763713128</v>
      </c>
      <c r="AA57" s="70">
        <f ca="1">+SUM(Z57:Z$119)</f>
        <v>685266.56814887619</v>
      </c>
      <c r="AB57" s="10">
        <f t="shared" si="18"/>
        <v>3.107E-3</v>
      </c>
      <c r="AC57" s="129">
        <f t="shared" ca="1" si="19"/>
        <v>97.187636717578073</v>
      </c>
      <c r="AD57" s="129">
        <f ca="1">SUM(AC57:$AC$131)</f>
        <v>16736.109740197258</v>
      </c>
      <c r="AE57" s="138"/>
      <c r="AF57" s="137"/>
    </row>
    <row r="58" spans="14:32">
      <c r="N58" s="5">
        <f t="shared" si="9"/>
        <v>51</v>
      </c>
      <c r="O58" s="2">
        <f t="shared" ca="1" si="14"/>
        <v>0.32149250258803524</v>
      </c>
      <c r="P58" s="2">
        <f t="shared" ca="1" si="15"/>
        <v>0.31793562298391287</v>
      </c>
      <c r="Q58" s="91"/>
      <c r="S58" s="43">
        <f t="shared" si="7"/>
        <v>59</v>
      </c>
      <c r="T58" s="2">
        <f t="shared" si="16"/>
        <v>3.3990000000000001E-3</v>
      </c>
      <c r="U58" s="2">
        <f t="shared" si="17"/>
        <v>0</v>
      </c>
      <c r="V58" s="133">
        <f t="shared" si="10"/>
        <v>95921.465903376811</v>
      </c>
      <c r="W58" s="5">
        <f t="shared" ca="1" si="20"/>
        <v>30838.032125189504</v>
      </c>
      <c r="X58" s="5">
        <f ca="1">+SUM(W58:W$119)</f>
        <v>653636.40538516303</v>
      </c>
      <c r="Y58" s="70">
        <f t="shared" si="11"/>
        <v>95921.465903376811</v>
      </c>
      <c r="Z58" s="70">
        <f t="shared" ca="1" si="12"/>
        <v>30838.032125189504</v>
      </c>
      <c r="AA58" s="70">
        <f ca="1">+SUM(Z58:Z$119)</f>
        <v>653636.40538516303</v>
      </c>
      <c r="AB58" s="10">
        <f t="shared" si="18"/>
        <v>3.3990000000000001E-3</v>
      </c>
      <c r="AC58" s="129">
        <f t="shared" ca="1" si="19"/>
        <v>103.65879661534937</v>
      </c>
      <c r="AD58" s="129">
        <f ca="1">SUM(AC58:$AC$131)</f>
        <v>16638.922103479683</v>
      </c>
      <c r="AE58" s="138"/>
      <c r="AF58" s="137"/>
    </row>
    <row r="59" spans="14:32">
      <c r="N59" s="5">
        <f t="shared" si="9"/>
        <v>52</v>
      </c>
      <c r="O59" s="2">
        <f t="shared" ca="1" si="14"/>
        <v>0.31441809544062127</v>
      </c>
      <c r="P59" s="2">
        <f t="shared" ca="1" si="15"/>
        <v>0.31093948458084386</v>
      </c>
      <c r="Q59" s="91"/>
      <c r="S59" s="43">
        <f t="shared" si="7"/>
        <v>60</v>
      </c>
      <c r="T59" s="2">
        <f t="shared" si="16"/>
        <v>3.7030000000000001E-3</v>
      </c>
      <c r="U59" s="2">
        <f t="shared" si="17"/>
        <v>0</v>
      </c>
      <c r="V59" s="133">
        <f t="shared" si="10"/>
        <v>95595.42884077123</v>
      </c>
      <c r="W59" s="5">
        <f t="shared" ca="1" si="20"/>
        <v>30056.932668944726</v>
      </c>
      <c r="X59" s="5">
        <f ca="1">+SUM(W59:W$119)</f>
        <v>622798.3732599736</v>
      </c>
      <c r="Y59" s="70">
        <f t="shared" si="11"/>
        <v>95595.42884077123</v>
      </c>
      <c r="Z59" s="70">
        <f t="shared" ca="1" si="12"/>
        <v>30056.932668944726</v>
      </c>
      <c r="AA59" s="70">
        <f ca="1">+SUM(Z59:Z$119)</f>
        <v>622798.3732599736</v>
      </c>
      <c r="AB59" s="10">
        <f t="shared" si="18"/>
        <v>3.7030000000000001E-3</v>
      </c>
      <c r="AC59" s="129">
        <f t="shared" ca="1" si="19"/>
        <v>110.06942865664243</v>
      </c>
      <c r="AD59" s="129">
        <f ca="1">SUM(AC59:$AC$131)</f>
        <v>16535.263306864334</v>
      </c>
      <c r="AE59" s="138"/>
      <c r="AF59" s="137"/>
    </row>
    <row r="60" spans="14:32">
      <c r="N60" s="5">
        <f t="shared" si="9"/>
        <v>53</v>
      </c>
      <c r="O60" s="2">
        <f t="shared" ca="1" si="14"/>
        <v>0.30749935984412835</v>
      </c>
      <c r="P60" s="2">
        <f t="shared" ca="1" si="15"/>
        <v>0.30409729543358816</v>
      </c>
      <c r="Q60" s="91"/>
      <c r="S60" s="43">
        <f t="shared" si="7"/>
        <v>61</v>
      </c>
      <c r="T60" s="2">
        <f t="shared" si="16"/>
        <v>4.0359999999999997E-3</v>
      </c>
      <c r="U60" s="2">
        <f t="shared" si="17"/>
        <v>0</v>
      </c>
      <c r="V60" s="133">
        <f t="shared" si="10"/>
        <v>95241.438967773851</v>
      </c>
      <c r="W60" s="5">
        <f t="shared" ca="1" si="20"/>
        <v>29286.681513224081</v>
      </c>
      <c r="X60" s="5">
        <f ca="1">+SUM(W60:W$119)</f>
        <v>592741.44059102901</v>
      </c>
      <c r="Y60" s="70">
        <f t="shared" si="11"/>
        <v>95241.438967773851</v>
      </c>
      <c r="Z60" s="70">
        <f t="shared" ca="1" si="12"/>
        <v>29286.681513224081</v>
      </c>
      <c r="AA60" s="70">
        <f ca="1">+SUM(Z60:Z$119)</f>
        <v>592741.44059102901</v>
      </c>
      <c r="AB60" s="10">
        <f t="shared" si="18"/>
        <v>4.0359999999999997E-3</v>
      </c>
      <c r="AC60" s="129">
        <f t="shared" ca="1" si="19"/>
        <v>116.89331191733163</v>
      </c>
      <c r="AD60" s="129">
        <f ca="1">SUM(AC60:$AC$131)</f>
        <v>16425.193878207694</v>
      </c>
      <c r="AE60" s="138"/>
      <c r="AF60" s="137"/>
    </row>
    <row r="61" spans="14:32">
      <c r="N61" s="5">
        <f t="shared" si="9"/>
        <v>54</v>
      </c>
      <c r="O61" s="2">
        <f t="shared" ca="1" si="14"/>
        <v>0.30073287026320628</v>
      </c>
      <c r="P61" s="2">
        <f t="shared" ca="1" si="15"/>
        <v>0.29740566790570971</v>
      </c>
      <c r="Q61" s="91"/>
      <c r="S61" s="43">
        <f t="shared" si="7"/>
        <v>62</v>
      </c>
      <c r="T61" s="2">
        <f t="shared" si="16"/>
        <v>4.4289999999999998E-3</v>
      </c>
      <c r="U61" s="2">
        <f t="shared" si="17"/>
        <v>0</v>
      </c>
      <c r="V61" s="133">
        <f t="shared" si="10"/>
        <v>94857.044520099909</v>
      </c>
      <c r="W61" s="5">
        <f t="shared" ca="1" si="20"/>
        <v>28526.631263214389</v>
      </c>
      <c r="X61" s="5">
        <f ca="1">+SUM(W61:W$119)</f>
        <v>563454.75907780498</v>
      </c>
      <c r="Y61" s="70">
        <f t="shared" si="11"/>
        <v>94857.044520099909</v>
      </c>
      <c r="Z61" s="70">
        <f t="shared" ca="1" si="12"/>
        <v>28526.631263214389</v>
      </c>
      <c r="AA61" s="70">
        <f ca="1">+SUM(Z61:Z$119)</f>
        <v>563454.75907780498</v>
      </c>
      <c r="AB61" s="10">
        <f t="shared" si="18"/>
        <v>4.4289999999999998E-3</v>
      </c>
      <c r="AC61" s="129">
        <f t="shared" ca="1" si="19"/>
        <v>124.9466194544234</v>
      </c>
      <c r="AD61" s="129">
        <f ca="1">SUM(AC61:$AC$131)</f>
        <v>16308.300566290358</v>
      </c>
      <c r="AE61" s="138"/>
      <c r="AF61" s="137"/>
    </row>
    <row r="62" spans="14:32">
      <c r="N62" s="5">
        <f t="shared" si="9"/>
        <v>55</v>
      </c>
      <c r="O62" s="2">
        <f t="shared" ca="1" si="14"/>
        <v>0.29411527654103309</v>
      </c>
      <c r="P62" s="2">
        <f t="shared" ca="1" si="15"/>
        <v>0.29086128890533958</v>
      </c>
      <c r="Q62" s="91"/>
      <c r="S62" s="43">
        <f t="shared" si="7"/>
        <v>63</v>
      </c>
      <c r="T62" s="2">
        <f t="shared" si="16"/>
        <v>4.9030000000000002E-3</v>
      </c>
      <c r="U62" s="2">
        <f t="shared" si="17"/>
        <v>0</v>
      </c>
      <c r="V62" s="133">
        <f t="shared" si="10"/>
        <v>94436.922669920386</v>
      </c>
      <c r="W62" s="5">
        <f t="shared" ca="1" si="20"/>
        <v>27775.341626747791</v>
      </c>
      <c r="X62" s="5">
        <f ca="1">+SUM(W62:W$119)</f>
        <v>534928.12781459058</v>
      </c>
      <c r="Y62" s="70">
        <f t="shared" si="11"/>
        <v>94436.922669920386</v>
      </c>
      <c r="Z62" s="70">
        <f t="shared" ca="1" si="12"/>
        <v>27775.341626747791</v>
      </c>
      <c r="AA62" s="70">
        <f ca="1">+SUM(Z62:Z$119)</f>
        <v>534928.12781459058</v>
      </c>
      <c r="AB62" s="10">
        <f t="shared" si="18"/>
        <v>4.9030000000000002E-3</v>
      </c>
      <c r="AC62" s="129">
        <f t="shared" ca="1" si="19"/>
        <v>134.67582487047602</v>
      </c>
      <c r="AD62" s="129">
        <f ca="1">SUM(AC62:$AC$131)</f>
        <v>16183.353946835936</v>
      </c>
      <c r="AE62" s="138"/>
      <c r="AF62" s="137"/>
    </row>
    <row r="63" spans="14:32">
      <c r="N63" s="5">
        <f t="shared" si="9"/>
        <v>56</v>
      </c>
      <c r="O63" s="2">
        <f t="shared" ca="1" si="14"/>
        <v>0.28764330224061913</v>
      </c>
      <c r="P63" s="2">
        <f t="shared" ca="1" si="15"/>
        <v>0.28446091824483094</v>
      </c>
      <c r="Q63" s="91"/>
      <c r="S63" s="43">
        <f t="shared" si="7"/>
        <v>64</v>
      </c>
      <c r="T63" s="2">
        <f t="shared" si="16"/>
        <v>5.4289999999999998E-3</v>
      </c>
      <c r="U63" s="2">
        <f t="shared" si="17"/>
        <v>0</v>
      </c>
      <c r="V63" s="133">
        <f t="shared" si="10"/>
        <v>93973.898438069766</v>
      </c>
      <c r="W63" s="5">
        <f t="shared" ca="1" si="20"/>
        <v>27030.962471150946</v>
      </c>
      <c r="X63" s="5">
        <f ca="1">+SUM(W63:W$119)</f>
        <v>507152.78618784313</v>
      </c>
      <c r="Y63" s="70">
        <f t="shared" si="11"/>
        <v>93973.898438069766</v>
      </c>
      <c r="Z63" s="70">
        <f t="shared" ca="1" si="12"/>
        <v>27030.962471150946</v>
      </c>
      <c r="AA63" s="70">
        <f ca="1">+SUM(Z63:Z$119)</f>
        <v>507152.78618784313</v>
      </c>
      <c r="AB63" s="10">
        <f t="shared" si="18"/>
        <v>5.4289999999999998E-3</v>
      </c>
      <c r="AC63" s="129">
        <f t="shared" ca="1" si="19"/>
        <v>145.12749292177642</v>
      </c>
      <c r="AD63" s="129">
        <f ca="1">SUM(AC63:$AC$131)</f>
        <v>16048.67812196546</v>
      </c>
      <c r="AE63" s="138"/>
      <c r="AF63" s="137"/>
    </row>
    <row r="64" spans="14:32">
      <c r="N64" s="5">
        <f t="shared" si="9"/>
        <v>57</v>
      </c>
      <c r="O64" s="2">
        <f t="shared" ca="1" si="14"/>
        <v>0.28131374302261047</v>
      </c>
      <c r="P64" s="2">
        <f t="shared" ca="1" si="15"/>
        <v>0.27820138703650948</v>
      </c>
      <c r="Q64" s="91"/>
      <c r="S64" s="43">
        <f t="shared" si="7"/>
        <v>65</v>
      </c>
      <c r="T64" s="2">
        <f t="shared" si="16"/>
        <v>5.9800000000000001E-3</v>
      </c>
      <c r="U64" s="2">
        <f t="shared" si="17"/>
        <v>0</v>
      </c>
      <c r="V64" s="133">
        <f t="shared" si="10"/>
        <v>93463.714143449484</v>
      </c>
      <c r="W64" s="5">
        <f t="shared" ca="1" si="20"/>
        <v>26292.627262489073</v>
      </c>
      <c r="X64" s="5">
        <f ca="1">+SUM(W64:W$119)</f>
        <v>480121.82371669216</v>
      </c>
      <c r="Y64" s="70">
        <f t="shared" si="11"/>
        <v>93463.714143449484</v>
      </c>
      <c r="Z64" s="70">
        <f t="shared" ca="1" si="12"/>
        <v>26292.627262489073</v>
      </c>
      <c r="AA64" s="70">
        <f ca="1">+SUM(Z64:Z$119)</f>
        <v>480121.82371669216</v>
      </c>
      <c r="AB64" s="10">
        <f t="shared" si="18"/>
        <v>5.9800000000000001E-3</v>
      </c>
      <c r="AC64" s="129">
        <f t="shared" ca="1" si="19"/>
        <v>155.49037477550303</v>
      </c>
      <c r="AD64" s="129">
        <f ca="1">SUM(AC64:$AC$131)</f>
        <v>15903.550629043684</v>
      </c>
      <c r="AE64" s="138"/>
      <c r="AF64" s="137"/>
    </row>
    <row r="65" spans="14:32">
      <c r="N65" s="5">
        <f t="shared" si="9"/>
        <v>58</v>
      </c>
      <c r="O65" s="2">
        <f t="shared" ca="1" si="14"/>
        <v>0.27512346505878776</v>
      </c>
      <c r="P65" s="2">
        <f t="shared" ca="1" si="15"/>
        <v>0.27207959612372562</v>
      </c>
      <c r="Q65" s="91"/>
      <c r="S65" s="43">
        <f t="shared" si="7"/>
        <v>66</v>
      </c>
      <c r="T65" s="2">
        <f t="shared" si="16"/>
        <v>6.5709999999999996E-3</v>
      </c>
      <c r="U65" s="2">
        <f t="shared" si="17"/>
        <v>0</v>
      </c>
      <c r="V65" s="133">
        <f t="shared" si="10"/>
        <v>92904.801132871653</v>
      </c>
      <c r="W65" s="5">
        <f t="shared" ca="1" si="20"/>
        <v>25560.290808273239</v>
      </c>
      <c r="X65" s="5">
        <f ca="1">+SUM(W65:W$119)</f>
        <v>453829.19645420311</v>
      </c>
      <c r="Y65" s="70">
        <f t="shared" si="11"/>
        <v>92904.801132871653</v>
      </c>
      <c r="Z65" s="70">
        <f t="shared" ca="1" si="12"/>
        <v>25560.290808273239</v>
      </c>
      <c r="AA65" s="70">
        <f ca="1">+SUM(Z65:Z$119)</f>
        <v>453829.19645420311</v>
      </c>
      <c r="AB65" s="10">
        <f t="shared" si="18"/>
        <v>6.5709999999999996E-3</v>
      </c>
      <c r="AC65" s="129">
        <f t="shared" ca="1" si="19"/>
        <v>166.09845756089723</v>
      </c>
      <c r="AD65" s="129">
        <f ca="1">SUM(AC65:$AC$131)</f>
        <v>15748.060254268183</v>
      </c>
      <c r="AE65" s="138"/>
      <c r="AF65" s="137"/>
    </row>
    <row r="66" spans="14:32">
      <c r="N66" s="5">
        <f t="shared" si="9"/>
        <v>59</v>
      </c>
      <c r="O66" s="2">
        <f t="shared" ca="1" si="14"/>
        <v>0.26906940348047709</v>
      </c>
      <c r="P66" s="2">
        <f t="shared" ca="1" si="15"/>
        <v>0.2660925145464309</v>
      </c>
      <c r="Q66" s="91"/>
      <c r="S66" s="43">
        <f t="shared" si="7"/>
        <v>67</v>
      </c>
      <c r="T66" s="2">
        <f t="shared" si="16"/>
        <v>7.2459999999999998E-3</v>
      </c>
      <c r="U66" s="2">
        <f t="shared" si="17"/>
        <v>0</v>
      </c>
      <c r="V66" s="133">
        <f t="shared" si="10"/>
        <v>92294.323684627554</v>
      </c>
      <c r="W66" s="5">
        <f t="shared" ca="1" si="20"/>
        <v>24833.578618456802</v>
      </c>
      <c r="X66" s="5">
        <f ca="1">+SUM(W66:W$119)</f>
        <v>428268.90564592992</v>
      </c>
      <c r="Y66" s="70">
        <f t="shared" si="11"/>
        <v>92294.323684627554</v>
      </c>
      <c r="Z66" s="70">
        <f t="shared" ca="1" si="12"/>
        <v>24833.578618456802</v>
      </c>
      <c r="AA66" s="70">
        <f ca="1">+SUM(Z66:Z$119)</f>
        <v>428268.90564592992</v>
      </c>
      <c r="AB66" s="10">
        <f t="shared" si="18"/>
        <v>7.2459999999999998E-3</v>
      </c>
      <c r="AC66" s="129">
        <f t="shared" ca="1" si="19"/>
        <v>177.95327252546406</v>
      </c>
      <c r="AD66" s="129">
        <f ca="1">SUM(AC66:$AC$131)</f>
        <v>15581.961796707283</v>
      </c>
      <c r="AE66" s="138"/>
      <c r="AF66" s="137"/>
    </row>
    <row r="67" spans="14:32">
      <c r="N67" s="5">
        <f t="shared" si="9"/>
        <v>60</v>
      </c>
      <c r="O67" s="2">
        <f t="shared" ca="1" si="14"/>
        <v>0.26314856086110222</v>
      </c>
      <c r="P67" s="2">
        <f t="shared" ca="1" si="15"/>
        <v>0.26023717804051927</v>
      </c>
      <c r="Q67" s="91"/>
      <c r="S67" s="43">
        <f t="shared" si="7"/>
        <v>68</v>
      </c>
      <c r="T67" s="2">
        <f t="shared" si="16"/>
        <v>8.0370000000000007E-3</v>
      </c>
      <c r="U67" s="2">
        <f t="shared" si="17"/>
        <v>0</v>
      </c>
      <c r="V67" s="133">
        <f t="shared" si="10"/>
        <v>91625.559015208739</v>
      </c>
      <c r="W67" s="5">
        <f t="shared" ca="1" si="20"/>
        <v>24111.133992946168</v>
      </c>
      <c r="X67" s="5">
        <f ca="1">+SUM(W67:W$119)</f>
        <v>403435.32702747313</v>
      </c>
      <c r="Y67" s="70">
        <f t="shared" si="11"/>
        <v>91625.559015208739</v>
      </c>
      <c r="Z67" s="70">
        <f t="shared" ca="1" si="12"/>
        <v>24111.133992946168</v>
      </c>
      <c r="AA67" s="70">
        <f ca="1">+SUM(Z67:Z$119)</f>
        <v>403435.32702747313</v>
      </c>
      <c r="AB67" s="10">
        <f t="shared" si="18"/>
        <v>8.0370000000000007E-3</v>
      </c>
      <c r="AC67" s="129">
        <f t="shared" ca="1" si="19"/>
        <v>191.63725726186047</v>
      </c>
      <c r="AD67" s="129">
        <f ca="1">SUM(AC67:$AC$131)</f>
        <v>15404.008524181821</v>
      </c>
      <c r="AE67" s="138"/>
      <c r="AF67" s="137"/>
    </row>
    <row r="68" spans="14:32">
      <c r="N68" s="5">
        <f t="shared" si="9"/>
        <v>61</v>
      </c>
      <c r="O68" s="2">
        <f t="shared" ca="1" si="14"/>
        <v>0.2573580057321293</v>
      </c>
      <c r="P68" s="2">
        <f t="shared" ca="1" si="15"/>
        <v>0.25451068757019002</v>
      </c>
      <c r="Q68" s="91"/>
      <c r="S68" s="43">
        <f t="shared" si="7"/>
        <v>69</v>
      </c>
      <c r="T68" s="2">
        <f t="shared" si="16"/>
        <v>8.8749999999999992E-3</v>
      </c>
      <c r="U68" s="2">
        <f t="shared" si="17"/>
        <v>0</v>
      </c>
      <c r="V68" s="133">
        <f t="shared" si="10"/>
        <v>90889.164397403511</v>
      </c>
      <c r="W68" s="5">
        <f t="shared" ca="1" si="20"/>
        <v>23391.054091975417</v>
      </c>
      <c r="X68" s="5">
        <f ca="1">+SUM(W68:W$119)</f>
        <v>379324.19303452695</v>
      </c>
      <c r="Y68" s="70">
        <f t="shared" si="11"/>
        <v>90889.164397403511</v>
      </c>
      <c r="Z68" s="70">
        <f t="shared" ca="1" si="12"/>
        <v>23391.054091975417</v>
      </c>
      <c r="AA68" s="70">
        <f ca="1">+SUM(Z68:Z$119)</f>
        <v>379324.19303452695</v>
      </c>
      <c r="AB68" s="10">
        <f t="shared" si="18"/>
        <v>8.8749999999999992E-3</v>
      </c>
      <c r="AC68" s="129">
        <f t="shared" ca="1" si="19"/>
        <v>205.29884054573591</v>
      </c>
      <c r="AD68" s="129">
        <f ca="1">SUM(AC68:$AC$131)</f>
        <v>15212.371266919961</v>
      </c>
      <c r="AE68" s="138"/>
      <c r="AF68" s="137"/>
    </row>
    <row r="69" spans="14:32">
      <c r="N69" s="5">
        <f t="shared" si="9"/>
        <v>62</v>
      </c>
      <c r="O69" s="2">
        <f t="shared" ca="1" si="14"/>
        <v>0.25169487113166683</v>
      </c>
      <c r="P69" s="2">
        <f t="shared" ca="1" si="15"/>
        <v>0.24891020789260637</v>
      </c>
      <c r="Q69" s="91"/>
      <c r="S69" s="43">
        <f t="shared" si="7"/>
        <v>70</v>
      </c>
      <c r="T69" s="2">
        <f t="shared" si="16"/>
        <v>9.7429999999999999E-3</v>
      </c>
      <c r="U69" s="2">
        <f t="shared" si="17"/>
        <v>0</v>
      </c>
      <c r="V69" s="133">
        <f t="shared" si="10"/>
        <v>90082.52306337656</v>
      </c>
      <c r="W69" s="5">
        <f t="shared" ca="1" si="20"/>
        <v>22673.309033651967</v>
      </c>
      <c r="X69" s="5">
        <f ca="1">+SUM(W69:W$119)</f>
        <v>355933.13894255151</v>
      </c>
      <c r="Y69" s="70">
        <f t="shared" si="11"/>
        <v>90082.52306337656</v>
      </c>
      <c r="Z69" s="70">
        <f t="shared" ca="1" si="12"/>
        <v>22673.309033651967</v>
      </c>
      <c r="AA69" s="70">
        <f ca="1">+SUM(Z69:Z$119)</f>
        <v>355933.13894255151</v>
      </c>
      <c r="AB69" s="10">
        <f t="shared" si="18"/>
        <v>9.7429999999999999E-3</v>
      </c>
      <c r="AC69" s="129">
        <f t="shared" ca="1" si="19"/>
        <v>218.46202332935442</v>
      </c>
      <c r="AD69" s="129">
        <f ca="1">SUM(AC69:$AC$131)</f>
        <v>15007.072426374225</v>
      </c>
      <c r="AE69" s="138"/>
      <c r="AF69" s="137"/>
    </row>
    <row r="70" spans="14:32">
      <c r="N70" s="5">
        <f t="shared" si="9"/>
        <v>63</v>
      </c>
      <c r="O70" s="2">
        <f t="shared" ca="1" si="14"/>
        <v>0.24615635318500426</v>
      </c>
      <c r="P70" s="2">
        <f t="shared" ca="1" si="15"/>
        <v>0.24343296615413826</v>
      </c>
      <c r="Q70" s="91"/>
      <c r="S70" s="43">
        <f t="shared" si="7"/>
        <v>71</v>
      </c>
      <c r="T70" s="2">
        <f t="shared" si="16"/>
        <v>1.0746E-2</v>
      </c>
      <c r="U70" s="2">
        <f t="shared" si="17"/>
        <v>0</v>
      </c>
      <c r="V70" s="133">
        <f t="shared" si="10"/>
        <v>89204.849041170091</v>
      </c>
      <c r="W70" s="5">
        <f t="shared" ca="1" si="20"/>
        <v>21958.340326393252</v>
      </c>
      <c r="X70" s="5">
        <f ca="1">+SUM(W70:W$119)</f>
        <v>333259.82990889956</v>
      </c>
      <c r="Y70" s="70">
        <f t="shared" si="11"/>
        <v>89204.849041170091</v>
      </c>
      <c r="Z70" s="70">
        <f t="shared" ca="1" si="12"/>
        <v>21958.340326393252</v>
      </c>
      <c r="AA70" s="70">
        <f ca="1">+SUM(Z70:Z$119)</f>
        <v>333259.82990889956</v>
      </c>
      <c r="AB70" s="10">
        <f t="shared" si="18"/>
        <v>1.0746E-2</v>
      </c>
      <c r="AC70" s="129">
        <f t="shared" ca="1" si="19"/>
        <v>233.35369911832015</v>
      </c>
      <c r="AD70" s="129">
        <f ca="1">SUM(AC70:$AC$131)</f>
        <v>14788.610403044868</v>
      </c>
      <c r="AE70" s="138"/>
      <c r="AF70" s="137"/>
    </row>
    <row r="71" spans="14:32">
      <c r="N71" s="5">
        <f t="shared" si="9"/>
        <v>64</v>
      </c>
      <c r="O71" s="2">
        <f t="shared" ref="O71:O102" ca="1" si="21">+(1+i)^-N71</f>
        <v>0.24073970971638561</v>
      </c>
      <c r="P71" s="2">
        <f t="shared" ref="P71:P102" ca="1" si="22">+(1+i)^-(N71+0.5)</f>
        <v>0.23807625051749462</v>
      </c>
      <c r="Q71" s="91"/>
      <c r="S71" s="43">
        <f t="shared" si="7"/>
        <v>72</v>
      </c>
      <c r="T71" s="2">
        <f t="shared" ref="T71:T102" si="23">IFERROR(VLOOKUP($S71,qx_table,MATCH(T$6,qx_title,0)+sexD,FALSE),0)</f>
        <v>1.2047E-2</v>
      </c>
      <c r="U71" s="2">
        <f t="shared" ref="U71:U102" si="24">IFERROR(VLOOKUP($S71,qx_table,MATCH(U$6,qx_title,0)+sexD,FALSE)*$B$21,0)</f>
        <v>0</v>
      </c>
      <c r="V71" s="133">
        <f t="shared" si="10"/>
        <v>88246.253733373669</v>
      </c>
      <c r="W71" s="5">
        <f t="shared" ca="1" si="20"/>
        <v>21244.377507330886</v>
      </c>
      <c r="X71" s="5">
        <f ca="1">+SUM(W71:W$119)</f>
        <v>311301.48958250618</v>
      </c>
      <c r="Y71" s="70">
        <f t="shared" si="11"/>
        <v>88246.253733373669</v>
      </c>
      <c r="Z71" s="70">
        <f t="shared" ca="1" si="12"/>
        <v>21244.377507330886</v>
      </c>
      <c r="AA71" s="70">
        <f ca="1">+SUM(Z71:Z$119)</f>
        <v>311301.48958250618</v>
      </c>
      <c r="AB71" s="10">
        <f t="shared" ref="AB71:AB107" si="25">T71</f>
        <v>1.2047E-2</v>
      </c>
      <c r="AC71" s="129">
        <f t="shared" ref="AC71:AC102" ca="1" si="26">$V71*AB71*$P71</f>
        <v>253.09948538160447</v>
      </c>
      <c r="AD71" s="129">
        <f ca="1">SUM(AC71:$AC$131)</f>
        <v>14555.256703926547</v>
      </c>
      <c r="AE71" s="138"/>
      <c r="AF71" s="137"/>
    </row>
    <row r="72" spans="14:32">
      <c r="N72" s="5">
        <f t="shared" si="9"/>
        <v>65</v>
      </c>
      <c r="O72" s="2">
        <f t="shared" ca="1" si="21"/>
        <v>0.23544225889133066</v>
      </c>
      <c r="P72" s="2">
        <f t="shared" ca="1" si="22"/>
        <v>0.2328374088190657</v>
      </c>
      <c r="Q72" s="91"/>
      <c r="S72" s="43">
        <f t="shared" ref="S72:S119" si="27">+S71+1</f>
        <v>73</v>
      </c>
      <c r="T72" s="2">
        <f t="shared" si="23"/>
        <v>1.3735000000000001E-2</v>
      </c>
      <c r="U72" s="2">
        <f t="shared" si="24"/>
        <v>0</v>
      </c>
      <c r="V72" s="133">
        <f t="shared" si="10"/>
        <v>87183.151114647713</v>
      </c>
      <c r="W72" s="5">
        <f t="shared" ref="W72:W103" ca="1" si="28">+V72*O72</f>
        <v>20526.59803569689</v>
      </c>
      <c r="X72" s="5">
        <f ca="1">+SUM(W72:W$119)</f>
        <v>290057.11207517533</v>
      </c>
      <c r="Y72" s="70">
        <f t="shared" si="11"/>
        <v>87183.151114647713</v>
      </c>
      <c r="Z72" s="70">
        <f t="shared" ca="1" si="12"/>
        <v>20526.59803569689</v>
      </c>
      <c r="AA72" s="70">
        <f ca="1">+SUM(Z72:Z$119)</f>
        <v>290057.11207517533</v>
      </c>
      <c r="AB72" s="10">
        <f t="shared" si="25"/>
        <v>1.3735000000000001E-2</v>
      </c>
      <c r="AC72" s="129">
        <f t="shared" ca="1" si="26"/>
        <v>278.81361874049145</v>
      </c>
      <c r="AD72" s="129">
        <f ca="1">SUM(AC72:$AC$131)</f>
        <v>14302.157218544942</v>
      </c>
      <c r="AE72" s="138"/>
      <c r="AF72" s="137"/>
    </row>
    <row r="73" spans="14:32">
      <c r="N73" s="5">
        <f t="shared" ref="N73:N119" si="29">+N72+1</f>
        <v>66</v>
      </c>
      <c r="O73" s="2">
        <f t="shared" ca="1" si="21"/>
        <v>0.23026137788883197</v>
      </c>
      <c r="P73" s="2">
        <f t="shared" ca="1" si="22"/>
        <v>0.22771384725580995</v>
      </c>
      <c r="Q73" s="91"/>
      <c r="S73" s="43">
        <f t="shared" si="27"/>
        <v>74</v>
      </c>
      <c r="T73" s="2">
        <f t="shared" si="23"/>
        <v>1.5688000000000001E-2</v>
      </c>
      <c r="U73" s="2">
        <f t="shared" si="24"/>
        <v>0</v>
      </c>
      <c r="V73" s="133">
        <f t="shared" ref="V73:V119" si="30">IFERROR(V72*(1-T72),0)</f>
        <v>85985.690534088018</v>
      </c>
      <c r="W73" s="5">
        <f t="shared" ca="1" si="28"/>
        <v>19799.183581101803</v>
      </c>
      <c r="X73" s="5">
        <f ca="1">+SUM(W73:W$119)</f>
        <v>269530.51403947838</v>
      </c>
      <c r="Y73" s="70">
        <f t="shared" ref="Y73:Y119" si="31">IFERROR(Y72*(1-T72)*(1-U72*(1-T72/2)/(1-T72)),0)</f>
        <v>85985.690534088018</v>
      </c>
      <c r="Z73" s="70">
        <f t="shared" ref="Z73:Z107" ca="1" si="32">+Y73*$O73</f>
        <v>19799.183581101803</v>
      </c>
      <c r="AA73" s="70">
        <f ca="1">+SUM(Z73:Z$119)</f>
        <v>269530.51403947838</v>
      </c>
      <c r="AB73" s="10">
        <f t="shared" si="25"/>
        <v>1.5688000000000001E-2</v>
      </c>
      <c r="AC73" s="129">
        <f t="shared" ca="1" si="26"/>
        <v>307.17311709848963</v>
      </c>
      <c r="AD73" s="129">
        <f ca="1">SUM(AC73:$AC$131)</f>
        <v>14023.34359980445</v>
      </c>
      <c r="AE73" s="138"/>
      <c r="AF73" s="137"/>
    </row>
    <row r="74" spans="14:32">
      <c r="N74" s="5">
        <f t="shared" si="29"/>
        <v>67</v>
      </c>
      <c r="O74" s="2">
        <f t="shared" ca="1" si="21"/>
        <v>0.22519450160276969</v>
      </c>
      <c r="P74" s="2">
        <f t="shared" ca="1" si="22"/>
        <v>0.22270302910103662</v>
      </c>
      <c r="Q74" s="91"/>
      <c r="S74" s="43">
        <f t="shared" si="27"/>
        <v>75</v>
      </c>
      <c r="T74" s="2">
        <f t="shared" si="23"/>
        <v>1.7767999999999999E-2</v>
      </c>
      <c r="U74" s="2">
        <f t="shared" si="24"/>
        <v>0</v>
      </c>
      <c r="V74" s="133">
        <f t="shared" si="30"/>
        <v>84636.747020989249</v>
      </c>
      <c r="W74" s="5">
        <f t="shared" ca="1" si="28"/>
        <v>19059.730062671377</v>
      </c>
      <c r="X74" s="5">
        <f ca="1">+SUM(W74:W$119)</f>
        <v>249731.33045837653</v>
      </c>
      <c r="Y74" s="70">
        <f t="shared" si="31"/>
        <v>84636.747020989249</v>
      </c>
      <c r="Z74" s="70">
        <f t="shared" ca="1" si="32"/>
        <v>19059.730062671377</v>
      </c>
      <c r="AA74" s="70">
        <f ca="1">+SUM(Z74:Z$119)</f>
        <v>249731.33045837653</v>
      </c>
      <c r="AB74" s="10">
        <f t="shared" si="25"/>
        <v>1.7767999999999999E-2</v>
      </c>
      <c r="AC74" s="129">
        <f t="shared" ca="1" si="26"/>
        <v>334.90654332210283</v>
      </c>
      <c r="AD74" s="129">
        <f ca="1">SUM(AC74:$AC$131)</f>
        <v>13716.170482705964</v>
      </c>
      <c r="AE74" s="138"/>
      <c r="AF74" s="137"/>
    </row>
    <row r="75" spans="14:32">
      <c r="N75" s="5">
        <f t="shared" si="29"/>
        <v>68</v>
      </c>
      <c r="O75" s="2">
        <f t="shared" ca="1" si="21"/>
        <v>0.22023912137190188</v>
      </c>
      <c r="P75" s="2">
        <f t="shared" ca="1" si="22"/>
        <v>0.21780247344844658</v>
      </c>
      <c r="Q75" s="91"/>
      <c r="S75" s="43">
        <f t="shared" si="27"/>
        <v>76</v>
      </c>
      <c r="T75" s="2">
        <f t="shared" si="23"/>
        <v>1.9973999999999999E-2</v>
      </c>
      <c r="U75" s="2">
        <f t="shared" si="24"/>
        <v>0</v>
      </c>
      <c r="V75" s="133">
        <f t="shared" si="30"/>
        <v>83132.921299920316</v>
      </c>
      <c r="W75" s="5">
        <f t="shared" ca="1" si="28"/>
        <v>18309.121544173919</v>
      </c>
      <c r="X75" s="5">
        <f ca="1">+SUM(W75:W$119)</f>
        <v>230671.60039570511</v>
      </c>
      <c r="Y75" s="70">
        <f t="shared" si="31"/>
        <v>83132.921299920316</v>
      </c>
      <c r="Z75" s="70">
        <f t="shared" ca="1" si="32"/>
        <v>18309.121544173919</v>
      </c>
      <c r="AA75" s="70">
        <f ca="1">+SUM(Z75:Z$119)</f>
        <v>230671.60039570511</v>
      </c>
      <c r="AB75" s="10">
        <f t="shared" si="25"/>
        <v>1.9973999999999999E-2</v>
      </c>
      <c r="AC75" s="129">
        <f t="shared" ca="1" si="26"/>
        <v>361.66034722936683</v>
      </c>
      <c r="AD75" s="129">
        <f ca="1">SUM(AC75:$AC$131)</f>
        <v>13381.26393938386</v>
      </c>
      <c r="AE75" s="138"/>
      <c r="AF75" s="137"/>
    </row>
    <row r="76" spans="14:32">
      <c r="N76" s="5">
        <f t="shared" si="29"/>
        <v>69</v>
      </c>
      <c r="O76" s="2">
        <f t="shared" ca="1" si="21"/>
        <v>0.21539278373780135</v>
      </c>
      <c r="P76" s="2">
        <f t="shared" ca="1" si="22"/>
        <v>0.21300975398381086</v>
      </c>
      <c r="Q76" s="91"/>
      <c r="S76" s="43">
        <f t="shared" si="27"/>
        <v>77</v>
      </c>
      <c r="T76" s="2">
        <f t="shared" si="23"/>
        <v>2.2443000000000001E-2</v>
      </c>
      <c r="U76" s="2">
        <f t="shared" si="24"/>
        <v>0</v>
      </c>
      <c r="V76" s="133">
        <f t="shared" si="30"/>
        <v>81472.424329875706</v>
      </c>
      <c r="W76" s="5">
        <f t="shared" ca="1" si="28"/>
        <v>17548.572274279304</v>
      </c>
      <c r="X76" s="5">
        <f ca="1">+SUM(W76:W$119)</f>
        <v>212362.47885153125</v>
      </c>
      <c r="Y76" s="70">
        <f t="shared" si="31"/>
        <v>81472.424329875706</v>
      </c>
      <c r="Z76" s="70">
        <f t="shared" ca="1" si="32"/>
        <v>17548.572274279304</v>
      </c>
      <c r="AA76" s="70">
        <f ca="1">+SUM(Z76:Z$119)</f>
        <v>212362.47885153125</v>
      </c>
      <c r="AB76" s="10">
        <f t="shared" si="25"/>
        <v>2.2443000000000001E-2</v>
      </c>
      <c r="AC76" s="129">
        <f t="shared" ca="1" si="26"/>
        <v>389.48527191626874</v>
      </c>
      <c r="AD76" s="129">
        <f ca="1">SUM(AC76:$AC$131)</f>
        <v>13019.603592154492</v>
      </c>
      <c r="AE76" s="138"/>
      <c r="AF76" s="137"/>
    </row>
    <row r="77" spans="14:32">
      <c r="N77" s="5">
        <f t="shared" si="29"/>
        <v>70</v>
      </c>
      <c r="O77" s="2">
        <f t="shared" ca="1" si="21"/>
        <v>0.21065308923012357</v>
      </c>
      <c r="P77" s="2">
        <f t="shared" ca="1" si="22"/>
        <v>0.20832249778367809</v>
      </c>
      <c r="Q77" s="91"/>
      <c r="S77" s="43">
        <f t="shared" si="27"/>
        <v>78</v>
      </c>
      <c r="T77" s="2">
        <f t="shared" si="23"/>
        <v>2.5295999999999999E-2</v>
      </c>
      <c r="U77" s="2">
        <f t="shared" si="24"/>
        <v>0</v>
      </c>
      <c r="V77" s="133">
        <f t="shared" si="30"/>
        <v>79643.938710640301</v>
      </c>
      <c r="W77" s="5">
        <f t="shared" ca="1" si="28"/>
        <v>16777.241727851004</v>
      </c>
      <c r="X77" s="5">
        <f ca="1">+SUM(W77:W$119)</f>
        <v>194813.90657725194</v>
      </c>
      <c r="Y77" s="70">
        <f t="shared" si="31"/>
        <v>79643.938710640301</v>
      </c>
      <c r="Z77" s="70">
        <f t="shared" ca="1" si="32"/>
        <v>16777.241727851004</v>
      </c>
      <c r="AA77" s="70">
        <f ca="1">+SUM(Z77:Z$119)</f>
        <v>194813.90657725194</v>
      </c>
      <c r="AB77" s="10">
        <f t="shared" si="25"/>
        <v>2.5295999999999999E-2</v>
      </c>
      <c r="AC77" s="129">
        <f t="shared" ca="1" si="26"/>
        <v>419.70172691494599</v>
      </c>
      <c r="AD77" s="129">
        <f ca="1">SUM(AC77:$AC$131)</f>
        <v>12630.118320238225</v>
      </c>
      <c r="AE77" s="138"/>
      <c r="AF77" s="137"/>
    </row>
    <row r="78" spans="14:32">
      <c r="N78" s="5">
        <f t="shared" si="29"/>
        <v>71</v>
      </c>
      <c r="O78" s="2">
        <f t="shared" ca="1" si="21"/>
        <v>0.20601769117860499</v>
      </c>
      <c r="P78" s="2">
        <f t="shared" ca="1" si="22"/>
        <v>0.20373838414051645</v>
      </c>
      <c r="Q78" s="91"/>
      <c r="S78" s="43">
        <f t="shared" si="27"/>
        <v>79</v>
      </c>
      <c r="T78" s="2">
        <f t="shared" si="23"/>
        <v>2.8386999999999999E-2</v>
      </c>
      <c r="U78" s="2">
        <f t="shared" si="24"/>
        <v>0</v>
      </c>
      <c r="V78" s="133">
        <f t="shared" si="30"/>
        <v>77629.265637015938</v>
      </c>
      <c r="W78" s="5">
        <f t="shared" ca="1" si="28"/>
        <v>15993.002074428643</v>
      </c>
      <c r="X78" s="5">
        <f ca="1">+SUM(W78:W$119)</f>
        <v>178036.66484940093</v>
      </c>
      <c r="Y78" s="70">
        <f t="shared" si="31"/>
        <v>77629.265637015938</v>
      </c>
      <c r="Z78" s="70">
        <f t="shared" ca="1" si="32"/>
        <v>15993.002074428643</v>
      </c>
      <c r="AA78" s="70">
        <f ca="1">+SUM(Z78:Z$119)</f>
        <v>178036.66484940093</v>
      </c>
      <c r="AB78" s="10">
        <f t="shared" si="25"/>
        <v>2.8386999999999999E-2</v>
      </c>
      <c r="AC78" s="129">
        <f t="shared" ca="1" si="26"/>
        <v>448.97052766351783</v>
      </c>
      <c r="AD78" s="129">
        <f ca="1">SUM(AC78:$AC$131)</f>
        <v>12210.416593323278</v>
      </c>
      <c r="AE78" s="138"/>
      <c r="AF78" s="137"/>
    </row>
    <row r="79" spans="14:32">
      <c r="N79" s="5">
        <f t="shared" si="29"/>
        <v>72</v>
      </c>
      <c r="O79" s="2">
        <f t="shared" ca="1" si="21"/>
        <v>0.20148429455120295</v>
      </c>
      <c r="P79" s="2">
        <f t="shared" ca="1" si="22"/>
        <v>0.19925514341370809</v>
      </c>
      <c r="Q79" s="91"/>
      <c r="S79" s="43">
        <f t="shared" si="27"/>
        <v>80</v>
      </c>
      <c r="T79" s="2">
        <f t="shared" si="23"/>
        <v>3.1599000000000002E-2</v>
      </c>
      <c r="U79" s="2">
        <f t="shared" si="24"/>
        <v>0</v>
      </c>
      <c r="V79" s="133">
        <f t="shared" si="30"/>
        <v>75425.603673377962</v>
      </c>
      <c r="W79" s="5">
        <f t="shared" ca="1" si="28"/>
        <v>15197.07454722918</v>
      </c>
      <c r="X79" s="5">
        <f ca="1">+SUM(W79:W$119)</f>
        <v>162043.6627749723</v>
      </c>
      <c r="Y79" s="70">
        <f t="shared" si="31"/>
        <v>75425.603673377962</v>
      </c>
      <c r="Z79" s="70">
        <f t="shared" ca="1" si="32"/>
        <v>15197.07454722918</v>
      </c>
      <c r="AA79" s="70">
        <f ca="1">+SUM(Z79:Z$119)</f>
        <v>162043.6627749723</v>
      </c>
      <c r="AB79" s="10">
        <f t="shared" si="25"/>
        <v>3.1599000000000002E-2</v>
      </c>
      <c r="AC79" s="129">
        <f t="shared" ca="1" si="26"/>
        <v>474.89945853386314</v>
      </c>
      <c r="AD79" s="129">
        <f ca="1">SUM(AC79:$AC$131)</f>
        <v>11761.44606565976</v>
      </c>
      <c r="AE79" s="138"/>
      <c r="AF79" s="137"/>
    </row>
    <row r="80" spans="14:32">
      <c r="N80" s="5">
        <f t="shared" si="29"/>
        <v>73</v>
      </c>
      <c r="O80" s="2">
        <f t="shared" ca="1" si="21"/>
        <v>0.19705065481780243</v>
      </c>
      <c r="P80" s="2">
        <f t="shared" ca="1" si="22"/>
        <v>0.19487055590582697</v>
      </c>
      <c r="Q80" s="91"/>
      <c r="S80" s="43">
        <f t="shared" si="27"/>
        <v>81</v>
      </c>
      <c r="T80" s="2">
        <f t="shared" si="23"/>
        <v>3.5007000000000003E-2</v>
      </c>
      <c r="U80" s="2">
        <f t="shared" si="24"/>
        <v>0</v>
      </c>
      <c r="V80" s="133">
        <f t="shared" si="30"/>
        <v>73042.230022902892</v>
      </c>
      <c r="W80" s="5">
        <f t="shared" ca="1" si="28"/>
        <v>14393.019255365563</v>
      </c>
      <c r="X80" s="5">
        <f ca="1">+SUM(W80:W$119)</f>
        <v>146846.58822774314</v>
      </c>
      <c r="Y80" s="70">
        <f t="shared" si="31"/>
        <v>73042.230022902892</v>
      </c>
      <c r="Z80" s="70">
        <f t="shared" ca="1" si="32"/>
        <v>14393.019255365563</v>
      </c>
      <c r="AA80" s="70">
        <f ca="1">+SUM(Z80:Z$119)</f>
        <v>146846.58822774314</v>
      </c>
      <c r="AB80" s="10">
        <f t="shared" si="25"/>
        <v>3.5007000000000003E-2</v>
      </c>
      <c r="AC80" s="129">
        <f t="shared" ca="1" si="26"/>
        <v>498.28193538053716</v>
      </c>
      <c r="AD80" s="129">
        <f ca="1">SUM(AC80:$AC$131)</f>
        <v>11286.546607125898</v>
      </c>
      <c r="AE80" s="138"/>
      <c r="AF80" s="137"/>
    </row>
    <row r="81" spans="3:32">
      <c r="N81" s="5">
        <f t="shared" si="29"/>
        <v>74</v>
      </c>
      <c r="O81" s="2">
        <f t="shared" ca="1" si="21"/>
        <v>0.19271457683892659</v>
      </c>
      <c r="P81" s="2">
        <f t="shared" ca="1" si="22"/>
        <v>0.19058245076364494</v>
      </c>
      <c r="Q81" s="91"/>
      <c r="S81" s="43">
        <f t="shared" si="27"/>
        <v>82</v>
      </c>
      <c r="T81" s="2">
        <f t="shared" si="23"/>
        <v>3.8837000000000003E-2</v>
      </c>
      <c r="U81" s="2">
        <f t="shared" si="24"/>
        <v>0</v>
      </c>
      <c r="V81" s="133">
        <f t="shared" si="30"/>
        <v>70485.240676491128</v>
      </c>
      <c r="W81" s="5">
        <f t="shared" ca="1" si="28"/>
        <v>13583.533330359884</v>
      </c>
      <c r="X81" s="5">
        <f ca="1">+SUM(W81:W$119)</f>
        <v>132453.56897237754</v>
      </c>
      <c r="Y81" s="70">
        <f t="shared" si="31"/>
        <v>70485.240676491128</v>
      </c>
      <c r="Z81" s="70">
        <f t="shared" ca="1" si="32"/>
        <v>13583.533330359884</v>
      </c>
      <c r="AA81" s="70">
        <f ca="1">+SUM(Z81:Z$119)</f>
        <v>132453.56897237754</v>
      </c>
      <c r="AB81" s="10">
        <f t="shared" si="25"/>
        <v>3.8837000000000003E-2</v>
      </c>
      <c r="AC81" s="129">
        <f t="shared" ca="1" si="26"/>
        <v>521.70712678539144</v>
      </c>
      <c r="AD81" s="129">
        <f ca="1">SUM(AC81:$AC$131)</f>
        <v>10788.264671745359</v>
      </c>
      <c r="AE81" s="138"/>
      <c r="AF81" s="137"/>
    </row>
    <row r="82" spans="3:32">
      <c r="N82" s="5">
        <f t="shared" si="29"/>
        <v>75</v>
      </c>
      <c r="O82" s="2">
        <f t="shared" ca="1" si="21"/>
        <v>0.18847391377890133</v>
      </c>
      <c r="P82" s="2">
        <f t="shared" ca="1" si="22"/>
        <v>0.18638870490332027</v>
      </c>
      <c r="Q82" s="91"/>
      <c r="S82" s="43">
        <f t="shared" si="27"/>
        <v>83</v>
      </c>
      <c r="T82" s="2">
        <f t="shared" si="23"/>
        <v>4.3249999999999997E-2</v>
      </c>
      <c r="U82" s="2">
        <f t="shared" si="24"/>
        <v>0</v>
      </c>
      <c r="V82" s="133">
        <f t="shared" si="30"/>
        <v>67747.805384338237</v>
      </c>
      <c r="W82" s="5">
        <f t="shared" ca="1" si="28"/>
        <v>12768.694030717552</v>
      </c>
      <c r="X82" s="5">
        <f ca="1">+SUM(W82:W$119)</f>
        <v>118870.0356420177</v>
      </c>
      <c r="Y82" s="70">
        <f t="shared" si="31"/>
        <v>67747.805384338237</v>
      </c>
      <c r="Z82" s="70">
        <f t="shared" ca="1" si="32"/>
        <v>12768.694030717552</v>
      </c>
      <c r="AA82" s="70">
        <f ca="1">+SUM(Z82:Z$119)</f>
        <v>118870.0356420177</v>
      </c>
      <c r="AB82" s="10">
        <f t="shared" si="25"/>
        <v>4.3249999999999997E-2</v>
      </c>
      <c r="AC82" s="129">
        <f t="shared" ca="1" si="26"/>
        <v>546.1361617684538</v>
      </c>
      <c r="AD82" s="129">
        <f ca="1">SUM(AC82:$AC$131)</f>
        <v>10266.557544959966</v>
      </c>
      <c r="AE82" s="138"/>
      <c r="AF82" s="137"/>
    </row>
    <row r="83" spans="3:32">
      <c r="N83" s="5">
        <f t="shared" si="29"/>
        <v>76</v>
      </c>
      <c r="O83" s="2">
        <f t="shared" ca="1" si="21"/>
        <v>0.18432656604293529</v>
      </c>
      <c r="P83" s="2">
        <f t="shared" ca="1" si="22"/>
        <v>0.18228724195923743</v>
      </c>
      <c r="Q83" s="91"/>
      <c r="S83" s="43">
        <f t="shared" si="27"/>
        <v>84</v>
      </c>
      <c r="T83" s="2">
        <f t="shared" si="23"/>
        <v>4.802E-2</v>
      </c>
      <c r="U83" s="2">
        <f t="shared" si="24"/>
        <v>0</v>
      </c>
      <c r="V83" s="133">
        <f t="shared" si="30"/>
        <v>64817.712801465605</v>
      </c>
      <c r="W83" s="5">
        <f t="shared" ca="1" si="28"/>
        <v>11947.626419451362</v>
      </c>
      <c r="X83" s="5">
        <f ca="1">+SUM(W83:W$119)</f>
        <v>106101.34161130014</v>
      </c>
      <c r="Y83" s="70">
        <f t="shared" si="31"/>
        <v>64817.712801465605</v>
      </c>
      <c r="Z83" s="70">
        <f t="shared" ca="1" si="32"/>
        <v>11947.626419451362</v>
      </c>
      <c r="AA83" s="70">
        <f ca="1">+SUM(Z83:Z$119)</f>
        <v>106101.34161130014</v>
      </c>
      <c r="AB83" s="10">
        <f t="shared" si="25"/>
        <v>4.802E-2</v>
      </c>
      <c r="AC83" s="129">
        <f t="shared" ca="1" si="26"/>
        <v>567.37752948281957</v>
      </c>
      <c r="AD83" s="129">
        <f ca="1">SUM(AC83:$AC$131)</f>
        <v>9720.4213831915131</v>
      </c>
      <c r="AE83" s="138"/>
      <c r="AF83" s="137"/>
    </row>
    <row r="84" spans="3:32">
      <c r="N84" s="5">
        <f t="shared" si="29"/>
        <v>77</v>
      </c>
      <c r="O84" s="2">
        <f t="shared" ca="1" si="21"/>
        <v>0.18027048023758951</v>
      </c>
      <c r="P84" s="2">
        <f t="shared" ca="1" si="22"/>
        <v>0.17827603125597791</v>
      </c>
      <c r="Q84" s="91"/>
      <c r="S84" s="43">
        <f t="shared" si="27"/>
        <v>85</v>
      </c>
      <c r="T84" s="2">
        <f t="shared" si="23"/>
        <v>5.2970999999999997E-2</v>
      </c>
      <c r="U84" s="2">
        <f t="shared" si="24"/>
        <v>0</v>
      </c>
      <c r="V84" s="133">
        <f t="shared" si="30"/>
        <v>61705.166232739226</v>
      </c>
      <c r="W84" s="5">
        <f t="shared" ca="1" si="28"/>
        <v>11123.619949916192</v>
      </c>
      <c r="X84" s="5">
        <f ca="1">+SUM(W84:W$119)</f>
        <v>94153.71519184878</v>
      </c>
      <c r="Y84" s="70">
        <f t="shared" si="31"/>
        <v>61705.166232739226</v>
      </c>
      <c r="Z84" s="70">
        <f t="shared" ca="1" si="32"/>
        <v>11123.619949916192</v>
      </c>
      <c r="AA84" s="70">
        <f ca="1">+SUM(Z84:Z$119)</f>
        <v>94153.71519184878</v>
      </c>
      <c r="AB84" s="10">
        <f t="shared" si="25"/>
        <v>5.2970999999999997E-2</v>
      </c>
      <c r="AC84" s="129">
        <f t="shared" ca="1" si="26"/>
        <v>582.710247617871</v>
      </c>
      <c r="AD84" s="129">
        <f ca="1">SUM(AC84:$AC$131)</f>
        <v>9153.0438537086939</v>
      </c>
      <c r="AE84" s="138"/>
      <c r="AF84" s="137"/>
    </row>
    <row r="85" spans="3:32">
      <c r="N85" s="5">
        <f t="shared" si="29"/>
        <v>78</v>
      </c>
      <c r="O85" s="2">
        <f t="shared" ca="1" si="21"/>
        <v>0.17630364815412175</v>
      </c>
      <c r="P85" s="2">
        <f t="shared" ca="1" si="22"/>
        <v>0.17435308680291239</v>
      </c>
      <c r="Q85" s="91"/>
      <c r="S85" s="43">
        <f t="shared" si="27"/>
        <v>86</v>
      </c>
      <c r="T85" s="2">
        <f t="shared" si="23"/>
        <v>5.8229000000000003E-2</v>
      </c>
      <c r="U85" s="2">
        <f t="shared" si="24"/>
        <v>0</v>
      </c>
      <c r="V85" s="133">
        <f t="shared" si="30"/>
        <v>58436.5818722248</v>
      </c>
      <c r="W85" s="5">
        <f t="shared" ca="1" si="28"/>
        <v>10302.58256973025</v>
      </c>
      <c r="X85" s="5">
        <f ca="1">+SUM(W85:W$119)</f>
        <v>83030.095241932591</v>
      </c>
      <c r="Y85" s="70">
        <f t="shared" si="31"/>
        <v>58436.5818722248</v>
      </c>
      <c r="Z85" s="70">
        <f t="shared" ca="1" si="32"/>
        <v>10302.58256973025</v>
      </c>
      <c r="AA85" s="70">
        <f ca="1">+SUM(Z85:Z$119)</f>
        <v>83030.095241932591</v>
      </c>
      <c r="AB85" s="10">
        <f t="shared" si="25"/>
        <v>5.8229000000000003E-2</v>
      </c>
      <c r="AC85" s="129">
        <f t="shared" ca="1" si="26"/>
        <v>593.2718980755875</v>
      </c>
      <c r="AD85" s="129">
        <f ca="1">SUM(AC85:$AC$131)</f>
        <v>8570.3336060908241</v>
      </c>
      <c r="AE85" s="138"/>
      <c r="AF85" s="137"/>
    </row>
    <row r="86" spans="3:32">
      <c r="N86" s="5">
        <f t="shared" si="29"/>
        <v>79</v>
      </c>
      <c r="O86" s="2">
        <f t="shared" ca="1" si="21"/>
        <v>0.17242410577420222</v>
      </c>
      <c r="P86" s="2">
        <f t="shared" ca="1" si="22"/>
        <v>0.1705164663109168</v>
      </c>
      <c r="Q86" s="91"/>
      <c r="S86" s="43">
        <f t="shared" si="27"/>
        <v>87</v>
      </c>
      <c r="T86" s="2">
        <f t="shared" si="23"/>
        <v>6.4144999999999994E-2</v>
      </c>
      <c r="U86" s="2">
        <f t="shared" si="24"/>
        <v>0</v>
      </c>
      <c r="V86" s="133">
        <f t="shared" si="30"/>
        <v>55033.878146387025</v>
      </c>
      <c r="W86" s="5">
        <f t="shared" ca="1" si="28"/>
        <v>9489.167226677193</v>
      </c>
      <c r="X86" s="5">
        <f ca="1">+SUM(W86:W$119)</f>
        <v>72727.512672202341</v>
      </c>
      <c r="Y86" s="70">
        <f t="shared" si="31"/>
        <v>55033.878146387025</v>
      </c>
      <c r="Z86" s="70">
        <f t="shared" ca="1" si="32"/>
        <v>9489.167226677193</v>
      </c>
      <c r="AA86" s="70">
        <f ca="1">+SUM(Z86:Z$119)</f>
        <v>72727.512672202341</v>
      </c>
      <c r="AB86" s="10">
        <f t="shared" si="25"/>
        <v>6.4144999999999994E-2</v>
      </c>
      <c r="AC86" s="129">
        <f t="shared" ca="1" si="26"/>
        <v>601.94838190227176</v>
      </c>
      <c r="AD86" s="129">
        <f ca="1">SUM(AC86:$AC$131)</f>
        <v>7977.0617080152351</v>
      </c>
      <c r="AE86" s="138"/>
      <c r="AF86" s="137"/>
    </row>
    <row r="87" spans="3:32">
      <c r="N87" s="5">
        <f t="shared" si="29"/>
        <v>80</v>
      </c>
      <c r="O87" s="2">
        <f t="shared" ca="1" si="21"/>
        <v>0.16862993229750833</v>
      </c>
      <c r="P87" s="2">
        <f t="shared" ca="1" si="22"/>
        <v>0.16676427023072546</v>
      </c>
      <c r="Q87" s="91"/>
      <c r="S87" s="43">
        <f t="shared" si="27"/>
        <v>88</v>
      </c>
      <c r="T87" s="2">
        <f t="shared" si="23"/>
        <v>7.0967000000000002E-2</v>
      </c>
      <c r="U87" s="2">
        <f t="shared" si="24"/>
        <v>0</v>
      </c>
      <c r="V87" s="133">
        <f t="shared" si="30"/>
        <v>51503.730032687032</v>
      </c>
      <c r="W87" s="5">
        <f t="shared" ca="1" si="28"/>
        <v>8685.0705084811616</v>
      </c>
      <c r="X87" s="5">
        <f ca="1">+SUM(W87:W$119)</f>
        <v>63238.345445525163</v>
      </c>
      <c r="Y87" s="70">
        <f t="shared" si="31"/>
        <v>51503.730032687032</v>
      </c>
      <c r="Z87" s="70">
        <f t="shared" ca="1" si="32"/>
        <v>8685.0705084811616</v>
      </c>
      <c r="AA87" s="70">
        <f ca="1">+SUM(Z87:Z$119)</f>
        <v>63238.345445525163</v>
      </c>
      <c r="AB87" s="10">
        <f t="shared" si="25"/>
        <v>7.0967000000000002E-2</v>
      </c>
      <c r="AC87" s="129">
        <f t="shared" ca="1" si="26"/>
        <v>609.53428226290487</v>
      </c>
      <c r="AD87" s="129">
        <f ca="1">SUM(AC87:$AC$131)</f>
        <v>7375.1133261129635</v>
      </c>
      <c r="AE87" s="138"/>
      <c r="AF87" s="137"/>
    </row>
    <row r="88" spans="3:32">
      <c r="N88" s="5">
        <f t="shared" si="29"/>
        <v>81</v>
      </c>
      <c r="O88" s="2">
        <f t="shared" ca="1" si="21"/>
        <v>0.16491924919071718</v>
      </c>
      <c r="P88" s="2">
        <f t="shared" ca="1" si="22"/>
        <v>0.16309464081244546</v>
      </c>
      <c r="Q88" s="91"/>
      <c r="S88" s="43">
        <f t="shared" si="27"/>
        <v>89</v>
      </c>
      <c r="T88" s="2">
        <f t="shared" si="23"/>
        <v>7.8386999999999998E-2</v>
      </c>
      <c r="U88" s="2">
        <f t="shared" si="24"/>
        <v>0</v>
      </c>
      <c r="V88" s="133">
        <f t="shared" si="30"/>
        <v>47848.664823457329</v>
      </c>
      <c r="W88" s="5">
        <f t="shared" ca="1" si="28"/>
        <v>7891.1658774628631</v>
      </c>
      <c r="X88" s="5">
        <f ca="1">+SUM(W88:W$119)</f>
        <v>54553.274937044007</v>
      </c>
      <c r="Y88" s="70">
        <f t="shared" si="31"/>
        <v>47848.664823457329</v>
      </c>
      <c r="Z88" s="70">
        <f t="shared" ca="1" si="32"/>
        <v>7891.1658774628631</v>
      </c>
      <c r="AA88" s="70">
        <f ca="1">+SUM(Z88:Z$119)</f>
        <v>54553.274937044007</v>
      </c>
      <c r="AB88" s="10">
        <f t="shared" si="25"/>
        <v>7.8386999999999998E-2</v>
      </c>
      <c r="AC88" s="129">
        <f t="shared" ca="1" si="26"/>
        <v>611.72123674413479</v>
      </c>
      <c r="AD88" s="129">
        <f ca="1">SUM(AC88:$AC$131)</f>
        <v>6765.579043850059</v>
      </c>
      <c r="AE88" s="138"/>
      <c r="AF88" s="137"/>
    </row>
    <row r="89" spans="3:32">
      <c r="N89" s="5">
        <f t="shared" si="29"/>
        <v>82</v>
      </c>
      <c r="O89" s="2">
        <f t="shared" ca="1" si="21"/>
        <v>0.16129021925742518</v>
      </c>
      <c r="P89" s="2">
        <f t="shared" ca="1" si="22"/>
        <v>0.1595057611857657</v>
      </c>
      <c r="Q89" s="91"/>
      <c r="S89" s="43">
        <f t="shared" si="27"/>
        <v>90</v>
      </c>
      <c r="T89" s="2">
        <f t="shared" si="23"/>
        <v>8.6098999999999995E-2</v>
      </c>
      <c r="U89" s="2">
        <f t="shared" si="24"/>
        <v>0</v>
      </c>
      <c r="V89" s="133">
        <f t="shared" si="30"/>
        <v>44097.951533940977</v>
      </c>
      <c r="W89" s="5">
        <f t="shared" ca="1" si="28"/>
        <v>7112.5682717126492</v>
      </c>
      <c r="X89" s="5">
        <f ca="1">+SUM(W89:W$119)</f>
        <v>46662.109059581147</v>
      </c>
      <c r="Y89" s="70">
        <f t="shared" si="31"/>
        <v>44097.951533940977</v>
      </c>
      <c r="Z89" s="70">
        <f t="shared" ca="1" si="32"/>
        <v>7112.5682717126492</v>
      </c>
      <c r="AA89" s="70">
        <f ca="1">+SUM(Z89:Z$119)</f>
        <v>46662.109059581147</v>
      </c>
      <c r="AB89" s="10">
        <f t="shared" si="25"/>
        <v>8.6098999999999995E-2</v>
      </c>
      <c r="AC89" s="129">
        <f t="shared" ca="1" si="26"/>
        <v>605.60980390455552</v>
      </c>
      <c r="AD89" s="129">
        <f ca="1">SUM(AC89:$AC$131)</f>
        <v>6153.8578071059246</v>
      </c>
      <c r="AE89" s="138"/>
      <c r="AF89" s="137"/>
    </row>
    <row r="90" spans="3:32">
      <c r="N90" s="5">
        <f t="shared" si="29"/>
        <v>83</v>
      </c>
      <c r="O90" s="2">
        <f t="shared" ca="1" si="21"/>
        <v>0.15774104572853317</v>
      </c>
      <c r="P90" s="2">
        <f t="shared" ca="1" si="22"/>
        <v>0.15599585446040659</v>
      </c>
      <c r="Q90" s="91"/>
      <c r="S90" s="43">
        <f t="shared" si="27"/>
        <v>91</v>
      </c>
      <c r="T90" s="2">
        <f t="shared" si="23"/>
        <v>9.4170000000000004E-2</v>
      </c>
      <c r="U90" s="2">
        <f t="shared" si="24"/>
        <v>0</v>
      </c>
      <c r="V90" s="133">
        <f t="shared" si="30"/>
        <v>40301.162004820195</v>
      </c>
      <c r="W90" s="5">
        <f t="shared" ca="1" si="28"/>
        <v>6357.1474387153658</v>
      </c>
      <c r="X90" s="5">
        <f ca="1">+SUM(W90:W$119)</f>
        <v>39549.540787868493</v>
      </c>
      <c r="Y90" s="70">
        <f t="shared" si="31"/>
        <v>40301.162004820195</v>
      </c>
      <c r="Z90" s="70">
        <f t="shared" ca="1" si="32"/>
        <v>6357.1474387153658</v>
      </c>
      <c r="AA90" s="70">
        <f ca="1">+SUM(Z90:Z$119)</f>
        <v>39549.540787868493</v>
      </c>
      <c r="AB90" s="10">
        <f t="shared" si="25"/>
        <v>9.4170000000000004E-2</v>
      </c>
      <c r="AC90" s="129">
        <f t="shared" ca="1" si="26"/>
        <v>592.02929346724193</v>
      </c>
      <c r="AD90" s="129">
        <f ca="1">SUM(AC90:$AC$131)</f>
        <v>5548.2480032013691</v>
      </c>
      <c r="AE90" s="138"/>
      <c r="AF90" s="137"/>
    </row>
    <row r="91" spans="3:32">
      <c r="N91" s="5">
        <f t="shared" si="29"/>
        <v>84</v>
      </c>
      <c r="O91" s="2">
        <f t="shared" ca="1" si="21"/>
        <v>0.15426997137264856</v>
      </c>
      <c r="P91" s="2">
        <f t="shared" ca="1" si="22"/>
        <v>0.15256318284636342</v>
      </c>
      <c r="Q91" s="91"/>
      <c r="S91" s="43">
        <f t="shared" si="27"/>
        <v>92</v>
      </c>
      <c r="T91" s="2">
        <f t="shared" si="23"/>
        <v>0.102996</v>
      </c>
      <c r="U91" s="2">
        <f t="shared" si="24"/>
        <v>0</v>
      </c>
      <c r="V91" s="133">
        <f t="shared" si="30"/>
        <v>36506.001578826275</v>
      </c>
      <c r="W91" s="5">
        <f t="shared" ca="1" si="28"/>
        <v>5631.7798184953926</v>
      </c>
      <c r="X91" s="5">
        <f ca="1">+SUM(W91:W$119)</f>
        <v>33192.393349153128</v>
      </c>
      <c r="Y91" s="70">
        <f t="shared" si="31"/>
        <v>36506.001578826275</v>
      </c>
      <c r="Z91" s="70">
        <f t="shared" ca="1" si="32"/>
        <v>5631.7798184953926</v>
      </c>
      <c r="AA91" s="70">
        <f ca="1">+SUM(Z91:Z$119)</f>
        <v>33192.393349153128</v>
      </c>
      <c r="AB91" s="10">
        <f t="shared" si="25"/>
        <v>0.102996</v>
      </c>
      <c r="AC91" s="129">
        <f t="shared" ca="1" si="26"/>
        <v>573.63331688041535</v>
      </c>
      <c r="AD91" s="129">
        <f ca="1">SUM(AC91:$AC$131)</f>
        <v>4956.2187097341266</v>
      </c>
      <c r="AE91" s="138"/>
      <c r="AF91" s="137"/>
    </row>
    <row r="92" spans="3:32">
      <c r="N92" s="5">
        <f t="shared" si="29"/>
        <v>85</v>
      </c>
      <c r="O92" s="2">
        <f t="shared" ca="1" si="21"/>
        <v>0.15087527762606218</v>
      </c>
      <c r="P92" s="2">
        <f t="shared" ca="1" si="22"/>
        <v>0.14920604679350946</v>
      </c>
      <c r="Q92" s="91"/>
      <c r="S92" s="43">
        <f t="shared" si="27"/>
        <v>93</v>
      </c>
      <c r="T92" s="2">
        <f t="shared" si="23"/>
        <v>0.1129</v>
      </c>
      <c r="U92" s="2">
        <f t="shared" si="24"/>
        <v>0</v>
      </c>
      <c r="V92" s="133">
        <f t="shared" si="30"/>
        <v>32746.029440213486</v>
      </c>
      <c r="W92" s="5">
        <f t="shared" ca="1" si="28"/>
        <v>4940.566282943415</v>
      </c>
      <c r="X92" s="5">
        <f ca="1">+SUM(W92:W$119)</f>
        <v>27560.613530657727</v>
      </c>
      <c r="Y92" s="70">
        <f t="shared" si="31"/>
        <v>32746.029440213486</v>
      </c>
      <c r="Z92" s="70">
        <f t="shared" ca="1" si="32"/>
        <v>4940.566282943415</v>
      </c>
      <c r="AA92" s="70">
        <f ca="1">+SUM(Z92:Z$119)</f>
        <v>27560.613530657727</v>
      </c>
      <c r="AB92" s="10">
        <f t="shared" si="25"/>
        <v>0.1129</v>
      </c>
      <c r="AC92" s="129">
        <f t="shared" ca="1" si="26"/>
        <v>551.6187423481731</v>
      </c>
      <c r="AD92" s="129">
        <f ca="1">SUM(AC92:$AC$131)</f>
        <v>4382.5853928537117</v>
      </c>
      <c r="AE92" s="138"/>
      <c r="AF92" s="137"/>
    </row>
    <row r="93" spans="3:32">
      <c r="N93" s="5">
        <f t="shared" si="29"/>
        <v>86</v>
      </c>
      <c r="O93" s="2">
        <f t="shared" ca="1" si="21"/>
        <v>0.1475552837418701</v>
      </c>
      <c r="P93" s="2">
        <f t="shared" ca="1" si="22"/>
        <v>0.14592278415013149</v>
      </c>
      <c r="Q93" s="91"/>
      <c r="S93" s="43">
        <f t="shared" si="27"/>
        <v>94</v>
      </c>
      <c r="T93" s="2">
        <f t="shared" si="23"/>
        <v>0.123458</v>
      </c>
      <c r="U93" s="2">
        <f t="shared" si="24"/>
        <v>0</v>
      </c>
      <c r="V93" s="133">
        <f t="shared" si="30"/>
        <v>29049.002716413383</v>
      </c>
      <c r="W93" s="5">
        <f t="shared" ca="1" si="28"/>
        <v>4286.3338382387319</v>
      </c>
      <c r="X93" s="5">
        <f ca="1">+SUM(W93:W$119)</f>
        <v>22620.047247714319</v>
      </c>
      <c r="Y93" s="70">
        <f t="shared" si="31"/>
        <v>29049.002716413383</v>
      </c>
      <c r="Z93" s="70">
        <f t="shared" ca="1" si="32"/>
        <v>4286.3338382387319</v>
      </c>
      <c r="AA93" s="70">
        <f ca="1">+SUM(Z93:Z$119)</f>
        <v>22620.047247714319</v>
      </c>
      <c r="AB93" s="10">
        <f t="shared" si="25"/>
        <v>0.123458</v>
      </c>
      <c r="AC93" s="129">
        <f t="shared" ca="1" si="26"/>
        <v>523.32751783889307</v>
      </c>
      <c r="AD93" s="129">
        <f ca="1">SUM(AC93:$AC$131)</f>
        <v>3830.9666505055393</v>
      </c>
      <c r="AE93" s="138"/>
      <c r="AF93" s="137"/>
    </row>
    <row r="94" spans="3:32">
      <c r="C94" s="33"/>
      <c r="D94" s="33"/>
      <c r="N94" s="5">
        <f t="shared" si="29"/>
        <v>87</v>
      </c>
      <c r="O94" s="2">
        <f t="shared" ca="1" si="21"/>
        <v>0.14430834595781919</v>
      </c>
      <c r="P94" s="2">
        <f t="shared" ca="1" si="22"/>
        <v>0.14271176933998192</v>
      </c>
      <c r="Q94" s="91"/>
      <c r="S94" s="43">
        <f t="shared" si="27"/>
        <v>95</v>
      </c>
      <c r="T94" s="2">
        <f t="shared" si="23"/>
        <v>0.13435</v>
      </c>
      <c r="U94" s="2">
        <f t="shared" si="24"/>
        <v>0</v>
      </c>
      <c r="V94" s="133">
        <f t="shared" si="30"/>
        <v>25462.670939050422</v>
      </c>
      <c r="W94" s="5">
        <f t="shared" ca="1" si="28"/>
        <v>3674.4759268825969</v>
      </c>
      <c r="X94" s="5">
        <f ca="1">+SUM(W94:W$119)</f>
        <v>18333.713409475582</v>
      </c>
      <c r="Y94" s="70">
        <f t="shared" si="31"/>
        <v>25462.670939050422</v>
      </c>
      <c r="Z94" s="70">
        <f t="shared" ca="1" si="32"/>
        <v>3674.4759268825969</v>
      </c>
      <c r="AA94" s="70">
        <f ca="1">+SUM(Z94:Z$119)</f>
        <v>18333.713409475582</v>
      </c>
      <c r="AB94" s="10">
        <f t="shared" si="25"/>
        <v>0.13435</v>
      </c>
      <c r="AC94" s="129">
        <f t="shared" ca="1" si="26"/>
        <v>488.20409611334742</v>
      </c>
      <c r="AD94" s="129">
        <f ca="1">SUM(AC94:$AC$131)</f>
        <v>3307.6391326666462</v>
      </c>
      <c r="AE94" s="138"/>
      <c r="AF94" s="137"/>
    </row>
    <row r="95" spans="3:32">
      <c r="C95" s="33"/>
      <c r="D95" s="33"/>
      <c r="N95" s="5">
        <f t="shared" si="29"/>
        <v>88</v>
      </c>
      <c r="O95" s="2">
        <f t="shared" ca="1" si="21"/>
        <v>0.14113285668246378</v>
      </c>
      <c r="P95" s="2">
        <f t="shared" ca="1" si="22"/>
        <v>0.13957141255743954</v>
      </c>
      <c r="Q95" s="91"/>
      <c r="S95" s="43">
        <f t="shared" si="27"/>
        <v>96</v>
      </c>
      <c r="T95" s="2">
        <f t="shared" si="23"/>
        <v>0.14582899999999999</v>
      </c>
      <c r="U95" s="2">
        <f t="shared" si="24"/>
        <v>0</v>
      </c>
      <c r="V95" s="133">
        <f t="shared" si="30"/>
        <v>22041.761098388997</v>
      </c>
      <c r="W95" s="5">
        <f t="shared" ca="1" si="28"/>
        <v>3110.8167101280396</v>
      </c>
      <c r="X95" s="5">
        <f ca="1">+SUM(W95:W$119)</f>
        <v>14659.237482592987</v>
      </c>
      <c r="Y95" s="70">
        <f t="shared" si="31"/>
        <v>22041.761098388997</v>
      </c>
      <c r="Z95" s="70">
        <f t="shared" ca="1" si="32"/>
        <v>3110.8167101280396</v>
      </c>
      <c r="AA95" s="70">
        <f ca="1">+SUM(Z95:Z$119)</f>
        <v>14659.237482592987</v>
      </c>
      <c r="AB95" s="10">
        <f t="shared" si="25"/>
        <v>0.14582899999999999</v>
      </c>
      <c r="AC95" s="129">
        <f t="shared" ca="1" si="26"/>
        <v>448.62829648221253</v>
      </c>
      <c r="AD95" s="129">
        <f ca="1">SUM(AC95:$AC$131)</f>
        <v>2819.4350365532982</v>
      </c>
      <c r="AE95" s="138"/>
      <c r="AF95" s="137"/>
    </row>
    <row r="96" spans="3:32">
      <c r="C96" s="33"/>
      <c r="D96" s="33"/>
      <c r="N96" s="5">
        <f t="shared" si="29"/>
        <v>89</v>
      </c>
      <c r="O96" s="2">
        <f t="shared" ca="1" si="21"/>
        <v>0.13802724369923108</v>
      </c>
      <c r="P96" s="2">
        <f t="shared" ca="1" si="22"/>
        <v>0.13650015898038095</v>
      </c>
      <c r="Q96" s="91"/>
      <c r="S96" s="43">
        <f t="shared" si="27"/>
        <v>97</v>
      </c>
      <c r="T96" s="2">
        <f t="shared" si="23"/>
        <v>0.15856999999999999</v>
      </c>
      <c r="U96" s="2">
        <f t="shared" si="24"/>
        <v>0</v>
      </c>
      <c r="V96" s="133">
        <f t="shared" si="30"/>
        <v>18827.433119172027</v>
      </c>
      <c r="W96" s="5">
        <f t="shared" ca="1" si="28"/>
        <v>2598.6986993709315</v>
      </c>
      <c r="X96" s="5">
        <f ca="1">+SUM(W96:W$119)</f>
        <v>11548.420772464948</v>
      </c>
      <c r="Y96" s="70">
        <f t="shared" si="31"/>
        <v>18827.433119172027</v>
      </c>
      <c r="Z96" s="70">
        <f t="shared" ca="1" si="32"/>
        <v>2598.6986993709315</v>
      </c>
      <c r="AA96" s="70">
        <f ca="1">+SUM(Z96:Z$119)</f>
        <v>11548.420772464948</v>
      </c>
      <c r="AB96" s="10">
        <f t="shared" si="25"/>
        <v>0.15856999999999999</v>
      </c>
      <c r="AC96" s="129">
        <f t="shared" ca="1" si="26"/>
        <v>407.51659314555332</v>
      </c>
      <c r="AD96" s="129">
        <f ca="1">SUM(AC96:$AC$131)</f>
        <v>2370.8067400710861</v>
      </c>
      <c r="AE96" s="138"/>
      <c r="AF96" s="137"/>
    </row>
    <row r="97" spans="3:32">
      <c r="C97" s="33"/>
      <c r="D97" s="33"/>
      <c r="N97" s="5">
        <f t="shared" si="29"/>
        <v>90</v>
      </c>
      <c r="O97" s="2">
        <f t="shared" ca="1" si="21"/>
        <v>0.13498996938800106</v>
      </c>
      <c r="P97" s="2">
        <f t="shared" ca="1" si="22"/>
        <v>0.13349648800037262</v>
      </c>
      <c r="Q97" s="91"/>
      <c r="S97" s="43">
        <f t="shared" si="27"/>
        <v>98</v>
      </c>
      <c r="T97" s="2">
        <f t="shared" si="23"/>
        <v>0.173042</v>
      </c>
      <c r="U97" s="2">
        <f t="shared" si="24"/>
        <v>0</v>
      </c>
      <c r="V97" s="133">
        <f t="shared" si="30"/>
        <v>15841.967049464918</v>
      </c>
      <c r="W97" s="5">
        <f t="shared" ca="1" si="28"/>
        <v>2138.506647052991</v>
      </c>
      <c r="X97" s="5">
        <f ca="1">+SUM(W97:W$119)</f>
        <v>8949.7220730940153</v>
      </c>
      <c r="Y97" s="70">
        <f t="shared" si="31"/>
        <v>15841.967049464918</v>
      </c>
      <c r="Z97" s="70">
        <f t="shared" ca="1" si="32"/>
        <v>2138.506647052991</v>
      </c>
      <c r="AA97" s="70">
        <f ca="1">+SUM(Z97:Z$119)</f>
        <v>8949.7220730940153</v>
      </c>
      <c r="AB97" s="10">
        <f t="shared" si="25"/>
        <v>0.173042</v>
      </c>
      <c r="AC97" s="129">
        <f t="shared" ca="1" si="26"/>
        <v>365.95734836545932</v>
      </c>
      <c r="AD97" s="129">
        <f ca="1">SUM(AC97:$AC$131)</f>
        <v>1963.290146925533</v>
      </c>
      <c r="AE97" s="138"/>
      <c r="AF97" s="137"/>
    </row>
    <row r="98" spans="3:32">
      <c r="C98" s="33"/>
      <c r="D98" s="33"/>
      <c r="N98" s="5">
        <f t="shared" si="29"/>
        <v>91</v>
      </c>
      <c r="O98" s="2">
        <f t="shared" ca="1" si="21"/>
        <v>0.13201952996381525</v>
      </c>
      <c r="P98" s="2">
        <f t="shared" ca="1" si="22"/>
        <v>0.13055891246980203</v>
      </c>
      <c r="Q98" s="91"/>
      <c r="S98" s="43">
        <f t="shared" si="27"/>
        <v>99</v>
      </c>
      <c r="T98" s="2">
        <f t="shared" si="23"/>
        <v>0.18863099999999999</v>
      </c>
      <c r="U98" s="2">
        <f t="shared" si="24"/>
        <v>0</v>
      </c>
      <c r="V98" s="133">
        <f t="shared" si="30"/>
        <v>13100.641387291409</v>
      </c>
      <c r="W98" s="5">
        <f t="shared" ca="1" si="28"/>
        <v>1729.5405181747162</v>
      </c>
      <c r="X98" s="5">
        <f ca="1">+SUM(W98:W$119)</f>
        <v>6811.2154260410252</v>
      </c>
      <c r="Y98" s="70">
        <f t="shared" si="31"/>
        <v>13100.641387291409</v>
      </c>
      <c r="Z98" s="70">
        <f t="shared" ca="1" si="32"/>
        <v>1729.5405181747162</v>
      </c>
      <c r="AA98" s="70">
        <f ca="1">+SUM(Z98:Z$119)</f>
        <v>6811.2154260410252</v>
      </c>
      <c r="AB98" s="10">
        <f t="shared" si="25"/>
        <v>0.18863099999999999</v>
      </c>
      <c r="AC98" s="129">
        <f t="shared" ca="1" si="26"/>
        <v>322.6354983957159</v>
      </c>
      <c r="AD98" s="129">
        <f ca="1">SUM(AC98:$AC$131)</f>
        <v>1597.3327985600738</v>
      </c>
      <c r="AE98" s="138"/>
      <c r="AF98" s="137"/>
    </row>
    <row r="99" spans="3:32">
      <c r="C99" s="33"/>
      <c r="D99" s="33"/>
      <c r="N99" s="5">
        <f t="shared" si="29"/>
        <v>92</v>
      </c>
      <c r="O99" s="2">
        <f t="shared" ca="1" si="21"/>
        <v>0.12911445473233762</v>
      </c>
      <c r="P99" s="2">
        <f t="shared" ca="1" si="22"/>
        <v>0.12768597796557657</v>
      </c>
      <c r="Q99" s="91"/>
      <c r="S99" s="43">
        <f t="shared" si="27"/>
        <v>100</v>
      </c>
      <c r="T99" s="2">
        <f t="shared" si="23"/>
        <v>0.20477300000000001</v>
      </c>
      <c r="U99" s="2">
        <f t="shared" si="24"/>
        <v>0</v>
      </c>
      <c r="V99" s="133">
        <f t="shared" si="30"/>
        <v>10629.454301765243</v>
      </c>
      <c r="W99" s="5">
        <f t="shared" ca="1" si="28"/>
        <v>1372.4161962747198</v>
      </c>
      <c r="X99" s="5">
        <f ca="1">+SUM(W99:W$119)</f>
        <v>5081.6749078663079</v>
      </c>
      <c r="Y99" s="70">
        <f t="shared" si="31"/>
        <v>10629.454301765243</v>
      </c>
      <c r="Z99" s="70">
        <f t="shared" ca="1" si="32"/>
        <v>1372.4161962747198</v>
      </c>
      <c r="AA99" s="70">
        <f ca="1">+SUM(Z99:Z$119)</f>
        <v>5081.6749078663079</v>
      </c>
      <c r="AB99" s="10">
        <f t="shared" si="25"/>
        <v>0.20477300000000001</v>
      </c>
      <c r="AC99" s="129">
        <f t="shared" ca="1" si="26"/>
        <v>277.9245231662847</v>
      </c>
      <c r="AD99" s="129">
        <f ca="1">SUM(AC99:$AC$131)</f>
        <v>1274.6973001643578</v>
      </c>
      <c r="AE99" s="138"/>
      <c r="AF99" s="137"/>
    </row>
    <row r="100" spans="3:32">
      <c r="C100" s="33"/>
      <c r="D100" s="33"/>
      <c r="N100" s="5">
        <f t="shared" si="29"/>
        <v>93</v>
      </c>
      <c r="O100" s="2">
        <f t="shared" ca="1" si="21"/>
        <v>0.1262733053616994</v>
      </c>
      <c r="P100" s="2">
        <f t="shared" ca="1" si="22"/>
        <v>0.12487626206902358</v>
      </c>
      <c r="Q100" s="91"/>
      <c r="S100" s="43">
        <f t="shared" si="27"/>
        <v>101</v>
      </c>
      <c r="T100" s="2">
        <f t="shared" si="23"/>
        <v>0.221668</v>
      </c>
      <c r="U100" s="2">
        <f t="shared" si="24"/>
        <v>0</v>
      </c>
      <c r="V100" s="133">
        <f t="shared" si="30"/>
        <v>8452.8290560298683</v>
      </c>
      <c r="W100" s="5">
        <f t="shared" ca="1" si="28"/>
        <v>1067.3666645623048</v>
      </c>
      <c r="X100" s="5">
        <f ca="1">+SUM(W100:W$119)</f>
        <v>3709.2587115915881</v>
      </c>
      <c r="Y100" s="70">
        <f t="shared" si="31"/>
        <v>8452.8290560298683</v>
      </c>
      <c r="Z100" s="70">
        <f t="shared" ca="1" si="32"/>
        <v>1067.3666645623048</v>
      </c>
      <c r="AA100" s="70">
        <f ca="1">+SUM(Z100:Z$119)</f>
        <v>3709.2587115915881</v>
      </c>
      <c r="AB100" s="10">
        <f t="shared" si="25"/>
        <v>0.221668</v>
      </c>
      <c r="AC100" s="129">
        <f t="shared" ca="1" si="26"/>
        <v>233.98336345123511</v>
      </c>
      <c r="AD100" s="129">
        <f ca="1">SUM(AC100:$AC$131)</f>
        <v>996.77277699807303</v>
      </c>
      <c r="AE100" s="138"/>
      <c r="AF100" s="137"/>
    </row>
    <row r="101" spans="3:32">
      <c r="C101" s="33"/>
      <c r="D101" s="33"/>
      <c r="N101" s="5">
        <f t="shared" si="29"/>
        <v>94</v>
      </c>
      <c r="O101" s="2">
        <f t="shared" ca="1" si="21"/>
        <v>0.12349467517036616</v>
      </c>
      <c r="P101" s="2">
        <f t="shared" ca="1" si="22"/>
        <v>0.12212837366163673</v>
      </c>
      <c r="Q101" s="91"/>
      <c r="S101" s="43">
        <f t="shared" si="27"/>
        <v>102</v>
      </c>
      <c r="T101" s="2">
        <f t="shared" si="23"/>
        <v>0.24016199999999999</v>
      </c>
      <c r="U101" s="2">
        <f t="shared" si="24"/>
        <v>0</v>
      </c>
      <c r="V101" s="133">
        <f t="shared" si="30"/>
        <v>6579.1073448378393</v>
      </c>
      <c r="W101" s="5">
        <f t="shared" ca="1" si="28"/>
        <v>812.48472446171911</v>
      </c>
      <c r="X101" s="5">
        <f ca="1">+SUM(W101:W$119)</f>
        <v>2641.8920470292837</v>
      </c>
      <c r="Y101" s="70">
        <f t="shared" si="31"/>
        <v>6579.1073448378393</v>
      </c>
      <c r="Z101" s="70">
        <f t="shared" ca="1" si="32"/>
        <v>812.48472446171911</v>
      </c>
      <c r="AA101" s="70">
        <f ca="1">+SUM(Z101:Z$119)</f>
        <v>2641.8920470292837</v>
      </c>
      <c r="AB101" s="10">
        <f t="shared" si="25"/>
        <v>0.24016199999999999</v>
      </c>
      <c r="AC101" s="129">
        <f t="shared" ca="1" si="26"/>
        <v>192.96912954107742</v>
      </c>
      <c r="AD101" s="129">
        <f ca="1">SUM(AC101:$AC$131)</f>
        <v>762.78941354683786</v>
      </c>
      <c r="AE101" s="138"/>
      <c r="AF101" s="137"/>
    </row>
    <row r="102" spans="3:32">
      <c r="C102" s="33"/>
      <c r="D102" s="33"/>
      <c r="N102" s="5">
        <f t="shared" si="29"/>
        <v>95</v>
      </c>
      <c r="O102" s="2">
        <f t="shared" ca="1" si="21"/>
        <v>0.12077718843067596</v>
      </c>
      <c r="P102" s="2">
        <f t="shared" ca="1" si="22"/>
        <v>0.11944095223631956</v>
      </c>
      <c r="Q102" s="91"/>
      <c r="S102" s="43">
        <f t="shared" si="27"/>
        <v>103</v>
      </c>
      <c r="T102" s="2">
        <f t="shared" si="23"/>
        <v>0.26090799999999997</v>
      </c>
      <c r="U102" s="2">
        <f t="shared" si="24"/>
        <v>0</v>
      </c>
      <c r="V102" s="133">
        <f t="shared" si="30"/>
        <v>4999.0557666868945</v>
      </c>
      <c r="W102" s="5">
        <f t="shared" ca="1" si="28"/>
        <v>603.77190030860038</v>
      </c>
      <c r="X102" s="5">
        <f ca="1">+SUM(W102:W$119)</f>
        <v>1829.4073225675643</v>
      </c>
      <c r="Y102" s="70">
        <f t="shared" si="31"/>
        <v>4999.0557666868945</v>
      </c>
      <c r="Z102" s="70">
        <f t="shared" ca="1" si="32"/>
        <v>603.77190030860038</v>
      </c>
      <c r="AA102" s="70">
        <f ca="1">+SUM(Z102:Z$119)</f>
        <v>1829.4073225675643</v>
      </c>
      <c r="AB102" s="10">
        <f t="shared" si="25"/>
        <v>0.26090799999999997</v>
      </c>
      <c r="AC102" s="129">
        <f t="shared" ca="1" si="26"/>
        <v>155.7860745932407</v>
      </c>
      <c r="AD102" s="129">
        <f ca="1">SUM(AC102:$AC$131)</f>
        <v>569.8202840057603</v>
      </c>
      <c r="AE102" s="138"/>
      <c r="AF102" s="137"/>
    </row>
    <row r="103" spans="3:32">
      <c r="C103" s="33"/>
      <c r="D103" s="33"/>
      <c r="N103" s="5">
        <f t="shared" si="29"/>
        <v>96</v>
      </c>
      <c r="O103" s="2">
        <f t="shared" ref="O103:O119" ca="1" si="33">+(1+i)^-N103</f>
        <v>0.11811949968770268</v>
      </c>
      <c r="P103" s="2">
        <f t="shared" ref="P103:P119" ca="1" si="34">+(1+i)^-(N103+0.5)</f>
        <v>0.11681266722378442</v>
      </c>
      <c r="Q103" s="91"/>
      <c r="S103" s="43">
        <f t="shared" si="27"/>
        <v>104</v>
      </c>
      <c r="T103" s="2">
        <f t="shared" ref="T103:T119" si="35">IFERROR(VLOOKUP($S103,qx_table,MATCH(T$6,qx_title,0)+sexD,FALSE),0)</f>
        <v>0.27562300000000001</v>
      </c>
      <c r="U103" s="2">
        <f t="shared" ref="U103:U119" si="36">IFERROR(VLOOKUP($S103,qx_table,MATCH(U$6,qx_title,0)+sexD,FALSE)*$B$21,0)</f>
        <v>0</v>
      </c>
      <c r="V103" s="133">
        <f t="shared" si="30"/>
        <v>3694.7621247121506</v>
      </c>
      <c r="W103" s="5">
        <f t="shared" ca="1" si="28"/>
        <v>436.42345363607257</v>
      </c>
      <c r="X103" s="5">
        <f ca="1">+SUM(W103:W$119)</f>
        <v>1225.6354222589639</v>
      </c>
      <c r="Y103" s="70">
        <f t="shared" si="31"/>
        <v>3694.7621247121506</v>
      </c>
      <c r="Z103" s="70">
        <f t="shared" ca="1" si="32"/>
        <v>436.42345363607257</v>
      </c>
      <c r="AA103" s="70">
        <f ca="1">+SUM(Z103:Z$119)</f>
        <v>1225.6354222589639</v>
      </c>
      <c r="AB103" s="10">
        <f t="shared" si="25"/>
        <v>0.27562300000000001</v>
      </c>
      <c r="AC103" s="129">
        <f ca="1">$V103*AB103*$P103</f>
        <v>118.95751379644042</v>
      </c>
      <c r="AD103" s="129">
        <f ca="1">SUM(AC103:$AC$131)</f>
        <v>414.03420941251971</v>
      </c>
      <c r="AE103" s="138"/>
      <c r="AF103" s="137"/>
    </row>
    <row r="104" spans="3:32">
      <c r="C104" s="33"/>
      <c r="D104" s="33"/>
      <c r="N104" s="5">
        <f t="shared" si="29"/>
        <v>97</v>
      </c>
      <c r="O104" s="2">
        <f t="shared" ca="1" si="33"/>
        <v>0.11552029309310777</v>
      </c>
      <c r="P104" s="2">
        <f t="shared" ca="1" si="34"/>
        <v>0.11424221733377446</v>
      </c>
      <c r="Q104" s="91"/>
      <c r="S104" s="43">
        <f t="shared" si="27"/>
        <v>105</v>
      </c>
      <c r="T104" s="2">
        <f t="shared" si="35"/>
        <v>0.28924100000000003</v>
      </c>
      <c r="U104" s="2">
        <f t="shared" si="36"/>
        <v>0</v>
      </c>
      <c r="V104" s="133">
        <f t="shared" si="30"/>
        <v>2676.4007036126136</v>
      </c>
      <c r="W104" s="5">
        <f ca="1">+V104*O104</f>
        <v>309.17859371592897</v>
      </c>
      <c r="X104" s="5">
        <f ca="1">+SUM(W104:W$119)</f>
        <v>789.21196862289139</v>
      </c>
      <c r="Y104" s="70">
        <f t="shared" si="31"/>
        <v>2676.4007036126136</v>
      </c>
      <c r="Z104" s="70">
        <f t="shared" ca="1" si="32"/>
        <v>309.17859371592897</v>
      </c>
      <c r="AA104" s="70">
        <f ca="1">+SUM(Z104:Z$119)</f>
        <v>789.21196862289139</v>
      </c>
      <c r="AB104" s="10">
        <f t="shared" si="25"/>
        <v>0.28924100000000003</v>
      </c>
      <c r="AC104" s="129">
        <f ca="1">$V104*AB104*$P104</f>
        <v>88.437735463071476</v>
      </c>
      <c r="AD104" s="129">
        <f ca="1">SUM(AC104:$AC$131)</f>
        <v>295.07669561607923</v>
      </c>
      <c r="AE104" s="138"/>
      <c r="AF104" s="137"/>
    </row>
    <row r="105" spans="3:32">
      <c r="C105" s="33"/>
      <c r="D105" s="33"/>
      <c r="N105" s="5">
        <f t="shared" si="29"/>
        <v>98</v>
      </c>
      <c r="O105" s="2">
        <f t="shared" ca="1" si="33"/>
        <v>0.11297828175365064</v>
      </c>
      <c r="P105" s="2">
        <f t="shared" ca="1" si="34"/>
        <v>0.1117283299107819</v>
      </c>
      <c r="Q105" s="91"/>
      <c r="S105" s="43">
        <f t="shared" si="27"/>
        <v>106</v>
      </c>
      <c r="T105" s="2">
        <f t="shared" si="35"/>
        <v>0.32702199999999998</v>
      </c>
      <c r="U105" s="2">
        <f t="shared" si="36"/>
        <v>0</v>
      </c>
      <c r="V105" s="133">
        <f t="shared" si="30"/>
        <v>1902.2758876989974</v>
      </c>
      <c r="W105" s="5">
        <f ca="1">+V105*O105</f>
        <v>214.91586121363321</v>
      </c>
      <c r="X105" s="5">
        <f ca="1">+SUM(W105:W$119)</f>
        <v>480.03337490696248</v>
      </c>
      <c r="Y105" s="70">
        <f t="shared" si="31"/>
        <v>1902.2758876989974</v>
      </c>
      <c r="Z105" s="70">
        <f t="shared" ca="1" si="32"/>
        <v>214.91586121363321</v>
      </c>
      <c r="AA105" s="70">
        <f ca="1">+SUM(Z105:Z$119)</f>
        <v>480.03337490696248</v>
      </c>
      <c r="AB105" s="10">
        <f t="shared" si="25"/>
        <v>0.32702199999999998</v>
      </c>
      <c r="AC105" s="129">
        <f ca="1">$V105*AB105*$P105</f>
        <v>69.504637142001172</v>
      </c>
      <c r="AD105" s="129">
        <f ca="1">SUM(AC105:$AC$131)</f>
        <v>206.63896015300776</v>
      </c>
      <c r="AE105" s="138"/>
      <c r="AF105" s="137"/>
    </row>
    <row r="106" spans="3:32">
      <c r="C106" s="33"/>
      <c r="D106" s="33"/>
      <c r="E106" s="16"/>
      <c r="N106" s="5">
        <f t="shared" si="29"/>
        <v>99</v>
      </c>
      <c r="O106" s="2">
        <f t="shared" ca="1" si="33"/>
        <v>0.11049220709403487</v>
      </c>
      <c r="P106" s="2">
        <f t="shared" ca="1" si="34"/>
        <v>0.10926976030394316</v>
      </c>
      <c r="Q106" s="91"/>
      <c r="S106" s="43">
        <f t="shared" si="27"/>
        <v>107</v>
      </c>
      <c r="T106" s="2">
        <f t="shared" si="35"/>
        <v>0.41529300000000002</v>
      </c>
      <c r="U106" s="2">
        <f t="shared" si="36"/>
        <v>0</v>
      </c>
      <c r="V106" s="133">
        <f t="shared" si="30"/>
        <v>1280.1898223518961</v>
      </c>
      <c r="W106" s="5">
        <f ca="1">+V106*O106</f>
        <v>141.4509989709814</v>
      </c>
      <c r="X106" s="5">
        <f ca="1">+SUM(W106:W$119)</f>
        <v>265.11751369332927</v>
      </c>
      <c r="Y106" s="70">
        <f t="shared" si="31"/>
        <v>1280.1898223518961</v>
      </c>
      <c r="Z106" s="70">
        <f t="shared" ca="1" si="32"/>
        <v>141.4509989709814</v>
      </c>
      <c r="AA106" s="70">
        <f ca="1">+SUM(Z106:Z$119)</f>
        <v>265.11751369332927</v>
      </c>
      <c r="AB106" s="10">
        <f t="shared" si="25"/>
        <v>0.41529300000000002</v>
      </c>
      <c r="AC106" s="129">
        <f ca="1">$V106*AB106*$P106</f>
        <v>58.093691146519149</v>
      </c>
      <c r="AD106" s="129">
        <f ca="1">SUM(AC106:$AC$131)</f>
        <v>137.13432301100659</v>
      </c>
      <c r="AE106" s="138"/>
      <c r="AF106" s="137"/>
    </row>
    <row r="107" spans="3:32">
      <c r="C107" s="33"/>
      <c r="D107" s="33"/>
      <c r="E107" s="16"/>
      <c r="N107" s="5">
        <f t="shared" si="29"/>
        <v>100</v>
      </c>
      <c r="O107" s="2">
        <f t="shared" ca="1" si="33"/>
        <v>0.10806083823377494</v>
      </c>
      <c r="P107" s="2">
        <f t="shared" ca="1" si="34"/>
        <v>0.10686529125080016</v>
      </c>
      <c r="Q107" s="91"/>
      <c r="S107" s="43">
        <f t="shared" si="27"/>
        <v>108</v>
      </c>
      <c r="T107" s="2">
        <f t="shared" si="35"/>
        <v>0.56334799999999996</v>
      </c>
      <c r="U107" s="2">
        <f t="shared" si="36"/>
        <v>0</v>
      </c>
      <c r="V107" s="133">
        <f t="shared" si="30"/>
        <v>748.53595045791008</v>
      </c>
      <c r="W107" s="5">
        <f ca="1">+V107*O107</f>
        <v>80.887422254597197</v>
      </c>
      <c r="X107" s="5">
        <f ca="1">+SUM(W107:W$119)</f>
        <v>123.66651472234784</v>
      </c>
      <c r="Y107" s="70">
        <f t="shared" si="31"/>
        <v>748.53595045791008</v>
      </c>
      <c r="Z107" s="70">
        <f t="shared" ca="1" si="32"/>
        <v>80.887422254597197</v>
      </c>
      <c r="AA107" s="70">
        <f ca="1">+SUM(Z107:Z$119)</f>
        <v>123.66651472234784</v>
      </c>
      <c r="AB107" s="10">
        <f t="shared" si="25"/>
        <v>0.56334799999999996</v>
      </c>
      <c r="AC107" s="129">
        <f ca="1">$V107*AB107*$P107</f>
        <v>45.063621851504791</v>
      </c>
      <c r="AD107" s="129">
        <f ca="1">SUM(AC107:$AC$131)</f>
        <v>79.040631864487452</v>
      </c>
      <c r="AE107" s="138"/>
      <c r="AF107" s="137"/>
    </row>
    <row r="108" spans="3:32">
      <c r="C108" s="33"/>
      <c r="D108" s="33"/>
      <c r="E108" s="16"/>
      <c r="N108" s="5">
        <f t="shared" si="29"/>
        <v>101</v>
      </c>
      <c r="O108" s="2">
        <f t="shared" ca="1" si="33"/>
        <v>0.10568297137777498</v>
      </c>
      <c r="P108" s="2">
        <f t="shared" ca="1" si="34"/>
        <v>0.10451373227462121</v>
      </c>
      <c r="Q108" s="91"/>
      <c r="S108" s="43">
        <f t="shared" si="27"/>
        <v>109</v>
      </c>
      <c r="T108" s="2">
        <f t="shared" si="35"/>
        <v>0.756185</v>
      </c>
      <c r="U108" s="2">
        <f t="shared" si="36"/>
        <v>0</v>
      </c>
      <c r="V108" s="133">
        <f t="shared" si="30"/>
        <v>326.84971983934736</v>
      </c>
      <c r="W108" s="5">
        <f t="shared" ref="W108:W119" ca="1" si="37">+V108*O108</f>
        <v>34.542449586615518</v>
      </c>
      <c r="X108" s="5">
        <f ca="1">+SUM(W108:W$119)</f>
        <v>42.779092467750644</v>
      </c>
      <c r="Y108" s="70">
        <f t="shared" si="31"/>
        <v>326.84971983934736</v>
      </c>
      <c r="Z108" s="70">
        <f t="shared" ref="Z108:Z119" ca="1" si="38">+Y108*$O108</f>
        <v>34.542449586615518</v>
      </c>
      <c r="AA108" s="70">
        <f ca="1">+SUM(Z108:Z$119)</f>
        <v>42.779092467750644</v>
      </c>
      <c r="AB108" s="10">
        <f t="shared" ref="AB108:AB119" si="39">T108</f>
        <v>0.756185</v>
      </c>
      <c r="AC108" s="129">
        <f t="shared" ref="AC108:AC119" ca="1" si="40">$V108*AB108*$P108</f>
        <v>25.831494442234288</v>
      </c>
      <c r="AD108" s="129">
        <f ca="1">SUM(AC108:$AC$131)</f>
        <v>33.97701001298266</v>
      </c>
    </row>
    <row r="109" spans="3:32">
      <c r="C109" s="33"/>
      <c r="D109" s="33"/>
      <c r="E109" s="16"/>
      <c r="N109" s="5">
        <f t="shared" si="29"/>
        <v>102</v>
      </c>
      <c r="O109" s="2">
        <f t="shared" ca="1" si="33"/>
        <v>0.10335742922031785</v>
      </c>
      <c r="P109" s="2">
        <f t="shared" ca="1" si="34"/>
        <v>0.10221391909498405</v>
      </c>
      <c r="Q109" s="91"/>
      <c r="S109" s="43">
        <f t="shared" si="27"/>
        <v>110</v>
      </c>
      <c r="T109" s="2">
        <f t="shared" si="35"/>
        <v>1</v>
      </c>
      <c r="U109" s="2">
        <f t="shared" si="36"/>
        <v>0</v>
      </c>
      <c r="V109" s="133">
        <f t="shared" si="30"/>
        <v>79.69086444263047</v>
      </c>
      <c r="W109" s="5">
        <f t="shared" ca="1" si="37"/>
        <v>8.2366428811351238</v>
      </c>
      <c r="X109" s="5">
        <f ca="1">+SUM(W109:W$119)</f>
        <v>8.2366428811351238</v>
      </c>
      <c r="Y109" s="70">
        <f t="shared" si="31"/>
        <v>79.69086444263047</v>
      </c>
      <c r="Z109" s="70">
        <f t="shared" ca="1" si="38"/>
        <v>8.2366428811351238</v>
      </c>
      <c r="AA109" s="70">
        <f ca="1">+SUM(Z109:Z$119)</f>
        <v>8.2366428811351238</v>
      </c>
      <c r="AB109" s="10">
        <f t="shared" si="39"/>
        <v>1</v>
      </c>
      <c r="AC109" s="129">
        <f t="shared" ca="1" si="40"/>
        <v>8.1455155707483726</v>
      </c>
      <c r="AD109" s="129">
        <f ca="1">SUM(AC109:$AC$131)</f>
        <v>8.1455155707483726</v>
      </c>
    </row>
    <row r="110" spans="3:32">
      <c r="C110" s="33"/>
      <c r="D110" s="33"/>
      <c r="N110" s="5">
        <f t="shared" si="29"/>
        <v>103</v>
      </c>
      <c r="O110" s="2">
        <f t="shared" ca="1" si="33"/>
        <v>0.10108306036216905</v>
      </c>
      <c r="P110" s="2">
        <f t="shared" ca="1" si="34"/>
        <v>9.996471305132916E-2</v>
      </c>
      <c r="Q110" s="91"/>
      <c r="S110" s="43">
        <f t="shared" si="27"/>
        <v>111</v>
      </c>
      <c r="T110" s="2">
        <f t="shared" si="35"/>
        <v>0</v>
      </c>
      <c r="U110" s="2">
        <f t="shared" si="36"/>
        <v>0</v>
      </c>
      <c r="V110" s="133">
        <f t="shared" si="30"/>
        <v>0</v>
      </c>
      <c r="W110" s="5">
        <f t="shared" ca="1" si="37"/>
        <v>0</v>
      </c>
      <c r="X110" s="5">
        <f ca="1">+SUM(W110:W$119)</f>
        <v>0</v>
      </c>
      <c r="Y110" s="70">
        <f t="shared" si="31"/>
        <v>0</v>
      </c>
      <c r="Z110" s="70">
        <f t="shared" ca="1" si="38"/>
        <v>0</v>
      </c>
      <c r="AA110" s="70">
        <f ca="1">+SUM(Z110:Z$119)</f>
        <v>0</v>
      </c>
      <c r="AB110" s="10">
        <f t="shared" si="39"/>
        <v>0</v>
      </c>
      <c r="AC110" s="129">
        <f t="shared" ca="1" si="40"/>
        <v>0</v>
      </c>
      <c r="AD110" s="129">
        <f ca="1">SUM(AC110:$AC$131)</f>
        <v>0</v>
      </c>
    </row>
    <row r="111" spans="3:32">
      <c r="C111" s="33"/>
      <c r="D111" s="33"/>
      <c r="N111" s="5">
        <f t="shared" si="29"/>
        <v>104</v>
      </c>
      <c r="O111" s="2">
        <f t="shared" ca="1" si="33"/>
        <v>9.8858738740507629E-2</v>
      </c>
      <c r="P111" s="2">
        <f t="shared" ca="1" si="34"/>
        <v>9.7765000539197247E-2</v>
      </c>
      <c r="Q111" s="91"/>
      <c r="S111" s="43">
        <f t="shared" si="27"/>
        <v>112</v>
      </c>
      <c r="T111" s="2">
        <f t="shared" si="35"/>
        <v>0</v>
      </c>
      <c r="U111" s="2">
        <f t="shared" si="36"/>
        <v>0</v>
      </c>
      <c r="V111" s="133">
        <f t="shared" si="30"/>
        <v>0</v>
      </c>
      <c r="W111" s="5">
        <f t="shared" ca="1" si="37"/>
        <v>0</v>
      </c>
      <c r="X111" s="5">
        <f ca="1">+SUM(W111:W$119)</f>
        <v>0</v>
      </c>
      <c r="Y111" s="70">
        <f t="shared" si="31"/>
        <v>0</v>
      </c>
      <c r="Z111" s="70">
        <f t="shared" ca="1" si="38"/>
        <v>0</v>
      </c>
      <c r="AA111" s="70">
        <f ca="1">+SUM(Z111:Z$119)</f>
        <v>0</v>
      </c>
      <c r="AB111" s="10">
        <f t="shared" si="39"/>
        <v>0</v>
      </c>
      <c r="AC111" s="129">
        <f t="shared" ca="1" si="40"/>
        <v>0</v>
      </c>
      <c r="AD111" s="129">
        <f ca="1">SUM(AC111:$AC$131)</f>
        <v>0</v>
      </c>
    </row>
    <row r="112" spans="3:32">
      <c r="C112" s="33"/>
      <c r="D112" s="33"/>
      <c r="N112" s="5">
        <f t="shared" si="29"/>
        <v>105</v>
      </c>
      <c r="O112" s="2">
        <f t="shared" ca="1" si="33"/>
        <v>9.6683363071401129E-2</v>
      </c>
      <c r="P112" s="2">
        <f t="shared" ca="1" si="34"/>
        <v>9.5613692458872579E-2</v>
      </c>
      <c r="Q112" s="91"/>
      <c r="S112" s="43">
        <f t="shared" si="27"/>
        <v>113</v>
      </c>
      <c r="T112" s="2">
        <f t="shared" si="35"/>
        <v>0</v>
      </c>
      <c r="U112" s="2">
        <f t="shared" si="36"/>
        <v>0</v>
      </c>
      <c r="V112" s="133">
        <f t="shared" si="30"/>
        <v>0</v>
      </c>
      <c r="W112" s="5">
        <f t="shared" ca="1" si="37"/>
        <v>0</v>
      </c>
      <c r="X112" s="5">
        <f ca="1">+SUM(W112:W$119)</f>
        <v>0</v>
      </c>
      <c r="Y112" s="70">
        <f t="shared" si="31"/>
        <v>0</v>
      </c>
      <c r="Z112" s="70">
        <f t="shared" ca="1" si="38"/>
        <v>0</v>
      </c>
      <c r="AA112" s="70">
        <f ca="1">+SUM(Z112:Z$119)</f>
        <v>0</v>
      </c>
      <c r="AB112" s="10">
        <f t="shared" si="39"/>
        <v>0</v>
      </c>
      <c r="AC112" s="129">
        <f t="shared" ca="1" si="40"/>
        <v>0</v>
      </c>
      <c r="AD112" s="129">
        <f ca="1">SUM(AC112:$AC$131)</f>
        <v>0</v>
      </c>
    </row>
    <row r="113" spans="3:30">
      <c r="C113" s="33"/>
      <c r="D113" s="33"/>
      <c r="N113" s="5">
        <f t="shared" si="29"/>
        <v>106</v>
      </c>
      <c r="O113" s="2">
        <f t="shared" ca="1" si="33"/>
        <v>9.4555856304548797E-2</v>
      </c>
      <c r="P113" s="2">
        <f t="shared" ca="1" si="34"/>
        <v>9.3509723676159021E-2</v>
      </c>
      <c r="Q113" s="91"/>
      <c r="S113" s="43">
        <f t="shared" si="27"/>
        <v>114</v>
      </c>
      <c r="T113" s="2">
        <f t="shared" si="35"/>
        <v>0</v>
      </c>
      <c r="U113" s="2">
        <f t="shared" si="36"/>
        <v>0</v>
      </c>
      <c r="V113" s="133">
        <f t="shared" si="30"/>
        <v>0</v>
      </c>
      <c r="W113" s="5">
        <f t="shared" ca="1" si="37"/>
        <v>0</v>
      </c>
      <c r="X113" s="5">
        <f ca="1">+SUM(W113:W$119)</f>
        <v>0</v>
      </c>
      <c r="Y113" s="70">
        <f t="shared" si="31"/>
        <v>0</v>
      </c>
      <c r="Z113" s="70">
        <f t="shared" ca="1" si="38"/>
        <v>0</v>
      </c>
      <c r="AA113" s="70">
        <f ca="1">+SUM(Z113:Z$119)</f>
        <v>0</v>
      </c>
      <c r="AB113" s="10">
        <f t="shared" si="39"/>
        <v>0</v>
      </c>
      <c r="AC113" s="129">
        <f t="shared" ca="1" si="40"/>
        <v>0</v>
      </c>
      <c r="AD113" s="129">
        <f ca="1">SUM(AC113:$AC$131)</f>
        <v>0</v>
      </c>
    </row>
    <row r="114" spans="3:30">
      <c r="C114" s="33"/>
      <c r="D114" s="33"/>
      <c r="N114" s="5">
        <f t="shared" si="29"/>
        <v>107</v>
      </c>
      <c r="O114" s="2">
        <f t="shared" ca="1" si="33"/>
        <v>9.2475165090023265E-2</v>
      </c>
      <c r="P114" s="2">
        <f t="shared" ca="1" si="34"/>
        <v>9.1452052495021072E-2</v>
      </c>
      <c r="Q114" s="91"/>
      <c r="S114" s="43">
        <f t="shared" si="27"/>
        <v>115</v>
      </c>
      <c r="T114" s="2">
        <f t="shared" si="35"/>
        <v>0</v>
      </c>
      <c r="U114" s="2">
        <f t="shared" si="36"/>
        <v>0</v>
      </c>
      <c r="V114" s="133">
        <f t="shared" si="30"/>
        <v>0</v>
      </c>
      <c r="W114" s="5">
        <f t="shared" ca="1" si="37"/>
        <v>0</v>
      </c>
      <c r="X114" s="5">
        <f ca="1">+SUM(W114:W$119)</f>
        <v>0</v>
      </c>
      <c r="Y114" s="70">
        <f t="shared" si="31"/>
        <v>0</v>
      </c>
      <c r="Z114" s="70">
        <f t="shared" ca="1" si="38"/>
        <v>0</v>
      </c>
      <c r="AA114" s="70">
        <f ca="1">+SUM(Z114:Z$119)</f>
        <v>0</v>
      </c>
      <c r="AB114" s="10">
        <f t="shared" si="39"/>
        <v>0</v>
      </c>
      <c r="AC114" s="129">
        <f t="shared" ca="1" si="40"/>
        <v>0</v>
      </c>
      <c r="AD114" s="129">
        <f ca="1">SUM(AC114:$AC$131)</f>
        <v>0</v>
      </c>
    </row>
    <row r="115" spans="3:30">
      <c r="C115" s="33"/>
      <c r="D115" s="33"/>
      <c r="N115" s="5">
        <f t="shared" si="29"/>
        <v>108</v>
      </c>
      <c r="O115" s="2">
        <f t="shared" ca="1" si="33"/>
        <v>9.0440259256746452E-2</v>
      </c>
      <c r="P115" s="2">
        <f t="shared" ca="1" si="34"/>
        <v>8.9439660141829871E-2</v>
      </c>
      <c r="Q115" s="91"/>
      <c r="S115" s="43">
        <f t="shared" si="27"/>
        <v>116</v>
      </c>
      <c r="T115" s="2">
        <f t="shared" si="35"/>
        <v>0</v>
      </c>
      <c r="U115" s="2">
        <f t="shared" si="36"/>
        <v>0</v>
      </c>
      <c r="V115" s="133">
        <f t="shared" si="30"/>
        <v>0</v>
      </c>
      <c r="W115" s="5">
        <f t="shared" ca="1" si="37"/>
        <v>0</v>
      </c>
      <c r="X115" s="5">
        <f ca="1">+SUM(W115:W$119)</f>
        <v>0</v>
      </c>
      <c r="Y115" s="70">
        <f t="shared" si="31"/>
        <v>0</v>
      </c>
      <c r="Z115" s="70">
        <f t="shared" ca="1" si="38"/>
        <v>0</v>
      </c>
      <c r="AA115" s="70">
        <f ca="1">+SUM(Z115:Z$119)</f>
        <v>0</v>
      </c>
      <c r="AB115" s="10">
        <f t="shared" si="39"/>
        <v>0</v>
      </c>
      <c r="AC115" s="129">
        <f t="shared" ca="1" si="40"/>
        <v>0</v>
      </c>
      <c r="AD115" s="129">
        <f ca="1">SUM(AC115:$AC$131)</f>
        <v>0</v>
      </c>
    </row>
    <row r="116" spans="3:30">
      <c r="C116" s="33"/>
      <c r="D116" s="33"/>
      <c r="N116" s="5">
        <f t="shared" si="29"/>
        <v>109</v>
      </c>
      <c r="O116" s="2">
        <f t="shared" ca="1" si="33"/>
        <v>8.8450131302441531E-2</v>
      </c>
      <c r="P116" s="2">
        <f t="shared" ca="1" si="34"/>
        <v>8.7471550260958333E-2</v>
      </c>
      <c r="Q116" s="91"/>
      <c r="S116" s="43">
        <f t="shared" si="27"/>
        <v>117</v>
      </c>
      <c r="T116" s="2">
        <f t="shared" si="35"/>
        <v>0</v>
      </c>
      <c r="U116" s="2">
        <f t="shared" si="36"/>
        <v>0</v>
      </c>
      <c r="V116" s="133">
        <f t="shared" si="30"/>
        <v>0</v>
      </c>
      <c r="W116" s="5">
        <f t="shared" ca="1" si="37"/>
        <v>0</v>
      </c>
      <c r="X116" s="5">
        <f ca="1">+SUM(W116:W$119)</f>
        <v>0</v>
      </c>
      <c r="Y116" s="70">
        <f t="shared" si="31"/>
        <v>0</v>
      </c>
      <c r="Z116" s="70">
        <f t="shared" ca="1" si="38"/>
        <v>0</v>
      </c>
      <c r="AA116" s="70">
        <f ca="1">+SUM(Z116:Z$119)</f>
        <v>0</v>
      </c>
      <c r="AB116" s="10">
        <f t="shared" si="39"/>
        <v>0</v>
      </c>
      <c r="AC116" s="129">
        <f t="shared" ca="1" si="40"/>
        <v>0</v>
      </c>
      <c r="AD116" s="129">
        <f ca="1">SUM(AC116:$AC$131)</f>
        <v>0</v>
      </c>
    </row>
    <row r="117" spans="3:30">
      <c r="C117" s="33"/>
      <c r="D117" s="33"/>
      <c r="N117" s="5">
        <f t="shared" si="29"/>
        <v>110</v>
      </c>
      <c r="O117" s="2">
        <f t="shared" ca="1" si="33"/>
        <v>8.6503795894808347E-2</v>
      </c>
      <c r="P117" s="2">
        <f t="shared" ca="1" si="34"/>
        <v>8.5546748421475124E-2</v>
      </c>
      <c r="Q117" s="91"/>
      <c r="S117" s="43">
        <f t="shared" si="27"/>
        <v>118</v>
      </c>
      <c r="T117" s="2">
        <f t="shared" si="35"/>
        <v>0</v>
      </c>
      <c r="U117" s="2">
        <f t="shared" si="36"/>
        <v>0</v>
      </c>
      <c r="V117" s="133">
        <f t="shared" si="30"/>
        <v>0</v>
      </c>
      <c r="W117" s="5">
        <f t="shared" ca="1" si="37"/>
        <v>0</v>
      </c>
      <c r="X117" s="5">
        <f ca="1">+SUM(W117:W$119)</f>
        <v>0</v>
      </c>
      <c r="Y117" s="70">
        <f t="shared" si="31"/>
        <v>0</v>
      </c>
      <c r="Z117" s="70">
        <f t="shared" ca="1" si="38"/>
        <v>0</v>
      </c>
      <c r="AA117" s="70">
        <f ca="1">+SUM(Z117:Z$119)</f>
        <v>0</v>
      </c>
      <c r="AB117" s="10">
        <f t="shared" si="39"/>
        <v>0</v>
      </c>
      <c r="AC117" s="129">
        <f t="shared" ca="1" si="40"/>
        <v>0</v>
      </c>
      <c r="AD117" s="129">
        <f ca="1">SUM(AC117:$AC$131)</f>
        <v>0</v>
      </c>
    </row>
    <row r="118" spans="3:30">
      <c r="C118" s="33"/>
      <c r="D118" s="33"/>
      <c r="N118" s="5">
        <f t="shared" si="29"/>
        <v>111</v>
      </c>
      <c r="O118" s="2">
        <f t="shared" ca="1" si="33"/>
        <v>8.4600289383675656E-2</v>
      </c>
      <c r="P118" s="2">
        <f t="shared" ca="1" si="34"/>
        <v>8.3664301634694516E-2</v>
      </c>
      <c r="Q118" s="91"/>
      <c r="S118" s="43">
        <f t="shared" si="27"/>
        <v>119</v>
      </c>
      <c r="T118" s="2">
        <f t="shared" si="35"/>
        <v>0</v>
      </c>
      <c r="U118" s="2">
        <f t="shared" si="36"/>
        <v>0</v>
      </c>
      <c r="V118" s="133">
        <f t="shared" si="30"/>
        <v>0</v>
      </c>
      <c r="W118" s="5">
        <f t="shared" ca="1" si="37"/>
        <v>0</v>
      </c>
      <c r="X118" s="5">
        <f ca="1">+SUM(W118:W$119)</f>
        <v>0</v>
      </c>
      <c r="Y118" s="70">
        <f t="shared" si="31"/>
        <v>0</v>
      </c>
      <c r="Z118" s="70">
        <f t="shared" ca="1" si="38"/>
        <v>0</v>
      </c>
      <c r="AA118" s="70">
        <f ca="1">+SUM(Z118:Z$119)</f>
        <v>0</v>
      </c>
      <c r="AB118" s="10">
        <f t="shared" si="39"/>
        <v>0</v>
      </c>
      <c r="AC118" s="129">
        <f t="shared" ca="1" si="40"/>
        <v>0</v>
      </c>
      <c r="AD118" s="129">
        <f ca="1">SUM(AC118:$AC$131)</f>
        <v>0</v>
      </c>
    </row>
    <row r="119" spans="3:30">
      <c r="C119" s="33"/>
      <c r="D119" s="33"/>
      <c r="N119" s="6">
        <f t="shared" si="29"/>
        <v>112</v>
      </c>
      <c r="O119" s="3">
        <f t="shared" ca="1" si="33"/>
        <v>8.2738669323888181E-2</v>
      </c>
      <c r="P119" s="3">
        <f t="shared" ca="1" si="34"/>
        <v>8.1823277882341824E-2</v>
      </c>
      <c r="Q119" s="91"/>
      <c r="S119" s="43">
        <f t="shared" si="27"/>
        <v>120</v>
      </c>
      <c r="T119" s="2">
        <f t="shared" si="35"/>
        <v>0</v>
      </c>
      <c r="U119" s="2">
        <f t="shared" si="36"/>
        <v>0</v>
      </c>
      <c r="V119" s="133">
        <f t="shared" si="30"/>
        <v>0</v>
      </c>
      <c r="W119" s="5">
        <f t="shared" ca="1" si="37"/>
        <v>0</v>
      </c>
      <c r="X119" s="5">
        <f ca="1">+SUM(W119:W$119)</f>
        <v>0</v>
      </c>
      <c r="Y119" s="70">
        <f t="shared" si="31"/>
        <v>0</v>
      </c>
      <c r="Z119" s="70">
        <f t="shared" ca="1" si="38"/>
        <v>0</v>
      </c>
      <c r="AA119" s="70">
        <f ca="1">+SUM(Z119:Z$119)</f>
        <v>0</v>
      </c>
      <c r="AB119" s="10">
        <f t="shared" si="39"/>
        <v>0</v>
      </c>
      <c r="AC119" s="129">
        <f t="shared" ca="1" si="40"/>
        <v>0</v>
      </c>
      <c r="AD119" s="129">
        <f ca="1">SUM(AC119:$AC$131)</f>
        <v>0</v>
      </c>
    </row>
    <row r="120" spans="3:30">
      <c r="C120" s="33"/>
      <c r="D120" s="33"/>
    </row>
    <row r="121" spans="3:30">
      <c r="C121" s="33"/>
      <c r="D121" s="33"/>
    </row>
    <row r="122" spans="3:30">
      <c r="C122" s="33"/>
      <c r="D122" s="33"/>
    </row>
    <row r="123" spans="3:30">
      <c r="C123" s="33"/>
      <c r="D123" s="33"/>
    </row>
    <row r="124" spans="3:30">
      <c r="C124" s="33"/>
      <c r="D124" s="33"/>
    </row>
    <row r="125" spans="3:30">
      <c r="C125" s="33"/>
      <c r="D125" s="33"/>
    </row>
    <row r="126" spans="3:30">
      <c r="C126" s="33"/>
      <c r="D126" s="33"/>
    </row>
    <row r="127" spans="3:30">
      <c r="C127" s="33"/>
      <c r="D127" s="33"/>
    </row>
    <row r="128" spans="3:30">
      <c r="C128" s="33"/>
      <c r="D128" s="33"/>
    </row>
    <row r="129" spans="3:4">
      <c r="C129" s="33"/>
      <c r="D129" s="33"/>
    </row>
    <row r="130" spans="3:4">
      <c r="C130" s="33"/>
      <c r="D130" s="33"/>
    </row>
    <row r="131" spans="3:4">
      <c r="C131" s="33"/>
      <c r="D131" s="33"/>
    </row>
    <row r="132" spans="3:4">
      <c r="C132" s="33"/>
      <c r="D132" s="33"/>
    </row>
    <row r="133" spans="3:4">
      <c r="C133" s="33"/>
      <c r="D133" s="33"/>
    </row>
    <row r="134" spans="3:4">
      <c r="C134" s="33"/>
      <c r="D134" s="33"/>
    </row>
    <row r="135" spans="3:4">
      <c r="C135" s="33"/>
      <c r="D135" s="33"/>
    </row>
    <row r="136" spans="3:4">
      <c r="C136" s="33"/>
      <c r="D136" s="33"/>
    </row>
    <row r="137" spans="3:4">
      <c r="C137" s="33"/>
      <c r="D137" s="33"/>
    </row>
    <row r="138" spans="3:4">
      <c r="C138" s="33"/>
      <c r="D138" s="33"/>
    </row>
    <row r="139" spans="3:4">
      <c r="C139" s="33"/>
      <c r="D139" s="33"/>
    </row>
    <row r="140" spans="3:4">
      <c r="C140" s="33"/>
      <c r="D140" s="33"/>
    </row>
    <row r="141" spans="3:4">
      <c r="C141" s="33"/>
      <c r="D141" s="33"/>
    </row>
    <row r="142" spans="3:4">
      <c r="C142" s="33"/>
      <c r="D142" s="33"/>
    </row>
    <row r="143" spans="3:4">
      <c r="C143" s="33"/>
      <c r="D143" s="33"/>
    </row>
    <row r="144" spans="3:4">
      <c r="C144" s="33"/>
      <c r="D144" s="33"/>
    </row>
  </sheetData>
  <mergeCells count="7">
    <mergeCell ref="Y4:AA4"/>
    <mergeCell ref="AB4:AD4"/>
    <mergeCell ref="B2:D2"/>
    <mergeCell ref="N4:P4"/>
    <mergeCell ref="S4:S5"/>
    <mergeCell ref="T4:U4"/>
    <mergeCell ref="V4:X4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F121"/>
  <sheetViews>
    <sheetView topLeftCell="BI91" workbookViewId="0">
      <selection activeCell="BQ7" sqref="BQ7:BR119"/>
    </sheetView>
  </sheetViews>
  <sheetFormatPr defaultColWidth="8.69921875" defaultRowHeight="15.6"/>
  <cols>
    <col min="1" max="2" width="6.19921875" style="47" customWidth="1"/>
    <col min="3" max="4" width="10.19921875" style="47" customWidth="1"/>
    <col min="5" max="8" width="9.3984375" style="47" customWidth="1"/>
    <col min="9" max="16" width="11.69921875" style="47" customWidth="1"/>
    <col min="17" max="17" width="15.09765625" style="47" customWidth="1"/>
    <col min="18" max="20" width="11.69921875" style="47" customWidth="1"/>
    <col min="21" max="21" width="10.3984375" style="47" customWidth="1"/>
    <col min="22" max="132" width="11.69921875" style="47" customWidth="1"/>
    <col min="133" max="133" width="9.5" style="47" bestFit="1" customWidth="1"/>
    <col min="134" max="134" width="10.59765625" style="47" customWidth="1"/>
    <col min="135" max="16384" width="8.69921875" style="47"/>
  </cols>
  <sheetData>
    <row r="1" spans="1:136">
      <c r="B1" s="47">
        <v>1</v>
      </c>
      <c r="C1" s="47">
        <f>B1+1</f>
        <v>2</v>
      </c>
      <c r="D1" s="47">
        <f t="shared" ref="D1:E1" si="0">C1+1</f>
        <v>3</v>
      </c>
      <c r="E1" s="47">
        <f t="shared" si="0"/>
        <v>4</v>
      </c>
      <c r="F1" s="47">
        <v>2</v>
      </c>
      <c r="G1" s="47">
        <f t="shared" ref="G1" si="1">F1+1</f>
        <v>3</v>
      </c>
      <c r="H1" s="47">
        <f t="shared" ref="H1" si="2">G1+1</f>
        <v>4</v>
      </c>
      <c r="I1" s="47">
        <f t="shared" ref="I1" si="3">H1+1</f>
        <v>5</v>
      </c>
      <c r="J1" s="47">
        <v>3</v>
      </c>
      <c r="K1" s="47">
        <f t="shared" ref="K1" si="4">J1+1</f>
        <v>4</v>
      </c>
      <c r="L1" s="47">
        <f t="shared" ref="L1" si="5">K1+1</f>
        <v>5</v>
      </c>
      <c r="Q1" s="47">
        <f t="shared" ref="Q1" si="6">L1+1</f>
        <v>6</v>
      </c>
      <c r="R1" s="47">
        <v>4</v>
      </c>
      <c r="S1" s="47">
        <f t="shared" ref="S1" si="7">R1+1</f>
        <v>5</v>
      </c>
      <c r="T1" s="47">
        <f t="shared" ref="T1" si="8">S1+1</f>
        <v>6</v>
      </c>
      <c r="U1" s="47">
        <f t="shared" ref="U1" si="9">T1+1</f>
        <v>7</v>
      </c>
      <c r="V1" s="47">
        <v>5</v>
      </c>
      <c r="W1" s="47">
        <f t="shared" ref="W1" si="10">V1+1</f>
        <v>6</v>
      </c>
      <c r="X1" s="47">
        <f t="shared" ref="X1" si="11">W1+1</f>
        <v>7</v>
      </c>
      <c r="AA1" s="47">
        <f t="shared" ref="AA1" si="12">X1+1</f>
        <v>8</v>
      </c>
      <c r="AB1" s="47">
        <v>6</v>
      </c>
      <c r="AE1" s="47">
        <f t="shared" ref="AE1" si="13">AB1+1</f>
        <v>7</v>
      </c>
      <c r="AF1" s="47">
        <f t="shared" ref="AF1" si="14">AE1+1</f>
        <v>8</v>
      </c>
      <c r="AI1" s="47">
        <f t="shared" ref="AI1" si="15">AF1+1</f>
        <v>9</v>
      </c>
      <c r="AJ1" s="47">
        <v>7</v>
      </c>
      <c r="AO1" s="47">
        <f>AJ1+1</f>
        <v>8</v>
      </c>
      <c r="AP1" s="47">
        <f t="shared" ref="AP1" si="16">AO1+1</f>
        <v>9</v>
      </c>
      <c r="AQ1" s="47">
        <f t="shared" ref="AQ1" si="17">AP1+1</f>
        <v>10</v>
      </c>
      <c r="AR1" s="47">
        <v>8</v>
      </c>
      <c r="AS1" s="47">
        <f t="shared" ref="AS1" si="18">AR1+1</f>
        <v>9</v>
      </c>
      <c r="AT1" s="47">
        <f t="shared" ref="AT1" si="19">AS1+1</f>
        <v>10</v>
      </c>
      <c r="AU1" s="47">
        <f t="shared" ref="AU1" si="20">AT1+1</f>
        <v>11</v>
      </c>
      <c r="AV1" s="47">
        <v>9</v>
      </c>
      <c r="AW1" s="47">
        <f t="shared" ref="AW1" si="21">AV1+1</f>
        <v>10</v>
      </c>
      <c r="AX1" s="47">
        <f t="shared" ref="AX1" si="22">AW1+1</f>
        <v>11</v>
      </c>
      <c r="AY1" s="47">
        <f t="shared" ref="AY1" si="23">AX1+1</f>
        <v>12</v>
      </c>
      <c r="AZ1" s="47">
        <v>10</v>
      </c>
      <c r="BA1" s="47">
        <f t="shared" ref="BA1" si="24">AZ1+1</f>
        <v>11</v>
      </c>
      <c r="BB1" s="47">
        <f t="shared" ref="BB1" si="25">BA1+1</f>
        <v>12</v>
      </c>
      <c r="BC1" s="47">
        <f t="shared" ref="BC1" si="26">BB1+1</f>
        <v>13</v>
      </c>
      <c r="BD1" s="47">
        <v>11</v>
      </c>
      <c r="BE1" s="47">
        <f t="shared" ref="BE1" si="27">BD1+1</f>
        <v>12</v>
      </c>
      <c r="BF1" s="47">
        <f t="shared" ref="BF1" si="28">BE1+1</f>
        <v>13</v>
      </c>
      <c r="BG1" s="47">
        <f t="shared" ref="BG1" si="29">BF1+1</f>
        <v>14</v>
      </c>
      <c r="BH1" s="47">
        <v>12</v>
      </c>
      <c r="BI1" s="47">
        <f t="shared" ref="BI1" si="30">BH1+1</f>
        <v>13</v>
      </c>
      <c r="BJ1" s="47">
        <f t="shared" ref="BJ1" si="31">BI1+1</f>
        <v>14</v>
      </c>
      <c r="BK1" s="47">
        <f t="shared" ref="BK1" si="32">BJ1+1</f>
        <v>15</v>
      </c>
      <c r="BL1" s="47">
        <v>13</v>
      </c>
      <c r="BM1" s="47">
        <f t="shared" ref="BM1" si="33">BL1+1</f>
        <v>14</v>
      </c>
      <c r="BN1" s="47">
        <f t="shared" ref="BN1" si="34">BM1+1</f>
        <v>15</v>
      </c>
      <c r="BO1" s="47">
        <f t="shared" ref="BO1" si="35">BN1+1</f>
        <v>16</v>
      </c>
      <c r="BP1" s="47">
        <v>14</v>
      </c>
      <c r="BQ1" s="47">
        <f t="shared" ref="BQ1" si="36">BP1+1</f>
        <v>15</v>
      </c>
      <c r="BR1" s="47">
        <f t="shared" ref="BR1" si="37">BQ1+1</f>
        <v>16</v>
      </c>
      <c r="BS1" s="47">
        <f t="shared" ref="BS1" si="38">BR1+1</f>
        <v>17</v>
      </c>
      <c r="BT1" s="47">
        <v>15</v>
      </c>
      <c r="BU1" s="47">
        <f t="shared" ref="BU1" si="39">BT1+1</f>
        <v>16</v>
      </c>
      <c r="BV1" s="47">
        <f t="shared" ref="BV1" si="40">BU1+1</f>
        <v>17</v>
      </c>
      <c r="BW1" s="47">
        <f t="shared" ref="BW1" si="41">BV1+1</f>
        <v>18</v>
      </c>
      <c r="BX1" s="47">
        <v>16</v>
      </c>
      <c r="BY1" s="47">
        <f t="shared" ref="BY1" si="42">BX1+1</f>
        <v>17</v>
      </c>
      <c r="BZ1" s="47">
        <f t="shared" ref="BZ1" si="43">BY1+1</f>
        <v>18</v>
      </c>
      <c r="CA1" s="47">
        <f t="shared" ref="CA1" si="44">BZ1+1</f>
        <v>19</v>
      </c>
      <c r="CB1" s="47">
        <v>17</v>
      </c>
      <c r="CC1" s="47">
        <f t="shared" ref="CC1" si="45">CB1+1</f>
        <v>18</v>
      </c>
      <c r="CD1" s="47">
        <f t="shared" ref="CD1" si="46">CC1+1</f>
        <v>19</v>
      </c>
      <c r="CE1" s="47">
        <f t="shared" ref="CE1" si="47">CD1+1</f>
        <v>20</v>
      </c>
      <c r="CF1" s="47">
        <v>18</v>
      </c>
      <c r="CG1" s="47">
        <f t="shared" ref="CG1" si="48">CF1+1</f>
        <v>19</v>
      </c>
      <c r="CH1" s="47">
        <f t="shared" ref="CH1" si="49">CG1+1</f>
        <v>20</v>
      </c>
      <c r="CI1" s="47">
        <f t="shared" ref="CI1" si="50">CH1+1</f>
        <v>21</v>
      </c>
      <c r="CJ1" s="47">
        <v>19</v>
      </c>
      <c r="CK1" s="47">
        <f t="shared" ref="CK1" si="51">CJ1+1</f>
        <v>20</v>
      </c>
      <c r="CL1" s="47">
        <f t="shared" ref="CL1" si="52">CK1+1</f>
        <v>21</v>
      </c>
      <c r="CM1" s="47">
        <f t="shared" ref="CM1" si="53">CL1+1</f>
        <v>22</v>
      </c>
      <c r="CN1" s="47">
        <v>20</v>
      </c>
      <c r="CQ1" s="47">
        <f t="shared" ref="CQ1" si="54">CN1+1</f>
        <v>21</v>
      </c>
      <c r="CR1" s="47">
        <f t="shared" ref="CR1" si="55">CQ1+1</f>
        <v>22</v>
      </c>
      <c r="CS1" s="47">
        <f t="shared" ref="CS1" si="56">CR1+1</f>
        <v>23</v>
      </c>
      <c r="CT1" s="47">
        <v>21</v>
      </c>
      <c r="CW1" s="47">
        <f t="shared" ref="CW1" si="57">CT1+1</f>
        <v>22</v>
      </c>
      <c r="CX1" s="47">
        <f t="shared" ref="CX1" si="58">CW1+1</f>
        <v>23</v>
      </c>
      <c r="DA1" s="47">
        <f t="shared" ref="DA1" si="59">CX1+1</f>
        <v>24</v>
      </c>
      <c r="DB1" s="47">
        <v>22</v>
      </c>
      <c r="DE1" s="47">
        <f t="shared" ref="DE1" si="60">DB1+1</f>
        <v>23</v>
      </c>
      <c r="DF1" s="47">
        <f t="shared" ref="DF1" si="61">DE1+1</f>
        <v>24</v>
      </c>
      <c r="DI1" s="47">
        <f t="shared" ref="DI1" si="62">DF1+1</f>
        <v>25</v>
      </c>
      <c r="DJ1" s="47">
        <v>23</v>
      </c>
      <c r="DK1" s="47">
        <f t="shared" ref="DK1" si="63">DJ1+1</f>
        <v>24</v>
      </c>
      <c r="DL1" s="47">
        <f t="shared" ref="DL1" si="64">DK1+1</f>
        <v>25</v>
      </c>
      <c r="DO1" s="47">
        <f t="shared" ref="DO1" si="65">DL1+1</f>
        <v>26</v>
      </c>
      <c r="DP1" s="47">
        <v>24</v>
      </c>
      <c r="DQ1" s="47">
        <f t="shared" ref="DQ1" si="66">DP1+1</f>
        <v>25</v>
      </c>
      <c r="DR1" s="47">
        <f t="shared" ref="DR1" si="67">DQ1+1</f>
        <v>26</v>
      </c>
      <c r="DS1" s="47">
        <f t="shared" ref="DS1" si="68">DR1+1</f>
        <v>27</v>
      </c>
      <c r="DT1" s="47">
        <v>25</v>
      </c>
      <c r="DU1" s="47">
        <f t="shared" ref="DU1" si="69">DT1+1</f>
        <v>26</v>
      </c>
      <c r="DV1" s="47">
        <f t="shared" ref="DV1" si="70">DU1+1</f>
        <v>27</v>
      </c>
      <c r="DW1" s="47">
        <f t="shared" ref="DW1" si="71">DV1+1</f>
        <v>28</v>
      </c>
      <c r="DX1" s="47">
        <v>26</v>
      </c>
      <c r="DY1" s="47">
        <f t="shared" ref="DY1" si="72">DX1+1</f>
        <v>27</v>
      </c>
      <c r="DZ1" s="47">
        <f t="shared" ref="DZ1" si="73">DY1+1</f>
        <v>28</v>
      </c>
      <c r="EA1" s="47">
        <f t="shared" ref="EA1" si="74">DZ1+1</f>
        <v>29</v>
      </c>
      <c r="EB1" s="47">
        <v>27</v>
      </c>
      <c r="EC1" s="47">
        <f t="shared" ref="EC1" si="75">EB1+1</f>
        <v>28</v>
      </c>
      <c r="ED1" s="47">
        <f t="shared" ref="ED1" si="76">EC1+1</f>
        <v>29</v>
      </c>
      <c r="EF1" s="643" t="s">
        <v>537</v>
      </c>
    </row>
    <row r="2" spans="1:136" ht="19.2">
      <c r="B2" s="102" t="s">
        <v>181</v>
      </c>
      <c r="C2" s="102"/>
      <c r="D2" s="102"/>
      <c r="E2" s="102"/>
      <c r="F2" s="102"/>
      <c r="G2" s="102"/>
      <c r="H2" s="102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C2" s="267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EF2" s="643"/>
    </row>
    <row r="3" spans="1:136" ht="16.2" thickBot="1">
      <c r="BU3" s="71"/>
      <c r="BV3" s="71"/>
      <c r="BW3" s="71"/>
      <c r="BX3" s="71"/>
      <c r="BY3" s="71"/>
      <c r="BZ3" s="71"/>
      <c r="CA3" s="71"/>
      <c r="CB3" s="71"/>
      <c r="CC3" s="71"/>
      <c r="CD3" s="71"/>
      <c r="EF3" s="283"/>
    </row>
    <row r="4" spans="1:136" ht="30" customHeight="1">
      <c r="A4"/>
      <c r="B4" s="284"/>
      <c r="C4" s="646" t="s">
        <v>798</v>
      </c>
      <c r="D4" s="647"/>
      <c r="E4" s="646" t="s">
        <v>799</v>
      </c>
      <c r="F4" s="647"/>
      <c r="G4" s="646" t="s">
        <v>975</v>
      </c>
      <c r="H4" s="647"/>
      <c r="I4" s="646" t="s">
        <v>800</v>
      </c>
      <c r="J4" s="647"/>
      <c r="K4" s="646" t="s">
        <v>801</v>
      </c>
      <c r="L4" s="647"/>
      <c r="M4" s="646" t="s">
        <v>984</v>
      </c>
      <c r="N4" s="647"/>
      <c r="O4" s="646" t="s">
        <v>994</v>
      </c>
      <c r="P4" s="647"/>
      <c r="Q4" s="646" t="s">
        <v>802</v>
      </c>
      <c r="R4" s="647"/>
      <c r="S4" s="646" t="s">
        <v>803</v>
      </c>
      <c r="T4" s="647"/>
      <c r="U4" s="646" t="s">
        <v>804</v>
      </c>
      <c r="V4" s="647"/>
      <c r="W4" s="646" t="s">
        <v>805</v>
      </c>
      <c r="X4" s="647"/>
      <c r="Y4" s="648" t="s">
        <v>998</v>
      </c>
      <c r="Z4" s="649"/>
      <c r="AA4" s="646" t="s">
        <v>806</v>
      </c>
      <c r="AB4" s="647"/>
      <c r="AC4" s="648" t="s">
        <v>1000</v>
      </c>
      <c r="AD4" s="649"/>
      <c r="AE4" s="644" t="s">
        <v>807</v>
      </c>
      <c r="AF4" s="645"/>
      <c r="AG4" s="650" t="s">
        <v>1002</v>
      </c>
      <c r="AH4" s="651"/>
      <c r="AI4" s="644" t="s">
        <v>808</v>
      </c>
      <c r="AJ4" s="645"/>
      <c r="AK4" s="650" t="s">
        <v>1008</v>
      </c>
      <c r="AL4" s="651"/>
      <c r="AM4" s="644" t="s">
        <v>990</v>
      </c>
      <c r="AN4" s="645"/>
      <c r="AO4" s="644" t="s">
        <v>809</v>
      </c>
      <c r="AP4" s="645"/>
      <c r="AQ4" s="646" t="s">
        <v>810</v>
      </c>
      <c r="AR4" s="647"/>
      <c r="AS4" s="646" t="s">
        <v>811</v>
      </c>
      <c r="AT4" s="647"/>
      <c r="AU4" s="646" t="s">
        <v>812</v>
      </c>
      <c r="AV4" s="647"/>
      <c r="AW4" s="646" t="s">
        <v>813</v>
      </c>
      <c r="AX4" s="647"/>
      <c r="AY4" s="646" t="s">
        <v>814</v>
      </c>
      <c r="AZ4" s="647"/>
      <c r="BA4" s="644" t="s">
        <v>815</v>
      </c>
      <c r="BB4" s="645"/>
      <c r="BC4" s="644" t="s">
        <v>816</v>
      </c>
      <c r="BD4" s="645"/>
      <c r="BE4" s="646" t="s">
        <v>817</v>
      </c>
      <c r="BF4" s="647"/>
      <c r="BG4" s="646" t="s">
        <v>818</v>
      </c>
      <c r="BH4" s="647"/>
      <c r="BI4" s="646" t="s">
        <v>819</v>
      </c>
      <c r="BJ4" s="647"/>
      <c r="BK4" s="646" t="s">
        <v>820</v>
      </c>
      <c r="BL4" s="647"/>
      <c r="BM4" s="646" t="s">
        <v>821</v>
      </c>
      <c r="BN4" s="647"/>
      <c r="BO4" s="644" t="s">
        <v>822</v>
      </c>
      <c r="BP4" s="645"/>
      <c r="BQ4" s="646" t="s">
        <v>823</v>
      </c>
      <c r="BR4" s="647"/>
      <c r="BS4" s="646" t="s">
        <v>824</v>
      </c>
      <c r="BT4" s="647"/>
      <c r="BU4" s="646" t="s">
        <v>1035</v>
      </c>
      <c r="BV4" s="647"/>
      <c r="BW4" s="644" t="s">
        <v>825</v>
      </c>
      <c r="BX4" s="645"/>
      <c r="BY4" s="644" t="s">
        <v>826</v>
      </c>
      <c r="BZ4" s="645"/>
      <c r="CA4" s="644" t="s">
        <v>827</v>
      </c>
      <c r="CB4" s="645"/>
      <c r="CC4" s="644" t="s">
        <v>1037</v>
      </c>
      <c r="CD4" s="645"/>
      <c r="CE4" s="646" t="s">
        <v>828</v>
      </c>
      <c r="CF4" s="647"/>
      <c r="CG4" s="646" t="s">
        <v>829</v>
      </c>
      <c r="CH4" s="647"/>
      <c r="CI4" s="646" t="s">
        <v>830</v>
      </c>
      <c r="CJ4" s="647"/>
      <c r="CK4" s="646" t="s">
        <v>831</v>
      </c>
      <c r="CL4" s="647"/>
      <c r="CM4" s="646" t="s">
        <v>832</v>
      </c>
      <c r="CN4" s="647"/>
      <c r="CO4" s="646" t="s">
        <v>1054</v>
      </c>
      <c r="CP4" s="647"/>
      <c r="CQ4" s="646" t="s">
        <v>833</v>
      </c>
      <c r="CR4" s="647"/>
      <c r="CS4" s="646" t="s">
        <v>834</v>
      </c>
      <c r="CT4" s="647"/>
      <c r="CU4" s="639" t="s">
        <v>1060</v>
      </c>
      <c r="CV4" s="640"/>
      <c r="CW4" s="646" t="s">
        <v>835</v>
      </c>
      <c r="CX4" s="647"/>
      <c r="CY4" s="639" t="s">
        <v>1062</v>
      </c>
      <c r="CZ4" s="640"/>
      <c r="DA4" s="646" t="s">
        <v>836</v>
      </c>
      <c r="DB4" s="647"/>
      <c r="DC4" s="639" t="s">
        <v>1058</v>
      </c>
      <c r="DD4" s="640"/>
      <c r="DE4" s="646" t="s">
        <v>837</v>
      </c>
      <c r="DF4" s="647"/>
      <c r="DG4" s="639" t="s">
        <v>1064</v>
      </c>
      <c r="DH4" s="640"/>
      <c r="DI4" s="644" t="s">
        <v>838</v>
      </c>
      <c r="DJ4" s="645"/>
      <c r="DK4" s="646" t="s">
        <v>839</v>
      </c>
      <c r="DL4" s="647"/>
      <c r="DM4" s="641" t="s">
        <v>1066</v>
      </c>
      <c r="DN4" s="642"/>
      <c r="DO4" s="644" t="s">
        <v>840</v>
      </c>
      <c r="DP4" s="645"/>
      <c r="DQ4" s="644" t="s">
        <v>841</v>
      </c>
      <c r="DR4" s="645"/>
      <c r="DS4" s="644" t="s">
        <v>842</v>
      </c>
      <c r="DT4" s="645"/>
      <c r="DU4" s="644" t="s">
        <v>843</v>
      </c>
      <c r="DV4" s="645"/>
      <c r="DW4" s="646" t="s">
        <v>844</v>
      </c>
      <c r="DX4" s="647"/>
      <c r="DY4" s="644" t="s">
        <v>845</v>
      </c>
      <c r="DZ4" s="645"/>
      <c r="EA4" s="646" t="s">
        <v>932</v>
      </c>
      <c r="EB4" s="647"/>
      <c r="EC4" s="646" t="s">
        <v>846</v>
      </c>
      <c r="ED4" s="647"/>
    </row>
    <row r="5" spans="1:136" ht="18" customHeight="1" thickBot="1">
      <c r="A5"/>
      <c r="B5" s="285"/>
      <c r="C5" s="247" t="s">
        <v>847</v>
      </c>
      <c r="D5" s="247" t="s">
        <v>848</v>
      </c>
      <c r="E5" s="247" t="s">
        <v>847</v>
      </c>
      <c r="F5" s="247" t="s">
        <v>848</v>
      </c>
      <c r="G5" s="247"/>
      <c r="H5" s="247"/>
      <c r="I5" s="247" t="s">
        <v>847</v>
      </c>
      <c r="J5" s="247" t="s">
        <v>848</v>
      </c>
      <c r="K5" s="247" t="s">
        <v>847</v>
      </c>
      <c r="L5" s="247" t="s">
        <v>848</v>
      </c>
      <c r="M5" s="247" t="s">
        <v>847</v>
      </c>
      <c r="N5" s="247" t="s">
        <v>848</v>
      </c>
      <c r="O5" s="247" t="s">
        <v>847</v>
      </c>
      <c r="P5" s="247" t="s">
        <v>848</v>
      </c>
      <c r="Q5" s="247" t="s">
        <v>847</v>
      </c>
      <c r="R5" s="247" t="s">
        <v>848</v>
      </c>
      <c r="S5" s="247" t="s">
        <v>847</v>
      </c>
      <c r="T5" s="247" t="s">
        <v>848</v>
      </c>
      <c r="U5" s="247" t="s">
        <v>847</v>
      </c>
      <c r="V5" s="247" t="s">
        <v>848</v>
      </c>
      <c r="W5" s="247" t="s">
        <v>847</v>
      </c>
      <c r="X5" s="247" t="s">
        <v>848</v>
      </c>
      <c r="Y5" s="465" t="s">
        <v>847</v>
      </c>
      <c r="Z5" s="465" t="s">
        <v>848</v>
      </c>
      <c r="AA5" s="247" t="s">
        <v>847</v>
      </c>
      <c r="AB5" s="247" t="s">
        <v>848</v>
      </c>
      <c r="AC5" s="465" t="s">
        <v>847</v>
      </c>
      <c r="AD5" s="465" t="s">
        <v>848</v>
      </c>
      <c r="AE5" s="247" t="s">
        <v>847</v>
      </c>
      <c r="AF5" s="247" t="s">
        <v>848</v>
      </c>
      <c r="AG5" s="465" t="s">
        <v>847</v>
      </c>
      <c r="AH5" s="465" t="s">
        <v>848</v>
      </c>
      <c r="AI5" s="247" t="s">
        <v>847</v>
      </c>
      <c r="AJ5" s="247" t="s">
        <v>848</v>
      </c>
      <c r="AK5" s="465" t="s">
        <v>847</v>
      </c>
      <c r="AL5" s="465" t="s">
        <v>848</v>
      </c>
      <c r="AM5" s="247"/>
      <c r="AN5" s="247"/>
      <c r="AO5" s="247" t="s">
        <v>847</v>
      </c>
      <c r="AP5" s="247" t="s">
        <v>848</v>
      </c>
      <c r="AQ5" s="247" t="s">
        <v>847</v>
      </c>
      <c r="AR5" s="247" t="s">
        <v>848</v>
      </c>
      <c r="AS5" s="247" t="s">
        <v>847</v>
      </c>
      <c r="AT5" s="247" t="s">
        <v>848</v>
      </c>
      <c r="AU5" s="247" t="s">
        <v>847</v>
      </c>
      <c r="AV5" s="247" t="s">
        <v>848</v>
      </c>
      <c r="AW5" s="247" t="s">
        <v>847</v>
      </c>
      <c r="AX5" s="247" t="s">
        <v>848</v>
      </c>
      <c r="AY5" s="247" t="s">
        <v>847</v>
      </c>
      <c r="AZ5" s="247" t="s">
        <v>848</v>
      </c>
      <c r="BA5" s="247" t="s">
        <v>847</v>
      </c>
      <c r="BB5" s="247" t="s">
        <v>848</v>
      </c>
      <c r="BC5" s="247" t="s">
        <v>847</v>
      </c>
      <c r="BD5" s="247" t="s">
        <v>848</v>
      </c>
      <c r="BE5" s="247" t="s">
        <v>847</v>
      </c>
      <c r="BF5" s="247" t="s">
        <v>848</v>
      </c>
      <c r="BG5" s="247" t="s">
        <v>847</v>
      </c>
      <c r="BH5" s="247" t="s">
        <v>848</v>
      </c>
      <c r="BI5" s="247" t="s">
        <v>847</v>
      </c>
      <c r="BJ5" s="247" t="s">
        <v>848</v>
      </c>
      <c r="BK5" s="247" t="s">
        <v>847</v>
      </c>
      <c r="BL5" s="247" t="s">
        <v>848</v>
      </c>
      <c r="BM5" s="247" t="s">
        <v>847</v>
      </c>
      <c r="BN5" s="247" t="s">
        <v>848</v>
      </c>
      <c r="BO5" s="247" t="s">
        <v>847</v>
      </c>
      <c r="BP5" s="247" t="s">
        <v>848</v>
      </c>
      <c r="BQ5" s="247" t="s">
        <v>847</v>
      </c>
      <c r="BR5" s="247" t="s">
        <v>848</v>
      </c>
      <c r="BS5" s="247" t="s">
        <v>847</v>
      </c>
      <c r="BT5" s="247" t="s">
        <v>848</v>
      </c>
      <c r="BU5" s="247" t="s">
        <v>847</v>
      </c>
      <c r="BV5" s="247" t="s">
        <v>848</v>
      </c>
      <c r="BW5" s="247" t="s">
        <v>847</v>
      </c>
      <c r="BX5" s="247" t="s">
        <v>848</v>
      </c>
      <c r="BY5" s="247" t="s">
        <v>847</v>
      </c>
      <c r="BZ5" s="247" t="s">
        <v>848</v>
      </c>
      <c r="CA5" s="247" t="s">
        <v>847</v>
      </c>
      <c r="CB5" s="247" t="s">
        <v>848</v>
      </c>
      <c r="CC5" s="247" t="s">
        <v>847</v>
      </c>
      <c r="CD5" s="247" t="s">
        <v>848</v>
      </c>
      <c r="CE5" s="247" t="s">
        <v>847</v>
      </c>
      <c r="CF5" s="247" t="s">
        <v>848</v>
      </c>
      <c r="CG5" s="247" t="s">
        <v>847</v>
      </c>
      <c r="CH5" s="247" t="s">
        <v>848</v>
      </c>
      <c r="CI5" s="247" t="s">
        <v>847</v>
      </c>
      <c r="CJ5" s="247" t="s">
        <v>848</v>
      </c>
      <c r="CK5" s="247" t="s">
        <v>847</v>
      </c>
      <c r="CL5" s="247" t="s">
        <v>848</v>
      </c>
      <c r="CM5" s="247" t="s">
        <v>847</v>
      </c>
      <c r="CN5" s="247" t="s">
        <v>848</v>
      </c>
      <c r="CO5" s="247"/>
      <c r="CP5" s="247"/>
      <c r="CQ5" s="247" t="s">
        <v>847</v>
      </c>
      <c r="CR5" s="247" t="s">
        <v>848</v>
      </c>
      <c r="CS5" s="247" t="s">
        <v>847</v>
      </c>
      <c r="CT5" s="247" t="s">
        <v>848</v>
      </c>
      <c r="CU5" s="247" t="s">
        <v>847</v>
      </c>
      <c r="CV5" s="247" t="s">
        <v>848</v>
      </c>
      <c r="CW5" s="247" t="s">
        <v>847</v>
      </c>
      <c r="CX5" s="247" t="s">
        <v>848</v>
      </c>
      <c r="CY5" s="247" t="s">
        <v>847</v>
      </c>
      <c r="CZ5" s="247" t="s">
        <v>848</v>
      </c>
      <c r="DA5" s="247" t="s">
        <v>847</v>
      </c>
      <c r="DB5" s="247" t="s">
        <v>848</v>
      </c>
      <c r="DC5" s="247" t="s">
        <v>847</v>
      </c>
      <c r="DD5" s="247" t="s">
        <v>848</v>
      </c>
      <c r="DE5" s="247" t="s">
        <v>847</v>
      </c>
      <c r="DF5" s="247" t="s">
        <v>848</v>
      </c>
      <c r="DG5" s="247" t="s">
        <v>847</v>
      </c>
      <c r="DH5" s="247" t="s">
        <v>848</v>
      </c>
      <c r="DI5" s="247" t="s">
        <v>847</v>
      </c>
      <c r="DJ5" s="247" t="s">
        <v>848</v>
      </c>
      <c r="DK5" s="247" t="s">
        <v>847</v>
      </c>
      <c r="DL5" s="247" t="s">
        <v>848</v>
      </c>
      <c r="DM5" s="247" t="s">
        <v>847</v>
      </c>
      <c r="DN5" s="247" t="s">
        <v>848</v>
      </c>
      <c r="DO5" s="247" t="s">
        <v>847</v>
      </c>
      <c r="DP5" s="247" t="s">
        <v>848</v>
      </c>
      <c r="DQ5" s="247" t="s">
        <v>847</v>
      </c>
      <c r="DR5" s="247" t="s">
        <v>848</v>
      </c>
      <c r="DS5" s="247" t="s">
        <v>847</v>
      </c>
      <c r="DT5" s="247" t="s">
        <v>848</v>
      </c>
      <c r="DU5" s="247" t="s">
        <v>847</v>
      </c>
      <c r="DV5" s="247" t="s">
        <v>848</v>
      </c>
      <c r="DW5" s="247" t="s">
        <v>847</v>
      </c>
      <c r="DX5" s="247" t="s">
        <v>848</v>
      </c>
      <c r="DY5" s="247" t="s">
        <v>847</v>
      </c>
      <c r="DZ5" s="247" t="s">
        <v>848</v>
      </c>
      <c r="EA5" s="247" t="s">
        <v>847</v>
      </c>
      <c r="EB5" s="247" t="s">
        <v>848</v>
      </c>
      <c r="EC5" s="247"/>
      <c r="ED5" s="247"/>
      <c r="EE5" s="247"/>
      <c r="EF5" s="282"/>
    </row>
    <row r="6" spans="1:136" ht="16.2" thickBot="1">
      <c r="A6" s="47" t="s">
        <v>182</v>
      </c>
      <c r="B6" s="290" t="s">
        <v>7</v>
      </c>
      <c r="C6" s="376" t="s">
        <v>579</v>
      </c>
      <c r="D6" s="376" t="s">
        <v>579</v>
      </c>
      <c r="E6" s="248" t="s">
        <v>580</v>
      </c>
      <c r="F6" s="248" t="s">
        <v>580</v>
      </c>
      <c r="G6" s="376" t="s">
        <v>53</v>
      </c>
      <c r="H6" s="376" t="s">
        <v>53</v>
      </c>
      <c r="I6" s="376" t="s">
        <v>849</v>
      </c>
      <c r="J6" s="376" t="s">
        <v>583</v>
      </c>
      <c r="K6" s="376" t="s">
        <v>581</v>
      </c>
      <c r="L6" s="376" t="s">
        <v>581</v>
      </c>
      <c r="M6" s="376" t="s">
        <v>986</v>
      </c>
      <c r="N6" s="376" t="s">
        <v>986</v>
      </c>
      <c r="O6" s="376" t="s">
        <v>996</v>
      </c>
      <c r="P6" s="376" t="s">
        <v>995</v>
      </c>
      <c r="Q6" s="248" t="s">
        <v>585</v>
      </c>
      <c r="R6" s="248" t="s">
        <v>585</v>
      </c>
      <c r="S6" s="248" t="s">
        <v>586</v>
      </c>
      <c r="T6" s="248" t="s">
        <v>586</v>
      </c>
      <c r="U6" s="248" t="s">
        <v>587</v>
      </c>
      <c r="V6" s="248" t="s">
        <v>587</v>
      </c>
      <c r="W6" s="248" t="s">
        <v>588</v>
      </c>
      <c r="X6" s="248" t="s">
        <v>588</v>
      </c>
      <c r="Y6" s="466" t="s">
        <v>999</v>
      </c>
      <c r="Z6" s="466" t="s">
        <v>999</v>
      </c>
      <c r="AA6" s="248" t="s">
        <v>850</v>
      </c>
      <c r="AB6" s="248" t="s">
        <v>589</v>
      </c>
      <c r="AC6" s="466" t="s">
        <v>1001</v>
      </c>
      <c r="AD6" s="466" t="s">
        <v>1001</v>
      </c>
      <c r="AE6" s="248" t="s">
        <v>590</v>
      </c>
      <c r="AF6" s="248" t="s">
        <v>590</v>
      </c>
      <c r="AG6" s="466" t="s">
        <v>1004</v>
      </c>
      <c r="AH6" s="466" t="s">
        <v>1004</v>
      </c>
      <c r="AI6" s="248" t="s">
        <v>1005</v>
      </c>
      <c r="AJ6" s="248" t="s">
        <v>591</v>
      </c>
      <c r="AK6" s="466" t="s">
        <v>1007</v>
      </c>
      <c r="AL6" s="466" t="s">
        <v>1007</v>
      </c>
      <c r="AM6" s="248" t="s">
        <v>992</v>
      </c>
      <c r="AN6" s="248" t="s">
        <v>992</v>
      </c>
      <c r="AO6" s="248" t="s">
        <v>593</v>
      </c>
      <c r="AP6" s="248" t="s">
        <v>593</v>
      </c>
      <c r="AQ6" s="248" t="s">
        <v>596</v>
      </c>
      <c r="AR6" s="248" t="s">
        <v>596</v>
      </c>
      <c r="AS6" s="248" t="s">
        <v>597</v>
      </c>
      <c r="AT6" s="248" t="s">
        <v>597</v>
      </c>
      <c r="AU6" s="248" t="s">
        <v>1039</v>
      </c>
      <c r="AV6" s="248" t="s">
        <v>851</v>
      </c>
      <c r="AW6" s="248" t="s">
        <v>1038</v>
      </c>
      <c r="AX6" s="248" t="s">
        <v>852</v>
      </c>
      <c r="AY6" s="248" t="s">
        <v>853</v>
      </c>
      <c r="AZ6" s="248" t="s">
        <v>853</v>
      </c>
      <c r="BA6" s="248" t="s">
        <v>1040</v>
      </c>
      <c r="BB6" s="248" t="s">
        <v>1040</v>
      </c>
      <c r="BC6" s="248" t="s">
        <v>854</v>
      </c>
      <c r="BD6" s="248" t="s">
        <v>854</v>
      </c>
      <c r="BE6" s="248" t="s">
        <v>607</v>
      </c>
      <c r="BF6" s="248" t="s">
        <v>607</v>
      </c>
      <c r="BG6" s="248" t="s">
        <v>609</v>
      </c>
      <c r="BH6" s="248" t="s">
        <v>609</v>
      </c>
      <c r="BI6" s="248" t="s">
        <v>610</v>
      </c>
      <c r="BJ6" s="248" t="s">
        <v>610</v>
      </c>
      <c r="BK6" s="248" t="s">
        <v>611</v>
      </c>
      <c r="BL6" s="248" t="s">
        <v>611</v>
      </c>
      <c r="BM6" s="248" t="s">
        <v>612</v>
      </c>
      <c r="BN6" s="248" t="s">
        <v>612</v>
      </c>
      <c r="BO6" s="248" t="s">
        <v>855</v>
      </c>
      <c r="BP6" s="248" t="s">
        <v>855</v>
      </c>
      <c r="BQ6" s="248" t="s">
        <v>615</v>
      </c>
      <c r="BR6" s="248" t="s">
        <v>615</v>
      </c>
      <c r="BS6" s="248" t="s">
        <v>856</v>
      </c>
      <c r="BT6" s="248" t="s">
        <v>856</v>
      </c>
      <c r="BU6" s="248" t="s">
        <v>857</v>
      </c>
      <c r="BV6" s="248" t="s">
        <v>857</v>
      </c>
      <c r="BW6" s="248" t="s">
        <v>623</v>
      </c>
      <c r="BX6" s="248" t="s">
        <v>623</v>
      </c>
      <c r="BY6" s="248" t="s">
        <v>624</v>
      </c>
      <c r="BZ6" s="248" t="s">
        <v>624</v>
      </c>
      <c r="CA6" s="248" t="s">
        <v>858</v>
      </c>
      <c r="CB6" s="248" t="s">
        <v>625</v>
      </c>
      <c r="CC6" s="248" t="s">
        <v>621</v>
      </c>
      <c r="CD6" s="248" t="s">
        <v>621</v>
      </c>
      <c r="CE6" s="248" t="s">
        <v>627</v>
      </c>
      <c r="CF6" s="248" t="s">
        <v>627</v>
      </c>
      <c r="CG6" s="248" t="s">
        <v>1050</v>
      </c>
      <c r="CH6" s="248" t="s">
        <v>628</v>
      </c>
      <c r="CI6" s="248" t="s">
        <v>976</v>
      </c>
      <c r="CJ6" s="248" t="s">
        <v>629</v>
      </c>
      <c r="CK6" s="248" t="s">
        <v>977</v>
      </c>
      <c r="CL6" s="248" t="s">
        <v>630</v>
      </c>
      <c r="CM6" s="248" t="s">
        <v>978</v>
      </c>
      <c r="CN6" s="248" t="s">
        <v>631</v>
      </c>
      <c r="CO6" s="248" t="s">
        <v>1053</v>
      </c>
      <c r="CP6" s="248" t="s">
        <v>1053</v>
      </c>
      <c r="CQ6" s="248" t="s">
        <v>634</v>
      </c>
      <c r="CR6" s="248" t="s">
        <v>634</v>
      </c>
      <c r="CS6" s="248" t="s">
        <v>635</v>
      </c>
      <c r="CT6" s="248" t="s">
        <v>635</v>
      </c>
      <c r="CU6" s="248" t="s">
        <v>1061</v>
      </c>
      <c r="CV6" s="248" t="s">
        <v>1061</v>
      </c>
      <c r="CW6" s="248" t="s">
        <v>636</v>
      </c>
      <c r="CX6" s="248" t="s">
        <v>636</v>
      </c>
      <c r="CY6" s="248" t="s">
        <v>1063</v>
      </c>
      <c r="CZ6" s="248" t="s">
        <v>1063</v>
      </c>
      <c r="DA6" s="248" t="s">
        <v>637</v>
      </c>
      <c r="DB6" s="248" t="s">
        <v>637</v>
      </c>
      <c r="DC6" s="248" t="s">
        <v>1059</v>
      </c>
      <c r="DD6" s="248" t="s">
        <v>1059</v>
      </c>
      <c r="DE6" s="248" t="s">
        <v>638</v>
      </c>
      <c r="DF6" s="248" t="s">
        <v>638</v>
      </c>
      <c r="DG6" s="248" t="s">
        <v>1065</v>
      </c>
      <c r="DH6" s="248" t="s">
        <v>1065</v>
      </c>
      <c r="DI6" s="248" t="s">
        <v>639</v>
      </c>
      <c r="DJ6" s="248" t="s">
        <v>639</v>
      </c>
      <c r="DK6" s="248" t="s">
        <v>859</v>
      </c>
      <c r="DL6" s="248" t="s">
        <v>859</v>
      </c>
      <c r="DM6" s="248" t="s">
        <v>1067</v>
      </c>
      <c r="DN6" s="248" t="s">
        <v>1067</v>
      </c>
      <c r="DO6" s="248" t="s">
        <v>860</v>
      </c>
      <c r="DP6" s="248" t="s">
        <v>860</v>
      </c>
      <c r="DQ6" s="248" t="s">
        <v>861</v>
      </c>
      <c r="DR6" s="248" t="s">
        <v>861</v>
      </c>
      <c r="DS6" s="248" t="s">
        <v>645</v>
      </c>
      <c r="DT6" s="248" t="s">
        <v>645</v>
      </c>
      <c r="DU6" s="248" t="s">
        <v>646</v>
      </c>
      <c r="DV6" s="248" t="s">
        <v>646</v>
      </c>
      <c r="DW6" s="248" t="s">
        <v>862</v>
      </c>
      <c r="DX6" s="248" t="s">
        <v>863</v>
      </c>
      <c r="DY6" s="248" t="s">
        <v>864</v>
      </c>
      <c r="DZ6" s="248" t="s">
        <v>864</v>
      </c>
      <c r="EA6" s="248" t="s">
        <v>933</v>
      </c>
      <c r="EB6" s="248" t="s">
        <v>933</v>
      </c>
      <c r="EC6" s="248" t="s">
        <v>865</v>
      </c>
      <c r="ED6" s="248" t="s">
        <v>865</v>
      </c>
    </row>
    <row r="7" spans="1:136" s="249" customFormat="1" ht="17.399999999999999">
      <c r="A7" s="72" t="s">
        <v>183</v>
      </c>
      <c r="B7" s="289">
        <v>0</v>
      </c>
      <c r="C7" s="273">
        <v>8.8999999999999995E-5</v>
      </c>
      <c r="D7" s="273">
        <v>3.8000000000000002E-5</v>
      </c>
      <c r="E7" s="273">
        <v>3.9999999999999998E-6</v>
      </c>
      <c r="F7" s="273">
        <v>3.0000000000000001E-6</v>
      </c>
      <c r="G7" s="273">
        <v>1.6999999999999999E-3</v>
      </c>
      <c r="H7" s="273">
        <v>1.224E-3</v>
      </c>
      <c r="I7" s="273">
        <v>9.2999999999999997E-5</v>
      </c>
      <c r="J7" s="273">
        <v>4.1E-5</v>
      </c>
      <c r="K7" s="273">
        <v>1.5E-5</v>
      </c>
      <c r="L7" s="273">
        <v>3.9999999999999998E-6</v>
      </c>
      <c r="M7" s="273">
        <f>Q7*(1-S7*0-U7-W7-AA7-AE7-AI7)</f>
        <v>4.8799999999999999E-4</v>
      </c>
      <c r="N7" s="273">
        <f t="shared" ref="N7:N70" si="77">R7*(1-T7-V7-X7-AB7-AF7-AJ7)</f>
        <v>3.79E-4</v>
      </c>
      <c r="O7" s="273">
        <f>Q7*(S7*0+U7)</f>
        <v>0</v>
      </c>
      <c r="P7" s="273">
        <f>R7*(T7+V7)</f>
        <v>0</v>
      </c>
      <c r="Q7" s="273">
        <v>4.8799999999999999E-4</v>
      </c>
      <c r="R7" s="273">
        <v>3.79E-4</v>
      </c>
      <c r="S7" s="273">
        <v>0</v>
      </c>
      <c r="T7" s="273">
        <v>0</v>
      </c>
      <c r="U7" s="273">
        <v>0</v>
      </c>
      <c r="V7" s="273">
        <v>0</v>
      </c>
      <c r="W7" s="273">
        <v>0</v>
      </c>
      <c r="X7" s="273">
        <v>0</v>
      </c>
      <c r="Y7" s="273">
        <f>W7*Q7</f>
        <v>0</v>
      </c>
      <c r="Z7" s="273">
        <f t="shared" ref="Z7:Z70" si="78">X7*R7</f>
        <v>0</v>
      </c>
      <c r="AA7" s="273">
        <v>0</v>
      </c>
      <c r="AB7" s="273">
        <v>0</v>
      </c>
      <c r="AC7" s="273">
        <f>Q7*AA7</f>
        <v>0</v>
      </c>
      <c r="AD7" s="273">
        <f t="shared" ref="AD7:AD70" si="79">R7*AB7</f>
        <v>0</v>
      </c>
      <c r="AE7" s="273">
        <v>0</v>
      </c>
      <c r="AF7" s="273">
        <v>0</v>
      </c>
      <c r="AG7" s="273">
        <f>Q7*AE7</f>
        <v>0</v>
      </c>
      <c r="AH7" s="273">
        <f t="shared" ref="AH7:AH70" si="80">R7*AF7</f>
        <v>0</v>
      </c>
      <c r="AI7" s="273">
        <v>0</v>
      </c>
      <c r="AJ7" s="273">
        <v>0</v>
      </c>
      <c r="AK7" s="273">
        <f>Q7*AI7</f>
        <v>0</v>
      </c>
      <c r="AL7" s="273">
        <f t="shared" ref="AL7:AL70" si="81">R7*AJ7</f>
        <v>0</v>
      </c>
      <c r="AM7" s="273">
        <f>AO7*Q7</f>
        <v>1.91131056E-4</v>
      </c>
      <c r="AN7" s="273">
        <f>AP7*R7</f>
        <v>1.44174632E-4</v>
      </c>
      <c r="AO7" s="273">
        <v>0.39166200000000001</v>
      </c>
      <c r="AP7" s="273">
        <v>0.38040800000000002</v>
      </c>
      <c r="AQ7" s="273">
        <v>0</v>
      </c>
      <c r="AR7" s="273">
        <v>0</v>
      </c>
      <c r="AS7" s="273">
        <v>6.9999999999999994E-5</v>
      </c>
      <c r="AT7" s="273">
        <v>6.2000000000000003E-5</v>
      </c>
      <c r="AU7" s="273">
        <v>1.9999999999999999E-6</v>
      </c>
      <c r="AV7" s="273">
        <v>9.9999999999999995E-7</v>
      </c>
      <c r="AW7" s="273">
        <v>8.3999999999999995E-5</v>
      </c>
      <c r="AX7" s="273">
        <v>7.9999999999999996E-6</v>
      </c>
      <c r="AY7" s="273">
        <v>9.0000000000000002E-6</v>
      </c>
      <c r="AZ7" s="273">
        <v>1.5E-5</v>
      </c>
      <c r="BA7" s="273">
        <v>6.0000000000000002E-6</v>
      </c>
      <c r="BB7" s="273">
        <v>1.8E-5</v>
      </c>
      <c r="BC7" s="273">
        <v>7.8799999999999996E-4</v>
      </c>
      <c r="BD7" s="273">
        <v>5.22E-4</v>
      </c>
      <c r="BE7" s="273">
        <v>1.44E-4</v>
      </c>
      <c r="BF7" s="273">
        <v>1.4100000000000001E-4</v>
      </c>
      <c r="BG7" s="273">
        <v>1.07E-4</v>
      </c>
      <c r="BH7" s="273">
        <v>6.9999999999999994E-5</v>
      </c>
      <c r="BI7" s="273">
        <v>7.7999999999999999E-5</v>
      </c>
      <c r="BJ7" s="273">
        <v>5.7000000000000003E-5</v>
      </c>
      <c r="BK7" s="273">
        <v>4.8479999999999999E-3</v>
      </c>
      <c r="BL7" s="273">
        <v>4.5129999999999997E-3</v>
      </c>
      <c r="BM7" s="273">
        <v>3.2000000000000003E-4</v>
      </c>
      <c r="BN7" s="273">
        <v>1.5899999999999999E-4</v>
      </c>
      <c r="BO7" s="273">
        <v>6.7000000000000002E-5</v>
      </c>
      <c r="BP7" s="273">
        <v>4.5000000000000003E-5</v>
      </c>
      <c r="BQ7" s="273">
        <v>2.8899999999999998E-4</v>
      </c>
      <c r="BR7" s="273">
        <v>1.9799999999999999E-4</v>
      </c>
      <c r="BS7" s="273">
        <v>1.9999999999999999E-6</v>
      </c>
      <c r="BT7" s="273">
        <v>3.0000000000000001E-6</v>
      </c>
      <c r="BU7" s="273">
        <v>1.8550000000000001E-3</v>
      </c>
      <c r="BV7" s="273">
        <v>1.271E-3</v>
      </c>
      <c r="BW7" s="273">
        <v>2.2038289999999998</v>
      </c>
      <c r="BX7" s="273">
        <v>2.1337000000000002</v>
      </c>
      <c r="BY7" s="273">
        <v>0.73767700000000003</v>
      </c>
      <c r="BZ7" s="273">
        <v>0.70306299999999999</v>
      </c>
      <c r="CA7" s="273">
        <v>0.34583399999999997</v>
      </c>
      <c r="CB7" s="273">
        <v>0.32469700000000001</v>
      </c>
      <c r="CC7" s="273">
        <v>7.9999999999999996E-6</v>
      </c>
      <c r="CD7" s="273">
        <v>1.1E-5</v>
      </c>
      <c r="CE7" s="273">
        <v>1.4540000000000001E-2</v>
      </c>
      <c r="CF7" s="273">
        <v>8.2880000000000002E-3</v>
      </c>
      <c r="CG7" s="273">
        <v>5.8630000000000002E-3</v>
      </c>
      <c r="CH7" s="273">
        <v>2.9369999999999999E-3</v>
      </c>
      <c r="CI7" s="273">
        <v>4.3860000000000001E-3</v>
      </c>
      <c r="CJ7" s="273">
        <v>3.5049999999999999E-3</v>
      </c>
      <c r="CK7" s="273">
        <v>4.3379999999999998E-3</v>
      </c>
      <c r="CL7" s="273">
        <v>3.1740000000000002E-3</v>
      </c>
      <c r="CM7" s="273">
        <v>3.9560000000000003E-3</v>
      </c>
      <c r="CN7" s="273">
        <v>4.4039999999999999E-3</v>
      </c>
      <c r="CO7" s="273">
        <v>3.0934E-2</v>
      </c>
      <c r="CP7" s="273">
        <v>2.0809999999999999E-2</v>
      </c>
      <c r="CQ7" s="273">
        <v>2.5500000000000002E-4</v>
      </c>
      <c r="CR7" s="273">
        <v>2.9700000000000001E-4</v>
      </c>
      <c r="CS7" s="273">
        <v>0</v>
      </c>
      <c r="CT7" s="273">
        <v>0</v>
      </c>
      <c r="CU7" s="273">
        <f>CQ7*CS7</f>
        <v>0</v>
      </c>
      <c r="CV7" s="273">
        <f t="shared" ref="CV7:CV70" si="82">CR7*CT7</f>
        <v>0</v>
      </c>
      <c r="CW7" s="273">
        <v>0</v>
      </c>
      <c r="CX7" s="273">
        <v>0</v>
      </c>
      <c r="CY7" s="273">
        <f>CQ7*CW7</f>
        <v>0</v>
      </c>
      <c r="CZ7" s="273">
        <f t="shared" ref="CZ7:CZ70" si="83">CR7*CX7</f>
        <v>0</v>
      </c>
      <c r="DA7" s="273">
        <v>0</v>
      </c>
      <c r="DB7" s="273">
        <v>0</v>
      </c>
      <c r="DC7" s="273">
        <f>CQ7-CU7-CY7</f>
        <v>2.5500000000000002E-4</v>
      </c>
      <c r="DD7" s="273">
        <f t="shared" ref="DD7:DD70" si="84">CR7-CV7-CZ7</f>
        <v>2.9700000000000001E-4</v>
      </c>
      <c r="DE7" s="273">
        <v>2.6999999999999999E-5</v>
      </c>
      <c r="DF7" s="273">
        <v>2.8E-5</v>
      </c>
      <c r="DG7" s="273">
        <f>CU7+CY7+DA7+DE7</f>
        <v>2.6999999999999999E-5</v>
      </c>
      <c r="DH7" s="273">
        <f t="shared" ref="DH7:DH70" si="85">CV7+CZ7+DB7+DF7</f>
        <v>2.8E-5</v>
      </c>
      <c r="DI7" s="273">
        <v>0</v>
      </c>
      <c r="DJ7" s="273">
        <v>1.5899999999999999E-4</v>
      </c>
      <c r="DK7" s="273">
        <v>0</v>
      </c>
      <c r="DL7" s="273">
        <v>0</v>
      </c>
      <c r="DM7" s="273">
        <f>DI7+DK7</f>
        <v>0</v>
      </c>
      <c r="DN7" s="273">
        <f t="shared" ref="DN7:DN70" si="86">DJ7+DL7</f>
        <v>1.5899999999999999E-4</v>
      </c>
      <c r="DO7" s="273">
        <v>0</v>
      </c>
      <c r="DP7" s="273">
        <v>0</v>
      </c>
      <c r="DQ7" s="273">
        <v>9.9999999999999995E-7</v>
      </c>
      <c r="DR7" s="273">
        <v>3.0000000000000001E-5</v>
      </c>
      <c r="DS7" s="273">
        <v>5.9480000000000002E-3</v>
      </c>
      <c r="DT7" s="273">
        <v>5.0720000000000001E-3</v>
      </c>
      <c r="DU7" s="273">
        <v>3.7399999999999998E-4</v>
      </c>
      <c r="DV7" s="273">
        <v>4.4499999999999997E-4</v>
      </c>
      <c r="DW7" s="273">
        <v>4.0188000000000001E-2</v>
      </c>
      <c r="DX7" s="273">
        <v>4.0188000000000001E-2</v>
      </c>
      <c r="DY7" s="273">
        <v>0.96085200000000004</v>
      </c>
      <c r="DZ7" s="273">
        <v>0.71426900000000004</v>
      </c>
      <c r="EA7" s="273">
        <v>2.9799999999999998E-4</v>
      </c>
      <c r="EB7" s="273">
        <v>1.2E-4</v>
      </c>
      <c r="EC7" s="273">
        <v>1.5410000000000001E-3</v>
      </c>
      <c r="ED7" s="273">
        <v>3.9029999999999998E-3</v>
      </c>
      <c r="EE7" s="273"/>
      <c r="EF7" s="274"/>
    </row>
    <row r="8" spans="1:136" s="249" customFormat="1" ht="17.399999999999999">
      <c r="B8" s="286">
        <v>1</v>
      </c>
      <c r="C8" s="273">
        <v>2.5999999999999998E-5</v>
      </c>
      <c r="D8" s="273">
        <v>7.9999999999999996E-6</v>
      </c>
      <c r="E8" s="273">
        <v>3.9999999999999998E-6</v>
      </c>
      <c r="F8" s="273">
        <v>3.0000000000000001E-6</v>
      </c>
      <c r="G8" s="273">
        <v>1.0900000000000001E-4</v>
      </c>
      <c r="H8" s="273">
        <v>8.3999999999999995E-5</v>
      </c>
      <c r="I8" s="273">
        <v>2.9999999999999997E-5</v>
      </c>
      <c r="J8" s="273">
        <v>1.1E-5</v>
      </c>
      <c r="K8" s="273">
        <v>1.5E-5</v>
      </c>
      <c r="L8" s="273">
        <v>3.9999999999999998E-6</v>
      </c>
      <c r="M8" s="273">
        <f t="shared" ref="M8:M71" si="87">Q8*(1-S8*0-U8-W8-AA8-AE8-AI8)</f>
        <v>4.2086738499999999E-4</v>
      </c>
      <c r="N8" s="273">
        <f t="shared" si="77"/>
        <v>3.18630279E-4</v>
      </c>
      <c r="O8" s="273">
        <f t="shared" ref="O8:O71" si="88">Q8*(S8*0+U8)</f>
        <v>9.6830000000000001E-8</v>
      </c>
      <c r="P8" s="273">
        <f t="shared" ref="P8:P71" si="89">R8*(T8+V8)</f>
        <v>0</v>
      </c>
      <c r="Q8" s="273">
        <v>4.2099999999999999E-4</v>
      </c>
      <c r="R8" s="273">
        <v>3.19E-4</v>
      </c>
      <c r="S8" s="273">
        <v>0</v>
      </c>
      <c r="T8" s="273">
        <v>0</v>
      </c>
      <c r="U8" s="273">
        <v>2.3000000000000001E-4</v>
      </c>
      <c r="V8" s="273">
        <v>0</v>
      </c>
      <c r="W8" s="273">
        <v>0</v>
      </c>
      <c r="X8" s="273">
        <v>0</v>
      </c>
      <c r="Y8" s="273">
        <f t="shared" ref="Y8:Y71" si="90">W8*Q8</f>
        <v>0</v>
      </c>
      <c r="Z8" s="273">
        <f t="shared" si="78"/>
        <v>0</v>
      </c>
      <c r="AA8" s="273">
        <v>0</v>
      </c>
      <c r="AB8" s="273">
        <v>1.1590000000000001E-3</v>
      </c>
      <c r="AC8" s="273">
        <f t="shared" ref="AC8:AC71" si="91">Q8*AA8</f>
        <v>0</v>
      </c>
      <c r="AD8" s="273">
        <f t="shared" si="79"/>
        <v>3.6972100000000003E-7</v>
      </c>
      <c r="AE8" s="273">
        <v>0</v>
      </c>
      <c r="AF8" s="273">
        <v>0</v>
      </c>
      <c r="AG8" s="273">
        <f t="shared" ref="AG8:AG71" si="92">Q8*AE8</f>
        <v>0</v>
      </c>
      <c r="AH8" s="273">
        <f t="shared" si="80"/>
        <v>0</v>
      </c>
      <c r="AI8" s="273">
        <v>8.5000000000000006E-5</v>
      </c>
      <c r="AJ8" s="273">
        <v>0</v>
      </c>
      <c r="AK8" s="273">
        <f t="shared" ref="AK8:AK71" si="93">Q8*AI8</f>
        <v>3.5784999999999999E-8</v>
      </c>
      <c r="AL8" s="273">
        <f t="shared" si="81"/>
        <v>0</v>
      </c>
      <c r="AM8" s="273">
        <f t="shared" ref="AM8:AM71" si="94">AO8*Q8</f>
        <v>2.17752567E-4</v>
      </c>
      <c r="AN8" s="273">
        <f t="shared" ref="AN8:AN71" si="95">AP8*R8</f>
        <v>1.5427222799999999E-4</v>
      </c>
      <c r="AO8" s="273">
        <v>0.51722699999999999</v>
      </c>
      <c r="AP8" s="273">
        <v>0.48361199999999999</v>
      </c>
      <c r="AQ8" s="273">
        <v>0</v>
      </c>
      <c r="AR8" s="273">
        <v>0</v>
      </c>
      <c r="AS8" s="273">
        <v>6.0999999999999999E-5</v>
      </c>
      <c r="AT8" s="273">
        <v>5.3000000000000001E-5</v>
      </c>
      <c r="AU8" s="273">
        <v>1.9999999999999999E-6</v>
      </c>
      <c r="AV8" s="273">
        <v>9.9999999999999995E-7</v>
      </c>
      <c r="AW8" s="273">
        <v>7.3999999999999996E-5</v>
      </c>
      <c r="AX8" s="273">
        <v>1.2999999999999999E-5</v>
      </c>
      <c r="AY8" s="273">
        <v>1.0000000000000001E-5</v>
      </c>
      <c r="AZ8" s="273">
        <v>1.5E-5</v>
      </c>
      <c r="BA8" s="273">
        <v>6.0000000000000002E-6</v>
      </c>
      <c r="BB8" s="273">
        <v>1.2999999999999999E-5</v>
      </c>
      <c r="BC8" s="273">
        <v>6.6100000000000002E-4</v>
      </c>
      <c r="BD8" s="273">
        <v>4.7699999999999999E-4</v>
      </c>
      <c r="BE8" s="273">
        <v>9.2E-5</v>
      </c>
      <c r="BF8" s="273">
        <v>8.8999999999999995E-5</v>
      </c>
      <c r="BG8" s="273">
        <v>1.02E-4</v>
      </c>
      <c r="BH8" s="273">
        <v>6.7999999999999999E-5</v>
      </c>
      <c r="BI8" s="273">
        <v>5.5999999999999999E-5</v>
      </c>
      <c r="BJ8" s="273">
        <v>4.3000000000000002E-5</v>
      </c>
      <c r="BK8" s="273">
        <v>3.081E-3</v>
      </c>
      <c r="BL8" s="273">
        <v>3.009E-3</v>
      </c>
      <c r="BM8" s="273">
        <v>2.2100000000000001E-4</v>
      </c>
      <c r="BN8" s="273">
        <v>9.7999999999999997E-5</v>
      </c>
      <c r="BO8" s="273">
        <v>1.8200000000000001E-4</v>
      </c>
      <c r="BP8" s="273">
        <v>1.13E-4</v>
      </c>
      <c r="BQ8" s="273">
        <v>2.04E-4</v>
      </c>
      <c r="BR8" s="273">
        <v>1.4100000000000001E-4</v>
      </c>
      <c r="BS8" s="273">
        <v>1.9999999999999999E-6</v>
      </c>
      <c r="BT8" s="273">
        <v>1.9999999999999999E-6</v>
      </c>
      <c r="BU8" s="273">
        <v>1.3420000000000001E-3</v>
      </c>
      <c r="BV8" s="273">
        <v>9.2800000000000001E-4</v>
      </c>
      <c r="BW8" s="273">
        <v>1.873521</v>
      </c>
      <c r="BX8" s="273">
        <v>1.8395170000000001</v>
      </c>
      <c r="BY8" s="273">
        <v>0.51823399999999997</v>
      </c>
      <c r="BZ8" s="273">
        <v>0.48816399999999999</v>
      </c>
      <c r="CA8" s="273">
        <v>0.273229</v>
      </c>
      <c r="CB8" s="273">
        <v>0.25976700000000003</v>
      </c>
      <c r="CC8" s="273">
        <v>7.9999999999999996E-6</v>
      </c>
      <c r="CD8" s="273">
        <v>9.0000000000000002E-6</v>
      </c>
      <c r="CE8" s="273">
        <v>1.7703E-2</v>
      </c>
      <c r="CF8" s="273">
        <v>1.0711999999999999E-2</v>
      </c>
      <c r="CG8" s="273">
        <v>5.3140000000000001E-3</v>
      </c>
      <c r="CH8" s="273">
        <v>2.6090000000000002E-3</v>
      </c>
      <c r="CI8" s="273">
        <v>3.1670000000000001E-3</v>
      </c>
      <c r="CJ8" s="273">
        <v>2.699E-3</v>
      </c>
      <c r="CK8" s="273">
        <v>2.7160000000000001E-3</v>
      </c>
      <c r="CL8" s="273">
        <v>1.923E-3</v>
      </c>
      <c r="CM8" s="273">
        <v>2.5140000000000002E-3</v>
      </c>
      <c r="CN8" s="273">
        <v>2.7039999999999998E-3</v>
      </c>
      <c r="CO8" s="273">
        <v>2.9373E-2</v>
      </c>
      <c r="CP8" s="273">
        <v>1.9259999999999999E-2</v>
      </c>
      <c r="CQ8" s="273">
        <v>3.3599999999999998E-4</v>
      </c>
      <c r="CR8" s="273">
        <v>3.57E-4</v>
      </c>
      <c r="CS8" s="273">
        <v>0</v>
      </c>
      <c r="CT8" s="273">
        <v>4.8780000000000004E-3</v>
      </c>
      <c r="CU8" s="273">
        <f t="shared" ref="CU8:CU71" si="96">CQ8*CS8</f>
        <v>0</v>
      </c>
      <c r="CV8" s="273">
        <f t="shared" si="82"/>
        <v>1.7414460000000002E-6</v>
      </c>
      <c r="CW8" s="273">
        <v>0</v>
      </c>
      <c r="CX8" s="273">
        <v>0</v>
      </c>
      <c r="CY8" s="273">
        <f t="shared" ref="CY8:CY71" si="97">CQ8*CW8</f>
        <v>0</v>
      </c>
      <c r="CZ8" s="273">
        <f t="shared" si="83"/>
        <v>0</v>
      </c>
      <c r="DA8" s="273">
        <v>0</v>
      </c>
      <c r="DB8" s="273">
        <v>0</v>
      </c>
      <c r="DC8" s="273">
        <f t="shared" ref="DC8:DC71" si="98">CQ8-CU8-CY8</f>
        <v>3.3599999999999998E-4</v>
      </c>
      <c r="DD8" s="273">
        <f t="shared" si="84"/>
        <v>3.5525855400000002E-4</v>
      </c>
      <c r="DE8" s="273">
        <v>2.8E-5</v>
      </c>
      <c r="DF8" s="273">
        <v>2.8E-5</v>
      </c>
      <c r="DG8" s="273">
        <f t="shared" ref="DG8:DG71" si="99">CU8+CY8+DA8+DE8</f>
        <v>2.8E-5</v>
      </c>
      <c r="DH8" s="273">
        <f t="shared" si="85"/>
        <v>2.9741445999999999E-5</v>
      </c>
      <c r="DI8" s="273">
        <v>7.9999999999999996E-6</v>
      </c>
      <c r="DJ8" s="273">
        <v>8.7999999999999998E-5</v>
      </c>
      <c r="DK8" s="273">
        <v>9.9999999999999995E-7</v>
      </c>
      <c r="DL8" s="273">
        <v>3.0000000000000001E-6</v>
      </c>
      <c r="DM8" s="273">
        <f t="shared" ref="DM8:DM71" si="100">DI8+DK8</f>
        <v>9.0000000000000002E-6</v>
      </c>
      <c r="DN8" s="273">
        <f t="shared" si="86"/>
        <v>9.1000000000000003E-5</v>
      </c>
      <c r="DO8" s="273">
        <v>9.9999999999999995E-7</v>
      </c>
      <c r="DP8" s="273">
        <v>0</v>
      </c>
      <c r="DQ8" s="273">
        <v>2.3E-5</v>
      </c>
      <c r="DR8" s="273">
        <v>8.8999999999999995E-5</v>
      </c>
      <c r="DS8" s="273">
        <v>9.8429999999999993E-3</v>
      </c>
      <c r="DT8" s="273">
        <v>8.2470000000000009E-3</v>
      </c>
      <c r="DU8" s="273">
        <v>3.9800000000000002E-4</v>
      </c>
      <c r="DV8" s="273">
        <v>4.3399999999999998E-4</v>
      </c>
      <c r="DW8" s="273">
        <v>4.0188000000000001E-2</v>
      </c>
      <c r="DX8" s="273">
        <v>4.0188000000000001E-2</v>
      </c>
      <c r="DY8" s="273">
        <v>0.93486100000000005</v>
      </c>
      <c r="DZ8" s="273">
        <v>0.76663300000000001</v>
      </c>
      <c r="EA8" s="273">
        <v>8.6000000000000003E-5</v>
      </c>
      <c r="EB8" s="273">
        <v>2.5999999999999998E-5</v>
      </c>
      <c r="EC8" s="273">
        <v>2.434E-3</v>
      </c>
      <c r="ED8" s="273">
        <v>3.7669999999999999E-3</v>
      </c>
      <c r="EE8" s="273"/>
      <c r="EF8" s="274"/>
    </row>
    <row r="9" spans="1:136" s="249" customFormat="1" ht="17.399999999999999">
      <c r="B9" s="286">
        <v>2</v>
      </c>
      <c r="C9" s="273">
        <v>2.4000000000000001E-5</v>
      </c>
      <c r="D9" s="273">
        <v>7.9999999999999996E-6</v>
      </c>
      <c r="E9" s="273">
        <v>3.9999999999999998E-6</v>
      </c>
      <c r="F9" s="273">
        <v>3.0000000000000001E-6</v>
      </c>
      <c r="G9" s="273">
        <v>8.7000000000000001E-5</v>
      </c>
      <c r="H9" s="273">
        <v>6.7999999999999999E-5</v>
      </c>
      <c r="I9" s="273">
        <v>2.8E-5</v>
      </c>
      <c r="J9" s="273">
        <v>1.1E-5</v>
      </c>
      <c r="K9" s="273">
        <v>1.5E-5</v>
      </c>
      <c r="L9" s="273">
        <v>3.9999999999999998E-6</v>
      </c>
      <c r="M9" s="273">
        <f t="shared" si="87"/>
        <v>3.5977284000000002E-4</v>
      </c>
      <c r="N9" s="273">
        <f t="shared" si="77"/>
        <v>2.64385465E-4</v>
      </c>
      <c r="O9" s="273">
        <f t="shared" si="88"/>
        <v>1.6560000000000003E-7</v>
      </c>
      <c r="P9" s="273">
        <f t="shared" si="89"/>
        <v>0</v>
      </c>
      <c r="Q9" s="273">
        <v>3.6000000000000002E-4</v>
      </c>
      <c r="R9" s="273">
        <v>2.6499999999999999E-4</v>
      </c>
      <c r="S9" s="273">
        <v>0</v>
      </c>
      <c r="T9" s="273">
        <v>0</v>
      </c>
      <c r="U9" s="273">
        <v>4.6000000000000001E-4</v>
      </c>
      <c r="V9" s="273">
        <v>0</v>
      </c>
      <c r="W9" s="273">
        <v>0</v>
      </c>
      <c r="X9" s="273">
        <v>0</v>
      </c>
      <c r="Y9" s="273">
        <f t="shared" si="90"/>
        <v>0</v>
      </c>
      <c r="Z9" s="273">
        <f t="shared" si="78"/>
        <v>0</v>
      </c>
      <c r="AA9" s="273">
        <v>0</v>
      </c>
      <c r="AB9" s="273">
        <v>2.3189999999999999E-3</v>
      </c>
      <c r="AC9" s="273">
        <f t="shared" si="91"/>
        <v>0</v>
      </c>
      <c r="AD9" s="273">
        <f t="shared" si="79"/>
        <v>6.1453499999999991E-7</v>
      </c>
      <c r="AE9" s="273">
        <v>0</v>
      </c>
      <c r="AF9" s="273">
        <v>0</v>
      </c>
      <c r="AG9" s="273">
        <f t="shared" si="92"/>
        <v>0</v>
      </c>
      <c r="AH9" s="273">
        <f t="shared" si="80"/>
        <v>0</v>
      </c>
      <c r="AI9" s="273">
        <v>1.7100000000000001E-4</v>
      </c>
      <c r="AJ9" s="273">
        <v>0</v>
      </c>
      <c r="AK9" s="273">
        <f t="shared" si="93"/>
        <v>6.1560000000000003E-8</v>
      </c>
      <c r="AL9" s="273">
        <f t="shared" si="81"/>
        <v>0</v>
      </c>
      <c r="AM9" s="273">
        <f t="shared" si="94"/>
        <v>2.3140512000000002E-4</v>
      </c>
      <c r="AN9" s="273">
        <f t="shared" si="95"/>
        <v>1.5550623999999999E-4</v>
      </c>
      <c r="AO9" s="273">
        <v>0.64279200000000003</v>
      </c>
      <c r="AP9" s="273">
        <v>0.586816</v>
      </c>
      <c r="AQ9" s="273">
        <v>0</v>
      </c>
      <c r="AR9" s="273">
        <v>0</v>
      </c>
      <c r="AS9" s="273">
        <v>5.3000000000000001E-5</v>
      </c>
      <c r="AT9" s="273">
        <v>4.3999999999999999E-5</v>
      </c>
      <c r="AU9" s="273">
        <v>1.9999999999999999E-6</v>
      </c>
      <c r="AV9" s="273">
        <v>1.9999999999999999E-6</v>
      </c>
      <c r="AW9" s="273">
        <v>6.3E-5</v>
      </c>
      <c r="AX9" s="273">
        <v>1.5999999999999999E-5</v>
      </c>
      <c r="AY9" s="273">
        <v>1.1E-5</v>
      </c>
      <c r="AZ9" s="273">
        <v>1.5E-5</v>
      </c>
      <c r="BA9" s="273">
        <v>6.0000000000000002E-6</v>
      </c>
      <c r="BB9" s="273">
        <v>1.0000000000000001E-5</v>
      </c>
      <c r="BC9" s="273">
        <v>5.5500000000000005E-4</v>
      </c>
      <c r="BD9" s="273">
        <v>4.2700000000000002E-4</v>
      </c>
      <c r="BE9" s="273">
        <v>4.8999999999999998E-5</v>
      </c>
      <c r="BF9" s="273">
        <v>4.6E-5</v>
      </c>
      <c r="BG9" s="273">
        <v>9.7E-5</v>
      </c>
      <c r="BH9" s="273">
        <v>6.7000000000000002E-5</v>
      </c>
      <c r="BI9" s="273">
        <v>3.8000000000000002E-5</v>
      </c>
      <c r="BJ9" s="273">
        <v>3.0000000000000001E-5</v>
      </c>
      <c r="BK9" s="273">
        <v>1.6199999999999999E-3</v>
      </c>
      <c r="BL9" s="273">
        <v>1.75E-3</v>
      </c>
      <c r="BM9" s="273">
        <v>1.3200000000000001E-4</v>
      </c>
      <c r="BN9" s="273">
        <v>4.5000000000000003E-5</v>
      </c>
      <c r="BO9" s="273">
        <v>2.7599999999999999E-4</v>
      </c>
      <c r="BP9" s="273">
        <v>1.6899999999999999E-4</v>
      </c>
      <c r="BQ9" s="273">
        <v>1.3100000000000001E-4</v>
      </c>
      <c r="BR9" s="273">
        <v>9.2E-5</v>
      </c>
      <c r="BS9" s="273">
        <v>1.9999999999999999E-6</v>
      </c>
      <c r="BT9" s="273">
        <v>1.9999999999999999E-6</v>
      </c>
      <c r="BU9" s="273">
        <v>8.8800000000000001E-4</v>
      </c>
      <c r="BV9" s="273">
        <v>6.2500000000000001E-4</v>
      </c>
      <c r="BW9" s="273">
        <v>1.5617160000000001</v>
      </c>
      <c r="BX9" s="273">
        <v>1.5551630000000001</v>
      </c>
      <c r="BY9" s="273">
        <v>0.33146500000000001</v>
      </c>
      <c r="BZ9" s="273">
        <v>0.30768000000000001</v>
      </c>
      <c r="CA9" s="273">
        <v>0.20968500000000001</v>
      </c>
      <c r="CB9" s="273">
        <v>0.20238900000000001</v>
      </c>
      <c r="CC9" s="273">
        <v>6.0000000000000002E-6</v>
      </c>
      <c r="CD9" s="273">
        <v>6.9999999999999999E-6</v>
      </c>
      <c r="CE9" s="273">
        <v>2.0469999999999999E-2</v>
      </c>
      <c r="CF9" s="273">
        <v>1.2801E-2</v>
      </c>
      <c r="CG9" s="273">
        <v>4.7949999999999998E-3</v>
      </c>
      <c r="CH9" s="273">
        <v>2.3249999999999998E-3</v>
      </c>
      <c r="CI9" s="273">
        <v>2.055E-3</v>
      </c>
      <c r="CJ9" s="273">
        <v>2.0049999999999998E-3</v>
      </c>
      <c r="CK9" s="273">
        <v>1.2440000000000001E-3</v>
      </c>
      <c r="CL9" s="273">
        <v>8.4699999999999999E-4</v>
      </c>
      <c r="CM9" s="273">
        <v>1.2030000000000001E-3</v>
      </c>
      <c r="CN9" s="273">
        <v>1.2390000000000001E-3</v>
      </c>
      <c r="CO9" s="273">
        <v>2.7833E-2</v>
      </c>
      <c r="CP9" s="273">
        <v>1.7926000000000001E-2</v>
      </c>
      <c r="CQ9" s="273">
        <v>4.0000000000000002E-4</v>
      </c>
      <c r="CR9" s="273">
        <v>4.0299999999999998E-4</v>
      </c>
      <c r="CS9" s="273">
        <v>0</v>
      </c>
      <c r="CT9" s="273">
        <v>4.1840000000000002E-3</v>
      </c>
      <c r="CU9" s="273">
        <f t="shared" si="96"/>
        <v>0</v>
      </c>
      <c r="CV9" s="273">
        <f t="shared" si="82"/>
        <v>1.686152E-6</v>
      </c>
      <c r="CW9" s="273">
        <v>0</v>
      </c>
      <c r="CX9" s="273">
        <v>0</v>
      </c>
      <c r="CY9" s="273">
        <f t="shared" si="97"/>
        <v>0</v>
      </c>
      <c r="CZ9" s="273">
        <f t="shared" si="83"/>
        <v>0</v>
      </c>
      <c r="DA9" s="273">
        <v>0</v>
      </c>
      <c r="DB9" s="273">
        <v>0</v>
      </c>
      <c r="DC9" s="273">
        <f t="shared" si="98"/>
        <v>4.0000000000000002E-4</v>
      </c>
      <c r="DD9" s="273">
        <f t="shared" si="84"/>
        <v>4.0131384799999996E-4</v>
      </c>
      <c r="DE9" s="273">
        <v>2.9E-5</v>
      </c>
      <c r="DF9" s="273">
        <v>2.8E-5</v>
      </c>
      <c r="DG9" s="273">
        <f t="shared" si="99"/>
        <v>2.9E-5</v>
      </c>
      <c r="DH9" s="273">
        <f t="shared" si="85"/>
        <v>2.9686151999999999E-5</v>
      </c>
      <c r="DI9" s="273">
        <v>1.5999999999999999E-5</v>
      </c>
      <c r="DJ9" s="273">
        <v>2.6999999999999999E-5</v>
      </c>
      <c r="DK9" s="273">
        <v>1.9999999999999999E-6</v>
      </c>
      <c r="DL9" s="273">
        <v>6.0000000000000002E-6</v>
      </c>
      <c r="DM9" s="273">
        <f t="shared" si="100"/>
        <v>1.8E-5</v>
      </c>
      <c r="DN9" s="273">
        <f t="shared" si="86"/>
        <v>3.3000000000000003E-5</v>
      </c>
      <c r="DO9" s="273">
        <v>9.9999999999999995E-7</v>
      </c>
      <c r="DP9" s="273">
        <v>0</v>
      </c>
      <c r="DQ9" s="273">
        <v>4.1999999999999998E-5</v>
      </c>
      <c r="DR9" s="273">
        <v>1.3300000000000001E-4</v>
      </c>
      <c r="DS9" s="273">
        <v>1.3945000000000001E-2</v>
      </c>
      <c r="DT9" s="273">
        <v>1.1401E-2</v>
      </c>
      <c r="DU9" s="273">
        <v>4.3600000000000003E-4</v>
      </c>
      <c r="DV9" s="273">
        <v>4.4000000000000002E-4</v>
      </c>
      <c r="DW9" s="273">
        <v>4.0188000000000001E-2</v>
      </c>
      <c r="DX9" s="273">
        <v>4.0188000000000001E-2</v>
      </c>
      <c r="DY9" s="273">
        <v>0.883745</v>
      </c>
      <c r="DZ9" s="273">
        <v>0.78153300000000003</v>
      </c>
      <c r="EA9" s="273">
        <v>8.1000000000000004E-5</v>
      </c>
      <c r="EB9" s="273">
        <v>2.5000000000000001E-5</v>
      </c>
      <c r="EC9" s="273">
        <v>3.3279999999999998E-3</v>
      </c>
      <c r="ED9" s="273">
        <v>3.6310000000000001E-3</v>
      </c>
      <c r="EE9" s="273"/>
      <c r="EF9" s="274"/>
    </row>
    <row r="10" spans="1:136" s="249" customFormat="1" ht="17.399999999999999">
      <c r="B10" s="286">
        <v>3</v>
      </c>
      <c r="C10" s="273">
        <v>2.3E-5</v>
      </c>
      <c r="D10" s="273">
        <v>7.9999999999999996E-6</v>
      </c>
      <c r="E10" s="273">
        <v>3.9999999999999998E-6</v>
      </c>
      <c r="F10" s="273">
        <v>3.0000000000000001E-6</v>
      </c>
      <c r="G10" s="273">
        <v>7.6000000000000004E-5</v>
      </c>
      <c r="H10" s="273">
        <v>5.1E-5</v>
      </c>
      <c r="I10" s="273">
        <v>2.6999999999999999E-5</v>
      </c>
      <c r="J10" s="273">
        <v>1.1E-5</v>
      </c>
      <c r="K10" s="273">
        <v>1.5E-5</v>
      </c>
      <c r="L10" s="273">
        <v>3.9999999999999998E-6</v>
      </c>
      <c r="M10" s="273">
        <f t="shared" si="87"/>
        <v>3.0841969799999996E-4</v>
      </c>
      <c r="N10" s="273">
        <f t="shared" si="77"/>
        <v>2.2319651199999998E-4</v>
      </c>
      <c r="O10" s="273">
        <f t="shared" si="88"/>
        <v>2.1320999999999996E-7</v>
      </c>
      <c r="P10" s="273">
        <f t="shared" si="89"/>
        <v>0</v>
      </c>
      <c r="Q10" s="273">
        <v>3.0899999999999998E-4</v>
      </c>
      <c r="R10" s="273">
        <v>2.24E-4</v>
      </c>
      <c r="S10" s="273">
        <v>0</v>
      </c>
      <c r="T10" s="273">
        <v>0</v>
      </c>
      <c r="U10" s="273">
        <v>6.8999999999999997E-4</v>
      </c>
      <c r="V10" s="273">
        <v>0</v>
      </c>
      <c r="W10" s="273">
        <v>0</v>
      </c>
      <c r="X10" s="273">
        <v>0</v>
      </c>
      <c r="Y10" s="273">
        <f t="shared" si="90"/>
        <v>0</v>
      </c>
      <c r="Z10" s="273">
        <f t="shared" si="78"/>
        <v>0</v>
      </c>
      <c r="AA10" s="273">
        <v>9.3199999999999999E-4</v>
      </c>
      <c r="AB10" s="273">
        <v>3.522E-3</v>
      </c>
      <c r="AC10" s="273">
        <f t="shared" si="91"/>
        <v>2.8798799999999997E-7</v>
      </c>
      <c r="AD10" s="273">
        <f t="shared" si="79"/>
        <v>7.8892800000000001E-7</v>
      </c>
      <c r="AE10" s="273">
        <v>0</v>
      </c>
      <c r="AF10" s="273">
        <v>0</v>
      </c>
      <c r="AG10" s="273">
        <f t="shared" si="92"/>
        <v>0</v>
      </c>
      <c r="AH10" s="273">
        <f t="shared" si="80"/>
        <v>0</v>
      </c>
      <c r="AI10" s="273">
        <v>2.5599999999999999E-4</v>
      </c>
      <c r="AJ10" s="273">
        <v>6.4999999999999994E-5</v>
      </c>
      <c r="AK10" s="273">
        <f t="shared" si="93"/>
        <v>7.9103999999999992E-8</v>
      </c>
      <c r="AL10" s="273">
        <f t="shared" si="81"/>
        <v>1.4559999999999998E-8</v>
      </c>
      <c r="AM10" s="273">
        <f t="shared" si="94"/>
        <v>2.2505211599999997E-4</v>
      </c>
      <c r="AN10" s="273">
        <f t="shared" si="95"/>
        <v>1.4716643200000002E-4</v>
      </c>
      <c r="AO10" s="273">
        <v>0.72832399999999997</v>
      </c>
      <c r="AP10" s="273">
        <v>0.65699300000000005</v>
      </c>
      <c r="AQ10" s="273">
        <v>0</v>
      </c>
      <c r="AR10" s="273">
        <v>0</v>
      </c>
      <c r="AS10" s="273">
        <v>4.5000000000000003E-5</v>
      </c>
      <c r="AT10" s="273">
        <v>3.6999999999999998E-5</v>
      </c>
      <c r="AU10" s="273">
        <v>1.9999999999999999E-6</v>
      </c>
      <c r="AV10" s="273">
        <v>1.9999999999999999E-6</v>
      </c>
      <c r="AW10" s="273">
        <v>5.3999999999999998E-5</v>
      </c>
      <c r="AX10" s="273">
        <v>1.7E-5</v>
      </c>
      <c r="AY10" s="273">
        <v>1.2999999999999999E-5</v>
      </c>
      <c r="AZ10" s="273">
        <v>1.4E-5</v>
      </c>
      <c r="BA10" s="273">
        <v>6.0000000000000002E-6</v>
      </c>
      <c r="BB10" s="273">
        <v>9.0000000000000002E-6</v>
      </c>
      <c r="BC10" s="273">
        <v>4.2999999999999999E-4</v>
      </c>
      <c r="BD10" s="273">
        <v>3.4600000000000001E-4</v>
      </c>
      <c r="BE10" s="273">
        <v>2.0999999999999999E-5</v>
      </c>
      <c r="BF10" s="273">
        <v>1.8E-5</v>
      </c>
      <c r="BG10" s="273">
        <v>9.1000000000000003E-5</v>
      </c>
      <c r="BH10" s="273">
        <v>6.4999999999999994E-5</v>
      </c>
      <c r="BI10" s="273">
        <v>2.5000000000000001E-5</v>
      </c>
      <c r="BJ10" s="273">
        <v>2.0999999999999999E-5</v>
      </c>
      <c r="BK10" s="273">
        <v>6.6100000000000002E-4</v>
      </c>
      <c r="BL10" s="273">
        <v>8.9499999999999996E-4</v>
      </c>
      <c r="BM10" s="273">
        <v>8.2999999999999998E-5</v>
      </c>
      <c r="BN10" s="273">
        <v>2.1999999999999999E-5</v>
      </c>
      <c r="BO10" s="273">
        <v>3.3700000000000001E-4</v>
      </c>
      <c r="BP10" s="273">
        <v>2.0599999999999999E-4</v>
      </c>
      <c r="BQ10" s="273">
        <v>7.7999999999999999E-5</v>
      </c>
      <c r="BR10" s="273">
        <v>5.7000000000000003E-5</v>
      </c>
      <c r="BS10" s="273">
        <v>9.9999999999999995E-7</v>
      </c>
      <c r="BT10" s="273">
        <v>9.9999999999999995E-7</v>
      </c>
      <c r="BU10" s="273">
        <v>5.3799999999999996E-4</v>
      </c>
      <c r="BV10" s="273">
        <v>3.9399999999999998E-4</v>
      </c>
      <c r="BW10" s="273">
        <v>1.281795</v>
      </c>
      <c r="BX10" s="273">
        <v>1.2882420000000001</v>
      </c>
      <c r="BY10" s="273">
        <v>0.20041</v>
      </c>
      <c r="BZ10" s="273">
        <v>0.18325900000000001</v>
      </c>
      <c r="CA10" s="273">
        <v>0.13192499999999999</v>
      </c>
      <c r="CB10" s="273">
        <v>0.12864100000000001</v>
      </c>
      <c r="CC10" s="273">
        <v>5.0000000000000004E-6</v>
      </c>
      <c r="CD10" s="273">
        <v>5.0000000000000004E-6</v>
      </c>
      <c r="CE10" s="273">
        <v>2.0988E-2</v>
      </c>
      <c r="CF10" s="273">
        <v>1.3421000000000001E-2</v>
      </c>
      <c r="CG10" s="273">
        <v>4.6579999999999998E-3</v>
      </c>
      <c r="CH10" s="273">
        <v>2.3270000000000001E-3</v>
      </c>
      <c r="CI10" s="273">
        <v>1.459E-3</v>
      </c>
      <c r="CJ10" s="273">
        <v>1.5529999999999999E-3</v>
      </c>
      <c r="CK10" s="273">
        <v>5.0299999999999997E-4</v>
      </c>
      <c r="CL10" s="273">
        <v>3.3E-4</v>
      </c>
      <c r="CM10" s="273">
        <v>5.53E-4</v>
      </c>
      <c r="CN10" s="273">
        <v>5.3799999999999996E-4</v>
      </c>
      <c r="CO10" s="273">
        <v>2.6332000000000001E-2</v>
      </c>
      <c r="CP10" s="273">
        <v>1.6948999999999999E-2</v>
      </c>
      <c r="CQ10" s="273">
        <v>4.3600000000000003E-4</v>
      </c>
      <c r="CR10" s="273">
        <v>4.28E-4</v>
      </c>
      <c r="CS10" s="273">
        <v>0</v>
      </c>
      <c r="CT10" s="273">
        <v>7.8130000000000005E-3</v>
      </c>
      <c r="CU10" s="273">
        <f t="shared" si="96"/>
        <v>0</v>
      </c>
      <c r="CV10" s="273">
        <f t="shared" si="82"/>
        <v>3.3439640000000004E-6</v>
      </c>
      <c r="CW10" s="273">
        <v>0</v>
      </c>
      <c r="CX10" s="273">
        <v>1.005E-3</v>
      </c>
      <c r="CY10" s="273">
        <f t="shared" si="97"/>
        <v>0</v>
      </c>
      <c r="CZ10" s="273">
        <f t="shared" si="83"/>
        <v>4.3014000000000001E-7</v>
      </c>
      <c r="DA10" s="273">
        <v>9.9999999999999995E-7</v>
      </c>
      <c r="DB10" s="273">
        <v>0</v>
      </c>
      <c r="DC10" s="273">
        <f t="shared" si="98"/>
        <v>4.3600000000000003E-4</v>
      </c>
      <c r="DD10" s="273">
        <f t="shared" si="84"/>
        <v>4.2422589600000002E-4</v>
      </c>
      <c r="DE10" s="273">
        <v>2.9E-5</v>
      </c>
      <c r="DF10" s="273">
        <v>2.8E-5</v>
      </c>
      <c r="DG10" s="273">
        <f t="shared" si="99"/>
        <v>3.0000000000000001E-5</v>
      </c>
      <c r="DH10" s="273">
        <f t="shared" si="85"/>
        <v>3.1774104000000002E-5</v>
      </c>
      <c r="DI10" s="273">
        <v>2.0000000000000002E-5</v>
      </c>
      <c r="DJ10" s="273">
        <v>1.9999999999999999E-6</v>
      </c>
      <c r="DK10" s="273">
        <v>3.0000000000000001E-6</v>
      </c>
      <c r="DL10" s="273">
        <v>9.0000000000000002E-6</v>
      </c>
      <c r="DM10" s="273">
        <f t="shared" si="100"/>
        <v>2.3000000000000003E-5</v>
      </c>
      <c r="DN10" s="273">
        <f t="shared" si="86"/>
        <v>1.1E-5</v>
      </c>
      <c r="DO10" s="273">
        <v>1.9999999999999999E-6</v>
      </c>
      <c r="DP10" s="273">
        <v>0</v>
      </c>
      <c r="DQ10" s="273">
        <v>5.5999999999999999E-5</v>
      </c>
      <c r="DR10" s="273">
        <v>1.54E-4</v>
      </c>
      <c r="DS10" s="273">
        <v>1.8388000000000002E-2</v>
      </c>
      <c r="DT10" s="273">
        <v>1.4519000000000001E-2</v>
      </c>
      <c r="DU10" s="273">
        <v>4.9600000000000002E-4</v>
      </c>
      <c r="DV10" s="273">
        <v>4.7199999999999998E-4</v>
      </c>
      <c r="DW10" s="273">
        <v>4.0188000000000001E-2</v>
      </c>
      <c r="DX10" s="273">
        <v>4.0188000000000001E-2</v>
      </c>
      <c r="DY10" s="273">
        <v>0.79132499999999995</v>
      </c>
      <c r="DZ10" s="273">
        <v>0.73485</v>
      </c>
      <c r="EA10" s="273">
        <v>7.6000000000000004E-5</v>
      </c>
      <c r="EB10" s="273">
        <v>2.4000000000000001E-5</v>
      </c>
      <c r="EC10" s="273">
        <v>4.2209999999999999E-3</v>
      </c>
      <c r="ED10" s="273">
        <v>3.4940000000000001E-3</v>
      </c>
      <c r="EE10" s="273"/>
      <c r="EF10" s="274"/>
    </row>
    <row r="11" spans="1:136" s="249" customFormat="1" ht="17.399999999999999">
      <c r="B11" s="286">
        <v>4</v>
      </c>
      <c r="C11" s="273">
        <v>2.0999999999999999E-5</v>
      </c>
      <c r="D11" s="273">
        <v>6.9999999999999999E-6</v>
      </c>
      <c r="E11" s="273">
        <v>3.9999999999999998E-6</v>
      </c>
      <c r="F11" s="273">
        <v>3.0000000000000001E-6</v>
      </c>
      <c r="G11" s="273">
        <v>6.4999999999999994E-5</v>
      </c>
      <c r="H11" s="273">
        <v>3.4E-5</v>
      </c>
      <c r="I11" s="273">
        <v>2.4999999999999998E-5</v>
      </c>
      <c r="J11" s="273">
        <v>9.9999999999999991E-6</v>
      </c>
      <c r="K11" s="273">
        <v>1.5E-5</v>
      </c>
      <c r="L11" s="273">
        <v>3.9999999999999998E-6</v>
      </c>
      <c r="M11" s="273">
        <f t="shared" si="87"/>
        <v>2.6525782399999999E-4</v>
      </c>
      <c r="N11" s="273">
        <f t="shared" si="77"/>
        <v>1.94032215E-4</v>
      </c>
      <c r="O11" s="273">
        <f t="shared" si="88"/>
        <v>2.4656000000000001E-7</v>
      </c>
      <c r="P11" s="273">
        <f t="shared" si="89"/>
        <v>0</v>
      </c>
      <c r="Q11" s="273">
        <v>2.6800000000000001E-4</v>
      </c>
      <c r="R11" s="273">
        <v>1.95E-4</v>
      </c>
      <c r="S11" s="273">
        <v>0</v>
      </c>
      <c r="T11" s="273">
        <v>0</v>
      </c>
      <c r="U11" s="273">
        <v>9.2000000000000003E-4</v>
      </c>
      <c r="V11" s="273">
        <v>0</v>
      </c>
      <c r="W11" s="273">
        <v>6.1729999999999997E-3</v>
      </c>
      <c r="X11" s="273">
        <v>0</v>
      </c>
      <c r="Y11" s="273">
        <f t="shared" si="90"/>
        <v>1.6543640000000001E-6</v>
      </c>
      <c r="Z11" s="273">
        <f t="shared" si="78"/>
        <v>0</v>
      </c>
      <c r="AA11" s="273">
        <v>2.797E-3</v>
      </c>
      <c r="AB11" s="273">
        <v>4.7679999999999997E-3</v>
      </c>
      <c r="AC11" s="273">
        <f t="shared" si="91"/>
        <v>7.4959599999999998E-7</v>
      </c>
      <c r="AD11" s="273">
        <f t="shared" si="79"/>
        <v>9.2975999999999993E-7</v>
      </c>
      <c r="AE11" s="273">
        <v>0</v>
      </c>
      <c r="AF11" s="273">
        <v>0</v>
      </c>
      <c r="AG11" s="273">
        <f t="shared" si="92"/>
        <v>0</v>
      </c>
      <c r="AH11" s="273">
        <f t="shared" si="80"/>
        <v>0</v>
      </c>
      <c r="AI11" s="273">
        <v>3.4200000000000002E-4</v>
      </c>
      <c r="AJ11" s="273">
        <v>1.95E-4</v>
      </c>
      <c r="AK11" s="273">
        <f t="shared" si="93"/>
        <v>9.165600000000001E-8</v>
      </c>
      <c r="AL11" s="273">
        <f t="shared" si="81"/>
        <v>3.8024999999999998E-8</v>
      </c>
      <c r="AM11" s="273">
        <f t="shared" si="94"/>
        <v>2.0738510000000001E-4</v>
      </c>
      <c r="AN11" s="273">
        <f t="shared" si="95"/>
        <v>1.35357885E-4</v>
      </c>
      <c r="AO11" s="273">
        <v>0.77382499999999999</v>
      </c>
      <c r="AP11" s="273">
        <v>0.69414299999999995</v>
      </c>
      <c r="AQ11" s="273">
        <v>0</v>
      </c>
      <c r="AR11" s="273">
        <v>0</v>
      </c>
      <c r="AS11" s="273">
        <v>3.8999999999999999E-5</v>
      </c>
      <c r="AT11" s="273">
        <v>3.1999999999999999E-5</v>
      </c>
      <c r="AU11" s="273">
        <v>3.0000000000000001E-6</v>
      </c>
      <c r="AV11" s="273">
        <v>1.9999999999999999E-6</v>
      </c>
      <c r="AW11" s="273">
        <v>4.5000000000000003E-5</v>
      </c>
      <c r="AX11" s="273">
        <v>1.5999999999999999E-5</v>
      </c>
      <c r="AY11" s="273">
        <v>1.4E-5</v>
      </c>
      <c r="AZ11" s="273">
        <v>1.4E-5</v>
      </c>
      <c r="BA11" s="273">
        <v>6.9999999999999999E-6</v>
      </c>
      <c r="BB11" s="273">
        <v>9.0000000000000002E-6</v>
      </c>
      <c r="BC11" s="273">
        <v>2.8499999999999999E-4</v>
      </c>
      <c r="BD11" s="273">
        <v>2.2499999999999999E-4</v>
      </c>
      <c r="BE11" s="273">
        <v>7.9999999999999996E-6</v>
      </c>
      <c r="BF11" s="273">
        <v>5.0000000000000004E-6</v>
      </c>
      <c r="BG11" s="273">
        <v>8.5000000000000006E-5</v>
      </c>
      <c r="BH11" s="273">
        <v>6.2000000000000003E-5</v>
      </c>
      <c r="BI11" s="273">
        <v>1.7E-5</v>
      </c>
      <c r="BJ11" s="273">
        <v>1.5999999999999999E-5</v>
      </c>
      <c r="BK11" s="273">
        <v>2.1499999999999999E-4</v>
      </c>
      <c r="BL11" s="273">
        <v>4.4900000000000002E-4</v>
      </c>
      <c r="BM11" s="273">
        <v>6.8999999999999997E-5</v>
      </c>
      <c r="BN11" s="273">
        <v>2.3E-5</v>
      </c>
      <c r="BO11" s="273">
        <v>3.6400000000000001E-4</v>
      </c>
      <c r="BP11" s="273">
        <v>2.22E-4</v>
      </c>
      <c r="BQ11" s="273">
        <v>4.6E-5</v>
      </c>
      <c r="BR11" s="273">
        <v>3.6999999999999998E-5</v>
      </c>
      <c r="BS11" s="273">
        <v>9.9999999999999995E-7</v>
      </c>
      <c r="BT11" s="273">
        <v>9.9999999999999995E-7</v>
      </c>
      <c r="BU11" s="273">
        <v>3.1799999999999998E-4</v>
      </c>
      <c r="BV11" s="273">
        <v>2.4800000000000001E-4</v>
      </c>
      <c r="BW11" s="273">
        <v>1.0253969999999999</v>
      </c>
      <c r="BX11" s="273">
        <v>1.029971</v>
      </c>
      <c r="BY11" s="273">
        <v>0.12986600000000001</v>
      </c>
      <c r="BZ11" s="273">
        <v>0.117535</v>
      </c>
      <c r="CA11" s="273">
        <v>8.1004999999999994E-2</v>
      </c>
      <c r="CB11" s="273">
        <v>7.8923999999999994E-2</v>
      </c>
      <c r="CC11" s="273">
        <v>3.9999999999999998E-6</v>
      </c>
      <c r="CD11" s="273">
        <v>3.9999999999999998E-6</v>
      </c>
      <c r="CE11" s="273">
        <v>1.9547999999999999E-2</v>
      </c>
      <c r="CF11" s="273">
        <v>1.2923E-2</v>
      </c>
      <c r="CG11" s="273">
        <v>4.836E-3</v>
      </c>
      <c r="CH11" s="273">
        <v>2.5860000000000002E-3</v>
      </c>
      <c r="CI11" s="273">
        <v>1.3010000000000001E-3</v>
      </c>
      <c r="CJ11" s="273">
        <v>1.302E-3</v>
      </c>
      <c r="CK11" s="273">
        <v>3.9100000000000002E-4</v>
      </c>
      <c r="CL11" s="273">
        <v>2.6699999999999998E-4</v>
      </c>
      <c r="CM11" s="273">
        <v>4.6799999999999999E-4</v>
      </c>
      <c r="CN11" s="273">
        <v>4.5899999999999999E-4</v>
      </c>
      <c r="CO11" s="273">
        <v>2.4819999999999998E-2</v>
      </c>
      <c r="CP11" s="273">
        <v>1.6358999999999999E-2</v>
      </c>
      <c r="CQ11" s="273">
        <v>4.4200000000000001E-4</v>
      </c>
      <c r="CR11" s="273">
        <v>4.28E-4</v>
      </c>
      <c r="CS11" s="273">
        <v>0</v>
      </c>
      <c r="CT11" s="273">
        <v>7.8429999999999993E-3</v>
      </c>
      <c r="CU11" s="273">
        <f t="shared" si="96"/>
        <v>0</v>
      </c>
      <c r="CV11" s="273">
        <f t="shared" si="82"/>
        <v>3.3568039999999995E-6</v>
      </c>
      <c r="CW11" s="273">
        <v>0</v>
      </c>
      <c r="CX11" s="273">
        <v>3.016E-3</v>
      </c>
      <c r="CY11" s="273">
        <f t="shared" si="97"/>
        <v>0</v>
      </c>
      <c r="CZ11" s="273">
        <f t="shared" si="83"/>
        <v>1.290848E-6</v>
      </c>
      <c r="DA11" s="273">
        <v>9.9999999999999995E-7</v>
      </c>
      <c r="DB11" s="273">
        <v>0</v>
      </c>
      <c r="DC11" s="273">
        <f t="shared" si="98"/>
        <v>4.4200000000000001E-4</v>
      </c>
      <c r="DD11" s="273">
        <f t="shared" si="84"/>
        <v>4.2335234799999996E-4</v>
      </c>
      <c r="DE11" s="273">
        <v>3.1000000000000001E-5</v>
      </c>
      <c r="DF11" s="273">
        <v>2.6999999999999999E-5</v>
      </c>
      <c r="DG11" s="273">
        <f t="shared" si="99"/>
        <v>3.1999999999999999E-5</v>
      </c>
      <c r="DH11" s="273">
        <f t="shared" si="85"/>
        <v>3.1647652000000001E-5</v>
      </c>
      <c r="DI11" s="273">
        <v>2.0000000000000002E-5</v>
      </c>
      <c r="DJ11" s="273">
        <v>6.9999999999999999E-6</v>
      </c>
      <c r="DK11" s="273">
        <v>5.0000000000000004E-6</v>
      </c>
      <c r="DL11" s="273">
        <v>1.2E-5</v>
      </c>
      <c r="DM11" s="273">
        <f t="shared" si="100"/>
        <v>2.5000000000000001E-5</v>
      </c>
      <c r="DN11" s="273">
        <f t="shared" si="86"/>
        <v>1.9000000000000001E-5</v>
      </c>
      <c r="DO11" s="273">
        <v>3.0000000000000001E-6</v>
      </c>
      <c r="DP11" s="273">
        <v>0</v>
      </c>
      <c r="DQ11" s="273">
        <v>6.4999999999999994E-5</v>
      </c>
      <c r="DR11" s="273">
        <v>1.4799999999999999E-4</v>
      </c>
      <c r="DS11" s="273">
        <v>2.3185999999999998E-2</v>
      </c>
      <c r="DT11" s="273">
        <v>1.7735999999999998E-2</v>
      </c>
      <c r="DU11" s="273">
        <v>5.6800000000000004E-4</v>
      </c>
      <c r="DV11" s="273">
        <v>5.3300000000000005E-4</v>
      </c>
      <c r="DW11" s="273">
        <v>4.0188000000000001E-2</v>
      </c>
      <c r="DX11" s="273">
        <v>4.0188000000000001E-2</v>
      </c>
      <c r="DY11" s="273">
        <v>0.65030200000000005</v>
      </c>
      <c r="DZ11" s="273">
        <v>0.619004</v>
      </c>
      <c r="EA11" s="273">
        <v>7.1000000000000005E-5</v>
      </c>
      <c r="EB11" s="273">
        <v>2.3E-5</v>
      </c>
      <c r="EC11" s="273">
        <v>5.1149999999999998E-3</v>
      </c>
      <c r="ED11" s="273">
        <v>3.3579999999999999E-3</v>
      </c>
      <c r="EE11" s="273"/>
      <c r="EF11" s="274"/>
    </row>
    <row r="12" spans="1:136" s="249" customFormat="1" ht="17.399999999999999">
      <c r="B12" s="286">
        <v>5</v>
      </c>
      <c r="C12" s="273">
        <v>2.0000000000000002E-5</v>
      </c>
      <c r="D12" s="273">
        <v>6.9999999999999999E-6</v>
      </c>
      <c r="E12" s="273">
        <v>3.9999999999999998E-6</v>
      </c>
      <c r="F12" s="273">
        <v>3.0000000000000001E-6</v>
      </c>
      <c r="G12" s="273">
        <v>4.3999999999999999E-5</v>
      </c>
      <c r="H12" s="273">
        <v>3.4E-5</v>
      </c>
      <c r="I12" s="273">
        <v>2.4000000000000001E-5</v>
      </c>
      <c r="J12" s="273">
        <v>9.9999999999999991E-6</v>
      </c>
      <c r="K12" s="273">
        <v>1.5E-5</v>
      </c>
      <c r="L12" s="273">
        <v>3.9999999999999998E-6</v>
      </c>
      <c r="M12" s="273">
        <f t="shared" si="87"/>
        <v>2.3086884599999999E-4</v>
      </c>
      <c r="N12" s="273">
        <f t="shared" si="77"/>
        <v>1.7190318000000001E-4</v>
      </c>
      <c r="O12" s="273">
        <f t="shared" si="88"/>
        <v>2.6886599999999999E-7</v>
      </c>
      <c r="P12" s="273">
        <f t="shared" si="89"/>
        <v>0</v>
      </c>
      <c r="Q12" s="273">
        <v>2.34E-4</v>
      </c>
      <c r="R12" s="273">
        <v>1.73E-4</v>
      </c>
      <c r="S12" s="273">
        <v>0</v>
      </c>
      <c r="T12" s="273">
        <v>0</v>
      </c>
      <c r="U12" s="273">
        <v>1.1490000000000001E-3</v>
      </c>
      <c r="V12" s="273">
        <v>0</v>
      </c>
      <c r="W12" s="273">
        <v>7.143E-3</v>
      </c>
      <c r="X12" s="273">
        <v>0</v>
      </c>
      <c r="Y12" s="273">
        <f t="shared" si="90"/>
        <v>1.671462E-6</v>
      </c>
      <c r="Z12" s="273">
        <f t="shared" si="78"/>
        <v>0</v>
      </c>
      <c r="AA12" s="273">
        <v>4.6620000000000003E-3</v>
      </c>
      <c r="AB12" s="273">
        <v>6.0150000000000004E-3</v>
      </c>
      <c r="AC12" s="273">
        <f t="shared" si="91"/>
        <v>1.090908E-6</v>
      </c>
      <c r="AD12" s="273">
        <f t="shared" si="79"/>
        <v>1.0405950000000001E-6</v>
      </c>
      <c r="AE12" s="273">
        <v>0</v>
      </c>
      <c r="AF12" s="273">
        <v>0</v>
      </c>
      <c r="AG12" s="273">
        <f t="shared" si="92"/>
        <v>0</v>
      </c>
      <c r="AH12" s="273">
        <f t="shared" si="80"/>
        <v>0</v>
      </c>
      <c r="AI12" s="273">
        <v>4.2700000000000002E-4</v>
      </c>
      <c r="AJ12" s="273">
        <v>3.2499999999999999E-4</v>
      </c>
      <c r="AK12" s="273">
        <f t="shared" si="93"/>
        <v>9.9918000000000008E-8</v>
      </c>
      <c r="AL12" s="273">
        <f t="shared" si="81"/>
        <v>5.6224999999999996E-8</v>
      </c>
      <c r="AM12" s="273">
        <f t="shared" si="94"/>
        <v>1.9172204999999998E-4</v>
      </c>
      <c r="AN12" s="273">
        <f t="shared" si="95"/>
        <v>1.2651368899999998E-4</v>
      </c>
      <c r="AO12" s="273">
        <v>0.81932499999999997</v>
      </c>
      <c r="AP12" s="273">
        <v>0.73129299999999997</v>
      </c>
      <c r="AQ12" s="273">
        <v>0</v>
      </c>
      <c r="AR12" s="273">
        <v>9.9999999999999995E-7</v>
      </c>
      <c r="AS12" s="273">
        <v>3.3000000000000003E-5</v>
      </c>
      <c r="AT12" s="273">
        <v>2.8E-5</v>
      </c>
      <c r="AU12" s="273">
        <v>3.0000000000000001E-6</v>
      </c>
      <c r="AV12" s="273">
        <v>1.9999999999999999E-6</v>
      </c>
      <c r="AW12" s="273">
        <v>3.6999999999999998E-5</v>
      </c>
      <c r="AX12" s="273">
        <v>1.2E-5</v>
      </c>
      <c r="AY12" s="273">
        <v>1.5E-5</v>
      </c>
      <c r="AZ12" s="273">
        <v>1.4E-5</v>
      </c>
      <c r="BA12" s="273">
        <v>6.9999999999999999E-6</v>
      </c>
      <c r="BB12" s="273">
        <v>1.2E-5</v>
      </c>
      <c r="BC12" s="273">
        <v>1.6899999999999999E-4</v>
      </c>
      <c r="BD12" s="273">
        <v>1.3999999999999999E-4</v>
      </c>
      <c r="BE12" s="273">
        <v>5.0000000000000004E-6</v>
      </c>
      <c r="BF12" s="273">
        <v>3.9999999999999998E-6</v>
      </c>
      <c r="BG12" s="273">
        <v>7.8999999999999996E-5</v>
      </c>
      <c r="BH12" s="273">
        <v>5.8999999999999998E-5</v>
      </c>
      <c r="BI12" s="273">
        <v>1.2E-5</v>
      </c>
      <c r="BJ12" s="273">
        <v>1.2999999999999999E-5</v>
      </c>
      <c r="BK12" s="273">
        <v>1.1E-4</v>
      </c>
      <c r="BL12" s="273">
        <v>2.7599999999999999E-4</v>
      </c>
      <c r="BM12" s="273">
        <v>5.5999999999999999E-5</v>
      </c>
      <c r="BN12" s="273">
        <v>2.5000000000000001E-5</v>
      </c>
      <c r="BO12" s="273">
        <v>3.6900000000000002E-4</v>
      </c>
      <c r="BP12" s="273">
        <v>2.2499999999999999E-4</v>
      </c>
      <c r="BQ12" s="273">
        <v>3.1999999999999999E-5</v>
      </c>
      <c r="BR12" s="273">
        <v>2.6999999999999999E-5</v>
      </c>
      <c r="BS12" s="273">
        <v>9.9999999999999995E-7</v>
      </c>
      <c r="BT12" s="273">
        <v>9.9999999999999995E-7</v>
      </c>
      <c r="BU12" s="273">
        <v>2.0900000000000001E-4</v>
      </c>
      <c r="BV12" s="273">
        <v>1.7699999999999999E-4</v>
      </c>
      <c r="BW12" s="273">
        <v>0.78751899999999997</v>
      </c>
      <c r="BX12" s="273">
        <v>0.78040900000000002</v>
      </c>
      <c r="BY12" s="273">
        <v>0.10277600000000001</v>
      </c>
      <c r="BZ12" s="273">
        <v>9.2092999999999994E-2</v>
      </c>
      <c r="CA12" s="273">
        <v>4.6975000000000003E-2</v>
      </c>
      <c r="CB12" s="273">
        <v>4.4996000000000001E-2</v>
      </c>
      <c r="CC12" s="273">
        <v>3.9999999999999998E-6</v>
      </c>
      <c r="CD12" s="273">
        <v>3.9999999999999998E-6</v>
      </c>
      <c r="CE12" s="273">
        <v>1.8147E-2</v>
      </c>
      <c r="CF12" s="273">
        <v>1.2619E-2</v>
      </c>
      <c r="CG12" s="273">
        <v>4.9610000000000001E-3</v>
      </c>
      <c r="CH12" s="273">
        <v>2.8649999999999999E-3</v>
      </c>
      <c r="CI12" s="273">
        <v>1.1540000000000001E-3</v>
      </c>
      <c r="CJ12" s="273">
        <v>1.08E-3</v>
      </c>
      <c r="CK12" s="273">
        <v>2.8899999999999998E-4</v>
      </c>
      <c r="CL12" s="273">
        <v>2.12E-4</v>
      </c>
      <c r="CM12" s="273">
        <v>3.8900000000000002E-4</v>
      </c>
      <c r="CN12" s="273">
        <v>3.9199999999999999E-4</v>
      </c>
      <c r="CO12" s="273">
        <v>2.3428000000000001E-2</v>
      </c>
      <c r="CP12" s="273">
        <v>1.6102999999999999E-2</v>
      </c>
      <c r="CQ12" s="273">
        <v>4.2999999999999999E-4</v>
      </c>
      <c r="CR12" s="273">
        <v>4.1300000000000001E-4</v>
      </c>
      <c r="CS12" s="273">
        <v>0</v>
      </c>
      <c r="CT12" s="273">
        <v>4.1489999999999999E-3</v>
      </c>
      <c r="CU12" s="273">
        <f t="shared" si="96"/>
        <v>0</v>
      </c>
      <c r="CV12" s="273">
        <f t="shared" si="82"/>
        <v>1.7135369999999999E-6</v>
      </c>
      <c r="CW12" s="273">
        <v>0</v>
      </c>
      <c r="CX12" s="273">
        <v>5.0270000000000002E-3</v>
      </c>
      <c r="CY12" s="273">
        <f t="shared" si="97"/>
        <v>0</v>
      </c>
      <c r="CZ12" s="273">
        <f t="shared" si="83"/>
        <v>2.0761510000000003E-6</v>
      </c>
      <c r="DA12" s="273">
        <v>9.9999999999999995E-7</v>
      </c>
      <c r="DB12" s="273">
        <v>0</v>
      </c>
      <c r="DC12" s="273">
        <f t="shared" si="98"/>
        <v>4.2999999999999999E-4</v>
      </c>
      <c r="DD12" s="273">
        <f t="shared" si="84"/>
        <v>4.0921031200000002E-4</v>
      </c>
      <c r="DE12" s="273">
        <v>3.1000000000000001E-5</v>
      </c>
      <c r="DF12" s="273">
        <v>2.6999999999999999E-5</v>
      </c>
      <c r="DG12" s="273">
        <f t="shared" si="99"/>
        <v>3.1999999999999999E-5</v>
      </c>
      <c r="DH12" s="273">
        <f t="shared" si="85"/>
        <v>3.0789688000000002E-5</v>
      </c>
      <c r="DI12" s="273">
        <v>2.0999999999999999E-5</v>
      </c>
      <c r="DJ12" s="273">
        <v>1.1E-5</v>
      </c>
      <c r="DK12" s="273">
        <v>9.0000000000000002E-6</v>
      </c>
      <c r="DL12" s="273">
        <v>1.5E-5</v>
      </c>
      <c r="DM12" s="273">
        <f t="shared" si="100"/>
        <v>2.9999999999999997E-5</v>
      </c>
      <c r="DN12" s="273">
        <f t="shared" si="86"/>
        <v>2.6000000000000002E-5</v>
      </c>
      <c r="DO12" s="273">
        <v>3.9999999999999998E-6</v>
      </c>
      <c r="DP12" s="273">
        <v>0</v>
      </c>
      <c r="DQ12" s="273">
        <v>6.9999999999999994E-5</v>
      </c>
      <c r="DR12" s="273">
        <v>1.26E-4</v>
      </c>
      <c r="DS12" s="273">
        <v>2.8216000000000001E-2</v>
      </c>
      <c r="DT12" s="273">
        <v>2.0962000000000001E-2</v>
      </c>
      <c r="DU12" s="273">
        <v>6.5399999999999996E-4</v>
      </c>
      <c r="DV12" s="273">
        <v>6.11E-4</v>
      </c>
      <c r="DW12" s="273">
        <v>4.0188000000000001E-2</v>
      </c>
      <c r="DX12" s="273">
        <v>4.0188000000000001E-2</v>
      </c>
      <c r="DY12" s="273">
        <v>0.47972900000000002</v>
      </c>
      <c r="DZ12" s="273">
        <v>0.459899</v>
      </c>
      <c r="EA12" s="273">
        <v>6.6000000000000005E-5</v>
      </c>
      <c r="EB12" s="273">
        <v>2.1999999999999999E-5</v>
      </c>
      <c r="EC12" s="273">
        <v>6.0080000000000003E-3</v>
      </c>
      <c r="ED12" s="273">
        <v>3.222E-3</v>
      </c>
      <c r="EE12" s="273"/>
      <c r="EF12" s="274"/>
    </row>
    <row r="13" spans="1:136" s="249" customFormat="1" ht="17.399999999999999">
      <c r="B13" s="286">
        <v>6</v>
      </c>
      <c r="C13" s="273">
        <v>1.8E-5</v>
      </c>
      <c r="D13" s="273">
        <v>6.9999999999999999E-6</v>
      </c>
      <c r="E13" s="273">
        <v>3.9999999999999998E-6</v>
      </c>
      <c r="F13" s="273">
        <v>3.0000000000000001E-6</v>
      </c>
      <c r="G13" s="273">
        <v>3.1000000000000001E-5</v>
      </c>
      <c r="H13" s="273">
        <v>2.4000000000000001E-5</v>
      </c>
      <c r="I13" s="273">
        <v>2.1999999999999999E-5</v>
      </c>
      <c r="J13" s="273">
        <v>9.9999999999999991E-6</v>
      </c>
      <c r="K13" s="273">
        <v>1.5E-5</v>
      </c>
      <c r="L13" s="273">
        <v>3.9999999999999998E-6</v>
      </c>
      <c r="M13" s="273">
        <f t="shared" si="87"/>
        <v>2.0265723799999999E-4</v>
      </c>
      <c r="N13" s="273">
        <f t="shared" si="77"/>
        <v>1.5434999700000002E-4</v>
      </c>
      <c r="O13" s="273">
        <f t="shared" si="88"/>
        <v>2.4369799999999999E-7</v>
      </c>
      <c r="P13" s="273">
        <f t="shared" si="89"/>
        <v>0</v>
      </c>
      <c r="Q13" s="273">
        <v>2.0599999999999999E-4</v>
      </c>
      <c r="R13" s="273">
        <v>1.5699999999999999E-4</v>
      </c>
      <c r="S13" s="273">
        <v>0</v>
      </c>
      <c r="T13" s="273">
        <v>0</v>
      </c>
      <c r="U13" s="273">
        <v>1.183E-3</v>
      </c>
      <c r="V13" s="273">
        <v>0</v>
      </c>
      <c r="W13" s="273">
        <v>8.0649999999999993E-3</v>
      </c>
      <c r="X13" s="273">
        <v>8.9289999999999994E-3</v>
      </c>
      <c r="Y13" s="273">
        <f t="shared" si="90"/>
        <v>1.6613899999999998E-6</v>
      </c>
      <c r="Z13" s="273">
        <f t="shared" si="78"/>
        <v>1.4018529999999998E-6</v>
      </c>
      <c r="AA13" s="273">
        <v>6.5269999999999998E-3</v>
      </c>
      <c r="AB13" s="273">
        <v>7.2620000000000002E-3</v>
      </c>
      <c r="AC13" s="273">
        <f t="shared" si="91"/>
        <v>1.344562E-6</v>
      </c>
      <c r="AD13" s="273">
        <f t="shared" si="79"/>
        <v>1.140134E-6</v>
      </c>
      <c r="AE13" s="273">
        <v>4.1E-5</v>
      </c>
      <c r="AF13" s="273">
        <v>2.34E-4</v>
      </c>
      <c r="AG13" s="273">
        <f t="shared" si="92"/>
        <v>8.446E-9</v>
      </c>
      <c r="AH13" s="273">
        <f t="shared" si="80"/>
        <v>3.6738000000000001E-8</v>
      </c>
      <c r="AI13" s="273">
        <v>4.1100000000000002E-4</v>
      </c>
      <c r="AJ13" s="273">
        <v>4.5399999999999998E-4</v>
      </c>
      <c r="AK13" s="273">
        <f t="shared" si="93"/>
        <v>8.4665999999999999E-8</v>
      </c>
      <c r="AL13" s="273">
        <f t="shared" si="81"/>
        <v>7.1277999999999998E-8</v>
      </c>
      <c r="AM13" s="273">
        <f t="shared" si="94"/>
        <v>1.7815394999999999E-4</v>
      </c>
      <c r="AN13" s="273">
        <f t="shared" si="95"/>
        <v>1.2064555099999999E-4</v>
      </c>
      <c r="AO13" s="273">
        <v>0.86482499999999995</v>
      </c>
      <c r="AP13" s="273">
        <v>0.76844299999999999</v>
      </c>
      <c r="AQ13" s="273">
        <v>0</v>
      </c>
      <c r="AR13" s="273">
        <v>9.9999999999999995E-7</v>
      </c>
      <c r="AS13" s="273">
        <v>2.9E-5</v>
      </c>
      <c r="AT13" s="273">
        <v>2.5999999999999998E-5</v>
      </c>
      <c r="AU13" s="273">
        <v>3.0000000000000001E-6</v>
      </c>
      <c r="AV13" s="273">
        <v>3.0000000000000001E-6</v>
      </c>
      <c r="AW13" s="273">
        <v>3.0000000000000001E-5</v>
      </c>
      <c r="AX13" s="273">
        <v>9.0000000000000002E-6</v>
      </c>
      <c r="AY13" s="273">
        <v>1.5E-5</v>
      </c>
      <c r="AZ13" s="273">
        <v>1.4E-5</v>
      </c>
      <c r="BA13" s="273">
        <v>7.9999999999999996E-6</v>
      </c>
      <c r="BB13" s="273">
        <v>1.4E-5</v>
      </c>
      <c r="BC13" s="273">
        <v>9.1000000000000003E-5</v>
      </c>
      <c r="BD13" s="273">
        <v>7.1000000000000005E-5</v>
      </c>
      <c r="BE13" s="273">
        <v>5.0000000000000004E-6</v>
      </c>
      <c r="BF13" s="273">
        <v>5.0000000000000004E-6</v>
      </c>
      <c r="BG13" s="273">
        <v>7.3999999999999996E-5</v>
      </c>
      <c r="BH13" s="273">
        <v>5.7000000000000003E-5</v>
      </c>
      <c r="BI13" s="273">
        <v>1.0000000000000001E-5</v>
      </c>
      <c r="BJ13" s="273">
        <v>1.1E-5</v>
      </c>
      <c r="BK13" s="273">
        <v>1.1E-4</v>
      </c>
      <c r="BL13" s="273">
        <v>1.9699999999999999E-4</v>
      </c>
      <c r="BM13" s="273">
        <v>4.3999999999999999E-5</v>
      </c>
      <c r="BN13" s="273">
        <v>2.5999999999999998E-5</v>
      </c>
      <c r="BO13" s="273">
        <v>3.6699999999999998E-4</v>
      </c>
      <c r="BP13" s="273">
        <v>2.22E-4</v>
      </c>
      <c r="BQ13" s="273">
        <v>2.8E-5</v>
      </c>
      <c r="BR13" s="273">
        <v>2.4000000000000001E-5</v>
      </c>
      <c r="BS13" s="273">
        <v>9.9999999999999995E-7</v>
      </c>
      <c r="BT13" s="273">
        <v>9.9999999999999995E-7</v>
      </c>
      <c r="BU13" s="273">
        <v>1.6799999999999999E-4</v>
      </c>
      <c r="BV13" s="273">
        <v>1.4999999999999999E-4</v>
      </c>
      <c r="BW13" s="273">
        <v>0.58323899999999995</v>
      </c>
      <c r="BX13" s="273">
        <v>0.56090700000000004</v>
      </c>
      <c r="BY13" s="273">
        <v>9.2557E-2</v>
      </c>
      <c r="BZ13" s="273">
        <v>8.0685999999999994E-2</v>
      </c>
      <c r="CA13" s="273">
        <v>2.3181E-2</v>
      </c>
      <c r="CB13" s="273">
        <v>2.1399000000000001E-2</v>
      </c>
      <c r="CC13" s="273">
        <v>3.0000000000000001E-6</v>
      </c>
      <c r="CD13" s="273">
        <v>3.9999999999999998E-6</v>
      </c>
      <c r="CE13" s="273">
        <v>1.6882000000000001E-2</v>
      </c>
      <c r="CF13" s="273">
        <v>1.2324E-2</v>
      </c>
      <c r="CG13" s="273">
        <v>5.0650000000000001E-3</v>
      </c>
      <c r="CH13" s="273">
        <v>3.13E-3</v>
      </c>
      <c r="CI13" s="273">
        <v>1.0219999999999999E-3</v>
      </c>
      <c r="CJ13" s="273">
        <v>8.6799999999999996E-4</v>
      </c>
      <c r="CK13" s="273">
        <v>1.9699999999999999E-4</v>
      </c>
      <c r="CL13" s="273">
        <v>1.5899999999999999E-4</v>
      </c>
      <c r="CM13" s="273">
        <v>3.1799999999999998E-4</v>
      </c>
      <c r="CN13" s="273">
        <v>3.2699999999999998E-4</v>
      </c>
      <c r="CO13" s="273">
        <v>2.2162000000000001E-2</v>
      </c>
      <c r="CP13" s="273">
        <v>1.5851000000000001E-2</v>
      </c>
      <c r="CQ13" s="273">
        <v>4.15E-4</v>
      </c>
      <c r="CR13" s="273">
        <v>3.9599999999999998E-4</v>
      </c>
      <c r="CS13" s="273">
        <v>0</v>
      </c>
      <c r="CT13" s="273">
        <v>4.4840000000000001E-3</v>
      </c>
      <c r="CU13" s="273">
        <f t="shared" si="96"/>
        <v>0</v>
      </c>
      <c r="CV13" s="273">
        <f t="shared" si="82"/>
        <v>1.7756639999999999E-6</v>
      </c>
      <c r="CW13" s="273">
        <v>0</v>
      </c>
      <c r="CX13" s="273">
        <v>7.038E-3</v>
      </c>
      <c r="CY13" s="273">
        <f t="shared" si="97"/>
        <v>0</v>
      </c>
      <c r="CZ13" s="273">
        <f t="shared" si="83"/>
        <v>2.7870479999999998E-6</v>
      </c>
      <c r="DA13" s="273">
        <v>9.9999999999999995E-7</v>
      </c>
      <c r="DB13" s="273">
        <v>0</v>
      </c>
      <c r="DC13" s="273">
        <f t="shared" si="98"/>
        <v>4.15E-4</v>
      </c>
      <c r="DD13" s="273">
        <f t="shared" si="84"/>
        <v>3.91437288E-4</v>
      </c>
      <c r="DE13" s="273">
        <v>3.1999999999999999E-5</v>
      </c>
      <c r="DF13" s="273">
        <v>2.6999999999999999E-5</v>
      </c>
      <c r="DG13" s="273">
        <f t="shared" si="99"/>
        <v>3.2999999999999996E-5</v>
      </c>
      <c r="DH13" s="273">
        <f t="shared" si="85"/>
        <v>3.1562712000000001E-5</v>
      </c>
      <c r="DI13" s="273">
        <v>2.0999999999999999E-5</v>
      </c>
      <c r="DJ13" s="273">
        <v>1.5E-5</v>
      </c>
      <c r="DK13" s="273">
        <v>1.4E-5</v>
      </c>
      <c r="DL13" s="273">
        <v>1.5999999999999999E-5</v>
      </c>
      <c r="DM13" s="273">
        <f t="shared" si="100"/>
        <v>3.4999999999999997E-5</v>
      </c>
      <c r="DN13" s="273">
        <f t="shared" si="86"/>
        <v>3.1000000000000001E-5</v>
      </c>
      <c r="DO13" s="273">
        <v>6.0000000000000002E-6</v>
      </c>
      <c r="DP13" s="273">
        <v>9.9999999999999995E-7</v>
      </c>
      <c r="DQ13" s="273">
        <v>7.7000000000000001E-5</v>
      </c>
      <c r="DR13" s="273">
        <v>1.06E-4</v>
      </c>
      <c r="DS13" s="273">
        <v>3.3297E-2</v>
      </c>
      <c r="DT13" s="273">
        <v>2.3789000000000001E-2</v>
      </c>
      <c r="DU13" s="273">
        <v>7.7099999999999998E-4</v>
      </c>
      <c r="DV13" s="273">
        <v>6.9700000000000003E-4</v>
      </c>
      <c r="DW13" s="273">
        <v>4.0188000000000001E-2</v>
      </c>
      <c r="DX13" s="273">
        <v>4.0188000000000001E-2</v>
      </c>
      <c r="DY13" s="273">
        <v>0.31892100000000001</v>
      </c>
      <c r="DZ13" s="273">
        <v>0.30574099999999999</v>
      </c>
      <c r="EA13" s="273">
        <v>5.9999999999999995E-5</v>
      </c>
      <c r="EB13" s="273">
        <v>2.0999999999999999E-5</v>
      </c>
      <c r="EC13" s="273">
        <v>5.7650000000000002E-3</v>
      </c>
      <c r="ED13" s="273">
        <v>3.2929999999999999E-3</v>
      </c>
      <c r="EE13" s="273"/>
      <c r="EF13" s="274"/>
    </row>
    <row r="14" spans="1:136" s="249" customFormat="1" ht="17.399999999999999">
      <c r="B14" s="286">
        <v>7</v>
      </c>
      <c r="C14" s="273">
        <v>1.7E-5</v>
      </c>
      <c r="D14" s="273">
        <v>6.0000000000000002E-6</v>
      </c>
      <c r="E14" s="273">
        <v>3.9999999999999998E-6</v>
      </c>
      <c r="F14" s="273">
        <v>3.0000000000000001E-6</v>
      </c>
      <c r="G14" s="273">
        <v>4.0000000000000003E-5</v>
      </c>
      <c r="H14" s="273">
        <v>2.9E-5</v>
      </c>
      <c r="I14" s="273">
        <v>2.0999999999999999E-5</v>
      </c>
      <c r="J14" s="273">
        <v>9.0000000000000002E-6</v>
      </c>
      <c r="K14" s="273">
        <v>1.5E-5</v>
      </c>
      <c r="L14" s="273">
        <v>3.9999999999999998E-6</v>
      </c>
      <c r="M14" s="273">
        <f t="shared" si="87"/>
        <v>1.8250710599999998E-4</v>
      </c>
      <c r="N14" s="273">
        <f t="shared" si="77"/>
        <v>1.4424580799999998E-4</v>
      </c>
      <c r="O14" s="273">
        <f t="shared" si="88"/>
        <v>2.26176E-7</v>
      </c>
      <c r="P14" s="273">
        <f t="shared" si="89"/>
        <v>0</v>
      </c>
      <c r="Q14" s="273">
        <v>1.8599999999999999E-4</v>
      </c>
      <c r="R14" s="273">
        <v>1.47E-4</v>
      </c>
      <c r="S14" s="273">
        <v>0</v>
      </c>
      <c r="T14" s="273">
        <v>0</v>
      </c>
      <c r="U14" s="273">
        <v>1.2160000000000001E-3</v>
      </c>
      <c r="V14" s="273">
        <v>0</v>
      </c>
      <c r="W14" s="273">
        <v>8.6960000000000006E-3</v>
      </c>
      <c r="X14" s="273">
        <v>9.1739999999999999E-3</v>
      </c>
      <c r="Y14" s="273">
        <f t="shared" si="90"/>
        <v>1.617456E-6</v>
      </c>
      <c r="Z14" s="273">
        <f t="shared" si="78"/>
        <v>1.3485779999999999E-6</v>
      </c>
      <c r="AA14" s="273">
        <v>8.3909999999999992E-3</v>
      </c>
      <c r="AB14" s="273">
        <v>8.5089999999999992E-3</v>
      </c>
      <c r="AC14" s="273">
        <f t="shared" si="91"/>
        <v>1.5607259999999998E-6</v>
      </c>
      <c r="AD14" s="273">
        <f t="shared" si="79"/>
        <v>1.2508229999999997E-6</v>
      </c>
      <c r="AE14" s="273">
        <v>8.1000000000000004E-5</v>
      </c>
      <c r="AF14" s="273">
        <v>4.6900000000000002E-4</v>
      </c>
      <c r="AG14" s="273">
        <f t="shared" si="92"/>
        <v>1.5066000000000001E-8</v>
      </c>
      <c r="AH14" s="273">
        <f t="shared" si="80"/>
        <v>6.8942999999999997E-8</v>
      </c>
      <c r="AI14" s="273">
        <v>3.9500000000000001E-4</v>
      </c>
      <c r="AJ14" s="273">
        <v>5.8399999999999999E-4</v>
      </c>
      <c r="AK14" s="273">
        <f t="shared" si="93"/>
        <v>7.3469999999999995E-8</v>
      </c>
      <c r="AL14" s="273">
        <f t="shared" si="81"/>
        <v>8.5848000000000002E-8</v>
      </c>
      <c r="AM14" s="273">
        <f t="shared" si="94"/>
        <v>1.6932045E-4</v>
      </c>
      <c r="AN14" s="273">
        <f t="shared" si="95"/>
        <v>1.18422318E-4</v>
      </c>
      <c r="AO14" s="273">
        <v>0.91032500000000005</v>
      </c>
      <c r="AP14" s="273">
        <v>0.80559400000000003</v>
      </c>
      <c r="AQ14" s="273">
        <v>0</v>
      </c>
      <c r="AR14" s="273">
        <v>3.0000000000000001E-6</v>
      </c>
      <c r="AS14" s="273">
        <v>2.6999999999999999E-5</v>
      </c>
      <c r="AT14" s="273">
        <v>2.4000000000000001E-5</v>
      </c>
      <c r="AU14" s="273">
        <v>3.9999999999999998E-6</v>
      </c>
      <c r="AV14" s="273">
        <v>3.0000000000000001E-6</v>
      </c>
      <c r="AW14" s="273">
        <v>2.4000000000000001E-5</v>
      </c>
      <c r="AX14" s="273">
        <v>6.0000000000000002E-6</v>
      </c>
      <c r="AY14" s="273">
        <v>1.5E-5</v>
      </c>
      <c r="AZ14" s="273">
        <v>1.4E-5</v>
      </c>
      <c r="BA14" s="273">
        <v>1.0000000000000001E-5</v>
      </c>
      <c r="BB14" s="273">
        <v>1.5999999999999999E-5</v>
      </c>
      <c r="BC14" s="273">
        <v>4.0000000000000003E-5</v>
      </c>
      <c r="BD14" s="273">
        <v>3.1000000000000001E-5</v>
      </c>
      <c r="BE14" s="273">
        <v>5.0000000000000004E-6</v>
      </c>
      <c r="BF14" s="273">
        <v>5.0000000000000004E-6</v>
      </c>
      <c r="BG14" s="273">
        <v>6.8999999999999997E-5</v>
      </c>
      <c r="BH14" s="273">
        <v>5.5000000000000002E-5</v>
      </c>
      <c r="BI14" s="273">
        <v>7.9999999999999996E-6</v>
      </c>
      <c r="BJ14" s="273">
        <v>9.0000000000000002E-6</v>
      </c>
      <c r="BK14" s="273">
        <v>9.0000000000000006E-5</v>
      </c>
      <c r="BL14" s="273">
        <v>1.21E-4</v>
      </c>
      <c r="BM14" s="273">
        <v>3.4E-5</v>
      </c>
      <c r="BN14" s="273">
        <v>2.6999999999999999E-5</v>
      </c>
      <c r="BO14" s="273">
        <v>3.6900000000000002E-4</v>
      </c>
      <c r="BP14" s="273">
        <v>2.1599999999999999E-4</v>
      </c>
      <c r="BQ14" s="273">
        <v>2.5999999999999998E-5</v>
      </c>
      <c r="BR14" s="273">
        <v>2.3E-5</v>
      </c>
      <c r="BS14" s="273">
        <v>9.9999999999999995E-7</v>
      </c>
      <c r="BT14" s="273">
        <v>9.9999999999999995E-7</v>
      </c>
      <c r="BU14" s="273">
        <v>1.56E-4</v>
      </c>
      <c r="BV14" s="273">
        <v>1.4200000000000001E-4</v>
      </c>
      <c r="BW14" s="273">
        <v>0.438861</v>
      </c>
      <c r="BX14" s="273">
        <v>0.40089200000000003</v>
      </c>
      <c r="BY14" s="273">
        <v>8.3235000000000003E-2</v>
      </c>
      <c r="BZ14" s="273">
        <v>6.9232000000000002E-2</v>
      </c>
      <c r="CA14" s="273">
        <v>6.6480000000000003E-3</v>
      </c>
      <c r="CB14" s="273">
        <v>5.4900000000000001E-3</v>
      </c>
      <c r="CC14" s="273">
        <v>3.9999999999999998E-6</v>
      </c>
      <c r="CD14" s="273">
        <v>3.9999999999999998E-6</v>
      </c>
      <c r="CE14" s="273">
        <v>1.5864E-2</v>
      </c>
      <c r="CF14" s="273">
        <v>1.1900000000000001E-2</v>
      </c>
      <c r="CG14" s="273">
        <v>5.1929999999999997E-3</v>
      </c>
      <c r="CH14" s="273">
        <v>3.346E-3</v>
      </c>
      <c r="CI14" s="273">
        <v>9.1100000000000003E-4</v>
      </c>
      <c r="CJ14" s="273">
        <v>6.5499999999999998E-4</v>
      </c>
      <c r="CK14" s="273">
        <v>1.17E-4</v>
      </c>
      <c r="CL14" s="273">
        <v>1.08E-4</v>
      </c>
      <c r="CM14" s="273">
        <v>2.5799999999999998E-4</v>
      </c>
      <c r="CN14" s="273">
        <v>2.61E-4</v>
      </c>
      <c r="CO14" s="273">
        <v>2.1181999999999999E-2</v>
      </c>
      <c r="CP14" s="273">
        <v>1.5427E-2</v>
      </c>
      <c r="CQ14" s="273">
        <v>4.08E-4</v>
      </c>
      <c r="CR14" s="273">
        <v>3.86E-4</v>
      </c>
      <c r="CS14" s="273">
        <v>0</v>
      </c>
      <c r="CT14" s="273">
        <v>4.7619999999999997E-3</v>
      </c>
      <c r="CU14" s="273">
        <f t="shared" si="96"/>
        <v>0</v>
      </c>
      <c r="CV14" s="273">
        <f t="shared" si="82"/>
        <v>1.8381319999999999E-6</v>
      </c>
      <c r="CW14" s="273">
        <v>0</v>
      </c>
      <c r="CX14" s="273">
        <v>9.0489999999999998E-3</v>
      </c>
      <c r="CY14" s="273">
        <f t="shared" si="97"/>
        <v>0</v>
      </c>
      <c r="CZ14" s="273">
        <f t="shared" si="83"/>
        <v>3.492914E-6</v>
      </c>
      <c r="DA14" s="273">
        <v>9.9999999999999995E-7</v>
      </c>
      <c r="DB14" s="273">
        <v>0</v>
      </c>
      <c r="DC14" s="273">
        <f t="shared" si="98"/>
        <v>4.08E-4</v>
      </c>
      <c r="DD14" s="273">
        <f t="shared" si="84"/>
        <v>3.80668954E-4</v>
      </c>
      <c r="DE14" s="273">
        <v>3.3000000000000003E-5</v>
      </c>
      <c r="DF14" s="273">
        <v>2.8E-5</v>
      </c>
      <c r="DG14" s="273">
        <f t="shared" si="99"/>
        <v>3.4E-5</v>
      </c>
      <c r="DH14" s="273">
        <f t="shared" si="85"/>
        <v>3.3331046000000002E-5</v>
      </c>
      <c r="DI14" s="273">
        <v>2.1999999999999999E-5</v>
      </c>
      <c r="DJ14" s="273">
        <v>1.8E-5</v>
      </c>
      <c r="DK14" s="273">
        <v>2.0999999999999999E-5</v>
      </c>
      <c r="DL14" s="273">
        <v>1.7E-5</v>
      </c>
      <c r="DM14" s="273">
        <f t="shared" si="100"/>
        <v>4.3000000000000002E-5</v>
      </c>
      <c r="DN14" s="273">
        <f t="shared" si="86"/>
        <v>3.4999999999999997E-5</v>
      </c>
      <c r="DO14" s="273">
        <v>7.9999999999999996E-6</v>
      </c>
      <c r="DP14" s="273">
        <v>1.9999999999999999E-6</v>
      </c>
      <c r="DQ14" s="273">
        <v>9.0000000000000006E-5</v>
      </c>
      <c r="DR14" s="273">
        <v>1.0399999999999999E-4</v>
      </c>
      <c r="DS14" s="273">
        <v>3.8316999999999997E-2</v>
      </c>
      <c r="DT14" s="273">
        <v>2.5732999999999999E-2</v>
      </c>
      <c r="DU14" s="273">
        <v>9.4799999999999995E-4</v>
      </c>
      <c r="DV14" s="273">
        <v>7.8700000000000005E-4</v>
      </c>
      <c r="DW14" s="273">
        <v>4.0188000000000001E-2</v>
      </c>
      <c r="DX14" s="273">
        <v>4.0188000000000001E-2</v>
      </c>
      <c r="DY14" s="273">
        <v>0.20119699999999999</v>
      </c>
      <c r="DZ14" s="273">
        <v>0.194191</v>
      </c>
      <c r="EA14" s="273">
        <v>5.5999999999999999E-5</v>
      </c>
      <c r="EB14" s="273">
        <v>2.0000000000000002E-5</v>
      </c>
      <c r="EC14" s="273">
        <v>5.522E-3</v>
      </c>
      <c r="ED14" s="273">
        <v>3.3649999999999999E-3</v>
      </c>
      <c r="EE14" s="273"/>
      <c r="EF14" s="274"/>
    </row>
    <row r="15" spans="1:136" s="249" customFormat="1" ht="17.399999999999999">
      <c r="B15" s="286">
        <v>8</v>
      </c>
      <c r="C15" s="273">
        <v>1.5E-5</v>
      </c>
      <c r="D15" s="273">
        <v>6.0000000000000002E-6</v>
      </c>
      <c r="E15" s="273">
        <v>3.9999999999999998E-6</v>
      </c>
      <c r="F15" s="273">
        <v>3.0000000000000001E-6</v>
      </c>
      <c r="G15" s="273">
        <v>4.0000000000000003E-5</v>
      </c>
      <c r="H15" s="273">
        <v>2.8E-5</v>
      </c>
      <c r="I15" s="273">
        <v>1.9000000000000001E-5</v>
      </c>
      <c r="J15" s="273">
        <v>9.0000000000000002E-6</v>
      </c>
      <c r="K15" s="273">
        <v>1.5E-5</v>
      </c>
      <c r="L15" s="273">
        <v>3.9999999999999998E-6</v>
      </c>
      <c r="M15" s="273">
        <f t="shared" si="87"/>
        <v>1.7381041400000002E-4</v>
      </c>
      <c r="N15" s="273">
        <f t="shared" si="77"/>
        <v>1.39234214E-4</v>
      </c>
      <c r="O15" s="273">
        <f t="shared" si="88"/>
        <v>2.2232199999999997E-7</v>
      </c>
      <c r="P15" s="273">
        <f t="shared" si="89"/>
        <v>0</v>
      </c>
      <c r="Q15" s="273">
        <v>1.7799999999999999E-4</v>
      </c>
      <c r="R15" s="273">
        <v>1.46E-4</v>
      </c>
      <c r="S15" s="273">
        <v>0</v>
      </c>
      <c r="T15" s="273">
        <v>0</v>
      </c>
      <c r="U15" s="273">
        <v>1.2489999999999999E-3</v>
      </c>
      <c r="V15" s="273">
        <v>0</v>
      </c>
      <c r="W15" s="273">
        <v>9.0910000000000001E-3</v>
      </c>
      <c r="X15" s="273">
        <v>9.1739999999999999E-3</v>
      </c>
      <c r="Y15" s="273">
        <f t="shared" si="90"/>
        <v>1.618198E-6</v>
      </c>
      <c r="Z15" s="273">
        <f t="shared" si="78"/>
        <v>1.3394039999999999E-6</v>
      </c>
      <c r="AA15" s="273">
        <v>1.2697E-2</v>
      </c>
      <c r="AB15" s="273">
        <v>3.5749999999999997E-2</v>
      </c>
      <c r="AC15" s="273">
        <f t="shared" si="91"/>
        <v>2.2600659999999997E-6</v>
      </c>
      <c r="AD15" s="273">
        <f t="shared" si="79"/>
        <v>5.2194999999999997E-6</v>
      </c>
      <c r="AE15" s="273">
        <v>1.22E-4</v>
      </c>
      <c r="AF15" s="273">
        <v>7.0299999999999996E-4</v>
      </c>
      <c r="AG15" s="273">
        <f t="shared" si="92"/>
        <v>2.1715999999999997E-8</v>
      </c>
      <c r="AH15" s="273">
        <f t="shared" si="80"/>
        <v>1.02638E-7</v>
      </c>
      <c r="AI15" s="273">
        <v>3.7800000000000003E-4</v>
      </c>
      <c r="AJ15" s="273">
        <v>7.1400000000000001E-4</v>
      </c>
      <c r="AK15" s="273">
        <f t="shared" si="93"/>
        <v>6.7283999999999996E-8</v>
      </c>
      <c r="AL15" s="273">
        <f t="shared" si="81"/>
        <v>1.04244E-7</v>
      </c>
      <c r="AM15" s="273">
        <f t="shared" si="94"/>
        <v>1.5885592200000001E-4</v>
      </c>
      <c r="AN15" s="273">
        <f t="shared" si="95"/>
        <v>1.13260522E-4</v>
      </c>
      <c r="AO15" s="273">
        <v>0.89244900000000005</v>
      </c>
      <c r="AP15" s="273">
        <v>0.77575700000000003</v>
      </c>
      <c r="AQ15" s="273">
        <v>9.9999999999999995E-7</v>
      </c>
      <c r="AR15" s="273">
        <v>5.0000000000000004E-6</v>
      </c>
      <c r="AS15" s="273">
        <v>2.5999999999999998E-5</v>
      </c>
      <c r="AT15" s="273">
        <v>2.4000000000000001E-5</v>
      </c>
      <c r="AU15" s="273">
        <v>3.9999999999999998E-6</v>
      </c>
      <c r="AV15" s="273">
        <v>3.0000000000000001E-6</v>
      </c>
      <c r="AW15" s="273">
        <v>2.0000000000000002E-5</v>
      </c>
      <c r="AX15" s="273">
        <v>5.0000000000000004E-6</v>
      </c>
      <c r="AY15" s="273">
        <v>1.5999999999999999E-5</v>
      </c>
      <c r="AZ15" s="273">
        <v>1.4E-5</v>
      </c>
      <c r="BA15" s="273">
        <v>1.2E-5</v>
      </c>
      <c r="BB15" s="273">
        <v>1.8E-5</v>
      </c>
      <c r="BC15" s="273">
        <v>2.4000000000000001E-5</v>
      </c>
      <c r="BD15" s="273">
        <v>2.0000000000000002E-5</v>
      </c>
      <c r="BE15" s="273">
        <v>3.9999999999999998E-6</v>
      </c>
      <c r="BF15" s="273">
        <v>3.9999999999999998E-6</v>
      </c>
      <c r="BG15" s="273">
        <v>6.4999999999999994E-5</v>
      </c>
      <c r="BH15" s="273">
        <v>5.3000000000000001E-5</v>
      </c>
      <c r="BI15" s="273">
        <v>7.9999999999999996E-6</v>
      </c>
      <c r="BJ15" s="273">
        <v>9.0000000000000002E-6</v>
      </c>
      <c r="BK15" s="273">
        <v>6.3999999999999997E-5</v>
      </c>
      <c r="BL15" s="273">
        <v>6.6000000000000005E-5</v>
      </c>
      <c r="BM15" s="273">
        <v>3.4999999999999997E-5</v>
      </c>
      <c r="BN15" s="273">
        <v>2.6999999999999999E-5</v>
      </c>
      <c r="BO15" s="273">
        <v>3.7399999999999998E-4</v>
      </c>
      <c r="BP15" s="273">
        <v>2.0599999999999999E-4</v>
      </c>
      <c r="BQ15" s="273">
        <v>2.3E-5</v>
      </c>
      <c r="BR15" s="273">
        <v>2.1999999999999999E-5</v>
      </c>
      <c r="BS15" s="273">
        <v>9.9999999999999995E-7</v>
      </c>
      <c r="BT15" s="273">
        <v>9.9999999999999995E-7</v>
      </c>
      <c r="BU15" s="273">
        <v>1.5200000000000001E-4</v>
      </c>
      <c r="BV15" s="273">
        <v>1.3899999999999999E-4</v>
      </c>
      <c r="BW15" s="273">
        <v>0.37028499999999998</v>
      </c>
      <c r="BX15" s="273">
        <v>0.31492199999999998</v>
      </c>
      <c r="BY15" s="273">
        <v>7.5439999999999993E-2</v>
      </c>
      <c r="BZ15" s="273">
        <v>5.9230999999999999E-2</v>
      </c>
      <c r="CA15" s="273">
        <v>6.1240000000000001E-3</v>
      </c>
      <c r="CB15" s="273">
        <v>4.9030000000000002E-3</v>
      </c>
      <c r="CC15" s="273">
        <v>5.0000000000000004E-6</v>
      </c>
      <c r="CD15" s="273">
        <v>3.9999999999999998E-6</v>
      </c>
      <c r="CE15" s="273">
        <v>1.4481000000000001E-2</v>
      </c>
      <c r="CF15" s="273">
        <v>1.0678E-2</v>
      </c>
      <c r="CG15" s="273">
        <v>5.9119999999999997E-3</v>
      </c>
      <c r="CH15" s="273">
        <v>3.8049999999999998E-3</v>
      </c>
      <c r="CI15" s="273">
        <v>8.5999999999999998E-4</v>
      </c>
      <c r="CJ15" s="273">
        <v>6.6600000000000003E-4</v>
      </c>
      <c r="CK15" s="273">
        <v>1.0399999999999999E-4</v>
      </c>
      <c r="CL15" s="273">
        <v>1.11E-4</v>
      </c>
      <c r="CM15" s="273">
        <v>2.34E-4</v>
      </c>
      <c r="CN15" s="273">
        <v>2.6400000000000002E-4</v>
      </c>
      <c r="CO15" s="273">
        <v>2.0480000000000002E-2</v>
      </c>
      <c r="CP15" s="273">
        <v>1.4728E-2</v>
      </c>
      <c r="CQ15" s="273">
        <v>4.1100000000000002E-4</v>
      </c>
      <c r="CR15" s="273">
        <v>3.8499999999999998E-4</v>
      </c>
      <c r="CS15" s="273">
        <v>0</v>
      </c>
      <c r="CT15" s="273">
        <v>4.8539999999999998E-3</v>
      </c>
      <c r="CU15" s="273">
        <f t="shared" si="96"/>
        <v>0</v>
      </c>
      <c r="CV15" s="273">
        <f t="shared" si="82"/>
        <v>1.8687899999999997E-6</v>
      </c>
      <c r="CW15" s="273">
        <v>6.1989999999999996E-3</v>
      </c>
      <c r="CX15" s="273">
        <v>2.1471000000000001E-2</v>
      </c>
      <c r="CY15" s="273">
        <f t="shared" si="97"/>
        <v>2.5477889999999999E-6</v>
      </c>
      <c r="CZ15" s="273">
        <f t="shared" si="83"/>
        <v>8.2663349999999999E-6</v>
      </c>
      <c r="DA15" s="273">
        <v>9.9999999999999995E-7</v>
      </c>
      <c r="DB15" s="273">
        <v>0</v>
      </c>
      <c r="DC15" s="273">
        <f t="shared" si="98"/>
        <v>4.0845221100000004E-4</v>
      </c>
      <c r="DD15" s="273">
        <f t="shared" si="84"/>
        <v>3.7486487499999995E-4</v>
      </c>
      <c r="DE15" s="273">
        <v>3.8000000000000002E-5</v>
      </c>
      <c r="DF15" s="273">
        <v>3.3000000000000003E-5</v>
      </c>
      <c r="DG15" s="273">
        <f t="shared" si="99"/>
        <v>4.1547789000000006E-5</v>
      </c>
      <c r="DH15" s="273">
        <f t="shared" si="85"/>
        <v>4.3135125000000001E-5</v>
      </c>
      <c r="DI15" s="273">
        <v>2.0999999999999999E-5</v>
      </c>
      <c r="DJ15" s="273">
        <v>1.9000000000000001E-5</v>
      </c>
      <c r="DK15" s="273">
        <v>2.9E-5</v>
      </c>
      <c r="DL15" s="273">
        <v>1.7E-5</v>
      </c>
      <c r="DM15" s="273">
        <f t="shared" si="100"/>
        <v>4.9999999999999996E-5</v>
      </c>
      <c r="DN15" s="273">
        <f t="shared" si="86"/>
        <v>3.6000000000000001E-5</v>
      </c>
      <c r="DO15" s="273">
        <v>1.1E-5</v>
      </c>
      <c r="DP15" s="273">
        <v>3.0000000000000001E-6</v>
      </c>
      <c r="DQ15" s="273">
        <v>1.12E-4</v>
      </c>
      <c r="DR15" s="273">
        <v>1.2300000000000001E-4</v>
      </c>
      <c r="DS15" s="273">
        <v>4.3276000000000002E-2</v>
      </c>
      <c r="DT15" s="273">
        <v>2.6582000000000001E-2</v>
      </c>
      <c r="DU15" s="273">
        <v>1.2019999999999999E-3</v>
      </c>
      <c r="DV15" s="273">
        <v>8.83E-4</v>
      </c>
      <c r="DW15" s="273">
        <v>4.0188000000000001E-2</v>
      </c>
      <c r="DX15" s="273">
        <v>4.0188000000000001E-2</v>
      </c>
      <c r="DY15" s="273">
        <v>0.13541300000000001</v>
      </c>
      <c r="DZ15" s="273">
        <v>0.133212</v>
      </c>
      <c r="EA15" s="273">
        <v>5.1E-5</v>
      </c>
      <c r="EB15" s="273">
        <v>1.9000000000000001E-5</v>
      </c>
      <c r="EC15" s="273">
        <v>5.2789999999999998E-3</v>
      </c>
      <c r="ED15" s="273">
        <v>3.437E-3</v>
      </c>
      <c r="EE15" s="273"/>
      <c r="EF15" s="274"/>
    </row>
    <row r="16" spans="1:136" s="249" customFormat="1" ht="17.399999999999999">
      <c r="B16" s="286">
        <v>9</v>
      </c>
      <c r="C16" s="273">
        <v>1.4E-5</v>
      </c>
      <c r="D16" s="273">
        <v>6.0000000000000002E-6</v>
      </c>
      <c r="E16" s="273">
        <v>3.9999999999999998E-6</v>
      </c>
      <c r="F16" s="273">
        <v>3.0000000000000001E-6</v>
      </c>
      <c r="G16" s="273">
        <v>4.5000000000000003E-5</v>
      </c>
      <c r="H16" s="273">
        <v>2.8E-5</v>
      </c>
      <c r="I16" s="273">
        <v>1.8E-5</v>
      </c>
      <c r="J16" s="273">
        <v>9.0000000000000002E-6</v>
      </c>
      <c r="K16" s="273">
        <v>1.5E-5</v>
      </c>
      <c r="L16" s="273">
        <v>3.9999999999999998E-6</v>
      </c>
      <c r="M16" s="273">
        <f t="shared" si="87"/>
        <v>1.7402057799999999E-4</v>
      </c>
      <c r="N16" s="273">
        <f t="shared" si="77"/>
        <v>1.39883078E-4</v>
      </c>
      <c r="O16" s="273">
        <f t="shared" si="88"/>
        <v>2.2947799999999996E-7</v>
      </c>
      <c r="P16" s="273">
        <f t="shared" si="89"/>
        <v>0</v>
      </c>
      <c r="Q16" s="273">
        <v>1.7899999999999999E-4</v>
      </c>
      <c r="R16" s="273">
        <v>1.5100000000000001E-4</v>
      </c>
      <c r="S16" s="273">
        <v>0</v>
      </c>
      <c r="T16" s="273">
        <v>0</v>
      </c>
      <c r="U16" s="273">
        <v>1.2819999999999999E-3</v>
      </c>
      <c r="V16" s="273">
        <v>0</v>
      </c>
      <c r="W16" s="273">
        <v>9.0089999999999996E-3</v>
      </c>
      <c r="X16" s="273">
        <v>8.8500000000000002E-3</v>
      </c>
      <c r="Y16" s="273">
        <f t="shared" si="90"/>
        <v>1.6126109999999999E-6</v>
      </c>
      <c r="Z16" s="273">
        <f t="shared" si="78"/>
        <v>1.3363500000000001E-6</v>
      </c>
      <c r="AA16" s="273">
        <v>1.7003000000000001E-2</v>
      </c>
      <c r="AB16" s="273">
        <v>6.2991000000000005E-2</v>
      </c>
      <c r="AC16" s="273">
        <f t="shared" si="91"/>
        <v>3.0435369999999997E-6</v>
      </c>
      <c r="AD16" s="273">
        <f t="shared" si="79"/>
        <v>9.511641000000001E-6</v>
      </c>
      <c r="AE16" s="273">
        <v>1.6200000000000001E-4</v>
      </c>
      <c r="AF16" s="273">
        <v>9.3700000000000001E-4</v>
      </c>
      <c r="AG16" s="273">
        <f t="shared" si="92"/>
        <v>2.8997999999999999E-8</v>
      </c>
      <c r="AH16" s="273">
        <f t="shared" si="80"/>
        <v>1.41487E-7</v>
      </c>
      <c r="AI16" s="273">
        <v>3.6200000000000002E-4</v>
      </c>
      <c r="AJ16" s="273">
        <v>8.4400000000000002E-4</v>
      </c>
      <c r="AK16" s="273">
        <f t="shared" si="93"/>
        <v>6.4797999999999996E-8</v>
      </c>
      <c r="AL16" s="273">
        <f t="shared" si="81"/>
        <v>1.2744400000000001E-7</v>
      </c>
      <c r="AM16" s="273">
        <f t="shared" si="94"/>
        <v>1.5654856699999999E-4</v>
      </c>
      <c r="AN16" s="273">
        <f t="shared" si="95"/>
        <v>1.1263392000000001E-4</v>
      </c>
      <c r="AO16" s="273">
        <v>0.87457300000000004</v>
      </c>
      <c r="AP16" s="273">
        <v>0.74592000000000003</v>
      </c>
      <c r="AQ16" s="273">
        <v>9.9999999999999995E-7</v>
      </c>
      <c r="AR16" s="273">
        <v>6.0000000000000002E-6</v>
      </c>
      <c r="AS16" s="273">
        <v>2.5999999999999998E-5</v>
      </c>
      <c r="AT16" s="273">
        <v>2.4000000000000001E-5</v>
      </c>
      <c r="AU16" s="273">
        <v>3.9999999999999998E-6</v>
      </c>
      <c r="AV16" s="273">
        <v>3.0000000000000001E-6</v>
      </c>
      <c r="AW16" s="273">
        <v>1.7E-5</v>
      </c>
      <c r="AX16" s="273">
        <v>5.0000000000000004E-6</v>
      </c>
      <c r="AY16" s="273">
        <v>1.5999999999999999E-5</v>
      </c>
      <c r="AZ16" s="273">
        <v>1.4E-5</v>
      </c>
      <c r="BA16" s="273">
        <v>1.4E-5</v>
      </c>
      <c r="BB16" s="273">
        <v>1.9000000000000001E-5</v>
      </c>
      <c r="BC16" s="273">
        <v>1.5999999999999999E-5</v>
      </c>
      <c r="BD16" s="273">
        <v>1.0000000000000001E-5</v>
      </c>
      <c r="BE16" s="273">
        <v>3.9999999999999998E-6</v>
      </c>
      <c r="BF16" s="273">
        <v>3.9999999999999998E-6</v>
      </c>
      <c r="BG16" s="273">
        <v>6.2000000000000003E-5</v>
      </c>
      <c r="BH16" s="273">
        <v>5.1999999999999997E-5</v>
      </c>
      <c r="BI16" s="273">
        <v>9.0000000000000002E-6</v>
      </c>
      <c r="BJ16" s="273">
        <v>1.0000000000000001E-5</v>
      </c>
      <c r="BK16" s="273">
        <v>6.2000000000000003E-5</v>
      </c>
      <c r="BL16" s="273">
        <v>4.8999999999999998E-5</v>
      </c>
      <c r="BM16" s="273">
        <v>3.6000000000000001E-5</v>
      </c>
      <c r="BN16" s="273">
        <v>2.6999999999999999E-5</v>
      </c>
      <c r="BO16" s="273">
        <v>3.7800000000000003E-4</v>
      </c>
      <c r="BP16" s="273">
        <v>1.9000000000000001E-4</v>
      </c>
      <c r="BQ16" s="273">
        <v>2.3E-5</v>
      </c>
      <c r="BR16" s="273">
        <v>2.0000000000000002E-5</v>
      </c>
      <c r="BS16" s="273">
        <v>1.9999999999999999E-6</v>
      </c>
      <c r="BT16" s="273">
        <v>9.9999999999999995E-7</v>
      </c>
      <c r="BU16" s="273">
        <v>1.5300000000000001E-4</v>
      </c>
      <c r="BV16" s="273">
        <v>1.3899999999999999E-4</v>
      </c>
      <c r="BW16" s="273">
        <v>0.36333300000000002</v>
      </c>
      <c r="BX16" s="273">
        <v>0.28865499999999999</v>
      </c>
      <c r="BY16" s="273">
        <v>7.2978000000000001E-2</v>
      </c>
      <c r="BZ16" s="273">
        <v>5.4267000000000003E-2</v>
      </c>
      <c r="CA16" s="273">
        <v>6.0959999999999999E-3</v>
      </c>
      <c r="CB16" s="273">
        <v>4.7320000000000001E-3</v>
      </c>
      <c r="CC16" s="273">
        <v>7.9999999999999996E-6</v>
      </c>
      <c r="CD16" s="273">
        <v>3.9999999999999998E-6</v>
      </c>
      <c r="CE16" s="273">
        <v>1.3306999999999999E-2</v>
      </c>
      <c r="CF16" s="273">
        <v>9.3810000000000004E-3</v>
      </c>
      <c r="CG16" s="273">
        <v>6.6429999999999996E-3</v>
      </c>
      <c r="CH16" s="273">
        <v>4.143E-3</v>
      </c>
      <c r="CI16" s="273">
        <v>8.2100000000000001E-4</v>
      </c>
      <c r="CJ16" s="273">
        <v>6.6299999999999996E-4</v>
      </c>
      <c r="CK16" s="273">
        <v>9.2999999999999997E-5</v>
      </c>
      <c r="CL16" s="273">
        <v>1.11E-4</v>
      </c>
      <c r="CM16" s="273">
        <v>2.12E-4</v>
      </c>
      <c r="CN16" s="273">
        <v>2.6200000000000003E-4</v>
      </c>
      <c r="CO16" s="273">
        <v>2.0001999999999999E-2</v>
      </c>
      <c r="CP16" s="273">
        <v>1.3823E-2</v>
      </c>
      <c r="CQ16" s="273">
        <v>4.2000000000000002E-4</v>
      </c>
      <c r="CR16" s="273">
        <v>3.8900000000000002E-4</v>
      </c>
      <c r="CS16" s="273">
        <v>0</v>
      </c>
      <c r="CT16" s="273">
        <v>4.8079999999999998E-3</v>
      </c>
      <c r="CU16" s="273">
        <f t="shared" si="96"/>
        <v>0</v>
      </c>
      <c r="CV16" s="273">
        <f t="shared" si="82"/>
        <v>1.870312E-6</v>
      </c>
      <c r="CW16" s="273">
        <v>1.2397999999999999E-2</v>
      </c>
      <c r="CX16" s="273">
        <v>3.3891999999999999E-2</v>
      </c>
      <c r="CY16" s="273">
        <f t="shared" si="97"/>
        <v>5.2071599999999996E-6</v>
      </c>
      <c r="CZ16" s="273">
        <f t="shared" si="83"/>
        <v>1.3183988E-5</v>
      </c>
      <c r="DA16" s="273">
        <v>9.9999999999999995E-7</v>
      </c>
      <c r="DB16" s="273">
        <v>0</v>
      </c>
      <c r="DC16" s="273">
        <f t="shared" si="98"/>
        <v>4.1479284000000004E-4</v>
      </c>
      <c r="DD16" s="273">
        <f t="shared" si="84"/>
        <v>3.7394570000000001E-4</v>
      </c>
      <c r="DE16" s="273">
        <v>4.3999999999999999E-5</v>
      </c>
      <c r="DF16" s="273">
        <v>4.0000000000000003E-5</v>
      </c>
      <c r="DG16" s="273">
        <f t="shared" si="99"/>
        <v>5.020716E-5</v>
      </c>
      <c r="DH16" s="273">
        <f t="shared" si="85"/>
        <v>5.5054299999999999E-5</v>
      </c>
      <c r="DI16" s="273">
        <v>2.0999999999999999E-5</v>
      </c>
      <c r="DJ16" s="273">
        <v>1.8E-5</v>
      </c>
      <c r="DK16" s="273">
        <v>3.6000000000000001E-5</v>
      </c>
      <c r="DL16" s="273">
        <v>1.7E-5</v>
      </c>
      <c r="DM16" s="273">
        <f t="shared" si="100"/>
        <v>5.7000000000000003E-5</v>
      </c>
      <c r="DN16" s="273">
        <f t="shared" si="86"/>
        <v>3.4999999999999997E-5</v>
      </c>
      <c r="DO16" s="273">
        <v>1.0000000000000001E-5</v>
      </c>
      <c r="DP16" s="273">
        <v>1.9999999999999999E-6</v>
      </c>
      <c r="DQ16" s="273">
        <v>1.36E-4</v>
      </c>
      <c r="DR16" s="273">
        <v>1.5799999999999999E-4</v>
      </c>
      <c r="DS16" s="273">
        <v>4.8675999999999997E-2</v>
      </c>
      <c r="DT16" s="273">
        <v>2.6644000000000001E-2</v>
      </c>
      <c r="DU16" s="273">
        <v>1.537E-3</v>
      </c>
      <c r="DV16" s="273">
        <v>9.9400000000000009E-4</v>
      </c>
      <c r="DW16" s="273">
        <v>4.0188000000000001E-2</v>
      </c>
      <c r="DX16" s="273">
        <v>4.0188000000000001E-2</v>
      </c>
      <c r="DY16" s="273">
        <v>0.10850600000000001</v>
      </c>
      <c r="DZ16" s="273">
        <v>0.108892</v>
      </c>
      <c r="EA16" s="273">
        <v>4.4999999999999996E-5</v>
      </c>
      <c r="EB16" s="273">
        <v>1.8E-5</v>
      </c>
      <c r="EC16" s="273">
        <v>5.0359999999999997E-3</v>
      </c>
      <c r="ED16" s="273">
        <v>3.5079999999999998E-3</v>
      </c>
      <c r="EE16" s="273"/>
      <c r="EF16" s="274"/>
    </row>
    <row r="17" spans="2:136" s="249" customFormat="1" ht="17.399999999999999">
      <c r="B17" s="286">
        <v>10</v>
      </c>
      <c r="C17" s="273">
        <v>1.2E-5</v>
      </c>
      <c r="D17" s="273">
        <v>5.0000000000000004E-6</v>
      </c>
      <c r="E17" s="273">
        <v>3.9999999999999998E-6</v>
      </c>
      <c r="F17" s="273">
        <v>3.0000000000000001E-6</v>
      </c>
      <c r="G17" s="273">
        <v>5.1E-5</v>
      </c>
      <c r="H17" s="273">
        <v>3.0000000000000001E-5</v>
      </c>
      <c r="I17" s="273">
        <v>1.5999999999999999E-5</v>
      </c>
      <c r="J17" s="273">
        <v>8.0000000000000013E-6</v>
      </c>
      <c r="K17" s="273">
        <v>1.5E-5</v>
      </c>
      <c r="L17" s="273">
        <v>3.9999999999999998E-6</v>
      </c>
      <c r="M17" s="273">
        <f t="shared" si="87"/>
        <v>1.7813610400000001E-4</v>
      </c>
      <c r="N17" s="273">
        <f t="shared" si="77"/>
        <v>1.4386303999999999E-4</v>
      </c>
      <c r="O17" s="273">
        <f t="shared" si="88"/>
        <v>2.4195999999999998E-7</v>
      </c>
      <c r="P17" s="273">
        <f t="shared" si="89"/>
        <v>0</v>
      </c>
      <c r="Q17" s="273">
        <v>1.84E-4</v>
      </c>
      <c r="R17" s="273">
        <v>1.6000000000000001E-4</v>
      </c>
      <c r="S17" s="273">
        <v>0</v>
      </c>
      <c r="T17" s="273">
        <v>0</v>
      </c>
      <c r="U17" s="273">
        <v>1.315E-3</v>
      </c>
      <c r="V17" s="273">
        <v>0</v>
      </c>
      <c r="W17" s="273">
        <v>8.6960000000000006E-3</v>
      </c>
      <c r="X17" s="273">
        <v>8.4030000000000007E-3</v>
      </c>
      <c r="Y17" s="273">
        <f t="shared" si="90"/>
        <v>1.6000640000000002E-6</v>
      </c>
      <c r="Z17" s="273">
        <f t="shared" si="78"/>
        <v>1.3444800000000003E-6</v>
      </c>
      <c r="AA17" s="273">
        <v>2.1309000000000002E-2</v>
      </c>
      <c r="AB17" s="273">
        <v>9.0413999999999994E-2</v>
      </c>
      <c r="AC17" s="273">
        <f t="shared" si="91"/>
        <v>3.9208560000000005E-6</v>
      </c>
      <c r="AD17" s="273">
        <f t="shared" si="79"/>
        <v>1.446624E-5</v>
      </c>
      <c r="AE17" s="273">
        <v>2.03E-4</v>
      </c>
      <c r="AF17" s="273">
        <v>1.1709999999999999E-3</v>
      </c>
      <c r="AG17" s="273">
        <f t="shared" si="92"/>
        <v>3.7352000000000003E-8</v>
      </c>
      <c r="AH17" s="273">
        <f t="shared" si="80"/>
        <v>1.8736E-7</v>
      </c>
      <c r="AI17" s="273">
        <v>3.4600000000000001E-4</v>
      </c>
      <c r="AJ17" s="273">
        <v>8.6799999999999996E-4</v>
      </c>
      <c r="AK17" s="273">
        <f t="shared" si="93"/>
        <v>6.3664000000000007E-8</v>
      </c>
      <c r="AL17" s="273">
        <f t="shared" si="81"/>
        <v>1.3888000000000001E-7</v>
      </c>
      <c r="AM17" s="273">
        <f t="shared" si="94"/>
        <v>1.5763206400000001E-4</v>
      </c>
      <c r="AN17" s="273">
        <f t="shared" si="95"/>
        <v>1.1457328000000001E-4</v>
      </c>
      <c r="AO17" s="273">
        <v>0.85669600000000001</v>
      </c>
      <c r="AP17" s="273">
        <v>0.71608300000000003</v>
      </c>
      <c r="AQ17" s="273">
        <v>9.9999999999999995E-7</v>
      </c>
      <c r="AR17" s="273">
        <v>6.9999999999999999E-6</v>
      </c>
      <c r="AS17" s="273">
        <v>2.6999999999999999E-5</v>
      </c>
      <c r="AT17" s="273">
        <v>2.5999999999999998E-5</v>
      </c>
      <c r="AU17" s="273">
        <v>5.0000000000000004E-6</v>
      </c>
      <c r="AV17" s="273">
        <v>3.9999999999999998E-6</v>
      </c>
      <c r="AW17" s="273">
        <v>1.5E-5</v>
      </c>
      <c r="AX17" s="273">
        <v>5.0000000000000004E-6</v>
      </c>
      <c r="AY17" s="273">
        <v>1.5999999999999999E-5</v>
      </c>
      <c r="AZ17" s="273">
        <v>1.4E-5</v>
      </c>
      <c r="BA17" s="273">
        <v>1.7E-5</v>
      </c>
      <c r="BB17" s="273">
        <v>2.0000000000000002E-5</v>
      </c>
      <c r="BC17" s="273">
        <v>1.1E-5</v>
      </c>
      <c r="BD17" s="273">
        <v>6.9999999999999999E-6</v>
      </c>
      <c r="BE17" s="273">
        <v>5.0000000000000004E-6</v>
      </c>
      <c r="BF17" s="273">
        <v>3.9999999999999998E-6</v>
      </c>
      <c r="BG17" s="273">
        <v>6.0000000000000002E-5</v>
      </c>
      <c r="BH17" s="273">
        <v>5.1999999999999997E-5</v>
      </c>
      <c r="BI17" s="273">
        <v>1.1E-5</v>
      </c>
      <c r="BJ17" s="273">
        <v>1.2E-5</v>
      </c>
      <c r="BK17" s="273">
        <v>6.9999999999999994E-5</v>
      </c>
      <c r="BL17" s="273">
        <v>4.8999999999999998E-5</v>
      </c>
      <c r="BM17" s="273">
        <v>3.8000000000000002E-5</v>
      </c>
      <c r="BN17" s="273">
        <v>2.5999999999999998E-5</v>
      </c>
      <c r="BO17" s="273">
        <v>3.8099999999999999E-4</v>
      </c>
      <c r="BP17" s="273">
        <v>1.7100000000000001E-4</v>
      </c>
      <c r="BQ17" s="273">
        <v>2.4000000000000001E-5</v>
      </c>
      <c r="BR17" s="273">
        <v>2.1999999999999999E-5</v>
      </c>
      <c r="BS17" s="273">
        <v>3.0000000000000001E-6</v>
      </c>
      <c r="BT17" s="273">
        <v>9.9999999999999995E-7</v>
      </c>
      <c r="BU17" s="273">
        <v>1.5899999999999999E-4</v>
      </c>
      <c r="BV17" s="273">
        <v>1.4200000000000001E-4</v>
      </c>
      <c r="BW17" s="273">
        <v>0.38397599999999998</v>
      </c>
      <c r="BX17" s="273">
        <v>0.289186</v>
      </c>
      <c r="BY17" s="273">
        <v>7.4368000000000004E-2</v>
      </c>
      <c r="BZ17" s="273">
        <v>5.3008E-2</v>
      </c>
      <c r="CA17" s="273">
        <v>6.313E-3</v>
      </c>
      <c r="CB17" s="273">
        <v>4.7569999999999999E-3</v>
      </c>
      <c r="CC17" s="273">
        <v>1.2E-5</v>
      </c>
      <c r="CD17" s="273">
        <v>3.9999999999999998E-6</v>
      </c>
      <c r="CE17" s="273">
        <v>1.2241999999999999E-2</v>
      </c>
      <c r="CF17" s="273">
        <v>8.1180000000000002E-3</v>
      </c>
      <c r="CG17" s="273">
        <v>7.3740000000000003E-3</v>
      </c>
      <c r="CH17" s="273">
        <v>4.3779999999999999E-3</v>
      </c>
      <c r="CI17" s="273">
        <v>7.8799999999999996E-4</v>
      </c>
      <c r="CJ17" s="273">
        <v>6.5099999999999999E-4</v>
      </c>
      <c r="CK17" s="273">
        <v>8.2999999999999998E-5</v>
      </c>
      <c r="CL17" s="273">
        <v>1.1E-4</v>
      </c>
      <c r="CM17" s="273">
        <v>1.93E-4</v>
      </c>
      <c r="CN17" s="273">
        <v>2.5599999999999999E-4</v>
      </c>
      <c r="CO17" s="273">
        <v>1.9637000000000002E-2</v>
      </c>
      <c r="CP17" s="273">
        <v>1.2836999999999999E-2</v>
      </c>
      <c r="CQ17" s="273">
        <v>4.3199999999999998E-4</v>
      </c>
      <c r="CR17" s="273">
        <v>3.9500000000000001E-4</v>
      </c>
      <c r="CS17" s="273">
        <v>4.1149999999999997E-3</v>
      </c>
      <c r="CT17" s="273">
        <v>9.3900000000000008E-3</v>
      </c>
      <c r="CU17" s="273">
        <f t="shared" si="96"/>
        <v>1.7776799999999998E-6</v>
      </c>
      <c r="CV17" s="273">
        <f t="shared" si="82"/>
        <v>3.7090500000000005E-6</v>
      </c>
      <c r="CW17" s="273">
        <v>1.8596999999999999E-2</v>
      </c>
      <c r="CX17" s="273">
        <v>4.6314000000000001E-2</v>
      </c>
      <c r="CY17" s="273">
        <f t="shared" si="97"/>
        <v>8.0339039999999987E-6</v>
      </c>
      <c r="CZ17" s="273">
        <f t="shared" si="83"/>
        <v>1.829403E-5</v>
      </c>
      <c r="DA17" s="273">
        <v>9.9999999999999995E-7</v>
      </c>
      <c r="DB17" s="273">
        <v>0</v>
      </c>
      <c r="DC17" s="273">
        <f t="shared" si="98"/>
        <v>4.2218841600000001E-4</v>
      </c>
      <c r="DD17" s="273">
        <f t="shared" si="84"/>
        <v>3.7299692000000001E-4</v>
      </c>
      <c r="DE17" s="273">
        <v>5.0000000000000002E-5</v>
      </c>
      <c r="DF17" s="273">
        <v>4.8000000000000001E-5</v>
      </c>
      <c r="DG17" s="273">
        <f t="shared" si="99"/>
        <v>6.0811584000000002E-5</v>
      </c>
      <c r="DH17" s="273">
        <f t="shared" si="85"/>
        <v>7.0003080000000006E-5</v>
      </c>
      <c r="DI17" s="273">
        <v>2.0999999999999999E-5</v>
      </c>
      <c r="DJ17" s="273">
        <v>1.8E-5</v>
      </c>
      <c r="DK17" s="273">
        <v>4.3999999999999999E-5</v>
      </c>
      <c r="DL17" s="273">
        <v>1.8E-5</v>
      </c>
      <c r="DM17" s="273">
        <f t="shared" si="100"/>
        <v>6.4999999999999994E-5</v>
      </c>
      <c r="DN17" s="273">
        <f t="shared" si="86"/>
        <v>3.6000000000000001E-5</v>
      </c>
      <c r="DO17" s="273">
        <v>7.9999999999999996E-6</v>
      </c>
      <c r="DP17" s="273">
        <v>9.9999999999999995E-7</v>
      </c>
      <c r="DQ17" s="273">
        <v>1.63E-4</v>
      </c>
      <c r="DR17" s="273">
        <v>2.0000000000000001E-4</v>
      </c>
      <c r="DS17" s="273">
        <v>5.4177999999999997E-2</v>
      </c>
      <c r="DT17" s="273">
        <v>2.6338E-2</v>
      </c>
      <c r="DU17" s="273">
        <v>1.905E-3</v>
      </c>
      <c r="DV17" s="273">
        <v>1.1100000000000001E-3</v>
      </c>
      <c r="DW17" s="273">
        <v>4.0188000000000001E-2</v>
      </c>
      <c r="DX17" s="273">
        <v>4.0188000000000001E-2</v>
      </c>
      <c r="DY17" s="273">
        <v>9.8996000000000001E-2</v>
      </c>
      <c r="DZ17" s="273">
        <v>0.100977</v>
      </c>
      <c r="EA17" s="273">
        <v>4.0000000000000003E-5</v>
      </c>
      <c r="EB17" s="273">
        <v>1.7E-5</v>
      </c>
      <c r="EC17" s="273">
        <v>4.7930000000000004E-3</v>
      </c>
      <c r="ED17" s="273">
        <v>3.5799999999999998E-3</v>
      </c>
      <c r="EE17" s="273"/>
      <c r="EF17" s="274"/>
    </row>
    <row r="18" spans="2:136" s="249" customFormat="1" ht="17.399999999999999">
      <c r="B18" s="286">
        <v>11</v>
      </c>
      <c r="C18" s="273">
        <v>1.2E-5</v>
      </c>
      <c r="D18" s="273">
        <v>6.0000000000000002E-6</v>
      </c>
      <c r="E18" s="273">
        <v>3.9999999999999998E-6</v>
      </c>
      <c r="F18" s="273">
        <v>3.0000000000000001E-6</v>
      </c>
      <c r="G18" s="273">
        <v>6.0000000000000002E-5</v>
      </c>
      <c r="H18" s="273">
        <v>3.3000000000000003E-5</v>
      </c>
      <c r="I18" s="273">
        <v>1.5999999999999999E-5</v>
      </c>
      <c r="J18" s="273">
        <v>9.0000000000000002E-6</v>
      </c>
      <c r="K18" s="273">
        <v>1.5E-5</v>
      </c>
      <c r="L18" s="273">
        <v>3.9999999999999998E-6</v>
      </c>
      <c r="M18" s="273">
        <f t="shared" si="87"/>
        <v>1.8319818999999998E-4</v>
      </c>
      <c r="N18" s="273">
        <f t="shared" si="77"/>
        <v>1.4825802000000002E-4</v>
      </c>
      <c r="O18" s="273">
        <f t="shared" si="88"/>
        <v>2.5611999999999999E-7</v>
      </c>
      <c r="P18" s="273">
        <f t="shared" si="89"/>
        <v>0</v>
      </c>
      <c r="Q18" s="273">
        <v>1.9000000000000001E-4</v>
      </c>
      <c r="R18" s="273">
        <v>1.7000000000000001E-4</v>
      </c>
      <c r="S18" s="273">
        <v>0</v>
      </c>
      <c r="T18" s="273">
        <v>0</v>
      </c>
      <c r="U18" s="273">
        <v>1.348E-3</v>
      </c>
      <c r="V18" s="273">
        <v>0</v>
      </c>
      <c r="W18" s="273">
        <v>8.2640000000000005E-3</v>
      </c>
      <c r="X18" s="273">
        <v>7.7520000000000002E-3</v>
      </c>
      <c r="Y18" s="273">
        <f t="shared" si="90"/>
        <v>1.5701600000000002E-6</v>
      </c>
      <c r="Z18" s="273">
        <f t="shared" si="78"/>
        <v>1.3178400000000002E-6</v>
      </c>
      <c r="AA18" s="273">
        <v>2.5614999999999999E-2</v>
      </c>
      <c r="AB18" s="273">
        <v>0.117948</v>
      </c>
      <c r="AC18" s="273">
        <f t="shared" si="91"/>
        <v>4.8668499999999998E-6</v>
      </c>
      <c r="AD18" s="273">
        <f t="shared" si="79"/>
        <v>2.0051159999999999E-5</v>
      </c>
      <c r="AE18" s="273">
        <v>2.43E-4</v>
      </c>
      <c r="AF18" s="273">
        <v>1.4059999999999999E-3</v>
      </c>
      <c r="AG18" s="273">
        <f t="shared" si="92"/>
        <v>4.6170000000000002E-8</v>
      </c>
      <c r="AH18" s="273">
        <f t="shared" si="80"/>
        <v>2.3901999999999998E-7</v>
      </c>
      <c r="AI18" s="273">
        <v>3.2899999999999997E-4</v>
      </c>
      <c r="AJ18" s="273">
        <v>7.8799999999999996E-4</v>
      </c>
      <c r="AK18" s="273">
        <f t="shared" si="93"/>
        <v>6.2509999999999995E-8</v>
      </c>
      <c r="AL18" s="273">
        <f t="shared" si="81"/>
        <v>1.3396000000000002E-7</v>
      </c>
      <c r="AM18" s="273">
        <f t="shared" si="94"/>
        <v>1.5937580000000001E-4</v>
      </c>
      <c r="AN18" s="273">
        <f t="shared" si="95"/>
        <v>1.1666182000000002E-4</v>
      </c>
      <c r="AO18" s="273">
        <v>0.83882000000000001</v>
      </c>
      <c r="AP18" s="273">
        <v>0.68624600000000002</v>
      </c>
      <c r="AQ18" s="273">
        <v>9.9999999999999995E-7</v>
      </c>
      <c r="AR18" s="273">
        <v>6.9999999999999999E-6</v>
      </c>
      <c r="AS18" s="273">
        <v>2.6999999999999999E-5</v>
      </c>
      <c r="AT18" s="273">
        <v>2.8E-5</v>
      </c>
      <c r="AU18" s="273">
        <v>6.0000000000000002E-6</v>
      </c>
      <c r="AV18" s="273">
        <v>3.9999999999999998E-6</v>
      </c>
      <c r="AW18" s="273">
        <v>1.2999999999999999E-5</v>
      </c>
      <c r="AX18" s="273">
        <v>5.0000000000000004E-6</v>
      </c>
      <c r="AY18" s="273">
        <v>1.5999999999999999E-5</v>
      </c>
      <c r="AZ18" s="273">
        <v>1.4E-5</v>
      </c>
      <c r="BA18" s="273">
        <v>2.0000000000000002E-5</v>
      </c>
      <c r="BB18" s="273">
        <v>2.1999999999999999E-5</v>
      </c>
      <c r="BC18" s="273">
        <v>6.9999999999999999E-6</v>
      </c>
      <c r="BD18" s="273">
        <v>5.0000000000000004E-6</v>
      </c>
      <c r="BE18" s="273">
        <v>5.0000000000000004E-6</v>
      </c>
      <c r="BF18" s="273">
        <v>3.9999999999999998E-6</v>
      </c>
      <c r="BG18" s="273">
        <v>5.8E-5</v>
      </c>
      <c r="BH18" s="273">
        <v>5.1E-5</v>
      </c>
      <c r="BI18" s="273">
        <v>1.2E-5</v>
      </c>
      <c r="BJ18" s="273">
        <v>1.2999999999999999E-5</v>
      </c>
      <c r="BK18" s="273">
        <v>7.7000000000000001E-5</v>
      </c>
      <c r="BL18" s="273">
        <v>4.8999999999999998E-5</v>
      </c>
      <c r="BM18" s="273">
        <v>3.8999999999999999E-5</v>
      </c>
      <c r="BN18" s="273">
        <v>2.5999999999999998E-5</v>
      </c>
      <c r="BO18" s="273">
        <v>3.8999999999999999E-4</v>
      </c>
      <c r="BP18" s="273">
        <v>1.56E-4</v>
      </c>
      <c r="BQ18" s="273">
        <v>2.6999999999999999E-5</v>
      </c>
      <c r="BR18" s="273">
        <v>2.3E-5</v>
      </c>
      <c r="BS18" s="273">
        <v>5.0000000000000004E-6</v>
      </c>
      <c r="BT18" s="273">
        <v>9.9999999999999995E-7</v>
      </c>
      <c r="BU18" s="273">
        <v>1.73E-4</v>
      </c>
      <c r="BV18" s="273">
        <v>1.4899999999999999E-4</v>
      </c>
      <c r="BW18" s="273">
        <v>0.40515099999999998</v>
      </c>
      <c r="BX18" s="273">
        <v>0.29091099999999998</v>
      </c>
      <c r="BY18" s="273">
        <v>7.7650999999999998E-2</v>
      </c>
      <c r="BZ18" s="273">
        <v>5.3662000000000001E-2</v>
      </c>
      <c r="CA18" s="273">
        <v>6.5519999999999997E-3</v>
      </c>
      <c r="CB18" s="273">
        <v>4.7809999999999997E-3</v>
      </c>
      <c r="CC18" s="273">
        <v>1.8E-5</v>
      </c>
      <c r="CD18" s="273">
        <v>5.0000000000000004E-6</v>
      </c>
      <c r="CE18" s="273">
        <v>1.1332999999999999E-2</v>
      </c>
      <c r="CF18" s="273">
        <v>7.071E-3</v>
      </c>
      <c r="CG18" s="273">
        <v>8.1609999999999999E-3</v>
      </c>
      <c r="CH18" s="273">
        <v>4.6109999999999996E-3</v>
      </c>
      <c r="CI18" s="273">
        <v>7.6300000000000001E-4</v>
      </c>
      <c r="CJ18" s="273">
        <v>6.4400000000000004E-4</v>
      </c>
      <c r="CK18" s="273">
        <v>7.4999999999999993E-5</v>
      </c>
      <c r="CL18" s="273">
        <v>1.1E-4</v>
      </c>
      <c r="CM18" s="273">
        <v>1.7699999999999999E-4</v>
      </c>
      <c r="CN18" s="273">
        <v>2.5300000000000002E-4</v>
      </c>
      <c r="CO18" s="273">
        <v>1.9484999999999999E-2</v>
      </c>
      <c r="CP18" s="273">
        <v>1.2061000000000001E-2</v>
      </c>
      <c r="CQ18" s="273">
        <v>4.44E-4</v>
      </c>
      <c r="CR18" s="273">
        <v>4.0400000000000001E-4</v>
      </c>
      <c r="CS18" s="273">
        <v>3.9529999999999999E-3</v>
      </c>
      <c r="CT18" s="273">
        <v>9.0910000000000001E-3</v>
      </c>
      <c r="CU18" s="273">
        <f t="shared" si="96"/>
        <v>1.755132E-6</v>
      </c>
      <c r="CV18" s="273">
        <f t="shared" si="82"/>
        <v>3.6727640000000001E-6</v>
      </c>
      <c r="CW18" s="273">
        <v>2.4795999999999999E-2</v>
      </c>
      <c r="CX18" s="273">
        <v>5.8735999999999997E-2</v>
      </c>
      <c r="CY18" s="273">
        <f t="shared" si="97"/>
        <v>1.1009423999999999E-5</v>
      </c>
      <c r="CZ18" s="273">
        <f t="shared" si="83"/>
        <v>2.3729344E-5</v>
      </c>
      <c r="DA18" s="273">
        <v>9.9999999999999995E-7</v>
      </c>
      <c r="DB18" s="273">
        <v>0</v>
      </c>
      <c r="DC18" s="273">
        <f t="shared" si="98"/>
        <v>4.3123544399999999E-4</v>
      </c>
      <c r="DD18" s="273">
        <f t="shared" si="84"/>
        <v>3.7659789200000001E-4</v>
      </c>
      <c r="DE18" s="273">
        <v>5.5000000000000002E-5</v>
      </c>
      <c r="DF18" s="273">
        <v>5.3999999999999998E-5</v>
      </c>
      <c r="DG18" s="273">
        <f t="shared" si="99"/>
        <v>6.8764555999999995E-5</v>
      </c>
      <c r="DH18" s="273">
        <f t="shared" si="85"/>
        <v>8.1402108000000006E-5</v>
      </c>
      <c r="DI18" s="273">
        <v>2.0999999999999999E-5</v>
      </c>
      <c r="DJ18" s="273">
        <v>1.8E-5</v>
      </c>
      <c r="DK18" s="273">
        <v>5.1E-5</v>
      </c>
      <c r="DL18" s="273">
        <v>1.8E-5</v>
      </c>
      <c r="DM18" s="273">
        <f t="shared" si="100"/>
        <v>7.2000000000000002E-5</v>
      </c>
      <c r="DN18" s="273">
        <f t="shared" si="86"/>
        <v>3.6000000000000001E-5</v>
      </c>
      <c r="DO18" s="273">
        <v>1.5999999999999999E-5</v>
      </c>
      <c r="DP18" s="273">
        <v>5.0000000000000004E-6</v>
      </c>
      <c r="DQ18" s="273">
        <v>1.9799999999999999E-4</v>
      </c>
      <c r="DR18" s="273">
        <v>2.41E-4</v>
      </c>
      <c r="DS18" s="273">
        <v>5.8305000000000003E-2</v>
      </c>
      <c r="DT18" s="273">
        <v>2.5774999999999999E-2</v>
      </c>
      <c r="DU18" s="273">
        <v>2.2169999999999998E-3</v>
      </c>
      <c r="DV18" s="273">
        <v>1.199E-3</v>
      </c>
      <c r="DW18" s="273">
        <v>4.0188000000000001E-2</v>
      </c>
      <c r="DX18" s="273">
        <v>4.0188000000000001E-2</v>
      </c>
      <c r="DY18" s="273">
        <v>8.9726E-2</v>
      </c>
      <c r="DZ18" s="273">
        <v>9.3280000000000002E-2</v>
      </c>
      <c r="EA18" s="273">
        <v>3.8999999999999999E-5</v>
      </c>
      <c r="EB18" s="273">
        <v>2.0000000000000002E-5</v>
      </c>
      <c r="EC18" s="273">
        <v>4.5500000000000002E-3</v>
      </c>
      <c r="ED18" s="273">
        <v>3.6510000000000002E-3</v>
      </c>
      <c r="EE18" s="273"/>
      <c r="EF18" s="274"/>
    </row>
    <row r="19" spans="2:136" s="249" customFormat="1" ht="17.399999999999999">
      <c r="B19" s="286">
        <v>12</v>
      </c>
      <c r="C19" s="273">
        <v>1.1E-5</v>
      </c>
      <c r="D19" s="273">
        <v>6.0000000000000002E-6</v>
      </c>
      <c r="E19" s="273">
        <v>3.9999999999999998E-6</v>
      </c>
      <c r="F19" s="273">
        <v>3.0000000000000001E-6</v>
      </c>
      <c r="G19" s="273">
        <v>7.4999999999999993E-5</v>
      </c>
      <c r="H19" s="273">
        <v>4.0000000000000003E-5</v>
      </c>
      <c r="I19" s="273">
        <v>1.4999999999999999E-5</v>
      </c>
      <c r="J19" s="273">
        <v>9.0000000000000002E-6</v>
      </c>
      <c r="K19" s="273">
        <v>1.5E-5</v>
      </c>
      <c r="L19" s="273">
        <v>3.9999999999999998E-6</v>
      </c>
      <c r="M19" s="273">
        <f t="shared" si="87"/>
        <v>1.9110925200000004E-4</v>
      </c>
      <c r="N19" s="273">
        <f t="shared" si="77"/>
        <v>1.5631963500000002E-4</v>
      </c>
      <c r="O19" s="273">
        <f t="shared" si="88"/>
        <v>2.7481900000000005E-7</v>
      </c>
      <c r="P19" s="273">
        <f t="shared" si="89"/>
        <v>0</v>
      </c>
      <c r="Q19" s="273">
        <v>1.9900000000000001E-4</v>
      </c>
      <c r="R19" s="273">
        <v>1.85E-4</v>
      </c>
      <c r="S19" s="273">
        <v>0</v>
      </c>
      <c r="T19" s="273">
        <v>0</v>
      </c>
      <c r="U19" s="273">
        <v>1.3810000000000001E-3</v>
      </c>
      <c r="V19" s="273">
        <v>0</v>
      </c>
      <c r="W19" s="273">
        <v>7.7520000000000002E-3</v>
      </c>
      <c r="X19" s="273">
        <v>7.0920000000000002E-3</v>
      </c>
      <c r="Y19" s="273">
        <f t="shared" si="90"/>
        <v>1.5426480000000001E-6</v>
      </c>
      <c r="Z19" s="273">
        <f t="shared" si="78"/>
        <v>1.31202E-6</v>
      </c>
      <c r="AA19" s="273">
        <v>2.9922000000000001E-2</v>
      </c>
      <c r="AB19" s="273">
        <v>0.14559</v>
      </c>
      <c r="AC19" s="273">
        <f t="shared" si="91"/>
        <v>5.9544780000000001E-6</v>
      </c>
      <c r="AD19" s="273">
        <f t="shared" si="79"/>
        <v>2.693415E-5</v>
      </c>
      <c r="AE19" s="273">
        <v>2.8400000000000002E-4</v>
      </c>
      <c r="AF19" s="273">
        <v>1.64E-3</v>
      </c>
      <c r="AG19" s="273">
        <f t="shared" si="92"/>
        <v>5.6516000000000008E-8</v>
      </c>
      <c r="AH19" s="273">
        <f t="shared" si="80"/>
        <v>3.0339999999999998E-7</v>
      </c>
      <c r="AI19" s="273">
        <v>3.1300000000000002E-4</v>
      </c>
      <c r="AJ19" s="273">
        <v>7.0699999999999995E-4</v>
      </c>
      <c r="AK19" s="273">
        <f t="shared" si="93"/>
        <v>6.2287000000000007E-8</v>
      </c>
      <c r="AL19" s="273">
        <f t="shared" si="81"/>
        <v>1.30795E-7</v>
      </c>
      <c r="AM19" s="273">
        <f t="shared" si="94"/>
        <v>1.63367856E-4</v>
      </c>
      <c r="AN19" s="273">
        <f t="shared" si="95"/>
        <v>1.21435665E-4</v>
      </c>
      <c r="AO19" s="273">
        <v>0.82094400000000001</v>
      </c>
      <c r="AP19" s="273">
        <v>0.65640900000000002</v>
      </c>
      <c r="AQ19" s="273">
        <v>9.9999999999999995E-7</v>
      </c>
      <c r="AR19" s="273">
        <v>6.9999999999999999E-6</v>
      </c>
      <c r="AS19" s="273">
        <v>2.9E-5</v>
      </c>
      <c r="AT19" s="273">
        <v>3.1000000000000001E-5</v>
      </c>
      <c r="AU19" s="273">
        <v>6.9999999999999999E-6</v>
      </c>
      <c r="AV19" s="273">
        <v>5.0000000000000004E-6</v>
      </c>
      <c r="AW19" s="273">
        <v>1.2E-5</v>
      </c>
      <c r="AX19" s="273">
        <v>5.0000000000000004E-6</v>
      </c>
      <c r="AY19" s="273">
        <v>1.5999999999999999E-5</v>
      </c>
      <c r="AZ19" s="273">
        <v>1.4E-5</v>
      </c>
      <c r="BA19" s="273">
        <v>2.1999999999999999E-5</v>
      </c>
      <c r="BB19" s="273">
        <v>2.5999999999999998E-5</v>
      </c>
      <c r="BC19" s="273">
        <v>5.0000000000000004E-6</v>
      </c>
      <c r="BD19" s="273">
        <v>3.9999999999999998E-6</v>
      </c>
      <c r="BE19" s="273">
        <v>5.0000000000000004E-6</v>
      </c>
      <c r="BF19" s="273">
        <v>3.0000000000000001E-6</v>
      </c>
      <c r="BG19" s="273">
        <v>5.7000000000000003E-5</v>
      </c>
      <c r="BH19" s="273">
        <v>4.8999999999999998E-5</v>
      </c>
      <c r="BI19" s="273">
        <v>1.4E-5</v>
      </c>
      <c r="BJ19" s="273">
        <v>1.4E-5</v>
      </c>
      <c r="BK19" s="273">
        <v>8.0000000000000007E-5</v>
      </c>
      <c r="BL19" s="273">
        <v>4.5000000000000003E-5</v>
      </c>
      <c r="BM19" s="273">
        <v>4.1999999999999998E-5</v>
      </c>
      <c r="BN19" s="273">
        <v>2.5999999999999998E-5</v>
      </c>
      <c r="BO19" s="273">
        <v>4.0999999999999999E-4</v>
      </c>
      <c r="BP19" s="273">
        <v>1.4899999999999999E-4</v>
      </c>
      <c r="BQ19" s="273">
        <v>2.9E-5</v>
      </c>
      <c r="BR19" s="273">
        <v>2.4000000000000001E-5</v>
      </c>
      <c r="BS19" s="273">
        <v>6.0000000000000002E-6</v>
      </c>
      <c r="BT19" s="273">
        <v>1.9999999999999999E-6</v>
      </c>
      <c r="BU19" s="273">
        <v>1.9100000000000001E-4</v>
      </c>
      <c r="BV19" s="273">
        <v>1.5899999999999999E-4</v>
      </c>
      <c r="BW19" s="273">
        <v>0.42316900000000002</v>
      </c>
      <c r="BX19" s="273">
        <v>0.29107300000000003</v>
      </c>
      <c r="BY19" s="273">
        <v>8.0949999999999994E-2</v>
      </c>
      <c r="BZ19" s="273">
        <v>5.4519999999999999E-2</v>
      </c>
      <c r="CA19" s="273">
        <v>6.8120000000000003E-3</v>
      </c>
      <c r="CB19" s="273">
        <v>4.7879999999999997E-3</v>
      </c>
      <c r="CC19" s="273">
        <v>2.5000000000000001E-5</v>
      </c>
      <c r="CD19" s="273">
        <v>6.9999999999999999E-6</v>
      </c>
      <c r="CE19" s="273">
        <v>1.0685999999999999E-2</v>
      </c>
      <c r="CF19" s="273">
        <v>6.3610000000000003E-3</v>
      </c>
      <c r="CG19" s="273">
        <v>9.1459999999999996E-3</v>
      </c>
      <c r="CH19" s="273">
        <v>4.9890000000000004E-3</v>
      </c>
      <c r="CI19" s="273">
        <v>7.5600000000000005E-4</v>
      </c>
      <c r="CJ19" s="273">
        <v>6.6200000000000005E-4</v>
      </c>
      <c r="CK19" s="273">
        <v>6.7000000000000002E-5</v>
      </c>
      <c r="CL19" s="273">
        <v>1.12E-4</v>
      </c>
      <c r="CM19" s="273">
        <v>1.65E-4</v>
      </c>
      <c r="CN19" s="273">
        <v>2.5900000000000001E-4</v>
      </c>
      <c r="CO19" s="273">
        <v>1.9791E-2</v>
      </c>
      <c r="CP19" s="273">
        <v>1.1778E-2</v>
      </c>
      <c r="CQ19" s="273">
        <v>4.55E-4</v>
      </c>
      <c r="CR19" s="273">
        <v>4.17E-4</v>
      </c>
      <c r="CS19" s="273">
        <v>3.8170000000000001E-3</v>
      </c>
      <c r="CT19" s="273">
        <v>8.8109999999999994E-3</v>
      </c>
      <c r="CU19" s="273">
        <f t="shared" si="96"/>
        <v>1.7367349999999999E-6</v>
      </c>
      <c r="CV19" s="273">
        <f t="shared" si="82"/>
        <v>3.6741869999999998E-6</v>
      </c>
      <c r="CW19" s="273">
        <v>3.0995000000000002E-2</v>
      </c>
      <c r="CX19" s="273">
        <v>7.1156999999999998E-2</v>
      </c>
      <c r="CY19" s="273">
        <f t="shared" si="97"/>
        <v>1.4102725000000001E-5</v>
      </c>
      <c r="CZ19" s="273">
        <f t="shared" si="83"/>
        <v>2.9672468999999999E-5</v>
      </c>
      <c r="DA19" s="273">
        <v>9.9999999999999995E-7</v>
      </c>
      <c r="DB19" s="273">
        <v>9.9999999999999995E-7</v>
      </c>
      <c r="DC19" s="273">
        <f t="shared" si="98"/>
        <v>4.3916053999999997E-4</v>
      </c>
      <c r="DD19" s="273">
        <f t="shared" si="84"/>
        <v>3.83653344E-4</v>
      </c>
      <c r="DE19" s="273">
        <v>5.8999999999999998E-5</v>
      </c>
      <c r="DF19" s="273">
        <v>6.0999999999999999E-5</v>
      </c>
      <c r="DG19" s="273">
        <f t="shared" si="99"/>
        <v>7.5839459999999995E-5</v>
      </c>
      <c r="DH19" s="273">
        <f t="shared" si="85"/>
        <v>9.5346655999999986E-5</v>
      </c>
      <c r="DI19" s="273">
        <v>2.0999999999999999E-5</v>
      </c>
      <c r="DJ19" s="273">
        <v>1.8E-5</v>
      </c>
      <c r="DK19" s="273">
        <v>5.8999999999999998E-5</v>
      </c>
      <c r="DL19" s="273">
        <v>1.9000000000000001E-5</v>
      </c>
      <c r="DM19" s="273">
        <f t="shared" si="100"/>
        <v>7.9999999999999993E-5</v>
      </c>
      <c r="DN19" s="273">
        <f t="shared" si="86"/>
        <v>3.7000000000000005E-5</v>
      </c>
      <c r="DO19" s="273">
        <v>4.5000000000000003E-5</v>
      </c>
      <c r="DP19" s="273">
        <v>2.0999999999999999E-5</v>
      </c>
      <c r="DQ19" s="273">
        <v>2.5300000000000002E-4</v>
      </c>
      <c r="DR19" s="273">
        <v>2.7900000000000001E-4</v>
      </c>
      <c r="DS19" s="273">
        <v>5.9343E-2</v>
      </c>
      <c r="DT19" s="273">
        <v>2.4698000000000001E-2</v>
      </c>
      <c r="DU19" s="273">
        <v>2.4009999999999999E-3</v>
      </c>
      <c r="DV19" s="273">
        <v>1.227E-3</v>
      </c>
      <c r="DW19" s="273">
        <v>4.0188000000000001E-2</v>
      </c>
      <c r="DX19" s="273">
        <v>4.0188000000000001E-2</v>
      </c>
      <c r="DY19" s="273">
        <v>7.8253000000000003E-2</v>
      </c>
      <c r="DZ19" s="273">
        <v>8.3490999999999996E-2</v>
      </c>
      <c r="EA19" s="273">
        <v>3.8000000000000002E-5</v>
      </c>
      <c r="EB19" s="273">
        <v>2.1999999999999999E-5</v>
      </c>
      <c r="EC19" s="273">
        <v>4.3070000000000001E-3</v>
      </c>
      <c r="ED19" s="273">
        <v>3.7230000000000002E-3</v>
      </c>
      <c r="EE19" s="273"/>
      <c r="EF19" s="274"/>
    </row>
    <row r="20" spans="2:136" s="249" customFormat="1" ht="17.399999999999999">
      <c r="B20" s="286">
        <v>13</v>
      </c>
      <c r="C20" s="273">
        <v>1.1E-5</v>
      </c>
      <c r="D20" s="273">
        <v>6.9999999999999999E-6</v>
      </c>
      <c r="E20" s="273">
        <v>3.9999999999999998E-6</v>
      </c>
      <c r="F20" s="273">
        <v>3.0000000000000001E-6</v>
      </c>
      <c r="G20" s="273">
        <v>9.8999999999999994E-5</v>
      </c>
      <c r="H20" s="273">
        <v>5.1999999999999997E-5</v>
      </c>
      <c r="I20" s="273">
        <v>1.4999999999999999E-5</v>
      </c>
      <c r="J20" s="273">
        <v>9.9999999999999991E-6</v>
      </c>
      <c r="K20" s="273">
        <v>1.5E-5</v>
      </c>
      <c r="L20" s="273">
        <v>3.9999999999999998E-6</v>
      </c>
      <c r="M20" s="273">
        <f t="shared" si="87"/>
        <v>1.9906541800000002E-4</v>
      </c>
      <c r="N20" s="273">
        <f t="shared" si="77"/>
        <v>1.6180854999999999E-4</v>
      </c>
      <c r="O20" s="273">
        <f t="shared" si="88"/>
        <v>2.9835399999999997E-7</v>
      </c>
      <c r="P20" s="273">
        <f t="shared" si="89"/>
        <v>3.08115E-7</v>
      </c>
      <c r="Q20" s="273">
        <v>2.1100000000000001E-4</v>
      </c>
      <c r="R20" s="273">
        <v>2.05E-4</v>
      </c>
      <c r="S20" s="273">
        <v>0</v>
      </c>
      <c r="T20" s="273">
        <v>1.503E-3</v>
      </c>
      <c r="U20" s="273">
        <v>1.4139999999999999E-3</v>
      </c>
      <c r="V20" s="273">
        <v>0</v>
      </c>
      <c r="W20" s="273">
        <v>7.2459999999999998E-3</v>
      </c>
      <c r="X20" s="273">
        <v>6.3689999999999997E-3</v>
      </c>
      <c r="Y20" s="273">
        <f t="shared" si="90"/>
        <v>1.528906E-6</v>
      </c>
      <c r="Z20" s="273">
        <f t="shared" si="78"/>
        <v>1.3056449999999998E-6</v>
      </c>
      <c r="AA20" s="273">
        <v>4.6282999999999998E-2</v>
      </c>
      <c r="AB20" s="273">
        <v>0.200743</v>
      </c>
      <c r="AC20" s="273">
        <f t="shared" si="91"/>
        <v>9.7657129999999992E-6</v>
      </c>
      <c r="AD20" s="273">
        <f t="shared" si="79"/>
        <v>4.1152315000000003E-5</v>
      </c>
      <c r="AE20" s="273">
        <v>1.322E-3</v>
      </c>
      <c r="AF20" s="273">
        <v>1.449E-3</v>
      </c>
      <c r="AG20" s="273">
        <f t="shared" si="92"/>
        <v>2.7894200000000004E-7</v>
      </c>
      <c r="AH20" s="273">
        <f t="shared" si="80"/>
        <v>2.97045E-7</v>
      </c>
      <c r="AI20" s="273">
        <v>2.9700000000000001E-4</v>
      </c>
      <c r="AJ20" s="273">
        <v>6.2600000000000004E-4</v>
      </c>
      <c r="AK20" s="273">
        <f t="shared" si="93"/>
        <v>6.2667000000000001E-8</v>
      </c>
      <c r="AL20" s="273">
        <f t="shared" si="81"/>
        <v>1.2833000000000001E-7</v>
      </c>
      <c r="AM20" s="273">
        <f t="shared" si="94"/>
        <v>1.6405060100000001E-4</v>
      </c>
      <c r="AN20" s="273">
        <f t="shared" si="95"/>
        <v>1.20886245E-4</v>
      </c>
      <c r="AO20" s="273">
        <v>0.77749100000000004</v>
      </c>
      <c r="AP20" s="273">
        <v>0.58968900000000002</v>
      </c>
      <c r="AQ20" s="273">
        <v>9.9999999999999995E-7</v>
      </c>
      <c r="AR20" s="273">
        <v>1.1E-5</v>
      </c>
      <c r="AS20" s="273">
        <v>3.1000000000000001E-5</v>
      </c>
      <c r="AT20" s="273">
        <v>3.4999999999999997E-5</v>
      </c>
      <c r="AU20" s="273">
        <v>9.0000000000000002E-6</v>
      </c>
      <c r="AV20" s="273">
        <v>6.9999999999999999E-6</v>
      </c>
      <c r="AW20" s="273">
        <v>1.1E-5</v>
      </c>
      <c r="AX20" s="273">
        <v>5.0000000000000004E-6</v>
      </c>
      <c r="AY20" s="273">
        <v>1.5999999999999999E-5</v>
      </c>
      <c r="AZ20" s="273">
        <v>1.4E-5</v>
      </c>
      <c r="BA20" s="273">
        <v>2.4000000000000001E-5</v>
      </c>
      <c r="BB20" s="273">
        <v>3.1000000000000001E-5</v>
      </c>
      <c r="BC20" s="273">
        <v>3.9999999999999998E-6</v>
      </c>
      <c r="BD20" s="273">
        <v>3.0000000000000001E-6</v>
      </c>
      <c r="BE20" s="273">
        <v>5.0000000000000004E-6</v>
      </c>
      <c r="BF20" s="273">
        <v>3.0000000000000001E-6</v>
      </c>
      <c r="BG20" s="273">
        <v>5.7000000000000003E-5</v>
      </c>
      <c r="BH20" s="273">
        <v>4.6999999999999997E-5</v>
      </c>
      <c r="BI20" s="273">
        <v>1.5999999999999999E-5</v>
      </c>
      <c r="BJ20" s="273">
        <v>1.4E-5</v>
      </c>
      <c r="BK20" s="273">
        <v>8.1000000000000004E-5</v>
      </c>
      <c r="BL20" s="273">
        <v>4.3999999999999999E-5</v>
      </c>
      <c r="BM20" s="273">
        <v>4.0000000000000003E-5</v>
      </c>
      <c r="BN20" s="273">
        <v>2.8E-5</v>
      </c>
      <c r="BO20" s="273">
        <v>4.44E-4</v>
      </c>
      <c r="BP20" s="273">
        <v>1.4999999999999999E-4</v>
      </c>
      <c r="BQ20" s="273">
        <v>3.1999999999999999E-5</v>
      </c>
      <c r="BR20" s="273">
        <v>2.5999999999999998E-5</v>
      </c>
      <c r="BS20" s="273">
        <v>9.0000000000000002E-6</v>
      </c>
      <c r="BT20" s="273">
        <v>1.9999999999999999E-6</v>
      </c>
      <c r="BU20" s="273">
        <v>2.13E-4</v>
      </c>
      <c r="BV20" s="273">
        <v>1.7100000000000001E-4</v>
      </c>
      <c r="BW20" s="273">
        <v>0.44945299999999999</v>
      </c>
      <c r="BX20" s="273">
        <v>0.30044900000000002</v>
      </c>
      <c r="BY20" s="273">
        <v>8.3071000000000006E-2</v>
      </c>
      <c r="BZ20" s="273">
        <v>5.4747999999999998E-2</v>
      </c>
      <c r="CA20" s="273">
        <v>6.7799999999999996E-3</v>
      </c>
      <c r="CB20" s="273">
        <v>4.581E-3</v>
      </c>
      <c r="CC20" s="273">
        <v>3.3000000000000003E-5</v>
      </c>
      <c r="CD20" s="273">
        <v>7.9999999999999996E-6</v>
      </c>
      <c r="CE20" s="273">
        <v>1.1024000000000001E-2</v>
      </c>
      <c r="CF20" s="273">
        <v>6.5690000000000002E-3</v>
      </c>
      <c r="CG20" s="273">
        <v>9.4970000000000002E-3</v>
      </c>
      <c r="CH20" s="273">
        <v>5.0879999999999996E-3</v>
      </c>
      <c r="CI20" s="273">
        <v>8.8400000000000002E-4</v>
      </c>
      <c r="CJ20" s="273">
        <v>6.5799999999999995E-4</v>
      </c>
      <c r="CK20" s="273">
        <v>2.2000000000000001E-4</v>
      </c>
      <c r="CL20" s="273">
        <v>1.27E-4</v>
      </c>
      <c r="CM20" s="273">
        <v>1.65E-4</v>
      </c>
      <c r="CN20" s="273">
        <v>2.4899999999999998E-4</v>
      </c>
      <c r="CO20" s="273">
        <v>2.0587999999999999E-2</v>
      </c>
      <c r="CP20" s="273">
        <v>1.2047E-2</v>
      </c>
      <c r="CQ20" s="273">
        <v>4.66E-4</v>
      </c>
      <c r="CR20" s="273">
        <v>4.37E-4</v>
      </c>
      <c r="CS20" s="273">
        <v>3.7309999999999999E-3</v>
      </c>
      <c r="CT20" s="273">
        <v>1.2876E-2</v>
      </c>
      <c r="CU20" s="273">
        <f t="shared" si="96"/>
        <v>1.738646E-6</v>
      </c>
      <c r="CV20" s="273">
        <f t="shared" si="82"/>
        <v>5.6268120000000004E-6</v>
      </c>
      <c r="CW20" s="273">
        <v>4.3823000000000001E-2</v>
      </c>
      <c r="CX20" s="273">
        <v>0.108185</v>
      </c>
      <c r="CY20" s="273">
        <f t="shared" si="97"/>
        <v>2.0421518E-5</v>
      </c>
      <c r="CZ20" s="273">
        <f t="shared" si="83"/>
        <v>4.7276845000000004E-5</v>
      </c>
      <c r="DA20" s="273">
        <v>9.9999999999999995E-7</v>
      </c>
      <c r="DB20" s="273">
        <v>3.0000000000000001E-6</v>
      </c>
      <c r="DC20" s="273">
        <f t="shared" si="98"/>
        <v>4.4383983599999998E-4</v>
      </c>
      <c r="DD20" s="273">
        <f t="shared" si="84"/>
        <v>3.8409634299999999E-4</v>
      </c>
      <c r="DE20" s="273">
        <v>6.0999999999999999E-5</v>
      </c>
      <c r="DF20" s="273">
        <v>6.6000000000000005E-5</v>
      </c>
      <c r="DG20" s="273">
        <f t="shared" si="99"/>
        <v>8.4160164000000003E-5</v>
      </c>
      <c r="DH20" s="273">
        <f t="shared" si="85"/>
        <v>1.2190365700000001E-4</v>
      </c>
      <c r="DI20" s="273">
        <v>2.3E-5</v>
      </c>
      <c r="DJ20" s="273">
        <v>2.0000000000000002E-5</v>
      </c>
      <c r="DK20" s="273">
        <v>6.6000000000000005E-5</v>
      </c>
      <c r="DL20" s="273">
        <v>1.9000000000000001E-5</v>
      </c>
      <c r="DM20" s="273">
        <f t="shared" si="100"/>
        <v>8.9000000000000008E-5</v>
      </c>
      <c r="DN20" s="273">
        <f t="shared" si="86"/>
        <v>3.8999999999999999E-5</v>
      </c>
      <c r="DO20" s="273">
        <v>1.01E-4</v>
      </c>
      <c r="DP20" s="273">
        <v>5.1E-5</v>
      </c>
      <c r="DQ20" s="273">
        <v>3.3199999999999999E-4</v>
      </c>
      <c r="DR20" s="273">
        <v>3.1599999999999998E-4</v>
      </c>
      <c r="DS20" s="273">
        <v>5.6536999999999997E-2</v>
      </c>
      <c r="DT20" s="273">
        <v>2.2814000000000001E-2</v>
      </c>
      <c r="DU20" s="273">
        <v>2.4390000000000002E-3</v>
      </c>
      <c r="DV20" s="273">
        <v>1.181E-3</v>
      </c>
      <c r="DW20" s="273">
        <v>4.0188000000000001E-2</v>
      </c>
      <c r="DX20" s="273">
        <v>4.0188000000000001E-2</v>
      </c>
      <c r="DY20" s="273">
        <v>7.1531999999999998E-2</v>
      </c>
      <c r="DZ20" s="273">
        <v>7.8165999999999999E-2</v>
      </c>
      <c r="EA20" s="273">
        <v>3.6999999999999998E-5</v>
      </c>
      <c r="EB20" s="273">
        <v>2.4000000000000001E-5</v>
      </c>
      <c r="EC20" s="273">
        <v>4.0639999999999999E-3</v>
      </c>
      <c r="ED20" s="273">
        <v>3.7950000000000002E-3</v>
      </c>
      <c r="EE20" s="273"/>
      <c r="EF20" s="274"/>
    </row>
    <row r="21" spans="2:136" s="249" customFormat="1" ht="17.399999999999999">
      <c r="B21" s="286">
        <v>14</v>
      </c>
      <c r="C21" s="273">
        <v>1.0000000000000001E-5</v>
      </c>
      <c r="D21" s="273">
        <v>6.9999999999999999E-6</v>
      </c>
      <c r="E21" s="273">
        <v>3.9999999999999998E-6</v>
      </c>
      <c r="F21" s="273">
        <v>3.0000000000000001E-6</v>
      </c>
      <c r="G21" s="273">
        <v>1.2899999999999999E-4</v>
      </c>
      <c r="H21" s="273">
        <v>6.8999999999999997E-5</v>
      </c>
      <c r="I21" s="273">
        <v>1.4000000000000001E-5</v>
      </c>
      <c r="J21" s="273">
        <v>9.9999999999999991E-6</v>
      </c>
      <c r="K21" s="273">
        <v>1.5E-5</v>
      </c>
      <c r="L21" s="273">
        <v>3.9999999999999998E-6</v>
      </c>
      <c r="M21" s="273">
        <f t="shared" si="87"/>
        <v>2.0940165599999996E-4</v>
      </c>
      <c r="N21" s="273">
        <f t="shared" si="77"/>
        <v>1.6511026599999999E-4</v>
      </c>
      <c r="O21" s="273">
        <f t="shared" si="88"/>
        <v>3.2724800000000002E-7</v>
      </c>
      <c r="P21" s="273">
        <f t="shared" si="89"/>
        <v>6.8236199999999993E-7</v>
      </c>
      <c r="Q21" s="273">
        <v>2.2599999999999999E-4</v>
      </c>
      <c r="R21" s="273">
        <v>2.2699999999999999E-4</v>
      </c>
      <c r="S21" s="273">
        <v>0</v>
      </c>
      <c r="T21" s="273">
        <v>3.006E-3</v>
      </c>
      <c r="U21" s="273">
        <v>1.4480000000000001E-3</v>
      </c>
      <c r="V21" s="273">
        <v>0</v>
      </c>
      <c r="W21" s="273">
        <v>6.711E-3</v>
      </c>
      <c r="X21" s="273">
        <v>1.1429E-2</v>
      </c>
      <c r="Y21" s="273">
        <f t="shared" si="90"/>
        <v>1.5166859999999998E-6</v>
      </c>
      <c r="Z21" s="273">
        <f t="shared" si="78"/>
        <v>2.5943829999999998E-6</v>
      </c>
      <c r="AA21" s="273">
        <v>6.2645000000000006E-2</v>
      </c>
      <c r="AB21" s="273">
        <v>0.25640200000000002</v>
      </c>
      <c r="AC21" s="273">
        <f t="shared" si="91"/>
        <v>1.4157770000000001E-5</v>
      </c>
      <c r="AD21" s="273">
        <f t="shared" si="79"/>
        <v>5.8203254E-5</v>
      </c>
      <c r="AE21" s="273">
        <v>2.3600000000000001E-3</v>
      </c>
      <c r="AF21" s="273">
        <v>1.2589999999999999E-3</v>
      </c>
      <c r="AG21" s="273">
        <f t="shared" si="92"/>
        <v>5.3336000000000001E-7</v>
      </c>
      <c r="AH21" s="273">
        <f t="shared" si="80"/>
        <v>2.8579299999999994E-7</v>
      </c>
      <c r="AI21" s="273">
        <v>2.7999999999999998E-4</v>
      </c>
      <c r="AJ21" s="273">
        <v>5.4600000000000004E-4</v>
      </c>
      <c r="AK21" s="273">
        <f t="shared" si="93"/>
        <v>6.3279999999999995E-8</v>
      </c>
      <c r="AL21" s="273">
        <f t="shared" si="81"/>
        <v>1.2394200000000001E-7</v>
      </c>
      <c r="AM21" s="273">
        <f t="shared" si="94"/>
        <v>1.6589258799999998E-4</v>
      </c>
      <c r="AN21" s="273">
        <f t="shared" si="95"/>
        <v>1.18713963E-4</v>
      </c>
      <c r="AO21" s="273">
        <v>0.73403799999999997</v>
      </c>
      <c r="AP21" s="273">
        <v>0.52296900000000002</v>
      </c>
      <c r="AQ21" s="273">
        <v>1.9999999999999999E-6</v>
      </c>
      <c r="AR21" s="273">
        <v>2.3E-5</v>
      </c>
      <c r="AS21" s="273">
        <v>3.3000000000000003E-5</v>
      </c>
      <c r="AT21" s="273">
        <v>3.8999999999999999E-5</v>
      </c>
      <c r="AU21" s="273">
        <v>1.1E-5</v>
      </c>
      <c r="AV21" s="273">
        <v>7.9999999999999996E-6</v>
      </c>
      <c r="AW21" s="273">
        <v>1.0000000000000001E-5</v>
      </c>
      <c r="AX21" s="273">
        <v>5.0000000000000004E-6</v>
      </c>
      <c r="AY21" s="273">
        <v>1.7E-5</v>
      </c>
      <c r="AZ21" s="273">
        <v>1.4E-5</v>
      </c>
      <c r="BA21" s="273">
        <v>2.5000000000000001E-5</v>
      </c>
      <c r="BB21" s="273">
        <v>3.8999999999999999E-5</v>
      </c>
      <c r="BC21" s="273">
        <v>1.9999999999999999E-6</v>
      </c>
      <c r="BD21" s="273">
        <v>1.9999999999999999E-6</v>
      </c>
      <c r="BE21" s="273">
        <v>5.0000000000000004E-6</v>
      </c>
      <c r="BF21" s="273">
        <v>3.0000000000000001E-6</v>
      </c>
      <c r="BG21" s="273">
        <v>5.8999999999999998E-5</v>
      </c>
      <c r="BH21" s="273">
        <v>4.3999999999999999E-5</v>
      </c>
      <c r="BI21" s="273">
        <v>1.8E-5</v>
      </c>
      <c r="BJ21" s="273">
        <v>1.5E-5</v>
      </c>
      <c r="BK21" s="273">
        <v>8.1000000000000004E-5</v>
      </c>
      <c r="BL21" s="273">
        <v>4.6E-5</v>
      </c>
      <c r="BM21" s="273">
        <v>3.8999999999999999E-5</v>
      </c>
      <c r="BN21" s="273">
        <v>3.1000000000000001E-5</v>
      </c>
      <c r="BO21" s="273">
        <v>4.9200000000000003E-4</v>
      </c>
      <c r="BP21" s="273">
        <v>1.5799999999999999E-4</v>
      </c>
      <c r="BQ21" s="273">
        <v>3.6000000000000001E-5</v>
      </c>
      <c r="BR21" s="273">
        <v>2.8E-5</v>
      </c>
      <c r="BS21" s="273">
        <v>1.0000000000000001E-5</v>
      </c>
      <c r="BT21" s="273">
        <v>3.0000000000000001E-6</v>
      </c>
      <c r="BU21" s="273">
        <v>2.3699999999999999E-4</v>
      </c>
      <c r="BV21" s="273">
        <v>1.85E-4</v>
      </c>
      <c r="BW21" s="273">
        <v>0.48172900000000002</v>
      </c>
      <c r="BX21" s="273">
        <v>0.31745000000000001</v>
      </c>
      <c r="BY21" s="273">
        <v>8.4763000000000005E-2</v>
      </c>
      <c r="BZ21" s="273">
        <v>5.4772000000000001E-2</v>
      </c>
      <c r="CA21" s="273">
        <v>6.8459999999999997E-3</v>
      </c>
      <c r="CB21" s="273">
        <v>4.4549999999999998E-3</v>
      </c>
      <c r="CC21" s="273">
        <v>4.1E-5</v>
      </c>
      <c r="CD21" s="273">
        <v>1.0000000000000001E-5</v>
      </c>
      <c r="CE21" s="273">
        <v>1.1617000000000001E-2</v>
      </c>
      <c r="CF21" s="273">
        <v>7.0130000000000001E-3</v>
      </c>
      <c r="CG21" s="273">
        <v>1.0076999999999999E-2</v>
      </c>
      <c r="CH21" s="273">
        <v>5.3639999999999998E-3</v>
      </c>
      <c r="CI21" s="273">
        <v>1.0449999999999999E-3</v>
      </c>
      <c r="CJ21" s="273">
        <v>6.7500000000000004E-4</v>
      </c>
      <c r="CK21" s="273">
        <v>3.9500000000000001E-4</v>
      </c>
      <c r="CL21" s="273">
        <v>1.46E-4</v>
      </c>
      <c r="CM21" s="273">
        <v>1.6699999999999999E-4</v>
      </c>
      <c r="CN21" s="273">
        <v>2.4600000000000002E-4</v>
      </c>
      <c r="CO21" s="273">
        <v>2.1881000000000001E-2</v>
      </c>
      <c r="CP21" s="273">
        <v>1.2737E-2</v>
      </c>
      <c r="CQ21" s="273">
        <v>4.7600000000000002E-4</v>
      </c>
      <c r="CR21" s="273">
        <v>4.5899999999999999E-4</v>
      </c>
      <c r="CS21" s="273">
        <v>3.663E-3</v>
      </c>
      <c r="CT21" s="273">
        <v>1.2605E-2</v>
      </c>
      <c r="CU21" s="273">
        <f t="shared" si="96"/>
        <v>1.743588E-6</v>
      </c>
      <c r="CV21" s="273">
        <f t="shared" si="82"/>
        <v>5.785695E-6</v>
      </c>
      <c r="CW21" s="273">
        <v>5.6652000000000001E-2</v>
      </c>
      <c r="CX21" s="273">
        <v>0.14521200000000001</v>
      </c>
      <c r="CY21" s="273">
        <f t="shared" si="97"/>
        <v>2.6966352000000002E-5</v>
      </c>
      <c r="CZ21" s="273">
        <f t="shared" si="83"/>
        <v>6.6652308000000001E-5</v>
      </c>
      <c r="DA21" s="273">
        <v>9.9999999999999995E-7</v>
      </c>
      <c r="DB21" s="273">
        <v>5.0000000000000004E-6</v>
      </c>
      <c r="DC21" s="273">
        <f t="shared" si="98"/>
        <v>4.4729006000000001E-4</v>
      </c>
      <c r="DD21" s="273">
        <f t="shared" si="84"/>
        <v>3.8656199699999997E-4</v>
      </c>
      <c r="DE21" s="273">
        <v>5.8999999999999998E-5</v>
      </c>
      <c r="DF21" s="273">
        <v>6.9999999999999994E-5</v>
      </c>
      <c r="DG21" s="273">
        <f t="shared" si="99"/>
        <v>8.8709940000000005E-5</v>
      </c>
      <c r="DH21" s="273">
        <f t="shared" si="85"/>
        <v>1.4743800299999999E-4</v>
      </c>
      <c r="DI21" s="273">
        <v>2.5999999999999998E-5</v>
      </c>
      <c r="DJ21" s="273">
        <v>2.1999999999999999E-5</v>
      </c>
      <c r="DK21" s="273">
        <v>7.2000000000000002E-5</v>
      </c>
      <c r="DL21" s="273">
        <v>2.0999999999999999E-5</v>
      </c>
      <c r="DM21" s="273">
        <f t="shared" si="100"/>
        <v>9.7999999999999997E-5</v>
      </c>
      <c r="DN21" s="273">
        <f t="shared" si="86"/>
        <v>4.3000000000000002E-5</v>
      </c>
      <c r="DO21" s="273">
        <v>1.73E-4</v>
      </c>
      <c r="DP21" s="273">
        <v>9.1000000000000003E-5</v>
      </c>
      <c r="DQ21" s="273">
        <v>4.2900000000000002E-4</v>
      </c>
      <c r="DR21" s="273">
        <v>3.5100000000000002E-4</v>
      </c>
      <c r="DS21" s="273">
        <v>5.0470000000000001E-2</v>
      </c>
      <c r="DT21" s="273">
        <v>2.0188000000000001E-2</v>
      </c>
      <c r="DU21" s="273">
        <v>2.3579999999999999E-3</v>
      </c>
      <c r="DV21" s="273">
        <v>1.0660000000000001E-3</v>
      </c>
      <c r="DW21" s="273">
        <v>4.0188000000000001E-2</v>
      </c>
      <c r="DX21" s="273">
        <v>4.0188000000000001E-2</v>
      </c>
      <c r="DY21" s="273">
        <v>6.8631999999999999E-2</v>
      </c>
      <c r="DZ21" s="273">
        <v>7.6519000000000004E-2</v>
      </c>
      <c r="EA21" s="273">
        <v>3.6000000000000001E-5</v>
      </c>
      <c r="EB21" s="273">
        <v>2.5999999999999998E-5</v>
      </c>
      <c r="EC21" s="273">
        <v>3.8210000000000002E-3</v>
      </c>
      <c r="ED21" s="273">
        <v>3.8660000000000001E-3</v>
      </c>
      <c r="EE21" s="273"/>
      <c r="EF21" s="274"/>
    </row>
    <row r="22" spans="2:136" s="266" customFormat="1" ht="17.399999999999999">
      <c r="B22" s="287">
        <v>15</v>
      </c>
      <c r="C22" s="275">
        <v>1.1E-5</v>
      </c>
      <c r="D22" s="275">
        <v>7.9999999999999996E-6</v>
      </c>
      <c r="E22" s="275">
        <v>2.1999999999999999E-5</v>
      </c>
      <c r="F22" s="275">
        <v>6.0000000000000002E-6</v>
      </c>
      <c r="G22" s="275">
        <v>1.63E-4</v>
      </c>
      <c r="H22" s="275">
        <v>8.7000000000000001E-5</v>
      </c>
      <c r="I22" s="275">
        <v>3.3000000000000003E-5</v>
      </c>
      <c r="J22" s="275">
        <v>1.4E-5</v>
      </c>
      <c r="K22" s="275">
        <v>7.2000000000000002E-5</v>
      </c>
      <c r="L22" s="275">
        <v>2.1999999999999999E-5</v>
      </c>
      <c r="M22" s="275">
        <f t="shared" si="87"/>
        <v>2.2019144400000002E-4</v>
      </c>
      <c r="N22" s="275">
        <f t="shared" si="77"/>
        <v>1.6782200000000001E-4</v>
      </c>
      <c r="O22" s="275">
        <f t="shared" si="88"/>
        <v>3.4194600000000001E-7</v>
      </c>
      <c r="P22" s="275">
        <f t="shared" si="89"/>
        <v>1.127E-6</v>
      </c>
      <c r="Q22" s="275">
        <v>2.42E-4</v>
      </c>
      <c r="R22" s="275">
        <v>2.5000000000000001E-4</v>
      </c>
      <c r="S22" s="275">
        <v>0</v>
      </c>
      <c r="T22" s="275">
        <v>4.5079999999999999E-3</v>
      </c>
      <c r="U22" s="275">
        <v>1.413E-3</v>
      </c>
      <c r="V22" s="275">
        <v>0</v>
      </c>
      <c r="W22" s="275">
        <v>6.2110000000000004E-3</v>
      </c>
      <c r="X22" s="275">
        <v>1.0101000000000001E-2</v>
      </c>
      <c r="Y22" s="275">
        <f t="shared" si="90"/>
        <v>1.5030620000000001E-6</v>
      </c>
      <c r="Z22" s="275">
        <f t="shared" si="78"/>
        <v>2.5252500000000001E-6</v>
      </c>
      <c r="AA22" s="275">
        <v>7.8738000000000002E-2</v>
      </c>
      <c r="AB22" s="275">
        <v>0.31256899999999999</v>
      </c>
      <c r="AC22" s="275">
        <f t="shared" si="91"/>
        <v>1.9054596000000001E-5</v>
      </c>
      <c r="AD22" s="275">
        <f t="shared" si="79"/>
        <v>7.8142250000000002E-5</v>
      </c>
      <c r="AE22" s="275">
        <v>3.398E-3</v>
      </c>
      <c r="AF22" s="275">
        <v>1.0690000000000001E-3</v>
      </c>
      <c r="AG22" s="275">
        <f t="shared" si="92"/>
        <v>8.2231599999999996E-7</v>
      </c>
      <c r="AH22" s="275">
        <f t="shared" si="80"/>
        <v>2.6725000000000001E-7</v>
      </c>
      <c r="AI22" s="275">
        <v>3.5799999999999997E-4</v>
      </c>
      <c r="AJ22" s="275">
        <v>4.6500000000000003E-4</v>
      </c>
      <c r="AK22" s="275">
        <f t="shared" si="93"/>
        <v>8.6635999999999996E-8</v>
      </c>
      <c r="AL22" s="275">
        <f t="shared" si="81"/>
        <v>1.1625000000000001E-7</v>
      </c>
      <c r="AM22" s="275">
        <f t="shared" si="94"/>
        <v>1.6712157E-4</v>
      </c>
      <c r="AN22" s="275">
        <f t="shared" si="95"/>
        <v>1.1406225000000001E-4</v>
      </c>
      <c r="AO22" s="275">
        <v>0.690585</v>
      </c>
      <c r="AP22" s="275">
        <v>0.45624900000000002</v>
      </c>
      <c r="AQ22" s="275">
        <v>1.9999999999999999E-6</v>
      </c>
      <c r="AR22" s="275">
        <v>4.6999999999999997E-5</v>
      </c>
      <c r="AS22" s="275">
        <v>3.6000000000000001E-5</v>
      </c>
      <c r="AT22" s="275">
        <v>4.3999999999999999E-5</v>
      </c>
      <c r="AU22" s="275">
        <v>1.2999999999999999E-5</v>
      </c>
      <c r="AV22" s="275">
        <v>1.0000000000000001E-5</v>
      </c>
      <c r="AW22" s="275">
        <v>1.0000000000000001E-5</v>
      </c>
      <c r="AX22" s="275">
        <v>3.9999999999999998E-6</v>
      </c>
      <c r="AY22" s="275">
        <v>1.7E-5</v>
      </c>
      <c r="AZ22" s="275">
        <v>1.4E-5</v>
      </c>
      <c r="BA22" s="275">
        <v>2.5999999999999998E-5</v>
      </c>
      <c r="BB22" s="275">
        <v>4.6999999999999997E-5</v>
      </c>
      <c r="BC22" s="275">
        <v>9.9999999999999995E-7</v>
      </c>
      <c r="BD22" s="275">
        <v>9.9999999999999995E-7</v>
      </c>
      <c r="BE22" s="275">
        <v>5.0000000000000004E-6</v>
      </c>
      <c r="BF22" s="275">
        <v>3.0000000000000001E-6</v>
      </c>
      <c r="BG22" s="275">
        <v>6.0999999999999999E-5</v>
      </c>
      <c r="BH22" s="275">
        <v>4.1E-5</v>
      </c>
      <c r="BI22" s="275">
        <v>2.0999999999999999E-5</v>
      </c>
      <c r="BJ22" s="275">
        <v>1.5E-5</v>
      </c>
      <c r="BK22" s="275">
        <v>8.1000000000000004E-5</v>
      </c>
      <c r="BL22" s="275">
        <v>4.8999999999999998E-5</v>
      </c>
      <c r="BM22" s="275">
        <v>3.8000000000000002E-5</v>
      </c>
      <c r="BN22" s="275">
        <v>3.4999999999999997E-5</v>
      </c>
      <c r="BO22" s="275">
        <v>5.44E-4</v>
      </c>
      <c r="BP22" s="275">
        <v>1.7000000000000001E-4</v>
      </c>
      <c r="BQ22" s="275">
        <v>4.0000000000000003E-5</v>
      </c>
      <c r="BR22" s="275">
        <v>3.1000000000000001E-5</v>
      </c>
      <c r="BS22" s="275">
        <v>1.2999999999999999E-5</v>
      </c>
      <c r="BT22" s="275">
        <v>3.0000000000000001E-6</v>
      </c>
      <c r="BU22" s="275">
        <v>2.6200000000000003E-4</v>
      </c>
      <c r="BV22" s="275">
        <v>2.0000000000000001E-4</v>
      </c>
      <c r="BW22" s="275">
        <v>0.51675000000000004</v>
      </c>
      <c r="BX22" s="275">
        <v>0.33785399999999999</v>
      </c>
      <c r="BY22" s="275">
        <v>8.6731000000000003E-2</v>
      </c>
      <c r="BZ22" s="275">
        <v>5.5051999999999997E-2</v>
      </c>
      <c r="CA22" s="275">
        <v>6.9490000000000003E-3</v>
      </c>
      <c r="CB22" s="275">
        <v>4.3660000000000001E-3</v>
      </c>
      <c r="CC22" s="275">
        <v>4.8000000000000001E-5</v>
      </c>
      <c r="CD22" s="275">
        <v>1.2E-5</v>
      </c>
      <c r="CE22" s="275">
        <v>1.2305E-2</v>
      </c>
      <c r="CF22" s="275">
        <v>7.5709999999999996E-3</v>
      </c>
      <c r="CG22" s="275">
        <v>1.0749E-2</v>
      </c>
      <c r="CH22" s="275">
        <v>5.7200000000000003E-3</v>
      </c>
      <c r="CI22" s="275">
        <v>1.2310000000000001E-3</v>
      </c>
      <c r="CJ22" s="275">
        <v>6.9999999999999999E-4</v>
      </c>
      <c r="CK22" s="275">
        <v>5.9699999999999998E-4</v>
      </c>
      <c r="CL22" s="275">
        <v>1.7000000000000001E-4</v>
      </c>
      <c r="CM22" s="275">
        <v>1.7200000000000001E-4</v>
      </c>
      <c r="CN22" s="275">
        <v>2.4699999999999999E-4</v>
      </c>
      <c r="CO22" s="275">
        <v>2.3383000000000001E-2</v>
      </c>
      <c r="CP22" s="275">
        <v>1.3624000000000001E-2</v>
      </c>
      <c r="CQ22" s="275">
        <v>4.86E-4</v>
      </c>
      <c r="CR22" s="275">
        <v>4.8099999999999998E-4</v>
      </c>
      <c r="CS22" s="275">
        <v>3.5969999999999999E-3</v>
      </c>
      <c r="CT22" s="275">
        <v>1.626E-2</v>
      </c>
      <c r="CU22" s="275">
        <f t="shared" si="96"/>
        <v>1.7481419999999999E-6</v>
      </c>
      <c r="CV22" s="275">
        <f t="shared" si="82"/>
        <v>7.8210599999999993E-6</v>
      </c>
      <c r="CW22" s="275">
        <v>6.9481000000000001E-2</v>
      </c>
      <c r="CX22" s="275">
        <v>0.18223900000000001</v>
      </c>
      <c r="CY22" s="275">
        <f t="shared" si="97"/>
        <v>3.3767765999999999E-5</v>
      </c>
      <c r="CZ22" s="275">
        <f t="shared" si="83"/>
        <v>8.7656959000000006E-5</v>
      </c>
      <c r="DA22" s="275">
        <v>9.9999999999999995E-7</v>
      </c>
      <c r="DB22" s="275">
        <v>9.0000000000000002E-6</v>
      </c>
      <c r="DC22" s="275">
        <f t="shared" si="98"/>
        <v>4.5048409199999998E-4</v>
      </c>
      <c r="DD22" s="275">
        <f t="shared" si="84"/>
        <v>3.8552198099999998E-4</v>
      </c>
      <c r="DE22" s="275">
        <v>5.8E-5</v>
      </c>
      <c r="DF22" s="275">
        <v>7.3999999999999996E-5</v>
      </c>
      <c r="DG22" s="275">
        <f t="shared" si="99"/>
        <v>9.4515907999999989E-5</v>
      </c>
      <c r="DH22" s="275">
        <f t="shared" si="85"/>
        <v>1.7847801900000001E-4</v>
      </c>
      <c r="DI22" s="275">
        <v>2.9E-5</v>
      </c>
      <c r="DJ22" s="275">
        <v>2.4000000000000001E-5</v>
      </c>
      <c r="DK22" s="275">
        <v>7.4999999999999993E-5</v>
      </c>
      <c r="DL22" s="275">
        <v>2.3E-5</v>
      </c>
      <c r="DM22" s="275">
        <f t="shared" si="100"/>
        <v>1.0399999999999999E-4</v>
      </c>
      <c r="DN22" s="275">
        <f t="shared" si="86"/>
        <v>4.7000000000000004E-5</v>
      </c>
      <c r="DO22" s="275">
        <v>2.5300000000000002E-4</v>
      </c>
      <c r="DP22" s="275">
        <v>1.36E-4</v>
      </c>
      <c r="DQ22" s="275">
        <v>5.3499999999999999E-4</v>
      </c>
      <c r="DR22" s="275">
        <v>3.86E-4</v>
      </c>
      <c r="DS22" s="275">
        <v>4.2987999999999998E-2</v>
      </c>
      <c r="DT22" s="275">
        <v>1.7250999999999999E-2</v>
      </c>
      <c r="DU22" s="275">
        <v>2.2239999999999998E-3</v>
      </c>
      <c r="DV22" s="275">
        <v>9.2299999999999999E-4</v>
      </c>
      <c r="DW22" s="275">
        <v>4.0188000000000001E-2</v>
      </c>
      <c r="DX22" s="275">
        <v>4.0188000000000001E-2</v>
      </c>
      <c r="DY22" s="275">
        <v>6.7431000000000005E-2</v>
      </c>
      <c r="DZ22" s="275">
        <v>7.6490000000000002E-2</v>
      </c>
      <c r="EA22" s="275">
        <v>3.4999999999999997E-5</v>
      </c>
      <c r="EB22" s="275">
        <v>2.8E-5</v>
      </c>
      <c r="EC22" s="275">
        <v>3.6849999999999999E-3</v>
      </c>
      <c r="ED22" s="275">
        <v>3.8930000000000002E-3</v>
      </c>
      <c r="EE22" s="275"/>
      <c r="EF22" s="276"/>
    </row>
    <row r="23" spans="2:136" s="249" customFormat="1" ht="17.399999999999999">
      <c r="B23" s="286">
        <v>16</v>
      </c>
      <c r="C23" s="273">
        <v>1.1E-5</v>
      </c>
      <c r="D23" s="273">
        <v>7.9999999999999996E-6</v>
      </c>
      <c r="E23" s="273">
        <v>2.1999999999999999E-5</v>
      </c>
      <c r="F23" s="273">
        <v>6.0000000000000002E-6</v>
      </c>
      <c r="G23" s="273">
        <v>1.95E-4</v>
      </c>
      <c r="H23" s="273">
        <v>1.05E-4</v>
      </c>
      <c r="I23" s="273">
        <v>3.3000000000000003E-5</v>
      </c>
      <c r="J23" s="273">
        <v>1.4E-5</v>
      </c>
      <c r="K23" s="273">
        <v>7.2000000000000002E-5</v>
      </c>
      <c r="L23" s="273">
        <v>2.1999999999999999E-5</v>
      </c>
      <c r="M23" s="273">
        <f t="shared" si="87"/>
        <v>2.3076949999999998E-4</v>
      </c>
      <c r="N23" s="273">
        <f t="shared" si="77"/>
        <v>1.74556624E-4</v>
      </c>
      <c r="O23" s="273">
        <f t="shared" si="88"/>
        <v>3.4086E-7</v>
      </c>
      <c r="P23" s="273">
        <f t="shared" si="89"/>
        <v>1.7071240000000002E-6</v>
      </c>
      <c r="Q23" s="273">
        <v>2.5999999999999998E-4</v>
      </c>
      <c r="R23" s="273">
        <v>2.8400000000000002E-4</v>
      </c>
      <c r="S23" s="273">
        <v>0</v>
      </c>
      <c r="T23" s="273">
        <v>6.0109999999999999E-3</v>
      </c>
      <c r="U23" s="273">
        <v>1.3110000000000001E-3</v>
      </c>
      <c r="V23" s="273">
        <v>0</v>
      </c>
      <c r="W23" s="273">
        <v>1.1429E-2</v>
      </c>
      <c r="X23" s="273">
        <v>8.8500000000000002E-3</v>
      </c>
      <c r="Y23" s="273">
        <f t="shared" si="90"/>
        <v>2.9715399999999997E-6</v>
      </c>
      <c r="Z23" s="273">
        <f t="shared" si="78"/>
        <v>2.5134000000000004E-6</v>
      </c>
      <c r="AA23" s="273">
        <v>9.4719999999999999E-2</v>
      </c>
      <c r="AB23" s="273">
        <v>0.36924099999999999</v>
      </c>
      <c r="AC23" s="273">
        <f t="shared" si="91"/>
        <v>2.4627199999999997E-5</v>
      </c>
      <c r="AD23" s="273">
        <f t="shared" si="79"/>
        <v>1.0486444400000001E-4</v>
      </c>
      <c r="AE23" s="273">
        <v>4.4359999999999998E-3</v>
      </c>
      <c r="AF23" s="273">
        <v>8.7799999999999998E-4</v>
      </c>
      <c r="AG23" s="273">
        <f t="shared" si="92"/>
        <v>1.1533599999999998E-6</v>
      </c>
      <c r="AH23" s="273">
        <f t="shared" si="80"/>
        <v>2.49352E-7</v>
      </c>
      <c r="AI23" s="273">
        <v>5.2899999999999996E-4</v>
      </c>
      <c r="AJ23" s="273">
        <v>3.8400000000000001E-4</v>
      </c>
      <c r="AK23" s="273">
        <f t="shared" si="93"/>
        <v>1.3753999999999997E-7</v>
      </c>
      <c r="AL23" s="273">
        <f t="shared" si="81"/>
        <v>1.0905600000000001E-7</v>
      </c>
      <c r="AM23" s="273">
        <f t="shared" si="94"/>
        <v>1.6825432E-4</v>
      </c>
      <c r="AN23" s="273">
        <f t="shared" si="95"/>
        <v>1.1062623600000001E-4</v>
      </c>
      <c r="AO23" s="273">
        <v>0.64713200000000004</v>
      </c>
      <c r="AP23" s="273">
        <v>0.38952900000000001</v>
      </c>
      <c r="AQ23" s="273">
        <v>3.0000000000000001E-6</v>
      </c>
      <c r="AR23" s="273">
        <v>8.2000000000000001E-5</v>
      </c>
      <c r="AS23" s="273">
        <v>3.8999999999999999E-5</v>
      </c>
      <c r="AT23" s="273">
        <v>5.0000000000000002E-5</v>
      </c>
      <c r="AU23" s="273">
        <v>1.5E-5</v>
      </c>
      <c r="AV23" s="273">
        <v>1.1E-5</v>
      </c>
      <c r="AW23" s="273">
        <v>1.1E-5</v>
      </c>
      <c r="AX23" s="273">
        <v>3.9999999999999998E-6</v>
      </c>
      <c r="AY23" s="273">
        <v>1.7E-5</v>
      </c>
      <c r="AZ23" s="273">
        <v>1.5E-5</v>
      </c>
      <c r="BA23" s="273">
        <v>2.6999999999999999E-5</v>
      </c>
      <c r="BB23" s="273">
        <v>5.5000000000000002E-5</v>
      </c>
      <c r="BC23" s="273">
        <v>0</v>
      </c>
      <c r="BD23" s="273">
        <v>0</v>
      </c>
      <c r="BE23" s="273">
        <v>5.0000000000000004E-6</v>
      </c>
      <c r="BF23" s="273">
        <v>3.0000000000000001E-6</v>
      </c>
      <c r="BG23" s="273">
        <v>6.3E-5</v>
      </c>
      <c r="BH23" s="273">
        <v>3.8000000000000002E-5</v>
      </c>
      <c r="BI23" s="273">
        <v>2.1999999999999999E-5</v>
      </c>
      <c r="BJ23" s="273">
        <v>1.5E-5</v>
      </c>
      <c r="BK23" s="273">
        <v>8.0000000000000007E-5</v>
      </c>
      <c r="BL23" s="273">
        <v>5.1E-5</v>
      </c>
      <c r="BM23" s="273">
        <v>3.6000000000000001E-5</v>
      </c>
      <c r="BN23" s="273">
        <v>3.8999999999999999E-5</v>
      </c>
      <c r="BO23" s="273">
        <v>5.9299999999999999E-4</v>
      </c>
      <c r="BP23" s="273">
        <v>1.8100000000000001E-4</v>
      </c>
      <c r="BQ23" s="273">
        <v>4.3999999999999999E-5</v>
      </c>
      <c r="BR23" s="273">
        <v>3.1999999999999999E-5</v>
      </c>
      <c r="BS23" s="273">
        <v>1.4E-5</v>
      </c>
      <c r="BT23" s="273">
        <v>3.0000000000000001E-6</v>
      </c>
      <c r="BU23" s="273">
        <v>2.8600000000000001E-4</v>
      </c>
      <c r="BV23" s="273">
        <v>2.14E-4</v>
      </c>
      <c r="BW23" s="273">
        <v>0.55267200000000005</v>
      </c>
      <c r="BX23" s="273">
        <v>0.35827300000000001</v>
      </c>
      <c r="BY23" s="273">
        <v>8.9290999999999995E-2</v>
      </c>
      <c r="BZ23" s="273">
        <v>5.5596E-2</v>
      </c>
      <c r="CA23" s="273">
        <v>7.084E-3</v>
      </c>
      <c r="CB23" s="273">
        <v>4.2940000000000001E-3</v>
      </c>
      <c r="CC23" s="273">
        <v>5.5999999999999999E-5</v>
      </c>
      <c r="CD23" s="273">
        <v>1.5E-5</v>
      </c>
      <c r="CE23" s="273">
        <v>1.294E-2</v>
      </c>
      <c r="CF23" s="273">
        <v>8.1989999999999997E-3</v>
      </c>
      <c r="CG23" s="273">
        <v>1.1384E-2</v>
      </c>
      <c r="CH23" s="273">
        <v>6.117E-3</v>
      </c>
      <c r="CI23" s="273">
        <v>1.4270000000000001E-3</v>
      </c>
      <c r="CJ23" s="273">
        <v>7.27E-4</v>
      </c>
      <c r="CK23" s="273">
        <v>8.1999999999999998E-4</v>
      </c>
      <c r="CL23" s="273">
        <v>1.9599999999999999E-4</v>
      </c>
      <c r="CM23" s="273">
        <v>1.74E-4</v>
      </c>
      <c r="CN23" s="273">
        <v>2.4600000000000002E-4</v>
      </c>
      <c r="CO23" s="273">
        <v>2.4806999999999999E-2</v>
      </c>
      <c r="CP23" s="273">
        <v>1.4612999999999999E-2</v>
      </c>
      <c r="CQ23" s="273">
        <v>4.9899999999999999E-4</v>
      </c>
      <c r="CR23" s="273">
        <v>5.1800000000000001E-4</v>
      </c>
      <c r="CS23" s="273">
        <v>3.509E-3</v>
      </c>
      <c r="CT23" s="273">
        <v>1.8797000000000001E-2</v>
      </c>
      <c r="CU23" s="273">
        <f t="shared" si="96"/>
        <v>1.750991E-6</v>
      </c>
      <c r="CV23" s="273">
        <f t="shared" si="82"/>
        <v>9.7368460000000005E-6</v>
      </c>
      <c r="CW23" s="273">
        <v>8.2309999999999994E-2</v>
      </c>
      <c r="CX23" s="273">
        <v>0.21926599999999999</v>
      </c>
      <c r="CY23" s="273">
        <f t="shared" si="97"/>
        <v>4.1072689999999997E-5</v>
      </c>
      <c r="CZ23" s="273">
        <f t="shared" si="83"/>
        <v>1.13579788E-4</v>
      </c>
      <c r="DA23" s="273">
        <v>9.9999999999999995E-7</v>
      </c>
      <c r="DB23" s="273">
        <v>1.9000000000000001E-5</v>
      </c>
      <c r="DC23" s="273">
        <f t="shared" si="98"/>
        <v>4.56176319E-4</v>
      </c>
      <c r="DD23" s="273">
        <f t="shared" si="84"/>
        <v>3.9468336600000006E-4</v>
      </c>
      <c r="DE23" s="273">
        <v>5.7000000000000003E-5</v>
      </c>
      <c r="DF23" s="273">
        <v>7.7999999999999999E-5</v>
      </c>
      <c r="DG23" s="273">
        <f t="shared" si="99"/>
        <v>1.00823681E-4</v>
      </c>
      <c r="DH23" s="273">
        <f t="shared" si="85"/>
        <v>2.2031663400000001E-4</v>
      </c>
      <c r="DI23" s="273">
        <v>3.3000000000000003E-5</v>
      </c>
      <c r="DJ23" s="273">
        <v>2.6999999999999999E-5</v>
      </c>
      <c r="DK23" s="273">
        <v>7.6000000000000004E-5</v>
      </c>
      <c r="DL23" s="273">
        <v>2.5000000000000001E-5</v>
      </c>
      <c r="DM23" s="273">
        <f t="shared" si="100"/>
        <v>1.0900000000000001E-4</v>
      </c>
      <c r="DN23" s="273">
        <f t="shared" si="86"/>
        <v>5.2000000000000004E-5</v>
      </c>
      <c r="DO23" s="273">
        <v>3.4699999999999998E-4</v>
      </c>
      <c r="DP23" s="273">
        <v>1.8699999999999999E-4</v>
      </c>
      <c r="DQ23" s="273">
        <v>6.4700000000000001E-4</v>
      </c>
      <c r="DR23" s="273">
        <v>4.2299999999999998E-4</v>
      </c>
      <c r="DS23" s="273">
        <v>3.6104999999999998E-2</v>
      </c>
      <c r="DT23" s="273">
        <v>1.4607E-2</v>
      </c>
      <c r="DU23" s="273">
        <v>2.0969999999999999E-3</v>
      </c>
      <c r="DV23" s="273">
        <v>8.0699999999999999E-4</v>
      </c>
      <c r="DW23" s="273">
        <v>4.0188000000000001E-2</v>
      </c>
      <c r="DX23" s="273">
        <v>4.0188000000000001E-2</v>
      </c>
      <c r="DY23" s="273">
        <v>6.6104999999999997E-2</v>
      </c>
      <c r="DZ23" s="273">
        <v>7.6078999999999994E-2</v>
      </c>
      <c r="EA23" s="273">
        <v>3.4E-5</v>
      </c>
      <c r="EB23" s="273">
        <v>3.0000000000000001E-5</v>
      </c>
      <c r="EC23" s="273">
        <v>3.656E-3</v>
      </c>
      <c r="ED23" s="273">
        <v>3.8739999999999998E-3</v>
      </c>
      <c r="EE23" s="273"/>
      <c r="EF23" s="274"/>
    </row>
    <row r="24" spans="2:136" s="249" customFormat="1" ht="17.399999999999999">
      <c r="B24" s="286">
        <v>17</v>
      </c>
      <c r="C24" s="273">
        <v>1.0000000000000001E-5</v>
      </c>
      <c r="D24" s="273">
        <v>7.9999999999999996E-6</v>
      </c>
      <c r="E24" s="273">
        <v>2.1999999999999999E-5</v>
      </c>
      <c r="F24" s="273">
        <v>6.0000000000000002E-6</v>
      </c>
      <c r="G24" s="273">
        <v>2.2100000000000001E-4</v>
      </c>
      <c r="H24" s="273">
        <v>1.22E-4</v>
      </c>
      <c r="I24" s="273">
        <v>3.1999999999999999E-5</v>
      </c>
      <c r="J24" s="273">
        <v>1.4E-5</v>
      </c>
      <c r="K24" s="273">
        <v>7.2000000000000002E-5</v>
      </c>
      <c r="L24" s="273">
        <v>2.1999999999999999E-5</v>
      </c>
      <c r="M24" s="273">
        <f t="shared" si="87"/>
        <v>2.4489178099999998E-4</v>
      </c>
      <c r="N24" s="273">
        <f t="shared" si="77"/>
        <v>1.8933940800000001E-4</v>
      </c>
      <c r="O24" s="273">
        <f t="shared" si="88"/>
        <v>3.3972900000000001E-7</v>
      </c>
      <c r="P24" s="273">
        <f t="shared" si="89"/>
        <v>2.569788E-6</v>
      </c>
      <c r="Q24" s="273">
        <v>2.81E-4</v>
      </c>
      <c r="R24" s="273">
        <v>3.4200000000000002E-4</v>
      </c>
      <c r="S24" s="273">
        <v>0</v>
      </c>
      <c r="T24" s="273">
        <v>7.5139999999999998E-3</v>
      </c>
      <c r="U24" s="273">
        <v>1.209E-3</v>
      </c>
      <c r="V24" s="273">
        <v>0</v>
      </c>
      <c r="W24" s="273">
        <v>1.0526000000000001E-2</v>
      </c>
      <c r="X24" s="273">
        <v>1.145E-2</v>
      </c>
      <c r="Y24" s="273">
        <f t="shared" si="90"/>
        <v>2.957806E-6</v>
      </c>
      <c r="Z24" s="273">
        <f t="shared" si="78"/>
        <v>3.9159000000000001E-6</v>
      </c>
      <c r="AA24" s="273">
        <v>0.11058999999999999</v>
      </c>
      <c r="AB24" s="273">
        <v>0.42642099999999999</v>
      </c>
      <c r="AC24" s="273">
        <f t="shared" si="91"/>
        <v>3.1075789999999997E-5</v>
      </c>
      <c r="AD24" s="273">
        <f t="shared" si="79"/>
        <v>1.4583598200000001E-4</v>
      </c>
      <c r="AE24" s="273">
        <v>5.4739999999999997E-3</v>
      </c>
      <c r="AF24" s="273">
        <v>6.8800000000000003E-4</v>
      </c>
      <c r="AG24" s="273">
        <f t="shared" si="92"/>
        <v>1.538194E-6</v>
      </c>
      <c r="AH24" s="273">
        <f t="shared" si="80"/>
        <v>2.3529600000000002E-7</v>
      </c>
      <c r="AI24" s="273">
        <v>6.9999999999999999E-4</v>
      </c>
      <c r="AJ24" s="273">
        <v>3.0299999999999999E-4</v>
      </c>
      <c r="AK24" s="273">
        <f t="shared" si="93"/>
        <v>1.9670000000000001E-7</v>
      </c>
      <c r="AL24" s="273">
        <f t="shared" si="81"/>
        <v>1.03626E-7</v>
      </c>
      <c r="AM24" s="273">
        <f t="shared" si="94"/>
        <v>1.6963379899999999E-4</v>
      </c>
      <c r="AN24" s="273">
        <f t="shared" si="95"/>
        <v>1.1040067800000001E-4</v>
      </c>
      <c r="AO24" s="273">
        <v>0.60367899999999997</v>
      </c>
      <c r="AP24" s="273">
        <v>0.32280900000000001</v>
      </c>
      <c r="AQ24" s="273">
        <v>3.0000000000000001E-6</v>
      </c>
      <c r="AR24" s="273">
        <v>1.25E-4</v>
      </c>
      <c r="AS24" s="273">
        <v>4.1E-5</v>
      </c>
      <c r="AT24" s="273">
        <v>5.7000000000000003E-5</v>
      </c>
      <c r="AU24" s="273">
        <v>1.5999999999999999E-5</v>
      </c>
      <c r="AV24" s="273">
        <v>1.2E-5</v>
      </c>
      <c r="AW24" s="273">
        <v>1.1E-5</v>
      </c>
      <c r="AX24" s="273">
        <v>3.9999999999999998E-6</v>
      </c>
      <c r="AY24" s="273">
        <v>1.7E-5</v>
      </c>
      <c r="AZ24" s="273">
        <v>1.5999999999999999E-5</v>
      </c>
      <c r="BA24" s="273">
        <v>2.9E-5</v>
      </c>
      <c r="BB24" s="273">
        <v>6.2000000000000003E-5</v>
      </c>
      <c r="BC24" s="273">
        <v>0</v>
      </c>
      <c r="BD24" s="273">
        <v>0</v>
      </c>
      <c r="BE24" s="273">
        <v>5.0000000000000004E-6</v>
      </c>
      <c r="BF24" s="273">
        <v>3.0000000000000001E-6</v>
      </c>
      <c r="BG24" s="273">
        <v>6.3E-5</v>
      </c>
      <c r="BH24" s="273">
        <v>3.6000000000000001E-5</v>
      </c>
      <c r="BI24" s="273">
        <v>2.4000000000000001E-5</v>
      </c>
      <c r="BJ24" s="273">
        <v>1.5E-5</v>
      </c>
      <c r="BK24" s="273">
        <v>7.8999999999999996E-5</v>
      </c>
      <c r="BL24" s="273">
        <v>5.0000000000000002E-5</v>
      </c>
      <c r="BM24" s="273">
        <v>3.4E-5</v>
      </c>
      <c r="BN24" s="273">
        <v>4.3000000000000002E-5</v>
      </c>
      <c r="BO24" s="273">
        <v>6.3400000000000001E-4</v>
      </c>
      <c r="BP24" s="273">
        <v>1.9100000000000001E-4</v>
      </c>
      <c r="BQ24" s="273">
        <v>4.6E-5</v>
      </c>
      <c r="BR24" s="273">
        <v>3.4999999999999997E-5</v>
      </c>
      <c r="BS24" s="273">
        <v>1.5999999999999999E-5</v>
      </c>
      <c r="BT24" s="273">
        <v>5.0000000000000004E-6</v>
      </c>
      <c r="BU24" s="273">
        <v>3.0400000000000002E-4</v>
      </c>
      <c r="BV24" s="273">
        <v>2.2599999999999999E-4</v>
      </c>
      <c r="BW24" s="273">
        <v>0.59018999999999999</v>
      </c>
      <c r="BX24" s="273">
        <v>0.378195</v>
      </c>
      <c r="BY24" s="273">
        <v>9.2547000000000004E-2</v>
      </c>
      <c r="BZ24" s="273">
        <v>5.6163999999999999E-2</v>
      </c>
      <c r="CA24" s="273">
        <v>7.2950000000000003E-3</v>
      </c>
      <c r="CB24" s="273">
        <v>4.2589999999999998E-3</v>
      </c>
      <c r="CC24" s="273">
        <v>6.3E-5</v>
      </c>
      <c r="CD24" s="273">
        <v>1.8E-5</v>
      </c>
      <c r="CE24" s="273">
        <v>1.3468000000000001E-2</v>
      </c>
      <c r="CF24" s="273">
        <v>8.9549999999999994E-3</v>
      </c>
      <c r="CG24" s="273">
        <v>1.1934E-2</v>
      </c>
      <c r="CH24" s="273">
        <v>6.5989999999999998E-3</v>
      </c>
      <c r="CI24" s="273">
        <v>1.629E-3</v>
      </c>
      <c r="CJ24" s="273">
        <v>7.6099999999999996E-4</v>
      </c>
      <c r="CK24" s="273">
        <v>1.06E-3</v>
      </c>
      <c r="CL24" s="273">
        <v>2.2699999999999999E-4</v>
      </c>
      <c r="CM24" s="273">
        <v>1.74E-4</v>
      </c>
      <c r="CN24" s="273">
        <v>2.4499999999999999E-4</v>
      </c>
      <c r="CO24" s="273">
        <v>2.6054999999999998E-2</v>
      </c>
      <c r="CP24" s="273">
        <v>1.5810000000000001E-2</v>
      </c>
      <c r="CQ24" s="273">
        <v>5.1699999999999999E-4</v>
      </c>
      <c r="CR24" s="273">
        <v>5.8600000000000004E-4</v>
      </c>
      <c r="CS24" s="273">
        <v>3.4009999999999999E-3</v>
      </c>
      <c r="CT24" s="273">
        <v>1.9737000000000001E-2</v>
      </c>
      <c r="CU24" s="273">
        <f t="shared" si="96"/>
        <v>1.758317E-6</v>
      </c>
      <c r="CV24" s="273">
        <f t="shared" si="82"/>
        <v>1.1565882000000001E-5</v>
      </c>
      <c r="CW24" s="273">
        <v>9.5139000000000001E-2</v>
      </c>
      <c r="CX24" s="273">
        <v>0.25629299999999999</v>
      </c>
      <c r="CY24" s="273">
        <f t="shared" si="97"/>
        <v>4.9186863E-5</v>
      </c>
      <c r="CZ24" s="273">
        <f t="shared" si="83"/>
        <v>1.5018769800000001E-4</v>
      </c>
      <c r="DA24" s="273">
        <v>9.9999999999999995E-7</v>
      </c>
      <c r="DB24" s="273">
        <v>4.0000000000000003E-5</v>
      </c>
      <c r="DC24" s="273">
        <f t="shared" si="98"/>
        <v>4.6605482000000001E-4</v>
      </c>
      <c r="DD24" s="273">
        <f t="shared" si="84"/>
        <v>4.2424642000000003E-4</v>
      </c>
      <c r="DE24" s="273">
        <v>5.7000000000000003E-5</v>
      </c>
      <c r="DF24" s="273">
        <v>8.2999999999999998E-5</v>
      </c>
      <c r="DG24" s="273">
        <f t="shared" si="99"/>
        <v>1.0894518000000001E-4</v>
      </c>
      <c r="DH24" s="273">
        <f t="shared" si="85"/>
        <v>2.8475358000000002E-4</v>
      </c>
      <c r="DI24" s="273">
        <v>3.6000000000000001E-5</v>
      </c>
      <c r="DJ24" s="273">
        <v>3.1000000000000001E-5</v>
      </c>
      <c r="DK24" s="273">
        <v>7.4999999999999993E-5</v>
      </c>
      <c r="DL24" s="273">
        <v>2.9E-5</v>
      </c>
      <c r="DM24" s="273">
        <f t="shared" si="100"/>
        <v>1.1099999999999999E-4</v>
      </c>
      <c r="DN24" s="273">
        <f t="shared" si="86"/>
        <v>6.0000000000000002E-5</v>
      </c>
      <c r="DO24" s="273">
        <v>4.7100000000000001E-4</v>
      </c>
      <c r="DP24" s="273">
        <v>2.5099999999999998E-4</v>
      </c>
      <c r="DQ24" s="273">
        <v>7.7099999999999998E-4</v>
      </c>
      <c r="DR24" s="273">
        <v>4.6200000000000001E-4</v>
      </c>
      <c r="DS24" s="273">
        <v>3.0786000000000001E-2</v>
      </c>
      <c r="DT24" s="273">
        <v>1.2671999999999999E-2</v>
      </c>
      <c r="DU24" s="273">
        <v>1.9910000000000001E-3</v>
      </c>
      <c r="DV24" s="273">
        <v>7.5699999999999997E-4</v>
      </c>
      <c r="DW24" s="273">
        <v>4.0188000000000001E-2</v>
      </c>
      <c r="DX24" s="273">
        <v>4.0188000000000001E-2</v>
      </c>
      <c r="DY24" s="273">
        <v>6.4230999999999996E-2</v>
      </c>
      <c r="DZ24" s="273">
        <v>7.4562000000000003E-2</v>
      </c>
      <c r="EA24" s="273">
        <v>3.3000000000000003E-5</v>
      </c>
      <c r="EB24" s="273">
        <v>3.1999999999999999E-5</v>
      </c>
      <c r="EC24" s="273">
        <v>3.6280000000000001E-3</v>
      </c>
      <c r="ED24" s="273">
        <v>3.8549999999999999E-3</v>
      </c>
      <c r="EE24" s="273"/>
      <c r="EF24" s="274"/>
    </row>
    <row r="25" spans="2:136" s="249" customFormat="1" ht="17.399999999999999">
      <c r="B25" s="286">
        <v>18</v>
      </c>
      <c r="C25" s="273">
        <v>1.0000000000000001E-5</v>
      </c>
      <c r="D25" s="273">
        <v>9.0000000000000002E-6</v>
      </c>
      <c r="E25" s="273">
        <v>2.1999999999999999E-5</v>
      </c>
      <c r="F25" s="273">
        <v>6.0000000000000002E-6</v>
      </c>
      <c r="G25" s="273">
        <v>2.43E-4</v>
      </c>
      <c r="H25" s="273">
        <v>1.3999999999999999E-4</v>
      </c>
      <c r="I25" s="273">
        <v>3.1999999999999999E-5</v>
      </c>
      <c r="J25" s="273">
        <v>1.5E-5</v>
      </c>
      <c r="K25" s="273">
        <v>7.2000000000000002E-5</v>
      </c>
      <c r="L25" s="273">
        <v>2.1999999999999999E-5</v>
      </c>
      <c r="M25" s="273">
        <f t="shared" si="87"/>
        <v>2.57965645E-4</v>
      </c>
      <c r="N25" s="273">
        <f t="shared" si="77"/>
        <v>2.2795516799999999E-4</v>
      </c>
      <c r="O25" s="273">
        <f t="shared" si="88"/>
        <v>3.3763499999999997E-7</v>
      </c>
      <c r="P25" s="273">
        <f t="shared" si="89"/>
        <v>5.047488E-6</v>
      </c>
      <c r="Q25" s="273">
        <v>3.0499999999999999E-4</v>
      </c>
      <c r="R25" s="273">
        <v>4.3199999999999998E-4</v>
      </c>
      <c r="S25" s="273">
        <v>0</v>
      </c>
      <c r="T25" s="273">
        <v>1.1684E-2</v>
      </c>
      <c r="U25" s="273">
        <v>1.1069999999999999E-3</v>
      </c>
      <c r="V25" s="273">
        <v>0</v>
      </c>
      <c r="W25" s="273">
        <v>9.7560000000000008E-3</v>
      </c>
      <c r="X25" s="273">
        <v>9.7719999999999994E-3</v>
      </c>
      <c r="Y25" s="273">
        <f t="shared" si="90"/>
        <v>2.9755800000000002E-6</v>
      </c>
      <c r="Z25" s="273">
        <f t="shared" si="78"/>
        <v>4.2215039999999994E-6</v>
      </c>
      <c r="AA25" s="273">
        <v>0.13621800000000001</v>
      </c>
      <c r="AB25" s="273">
        <v>0.44944499999999998</v>
      </c>
      <c r="AC25" s="273">
        <f t="shared" si="91"/>
        <v>4.1546489999999999E-5</v>
      </c>
      <c r="AD25" s="273">
        <f t="shared" si="79"/>
        <v>1.9416023999999999E-4</v>
      </c>
      <c r="AE25" s="273">
        <v>6.2589999999999998E-3</v>
      </c>
      <c r="AF25" s="273">
        <v>1.2019999999999999E-3</v>
      </c>
      <c r="AG25" s="273">
        <f t="shared" si="92"/>
        <v>1.9089949999999999E-6</v>
      </c>
      <c r="AH25" s="273">
        <f t="shared" si="80"/>
        <v>5.192639999999999E-7</v>
      </c>
      <c r="AI25" s="273">
        <v>8.7100000000000003E-4</v>
      </c>
      <c r="AJ25" s="273">
        <v>2.23E-4</v>
      </c>
      <c r="AK25" s="273">
        <f t="shared" si="93"/>
        <v>2.6565499999999998E-7</v>
      </c>
      <c r="AL25" s="273">
        <f t="shared" si="81"/>
        <v>9.6335999999999997E-8</v>
      </c>
      <c r="AM25" s="273">
        <f t="shared" si="94"/>
        <v>1.7100953500000002E-4</v>
      </c>
      <c r="AN25" s="273">
        <f t="shared" si="95"/>
        <v>1.2510719999999999E-4</v>
      </c>
      <c r="AO25" s="273">
        <v>0.56068700000000005</v>
      </c>
      <c r="AP25" s="273">
        <v>0.28960000000000002</v>
      </c>
      <c r="AQ25" s="273">
        <v>5.0000000000000004E-6</v>
      </c>
      <c r="AR25" s="273">
        <v>1.7200000000000001E-4</v>
      </c>
      <c r="AS25" s="273">
        <v>4.1999999999999998E-5</v>
      </c>
      <c r="AT25" s="273">
        <v>6.6000000000000005E-5</v>
      </c>
      <c r="AU25" s="273">
        <v>1.8E-5</v>
      </c>
      <c r="AV25" s="273">
        <v>1.4E-5</v>
      </c>
      <c r="AW25" s="273">
        <v>1.2E-5</v>
      </c>
      <c r="AX25" s="273">
        <v>3.9999999999999998E-6</v>
      </c>
      <c r="AY25" s="273">
        <v>1.7E-5</v>
      </c>
      <c r="AZ25" s="273">
        <v>1.7E-5</v>
      </c>
      <c r="BA25" s="273">
        <v>3.1000000000000001E-5</v>
      </c>
      <c r="BB25" s="273">
        <v>6.8999999999999997E-5</v>
      </c>
      <c r="BC25" s="273">
        <v>0</v>
      </c>
      <c r="BD25" s="273">
        <v>0</v>
      </c>
      <c r="BE25" s="273">
        <v>3.9999999999999998E-6</v>
      </c>
      <c r="BF25" s="273">
        <v>3.0000000000000001E-6</v>
      </c>
      <c r="BG25" s="273">
        <v>6.3E-5</v>
      </c>
      <c r="BH25" s="273">
        <v>3.4E-5</v>
      </c>
      <c r="BI25" s="273">
        <v>2.4000000000000001E-5</v>
      </c>
      <c r="BJ25" s="273">
        <v>1.5999999999999999E-5</v>
      </c>
      <c r="BK25" s="273">
        <v>7.7999999999999999E-5</v>
      </c>
      <c r="BL25" s="273">
        <v>4.6E-5</v>
      </c>
      <c r="BM25" s="273">
        <v>3.4999999999999997E-5</v>
      </c>
      <c r="BN25" s="273">
        <v>4.8000000000000001E-5</v>
      </c>
      <c r="BO25" s="273">
        <v>6.6699999999999995E-4</v>
      </c>
      <c r="BP25" s="273">
        <v>2.02E-4</v>
      </c>
      <c r="BQ25" s="273">
        <v>4.8999999999999998E-5</v>
      </c>
      <c r="BR25" s="273">
        <v>3.6000000000000001E-5</v>
      </c>
      <c r="BS25" s="273">
        <v>1.9000000000000001E-5</v>
      </c>
      <c r="BT25" s="273">
        <v>6.0000000000000002E-6</v>
      </c>
      <c r="BU25" s="273">
        <v>3.1599999999999998E-4</v>
      </c>
      <c r="BV25" s="273">
        <v>2.3699999999999999E-4</v>
      </c>
      <c r="BW25" s="273">
        <v>0.63037500000000002</v>
      </c>
      <c r="BX25" s="273">
        <v>0.40055800000000003</v>
      </c>
      <c r="BY25" s="273">
        <v>9.6389000000000002E-2</v>
      </c>
      <c r="BZ25" s="273">
        <v>5.6493000000000002E-2</v>
      </c>
      <c r="CA25" s="273">
        <v>8.0110000000000008E-3</v>
      </c>
      <c r="CB25" s="273">
        <v>4.3569999999999998E-3</v>
      </c>
      <c r="CC25" s="273">
        <v>7.1000000000000005E-5</v>
      </c>
      <c r="CD25" s="273">
        <v>2.0999999999999999E-5</v>
      </c>
      <c r="CE25" s="273">
        <v>1.4272E-2</v>
      </c>
      <c r="CF25" s="273">
        <v>1.0026E-2</v>
      </c>
      <c r="CG25" s="273">
        <v>1.2422000000000001E-2</v>
      </c>
      <c r="CH25" s="273">
        <v>7.0419999999999996E-3</v>
      </c>
      <c r="CI25" s="273">
        <v>1.8109999999999999E-3</v>
      </c>
      <c r="CJ25" s="273">
        <v>8.7699999999999996E-4</v>
      </c>
      <c r="CK25" s="273">
        <v>9.8400000000000007E-4</v>
      </c>
      <c r="CL25" s="273">
        <v>2.2699999999999999E-4</v>
      </c>
      <c r="CM25" s="273">
        <v>1.83E-4</v>
      </c>
      <c r="CN25" s="273">
        <v>2.8899999999999998E-4</v>
      </c>
      <c r="CO25" s="273">
        <v>2.7437E-2</v>
      </c>
      <c r="CP25" s="273">
        <v>1.7364999999999998E-2</v>
      </c>
      <c r="CQ25" s="273">
        <v>5.4199999999999995E-4</v>
      </c>
      <c r="CR25" s="273">
        <v>6.9399999999999996E-4</v>
      </c>
      <c r="CS25" s="273">
        <v>3.2789999999999998E-3</v>
      </c>
      <c r="CT25" s="273">
        <v>1.9390999999999999E-2</v>
      </c>
      <c r="CU25" s="273">
        <f t="shared" si="96"/>
        <v>1.7772179999999998E-6</v>
      </c>
      <c r="CV25" s="273">
        <f t="shared" si="82"/>
        <v>1.3457353999999998E-5</v>
      </c>
      <c r="CW25" s="273">
        <v>0.118296</v>
      </c>
      <c r="CX25" s="273">
        <v>0.29914800000000003</v>
      </c>
      <c r="CY25" s="273">
        <f t="shared" si="97"/>
        <v>6.4116431999999989E-5</v>
      </c>
      <c r="CZ25" s="273">
        <f t="shared" si="83"/>
        <v>2.07608712E-4</v>
      </c>
      <c r="DA25" s="273">
        <v>1.9999999999999999E-6</v>
      </c>
      <c r="DB25" s="273">
        <v>7.1000000000000005E-5</v>
      </c>
      <c r="DC25" s="273">
        <f t="shared" si="98"/>
        <v>4.7610634999999997E-4</v>
      </c>
      <c r="DD25" s="273">
        <f t="shared" si="84"/>
        <v>4.7293393399999993E-4</v>
      </c>
      <c r="DE25" s="273">
        <v>5.7000000000000003E-5</v>
      </c>
      <c r="DF25" s="273">
        <v>8.8999999999999995E-5</v>
      </c>
      <c r="DG25" s="273">
        <f t="shared" si="99"/>
        <v>1.2489365E-4</v>
      </c>
      <c r="DH25" s="273">
        <f t="shared" si="85"/>
        <v>3.8106606600000001E-4</v>
      </c>
      <c r="DI25" s="273">
        <v>3.6000000000000001E-5</v>
      </c>
      <c r="DJ25" s="273">
        <v>3.1000000000000001E-5</v>
      </c>
      <c r="DK25" s="273">
        <v>7.3999999999999996E-5</v>
      </c>
      <c r="DL25" s="273">
        <v>3.3000000000000003E-5</v>
      </c>
      <c r="DM25" s="273">
        <f t="shared" si="100"/>
        <v>1.0999999999999999E-4</v>
      </c>
      <c r="DN25" s="273">
        <f t="shared" si="86"/>
        <v>6.4000000000000011E-5</v>
      </c>
      <c r="DO25" s="273">
        <v>6.3699999999999998E-4</v>
      </c>
      <c r="DP25" s="273">
        <v>3.3599999999999998E-4</v>
      </c>
      <c r="DQ25" s="273">
        <v>9.1500000000000001E-4</v>
      </c>
      <c r="DR25" s="273">
        <v>5.0500000000000002E-4</v>
      </c>
      <c r="DS25" s="273">
        <v>2.6823E-2</v>
      </c>
      <c r="DT25" s="273">
        <v>1.1493E-2</v>
      </c>
      <c r="DU25" s="273">
        <v>1.8890000000000001E-3</v>
      </c>
      <c r="DV25" s="273">
        <v>7.7800000000000005E-4</v>
      </c>
      <c r="DW25" s="273">
        <v>4.0188000000000001E-2</v>
      </c>
      <c r="DX25" s="273">
        <v>4.0188000000000001E-2</v>
      </c>
      <c r="DY25" s="273">
        <v>6.2401999999999999E-2</v>
      </c>
      <c r="DZ25" s="273">
        <v>7.2349999999999998E-2</v>
      </c>
      <c r="EA25" s="273">
        <v>3.1999999999999999E-5</v>
      </c>
      <c r="EB25" s="273">
        <v>3.4E-5</v>
      </c>
      <c r="EC25" s="273">
        <v>3.5990000000000002E-3</v>
      </c>
      <c r="ED25" s="273">
        <v>3.836E-3</v>
      </c>
      <c r="EE25" s="273"/>
      <c r="EF25" s="274"/>
    </row>
    <row r="26" spans="2:136" s="249" customFormat="1" ht="17.399999999999999">
      <c r="B26" s="286">
        <v>19</v>
      </c>
      <c r="C26" s="273">
        <v>1.0000000000000001E-5</v>
      </c>
      <c r="D26" s="273">
        <v>9.0000000000000002E-6</v>
      </c>
      <c r="E26" s="273">
        <v>2.1999999999999999E-5</v>
      </c>
      <c r="F26" s="273">
        <v>6.0000000000000002E-6</v>
      </c>
      <c r="G26" s="273">
        <v>2.6200000000000003E-4</v>
      </c>
      <c r="H26" s="273">
        <v>1.5799999999999999E-4</v>
      </c>
      <c r="I26" s="273">
        <v>3.1999999999999999E-5</v>
      </c>
      <c r="J26" s="273">
        <v>1.5E-5</v>
      </c>
      <c r="K26" s="273">
        <v>7.2000000000000002E-5</v>
      </c>
      <c r="L26" s="273">
        <v>2.1999999999999999E-5</v>
      </c>
      <c r="M26" s="273">
        <f t="shared" si="87"/>
        <v>2.69849736E-4</v>
      </c>
      <c r="N26" s="273">
        <f t="shared" si="77"/>
        <v>2.7175771599999992E-4</v>
      </c>
      <c r="O26" s="273">
        <f t="shared" si="88"/>
        <v>3.3232400000000001E-7</v>
      </c>
      <c r="P26" s="273">
        <f t="shared" si="89"/>
        <v>8.5923259999999985E-6</v>
      </c>
      <c r="Q26" s="273">
        <v>3.3100000000000002E-4</v>
      </c>
      <c r="R26" s="273">
        <v>5.4199999999999995E-4</v>
      </c>
      <c r="S26" s="273">
        <v>0</v>
      </c>
      <c r="T26" s="273">
        <v>1.5852999999999999E-2</v>
      </c>
      <c r="U26" s="273">
        <v>1.0039999999999999E-3</v>
      </c>
      <c r="V26" s="273">
        <v>0</v>
      </c>
      <c r="W26" s="273">
        <v>1.3575E-2</v>
      </c>
      <c r="X26" s="273">
        <v>8.4030000000000007E-3</v>
      </c>
      <c r="Y26" s="273">
        <f t="shared" si="90"/>
        <v>4.4933250000000007E-6</v>
      </c>
      <c r="Z26" s="273">
        <f t="shared" si="78"/>
        <v>4.5544260000000003E-6</v>
      </c>
      <c r="AA26" s="273">
        <v>0.162079</v>
      </c>
      <c r="AB26" s="273">
        <v>0.47248800000000002</v>
      </c>
      <c r="AC26" s="273">
        <f t="shared" si="91"/>
        <v>5.3648149000000006E-5</v>
      </c>
      <c r="AD26" s="273">
        <f t="shared" si="79"/>
        <v>2.5608849599999999E-4</v>
      </c>
      <c r="AE26" s="273">
        <v>7.0439999999999999E-3</v>
      </c>
      <c r="AF26" s="273">
        <v>1.7160000000000001E-3</v>
      </c>
      <c r="AG26" s="273">
        <f t="shared" si="92"/>
        <v>2.3315640000000001E-6</v>
      </c>
      <c r="AH26" s="273">
        <f t="shared" si="80"/>
        <v>9.3007199999999997E-7</v>
      </c>
      <c r="AI26" s="273">
        <v>1.042E-3</v>
      </c>
      <c r="AJ26" s="273">
        <v>1.4200000000000001E-4</v>
      </c>
      <c r="AK26" s="273">
        <f t="shared" si="93"/>
        <v>3.4490200000000003E-7</v>
      </c>
      <c r="AL26" s="273">
        <f t="shared" si="81"/>
        <v>7.6964E-8</v>
      </c>
      <c r="AM26" s="273">
        <f t="shared" si="94"/>
        <v>1.71356714E-4</v>
      </c>
      <c r="AN26" s="273">
        <f t="shared" si="95"/>
        <v>1.3896392199999998E-4</v>
      </c>
      <c r="AO26" s="273">
        <v>0.51769399999999999</v>
      </c>
      <c r="AP26" s="273">
        <v>0.25639099999999998</v>
      </c>
      <c r="AQ26" s="273">
        <v>6.0000000000000002E-6</v>
      </c>
      <c r="AR26" s="273">
        <v>2.1900000000000001E-4</v>
      </c>
      <c r="AS26" s="273">
        <v>4.3999999999999999E-5</v>
      </c>
      <c r="AT26" s="273">
        <v>7.6000000000000004E-5</v>
      </c>
      <c r="AU26" s="273">
        <v>2.0000000000000002E-5</v>
      </c>
      <c r="AV26" s="273">
        <v>1.5E-5</v>
      </c>
      <c r="AW26" s="273">
        <v>1.2999999999999999E-5</v>
      </c>
      <c r="AX26" s="273">
        <v>3.9999999999999998E-6</v>
      </c>
      <c r="AY26" s="273">
        <v>1.7E-5</v>
      </c>
      <c r="AZ26" s="273">
        <v>1.8E-5</v>
      </c>
      <c r="BA26" s="273">
        <v>3.3000000000000003E-5</v>
      </c>
      <c r="BB26" s="273">
        <v>7.3999999999999996E-5</v>
      </c>
      <c r="BC26" s="273">
        <v>0</v>
      </c>
      <c r="BD26" s="273">
        <v>0</v>
      </c>
      <c r="BE26" s="273">
        <v>3.9999999999999998E-6</v>
      </c>
      <c r="BF26" s="273">
        <v>3.0000000000000001E-6</v>
      </c>
      <c r="BG26" s="273">
        <v>6.0999999999999999E-5</v>
      </c>
      <c r="BH26" s="273">
        <v>3.4E-5</v>
      </c>
      <c r="BI26" s="273">
        <v>2.4000000000000001E-5</v>
      </c>
      <c r="BJ26" s="273">
        <v>1.5999999999999999E-5</v>
      </c>
      <c r="BK26" s="273">
        <v>7.7000000000000001E-5</v>
      </c>
      <c r="BL26" s="273">
        <v>3.8000000000000002E-5</v>
      </c>
      <c r="BM26" s="273">
        <v>3.6999999999999998E-5</v>
      </c>
      <c r="BN26" s="273">
        <v>5.1999999999999997E-5</v>
      </c>
      <c r="BO26" s="273">
        <v>6.9399999999999996E-4</v>
      </c>
      <c r="BP26" s="273">
        <v>2.13E-4</v>
      </c>
      <c r="BQ26" s="273">
        <v>4.8999999999999998E-5</v>
      </c>
      <c r="BR26" s="273">
        <v>3.6999999999999998E-5</v>
      </c>
      <c r="BS26" s="273">
        <v>2.0000000000000002E-5</v>
      </c>
      <c r="BT26" s="273">
        <v>6.0000000000000002E-6</v>
      </c>
      <c r="BU26" s="273">
        <v>3.2299999999999999E-4</v>
      </c>
      <c r="BV26" s="273">
        <v>2.4499999999999999E-4</v>
      </c>
      <c r="BW26" s="273">
        <v>0.67636700000000005</v>
      </c>
      <c r="BX26" s="273">
        <v>0.42278100000000002</v>
      </c>
      <c r="BY26" s="273">
        <v>0.100718</v>
      </c>
      <c r="BZ26" s="273">
        <v>5.6864999999999999E-2</v>
      </c>
      <c r="CA26" s="273">
        <v>8.9040000000000005E-3</v>
      </c>
      <c r="CB26" s="273">
        <v>4.4850000000000003E-3</v>
      </c>
      <c r="CC26" s="273">
        <v>8.0000000000000007E-5</v>
      </c>
      <c r="CD26" s="273">
        <v>2.5000000000000001E-5</v>
      </c>
      <c r="CE26" s="273">
        <v>1.5062000000000001E-2</v>
      </c>
      <c r="CF26" s="273">
        <v>1.1253000000000001E-2</v>
      </c>
      <c r="CG26" s="273">
        <v>1.2877E-2</v>
      </c>
      <c r="CH26" s="273">
        <v>7.5290000000000001E-3</v>
      </c>
      <c r="CI26" s="273">
        <v>1.9970000000000001E-3</v>
      </c>
      <c r="CJ26" s="273">
        <v>1.0120000000000001E-3</v>
      </c>
      <c r="CK26" s="273">
        <v>8.9400000000000005E-4</v>
      </c>
      <c r="CL26" s="273">
        <v>2.23E-4</v>
      </c>
      <c r="CM26" s="273">
        <v>1.92E-4</v>
      </c>
      <c r="CN26" s="273">
        <v>3.4099999999999999E-4</v>
      </c>
      <c r="CO26" s="273">
        <v>2.8774999999999998E-2</v>
      </c>
      <c r="CP26" s="273">
        <v>1.9125E-2</v>
      </c>
      <c r="CQ26" s="273">
        <v>5.6999999999999998E-4</v>
      </c>
      <c r="CR26" s="273">
        <v>8.3199999999999995E-4</v>
      </c>
      <c r="CS26" s="273">
        <v>6.2700000000000004E-3</v>
      </c>
      <c r="CT26" s="273">
        <v>1.8391000000000001E-2</v>
      </c>
      <c r="CU26" s="273">
        <f t="shared" si="96"/>
        <v>3.5739000000000002E-6</v>
      </c>
      <c r="CV26" s="273">
        <f t="shared" si="82"/>
        <v>1.5301312000000002E-5</v>
      </c>
      <c r="CW26" s="273">
        <v>0.141453</v>
      </c>
      <c r="CX26" s="273">
        <v>0.342003</v>
      </c>
      <c r="CY26" s="273">
        <f t="shared" si="97"/>
        <v>8.0628209999999989E-5</v>
      </c>
      <c r="CZ26" s="273">
        <f t="shared" si="83"/>
        <v>2.8454649599999997E-4</v>
      </c>
      <c r="DA26" s="273">
        <v>3.0000000000000001E-6</v>
      </c>
      <c r="DB26" s="273">
        <v>1.1E-4</v>
      </c>
      <c r="DC26" s="273">
        <f t="shared" si="98"/>
        <v>4.8579789000000002E-4</v>
      </c>
      <c r="DD26" s="273">
        <f t="shared" si="84"/>
        <v>5.3215219200000003E-4</v>
      </c>
      <c r="DE26" s="273">
        <v>5.8E-5</v>
      </c>
      <c r="DF26" s="273">
        <v>9.6000000000000002E-5</v>
      </c>
      <c r="DG26" s="273">
        <f t="shared" si="99"/>
        <v>1.4520210999999998E-4</v>
      </c>
      <c r="DH26" s="273">
        <f t="shared" si="85"/>
        <v>5.0584780800000005E-4</v>
      </c>
      <c r="DI26" s="273">
        <v>3.6000000000000001E-5</v>
      </c>
      <c r="DJ26" s="273">
        <v>3.1999999999999999E-5</v>
      </c>
      <c r="DK26" s="273">
        <v>7.2000000000000002E-5</v>
      </c>
      <c r="DL26" s="273">
        <v>3.6000000000000001E-5</v>
      </c>
      <c r="DM26" s="273">
        <f t="shared" si="100"/>
        <v>1.08E-4</v>
      </c>
      <c r="DN26" s="273">
        <f t="shared" si="86"/>
        <v>6.7999999999999999E-5</v>
      </c>
      <c r="DO26" s="273">
        <v>8.4199999999999998E-4</v>
      </c>
      <c r="DP26" s="273">
        <v>4.37E-4</v>
      </c>
      <c r="DQ26" s="273">
        <v>1.08E-3</v>
      </c>
      <c r="DR26" s="273">
        <v>5.5000000000000003E-4</v>
      </c>
      <c r="DS26" s="273">
        <v>2.3855000000000001E-2</v>
      </c>
      <c r="DT26" s="273">
        <v>1.0895E-2</v>
      </c>
      <c r="DU26" s="273">
        <v>1.7880000000000001E-3</v>
      </c>
      <c r="DV26" s="273">
        <v>8.5800000000000004E-4</v>
      </c>
      <c r="DW26" s="273">
        <v>4.0188000000000001E-2</v>
      </c>
      <c r="DX26" s="273">
        <v>4.0188000000000001E-2</v>
      </c>
      <c r="DY26" s="273">
        <v>6.0526999999999997E-2</v>
      </c>
      <c r="DZ26" s="273">
        <v>6.9426000000000002E-2</v>
      </c>
      <c r="EA26" s="273">
        <v>3.1000000000000001E-5</v>
      </c>
      <c r="EB26" s="273">
        <v>3.6000000000000001E-5</v>
      </c>
      <c r="EC26" s="273">
        <v>3.5699999999999998E-3</v>
      </c>
      <c r="ED26" s="273">
        <v>3.8180000000000002E-3</v>
      </c>
      <c r="EE26" s="273"/>
      <c r="EF26" s="274"/>
    </row>
    <row r="27" spans="2:136" s="249" customFormat="1" ht="17.399999999999999">
      <c r="B27" s="286">
        <v>20</v>
      </c>
      <c r="C27" s="273">
        <v>1.0000000000000001E-5</v>
      </c>
      <c r="D27" s="273">
        <v>1.0000000000000001E-5</v>
      </c>
      <c r="E27" s="273">
        <v>3.8000000000000002E-5</v>
      </c>
      <c r="F27" s="273">
        <v>1.5999999999999999E-5</v>
      </c>
      <c r="G27" s="273">
        <v>2.7799999999999998E-4</v>
      </c>
      <c r="H27" s="273">
        <v>1.76E-4</v>
      </c>
      <c r="I27" s="273">
        <v>4.8000000000000001E-5</v>
      </c>
      <c r="J27" s="273">
        <v>2.6000000000000002E-5</v>
      </c>
      <c r="K27" s="273">
        <v>1.5300000000000001E-4</v>
      </c>
      <c r="L27" s="273">
        <v>7.3999999999999996E-5</v>
      </c>
      <c r="M27" s="273">
        <f t="shared" si="87"/>
        <v>2.8108155199999999E-4</v>
      </c>
      <c r="N27" s="273">
        <f t="shared" si="77"/>
        <v>3.1279632399999996E-4</v>
      </c>
      <c r="O27" s="273">
        <f t="shared" si="88"/>
        <v>3.2291599999999998E-7</v>
      </c>
      <c r="P27" s="273">
        <f t="shared" si="89"/>
        <v>1.3255226000000001E-5</v>
      </c>
      <c r="Q27" s="273">
        <v>3.5799999999999997E-4</v>
      </c>
      <c r="R27" s="273">
        <v>6.6200000000000005E-4</v>
      </c>
      <c r="S27" s="273">
        <v>0</v>
      </c>
      <c r="T27" s="273">
        <v>2.0022999999999999E-2</v>
      </c>
      <c r="U27" s="273">
        <v>9.0200000000000002E-4</v>
      </c>
      <c r="V27" s="273">
        <v>0</v>
      </c>
      <c r="W27" s="273">
        <v>1.6736000000000001E-2</v>
      </c>
      <c r="X27" s="273">
        <v>9.5919999999999998E-3</v>
      </c>
      <c r="Y27" s="273">
        <f t="shared" si="90"/>
        <v>5.9914879999999998E-6</v>
      </c>
      <c r="Z27" s="273">
        <f t="shared" si="78"/>
        <v>6.3499040000000001E-6</v>
      </c>
      <c r="AA27" s="273">
        <v>0.18817600000000001</v>
      </c>
      <c r="AB27" s="273">
        <v>0.49555100000000002</v>
      </c>
      <c r="AC27" s="273">
        <f t="shared" si="91"/>
        <v>6.7367008000000003E-5</v>
      </c>
      <c r="AD27" s="273">
        <f t="shared" si="79"/>
        <v>3.2805476200000003E-4</v>
      </c>
      <c r="AE27" s="273">
        <v>7.8279999999999999E-3</v>
      </c>
      <c r="AF27" s="273">
        <v>2.2300000000000002E-3</v>
      </c>
      <c r="AG27" s="273">
        <f t="shared" si="92"/>
        <v>2.8024239999999999E-6</v>
      </c>
      <c r="AH27" s="273">
        <f t="shared" si="80"/>
        <v>1.4762600000000003E-6</v>
      </c>
      <c r="AI27" s="273">
        <v>1.214E-3</v>
      </c>
      <c r="AJ27" s="273">
        <v>1.02E-4</v>
      </c>
      <c r="AK27" s="273">
        <f t="shared" si="93"/>
        <v>4.34612E-7</v>
      </c>
      <c r="AL27" s="273">
        <f t="shared" si="81"/>
        <v>6.7524000000000003E-8</v>
      </c>
      <c r="AM27" s="273">
        <f t="shared" si="94"/>
        <v>1.6994331599999999E-4</v>
      </c>
      <c r="AN27" s="273">
        <f t="shared" si="95"/>
        <v>1.47746484E-4</v>
      </c>
      <c r="AO27" s="273">
        <v>0.47470200000000001</v>
      </c>
      <c r="AP27" s="273">
        <v>0.22318199999999999</v>
      </c>
      <c r="AQ27" s="273">
        <v>6.9999999999999999E-6</v>
      </c>
      <c r="AR27" s="273">
        <v>2.6499999999999999E-4</v>
      </c>
      <c r="AS27" s="273">
        <v>4.5000000000000003E-5</v>
      </c>
      <c r="AT27" s="273">
        <v>8.7999999999999998E-5</v>
      </c>
      <c r="AU27" s="273">
        <v>2.1999999999999999E-5</v>
      </c>
      <c r="AV27" s="273">
        <v>1.5999999999999999E-5</v>
      </c>
      <c r="AW27" s="273">
        <v>1.5E-5</v>
      </c>
      <c r="AX27" s="273">
        <v>5.0000000000000004E-6</v>
      </c>
      <c r="AY27" s="273">
        <v>1.5999999999999999E-5</v>
      </c>
      <c r="AZ27" s="273">
        <v>1.9000000000000001E-5</v>
      </c>
      <c r="BA27" s="273">
        <v>3.6000000000000001E-5</v>
      </c>
      <c r="BB27" s="273">
        <v>7.8999999999999996E-5</v>
      </c>
      <c r="BC27" s="273">
        <v>0</v>
      </c>
      <c r="BD27" s="273">
        <v>0</v>
      </c>
      <c r="BE27" s="273">
        <v>3.9999999999999998E-6</v>
      </c>
      <c r="BF27" s="273">
        <v>3.0000000000000001E-6</v>
      </c>
      <c r="BG27" s="273">
        <v>5.8999999999999998E-5</v>
      </c>
      <c r="BH27" s="273">
        <v>3.4E-5</v>
      </c>
      <c r="BI27" s="273">
        <v>2.4000000000000001E-5</v>
      </c>
      <c r="BJ27" s="273">
        <v>1.5999999999999999E-5</v>
      </c>
      <c r="BK27" s="273">
        <v>7.6000000000000004E-5</v>
      </c>
      <c r="BL27" s="273">
        <v>3.0000000000000001E-5</v>
      </c>
      <c r="BM27" s="273">
        <v>3.8999999999999999E-5</v>
      </c>
      <c r="BN27" s="273">
        <v>5.7000000000000003E-5</v>
      </c>
      <c r="BO27" s="273">
        <v>7.2000000000000005E-4</v>
      </c>
      <c r="BP27" s="273">
        <v>2.23E-4</v>
      </c>
      <c r="BQ27" s="273">
        <v>5.0000000000000002E-5</v>
      </c>
      <c r="BR27" s="273">
        <v>3.8999999999999999E-5</v>
      </c>
      <c r="BS27" s="273">
        <v>2.3E-5</v>
      </c>
      <c r="BT27" s="273">
        <v>6.9999999999999999E-6</v>
      </c>
      <c r="BU27" s="273">
        <v>3.2699999999999998E-4</v>
      </c>
      <c r="BV27" s="273">
        <v>2.52E-4</v>
      </c>
      <c r="BW27" s="273">
        <v>0.72426299999999999</v>
      </c>
      <c r="BX27" s="273">
        <v>0.44505800000000001</v>
      </c>
      <c r="BY27" s="273">
        <v>0.10467899999999999</v>
      </c>
      <c r="BZ27" s="273">
        <v>5.7459000000000003E-2</v>
      </c>
      <c r="CA27" s="273">
        <v>9.8890000000000002E-3</v>
      </c>
      <c r="CB27" s="273">
        <v>4.627E-3</v>
      </c>
      <c r="CC27" s="273">
        <v>9.0000000000000006E-5</v>
      </c>
      <c r="CD27" s="273">
        <v>2.9E-5</v>
      </c>
      <c r="CE27" s="273">
        <v>1.5848000000000001E-2</v>
      </c>
      <c r="CF27" s="273">
        <v>1.2581E-2</v>
      </c>
      <c r="CG27" s="273">
        <v>1.3308E-2</v>
      </c>
      <c r="CH27" s="273">
        <v>8.012E-3</v>
      </c>
      <c r="CI27" s="273">
        <v>2.1909999999999998E-3</v>
      </c>
      <c r="CJ27" s="273">
        <v>1.16E-3</v>
      </c>
      <c r="CK27" s="273">
        <v>7.9100000000000004E-4</v>
      </c>
      <c r="CL27" s="273">
        <v>2.1599999999999999E-4</v>
      </c>
      <c r="CM27" s="273">
        <v>2.0100000000000001E-4</v>
      </c>
      <c r="CN27" s="273">
        <v>3.9800000000000002E-4</v>
      </c>
      <c r="CO27" s="273">
        <v>3.0089999999999999E-2</v>
      </c>
      <c r="CP27" s="273">
        <v>2.0985E-2</v>
      </c>
      <c r="CQ27" s="273">
        <v>5.9999999999999995E-4</v>
      </c>
      <c r="CR27" s="273">
        <v>9.8200000000000002E-4</v>
      </c>
      <c r="CS27" s="273">
        <v>8.9549999999999994E-3</v>
      </c>
      <c r="CT27" s="273">
        <v>1.7240999999999999E-2</v>
      </c>
      <c r="CU27" s="273">
        <f t="shared" si="96"/>
        <v>5.3729999999999992E-6</v>
      </c>
      <c r="CV27" s="273">
        <f t="shared" si="82"/>
        <v>1.6930662E-5</v>
      </c>
      <c r="CW27" s="273">
        <v>0.16461000000000001</v>
      </c>
      <c r="CX27" s="273">
        <v>0.38485799999999998</v>
      </c>
      <c r="CY27" s="273">
        <f t="shared" si="97"/>
        <v>9.8765999999999996E-5</v>
      </c>
      <c r="CZ27" s="273">
        <f t="shared" si="83"/>
        <v>3.7793055600000001E-4</v>
      </c>
      <c r="DA27" s="273">
        <v>5.0000000000000004E-6</v>
      </c>
      <c r="DB27" s="273">
        <v>1.5799999999999999E-4</v>
      </c>
      <c r="DC27" s="273">
        <f t="shared" si="98"/>
        <v>4.9586099999999989E-4</v>
      </c>
      <c r="DD27" s="273">
        <f t="shared" si="84"/>
        <v>5.8713878199999998E-4</v>
      </c>
      <c r="DE27" s="273">
        <v>5.8999999999999998E-5</v>
      </c>
      <c r="DF27" s="273">
        <v>1.0399999999999999E-4</v>
      </c>
      <c r="DG27" s="273">
        <f t="shared" si="99"/>
        <v>1.6813899999999998E-4</v>
      </c>
      <c r="DH27" s="273">
        <f t="shared" si="85"/>
        <v>6.5686121800000001E-4</v>
      </c>
      <c r="DI27" s="273">
        <v>3.4999999999999997E-5</v>
      </c>
      <c r="DJ27" s="273">
        <v>3.1999999999999999E-5</v>
      </c>
      <c r="DK27" s="273">
        <v>7.1000000000000005E-5</v>
      </c>
      <c r="DL27" s="273">
        <v>4.0000000000000003E-5</v>
      </c>
      <c r="DM27" s="273">
        <f t="shared" si="100"/>
        <v>1.06E-4</v>
      </c>
      <c r="DN27" s="273">
        <f t="shared" si="86"/>
        <v>7.2000000000000002E-5</v>
      </c>
      <c r="DO27" s="273">
        <v>1.0640000000000001E-3</v>
      </c>
      <c r="DP27" s="273">
        <v>5.4699999999999996E-4</v>
      </c>
      <c r="DQ27" s="273">
        <v>1.2539999999999999E-3</v>
      </c>
      <c r="DR27" s="273">
        <v>5.9599999999999996E-4</v>
      </c>
      <c r="DS27" s="273">
        <v>2.1347000000000001E-2</v>
      </c>
      <c r="DT27" s="273">
        <v>1.056E-2</v>
      </c>
      <c r="DU27" s="273">
        <v>1.689E-3</v>
      </c>
      <c r="DV27" s="273">
        <v>9.6400000000000001E-4</v>
      </c>
      <c r="DW27" s="273">
        <v>4.0188000000000001E-2</v>
      </c>
      <c r="DX27" s="273">
        <v>4.0188000000000001E-2</v>
      </c>
      <c r="DY27" s="273">
        <v>5.8647999999999999E-2</v>
      </c>
      <c r="DZ27" s="273">
        <v>6.6215999999999997E-2</v>
      </c>
      <c r="EA27" s="273">
        <v>3.0000000000000001E-5</v>
      </c>
      <c r="EB27" s="273">
        <v>3.8000000000000002E-5</v>
      </c>
      <c r="EC27" s="273">
        <v>3.5409999999999999E-3</v>
      </c>
      <c r="ED27" s="273">
        <v>3.7989999999999999E-3</v>
      </c>
      <c r="EE27" s="273"/>
      <c r="EF27" s="274"/>
    </row>
    <row r="28" spans="2:136" s="249" customFormat="1" ht="17.399999999999999">
      <c r="B28" s="286">
        <v>21</v>
      </c>
      <c r="C28" s="273">
        <v>1.0000000000000001E-5</v>
      </c>
      <c r="D28" s="273">
        <v>1.0000000000000001E-5</v>
      </c>
      <c r="E28" s="273">
        <v>3.8000000000000002E-5</v>
      </c>
      <c r="F28" s="273">
        <v>1.5999999999999999E-5</v>
      </c>
      <c r="G28" s="273">
        <v>2.9500000000000001E-4</v>
      </c>
      <c r="H28" s="273">
        <v>1.93E-4</v>
      </c>
      <c r="I28" s="273">
        <v>4.8000000000000001E-5</v>
      </c>
      <c r="J28" s="273">
        <v>2.6000000000000002E-5</v>
      </c>
      <c r="K28" s="273">
        <v>1.5300000000000001E-4</v>
      </c>
      <c r="L28" s="273">
        <v>7.3999999999999996E-5</v>
      </c>
      <c r="M28" s="273">
        <f t="shared" si="87"/>
        <v>2.9468829000000002E-4</v>
      </c>
      <c r="N28" s="273">
        <f t="shared" si="77"/>
        <v>3.5427882999999996E-4</v>
      </c>
      <c r="O28" s="273">
        <f t="shared" si="88"/>
        <v>3.1199999999999999E-7</v>
      </c>
      <c r="P28" s="273">
        <f t="shared" si="89"/>
        <v>1.9209242000000001E-5</v>
      </c>
      <c r="Q28" s="273">
        <v>3.8999999999999999E-4</v>
      </c>
      <c r="R28" s="273">
        <v>7.94E-4</v>
      </c>
      <c r="S28" s="273">
        <v>0</v>
      </c>
      <c r="T28" s="273">
        <v>2.4192999999999999E-2</v>
      </c>
      <c r="U28" s="273">
        <v>8.0000000000000004E-4</v>
      </c>
      <c r="V28" s="273">
        <v>0</v>
      </c>
      <c r="W28" s="273">
        <v>1.9084E-2</v>
      </c>
      <c r="X28" s="273">
        <v>8.1300000000000001E-3</v>
      </c>
      <c r="Y28" s="273">
        <f t="shared" si="90"/>
        <v>7.4427599999999999E-6</v>
      </c>
      <c r="Z28" s="273">
        <f t="shared" si="78"/>
        <v>6.4552200000000002E-6</v>
      </c>
      <c r="AA28" s="273">
        <v>0.214507</v>
      </c>
      <c r="AB28" s="273">
        <v>0.51863400000000004</v>
      </c>
      <c r="AC28" s="273">
        <f t="shared" si="91"/>
        <v>8.3657729999999999E-5</v>
      </c>
      <c r="AD28" s="273">
        <f t="shared" si="79"/>
        <v>4.1179539600000005E-4</v>
      </c>
      <c r="AE28" s="273">
        <v>8.6130000000000009E-3</v>
      </c>
      <c r="AF28" s="273">
        <v>2.7439999999999999E-3</v>
      </c>
      <c r="AG28" s="273">
        <f t="shared" si="92"/>
        <v>3.3590700000000002E-6</v>
      </c>
      <c r="AH28" s="273">
        <f t="shared" si="80"/>
        <v>2.1787360000000001E-6</v>
      </c>
      <c r="AI28" s="273">
        <v>1.3849999999999999E-3</v>
      </c>
      <c r="AJ28" s="273">
        <v>1.0399999999999999E-4</v>
      </c>
      <c r="AK28" s="273">
        <f t="shared" si="93"/>
        <v>5.4014999999999992E-7</v>
      </c>
      <c r="AL28" s="273">
        <f t="shared" si="81"/>
        <v>8.2575999999999998E-8</v>
      </c>
      <c r="AM28" s="273">
        <f t="shared" si="94"/>
        <v>1.6836651E-4</v>
      </c>
      <c r="AN28" s="273">
        <f t="shared" si="95"/>
        <v>1.5083856200000001E-4</v>
      </c>
      <c r="AO28" s="273">
        <v>0.43170900000000001</v>
      </c>
      <c r="AP28" s="273">
        <v>0.189973</v>
      </c>
      <c r="AQ28" s="273">
        <v>6.9999999999999999E-6</v>
      </c>
      <c r="AR28" s="273">
        <v>3.1E-4</v>
      </c>
      <c r="AS28" s="273">
        <v>4.6E-5</v>
      </c>
      <c r="AT28" s="273">
        <v>1E-4</v>
      </c>
      <c r="AU28" s="273">
        <v>2.3E-5</v>
      </c>
      <c r="AV28" s="273">
        <v>1.8E-5</v>
      </c>
      <c r="AW28" s="273">
        <v>1.5999999999999999E-5</v>
      </c>
      <c r="AX28" s="273">
        <v>5.0000000000000004E-6</v>
      </c>
      <c r="AY28" s="273">
        <v>1.5999999999999999E-5</v>
      </c>
      <c r="AZ28" s="273">
        <v>2.0000000000000002E-5</v>
      </c>
      <c r="BA28" s="273">
        <v>3.8000000000000002E-5</v>
      </c>
      <c r="BB28" s="273">
        <v>8.5000000000000006E-5</v>
      </c>
      <c r="BC28" s="273">
        <v>0</v>
      </c>
      <c r="BD28" s="273">
        <v>0</v>
      </c>
      <c r="BE28" s="273">
        <v>3.0000000000000001E-6</v>
      </c>
      <c r="BF28" s="273">
        <v>3.0000000000000001E-6</v>
      </c>
      <c r="BG28" s="273">
        <v>5.7000000000000003E-5</v>
      </c>
      <c r="BH28" s="273">
        <v>3.4E-5</v>
      </c>
      <c r="BI28" s="273">
        <v>2.4000000000000001E-5</v>
      </c>
      <c r="BJ28" s="273">
        <v>1.5999999999999999E-5</v>
      </c>
      <c r="BK28" s="273">
        <v>7.3999999999999996E-5</v>
      </c>
      <c r="BL28" s="273">
        <v>2.3E-5</v>
      </c>
      <c r="BM28" s="273">
        <v>4.1E-5</v>
      </c>
      <c r="BN28" s="273">
        <v>6.3E-5</v>
      </c>
      <c r="BO28" s="273">
        <v>7.3999999999999999E-4</v>
      </c>
      <c r="BP28" s="273">
        <v>2.34E-4</v>
      </c>
      <c r="BQ28" s="273">
        <v>5.0000000000000002E-5</v>
      </c>
      <c r="BR28" s="273">
        <v>3.8999999999999999E-5</v>
      </c>
      <c r="BS28" s="273">
        <v>2.6999999999999999E-5</v>
      </c>
      <c r="BT28" s="273">
        <v>9.0000000000000002E-6</v>
      </c>
      <c r="BU28" s="273">
        <v>3.3399999999999999E-4</v>
      </c>
      <c r="BV28" s="273">
        <v>2.5799999999999998E-4</v>
      </c>
      <c r="BW28" s="273">
        <v>0.76256699999999999</v>
      </c>
      <c r="BX28" s="273">
        <v>0.469414</v>
      </c>
      <c r="BY28" s="273">
        <v>0.106906</v>
      </c>
      <c r="BZ28" s="273">
        <v>5.8353000000000002E-2</v>
      </c>
      <c r="CA28" s="273">
        <v>1.0792E-2</v>
      </c>
      <c r="CB28" s="273">
        <v>4.81E-3</v>
      </c>
      <c r="CC28" s="273">
        <v>1.02E-4</v>
      </c>
      <c r="CD28" s="273">
        <v>3.3000000000000003E-5</v>
      </c>
      <c r="CE28" s="273">
        <v>1.6601000000000001E-2</v>
      </c>
      <c r="CF28" s="273">
        <v>1.4071999999999999E-2</v>
      </c>
      <c r="CG28" s="273">
        <v>1.3694E-2</v>
      </c>
      <c r="CH28" s="273">
        <v>8.5229999999999993E-3</v>
      </c>
      <c r="CI28" s="273">
        <v>2.3879999999999999E-3</v>
      </c>
      <c r="CJ28" s="273">
        <v>1.33E-3</v>
      </c>
      <c r="CK28" s="273">
        <v>6.7500000000000004E-4</v>
      </c>
      <c r="CL28" s="273">
        <v>2.0599999999999999E-4</v>
      </c>
      <c r="CM28" s="273">
        <v>2.1000000000000001E-4</v>
      </c>
      <c r="CN28" s="273">
        <v>4.6299999999999998E-4</v>
      </c>
      <c r="CO28" s="273">
        <v>3.1329999999999997E-2</v>
      </c>
      <c r="CP28" s="273">
        <v>2.3045E-2</v>
      </c>
      <c r="CQ28" s="273">
        <v>6.3599999999999996E-4</v>
      </c>
      <c r="CR28" s="273">
        <v>1.142E-3</v>
      </c>
      <c r="CS28" s="273">
        <v>1.1235999999999999E-2</v>
      </c>
      <c r="CT28" s="273">
        <v>1.6077000000000001E-2</v>
      </c>
      <c r="CU28" s="273">
        <f t="shared" si="96"/>
        <v>7.1460959999999991E-6</v>
      </c>
      <c r="CV28" s="273">
        <f t="shared" si="82"/>
        <v>1.8359934E-5</v>
      </c>
      <c r="CW28" s="273">
        <v>0.18776699999999999</v>
      </c>
      <c r="CX28" s="273">
        <v>0.42771300000000001</v>
      </c>
      <c r="CY28" s="273">
        <f t="shared" si="97"/>
        <v>1.1941981199999998E-4</v>
      </c>
      <c r="CZ28" s="273">
        <f t="shared" si="83"/>
        <v>4.8844824600000004E-4</v>
      </c>
      <c r="DA28" s="273">
        <v>6.0000000000000002E-6</v>
      </c>
      <c r="DB28" s="273">
        <v>2.1800000000000001E-4</v>
      </c>
      <c r="DC28" s="273">
        <f t="shared" si="98"/>
        <v>5.0943409199999997E-4</v>
      </c>
      <c r="DD28" s="273">
        <f t="shared" si="84"/>
        <v>6.3519181999999988E-4</v>
      </c>
      <c r="DE28" s="273">
        <v>6.0999999999999999E-5</v>
      </c>
      <c r="DF28" s="273">
        <v>1.11E-4</v>
      </c>
      <c r="DG28" s="273">
        <f t="shared" si="99"/>
        <v>1.9356590799999998E-4</v>
      </c>
      <c r="DH28" s="273">
        <f t="shared" si="85"/>
        <v>8.3580817999999999E-4</v>
      </c>
      <c r="DI28" s="273">
        <v>3.4E-5</v>
      </c>
      <c r="DJ28" s="273">
        <v>3.1999999999999999E-5</v>
      </c>
      <c r="DK28" s="273">
        <v>6.9999999999999994E-5</v>
      </c>
      <c r="DL28" s="273">
        <v>4.3000000000000002E-5</v>
      </c>
      <c r="DM28" s="273">
        <f t="shared" si="100"/>
        <v>1.0399999999999999E-4</v>
      </c>
      <c r="DN28" s="273">
        <f t="shared" si="86"/>
        <v>7.5000000000000007E-5</v>
      </c>
      <c r="DO28" s="273">
        <v>1.2669999999999999E-3</v>
      </c>
      <c r="DP28" s="273">
        <v>6.4999999999999997E-4</v>
      </c>
      <c r="DQ28" s="273">
        <v>1.41E-3</v>
      </c>
      <c r="DR28" s="273">
        <v>6.4400000000000004E-4</v>
      </c>
      <c r="DS28" s="273">
        <v>1.9082999999999999E-2</v>
      </c>
      <c r="DT28" s="273">
        <v>1.0283E-2</v>
      </c>
      <c r="DU28" s="273">
        <v>1.5950000000000001E-3</v>
      </c>
      <c r="DV28" s="273">
        <v>1.0610000000000001E-3</v>
      </c>
      <c r="DW28" s="273">
        <v>4.0188000000000001E-2</v>
      </c>
      <c r="DX28" s="273">
        <v>4.0188000000000001E-2</v>
      </c>
      <c r="DY28" s="273">
        <v>5.7007000000000002E-2</v>
      </c>
      <c r="DZ28" s="273">
        <v>6.3477000000000006E-2</v>
      </c>
      <c r="EA28" s="273">
        <v>2.9E-5</v>
      </c>
      <c r="EB28" s="273">
        <v>4.1E-5</v>
      </c>
      <c r="EC28" s="273">
        <v>3.5130000000000001E-3</v>
      </c>
      <c r="ED28" s="273">
        <v>3.7799999999999999E-3</v>
      </c>
      <c r="EE28" s="273"/>
      <c r="EF28" s="274"/>
    </row>
    <row r="29" spans="2:136" s="249" customFormat="1" ht="17.399999999999999">
      <c r="B29" s="286">
        <v>22</v>
      </c>
      <c r="C29" s="273">
        <v>9.0000000000000002E-6</v>
      </c>
      <c r="D29" s="273">
        <v>1.0000000000000001E-5</v>
      </c>
      <c r="E29" s="273">
        <v>3.8000000000000002E-5</v>
      </c>
      <c r="F29" s="273">
        <v>1.5999999999999999E-5</v>
      </c>
      <c r="G29" s="273">
        <v>3.1300000000000002E-4</v>
      </c>
      <c r="H29" s="273">
        <v>2.0799999999999999E-4</v>
      </c>
      <c r="I29" s="273">
        <v>4.7000000000000004E-5</v>
      </c>
      <c r="J29" s="273">
        <v>2.6000000000000002E-5</v>
      </c>
      <c r="K29" s="273">
        <v>1.5300000000000001E-4</v>
      </c>
      <c r="L29" s="273">
        <v>7.3999999999999996E-5</v>
      </c>
      <c r="M29" s="273">
        <f t="shared" si="87"/>
        <v>3.1697461600000001E-4</v>
      </c>
      <c r="N29" s="273">
        <f t="shared" si="77"/>
        <v>3.9924920999999993E-4</v>
      </c>
      <c r="O29" s="273">
        <f t="shared" si="88"/>
        <v>3.0432800000000002E-7</v>
      </c>
      <c r="P29" s="273">
        <f t="shared" si="89"/>
        <v>2.7085709999999998E-5</v>
      </c>
      <c r="Q29" s="273">
        <v>4.3600000000000003E-4</v>
      </c>
      <c r="R29" s="273">
        <v>9.5500000000000001E-4</v>
      </c>
      <c r="S29" s="273">
        <v>0</v>
      </c>
      <c r="T29" s="273">
        <v>2.8361999999999998E-2</v>
      </c>
      <c r="U29" s="273">
        <v>6.9800000000000005E-4</v>
      </c>
      <c r="V29" s="273">
        <v>0</v>
      </c>
      <c r="W29" s="273">
        <v>2.027E-2</v>
      </c>
      <c r="X29" s="273">
        <v>8.4749999999999999E-3</v>
      </c>
      <c r="Y29" s="273">
        <f t="shared" si="90"/>
        <v>8.8377199999999998E-6</v>
      </c>
      <c r="Z29" s="273">
        <f t="shared" si="78"/>
        <v>8.0936249999999999E-6</v>
      </c>
      <c r="AA29" s="273">
        <v>0.24107200000000001</v>
      </c>
      <c r="AB29" s="273">
        <v>0.54173800000000005</v>
      </c>
      <c r="AC29" s="273">
        <f t="shared" si="91"/>
        <v>1.0510739200000001E-4</v>
      </c>
      <c r="AD29" s="273">
        <f t="shared" si="79"/>
        <v>5.173597900000001E-4</v>
      </c>
      <c r="AE29" s="273">
        <v>9.3980000000000001E-3</v>
      </c>
      <c r="AF29" s="273">
        <v>3.258E-3</v>
      </c>
      <c r="AG29" s="273">
        <f t="shared" si="92"/>
        <v>4.0975280000000001E-6</v>
      </c>
      <c r="AH29" s="273">
        <f t="shared" si="80"/>
        <v>3.1113900000000001E-6</v>
      </c>
      <c r="AI29" s="273">
        <v>1.5560000000000001E-3</v>
      </c>
      <c r="AJ29" s="273">
        <v>1.05E-4</v>
      </c>
      <c r="AK29" s="273">
        <f t="shared" si="93"/>
        <v>6.7841600000000006E-7</v>
      </c>
      <c r="AL29" s="273">
        <f t="shared" si="81"/>
        <v>1.00275E-7</v>
      </c>
      <c r="AM29" s="273">
        <f t="shared" si="94"/>
        <v>1.6948017600000001E-4</v>
      </c>
      <c r="AN29" s="273">
        <f t="shared" si="95"/>
        <v>1.4970866500000002E-4</v>
      </c>
      <c r="AO29" s="273">
        <v>0.38871600000000001</v>
      </c>
      <c r="AP29" s="273">
        <v>0.15676300000000001</v>
      </c>
      <c r="AQ29" s="273">
        <v>9.0000000000000002E-6</v>
      </c>
      <c r="AR29" s="273">
        <v>3.5500000000000001E-4</v>
      </c>
      <c r="AS29" s="273">
        <v>4.8999999999999998E-5</v>
      </c>
      <c r="AT29" s="273">
        <v>1.13E-4</v>
      </c>
      <c r="AU29" s="273">
        <v>2.5000000000000001E-5</v>
      </c>
      <c r="AV29" s="273">
        <v>1.9000000000000001E-5</v>
      </c>
      <c r="AW29" s="273">
        <v>1.7E-5</v>
      </c>
      <c r="AX29" s="273">
        <v>5.0000000000000004E-6</v>
      </c>
      <c r="AY29" s="273">
        <v>1.5999999999999999E-5</v>
      </c>
      <c r="AZ29" s="273">
        <v>2.0999999999999999E-5</v>
      </c>
      <c r="BA29" s="273">
        <v>4.1E-5</v>
      </c>
      <c r="BB29" s="273">
        <v>9.1000000000000003E-5</v>
      </c>
      <c r="BC29" s="273">
        <v>0</v>
      </c>
      <c r="BD29" s="273">
        <v>0</v>
      </c>
      <c r="BE29" s="273">
        <v>3.0000000000000001E-6</v>
      </c>
      <c r="BF29" s="273">
        <v>3.0000000000000001E-6</v>
      </c>
      <c r="BG29" s="273">
        <v>5.5000000000000002E-5</v>
      </c>
      <c r="BH29" s="273">
        <v>3.4E-5</v>
      </c>
      <c r="BI29" s="273">
        <v>2.4000000000000001E-5</v>
      </c>
      <c r="BJ29" s="273">
        <v>1.7E-5</v>
      </c>
      <c r="BK29" s="273">
        <v>6.9999999999999994E-5</v>
      </c>
      <c r="BL29" s="273">
        <v>2.1999999999999999E-5</v>
      </c>
      <c r="BM29" s="273">
        <v>4.1999999999999998E-5</v>
      </c>
      <c r="BN29" s="273">
        <v>6.8999999999999997E-5</v>
      </c>
      <c r="BO29" s="273">
        <v>7.5000000000000002E-4</v>
      </c>
      <c r="BP29" s="273">
        <v>2.4499999999999999E-4</v>
      </c>
      <c r="BQ29" s="273">
        <v>5.3000000000000001E-5</v>
      </c>
      <c r="BR29" s="273">
        <v>4.0000000000000003E-5</v>
      </c>
      <c r="BS29" s="273">
        <v>2.9E-5</v>
      </c>
      <c r="BT29" s="273">
        <v>1.0000000000000001E-5</v>
      </c>
      <c r="BU29" s="273">
        <v>3.4400000000000001E-4</v>
      </c>
      <c r="BV29" s="273">
        <v>2.6499999999999999E-4</v>
      </c>
      <c r="BW29" s="273">
        <v>0.77916799999999997</v>
      </c>
      <c r="BX29" s="273">
        <v>0.49848999999999999</v>
      </c>
      <c r="BY29" s="273">
        <v>0.106151</v>
      </c>
      <c r="BZ29" s="273">
        <v>5.9554000000000003E-2</v>
      </c>
      <c r="CA29" s="273">
        <v>1.1450999999999999E-2</v>
      </c>
      <c r="CB29" s="273">
        <v>5.0819999999999997E-3</v>
      </c>
      <c r="CC29" s="273">
        <v>1.1400000000000001E-4</v>
      </c>
      <c r="CD29" s="273">
        <v>3.6999999999999998E-5</v>
      </c>
      <c r="CE29" s="273">
        <v>1.7270000000000001E-2</v>
      </c>
      <c r="CF29" s="273">
        <v>1.5879000000000001E-2</v>
      </c>
      <c r="CG29" s="273">
        <v>1.3991999999999999E-2</v>
      </c>
      <c r="CH29" s="273">
        <v>9.1389999999999996E-3</v>
      </c>
      <c r="CI29" s="273">
        <v>2.5769999999999999E-3</v>
      </c>
      <c r="CJ29" s="273">
        <v>1.534E-3</v>
      </c>
      <c r="CK29" s="273">
        <v>5.4600000000000004E-4</v>
      </c>
      <c r="CL29" s="273">
        <v>1.93E-4</v>
      </c>
      <c r="CM29" s="273">
        <v>2.1699999999999999E-4</v>
      </c>
      <c r="CN29" s="273">
        <v>5.4299999999999997E-4</v>
      </c>
      <c r="CO29" s="273">
        <v>3.2395E-2</v>
      </c>
      <c r="CP29" s="273">
        <v>2.5537000000000001E-2</v>
      </c>
      <c r="CQ29" s="273">
        <v>6.8400000000000004E-4</v>
      </c>
      <c r="CR29" s="273">
        <v>1.322E-3</v>
      </c>
      <c r="CS29" s="273">
        <v>1.2987E-2</v>
      </c>
      <c r="CT29" s="273">
        <v>1.4925000000000001E-2</v>
      </c>
      <c r="CU29" s="273">
        <f t="shared" si="96"/>
        <v>8.8831079999999999E-6</v>
      </c>
      <c r="CV29" s="273">
        <f t="shared" si="82"/>
        <v>1.9730850000000001E-5</v>
      </c>
      <c r="CW29" s="273">
        <v>0.210924</v>
      </c>
      <c r="CX29" s="273">
        <v>0.47056799999999999</v>
      </c>
      <c r="CY29" s="273">
        <f t="shared" si="97"/>
        <v>1.4427201600000002E-4</v>
      </c>
      <c r="CZ29" s="273">
        <f t="shared" si="83"/>
        <v>6.2209089600000005E-4</v>
      </c>
      <c r="DA29" s="273">
        <v>6.9999999999999999E-6</v>
      </c>
      <c r="DB29" s="273">
        <v>2.9399999999999999E-4</v>
      </c>
      <c r="DC29" s="273">
        <f t="shared" si="98"/>
        <v>5.3084487600000001E-4</v>
      </c>
      <c r="DD29" s="273">
        <f t="shared" si="84"/>
        <v>6.8017825399999999E-4</v>
      </c>
      <c r="DE29" s="273">
        <v>6.2000000000000003E-5</v>
      </c>
      <c r="DF29" s="273">
        <v>1.1900000000000001E-4</v>
      </c>
      <c r="DG29" s="273">
        <f t="shared" si="99"/>
        <v>2.2215512400000002E-4</v>
      </c>
      <c r="DH29" s="273">
        <f t="shared" si="85"/>
        <v>1.0548217460000001E-3</v>
      </c>
      <c r="DI29" s="273">
        <v>3.3000000000000003E-5</v>
      </c>
      <c r="DJ29" s="273">
        <v>3.1999999999999999E-5</v>
      </c>
      <c r="DK29" s="273">
        <v>6.7999999999999999E-5</v>
      </c>
      <c r="DL29" s="273">
        <v>4.6E-5</v>
      </c>
      <c r="DM29" s="273">
        <f t="shared" si="100"/>
        <v>1.01E-4</v>
      </c>
      <c r="DN29" s="273">
        <f t="shared" si="86"/>
        <v>7.7999999999999999E-5</v>
      </c>
      <c r="DO29" s="273">
        <v>1.4270000000000001E-3</v>
      </c>
      <c r="DP29" s="273">
        <v>7.3800000000000005E-4</v>
      </c>
      <c r="DQ29" s="273">
        <v>1.526E-3</v>
      </c>
      <c r="DR29" s="273">
        <v>6.9300000000000004E-4</v>
      </c>
      <c r="DS29" s="273">
        <v>1.7291000000000001E-2</v>
      </c>
      <c r="DT29" s="273">
        <v>1.0093E-2</v>
      </c>
      <c r="DU29" s="273">
        <v>1.516E-3</v>
      </c>
      <c r="DV29" s="273">
        <v>1.1360000000000001E-3</v>
      </c>
      <c r="DW29" s="273">
        <v>4.0188000000000001E-2</v>
      </c>
      <c r="DX29" s="273">
        <v>4.0188000000000001E-2</v>
      </c>
      <c r="DY29" s="273">
        <v>5.5898000000000003E-2</v>
      </c>
      <c r="DZ29" s="273">
        <v>6.1838999999999998E-2</v>
      </c>
      <c r="EA29" s="273">
        <v>2.8E-5</v>
      </c>
      <c r="EB29" s="273">
        <v>4.1999999999999998E-5</v>
      </c>
      <c r="EC29" s="273">
        <v>3.4840000000000001E-3</v>
      </c>
      <c r="ED29" s="273">
        <v>3.761E-3</v>
      </c>
      <c r="EE29" s="273"/>
      <c r="EF29" s="274"/>
    </row>
    <row r="30" spans="2:136" s="249" customFormat="1" ht="17.399999999999999">
      <c r="B30" s="286">
        <v>23</v>
      </c>
      <c r="C30" s="273">
        <v>9.0000000000000002E-6</v>
      </c>
      <c r="D30" s="273">
        <v>1.1E-5</v>
      </c>
      <c r="E30" s="273">
        <v>3.8000000000000002E-5</v>
      </c>
      <c r="F30" s="273">
        <v>1.5999999999999999E-5</v>
      </c>
      <c r="G30" s="273">
        <v>3.3199999999999999E-4</v>
      </c>
      <c r="H30" s="273">
        <v>2.2000000000000001E-4</v>
      </c>
      <c r="I30" s="273">
        <v>4.7000000000000004E-5</v>
      </c>
      <c r="J30" s="273">
        <v>2.6999999999999999E-5</v>
      </c>
      <c r="K30" s="273">
        <v>1.5300000000000001E-4</v>
      </c>
      <c r="L30" s="273">
        <v>7.3999999999999996E-5</v>
      </c>
      <c r="M30" s="273">
        <f t="shared" si="87"/>
        <v>3.4655799500000009E-4</v>
      </c>
      <c r="N30" s="273">
        <f t="shared" si="77"/>
        <v>4.6522009800000006E-4</v>
      </c>
      <c r="O30" s="273">
        <f t="shared" si="88"/>
        <v>3.7524799999999997E-7</v>
      </c>
      <c r="P30" s="273">
        <f t="shared" si="89"/>
        <v>3.9576430000000005E-5</v>
      </c>
      <c r="Q30" s="273">
        <v>4.9899999999999999E-4</v>
      </c>
      <c r="R30" s="273">
        <v>1.1540000000000001E-3</v>
      </c>
      <c r="S30" s="273">
        <v>0</v>
      </c>
      <c r="T30" s="273">
        <v>3.4294999999999999E-2</v>
      </c>
      <c r="U30" s="273">
        <v>7.5199999999999996E-4</v>
      </c>
      <c r="V30" s="273">
        <v>0</v>
      </c>
      <c r="W30" s="273">
        <v>1.7646999999999999E-2</v>
      </c>
      <c r="X30" s="273">
        <v>8.4030000000000007E-3</v>
      </c>
      <c r="Y30" s="273">
        <f t="shared" si="90"/>
        <v>8.8058529999999996E-6</v>
      </c>
      <c r="Z30" s="273">
        <f t="shared" si="78"/>
        <v>9.6970620000000018E-6</v>
      </c>
      <c r="AA30" s="273">
        <v>0.27507399999999999</v>
      </c>
      <c r="AB30" s="273">
        <v>0.55060799999999999</v>
      </c>
      <c r="AC30" s="273">
        <f t="shared" si="91"/>
        <v>1.37261926E-4</v>
      </c>
      <c r="AD30" s="273">
        <f t="shared" si="79"/>
        <v>6.3540163200000003E-4</v>
      </c>
      <c r="AE30" s="273">
        <v>1.0392E-2</v>
      </c>
      <c r="AF30" s="273">
        <v>3.4510000000000001E-3</v>
      </c>
      <c r="AG30" s="273">
        <f t="shared" si="92"/>
        <v>5.1856080000000002E-6</v>
      </c>
      <c r="AH30" s="273">
        <f t="shared" si="80"/>
        <v>3.9824540000000004E-6</v>
      </c>
      <c r="AI30" s="273">
        <v>1.6299999999999999E-3</v>
      </c>
      <c r="AJ30" s="273">
        <v>1.06E-4</v>
      </c>
      <c r="AK30" s="273">
        <f t="shared" si="93"/>
        <v>8.1336999999999993E-7</v>
      </c>
      <c r="AL30" s="273">
        <f t="shared" si="81"/>
        <v>1.22324E-7</v>
      </c>
      <c r="AM30" s="273">
        <f t="shared" si="94"/>
        <v>1.7673631900000001E-4</v>
      </c>
      <c r="AN30" s="273">
        <f t="shared" si="95"/>
        <v>1.6310635999999999E-4</v>
      </c>
      <c r="AO30" s="273">
        <v>0.35418100000000002</v>
      </c>
      <c r="AP30" s="273">
        <v>0.14133999999999999</v>
      </c>
      <c r="AQ30" s="273">
        <v>1.0000000000000001E-5</v>
      </c>
      <c r="AR30" s="273">
        <v>4.0099999999999999E-4</v>
      </c>
      <c r="AS30" s="273">
        <v>5.1999999999999997E-5</v>
      </c>
      <c r="AT30" s="273">
        <v>1.2400000000000001E-4</v>
      </c>
      <c r="AU30" s="273">
        <v>2.6999999999999999E-5</v>
      </c>
      <c r="AV30" s="273">
        <v>2.0000000000000002E-5</v>
      </c>
      <c r="AW30" s="273">
        <v>1.7E-5</v>
      </c>
      <c r="AX30" s="273">
        <v>5.0000000000000004E-6</v>
      </c>
      <c r="AY30" s="273">
        <v>1.5999999999999999E-5</v>
      </c>
      <c r="AZ30" s="273">
        <v>2.1999999999999999E-5</v>
      </c>
      <c r="BA30" s="273">
        <v>4.3000000000000002E-5</v>
      </c>
      <c r="BB30" s="273">
        <v>9.8999999999999994E-5</v>
      </c>
      <c r="BC30" s="273">
        <v>0</v>
      </c>
      <c r="BD30" s="273">
        <v>0</v>
      </c>
      <c r="BE30" s="273">
        <v>3.0000000000000001E-6</v>
      </c>
      <c r="BF30" s="273">
        <v>3.0000000000000001E-6</v>
      </c>
      <c r="BG30" s="273">
        <v>5.3000000000000001E-5</v>
      </c>
      <c r="BH30" s="273">
        <v>3.4E-5</v>
      </c>
      <c r="BI30" s="273">
        <v>2.5000000000000001E-5</v>
      </c>
      <c r="BJ30" s="273">
        <v>1.9000000000000001E-5</v>
      </c>
      <c r="BK30" s="273">
        <v>6.3999999999999997E-5</v>
      </c>
      <c r="BL30" s="273">
        <v>2.6999999999999999E-5</v>
      </c>
      <c r="BM30" s="273">
        <v>4.1999999999999998E-5</v>
      </c>
      <c r="BN30" s="273">
        <v>7.2000000000000002E-5</v>
      </c>
      <c r="BO30" s="273">
        <v>7.4600000000000003E-4</v>
      </c>
      <c r="BP30" s="273">
        <v>2.5500000000000002E-4</v>
      </c>
      <c r="BQ30" s="273">
        <v>5.5000000000000002E-5</v>
      </c>
      <c r="BR30" s="273">
        <v>4.1999999999999998E-5</v>
      </c>
      <c r="BS30" s="273">
        <v>3.3000000000000003E-5</v>
      </c>
      <c r="BT30" s="273">
        <v>1.0000000000000001E-5</v>
      </c>
      <c r="BU30" s="273">
        <v>3.6099999999999999E-4</v>
      </c>
      <c r="BV30" s="273">
        <v>2.7399999999999999E-4</v>
      </c>
      <c r="BW30" s="273">
        <v>0.77046599999999998</v>
      </c>
      <c r="BX30" s="273">
        <v>0.53119899999999998</v>
      </c>
      <c r="BY30" s="273">
        <v>0.102253</v>
      </c>
      <c r="BZ30" s="273">
        <v>6.1044000000000001E-2</v>
      </c>
      <c r="CA30" s="273">
        <v>1.1564E-2</v>
      </c>
      <c r="CB30" s="273">
        <v>5.3930000000000002E-3</v>
      </c>
      <c r="CC30" s="273">
        <v>1.2799999999999999E-4</v>
      </c>
      <c r="CD30" s="273">
        <v>4.1E-5</v>
      </c>
      <c r="CE30" s="273">
        <v>1.7305999999999998E-2</v>
      </c>
      <c r="CF30" s="273">
        <v>1.8061000000000001E-2</v>
      </c>
      <c r="CG30" s="273">
        <v>1.46E-2</v>
      </c>
      <c r="CH30" s="273">
        <v>1.0019E-2</v>
      </c>
      <c r="CI30" s="273">
        <v>2.6919999999999999E-3</v>
      </c>
      <c r="CJ30" s="273">
        <v>1.691E-3</v>
      </c>
      <c r="CK30" s="273">
        <v>5.1199999999999998E-4</v>
      </c>
      <c r="CL30" s="273">
        <v>2.12E-4</v>
      </c>
      <c r="CM30" s="273">
        <v>2.6699999999999998E-4</v>
      </c>
      <c r="CN30" s="273">
        <v>6.3500000000000004E-4</v>
      </c>
      <c r="CO30" s="273">
        <v>3.3055000000000001E-2</v>
      </c>
      <c r="CP30" s="273">
        <v>2.8608000000000001E-2</v>
      </c>
      <c r="CQ30" s="273">
        <v>7.5000000000000002E-4</v>
      </c>
      <c r="CR30" s="273">
        <v>1.5319999999999999E-3</v>
      </c>
      <c r="CS30" s="273">
        <v>1.4218E-2</v>
      </c>
      <c r="CT30" s="273">
        <v>1.4977000000000001E-2</v>
      </c>
      <c r="CU30" s="273">
        <f t="shared" si="96"/>
        <v>1.06635E-5</v>
      </c>
      <c r="CV30" s="273">
        <f t="shared" si="82"/>
        <v>2.2944763999999999E-5</v>
      </c>
      <c r="CW30" s="273">
        <v>0.25477699999999998</v>
      </c>
      <c r="CX30" s="273">
        <v>0.48422700000000002</v>
      </c>
      <c r="CY30" s="273">
        <f t="shared" si="97"/>
        <v>1.9108274999999998E-4</v>
      </c>
      <c r="CZ30" s="273">
        <f t="shared" si="83"/>
        <v>7.4183576400000003E-4</v>
      </c>
      <c r="DA30" s="273">
        <v>9.0000000000000002E-6</v>
      </c>
      <c r="DB30" s="273">
        <v>3.8900000000000002E-4</v>
      </c>
      <c r="DC30" s="273">
        <f t="shared" si="98"/>
        <v>5.4825375E-4</v>
      </c>
      <c r="DD30" s="273">
        <f t="shared" si="84"/>
        <v>7.6721947199999993E-4</v>
      </c>
      <c r="DE30" s="273">
        <v>6.4999999999999994E-5</v>
      </c>
      <c r="DF30" s="273">
        <v>1.2799999999999999E-4</v>
      </c>
      <c r="DG30" s="273">
        <f t="shared" si="99"/>
        <v>2.7574624999999998E-4</v>
      </c>
      <c r="DH30" s="273">
        <f t="shared" si="85"/>
        <v>1.2817805280000002E-3</v>
      </c>
      <c r="DI30" s="273">
        <v>4.5000000000000003E-5</v>
      </c>
      <c r="DJ30" s="273">
        <v>3.4E-5</v>
      </c>
      <c r="DK30" s="273">
        <v>6.7999999999999999E-5</v>
      </c>
      <c r="DL30" s="273">
        <v>5.0000000000000002E-5</v>
      </c>
      <c r="DM30" s="273">
        <f t="shared" si="100"/>
        <v>1.1300000000000001E-4</v>
      </c>
      <c r="DN30" s="273">
        <f t="shared" si="86"/>
        <v>8.4000000000000009E-5</v>
      </c>
      <c r="DO30" s="273">
        <v>1.539E-3</v>
      </c>
      <c r="DP30" s="273">
        <v>8.12E-4</v>
      </c>
      <c r="DQ30" s="273">
        <v>1.5950000000000001E-3</v>
      </c>
      <c r="DR30" s="273">
        <v>7.45E-4</v>
      </c>
      <c r="DS30" s="273">
        <v>1.6291E-2</v>
      </c>
      <c r="DT30" s="273">
        <v>1.0125E-2</v>
      </c>
      <c r="DU30" s="273">
        <v>1.4530000000000001E-3</v>
      </c>
      <c r="DV30" s="273">
        <v>1.193E-3</v>
      </c>
      <c r="DW30" s="273">
        <v>4.0188000000000001E-2</v>
      </c>
      <c r="DX30" s="273">
        <v>4.0188000000000001E-2</v>
      </c>
      <c r="DY30" s="273">
        <v>5.5455999999999998E-2</v>
      </c>
      <c r="DZ30" s="273">
        <v>6.1462999999999997E-2</v>
      </c>
      <c r="EA30" s="273">
        <v>2.6999999999999999E-5</v>
      </c>
      <c r="EB30" s="273">
        <v>4.3999999999999999E-5</v>
      </c>
      <c r="EC30" s="273">
        <v>3.4550000000000002E-3</v>
      </c>
      <c r="ED30" s="273">
        <v>3.7429999999999998E-3</v>
      </c>
      <c r="EE30" s="273"/>
      <c r="EF30" s="274"/>
    </row>
    <row r="31" spans="2:136" s="249" customFormat="1" ht="17.399999999999999">
      <c r="B31" s="286">
        <v>24</v>
      </c>
      <c r="C31" s="273">
        <v>9.0000000000000002E-6</v>
      </c>
      <c r="D31" s="273">
        <v>1.1E-5</v>
      </c>
      <c r="E31" s="273">
        <v>3.8000000000000002E-5</v>
      </c>
      <c r="F31" s="273">
        <v>1.5999999999999999E-5</v>
      </c>
      <c r="G31" s="273">
        <v>3.5100000000000002E-4</v>
      </c>
      <c r="H31" s="273">
        <v>2.31E-4</v>
      </c>
      <c r="I31" s="273">
        <v>4.7000000000000004E-5</v>
      </c>
      <c r="J31" s="273">
        <v>2.6999999999999999E-5</v>
      </c>
      <c r="K31" s="273">
        <v>1.5300000000000001E-4</v>
      </c>
      <c r="L31" s="273">
        <v>7.3999999999999996E-5</v>
      </c>
      <c r="M31" s="273">
        <f t="shared" si="87"/>
        <v>3.7769868000000004E-4</v>
      </c>
      <c r="N31" s="273">
        <f t="shared" si="77"/>
        <v>5.3792153499999994E-4</v>
      </c>
      <c r="O31" s="273">
        <f t="shared" si="88"/>
        <v>4.6241100000000005E-7</v>
      </c>
      <c r="P31" s="273">
        <f t="shared" si="89"/>
        <v>5.5717165E-5</v>
      </c>
      <c r="Q31" s="273">
        <v>5.7300000000000005E-4</v>
      </c>
      <c r="R31" s="273">
        <v>1.3849999999999999E-3</v>
      </c>
      <c r="S31" s="273">
        <v>0</v>
      </c>
      <c r="T31" s="273">
        <v>4.0229000000000001E-2</v>
      </c>
      <c r="U31" s="273">
        <v>8.0699999999999999E-4</v>
      </c>
      <c r="V31" s="273">
        <v>0</v>
      </c>
      <c r="W31" s="273">
        <v>1.7857000000000001E-2</v>
      </c>
      <c r="X31" s="273">
        <v>8.1399999999999997E-3</v>
      </c>
      <c r="Y31" s="273">
        <f t="shared" si="90"/>
        <v>1.0232061000000002E-5</v>
      </c>
      <c r="Z31" s="273">
        <f t="shared" si="78"/>
        <v>1.1273899999999999E-5</v>
      </c>
      <c r="AA31" s="273">
        <v>0.309087</v>
      </c>
      <c r="AB31" s="273">
        <v>0.55948900000000001</v>
      </c>
      <c r="AC31" s="273">
        <f t="shared" si="91"/>
        <v>1.7710685100000002E-4</v>
      </c>
      <c r="AD31" s="273">
        <f t="shared" si="79"/>
        <v>7.7489226500000003E-4</v>
      </c>
      <c r="AE31" s="273">
        <v>1.1386E-2</v>
      </c>
      <c r="AF31" s="273">
        <v>3.643E-3</v>
      </c>
      <c r="AG31" s="273">
        <f t="shared" si="92"/>
        <v>6.5241780000000008E-6</v>
      </c>
      <c r="AH31" s="273">
        <f t="shared" si="80"/>
        <v>5.0455549999999998E-6</v>
      </c>
      <c r="AI31" s="273">
        <v>1.7030000000000001E-3</v>
      </c>
      <c r="AJ31" s="273">
        <v>1.08E-4</v>
      </c>
      <c r="AK31" s="273">
        <f t="shared" si="93"/>
        <v>9.7581900000000014E-7</v>
      </c>
      <c r="AL31" s="273">
        <f t="shared" si="81"/>
        <v>1.4957999999999999E-7</v>
      </c>
      <c r="AM31" s="273">
        <f t="shared" si="94"/>
        <v>1.83157158E-4</v>
      </c>
      <c r="AN31" s="273">
        <f t="shared" si="95"/>
        <v>1.7439366E-4</v>
      </c>
      <c r="AO31" s="273">
        <v>0.31964599999999999</v>
      </c>
      <c r="AP31" s="273">
        <v>0.125916</v>
      </c>
      <c r="AQ31" s="273">
        <v>1.1E-5</v>
      </c>
      <c r="AR31" s="273">
        <v>4.5100000000000001E-4</v>
      </c>
      <c r="AS31" s="273">
        <v>5.5000000000000002E-5</v>
      </c>
      <c r="AT31" s="273">
        <v>1.37E-4</v>
      </c>
      <c r="AU31" s="273">
        <v>3.0000000000000001E-5</v>
      </c>
      <c r="AV31" s="273">
        <v>2.1999999999999999E-5</v>
      </c>
      <c r="AW31" s="273">
        <v>1.5999999999999999E-5</v>
      </c>
      <c r="AX31" s="273">
        <v>5.0000000000000004E-6</v>
      </c>
      <c r="AY31" s="273">
        <v>1.5999999999999999E-5</v>
      </c>
      <c r="AZ31" s="273">
        <v>2.3E-5</v>
      </c>
      <c r="BA31" s="273">
        <v>4.5000000000000003E-5</v>
      </c>
      <c r="BB31" s="273">
        <v>1.07E-4</v>
      </c>
      <c r="BC31" s="273">
        <v>0</v>
      </c>
      <c r="BD31" s="273">
        <v>0</v>
      </c>
      <c r="BE31" s="273">
        <v>3.0000000000000001E-6</v>
      </c>
      <c r="BF31" s="273">
        <v>3.0000000000000001E-6</v>
      </c>
      <c r="BG31" s="273">
        <v>5.1E-5</v>
      </c>
      <c r="BH31" s="273">
        <v>3.4E-5</v>
      </c>
      <c r="BI31" s="273">
        <v>2.5999999999999998E-5</v>
      </c>
      <c r="BJ31" s="273">
        <v>2.1999999999999999E-5</v>
      </c>
      <c r="BK31" s="273">
        <v>5.5000000000000002E-5</v>
      </c>
      <c r="BL31" s="273">
        <v>3.6999999999999998E-5</v>
      </c>
      <c r="BM31" s="273">
        <v>4.1E-5</v>
      </c>
      <c r="BN31" s="273">
        <v>7.4999999999999993E-5</v>
      </c>
      <c r="BO31" s="273">
        <v>7.2900000000000005E-4</v>
      </c>
      <c r="BP31" s="273">
        <v>2.6600000000000001E-4</v>
      </c>
      <c r="BQ31" s="273">
        <v>5.8E-5</v>
      </c>
      <c r="BR31" s="273">
        <v>4.3999999999999999E-5</v>
      </c>
      <c r="BS31" s="273">
        <v>3.6999999999999998E-5</v>
      </c>
      <c r="BT31" s="273">
        <v>1.1E-5</v>
      </c>
      <c r="BU31" s="273">
        <v>3.8299999999999999E-4</v>
      </c>
      <c r="BV31" s="273">
        <v>2.8499999999999999E-4</v>
      </c>
      <c r="BW31" s="273">
        <v>0.73812900000000004</v>
      </c>
      <c r="BX31" s="273">
        <v>0.56815000000000004</v>
      </c>
      <c r="BY31" s="273">
        <v>9.5722000000000002E-2</v>
      </c>
      <c r="BZ31" s="273">
        <v>6.2673000000000006E-2</v>
      </c>
      <c r="CA31" s="273">
        <v>1.1389E-2</v>
      </c>
      <c r="CB31" s="273">
        <v>5.7650000000000002E-3</v>
      </c>
      <c r="CC31" s="273">
        <v>1.44E-4</v>
      </c>
      <c r="CD31" s="273">
        <v>4.5000000000000003E-5</v>
      </c>
      <c r="CE31" s="273">
        <v>1.7172E-2</v>
      </c>
      <c r="CF31" s="273">
        <v>2.0490999999999999E-2</v>
      </c>
      <c r="CG31" s="273">
        <v>1.5082E-2</v>
      </c>
      <c r="CH31" s="273">
        <v>1.0951000000000001E-2</v>
      </c>
      <c r="CI31" s="273">
        <v>2.784E-3</v>
      </c>
      <c r="CJ31" s="273">
        <v>1.8600000000000001E-3</v>
      </c>
      <c r="CK31" s="273">
        <v>4.73E-4</v>
      </c>
      <c r="CL31" s="273">
        <v>2.32E-4</v>
      </c>
      <c r="CM31" s="273">
        <v>3.1700000000000001E-4</v>
      </c>
      <c r="CN31" s="273">
        <v>7.3800000000000005E-4</v>
      </c>
      <c r="CO31" s="273">
        <v>3.3410000000000002E-2</v>
      </c>
      <c r="CP31" s="273">
        <v>3.1972E-2</v>
      </c>
      <c r="CQ31" s="273">
        <v>8.2700000000000004E-4</v>
      </c>
      <c r="CR31" s="273">
        <v>1.7650000000000001E-3</v>
      </c>
      <c r="CS31" s="273">
        <v>1.2876E-2</v>
      </c>
      <c r="CT31" s="273">
        <v>1.3793E-2</v>
      </c>
      <c r="CU31" s="273">
        <f t="shared" si="96"/>
        <v>1.0648452E-5</v>
      </c>
      <c r="CV31" s="273">
        <f t="shared" si="82"/>
        <v>2.4344645E-5</v>
      </c>
      <c r="CW31" s="273">
        <v>0.29863099999999998</v>
      </c>
      <c r="CX31" s="273">
        <v>0.49788500000000002</v>
      </c>
      <c r="CY31" s="273">
        <f t="shared" si="97"/>
        <v>2.4696783699999997E-4</v>
      </c>
      <c r="CZ31" s="273">
        <f t="shared" si="83"/>
        <v>8.7876702500000003E-4</v>
      </c>
      <c r="DA31" s="273">
        <v>1.0000000000000001E-5</v>
      </c>
      <c r="DB31" s="273">
        <v>5.0199999999999995E-4</v>
      </c>
      <c r="DC31" s="273">
        <f t="shared" si="98"/>
        <v>5.6938371100000011E-4</v>
      </c>
      <c r="DD31" s="273">
        <f t="shared" si="84"/>
        <v>8.6188833000000009E-4</v>
      </c>
      <c r="DE31" s="273">
        <v>6.6000000000000005E-5</v>
      </c>
      <c r="DF31" s="273">
        <v>1.36E-4</v>
      </c>
      <c r="DG31" s="273">
        <f t="shared" si="99"/>
        <v>3.3361628900000005E-4</v>
      </c>
      <c r="DH31" s="273">
        <f t="shared" si="85"/>
        <v>1.5411116700000001E-3</v>
      </c>
      <c r="DI31" s="273">
        <v>5.5999999999999999E-5</v>
      </c>
      <c r="DJ31" s="273">
        <v>3.4999999999999997E-5</v>
      </c>
      <c r="DK31" s="273">
        <v>6.8999999999999997E-5</v>
      </c>
      <c r="DL31" s="273">
        <v>5.5000000000000002E-5</v>
      </c>
      <c r="DM31" s="273">
        <f t="shared" si="100"/>
        <v>1.25E-4</v>
      </c>
      <c r="DN31" s="273">
        <f t="shared" si="86"/>
        <v>8.9999999999999992E-5</v>
      </c>
      <c r="DO31" s="273">
        <v>1.604E-3</v>
      </c>
      <c r="DP31" s="273">
        <v>8.7299999999999997E-4</v>
      </c>
      <c r="DQ31" s="273">
        <v>1.6260000000000001E-3</v>
      </c>
      <c r="DR31" s="273">
        <v>8.03E-4</v>
      </c>
      <c r="DS31" s="273">
        <v>1.5907000000000001E-2</v>
      </c>
      <c r="DT31" s="273">
        <v>1.0331E-2</v>
      </c>
      <c r="DU31" s="273">
        <v>1.4009999999999999E-3</v>
      </c>
      <c r="DV31" s="273">
        <v>1.2359999999999999E-3</v>
      </c>
      <c r="DW31" s="273">
        <v>4.0188000000000001E-2</v>
      </c>
      <c r="DX31" s="273">
        <v>4.0188000000000001E-2</v>
      </c>
      <c r="DY31" s="273">
        <v>5.5511999999999999E-2</v>
      </c>
      <c r="DZ31" s="273">
        <v>6.2114000000000003E-2</v>
      </c>
      <c r="EA31" s="273">
        <v>2.4999999999999998E-5</v>
      </c>
      <c r="EB31" s="273">
        <v>4.6E-5</v>
      </c>
      <c r="EC31" s="273">
        <v>3.4259999999999998E-3</v>
      </c>
      <c r="ED31" s="273">
        <v>3.7239999999999999E-3</v>
      </c>
      <c r="EE31" s="273"/>
      <c r="EF31" s="274"/>
    </row>
    <row r="32" spans="2:136" s="249" customFormat="1" ht="17.399999999999999">
      <c r="B32" s="286">
        <v>25</v>
      </c>
      <c r="C32" s="273">
        <v>1.0000000000000001E-5</v>
      </c>
      <c r="D32" s="273">
        <v>1.1E-5</v>
      </c>
      <c r="E32" s="273">
        <v>3.8000000000000002E-5</v>
      </c>
      <c r="F32" s="273">
        <v>1.5999999999999999E-5</v>
      </c>
      <c r="G32" s="273">
        <v>3.7100000000000002E-4</v>
      </c>
      <c r="H32" s="273">
        <v>2.41E-4</v>
      </c>
      <c r="I32" s="273">
        <v>4.8000000000000001E-5</v>
      </c>
      <c r="J32" s="273">
        <v>2.6999999999999999E-5</v>
      </c>
      <c r="K32" s="273">
        <v>1.5300000000000001E-4</v>
      </c>
      <c r="L32" s="273">
        <v>7.3999999999999996E-5</v>
      </c>
      <c r="M32" s="273">
        <f t="shared" si="87"/>
        <v>4.0696210000000006E-4</v>
      </c>
      <c r="N32" s="273">
        <f t="shared" si="77"/>
        <v>6.1070394999999998E-4</v>
      </c>
      <c r="O32" s="273">
        <f t="shared" si="88"/>
        <v>5.6137200000000001E-7</v>
      </c>
      <c r="P32" s="273">
        <f t="shared" si="89"/>
        <v>7.5244060000000004E-5</v>
      </c>
      <c r="Q32" s="273">
        <v>6.5200000000000002E-4</v>
      </c>
      <c r="R32" s="273">
        <v>1.6299999999999999E-3</v>
      </c>
      <c r="S32" s="273">
        <v>2.212E-3</v>
      </c>
      <c r="T32" s="273">
        <v>4.6162000000000002E-2</v>
      </c>
      <c r="U32" s="273">
        <v>8.61E-4</v>
      </c>
      <c r="V32" s="273">
        <v>0</v>
      </c>
      <c r="W32" s="273">
        <v>1.7698999999999999E-2</v>
      </c>
      <c r="X32" s="273">
        <v>6.8490000000000001E-3</v>
      </c>
      <c r="Y32" s="273">
        <f t="shared" si="90"/>
        <v>1.1539748E-5</v>
      </c>
      <c r="Z32" s="273">
        <f t="shared" si="78"/>
        <v>1.116387E-5</v>
      </c>
      <c r="AA32" s="273">
        <v>0.343109</v>
      </c>
      <c r="AB32" s="273">
        <v>0.56837899999999997</v>
      </c>
      <c r="AC32" s="273">
        <f t="shared" si="91"/>
        <v>2.2370706800000002E-4</v>
      </c>
      <c r="AD32" s="273">
        <f t="shared" si="79"/>
        <v>9.2645776999999996E-4</v>
      </c>
      <c r="AE32" s="273">
        <v>1.238E-2</v>
      </c>
      <c r="AF32" s="273">
        <v>3.836E-3</v>
      </c>
      <c r="AG32" s="273">
        <f t="shared" si="92"/>
        <v>8.0717600000000001E-6</v>
      </c>
      <c r="AH32" s="273">
        <f t="shared" si="80"/>
        <v>6.2526799999999997E-6</v>
      </c>
      <c r="AI32" s="273">
        <v>1.776E-3</v>
      </c>
      <c r="AJ32" s="273">
        <v>1.0900000000000001E-4</v>
      </c>
      <c r="AK32" s="273">
        <f t="shared" si="93"/>
        <v>1.1579520000000001E-6</v>
      </c>
      <c r="AL32" s="273">
        <f t="shared" si="81"/>
        <v>1.7767E-7</v>
      </c>
      <c r="AM32" s="273">
        <f t="shared" si="94"/>
        <v>1.85893024E-4</v>
      </c>
      <c r="AN32" s="273">
        <f t="shared" si="95"/>
        <v>1.8010196000000002E-4</v>
      </c>
      <c r="AO32" s="273">
        <v>0.28511199999999998</v>
      </c>
      <c r="AP32" s="273">
        <v>0.11049200000000001</v>
      </c>
      <c r="AQ32" s="273">
        <v>1.5E-5</v>
      </c>
      <c r="AR32" s="273">
        <v>5.0600000000000005E-4</v>
      </c>
      <c r="AS32" s="273">
        <v>5.8999999999999998E-5</v>
      </c>
      <c r="AT32" s="273">
        <v>1.4999999999999999E-4</v>
      </c>
      <c r="AU32" s="273">
        <v>3.6000000000000001E-5</v>
      </c>
      <c r="AV32" s="273">
        <v>2.5999999999999998E-5</v>
      </c>
      <c r="AW32" s="273">
        <v>1.5999999999999999E-5</v>
      </c>
      <c r="AX32" s="273">
        <v>5.0000000000000004E-6</v>
      </c>
      <c r="AY32" s="273">
        <v>1.5999999999999999E-5</v>
      </c>
      <c r="AZ32" s="273">
        <v>2.4000000000000001E-5</v>
      </c>
      <c r="BA32" s="273">
        <v>4.6999999999999997E-5</v>
      </c>
      <c r="BB32" s="273">
        <v>1.16E-4</v>
      </c>
      <c r="BC32" s="273">
        <v>0</v>
      </c>
      <c r="BD32" s="273">
        <v>0</v>
      </c>
      <c r="BE32" s="273">
        <v>3.0000000000000001E-6</v>
      </c>
      <c r="BF32" s="273">
        <v>3.0000000000000001E-6</v>
      </c>
      <c r="BG32" s="273">
        <v>4.8999999999999998E-5</v>
      </c>
      <c r="BH32" s="273">
        <v>3.4999999999999997E-5</v>
      </c>
      <c r="BI32" s="273">
        <v>2.6999999999999999E-5</v>
      </c>
      <c r="BJ32" s="273">
        <v>2.5000000000000001E-5</v>
      </c>
      <c r="BK32" s="273">
        <v>4.5000000000000003E-5</v>
      </c>
      <c r="BL32" s="273">
        <v>4.8999999999999998E-5</v>
      </c>
      <c r="BM32" s="273">
        <v>4.0000000000000003E-5</v>
      </c>
      <c r="BN32" s="273">
        <v>7.6000000000000004E-5</v>
      </c>
      <c r="BO32" s="273">
        <v>7.0699999999999995E-4</v>
      </c>
      <c r="BP32" s="273">
        <v>2.7700000000000001E-4</v>
      </c>
      <c r="BQ32" s="273">
        <v>6.3E-5</v>
      </c>
      <c r="BR32" s="273">
        <v>4.5000000000000003E-5</v>
      </c>
      <c r="BS32" s="273">
        <v>4.1999999999999998E-5</v>
      </c>
      <c r="BT32" s="273">
        <v>1.2999999999999999E-5</v>
      </c>
      <c r="BU32" s="273">
        <v>4.1100000000000002E-4</v>
      </c>
      <c r="BV32" s="273">
        <v>2.99E-4</v>
      </c>
      <c r="BW32" s="273">
        <v>0.69565399999999999</v>
      </c>
      <c r="BX32" s="273">
        <v>0.607155</v>
      </c>
      <c r="BY32" s="273">
        <v>8.8284000000000001E-2</v>
      </c>
      <c r="BZ32" s="273">
        <v>6.4632999999999996E-2</v>
      </c>
      <c r="CA32" s="273">
        <v>1.1093E-2</v>
      </c>
      <c r="CB32" s="273">
        <v>6.149E-3</v>
      </c>
      <c r="CC32" s="273">
        <v>1.63E-4</v>
      </c>
      <c r="CD32" s="273">
        <v>4.8999999999999998E-5</v>
      </c>
      <c r="CE32" s="273">
        <v>1.6971E-2</v>
      </c>
      <c r="CF32" s="273">
        <v>2.3091E-2</v>
      </c>
      <c r="CG32" s="273">
        <v>1.5520000000000001E-2</v>
      </c>
      <c r="CH32" s="273">
        <v>1.1884E-2</v>
      </c>
      <c r="CI32" s="273">
        <v>2.869E-3</v>
      </c>
      <c r="CJ32" s="273">
        <v>2.0309999999999998E-3</v>
      </c>
      <c r="CK32" s="273">
        <v>4.3100000000000001E-4</v>
      </c>
      <c r="CL32" s="273">
        <v>2.5300000000000002E-4</v>
      </c>
      <c r="CM32" s="273">
        <v>3.6600000000000001E-4</v>
      </c>
      <c r="CN32" s="273">
        <v>8.5099999999999998E-4</v>
      </c>
      <c r="CO32" s="273">
        <v>3.3649999999999999E-2</v>
      </c>
      <c r="CP32" s="273">
        <v>3.5496E-2</v>
      </c>
      <c r="CQ32" s="273">
        <v>9.1E-4</v>
      </c>
      <c r="CR32" s="273">
        <v>2.0089999999999999E-3</v>
      </c>
      <c r="CS32" s="273">
        <v>1.1627999999999999E-2</v>
      </c>
      <c r="CT32" s="273">
        <v>1.2788000000000001E-2</v>
      </c>
      <c r="CU32" s="273">
        <f t="shared" si="96"/>
        <v>1.0581479999999999E-5</v>
      </c>
      <c r="CV32" s="273">
        <f t="shared" si="82"/>
        <v>2.5691092E-5</v>
      </c>
      <c r="CW32" s="273">
        <v>0.34248400000000001</v>
      </c>
      <c r="CX32" s="273">
        <v>0.51154299999999997</v>
      </c>
      <c r="CY32" s="273">
        <f t="shared" si="97"/>
        <v>3.1166043999999998E-4</v>
      </c>
      <c r="CZ32" s="273">
        <f t="shared" si="83"/>
        <v>1.027689887E-3</v>
      </c>
      <c r="DA32" s="273">
        <v>1.1E-5</v>
      </c>
      <c r="DB32" s="273">
        <v>6.2299999999999996E-4</v>
      </c>
      <c r="DC32" s="273">
        <f t="shared" si="98"/>
        <v>5.8775807999999997E-4</v>
      </c>
      <c r="DD32" s="273">
        <f t="shared" si="84"/>
        <v>9.5561902099999992E-4</v>
      </c>
      <c r="DE32" s="273">
        <v>6.7999999999999999E-5</v>
      </c>
      <c r="DF32" s="273">
        <v>1.45E-4</v>
      </c>
      <c r="DG32" s="273">
        <f t="shared" si="99"/>
        <v>4.0124192E-4</v>
      </c>
      <c r="DH32" s="273">
        <f t="shared" si="85"/>
        <v>1.8213809789999998E-3</v>
      </c>
      <c r="DI32" s="273">
        <v>6.7999999999999999E-5</v>
      </c>
      <c r="DJ32" s="273">
        <v>3.4999999999999997E-5</v>
      </c>
      <c r="DK32" s="273">
        <v>7.4999999999999993E-5</v>
      </c>
      <c r="DL32" s="273">
        <v>6.3E-5</v>
      </c>
      <c r="DM32" s="273">
        <f t="shared" si="100"/>
        <v>1.4300000000000001E-4</v>
      </c>
      <c r="DN32" s="273">
        <f t="shared" si="86"/>
        <v>9.7999999999999997E-5</v>
      </c>
      <c r="DO32" s="273">
        <v>1.65E-3</v>
      </c>
      <c r="DP32" s="273">
        <v>9.2800000000000001E-4</v>
      </c>
      <c r="DQ32" s="273">
        <v>1.6410000000000001E-3</v>
      </c>
      <c r="DR32" s="273">
        <v>8.6399999999999997E-4</v>
      </c>
      <c r="DS32" s="273">
        <v>1.5800999999999999E-2</v>
      </c>
      <c r="DT32" s="273">
        <v>1.0616E-2</v>
      </c>
      <c r="DU32" s="273">
        <v>1.3550000000000001E-3</v>
      </c>
      <c r="DV32" s="273">
        <v>1.2719999999999999E-3</v>
      </c>
      <c r="DW32" s="273">
        <v>4.0188000000000001E-2</v>
      </c>
      <c r="DX32" s="273">
        <v>4.0188000000000001E-2</v>
      </c>
      <c r="DY32" s="273">
        <v>5.5798E-2</v>
      </c>
      <c r="DZ32" s="273">
        <v>6.3218999999999997E-2</v>
      </c>
      <c r="EA32" s="273">
        <v>2.8E-5</v>
      </c>
      <c r="EB32" s="273">
        <v>4.8999999999999998E-5</v>
      </c>
      <c r="EC32" s="273">
        <v>3.6120000000000002E-3</v>
      </c>
      <c r="ED32" s="273">
        <v>3.7290000000000001E-3</v>
      </c>
      <c r="EE32" s="273"/>
      <c r="EF32" s="274"/>
    </row>
    <row r="33" spans="2:136" s="249" customFormat="1" ht="17.399999999999999">
      <c r="B33" s="286">
        <v>26</v>
      </c>
      <c r="C33" s="273">
        <v>1.2E-5</v>
      </c>
      <c r="D33" s="273">
        <v>1.1E-5</v>
      </c>
      <c r="E33" s="273">
        <v>3.8000000000000002E-5</v>
      </c>
      <c r="F33" s="273">
        <v>1.5999999999999999E-5</v>
      </c>
      <c r="G33" s="273">
        <v>3.9100000000000002E-4</v>
      </c>
      <c r="H33" s="273">
        <v>2.5099999999999998E-4</v>
      </c>
      <c r="I33" s="273">
        <v>5.0000000000000002E-5</v>
      </c>
      <c r="J33" s="273">
        <v>2.6999999999999999E-5</v>
      </c>
      <c r="K33" s="273">
        <v>1.5300000000000001E-4</v>
      </c>
      <c r="L33" s="273">
        <v>7.3999999999999996E-5</v>
      </c>
      <c r="M33" s="273">
        <f t="shared" si="87"/>
        <v>4.3552447699999995E-4</v>
      </c>
      <c r="N33" s="273">
        <f t="shared" si="77"/>
        <v>6.7388105099999999E-4</v>
      </c>
      <c r="O33" s="273">
        <f t="shared" si="88"/>
        <v>6.7692399999999995E-7</v>
      </c>
      <c r="P33" s="273">
        <f t="shared" si="89"/>
        <v>9.7573935000000014E-5</v>
      </c>
      <c r="Q33" s="273">
        <v>7.3899999999999997E-4</v>
      </c>
      <c r="R33" s="273">
        <v>1.8730000000000001E-3</v>
      </c>
      <c r="S33" s="273">
        <v>1.931E-3</v>
      </c>
      <c r="T33" s="273">
        <v>5.2095000000000002E-2</v>
      </c>
      <c r="U33" s="273">
        <v>9.1600000000000004E-4</v>
      </c>
      <c r="V33" s="273">
        <v>0</v>
      </c>
      <c r="W33" s="273">
        <v>1.7375000000000002E-2</v>
      </c>
      <c r="X33" s="273">
        <v>6.7000000000000002E-3</v>
      </c>
      <c r="Y33" s="273">
        <f t="shared" si="90"/>
        <v>1.2840125000000001E-5</v>
      </c>
      <c r="Z33" s="273">
        <f t="shared" si="78"/>
        <v>1.2549100000000002E-5</v>
      </c>
      <c r="AA33" s="273">
        <v>0.37714199999999998</v>
      </c>
      <c r="AB33" s="273">
        <v>0.57727799999999996</v>
      </c>
      <c r="AC33" s="273">
        <f t="shared" si="91"/>
        <v>2.7870793799999999E-4</v>
      </c>
      <c r="AD33" s="273">
        <f t="shared" si="79"/>
        <v>1.081241694E-3</v>
      </c>
      <c r="AE33" s="273">
        <v>1.3374E-2</v>
      </c>
      <c r="AF33" s="273">
        <v>4.0289999999999996E-3</v>
      </c>
      <c r="AG33" s="273">
        <f t="shared" si="92"/>
        <v>9.8833859999999993E-6</v>
      </c>
      <c r="AH33" s="273">
        <f t="shared" si="80"/>
        <v>7.5463169999999999E-6</v>
      </c>
      <c r="AI33" s="273">
        <v>1.8500000000000001E-3</v>
      </c>
      <c r="AJ33" s="273">
        <v>1.11E-4</v>
      </c>
      <c r="AK33" s="273">
        <f t="shared" si="93"/>
        <v>1.3671499999999999E-6</v>
      </c>
      <c r="AL33" s="273">
        <f t="shared" si="81"/>
        <v>2.0790300000000001E-7</v>
      </c>
      <c r="AM33" s="273">
        <f t="shared" si="94"/>
        <v>1.8517640299999999E-4</v>
      </c>
      <c r="AN33" s="273">
        <f t="shared" si="95"/>
        <v>1.7806423700000002E-4</v>
      </c>
      <c r="AO33" s="273">
        <v>0.25057699999999999</v>
      </c>
      <c r="AP33" s="273">
        <v>9.5069000000000001E-2</v>
      </c>
      <c r="AQ33" s="273">
        <v>1.9000000000000001E-5</v>
      </c>
      <c r="AR33" s="273">
        <v>5.6499999999999996E-4</v>
      </c>
      <c r="AS33" s="273">
        <v>6.3E-5</v>
      </c>
      <c r="AT33" s="273">
        <v>1.63E-4</v>
      </c>
      <c r="AU33" s="273">
        <v>4.3999999999999999E-5</v>
      </c>
      <c r="AV33" s="273">
        <v>3.1999999999999999E-5</v>
      </c>
      <c r="AW33" s="273">
        <v>1.5E-5</v>
      </c>
      <c r="AX33" s="273">
        <v>3.9999999999999998E-6</v>
      </c>
      <c r="AY33" s="273">
        <v>1.5999999999999999E-5</v>
      </c>
      <c r="AZ33" s="273">
        <v>2.4000000000000001E-5</v>
      </c>
      <c r="BA33" s="273">
        <v>4.8999999999999998E-5</v>
      </c>
      <c r="BB33" s="273">
        <v>1.2400000000000001E-4</v>
      </c>
      <c r="BC33" s="273">
        <v>0</v>
      </c>
      <c r="BD33" s="273">
        <v>0</v>
      </c>
      <c r="BE33" s="273">
        <v>3.0000000000000001E-6</v>
      </c>
      <c r="BF33" s="273">
        <v>3.0000000000000001E-6</v>
      </c>
      <c r="BG33" s="273">
        <v>4.6999999999999997E-5</v>
      </c>
      <c r="BH33" s="273">
        <v>3.4999999999999997E-5</v>
      </c>
      <c r="BI33" s="273">
        <v>2.9E-5</v>
      </c>
      <c r="BJ33" s="273">
        <v>2.9E-5</v>
      </c>
      <c r="BK33" s="273">
        <v>3.8000000000000002E-5</v>
      </c>
      <c r="BL33" s="273">
        <v>6.0000000000000002E-5</v>
      </c>
      <c r="BM33" s="273">
        <v>3.8999999999999999E-5</v>
      </c>
      <c r="BN33" s="273">
        <v>7.7000000000000001E-5</v>
      </c>
      <c r="BO33" s="273">
        <v>6.8800000000000003E-4</v>
      </c>
      <c r="BP33" s="273">
        <v>2.8699999999999998E-4</v>
      </c>
      <c r="BQ33" s="273">
        <v>6.7999999999999999E-5</v>
      </c>
      <c r="BR33" s="273">
        <v>4.8000000000000001E-5</v>
      </c>
      <c r="BS33" s="273">
        <v>4.8000000000000001E-5</v>
      </c>
      <c r="BT33" s="273">
        <v>1.4E-5</v>
      </c>
      <c r="BU33" s="273">
        <v>4.4700000000000002E-4</v>
      </c>
      <c r="BV33" s="273">
        <v>3.1700000000000001E-4</v>
      </c>
      <c r="BW33" s="273">
        <v>0.66037699999999999</v>
      </c>
      <c r="BX33" s="273">
        <v>0.64815100000000003</v>
      </c>
      <c r="BY33" s="273">
        <v>8.1876000000000004E-2</v>
      </c>
      <c r="BZ33" s="273">
        <v>6.7543000000000006E-2</v>
      </c>
      <c r="CA33" s="273">
        <v>1.0900999999999999E-2</v>
      </c>
      <c r="CB33" s="273">
        <v>6.5360000000000001E-3</v>
      </c>
      <c r="CC33" s="273">
        <v>1.8599999999999999E-4</v>
      </c>
      <c r="CD33" s="273">
        <v>5.3000000000000001E-5</v>
      </c>
      <c r="CE33" s="273">
        <v>1.6926E-2</v>
      </c>
      <c r="CF33" s="273">
        <v>2.6075000000000001E-2</v>
      </c>
      <c r="CG33" s="273">
        <v>1.6116999999999999E-2</v>
      </c>
      <c r="CH33" s="273">
        <v>1.2919E-2</v>
      </c>
      <c r="CI33" s="273">
        <v>2.9819999999999998E-3</v>
      </c>
      <c r="CJ33" s="273">
        <v>2.2230000000000001E-3</v>
      </c>
      <c r="CK33" s="273">
        <v>3.9100000000000002E-4</v>
      </c>
      <c r="CL33" s="273">
        <v>2.7599999999999999E-4</v>
      </c>
      <c r="CM33" s="273">
        <v>4.2000000000000002E-4</v>
      </c>
      <c r="CN33" s="273">
        <v>9.8400000000000007E-4</v>
      </c>
      <c r="CO33" s="273">
        <v>3.4214000000000001E-2</v>
      </c>
      <c r="CP33" s="273">
        <v>3.9501000000000001E-2</v>
      </c>
      <c r="CQ33" s="273">
        <v>9.990000000000001E-4</v>
      </c>
      <c r="CR33" s="273">
        <v>2.2550000000000001E-3</v>
      </c>
      <c r="CS33" s="273">
        <v>1.2174000000000001E-2</v>
      </c>
      <c r="CT33" s="273">
        <v>1.2658000000000001E-2</v>
      </c>
      <c r="CU33" s="273">
        <f t="shared" si="96"/>
        <v>1.2161826000000002E-5</v>
      </c>
      <c r="CV33" s="273">
        <f t="shared" si="82"/>
        <v>2.8543790000000002E-5</v>
      </c>
      <c r="CW33" s="273">
        <v>0.38633800000000001</v>
      </c>
      <c r="CX33" s="273">
        <v>0.52520199999999995</v>
      </c>
      <c r="CY33" s="273">
        <f t="shared" si="97"/>
        <v>3.8595166200000006E-4</v>
      </c>
      <c r="CZ33" s="273">
        <f t="shared" si="83"/>
        <v>1.1843305099999998E-3</v>
      </c>
      <c r="DA33" s="273">
        <v>1.2999999999999999E-5</v>
      </c>
      <c r="DB33" s="273">
        <v>7.4200000000000004E-4</v>
      </c>
      <c r="DC33" s="273">
        <f t="shared" si="98"/>
        <v>6.0088651200000003E-4</v>
      </c>
      <c r="DD33" s="273">
        <f t="shared" si="84"/>
        <v>1.0421257000000001E-3</v>
      </c>
      <c r="DE33" s="273">
        <v>7.2000000000000002E-5</v>
      </c>
      <c r="DF33" s="273">
        <v>1.54E-4</v>
      </c>
      <c r="DG33" s="273">
        <f t="shared" si="99"/>
        <v>4.8311348800000008E-4</v>
      </c>
      <c r="DH33" s="273">
        <f t="shared" si="85"/>
        <v>2.1088742999999998E-3</v>
      </c>
      <c r="DI33" s="273">
        <v>8.1000000000000004E-5</v>
      </c>
      <c r="DJ33" s="273">
        <v>3.6000000000000001E-5</v>
      </c>
      <c r="DK33" s="273">
        <v>8.6000000000000003E-5</v>
      </c>
      <c r="DL33" s="273">
        <v>7.4999999999999993E-5</v>
      </c>
      <c r="DM33" s="273">
        <f t="shared" si="100"/>
        <v>1.6699999999999999E-4</v>
      </c>
      <c r="DN33" s="273">
        <f t="shared" si="86"/>
        <v>1.1099999999999999E-4</v>
      </c>
      <c r="DO33" s="273">
        <v>1.722E-3</v>
      </c>
      <c r="DP33" s="273">
        <v>9.859999999999999E-4</v>
      </c>
      <c r="DQ33" s="273">
        <v>1.658E-3</v>
      </c>
      <c r="DR33" s="273">
        <v>9.1399999999999999E-4</v>
      </c>
      <c r="DS33" s="273">
        <v>1.5736E-2</v>
      </c>
      <c r="DT33" s="273">
        <v>1.0911000000000001E-2</v>
      </c>
      <c r="DU33" s="273">
        <v>1.3190000000000001E-3</v>
      </c>
      <c r="DV33" s="273">
        <v>1.3110000000000001E-3</v>
      </c>
      <c r="DW33" s="273">
        <v>4.0188000000000001E-2</v>
      </c>
      <c r="DX33" s="273">
        <v>4.0188000000000001E-2</v>
      </c>
      <c r="DY33" s="273">
        <v>5.6176999999999998E-2</v>
      </c>
      <c r="DZ33" s="273">
        <v>6.4252000000000004E-2</v>
      </c>
      <c r="EA33" s="273">
        <v>3.1999999999999999E-5</v>
      </c>
      <c r="EB33" s="273">
        <v>5.3000000000000001E-5</v>
      </c>
      <c r="EC33" s="273">
        <v>4.0109999999999998E-3</v>
      </c>
      <c r="ED33" s="273">
        <v>3.7569999999999999E-3</v>
      </c>
      <c r="EE33" s="273"/>
      <c r="EF33" s="274"/>
    </row>
    <row r="34" spans="2:136" s="249" customFormat="1" ht="17.399999999999999">
      <c r="B34" s="286">
        <v>27</v>
      </c>
      <c r="C34" s="273">
        <v>1.2999999999999999E-5</v>
      </c>
      <c r="D34" s="273">
        <v>1.1E-5</v>
      </c>
      <c r="E34" s="273">
        <v>3.8000000000000002E-5</v>
      </c>
      <c r="F34" s="273">
        <v>1.5999999999999999E-5</v>
      </c>
      <c r="G34" s="273">
        <v>4.1100000000000002E-4</v>
      </c>
      <c r="H34" s="273">
        <v>2.61E-4</v>
      </c>
      <c r="I34" s="273">
        <v>5.1E-5</v>
      </c>
      <c r="J34" s="273">
        <v>2.6999999999999999E-5</v>
      </c>
      <c r="K34" s="273">
        <v>1.5300000000000001E-4</v>
      </c>
      <c r="L34" s="273">
        <v>7.3999999999999996E-5</v>
      </c>
      <c r="M34" s="273">
        <f t="shared" si="87"/>
        <v>4.6808746399999994E-4</v>
      </c>
      <c r="N34" s="273">
        <f t="shared" si="77"/>
        <v>7.2636361199999988E-4</v>
      </c>
      <c r="O34" s="273">
        <f t="shared" si="88"/>
        <v>8.1868000000000008E-7</v>
      </c>
      <c r="P34" s="273">
        <f t="shared" si="89"/>
        <v>1.2220696799999998E-4</v>
      </c>
      <c r="Q34" s="273">
        <v>8.4400000000000002E-4</v>
      </c>
      <c r="R34" s="273">
        <v>2.1059999999999998E-3</v>
      </c>
      <c r="S34" s="273">
        <v>1.6949999999999999E-3</v>
      </c>
      <c r="T34" s="273">
        <v>5.8028000000000003E-2</v>
      </c>
      <c r="U34" s="273">
        <v>9.7000000000000005E-4</v>
      </c>
      <c r="V34" s="273">
        <v>0</v>
      </c>
      <c r="W34" s="273">
        <v>1.6948999999999999E-2</v>
      </c>
      <c r="X34" s="273">
        <v>6.5500000000000003E-3</v>
      </c>
      <c r="Y34" s="273">
        <f t="shared" si="90"/>
        <v>1.4304955999999999E-5</v>
      </c>
      <c r="Z34" s="273">
        <f t="shared" si="78"/>
        <v>1.3794299999999999E-5</v>
      </c>
      <c r="AA34" s="273">
        <v>0.41118399999999999</v>
      </c>
      <c r="AB34" s="273">
        <v>0.58618599999999998</v>
      </c>
      <c r="AC34" s="273">
        <f t="shared" si="91"/>
        <v>3.4703929600000001E-4</v>
      </c>
      <c r="AD34" s="273">
        <f t="shared" si="79"/>
        <v>1.2345077159999999E-3</v>
      </c>
      <c r="AE34" s="273">
        <v>1.4368000000000001E-2</v>
      </c>
      <c r="AF34" s="273">
        <v>4.2220000000000001E-3</v>
      </c>
      <c r="AG34" s="273">
        <f t="shared" si="92"/>
        <v>1.2126592000000002E-5</v>
      </c>
      <c r="AH34" s="273">
        <f t="shared" si="80"/>
        <v>8.8915319999999987E-6</v>
      </c>
      <c r="AI34" s="273">
        <v>1.923E-3</v>
      </c>
      <c r="AJ34" s="273">
        <v>1.12E-4</v>
      </c>
      <c r="AK34" s="273">
        <f t="shared" si="93"/>
        <v>1.6230120000000001E-6</v>
      </c>
      <c r="AL34" s="273">
        <f t="shared" si="81"/>
        <v>2.3587199999999998E-7</v>
      </c>
      <c r="AM34" s="273">
        <f t="shared" si="94"/>
        <v>1.82339448E-4</v>
      </c>
      <c r="AN34" s="273">
        <f t="shared" si="95"/>
        <v>1.6773236999999996E-4</v>
      </c>
      <c r="AO34" s="273">
        <v>0.21604200000000001</v>
      </c>
      <c r="AP34" s="273">
        <v>7.9644999999999994E-2</v>
      </c>
      <c r="AQ34" s="273">
        <v>2.3E-5</v>
      </c>
      <c r="AR34" s="273">
        <v>6.2799999999999998E-4</v>
      </c>
      <c r="AS34" s="273">
        <v>6.9999999999999994E-5</v>
      </c>
      <c r="AT34" s="273">
        <v>1.75E-4</v>
      </c>
      <c r="AU34" s="273">
        <v>5.3999999999999998E-5</v>
      </c>
      <c r="AV34" s="273">
        <v>3.8999999999999999E-5</v>
      </c>
      <c r="AW34" s="273">
        <v>1.5E-5</v>
      </c>
      <c r="AX34" s="273">
        <v>3.9999999999999998E-6</v>
      </c>
      <c r="AY34" s="273">
        <v>1.7E-5</v>
      </c>
      <c r="AZ34" s="273">
        <v>2.5000000000000001E-5</v>
      </c>
      <c r="BA34" s="273">
        <v>5.3000000000000001E-5</v>
      </c>
      <c r="BB34" s="273">
        <v>1.3200000000000001E-4</v>
      </c>
      <c r="BC34" s="273">
        <v>0</v>
      </c>
      <c r="BD34" s="273">
        <v>0</v>
      </c>
      <c r="BE34" s="273">
        <v>3.0000000000000001E-6</v>
      </c>
      <c r="BF34" s="273">
        <v>3.0000000000000001E-6</v>
      </c>
      <c r="BG34" s="273">
        <v>4.6E-5</v>
      </c>
      <c r="BH34" s="273">
        <v>3.6000000000000001E-5</v>
      </c>
      <c r="BI34" s="273">
        <v>3.1000000000000001E-5</v>
      </c>
      <c r="BJ34" s="273">
        <v>3.1999999999999999E-5</v>
      </c>
      <c r="BK34" s="273">
        <v>3.6000000000000001E-5</v>
      </c>
      <c r="BL34" s="273">
        <v>6.7000000000000002E-5</v>
      </c>
      <c r="BM34" s="273">
        <v>4.0000000000000003E-5</v>
      </c>
      <c r="BN34" s="273">
        <v>7.8999999999999996E-5</v>
      </c>
      <c r="BO34" s="273">
        <v>6.7599999999999995E-4</v>
      </c>
      <c r="BP34" s="273">
        <v>2.92E-4</v>
      </c>
      <c r="BQ34" s="273">
        <v>7.4999999999999993E-5</v>
      </c>
      <c r="BR34" s="273">
        <v>5.1999999999999997E-5</v>
      </c>
      <c r="BS34" s="273">
        <v>5.3999999999999998E-5</v>
      </c>
      <c r="BT34" s="273">
        <v>1.4E-5</v>
      </c>
      <c r="BU34" s="273">
        <v>4.95E-4</v>
      </c>
      <c r="BV34" s="273">
        <v>3.4099999999999999E-4</v>
      </c>
      <c r="BW34" s="273">
        <v>0.64295800000000003</v>
      </c>
      <c r="BX34" s="273">
        <v>0.69320400000000004</v>
      </c>
      <c r="BY34" s="273">
        <v>7.7798999999999993E-2</v>
      </c>
      <c r="BZ34" s="273">
        <v>7.2090000000000001E-2</v>
      </c>
      <c r="CA34" s="273">
        <v>1.0959E-2</v>
      </c>
      <c r="CB34" s="273">
        <v>6.9579999999999998E-3</v>
      </c>
      <c r="CC34" s="273">
        <v>2.1100000000000001E-4</v>
      </c>
      <c r="CD34" s="273">
        <v>5.5999999999999999E-5</v>
      </c>
      <c r="CE34" s="273">
        <v>1.7228E-2</v>
      </c>
      <c r="CF34" s="273">
        <v>2.9848E-2</v>
      </c>
      <c r="CG34" s="273">
        <v>1.7083000000000001E-2</v>
      </c>
      <c r="CH34" s="273">
        <v>1.4227999999999999E-2</v>
      </c>
      <c r="CI34" s="273">
        <v>3.1640000000000001E-3</v>
      </c>
      <c r="CJ34" s="273">
        <v>2.4659999999999999E-3</v>
      </c>
      <c r="CK34" s="273">
        <v>3.57E-4</v>
      </c>
      <c r="CL34" s="273">
        <v>3.0499999999999999E-4</v>
      </c>
      <c r="CM34" s="273">
        <v>4.8500000000000003E-4</v>
      </c>
      <c r="CN34" s="273">
        <v>1.15E-3</v>
      </c>
      <c r="CO34" s="273">
        <v>3.5519000000000002E-2</v>
      </c>
      <c r="CP34" s="273">
        <v>4.4562999999999998E-2</v>
      </c>
      <c r="CQ34" s="273">
        <v>1.1000000000000001E-3</v>
      </c>
      <c r="CR34" s="273">
        <v>2.5040000000000001E-3</v>
      </c>
      <c r="CS34" s="273">
        <v>1.0836E-2</v>
      </c>
      <c r="CT34" s="273">
        <v>1.1788E-2</v>
      </c>
      <c r="CU34" s="273">
        <f t="shared" si="96"/>
        <v>1.19196E-5</v>
      </c>
      <c r="CV34" s="273">
        <f t="shared" si="82"/>
        <v>2.9517152000000001E-5</v>
      </c>
      <c r="CW34" s="273">
        <v>0.43019099999999999</v>
      </c>
      <c r="CX34" s="273">
        <v>0.53886000000000001</v>
      </c>
      <c r="CY34" s="273">
        <f t="shared" si="97"/>
        <v>4.7321010000000004E-4</v>
      </c>
      <c r="CZ34" s="273">
        <f t="shared" si="83"/>
        <v>1.3493054400000001E-3</v>
      </c>
      <c r="DA34" s="273">
        <v>1.4E-5</v>
      </c>
      <c r="DB34" s="273">
        <v>8.4900000000000004E-4</v>
      </c>
      <c r="DC34" s="273">
        <f t="shared" si="98"/>
        <v>6.148703000000001E-4</v>
      </c>
      <c r="DD34" s="273">
        <f t="shared" si="84"/>
        <v>1.1251774080000001E-3</v>
      </c>
      <c r="DE34" s="273">
        <v>7.6000000000000004E-5</v>
      </c>
      <c r="DF34" s="273">
        <v>1.6200000000000001E-4</v>
      </c>
      <c r="DG34" s="273">
        <f t="shared" si="99"/>
        <v>5.7512969999999998E-4</v>
      </c>
      <c r="DH34" s="273">
        <f t="shared" si="85"/>
        <v>2.389822592E-3</v>
      </c>
      <c r="DI34" s="273">
        <v>9.6000000000000002E-5</v>
      </c>
      <c r="DJ34" s="273">
        <v>3.6000000000000001E-5</v>
      </c>
      <c r="DK34" s="273">
        <v>9.7999999999999997E-5</v>
      </c>
      <c r="DL34" s="273">
        <v>8.7999999999999998E-5</v>
      </c>
      <c r="DM34" s="273">
        <f t="shared" si="100"/>
        <v>1.94E-4</v>
      </c>
      <c r="DN34" s="273">
        <f t="shared" si="86"/>
        <v>1.2400000000000001E-4</v>
      </c>
      <c r="DO34" s="273">
        <v>1.853E-3</v>
      </c>
      <c r="DP34" s="273">
        <v>1.0480000000000001E-3</v>
      </c>
      <c r="DQ34" s="273">
        <v>1.683E-3</v>
      </c>
      <c r="DR34" s="273">
        <v>9.4300000000000004E-4</v>
      </c>
      <c r="DS34" s="273">
        <v>1.5720000000000001E-2</v>
      </c>
      <c r="DT34" s="273">
        <v>1.1214999999999999E-2</v>
      </c>
      <c r="DU34" s="273">
        <v>1.3060000000000001E-3</v>
      </c>
      <c r="DV34" s="273">
        <v>1.3550000000000001E-3</v>
      </c>
      <c r="DW34" s="273">
        <v>4.0188000000000001E-2</v>
      </c>
      <c r="DX34" s="273">
        <v>4.0188000000000001E-2</v>
      </c>
      <c r="DY34" s="273">
        <v>5.6729000000000002E-2</v>
      </c>
      <c r="DZ34" s="273">
        <v>6.5054000000000001E-2</v>
      </c>
      <c r="EA34" s="273">
        <v>3.6999999999999998E-5</v>
      </c>
      <c r="EB34" s="273">
        <v>5.7000000000000003E-5</v>
      </c>
      <c r="EC34" s="273">
        <v>4.411E-3</v>
      </c>
      <c r="ED34" s="273">
        <v>3.7850000000000002E-3</v>
      </c>
      <c r="EE34" s="273"/>
      <c r="EF34" s="274"/>
    </row>
    <row r="35" spans="2:136" s="249" customFormat="1" ht="17.399999999999999">
      <c r="B35" s="286">
        <v>28</v>
      </c>
      <c r="C35" s="273">
        <v>1.5E-5</v>
      </c>
      <c r="D35" s="273">
        <v>1.0000000000000001E-5</v>
      </c>
      <c r="E35" s="273">
        <v>3.8000000000000002E-5</v>
      </c>
      <c r="F35" s="273">
        <v>1.5999999999999999E-5</v>
      </c>
      <c r="G35" s="273">
        <v>4.3100000000000001E-4</v>
      </c>
      <c r="H35" s="273">
        <v>2.7E-4</v>
      </c>
      <c r="I35" s="273">
        <v>5.3000000000000001E-5</v>
      </c>
      <c r="J35" s="273">
        <v>2.6000000000000002E-5</v>
      </c>
      <c r="K35" s="273">
        <v>1.5300000000000001E-4</v>
      </c>
      <c r="L35" s="273">
        <v>7.3999999999999996E-5</v>
      </c>
      <c r="M35" s="273">
        <f t="shared" si="87"/>
        <v>5.4369848800000001E-4</v>
      </c>
      <c r="N35" s="273">
        <f t="shared" si="77"/>
        <v>8.0510239999999984E-4</v>
      </c>
      <c r="O35" s="273">
        <f t="shared" si="88"/>
        <v>8.3666599999999998E-7</v>
      </c>
      <c r="P35" s="273">
        <f t="shared" si="89"/>
        <v>1.73286816E-4</v>
      </c>
      <c r="Q35" s="273">
        <v>9.7400000000000004E-4</v>
      </c>
      <c r="R35" s="273">
        <v>2.336E-3</v>
      </c>
      <c r="S35" s="273">
        <v>1.49E-3</v>
      </c>
      <c r="T35" s="273">
        <v>7.4180999999999997E-2</v>
      </c>
      <c r="U35" s="273">
        <v>8.5899999999999995E-4</v>
      </c>
      <c r="V35" s="273">
        <v>0</v>
      </c>
      <c r="W35" s="273">
        <v>1.6393000000000001E-2</v>
      </c>
      <c r="X35" s="273">
        <v>6.3940000000000004E-3</v>
      </c>
      <c r="Y35" s="273">
        <f t="shared" si="90"/>
        <v>1.5966782000000002E-5</v>
      </c>
      <c r="Z35" s="273">
        <f t="shared" si="78"/>
        <v>1.4936384000000001E-5</v>
      </c>
      <c r="AA35" s="273">
        <v>0.40730300000000003</v>
      </c>
      <c r="AB35" s="273">
        <v>0.57012099999999999</v>
      </c>
      <c r="AC35" s="273">
        <f t="shared" si="91"/>
        <v>3.9671312200000004E-4</v>
      </c>
      <c r="AD35" s="273">
        <f t="shared" si="79"/>
        <v>1.331802656E-3</v>
      </c>
      <c r="AE35" s="273">
        <v>1.5357000000000001E-2</v>
      </c>
      <c r="AF35" s="273">
        <v>4.5149999999999999E-3</v>
      </c>
      <c r="AG35" s="273">
        <f t="shared" si="92"/>
        <v>1.4957718000000002E-5</v>
      </c>
      <c r="AH35" s="273">
        <f t="shared" si="80"/>
        <v>1.054704E-5</v>
      </c>
      <c r="AI35" s="273">
        <v>1.8760000000000001E-3</v>
      </c>
      <c r="AJ35" s="273">
        <v>1.3899999999999999E-4</v>
      </c>
      <c r="AK35" s="273">
        <f t="shared" si="93"/>
        <v>1.8272240000000001E-6</v>
      </c>
      <c r="AL35" s="273">
        <f t="shared" si="81"/>
        <v>3.2470399999999999E-7</v>
      </c>
      <c r="AM35" s="273">
        <f t="shared" si="94"/>
        <v>1.9884697E-4</v>
      </c>
      <c r="AN35" s="273">
        <f t="shared" si="95"/>
        <v>1.7488230399999999E-4</v>
      </c>
      <c r="AO35" s="273">
        <v>0.204155</v>
      </c>
      <c r="AP35" s="273">
        <v>7.4864E-2</v>
      </c>
      <c r="AQ35" s="273">
        <v>2.8E-5</v>
      </c>
      <c r="AR35" s="273">
        <v>6.9300000000000004E-4</v>
      </c>
      <c r="AS35" s="273">
        <v>7.7999999999999999E-5</v>
      </c>
      <c r="AT35" s="273">
        <v>1.85E-4</v>
      </c>
      <c r="AU35" s="273">
        <v>6.3999999999999997E-5</v>
      </c>
      <c r="AV35" s="273">
        <v>4.5000000000000003E-5</v>
      </c>
      <c r="AW35" s="273">
        <v>1.4E-5</v>
      </c>
      <c r="AX35" s="273">
        <v>3.9999999999999998E-6</v>
      </c>
      <c r="AY35" s="273">
        <v>1.7E-5</v>
      </c>
      <c r="AZ35" s="273">
        <v>2.5999999999999998E-5</v>
      </c>
      <c r="BA35" s="273">
        <v>5.8E-5</v>
      </c>
      <c r="BB35" s="273">
        <v>1.3999999999999999E-4</v>
      </c>
      <c r="BC35" s="273">
        <v>0</v>
      </c>
      <c r="BD35" s="273">
        <v>0</v>
      </c>
      <c r="BE35" s="273">
        <v>3.0000000000000001E-6</v>
      </c>
      <c r="BF35" s="273">
        <v>3.0000000000000001E-6</v>
      </c>
      <c r="BG35" s="273">
        <v>4.5000000000000003E-5</v>
      </c>
      <c r="BH35" s="273">
        <v>3.6000000000000001E-5</v>
      </c>
      <c r="BI35" s="273">
        <v>3.4999999999999997E-5</v>
      </c>
      <c r="BJ35" s="273">
        <v>3.6000000000000001E-5</v>
      </c>
      <c r="BK35" s="273">
        <v>4.0000000000000003E-5</v>
      </c>
      <c r="BL35" s="273">
        <v>6.8999999999999997E-5</v>
      </c>
      <c r="BM35" s="273">
        <v>4.5000000000000003E-5</v>
      </c>
      <c r="BN35" s="273">
        <v>8.7000000000000001E-5</v>
      </c>
      <c r="BO35" s="273">
        <v>6.7100000000000005E-4</v>
      </c>
      <c r="BP35" s="273">
        <v>2.9100000000000003E-4</v>
      </c>
      <c r="BQ35" s="273">
        <v>8.3999999999999995E-5</v>
      </c>
      <c r="BR35" s="273">
        <v>5.7000000000000003E-5</v>
      </c>
      <c r="BS35" s="273">
        <v>6.2000000000000003E-5</v>
      </c>
      <c r="BT35" s="273">
        <v>1.5E-5</v>
      </c>
      <c r="BU35" s="273">
        <v>5.5500000000000005E-4</v>
      </c>
      <c r="BV35" s="273">
        <v>3.7100000000000002E-4</v>
      </c>
      <c r="BW35" s="273">
        <v>0.64390599999999998</v>
      </c>
      <c r="BX35" s="273">
        <v>0.744834</v>
      </c>
      <c r="BY35" s="273">
        <v>7.6121999999999995E-2</v>
      </c>
      <c r="BZ35" s="273">
        <v>7.8562999999999994E-2</v>
      </c>
      <c r="CA35" s="273">
        <v>1.1613999999999999E-2</v>
      </c>
      <c r="CB35" s="273">
        <v>7.4580000000000002E-3</v>
      </c>
      <c r="CC35" s="273">
        <v>2.4000000000000001E-4</v>
      </c>
      <c r="CD35" s="273">
        <v>5.8999999999999998E-5</v>
      </c>
      <c r="CE35" s="273">
        <v>1.7749999999999998E-2</v>
      </c>
      <c r="CF35" s="273">
        <v>3.4476E-2</v>
      </c>
      <c r="CG35" s="273">
        <v>1.8748000000000001E-2</v>
      </c>
      <c r="CH35" s="273">
        <v>1.6053999999999999E-2</v>
      </c>
      <c r="CI35" s="273">
        <v>3.3409999999999998E-3</v>
      </c>
      <c r="CJ35" s="273">
        <v>2.8760000000000001E-3</v>
      </c>
      <c r="CK35" s="273">
        <v>3.7100000000000002E-4</v>
      </c>
      <c r="CL35" s="273">
        <v>3.2899999999999997E-4</v>
      </c>
      <c r="CM35" s="273">
        <v>5.4500000000000002E-4</v>
      </c>
      <c r="CN35" s="273">
        <v>1.3140000000000001E-3</v>
      </c>
      <c r="CO35" s="273">
        <v>3.7698000000000002E-2</v>
      </c>
      <c r="CP35" s="273">
        <v>5.0989E-2</v>
      </c>
      <c r="CQ35" s="273">
        <v>1.219E-3</v>
      </c>
      <c r="CR35" s="273">
        <v>2.764E-3</v>
      </c>
      <c r="CS35" s="273">
        <v>1.0944000000000001E-2</v>
      </c>
      <c r="CT35" s="273">
        <v>1.1594E-2</v>
      </c>
      <c r="CU35" s="273">
        <f t="shared" si="96"/>
        <v>1.3340736000000001E-5</v>
      </c>
      <c r="CV35" s="273">
        <f t="shared" si="82"/>
        <v>3.2045816000000001E-5</v>
      </c>
      <c r="CW35" s="273">
        <v>0.42575099999999999</v>
      </c>
      <c r="CX35" s="273">
        <v>0.52803100000000003</v>
      </c>
      <c r="CY35" s="273">
        <f t="shared" si="97"/>
        <v>5.1899046899999996E-4</v>
      </c>
      <c r="CZ35" s="273">
        <f t="shared" si="83"/>
        <v>1.4594776840000001E-3</v>
      </c>
      <c r="DA35" s="273">
        <v>1.5999999999999999E-5</v>
      </c>
      <c r="DB35" s="273">
        <v>9.4700000000000003E-4</v>
      </c>
      <c r="DC35" s="273">
        <f t="shared" si="98"/>
        <v>6.8666879500000005E-4</v>
      </c>
      <c r="DD35" s="273">
        <f t="shared" si="84"/>
        <v>1.2724765E-3</v>
      </c>
      <c r="DE35" s="273">
        <v>8.2999999999999998E-5</v>
      </c>
      <c r="DF35" s="273">
        <v>1.7100000000000001E-4</v>
      </c>
      <c r="DG35" s="273">
        <f t="shared" si="99"/>
        <v>6.3133120499999989E-4</v>
      </c>
      <c r="DH35" s="273">
        <f t="shared" si="85"/>
        <v>2.6095235000000005E-3</v>
      </c>
      <c r="DI35" s="273">
        <v>1.06E-4</v>
      </c>
      <c r="DJ35" s="273">
        <v>4.1999999999999998E-5</v>
      </c>
      <c r="DK35" s="273">
        <v>1.12E-4</v>
      </c>
      <c r="DL35" s="273">
        <v>1.01E-4</v>
      </c>
      <c r="DM35" s="273">
        <f t="shared" si="100"/>
        <v>2.1799999999999999E-4</v>
      </c>
      <c r="DN35" s="273">
        <f t="shared" si="86"/>
        <v>1.4300000000000001E-4</v>
      </c>
      <c r="DO35" s="273">
        <v>2.0509999999999999E-3</v>
      </c>
      <c r="DP35" s="273">
        <v>1.114E-3</v>
      </c>
      <c r="DQ35" s="273">
        <v>1.712E-3</v>
      </c>
      <c r="DR35" s="273">
        <v>9.4700000000000003E-4</v>
      </c>
      <c r="DS35" s="273">
        <v>1.5886000000000001E-2</v>
      </c>
      <c r="DT35" s="273">
        <v>1.1566999999999999E-2</v>
      </c>
      <c r="DU35" s="273">
        <v>1.323E-3</v>
      </c>
      <c r="DV35" s="273">
        <v>1.405E-3</v>
      </c>
      <c r="DW35" s="273">
        <v>4.0188000000000001E-2</v>
      </c>
      <c r="DX35" s="273">
        <v>4.0188000000000001E-2</v>
      </c>
      <c r="DY35" s="273">
        <v>5.7597000000000002E-2</v>
      </c>
      <c r="DZ35" s="273">
        <v>6.5762000000000001E-2</v>
      </c>
      <c r="EA35" s="273">
        <v>4.1E-5</v>
      </c>
      <c r="EB35" s="273">
        <v>6.0999999999999999E-5</v>
      </c>
      <c r="EC35" s="273">
        <v>4.81E-3</v>
      </c>
      <c r="ED35" s="273">
        <v>3.813E-3</v>
      </c>
      <c r="EE35" s="273"/>
      <c r="EF35" s="274"/>
    </row>
    <row r="36" spans="2:136" s="249" customFormat="1" ht="17.399999999999999">
      <c r="B36" s="286">
        <v>29</v>
      </c>
      <c r="C36" s="273">
        <v>1.5999999999999999E-5</v>
      </c>
      <c r="D36" s="273">
        <v>1.0000000000000001E-5</v>
      </c>
      <c r="E36" s="273">
        <v>3.8000000000000002E-5</v>
      </c>
      <c r="F36" s="273">
        <v>1.5999999999999999E-5</v>
      </c>
      <c r="G36" s="273">
        <v>4.5100000000000001E-4</v>
      </c>
      <c r="H36" s="273">
        <v>2.7799999999999998E-4</v>
      </c>
      <c r="I36" s="273">
        <v>5.3999999999999998E-5</v>
      </c>
      <c r="J36" s="273">
        <v>2.6000000000000002E-5</v>
      </c>
      <c r="K36" s="273">
        <v>1.5300000000000001E-4</v>
      </c>
      <c r="L36" s="273">
        <v>7.3999999999999996E-5</v>
      </c>
      <c r="M36" s="273">
        <f t="shared" si="87"/>
        <v>6.3210374999999978E-4</v>
      </c>
      <c r="N36" s="273">
        <f t="shared" si="77"/>
        <v>8.8277823000000003E-4</v>
      </c>
      <c r="O36" s="273">
        <f t="shared" si="88"/>
        <v>8.4037499999999998E-7</v>
      </c>
      <c r="P36" s="273">
        <f t="shared" si="89"/>
        <v>2.3116214699999999E-4</v>
      </c>
      <c r="Q36" s="273">
        <v>1.1249999999999999E-3</v>
      </c>
      <c r="R36" s="273">
        <v>2.5590000000000001E-3</v>
      </c>
      <c r="S36" s="273">
        <v>1.3159999999999999E-3</v>
      </c>
      <c r="T36" s="273">
        <v>9.0332999999999997E-2</v>
      </c>
      <c r="U36" s="273">
        <v>7.4700000000000005E-4</v>
      </c>
      <c r="V36" s="273">
        <v>0</v>
      </c>
      <c r="W36" s="273">
        <v>1.5789000000000001E-2</v>
      </c>
      <c r="X36" s="273">
        <v>5.666E-3</v>
      </c>
      <c r="Y36" s="273">
        <f t="shared" si="90"/>
        <v>1.7762625E-5</v>
      </c>
      <c r="Z36" s="273">
        <f t="shared" si="78"/>
        <v>1.4499294000000001E-5</v>
      </c>
      <c r="AA36" s="273">
        <v>0.40342</v>
      </c>
      <c r="AB36" s="273">
        <v>0.55405800000000005</v>
      </c>
      <c r="AC36" s="273">
        <f t="shared" si="91"/>
        <v>4.5384749999999996E-4</v>
      </c>
      <c r="AD36" s="273">
        <f t="shared" si="79"/>
        <v>1.4178344220000002E-3</v>
      </c>
      <c r="AE36" s="273">
        <v>1.6345999999999999E-2</v>
      </c>
      <c r="AF36" s="273">
        <v>4.8069999999999996E-3</v>
      </c>
      <c r="AG36" s="273">
        <f t="shared" si="92"/>
        <v>1.8389249999999997E-5</v>
      </c>
      <c r="AH36" s="273">
        <f t="shared" si="80"/>
        <v>1.2301112999999999E-5</v>
      </c>
      <c r="AI36" s="273">
        <v>1.828E-3</v>
      </c>
      <c r="AJ36" s="273">
        <v>1.66E-4</v>
      </c>
      <c r="AK36" s="273">
        <f t="shared" si="93"/>
        <v>2.0564999999999997E-6</v>
      </c>
      <c r="AL36" s="273">
        <f t="shared" si="81"/>
        <v>4.2479399999999999E-7</v>
      </c>
      <c r="AM36" s="273">
        <f t="shared" si="94"/>
        <v>2.1630149999999997E-4</v>
      </c>
      <c r="AN36" s="273">
        <f t="shared" si="95"/>
        <v>1.7934239700000002E-4</v>
      </c>
      <c r="AO36" s="273">
        <v>0.19226799999999999</v>
      </c>
      <c r="AP36" s="273">
        <v>7.0083000000000006E-2</v>
      </c>
      <c r="AQ36" s="273">
        <v>3.1999999999999999E-5</v>
      </c>
      <c r="AR36" s="273">
        <v>7.5699999999999997E-4</v>
      </c>
      <c r="AS36" s="273">
        <v>8.7999999999999998E-5</v>
      </c>
      <c r="AT36" s="273">
        <v>1.95E-4</v>
      </c>
      <c r="AU36" s="273">
        <v>7.3999999999999996E-5</v>
      </c>
      <c r="AV36" s="273">
        <v>5.1999999999999997E-5</v>
      </c>
      <c r="AW36" s="273">
        <v>1.4E-5</v>
      </c>
      <c r="AX36" s="273">
        <v>3.0000000000000001E-6</v>
      </c>
      <c r="AY36" s="273">
        <v>1.7E-5</v>
      </c>
      <c r="AZ36" s="273">
        <v>2.6999999999999999E-5</v>
      </c>
      <c r="BA36" s="273">
        <v>6.3999999999999997E-5</v>
      </c>
      <c r="BB36" s="273">
        <v>1.4799999999999999E-4</v>
      </c>
      <c r="BC36" s="273">
        <v>0</v>
      </c>
      <c r="BD36" s="273">
        <v>0</v>
      </c>
      <c r="BE36" s="273">
        <v>3.0000000000000001E-6</v>
      </c>
      <c r="BF36" s="273">
        <v>3.0000000000000001E-6</v>
      </c>
      <c r="BG36" s="273">
        <v>4.5000000000000003E-5</v>
      </c>
      <c r="BH36" s="273">
        <v>3.6000000000000001E-5</v>
      </c>
      <c r="BI36" s="273">
        <v>3.8999999999999999E-5</v>
      </c>
      <c r="BJ36" s="273">
        <v>4.1E-5</v>
      </c>
      <c r="BK36" s="273">
        <v>5.0000000000000002E-5</v>
      </c>
      <c r="BL36" s="273">
        <v>6.7999999999999999E-5</v>
      </c>
      <c r="BM36" s="273">
        <v>5.1E-5</v>
      </c>
      <c r="BN36" s="273">
        <v>9.7E-5</v>
      </c>
      <c r="BO36" s="273">
        <v>6.7299999999999999E-4</v>
      </c>
      <c r="BP36" s="273">
        <v>2.8600000000000001E-4</v>
      </c>
      <c r="BQ36" s="273">
        <v>9.6000000000000002E-5</v>
      </c>
      <c r="BR36" s="273">
        <v>6.2000000000000003E-5</v>
      </c>
      <c r="BS36" s="273">
        <v>7.1000000000000005E-5</v>
      </c>
      <c r="BT36" s="273">
        <v>1.5999999999999999E-5</v>
      </c>
      <c r="BU36" s="273">
        <v>6.2399999999999999E-4</v>
      </c>
      <c r="BV36" s="273">
        <v>4.0700000000000003E-4</v>
      </c>
      <c r="BW36" s="273">
        <v>0.658883</v>
      </c>
      <c r="BX36" s="273">
        <v>0.80268799999999996</v>
      </c>
      <c r="BY36" s="273">
        <v>7.6304999999999998E-2</v>
      </c>
      <c r="BZ36" s="273">
        <v>8.6517999999999998E-2</v>
      </c>
      <c r="CA36" s="273">
        <v>1.2499E-2</v>
      </c>
      <c r="CB36" s="273">
        <v>8.0110000000000008E-3</v>
      </c>
      <c r="CC36" s="273">
        <v>2.7500000000000002E-4</v>
      </c>
      <c r="CD36" s="273">
        <v>6.3999999999999997E-5</v>
      </c>
      <c r="CE36" s="273">
        <v>1.8498000000000001E-2</v>
      </c>
      <c r="CF36" s="273">
        <v>4.0084000000000002E-2</v>
      </c>
      <c r="CG36" s="273">
        <v>2.0813999999999999E-2</v>
      </c>
      <c r="CH36" s="273">
        <v>1.8228999999999999E-2</v>
      </c>
      <c r="CI36" s="273">
        <v>3.5720000000000001E-3</v>
      </c>
      <c r="CJ36" s="273">
        <v>3.375E-3</v>
      </c>
      <c r="CK36" s="273">
        <v>3.8999999999999999E-4</v>
      </c>
      <c r="CL36" s="273">
        <v>3.5399999999999999E-4</v>
      </c>
      <c r="CM36" s="273">
        <v>6.1799999999999995E-4</v>
      </c>
      <c r="CN36" s="273">
        <v>1.5100000000000001E-3</v>
      </c>
      <c r="CO36" s="273">
        <v>4.0513E-2</v>
      </c>
      <c r="CP36" s="273">
        <v>5.8724999999999999E-2</v>
      </c>
      <c r="CQ36" s="273">
        <v>1.353E-3</v>
      </c>
      <c r="CR36" s="273">
        <v>3.0279999999999999E-3</v>
      </c>
      <c r="CS36" s="273">
        <v>1.0855999999999999E-2</v>
      </c>
      <c r="CT36" s="273">
        <v>1.0841999999999999E-2</v>
      </c>
      <c r="CU36" s="273">
        <f t="shared" si="96"/>
        <v>1.4688168E-5</v>
      </c>
      <c r="CV36" s="273">
        <f t="shared" si="82"/>
        <v>3.2829575999999996E-5</v>
      </c>
      <c r="CW36" s="273">
        <v>0.42131099999999999</v>
      </c>
      <c r="CX36" s="273">
        <v>0.51720299999999997</v>
      </c>
      <c r="CY36" s="273">
        <f t="shared" si="97"/>
        <v>5.7003378299999997E-4</v>
      </c>
      <c r="CZ36" s="273">
        <f t="shared" si="83"/>
        <v>1.5660906839999999E-3</v>
      </c>
      <c r="DA36" s="273">
        <v>1.9000000000000001E-5</v>
      </c>
      <c r="DB36" s="273">
        <v>1.0380000000000001E-3</v>
      </c>
      <c r="DC36" s="273">
        <f t="shared" si="98"/>
        <v>7.6827804899999997E-4</v>
      </c>
      <c r="DD36" s="273">
        <f t="shared" si="84"/>
        <v>1.4290797399999998E-3</v>
      </c>
      <c r="DE36" s="273">
        <v>9.2E-5</v>
      </c>
      <c r="DF36" s="273">
        <v>1.7899999999999999E-4</v>
      </c>
      <c r="DG36" s="273">
        <f t="shared" si="99"/>
        <v>6.9572195099999994E-4</v>
      </c>
      <c r="DH36" s="273">
        <f t="shared" si="85"/>
        <v>2.8159202599999998E-3</v>
      </c>
      <c r="DI36" s="273">
        <v>1.18E-4</v>
      </c>
      <c r="DJ36" s="273">
        <v>5.0000000000000002E-5</v>
      </c>
      <c r="DK36" s="273">
        <v>1.25E-4</v>
      </c>
      <c r="DL36" s="273">
        <v>1.15E-4</v>
      </c>
      <c r="DM36" s="273">
        <f t="shared" si="100"/>
        <v>2.43E-4</v>
      </c>
      <c r="DN36" s="273">
        <f t="shared" si="86"/>
        <v>1.65E-4</v>
      </c>
      <c r="DO36" s="273">
        <v>2.3019999999999998E-3</v>
      </c>
      <c r="DP36" s="273">
        <v>1.183E-3</v>
      </c>
      <c r="DQ36" s="273">
        <v>1.7420000000000001E-3</v>
      </c>
      <c r="DR36" s="273">
        <v>9.2500000000000004E-4</v>
      </c>
      <c r="DS36" s="273">
        <v>1.6181000000000001E-2</v>
      </c>
      <c r="DT36" s="273">
        <v>1.1943E-2</v>
      </c>
      <c r="DU36" s="273">
        <v>1.364E-3</v>
      </c>
      <c r="DV36" s="273">
        <v>1.457E-3</v>
      </c>
      <c r="DW36" s="273">
        <v>4.0188000000000001E-2</v>
      </c>
      <c r="DX36" s="273">
        <v>4.0188000000000001E-2</v>
      </c>
      <c r="DY36" s="273">
        <v>5.8645999999999997E-2</v>
      </c>
      <c r="DZ36" s="273">
        <v>6.6391000000000006E-2</v>
      </c>
      <c r="EA36" s="273">
        <v>4.5000000000000003E-5</v>
      </c>
      <c r="EB36" s="273">
        <v>6.3999999999999997E-5</v>
      </c>
      <c r="EC36" s="273">
        <v>5.2100000000000002E-3</v>
      </c>
      <c r="ED36" s="273">
        <v>3.8409999999999998E-3</v>
      </c>
      <c r="EE36" s="273"/>
      <c r="EF36" s="274"/>
    </row>
    <row r="37" spans="2:136" s="249" customFormat="1" ht="17.399999999999999">
      <c r="B37" s="286">
        <v>30</v>
      </c>
      <c r="C37" s="273">
        <v>1.8E-5</v>
      </c>
      <c r="D37" s="273">
        <v>1.0000000000000001E-5</v>
      </c>
      <c r="E37" s="273">
        <v>4.3000000000000002E-5</v>
      </c>
      <c r="F37" s="273">
        <v>9.0000000000000002E-6</v>
      </c>
      <c r="G37" s="273">
        <v>4.7100000000000001E-4</v>
      </c>
      <c r="H37" s="273">
        <v>2.8600000000000001E-4</v>
      </c>
      <c r="I37" s="273">
        <v>6.1000000000000005E-5</v>
      </c>
      <c r="J37" s="273">
        <v>1.9000000000000001E-5</v>
      </c>
      <c r="K37" s="273">
        <v>2.5099999999999998E-4</v>
      </c>
      <c r="L37" s="273">
        <v>1.01E-4</v>
      </c>
      <c r="M37" s="273">
        <f t="shared" si="87"/>
        <v>7.2607118399999992E-4</v>
      </c>
      <c r="N37" s="273">
        <f t="shared" si="77"/>
        <v>9.5953368000000004E-4</v>
      </c>
      <c r="O37" s="273">
        <f t="shared" si="88"/>
        <v>8.1662399999999997E-7</v>
      </c>
      <c r="P37" s="273">
        <f t="shared" si="89"/>
        <v>2.9602829999999999E-4</v>
      </c>
      <c r="Q37" s="273">
        <v>1.284E-3</v>
      </c>
      <c r="R37" s="273">
        <v>2.7799999999999999E-3</v>
      </c>
      <c r="S37" s="273">
        <v>1.1720000000000001E-3</v>
      </c>
      <c r="T37" s="273">
        <v>0.106485</v>
      </c>
      <c r="U37" s="273">
        <v>6.3599999999999996E-4</v>
      </c>
      <c r="V37" s="273">
        <v>0</v>
      </c>
      <c r="W37" s="273">
        <v>1.524E-2</v>
      </c>
      <c r="X37" s="273">
        <v>5.071E-3</v>
      </c>
      <c r="Y37" s="273">
        <f t="shared" si="90"/>
        <v>1.9568160000000001E-5</v>
      </c>
      <c r="Z37" s="273">
        <f t="shared" si="78"/>
        <v>1.409738E-5</v>
      </c>
      <c r="AA37" s="273">
        <v>0.399532</v>
      </c>
      <c r="AB37" s="273">
        <v>0.53799399999999997</v>
      </c>
      <c r="AC37" s="273">
        <f t="shared" si="91"/>
        <v>5.1299908799999996E-4</v>
      </c>
      <c r="AD37" s="273">
        <f t="shared" si="79"/>
        <v>1.49562332E-3</v>
      </c>
      <c r="AE37" s="273">
        <v>1.7335E-2</v>
      </c>
      <c r="AF37" s="273">
        <v>5.1000000000000004E-3</v>
      </c>
      <c r="AG37" s="273">
        <f t="shared" si="92"/>
        <v>2.2258139999999999E-5</v>
      </c>
      <c r="AH37" s="273">
        <f t="shared" si="80"/>
        <v>1.4178E-5</v>
      </c>
      <c r="AI37" s="273">
        <v>1.781E-3</v>
      </c>
      <c r="AJ37" s="273">
        <v>1.94E-4</v>
      </c>
      <c r="AK37" s="273">
        <f t="shared" si="93"/>
        <v>2.286804E-6</v>
      </c>
      <c r="AL37" s="273">
        <f t="shared" si="81"/>
        <v>5.3931999999999999E-7</v>
      </c>
      <c r="AM37" s="273">
        <f t="shared" si="94"/>
        <v>2.3160920400000002E-4</v>
      </c>
      <c r="AN37" s="273">
        <f t="shared" si="95"/>
        <v>1.8153956E-4</v>
      </c>
      <c r="AO37" s="273">
        <v>0.18038100000000001</v>
      </c>
      <c r="AP37" s="273">
        <v>6.5301999999999999E-2</v>
      </c>
      <c r="AQ37" s="273">
        <v>3.6999999999999998E-5</v>
      </c>
      <c r="AR37" s="273">
        <v>8.2200000000000003E-4</v>
      </c>
      <c r="AS37" s="273">
        <v>9.7999999999999997E-5</v>
      </c>
      <c r="AT37" s="273">
        <v>2.03E-4</v>
      </c>
      <c r="AU37" s="273">
        <v>8.3999999999999995E-5</v>
      </c>
      <c r="AV37" s="273">
        <v>5.8999999999999998E-5</v>
      </c>
      <c r="AW37" s="273">
        <v>1.2999999999999999E-5</v>
      </c>
      <c r="AX37" s="273">
        <v>3.0000000000000001E-6</v>
      </c>
      <c r="AY37" s="273">
        <v>1.7E-5</v>
      </c>
      <c r="AZ37" s="273">
        <v>2.6999999999999999E-5</v>
      </c>
      <c r="BA37" s="273">
        <v>6.9999999999999994E-5</v>
      </c>
      <c r="BB37" s="273">
        <v>1.56E-4</v>
      </c>
      <c r="BC37" s="273">
        <v>0</v>
      </c>
      <c r="BD37" s="273">
        <v>0</v>
      </c>
      <c r="BE37" s="273">
        <v>3.0000000000000001E-6</v>
      </c>
      <c r="BF37" s="273">
        <v>3.0000000000000001E-6</v>
      </c>
      <c r="BG37" s="273">
        <v>4.6E-5</v>
      </c>
      <c r="BH37" s="273">
        <v>3.6000000000000001E-5</v>
      </c>
      <c r="BI37" s="273">
        <v>4.3999999999999999E-5</v>
      </c>
      <c r="BJ37" s="273">
        <v>4.6E-5</v>
      </c>
      <c r="BK37" s="273">
        <v>6.0999999999999999E-5</v>
      </c>
      <c r="BL37" s="273">
        <v>6.4999999999999994E-5</v>
      </c>
      <c r="BM37" s="273">
        <v>5.8E-5</v>
      </c>
      <c r="BN37" s="273">
        <v>1.07E-4</v>
      </c>
      <c r="BO37" s="273">
        <v>6.7699999999999998E-4</v>
      </c>
      <c r="BP37" s="273">
        <v>2.7900000000000001E-4</v>
      </c>
      <c r="BQ37" s="273">
        <v>1.07E-4</v>
      </c>
      <c r="BR37" s="273">
        <v>6.7999999999999999E-5</v>
      </c>
      <c r="BS37" s="273">
        <v>8.1000000000000004E-5</v>
      </c>
      <c r="BT37" s="273">
        <v>1.8E-5</v>
      </c>
      <c r="BU37" s="273">
        <v>7.0299999999999996E-4</v>
      </c>
      <c r="BV37" s="273">
        <v>4.4799999999999999E-4</v>
      </c>
      <c r="BW37" s="273">
        <v>0.68025000000000002</v>
      </c>
      <c r="BX37" s="273">
        <v>0.86301300000000003</v>
      </c>
      <c r="BY37" s="273">
        <v>7.7507000000000006E-2</v>
      </c>
      <c r="BZ37" s="273">
        <v>9.4985E-2</v>
      </c>
      <c r="CA37" s="273">
        <v>1.3514E-2</v>
      </c>
      <c r="CB37" s="273">
        <v>8.5590000000000006E-3</v>
      </c>
      <c r="CC37" s="273">
        <v>3.1799999999999998E-4</v>
      </c>
      <c r="CD37" s="273">
        <v>6.7999999999999999E-5</v>
      </c>
      <c r="CE37" s="273">
        <v>1.9289000000000001E-2</v>
      </c>
      <c r="CF37" s="273">
        <v>4.6148000000000002E-2</v>
      </c>
      <c r="CG37" s="273">
        <v>2.3127999999999999E-2</v>
      </c>
      <c r="CH37" s="273">
        <v>2.0493000000000001E-2</v>
      </c>
      <c r="CI37" s="273">
        <v>3.826E-3</v>
      </c>
      <c r="CJ37" s="273">
        <v>3.9220000000000001E-3</v>
      </c>
      <c r="CK37" s="273">
        <v>4.0900000000000002E-4</v>
      </c>
      <c r="CL37" s="273">
        <v>3.7599999999999998E-4</v>
      </c>
      <c r="CM37" s="273">
        <v>6.9999999999999999E-4</v>
      </c>
      <c r="CN37" s="273">
        <v>1.72E-3</v>
      </c>
      <c r="CO37" s="273">
        <v>4.3612999999999999E-2</v>
      </c>
      <c r="CP37" s="273">
        <v>6.6978999999999997E-2</v>
      </c>
      <c r="CQ37" s="273">
        <v>1.493E-3</v>
      </c>
      <c r="CR37" s="273">
        <v>3.2959999999999999E-3</v>
      </c>
      <c r="CS37" s="273">
        <v>1.0695E-2</v>
      </c>
      <c r="CT37" s="273">
        <v>1.0652999999999999E-2</v>
      </c>
      <c r="CU37" s="273">
        <f t="shared" si="96"/>
        <v>1.5967634999999998E-5</v>
      </c>
      <c r="CV37" s="273">
        <f t="shared" si="82"/>
        <v>3.5112288E-5</v>
      </c>
      <c r="CW37" s="273">
        <v>0.41687000000000002</v>
      </c>
      <c r="CX37" s="273">
        <v>0.50637399999999999</v>
      </c>
      <c r="CY37" s="273">
        <f t="shared" si="97"/>
        <v>6.2238691E-4</v>
      </c>
      <c r="CZ37" s="273">
        <f t="shared" si="83"/>
        <v>1.6690087039999998E-3</v>
      </c>
      <c r="DA37" s="273">
        <v>2.1999999999999999E-5</v>
      </c>
      <c r="DB37" s="273">
        <v>1.119E-3</v>
      </c>
      <c r="DC37" s="273">
        <f t="shared" si="98"/>
        <v>8.5464545499999993E-4</v>
      </c>
      <c r="DD37" s="273">
        <f t="shared" si="84"/>
        <v>1.591879008E-3</v>
      </c>
      <c r="DE37" s="273">
        <v>1E-4</v>
      </c>
      <c r="DF37" s="273">
        <v>1.8799999999999999E-4</v>
      </c>
      <c r="DG37" s="273">
        <f t="shared" si="99"/>
        <v>7.6035454500000008E-4</v>
      </c>
      <c r="DH37" s="273">
        <f t="shared" si="85"/>
        <v>3.0111209919999994E-3</v>
      </c>
      <c r="DI37" s="273">
        <v>1.3200000000000001E-4</v>
      </c>
      <c r="DJ37" s="273">
        <v>5.8999999999999998E-5</v>
      </c>
      <c r="DK37" s="273">
        <v>1.3799999999999999E-4</v>
      </c>
      <c r="DL37" s="273">
        <v>1.2799999999999999E-4</v>
      </c>
      <c r="DM37" s="273">
        <f t="shared" si="100"/>
        <v>2.7E-4</v>
      </c>
      <c r="DN37" s="273">
        <f t="shared" si="86"/>
        <v>1.8699999999999999E-4</v>
      </c>
      <c r="DO37" s="273">
        <v>2.5769999999999999E-3</v>
      </c>
      <c r="DP37" s="273">
        <v>1.253E-3</v>
      </c>
      <c r="DQ37" s="273">
        <v>1.7730000000000001E-3</v>
      </c>
      <c r="DR37" s="273">
        <v>8.9400000000000005E-4</v>
      </c>
      <c r="DS37" s="273">
        <v>1.6537E-2</v>
      </c>
      <c r="DT37" s="273">
        <v>1.2331999999999999E-2</v>
      </c>
      <c r="DU37" s="273">
        <v>1.4159999999999999E-3</v>
      </c>
      <c r="DV37" s="273">
        <v>1.511E-3</v>
      </c>
      <c r="DW37" s="273">
        <v>4.0188000000000001E-2</v>
      </c>
      <c r="DX37" s="273">
        <v>4.0188000000000001E-2</v>
      </c>
      <c r="DY37" s="273">
        <v>5.9790999999999997E-2</v>
      </c>
      <c r="DZ37" s="273">
        <v>6.6986000000000004E-2</v>
      </c>
      <c r="EA37" s="273">
        <v>5.0000000000000002E-5</v>
      </c>
      <c r="EB37" s="273">
        <v>6.7999999999999999E-5</v>
      </c>
      <c r="EC37" s="273">
        <v>5.6100000000000004E-3</v>
      </c>
      <c r="ED37" s="273">
        <v>3.869E-3</v>
      </c>
      <c r="EE37" s="273"/>
      <c r="EF37" s="274"/>
    </row>
    <row r="38" spans="2:136" s="249" customFormat="1" ht="17.399999999999999">
      <c r="B38" s="286">
        <v>31</v>
      </c>
      <c r="C38" s="273">
        <v>2.0000000000000002E-5</v>
      </c>
      <c r="D38" s="273">
        <v>1.0000000000000001E-5</v>
      </c>
      <c r="E38" s="273">
        <v>4.3000000000000002E-5</v>
      </c>
      <c r="F38" s="273">
        <v>9.0000000000000002E-6</v>
      </c>
      <c r="G38" s="273">
        <v>4.9100000000000001E-4</v>
      </c>
      <c r="H38" s="273">
        <v>2.9599999999999998E-4</v>
      </c>
      <c r="I38" s="273">
        <v>6.3E-5</v>
      </c>
      <c r="J38" s="273">
        <v>1.9000000000000001E-5</v>
      </c>
      <c r="K38" s="273">
        <v>2.5099999999999998E-4</v>
      </c>
      <c r="L38" s="273">
        <v>1.01E-4</v>
      </c>
      <c r="M38" s="273">
        <f t="shared" si="87"/>
        <v>8.1790127999999997E-4</v>
      </c>
      <c r="N38" s="273">
        <f t="shared" si="77"/>
        <v>1.0384488319999999E-3</v>
      </c>
      <c r="O38" s="273">
        <f t="shared" si="88"/>
        <v>7.5456000000000011E-7</v>
      </c>
      <c r="P38" s="273">
        <f t="shared" si="89"/>
        <v>3.6889510399999996E-4</v>
      </c>
      <c r="Q38" s="273">
        <v>1.4400000000000001E-3</v>
      </c>
      <c r="R38" s="273">
        <v>3.0079999999999998E-3</v>
      </c>
      <c r="S38" s="273">
        <v>1.0529999999999999E-3</v>
      </c>
      <c r="T38" s="273">
        <v>0.122638</v>
      </c>
      <c r="U38" s="273">
        <v>5.2400000000000005E-4</v>
      </c>
      <c r="V38" s="273">
        <v>0</v>
      </c>
      <c r="W38" s="273">
        <v>1.5789000000000001E-2</v>
      </c>
      <c r="X38" s="273">
        <v>4.5890000000000002E-3</v>
      </c>
      <c r="Y38" s="273">
        <f t="shared" si="90"/>
        <v>2.2736160000000002E-5</v>
      </c>
      <c r="Z38" s="273">
        <f t="shared" si="78"/>
        <v>1.3803711999999999E-5</v>
      </c>
      <c r="AA38" s="273">
        <v>0.39564199999999999</v>
      </c>
      <c r="AB38" s="273">
        <v>0.52193000000000001</v>
      </c>
      <c r="AC38" s="273">
        <f t="shared" si="91"/>
        <v>5.6972448E-4</v>
      </c>
      <c r="AD38" s="273">
        <f t="shared" si="79"/>
        <v>1.56996544E-3</v>
      </c>
      <c r="AE38" s="273">
        <v>1.8324E-2</v>
      </c>
      <c r="AF38" s="273">
        <v>5.3930000000000002E-3</v>
      </c>
      <c r="AG38" s="273">
        <f t="shared" si="92"/>
        <v>2.6386560000000003E-5</v>
      </c>
      <c r="AH38" s="273">
        <f t="shared" si="80"/>
        <v>1.6222143999999999E-5</v>
      </c>
      <c r="AI38" s="273">
        <v>1.7340000000000001E-3</v>
      </c>
      <c r="AJ38" s="273">
        <v>2.2100000000000001E-4</v>
      </c>
      <c r="AK38" s="273">
        <f t="shared" si="93"/>
        <v>2.4969600000000001E-6</v>
      </c>
      <c r="AL38" s="273">
        <f t="shared" si="81"/>
        <v>6.6476799999999993E-7</v>
      </c>
      <c r="AM38" s="273">
        <f t="shared" si="94"/>
        <v>2.4263136000000001E-4</v>
      </c>
      <c r="AN38" s="273">
        <f t="shared" si="95"/>
        <v>1.8204716799999999E-4</v>
      </c>
      <c r="AO38" s="273">
        <v>0.168494</v>
      </c>
      <c r="AP38" s="273">
        <v>6.0520999999999998E-2</v>
      </c>
      <c r="AQ38" s="273">
        <v>4.1E-5</v>
      </c>
      <c r="AR38" s="273">
        <v>8.8800000000000001E-4</v>
      </c>
      <c r="AS38" s="273">
        <v>1.07E-4</v>
      </c>
      <c r="AT38" s="273">
        <v>2.1000000000000001E-4</v>
      </c>
      <c r="AU38" s="273">
        <v>9.2999999999999997E-5</v>
      </c>
      <c r="AV38" s="273">
        <v>6.4999999999999994E-5</v>
      </c>
      <c r="AW38" s="273">
        <v>1.2E-5</v>
      </c>
      <c r="AX38" s="273">
        <v>3.0000000000000001E-6</v>
      </c>
      <c r="AY38" s="273">
        <v>1.7E-5</v>
      </c>
      <c r="AZ38" s="273">
        <v>2.8E-5</v>
      </c>
      <c r="BA38" s="273">
        <v>7.6000000000000004E-5</v>
      </c>
      <c r="BB38" s="273">
        <v>1.64E-4</v>
      </c>
      <c r="BC38" s="273">
        <v>0</v>
      </c>
      <c r="BD38" s="273">
        <v>0</v>
      </c>
      <c r="BE38" s="273">
        <v>3.0000000000000001E-6</v>
      </c>
      <c r="BF38" s="273">
        <v>3.0000000000000001E-6</v>
      </c>
      <c r="BG38" s="273">
        <v>4.6E-5</v>
      </c>
      <c r="BH38" s="273">
        <v>3.6999999999999998E-5</v>
      </c>
      <c r="BI38" s="273">
        <v>4.8999999999999998E-5</v>
      </c>
      <c r="BJ38" s="273">
        <v>5.1E-5</v>
      </c>
      <c r="BK38" s="273">
        <v>7.2000000000000002E-5</v>
      </c>
      <c r="BL38" s="273">
        <v>6.2000000000000003E-5</v>
      </c>
      <c r="BM38" s="273">
        <v>6.4999999999999994E-5</v>
      </c>
      <c r="BN38" s="273">
        <v>1.1400000000000001E-4</v>
      </c>
      <c r="BO38" s="273">
        <v>6.7900000000000002E-4</v>
      </c>
      <c r="BP38" s="273">
        <v>2.7300000000000002E-4</v>
      </c>
      <c r="BQ38" s="273">
        <v>1.2E-4</v>
      </c>
      <c r="BR38" s="273">
        <v>7.6000000000000004E-5</v>
      </c>
      <c r="BS38" s="273">
        <v>9.6000000000000002E-5</v>
      </c>
      <c r="BT38" s="273">
        <v>1.9000000000000001E-5</v>
      </c>
      <c r="BU38" s="273">
        <v>7.9100000000000004E-4</v>
      </c>
      <c r="BV38" s="273">
        <v>4.9899999999999999E-4</v>
      </c>
      <c r="BW38" s="273">
        <v>0.70299299999999998</v>
      </c>
      <c r="BX38" s="273">
        <v>0.91889399999999999</v>
      </c>
      <c r="BY38" s="273">
        <v>7.9396999999999995E-2</v>
      </c>
      <c r="BZ38" s="273">
        <v>0.10305400000000001</v>
      </c>
      <c r="CA38" s="273">
        <v>1.4593E-2</v>
      </c>
      <c r="CB38" s="273">
        <v>9.0130000000000002E-3</v>
      </c>
      <c r="CC38" s="273">
        <v>3.7100000000000002E-4</v>
      </c>
      <c r="CD38" s="273">
        <v>7.2000000000000002E-5</v>
      </c>
      <c r="CE38" s="273">
        <v>2.0056000000000001E-2</v>
      </c>
      <c r="CF38" s="273">
        <v>5.1852000000000002E-2</v>
      </c>
      <c r="CG38" s="273">
        <v>2.5631999999999999E-2</v>
      </c>
      <c r="CH38" s="273">
        <v>2.2478000000000001E-2</v>
      </c>
      <c r="CI38" s="273">
        <v>4.091E-3</v>
      </c>
      <c r="CJ38" s="273">
        <v>4.4470000000000004E-3</v>
      </c>
      <c r="CK38" s="273">
        <v>4.2999999999999999E-4</v>
      </c>
      <c r="CL38" s="273">
        <v>3.88E-4</v>
      </c>
      <c r="CM38" s="273">
        <v>7.9000000000000001E-4</v>
      </c>
      <c r="CN38" s="273">
        <v>1.9120000000000001E-3</v>
      </c>
      <c r="CO38" s="273">
        <v>4.6870000000000002E-2</v>
      </c>
      <c r="CP38" s="273">
        <v>7.4560000000000001E-2</v>
      </c>
      <c r="CQ38" s="273">
        <v>1.634E-3</v>
      </c>
      <c r="CR38" s="273">
        <v>3.5690000000000001E-3</v>
      </c>
      <c r="CS38" s="273">
        <v>9.5879999999999993E-3</v>
      </c>
      <c r="CT38" s="273">
        <v>1.0477999999999999E-2</v>
      </c>
      <c r="CU38" s="273">
        <f t="shared" si="96"/>
        <v>1.5666791999999999E-5</v>
      </c>
      <c r="CV38" s="273">
        <f t="shared" si="82"/>
        <v>3.7395981999999996E-5</v>
      </c>
      <c r="CW38" s="273">
        <v>0.41243000000000002</v>
      </c>
      <c r="CX38" s="273">
        <v>0.49554500000000001</v>
      </c>
      <c r="CY38" s="273">
        <f t="shared" si="97"/>
        <v>6.7391062000000002E-4</v>
      </c>
      <c r="CZ38" s="273">
        <f t="shared" si="83"/>
        <v>1.7686001050000002E-3</v>
      </c>
      <c r="DA38" s="273">
        <v>2.5000000000000001E-5</v>
      </c>
      <c r="DB38" s="273">
        <v>1.186E-3</v>
      </c>
      <c r="DC38" s="273">
        <f t="shared" si="98"/>
        <v>9.4442258800000003E-4</v>
      </c>
      <c r="DD38" s="273">
        <f t="shared" si="84"/>
        <v>1.763003913E-3</v>
      </c>
      <c r="DE38" s="273">
        <v>1.07E-4</v>
      </c>
      <c r="DF38" s="273">
        <v>1.9599999999999999E-4</v>
      </c>
      <c r="DG38" s="273">
        <f t="shared" si="99"/>
        <v>8.2157741199999996E-4</v>
      </c>
      <c r="DH38" s="273">
        <f t="shared" si="85"/>
        <v>3.1879960870000003E-3</v>
      </c>
      <c r="DI38" s="273">
        <v>1.4799999999999999E-4</v>
      </c>
      <c r="DJ38" s="273">
        <v>6.7000000000000002E-5</v>
      </c>
      <c r="DK38" s="273">
        <v>1.5100000000000001E-4</v>
      </c>
      <c r="DL38" s="273">
        <v>1.4100000000000001E-4</v>
      </c>
      <c r="DM38" s="273">
        <f t="shared" si="100"/>
        <v>2.99E-4</v>
      </c>
      <c r="DN38" s="273">
        <f t="shared" si="86"/>
        <v>2.0800000000000001E-4</v>
      </c>
      <c r="DO38" s="273">
        <v>2.8530000000000001E-3</v>
      </c>
      <c r="DP38" s="273">
        <v>1.325E-3</v>
      </c>
      <c r="DQ38" s="273">
        <v>1.8079999999999999E-3</v>
      </c>
      <c r="DR38" s="273">
        <v>8.7299999999999997E-4</v>
      </c>
      <c r="DS38" s="273">
        <v>1.6936E-2</v>
      </c>
      <c r="DT38" s="273">
        <v>1.2758E-2</v>
      </c>
      <c r="DU38" s="273">
        <v>1.4710000000000001E-3</v>
      </c>
      <c r="DV38" s="273">
        <v>1.5690000000000001E-3</v>
      </c>
      <c r="DW38" s="273">
        <v>4.0188000000000001E-2</v>
      </c>
      <c r="DX38" s="273">
        <v>4.0188000000000001E-2</v>
      </c>
      <c r="DY38" s="273">
        <v>6.1141000000000001E-2</v>
      </c>
      <c r="DZ38" s="273">
        <v>6.7590999999999998E-2</v>
      </c>
      <c r="EA38" s="273">
        <v>5.5000000000000002E-5</v>
      </c>
      <c r="EB38" s="273">
        <v>7.1000000000000005E-5</v>
      </c>
      <c r="EC38" s="273">
        <v>6.0089999999999996E-3</v>
      </c>
      <c r="ED38" s="273">
        <v>3.8969999999999999E-3</v>
      </c>
      <c r="EE38" s="273"/>
      <c r="EF38" s="274"/>
    </row>
    <row r="39" spans="2:136" s="249" customFormat="1" ht="17.399999999999999">
      <c r="B39" s="286">
        <v>32</v>
      </c>
      <c r="C39" s="273">
        <v>2.1999999999999999E-5</v>
      </c>
      <c r="D39" s="273">
        <v>1.0000000000000001E-5</v>
      </c>
      <c r="E39" s="273">
        <v>4.3000000000000002E-5</v>
      </c>
      <c r="F39" s="273">
        <v>9.0000000000000002E-6</v>
      </c>
      <c r="G39" s="273">
        <v>5.1199999999999998E-4</v>
      </c>
      <c r="H39" s="273">
        <v>3.1199999999999999E-4</v>
      </c>
      <c r="I39" s="273">
        <v>6.5000000000000008E-5</v>
      </c>
      <c r="J39" s="273">
        <v>1.9000000000000001E-5</v>
      </c>
      <c r="K39" s="273">
        <v>2.5099999999999998E-4</v>
      </c>
      <c r="L39" s="273">
        <v>1.01E-4</v>
      </c>
      <c r="M39" s="273">
        <f t="shared" si="87"/>
        <v>9.0651477800000001E-4</v>
      </c>
      <c r="N39" s="273">
        <f t="shared" si="77"/>
        <v>1.1226326760000003E-3</v>
      </c>
      <c r="O39" s="273">
        <f t="shared" si="88"/>
        <v>6.53432E-7</v>
      </c>
      <c r="P39" s="273">
        <f t="shared" si="89"/>
        <v>4.5134508000000003E-4</v>
      </c>
      <c r="Q39" s="273">
        <v>1.586E-3</v>
      </c>
      <c r="R39" s="273">
        <v>3.2520000000000001E-3</v>
      </c>
      <c r="S39" s="273">
        <v>9.5399999999999999E-4</v>
      </c>
      <c r="T39" s="273">
        <v>0.13879</v>
      </c>
      <c r="U39" s="273">
        <v>4.1199999999999999E-4</v>
      </c>
      <c r="V39" s="273">
        <v>0</v>
      </c>
      <c r="W39" s="273">
        <v>1.5266999999999999E-2</v>
      </c>
      <c r="X39" s="273">
        <v>4.1960000000000001E-3</v>
      </c>
      <c r="Y39" s="273">
        <f t="shared" si="90"/>
        <v>2.4213461999999997E-5</v>
      </c>
      <c r="Z39" s="273">
        <f t="shared" si="78"/>
        <v>1.3645392000000001E-5</v>
      </c>
      <c r="AA39" s="273">
        <v>0.39174900000000001</v>
      </c>
      <c r="AB39" s="273">
        <v>0.50586699999999996</v>
      </c>
      <c r="AC39" s="273">
        <f t="shared" si="91"/>
        <v>6.21313914E-4</v>
      </c>
      <c r="AD39" s="273">
        <f t="shared" si="79"/>
        <v>1.6450794839999998E-3</v>
      </c>
      <c r="AE39" s="273">
        <v>1.9313E-2</v>
      </c>
      <c r="AF39" s="273">
        <v>5.6860000000000001E-3</v>
      </c>
      <c r="AG39" s="273">
        <f t="shared" si="92"/>
        <v>3.0630418E-5</v>
      </c>
      <c r="AH39" s="273">
        <f t="shared" si="80"/>
        <v>1.8490872E-5</v>
      </c>
      <c r="AI39" s="273">
        <v>1.686E-3</v>
      </c>
      <c r="AJ39" s="273">
        <v>2.4800000000000001E-4</v>
      </c>
      <c r="AK39" s="273">
        <f t="shared" si="93"/>
        <v>2.673996E-6</v>
      </c>
      <c r="AL39" s="273">
        <f t="shared" si="81"/>
        <v>8.0649600000000002E-7</v>
      </c>
      <c r="AM39" s="273">
        <f t="shared" si="94"/>
        <v>2.4837870200000001E-4</v>
      </c>
      <c r="AN39" s="273">
        <f t="shared" si="95"/>
        <v>1.8126973199999999E-4</v>
      </c>
      <c r="AO39" s="273">
        <v>0.156607</v>
      </c>
      <c r="AP39" s="273">
        <v>5.5740999999999999E-2</v>
      </c>
      <c r="AQ39" s="273">
        <v>4.5000000000000003E-5</v>
      </c>
      <c r="AR39" s="273">
        <v>9.5399999999999999E-4</v>
      </c>
      <c r="AS39" s="273">
        <v>1.15E-4</v>
      </c>
      <c r="AT39" s="273">
        <v>2.1599999999999999E-4</v>
      </c>
      <c r="AU39" s="273">
        <v>1.03E-4</v>
      </c>
      <c r="AV39" s="273">
        <v>7.2000000000000002E-5</v>
      </c>
      <c r="AW39" s="273">
        <v>1.2E-5</v>
      </c>
      <c r="AX39" s="273">
        <v>1.9999999999999999E-6</v>
      </c>
      <c r="AY39" s="273">
        <v>1.7E-5</v>
      </c>
      <c r="AZ39" s="273">
        <v>2.9E-5</v>
      </c>
      <c r="BA39" s="273">
        <v>8.2000000000000001E-5</v>
      </c>
      <c r="BB39" s="273">
        <v>1.7100000000000001E-4</v>
      </c>
      <c r="BC39" s="273">
        <v>0</v>
      </c>
      <c r="BD39" s="273">
        <v>0</v>
      </c>
      <c r="BE39" s="273">
        <v>3.0000000000000001E-6</v>
      </c>
      <c r="BF39" s="273">
        <v>3.0000000000000001E-6</v>
      </c>
      <c r="BG39" s="273">
        <v>4.6999999999999997E-5</v>
      </c>
      <c r="BH39" s="273">
        <v>3.6999999999999998E-5</v>
      </c>
      <c r="BI39" s="273">
        <v>5.3999999999999998E-5</v>
      </c>
      <c r="BJ39" s="273">
        <v>5.5000000000000002E-5</v>
      </c>
      <c r="BK39" s="273">
        <v>8.2000000000000001E-5</v>
      </c>
      <c r="BL39" s="273">
        <v>6.0999999999999999E-5</v>
      </c>
      <c r="BM39" s="273">
        <v>7.3999999999999996E-5</v>
      </c>
      <c r="BN39" s="273">
        <v>1.1900000000000001E-4</v>
      </c>
      <c r="BO39" s="273">
        <v>6.78E-4</v>
      </c>
      <c r="BP39" s="273">
        <v>2.7300000000000002E-4</v>
      </c>
      <c r="BQ39" s="273">
        <v>1.35E-4</v>
      </c>
      <c r="BR39" s="273">
        <v>8.5000000000000006E-5</v>
      </c>
      <c r="BS39" s="273">
        <v>1.12E-4</v>
      </c>
      <c r="BT39" s="273">
        <v>1.9000000000000001E-5</v>
      </c>
      <c r="BU39" s="273">
        <v>8.8699999999999998E-4</v>
      </c>
      <c r="BV39" s="273">
        <v>5.5999999999999995E-4</v>
      </c>
      <c r="BW39" s="273">
        <v>0.72779799999999994</v>
      </c>
      <c r="BX39" s="273">
        <v>0.964449</v>
      </c>
      <c r="BY39" s="273">
        <v>8.2158999999999996E-2</v>
      </c>
      <c r="BZ39" s="273">
        <v>0.110351</v>
      </c>
      <c r="CA39" s="273">
        <v>1.576E-2</v>
      </c>
      <c r="CB39" s="273">
        <v>9.3159999999999996E-3</v>
      </c>
      <c r="CC39" s="273">
        <v>4.37E-4</v>
      </c>
      <c r="CD39" s="273">
        <v>7.6000000000000004E-5</v>
      </c>
      <c r="CE39" s="273">
        <v>2.0858000000000002E-2</v>
      </c>
      <c r="CF39" s="273">
        <v>5.6578999999999997E-2</v>
      </c>
      <c r="CG39" s="273">
        <v>2.8427000000000001E-2</v>
      </c>
      <c r="CH39" s="273">
        <v>2.3937E-2</v>
      </c>
      <c r="CI39" s="273">
        <v>4.3790000000000001E-3</v>
      </c>
      <c r="CJ39" s="273">
        <v>4.895E-3</v>
      </c>
      <c r="CK39" s="273">
        <v>4.5199999999999998E-4</v>
      </c>
      <c r="CL39" s="273">
        <v>3.8499999999999998E-4</v>
      </c>
      <c r="CM39" s="273">
        <v>8.9099999999999997E-4</v>
      </c>
      <c r="CN39" s="273">
        <v>2.062E-3</v>
      </c>
      <c r="CO39" s="273">
        <v>5.0444999999999997E-2</v>
      </c>
      <c r="CP39" s="273">
        <v>8.0601999999999993E-2</v>
      </c>
      <c r="CQ39" s="273">
        <v>1.7750000000000001E-3</v>
      </c>
      <c r="CR39" s="273">
        <v>3.8509999999999998E-3</v>
      </c>
      <c r="CS39" s="273">
        <v>9.5650000000000006E-3</v>
      </c>
      <c r="CT39" s="273">
        <v>9.9349999999999994E-3</v>
      </c>
      <c r="CU39" s="273">
        <f t="shared" si="96"/>
        <v>1.6977875E-5</v>
      </c>
      <c r="CV39" s="273">
        <f t="shared" si="82"/>
        <v>3.8259684999999995E-5</v>
      </c>
      <c r="CW39" s="273">
        <v>0.40799000000000002</v>
      </c>
      <c r="CX39" s="273">
        <v>0.48471599999999998</v>
      </c>
      <c r="CY39" s="273">
        <f t="shared" si="97"/>
        <v>7.2418225000000006E-4</v>
      </c>
      <c r="CZ39" s="273">
        <f t="shared" si="83"/>
        <v>1.8666413159999999E-3</v>
      </c>
      <c r="DA39" s="273">
        <v>2.8E-5</v>
      </c>
      <c r="DB39" s="273">
        <v>1.23E-3</v>
      </c>
      <c r="DC39" s="273">
        <f t="shared" si="98"/>
        <v>1.0338398749999999E-3</v>
      </c>
      <c r="DD39" s="273">
        <f t="shared" si="84"/>
        <v>1.946098999E-3</v>
      </c>
      <c r="DE39" s="273">
        <v>1.13E-4</v>
      </c>
      <c r="DF39" s="273">
        <v>2.04E-4</v>
      </c>
      <c r="DG39" s="273">
        <f t="shared" si="99"/>
        <v>8.8216012500000015E-4</v>
      </c>
      <c r="DH39" s="273">
        <f t="shared" si="85"/>
        <v>3.338901001E-3</v>
      </c>
      <c r="DI39" s="273">
        <v>1.65E-4</v>
      </c>
      <c r="DJ39" s="273">
        <v>7.4999999999999993E-5</v>
      </c>
      <c r="DK39" s="273">
        <v>1.63E-4</v>
      </c>
      <c r="DL39" s="273">
        <v>1.54E-4</v>
      </c>
      <c r="DM39" s="273">
        <f t="shared" si="100"/>
        <v>3.28E-4</v>
      </c>
      <c r="DN39" s="273">
        <f t="shared" si="86"/>
        <v>2.2899999999999998E-4</v>
      </c>
      <c r="DO39" s="273">
        <v>3.13E-3</v>
      </c>
      <c r="DP39" s="273">
        <v>1.3979999999999999E-3</v>
      </c>
      <c r="DQ39" s="273">
        <v>1.853E-3</v>
      </c>
      <c r="DR39" s="273">
        <v>8.7600000000000004E-4</v>
      </c>
      <c r="DS39" s="273">
        <v>1.7423000000000001E-2</v>
      </c>
      <c r="DT39" s="273">
        <v>1.3263E-2</v>
      </c>
      <c r="DU39" s="273">
        <v>1.5299999999999999E-3</v>
      </c>
      <c r="DV39" s="273">
        <v>1.637E-3</v>
      </c>
      <c r="DW39" s="273">
        <v>4.0188000000000001E-2</v>
      </c>
      <c r="DX39" s="273">
        <v>4.0188000000000001E-2</v>
      </c>
      <c r="DY39" s="273">
        <v>6.2937000000000007E-2</v>
      </c>
      <c r="DZ39" s="273">
        <v>6.8222000000000005E-2</v>
      </c>
      <c r="EA39" s="273">
        <v>6.0000000000000002E-5</v>
      </c>
      <c r="EB39" s="273">
        <v>7.4999999999999993E-5</v>
      </c>
      <c r="EC39" s="273">
        <v>6.4089999999999998E-3</v>
      </c>
      <c r="ED39" s="273">
        <v>3.9249999999999997E-3</v>
      </c>
      <c r="EE39" s="273"/>
      <c r="EF39" s="274"/>
    </row>
    <row r="40" spans="2:136" s="249" customFormat="1" ht="17.399999999999999">
      <c r="B40" s="286">
        <v>33</v>
      </c>
      <c r="C40" s="273">
        <v>2.5000000000000001E-5</v>
      </c>
      <c r="D40" s="273">
        <v>1.0000000000000001E-5</v>
      </c>
      <c r="E40" s="273">
        <v>4.3000000000000002E-5</v>
      </c>
      <c r="F40" s="273">
        <v>9.0000000000000002E-6</v>
      </c>
      <c r="G40" s="273">
        <v>5.3399999999999997E-4</v>
      </c>
      <c r="H40" s="273">
        <v>3.3500000000000001E-4</v>
      </c>
      <c r="I40" s="273">
        <v>6.7999999999999999E-5</v>
      </c>
      <c r="J40" s="273">
        <v>1.9000000000000001E-5</v>
      </c>
      <c r="K40" s="273">
        <v>2.5099999999999998E-4</v>
      </c>
      <c r="L40" s="273">
        <v>1.01E-4</v>
      </c>
      <c r="M40" s="273">
        <f t="shared" si="87"/>
        <v>9.9932866799999978E-4</v>
      </c>
      <c r="N40" s="273">
        <f t="shared" si="77"/>
        <v>1.1801436749999997E-3</v>
      </c>
      <c r="O40" s="273">
        <f t="shared" si="88"/>
        <v>1.246452E-6</v>
      </c>
      <c r="P40" s="273">
        <f t="shared" si="89"/>
        <v>5.6876566499999999E-4</v>
      </c>
      <c r="Q40" s="273">
        <v>1.7240000000000001E-3</v>
      </c>
      <c r="R40" s="273">
        <v>3.5149999999999999E-3</v>
      </c>
      <c r="S40" s="273">
        <v>8.7100000000000003E-4</v>
      </c>
      <c r="T40" s="273">
        <v>0.16181100000000001</v>
      </c>
      <c r="U40" s="273">
        <v>7.2300000000000001E-4</v>
      </c>
      <c r="V40" s="273">
        <v>0</v>
      </c>
      <c r="W40" s="273">
        <v>1.4808E-2</v>
      </c>
      <c r="X40" s="273">
        <v>4.2640000000000004E-3</v>
      </c>
      <c r="Y40" s="273">
        <f t="shared" si="90"/>
        <v>2.5528992E-5</v>
      </c>
      <c r="Z40" s="273">
        <f t="shared" si="78"/>
        <v>1.4987960000000002E-5</v>
      </c>
      <c r="AA40" s="273">
        <v>0.38317899999999999</v>
      </c>
      <c r="AB40" s="273">
        <v>0.491892</v>
      </c>
      <c r="AC40" s="273">
        <f t="shared" si="91"/>
        <v>6.6060059600000001E-4</v>
      </c>
      <c r="AD40" s="273">
        <f t="shared" si="79"/>
        <v>1.7290003799999999E-3</v>
      </c>
      <c r="AE40" s="273">
        <v>1.9791E-2</v>
      </c>
      <c r="AF40" s="273">
        <v>6.0289999999999996E-3</v>
      </c>
      <c r="AG40" s="273">
        <f t="shared" si="92"/>
        <v>3.4119684000000001E-5</v>
      </c>
      <c r="AH40" s="273">
        <f t="shared" si="80"/>
        <v>2.1191934999999999E-5</v>
      </c>
      <c r="AI40" s="273">
        <v>1.8420000000000001E-3</v>
      </c>
      <c r="AJ40" s="273">
        <v>2.5900000000000001E-4</v>
      </c>
      <c r="AK40" s="273">
        <f t="shared" si="93"/>
        <v>3.1756080000000004E-6</v>
      </c>
      <c r="AL40" s="273">
        <f t="shared" si="81"/>
        <v>9.1038500000000001E-7</v>
      </c>
      <c r="AM40" s="273">
        <f t="shared" si="94"/>
        <v>2.6379958400000005E-4</v>
      </c>
      <c r="AN40" s="273">
        <f t="shared" si="95"/>
        <v>1.9201038999999999E-4</v>
      </c>
      <c r="AO40" s="273">
        <v>0.15301600000000001</v>
      </c>
      <c r="AP40" s="273">
        <v>5.4626000000000001E-2</v>
      </c>
      <c r="AQ40" s="273">
        <v>5.0000000000000002E-5</v>
      </c>
      <c r="AR40" s="273">
        <v>1.0150000000000001E-3</v>
      </c>
      <c r="AS40" s="273">
        <v>1.2E-4</v>
      </c>
      <c r="AT40" s="273">
        <v>2.1900000000000001E-4</v>
      </c>
      <c r="AU40" s="273">
        <v>1.12E-4</v>
      </c>
      <c r="AV40" s="273">
        <v>7.7999999999999999E-5</v>
      </c>
      <c r="AW40" s="273">
        <v>1.2E-5</v>
      </c>
      <c r="AX40" s="273">
        <v>1.9999999999999999E-6</v>
      </c>
      <c r="AY40" s="273">
        <v>1.8E-5</v>
      </c>
      <c r="AZ40" s="273">
        <v>3.0000000000000001E-5</v>
      </c>
      <c r="BA40" s="273">
        <v>8.7999999999999998E-5</v>
      </c>
      <c r="BB40" s="273">
        <v>1.7699999999999999E-4</v>
      </c>
      <c r="BC40" s="273">
        <v>0</v>
      </c>
      <c r="BD40" s="273">
        <v>0</v>
      </c>
      <c r="BE40" s="273">
        <v>3.0000000000000001E-6</v>
      </c>
      <c r="BF40" s="273">
        <v>3.0000000000000001E-6</v>
      </c>
      <c r="BG40" s="273">
        <v>4.6999999999999997E-5</v>
      </c>
      <c r="BH40" s="273">
        <v>3.8000000000000002E-5</v>
      </c>
      <c r="BI40" s="273">
        <v>5.8E-5</v>
      </c>
      <c r="BJ40" s="273">
        <v>5.8E-5</v>
      </c>
      <c r="BK40" s="273">
        <v>9.1000000000000003E-5</v>
      </c>
      <c r="BL40" s="273">
        <v>6.0999999999999999E-5</v>
      </c>
      <c r="BM40" s="273">
        <v>8.2999999999999998E-5</v>
      </c>
      <c r="BN40" s="273">
        <v>1.2799999999999999E-4</v>
      </c>
      <c r="BO40" s="273">
        <v>6.7299999999999999E-4</v>
      </c>
      <c r="BP40" s="273">
        <v>2.7900000000000001E-4</v>
      </c>
      <c r="BQ40" s="273">
        <v>1.5100000000000001E-4</v>
      </c>
      <c r="BR40" s="273">
        <v>9.6000000000000002E-5</v>
      </c>
      <c r="BS40" s="273">
        <v>1.3200000000000001E-4</v>
      </c>
      <c r="BT40" s="273">
        <v>2.0000000000000002E-5</v>
      </c>
      <c r="BU40" s="273">
        <v>9.8900000000000008E-4</v>
      </c>
      <c r="BV40" s="273">
        <v>6.3199999999999997E-4</v>
      </c>
      <c r="BW40" s="273">
        <v>0.75787499999999997</v>
      </c>
      <c r="BX40" s="273">
        <v>0.99881299999999995</v>
      </c>
      <c r="BY40" s="273">
        <v>8.6185999999999999E-2</v>
      </c>
      <c r="BZ40" s="273">
        <v>0.117073</v>
      </c>
      <c r="CA40" s="273">
        <v>1.7052000000000001E-2</v>
      </c>
      <c r="CB40" s="273">
        <v>1.0713E-2</v>
      </c>
      <c r="CC40" s="273">
        <v>5.1500000000000005E-4</v>
      </c>
      <c r="CD40" s="273">
        <v>8.0000000000000007E-5</v>
      </c>
      <c r="CE40" s="273">
        <v>2.1949E-2</v>
      </c>
      <c r="CF40" s="273">
        <v>5.8063999999999998E-2</v>
      </c>
      <c r="CG40" s="273">
        <v>3.1390000000000001E-2</v>
      </c>
      <c r="CH40" s="273">
        <v>2.6705E-2</v>
      </c>
      <c r="CI40" s="273">
        <v>4.803E-3</v>
      </c>
      <c r="CJ40" s="273">
        <v>5.3569999999999998E-3</v>
      </c>
      <c r="CK40" s="273">
        <v>4.7600000000000002E-4</v>
      </c>
      <c r="CL40" s="273">
        <v>4.2200000000000001E-4</v>
      </c>
      <c r="CM40" s="273">
        <v>9.9500000000000001E-4</v>
      </c>
      <c r="CN40" s="273">
        <v>2.2980000000000001E-3</v>
      </c>
      <c r="CO40" s="273">
        <v>5.4363000000000002E-2</v>
      </c>
      <c r="CP40" s="273">
        <v>8.4641999999999995E-2</v>
      </c>
      <c r="CQ40" s="273">
        <v>1.92E-3</v>
      </c>
      <c r="CR40" s="273">
        <v>4.1479999999999998E-3</v>
      </c>
      <c r="CS40" s="273">
        <v>1.0359E-2</v>
      </c>
      <c r="CT40" s="273">
        <v>9.4739999999999998E-3</v>
      </c>
      <c r="CU40" s="273">
        <f t="shared" si="96"/>
        <v>1.9889280000000001E-5</v>
      </c>
      <c r="CV40" s="273">
        <f t="shared" si="82"/>
        <v>3.9298151999999998E-5</v>
      </c>
      <c r="CW40" s="273">
        <v>0.400972</v>
      </c>
      <c r="CX40" s="273">
        <v>0.473271</v>
      </c>
      <c r="CY40" s="273">
        <f t="shared" si="97"/>
        <v>7.6986624000000003E-4</v>
      </c>
      <c r="CZ40" s="273">
        <f t="shared" si="83"/>
        <v>1.9631281079999998E-3</v>
      </c>
      <c r="DA40" s="273">
        <v>3.1999999999999999E-5</v>
      </c>
      <c r="DB40" s="273">
        <v>1.2470000000000001E-3</v>
      </c>
      <c r="DC40" s="273">
        <f t="shared" si="98"/>
        <v>1.1302444800000001E-3</v>
      </c>
      <c r="DD40" s="273">
        <f t="shared" si="84"/>
        <v>2.1455737399999997E-3</v>
      </c>
      <c r="DE40" s="273">
        <v>1.15E-4</v>
      </c>
      <c r="DF40" s="273">
        <v>2.12E-4</v>
      </c>
      <c r="DG40" s="273">
        <f t="shared" si="99"/>
        <v>9.3675552000000004E-4</v>
      </c>
      <c r="DH40" s="273">
        <f t="shared" si="85"/>
        <v>3.4614262599999995E-3</v>
      </c>
      <c r="DI40" s="273">
        <v>2.0000000000000001E-4</v>
      </c>
      <c r="DJ40" s="273">
        <v>8.6000000000000003E-5</v>
      </c>
      <c r="DK40" s="273">
        <v>1.76E-4</v>
      </c>
      <c r="DL40" s="273">
        <v>1.6699999999999999E-4</v>
      </c>
      <c r="DM40" s="273">
        <f t="shared" si="100"/>
        <v>3.7600000000000003E-4</v>
      </c>
      <c r="DN40" s="273">
        <f t="shared" si="86"/>
        <v>2.5299999999999997E-4</v>
      </c>
      <c r="DO40" s="273">
        <v>3.418E-3</v>
      </c>
      <c r="DP40" s="273">
        <v>1.474E-3</v>
      </c>
      <c r="DQ40" s="273">
        <v>1.9109999999999999E-3</v>
      </c>
      <c r="DR40" s="273">
        <v>9.0600000000000001E-4</v>
      </c>
      <c r="DS40" s="273">
        <v>1.8046E-2</v>
      </c>
      <c r="DT40" s="273">
        <v>1.3873999999999999E-2</v>
      </c>
      <c r="DU40" s="273">
        <v>1.601E-3</v>
      </c>
      <c r="DV40" s="273">
        <v>1.72E-3</v>
      </c>
      <c r="DW40" s="273">
        <v>4.0188000000000001E-2</v>
      </c>
      <c r="DX40" s="273">
        <v>4.0188000000000001E-2</v>
      </c>
      <c r="DY40" s="273">
        <v>6.5336000000000005E-2</v>
      </c>
      <c r="DZ40" s="273">
        <v>6.8873000000000004E-2</v>
      </c>
      <c r="EA40" s="273">
        <v>6.4999999999999994E-5</v>
      </c>
      <c r="EB40" s="273">
        <v>7.7999999999999999E-5</v>
      </c>
      <c r="EC40" s="273">
        <v>6.8079999999999998E-3</v>
      </c>
      <c r="ED40" s="273">
        <v>3.9529999999999999E-3</v>
      </c>
      <c r="EE40" s="273"/>
      <c r="EF40" s="274"/>
    </row>
    <row r="41" spans="2:136" s="249" customFormat="1" ht="17.399999999999999">
      <c r="B41" s="286">
        <v>34</v>
      </c>
      <c r="C41" s="273">
        <v>2.6999999999999999E-5</v>
      </c>
      <c r="D41" s="273">
        <v>9.0000000000000002E-6</v>
      </c>
      <c r="E41" s="273">
        <v>4.3000000000000002E-5</v>
      </c>
      <c r="F41" s="273">
        <v>9.0000000000000002E-6</v>
      </c>
      <c r="G41" s="273">
        <v>5.5699999999999999E-4</v>
      </c>
      <c r="H41" s="273">
        <v>3.6299999999999999E-4</v>
      </c>
      <c r="I41" s="273">
        <v>6.9999999999999994E-5</v>
      </c>
      <c r="J41" s="273">
        <v>1.8E-5</v>
      </c>
      <c r="K41" s="273">
        <v>2.5099999999999998E-4</v>
      </c>
      <c r="L41" s="273">
        <v>1.01E-4</v>
      </c>
      <c r="M41" s="273">
        <f t="shared" si="87"/>
        <v>1.0895939460000002E-3</v>
      </c>
      <c r="N41" s="273">
        <f t="shared" si="77"/>
        <v>1.2375990050000002E-3</v>
      </c>
      <c r="O41" s="273">
        <f t="shared" si="88"/>
        <v>1.9151820000000002E-6</v>
      </c>
      <c r="P41" s="273">
        <f t="shared" si="89"/>
        <v>7.0106777599999992E-4</v>
      </c>
      <c r="Q41" s="273">
        <v>1.854E-3</v>
      </c>
      <c r="R41" s="273">
        <v>3.7929999999999999E-3</v>
      </c>
      <c r="S41" s="273">
        <v>7.9900000000000001E-4</v>
      </c>
      <c r="T41" s="273">
        <v>0.184832</v>
      </c>
      <c r="U41" s="273">
        <v>1.0330000000000001E-3</v>
      </c>
      <c r="V41" s="273">
        <v>0</v>
      </c>
      <c r="W41" s="273">
        <v>1.4388E-2</v>
      </c>
      <c r="X41" s="273">
        <v>4.3270000000000001E-3</v>
      </c>
      <c r="Y41" s="273">
        <f t="shared" si="90"/>
        <v>2.6675351999999997E-5</v>
      </c>
      <c r="Z41" s="273">
        <f t="shared" si="78"/>
        <v>1.6412310999999999E-5</v>
      </c>
      <c r="AA41" s="273">
        <v>0.374614</v>
      </c>
      <c r="AB41" s="273">
        <v>0.47791499999999998</v>
      </c>
      <c r="AC41" s="273">
        <f t="shared" si="91"/>
        <v>6.94534356E-4</v>
      </c>
      <c r="AD41" s="273">
        <f t="shared" si="79"/>
        <v>1.8127315949999999E-3</v>
      </c>
      <c r="AE41" s="273">
        <v>2.0268999999999999E-2</v>
      </c>
      <c r="AF41" s="273">
        <v>6.3720000000000001E-3</v>
      </c>
      <c r="AG41" s="273">
        <f t="shared" si="92"/>
        <v>3.7578725999999998E-5</v>
      </c>
      <c r="AH41" s="273">
        <f t="shared" si="80"/>
        <v>2.4168996000000001E-5</v>
      </c>
      <c r="AI41" s="273">
        <v>1.9970000000000001E-3</v>
      </c>
      <c r="AJ41" s="273">
        <v>2.6899999999999998E-4</v>
      </c>
      <c r="AK41" s="273">
        <f t="shared" si="93"/>
        <v>3.7024380000000001E-6</v>
      </c>
      <c r="AL41" s="273">
        <f t="shared" si="81"/>
        <v>1.0203169999999998E-6</v>
      </c>
      <c r="AM41" s="273">
        <f t="shared" si="94"/>
        <v>2.7703209600000002E-4</v>
      </c>
      <c r="AN41" s="273">
        <f t="shared" si="95"/>
        <v>2.02971016E-4</v>
      </c>
      <c r="AO41" s="273">
        <v>0.149424</v>
      </c>
      <c r="AP41" s="273">
        <v>5.3511999999999997E-2</v>
      </c>
      <c r="AQ41" s="273">
        <v>5.7000000000000003E-5</v>
      </c>
      <c r="AR41" s="273">
        <v>1.067E-3</v>
      </c>
      <c r="AS41" s="273">
        <v>1.2400000000000001E-4</v>
      </c>
      <c r="AT41" s="273">
        <v>2.2100000000000001E-4</v>
      </c>
      <c r="AU41" s="273">
        <v>1.25E-4</v>
      </c>
      <c r="AV41" s="273">
        <v>8.6000000000000003E-5</v>
      </c>
      <c r="AW41" s="273">
        <v>1.2999999999999999E-5</v>
      </c>
      <c r="AX41" s="273">
        <v>3.0000000000000001E-6</v>
      </c>
      <c r="AY41" s="273">
        <v>1.8E-5</v>
      </c>
      <c r="AZ41" s="273">
        <v>3.0000000000000001E-5</v>
      </c>
      <c r="BA41" s="273">
        <v>9.5000000000000005E-5</v>
      </c>
      <c r="BB41" s="273">
        <v>1.8200000000000001E-4</v>
      </c>
      <c r="BC41" s="273">
        <v>0</v>
      </c>
      <c r="BD41" s="273">
        <v>0</v>
      </c>
      <c r="BE41" s="273">
        <v>3.0000000000000001E-6</v>
      </c>
      <c r="BF41" s="273">
        <v>3.0000000000000001E-6</v>
      </c>
      <c r="BG41" s="273">
        <v>4.8000000000000001E-5</v>
      </c>
      <c r="BH41" s="273">
        <v>3.8999999999999999E-5</v>
      </c>
      <c r="BI41" s="273">
        <v>6.2000000000000003E-5</v>
      </c>
      <c r="BJ41" s="273">
        <v>6.0999999999999999E-5</v>
      </c>
      <c r="BK41" s="273">
        <v>9.7E-5</v>
      </c>
      <c r="BL41" s="273">
        <v>6.0000000000000002E-5</v>
      </c>
      <c r="BM41" s="273">
        <v>9.3999999999999994E-5</v>
      </c>
      <c r="BN41" s="273">
        <v>1.36E-4</v>
      </c>
      <c r="BO41" s="273">
        <v>6.6600000000000003E-4</v>
      </c>
      <c r="BP41" s="273">
        <v>2.9E-4</v>
      </c>
      <c r="BQ41" s="273">
        <v>1.6699999999999999E-4</v>
      </c>
      <c r="BR41" s="273">
        <v>1.0900000000000001E-4</v>
      </c>
      <c r="BS41" s="273">
        <v>1.56E-4</v>
      </c>
      <c r="BT41" s="273">
        <v>2.3E-5</v>
      </c>
      <c r="BU41" s="273">
        <v>1.0950000000000001E-3</v>
      </c>
      <c r="BV41" s="273">
        <v>7.1400000000000001E-4</v>
      </c>
      <c r="BW41" s="273">
        <v>0.79261199999999998</v>
      </c>
      <c r="BX41" s="273">
        <v>1.0229470000000001</v>
      </c>
      <c r="BY41" s="273">
        <v>9.1206999999999996E-2</v>
      </c>
      <c r="BZ41" s="273">
        <v>0.123539</v>
      </c>
      <c r="CA41" s="273">
        <v>1.8519000000000001E-2</v>
      </c>
      <c r="CB41" s="273">
        <v>1.2096000000000001E-2</v>
      </c>
      <c r="CC41" s="273">
        <v>6.0599999999999998E-4</v>
      </c>
      <c r="CD41" s="273">
        <v>8.6000000000000003E-5</v>
      </c>
      <c r="CE41" s="273">
        <v>2.3116999999999999E-2</v>
      </c>
      <c r="CF41" s="273">
        <v>5.8547000000000002E-2</v>
      </c>
      <c r="CG41" s="273">
        <v>3.4710999999999999E-2</v>
      </c>
      <c r="CH41" s="273">
        <v>2.9217E-2</v>
      </c>
      <c r="CI41" s="273">
        <v>5.2779999999999997E-3</v>
      </c>
      <c r="CJ41" s="273">
        <v>5.7590000000000002E-3</v>
      </c>
      <c r="CK41" s="273">
        <v>5.0199999999999995E-4</v>
      </c>
      <c r="CL41" s="273">
        <v>4.5199999999999998E-4</v>
      </c>
      <c r="CM41" s="273">
        <v>1.1130000000000001E-3</v>
      </c>
      <c r="CN41" s="273">
        <v>2.5100000000000001E-3</v>
      </c>
      <c r="CO41" s="273">
        <v>5.8689999999999999E-2</v>
      </c>
      <c r="CP41" s="273">
        <v>8.7401999999999994E-2</v>
      </c>
      <c r="CQ41" s="273">
        <v>2.0669999999999998E-3</v>
      </c>
      <c r="CR41" s="273">
        <v>4.4559999999999999E-3</v>
      </c>
      <c r="CS41" s="273">
        <v>1.0302E-2</v>
      </c>
      <c r="CT41" s="273">
        <v>9.0729999999999995E-3</v>
      </c>
      <c r="CU41" s="273">
        <f t="shared" si="96"/>
        <v>2.1294234E-5</v>
      </c>
      <c r="CV41" s="273">
        <f t="shared" si="82"/>
        <v>4.0429287999999996E-5</v>
      </c>
      <c r="CW41" s="273">
        <v>0.39395400000000003</v>
      </c>
      <c r="CX41" s="273">
        <v>0.46182499999999999</v>
      </c>
      <c r="CY41" s="273">
        <f t="shared" si="97"/>
        <v>8.1430291799999995E-4</v>
      </c>
      <c r="CZ41" s="273">
        <f t="shared" si="83"/>
        <v>2.0578922E-3</v>
      </c>
      <c r="DA41" s="273">
        <v>3.4999999999999997E-5</v>
      </c>
      <c r="DB41" s="273">
        <v>1.238E-3</v>
      </c>
      <c r="DC41" s="273">
        <f t="shared" si="98"/>
        <v>1.2314028479999996E-3</v>
      </c>
      <c r="DD41" s="273">
        <f t="shared" si="84"/>
        <v>2.3576785119999995E-3</v>
      </c>
      <c r="DE41" s="273">
        <v>1.15E-4</v>
      </c>
      <c r="DF41" s="273">
        <v>2.2000000000000001E-4</v>
      </c>
      <c r="DG41" s="273">
        <f t="shared" si="99"/>
        <v>9.8559715199999999E-4</v>
      </c>
      <c r="DH41" s="273">
        <f t="shared" si="85"/>
        <v>3.5563214880000001E-3</v>
      </c>
      <c r="DI41" s="273">
        <v>2.41E-4</v>
      </c>
      <c r="DJ41" s="273">
        <v>9.6000000000000002E-5</v>
      </c>
      <c r="DK41" s="273">
        <v>1.9100000000000001E-4</v>
      </c>
      <c r="DL41" s="273">
        <v>1.7899999999999999E-4</v>
      </c>
      <c r="DM41" s="273">
        <f t="shared" si="100"/>
        <v>4.3199999999999998E-4</v>
      </c>
      <c r="DN41" s="273">
        <f t="shared" si="86"/>
        <v>2.7499999999999996E-4</v>
      </c>
      <c r="DO41" s="273">
        <v>3.738E-3</v>
      </c>
      <c r="DP41" s="273">
        <v>1.5499999999999999E-3</v>
      </c>
      <c r="DQ41" s="273">
        <v>1.983E-3</v>
      </c>
      <c r="DR41" s="273">
        <v>9.4799999999999995E-4</v>
      </c>
      <c r="DS41" s="273">
        <v>1.8786000000000001E-2</v>
      </c>
      <c r="DT41" s="273">
        <v>1.4581999999999999E-2</v>
      </c>
      <c r="DU41" s="273">
        <v>1.684E-3</v>
      </c>
      <c r="DV41" s="273">
        <v>1.8129999999999999E-3</v>
      </c>
      <c r="DW41" s="273">
        <v>4.0188000000000001E-2</v>
      </c>
      <c r="DX41" s="273">
        <v>4.0188000000000001E-2</v>
      </c>
      <c r="DY41" s="273">
        <v>6.8235000000000004E-2</v>
      </c>
      <c r="DZ41" s="273">
        <v>6.9453000000000001E-2</v>
      </c>
      <c r="EA41" s="273">
        <v>6.9999999999999994E-5</v>
      </c>
      <c r="EB41" s="273">
        <v>8.2000000000000001E-5</v>
      </c>
      <c r="EC41" s="273">
        <v>7.208E-3</v>
      </c>
      <c r="ED41" s="273">
        <v>3.9810000000000002E-3</v>
      </c>
      <c r="EE41" s="273"/>
      <c r="EF41" s="274"/>
    </row>
    <row r="42" spans="2:136" s="249" customFormat="1" ht="17.399999999999999">
      <c r="B42" s="286">
        <v>35</v>
      </c>
      <c r="C42" s="273">
        <v>3.1000000000000001E-5</v>
      </c>
      <c r="D42" s="273">
        <v>1.0000000000000001E-5</v>
      </c>
      <c r="E42" s="273">
        <v>4.3000000000000002E-5</v>
      </c>
      <c r="F42" s="273">
        <v>9.0000000000000002E-6</v>
      </c>
      <c r="G42" s="273">
        <v>5.8E-4</v>
      </c>
      <c r="H42" s="273">
        <v>3.9500000000000001E-4</v>
      </c>
      <c r="I42" s="273">
        <v>7.400000000000001E-5</v>
      </c>
      <c r="J42" s="273">
        <v>1.9000000000000001E-5</v>
      </c>
      <c r="K42" s="273">
        <v>2.5099999999999998E-4</v>
      </c>
      <c r="L42" s="273">
        <v>1.01E-4</v>
      </c>
      <c r="M42" s="273">
        <f t="shared" si="87"/>
        <v>1.1800500040000002E-3</v>
      </c>
      <c r="N42" s="273">
        <f t="shared" si="77"/>
        <v>1.2937486669999997E-3</v>
      </c>
      <c r="O42" s="273">
        <f t="shared" si="88"/>
        <v>2.6624640000000002E-6</v>
      </c>
      <c r="P42" s="273">
        <f t="shared" si="89"/>
        <v>8.4782830800000009E-4</v>
      </c>
      <c r="Q42" s="273">
        <v>1.9810000000000001E-3</v>
      </c>
      <c r="R42" s="273">
        <v>4.0790000000000002E-3</v>
      </c>
      <c r="S42" s="273">
        <v>1.4760000000000001E-3</v>
      </c>
      <c r="T42" s="273">
        <v>0.20785200000000001</v>
      </c>
      <c r="U42" s="273">
        <v>1.3439999999999999E-3</v>
      </c>
      <c r="V42" s="273">
        <v>0</v>
      </c>
      <c r="W42" s="273">
        <v>1.4022E-2</v>
      </c>
      <c r="X42" s="273">
        <v>4.0439999999999999E-3</v>
      </c>
      <c r="Y42" s="273">
        <f t="shared" si="90"/>
        <v>2.7777582000000001E-5</v>
      </c>
      <c r="Z42" s="273">
        <f t="shared" si="78"/>
        <v>1.6495475999999999E-5</v>
      </c>
      <c r="AA42" s="273">
        <v>0.36604999999999999</v>
      </c>
      <c r="AB42" s="273">
        <v>0.46393699999999999</v>
      </c>
      <c r="AC42" s="273">
        <f t="shared" si="91"/>
        <v>7.2514504999999997E-4</v>
      </c>
      <c r="AD42" s="273">
        <f t="shared" si="79"/>
        <v>1.892399023E-3</v>
      </c>
      <c r="AE42" s="273">
        <v>2.0747000000000002E-2</v>
      </c>
      <c r="AF42" s="273">
        <v>6.7149999999999996E-3</v>
      </c>
      <c r="AG42" s="273">
        <f t="shared" si="92"/>
        <v>4.1099807000000008E-5</v>
      </c>
      <c r="AH42" s="273">
        <f t="shared" si="80"/>
        <v>2.7390485E-5</v>
      </c>
      <c r="AI42" s="273">
        <v>2.153E-3</v>
      </c>
      <c r="AJ42" s="273">
        <v>2.7900000000000001E-4</v>
      </c>
      <c r="AK42" s="273">
        <f t="shared" si="93"/>
        <v>4.2650930000000001E-6</v>
      </c>
      <c r="AL42" s="273">
        <f t="shared" si="81"/>
        <v>1.138041E-6</v>
      </c>
      <c r="AM42" s="273">
        <f t="shared" si="94"/>
        <v>2.8889319200000002E-4</v>
      </c>
      <c r="AN42" s="273">
        <f t="shared" si="95"/>
        <v>2.1373144200000001E-4</v>
      </c>
      <c r="AO42" s="273">
        <v>0.14583199999999999</v>
      </c>
      <c r="AP42" s="273">
        <v>5.2398E-2</v>
      </c>
      <c r="AQ42" s="273">
        <v>6.3999999999999997E-5</v>
      </c>
      <c r="AR42" s="273">
        <v>1.1069999999999999E-3</v>
      </c>
      <c r="AS42" s="273">
        <v>1.26E-4</v>
      </c>
      <c r="AT42" s="273">
        <v>2.22E-4</v>
      </c>
      <c r="AU42" s="273">
        <v>1.4100000000000001E-4</v>
      </c>
      <c r="AV42" s="273">
        <v>9.5000000000000005E-5</v>
      </c>
      <c r="AW42" s="273">
        <v>1.4E-5</v>
      </c>
      <c r="AX42" s="273">
        <v>3.0000000000000001E-6</v>
      </c>
      <c r="AY42" s="273">
        <v>1.8E-5</v>
      </c>
      <c r="AZ42" s="273">
        <v>3.1000000000000001E-5</v>
      </c>
      <c r="BA42" s="273">
        <v>1.01E-4</v>
      </c>
      <c r="BB42" s="273">
        <v>1.8599999999999999E-4</v>
      </c>
      <c r="BC42" s="273">
        <v>0</v>
      </c>
      <c r="BD42" s="273">
        <v>0</v>
      </c>
      <c r="BE42" s="273">
        <v>3.0000000000000001E-6</v>
      </c>
      <c r="BF42" s="273">
        <v>3.0000000000000001E-6</v>
      </c>
      <c r="BG42" s="273">
        <v>4.8999999999999998E-5</v>
      </c>
      <c r="BH42" s="273">
        <v>3.8999999999999999E-5</v>
      </c>
      <c r="BI42" s="273">
        <v>6.4999999999999994E-5</v>
      </c>
      <c r="BJ42" s="273">
        <v>6.3E-5</v>
      </c>
      <c r="BK42" s="273">
        <v>1.0399999999999999E-4</v>
      </c>
      <c r="BL42" s="273">
        <v>6.0000000000000002E-5</v>
      </c>
      <c r="BM42" s="273">
        <v>1.06E-4</v>
      </c>
      <c r="BN42" s="273">
        <v>1.4300000000000001E-4</v>
      </c>
      <c r="BO42" s="273">
        <v>6.5600000000000001E-4</v>
      </c>
      <c r="BP42" s="273">
        <v>3.0299999999999999E-4</v>
      </c>
      <c r="BQ42" s="273">
        <v>1.83E-4</v>
      </c>
      <c r="BR42" s="273">
        <v>1.22E-4</v>
      </c>
      <c r="BS42" s="273">
        <v>1.8200000000000001E-4</v>
      </c>
      <c r="BT42" s="273">
        <v>2.4000000000000001E-5</v>
      </c>
      <c r="BU42" s="273">
        <v>1.2049999999999999E-3</v>
      </c>
      <c r="BV42" s="273">
        <v>8.0400000000000003E-4</v>
      </c>
      <c r="BW42" s="273">
        <v>0.82935700000000001</v>
      </c>
      <c r="BX42" s="273">
        <v>1.042721</v>
      </c>
      <c r="BY42" s="273">
        <v>9.6738000000000005E-2</v>
      </c>
      <c r="BZ42" s="273">
        <v>0.13018399999999999</v>
      </c>
      <c r="CA42" s="273">
        <v>2.0087000000000001E-2</v>
      </c>
      <c r="CB42" s="273">
        <v>1.3495999999999999E-2</v>
      </c>
      <c r="CC42" s="273">
        <v>7.0699999999999995E-4</v>
      </c>
      <c r="CD42" s="273">
        <v>9.2999999999999997E-5</v>
      </c>
      <c r="CE42" s="273">
        <v>2.4250000000000001E-2</v>
      </c>
      <c r="CF42" s="273">
        <v>5.8532000000000001E-2</v>
      </c>
      <c r="CG42" s="273">
        <v>3.8252000000000001E-2</v>
      </c>
      <c r="CH42" s="273">
        <v>3.1642000000000003E-2</v>
      </c>
      <c r="CI42" s="273">
        <v>5.7800000000000004E-3</v>
      </c>
      <c r="CJ42" s="273">
        <v>6.136E-3</v>
      </c>
      <c r="CK42" s="273">
        <v>5.2700000000000002E-4</v>
      </c>
      <c r="CL42" s="273">
        <v>4.8200000000000001E-4</v>
      </c>
      <c r="CM42" s="273">
        <v>1.24E-3</v>
      </c>
      <c r="CN42" s="273">
        <v>2.7160000000000001E-3</v>
      </c>
      <c r="CO42" s="273">
        <v>6.3162999999999997E-2</v>
      </c>
      <c r="CP42" s="273">
        <v>8.9566000000000007E-2</v>
      </c>
      <c r="CQ42" s="273">
        <v>2.2139999999999998E-3</v>
      </c>
      <c r="CR42" s="273">
        <v>4.7679999999999997E-3</v>
      </c>
      <c r="CS42" s="273">
        <v>1.0914E-2</v>
      </c>
      <c r="CT42" s="273">
        <v>8.4130000000000003E-3</v>
      </c>
      <c r="CU42" s="273">
        <f t="shared" si="96"/>
        <v>2.4163595999999999E-5</v>
      </c>
      <c r="CV42" s="273">
        <f t="shared" si="82"/>
        <v>4.0113183999999997E-5</v>
      </c>
      <c r="CW42" s="273">
        <v>0.38693699999999998</v>
      </c>
      <c r="CX42" s="273">
        <v>0.45037899999999997</v>
      </c>
      <c r="CY42" s="273">
        <f t="shared" si="97"/>
        <v>8.5667851799999992E-4</v>
      </c>
      <c r="CZ42" s="273">
        <f t="shared" si="83"/>
        <v>2.1474070719999998E-3</v>
      </c>
      <c r="DA42" s="273">
        <v>3.8999999999999999E-5</v>
      </c>
      <c r="DB42" s="273">
        <v>1.2179999999999999E-3</v>
      </c>
      <c r="DC42" s="273">
        <f t="shared" si="98"/>
        <v>1.3331578859999999E-3</v>
      </c>
      <c r="DD42" s="273">
        <f t="shared" si="84"/>
        <v>2.5804797440000002E-3</v>
      </c>
      <c r="DE42" s="273">
        <v>1.1400000000000001E-4</v>
      </c>
      <c r="DF42" s="273">
        <v>2.2800000000000001E-4</v>
      </c>
      <c r="DG42" s="273">
        <f t="shared" si="99"/>
        <v>1.0338421139999999E-3</v>
      </c>
      <c r="DH42" s="273">
        <f t="shared" si="85"/>
        <v>3.6335202559999997E-3</v>
      </c>
      <c r="DI42" s="273">
        <v>2.8699999999999998E-4</v>
      </c>
      <c r="DJ42" s="273">
        <v>1.06E-4</v>
      </c>
      <c r="DK42" s="273">
        <v>2.1000000000000001E-4</v>
      </c>
      <c r="DL42" s="273">
        <v>1.9000000000000001E-4</v>
      </c>
      <c r="DM42" s="273">
        <f t="shared" si="100"/>
        <v>4.9700000000000005E-4</v>
      </c>
      <c r="DN42" s="273">
        <f t="shared" si="86"/>
        <v>2.9600000000000004E-4</v>
      </c>
      <c r="DO42" s="273">
        <v>4.0679999999999996E-3</v>
      </c>
      <c r="DP42" s="273">
        <v>1.6260000000000001E-3</v>
      </c>
      <c r="DQ42" s="273">
        <v>2.0609999999999999E-3</v>
      </c>
      <c r="DR42" s="273">
        <v>9.990000000000001E-4</v>
      </c>
      <c r="DS42" s="273">
        <v>1.9577000000000001E-2</v>
      </c>
      <c r="DT42" s="273">
        <v>1.5330999999999999E-2</v>
      </c>
      <c r="DU42" s="273">
        <v>1.771E-3</v>
      </c>
      <c r="DV42" s="273">
        <v>1.9120000000000001E-3</v>
      </c>
      <c r="DW42" s="273">
        <v>4.0188000000000001E-2</v>
      </c>
      <c r="DX42" s="273">
        <v>4.0188000000000001E-2</v>
      </c>
      <c r="DY42" s="273">
        <v>7.1353E-2</v>
      </c>
      <c r="DZ42" s="273">
        <v>7.0017999999999997E-2</v>
      </c>
      <c r="EA42" s="273">
        <v>7.6000000000000004E-5</v>
      </c>
      <c r="EB42" s="273">
        <v>9.0000000000000006E-5</v>
      </c>
      <c r="EC42" s="273">
        <v>7.1669999999999998E-3</v>
      </c>
      <c r="ED42" s="273">
        <v>3.999E-3</v>
      </c>
      <c r="EE42" s="273"/>
      <c r="EF42" s="274"/>
    </row>
    <row r="43" spans="2:136" s="249" customFormat="1" ht="17.399999999999999">
      <c r="B43" s="286">
        <v>36</v>
      </c>
      <c r="C43" s="273">
        <v>3.4E-5</v>
      </c>
      <c r="D43" s="273">
        <v>1.2E-5</v>
      </c>
      <c r="E43" s="273">
        <v>4.3000000000000002E-5</v>
      </c>
      <c r="F43" s="273">
        <v>9.0000000000000002E-6</v>
      </c>
      <c r="G43" s="273">
        <v>6.0400000000000004E-4</v>
      </c>
      <c r="H43" s="273">
        <v>4.2400000000000001E-4</v>
      </c>
      <c r="I43" s="273">
        <v>7.7000000000000001E-5</v>
      </c>
      <c r="J43" s="273">
        <v>2.1000000000000002E-5</v>
      </c>
      <c r="K43" s="273">
        <v>2.5099999999999998E-4</v>
      </c>
      <c r="L43" s="273">
        <v>1.01E-4</v>
      </c>
      <c r="M43" s="273">
        <f t="shared" si="87"/>
        <v>1.2736656300000001E-3</v>
      </c>
      <c r="N43" s="273">
        <f t="shared" si="77"/>
        <v>1.3419756420000001E-3</v>
      </c>
      <c r="O43" s="273">
        <f t="shared" si="88"/>
        <v>3.4899400000000001E-6</v>
      </c>
      <c r="P43" s="273">
        <f t="shared" si="89"/>
        <v>1.006837153E-3</v>
      </c>
      <c r="Q43" s="273">
        <v>2.1099999999999999E-3</v>
      </c>
      <c r="R43" s="273">
        <v>4.3610000000000003E-3</v>
      </c>
      <c r="S43" s="273">
        <v>1.369E-3</v>
      </c>
      <c r="T43" s="273">
        <v>0.23087299999999999</v>
      </c>
      <c r="U43" s="273">
        <v>1.6540000000000001E-3</v>
      </c>
      <c r="V43" s="273">
        <v>0</v>
      </c>
      <c r="W43" s="273">
        <v>1.3689E-2</v>
      </c>
      <c r="X43" s="273">
        <v>4.1000000000000003E-3</v>
      </c>
      <c r="Y43" s="273">
        <f t="shared" si="90"/>
        <v>2.8883789999999999E-5</v>
      </c>
      <c r="Z43" s="273">
        <f t="shared" si="78"/>
        <v>1.7880100000000002E-5</v>
      </c>
      <c r="AA43" s="273">
        <v>0.35748999999999997</v>
      </c>
      <c r="AB43" s="273">
        <v>0.44995600000000002</v>
      </c>
      <c r="AC43" s="273">
        <f t="shared" si="91"/>
        <v>7.5430389999999988E-4</v>
      </c>
      <c r="AD43" s="273">
        <f t="shared" si="79"/>
        <v>1.9622581160000001E-3</v>
      </c>
      <c r="AE43" s="273">
        <v>2.1225999999999998E-2</v>
      </c>
      <c r="AF43" s="273">
        <v>7.0590000000000002E-3</v>
      </c>
      <c r="AG43" s="273">
        <f t="shared" si="92"/>
        <v>4.4786859999999994E-5</v>
      </c>
      <c r="AH43" s="273">
        <f t="shared" si="80"/>
        <v>3.0784299E-5</v>
      </c>
      <c r="AI43" s="273">
        <v>2.3080000000000002E-3</v>
      </c>
      <c r="AJ43" s="273">
        <v>2.9E-4</v>
      </c>
      <c r="AK43" s="273">
        <f t="shared" si="93"/>
        <v>4.86988E-6</v>
      </c>
      <c r="AL43" s="273">
        <f t="shared" si="81"/>
        <v>1.2646900000000001E-6</v>
      </c>
      <c r="AM43" s="273">
        <f t="shared" si="94"/>
        <v>3.0012639999999998E-4</v>
      </c>
      <c r="AN43" s="273">
        <f t="shared" si="95"/>
        <v>2.2364516300000002E-4</v>
      </c>
      <c r="AO43" s="273">
        <v>0.14224000000000001</v>
      </c>
      <c r="AP43" s="273">
        <v>5.1283000000000002E-2</v>
      </c>
      <c r="AQ43" s="273">
        <v>7.2999999999999999E-5</v>
      </c>
      <c r="AR43" s="273">
        <v>1.134E-3</v>
      </c>
      <c r="AS43" s="273">
        <v>1.2799999999999999E-4</v>
      </c>
      <c r="AT43" s="273">
        <v>2.22E-4</v>
      </c>
      <c r="AU43" s="273">
        <v>1.6100000000000001E-4</v>
      </c>
      <c r="AV43" s="273">
        <v>1.06E-4</v>
      </c>
      <c r="AW43" s="273">
        <v>1.4E-5</v>
      </c>
      <c r="AX43" s="273">
        <v>3.0000000000000001E-6</v>
      </c>
      <c r="AY43" s="273">
        <v>1.9000000000000001E-5</v>
      </c>
      <c r="AZ43" s="273">
        <v>3.1999999999999999E-5</v>
      </c>
      <c r="BA43" s="273">
        <v>1.07E-4</v>
      </c>
      <c r="BB43" s="273">
        <v>1.92E-4</v>
      </c>
      <c r="BC43" s="273">
        <v>0</v>
      </c>
      <c r="BD43" s="273">
        <v>0</v>
      </c>
      <c r="BE43" s="273">
        <v>3.0000000000000001E-6</v>
      </c>
      <c r="BF43" s="273">
        <v>3.0000000000000001E-6</v>
      </c>
      <c r="BG43" s="273">
        <v>5.0000000000000002E-5</v>
      </c>
      <c r="BH43" s="273">
        <v>4.0000000000000003E-5</v>
      </c>
      <c r="BI43" s="273">
        <v>6.8999999999999997E-5</v>
      </c>
      <c r="BJ43" s="273">
        <v>6.6000000000000005E-5</v>
      </c>
      <c r="BK43" s="273">
        <v>1.12E-4</v>
      </c>
      <c r="BL43" s="273">
        <v>6.0999999999999999E-5</v>
      </c>
      <c r="BM43" s="273">
        <v>1.1900000000000001E-4</v>
      </c>
      <c r="BN43" s="273">
        <v>1.4999999999999999E-4</v>
      </c>
      <c r="BO43" s="273">
        <v>6.4899999999999995E-4</v>
      </c>
      <c r="BP43" s="273">
        <v>3.1500000000000001E-4</v>
      </c>
      <c r="BQ43" s="273">
        <v>2.0100000000000001E-4</v>
      </c>
      <c r="BR43" s="273">
        <v>1.37E-4</v>
      </c>
      <c r="BS43" s="273">
        <v>2.1000000000000001E-4</v>
      </c>
      <c r="BT43" s="273">
        <v>2.5999999999999998E-5</v>
      </c>
      <c r="BU43" s="273">
        <v>1.317E-3</v>
      </c>
      <c r="BV43" s="273">
        <v>8.9800000000000004E-4</v>
      </c>
      <c r="BW43" s="273">
        <v>0.86493799999999998</v>
      </c>
      <c r="BX43" s="273">
        <v>1.065007</v>
      </c>
      <c r="BY43" s="273">
        <v>0.10226499999999999</v>
      </c>
      <c r="BZ43" s="273">
        <v>0.13730000000000001</v>
      </c>
      <c r="CA43" s="273">
        <v>2.1576999999999999E-2</v>
      </c>
      <c r="CB43" s="273">
        <v>1.4906000000000001E-2</v>
      </c>
      <c r="CC43" s="273">
        <v>8.1700000000000002E-4</v>
      </c>
      <c r="CD43" s="273">
        <v>1.01E-4</v>
      </c>
      <c r="CE43" s="273">
        <v>2.5236999999999999E-2</v>
      </c>
      <c r="CF43" s="273">
        <v>5.8270000000000002E-2</v>
      </c>
      <c r="CG43" s="273">
        <v>4.1852E-2</v>
      </c>
      <c r="CH43" s="273">
        <v>3.4083000000000002E-2</v>
      </c>
      <c r="CI43" s="273">
        <v>6.2859999999999999E-3</v>
      </c>
      <c r="CJ43" s="273">
        <v>6.5110000000000003E-3</v>
      </c>
      <c r="CK43" s="273">
        <v>5.5000000000000003E-4</v>
      </c>
      <c r="CL43" s="273">
        <v>5.1000000000000004E-4</v>
      </c>
      <c r="CM43" s="273">
        <v>1.371E-3</v>
      </c>
      <c r="CN43" s="273">
        <v>2.9220000000000001E-3</v>
      </c>
      <c r="CO43" s="273">
        <v>6.7507999999999999E-2</v>
      </c>
      <c r="CP43" s="273">
        <v>9.1484999999999997E-2</v>
      </c>
      <c r="CQ43" s="273">
        <v>2.366E-3</v>
      </c>
      <c r="CR43" s="273">
        <v>5.0809999999999996E-3</v>
      </c>
      <c r="CS43" s="273">
        <v>1.1407E-2</v>
      </c>
      <c r="CT43" s="273">
        <v>8.1030000000000008E-3</v>
      </c>
      <c r="CU43" s="273">
        <f t="shared" si="96"/>
        <v>2.6988962000000001E-5</v>
      </c>
      <c r="CV43" s="273">
        <f t="shared" si="82"/>
        <v>4.1171343000000001E-5</v>
      </c>
      <c r="CW43" s="273">
        <v>0.37991900000000001</v>
      </c>
      <c r="CX43" s="273">
        <v>0.43893399999999999</v>
      </c>
      <c r="CY43" s="273">
        <f t="shared" si="97"/>
        <v>8.9888835400000003E-4</v>
      </c>
      <c r="CZ43" s="273">
        <f t="shared" si="83"/>
        <v>2.2302236539999999E-3</v>
      </c>
      <c r="DA43" s="273">
        <v>4.3999999999999999E-5</v>
      </c>
      <c r="DB43" s="273">
        <v>1.204E-3</v>
      </c>
      <c r="DC43" s="273">
        <f t="shared" si="98"/>
        <v>1.4401226840000001E-3</v>
      </c>
      <c r="DD43" s="273">
        <f t="shared" si="84"/>
        <v>2.8096050029999993E-3</v>
      </c>
      <c r="DE43" s="273">
        <v>1.1400000000000001E-4</v>
      </c>
      <c r="DF43" s="273">
        <v>2.34E-4</v>
      </c>
      <c r="DG43" s="273">
        <f t="shared" si="99"/>
        <v>1.0838773160000001E-3</v>
      </c>
      <c r="DH43" s="273">
        <f t="shared" si="85"/>
        <v>3.7093949969999995E-3</v>
      </c>
      <c r="DI43" s="273">
        <v>3.3599999999999998E-4</v>
      </c>
      <c r="DJ43" s="273">
        <v>1.17E-4</v>
      </c>
      <c r="DK43" s="273">
        <v>2.33E-4</v>
      </c>
      <c r="DL43" s="273">
        <v>1.9900000000000001E-4</v>
      </c>
      <c r="DM43" s="273">
        <f t="shared" si="100"/>
        <v>5.6899999999999995E-4</v>
      </c>
      <c r="DN43" s="273">
        <f t="shared" si="86"/>
        <v>3.1599999999999998E-4</v>
      </c>
      <c r="DO43" s="273">
        <v>4.3299999999999996E-3</v>
      </c>
      <c r="DP43" s="273">
        <v>1.712E-3</v>
      </c>
      <c r="DQ43" s="273">
        <v>2.124E-3</v>
      </c>
      <c r="DR43" s="273">
        <v>1.07E-3</v>
      </c>
      <c r="DS43" s="273">
        <v>2.0343E-2</v>
      </c>
      <c r="DT43" s="273">
        <v>1.6042000000000001E-2</v>
      </c>
      <c r="DU43" s="273">
        <v>1.8500000000000001E-3</v>
      </c>
      <c r="DV43" s="273">
        <v>2.0100000000000001E-3</v>
      </c>
      <c r="DW43" s="273">
        <v>4.0188000000000001E-2</v>
      </c>
      <c r="DX43" s="273">
        <v>4.0188000000000001E-2</v>
      </c>
      <c r="DY43" s="273">
        <v>7.4409000000000003E-2</v>
      </c>
      <c r="DZ43" s="273">
        <v>7.0835999999999996E-2</v>
      </c>
      <c r="EA43" s="273">
        <v>8.5000000000000006E-5</v>
      </c>
      <c r="EB43" s="273">
        <v>1.02E-4</v>
      </c>
      <c r="EC43" s="273">
        <v>6.6860000000000001E-3</v>
      </c>
      <c r="ED43" s="273">
        <v>4.0049999999999999E-3</v>
      </c>
      <c r="EE43" s="273"/>
      <c r="EF43" s="274"/>
    </row>
    <row r="44" spans="2:136" s="249" customFormat="1" ht="17.399999999999999">
      <c r="B44" s="286">
        <v>37</v>
      </c>
      <c r="C44" s="273">
        <v>3.8999999999999999E-5</v>
      </c>
      <c r="D44" s="273">
        <v>1.4E-5</v>
      </c>
      <c r="E44" s="273">
        <v>4.3000000000000002E-5</v>
      </c>
      <c r="F44" s="273">
        <v>9.0000000000000002E-6</v>
      </c>
      <c r="G44" s="273">
        <v>6.29E-4</v>
      </c>
      <c r="H44" s="273">
        <v>4.4799999999999999E-4</v>
      </c>
      <c r="I44" s="273">
        <v>8.2000000000000001E-5</v>
      </c>
      <c r="J44" s="273">
        <v>2.3E-5</v>
      </c>
      <c r="K44" s="273">
        <v>2.5099999999999998E-4</v>
      </c>
      <c r="L44" s="273">
        <v>1.01E-4</v>
      </c>
      <c r="M44" s="273">
        <f t="shared" si="87"/>
        <v>1.3749585260000002E-3</v>
      </c>
      <c r="N44" s="273">
        <f t="shared" si="77"/>
        <v>1.3817487599999995E-3</v>
      </c>
      <c r="O44" s="273">
        <f t="shared" si="88"/>
        <v>4.4111440000000004E-6</v>
      </c>
      <c r="P44" s="273">
        <f t="shared" si="89"/>
        <v>1.176037008E-3</v>
      </c>
      <c r="Q44" s="273">
        <v>2.2460000000000002E-3</v>
      </c>
      <c r="R44" s="273">
        <v>4.6319999999999998E-3</v>
      </c>
      <c r="S44" s="273">
        <v>1.276E-3</v>
      </c>
      <c r="T44" s="273">
        <v>0.25389400000000001</v>
      </c>
      <c r="U44" s="273">
        <v>1.964E-3</v>
      </c>
      <c r="V44" s="273">
        <v>0</v>
      </c>
      <c r="W44" s="273">
        <v>1.2755000000000001E-2</v>
      </c>
      <c r="X44" s="273">
        <v>4.1250000000000002E-3</v>
      </c>
      <c r="Y44" s="273">
        <f t="shared" si="90"/>
        <v>2.8647730000000002E-5</v>
      </c>
      <c r="Z44" s="273">
        <f t="shared" si="78"/>
        <v>1.9107000000000002E-5</v>
      </c>
      <c r="AA44" s="273">
        <v>0.34893200000000002</v>
      </c>
      <c r="AB44" s="273">
        <v>0.43597399999999997</v>
      </c>
      <c r="AC44" s="273">
        <f t="shared" si="91"/>
        <v>7.8370127200000014E-4</v>
      </c>
      <c r="AD44" s="273">
        <f t="shared" si="79"/>
        <v>2.0194315679999998E-3</v>
      </c>
      <c r="AE44" s="273">
        <v>2.1704000000000001E-2</v>
      </c>
      <c r="AF44" s="273">
        <v>7.4019999999999997E-3</v>
      </c>
      <c r="AG44" s="273">
        <f t="shared" si="92"/>
        <v>4.8747184000000003E-5</v>
      </c>
      <c r="AH44" s="273">
        <f t="shared" si="80"/>
        <v>3.4286063999999998E-5</v>
      </c>
      <c r="AI44" s="273">
        <v>2.464E-3</v>
      </c>
      <c r="AJ44" s="273">
        <v>2.9999999999999997E-4</v>
      </c>
      <c r="AK44" s="273">
        <f t="shared" si="93"/>
        <v>5.5341440000000005E-6</v>
      </c>
      <c r="AL44" s="273">
        <f t="shared" si="81"/>
        <v>1.3895999999999998E-6</v>
      </c>
      <c r="AM44" s="273">
        <f t="shared" si="94"/>
        <v>3.1140340800000002E-4</v>
      </c>
      <c r="AN44" s="273">
        <f t="shared" si="95"/>
        <v>2.32382808E-4</v>
      </c>
      <c r="AO44" s="273">
        <v>0.13864799999999999</v>
      </c>
      <c r="AP44" s="273">
        <v>5.0168999999999998E-2</v>
      </c>
      <c r="AQ44" s="273">
        <v>8.2000000000000001E-5</v>
      </c>
      <c r="AR44" s="273">
        <v>1.152E-3</v>
      </c>
      <c r="AS44" s="273">
        <v>1.2999999999999999E-4</v>
      </c>
      <c r="AT44" s="273">
        <v>2.24E-4</v>
      </c>
      <c r="AU44" s="273">
        <v>1.84E-4</v>
      </c>
      <c r="AV44" s="273">
        <v>1.1900000000000001E-4</v>
      </c>
      <c r="AW44" s="273">
        <v>1.5E-5</v>
      </c>
      <c r="AX44" s="273">
        <v>3.0000000000000001E-6</v>
      </c>
      <c r="AY44" s="273">
        <v>1.9000000000000001E-5</v>
      </c>
      <c r="AZ44" s="273">
        <v>3.4E-5</v>
      </c>
      <c r="BA44" s="273">
        <v>1.13E-4</v>
      </c>
      <c r="BB44" s="273">
        <v>2.0000000000000001E-4</v>
      </c>
      <c r="BC44" s="273">
        <v>0</v>
      </c>
      <c r="BD44" s="273">
        <v>0</v>
      </c>
      <c r="BE44" s="273">
        <v>3.0000000000000001E-6</v>
      </c>
      <c r="BF44" s="273">
        <v>3.0000000000000001E-6</v>
      </c>
      <c r="BG44" s="273">
        <v>5.1E-5</v>
      </c>
      <c r="BH44" s="273">
        <v>4.1E-5</v>
      </c>
      <c r="BI44" s="273">
        <v>7.4999999999999993E-5</v>
      </c>
      <c r="BJ44" s="273">
        <v>6.8999999999999997E-5</v>
      </c>
      <c r="BK44" s="273">
        <v>1.27E-4</v>
      </c>
      <c r="BL44" s="273">
        <v>6.4999999999999994E-5</v>
      </c>
      <c r="BM44" s="273">
        <v>1.3100000000000001E-4</v>
      </c>
      <c r="BN44" s="273">
        <v>1.5699999999999999E-4</v>
      </c>
      <c r="BO44" s="273">
        <v>6.4700000000000001E-4</v>
      </c>
      <c r="BP44" s="273">
        <v>3.2200000000000002E-4</v>
      </c>
      <c r="BQ44" s="273">
        <v>2.1800000000000001E-4</v>
      </c>
      <c r="BR44" s="273">
        <v>1.5200000000000001E-4</v>
      </c>
      <c r="BS44" s="273">
        <v>2.4000000000000001E-4</v>
      </c>
      <c r="BT44" s="273">
        <v>2.8E-5</v>
      </c>
      <c r="BU44" s="273">
        <v>1.4319999999999999E-3</v>
      </c>
      <c r="BV44" s="273">
        <v>9.9400000000000009E-4</v>
      </c>
      <c r="BW44" s="273">
        <v>0.89758599999999999</v>
      </c>
      <c r="BX44" s="273">
        <v>1.093521</v>
      </c>
      <c r="BY44" s="273">
        <v>0.107556</v>
      </c>
      <c r="BZ44" s="273">
        <v>0.144985</v>
      </c>
      <c r="CA44" s="273">
        <v>2.2807999999999998E-2</v>
      </c>
      <c r="CB44" s="273">
        <v>1.6256E-2</v>
      </c>
      <c r="CC44" s="273">
        <v>9.3199999999999999E-4</v>
      </c>
      <c r="CD44" s="273">
        <v>1.11E-4</v>
      </c>
      <c r="CE44" s="273">
        <v>2.6041000000000002E-2</v>
      </c>
      <c r="CF44" s="273">
        <v>5.7668999999999998E-2</v>
      </c>
      <c r="CG44" s="273">
        <v>4.5435000000000003E-2</v>
      </c>
      <c r="CH44" s="273">
        <v>3.6457000000000003E-2</v>
      </c>
      <c r="CI44" s="273">
        <v>6.7840000000000001E-3</v>
      </c>
      <c r="CJ44" s="273">
        <v>6.868E-3</v>
      </c>
      <c r="CK44" s="273">
        <v>5.6800000000000004E-4</v>
      </c>
      <c r="CL44" s="273">
        <v>5.3799999999999996E-4</v>
      </c>
      <c r="CM44" s="273">
        <v>1.503E-3</v>
      </c>
      <c r="CN44" s="273">
        <v>3.1229999999999999E-3</v>
      </c>
      <c r="CO44" s="273">
        <v>7.1610999999999994E-2</v>
      </c>
      <c r="CP44" s="273">
        <v>9.2990000000000003E-2</v>
      </c>
      <c r="CQ44" s="273">
        <v>2.5270000000000002E-3</v>
      </c>
      <c r="CR44" s="273">
        <v>5.3940000000000004E-3</v>
      </c>
      <c r="CS44" s="273">
        <v>1.1771999999999999E-2</v>
      </c>
      <c r="CT44" s="273">
        <v>7.5459999999999998E-3</v>
      </c>
      <c r="CU44" s="273">
        <f t="shared" si="96"/>
        <v>2.9747844E-5</v>
      </c>
      <c r="CV44" s="273">
        <f t="shared" si="82"/>
        <v>4.0703123999999999E-5</v>
      </c>
      <c r="CW44" s="273">
        <v>0.37290099999999998</v>
      </c>
      <c r="CX44" s="273">
        <v>0.42748799999999998</v>
      </c>
      <c r="CY44" s="273">
        <f t="shared" si="97"/>
        <v>9.4232082700000002E-4</v>
      </c>
      <c r="CZ44" s="273">
        <f t="shared" si="83"/>
        <v>2.305870272E-3</v>
      </c>
      <c r="DA44" s="273">
        <v>5.1999999999999997E-5</v>
      </c>
      <c r="DB44" s="273">
        <v>1.206E-3</v>
      </c>
      <c r="DC44" s="273">
        <f t="shared" si="98"/>
        <v>1.5549313289999998E-3</v>
      </c>
      <c r="DD44" s="273">
        <f t="shared" si="84"/>
        <v>3.0474266040000004E-3</v>
      </c>
      <c r="DE44" s="273">
        <v>1.1400000000000001E-4</v>
      </c>
      <c r="DF44" s="273">
        <v>2.3900000000000001E-4</v>
      </c>
      <c r="DG44" s="273">
        <f t="shared" si="99"/>
        <v>1.138068671E-3</v>
      </c>
      <c r="DH44" s="273">
        <f t="shared" si="85"/>
        <v>3.7915733960000001E-3</v>
      </c>
      <c r="DI44" s="273">
        <v>3.88E-4</v>
      </c>
      <c r="DJ44" s="273">
        <v>1.27E-4</v>
      </c>
      <c r="DK44" s="273">
        <v>2.5700000000000001E-4</v>
      </c>
      <c r="DL44" s="273">
        <v>2.0699999999999999E-4</v>
      </c>
      <c r="DM44" s="273">
        <f t="shared" si="100"/>
        <v>6.4499999999999996E-4</v>
      </c>
      <c r="DN44" s="273">
        <f t="shared" si="86"/>
        <v>3.3399999999999999E-4</v>
      </c>
      <c r="DO44" s="273">
        <v>4.4429999999999999E-3</v>
      </c>
      <c r="DP44" s="273">
        <v>1.8190000000000001E-3</v>
      </c>
      <c r="DQ44" s="273">
        <v>2.1489999999999999E-3</v>
      </c>
      <c r="DR44" s="273">
        <v>1.1869999999999999E-3</v>
      </c>
      <c r="DS44" s="273">
        <v>2.1048999999999998E-2</v>
      </c>
      <c r="DT44" s="273">
        <v>1.6660999999999999E-2</v>
      </c>
      <c r="DU44" s="273">
        <v>1.9090000000000001E-3</v>
      </c>
      <c r="DV44" s="273">
        <v>2.1050000000000001E-3</v>
      </c>
      <c r="DW44" s="273">
        <v>4.0188000000000001E-2</v>
      </c>
      <c r="DX44" s="273">
        <v>4.0188000000000001E-2</v>
      </c>
      <c r="DY44" s="273">
        <v>7.7290999999999999E-2</v>
      </c>
      <c r="DZ44" s="273">
        <v>7.2220999999999994E-2</v>
      </c>
      <c r="EA44" s="273">
        <v>9.2999999999999997E-5</v>
      </c>
      <c r="EB44" s="273">
        <v>1.1400000000000001E-4</v>
      </c>
      <c r="EC44" s="273">
        <v>6.2049999999999996E-3</v>
      </c>
      <c r="ED44" s="273">
        <v>4.0109999999999998E-3</v>
      </c>
      <c r="EE44" s="273"/>
      <c r="EF44" s="274"/>
    </row>
    <row r="45" spans="2:136" s="249" customFormat="1" ht="17.399999999999999">
      <c r="B45" s="286">
        <v>38</v>
      </c>
      <c r="C45" s="273">
        <v>4.3999999999999999E-5</v>
      </c>
      <c r="D45" s="273">
        <v>1.5E-5</v>
      </c>
      <c r="E45" s="273">
        <v>4.3000000000000002E-5</v>
      </c>
      <c r="F45" s="273">
        <v>9.0000000000000002E-6</v>
      </c>
      <c r="G45" s="273">
        <v>6.5600000000000001E-4</v>
      </c>
      <c r="H45" s="273">
        <v>4.6700000000000002E-4</v>
      </c>
      <c r="I45" s="273">
        <v>8.7000000000000001E-5</v>
      </c>
      <c r="J45" s="273">
        <v>2.4000000000000001E-5</v>
      </c>
      <c r="K45" s="273">
        <v>2.5099999999999998E-4</v>
      </c>
      <c r="L45" s="273">
        <v>1.01E-4</v>
      </c>
      <c r="M45" s="273">
        <f t="shared" si="87"/>
        <v>1.496491101E-3</v>
      </c>
      <c r="N45" s="273">
        <f t="shared" si="77"/>
        <v>1.4750564939999997E-3</v>
      </c>
      <c r="O45" s="273">
        <f t="shared" si="88"/>
        <v>6.0035570000000003E-6</v>
      </c>
      <c r="P45" s="273">
        <f t="shared" si="89"/>
        <v>1.3276296379999999E-3</v>
      </c>
      <c r="Q45" s="273">
        <v>2.3890000000000001E-3</v>
      </c>
      <c r="R45" s="273">
        <v>4.8939999999999999E-3</v>
      </c>
      <c r="S45" s="273">
        <v>1.193E-3</v>
      </c>
      <c r="T45" s="273">
        <v>0.27127699999999999</v>
      </c>
      <c r="U45" s="273">
        <v>2.513E-3</v>
      </c>
      <c r="V45" s="273">
        <v>0</v>
      </c>
      <c r="W45" s="273">
        <v>1.3715E-2</v>
      </c>
      <c r="X45" s="273">
        <v>4.1200000000000004E-3</v>
      </c>
      <c r="Y45" s="273">
        <f t="shared" si="90"/>
        <v>3.2765134999999998E-5</v>
      </c>
      <c r="Z45" s="273">
        <f t="shared" si="78"/>
        <v>2.0163280000000003E-5</v>
      </c>
      <c r="AA45" s="273">
        <v>0.33268900000000001</v>
      </c>
      <c r="AB45" s="273">
        <v>0.41539100000000001</v>
      </c>
      <c r="AC45" s="273">
        <f t="shared" si="91"/>
        <v>7.9479402100000006E-4</v>
      </c>
      <c r="AD45" s="273">
        <f t="shared" si="79"/>
        <v>2.0329235539999998E-3</v>
      </c>
      <c r="AE45" s="273">
        <v>2.1971999999999998E-2</v>
      </c>
      <c r="AF45" s="273">
        <v>7.4830000000000001E-3</v>
      </c>
      <c r="AG45" s="273">
        <f t="shared" si="92"/>
        <v>5.2491107999999998E-5</v>
      </c>
      <c r="AH45" s="273">
        <f t="shared" si="80"/>
        <v>3.6621802000000001E-5</v>
      </c>
      <c r="AI45" s="273">
        <v>2.702E-3</v>
      </c>
      <c r="AJ45" s="273">
        <v>3.28E-4</v>
      </c>
      <c r="AK45" s="273">
        <f t="shared" si="93"/>
        <v>6.4550780000000001E-6</v>
      </c>
      <c r="AL45" s="273">
        <f t="shared" si="81"/>
        <v>1.6052319999999999E-6</v>
      </c>
      <c r="AM45" s="273">
        <f t="shared" si="94"/>
        <v>3.1516165800000003E-4</v>
      </c>
      <c r="AN45" s="273">
        <f t="shared" si="95"/>
        <v>2.3835248200000002E-4</v>
      </c>
      <c r="AO45" s="273">
        <v>0.13192200000000001</v>
      </c>
      <c r="AP45" s="273">
        <v>4.8703000000000003E-2</v>
      </c>
      <c r="AQ45" s="273">
        <v>9.2E-5</v>
      </c>
      <c r="AR45" s="273">
        <v>1.1659999999999999E-3</v>
      </c>
      <c r="AS45" s="273">
        <v>1.3300000000000001E-4</v>
      </c>
      <c r="AT45" s="273">
        <v>2.2599999999999999E-4</v>
      </c>
      <c r="AU45" s="273">
        <v>2.0699999999999999E-4</v>
      </c>
      <c r="AV45" s="273">
        <v>1.3100000000000001E-4</v>
      </c>
      <c r="AW45" s="273">
        <v>1.5999999999999999E-5</v>
      </c>
      <c r="AX45" s="273">
        <v>3.0000000000000001E-6</v>
      </c>
      <c r="AY45" s="273">
        <v>2.0000000000000002E-5</v>
      </c>
      <c r="AZ45" s="273">
        <v>3.4999999999999997E-5</v>
      </c>
      <c r="BA45" s="273">
        <v>1.18E-4</v>
      </c>
      <c r="BB45" s="273">
        <v>2.1000000000000001E-4</v>
      </c>
      <c r="BC45" s="273">
        <v>0</v>
      </c>
      <c r="BD45" s="273">
        <v>0</v>
      </c>
      <c r="BE45" s="273">
        <v>3.0000000000000001E-6</v>
      </c>
      <c r="BF45" s="273">
        <v>3.0000000000000001E-6</v>
      </c>
      <c r="BG45" s="273">
        <v>5.3000000000000001E-5</v>
      </c>
      <c r="BH45" s="273">
        <v>4.3000000000000002E-5</v>
      </c>
      <c r="BI45" s="273">
        <v>8.2000000000000001E-5</v>
      </c>
      <c r="BJ45" s="273">
        <v>7.2000000000000002E-5</v>
      </c>
      <c r="BK45" s="273">
        <v>1.4799999999999999E-4</v>
      </c>
      <c r="BL45" s="273">
        <v>7.3999999999999996E-5</v>
      </c>
      <c r="BM45" s="273">
        <v>1.37E-4</v>
      </c>
      <c r="BN45" s="273">
        <v>1.7200000000000001E-4</v>
      </c>
      <c r="BO45" s="273">
        <v>6.4999999999999997E-4</v>
      </c>
      <c r="BP45" s="273">
        <v>3.2400000000000001E-4</v>
      </c>
      <c r="BQ45" s="273">
        <v>2.3599999999999999E-4</v>
      </c>
      <c r="BR45" s="273">
        <v>1.66E-4</v>
      </c>
      <c r="BS45" s="273">
        <v>2.7099999999999997E-4</v>
      </c>
      <c r="BT45" s="273">
        <v>3.1999999999999999E-5</v>
      </c>
      <c r="BU45" s="273">
        <v>1.549E-3</v>
      </c>
      <c r="BV45" s="273">
        <v>1.09E-3</v>
      </c>
      <c r="BW45" s="273">
        <v>0.92708699999999999</v>
      </c>
      <c r="BX45" s="273">
        <v>1.127154</v>
      </c>
      <c r="BY45" s="273">
        <v>0.112536</v>
      </c>
      <c r="BZ45" s="273">
        <v>0.15309200000000001</v>
      </c>
      <c r="CA45" s="273">
        <v>2.3907999999999999E-2</v>
      </c>
      <c r="CB45" s="273">
        <v>1.687E-2</v>
      </c>
      <c r="CC45" s="273">
        <v>1.0529999999999999E-3</v>
      </c>
      <c r="CD45" s="273">
        <v>1.22E-4</v>
      </c>
      <c r="CE45" s="273">
        <v>2.7570000000000001E-2</v>
      </c>
      <c r="CF45" s="273">
        <v>5.6401E-2</v>
      </c>
      <c r="CG45" s="273">
        <v>4.8341000000000002E-2</v>
      </c>
      <c r="CH45" s="273">
        <v>3.8703000000000001E-2</v>
      </c>
      <c r="CI45" s="273">
        <v>7.1240000000000001E-3</v>
      </c>
      <c r="CJ45" s="273">
        <v>7.2220000000000001E-3</v>
      </c>
      <c r="CK45" s="273">
        <v>5.9999999999999995E-4</v>
      </c>
      <c r="CL45" s="273">
        <v>5.6099999999999998E-4</v>
      </c>
      <c r="CM45" s="273">
        <v>1.56E-3</v>
      </c>
      <c r="CN45" s="273">
        <v>3.3249999999999998E-3</v>
      </c>
      <c r="CO45" s="273">
        <v>7.5724E-2</v>
      </c>
      <c r="CP45" s="273">
        <v>9.3843999999999997E-2</v>
      </c>
      <c r="CQ45" s="273">
        <v>2.7009999999999998E-3</v>
      </c>
      <c r="CR45" s="273">
        <v>5.7080000000000004E-3</v>
      </c>
      <c r="CS45" s="273">
        <v>1.2009000000000001E-2</v>
      </c>
      <c r="CT45" s="273">
        <v>7.5100000000000002E-3</v>
      </c>
      <c r="CU45" s="273">
        <f t="shared" si="96"/>
        <v>3.2436308999999998E-5</v>
      </c>
      <c r="CV45" s="273">
        <f t="shared" si="82"/>
        <v>4.2867080000000007E-5</v>
      </c>
      <c r="CW45" s="273">
        <v>0.35501100000000002</v>
      </c>
      <c r="CX45" s="273">
        <v>0.40908</v>
      </c>
      <c r="CY45" s="273">
        <f t="shared" si="97"/>
        <v>9.5888471099999999E-4</v>
      </c>
      <c r="CZ45" s="273">
        <f t="shared" si="83"/>
        <v>2.3350286400000003E-3</v>
      </c>
      <c r="DA45" s="273">
        <v>6.0999999999999999E-5</v>
      </c>
      <c r="DB45" s="273">
        <v>1.23E-3</v>
      </c>
      <c r="DC45" s="273">
        <f t="shared" si="98"/>
        <v>1.7096789800000001E-3</v>
      </c>
      <c r="DD45" s="273">
        <f t="shared" si="84"/>
        <v>3.3301042800000001E-3</v>
      </c>
      <c r="DE45" s="273">
        <v>1.17E-4</v>
      </c>
      <c r="DF45" s="273">
        <v>2.4000000000000001E-4</v>
      </c>
      <c r="DG45" s="273">
        <f t="shared" si="99"/>
        <v>1.16932102E-3</v>
      </c>
      <c r="DH45" s="273">
        <f t="shared" si="85"/>
        <v>3.8478957200000006E-3</v>
      </c>
      <c r="DI45" s="273">
        <v>4.3199999999999998E-4</v>
      </c>
      <c r="DJ45" s="273">
        <v>1.46E-4</v>
      </c>
      <c r="DK45" s="273">
        <v>2.8299999999999999E-4</v>
      </c>
      <c r="DL45" s="273">
        <v>2.1499999999999999E-4</v>
      </c>
      <c r="DM45" s="273">
        <f t="shared" si="100"/>
        <v>7.1499999999999992E-4</v>
      </c>
      <c r="DN45" s="273">
        <f t="shared" si="86"/>
        <v>3.6099999999999999E-4</v>
      </c>
      <c r="DO45" s="273">
        <v>4.3709999999999999E-3</v>
      </c>
      <c r="DP45" s="273">
        <v>1.9550000000000001E-3</v>
      </c>
      <c r="DQ45" s="273">
        <v>2.1310000000000001E-3</v>
      </c>
      <c r="DR45" s="273">
        <v>1.3649999999999999E-3</v>
      </c>
      <c r="DS45" s="273">
        <v>2.1700000000000001E-2</v>
      </c>
      <c r="DT45" s="273">
        <v>1.7181999999999999E-2</v>
      </c>
      <c r="DU45" s="273">
        <v>1.946E-3</v>
      </c>
      <c r="DV45" s="273">
        <v>2.199E-3</v>
      </c>
      <c r="DW45" s="273">
        <v>4.0188000000000001E-2</v>
      </c>
      <c r="DX45" s="273">
        <v>4.0188000000000001E-2</v>
      </c>
      <c r="DY45" s="273">
        <v>8.0048999999999995E-2</v>
      </c>
      <c r="DZ45" s="273">
        <v>7.4315999999999993E-2</v>
      </c>
      <c r="EA45" s="273">
        <v>1.02E-4</v>
      </c>
      <c r="EB45" s="273">
        <v>1.26E-4</v>
      </c>
      <c r="EC45" s="273">
        <v>5.7229999999999998E-3</v>
      </c>
      <c r="ED45" s="273">
        <v>4.0169999999999997E-3</v>
      </c>
      <c r="EE45" s="273"/>
      <c r="EF45" s="274"/>
    </row>
    <row r="46" spans="2:136" s="249" customFormat="1" ht="17.399999999999999">
      <c r="B46" s="286">
        <v>39</v>
      </c>
      <c r="C46" s="273">
        <v>4.8999999999999998E-5</v>
      </c>
      <c r="D46" s="273">
        <v>1.7E-5</v>
      </c>
      <c r="E46" s="273">
        <v>4.3000000000000002E-5</v>
      </c>
      <c r="F46" s="273">
        <v>9.0000000000000002E-6</v>
      </c>
      <c r="G46" s="273">
        <v>6.8199999999999999E-4</v>
      </c>
      <c r="H46" s="273">
        <v>4.8000000000000001E-4</v>
      </c>
      <c r="I46" s="273">
        <v>9.2E-5</v>
      </c>
      <c r="J46" s="273">
        <v>2.6000000000000002E-5</v>
      </c>
      <c r="K46" s="273">
        <v>2.5099999999999998E-4</v>
      </c>
      <c r="L46" s="273">
        <v>1.01E-4</v>
      </c>
      <c r="M46" s="273">
        <f t="shared" si="87"/>
        <v>1.6296322349999995E-3</v>
      </c>
      <c r="N46" s="273">
        <f t="shared" si="77"/>
        <v>1.5672329579999999E-3</v>
      </c>
      <c r="O46" s="273">
        <f t="shared" si="88"/>
        <v>7.7805419999999993E-6</v>
      </c>
      <c r="P46" s="273">
        <f t="shared" si="89"/>
        <v>1.4868825090000001E-3</v>
      </c>
      <c r="Q46" s="273">
        <v>2.5409999999999999E-3</v>
      </c>
      <c r="R46" s="273">
        <v>5.1510000000000002E-3</v>
      </c>
      <c r="S46" s="273">
        <v>1.1180000000000001E-3</v>
      </c>
      <c r="T46" s="273">
        <v>0.288659</v>
      </c>
      <c r="U46" s="273">
        <v>3.0620000000000001E-3</v>
      </c>
      <c r="V46" s="273">
        <v>0</v>
      </c>
      <c r="W46" s="273">
        <v>1.3974E-2</v>
      </c>
      <c r="X46" s="273">
        <v>4.3480000000000003E-3</v>
      </c>
      <c r="Y46" s="273">
        <f t="shared" si="90"/>
        <v>3.5507933999999999E-5</v>
      </c>
      <c r="Z46" s="273">
        <f t="shared" si="78"/>
        <v>2.2396548000000003E-5</v>
      </c>
      <c r="AA46" s="273">
        <v>0.31644899999999998</v>
      </c>
      <c r="AB46" s="273">
        <v>0.39481300000000003</v>
      </c>
      <c r="AC46" s="273">
        <f t="shared" si="91"/>
        <v>8.0409690899999986E-4</v>
      </c>
      <c r="AD46" s="273">
        <f t="shared" si="79"/>
        <v>2.0336817630000003E-3</v>
      </c>
      <c r="AE46" s="273">
        <v>2.2239999999999999E-2</v>
      </c>
      <c r="AF46" s="273">
        <v>7.5649999999999997E-3</v>
      </c>
      <c r="AG46" s="273">
        <f t="shared" si="92"/>
        <v>5.6511839999999993E-5</v>
      </c>
      <c r="AH46" s="273">
        <f t="shared" si="80"/>
        <v>3.8967315000000003E-5</v>
      </c>
      <c r="AI46" s="273">
        <v>2.9399999999999999E-3</v>
      </c>
      <c r="AJ46" s="273">
        <v>3.57E-4</v>
      </c>
      <c r="AK46" s="273">
        <f t="shared" si="93"/>
        <v>7.4705399999999993E-6</v>
      </c>
      <c r="AL46" s="273">
        <f t="shared" si="81"/>
        <v>1.8389070000000001E-6</v>
      </c>
      <c r="AM46" s="273">
        <f t="shared" si="94"/>
        <v>3.18120495E-4</v>
      </c>
      <c r="AN46" s="273">
        <f t="shared" si="95"/>
        <v>2.4331778700000003E-4</v>
      </c>
      <c r="AO46" s="273">
        <v>0.125195</v>
      </c>
      <c r="AP46" s="273">
        <v>4.7237000000000001E-2</v>
      </c>
      <c r="AQ46" s="273">
        <v>1.02E-4</v>
      </c>
      <c r="AR46" s="273">
        <v>1.1789999999999999E-3</v>
      </c>
      <c r="AS46" s="273">
        <v>1.36E-4</v>
      </c>
      <c r="AT46" s="273">
        <v>2.2900000000000001E-4</v>
      </c>
      <c r="AU46" s="273">
        <v>2.3000000000000001E-4</v>
      </c>
      <c r="AV46" s="273">
        <v>1.4300000000000001E-4</v>
      </c>
      <c r="AW46" s="273">
        <v>1.7E-5</v>
      </c>
      <c r="AX46" s="273">
        <v>3.9999999999999998E-6</v>
      </c>
      <c r="AY46" s="273">
        <v>2.0000000000000002E-5</v>
      </c>
      <c r="AZ46" s="273">
        <v>3.6000000000000001E-5</v>
      </c>
      <c r="BA46" s="273">
        <v>1.22E-4</v>
      </c>
      <c r="BB46" s="273">
        <v>2.23E-4</v>
      </c>
      <c r="BC46" s="273">
        <v>0</v>
      </c>
      <c r="BD46" s="273">
        <v>0</v>
      </c>
      <c r="BE46" s="273">
        <v>3.0000000000000001E-6</v>
      </c>
      <c r="BF46" s="273">
        <v>3.0000000000000001E-6</v>
      </c>
      <c r="BG46" s="273">
        <v>5.5000000000000002E-5</v>
      </c>
      <c r="BH46" s="273">
        <v>4.5000000000000003E-5</v>
      </c>
      <c r="BI46" s="273">
        <v>9.1000000000000003E-5</v>
      </c>
      <c r="BJ46" s="273">
        <v>7.3999999999999996E-5</v>
      </c>
      <c r="BK46" s="273">
        <v>1.76E-4</v>
      </c>
      <c r="BL46" s="273">
        <v>8.7000000000000001E-5</v>
      </c>
      <c r="BM46" s="273">
        <v>1.4200000000000001E-4</v>
      </c>
      <c r="BN46" s="273">
        <v>1.8699999999999999E-4</v>
      </c>
      <c r="BO46" s="273">
        <v>6.5799999999999995E-4</v>
      </c>
      <c r="BP46" s="273">
        <v>3.2200000000000002E-4</v>
      </c>
      <c r="BQ46" s="273">
        <v>2.5399999999999999E-4</v>
      </c>
      <c r="BR46" s="273">
        <v>1.8100000000000001E-4</v>
      </c>
      <c r="BS46" s="273">
        <v>3.0400000000000002E-4</v>
      </c>
      <c r="BT46" s="273">
        <v>3.4999999999999997E-5</v>
      </c>
      <c r="BU46" s="273">
        <v>1.6689999999999999E-3</v>
      </c>
      <c r="BV46" s="273">
        <v>1.186E-3</v>
      </c>
      <c r="BW46" s="273">
        <v>0.95390299999999995</v>
      </c>
      <c r="BX46" s="273">
        <v>1.1639729999999999</v>
      </c>
      <c r="BY46" s="273">
        <v>0.11734</v>
      </c>
      <c r="BZ46" s="273">
        <v>0.16216700000000001</v>
      </c>
      <c r="CA46" s="273">
        <v>2.4716999999999999E-2</v>
      </c>
      <c r="CB46" s="273">
        <v>1.7295000000000001E-2</v>
      </c>
      <c r="CC46" s="273">
        <v>1.181E-3</v>
      </c>
      <c r="CD46" s="273">
        <v>1.37E-4</v>
      </c>
      <c r="CE46" s="273">
        <v>2.9086999999999998E-2</v>
      </c>
      <c r="CF46" s="273">
        <v>5.4699999999999999E-2</v>
      </c>
      <c r="CG46" s="273">
        <v>5.1254000000000001E-2</v>
      </c>
      <c r="CH46" s="273">
        <v>4.0722000000000001E-2</v>
      </c>
      <c r="CI46" s="273">
        <v>7.4539999999999997E-3</v>
      </c>
      <c r="CJ46" s="273">
        <v>7.5310000000000004E-3</v>
      </c>
      <c r="CK46" s="273">
        <v>6.3000000000000003E-4</v>
      </c>
      <c r="CL46" s="273">
        <v>5.8200000000000005E-4</v>
      </c>
      <c r="CM46" s="273">
        <v>1.614E-3</v>
      </c>
      <c r="CN46" s="273">
        <v>3.5079999999999998E-3</v>
      </c>
      <c r="CO46" s="273">
        <v>7.9793000000000003E-2</v>
      </c>
      <c r="CP46" s="273">
        <v>9.4045000000000004E-2</v>
      </c>
      <c r="CQ46" s="273">
        <v>2.8890000000000001E-3</v>
      </c>
      <c r="CR46" s="273">
        <v>6.0309999999999999E-3</v>
      </c>
      <c r="CS46" s="273">
        <v>1.1639999999999999E-2</v>
      </c>
      <c r="CT46" s="273">
        <v>7.2249999999999997E-3</v>
      </c>
      <c r="CU46" s="273">
        <f t="shared" si="96"/>
        <v>3.3627960000000001E-5</v>
      </c>
      <c r="CV46" s="273">
        <f t="shared" si="82"/>
        <v>4.3573974999999998E-5</v>
      </c>
      <c r="CW46" s="273">
        <v>0.33711999999999998</v>
      </c>
      <c r="CX46" s="273">
        <v>0.39067099999999999</v>
      </c>
      <c r="CY46" s="273">
        <f t="shared" si="97"/>
        <v>9.7393967999999994E-4</v>
      </c>
      <c r="CZ46" s="273">
        <f t="shared" si="83"/>
        <v>2.3561368009999998E-3</v>
      </c>
      <c r="DA46" s="273">
        <v>7.2000000000000002E-5</v>
      </c>
      <c r="DB46" s="273">
        <v>1.2700000000000001E-3</v>
      </c>
      <c r="DC46" s="273">
        <f t="shared" si="98"/>
        <v>1.88143236E-3</v>
      </c>
      <c r="DD46" s="273">
        <f t="shared" si="84"/>
        <v>3.6312892240000002E-3</v>
      </c>
      <c r="DE46" s="273">
        <v>1.2E-4</v>
      </c>
      <c r="DF46" s="273">
        <v>2.4000000000000001E-4</v>
      </c>
      <c r="DG46" s="273">
        <f t="shared" si="99"/>
        <v>1.19956764E-3</v>
      </c>
      <c r="DH46" s="273">
        <f t="shared" si="85"/>
        <v>3.9097107759999998E-3</v>
      </c>
      <c r="DI46" s="273">
        <v>4.7699999999999999E-4</v>
      </c>
      <c r="DJ46" s="273">
        <v>1.64E-4</v>
      </c>
      <c r="DK46" s="273">
        <v>3.0800000000000001E-4</v>
      </c>
      <c r="DL46" s="273">
        <v>2.23E-4</v>
      </c>
      <c r="DM46" s="273">
        <f t="shared" si="100"/>
        <v>7.85E-4</v>
      </c>
      <c r="DN46" s="273">
        <f t="shared" si="86"/>
        <v>3.8699999999999997E-4</v>
      </c>
      <c r="DO46" s="273">
        <v>4.1359999999999999E-3</v>
      </c>
      <c r="DP46" s="273">
        <v>2.1159999999999998E-3</v>
      </c>
      <c r="DQ46" s="273">
        <v>2.0669999999999998E-3</v>
      </c>
      <c r="DR46" s="273">
        <v>1.5770000000000001E-3</v>
      </c>
      <c r="DS46" s="273">
        <v>2.2324E-2</v>
      </c>
      <c r="DT46" s="273">
        <v>1.7621000000000001E-2</v>
      </c>
      <c r="DU46" s="273">
        <v>1.9620000000000002E-3</v>
      </c>
      <c r="DV46" s="273">
        <v>2.2950000000000002E-3</v>
      </c>
      <c r="DW46" s="273">
        <v>4.0188000000000001E-2</v>
      </c>
      <c r="DX46" s="273">
        <v>4.0188000000000001E-2</v>
      </c>
      <c r="DY46" s="273">
        <v>8.2402000000000003E-2</v>
      </c>
      <c r="DZ46" s="273">
        <v>7.6974000000000001E-2</v>
      </c>
      <c r="EA46" s="273">
        <v>1.11E-4</v>
      </c>
      <c r="EB46" s="273">
        <v>1.3799999999999999E-4</v>
      </c>
      <c r="EC46" s="273">
        <v>5.2420000000000001E-3</v>
      </c>
      <c r="ED46" s="273">
        <v>4.0229999999999997E-3</v>
      </c>
      <c r="EE46" s="273"/>
      <c r="EF46" s="274"/>
    </row>
    <row r="47" spans="2:136" s="249" customFormat="1" ht="17.399999999999999">
      <c r="B47" s="286">
        <v>40</v>
      </c>
      <c r="C47" s="273">
        <v>5.5000000000000002E-5</v>
      </c>
      <c r="D47" s="273">
        <v>1.9000000000000001E-5</v>
      </c>
      <c r="E47" s="273">
        <v>5.0000000000000002E-5</v>
      </c>
      <c r="F47" s="273">
        <v>1.3000000000000001E-5</v>
      </c>
      <c r="G47" s="273">
        <v>7.0799999999999997E-4</v>
      </c>
      <c r="H47" s="273">
        <v>4.9100000000000001E-4</v>
      </c>
      <c r="I47" s="273">
        <v>1.05E-4</v>
      </c>
      <c r="J47" s="273">
        <v>3.2000000000000005E-5</v>
      </c>
      <c r="K47" s="273">
        <v>2.4499999999999999E-4</v>
      </c>
      <c r="L47" s="273">
        <v>1.2999999999999999E-4</v>
      </c>
      <c r="M47" s="273">
        <f t="shared" si="87"/>
        <v>1.7700006450000001E-3</v>
      </c>
      <c r="N47" s="273">
        <f t="shared" si="77"/>
        <v>1.6611031360000003E-3</v>
      </c>
      <c r="O47" s="273">
        <f t="shared" si="88"/>
        <v>9.7361699999999997E-6</v>
      </c>
      <c r="P47" s="273">
        <f t="shared" si="89"/>
        <v>1.6538509679999999E-3</v>
      </c>
      <c r="Q47" s="273">
        <v>2.6970000000000002E-3</v>
      </c>
      <c r="R47" s="273">
        <v>5.4039999999999999E-3</v>
      </c>
      <c r="S47" s="273">
        <v>1.052E-3</v>
      </c>
      <c r="T47" s="273">
        <v>0.30604199999999998</v>
      </c>
      <c r="U47" s="273">
        <v>3.6099999999999999E-3</v>
      </c>
      <c r="V47" s="273">
        <v>0</v>
      </c>
      <c r="W47" s="273">
        <v>1.4203E-2</v>
      </c>
      <c r="X47" s="273">
        <v>4.3010000000000001E-3</v>
      </c>
      <c r="Y47" s="273">
        <f t="shared" si="90"/>
        <v>3.8305491000000003E-5</v>
      </c>
      <c r="Z47" s="273">
        <f t="shared" si="78"/>
        <v>2.3242604000000001E-5</v>
      </c>
      <c r="AA47" s="273">
        <v>0.30021500000000001</v>
      </c>
      <c r="AB47" s="273">
        <v>0.37424200000000002</v>
      </c>
      <c r="AC47" s="273">
        <f t="shared" si="91"/>
        <v>8.0967985500000005E-4</v>
      </c>
      <c r="AD47" s="273">
        <f t="shared" si="79"/>
        <v>2.0224037680000003E-3</v>
      </c>
      <c r="AE47" s="273">
        <v>2.2508E-2</v>
      </c>
      <c r="AF47" s="273">
        <v>7.646E-3</v>
      </c>
      <c r="AG47" s="273">
        <f t="shared" si="92"/>
        <v>6.0704076000000001E-5</v>
      </c>
      <c r="AH47" s="273">
        <f t="shared" si="80"/>
        <v>4.1318983999999998E-5</v>
      </c>
      <c r="AI47" s="273">
        <v>3.179E-3</v>
      </c>
      <c r="AJ47" s="273">
        <v>3.8499999999999998E-4</v>
      </c>
      <c r="AK47" s="273">
        <f t="shared" si="93"/>
        <v>8.5737630000000013E-6</v>
      </c>
      <c r="AL47" s="273">
        <f t="shared" si="81"/>
        <v>2.0805400000000001E-6</v>
      </c>
      <c r="AM47" s="273">
        <f t="shared" si="94"/>
        <v>3.1951089300000002E-4</v>
      </c>
      <c r="AN47" s="273">
        <f t="shared" si="95"/>
        <v>2.4734648399999998E-4</v>
      </c>
      <c r="AO47" s="273">
        <v>0.118469</v>
      </c>
      <c r="AP47" s="273">
        <v>4.5770999999999999E-2</v>
      </c>
      <c r="AQ47" s="273">
        <v>1.12E-4</v>
      </c>
      <c r="AR47" s="273">
        <v>1.1950000000000001E-3</v>
      </c>
      <c r="AS47" s="273">
        <v>1.3899999999999999E-4</v>
      </c>
      <c r="AT47" s="273">
        <v>2.33E-4</v>
      </c>
      <c r="AU47" s="273">
        <v>2.52E-4</v>
      </c>
      <c r="AV47" s="273">
        <v>1.56E-4</v>
      </c>
      <c r="AW47" s="273">
        <v>1.8E-5</v>
      </c>
      <c r="AX47" s="273">
        <v>3.9999999999999998E-6</v>
      </c>
      <c r="AY47" s="273">
        <v>2.0999999999999999E-5</v>
      </c>
      <c r="AZ47" s="273">
        <v>3.6999999999999998E-5</v>
      </c>
      <c r="BA47" s="273">
        <v>1.26E-4</v>
      </c>
      <c r="BB47" s="273">
        <v>2.3699999999999999E-4</v>
      </c>
      <c r="BC47" s="273">
        <v>0</v>
      </c>
      <c r="BD47" s="273">
        <v>0</v>
      </c>
      <c r="BE47" s="273">
        <v>3.0000000000000001E-6</v>
      </c>
      <c r="BF47" s="273">
        <v>3.0000000000000001E-6</v>
      </c>
      <c r="BG47" s="273">
        <v>5.7000000000000003E-5</v>
      </c>
      <c r="BH47" s="273">
        <v>4.6999999999999997E-5</v>
      </c>
      <c r="BI47" s="273">
        <v>1.01E-4</v>
      </c>
      <c r="BJ47" s="273">
        <v>7.7000000000000001E-5</v>
      </c>
      <c r="BK47" s="273">
        <v>2.0699999999999999E-4</v>
      </c>
      <c r="BL47" s="273">
        <v>1.01E-4</v>
      </c>
      <c r="BM47" s="273">
        <v>1.47E-4</v>
      </c>
      <c r="BN47" s="273">
        <v>2.0100000000000001E-4</v>
      </c>
      <c r="BO47" s="273">
        <v>6.6799999999999997E-4</v>
      </c>
      <c r="BP47" s="273">
        <v>3.1799999999999998E-4</v>
      </c>
      <c r="BQ47" s="273">
        <v>2.7300000000000002E-4</v>
      </c>
      <c r="BR47" s="273">
        <v>1.9599999999999999E-4</v>
      </c>
      <c r="BS47" s="273">
        <v>3.3799999999999998E-4</v>
      </c>
      <c r="BT47" s="273">
        <v>3.8999999999999999E-5</v>
      </c>
      <c r="BU47" s="273">
        <v>1.7910000000000001E-3</v>
      </c>
      <c r="BV47" s="273">
        <v>1.2849999999999999E-3</v>
      </c>
      <c r="BW47" s="273">
        <v>0.97960499999999995</v>
      </c>
      <c r="BX47" s="273">
        <v>1.202528</v>
      </c>
      <c r="BY47" s="273">
        <v>0.12210600000000001</v>
      </c>
      <c r="BZ47" s="273">
        <v>0.17210400000000001</v>
      </c>
      <c r="CA47" s="273">
        <v>2.5388999999999998E-2</v>
      </c>
      <c r="CB47" s="273">
        <v>1.7638000000000001E-2</v>
      </c>
      <c r="CC47" s="273">
        <v>1.3159999999999999E-3</v>
      </c>
      <c r="CD47" s="273">
        <v>1.5300000000000001E-4</v>
      </c>
      <c r="CE47" s="273">
        <v>3.0588000000000001E-2</v>
      </c>
      <c r="CF47" s="273">
        <v>5.2815000000000001E-2</v>
      </c>
      <c r="CG47" s="273">
        <v>5.4163000000000003E-2</v>
      </c>
      <c r="CH47" s="273">
        <v>4.2646000000000003E-2</v>
      </c>
      <c r="CI47" s="273">
        <v>7.7739999999999997E-3</v>
      </c>
      <c r="CJ47" s="273">
        <v>7.8230000000000001E-3</v>
      </c>
      <c r="CK47" s="273">
        <v>6.6E-4</v>
      </c>
      <c r="CL47" s="273">
        <v>5.9999999999999995E-4</v>
      </c>
      <c r="CM47" s="273">
        <v>1.663E-3</v>
      </c>
      <c r="CN47" s="273">
        <v>3.6819999999999999E-3</v>
      </c>
      <c r="CO47" s="273">
        <v>8.3805000000000004E-2</v>
      </c>
      <c r="CP47" s="273">
        <v>9.3967999999999996E-2</v>
      </c>
      <c r="CQ47" s="273">
        <v>3.0820000000000001E-3</v>
      </c>
      <c r="CR47" s="273">
        <v>6.3559999999999997E-3</v>
      </c>
      <c r="CS47" s="273">
        <v>1.1764999999999999E-2</v>
      </c>
      <c r="CT47" s="273">
        <v>7.1809999999999999E-3</v>
      </c>
      <c r="CU47" s="273">
        <f t="shared" si="96"/>
        <v>3.6259729999999996E-5</v>
      </c>
      <c r="CV47" s="273">
        <f t="shared" si="82"/>
        <v>4.5642435999999994E-5</v>
      </c>
      <c r="CW47" s="273">
        <v>0.31922899999999998</v>
      </c>
      <c r="CX47" s="273">
        <v>0.37226300000000001</v>
      </c>
      <c r="CY47" s="273">
        <f t="shared" si="97"/>
        <v>9.838637779999999E-4</v>
      </c>
      <c r="CZ47" s="273">
        <f t="shared" si="83"/>
        <v>2.3661036280000001E-3</v>
      </c>
      <c r="DA47" s="273">
        <v>8.5000000000000006E-5</v>
      </c>
      <c r="DB47" s="273">
        <v>1.317E-3</v>
      </c>
      <c r="DC47" s="273">
        <f t="shared" si="98"/>
        <v>2.0618764920000004E-3</v>
      </c>
      <c r="DD47" s="273">
        <f t="shared" si="84"/>
        <v>3.9442539359999997E-3</v>
      </c>
      <c r="DE47" s="273">
        <v>1.26E-4</v>
      </c>
      <c r="DF47" s="273">
        <v>2.3800000000000001E-4</v>
      </c>
      <c r="DG47" s="273">
        <f t="shared" si="99"/>
        <v>1.2311235079999999E-3</v>
      </c>
      <c r="DH47" s="273">
        <f t="shared" si="85"/>
        <v>3.9667460639999999E-3</v>
      </c>
      <c r="DI47" s="273">
        <v>5.2499999999999997E-4</v>
      </c>
      <c r="DJ47" s="273">
        <v>1.8200000000000001E-4</v>
      </c>
      <c r="DK47" s="273">
        <v>3.3199999999999999E-4</v>
      </c>
      <c r="DL47" s="273">
        <v>2.31E-4</v>
      </c>
      <c r="DM47" s="273">
        <f t="shared" si="100"/>
        <v>8.5699999999999991E-4</v>
      </c>
      <c r="DN47" s="273">
        <f t="shared" si="86"/>
        <v>4.1300000000000001E-4</v>
      </c>
      <c r="DO47" s="273">
        <v>3.8310000000000002E-3</v>
      </c>
      <c r="DP47" s="273">
        <v>2.2880000000000001E-3</v>
      </c>
      <c r="DQ47" s="273">
        <v>1.9840000000000001E-3</v>
      </c>
      <c r="DR47" s="273">
        <v>1.807E-3</v>
      </c>
      <c r="DS47" s="273">
        <v>2.2932000000000001E-2</v>
      </c>
      <c r="DT47" s="273">
        <v>1.8026E-2</v>
      </c>
      <c r="DU47" s="273">
        <v>1.9689999999999998E-3</v>
      </c>
      <c r="DV47" s="273">
        <v>2.392E-3</v>
      </c>
      <c r="DW47" s="273">
        <v>4.0188000000000001E-2</v>
      </c>
      <c r="DX47" s="273">
        <v>4.0188000000000001E-2</v>
      </c>
      <c r="DY47" s="273">
        <v>8.4637000000000004E-2</v>
      </c>
      <c r="DZ47" s="273">
        <v>7.9883999999999997E-2</v>
      </c>
      <c r="EA47" s="273">
        <v>1.21E-4</v>
      </c>
      <c r="EB47" s="273">
        <v>1.4999999999999999E-4</v>
      </c>
      <c r="EC47" s="273">
        <v>4.7609999999999996E-3</v>
      </c>
      <c r="ED47" s="273">
        <v>4.0289999999999996E-3</v>
      </c>
      <c r="EE47" s="273"/>
      <c r="EF47" s="274"/>
    </row>
    <row r="48" spans="2:136" s="249" customFormat="1" ht="17.399999999999999">
      <c r="B48" s="286">
        <v>41</v>
      </c>
      <c r="C48" s="273">
        <v>6.2000000000000003E-5</v>
      </c>
      <c r="D48" s="273">
        <v>2.0000000000000002E-5</v>
      </c>
      <c r="E48" s="273">
        <v>5.0000000000000002E-5</v>
      </c>
      <c r="F48" s="273">
        <v>1.3000000000000001E-5</v>
      </c>
      <c r="G48" s="273">
        <v>7.4100000000000001E-4</v>
      </c>
      <c r="H48" s="273">
        <v>5.0500000000000002E-4</v>
      </c>
      <c r="I48" s="273">
        <v>1.1200000000000001E-4</v>
      </c>
      <c r="J48" s="273">
        <v>3.3000000000000003E-5</v>
      </c>
      <c r="K48" s="273">
        <v>2.4499999999999999E-4</v>
      </c>
      <c r="L48" s="273">
        <v>1.2999999999999999E-4</v>
      </c>
      <c r="M48" s="273">
        <f t="shared" si="87"/>
        <v>1.9048930799999998E-3</v>
      </c>
      <c r="N48" s="273">
        <f t="shared" si="77"/>
        <v>1.7529576999999992E-3</v>
      </c>
      <c r="O48" s="273">
        <f t="shared" si="88"/>
        <v>1.1811560000000001E-5</v>
      </c>
      <c r="P48" s="273">
        <f t="shared" si="89"/>
        <v>1.8273512499999999E-3</v>
      </c>
      <c r="Q48" s="273">
        <v>2.8400000000000001E-3</v>
      </c>
      <c r="R48" s="273">
        <v>5.6499999999999996E-3</v>
      </c>
      <c r="S48" s="273">
        <v>9.9500000000000001E-4</v>
      </c>
      <c r="T48" s="273">
        <v>0.32342500000000002</v>
      </c>
      <c r="U48" s="273">
        <v>4.1590000000000004E-3</v>
      </c>
      <c r="V48" s="273">
        <v>0</v>
      </c>
      <c r="W48" s="273">
        <v>1.4925000000000001E-2</v>
      </c>
      <c r="X48" s="273">
        <v>4.4990000000000004E-3</v>
      </c>
      <c r="Y48" s="273">
        <f t="shared" si="90"/>
        <v>4.2387000000000006E-5</v>
      </c>
      <c r="Z48" s="273">
        <f t="shared" si="78"/>
        <v>2.5419349999999999E-5</v>
      </c>
      <c r="AA48" s="273">
        <v>0.28398499999999999</v>
      </c>
      <c r="AB48" s="273">
        <v>0.35367700000000002</v>
      </c>
      <c r="AC48" s="273">
        <f t="shared" si="91"/>
        <v>8.065174E-4</v>
      </c>
      <c r="AD48" s="273">
        <f t="shared" si="79"/>
        <v>1.9982750500000001E-3</v>
      </c>
      <c r="AE48" s="273">
        <v>2.2776999999999999E-2</v>
      </c>
      <c r="AF48" s="273">
        <v>7.7270000000000004E-3</v>
      </c>
      <c r="AG48" s="273">
        <f t="shared" si="92"/>
        <v>6.4686680000000004E-5</v>
      </c>
      <c r="AH48" s="273">
        <f t="shared" si="80"/>
        <v>4.3657549999999997E-5</v>
      </c>
      <c r="AI48" s="273">
        <v>3.4169999999999999E-3</v>
      </c>
      <c r="AJ48" s="273">
        <v>4.1399999999999998E-4</v>
      </c>
      <c r="AK48" s="273">
        <f t="shared" si="93"/>
        <v>9.7042799999999999E-6</v>
      </c>
      <c r="AL48" s="273">
        <f t="shared" si="81"/>
        <v>2.3390999999999998E-6</v>
      </c>
      <c r="AM48" s="273">
        <f t="shared" si="94"/>
        <v>3.1734728000000002E-4</v>
      </c>
      <c r="AN48" s="273">
        <f t="shared" si="95"/>
        <v>2.5032324999999997E-4</v>
      </c>
      <c r="AO48" s="273">
        <v>0.11174199999999999</v>
      </c>
      <c r="AP48" s="273">
        <v>4.4304999999999997E-2</v>
      </c>
      <c r="AQ48" s="273">
        <v>1.21E-4</v>
      </c>
      <c r="AR48" s="273">
        <v>1.212E-3</v>
      </c>
      <c r="AS48" s="273">
        <v>1.4100000000000001E-4</v>
      </c>
      <c r="AT48" s="273">
        <v>2.3499999999999999E-4</v>
      </c>
      <c r="AU48" s="273">
        <v>2.7500000000000002E-4</v>
      </c>
      <c r="AV48" s="273">
        <v>1.6799999999999999E-4</v>
      </c>
      <c r="AW48" s="273">
        <v>1.9000000000000001E-5</v>
      </c>
      <c r="AX48" s="273">
        <v>3.9999999999999998E-6</v>
      </c>
      <c r="AY48" s="273">
        <v>2.1999999999999999E-5</v>
      </c>
      <c r="AZ48" s="273">
        <v>3.8000000000000002E-5</v>
      </c>
      <c r="BA48" s="273">
        <v>1.2999999999999999E-4</v>
      </c>
      <c r="BB48" s="273">
        <v>2.52E-4</v>
      </c>
      <c r="BC48" s="273">
        <v>0</v>
      </c>
      <c r="BD48" s="273">
        <v>0</v>
      </c>
      <c r="BE48" s="273">
        <v>3.0000000000000001E-6</v>
      </c>
      <c r="BF48" s="273">
        <v>3.0000000000000001E-6</v>
      </c>
      <c r="BG48" s="273">
        <v>5.8999999999999998E-5</v>
      </c>
      <c r="BH48" s="273">
        <v>5.0000000000000002E-5</v>
      </c>
      <c r="BI48" s="273">
        <v>1.1E-4</v>
      </c>
      <c r="BJ48" s="273">
        <v>8.0000000000000007E-5</v>
      </c>
      <c r="BK48" s="273">
        <v>2.34E-4</v>
      </c>
      <c r="BL48" s="273">
        <v>1.13E-4</v>
      </c>
      <c r="BM48" s="273">
        <v>1.5100000000000001E-4</v>
      </c>
      <c r="BN48" s="273">
        <v>2.1599999999999999E-4</v>
      </c>
      <c r="BO48" s="273">
        <v>6.7699999999999998E-4</v>
      </c>
      <c r="BP48" s="273">
        <v>3.1599999999999998E-4</v>
      </c>
      <c r="BQ48" s="273">
        <v>2.92E-4</v>
      </c>
      <c r="BR48" s="273">
        <v>2.12E-4</v>
      </c>
      <c r="BS48" s="273">
        <v>3.7599999999999998E-4</v>
      </c>
      <c r="BT48" s="273">
        <v>4.3999999999999999E-5</v>
      </c>
      <c r="BU48" s="273">
        <v>1.918E-3</v>
      </c>
      <c r="BV48" s="273">
        <v>1.3940000000000001E-3</v>
      </c>
      <c r="BW48" s="273">
        <v>1.006562</v>
      </c>
      <c r="BX48" s="273">
        <v>1.245295</v>
      </c>
      <c r="BY48" s="273">
        <v>0.127053</v>
      </c>
      <c r="BZ48" s="273">
        <v>0.181919</v>
      </c>
      <c r="CA48" s="273">
        <v>2.6096000000000001E-2</v>
      </c>
      <c r="CB48" s="273">
        <v>1.8133E-2</v>
      </c>
      <c r="CC48" s="273">
        <v>1.462E-3</v>
      </c>
      <c r="CD48" s="273">
        <v>1.7000000000000001E-4</v>
      </c>
      <c r="CE48" s="273">
        <v>3.1975000000000003E-2</v>
      </c>
      <c r="CF48" s="273">
        <v>5.1027999999999997E-2</v>
      </c>
      <c r="CG48" s="273">
        <v>5.6901E-2</v>
      </c>
      <c r="CH48" s="273">
        <v>4.4692000000000003E-2</v>
      </c>
      <c r="CI48" s="273">
        <v>8.0579999999999992E-3</v>
      </c>
      <c r="CJ48" s="273">
        <v>8.1370000000000001E-3</v>
      </c>
      <c r="CK48" s="273">
        <v>6.8599999999999998E-4</v>
      </c>
      <c r="CL48" s="273">
        <v>6.2100000000000002E-4</v>
      </c>
      <c r="CM48" s="273">
        <v>1.704E-3</v>
      </c>
      <c r="CN48" s="273">
        <v>3.8679999999999999E-3</v>
      </c>
      <c r="CO48" s="273">
        <v>8.7498999999999993E-2</v>
      </c>
      <c r="CP48" s="273">
        <v>9.4109999999999999E-2</v>
      </c>
      <c r="CQ48" s="273">
        <v>3.2620000000000001E-3</v>
      </c>
      <c r="CR48" s="273">
        <v>6.6620000000000004E-3</v>
      </c>
      <c r="CS48" s="273">
        <v>1.1889E-2</v>
      </c>
      <c r="CT48" s="273">
        <v>6.9579999999999998E-3</v>
      </c>
      <c r="CU48" s="273">
        <f t="shared" si="96"/>
        <v>3.8781918000000005E-5</v>
      </c>
      <c r="CV48" s="273">
        <f t="shared" si="82"/>
        <v>4.6354196E-5</v>
      </c>
      <c r="CW48" s="273">
        <v>0.30133799999999999</v>
      </c>
      <c r="CX48" s="273">
        <v>0.353854</v>
      </c>
      <c r="CY48" s="273">
        <f t="shared" si="97"/>
        <v>9.8296455599999996E-4</v>
      </c>
      <c r="CZ48" s="273">
        <f t="shared" si="83"/>
        <v>2.357375348E-3</v>
      </c>
      <c r="DA48" s="273">
        <v>9.7999999999999997E-5</v>
      </c>
      <c r="DB48" s="273">
        <v>1.3600000000000001E-3</v>
      </c>
      <c r="DC48" s="273">
        <f t="shared" si="98"/>
        <v>2.2402535259999998E-3</v>
      </c>
      <c r="DD48" s="273">
        <f t="shared" si="84"/>
        <v>4.2582704559999997E-3</v>
      </c>
      <c r="DE48" s="273">
        <v>1.2799999999999999E-4</v>
      </c>
      <c r="DF48" s="273">
        <v>2.3599999999999999E-4</v>
      </c>
      <c r="DG48" s="273">
        <f t="shared" si="99"/>
        <v>1.2477464739999999E-3</v>
      </c>
      <c r="DH48" s="273">
        <f t="shared" si="85"/>
        <v>3.999729544E-3</v>
      </c>
      <c r="DI48" s="273">
        <v>5.7300000000000005E-4</v>
      </c>
      <c r="DJ48" s="273">
        <v>2.0000000000000001E-4</v>
      </c>
      <c r="DK48" s="273">
        <v>3.57E-4</v>
      </c>
      <c r="DL48" s="273">
        <v>2.3800000000000001E-4</v>
      </c>
      <c r="DM48" s="273">
        <f t="shared" si="100"/>
        <v>9.3000000000000005E-4</v>
      </c>
      <c r="DN48" s="273">
        <f t="shared" si="86"/>
        <v>4.3800000000000002E-4</v>
      </c>
      <c r="DO48" s="273">
        <v>3.5720000000000001E-3</v>
      </c>
      <c r="DP48" s="273">
        <v>2.4489999999999998E-3</v>
      </c>
      <c r="DQ48" s="273">
        <v>1.9350000000000001E-3</v>
      </c>
      <c r="DR48" s="273">
        <v>2.0790000000000001E-3</v>
      </c>
      <c r="DS48" s="273">
        <v>2.3491000000000001E-2</v>
      </c>
      <c r="DT48" s="273">
        <v>1.8440000000000002E-2</v>
      </c>
      <c r="DU48" s="273">
        <v>1.9859999999999999E-3</v>
      </c>
      <c r="DV48" s="273">
        <v>2.4780000000000002E-3</v>
      </c>
      <c r="DW48" s="273">
        <v>4.0188000000000001E-2</v>
      </c>
      <c r="DX48" s="273">
        <v>4.0188000000000001E-2</v>
      </c>
      <c r="DY48" s="273">
        <v>8.7763999999999995E-2</v>
      </c>
      <c r="DZ48" s="273">
        <v>8.2791000000000003E-2</v>
      </c>
      <c r="EA48" s="273">
        <v>1.3100000000000001E-4</v>
      </c>
      <c r="EB48" s="273">
        <v>1.6200000000000001E-4</v>
      </c>
      <c r="EC48" s="273">
        <v>4.28E-3</v>
      </c>
      <c r="ED48" s="273">
        <v>4.0350000000000004E-3</v>
      </c>
      <c r="EE48" s="273"/>
      <c r="EF48" s="274"/>
    </row>
    <row r="49" spans="2:136" s="249" customFormat="1" ht="17.399999999999999">
      <c r="B49" s="286">
        <v>42</v>
      </c>
      <c r="C49" s="273">
        <v>6.8999999999999997E-5</v>
      </c>
      <c r="D49" s="273">
        <v>2.1999999999999999E-5</v>
      </c>
      <c r="E49" s="273">
        <v>5.0000000000000002E-5</v>
      </c>
      <c r="F49" s="273">
        <v>1.3000000000000001E-5</v>
      </c>
      <c r="G49" s="273">
        <v>7.8899999999999999E-4</v>
      </c>
      <c r="H49" s="273">
        <v>5.2700000000000002E-4</v>
      </c>
      <c r="I49" s="273">
        <v>1.1899999999999999E-4</v>
      </c>
      <c r="J49" s="273">
        <v>3.4999999999999997E-5</v>
      </c>
      <c r="K49" s="273">
        <v>2.4499999999999999E-4</v>
      </c>
      <c r="L49" s="273">
        <v>1.2999999999999999E-4</v>
      </c>
      <c r="M49" s="273">
        <f t="shared" si="87"/>
        <v>2.027564631E-3</v>
      </c>
      <c r="N49" s="273">
        <f t="shared" si="77"/>
        <v>1.8411212039999992E-3</v>
      </c>
      <c r="O49" s="273">
        <f t="shared" si="88"/>
        <v>1.3918599000000001E-5</v>
      </c>
      <c r="P49" s="273">
        <f t="shared" si="89"/>
        <v>2.0025819320000004E-3</v>
      </c>
      <c r="Q49" s="273">
        <v>2.957E-3</v>
      </c>
      <c r="R49" s="273">
        <v>5.8760000000000001E-3</v>
      </c>
      <c r="S49" s="273">
        <v>9.4700000000000003E-4</v>
      </c>
      <c r="T49" s="273">
        <v>0.34080700000000003</v>
      </c>
      <c r="U49" s="273">
        <v>4.7070000000000002E-3</v>
      </c>
      <c r="V49" s="273">
        <v>0</v>
      </c>
      <c r="W49" s="273">
        <v>1.5152000000000001E-2</v>
      </c>
      <c r="X49" s="273">
        <v>4.4949999999999999E-3</v>
      </c>
      <c r="Y49" s="273">
        <f t="shared" si="90"/>
        <v>4.4804464000000003E-5</v>
      </c>
      <c r="Z49" s="273">
        <f t="shared" si="78"/>
        <v>2.641262E-5</v>
      </c>
      <c r="AA49" s="273">
        <v>0.267758</v>
      </c>
      <c r="AB49" s="273">
        <v>0.33311800000000003</v>
      </c>
      <c r="AC49" s="273">
        <f t="shared" si="91"/>
        <v>7.9176040599999997E-4</v>
      </c>
      <c r="AD49" s="273">
        <f t="shared" si="79"/>
        <v>1.9574013680000004E-3</v>
      </c>
      <c r="AE49" s="273">
        <v>2.3045E-2</v>
      </c>
      <c r="AF49" s="273">
        <v>7.809E-3</v>
      </c>
      <c r="AG49" s="273">
        <f t="shared" si="92"/>
        <v>6.8144065000000001E-5</v>
      </c>
      <c r="AH49" s="273">
        <f t="shared" si="80"/>
        <v>4.5885684000000003E-5</v>
      </c>
      <c r="AI49" s="273">
        <v>3.6549999999999998E-3</v>
      </c>
      <c r="AJ49" s="273">
        <v>4.4200000000000001E-4</v>
      </c>
      <c r="AK49" s="273">
        <f t="shared" si="93"/>
        <v>1.0807834999999999E-5</v>
      </c>
      <c r="AL49" s="273">
        <f t="shared" si="81"/>
        <v>2.5971920000000001E-6</v>
      </c>
      <c r="AM49" s="273">
        <f t="shared" si="94"/>
        <v>3.1052935499999997E-4</v>
      </c>
      <c r="AN49" s="273">
        <f t="shared" si="95"/>
        <v>2.5172196399999999E-4</v>
      </c>
      <c r="AO49" s="273">
        <v>0.105015</v>
      </c>
      <c r="AP49" s="273">
        <v>4.2839000000000002E-2</v>
      </c>
      <c r="AQ49" s="273">
        <v>1.2999999999999999E-4</v>
      </c>
      <c r="AR49" s="273">
        <v>1.23E-3</v>
      </c>
      <c r="AS49" s="273">
        <v>1.4200000000000001E-4</v>
      </c>
      <c r="AT49" s="273">
        <v>2.3599999999999999E-4</v>
      </c>
      <c r="AU49" s="273">
        <v>2.9700000000000001E-4</v>
      </c>
      <c r="AV49" s="273">
        <v>1.7899999999999999E-4</v>
      </c>
      <c r="AW49" s="273">
        <v>2.0000000000000002E-5</v>
      </c>
      <c r="AX49" s="273">
        <v>3.9999999999999998E-6</v>
      </c>
      <c r="AY49" s="273">
        <v>2.1999999999999999E-5</v>
      </c>
      <c r="AZ49" s="273">
        <v>3.8999999999999999E-5</v>
      </c>
      <c r="BA49" s="273">
        <v>1.34E-4</v>
      </c>
      <c r="BB49" s="273">
        <v>2.6600000000000001E-4</v>
      </c>
      <c r="BC49" s="273">
        <v>0</v>
      </c>
      <c r="BD49" s="273">
        <v>0</v>
      </c>
      <c r="BE49" s="273">
        <v>3.0000000000000001E-6</v>
      </c>
      <c r="BF49" s="273">
        <v>3.0000000000000001E-6</v>
      </c>
      <c r="BG49" s="273">
        <v>6.2000000000000003E-5</v>
      </c>
      <c r="BH49" s="273">
        <v>5.3000000000000001E-5</v>
      </c>
      <c r="BI49" s="273">
        <v>1.1900000000000001E-4</v>
      </c>
      <c r="BJ49" s="273">
        <v>8.3999999999999995E-5</v>
      </c>
      <c r="BK49" s="273">
        <v>2.52E-4</v>
      </c>
      <c r="BL49" s="273">
        <v>1.18E-4</v>
      </c>
      <c r="BM49" s="273">
        <v>1.54E-4</v>
      </c>
      <c r="BN49" s="273">
        <v>2.32E-4</v>
      </c>
      <c r="BO49" s="273">
        <v>6.8300000000000001E-4</v>
      </c>
      <c r="BP49" s="273">
        <v>3.2000000000000003E-4</v>
      </c>
      <c r="BQ49" s="273">
        <v>3.1199999999999999E-4</v>
      </c>
      <c r="BR49" s="273">
        <v>2.3000000000000001E-4</v>
      </c>
      <c r="BS49" s="273">
        <v>4.1599999999999997E-4</v>
      </c>
      <c r="BT49" s="273">
        <v>4.8999999999999998E-5</v>
      </c>
      <c r="BU49" s="273">
        <v>2.0479999999999999E-3</v>
      </c>
      <c r="BV49" s="273">
        <v>1.5169999999999999E-3</v>
      </c>
      <c r="BW49" s="273">
        <v>1.0364990000000001</v>
      </c>
      <c r="BX49" s="273">
        <v>1.2971760000000001</v>
      </c>
      <c r="BY49" s="273">
        <v>0.13236300000000001</v>
      </c>
      <c r="BZ49" s="273">
        <v>0.19033700000000001</v>
      </c>
      <c r="CA49" s="273">
        <v>2.6912999999999999E-2</v>
      </c>
      <c r="CB49" s="273">
        <v>1.9008000000000001E-2</v>
      </c>
      <c r="CC49" s="273">
        <v>1.6199999999999999E-3</v>
      </c>
      <c r="CD49" s="273">
        <v>1.9000000000000001E-4</v>
      </c>
      <c r="CE49" s="273">
        <v>3.3119000000000003E-2</v>
      </c>
      <c r="CF49" s="273">
        <v>4.9488999999999998E-2</v>
      </c>
      <c r="CG49" s="273">
        <v>5.9225E-2</v>
      </c>
      <c r="CH49" s="273">
        <v>4.7028E-2</v>
      </c>
      <c r="CI49" s="273">
        <v>8.2760000000000004E-3</v>
      </c>
      <c r="CJ49" s="273">
        <v>8.5019999999999991E-3</v>
      </c>
      <c r="CK49" s="273">
        <v>7.0799999999999997E-4</v>
      </c>
      <c r="CL49" s="273">
        <v>6.4599999999999998E-4</v>
      </c>
      <c r="CM49" s="273">
        <v>1.727E-3</v>
      </c>
      <c r="CN49" s="273">
        <v>4.0790000000000002E-3</v>
      </c>
      <c r="CO49" s="273">
        <v>9.0515999999999999E-2</v>
      </c>
      <c r="CP49" s="273">
        <v>9.4777E-2</v>
      </c>
      <c r="CQ49" s="273">
        <v>3.4139999999999999E-3</v>
      </c>
      <c r="CR49" s="273">
        <v>6.9259999999999999E-3</v>
      </c>
      <c r="CS49" s="273">
        <v>1.2038E-2</v>
      </c>
      <c r="CT49" s="273">
        <v>6.7939999999999997E-3</v>
      </c>
      <c r="CU49" s="273">
        <f t="shared" si="96"/>
        <v>4.1097731999999999E-5</v>
      </c>
      <c r="CV49" s="273">
        <f t="shared" si="82"/>
        <v>4.7055243999999997E-5</v>
      </c>
      <c r="CW49" s="273">
        <v>0.28344799999999998</v>
      </c>
      <c r="CX49" s="273">
        <v>0.33544600000000002</v>
      </c>
      <c r="CY49" s="273">
        <f t="shared" si="97"/>
        <v>9.6769147199999986E-4</v>
      </c>
      <c r="CZ49" s="273">
        <f t="shared" si="83"/>
        <v>2.323298996E-3</v>
      </c>
      <c r="DA49" s="273">
        <v>1.11E-4</v>
      </c>
      <c r="DB49" s="273">
        <v>1.3910000000000001E-3</v>
      </c>
      <c r="DC49" s="273">
        <f t="shared" si="98"/>
        <v>2.4052107959999999E-3</v>
      </c>
      <c r="DD49" s="273">
        <f t="shared" si="84"/>
        <v>4.5556457600000001E-3</v>
      </c>
      <c r="DE49" s="273">
        <v>1.3100000000000001E-4</v>
      </c>
      <c r="DF49" s="273">
        <v>2.34E-4</v>
      </c>
      <c r="DG49" s="273">
        <f t="shared" si="99"/>
        <v>1.2507892039999998E-3</v>
      </c>
      <c r="DH49" s="273">
        <f t="shared" si="85"/>
        <v>3.9953542400000003E-3</v>
      </c>
      <c r="DI49" s="273">
        <v>6.1899999999999998E-4</v>
      </c>
      <c r="DJ49" s="273">
        <v>2.2000000000000001E-4</v>
      </c>
      <c r="DK49" s="273">
        <v>3.8099999999999999E-4</v>
      </c>
      <c r="DL49" s="273">
        <v>2.4600000000000002E-4</v>
      </c>
      <c r="DM49" s="273">
        <f t="shared" si="100"/>
        <v>1E-3</v>
      </c>
      <c r="DN49" s="273">
        <f t="shared" si="86"/>
        <v>4.6600000000000005E-4</v>
      </c>
      <c r="DO49" s="273">
        <v>3.424E-3</v>
      </c>
      <c r="DP49" s="273">
        <v>2.5829999999999998E-3</v>
      </c>
      <c r="DQ49" s="273">
        <v>1.964E-3</v>
      </c>
      <c r="DR49" s="273">
        <v>2.444E-3</v>
      </c>
      <c r="DS49" s="273">
        <v>2.3941E-2</v>
      </c>
      <c r="DT49" s="273">
        <v>1.8883E-2</v>
      </c>
      <c r="DU49" s="273">
        <v>2.026E-3</v>
      </c>
      <c r="DV49" s="273">
        <v>2.542E-3</v>
      </c>
      <c r="DW49" s="273">
        <v>4.0188000000000001E-2</v>
      </c>
      <c r="DX49" s="273">
        <v>4.0188000000000001E-2</v>
      </c>
      <c r="DY49" s="273">
        <v>9.2904E-2</v>
      </c>
      <c r="DZ49" s="273">
        <v>8.5654999999999995E-2</v>
      </c>
      <c r="EA49" s="273">
        <v>1.4200000000000001E-4</v>
      </c>
      <c r="EB49" s="273">
        <v>1.74E-4</v>
      </c>
      <c r="EC49" s="273">
        <v>3.7980000000000002E-3</v>
      </c>
      <c r="ED49" s="273">
        <v>4.0410000000000003E-3</v>
      </c>
      <c r="EE49" s="273"/>
      <c r="EF49" s="274"/>
    </row>
    <row r="50" spans="2:136" s="249" customFormat="1" ht="17.399999999999999">
      <c r="B50" s="286">
        <v>43</v>
      </c>
      <c r="C50" s="273">
        <v>7.7000000000000001E-5</v>
      </c>
      <c r="D50" s="273">
        <v>2.4000000000000001E-5</v>
      </c>
      <c r="E50" s="273">
        <v>5.0000000000000002E-5</v>
      </c>
      <c r="F50" s="273">
        <v>1.3000000000000001E-5</v>
      </c>
      <c r="G50" s="273">
        <v>8.5599999999999999E-4</v>
      </c>
      <c r="H50" s="273">
        <v>5.5800000000000001E-4</v>
      </c>
      <c r="I50" s="273">
        <v>1.27E-4</v>
      </c>
      <c r="J50" s="273">
        <v>3.7000000000000005E-5</v>
      </c>
      <c r="K50" s="273">
        <v>2.4499999999999999E-4</v>
      </c>
      <c r="L50" s="273">
        <v>1.2999999999999999E-4</v>
      </c>
      <c r="M50" s="273">
        <f t="shared" si="87"/>
        <v>2.1125203200000006E-3</v>
      </c>
      <c r="N50" s="273">
        <f t="shared" si="77"/>
        <v>1.9301706629999999E-3</v>
      </c>
      <c r="O50" s="273">
        <f t="shared" si="88"/>
        <v>1.9419520000000001E-5</v>
      </c>
      <c r="P50" s="273">
        <f t="shared" si="89"/>
        <v>2.1589575589999999E-3</v>
      </c>
      <c r="Q50" s="273">
        <v>3.0400000000000002E-3</v>
      </c>
      <c r="R50" s="273">
        <v>6.0769999999999999E-3</v>
      </c>
      <c r="S50" s="273">
        <v>9.0799999999999995E-4</v>
      </c>
      <c r="T50" s="273">
        <v>0.355267</v>
      </c>
      <c r="U50" s="273">
        <v>6.3879999999999996E-3</v>
      </c>
      <c r="V50" s="273">
        <v>0</v>
      </c>
      <c r="W50" s="273">
        <v>1.5433000000000001E-2</v>
      </c>
      <c r="X50" s="273">
        <v>5.1399999999999996E-3</v>
      </c>
      <c r="Y50" s="273">
        <f t="shared" si="90"/>
        <v>4.6916320000000005E-5</v>
      </c>
      <c r="Z50" s="273">
        <f t="shared" si="78"/>
        <v>3.1235779999999995E-5</v>
      </c>
      <c r="AA50" s="273">
        <v>0.25581599999999999</v>
      </c>
      <c r="AB50" s="273">
        <v>0.31345299999999998</v>
      </c>
      <c r="AC50" s="273">
        <f t="shared" si="91"/>
        <v>7.7768064000000004E-4</v>
      </c>
      <c r="AD50" s="273">
        <f t="shared" si="79"/>
        <v>1.9048538809999999E-3</v>
      </c>
      <c r="AE50" s="273">
        <v>2.3373000000000001E-2</v>
      </c>
      <c r="AF50" s="273">
        <v>8.0429999999999998E-3</v>
      </c>
      <c r="AG50" s="273">
        <f t="shared" si="92"/>
        <v>7.1053920000000009E-5</v>
      </c>
      <c r="AH50" s="273">
        <f t="shared" si="80"/>
        <v>4.8877310999999997E-5</v>
      </c>
      <c r="AI50" s="273">
        <v>4.0819999999999997E-3</v>
      </c>
      <c r="AJ50" s="273">
        <v>4.7800000000000002E-4</v>
      </c>
      <c r="AK50" s="273">
        <f t="shared" si="93"/>
        <v>1.240928E-5</v>
      </c>
      <c r="AL50" s="273">
        <f t="shared" si="81"/>
        <v>2.9048060000000003E-6</v>
      </c>
      <c r="AM50" s="273">
        <f t="shared" si="94"/>
        <v>3.2673312000000001E-4</v>
      </c>
      <c r="AN50" s="273">
        <f t="shared" si="95"/>
        <v>2.6096461100000003E-4</v>
      </c>
      <c r="AO50" s="273">
        <v>0.107478</v>
      </c>
      <c r="AP50" s="273">
        <v>4.2943000000000002E-2</v>
      </c>
      <c r="AQ50" s="273">
        <v>1.4100000000000001E-4</v>
      </c>
      <c r="AR50" s="273">
        <v>1.242E-3</v>
      </c>
      <c r="AS50" s="273">
        <v>1.4100000000000001E-4</v>
      </c>
      <c r="AT50" s="273">
        <v>2.3599999999999999E-4</v>
      </c>
      <c r="AU50" s="273">
        <v>3.2000000000000003E-4</v>
      </c>
      <c r="AV50" s="273">
        <v>1.92E-4</v>
      </c>
      <c r="AW50" s="273">
        <v>2.0000000000000002E-5</v>
      </c>
      <c r="AX50" s="273">
        <v>3.9999999999999998E-6</v>
      </c>
      <c r="AY50" s="273">
        <v>2.3E-5</v>
      </c>
      <c r="AZ50" s="273">
        <v>4.0000000000000003E-5</v>
      </c>
      <c r="BA50" s="273">
        <v>1.37E-4</v>
      </c>
      <c r="BB50" s="273">
        <v>2.81E-4</v>
      </c>
      <c r="BC50" s="273">
        <v>0</v>
      </c>
      <c r="BD50" s="273">
        <v>0</v>
      </c>
      <c r="BE50" s="273">
        <v>3.0000000000000001E-6</v>
      </c>
      <c r="BF50" s="273">
        <v>3.0000000000000001E-6</v>
      </c>
      <c r="BG50" s="273">
        <v>6.6000000000000005E-5</v>
      </c>
      <c r="BH50" s="273">
        <v>5.5999999999999999E-5</v>
      </c>
      <c r="BI50" s="273">
        <v>1.27E-4</v>
      </c>
      <c r="BJ50" s="273">
        <v>8.7999999999999998E-5</v>
      </c>
      <c r="BK50" s="273">
        <v>2.5999999999999998E-4</v>
      </c>
      <c r="BL50" s="273">
        <v>1.17E-4</v>
      </c>
      <c r="BM50" s="273">
        <v>1.5799999999999999E-4</v>
      </c>
      <c r="BN50" s="273">
        <v>2.41E-4</v>
      </c>
      <c r="BO50" s="273">
        <v>6.8599999999999998E-4</v>
      </c>
      <c r="BP50" s="273">
        <v>3.3E-4</v>
      </c>
      <c r="BQ50" s="273">
        <v>3.3199999999999999E-4</v>
      </c>
      <c r="BR50" s="273">
        <v>2.52E-4</v>
      </c>
      <c r="BS50" s="273">
        <v>4.6000000000000001E-4</v>
      </c>
      <c r="BT50" s="273">
        <v>5.3999999999999998E-5</v>
      </c>
      <c r="BU50" s="273">
        <v>2.1800000000000001E-3</v>
      </c>
      <c r="BV50" s="273">
        <v>1.6570000000000001E-3</v>
      </c>
      <c r="BW50" s="273">
        <v>1.0738570000000001</v>
      </c>
      <c r="BX50" s="273">
        <v>1.365429</v>
      </c>
      <c r="BY50" s="273">
        <v>0.138152</v>
      </c>
      <c r="BZ50" s="273">
        <v>0.196852</v>
      </c>
      <c r="CA50" s="273">
        <v>2.802E-2</v>
      </c>
      <c r="CB50" s="273">
        <v>1.9678999999999999E-2</v>
      </c>
      <c r="CC50" s="273">
        <v>1.7910000000000001E-3</v>
      </c>
      <c r="CD50" s="273">
        <v>2.12E-4</v>
      </c>
      <c r="CE50" s="273">
        <v>3.4946999999999999E-2</v>
      </c>
      <c r="CF50" s="273">
        <v>5.0552E-2</v>
      </c>
      <c r="CG50" s="273">
        <v>5.9861999999999999E-2</v>
      </c>
      <c r="CH50" s="273">
        <v>4.7842999999999997E-2</v>
      </c>
      <c r="CI50" s="273">
        <v>8.5280000000000009E-3</v>
      </c>
      <c r="CJ50" s="273">
        <v>8.6099999999999996E-3</v>
      </c>
      <c r="CK50" s="273">
        <v>7.18E-4</v>
      </c>
      <c r="CL50" s="273">
        <v>6.4099999999999997E-4</v>
      </c>
      <c r="CM50" s="273">
        <v>1.781E-3</v>
      </c>
      <c r="CN50" s="273">
        <v>4.1440000000000001E-3</v>
      </c>
      <c r="CO50" s="273">
        <v>9.2441999999999996E-2</v>
      </c>
      <c r="CP50" s="273">
        <v>9.5314999999999997E-2</v>
      </c>
      <c r="CQ50" s="273">
        <v>3.532E-3</v>
      </c>
      <c r="CR50" s="273">
        <v>7.1390000000000004E-3</v>
      </c>
      <c r="CS50" s="273">
        <v>1.2643E-2</v>
      </c>
      <c r="CT50" s="273">
        <v>7.2189999999999997E-3</v>
      </c>
      <c r="CU50" s="273">
        <f t="shared" si="96"/>
        <v>4.4655076E-5</v>
      </c>
      <c r="CV50" s="273">
        <f t="shared" si="82"/>
        <v>5.1536441000000002E-5</v>
      </c>
      <c r="CW50" s="273">
        <v>0.26440399999999997</v>
      </c>
      <c r="CX50" s="273">
        <v>0.312195</v>
      </c>
      <c r="CY50" s="273">
        <f t="shared" si="97"/>
        <v>9.3387492799999988E-4</v>
      </c>
      <c r="CZ50" s="273">
        <f t="shared" si="83"/>
        <v>2.2287601050000002E-3</v>
      </c>
      <c r="DA50" s="273">
        <v>1.2400000000000001E-4</v>
      </c>
      <c r="DB50" s="273">
        <v>1.4109999999999999E-3</v>
      </c>
      <c r="DC50" s="273">
        <f t="shared" si="98"/>
        <v>2.5534699960000004E-3</v>
      </c>
      <c r="DD50" s="273">
        <f t="shared" si="84"/>
        <v>4.8587034539999997E-3</v>
      </c>
      <c r="DE50" s="273">
        <v>1.2999999999999999E-4</v>
      </c>
      <c r="DF50" s="273">
        <v>2.32E-4</v>
      </c>
      <c r="DG50" s="273">
        <f t="shared" si="99"/>
        <v>1.2325300039999997E-3</v>
      </c>
      <c r="DH50" s="273">
        <f t="shared" si="85"/>
        <v>3.9232965460000001E-3</v>
      </c>
      <c r="DI50" s="273">
        <v>6.8800000000000003E-4</v>
      </c>
      <c r="DJ50" s="273">
        <v>2.3800000000000001E-4</v>
      </c>
      <c r="DK50" s="273">
        <v>4.06E-4</v>
      </c>
      <c r="DL50" s="273">
        <v>2.5399999999999999E-4</v>
      </c>
      <c r="DM50" s="273">
        <f t="shared" si="100"/>
        <v>1.0939999999999999E-3</v>
      </c>
      <c r="DN50" s="273">
        <f t="shared" si="86"/>
        <v>4.9200000000000003E-4</v>
      </c>
      <c r="DO50" s="273">
        <v>3.3869999999999998E-3</v>
      </c>
      <c r="DP50" s="273">
        <v>2.689E-3</v>
      </c>
      <c r="DQ50" s="273">
        <v>2.0830000000000002E-3</v>
      </c>
      <c r="DR50" s="273">
        <v>2.934E-3</v>
      </c>
      <c r="DS50" s="273">
        <v>2.4247000000000001E-2</v>
      </c>
      <c r="DT50" s="273">
        <v>1.9345999999999999E-2</v>
      </c>
      <c r="DU50" s="273">
        <v>2.091E-3</v>
      </c>
      <c r="DV50" s="273">
        <v>2.5760000000000002E-3</v>
      </c>
      <c r="DW50" s="273">
        <v>4.0188000000000001E-2</v>
      </c>
      <c r="DX50" s="273">
        <v>4.0188000000000001E-2</v>
      </c>
      <c r="DY50" s="273">
        <v>0.100526</v>
      </c>
      <c r="DZ50" s="273">
        <v>8.8572999999999999E-2</v>
      </c>
      <c r="EA50" s="273">
        <v>1.5300000000000001E-4</v>
      </c>
      <c r="EB50" s="273">
        <v>1.8599999999999999E-4</v>
      </c>
      <c r="EC50" s="273">
        <v>3.3170000000000001E-3</v>
      </c>
      <c r="ED50" s="273">
        <v>4.0470000000000002E-3</v>
      </c>
      <c r="EE50" s="273"/>
      <c r="EF50" s="274"/>
    </row>
    <row r="51" spans="2:136" s="249" customFormat="1" ht="17.399999999999999">
      <c r="B51" s="286">
        <v>44</v>
      </c>
      <c r="C51" s="273">
        <v>8.6000000000000003E-5</v>
      </c>
      <c r="D51" s="273">
        <v>2.5999999999999998E-5</v>
      </c>
      <c r="E51" s="273">
        <v>5.0000000000000002E-5</v>
      </c>
      <c r="F51" s="273">
        <v>1.3000000000000001E-5</v>
      </c>
      <c r="G51" s="273">
        <v>9.3599999999999998E-4</v>
      </c>
      <c r="H51" s="273">
        <v>5.9500000000000004E-4</v>
      </c>
      <c r="I51" s="273">
        <v>1.36E-4</v>
      </c>
      <c r="J51" s="273">
        <v>3.8999999999999999E-5</v>
      </c>
      <c r="K51" s="273">
        <v>2.4499999999999999E-4</v>
      </c>
      <c r="L51" s="273">
        <v>1.2999999999999999E-4</v>
      </c>
      <c r="M51" s="273">
        <f t="shared" si="87"/>
        <v>2.1734332199999998E-3</v>
      </c>
      <c r="N51" s="273">
        <f t="shared" si="77"/>
        <v>2.0171217020000009E-3</v>
      </c>
      <c r="O51" s="273">
        <f t="shared" si="88"/>
        <v>2.4909003E-5</v>
      </c>
      <c r="P51" s="273">
        <f t="shared" si="89"/>
        <v>2.315230474E-3</v>
      </c>
      <c r="Q51" s="273">
        <v>3.0869999999999999E-3</v>
      </c>
      <c r="R51" s="273">
        <v>6.2620000000000002E-3</v>
      </c>
      <c r="S51" s="273">
        <v>1.315E-3</v>
      </c>
      <c r="T51" s="273">
        <v>0.36972699999999997</v>
      </c>
      <c r="U51" s="273">
        <v>8.0689999999999998E-3</v>
      </c>
      <c r="V51" s="273">
        <v>0</v>
      </c>
      <c r="W51" s="273">
        <v>1.5775999999999998E-2</v>
      </c>
      <c r="X51" s="273">
        <v>5.5700000000000003E-3</v>
      </c>
      <c r="Y51" s="273">
        <f t="shared" si="90"/>
        <v>4.8700511999999992E-5</v>
      </c>
      <c r="Z51" s="273">
        <f t="shared" si="78"/>
        <v>3.4879340000000006E-5</v>
      </c>
      <c r="AA51" s="273">
        <v>0.24388399999999999</v>
      </c>
      <c r="AB51" s="273">
        <v>0.29379100000000002</v>
      </c>
      <c r="AC51" s="273">
        <f t="shared" si="91"/>
        <v>7.5286990799999993E-4</v>
      </c>
      <c r="AD51" s="273">
        <f t="shared" si="79"/>
        <v>1.8397192420000002E-3</v>
      </c>
      <c r="AE51" s="273">
        <v>2.3701E-2</v>
      </c>
      <c r="AF51" s="273">
        <v>8.2769999999999996E-3</v>
      </c>
      <c r="AG51" s="273">
        <f t="shared" si="92"/>
        <v>7.3164986999999993E-5</v>
      </c>
      <c r="AH51" s="273">
        <f t="shared" si="80"/>
        <v>5.1830574E-5</v>
      </c>
      <c r="AI51" s="273">
        <v>4.5100000000000001E-3</v>
      </c>
      <c r="AJ51" s="273">
        <v>5.1400000000000003E-4</v>
      </c>
      <c r="AK51" s="273">
        <f t="shared" si="93"/>
        <v>1.392237E-5</v>
      </c>
      <c r="AL51" s="273">
        <f t="shared" si="81"/>
        <v>3.2186680000000002E-6</v>
      </c>
      <c r="AM51" s="273">
        <f t="shared" si="94"/>
        <v>3.3938786699999997E-4</v>
      </c>
      <c r="AN51" s="273">
        <f t="shared" si="95"/>
        <v>2.6955405200000004E-4</v>
      </c>
      <c r="AO51" s="273">
        <v>0.109941</v>
      </c>
      <c r="AP51" s="273">
        <v>4.3046000000000001E-2</v>
      </c>
      <c r="AQ51" s="273">
        <v>1.5300000000000001E-4</v>
      </c>
      <c r="AR51" s="273">
        <v>1.245E-3</v>
      </c>
      <c r="AS51" s="273">
        <v>1.3799999999999999E-4</v>
      </c>
      <c r="AT51" s="273">
        <v>2.34E-4</v>
      </c>
      <c r="AU51" s="273">
        <v>3.4499999999999998E-4</v>
      </c>
      <c r="AV51" s="273">
        <v>2.05E-4</v>
      </c>
      <c r="AW51" s="273">
        <v>2.0999999999999999E-5</v>
      </c>
      <c r="AX51" s="273">
        <v>5.0000000000000004E-6</v>
      </c>
      <c r="AY51" s="273">
        <v>2.3E-5</v>
      </c>
      <c r="AZ51" s="273">
        <v>4.1E-5</v>
      </c>
      <c r="BA51" s="273">
        <v>1.3899999999999999E-4</v>
      </c>
      <c r="BB51" s="273">
        <v>2.9700000000000001E-4</v>
      </c>
      <c r="BC51" s="273">
        <v>0</v>
      </c>
      <c r="BD51" s="273">
        <v>0</v>
      </c>
      <c r="BE51" s="273">
        <v>3.0000000000000001E-6</v>
      </c>
      <c r="BF51" s="273">
        <v>3.0000000000000001E-6</v>
      </c>
      <c r="BG51" s="273">
        <v>6.9999999999999994E-5</v>
      </c>
      <c r="BH51" s="273">
        <v>6.0000000000000002E-5</v>
      </c>
      <c r="BI51" s="273">
        <v>1.35E-4</v>
      </c>
      <c r="BJ51" s="273">
        <v>9.2E-5</v>
      </c>
      <c r="BK51" s="273">
        <v>2.5900000000000001E-4</v>
      </c>
      <c r="BL51" s="273">
        <v>1.0900000000000001E-4</v>
      </c>
      <c r="BM51" s="273">
        <v>1.6000000000000001E-4</v>
      </c>
      <c r="BN51" s="273">
        <v>2.5099999999999998E-4</v>
      </c>
      <c r="BO51" s="273">
        <v>6.8800000000000003E-4</v>
      </c>
      <c r="BP51" s="273">
        <v>3.4499999999999998E-4</v>
      </c>
      <c r="BQ51" s="273">
        <v>3.5300000000000002E-4</v>
      </c>
      <c r="BR51" s="273">
        <v>2.7599999999999999E-4</v>
      </c>
      <c r="BS51" s="273">
        <v>5.0799999999999999E-4</v>
      </c>
      <c r="BT51" s="273">
        <v>6.0999999999999999E-5</v>
      </c>
      <c r="BU51" s="273">
        <v>2.3159999999999999E-3</v>
      </c>
      <c r="BV51" s="273">
        <v>1.8109999999999999E-3</v>
      </c>
      <c r="BW51" s="273">
        <v>1.1125309999999999</v>
      </c>
      <c r="BX51" s="273">
        <v>1.442609</v>
      </c>
      <c r="BY51" s="273">
        <v>0.14411199999999999</v>
      </c>
      <c r="BZ51" s="273">
        <v>0.201825</v>
      </c>
      <c r="CA51" s="273">
        <v>2.9170999999999999E-2</v>
      </c>
      <c r="CB51" s="273">
        <v>2.0627E-2</v>
      </c>
      <c r="CC51" s="273">
        <v>1.9750000000000002E-3</v>
      </c>
      <c r="CD51" s="273">
        <v>2.3599999999999999E-4</v>
      </c>
      <c r="CE51" s="273">
        <v>3.6517000000000001E-2</v>
      </c>
      <c r="CF51" s="273">
        <v>5.1789000000000002E-2</v>
      </c>
      <c r="CG51" s="273">
        <v>5.9942000000000002E-2</v>
      </c>
      <c r="CH51" s="273">
        <v>4.8813000000000002E-2</v>
      </c>
      <c r="CI51" s="273">
        <v>8.7089999999999997E-3</v>
      </c>
      <c r="CJ51" s="273">
        <v>8.744E-3</v>
      </c>
      <c r="CK51" s="273">
        <v>7.2000000000000005E-4</v>
      </c>
      <c r="CL51" s="273">
        <v>6.3699999999999998E-4</v>
      </c>
      <c r="CM51" s="273">
        <v>1.8190000000000001E-3</v>
      </c>
      <c r="CN51" s="273">
        <v>4.2220000000000001E-3</v>
      </c>
      <c r="CO51" s="273">
        <v>9.3550999999999995E-2</v>
      </c>
      <c r="CP51" s="273">
        <v>9.6118999999999996E-2</v>
      </c>
      <c r="CQ51" s="273">
        <v>3.6129999999999999E-3</v>
      </c>
      <c r="CR51" s="273">
        <v>7.3119999999999999E-3</v>
      </c>
      <c r="CS51" s="273">
        <v>1.2879E-2</v>
      </c>
      <c r="CT51" s="273">
        <v>7.4609999999999998E-3</v>
      </c>
      <c r="CU51" s="273">
        <f t="shared" si="96"/>
        <v>4.6531827000000001E-5</v>
      </c>
      <c r="CV51" s="273">
        <f t="shared" si="82"/>
        <v>5.4554831999999996E-5</v>
      </c>
      <c r="CW51" s="273">
        <v>0.24535999999999999</v>
      </c>
      <c r="CX51" s="273">
        <v>0.28894500000000001</v>
      </c>
      <c r="CY51" s="273">
        <f t="shared" si="97"/>
        <v>8.8648568E-4</v>
      </c>
      <c r="CZ51" s="273">
        <f t="shared" si="83"/>
        <v>2.1127658400000001E-3</v>
      </c>
      <c r="DA51" s="273">
        <v>1.36E-4</v>
      </c>
      <c r="DB51" s="273">
        <v>1.421E-3</v>
      </c>
      <c r="DC51" s="273">
        <f t="shared" si="98"/>
        <v>2.6799824929999998E-3</v>
      </c>
      <c r="DD51" s="273">
        <f t="shared" si="84"/>
        <v>5.1446793279999996E-3</v>
      </c>
      <c r="DE51" s="273">
        <v>1.27E-4</v>
      </c>
      <c r="DF51" s="273">
        <v>2.3000000000000001E-4</v>
      </c>
      <c r="DG51" s="273">
        <f t="shared" si="99"/>
        <v>1.1960175069999999E-3</v>
      </c>
      <c r="DH51" s="273">
        <f t="shared" si="85"/>
        <v>3.8183206720000004E-3</v>
      </c>
      <c r="DI51" s="273">
        <v>7.54E-4</v>
      </c>
      <c r="DJ51" s="273">
        <v>2.5599999999999999E-4</v>
      </c>
      <c r="DK51" s="273">
        <v>4.3300000000000001E-4</v>
      </c>
      <c r="DL51" s="273">
        <v>2.6400000000000002E-4</v>
      </c>
      <c r="DM51" s="273">
        <f t="shared" si="100"/>
        <v>1.1870000000000001E-3</v>
      </c>
      <c r="DN51" s="273">
        <f t="shared" si="86"/>
        <v>5.2000000000000006E-4</v>
      </c>
      <c r="DO51" s="273">
        <v>3.4420000000000002E-3</v>
      </c>
      <c r="DP51" s="273">
        <v>2.7659999999999998E-3</v>
      </c>
      <c r="DQ51" s="273">
        <v>2.2699999999999999E-3</v>
      </c>
      <c r="DR51" s="273">
        <v>3.5040000000000002E-3</v>
      </c>
      <c r="DS51" s="273">
        <v>2.4434000000000001E-2</v>
      </c>
      <c r="DT51" s="273">
        <v>1.9753E-2</v>
      </c>
      <c r="DU51" s="273">
        <v>2.1779999999999998E-3</v>
      </c>
      <c r="DV51" s="273">
        <v>2.5790000000000001E-3</v>
      </c>
      <c r="DW51" s="273">
        <v>4.0188000000000001E-2</v>
      </c>
      <c r="DX51" s="273">
        <v>4.0188000000000001E-2</v>
      </c>
      <c r="DY51" s="273">
        <v>0.11014500000000001</v>
      </c>
      <c r="DZ51" s="273">
        <v>9.1139999999999999E-2</v>
      </c>
      <c r="EA51" s="273">
        <v>1.65E-4</v>
      </c>
      <c r="EB51" s="273">
        <v>1.9799999999999999E-4</v>
      </c>
      <c r="EC51" s="273">
        <v>2.836E-3</v>
      </c>
      <c r="ED51" s="273">
        <v>4.0530000000000002E-3</v>
      </c>
      <c r="EE51" s="273"/>
      <c r="EF51" s="274"/>
    </row>
    <row r="52" spans="2:136" s="249" customFormat="1" ht="17.399999999999999">
      <c r="B52" s="286">
        <v>45</v>
      </c>
      <c r="C52" s="273">
        <v>1E-4</v>
      </c>
      <c r="D52" s="273">
        <v>3.1999999999999999E-5</v>
      </c>
      <c r="E52" s="273">
        <v>5.0000000000000002E-5</v>
      </c>
      <c r="F52" s="273">
        <v>1.3000000000000001E-5</v>
      </c>
      <c r="G52" s="273">
        <v>1.023E-3</v>
      </c>
      <c r="H52" s="273">
        <v>6.3599999999999996E-4</v>
      </c>
      <c r="I52" s="273">
        <v>1.5000000000000001E-4</v>
      </c>
      <c r="J52" s="273">
        <v>4.4999999999999996E-5</v>
      </c>
      <c r="K52" s="273">
        <v>2.4499999999999999E-4</v>
      </c>
      <c r="L52" s="273">
        <v>1.2999999999999999E-4</v>
      </c>
      <c r="M52" s="273">
        <f t="shared" si="87"/>
        <v>2.2253774399999997E-3</v>
      </c>
      <c r="N52" s="273">
        <f t="shared" si="77"/>
        <v>2.1018827700000002E-3</v>
      </c>
      <c r="O52" s="273">
        <f t="shared" si="88"/>
        <v>3.042E-5</v>
      </c>
      <c r="P52" s="273">
        <f t="shared" si="89"/>
        <v>2.4737800930000001E-3</v>
      </c>
      <c r="Q52" s="273">
        <v>3.1199999999999999E-3</v>
      </c>
      <c r="R52" s="273">
        <v>6.4390000000000003E-3</v>
      </c>
      <c r="S52" s="273">
        <v>1.268E-3</v>
      </c>
      <c r="T52" s="273">
        <v>0.384187</v>
      </c>
      <c r="U52" s="273">
        <v>9.75E-3</v>
      </c>
      <c r="V52" s="273">
        <v>0</v>
      </c>
      <c r="W52" s="273">
        <v>1.6060999999999999E-2</v>
      </c>
      <c r="X52" s="273">
        <v>6.1910000000000003E-3</v>
      </c>
      <c r="Y52" s="273">
        <f t="shared" si="90"/>
        <v>5.0110319999999995E-5</v>
      </c>
      <c r="Z52" s="273">
        <f t="shared" si="78"/>
        <v>3.9863849000000003E-5</v>
      </c>
      <c r="AA52" s="273">
        <v>0.231962</v>
      </c>
      <c r="AB52" s="273">
        <v>0.27413100000000001</v>
      </c>
      <c r="AC52" s="273">
        <f t="shared" si="91"/>
        <v>7.2372143999999995E-4</v>
      </c>
      <c r="AD52" s="273">
        <f t="shared" si="79"/>
        <v>1.7651295090000002E-3</v>
      </c>
      <c r="AE52" s="273">
        <v>2.4028000000000001E-2</v>
      </c>
      <c r="AF52" s="273">
        <v>8.5109999999999995E-3</v>
      </c>
      <c r="AG52" s="273">
        <f t="shared" si="92"/>
        <v>7.496736E-5</v>
      </c>
      <c r="AH52" s="273">
        <f t="shared" si="80"/>
        <v>5.4802329000000001E-5</v>
      </c>
      <c r="AI52" s="273">
        <v>4.9370000000000004E-3</v>
      </c>
      <c r="AJ52" s="273">
        <v>5.5000000000000003E-4</v>
      </c>
      <c r="AK52" s="273">
        <f t="shared" si="93"/>
        <v>1.5403440000000002E-5</v>
      </c>
      <c r="AL52" s="273">
        <f t="shared" si="81"/>
        <v>3.5414500000000002E-6</v>
      </c>
      <c r="AM52" s="273">
        <f t="shared" si="94"/>
        <v>3.5070047999999999E-4</v>
      </c>
      <c r="AN52" s="273">
        <f t="shared" si="95"/>
        <v>2.7784285000000001E-4</v>
      </c>
      <c r="AO52" s="273">
        <v>0.112404</v>
      </c>
      <c r="AP52" s="273">
        <v>4.3150000000000001E-2</v>
      </c>
      <c r="AQ52" s="273">
        <v>1.6899999999999999E-4</v>
      </c>
      <c r="AR52" s="273">
        <v>1.235E-3</v>
      </c>
      <c r="AS52" s="273">
        <v>1.35E-4</v>
      </c>
      <c r="AT52" s="273">
        <v>2.32E-4</v>
      </c>
      <c r="AU52" s="273">
        <v>3.7500000000000001E-4</v>
      </c>
      <c r="AV52" s="273">
        <v>2.2100000000000001E-4</v>
      </c>
      <c r="AW52" s="273">
        <v>2.0999999999999999E-5</v>
      </c>
      <c r="AX52" s="273">
        <v>5.0000000000000004E-6</v>
      </c>
      <c r="AY52" s="273">
        <v>2.4000000000000001E-5</v>
      </c>
      <c r="AZ52" s="273">
        <v>4.3000000000000002E-5</v>
      </c>
      <c r="BA52" s="273">
        <v>1.3999999999999999E-4</v>
      </c>
      <c r="BB52" s="273">
        <v>3.1300000000000002E-4</v>
      </c>
      <c r="BC52" s="273">
        <v>0</v>
      </c>
      <c r="BD52" s="273">
        <v>0</v>
      </c>
      <c r="BE52" s="273">
        <v>3.0000000000000001E-6</v>
      </c>
      <c r="BF52" s="273">
        <v>3.0000000000000001E-6</v>
      </c>
      <c r="BG52" s="273">
        <v>7.3999999999999996E-5</v>
      </c>
      <c r="BH52" s="273">
        <v>6.3999999999999997E-5</v>
      </c>
      <c r="BI52" s="273">
        <v>1.4300000000000001E-4</v>
      </c>
      <c r="BJ52" s="273">
        <v>9.7E-5</v>
      </c>
      <c r="BK52" s="273">
        <v>2.5399999999999999E-4</v>
      </c>
      <c r="BL52" s="273">
        <v>9.7E-5</v>
      </c>
      <c r="BM52" s="273">
        <v>1.6200000000000001E-4</v>
      </c>
      <c r="BN52" s="273">
        <v>2.6200000000000003E-4</v>
      </c>
      <c r="BO52" s="273">
        <v>6.8800000000000003E-4</v>
      </c>
      <c r="BP52" s="273">
        <v>3.6200000000000002E-4</v>
      </c>
      <c r="BQ52" s="273">
        <v>3.7399999999999998E-4</v>
      </c>
      <c r="BR52" s="273">
        <v>2.9999999999999997E-4</v>
      </c>
      <c r="BS52" s="273">
        <v>5.5800000000000001E-4</v>
      </c>
      <c r="BT52" s="273">
        <v>6.7000000000000002E-5</v>
      </c>
      <c r="BU52" s="273">
        <v>2.4559999999999998E-3</v>
      </c>
      <c r="BV52" s="273">
        <v>1.97E-3</v>
      </c>
      <c r="BW52" s="273">
        <v>1.1519269999999999</v>
      </c>
      <c r="BX52" s="273">
        <v>1.5238119999999999</v>
      </c>
      <c r="BY52" s="273">
        <v>0.15032400000000001</v>
      </c>
      <c r="BZ52" s="273">
        <v>0.20652799999999999</v>
      </c>
      <c r="CA52" s="273">
        <v>3.0356999999999999E-2</v>
      </c>
      <c r="CB52" s="273">
        <v>2.1694999999999999E-2</v>
      </c>
      <c r="CC52" s="273">
        <v>2.1679999999999998E-3</v>
      </c>
      <c r="CD52" s="273">
        <v>2.6200000000000003E-4</v>
      </c>
      <c r="CE52" s="273">
        <v>3.7989000000000002E-2</v>
      </c>
      <c r="CF52" s="273">
        <v>5.3120000000000001E-2</v>
      </c>
      <c r="CG52" s="273">
        <v>5.9781000000000001E-2</v>
      </c>
      <c r="CH52" s="273">
        <v>4.9862999999999998E-2</v>
      </c>
      <c r="CI52" s="273">
        <v>8.8599999999999998E-3</v>
      </c>
      <c r="CJ52" s="273">
        <v>8.8909999999999996E-3</v>
      </c>
      <c r="CK52" s="273">
        <v>7.2000000000000005E-4</v>
      </c>
      <c r="CL52" s="273">
        <v>6.3500000000000004E-4</v>
      </c>
      <c r="CM52" s="273">
        <v>1.851E-3</v>
      </c>
      <c r="CN52" s="273">
        <v>4.3070000000000001E-3</v>
      </c>
      <c r="CO52" s="273">
        <v>9.4315999999999997E-2</v>
      </c>
      <c r="CP52" s="273">
        <v>9.7031999999999993E-2</v>
      </c>
      <c r="CQ52" s="273">
        <v>3.679E-3</v>
      </c>
      <c r="CR52" s="273">
        <v>7.4669999999999997E-3</v>
      </c>
      <c r="CS52" s="273">
        <v>1.3435000000000001E-2</v>
      </c>
      <c r="CT52" s="273">
        <v>7.7089999999999997E-3</v>
      </c>
      <c r="CU52" s="273">
        <f t="shared" si="96"/>
        <v>4.9427365000000005E-5</v>
      </c>
      <c r="CV52" s="273">
        <f t="shared" si="82"/>
        <v>5.7563102999999993E-5</v>
      </c>
      <c r="CW52" s="273">
        <v>0.22631699999999999</v>
      </c>
      <c r="CX52" s="273">
        <v>0.26569500000000001</v>
      </c>
      <c r="CY52" s="273">
        <f t="shared" si="97"/>
        <v>8.3262024299999996E-4</v>
      </c>
      <c r="CZ52" s="273">
        <f t="shared" si="83"/>
        <v>1.983944565E-3</v>
      </c>
      <c r="DA52" s="273">
        <v>1.4899999999999999E-4</v>
      </c>
      <c r="DB52" s="273">
        <v>1.423E-3</v>
      </c>
      <c r="DC52" s="273">
        <f t="shared" si="98"/>
        <v>2.7969523919999999E-3</v>
      </c>
      <c r="DD52" s="273">
        <f t="shared" si="84"/>
        <v>5.4254923319999992E-3</v>
      </c>
      <c r="DE52" s="273">
        <v>1.2400000000000001E-4</v>
      </c>
      <c r="DF52" s="273">
        <v>2.2800000000000001E-4</v>
      </c>
      <c r="DG52" s="273">
        <f t="shared" si="99"/>
        <v>1.1550476079999999E-3</v>
      </c>
      <c r="DH52" s="273">
        <f t="shared" si="85"/>
        <v>3.6925076680000002E-3</v>
      </c>
      <c r="DI52" s="273">
        <v>8.1800000000000004E-4</v>
      </c>
      <c r="DJ52" s="273">
        <v>2.7599999999999999E-4</v>
      </c>
      <c r="DK52" s="273">
        <v>4.6500000000000003E-4</v>
      </c>
      <c r="DL52" s="273">
        <v>2.7700000000000001E-4</v>
      </c>
      <c r="DM52" s="273">
        <f t="shared" si="100"/>
        <v>1.2830000000000001E-3</v>
      </c>
      <c r="DN52" s="273">
        <f t="shared" si="86"/>
        <v>5.53E-4</v>
      </c>
      <c r="DO52" s="273">
        <v>3.5379999999999999E-3</v>
      </c>
      <c r="DP52" s="273">
        <v>2.8310000000000002E-3</v>
      </c>
      <c r="DQ52" s="273">
        <v>2.4889999999999999E-3</v>
      </c>
      <c r="DR52" s="273">
        <v>4.1149999999999997E-3</v>
      </c>
      <c r="DS52" s="273">
        <v>2.4569000000000001E-2</v>
      </c>
      <c r="DT52" s="273">
        <v>2.0150999999999999E-2</v>
      </c>
      <c r="DU52" s="273">
        <v>2.2750000000000001E-3</v>
      </c>
      <c r="DV52" s="273">
        <v>2.5699999999999998E-3</v>
      </c>
      <c r="DW52" s="273">
        <v>4.0188000000000001E-2</v>
      </c>
      <c r="DX52" s="273">
        <v>4.0188000000000001E-2</v>
      </c>
      <c r="DY52" s="273">
        <v>0.12065099999999999</v>
      </c>
      <c r="DZ52" s="273">
        <v>9.3630000000000005E-2</v>
      </c>
      <c r="EA52" s="273">
        <v>1.8699999999999999E-4</v>
      </c>
      <c r="EB52" s="273">
        <v>2.3599999999999999E-4</v>
      </c>
      <c r="EC52" s="273">
        <v>2.6549999999999998E-3</v>
      </c>
      <c r="ED52" s="273">
        <v>4.0470000000000002E-3</v>
      </c>
      <c r="EE52" s="273"/>
      <c r="EF52" s="274"/>
    </row>
    <row r="53" spans="2:136" s="249" customFormat="1" ht="17.399999999999999">
      <c r="B53" s="286">
        <v>46</v>
      </c>
      <c r="C53" s="273">
        <v>1.18E-4</v>
      </c>
      <c r="D53" s="273">
        <v>4.1999999999999998E-5</v>
      </c>
      <c r="E53" s="273">
        <v>5.0000000000000002E-5</v>
      </c>
      <c r="F53" s="273">
        <v>1.3000000000000001E-5</v>
      </c>
      <c r="G53" s="273">
        <v>1.1150000000000001E-3</v>
      </c>
      <c r="H53" s="273">
        <v>6.7699999999999998E-4</v>
      </c>
      <c r="I53" s="273">
        <v>1.6799999999999999E-4</v>
      </c>
      <c r="J53" s="273">
        <v>5.4999999999999995E-5</v>
      </c>
      <c r="K53" s="273">
        <v>2.4499999999999999E-4</v>
      </c>
      <c r="L53" s="273">
        <v>1.2999999999999999E-4</v>
      </c>
      <c r="M53" s="273">
        <f t="shared" si="87"/>
        <v>2.2987051159999998E-3</v>
      </c>
      <c r="N53" s="273">
        <f t="shared" si="77"/>
        <v>2.1849477119999998E-3</v>
      </c>
      <c r="O53" s="273">
        <f t="shared" si="88"/>
        <v>3.6362010999999999E-5</v>
      </c>
      <c r="P53" s="273">
        <f t="shared" si="89"/>
        <v>2.6334554760000001E-3</v>
      </c>
      <c r="Q53" s="273">
        <v>3.1809999999999998E-3</v>
      </c>
      <c r="R53" s="273">
        <v>6.6059999999999999E-3</v>
      </c>
      <c r="S53" s="273">
        <v>1.212E-3</v>
      </c>
      <c r="T53" s="273">
        <v>0.398646</v>
      </c>
      <c r="U53" s="273">
        <v>1.1431E-2</v>
      </c>
      <c r="V53" s="273">
        <v>0</v>
      </c>
      <c r="W53" s="273">
        <v>1.6161999999999999E-2</v>
      </c>
      <c r="X53" s="273">
        <v>6.7980000000000002E-3</v>
      </c>
      <c r="Y53" s="273">
        <f t="shared" si="90"/>
        <v>5.1411321999999994E-5</v>
      </c>
      <c r="Z53" s="273">
        <f t="shared" si="78"/>
        <v>4.4907588000000004E-5</v>
      </c>
      <c r="AA53" s="273">
        <v>0.220051</v>
      </c>
      <c r="AB53" s="273">
        <v>0.254473</v>
      </c>
      <c r="AC53" s="273">
        <f t="shared" si="91"/>
        <v>6.9998223099999998E-4</v>
      </c>
      <c r="AD53" s="273">
        <f t="shared" si="79"/>
        <v>1.6810486379999999E-3</v>
      </c>
      <c r="AE53" s="273">
        <v>2.4355999999999999E-2</v>
      </c>
      <c r="AF53" s="273">
        <v>8.7449999999999993E-3</v>
      </c>
      <c r="AG53" s="273">
        <f t="shared" si="92"/>
        <v>7.7476435999999994E-5</v>
      </c>
      <c r="AH53" s="273">
        <f t="shared" si="80"/>
        <v>5.7769469999999994E-5</v>
      </c>
      <c r="AI53" s="273">
        <v>5.3639999999999998E-3</v>
      </c>
      <c r="AJ53" s="273">
        <v>5.8600000000000004E-4</v>
      </c>
      <c r="AK53" s="273">
        <f t="shared" si="93"/>
        <v>1.7062883999999998E-5</v>
      </c>
      <c r="AL53" s="273">
        <f t="shared" si="81"/>
        <v>3.8711160000000005E-6</v>
      </c>
      <c r="AM53" s="273">
        <f t="shared" si="94"/>
        <v>3.6539510799999997E-4</v>
      </c>
      <c r="AN53" s="273">
        <f t="shared" si="95"/>
        <v>2.85729318E-4</v>
      </c>
      <c r="AO53" s="273">
        <v>0.114868</v>
      </c>
      <c r="AP53" s="273">
        <v>4.3253E-2</v>
      </c>
      <c r="AQ53" s="273">
        <v>1.8699999999999999E-4</v>
      </c>
      <c r="AR53" s="273">
        <v>1.2099999999999999E-3</v>
      </c>
      <c r="AS53" s="273">
        <v>1.3200000000000001E-4</v>
      </c>
      <c r="AT53" s="273">
        <v>2.2900000000000001E-4</v>
      </c>
      <c r="AU53" s="273">
        <v>4.08E-4</v>
      </c>
      <c r="AV53" s="273">
        <v>2.3900000000000001E-4</v>
      </c>
      <c r="AW53" s="273">
        <v>2.1999999999999999E-5</v>
      </c>
      <c r="AX53" s="273">
        <v>5.0000000000000004E-6</v>
      </c>
      <c r="AY53" s="273">
        <v>2.5999999999999998E-5</v>
      </c>
      <c r="AZ53" s="273">
        <v>4.3999999999999999E-5</v>
      </c>
      <c r="BA53" s="273">
        <v>1.4300000000000001E-4</v>
      </c>
      <c r="BB53" s="273">
        <v>3.2899999999999997E-4</v>
      </c>
      <c r="BC53" s="273">
        <v>0</v>
      </c>
      <c r="BD53" s="273">
        <v>0</v>
      </c>
      <c r="BE53" s="273">
        <v>3.0000000000000001E-6</v>
      </c>
      <c r="BF53" s="273">
        <v>3.0000000000000001E-6</v>
      </c>
      <c r="BG53" s="273">
        <v>7.7999999999999999E-5</v>
      </c>
      <c r="BH53" s="273">
        <v>6.7999999999999999E-5</v>
      </c>
      <c r="BI53" s="273">
        <v>1.5100000000000001E-4</v>
      </c>
      <c r="BJ53" s="273">
        <v>1.02E-4</v>
      </c>
      <c r="BK53" s="273">
        <v>2.52E-4</v>
      </c>
      <c r="BL53" s="273">
        <v>9.0000000000000006E-5</v>
      </c>
      <c r="BM53" s="273">
        <v>1.65E-4</v>
      </c>
      <c r="BN53" s="273">
        <v>2.7399999999999999E-4</v>
      </c>
      <c r="BO53" s="273">
        <v>6.8900000000000005E-4</v>
      </c>
      <c r="BP53" s="273">
        <v>3.8000000000000002E-4</v>
      </c>
      <c r="BQ53" s="273">
        <v>3.9599999999999998E-4</v>
      </c>
      <c r="BR53" s="273">
        <v>3.2400000000000001E-4</v>
      </c>
      <c r="BS53" s="273">
        <v>6.0899999999999995E-4</v>
      </c>
      <c r="BT53" s="273">
        <v>7.3999999999999996E-5</v>
      </c>
      <c r="BU53" s="273">
        <v>2.5990000000000002E-3</v>
      </c>
      <c r="BV53" s="273">
        <v>2.1220000000000002E-3</v>
      </c>
      <c r="BW53" s="273">
        <v>1.19424</v>
      </c>
      <c r="BX53" s="273">
        <v>1.6061510000000001</v>
      </c>
      <c r="BY53" s="273">
        <v>0.15736</v>
      </c>
      <c r="BZ53" s="273">
        <v>0.212032</v>
      </c>
      <c r="CA53" s="273">
        <v>3.1650999999999999E-2</v>
      </c>
      <c r="CB53" s="273">
        <v>2.2891999999999999E-2</v>
      </c>
      <c r="CC53" s="273">
        <v>2.369E-3</v>
      </c>
      <c r="CD53" s="273">
        <v>2.8699999999999998E-4</v>
      </c>
      <c r="CE53" s="273">
        <v>3.9648000000000003E-2</v>
      </c>
      <c r="CF53" s="273">
        <v>5.4648000000000002E-2</v>
      </c>
      <c r="CG53" s="273">
        <v>5.9836E-2</v>
      </c>
      <c r="CH53" s="273">
        <v>5.1090000000000003E-2</v>
      </c>
      <c r="CI53" s="273">
        <v>9.0489999999999998E-3</v>
      </c>
      <c r="CJ53" s="273">
        <v>9.0670000000000004E-3</v>
      </c>
      <c r="CK53" s="273">
        <v>7.2300000000000001E-4</v>
      </c>
      <c r="CL53" s="273">
        <v>6.3299999999999999E-4</v>
      </c>
      <c r="CM53" s="273">
        <v>1.892E-3</v>
      </c>
      <c r="CN53" s="273">
        <v>4.4079999999999996E-3</v>
      </c>
      <c r="CO53" s="273">
        <v>9.5455999999999999E-2</v>
      </c>
      <c r="CP53" s="273">
        <v>9.8230999999999999E-2</v>
      </c>
      <c r="CQ53" s="273">
        <v>3.7759999999999998E-3</v>
      </c>
      <c r="CR53" s="273">
        <v>7.6189999999999999E-3</v>
      </c>
      <c r="CS53" s="273">
        <v>1.3793E-2</v>
      </c>
      <c r="CT53" s="273">
        <v>7.9690000000000004E-3</v>
      </c>
      <c r="CU53" s="273">
        <f t="shared" si="96"/>
        <v>5.2082367999999994E-5</v>
      </c>
      <c r="CV53" s="273">
        <f t="shared" si="82"/>
        <v>6.0715811000000002E-5</v>
      </c>
      <c r="CW53" s="273">
        <v>0.20727300000000001</v>
      </c>
      <c r="CX53" s="273">
        <v>0.24244399999999999</v>
      </c>
      <c r="CY53" s="273">
        <f t="shared" si="97"/>
        <v>7.8266284800000002E-4</v>
      </c>
      <c r="CZ53" s="273">
        <f t="shared" si="83"/>
        <v>1.8471808359999998E-3</v>
      </c>
      <c r="DA53" s="273">
        <v>1.63E-4</v>
      </c>
      <c r="DB53" s="273">
        <v>1.415E-3</v>
      </c>
      <c r="DC53" s="273">
        <f t="shared" si="98"/>
        <v>2.9412547839999998E-3</v>
      </c>
      <c r="DD53" s="273">
        <f t="shared" si="84"/>
        <v>5.7111033530000003E-3</v>
      </c>
      <c r="DE53" s="273">
        <v>1.22E-4</v>
      </c>
      <c r="DF53" s="273">
        <v>2.2599999999999999E-4</v>
      </c>
      <c r="DG53" s="273">
        <f t="shared" si="99"/>
        <v>1.1197452159999999E-3</v>
      </c>
      <c r="DH53" s="273">
        <f t="shared" si="85"/>
        <v>3.5488966470000002E-3</v>
      </c>
      <c r="DI53" s="273">
        <v>8.8800000000000001E-4</v>
      </c>
      <c r="DJ53" s="273">
        <v>2.9799999999999998E-4</v>
      </c>
      <c r="DK53" s="273">
        <v>5.0100000000000003E-4</v>
      </c>
      <c r="DL53" s="273">
        <v>2.92E-4</v>
      </c>
      <c r="DM53" s="273">
        <f t="shared" si="100"/>
        <v>1.389E-3</v>
      </c>
      <c r="DN53" s="273">
        <f t="shared" si="86"/>
        <v>5.9000000000000003E-4</v>
      </c>
      <c r="DO53" s="273">
        <v>3.62E-3</v>
      </c>
      <c r="DP53" s="273">
        <v>2.911E-3</v>
      </c>
      <c r="DQ53" s="273">
        <v>2.7160000000000001E-3</v>
      </c>
      <c r="DR53" s="273">
        <v>4.7759999999999999E-3</v>
      </c>
      <c r="DS53" s="273">
        <v>2.4718E-2</v>
      </c>
      <c r="DT53" s="273">
        <v>2.0757000000000001E-2</v>
      </c>
      <c r="DU53" s="273">
        <v>2.3640000000000002E-3</v>
      </c>
      <c r="DV53" s="273">
        <v>2.5850000000000001E-3</v>
      </c>
      <c r="DW53" s="273">
        <v>4.0188000000000001E-2</v>
      </c>
      <c r="DX53" s="273">
        <v>4.0188000000000001E-2</v>
      </c>
      <c r="DY53" s="273">
        <v>0.13108800000000001</v>
      </c>
      <c r="DZ53" s="273">
        <v>9.7266000000000005E-2</v>
      </c>
      <c r="EA53" s="273">
        <v>2.1699999999999999E-4</v>
      </c>
      <c r="EB53" s="273">
        <v>2.9999999999999997E-4</v>
      </c>
      <c r="EC53" s="273">
        <v>2.7750000000000001E-3</v>
      </c>
      <c r="ED53" s="273">
        <v>4.0289999999999996E-3</v>
      </c>
      <c r="EE53" s="273"/>
      <c r="EF53" s="274"/>
    </row>
    <row r="54" spans="2:136" s="249" customFormat="1" ht="17.399999999999999">
      <c r="B54" s="286">
        <v>47</v>
      </c>
      <c r="C54" s="273">
        <v>1.3799999999999999E-4</v>
      </c>
      <c r="D54" s="273">
        <v>5.1999999999999997E-5</v>
      </c>
      <c r="E54" s="273">
        <v>5.0000000000000002E-5</v>
      </c>
      <c r="F54" s="273">
        <v>1.3000000000000001E-5</v>
      </c>
      <c r="G54" s="273">
        <v>1.217E-3</v>
      </c>
      <c r="H54" s="273">
        <v>7.2099999999999996E-4</v>
      </c>
      <c r="I54" s="273">
        <v>1.8799999999999999E-4</v>
      </c>
      <c r="J54" s="273">
        <v>6.4999999999999994E-5</v>
      </c>
      <c r="K54" s="273">
        <v>2.4499999999999999E-4</v>
      </c>
      <c r="L54" s="273">
        <v>1.2999999999999999E-4</v>
      </c>
      <c r="M54" s="273">
        <f t="shared" si="87"/>
        <v>2.4204759749999996E-3</v>
      </c>
      <c r="N54" s="273">
        <f t="shared" si="77"/>
        <v>2.2618035000000003E-3</v>
      </c>
      <c r="O54" s="273">
        <f t="shared" si="88"/>
        <v>4.3361384000000004E-5</v>
      </c>
      <c r="P54" s="273">
        <f t="shared" si="89"/>
        <v>2.7884654999999997E-3</v>
      </c>
      <c r="Q54" s="273">
        <v>3.307E-3</v>
      </c>
      <c r="R54" s="273">
        <v>6.7499999999999999E-3</v>
      </c>
      <c r="S54" s="273">
        <v>1.14E-3</v>
      </c>
      <c r="T54" s="273">
        <v>0.41310599999999997</v>
      </c>
      <c r="U54" s="273">
        <v>1.3112E-2</v>
      </c>
      <c r="V54" s="273">
        <v>0</v>
      </c>
      <c r="W54" s="273">
        <v>1.6337000000000001E-2</v>
      </c>
      <c r="X54" s="273">
        <v>7.3940000000000004E-3</v>
      </c>
      <c r="Y54" s="273">
        <f t="shared" si="90"/>
        <v>5.4026459000000003E-5</v>
      </c>
      <c r="Z54" s="273">
        <f t="shared" si="78"/>
        <v>4.99095E-5</v>
      </c>
      <c r="AA54" s="273">
        <v>0.208151</v>
      </c>
      <c r="AB54" s="273">
        <v>0.234818</v>
      </c>
      <c r="AC54" s="273">
        <f t="shared" si="91"/>
        <v>6.8835535700000007E-4</v>
      </c>
      <c r="AD54" s="273">
        <f t="shared" si="79"/>
        <v>1.5850215E-3</v>
      </c>
      <c r="AE54" s="273">
        <v>2.4684000000000001E-2</v>
      </c>
      <c r="AF54" s="273">
        <v>8.9789999999999991E-3</v>
      </c>
      <c r="AG54" s="273">
        <f t="shared" si="92"/>
        <v>8.162998800000001E-5</v>
      </c>
      <c r="AH54" s="273">
        <f t="shared" si="80"/>
        <v>6.060824999999999E-5</v>
      </c>
      <c r="AI54" s="273">
        <v>5.7910000000000001E-3</v>
      </c>
      <c r="AJ54" s="273">
        <v>6.2100000000000002E-4</v>
      </c>
      <c r="AK54" s="273">
        <f t="shared" si="93"/>
        <v>1.9150837000000001E-5</v>
      </c>
      <c r="AL54" s="273">
        <f t="shared" si="81"/>
        <v>4.1917500000000001E-6</v>
      </c>
      <c r="AM54" s="273">
        <f t="shared" si="94"/>
        <v>3.8801361700000001E-4</v>
      </c>
      <c r="AN54" s="273">
        <f t="shared" si="95"/>
        <v>2.9265975E-4</v>
      </c>
      <c r="AO54" s="273">
        <v>0.117331</v>
      </c>
      <c r="AP54" s="273">
        <v>4.3357E-2</v>
      </c>
      <c r="AQ54" s="273">
        <v>2.0799999999999999E-4</v>
      </c>
      <c r="AR54" s="273">
        <v>1.176E-3</v>
      </c>
      <c r="AS54" s="273">
        <v>1.3100000000000001E-4</v>
      </c>
      <c r="AT54" s="273">
        <v>2.2599999999999999E-4</v>
      </c>
      <c r="AU54" s="273">
        <v>4.4499999999999997E-4</v>
      </c>
      <c r="AV54" s="273">
        <v>2.5799999999999998E-4</v>
      </c>
      <c r="AW54" s="273">
        <v>2.3E-5</v>
      </c>
      <c r="AX54" s="273">
        <v>6.0000000000000002E-6</v>
      </c>
      <c r="AY54" s="273">
        <v>2.6999999999999999E-5</v>
      </c>
      <c r="AZ54" s="273">
        <v>4.6E-5</v>
      </c>
      <c r="BA54" s="273">
        <v>1.4899999999999999E-4</v>
      </c>
      <c r="BB54" s="273">
        <v>3.4900000000000003E-4</v>
      </c>
      <c r="BC54" s="273">
        <v>0</v>
      </c>
      <c r="BD54" s="273">
        <v>0</v>
      </c>
      <c r="BE54" s="273">
        <v>3.0000000000000001E-6</v>
      </c>
      <c r="BF54" s="273">
        <v>3.0000000000000001E-6</v>
      </c>
      <c r="BG54" s="273">
        <v>8.2000000000000001E-5</v>
      </c>
      <c r="BH54" s="273">
        <v>7.1000000000000005E-5</v>
      </c>
      <c r="BI54" s="273">
        <v>1.6200000000000001E-4</v>
      </c>
      <c r="BJ54" s="273">
        <v>1.06E-4</v>
      </c>
      <c r="BK54" s="273">
        <v>2.5700000000000001E-4</v>
      </c>
      <c r="BL54" s="273">
        <v>9.2E-5</v>
      </c>
      <c r="BM54" s="273">
        <v>1.6899999999999999E-4</v>
      </c>
      <c r="BN54" s="273">
        <v>2.8899999999999998E-4</v>
      </c>
      <c r="BO54" s="273">
        <v>6.9399999999999996E-4</v>
      </c>
      <c r="BP54" s="273">
        <v>4.0000000000000002E-4</v>
      </c>
      <c r="BQ54" s="273">
        <v>4.1800000000000002E-4</v>
      </c>
      <c r="BR54" s="273">
        <v>3.4499999999999998E-4</v>
      </c>
      <c r="BS54" s="273">
        <v>6.6200000000000005E-4</v>
      </c>
      <c r="BT54" s="273">
        <v>8.0000000000000007E-5</v>
      </c>
      <c r="BU54" s="273">
        <v>2.748E-3</v>
      </c>
      <c r="BV54" s="273">
        <v>2.2620000000000001E-3</v>
      </c>
      <c r="BW54" s="273">
        <v>1.243193</v>
      </c>
      <c r="BX54" s="273">
        <v>1.6906000000000001</v>
      </c>
      <c r="BY54" s="273">
        <v>0.16592699999999999</v>
      </c>
      <c r="BZ54" s="273">
        <v>0.21833900000000001</v>
      </c>
      <c r="CA54" s="273">
        <v>3.3174000000000002E-2</v>
      </c>
      <c r="CB54" s="273">
        <v>2.4379999999999999E-2</v>
      </c>
      <c r="CC54" s="273">
        <v>2.575E-3</v>
      </c>
      <c r="CD54" s="273">
        <v>3.1E-4</v>
      </c>
      <c r="CE54" s="273">
        <v>4.1731999999999998E-2</v>
      </c>
      <c r="CF54" s="273">
        <v>5.6599999999999998E-2</v>
      </c>
      <c r="CG54" s="273">
        <v>6.0421000000000002E-2</v>
      </c>
      <c r="CH54" s="273">
        <v>5.2699999999999997E-2</v>
      </c>
      <c r="CI54" s="273">
        <v>9.3259999999999992E-3</v>
      </c>
      <c r="CJ54" s="273">
        <v>9.3089999999999996E-3</v>
      </c>
      <c r="CK54" s="273">
        <v>7.3200000000000001E-4</v>
      </c>
      <c r="CL54" s="273">
        <v>6.3500000000000004E-4</v>
      </c>
      <c r="CM54" s="273">
        <v>1.949E-3</v>
      </c>
      <c r="CN54" s="273">
        <v>4.5399999999999998E-3</v>
      </c>
      <c r="CO54" s="273">
        <v>9.7486000000000003E-2</v>
      </c>
      <c r="CP54" s="273">
        <v>0.10009800000000001</v>
      </c>
      <c r="CQ54" s="273">
        <v>3.9399999999999999E-3</v>
      </c>
      <c r="CR54" s="273">
        <v>7.7679999999999997E-3</v>
      </c>
      <c r="CS54" s="273">
        <v>1.4184E-2</v>
      </c>
      <c r="CT54" s="273">
        <v>8.2500000000000004E-3</v>
      </c>
      <c r="CU54" s="273">
        <f t="shared" si="96"/>
        <v>5.5884960000000002E-5</v>
      </c>
      <c r="CV54" s="273">
        <f t="shared" si="82"/>
        <v>6.4085999999999996E-5</v>
      </c>
      <c r="CW54" s="273">
        <v>0.18822900000000001</v>
      </c>
      <c r="CX54" s="273">
        <v>0.219194</v>
      </c>
      <c r="CY54" s="273">
        <f t="shared" si="97"/>
        <v>7.4162225999999999E-4</v>
      </c>
      <c r="CZ54" s="273">
        <f t="shared" si="83"/>
        <v>1.702698992E-3</v>
      </c>
      <c r="DA54" s="273">
        <v>1.8000000000000001E-4</v>
      </c>
      <c r="DB54" s="273">
        <v>1.3910000000000001E-3</v>
      </c>
      <c r="DC54" s="273">
        <f t="shared" si="98"/>
        <v>3.1424927799999997E-3</v>
      </c>
      <c r="DD54" s="273">
        <f t="shared" si="84"/>
        <v>6.0012150079999998E-3</v>
      </c>
      <c r="DE54" s="273">
        <v>1.22E-4</v>
      </c>
      <c r="DF54" s="273">
        <v>2.24E-4</v>
      </c>
      <c r="DG54" s="273">
        <f t="shared" si="99"/>
        <v>1.09950722E-3</v>
      </c>
      <c r="DH54" s="273">
        <f t="shared" si="85"/>
        <v>3.381784992E-3</v>
      </c>
      <c r="DI54" s="273">
        <v>9.68E-4</v>
      </c>
      <c r="DJ54" s="273">
        <v>3.2200000000000002E-4</v>
      </c>
      <c r="DK54" s="273">
        <v>5.4000000000000001E-4</v>
      </c>
      <c r="DL54" s="273">
        <v>3.1E-4</v>
      </c>
      <c r="DM54" s="273">
        <f t="shared" si="100"/>
        <v>1.508E-3</v>
      </c>
      <c r="DN54" s="273">
        <f t="shared" si="86"/>
        <v>6.3199999999999997E-4</v>
      </c>
      <c r="DO54" s="273">
        <v>3.6670000000000001E-3</v>
      </c>
      <c r="DP54" s="273">
        <v>3.0240000000000002E-3</v>
      </c>
      <c r="DQ54" s="273">
        <v>2.9589999999999998E-3</v>
      </c>
      <c r="DR54" s="273">
        <v>5.5430000000000002E-3</v>
      </c>
      <c r="DS54" s="273">
        <v>2.4906000000000001E-2</v>
      </c>
      <c r="DT54" s="273">
        <v>2.1832000000000001E-2</v>
      </c>
      <c r="DU54" s="273">
        <v>2.4369999999999999E-3</v>
      </c>
      <c r="DV54" s="273">
        <v>2.6549999999999998E-3</v>
      </c>
      <c r="DW54" s="273">
        <v>4.0188000000000001E-2</v>
      </c>
      <c r="DX54" s="273">
        <v>4.0188000000000001E-2</v>
      </c>
      <c r="DY54" s="273">
        <v>0.141231</v>
      </c>
      <c r="DZ54" s="273">
        <v>0.103476</v>
      </c>
      <c r="EA54" s="273">
        <v>2.4899999999999998E-4</v>
      </c>
      <c r="EB54" s="273">
        <v>3.6400000000000001E-4</v>
      </c>
      <c r="EC54" s="273">
        <v>2.8939999999999999E-3</v>
      </c>
      <c r="ED54" s="273">
        <v>4.0109999999999998E-3</v>
      </c>
      <c r="EE54" s="273"/>
      <c r="EF54" s="274"/>
    </row>
    <row r="55" spans="2:136" s="249" customFormat="1" ht="17.399999999999999">
      <c r="B55" s="286">
        <v>48</v>
      </c>
      <c r="C55" s="273">
        <v>1.5899999999999999E-4</v>
      </c>
      <c r="D55" s="273">
        <v>6.2000000000000003E-5</v>
      </c>
      <c r="E55" s="273">
        <v>5.0000000000000002E-5</v>
      </c>
      <c r="F55" s="273">
        <v>1.3000000000000001E-5</v>
      </c>
      <c r="G55" s="273">
        <v>1.3359999999999999E-3</v>
      </c>
      <c r="H55" s="273">
        <v>7.6800000000000002E-4</v>
      </c>
      <c r="I55" s="273">
        <v>2.0899999999999998E-4</v>
      </c>
      <c r="J55" s="273">
        <v>7.5000000000000007E-5</v>
      </c>
      <c r="K55" s="273">
        <v>2.4499999999999999E-4</v>
      </c>
      <c r="L55" s="273">
        <v>1.2999999999999999E-4</v>
      </c>
      <c r="M55" s="273">
        <f t="shared" si="87"/>
        <v>2.6046745560000003E-3</v>
      </c>
      <c r="N55" s="273">
        <f t="shared" si="77"/>
        <v>2.4310487740000003E-3</v>
      </c>
      <c r="O55" s="273">
        <f t="shared" si="88"/>
        <v>6.1761908999999994E-5</v>
      </c>
      <c r="P55" s="273">
        <f t="shared" si="89"/>
        <v>2.7172765179999999E-3</v>
      </c>
      <c r="Q55" s="273">
        <v>3.509E-3</v>
      </c>
      <c r="R55" s="273">
        <v>6.862E-3</v>
      </c>
      <c r="S55" s="273">
        <v>1.057E-3</v>
      </c>
      <c r="T55" s="273">
        <v>0.39598899999999998</v>
      </c>
      <c r="U55" s="273">
        <v>1.7600999999999999E-2</v>
      </c>
      <c r="V55" s="273">
        <v>0</v>
      </c>
      <c r="W55" s="273">
        <v>1.6555E-2</v>
      </c>
      <c r="X55" s="273">
        <v>7.6270000000000001E-3</v>
      </c>
      <c r="Y55" s="273">
        <f t="shared" si="90"/>
        <v>5.8091494999999997E-5</v>
      </c>
      <c r="Z55" s="273">
        <f t="shared" si="78"/>
        <v>5.2336473999999998E-5</v>
      </c>
      <c r="AA55" s="273">
        <v>0.19255800000000001</v>
      </c>
      <c r="AB55" s="273">
        <v>0.23169300000000001</v>
      </c>
      <c r="AC55" s="273">
        <f t="shared" si="91"/>
        <v>6.7568602200000002E-4</v>
      </c>
      <c r="AD55" s="273">
        <f t="shared" si="79"/>
        <v>1.589877366E-3</v>
      </c>
      <c r="AE55" s="273">
        <v>2.5087000000000002E-2</v>
      </c>
      <c r="AF55" s="273">
        <v>9.7230000000000007E-3</v>
      </c>
      <c r="AG55" s="273">
        <f t="shared" si="92"/>
        <v>8.8030283000000003E-5</v>
      </c>
      <c r="AH55" s="273">
        <f t="shared" si="80"/>
        <v>6.6719226000000001E-5</v>
      </c>
      <c r="AI55" s="273">
        <v>5.9150000000000001E-3</v>
      </c>
      <c r="AJ55" s="273">
        <v>6.9099999999999999E-4</v>
      </c>
      <c r="AK55" s="273">
        <f t="shared" si="93"/>
        <v>2.0755735000000001E-5</v>
      </c>
      <c r="AL55" s="273">
        <f t="shared" si="81"/>
        <v>4.7416420000000004E-6</v>
      </c>
      <c r="AM55" s="273">
        <f t="shared" si="94"/>
        <v>3.9954526700000003E-4</v>
      </c>
      <c r="AN55" s="273">
        <f t="shared" si="95"/>
        <v>3.0889292999999998E-4</v>
      </c>
      <c r="AO55" s="273">
        <v>0.11386300000000001</v>
      </c>
      <c r="AP55" s="273">
        <v>4.5014999999999999E-2</v>
      </c>
      <c r="AQ55" s="273">
        <v>2.2900000000000001E-4</v>
      </c>
      <c r="AR55" s="273">
        <v>1.137E-3</v>
      </c>
      <c r="AS55" s="273">
        <v>1.3300000000000001E-4</v>
      </c>
      <c r="AT55" s="273">
        <v>2.22E-4</v>
      </c>
      <c r="AU55" s="273">
        <v>4.8200000000000001E-4</v>
      </c>
      <c r="AV55" s="273">
        <v>2.7700000000000001E-4</v>
      </c>
      <c r="AW55" s="273">
        <v>2.5000000000000001E-5</v>
      </c>
      <c r="AX55" s="273">
        <v>6.0000000000000002E-6</v>
      </c>
      <c r="AY55" s="273">
        <v>2.9E-5</v>
      </c>
      <c r="AZ55" s="273">
        <v>4.6999999999999997E-5</v>
      </c>
      <c r="BA55" s="273">
        <v>1.5799999999999999E-4</v>
      </c>
      <c r="BB55" s="273">
        <v>3.7100000000000002E-4</v>
      </c>
      <c r="BC55" s="273">
        <v>0</v>
      </c>
      <c r="BD55" s="273">
        <v>0</v>
      </c>
      <c r="BE55" s="273">
        <v>3.0000000000000001E-6</v>
      </c>
      <c r="BF55" s="273">
        <v>3.0000000000000001E-6</v>
      </c>
      <c r="BG55" s="273">
        <v>8.6000000000000003E-5</v>
      </c>
      <c r="BH55" s="273">
        <v>7.4999999999999993E-5</v>
      </c>
      <c r="BI55" s="273">
        <v>1.76E-4</v>
      </c>
      <c r="BJ55" s="273">
        <v>1.11E-4</v>
      </c>
      <c r="BK55" s="273">
        <v>2.7E-4</v>
      </c>
      <c r="BL55" s="273">
        <v>1.03E-4</v>
      </c>
      <c r="BM55" s="273">
        <v>1.7000000000000001E-4</v>
      </c>
      <c r="BN55" s="273">
        <v>2.9300000000000002E-4</v>
      </c>
      <c r="BO55" s="273">
        <v>7.0299999999999996E-4</v>
      </c>
      <c r="BP55" s="273">
        <v>4.2400000000000001E-4</v>
      </c>
      <c r="BQ55" s="273">
        <v>4.4200000000000001E-4</v>
      </c>
      <c r="BR55" s="273">
        <v>3.6299999999999999E-4</v>
      </c>
      <c r="BS55" s="273">
        <v>7.1599999999999995E-4</v>
      </c>
      <c r="BT55" s="273">
        <v>8.5000000000000006E-5</v>
      </c>
      <c r="BU55" s="273">
        <v>2.9030000000000002E-3</v>
      </c>
      <c r="BV55" s="273">
        <v>2.3860000000000001E-3</v>
      </c>
      <c r="BW55" s="273">
        <v>1.2984249999999999</v>
      </c>
      <c r="BX55" s="273">
        <v>1.7752380000000001</v>
      </c>
      <c r="BY55" s="273">
        <v>0.17641799999999999</v>
      </c>
      <c r="BZ55" s="273">
        <v>0.224553</v>
      </c>
      <c r="CA55" s="273">
        <v>3.3828999999999998E-2</v>
      </c>
      <c r="CB55" s="273">
        <v>2.5734E-2</v>
      </c>
      <c r="CC55" s="273">
        <v>2.787E-3</v>
      </c>
      <c r="CD55" s="273">
        <v>3.3E-4</v>
      </c>
      <c r="CE55" s="273">
        <v>4.3326999999999997E-2</v>
      </c>
      <c r="CF55" s="273">
        <v>5.9150000000000001E-2</v>
      </c>
      <c r="CG55" s="273">
        <v>6.2595999999999999E-2</v>
      </c>
      <c r="CH55" s="273">
        <v>5.5142999999999998E-2</v>
      </c>
      <c r="CI55" s="273">
        <v>9.5829999999999995E-3</v>
      </c>
      <c r="CJ55" s="273">
        <v>9.4070000000000004E-3</v>
      </c>
      <c r="CK55" s="273">
        <v>7.4700000000000005E-4</v>
      </c>
      <c r="CL55" s="273">
        <v>6.38E-4</v>
      </c>
      <c r="CM55" s="273">
        <v>2.1029999999999998E-3</v>
      </c>
      <c r="CN55" s="273">
        <v>4.6129999999999999E-3</v>
      </c>
      <c r="CO55" s="273">
        <v>0.100344</v>
      </c>
      <c r="CP55" s="273">
        <v>0.103077</v>
      </c>
      <c r="CQ55" s="273">
        <v>4.1850000000000004E-3</v>
      </c>
      <c r="CR55" s="273">
        <v>7.9039999999999996E-3</v>
      </c>
      <c r="CS55" s="273">
        <v>1.4562E-2</v>
      </c>
      <c r="CT55" s="273">
        <v>8.2480000000000001E-3</v>
      </c>
      <c r="CU55" s="273">
        <f t="shared" si="96"/>
        <v>6.0941970000000005E-5</v>
      </c>
      <c r="CV55" s="273">
        <f t="shared" si="82"/>
        <v>6.5192192E-5</v>
      </c>
      <c r="CW55" s="273">
        <v>0.174348</v>
      </c>
      <c r="CX55" s="273">
        <v>0.2172</v>
      </c>
      <c r="CY55" s="273">
        <f t="shared" si="97"/>
        <v>7.2964638000000003E-4</v>
      </c>
      <c r="CZ55" s="273">
        <f t="shared" si="83"/>
        <v>1.7167488E-3</v>
      </c>
      <c r="DA55" s="273">
        <v>1.9900000000000001E-4</v>
      </c>
      <c r="DB55" s="273">
        <v>1.3489999999999999E-3</v>
      </c>
      <c r="DC55" s="273">
        <f t="shared" si="98"/>
        <v>3.3944116500000008E-3</v>
      </c>
      <c r="DD55" s="273">
        <f t="shared" si="84"/>
        <v>6.122059008E-3</v>
      </c>
      <c r="DE55" s="273">
        <v>1.22E-4</v>
      </c>
      <c r="DF55" s="273">
        <v>2.22E-4</v>
      </c>
      <c r="DG55" s="273">
        <f t="shared" si="99"/>
        <v>1.1115883500000001E-3</v>
      </c>
      <c r="DH55" s="273">
        <f t="shared" si="85"/>
        <v>3.3529409919999999E-3</v>
      </c>
      <c r="DI55" s="273">
        <v>1.0189999999999999E-3</v>
      </c>
      <c r="DJ55" s="273">
        <v>3.3E-4</v>
      </c>
      <c r="DK55" s="273">
        <v>5.8E-4</v>
      </c>
      <c r="DL55" s="273">
        <v>3.28E-4</v>
      </c>
      <c r="DM55" s="273">
        <f t="shared" si="100"/>
        <v>1.5989999999999999E-3</v>
      </c>
      <c r="DN55" s="273">
        <f t="shared" si="86"/>
        <v>6.5799999999999995E-4</v>
      </c>
      <c r="DO55" s="273">
        <v>3.6870000000000002E-3</v>
      </c>
      <c r="DP55" s="273">
        <v>3.1740000000000002E-3</v>
      </c>
      <c r="DQ55" s="273">
        <v>3.235E-3</v>
      </c>
      <c r="DR55" s="273">
        <v>6.4619999999999999E-3</v>
      </c>
      <c r="DS55" s="273">
        <v>2.512E-2</v>
      </c>
      <c r="DT55" s="273">
        <v>2.3491999999999999E-2</v>
      </c>
      <c r="DU55" s="273">
        <v>2.4919999999999999E-3</v>
      </c>
      <c r="DV55" s="273">
        <v>2.7889999999999998E-3</v>
      </c>
      <c r="DW55" s="273">
        <v>4.0188000000000001E-2</v>
      </c>
      <c r="DX55" s="273">
        <v>4.0188000000000001E-2</v>
      </c>
      <c r="DY55" s="273">
        <v>0.151389</v>
      </c>
      <c r="DZ55" s="273">
        <v>0.11289200000000001</v>
      </c>
      <c r="EA55" s="273">
        <v>2.8200000000000002E-4</v>
      </c>
      <c r="EB55" s="273">
        <v>4.28E-4</v>
      </c>
      <c r="EC55" s="273">
        <v>3.0140000000000002E-3</v>
      </c>
      <c r="ED55" s="273">
        <v>3.9940000000000002E-3</v>
      </c>
      <c r="EE55" s="273"/>
      <c r="EF55" s="274"/>
    </row>
    <row r="56" spans="2:136" s="249" customFormat="1" ht="17.399999999999999">
      <c r="B56" s="286">
        <v>49</v>
      </c>
      <c r="C56" s="273">
        <v>1.83E-4</v>
      </c>
      <c r="D56" s="273">
        <v>7.2999999999999999E-5</v>
      </c>
      <c r="E56" s="273">
        <v>5.0000000000000002E-5</v>
      </c>
      <c r="F56" s="273">
        <v>1.3000000000000001E-5</v>
      </c>
      <c r="G56" s="273">
        <v>1.4649999999999999E-3</v>
      </c>
      <c r="H56" s="273">
        <v>8.1700000000000002E-4</v>
      </c>
      <c r="I56" s="273">
        <v>2.33E-4</v>
      </c>
      <c r="J56" s="273">
        <v>8.6000000000000003E-5</v>
      </c>
      <c r="K56" s="273">
        <v>2.4499999999999999E-4</v>
      </c>
      <c r="L56" s="273">
        <v>1.2999999999999999E-4</v>
      </c>
      <c r="M56" s="273">
        <f t="shared" si="87"/>
        <v>2.8345819050000004E-3</v>
      </c>
      <c r="N56" s="273">
        <f t="shared" si="77"/>
        <v>2.5962661120000003E-3</v>
      </c>
      <c r="O56" s="273">
        <f t="shared" si="88"/>
        <v>8.3165085000000007E-5</v>
      </c>
      <c r="P56" s="273">
        <f t="shared" si="89"/>
        <v>2.6339111920000002E-3</v>
      </c>
      <c r="Q56" s="273">
        <v>3.7650000000000001E-3</v>
      </c>
      <c r="R56" s="273">
        <v>6.9519999999999998E-3</v>
      </c>
      <c r="S56" s="273">
        <v>9.7199999999999999E-4</v>
      </c>
      <c r="T56" s="273">
        <v>0.37887100000000001</v>
      </c>
      <c r="U56" s="273">
        <v>2.2089000000000001E-2</v>
      </c>
      <c r="V56" s="273">
        <v>0</v>
      </c>
      <c r="W56" s="273">
        <v>1.6521000000000001E-2</v>
      </c>
      <c r="X56" s="273">
        <v>7.8750000000000001E-3</v>
      </c>
      <c r="Y56" s="273">
        <f t="shared" si="90"/>
        <v>6.2201565000000002E-5</v>
      </c>
      <c r="Z56" s="273">
        <f t="shared" si="78"/>
        <v>5.4746999999999996E-5</v>
      </c>
      <c r="AA56" s="273">
        <v>0.176986</v>
      </c>
      <c r="AB56" s="273">
        <v>0.22856899999999999</v>
      </c>
      <c r="AC56" s="273">
        <f t="shared" si="91"/>
        <v>6.6635229000000008E-4</v>
      </c>
      <c r="AD56" s="273">
        <f t="shared" si="79"/>
        <v>1.5890116879999998E-3</v>
      </c>
      <c r="AE56" s="273">
        <v>2.5489000000000001E-2</v>
      </c>
      <c r="AF56" s="273">
        <v>1.0468E-2</v>
      </c>
      <c r="AG56" s="273">
        <f t="shared" si="92"/>
        <v>9.5966085000000008E-5</v>
      </c>
      <c r="AH56" s="273">
        <f t="shared" si="80"/>
        <v>7.2773536000000002E-5</v>
      </c>
      <c r="AI56" s="273">
        <v>6.038E-3</v>
      </c>
      <c r="AJ56" s="273">
        <v>7.6099999999999996E-4</v>
      </c>
      <c r="AK56" s="273">
        <f t="shared" si="93"/>
        <v>2.2733070000000002E-5</v>
      </c>
      <c r="AL56" s="273">
        <f t="shared" si="81"/>
        <v>5.2904719999999996E-6</v>
      </c>
      <c r="AM56" s="273">
        <f t="shared" si="94"/>
        <v>4.1564093999999998E-4</v>
      </c>
      <c r="AN56" s="273">
        <f t="shared" si="95"/>
        <v>3.2447069599999997E-4</v>
      </c>
      <c r="AO56" s="273">
        <v>0.11039599999999999</v>
      </c>
      <c r="AP56" s="273">
        <v>4.6672999999999999E-2</v>
      </c>
      <c r="AQ56" s="273">
        <v>2.5099999999999998E-4</v>
      </c>
      <c r="AR56" s="273">
        <v>1.098E-3</v>
      </c>
      <c r="AS56" s="273">
        <v>1.36E-4</v>
      </c>
      <c r="AT56" s="273">
        <v>2.1800000000000001E-4</v>
      </c>
      <c r="AU56" s="273">
        <v>5.1900000000000004E-4</v>
      </c>
      <c r="AV56" s="273">
        <v>2.9599999999999998E-4</v>
      </c>
      <c r="AW56" s="273">
        <v>2.6999999999999999E-5</v>
      </c>
      <c r="AX56" s="273">
        <v>6.9999999999999999E-6</v>
      </c>
      <c r="AY56" s="273">
        <v>3.1000000000000001E-5</v>
      </c>
      <c r="AZ56" s="273">
        <v>4.8999999999999998E-5</v>
      </c>
      <c r="BA56" s="273">
        <v>1.7000000000000001E-4</v>
      </c>
      <c r="BB56" s="273">
        <v>3.97E-4</v>
      </c>
      <c r="BC56" s="273">
        <v>0</v>
      </c>
      <c r="BD56" s="273">
        <v>0</v>
      </c>
      <c r="BE56" s="273">
        <v>3.0000000000000001E-6</v>
      </c>
      <c r="BF56" s="273">
        <v>3.0000000000000001E-6</v>
      </c>
      <c r="BG56" s="273">
        <v>8.8999999999999995E-5</v>
      </c>
      <c r="BH56" s="273">
        <v>7.8999999999999996E-5</v>
      </c>
      <c r="BI56" s="273">
        <v>1.92E-4</v>
      </c>
      <c r="BJ56" s="273">
        <v>1.16E-4</v>
      </c>
      <c r="BK56" s="273">
        <v>2.8899999999999998E-4</v>
      </c>
      <c r="BL56" s="273">
        <v>1.2300000000000001E-4</v>
      </c>
      <c r="BM56" s="273">
        <v>1.7200000000000001E-4</v>
      </c>
      <c r="BN56" s="273">
        <v>2.9799999999999998E-4</v>
      </c>
      <c r="BO56" s="273">
        <v>7.1500000000000003E-4</v>
      </c>
      <c r="BP56" s="273">
        <v>4.4999999999999999E-4</v>
      </c>
      <c r="BQ56" s="273">
        <v>4.66E-4</v>
      </c>
      <c r="BR56" s="273">
        <v>3.8000000000000002E-4</v>
      </c>
      <c r="BS56" s="273">
        <v>7.7200000000000001E-4</v>
      </c>
      <c r="BT56" s="273">
        <v>9.0000000000000006E-5</v>
      </c>
      <c r="BU56" s="273">
        <v>3.0630000000000002E-3</v>
      </c>
      <c r="BV56" s="273">
        <v>2.4940000000000001E-3</v>
      </c>
      <c r="BW56" s="273">
        <v>1.359656</v>
      </c>
      <c r="BX56" s="273">
        <v>1.8575170000000001</v>
      </c>
      <c r="BY56" s="273">
        <v>0.18821399999999999</v>
      </c>
      <c r="BZ56" s="273">
        <v>0.23078799999999999</v>
      </c>
      <c r="CA56" s="273">
        <v>3.4561000000000001E-2</v>
      </c>
      <c r="CB56" s="273">
        <v>2.7226E-2</v>
      </c>
      <c r="CC56" s="273">
        <v>3.0019999999999999E-3</v>
      </c>
      <c r="CD56" s="273">
        <v>3.48E-4</v>
      </c>
      <c r="CE56" s="273">
        <v>4.5262999999999998E-2</v>
      </c>
      <c r="CF56" s="273">
        <v>6.2168000000000001E-2</v>
      </c>
      <c r="CG56" s="273">
        <v>6.5253000000000005E-2</v>
      </c>
      <c r="CH56" s="273">
        <v>5.8030999999999999E-2</v>
      </c>
      <c r="CI56" s="273">
        <v>9.9080000000000001E-3</v>
      </c>
      <c r="CJ56" s="273">
        <v>9.5530000000000007E-3</v>
      </c>
      <c r="CK56" s="273">
        <v>7.6900000000000004E-4</v>
      </c>
      <c r="CL56" s="273">
        <v>6.4300000000000002E-4</v>
      </c>
      <c r="CM56" s="273">
        <v>2.2790000000000002E-3</v>
      </c>
      <c r="CN56" s="273">
        <v>4.712E-3</v>
      </c>
      <c r="CO56" s="273">
        <v>0.103926</v>
      </c>
      <c r="CP56" s="273">
        <v>0.106742</v>
      </c>
      <c r="CQ56" s="273">
        <v>4.4860000000000004E-3</v>
      </c>
      <c r="CR56" s="273">
        <v>8.0350000000000005E-3</v>
      </c>
      <c r="CS56" s="273">
        <v>1.495E-2</v>
      </c>
      <c r="CT56" s="273">
        <v>8.1300000000000001E-3</v>
      </c>
      <c r="CU56" s="273">
        <f t="shared" si="96"/>
        <v>6.7065700000000004E-5</v>
      </c>
      <c r="CV56" s="273">
        <f t="shared" si="82"/>
        <v>6.5324549999999998E-5</v>
      </c>
      <c r="CW56" s="273">
        <v>0.160466</v>
      </c>
      <c r="CX56" s="273">
        <v>0.21520500000000001</v>
      </c>
      <c r="CY56" s="273">
        <f t="shared" si="97"/>
        <v>7.1985047600000001E-4</v>
      </c>
      <c r="CZ56" s="273">
        <f t="shared" si="83"/>
        <v>1.7291721750000001E-3</v>
      </c>
      <c r="DA56" s="273">
        <v>2.2100000000000001E-4</v>
      </c>
      <c r="DB56" s="273">
        <v>1.291E-3</v>
      </c>
      <c r="DC56" s="273">
        <f t="shared" si="98"/>
        <v>3.6990838240000008E-3</v>
      </c>
      <c r="DD56" s="273">
        <f t="shared" si="84"/>
        <v>6.2405032749999999E-3</v>
      </c>
      <c r="DE56" s="273">
        <v>1.2400000000000001E-4</v>
      </c>
      <c r="DF56" s="273">
        <v>2.2000000000000001E-4</v>
      </c>
      <c r="DG56" s="273">
        <f t="shared" si="99"/>
        <v>1.1319161759999999E-3</v>
      </c>
      <c r="DH56" s="273">
        <f t="shared" si="85"/>
        <v>3.3054967250000004E-3</v>
      </c>
      <c r="DI56" s="273">
        <v>1.078E-3</v>
      </c>
      <c r="DJ56" s="273">
        <v>3.39E-4</v>
      </c>
      <c r="DK56" s="273">
        <v>6.1899999999999998E-4</v>
      </c>
      <c r="DL56" s="273">
        <v>3.4499999999999998E-4</v>
      </c>
      <c r="DM56" s="273">
        <f t="shared" si="100"/>
        <v>1.6969999999999999E-3</v>
      </c>
      <c r="DN56" s="273">
        <f t="shared" si="86"/>
        <v>6.8399999999999993E-4</v>
      </c>
      <c r="DO56" s="273">
        <v>3.6819999999999999E-3</v>
      </c>
      <c r="DP56" s="273">
        <v>3.3630000000000001E-3</v>
      </c>
      <c r="DQ56" s="273">
        <v>3.5469999999999998E-3</v>
      </c>
      <c r="DR56" s="273">
        <v>7.5360000000000002E-3</v>
      </c>
      <c r="DS56" s="273">
        <v>2.5343000000000001E-2</v>
      </c>
      <c r="DT56" s="273">
        <v>2.5621000000000001E-2</v>
      </c>
      <c r="DU56" s="273">
        <v>2.5240000000000002E-3</v>
      </c>
      <c r="DV56" s="273">
        <v>2.9729999999999999E-3</v>
      </c>
      <c r="DW56" s="273">
        <v>4.0188000000000001E-2</v>
      </c>
      <c r="DX56" s="273">
        <v>4.0188000000000001E-2</v>
      </c>
      <c r="DY56" s="273">
        <v>0.16119700000000001</v>
      </c>
      <c r="DZ56" s="273">
        <v>0.124875</v>
      </c>
      <c r="EA56" s="273">
        <v>3.1599999999999998E-4</v>
      </c>
      <c r="EB56" s="273">
        <v>4.9299999999999995E-4</v>
      </c>
      <c r="EC56" s="273">
        <v>3.1329999999999999E-3</v>
      </c>
      <c r="ED56" s="273">
        <v>3.9760000000000004E-3</v>
      </c>
      <c r="EE56" s="273"/>
      <c r="EF56" s="274"/>
    </row>
    <row r="57" spans="2:136" s="249" customFormat="1" ht="17.399999999999999">
      <c r="B57" s="286">
        <v>50</v>
      </c>
      <c r="C57" s="273">
        <v>2.0900000000000001E-4</v>
      </c>
      <c r="D57" s="273">
        <v>8.2999999999999998E-5</v>
      </c>
      <c r="E57" s="273">
        <v>1.06E-4</v>
      </c>
      <c r="F57" s="273">
        <v>3.8000000000000002E-5</v>
      </c>
      <c r="G57" s="273">
        <v>1.6000000000000001E-3</v>
      </c>
      <c r="H57" s="273">
        <v>8.6700000000000004E-4</v>
      </c>
      <c r="I57" s="273">
        <v>3.1500000000000001E-4</v>
      </c>
      <c r="J57" s="273">
        <v>1.21E-4</v>
      </c>
      <c r="K57" s="273">
        <v>3.6499999999999998E-4</v>
      </c>
      <c r="L57" s="273">
        <v>3.2600000000000001E-4</v>
      </c>
      <c r="M57" s="273">
        <f t="shared" si="87"/>
        <v>3.0883684440000002E-3</v>
      </c>
      <c r="N57" s="273">
        <f t="shared" si="77"/>
        <v>2.760939E-3</v>
      </c>
      <c r="O57" s="273">
        <f t="shared" si="88"/>
        <v>1.07530542E-4</v>
      </c>
      <c r="P57" s="273">
        <f t="shared" si="89"/>
        <v>2.5438470960000002E-3</v>
      </c>
      <c r="Q57" s="273">
        <v>4.0460000000000001E-3</v>
      </c>
      <c r="R57" s="273">
        <v>7.0320000000000001E-3</v>
      </c>
      <c r="S57" s="273">
        <v>1.1869999999999999E-3</v>
      </c>
      <c r="T57" s="273">
        <v>0.36175299999999999</v>
      </c>
      <c r="U57" s="273">
        <v>2.6577E-2</v>
      </c>
      <c r="V57" s="273">
        <v>0</v>
      </c>
      <c r="W57" s="273">
        <v>1.6622000000000001E-2</v>
      </c>
      <c r="X57" s="273">
        <v>8.1329999999999996E-3</v>
      </c>
      <c r="Y57" s="273">
        <f t="shared" si="90"/>
        <v>6.7252612000000007E-5</v>
      </c>
      <c r="Z57" s="273">
        <f t="shared" si="78"/>
        <v>5.7191255999999995E-5</v>
      </c>
      <c r="AA57" s="273">
        <v>0.16143299999999999</v>
      </c>
      <c r="AB57" s="273">
        <v>0.22544600000000001</v>
      </c>
      <c r="AC57" s="273">
        <f t="shared" si="91"/>
        <v>6.5315791800000004E-4</v>
      </c>
      <c r="AD57" s="273">
        <f t="shared" si="79"/>
        <v>1.5853362720000001E-3</v>
      </c>
      <c r="AE57" s="273">
        <v>2.5891999999999998E-2</v>
      </c>
      <c r="AF57" s="273">
        <v>1.1213000000000001E-2</v>
      </c>
      <c r="AG57" s="273">
        <f t="shared" si="92"/>
        <v>1.04759032E-4</v>
      </c>
      <c r="AH57" s="273">
        <f t="shared" si="80"/>
        <v>7.8849816000000009E-5</v>
      </c>
      <c r="AI57" s="273">
        <v>6.1619999999999999E-3</v>
      </c>
      <c r="AJ57" s="273">
        <v>8.3000000000000001E-4</v>
      </c>
      <c r="AK57" s="273">
        <f t="shared" si="93"/>
        <v>2.4931452000000002E-5</v>
      </c>
      <c r="AL57" s="273">
        <f t="shared" si="81"/>
        <v>5.8365599999999999E-6</v>
      </c>
      <c r="AM57" s="273">
        <f t="shared" si="94"/>
        <v>4.3263473399999999E-4</v>
      </c>
      <c r="AN57" s="273">
        <f t="shared" si="95"/>
        <v>3.3985655999999996E-4</v>
      </c>
      <c r="AO57" s="273">
        <v>0.106929</v>
      </c>
      <c r="AP57" s="273">
        <v>4.8329999999999998E-2</v>
      </c>
      <c r="AQ57" s="273">
        <v>2.72E-4</v>
      </c>
      <c r="AR57" s="273">
        <v>1.06E-3</v>
      </c>
      <c r="AS57" s="273">
        <v>1.3999999999999999E-4</v>
      </c>
      <c r="AT57" s="273">
        <v>2.13E-4</v>
      </c>
      <c r="AU57" s="273">
        <v>5.5500000000000005E-4</v>
      </c>
      <c r="AV57" s="273">
        <v>3.1500000000000001E-4</v>
      </c>
      <c r="AW57" s="273">
        <v>3.0000000000000001E-5</v>
      </c>
      <c r="AX57" s="273">
        <v>6.9999999999999999E-6</v>
      </c>
      <c r="AY57" s="273">
        <v>3.1999999999999999E-5</v>
      </c>
      <c r="AZ57" s="273">
        <v>5.0000000000000002E-5</v>
      </c>
      <c r="BA57" s="273">
        <v>1.84E-4</v>
      </c>
      <c r="BB57" s="273">
        <v>4.2299999999999998E-4</v>
      </c>
      <c r="BC57" s="273">
        <v>0</v>
      </c>
      <c r="BD57" s="273">
        <v>0</v>
      </c>
      <c r="BE57" s="273">
        <v>3.0000000000000001E-6</v>
      </c>
      <c r="BF57" s="273">
        <v>3.0000000000000001E-6</v>
      </c>
      <c r="BG57" s="273">
        <v>9.2999999999999997E-5</v>
      </c>
      <c r="BH57" s="273">
        <v>8.2999999999999998E-5</v>
      </c>
      <c r="BI57" s="273">
        <v>2.0900000000000001E-4</v>
      </c>
      <c r="BJ57" s="273">
        <v>1.21E-4</v>
      </c>
      <c r="BK57" s="273">
        <v>3.1100000000000002E-4</v>
      </c>
      <c r="BL57" s="273">
        <v>1.47E-4</v>
      </c>
      <c r="BM57" s="273">
        <v>1.74E-4</v>
      </c>
      <c r="BN57" s="273">
        <v>3.0400000000000002E-4</v>
      </c>
      <c r="BO57" s="273">
        <v>7.2800000000000002E-4</v>
      </c>
      <c r="BP57" s="273">
        <v>4.7800000000000002E-4</v>
      </c>
      <c r="BQ57" s="273">
        <v>4.9100000000000001E-4</v>
      </c>
      <c r="BR57" s="273">
        <v>3.9399999999999998E-4</v>
      </c>
      <c r="BS57" s="273">
        <v>8.2799999999999996E-4</v>
      </c>
      <c r="BT57" s="273">
        <v>9.3999999999999994E-5</v>
      </c>
      <c r="BU57" s="273">
        <v>3.2209999999999999E-3</v>
      </c>
      <c r="BV57" s="273">
        <v>2.588E-3</v>
      </c>
      <c r="BW57" s="273">
        <v>1.4237839999999999</v>
      </c>
      <c r="BX57" s="273">
        <v>1.940029</v>
      </c>
      <c r="BY57" s="273">
        <v>0.20085</v>
      </c>
      <c r="BZ57" s="273">
        <v>0.23799200000000001</v>
      </c>
      <c r="CA57" s="273">
        <v>3.5345000000000001E-2</v>
      </c>
      <c r="CB57" s="273">
        <v>2.8702999999999999E-2</v>
      </c>
      <c r="CC57" s="273">
        <v>3.2190000000000001E-3</v>
      </c>
      <c r="CD57" s="273">
        <v>3.6699999999999998E-4</v>
      </c>
      <c r="CE57" s="273">
        <v>4.7357999999999997E-2</v>
      </c>
      <c r="CF57" s="273">
        <v>6.5407999999999994E-2</v>
      </c>
      <c r="CG57" s="273">
        <v>6.8127999999999994E-2</v>
      </c>
      <c r="CH57" s="273">
        <v>6.1131999999999999E-2</v>
      </c>
      <c r="CI57" s="273">
        <v>1.0259000000000001E-2</v>
      </c>
      <c r="CJ57" s="273">
        <v>9.7000000000000003E-3</v>
      </c>
      <c r="CK57" s="273">
        <v>7.9199999999999995E-4</v>
      </c>
      <c r="CL57" s="273">
        <v>6.4800000000000003E-4</v>
      </c>
      <c r="CM57" s="273">
        <v>2.47E-3</v>
      </c>
      <c r="CN57" s="273">
        <v>4.8149999999999998E-3</v>
      </c>
      <c r="CO57" s="273">
        <v>0.107795</v>
      </c>
      <c r="CP57" s="273">
        <v>0.110636</v>
      </c>
      <c r="CQ57" s="273">
        <v>4.8129999999999996E-3</v>
      </c>
      <c r="CR57" s="273">
        <v>8.1630000000000001E-3</v>
      </c>
      <c r="CS57" s="273">
        <v>1.5373E-2</v>
      </c>
      <c r="CT57" s="273">
        <v>8.0389999999999993E-3</v>
      </c>
      <c r="CU57" s="273">
        <f t="shared" si="96"/>
        <v>7.3990248999999996E-5</v>
      </c>
      <c r="CV57" s="273">
        <f t="shared" si="82"/>
        <v>6.5622356999999999E-5</v>
      </c>
      <c r="CW57" s="273">
        <v>0.14658499999999999</v>
      </c>
      <c r="CX57" s="273">
        <v>0.21321100000000001</v>
      </c>
      <c r="CY57" s="273">
        <f t="shared" si="97"/>
        <v>7.0551360499999992E-4</v>
      </c>
      <c r="CZ57" s="273">
        <f t="shared" si="83"/>
        <v>1.7404413930000001E-3</v>
      </c>
      <c r="DA57" s="273">
        <v>2.4399999999999999E-4</v>
      </c>
      <c r="DB57" s="273">
        <v>1.224E-3</v>
      </c>
      <c r="DC57" s="273">
        <f t="shared" si="98"/>
        <v>4.0334961459999995E-3</v>
      </c>
      <c r="DD57" s="273">
        <f t="shared" si="84"/>
        <v>6.3569362499999995E-3</v>
      </c>
      <c r="DE57" s="273">
        <v>1.2799999999999999E-4</v>
      </c>
      <c r="DF57" s="273">
        <v>2.1800000000000001E-4</v>
      </c>
      <c r="DG57" s="273">
        <f t="shared" si="99"/>
        <v>1.151503854E-3</v>
      </c>
      <c r="DH57" s="273">
        <f t="shared" si="85"/>
        <v>3.2480637499999999E-3</v>
      </c>
      <c r="DI57" s="273">
        <v>1.142E-3</v>
      </c>
      <c r="DJ57" s="273">
        <v>3.4900000000000003E-4</v>
      </c>
      <c r="DK57" s="273">
        <v>6.5799999999999995E-4</v>
      </c>
      <c r="DL57" s="273">
        <v>3.6299999999999999E-4</v>
      </c>
      <c r="DM57" s="273">
        <f t="shared" si="100"/>
        <v>1.8E-3</v>
      </c>
      <c r="DN57" s="273">
        <f t="shared" si="86"/>
        <v>7.1199999999999996E-4</v>
      </c>
      <c r="DO57" s="273">
        <v>3.666E-3</v>
      </c>
      <c r="DP57" s="273">
        <v>3.568E-3</v>
      </c>
      <c r="DQ57" s="273">
        <v>3.8739999999999998E-3</v>
      </c>
      <c r="DR57" s="273">
        <v>8.6719999999999992E-3</v>
      </c>
      <c r="DS57" s="273">
        <v>2.5572000000000001E-2</v>
      </c>
      <c r="DT57" s="273">
        <v>2.7959999999999999E-2</v>
      </c>
      <c r="DU57" s="273">
        <v>2.5490000000000001E-3</v>
      </c>
      <c r="DV57" s="273">
        <v>3.1800000000000001E-3</v>
      </c>
      <c r="DW57" s="273">
        <v>4.0188000000000001E-2</v>
      </c>
      <c r="DX57" s="273">
        <v>4.0188000000000001E-2</v>
      </c>
      <c r="DY57" s="273">
        <v>0.17092299999999999</v>
      </c>
      <c r="DZ57" s="273">
        <v>0.13800200000000001</v>
      </c>
      <c r="EA57" s="273">
        <v>3.5300000000000002E-4</v>
      </c>
      <c r="EB57" s="273">
        <v>5.5699999999999999E-4</v>
      </c>
      <c r="EC57" s="273">
        <v>3.2529999999999998E-3</v>
      </c>
      <c r="ED57" s="273">
        <v>3.9579999999999997E-3</v>
      </c>
      <c r="EE57" s="273"/>
      <c r="EF57" s="274"/>
    </row>
    <row r="58" spans="2:136" s="249" customFormat="1" ht="17.399999999999999">
      <c r="B58" s="286">
        <v>51</v>
      </c>
      <c r="C58" s="273">
        <v>2.3800000000000001E-4</v>
      </c>
      <c r="D58" s="273">
        <v>9.5000000000000005E-5</v>
      </c>
      <c r="E58" s="273">
        <v>1.06E-4</v>
      </c>
      <c r="F58" s="273">
        <v>3.8000000000000002E-5</v>
      </c>
      <c r="G58" s="273">
        <v>1.74E-3</v>
      </c>
      <c r="H58" s="273">
        <v>9.2000000000000003E-4</v>
      </c>
      <c r="I58" s="273">
        <v>3.4400000000000001E-4</v>
      </c>
      <c r="J58" s="273">
        <v>1.3300000000000001E-4</v>
      </c>
      <c r="K58" s="273">
        <v>3.6499999999999998E-4</v>
      </c>
      <c r="L58" s="273">
        <v>3.2600000000000001E-4</v>
      </c>
      <c r="M58" s="273">
        <f t="shared" si="87"/>
        <v>3.3605835599999994E-3</v>
      </c>
      <c r="N58" s="273">
        <f t="shared" si="77"/>
        <v>2.924560988E-3</v>
      </c>
      <c r="O58" s="273">
        <f t="shared" si="88"/>
        <v>1.3494635999999999E-4</v>
      </c>
      <c r="P58" s="273">
        <f t="shared" si="89"/>
        <v>2.4475977700000001E-3</v>
      </c>
      <c r="Q58" s="273">
        <v>4.3439999999999998E-3</v>
      </c>
      <c r="R58" s="273">
        <v>7.1019999999999998E-3</v>
      </c>
      <c r="S58" s="273">
        <v>1.0859999999999999E-3</v>
      </c>
      <c r="T58" s="273">
        <v>0.34463500000000002</v>
      </c>
      <c r="U58" s="273">
        <v>3.1064999999999999E-2</v>
      </c>
      <c r="V58" s="273">
        <v>0</v>
      </c>
      <c r="W58" s="273">
        <v>1.6839E-2</v>
      </c>
      <c r="X58" s="273">
        <v>8.3899999999999999E-3</v>
      </c>
      <c r="Y58" s="273">
        <f t="shared" si="90"/>
        <v>7.314861599999999E-5</v>
      </c>
      <c r="Z58" s="273">
        <f t="shared" si="78"/>
        <v>5.958578E-5</v>
      </c>
      <c r="AA58" s="273">
        <v>0.1459</v>
      </c>
      <c r="AB58" s="273">
        <v>0.22232399999999999</v>
      </c>
      <c r="AC58" s="273">
        <f t="shared" si="91"/>
        <v>6.3378959999999993E-4</v>
      </c>
      <c r="AD58" s="273">
        <f t="shared" si="79"/>
        <v>1.5789450479999998E-3</v>
      </c>
      <c r="AE58" s="273">
        <v>2.6294999999999999E-2</v>
      </c>
      <c r="AF58" s="273">
        <v>1.1957000000000001E-2</v>
      </c>
      <c r="AG58" s="273">
        <f t="shared" si="92"/>
        <v>1.1422547999999999E-4</v>
      </c>
      <c r="AH58" s="273">
        <f t="shared" si="80"/>
        <v>8.4918614000000002E-5</v>
      </c>
      <c r="AI58" s="273">
        <v>6.2859999999999999E-3</v>
      </c>
      <c r="AJ58" s="273">
        <v>8.9999999999999998E-4</v>
      </c>
      <c r="AK58" s="273">
        <f t="shared" si="93"/>
        <v>2.7306384E-5</v>
      </c>
      <c r="AL58" s="273">
        <f t="shared" si="81"/>
        <v>6.3917999999999995E-6</v>
      </c>
      <c r="AM58" s="273">
        <f t="shared" si="94"/>
        <v>4.4943458399999996E-4</v>
      </c>
      <c r="AN58" s="273">
        <f t="shared" si="95"/>
        <v>3.5501477599999995E-4</v>
      </c>
      <c r="AO58" s="273">
        <v>0.103461</v>
      </c>
      <c r="AP58" s="273">
        <v>4.9987999999999998E-2</v>
      </c>
      <c r="AQ58" s="273">
        <v>2.92E-4</v>
      </c>
      <c r="AR58" s="273">
        <v>1.0219999999999999E-3</v>
      </c>
      <c r="AS58" s="273">
        <v>1.45E-4</v>
      </c>
      <c r="AT58" s="273">
        <v>2.0900000000000001E-4</v>
      </c>
      <c r="AU58" s="273">
        <v>5.9199999999999997E-4</v>
      </c>
      <c r="AV58" s="273">
        <v>3.3399999999999999E-4</v>
      </c>
      <c r="AW58" s="273">
        <v>3.3000000000000003E-5</v>
      </c>
      <c r="AX58" s="273">
        <v>7.9999999999999996E-6</v>
      </c>
      <c r="AY58" s="273">
        <v>3.4E-5</v>
      </c>
      <c r="AZ58" s="273">
        <v>5.1999999999999997E-5</v>
      </c>
      <c r="BA58" s="273">
        <v>1.9699999999999999E-4</v>
      </c>
      <c r="BB58" s="273">
        <v>4.4999999999999999E-4</v>
      </c>
      <c r="BC58" s="273">
        <v>0</v>
      </c>
      <c r="BD58" s="273">
        <v>0</v>
      </c>
      <c r="BE58" s="273">
        <v>3.0000000000000001E-6</v>
      </c>
      <c r="BF58" s="273">
        <v>3.0000000000000001E-6</v>
      </c>
      <c r="BG58" s="273">
        <v>9.7E-5</v>
      </c>
      <c r="BH58" s="273">
        <v>8.6000000000000003E-5</v>
      </c>
      <c r="BI58" s="273">
        <v>2.2599999999999999E-4</v>
      </c>
      <c r="BJ58" s="273">
        <v>1.25E-4</v>
      </c>
      <c r="BK58" s="273">
        <v>3.3199999999999999E-4</v>
      </c>
      <c r="BL58" s="273">
        <v>1.6899999999999999E-4</v>
      </c>
      <c r="BM58" s="273">
        <v>1.76E-4</v>
      </c>
      <c r="BN58" s="273">
        <v>3.0899999999999998E-4</v>
      </c>
      <c r="BO58" s="273">
        <v>7.4100000000000001E-4</v>
      </c>
      <c r="BP58" s="273">
        <v>5.0600000000000005E-4</v>
      </c>
      <c r="BQ58" s="273">
        <v>5.1400000000000003E-4</v>
      </c>
      <c r="BR58" s="273">
        <v>4.06E-4</v>
      </c>
      <c r="BS58" s="273">
        <v>8.83E-4</v>
      </c>
      <c r="BT58" s="273">
        <v>1E-4</v>
      </c>
      <c r="BU58" s="273">
        <v>3.274E-3</v>
      </c>
      <c r="BV58" s="273">
        <v>2.594E-3</v>
      </c>
      <c r="BW58" s="273">
        <v>1.491004</v>
      </c>
      <c r="BX58" s="273">
        <v>2.0404149999999999</v>
      </c>
      <c r="BY58" s="273">
        <v>0.214536</v>
      </c>
      <c r="BZ58" s="273">
        <v>0.24828700000000001</v>
      </c>
      <c r="CA58" s="273">
        <v>3.6489000000000001E-2</v>
      </c>
      <c r="CB58" s="273">
        <v>3.0225999999999999E-2</v>
      </c>
      <c r="CC58" s="273">
        <v>3.3739999999999998E-3</v>
      </c>
      <c r="CD58" s="273">
        <v>3.8200000000000002E-4</v>
      </c>
      <c r="CE58" s="273">
        <v>4.9475999999999999E-2</v>
      </c>
      <c r="CF58" s="273">
        <v>6.8649000000000002E-2</v>
      </c>
      <c r="CG58" s="273">
        <v>7.1023000000000003E-2</v>
      </c>
      <c r="CH58" s="273">
        <v>6.4241999999999994E-2</v>
      </c>
      <c r="CI58" s="273">
        <v>1.0605E-2</v>
      </c>
      <c r="CJ58" s="273">
        <v>9.8160000000000001E-3</v>
      </c>
      <c r="CK58" s="273">
        <v>8.1300000000000003E-4</v>
      </c>
      <c r="CL58" s="273">
        <v>6.4899999999999995E-4</v>
      </c>
      <c r="CM58" s="273">
        <v>2.6689999999999999E-3</v>
      </c>
      <c r="CN58" s="273">
        <v>4.9040000000000004E-3</v>
      </c>
      <c r="CO58" s="273">
        <v>0.111633</v>
      </c>
      <c r="CP58" s="273">
        <v>0.11437600000000001</v>
      </c>
      <c r="CQ58" s="273">
        <v>5.1630000000000001E-3</v>
      </c>
      <c r="CR58" s="273">
        <v>8.2789999999999999E-3</v>
      </c>
      <c r="CS58" s="273">
        <v>1.5816E-2</v>
      </c>
      <c r="CT58" s="273">
        <v>8.1069999999999996E-3</v>
      </c>
      <c r="CU58" s="273">
        <f t="shared" si="96"/>
        <v>8.1658008000000005E-5</v>
      </c>
      <c r="CV58" s="273">
        <f t="shared" si="82"/>
        <v>6.7117852999999995E-5</v>
      </c>
      <c r="CW58" s="273">
        <v>0.13270299999999999</v>
      </c>
      <c r="CX58" s="273">
        <v>0.21121699999999999</v>
      </c>
      <c r="CY58" s="273">
        <f t="shared" si="97"/>
        <v>6.8514558899999999E-4</v>
      </c>
      <c r="CZ58" s="273">
        <f t="shared" si="83"/>
        <v>1.7486655429999999E-3</v>
      </c>
      <c r="DA58" s="273">
        <v>2.6899999999999998E-4</v>
      </c>
      <c r="DB58" s="273">
        <v>1.158E-3</v>
      </c>
      <c r="DC58" s="273">
        <f t="shared" si="98"/>
        <v>4.3961964030000003E-3</v>
      </c>
      <c r="DD58" s="273">
        <f t="shared" si="84"/>
        <v>6.4632166039999992E-3</v>
      </c>
      <c r="DE58" s="273">
        <v>1.3200000000000001E-4</v>
      </c>
      <c r="DF58" s="273">
        <v>2.1499999999999999E-4</v>
      </c>
      <c r="DG58" s="273">
        <f t="shared" si="99"/>
        <v>1.167803597E-3</v>
      </c>
      <c r="DH58" s="273">
        <f t="shared" si="85"/>
        <v>3.1887833959999999E-3</v>
      </c>
      <c r="DI58" s="273">
        <v>1.209E-3</v>
      </c>
      <c r="DJ58" s="273">
        <v>3.5799999999999997E-4</v>
      </c>
      <c r="DK58" s="273">
        <v>6.9700000000000003E-4</v>
      </c>
      <c r="DL58" s="273">
        <v>3.8000000000000002E-4</v>
      </c>
      <c r="DM58" s="273">
        <f t="shared" si="100"/>
        <v>1.9060000000000001E-3</v>
      </c>
      <c r="DN58" s="273">
        <f t="shared" si="86"/>
        <v>7.3799999999999994E-4</v>
      </c>
      <c r="DO58" s="273">
        <v>3.6619999999999999E-3</v>
      </c>
      <c r="DP58" s="273">
        <v>3.7429999999999998E-3</v>
      </c>
      <c r="DQ58" s="273">
        <v>4.169E-3</v>
      </c>
      <c r="DR58" s="273">
        <v>9.7059999999999994E-3</v>
      </c>
      <c r="DS58" s="273">
        <v>2.5836999999999999E-2</v>
      </c>
      <c r="DT58" s="273">
        <v>3.0286E-2</v>
      </c>
      <c r="DU58" s="273">
        <v>2.5969999999999999E-3</v>
      </c>
      <c r="DV58" s="273">
        <v>3.3890000000000001E-3</v>
      </c>
      <c r="DW58" s="273">
        <v>4.0188000000000001E-2</v>
      </c>
      <c r="DX58" s="273">
        <v>4.0188000000000001E-2</v>
      </c>
      <c r="DY58" s="273">
        <v>0.181698</v>
      </c>
      <c r="DZ58" s="273">
        <v>0.15107400000000001</v>
      </c>
      <c r="EA58" s="273">
        <v>3.9199999999999999E-4</v>
      </c>
      <c r="EB58" s="273">
        <v>6.2200000000000005E-4</v>
      </c>
      <c r="EC58" s="273">
        <v>3.3730000000000001E-3</v>
      </c>
      <c r="ED58" s="273">
        <v>3.9399999999999999E-3</v>
      </c>
      <c r="EE58" s="273"/>
      <c r="EF58" s="274"/>
    </row>
    <row r="59" spans="2:136" s="249" customFormat="1" ht="17.399999999999999">
      <c r="B59" s="286">
        <v>52</v>
      </c>
      <c r="C59" s="273">
        <v>2.7E-4</v>
      </c>
      <c r="D59" s="273">
        <v>1.06E-4</v>
      </c>
      <c r="E59" s="273">
        <v>1.06E-4</v>
      </c>
      <c r="F59" s="273">
        <v>3.8000000000000002E-5</v>
      </c>
      <c r="G59" s="273">
        <v>1.8910000000000001E-3</v>
      </c>
      <c r="H59" s="273">
        <v>9.7999999999999997E-4</v>
      </c>
      <c r="I59" s="273">
        <v>3.7600000000000003E-4</v>
      </c>
      <c r="J59" s="273">
        <v>1.44E-4</v>
      </c>
      <c r="K59" s="273">
        <v>3.6499999999999998E-4</v>
      </c>
      <c r="L59" s="273">
        <v>3.2600000000000001E-4</v>
      </c>
      <c r="M59" s="273">
        <f t="shared" si="87"/>
        <v>3.666348728E-3</v>
      </c>
      <c r="N59" s="273">
        <f t="shared" si="77"/>
        <v>3.0835187999999998E-3</v>
      </c>
      <c r="O59" s="273">
        <f t="shared" si="88"/>
        <v>1.6625050399999999E-4</v>
      </c>
      <c r="P59" s="273">
        <f t="shared" si="89"/>
        <v>2.3433912899999999E-3</v>
      </c>
      <c r="Q59" s="273">
        <v>4.6759999999999996E-3</v>
      </c>
      <c r="R59" s="273">
        <v>7.1549999999999999E-3</v>
      </c>
      <c r="S59" s="273">
        <v>1.2409999999999999E-3</v>
      </c>
      <c r="T59" s="273">
        <v>0.32751799999999998</v>
      </c>
      <c r="U59" s="273">
        <v>3.5554000000000002E-2</v>
      </c>
      <c r="V59" s="273">
        <v>0</v>
      </c>
      <c r="W59" s="273">
        <v>1.6872999999999999E-2</v>
      </c>
      <c r="X59" s="273">
        <v>8.6459999999999992E-3</v>
      </c>
      <c r="Y59" s="273">
        <f t="shared" si="90"/>
        <v>7.8898147999999994E-5</v>
      </c>
      <c r="Z59" s="273">
        <f t="shared" si="78"/>
        <v>6.1862129999999994E-5</v>
      </c>
      <c r="AA59" s="273">
        <v>0.130388</v>
      </c>
      <c r="AB59" s="273">
        <v>0.21920400000000001</v>
      </c>
      <c r="AC59" s="273">
        <f t="shared" si="91"/>
        <v>6.0969428799999997E-4</v>
      </c>
      <c r="AD59" s="273">
        <f t="shared" si="79"/>
        <v>1.5684046200000001E-3</v>
      </c>
      <c r="AE59" s="273">
        <v>2.6696999999999999E-2</v>
      </c>
      <c r="AF59" s="273">
        <v>1.2702E-2</v>
      </c>
      <c r="AG59" s="273">
        <f t="shared" si="92"/>
        <v>1.2483517199999997E-4</v>
      </c>
      <c r="AH59" s="273">
        <f t="shared" si="80"/>
        <v>9.0882809999999991E-5</v>
      </c>
      <c r="AI59" s="273">
        <v>6.4099999999999999E-3</v>
      </c>
      <c r="AJ59" s="273">
        <v>9.7000000000000005E-4</v>
      </c>
      <c r="AK59" s="273">
        <f t="shared" si="93"/>
        <v>2.9973159999999997E-5</v>
      </c>
      <c r="AL59" s="273">
        <f t="shared" si="81"/>
        <v>6.9403500000000004E-6</v>
      </c>
      <c r="AM59" s="273">
        <f t="shared" si="94"/>
        <v>4.6757194399999998E-4</v>
      </c>
      <c r="AN59" s="273">
        <f t="shared" si="95"/>
        <v>3.6952713E-4</v>
      </c>
      <c r="AO59" s="273">
        <v>9.9994E-2</v>
      </c>
      <c r="AP59" s="273">
        <v>5.1645999999999997E-2</v>
      </c>
      <c r="AQ59" s="273">
        <v>3.1300000000000002E-4</v>
      </c>
      <c r="AR59" s="273">
        <v>9.8299999999999993E-4</v>
      </c>
      <c r="AS59" s="273">
        <v>1.4799999999999999E-4</v>
      </c>
      <c r="AT59" s="273">
        <v>2.0599999999999999E-4</v>
      </c>
      <c r="AU59" s="273">
        <v>6.2799999999999998E-4</v>
      </c>
      <c r="AV59" s="273">
        <v>3.5300000000000002E-4</v>
      </c>
      <c r="AW59" s="273">
        <v>3.4E-5</v>
      </c>
      <c r="AX59" s="273">
        <v>7.9999999999999996E-6</v>
      </c>
      <c r="AY59" s="273">
        <v>3.4999999999999997E-5</v>
      </c>
      <c r="AZ59" s="273">
        <v>5.3000000000000001E-5</v>
      </c>
      <c r="BA59" s="273">
        <v>2.0900000000000001E-4</v>
      </c>
      <c r="BB59" s="273">
        <v>4.75E-4</v>
      </c>
      <c r="BC59" s="273">
        <v>0</v>
      </c>
      <c r="BD59" s="273">
        <v>0</v>
      </c>
      <c r="BE59" s="273">
        <v>3.9999999999999998E-6</v>
      </c>
      <c r="BF59" s="273">
        <v>3.0000000000000001E-6</v>
      </c>
      <c r="BG59" s="273">
        <v>1.02E-4</v>
      </c>
      <c r="BH59" s="273">
        <v>9.1000000000000003E-5</v>
      </c>
      <c r="BI59" s="273">
        <v>2.41E-4</v>
      </c>
      <c r="BJ59" s="273">
        <v>1.2799999999999999E-4</v>
      </c>
      <c r="BK59" s="273">
        <v>3.5300000000000002E-4</v>
      </c>
      <c r="BL59" s="273">
        <v>1.8699999999999999E-4</v>
      </c>
      <c r="BM59" s="273">
        <v>1.7699999999999999E-4</v>
      </c>
      <c r="BN59" s="273">
        <v>3.1199999999999999E-4</v>
      </c>
      <c r="BO59" s="273">
        <v>7.5299999999999998E-4</v>
      </c>
      <c r="BP59" s="273">
        <v>5.3600000000000002E-4</v>
      </c>
      <c r="BQ59" s="273">
        <v>5.3499999999999999E-4</v>
      </c>
      <c r="BR59" s="273">
        <v>4.1599999999999997E-4</v>
      </c>
      <c r="BS59" s="273">
        <v>9.3599999999999998E-4</v>
      </c>
      <c r="BT59" s="273">
        <v>1.07E-4</v>
      </c>
      <c r="BU59" s="273">
        <v>3.3839999999999999E-3</v>
      </c>
      <c r="BV59" s="273">
        <v>2.6359999999999999E-3</v>
      </c>
      <c r="BW59" s="273">
        <v>1.564697</v>
      </c>
      <c r="BX59" s="273">
        <v>2.1806399999999999</v>
      </c>
      <c r="BY59" s="273">
        <v>0.22999</v>
      </c>
      <c r="BZ59" s="273">
        <v>0.264067</v>
      </c>
      <c r="CA59" s="273">
        <v>3.8429999999999999E-2</v>
      </c>
      <c r="CB59" s="273">
        <v>3.1993000000000001E-2</v>
      </c>
      <c r="CC59" s="273">
        <v>3.5620000000000001E-3</v>
      </c>
      <c r="CD59" s="273">
        <v>4.0700000000000003E-4</v>
      </c>
      <c r="CE59" s="273">
        <v>5.1611999999999998E-2</v>
      </c>
      <c r="CF59" s="273">
        <v>7.1837999999999999E-2</v>
      </c>
      <c r="CG59" s="273">
        <v>7.3932999999999999E-2</v>
      </c>
      <c r="CH59" s="273">
        <v>6.7308999999999994E-2</v>
      </c>
      <c r="CI59" s="273">
        <v>1.0947E-2</v>
      </c>
      <c r="CJ59" s="273">
        <v>9.8919999999999998E-3</v>
      </c>
      <c r="CK59" s="273">
        <v>8.3500000000000002E-4</v>
      </c>
      <c r="CL59" s="273">
        <v>6.4800000000000003E-4</v>
      </c>
      <c r="CM59" s="273">
        <v>2.8770000000000002E-3</v>
      </c>
      <c r="CN59" s="273">
        <v>4.9779999999999998E-3</v>
      </c>
      <c r="CO59" s="273">
        <v>0.115435</v>
      </c>
      <c r="CP59" s="273">
        <v>0.11788</v>
      </c>
      <c r="CQ59" s="273">
        <v>5.5599999999999998E-3</v>
      </c>
      <c r="CR59" s="273">
        <v>8.3700000000000007E-3</v>
      </c>
      <c r="CS59" s="273">
        <v>1.6244999999999999E-2</v>
      </c>
      <c r="CT59" s="273">
        <v>8.0249999999999991E-3</v>
      </c>
      <c r="CU59" s="273">
        <f t="shared" si="96"/>
        <v>9.0322199999999994E-5</v>
      </c>
      <c r="CV59" s="273">
        <f t="shared" si="82"/>
        <v>6.7169249999999997E-5</v>
      </c>
      <c r="CW59" s="273">
        <v>0.118822</v>
      </c>
      <c r="CX59" s="273">
        <v>0.20922299999999999</v>
      </c>
      <c r="CY59" s="273">
        <f t="shared" si="97"/>
        <v>6.6065031999999995E-4</v>
      </c>
      <c r="CZ59" s="273">
        <f t="shared" si="83"/>
        <v>1.7511965100000001E-3</v>
      </c>
      <c r="DA59" s="273">
        <v>2.9799999999999998E-4</v>
      </c>
      <c r="DB59" s="273">
        <v>1.0989999999999999E-3</v>
      </c>
      <c r="DC59" s="273">
        <f t="shared" si="98"/>
        <v>4.8090274799999994E-3</v>
      </c>
      <c r="DD59" s="273">
        <f t="shared" si="84"/>
        <v>6.5516342399999997E-3</v>
      </c>
      <c r="DE59" s="273">
        <v>1.36E-4</v>
      </c>
      <c r="DF59" s="273">
        <v>2.12E-4</v>
      </c>
      <c r="DG59" s="273">
        <f t="shared" si="99"/>
        <v>1.1849725199999999E-3</v>
      </c>
      <c r="DH59" s="273">
        <f t="shared" si="85"/>
        <v>3.1293657600000003E-3</v>
      </c>
      <c r="DI59" s="273">
        <v>1.2769999999999999E-3</v>
      </c>
      <c r="DJ59" s="273">
        <v>3.6600000000000001E-4</v>
      </c>
      <c r="DK59" s="273">
        <v>7.36E-4</v>
      </c>
      <c r="DL59" s="273">
        <v>3.97E-4</v>
      </c>
      <c r="DM59" s="273">
        <f t="shared" si="100"/>
        <v>2.013E-3</v>
      </c>
      <c r="DN59" s="273">
        <f t="shared" si="86"/>
        <v>7.6300000000000001E-4</v>
      </c>
      <c r="DO59" s="273">
        <v>3.6870000000000002E-3</v>
      </c>
      <c r="DP59" s="273">
        <v>3.852E-3</v>
      </c>
      <c r="DQ59" s="273">
        <v>4.3899999999999998E-3</v>
      </c>
      <c r="DR59" s="273">
        <v>1.0505E-2</v>
      </c>
      <c r="DS59" s="273">
        <v>2.6176999999999999E-2</v>
      </c>
      <c r="DT59" s="273">
        <v>3.2551999999999998E-2</v>
      </c>
      <c r="DU59" s="273">
        <v>2.6970000000000002E-3</v>
      </c>
      <c r="DV59" s="273">
        <v>3.601E-3</v>
      </c>
      <c r="DW59" s="273">
        <v>4.0188000000000001E-2</v>
      </c>
      <c r="DX59" s="273">
        <v>4.0188000000000001E-2</v>
      </c>
      <c r="DY59" s="273">
        <v>0.19483400000000001</v>
      </c>
      <c r="DZ59" s="273">
        <v>0.16384299999999999</v>
      </c>
      <c r="EA59" s="273">
        <v>4.3300000000000001E-4</v>
      </c>
      <c r="EB59" s="273">
        <v>6.87E-4</v>
      </c>
      <c r="EC59" s="273">
        <v>3.4919999999999999E-3</v>
      </c>
      <c r="ED59" s="273">
        <v>3.9220000000000001E-3</v>
      </c>
      <c r="EE59" s="273"/>
      <c r="EF59" s="274"/>
    </row>
    <row r="60" spans="2:136" s="249" customFormat="1" ht="17.399999999999999">
      <c r="B60" s="286">
        <v>53</v>
      </c>
      <c r="C60" s="273">
        <v>3.0699999999999998E-4</v>
      </c>
      <c r="D60" s="273">
        <v>1.1900000000000001E-4</v>
      </c>
      <c r="E60" s="273">
        <v>1.06E-4</v>
      </c>
      <c r="F60" s="273">
        <v>3.8000000000000002E-5</v>
      </c>
      <c r="G60" s="273">
        <v>2.0590000000000001E-3</v>
      </c>
      <c r="H60" s="273">
        <v>1.049E-3</v>
      </c>
      <c r="I60" s="273">
        <v>4.1299999999999996E-4</v>
      </c>
      <c r="J60" s="273">
        <v>1.5700000000000002E-4</v>
      </c>
      <c r="K60" s="273">
        <v>3.6499999999999998E-4</v>
      </c>
      <c r="L60" s="273">
        <v>3.2600000000000001E-4</v>
      </c>
      <c r="M60" s="273">
        <f t="shared" si="87"/>
        <v>3.9871924469999992E-3</v>
      </c>
      <c r="N60" s="273">
        <f t="shared" si="77"/>
        <v>3.2048420009999994E-3</v>
      </c>
      <c r="O60" s="273">
        <f t="shared" si="88"/>
        <v>2.1761793900000004E-4</v>
      </c>
      <c r="P60" s="273">
        <f t="shared" si="89"/>
        <v>2.2513343999999999E-3</v>
      </c>
      <c r="Q60" s="273">
        <v>5.0610000000000004E-3</v>
      </c>
      <c r="R60" s="273">
        <v>7.1789999999999996E-3</v>
      </c>
      <c r="S60" s="273">
        <v>1.132E-3</v>
      </c>
      <c r="T60" s="273">
        <v>0.31359999999999999</v>
      </c>
      <c r="U60" s="273">
        <v>4.2999000000000002E-2</v>
      </c>
      <c r="V60" s="273">
        <v>0</v>
      </c>
      <c r="W60" s="273">
        <v>1.7433000000000001E-2</v>
      </c>
      <c r="X60" s="273">
        <v>9.7619999999999998E-3</v>
      </c>
      <c r="Y60" s="273">
        <f t="shared" si="90"/>
        <v>8.8228413000000013E-5</v>
      </c>
      <c r="Z60" s="273">
        <f t="shared" si="78"/>
        <v>7.0081397999999991E-5</v>
      </c>
      <c r="AA60" s="273">
        <v>0.11877</v>
      </c>
      <c r="AB60" s="273">
        <v>0.216227</v>
      </c>
      <c r="AC60" s="273">
        <f t="shared" si="91"/>
        <v>6.0109497000000007E-4</v>
      </c>
      <c r="AD60" s="273">
        <f t="shared" si="79"/>
        <v>1.552293633E-3</v>
      </c>
      <c r="AE60" s="273">
        <v>2.6182E-2</v>
      </c>
      <c r="AF60" s="273">
        <v>1.2858E-2</v>
      </c>
      <c r="AG60" s="273">
        <f t="shared" si="92"/>
        <v>1.3250710200000002E-4</v>
      </c>
      <c r="AH60" s="273">
        <f t="shared" si="80"/>
        <v>9.2307581999999988E-5</v>
      </c>
      <c r="AI60" s="273">
        <v>6.7889999999999999E-3</v>
      </c>
      <c r="AJ60" s="273">
        <v>1.134E-3</v>
      </c>
      <c r="AK60" s="273">
        <f t="shared" si="93"/>
        <v>3.4359129E-5</v>
      </c>
      <c r="AL60" s="273">
        <f t="shared" si="81"/>
        <v>8.1409860000000005E-6</v>
      </c>
      <c r="AM60" s="273">
        <f t="shared" si="94"/>
        <v>5.0576091299999999E-4</v>
      </c>
      <c r="AN60" s="273">
        <f t="shared" si="95"/>
        <v>4.0765233600000001E-4</v>
      </c>
      <c r="AO60" s="273">
        <v>9.9932999999999994E-2</v>
      </c>
      <c r="AP60" s="273">
        <v>5.6784000000000001E-2</v>
      </c>
      <c r="AQ60" s="273">
        <v>3.3500000000000001E-4</v>
      </c>
      <c r="AR60" s="273">
        <v>9.4799999999999995E-4</v>
      </c>
      <c r="AS60" s="273">
        <v>1.5100000000000001E-4</v>
      </c>
      <c r="AT60" s="273">
        <v>2.03E-4</v>
      </c>
      <c r="AU60" s="273">
        <v>6.6399999999999999E-4</v>
      </c>
      <c r="AV60" s="273">
        <v>3.7199999999999999E-4</v>
      </c>
      <c r="AW60" s="273">
        <v>3.4999999999999997E-5</v>
      </c>
      <c r="AX60" s="273">
        <v>7.9999999999999996E-6</v>
      </c>
      <c r="AY60" s="273">
        <v>3.6999999999999998E-5</v>
      </c>
      <c r="AZ60" s="273">
        <v>5.5000000000000002E-5</v>
      </c>
      <c r="BA60" s="273">
        <v>2.2000000000000001E-4</v>
      </c>
      <c r="BB60" s="273">
        <v>5.0000000000000001E-4</v>
      </c>
      <c r="BC60" s="273">
        <v>0</v>
      </c>
      <c r="BD60" s="273">
        <v>0</v>
      </c>
      <c r="BE60" s="273">
        <v>3.9999999999999998E-6</v>
      </c>
      <c r="BF60" s="273">
        <v>3.0000000000000001E-6</v>
      </c>
      <c r="BG60" s="273">
        <v>1.1E-4</v>
      </c>
      <c r="BH60" s="273">
        <v>9.7E-5</v>
      </c>
      <c r="BI60" s="273">
        <v>2.5399999999999999E-4</v>
      </c>
      <c r="BJ60" s="273">
        <v>1.3100000000000001E-4</v>
      </c>
      <c r="BK60" s="273">
        <v>3.7500000000000001E-4</v>
      </c>
      <c r="BL60" s="273">
        <v>2.0000000000000001E-4</v>
      </c>
      <c r="BM60" s="273">
        <v>1.8599999999999999E-4</v>
      </c>
      <c r="BN60" s="273">
        <v>3.3399999999999999E-4</v>
      </c>
      <c r="BO60" s="273">
        <v>7.6400000000000003E-4</v>
      </c>
      <c r="BP60" s="273">
        <v>5.6800000000000004E-4</v>
      </c>
      <c r="BQ60" s="273">
        <v>5.53E-4</v>
      </c>
      <c r="BR60" s="273">
        <v>4.2299999999999998E-4</v>
      </c>
      <c r="BS60" s="273">
        <v>9.8700000000000003E-4</v>
      </c>
      <c r="BT60" s="273">
        <v>1.16E-4</v>
      </c>
      <c r="BU60" s="273">
        <v>3.7889999999999998E-3</v>
      </c>
      <c r="BV60" s="273">
        <v>2.8869999999999998E-3</v>
      </c>
      <c r="BW60" s="273">
        <v>1.650431</v>
      </c>
      <c r="BX60" s="273">
        <v>2.3739919999999999</v>
      </c>
      <c r="BY60" s="273">
        <v>0.247415</v>
      </c>
      <c r="BZ60" s="273">
        <v>0.28677599999999998</v>
      </c>
      <c r="CA60" s="273">
        <v>4.1932999999999998E-2</v>
      </c>
      <c r="CB60" s="273">
        <v>3.5909000000000003E-2</v>
      </c>
      <c r="CC60" s="273">
        <v>3.9259999999999998E-3</v>
      </c>
      <c r="CD60" s="273">
        <v>4.6299999999999998E-4</v>
      </c>
      <c r="CE60" s="273">
        <v>5.3880999999999998E-2</v>
      </c>
      <c r="CF60" s="273">
        <v>7.4494000000000005E-2</v>
      </c>
      <c r="CG60" s="273">
        <v>7.6476000000000002E-2</v>
      </c>
      <c r="CH60" s="273">
        <v>7.0557999999999996E-2</v>
      </c>
      <c r="CI60" s="273">
        <v>1.171E-2</v>
      </c>
      <c r="CJ60" s="273">
        <v>1.0229E-2</v>
      </c>
      <c r="CK60" s="273">
        <v>9.1299999999999997E-4</v>
      </c>
      <c r="CL60" s="273">
        <v>7.0799999999999997E-4</v>
      </c>
      <c r="CM60" s="273">
        <v>3.068E-3</v>
      </c>
      <c r="CN60" s="273">
        <v>5.0809999999999996E-3</v>
      </c>
      <c r="CO60" s="273">
        <v>0.119642</v>
      </c>
      <c r="CP60" s="273">
        <v>0.121916</v>
      </c>
      <c r="CQ60" s="273">
        <v>6.0280000000000004E-3</v>
      </c>
      <c r="CR60" s="273">
        <v>8.4270000000000005E-3</v>
      </c>
      <c r="CS60" s="273">
        <v>1.6834999999999999E-2</v>
      </c>
      <c r="CT60" s="273">
        <v>8.8299999999999993E-3</v>
      </c>
      <c r="CU60" s="273">
        <f t="shared" si="96"/>
        <v>1.0148138E-4</v>
      </c>
      <c r="CV60" s="273">
        <f t="shared" si="82"/>
        <v>7.4410410000000002E-5</v>
      </c>
      <c r="CW60" s="273">
        <v>0.10856</v>
      </c>
      <c r="CX60" s="273">
        <v>0.20660600000000001</v>
      </c>
      <c r="CY60" s="273">
        <f t="shared" si="97"/>
        <v>6.5439968000000005E-4</v>
      </c>
      <c r="CZ60" s="273">
        <f t="shared" si="83"/>
        <v>1.7410687620000001E-3</v>
      </c>
      <c r="DA60" s="273">
        <v>3.2899999999999997E-4</v>
      </c>
      <c r="DB60" s="273">
        <v>1.0460000000000001E-3</v>
      </c>
      <c r="DC60" s="273">
        <f t="shared" si="98"/>
        <v>5.2721189400000007E-3</v>
      </c>
      <c r="DD60" s="273">
        <f t="shared" si="84"/>
        <v>6.6115208280000011E-3</v>
      </c>
      <c r="DE60" s="273">
        <v>1.3899999999999999E-4</v>
      </c>
      <c r="DF60" s="273">
        <v>2.0799999999999999E-4</v>
      </c>
      <c r="DG60" s="273">
        <f t="shared" si="99"/>
        <v>1.22388106E-3</v>
      </c>
      <c r="DH60" s="273">
        <f t="shared" si="85"/>
        <v>3.0694791720000001E-3</v>
      </c>
      <c r="DI60" s="273">
        <v>1.3680000000000001E-3</v>
      </c>
      <c r="DJ60" s="273">
        <v>3.9399999999999998E-4</v>
      </c>
      <c r="DK60" s="273">
        <v>7.7499999999999997E-4</v>
      </c>
      <c r="DL60" s="273">
        <v>4.15E-4</v>
      </c>
      <c r="DM60" s="273">
        <f t="shared" si="100"/>
        <v>2.1429999999999999E-3</v>
      </c>
      <c r="DN60" s="273">
        <f t="shared" si="86"/>
        <v>8.0900000000000004E-4</v>
      </c>
      <c r="DO60" s="273">
        <v>3.7439999999999999E-3</v>
      </c>
      <c r="DP60" s="273">
        <v>3.8830000000000002E-3</v>
      </c>
      <c r="DQ60" s="273">
        <v>4.5230000000000001E-3</v>
      </c>
      <c r="DR60" s="273">
        <v>1.1032E-2</v>
      </c>
      <c r="DS60" s="273">
        <v>2.6616000000000001E-2</v>
      </c>
      <c r="DT60" s="273">
        <v>3.4832000000000002E-2</v>
      </c>
      <c r="DU60" s="273">
        <v>2.859E-3</v>
      </c>
      <c r="DV60" s="273">
        <v>3.826E-3</v>
      </c>
      <c r="DW60" s="273">
        <v>4.0188000000000001E-2</v>
      </c>
      <c r="DX60" s="273">
        <v>4.0188000000000001E-2</v>
      </c>
      <c r="DY60" s="273">
        <v>0.21090400000000001</v>
      </c>
      <c r="DZ60" s="273">
        <v>0.17672399999999999</v>
      </c>
      <c r="EA60" s="273">
        <v>4.7699999999999999E-4</v>
      </c>
      <c r="EB60" s="273">
        <v>7.5199999999999996E-4</v>
      </c>
      <c r="EC60" s="273">
        <v>3.6120000000000002E-3</v>
      </c>
      <c r="ED60" s="273">
        <v>3.9039999999999999E-3</v>
      </c>
      <c r="EE60" s="273"/>
      <c r="EF60" s="274"/>
    </row>
    <row r="61" spans="2:136" s="249" customFormat="1" ht="17.399999999999999">
      <c r="B61" s="286">
        <v>54</v>
      </c>
      <c r="C61" s="273">
        <v>3.4699999999999998E-4</v>
      </c>
      <c r="D61" s="273">
        <v>1.3200000000000001E-4</v>
      </c>
      <c r="E61" s="273">
        <v>1.06E-4</v>
      </c>
      <c r="F61" s="273">
        <v>3.8000000000000002E-5</v>
      </c>
      <c r="G61" s="273">
        <v>2.235E-3</v>
      </c>
      <c r="H61" s="273">
        <v>1.124E-3</v>
      </c>
      <c r="I61" s="273">
        <v>4.5299999999999995E-4</v>
      </c>
      <c r="J61" s="273">
        <v>1.7000000000000001E-4</v>
      </c>
      <c r="K61" s="273">
        <v>3.6499999999999998E-4</v>
      </c>
      <c r="L61" s="273">
        <v>3.2600000000000001E-4</v>
      </c>
      <c r="M61" s="273">
        <f t="shared" si="87"/>
        <v>4.3338840750000007E-3</v>
      </c>
      <c r="N61" s="273">
        <f t="shared" si="77"/>
        <v>3.3148112660000002E-3</v>
      </c>
      <c r="O61" s="273">
        <f t="shared" si="88"/>
        <v>2.7618637499999995E-4</v>
      </c>
      <c r="P61" s="273">
        <f t="shared" si="89"/>
        <v>2.1499258419999997E-3</v>
      </c>
      <c r="Q61" s="273">
        <v>5.4749999999999998E-3</v>
      </c>
      <c r="R61" s="273">
        <v>7.1739999999999998E-3</v>
      </c>
      <c r="S61" s="273">
        <v>1.0330000000000001E-3</v>
      </c>
      <c r="T61" s="273">
        <v>0.29968299999999998</v>
      </c>
      <c r="U61" s="273">
        <v>5.0444999999999997E-2</v>
      </c>
      <c r="V61" s="273">
        <v>0</v>
      </c>
      <c r="W61" s="273">
        <v>1.7978999999999998E-2</v>
      </c>
      <c r="X61" s="273">
        <v>1.0696000000000001E-2</v>
      </c>
      <c r="Y61" s="273">
        <f t="shared" si="90"/>
        <v>9.8435024999999983E-5</v>
      </c>
      <c r="Z61" s="273">
        <f t="shared" si="78"/>
        <v>7.6733104000000003E-5</v>
      </c>
      <c r="AA61" s="273">
        <v>0.107166</v>
      </c>
      <c r="AB61" s="273">
        <v>0.213251</v>
      </c>
      <c r="AC61" s="273">
        <f t="shared" si="91"/>
        <v>5.8673384999999995E-4</v>
      </c>
      <c r="AD61" s="273">
        <f t="shared" si="79"/>
        <v>1.529862674E-3</v>
      </c>
      <c r="AE61" s="273">
        <v>2.5666000000000001E-2</v>
      </c>
      <c r="AF61" s="273">
        <v>1.3014E-2</v>
      </c>
      <c r="AG61" s="273">
        <f t="shared" si="92"/>
        <v>1.4052135000000002E-4</v>
      </c>
      <c r="AH61" s="273">
        <f t="shared" si="80"/>
        <v>9.3362435999999998E-5</v>
      </c>
      <c r="AI61" s="273">
        <v>7.1669999999999998E-3</v>
      </c>
      <c r="AJ61" s="273">
        <v>1.297E-3</v>
      </c>
      <c r="AK61" s="273">
        <f t="shared" si="93"/>
        <v>3.9239324999999997E-5</v>
      </c>
      <c r="AL61" s="273">
        <f t="shared" si="81"/>
        <v>9.304677999999999E-6</v>
      </c>
      <c r="AM61" s="273">
        <f t="shared" si="94"/>
        <v>5.4679920000000001E-4</v>
      </c>
      <c r="AN61" s="273">
        <f t="shared" si="95"/>
        <v>4.4422842799999999E-4</v>
      </c>
      <c r="AO61" s="273">
        <v>9.9872000000000002E-2</v>
      </c>
      <c r="AP61" s="273">
        <v>6.1921999999999998E-2</v>
      </c>
      <c r="AQ61" s="273">
        <v>3.59E-4</v>
      </c>
      <c r="AR61" s="273">
        <v>9.2199999999999997E-4</v>
      </c>
      <c r="AS61" s="273">
        <v>1.5300000000000001E-4</v>
      </c>
      <c r="AT61" s="273">
        <v>2.0100000000000001E-4</v>
      </c>
      <c r="AU61" s="273">
        <v>7.0200000000000004E-4</v>
      </c>
      <c r="AV61" s="273">
        <v>3.9300000000000001E-4</v>
      </c>
      <c r="AW61" s="273">
        <v>3.6000000000000001E-5</v>
      </c>
      <c r="AX61" s="273">
        <v>7.9999999999999996E-6</v>
      </c>
      <c r="AY61" s="273">
        <v>3.8000000000000002E-5</v>
      </c>
      <c r="AZ61" s="273">
        <v>5.5999999999999999E-5</v>
      </c>
      <c r="BA61" s="273">
        <v>2.31E-4</v>
      </c>
      <c r="BB61" s="273">
        <v>5.2599999999999999E-4</v>
      </c>
      <c r="BC61" s="273">
        <v>0</v>
      </c>
      <c r="BD61" s="273">
        <v>0</v>
      </c>
      <c r="BE61" s="273">
        <v>3.9999999999999998E-6</v>
      </c>
      <c r="BF61" s="273">
        <v>3.0000000000000001E-6</v>
      </c>
      <c r="BG61" s="273">
        <v>1.18E-4</v>
      </c>
      <c r="BH61" s="273">
        <v>1.0399999999999999E-4</v>
      </c>
      <c r="BI61" s="273">
        <v>2.6600000000000001E-4</v>
      </c>
      <c r="BJ61" s="273">
        <v>1.3200000000000001E-4</v>
      </c>
      <c r="BK61" s="273">
        <v>3.9800000000000002E-4</v>
      </c>
      <c r="BL61" s="273">
        <v>2.1000000000000001E-4</v>
      </c>
      <c r="BM61" s="273">
        <v>1.95E-4</v>
      </c>
      <c r="BN61" s="273">
        <v>3.5599999999999998E-4</v>
      </c>
      <c r="BO61" s="273">
        <v>7.7499999999999997E-4</v>
      </c>
      <c r="BP61" s="273">
        <v>6.02E-4</v>
      </c>
      <c r="BQ61" s="273">
        <v>5.6899999999999995E-4</v>
      </c>
      <c r="BR61" s="273">
        <v>4.26E-4</v>
      </c>
      <c r="BS61" s="273">
        <v>1.034E-3</v>
      </c>
      <c r="BT61" s="273">
        <v>1.27E-4</v>
      </c>
      <c r="BU61" s="273">
        <v>4.5440000000000003E-3</v>
      </c>
      <c r="BV61" s="273">
        <v>3.3890000000000001E-3</v>
      </c>
      <c r="BW61" s="273">
        <v>1.7414430000000001</v>
      </c>
      <c r="BX61" s="273">
        <v>2.6105480000000001</v>
      </c>
      <c r="BY61" s="273">
        <v>0.26646999999999998</v>
      </c>
      <c r="BZ61" s="273">
        <v>0.31460700000000003</v>
      </c>
      <c r="CA61" s="273">
        <v>4.6289999999999998E-2</v>
      </c>
      <c r="CB61" s="273">
        <v>4.0405000000000003E-2</v>
      </c>
      <c r="CC61" s="273">
        <v>4.5059999999999996E-3</v>
      </c>
      <c r="CD61" s="273">
        <v>5.5500000000000005E-4</v>
      </c>
      <c r="CE61" s="273">
        <v>5.6238999999999997E-2</v>
      </c>
      <c r="CF61" s="273">
        <v>7.7132000000000006E-2</v>
      </c>
      <c r="CG61" s="273">
        <v>7.9089000000000007E-2</v>
      </c>
      <c r="CH61" s="273">
        <v>7.3849999999999999E-2</v>
      </c>
      <c r="CI61" s="273">
        <v>1.2518E-2</v>
      </c>
      <c r="CJ61" s="273">
        <v>1.0560999999999999E-2</v>
      </c>
      <c r="CK61" s="273">
        <v>9.9599999999999992E-4</v>
      </c>
      <c r="CL61" s="273">
        <v>7.6999999999999996E-4</v>
      </c>
      <c r="CM61" s="273">
        <v>3.2690000000000002E-3</v>
      </c>
      <c r="CN61" s="273">
        <v>5.1770000000000002E-3</v>
      </c>
      <c r="CO61" s="273">
        <v>0.12397900000000001</v>
      </c>
      <c r="CP61" s="273">
        <v>0.12589700000000001</v>
      </c>
      <c r="CQ61" s="273">
        <v>6.5399999999999998E-3</v>
      </c>
      <c r="CR61" s="273">
        <v>8.4530000000000004E-3</v>
      </c>
      <c r="CS61" s="273">
        <v>1.7538000000000002E-2</v>
      </c>
      <c r="CT61" s="273">
        <v>9.7710000000000002E-3</v>
      </c>
      <c r="CU61" s="273">
        <f t="shared" si="96"/>
        <v>1.1469852E-4</v>
      </c>
      <c r="CV61" s="273">
        <f t="shared" si="82"/>
        <v>8.2594263000000009E-5</v>
      </c>
      <c r="CW61" s="273">
        <v>9.8297999999999996E-2</v>
      </c>
      <c r="CX61" s="273">
        <v>0.203989</v>
      </c>
      <c r="CY61" s="273">
        <f t="shared" si="97"/>
        <v>6.4286892000000001E-4</v>
      </c>
      <c r="CZ61" s="273">
        <f t="shared" si="83"/>
        <v>1.7243190170000001E-3</v>
      </c>
      <c r="DA61" s="273">
        <v>3.6299999999999999E-4</v>
      </c>
      <c r="DB61" s="273">
        <v>9.9700000000000006E-4</v>
      </c>
      <c r="DC61" s="273">
        <f t="shared" si="98"/>
        <v>5.7824325599999992E-3</v>
      </c>
      <c r="DD61" s="273">
        <f t="shared" si="84"/>
        <v>6.6460867199999996E-3</v>
      </c>
      <c r="DE61" s="273">
        <v>1.3999999999999999E-4</v>
      </c>
      <c r="DF61" s="273">
        <v>2.03E-4</v>
      </c>
      <c r="DG61" s="273">
        <f t="shared" si="99"/>
        <v>1.26056744E-3</v>
      </c>
      <c r="DH61" s="273">
        <f t="shared" si="85"/>
        <v>3.0069132800000006E-3</v>
      </c>
      <c r="DI61" s="273">
        <v>1.4649999999999999E-3</v>
      </c>
      <c r="DJ61" s="273">
        <v>4.2400000000000001E-4</v>
      </c>
      <c r="DK61" s="273">
        <v>8.1400000000000005E-4</v>
      </c>
      <c r="DL61" s="273">
        <v>4.3600000000000003E-4</v>
      </c>
      <c r="DM61" s="273">
        <f t="shared" si="100"/>
        <v>2.2789999999999998E-3</v>
      </c>
      <c r="DN61" s="273">
        <f t="shared" si="86"/>
        <v>8.6000000000000009E-4</v>
      </c>
      <c r="DO61" s="273">
        <v>3.833E-3</v>
      </c>
      <c r="DP61" s="273">
        <v>3.846E-3</v>
      </c>
      <c r="DQ61" s="273">
        <v>4.5859999999999998E-3</v>
      </c>
      <c r="DR61" s="273">
        <v>1.1375E-2</v>
      </c>
      <c r="DS61" s="273">
        <v>2.7144999999999999E-2</v>
      </c>
      <c r="DT61" s="273">
        <v>3.7199000000000003E-2</v>
      </c>
      <c r="DU61" s="273">
        <v>3.0760000000000002E-3</v>
      </c>
      <c r="DV61" s="273">
        <v>4.0559999999999997E-3</v>
      </c>
      <c r="DW61" s="273">
        <v>4.0188000000000001E-2</v>
      </c>
      <c r="DX61" s="273">
        <v>4.0188000000000001E-2</v>
      </c>
      <c r="DY61" s="273">
        <v>0.229439</v>
      </c>
      <c r="DZ61" s="273">
        <v>0.18970600000000001</v>
      </c>
      <c r="EA61" s="273">
        <v>5.2499999999999997E-4</v>
      </c>
      <c r="EB61" s="273">
        <v>8.1899999999999996E-4</v>
      </c>
      <c r="EC61" s="273">
        <v>3.7320000000000001E-3</v>
      </c>
      <c r="ED61" s="273">
        <v>3.8860000000000001E-3</v>
      </c>
      <c r="EE61" s="273"/>
      <c r="EF61" s="274"/>
    </row>
    <row r="62" spans="2:136" s="249" customFormat="1" ht="17.399999999999999">
      <c r="B62" s="286">
        <v>55</v>
      </c>
      <c r="C62" s="273">
        <v>4.0200000000000001E-4</v>
      </c>
      <c r="D62" s="273">
        <v>1.5300000000000001E-4</v>
      </c>
      <c r="E62" s="273">
        <v>1.06E-4</v>
      </c>
      <c r="F62" s="273">
        <v>3.8000000000000002E-5</v>
      </c>
      <c r="G62" s="273">
        <v>2.4160000000000002E-3</v>
      </c>
      <c r="H62" s="273">
        <v>1.2019999999999999E-3</v>
      </c>
      <c r="I62" s="273">
        <v>5.0799999999999999E-4</v>
      </c>
      <c r="J62" s="273">
        <v>1.9100000000000001E-4</v>
      </c>
      <c r="K62" s="273">
        <v>3.6499999999999998E-4</v>
      </c>
      <c r="L62" s="273">
        <v>3.2600000000000001E-4</v>
      </c>
      <c r="M62" s="273">
        <f t="shared" si="87"/>
        <v>4.6960436859999994E-3</v>
      </c>
      <c r="N62" s="273">
        <f t="shared" si="77"/>
        <v>3.4194768119999996E-3</v>
      </c>
      <c r="O62" s="273">
        <f t="shared" si="88"/>
        <v>3.4189833999999998E-4</v>
      </c>
      <c r="P62" s="273">
        <f t="shared" si="89"/>
        <v>2.04550587E-3</v>
      </c>
      <c r="Q62" s="273">
        <v>5.9059999999999998E-3</v>
      </c>
      <c r="R62" s="273">
        <v>7.1580000000000003E-3</v>
      </c>
      <c r="S62" s="273">
        <v>1.134E-3</v>
      </c>
      <c r="T62" s="273">
        <v>0.28576499999999999</v>
      </c>
      <c r="U62" s="273">
        <v>5.7889999999999997E-2</v>
      </c>
      <c r="V62" s="273">
        <v>0</v>
      </c>
      <c r="W62" s="273">
        <v>1.8707000000000001E-2</v>
      </c>
      <c r="X62" s="273">
        <v>1.1613999999999999E-2</v>
      </c>
      <c r="Y62" s="273">
        <f t="shared" si="90"/>
        <v>1.1048354200000001E-4</v>
      </c>
      <c r="Z62" s="273">
        <f t="shared" si="78"/>
        <v>8.3133011999999998E-5</v>
      </c>
      <c r="AA62" s="273">
        <v>9.5575999999999994E-2</v>
      </c>
      <c r="AB62" s="273">
        <v>0.21027599999999999</v>
      </c>
      <c r="AC62" s="273">
        <f t="shared" si="91"/>
        <v>5.6447185599999992E-4</v>
      </c>
      <c r="AD62" s="273">
        <f t="shared" si="79"/>
        <v>1.5051556079999999E-3</v>
      </c>
      <c r="AE62" s="273">
        <v>2.5149999999999999E-2</v>
      </c>
      <c r="AF62" s="273">
        <v>1.3169999999999999E-2</v>
      </c>
      <c r="AG62" s="273">
        <f t="shared" si="92"/>
        <v>1.485359E-4</v>
      </c>
      <c r="AH62" s="273">
        <f t="shared" si="80"/>
        <v>9.4270859999999996E-5</v>
      </c>
      <c r="AI62" s="273">
        <v>7.5459999999999998E-3</v>
      </c>
      <c r="AJ62" s="273">
        <v>1.4610000000000001E-3</v>
      </c>
      <c r="AK62" s="273">
        <f t="shared" si="93"/>
        <v>4.4566675999999996E-5</v>
      </c>
      <c r="AL62" s="273">
        <f t="shared" si="81"/>
        <v>1.0457838000000001E-5</v>
      </c>
      <c r="AM62" s="273">
        <f t="shared" si="94"/>
        <v>5.89483766E-4</v>
      </c>
      <c r="AN62" s="273">
        <f t="shared" si="95"/>
        <v>4.8001547999999996E-4</v>
      </c>
      <c r="AO62" s="273">
        <v>9.9810999999999997E-2</v>
      </c>
      <c r="AP62" s="273">
        <v>6.7059999999999995E-2</v>
      </c>
      <c r="AQ62" s="273">
        <v>3.86E-4</v>
      </c>
      <c r="AR62" s="273">
        <v>9.0600000000000001E-4</v>
      </c>
      <c r="AS62" s="273">
        <v>1.56E-4</v>
      </c>
      <c r="AT62" s="273">
        <v>1.9900000000000001E-4</v>
      </c>
      <c r="AU62" s="273">
        <v>7.4200000000000004E-4</v>
      </c>
      <c r="AV62" s="273">
        <v>4.1599999999999997E-4</v>
      </c>
      <c r="AW62" s="273">
        <v>3.6000000000000001E-5</v>
      </c>
      <c r="AX62" s="273">
        <v>7.9999999999999996E-6</v>
      </c>
      <c r="AY62" s="273">
        <v>4.1999999999999998E-5</v>
      </c>
      <c r="AZ62" s="273">
        <v>5.8999999999999998E-5</v>
      </c>
      <c r="BA62" s="273">
        <v>2.41E-4</v>
      </c>
      <c r="BB62" s="273">
        <v>5.5099999999999995E-4</v>
      </c>
      <c r="BC62" s="273">
        <v>0</v>
      </c>
      <c r="BD62" s="273">
        <v>0</v>
      </c>
      <c r="BE62" s="273">
        <v>3.9999999999999998E-6</v>
      </c>
      <c r="BF62" s="273">
        <v>3.9999999999999998E-6</v>
      </c>
      <c r="BG62" s="273">
        <v>1.2799999999999999E-4</v>
      </c>
      <c r="BH62" s="273">
        <v>1.11E-4</v>
      </c>
      <c r="BI62" s="273">
        <v>2.7700000000000001E-4</v>
      </c>
      <c r="BJ62" s="273">
        <v>1.3200000000000001E-4</v>
      </c>
      <c r="BK62" s="273">
        <v>4.2099999999999999E-4</v>
      </c>
      <c r="BL62" s="273">
        <v>2.1800000000000001E-4</v>
      </c>
      <c r="BM62" s="273">
        <v>2.05E-4</v>
      </c>
      <c r="BN62" s="273">
        <v>3.79E-4</v>
      </c>
      <c r="BO62" s="273">
        <v>7.8600000000000002E-4</v>
      </c>
      <c r="BP62" s="273">
        <v>6.3699999999999998E-4</v>
      </c>
      <c r="BQ62" s="273">
        <v>5.8299999999999997E-4</v>
      </c>
      <c r="BR62" s="273">
        <v>4.2900000000000002E-4</v>
      </c>
      <c r="BS62" s="273">
        <v>1.0809999999999999E-3</v>
      </c>
      <c r="BT62" s="273">
        <v>1.3899999999999999E-4</v>
      </c>
      <c r="BU62" s="273">
        <v>5.4599999999999996E-3</v>
      </c>
      <c r="BV62" s="273">
        <v>4.0090000000000004E-3</v>
      </c>
      <c r="BW62" s="273">
        <v>1.835288</v>
      </c>
      <c r="BX62" s="273">
        <v>2.8658980000000001</v>
      </c>
      <c r="BY62" s="273">
        <v>0.28685300000000002</v>
      </c>
      <c r="BZ62" s="273">
        <v>0.34502699999999997</v>
      </c>
      <c r="CA62" s="273">
        <v>5.1076999999999997E-2</v>
      </c>
      <c r="CB62" s="273">
        <v>4.5234999999999997E-2</v>
      </c>
      <c r="CC62" s="273">
        <v>5.195E-3</v>
      </c>
      <c r="CD62" s="273">
        <v>6.7000000000000002E-4</v>
      </c>
      <c r="CE62" s="273">
        <v>5.8640999999999999E-2</v>
      </c>
      <c r="CF62" s="273">
        <v>7.9746999999999998E-2</v>
      </c>
      <c r="CG62" s="273">
        <v>8.1702999999999998E-2</v>
      </c>
      <c r="CH62" s="273">
        <v>7.7183000000000002E-2</v>
      </c>
      <c r="CI62" s="273">
        <v>1.3357000000000001E-2</v>
      </c>
      <c r="CJ62" s="273">
        <v>1.0887000000000001E-2</v>
      </c>
      <c r="CK62" s="273">
        <v>1.0839999999999999E-3</v>
      </c>
      <c r="CL62" s="273">
        <v>8.3500000000000002E-4</v>
      </c>
      <c r="CM62" s="273">
        <v>3.4770000000000001E-3</v>
      </c>
      <c r="CN62" s="273">
        <v>5.2639999999999996E-3</v>
      </c>
      <c r="CO62" s="273">
        <v>0.12833700000000001</v>
      </c>
      <c r="CP62" s="273">
        <v>0.12981500000000001</v>
      </c>
      <c r="CQ62" s="273">
        <v>7.0749999999999997E-3</v>
      </c>
      <c r="CR62" s="273">
        <v>8.4670000000000006E-3</v>
      </c>
      <c r="CS62" s="273">
        <v>1.8325999999999999E-2</v>
      </c>
      <c r="CT62" s="273">
        <v>1.0697E-2</v>
      </c>
      <c r="CU62" s="273">
        <f t="shared" si="96"/>
        <v>1.2965644999999998E-4</v>
      </c>
      <c r="CV62" s="273">
        <f t="shared" si="82"/>
        <v>9.0571499000000009E-5</v>
      </c>
      <c r="CW62" s="273">
        <v>8.8036000000000003E-2</v>
      </c>
      <c r="CX62" s="273">
        <v>0.201372</v>
      </c>
      <c r="CY62" s="273">
        <f t="shared" si="97"/>
        <v>6.2285469999999996E-4</v>
      </c>
      <c r="CZ62" s="273">
        <f t="shared" si="83"/>
        <v>1.7050167240000001E-3</v>
      </c>
      <c r="DA62" s="273">
        <v>3.9899999999999999E-4</v>
      </c>
      <c r="DB62" s="273">
        <v>9.5399999999999999E-4</v>
      </c>
      <c r="DC62" s="273">
        <f t="shared" si="98"/>
        <v>6.3224888500000003E-3</v>
      </c>
      <c r="DD62" s="273">
        <f t="shared" si="84"/>
        <v>6.6714117770000003E-3</v>
      </c>
      <c r="DE62" s="273">
        <v>1.4300000000000001E-4</v>
      </c>
      <c r="DF62" s="273">
        <v>1.9799999999999999E-4</v>
      </c>
      <c r="DG62" s="273">
        <f t="shared" si="99"/>
        <v>1.2945111499999998E-3</v>
      </c>
      <c r="DH62" s="273">
        <f t="shared" si="85"/>
        <v>2.9475882230000001E-3</v>
      </c>
      <c r="DI62" s="273">
        <v>1.565E-3</v>
      </c>
      <c r="DJ62" s="273">
        <v>4.5399999999999998E-4</v>
      </c>
      <c r="DK62" s="273">
        <v>8.5400000000000005E-4</v>
      </c>
      <c r="DL62" s="273">
        <v>4.6299999999999998E-4</v>
      </c>
      <c r="DM62" s="273">
        <f t="shared" si="100"/>
        <v>2.4190000000000001E-3</v>
      </c>
      <c r="DN62" s="273">
        <f t="shared" si="86"/>
        <v>9.1699999999999995E-4</v>
      </c>
      <c r="DO62" s="273">
        <v>3.9350000000000001E-3</v>
      </c>
      <c r="DP62" s="273">
        <v>3.7799999999999999E-3</v>
      </c>
      <c r="DQ62" s="273">
        <v>4.6179999999999997E-3</v>
      </c>
      <c r="DR62" s="273">
        <v>1.163E-2</v>
      </c>
      <c r="DS62" s="273">
        <v>2.7713000000000002E-2</v>
      </c>
      <c r="DT62" s="273">
        <v>3.9587999999999998E-2</v>
      </c>
      <c r="DU62" s="273">
        <v>3.3159999999999999E-3</v>
      </c>
      <c r="DV62" s="273">
        <v>4.2880000000000001E-3</v>
      </c>
      <c r="DW62" s="273">
        <v>4.0188000000000001E-2</v>
      </c>
      <c r="DX62" s="273">
        <v>4.0188000000000001E-2</v>
      </c>
      <c r="DY62" s="273">
        <v>0.24904899999999999</v>
      </c>
      <c r="DZ62" s="273">
        <v>0.202732</v>
      </c>
      <c r="EA62" s="273">
        <v>5.9800000000000001E-4</v>
      </c>
      <c r="EB62" s="273">
        <v>9.2900000000000003E-4</v>
      </c>
      <c r="EC62" s="273">
        <v>3.8140000000000001E-3</v>
      </c>
      <c r="ED62" s="273">
        <v>3.8600000000000001E-3</v>
      </c>
      <c r="EE62" s="273"/>
      <c r="EF62" s="274"/>
    </row>
    <row r="63" spans="2:136" s="249" customFormat="1" ht="17.399999999999999">
      <c r="B63" s="286">
        <v>56</v>
      </c>
      <c r="C63" s="273">
        <v>4.7100000000000001E-4</v>
      </c>
      <c r="D63" s="273">
        <v>1.83E-4</v>
      </c>
      <c r="E63" s="273">
        <v>1.06E-4</v>
      </c>
      <c r="F63" s="273">
        <v>3.8000000000000002E-5</v>
      </c>
      <c r="G63" s="273">
        <v>2.6120000000000002E-3</v>
      </c>
      <c r="H63" s="273">
        <v>1.2819999999999999E-3</v>
      </c>
      <c r="I63" s="273">
        <v>5.7700000000000004E-4</v>
      </c>
      <c r="J63" s="273">
        <v>2.2100000000000001E-4</v>
      </c>
      <c r="K63" s="273">
        <v>3.6499999999999998E-4</v>
      </c>
      <c r="L63" s="273">
        <v>3.2600000000000001E-4</v>
      </c>
      <c r="M63" s="273">
        <f t="shared" si="87"/>
        <v>5.0913004779999989E-3</v>
      </c>
      <c r="N63" s="273">
        <f t="shared" si="77"/>
        <v>3.5342456890000008E-3</v>
      </c>
      <c r="O63" s="273">
        <f t="shared" si="88"/>
        <v>4.1638632800000003E-4</v>
      </c>
      <c r="P63" s="273">
        <f t="shared" si="89"/>
        <v>1.947240061E-3</v>
      </c>
      <c r="Q63" s="273">
        <v>6.3730000000000002E-3</v>
      </c>
      <c r="R63" s="273">
        <v>7.1630000000000001E-3</v>
      </c>
      <c r="S63" s="273">
        <v>1.039E-3</v>
      </c>
      <c r="T63" s="273">
        <v>0.27184700000000001</v>
      </c>
      <c r="U63" s="273">
        <v>6.5336000000000005E-2</v>
      </c>
      <c r="V63" s="273">
        <v>0</v>
      </c>
      <c r="W63" s="273">
        <v>1.9220999999999999E-2</v>
      </c>
      <c r="X63" s="273">
        <v>1.2496E-2</v>
      </c>
      <c r="Y63" s="273">
        <f t="shared" si="90"/>
        <v>1.22495433E-4</v>
      </c>
      <c r="Z63" s="273">
        <f t="shared" si="78"/>
        <v>8.9508847999999997E-5</v>
      </c>
      <c r="AA63" s="273">
        <v>8.3998000000000003E-2</v>
      </c>
      <c r="AB63" s="273">
        <v>0.20730299999999999</v>
      </c>
      <c r="AC63" s="273">
        <f t="shared" si="91"/>
        <v>5.3531925399999999E-4</v>
      </c>
      <c r="AD63" s="273">
        <f t="shared" si="79"/>
        <v>1.484911389E-3</v>
      </c>
      <c r="AE63" s="273">
        <v>2.4634E-2</v>
      </c>
      <c r="AF63" s="273">
        <v>1.3325999999999999E-2</v>
      </c>
      <c r="AG63" s="273">
        <f t="shared" si="92"/>
        <v>1.56992482E-4</v>
      </c>
      <c r="AH63" s="273">
        <f t="shared" si="80"/>
        <v>9.5454138000000002E-5</v>
      </c>
      <c r="AI63" s="273">
        <v>7.9249999999999998E-3</v>
      </c>
      <c r="AJ63" s="273">
        <v>1.6249999999999999E-3</v>
      </c>
      <c r="AK63" s="273">
        <f t="shared" si="93"/>
        <v>5.0506025000000002E-5</v>
      </c>
      <c r="AL63" s="273">
        <f t="shared" si="81"/>
        <v>1.1639875E-5</v>
      </c>
      <c r="AM63" s="273">
        <f t="shared" si="94"/>
        <v>6.3570675000000003E-4</v>
      </c>
      <c r="AN63" s="273">
        <f t="shared" si="95"/>
        <v>5.1715427400000002E-4</v>
      </c>
      <c r="AO63" s="273">
        <v>9.9750000000000005E-2</v>
      </c>
      <c r="AP63" s="273">
        <v>7.2197999999999998E-2</v>
      </c>
      <c r="AQ63" s="273">
        <v>4.1599999999999997E-4</v>
      </c>
      <c r="AR63" s="273">
        <v>9.01E-4</v>
      </c>
      <c r="AS63" s="273">
        <v>1.5899999999999999E-4</v>
      </c>
      <c r="AT63" s="273">
        <v>1.9900000000000001E-4</v>
      </c>
      <c r="AU63" s="273">
        <v>7.8399999999999997E-4</v>
      </c>
      <c r="AV63" s="273">
        <v>4.4099999999999999E-4</v>
      </c>
      <c r="AW63" s="273">
        <v>3.6000000000000001E-5</v>
      </c>
      <c r="AX63" s="273">
        <v>7.9999999999999996E-6</v>
      </c>
      <c r="AY63" s="273">
        <v>4.6999999999999997E-5</v>
      </c>
      <c r="AZ63" s="273">
        <v>6.2000000000000003E-5</v>
      </c>
      <c r="BA63" s="273">
        <v>2.5000000000000001E-4</v>
      </c>
      <c r="BB63" s="273">
        <v>5.7499999999999999E-4</v>
      </c>
      <c r="BC63" s="273">
        <v>0</v>
      </c>
      <c r="BD63" s="273">
        <v>0</v>
      </c>
      <c r="BE63" s="273">
        <v>3.9999999999999998E-6</v>
      </c>
      <c r="BF63" s="273">
        <v>3.9999999999999998E-6</v>
      </c>
      <c r="BG63" s="273">
        <v>1.37E-4</v>
      </c>
      <c r="BH63" s="273">
        <v>1.18E-4</v>
      </c>
      <c r="BI63" s="273">
        <v>2.8699999999999998E-4</v>
      </c>
      <c r="BJ63" s="273">
        <v>1.3300000000000001E-4</v>
      </c>
      <c r="BK63" s="273">
        <v>4.4299999999999998E-4</v>
      </c>
      <c r="BL63" s="273">
        <v>2.2699999999999999E-4</v>
      </c>
      <c r="BM63" s="273">
        <v>2.14E-4</v>
      </c>
      <c r="BN63" s="273">
        <v>4.0299999999999998E-4</v>
      </c>
      <c r="BO63" s="273">
        <v>7.9600000000000005E-4</v>
      </c>
      <c r="BP63" s="273">
        <v>6.69E-4</v>
      </c>
      <c r="BQ63" s="273">
        <v>5.9599999999999996E-4</v>
      </c>
      <c r="BR63" s="273">
        <v>4.3399999999999998E-4</v>
      </c>
      <c r="BS63" s="273">
        <v>1.1299999999999999E-3</v>
      </c>
      <c r="BT63" s="273">
        <v>1.5200000000000001E-4</v>
      </c>
      <c r="BU63" s="273">
        <v>6.2319999999999997E-3</v>
      </c>
      <c r="BV63" s="273">
        <v>4.5399999999999998E-3</v>
      </c>
      <c r="BW63" s="273">
        <v>1.935651</v>
      </c>
      <c r="BX63" s="273">
        <v>3.1122429999999999</v>
      </c>
      <c r="BY63" s="273">
        <v>0.30951099999999998</v>
      </c>
      <c r="BZ63" s="273">
        <v>0.37631399999999998</v>
      </c>
      <c r="CA63" s="273">
        <v>5.6042000000000002E-2</v>
      </c>
      <c r="CB63" s="273">
        <v>5.0169999999999999E-2</v>
      </c>
      <c r="CC63" s="273">
        <v>5.8180000000000003E-3</v>
      </c>
      <c r="CD63" s="273">
        <v>7.8200000000000003E-4</v>
      </c>
      <c r="CE63" s="273">
        <v>6.1011000000000003E-2</v>
      </c>
      <c r="CF63" s="273">
        <v>8.2307000000000005E-2</v>
      </c>
      <c r="CG63" s="273">
        <v>8.4213999999999997E-2</v>
      </c>
      <c r="CH63" s="273">
        <v>8.0523999999999998E-2</v>
      </c>
      <c r="CI63" s="273">
        <v>1.4213999999999999E-2</v>
      </c>
      <c r="CJ63" s="273">
        <v>1.1205E-2</v>
      </c>
      <c r="CK63" s="273">
        <v>1.1739999999999999E-3</v>
      </c>
      <c r="CL63" s="273">
        <v>9.0200000000000002E-4</v>
      </c>
      <c r="CM63" s="273">
        <v>3.6879999999999999E-3</v>
      </c>
      <c r="CN63" s="273">
        <v>5.3429999999999997E-3</v>
      </c>
      <c r="CO63" s="273">
        <v>0.13255400000000001</v>
      </c>
      <c r="CP63" s="273">
        <v>0.13361999999999999</v>
      </c>
      <c r="CQ63" s="273">
        <v>7.6429999999999996E-3</v>
      </c>
      <c r="CR63" s="273">
        <v>8.4910000000000003E-3</v>
      </c>
      <c r="CS63" s="273">
        <v>1.9023000000000002E-2</v>
      </c>
      <c r="CT63" s="273">
        <v>1.1592999999999999E-2</v>
      </c>
      <c r="CU63" s="273">
        <f t="shared" si="96"/>
        <v>1.4539278900000001E-4</v>
      </c>
      <c r="CV63" s="273">
        <f t="shared" si="82"/>
        <v>9.843616299999999E-5</v>
      </c>
      <c r="CW63" s="273">
        <v>7.7773999999999996E-2</v>
      </c>
      <c r="CX63" s="273">
        <v>0.19875499999999999</v>
      </c>
      <c r="CY63" s="273">
        <f t="shared" si="97"/>
        <v>5.9442668199999999E-4</v>
      </c>
      <c r="CZ63" s="273">
        <f t="shared" si="83"/>
        <v>1.687628705E-3</v>
      </c>
      <c r="DA63" s="273">
        <v>4.35E-4</v>
      </c>
      <c r="DB63" s="273">
        <v>9.2199999999999997E-4</v>
      </c>
      <c r="DC63" s="273">
        <f t="shared" si="98"/>
        <v>6.9031805289999993E-3</v>
      </c>
      <c r="DD63" s="273">
        <f t="shared" si="84"/>
        <v>6.7049351320000007E-3</v>
      </c>
      <c r="DE63" s="273">
        <v>1.46E-4</v>
      </c>
      <c r="DF63" s="273">
        <v>1.95E-4</v>
      </c>
      <c r="DG63" s="273">
        <f t="shared" si="99"/>
        <v>1.3208194710000001E-3</v>
      </c>
      <c r="DH63" s="273">
        <f t="shared" si="85"/>
        <v>2.9030648679999999E-3</v>
      </c>
      <c r="DI63" s="273">
        <v>1.668E-3</v>
      </c>
      <c r="DJ63" s="273">
        <v>4.86E-4</v>
      </c>
      <c r="DK63" s="273">
        <v>8.9300000000000002E-4</v>
      </c>
      <c r="DL63" s="273">
        <v>4.9700000000000005E-4</v>
      </c>
      <c r="DM63" s="273">
        <f t="shared" si="100"/>
        <v>2.5609999999999999E-3</v>
      </c>
      <c r="DN63" s="273">
        <f t="shared" si="86"/>
        <v>9.8299999999999993E-4</v>
      </c>
      <c r="DO63" s="273">
        <v>4.0179999999999999E-3</v>
      </c>
      <c r="DP63" s="273">
        <v>3.7320000000000001E-3</v>
      </c>
      <c r="DQ63" s="273">
        <v>4.653E-3</v>
      </c>
      <c r="DR63" s="273">
        <v>1.1795999999999999E-2</v>
      </c>
      <c r="DS63" s="273">
        <v>2.8243999999999998E-2</v>
      </c>
      <c r="DT63" s="273">
        <v>4.1758999999999998E-2</v>
      </c>
      <c r="DU63" s="273">
        <v>3.5439999999999998E-3</v>
      </c>
      <c r="DV63" s="273">
        <v>4.5370000000000002E-3</v>
      </c>
      <c r="DW63" s="273">
        <v>4.0188000000000001E-2</v>
      </c>
      <c r="DX63" s="273">
        <v>4.0188000000000001E-2</v>
      </c>
      <c r="DY63" s="273">
        <v>0.26827200000000001</v>
      </c>
      <c r="DZ63" s="273">
        <v>0.215725</v>
      </c>
      <c r="EA63" s="273">
        <v>6.96E-4</v>
      </c>
      <c r="EB63" s="273">
        <v>1.0820000000000001E-3</v>
      </c>
      <c r="EC63" s="273">
        <v>3.859E-3</v>
      </c>
      <c r="ED63" s="273">
        <v>3.826E-3</v>
      </c>
      <c r="EE63" s="273"/>
      <c r="EF63" s="274"/>
    </row>
    <row r="64" spans="2:136" s="249" customFormat="1" ht="17.399999999999999">
      <c r="B64" s="286">
        <v>57</v>
      </c>
      <c r="C64" s="273">
        <v>5.4699999999999996E-4</v>
      </c>
      <c r="D64" s="273">
        <v>2.1599999999999999E-4</v>
      </c>
      <c r="E64" s="273">
        <v>1.06E-4</v>
      </c>
      <c r="F64" s="273">
        <v>3.8000000000000002E-5</v>
      </c>
      <c r="G64" s="273">
        <v>2.8389999999999999E-3</v>
      </c>
      <c r="H64" s="273">
        <v>1.369E-3</v>
      </c>
      <c r="I64" s="273">
        <v>6.5299999999999993E-4</v>
      </c>
      <c r="J64" s="273">
        <v>2.5399999999999999E-4</v>
      </c>
      <c r="K64" s="273">
        <v>3.6499999999999998E-4</v>
      </c>
      <c r="L64" s="273">
        <v>3.2600000000000001E-4</v>
      </c>
      <c r="M64" s="273">
        <f t="shared" si="87"/>
        <v>5.5525182570000005E-3</v>
      </c>
      <c r="N64" s="273">
        <f t="shared" si="77"/>
        <v>3.6743699339999995E-3</v>
      </c>
      <c r="O64" s="273">
        <f t="shared" si="88"/>
        <v>5.0357173899999994E-4</v>
      </c>
      <c r="P64" s="273">
        <f t="shared" si="89"/>
        <v>1.8619966699999998E-3</v>
      </c>
      <c r="Q64" s="273">
        <v>6.9189999999999998E-3</v>
      </c>
      <c r="R64" s="273">
        <v>7.2189999999999997E-3</v>
      </c>
      <c r="S64" s="273">
        <v>1.1119999999999999E-3</v>
      </c>
      <c r="T64" s="273">
        <v>0.25792999999999999</v>
      </c>
      <c r="U64" s="273">
        <v>7.2780999999999998E-2</v>
      </c>
      <c r="V64" s="273">
        <v>0</v>
      </c>
      <c r="W64" s="273">
        <v>1.9859999999999999E-2</v>
      </c>
      <c r="X64" s="273">
        <v>1.3481999999999999E-2</v>
      </c>
      <c r="Y64" s="273">
        <f t="shared" si="90"/>
        <v>1.3741133999999999E-4</v>
      </c>
      <c r="Z64" s="273">
        <f t="shared" si="78"/>
        <v>9.7326557999999989E-5</v>
      </c>
      <c r="AA64" s="273">
        <v>7.2432999999999997E-2</v>
      </c>
      <c r="AB64" s="273">
        <v>0.20433100000000001</v>
      </c>
      <c r="AC64" s="273">
        <f t="shared" si="91"/>
        <v>5.0116392699999998E-4</v>
      </c>
      <c r="AD64" s="273">
        <f t="shared" si="79"/>
        <v>1.475065489E-3</v>
      </c>
      <c r="AE64" s="273">
        <v>2.4119000000000002E-2</v>
      </c>
      <c r="AF64" s="273">
        <v>1.3481999999999999E-2</v>
      </c>
      <c r="AG64" s="273">
        <f t="shared" si="92"/>
        <v>1.6687936100000001E-4</v>
      </c>
      <c r="AH64" s="273">
        <f t="shared" si="80"/>
        <v>9.7326557999999989E-5</v>
      </c>
      <c r="AI64" s="273">
        <v>8.3040000000000006E-3</v>
      </c>
      <c r="AJ64" s="273">
        <v>1.789E-3</v>
      </c>
      <c r="AK64" s="273">
        <f t="shared" si="93"/>
        <v>5.7455376E-5</v>
      </c>
      <c r="AL64" s="273">
        <f t="shared" si="81"/>
        <v>1.2914790999999999E-5</v>
      </c>
      <c r="AM64" s="273">
        <f t="shared" si="94"/>
        <v>6.8974127200000001E-4</v>
      </c>
      <c r="AN64" s="273">
        <f t="shared" si="95"/>
        <v>5.5828858400000004E-4</v>
      </c>
      <c r="AO64" s="273">
        <v>9.9687999999999999E-2</v>
      </c>
      <c r="AP64" s="273">
        <v>7.7336000000000002E-2</v>
      </c>
      <c r="AQ64" s="273">
        <v>4.4900000000000002E-4</v>
      </c>
      <c r="AR64" s="273">
        <v>9.0499999999999999E-4</v>
      </c>
      <c r="AS64" s="273">
        <v>1.64E-4</v>
      </c>
      <c r="AT64" s="273">
        <v>1.9900000000000001E-4</v>
      </c>
      <c r="AU64" s="273">
        <v>8.2700000000000004E-4</v>
      </c>
      <c r="AV64" s="273">
        <v>4.6700000000000002E-4</v>
      </c>
      <c r="AW64" s="273">
        <v>3.4999999999999997E-5</v>
      </c>
      <c r="AX64" s="273">
        <v>7.9999999999999996E-6</v>
      </c>
      <c r="AY64" s="273">
        <v>5.1999999999999997E-5</v>
      </c>
      <c r="AZ64" s="273">
        <v>6.6000000000000005E-5</v>
      </c>
      <c r="BA64" s="273">
        <v>2.5900000000000001E-4</v>
      </c>
      <c r="BB64" s="273">
        <v>5.9500000000000004E-4</v>
      </c>
      <c r="BC64" s="273">
        <v>0</v>
      </c>
      <c r="BD64" s="273">
        <v>0</v>
      </c>
      <c r="BE64" s="273">
        <v>3.9999999999999998E-6</v>
      </c>
      <c r="BF64" s="273">
        <v>3.9999999999999998E-6</v>
      </c>
      <c r="BG64" s="273">
        <v>1.47E-4</v>
      </c>
      <c r="BH64" s="273">
        <v>1.2400000000000001E-4</v>
      </c>
      <c r="BI64" s="273">
        <v>2.9599999999999998E-4</v>
      </c>
      <c r="BJ64" s="273">
        <v>1.34E-4</v>
      </c>
      <c r="BK64" s="273">
        <v>4.64E-4</v>
      </c>
      <c r="BL64" s="273">
        <v>2.3699999999999999E-4</v>
      </c>
      <c r="BM64" s="273">
        <v>2.24E-4</v>
      </c>
      <c r="BN64" s="273">
        <v>4.26E-4</v>
      </c>
      <c r="BO64" s="273">
        <v>8.0199999999999998E-4</v>
      </c>
      <c r="BP64" s="273">
        <v>6.9499999999999998E-4</v>
      </c>
      <c r="BQ64" s="273">
        <v>6.0999999999999997E-4</v>
      </c>
      <c r="BR64" s="273">
        <v>4.4299999999999998E-4</v>
      </c>
      <c r="BS64" s="273">
        <v>1.181E-3</v>
      </c>
      <c r="BT64" s="273">
        <v>1.66E-4</v>
      </c>
      <c r="BU64" s="273">
        <v>6.6540000000000002E-3</v>
      </c>
      <c r="BV64" s="273">
        <v>4.8520000000000004E-3</v>
      </c>
      <c r="BW64" s="273">
        <v>2.050157</v>
      </c>
      <c r="BX64" s="273">
        <v>3.335261</v>
      </c>
      <c r="BY64" s="273">
        <v>0.33625899999999997</v>
      </c>
      <c r="BZ64" s="273">
        <v>0.408223</v>
      </c>
      <c r="CA64" s="273">
        <v>6.1269999999999998E-2</v>
      </c>
      <c r="CB64" s="273">
        <v>5.5148999999999997E-2</v>
      </c>
      <c r="CC64" s="273">
        <v>6.2570000000000004E-3</v>
      </c>
      <c r="CD64" s="273">
        <v>8.7699999999999996E-4</v>
      </c>
      <c r="CE64" s="273">
        <v>6.3295000000000004E-2</v>
      </c>
      <c r="CF64" s="273">
        <v>8.4782999999999997E-2</v>
      </c>
      <c r="CG64" s="273">
        <v>8.6550000000000002E-2</v>
      </c>
      <c r="CH64" s="273">
        <v>8.3842E-2</v>
      </c>
      <c r="CI64" s="273">
        <v>1.5073E-2</v>
      </c>
      <c r="CJ64" s="273">
        <v>1.1508000000000001E-2</v>
      </c>
      <c r="CK64" s="273">
        <v>1.266E-3</v>
      </c>
      <c r="CL64" s="273">
        <v>9.7099999999999997E-4</v>
      </c>
      <c r="CM64" s="273">
        <v>3.8990000000000001E-3</v>
      </c>
      <c r="CN64" s="273">
        <v>5.4079999999999996E-3</v>
      </c>
      <c r="CO64" s="273">
        <v>0.136515</v>
      </c>
      <c r="CP64" s="273">
        <v>0.13725999999999999</v>
      </c>
      <c r="CQ64" s="273">
        <v>8.2839999999999997E-3</v>
      </c>
      <c r="CR64" s="273">
        <v>8.5419999999999992E-3</v>
      </c>
      <c r="CS64" s="273">
        <v>1.9748000000000002E-2</v>
      </c>
      <c r="CT64" s="273">
        <v>1.2447E-2</v>
      </c>
      <c r="CU64" s="273">
        <f t="shared" si="96"/>
        <v>1.6359243200000001E-4</v>
      </c>
      <c r="CV64" s="273">
        <f t="shared" si="82"/>
        <v>1.0632227399999999E-4</v>
      </c>
      <c r="CW64" s="273">
        <v>6.7512000000000003E-2</v>
      </c>
      <c r="CX64" s="273">
        <v>0.19613800000000001</v>
      </c>
      <c r="CY64" s="273">
        <f t="shared" si="97"/>
        <v>5.5926940800000004E-4</v>
      </c>
      <c r="CZ64" s="273">
        <f t="shared" si="83"/>
        <v>1.6754107959999999E-3</v>
      </c>
      <c r="DA64" s="273">
        <v>4.6900000000000002E-4</v>
      </c>
      <c r="DB64" s="273">
        <v>9.0700000000000004E-4</v>
      </c>
      <c r="DC64" s="273">
        <f t="shared" si="98"/>
        <v>7.5611381599999987E-3</v>
      </c>
      <c r="DD64" s="273">
        <f t="shared" si="84"/>
        <v>6.7602669299999989E-3</v>
      </c>
      <c r="DE64" s="273">
        <v>1.5300000000000001E-4</v>
      </c>
      <c r="DF64" s="273">
        <v>1.95E-4</v>
      </c>
      <c r="DG64" s="273">
        <f t="shared" si="99"/>
        <v>1.34486184E-3</v>
      </c>
      <c r="DH64" s="273">
        <f t="shared" si="85"/>
        <v>2.88373307E-3</v>
      </c>
      <c r="DI64" s="273">
        <v>1.771E-3</v>
      </c>
      <c r="DJ64" s="273">
        <v>5.1800000000000001E-4</v>
      </c>
      <c r="DK64" s="273">
        <v>9.3300000000000002E-4</v>
      </c>
      <c r="DL64" s="273">
        <v>5.3300000000000005E-4</v>
      </c>
      <c r="DM64" s="273">
        <f t="shared" si="100"/>
        <v>2.7039999999999998E-3</v>
      </c>
      <c r="DN64" s="273">
        <f t="shared" si="86"/>
        <v>1.0510000000000001E-3</v>
      </c>
      <c r="DO64" s="273">
        <v>4.0590000000000001E-3</v>
      </c>
      <c r="DP64" s="273">
        <v>3.7309999999999999E-3</v>
      </c>
      <c r="DQ64" s="273">
        <v>4.7010000000000003E-3</v>
      </c>
      <c r="DR64" s="273">
        <v>1.1779E-2</v>
      </c>
      <c r="DS64" s="273">
        <v>2.8688000000000002E-2</v>
      </c>
      <c r="DT64" s="273">
        <v>4.3435000000000001E-2</v>
      </c>
      <c r="DU64" s="273">
        <v>3.7390000000000001E-3</v>
      </c>
      <c r="DV64" s="273">
        <v>4.8219999999999999E-3</v>
      </c>
      <c r="DW64" s="273">
        <v>4.0188000000000001E-2</v>
      </c>
      <c r="DX64" s="273">
        <v>4.0188000000000001E-2</v>
      </c>
      <c r="DY64" s="273">
        <v>0.28646199999999999</v>
      </c>
      <c r="DZ64" s="273">
        <v>0.22863800000000001</v>
      </c>
      <c r="EA64" s="273">
        <v>8.0000000000000004E-4</v>
      </c>
      <c r="EB64" s="273">
        <v>1.238E-3</v>
      </c>
      <c r="EC64" s="273">
        <v>3.9039999999999999E-3</v>
      </c>
      <c r="ED64" s="273">
        <v>3.7919999999999998E-3</v>
      </c>
      <c r="EE64" s="273"/>
      <c r="EF64" s="274"/>
    </row>
    <row r="65" spans="2:136" s="249" customFormat="1" ht="17.399999999999999">
      <c r="B65" s="286">
        <v>58</v>
      </c>
      <c r="C65" s="273">
        <v>6.3199999999999997E-4</v>
      </c>
      <c r="D65" s="273">
        <v>2.5300000000000002E-4</v>
      </c>
      <c r="E65" s="273">
        <v>1.06E-4</v>
      </c>
      <c r="F65" s="273">
        <v>3.8000000000000002E-5</v>
      </c>
      <c r="G65" s="273">
        <v>3.107E-3</v>
      </c>
      <c r="H65" s="273">
        <v>1.464E-3</v>
      </c>
      <c r="I65" s="273">
        <v>7.3799999999999994E-4</v>
      </c>
      <c r="J65" s="273">
        <v>2.9100000000000003E-4</v>
      </c>
      <c r="K65" s="273">
        <v>3.6499999999999998E-4</v>
      </c>
      <c r="L65" s="273">
        <v>3.2600000000000001E-4</v>
      </c>
      <c r="M65" s="273">
        <f t="shared" si="87"/>
        <v>6.0440958619999994E-3</v>
      </c>
      <c r="N65" s="273">
        <f t="shared" si="77"/>
        <v>3.8256847639999998E-3</v>
      </c>
      <c r="O65" s="273">
        <f t="shared" si="88"/>
        <v>6.2055701499999993E-4</v>
      </c>
      <c r="P65" s="273">
        <f t="shared" si="89"/>
        <v>1.8298474880000001E-3</v>
      </c>
      <c r="Q65" s="273">
        <v>7.5709999999999996E-3</v>
      </c>
      <c r="R65" s="273">
        <v>7.3330000000000001E-3</v>
      </c>
      <c r="S65" s="273">
        <v>1.168E-3</v>
      </c>
      <c r="T65" s="273">
        <v>0.24953600000000001</v>
      </c>
      <c r="U65" s="273">
        <v>8.1964999999999996E-2</v>
      </c>
      <c r="V65" s="273">
        <v>0</v>
      </c>
      <c r="W65" s="273">
        <v>1.9266999999999999E-2</v>
      </c>
      <c r="X65" s="273">
        <v>1.5036000000000001E-2</v>
      </c>
      <c r="Y65" s="273">
        <f t="shared" si="90"/>
        <v>1.45870457E-4</v>
      </c>
      <c r="Z65" s="273">
        <f t="shared" si="78"/>
        <v>1.1025898800000001E-4</v>
      </c>
      <c r="AA65" s="273">
        <v>6.8231E-2</v>
      </c>
      <c r="AB65" s="273">
        <v>0.19797699999999999</v>
      </c>
      <c r="AC65" s="273">
        <f t="shared" si="91"/>
        <v>5.1657690100000001E-4</v>
      </c>
      <c r="AD65" s="273">
        <f t="shared" si="79"/>
        <v>1.451765341E-3</v>
      </c>
      <c r="AE65" s="273">
        <v>2.3695000000000001E-2</v>
      </c>
      <c r="AF65" s="273">
        <v>1.3847E-2</v>
      </c>
      <c r="AG65" s="273">
        <f t="shared" si="92"/>
        <v>1.79394845E-4</v>
      </c>
      <c r="AH65" s="273">
        <f t="shared" si="80"/>
        <v>1.0154005100000001E-4</v>
      </c>
      <c r="AI65" s="273">
        <v>8.5199999999999998E-3</v>
      </c>
      <c r="AJ65" s="273">
        <v>1.8959999999999999E-3</v>
      </c>
      <c r="AK65" s="273">
        <f t="shared" si="93"/>
        <v>6.4504920000000001E-5</v>
      </c>
      <c r="AL65" s="273">
        <f t="shared" si="81"/>
        <v>1.3903367999999999E-5</v>
      </c>
      <c r="AM65" s="273">
        <f t="shared" si="94"/>
        <v>7.4594034599999998E-4</v>
      </c>
      <c r="AN65" s="273">
        <f t="shared" si="95"/>
        <v>5.8900855900000007E-4</v>
      </c>
      <c r="AO65" s="273">
        <v>9.8526000000000002E-2</v>
      </c>
      <c r="AP65" s="273">
        <v>8.0323000000000006E-2</v>
      </c>
      <c r="AQ65" s="273">
        <v>4.8299999999999998E-4</v>
      </c>
      <c r="AR65" s="273">
        <v>9.1200000000000005E-4</v>
      </c>
      <c r="AS65" s="273">
        <v>1.7000000000000001E-4</v>
      </c>
      <c r="AT65" s="273">
        <v>2.02E-4</v>
      </c>
      <c r="AU65" s="273">
        <v>8.7100000000000003E-4</v>
      </c>
      <c r="AV65" s="273">
        <v>4.9399999999999997E-4</v>
      </c>
      <c r="AW65" s="273">
        <v>3.4E-5</v>
      </c>
      <c r="AX65" s="273">
        <v>7.9999999999999996E-6</v>
      </c>
      <c r="AY65" s="273">
        <v>5.5999999999999999E-5</v>
      </c>
      <c r="AZ65" s="273">
        <v>6.8999999999999997E-5</v>
      </c>
      <c r="BA65" s="273">
        <v>2.6699999999999998E-4</v>
      </c>
      <c r="BB65" s="273">
        <v>6.11E-4</v>
      </c>
      <c r="BC65" s="273">
        <v>0</v>
      </c>
      <c r="BD65" s="273">
        <v>0</v>
      </c>
      <c r="BE65" s="273">
        <v>5.0000000000000004E-6</v>
      </c>
      <c r="BF65" s="273">
        <v>3.9999999999999998E-6</v>
      </c>
      <c r="BG65" s="273">
        <v>1.5699999999999999E-4</v>
      </c>
      <c r="BH65" s="273">
        <v>1.2899999999999999E-4</v>
      </c>
      <c r="BI65" s="273">
        <v>3.01E-4</v>
      </c>
      <c r="BJ65" s="273">
        <v>1.35E-4</v>
      </c>
      <c r="BK65" s="273">
        <v>4.8299999999999998E-4</v>
      </c>
      <c r="BL65" s="273">
        <v>2.4800000000000001E-4</v>
      </c>
      <c r="BM65" s="273">
        <v>2.2900000000000001E-4</v>
      </c>
      <c r="BN65" s="273">
        <v>4.3800000000000002E-4</v>
      </c>
      <c r="BO65" s="273">
        <v>8.0400000000000003E-4</v>
      </c>
      <c r="BP65" s="273">
        <v>7.1299999999999998E-4</v>
      </c>
      <c r="BQ65" s="273">
        <v>6.2200000000000005E-4</v>
      </c>
      <c r="BR65" s="273">
        <v>4.5800000000000002E-4</v>
      </c>
      <c r="BS65" s="273">
        <v>1.2359999999999999E-3</v>
      </c>
      <c r="BT65" s="273">
        <v>1.8100000000000001E-4</v>
      </c>
      <c r="BU65" s="273">
        <v>6.7650000000000002E-3</v>
      </c>
      <c r="BV65" s="273">
        <v>4.9880000000000002E-3</v>
      </c>
      <c r="BW65" s="273">
        <v>2.1823730000000001</v>
      </c>
      <c r="BX65" s="273">
        <v>3.5396239999999999</v>
      </c>
      <c r="BY65" s="273">
        <v>0.36836400000000002</v>
      </c>
      <c r="BZ65" s="273">
        <v>0.44101200000000002</v>
      </c>
      <c r="CA65" s="273">
        <v>6.8065000000000001E-2</v>
      </c>
      <c r="CB65" s="273">
        <v>6.1745000000000001E-2</v>
      </c>
      <c r="CC65" s="273">
        <v>6.5329999999999997E-3</v>
      </c>
      <c r="CD65" s="273">
        <v>9.5399999999999999E-4</v>
      </c>
      <c r="CE65" s="273">
        <v>6.5644999999999995E-2</v>
      </c>
      <c r="CF65" s="273">
        <v>8.6389999999999995E-2</v>
      </c>
      <c r="CG65" s="273">
        <v>8.8553000000000007E-2</v>
      </c>
      <c r="CH65" s="273">
        <v>8.7831000000000006E-2</v>
      </c>
      <c r="CI65" s="273">
        <v>1.5814999999999999E-2</v>
      </c>
      <c r="CJ65" s="273">
        <v>1.1882E-2</v>
      </c>
      <c r="CK65" s="273">
        <v>1.3940000000000001E-3</v>
      </c>
      <c r="CL65" s="273">
        <v>1.011E-3</v>
      </c>
      <c r="CM65" s="273">
        <v>4.163E-3</v>
      </c>
      <c r="CN65" s="273">
        <v>5.4619999999999998E-3</v>
      </c>
      <c r="CO65" s="273">
        <v>0.140684</v>
      </c>
      <c r="CP65" s="273">
        <v>0.14187</v>
      </c>
      <c r="CQ65" s="273">
        <v>9.0259999999999993E-3</v>
      </c>
      <c r="CR65" s="273">
        <v>8.6210000000000002E-3</v>
      </c>
      <c r="CS65" s="273">
        <v>1.916E-2</v>
      </c>
      <c r="CT65" s="273">
        <v>1.3946999999999999E-2</v>
      </c>
      <c r="CU65" s="273">
        <f t="shared" si="96"/>
        <v>1.7293815999999999E-4</v>
      </c>
      <c r="CV65" s="273">
        <f t="shared" si="82"/>
        <v>1.20237087E-4</v>
      </c>
      <c r="CW65" s="273">
        <v>6.3189999999999996E-2</v>
      </c>
      <c r="CX65" s="273">
        <v>0.191854</v>
      </c>
      <c r="CY65" s="273">
        <f t="shared" si="97"/>
        <v>5.7035293999999992E-4</v>
      </c>
      <c r="CZ65" s="273">
        <f t="shared" si="83"/>
        <v>1.653973334E-3</v>
      </c>
      <c r="DA65" s="273">
        <v>5.0000000000000001E-4</v>
      </c>
      <c r="DB65" s="273">
        <v>9.1200000000000005E-4</v>
      </c>
      <c r="DC65" s="273">
        <f t="shared" si="98"/>
        <v>8.2827088999999996E-3</v>
      </c>
      <c r="DD65" s="273">
        <f t="shared" si="84"/>
        <v>6.8467895790000005E-3</v>
      </c>
      <c r="DE65" s="273">
        <v>1.6100000000000001E-4</v>
      </c>
      <c r="DF65" s="273">
        <v>1.9799999999999999E-4</v>
      </c>
      <c r="DG65" s="273">
        <f t="shared" si="99"/>
        <v>1.4042910999999998E-3</v>
      </c>
      <c r="DH65" s="273">
        <f t="shared" si="85"/>
        <v>2.884210421E-3</v>
      </c>
      <c r="DI65" s="273">
        <v>1.8580000000000001E-3</v>
      </c>
      <c r="DJ65" s="273">
        <v>5.5699999999999999E-4</v>
      </c>
      <c r="DK65" s="273">
        <v>9.7300000000000002E-4</v>
      </c>
      <c r="DL65" s="273">
        <v>5.71E-4</v>
      </c>
      <c r="DM65" s="273">
        <f t="shared" si="100"/>
        <v>2.8310000000000002E-3</v>
      </c>
      <c r="DN65" s="273">
        <f t="shared" si="86"/>
        <v>1.1280000000000001E-3</v>
      </c>
      <c r="DO65" s="273">
        <v>4.0509999999999999E-3</v>
      </c>
      <c r="DP65" s="273">
        <v>3.7750000000000001E-3</v>
      </c>
      <c r="DQ65" s="273">
        <v>4.7520000000000001E-3</v>
      </c>
      <c r="DR65" s="273">
        <v>1.1495E-2</v>
      </c>
      <c r="DS65" s="273">
        <v>2.9038999999999999E-2</v>
      </c>
      <c r="DT65" s="273">
        <v>4.4499999999999998E-2</v>
      </c>
      <c r="DU65" s="273">
        <v>3.9029999999999998E-3</v>
      </c>
      <c r="DV65" s="273">
        <v>5.1529999999999996E-3</v>
      </c>
      <c r="DW65" s="273">
        <v>4.0188000000000001E-2</v>
      </c>
      <c r="DX65" s="273">
        <v>4.0188000000000001E-2</v>
      </c>
      <c r="DY65" s="273">
        <v>0.30381599999999997</v>
      </c>
      <c r="DZ65" s="273">
        <v>0.24146899999999999</v>
      </c>
      <c r="EA65" s="273">
        <v>9.1E-4</v>
      </c>
      <c r="EB65" s="273">
        <v>1.3979999999999999E-3</v>
      </c>
      <c r="EC65" s="273">
        <v>3.9490000000000003E-3</v>
      </c>
      <c r="ED65" s="273">
        <v>3.7580000000000001E-3</v>
      </c>
      <c r="EE65" s="273"/>
      <c r="EF65" s="274"/>
    </row>
    <row r="66" spans="2:136" s="249" customFormat="1" ht="17.399999999999999">
      <c r="B66" s="286">
        <v>59</v>
      </c>
      <c r="C66" s="273">
        <v>7.2599999999999997E-4</v>
      </c>
      <c r="D66" s="273">
        <v>2.9700000000000001E-4</v>
      </c>
      <c r="E66" s="273">
        <v>1.06E-4</v>
      </c>
      <c r="F66" s="273">
        <v>3.8000000000000002E-5</v>
      </c>
      <c r="G66" s="273">
        <v>3.3990000000000001E-3</v>
      </c>
      <c r="H66" s="273">
        <v>1.5610000000000001E-3</v>
      </c>
      <c r="I66" s="273">
        <v>8.3199999999999995E-4</v>
      </c>
      <c r="J66" s="273">
        <v>3.3500000000000001E-4</v>
      </c>
      <c r="K66" s="273">
        <v>3.6499999999999998E-4</v>
      </c>
      <c r="L66" s="273">
        <v>3.2600000000000001E-4</v>
      </c>
      <c r="M66" s="273">
        <f t="shared" si="87"/>
        <v>6.5909109900000006E-3</v>
      </c>
      <c r="N66" s="273">
        <f t="shared" si="77"/>
        <v>4.0034326120000005E-3</v>
      </c>
      <c r="O66" s="273">
        <f t="shared" si="88"/>
        <v>7.5663614999999993E-4</v>
      </c>
      <c r="P66" s="273">
        <f t="shared" si="89"/>
        <v>1.806635864E-3</v>
      </c>
      <c r="Q66" s="273">
        <v>8.3009999999999994E-3</v>
      </c>
      <c r="R66" s="273">
        <v>7.4920000000000004E-3</v>
      </c>
      <c r="S66" s="273">
        <v>1.075E-3</v>
      </c>
      <c r="T66" s="273">
        <v>0.241142</v>
      </c>
      <c r="U66" s="273">
        <v>9.1149999999999995E-2</v>
      </c>
      <c r="V66" s="273">
        <v>0</v>
      </c>
      <c r="W66" s="273">
        <v>1.8811999999999999E-2</v>
      </c>
      <c r="X66" s="273">
        <v>1.6648E-2</v>
      </c>
      <c r="Y66" s="273">
        <f t="shared" si="90"/>
        <v>1.5615841199999997E-4</v>
      </c>
      <c r="Z66" s="273">
        <f t="shared" si="78"/>
        <v>1.2472681599999999E-4</v>
      </c>
      <c r="AA66" s="273">
        <v>6.4038999999999999E-2</v>
      </c>
      <c r="AB66" s="273">
        <v>0.191633</v>
      </c>
      <c r="AC66" s="273">
        <f t="shared" si="91"/>
        <v>5.315877389999999E-4</v>
      </c>
      <c r="AD66" s="273">
        <f t="shared" si="79"/>
        <v>1.435714436E-3</v>
      </c>
      <c r="AE66" s="273">
        <v>2.3272000000000001E-2</v>
      </c>
      <c r="AF66" s="273">
        <v>1.4212000000000001E-2</v>
      </c>
      <c r="AG66" s="273">
        <f t="shared" si="92"/>
        <v>1.93180872E-4</v>
      </c>
      <c r="AH66" s="273">
        <f t="shared" si="80"/>
        <v>1.0647630400000001E-4</v>
      </c>
      <c r="AI66" s="273">
        <v>8.737E-3</v>
      </c>
      <c r="AJ66" s="273">
        <v>2.0040000000000001E-3</v>
      </c>
      <c r="AK66" s="273">
        <f t="shared" si="93"/>
        <v>7.252583699999999E-5</v>
      </c>
      <c r="AL66" s="273">
        <f t="shared" si="81"/>
        <v>1.5013968000000001E-5</v>
      </c>
      <c r="AM66" s="273">
        <f t="shared" si="94"/>
        <v>8.08218564E-4</v>
      </c>
      <c r="AN66" s="273">
        <f t="shared" si="95"/>
        <v>6.2415851999999996E-4</v>
      </c>
      <c r="AO66" s="273">
        <v>9.7364000000000006E-2</v>
      </c>
      <c r="AP66" s="273">
        <v>8.3309999999999995E-2</v>
      </c>
      <c r="AQ66" s="273">
        <v>5.1699999999999999E-4</v>
      </c>
      <c r="AR66" s="273">
        <v>9.19E-4</v>
      </c>
      <c r="AS66" s="273">
        <v>1.7899999999999999E-4</v>
      </c>
      <c r="AT66" s="273">
        <v>2.05E-4</v>
      </c>
      <c r="AU66" s="273">
        <v>9.1399999999999999E-4</v>
      </c>
      <c r="AV66" s="273">
        <v>5.1999999999999995E-4</v>
      </c>
      <c r="AW66" s="273">
        <v>3.1999999999999999E-5</v>
      </c>
      <c r="AX66" s="273">
        <v>7.9999999999999996E-6</v>
      </c>
      <c r="AY66" s="273">
        <v>6.0999999999999999E-5</v>
      </c>
      <c r="AZ66" s="273">
        <v>7.2000000000000002E-5</v>
      </c>
      <c r="BA66" s="273">
        <v>2.7300000000000002E-4</v>
      </c>
      <c r="BB66" s="273">
        <v>6.2299999999999996E-4</v>
      </c>
      <c r="BC66" s="273">
        <v>0</v>
      </c>
      <c r="BD66" s="273">
        <v>0</v>
      </c>
      <c r="BE66" s="273">
        <v>5.0000000000000004E-6</v>
      </c>
      <c r="BF66" s="273">
        <v>3.9999999999999998E-6</v>
      </c>
      <c r="BG66" s="273">
        <v>1.6699999999999999E-4</v>
      </c>
      <c r="BH66" s="273">
        <v>1.35E-4</v>
      </c>
      <c r="BI66" s="273">
        <v>3.0499999999999999E-4</v>
      </c>
      <c r="BJ66" s="273">
        <v>1.37E-4</v>
      </c>
      <c r="BK66" s="273">
        <v>5.0000000000000001E-4</v>
      </c>
      <c r="BL66" s="273">
        <v>2.5700000000000001E-4</v>
      </c>
      <c r="BM66" s="273">
        <v>2.33E-4</v>
      </c>
      <c r="BN66" s="273">
        <v>4.4999999999999999E-4</v>
      </c>
      <c r="BO66" s="273">
        <v>8.0400000000000003E-4</v>
      </c>
      <c r="BP66" s="273">
        <v>7.2400000000000003E-4</v>
      </c>
      <c r="BQ66" s="273">
        <v>6.3400000000000001E-4</v>
      </c>
      <c r="BR66" s="273">
        <v>4.7800000000000002E-4</v>
      </c>
      <c r="BS66" s="273">
        <v>1.2949999999999999E-3</v>
      </c>
      <c r="BT66" s="273">
        <v>1.9799999999999999E-4</v>
      </c>
      <c r="BU66" s="273">
        <v>6.7970000000000001E-3</v>
      </c>
      <c r="BV66" s="273">
        <v>5.1180000000000002E-3</v>
      </c>
      <c r="BW66" s="273">
        <v>2.3298809999999999</v>
      </c>
      <c r="BX66" s="273">
        <v>3.728167</v>
      </c>
      <c r="BY66" s="273">
        <v>0.40571800000000002</v>
      </c>
      <c r="BZ66" s="273">
        <v>0.47481600000000002</v>
      </c>
      <c r="CA66" s="273">
        <v>7.5447E-2</v>
      </c>
      <c r="CB66" s="273">
        <v>6.8791000000000005E-2</v>
      </c>
      <c r="CC66" s="273">
        <v>6.7790000000000003E-3</v>
      </c>
      <c r="CD66" s="273">
        <v>1.0330000000000001E-3</v>
      </c>
      <c r="CE66" s="273">
        <v>6.7924999999999999E-2</v>
      </c>
      <c r="CF66" s="273">
        <v>8.7910000000000002E-2</v>
      </c>
      <c r="CG66" s="273">
        <v>9.0387999999999996E-2</v>
      </c>
      <c r="CH66" s="273">
        <v>9.1884999999999994E-2</v>
      </c>
      <c r="CI66" s="273">
        <v>1.6551E-2</v>
      </c>
      <c r="CJ66" s="273">
        <v>1.2253E-2</v>
      </c>
      <c r="CK66" s="273">
        <v>1.526E-3</v>
      </c>
      <c r="CL66" s="273">
        <v>1.0529999999999999E-3</v>
      </c>
      <c r="CM66" s="273">
        <v>4.4279999999999996E-3</v>
      </c>
      <c r="CN66" s="273">
        <v>5.5079999999999999E-3</v>
      </c>
      <c r="CO66" s="273">
        <v>0.144647</v>
      </c>
      <c r="CP66" s="273">
        <v>0.14646600000000001</v>
      </c>
      <c r="CQ66" s="273">
        <v>9.8410000000000008E-3</v>
      </c>
      <c r="CR66" s="273">
        <v>8.7139999999999995E-3</v>
      </c>
      <c r="CS66" s="273">
        <v>1.8561000000000001E-2</v>
      </c>
      <c r="CT66" s="273">
        <v>1.5377999999999999E-2</v>
      </c>
      <c r="CU66" s="273">
        <f t="shared" si="96"/>
        <v>1.8265880100000004E-4</v>
      </c>
      <c r="CV66" s="273">
        <f t="shared" si="82"/>
        <v>1.3400389199999998E-4</v>
      </c>
      <c r="CW66" s="273">
        <v>5.8868999999999998E-2</v>
      </c>
      <c r="CX66" s="273">
        <v>0.18756999999999999</v>
      </c>
      <c r="CY66" s="273">
        <f t="shared" si="97"/>
        <v>5.79329829E-4</v>
      </c>
      <c r="CZ66" s="273">
        <f t="shared" si="83"/>
        <v>1.6344849799999998E-3</v>
      </c>
      <c r="DA66" s="273">
        <v>5.2899999999999996E-4</v>
      </c>
      <c r="DB66" s="273">
        <v>9.3499999999999996E-4</v>
      </c>
      <c r="DC66" s="273">
        <f t="shared" si="98"/>
        <v>9.0790113700000008E-3</v>
      </c>
      <c r="DD66" s="273">
        <f t="shared" si="84"/>
        <v>6.9455111279999992E-3</v>
      </c>
      <c r="DE66" s="273">
        <v>1.7200000000000001E-4</v>
      </c>
      <c r="DF66" s="273">
        <v>2.04E-4</v>
      </c>
      <c r="DG66" s="273">
        <f t="shared" si="99"/>
        <v>1.46298863E-3</v>
      </c>
      <c r="DH66" s="273">
        <f t="shared" si="85"/>
        <v>2.9074888720000002E-3</v>
      </c>
      <c r="DI66" s="273">
        <v>1.944E-3</v>
      </c>
      <c r="DJ66" s="273">
        <v>5.9800000000000001E-4</v>
      </c>
      <c r="DK66" s="273">
        <v>1.013E-3</v>
      </c>
      <c r="DL66" s="273">
        <v>6.0899999999999995E-4</v>
      </c>
      <c r="DM66" s="273">
        <f t="shared" si="100"/>
        <v>2.957E-3</v>
      </c>
      <c r="DN66" s="273">
        <f t="shared" si="86"/>
        <v>1.207E-3</v>
      </c>
      <c r="DO66" s="273">
        <v>4.0010000000000002E-3</v>
      </c>
      <c r="DP66" s="273">
        <v>3.8600000000000001E-3</v>
      </c>
      <c r="DQ66" s="273">
        <v>4.8089999999999999E-3</v>
      </c>
      <c r="DR66" s="273">
        <v>1.0985999999999999E-2</v>
      </c>
      <c r="DS66" s="273">
        <v>2.9339E-2</v>
      </c>
      <c r="DT66" s="273">
        <v>4.5066000000000002E-2</v>
      </c>
      <c r="DU66" s="273">
        <v>4.0359999999999997E-3</v>
      </c>
      <c r="DV66" s="273">
        <v>5.5040000000000002E-3</v>
      </c>
      <c r="DW66" s="273">
        <v>4.0188000000000001E-2</v>
      </c>
      <c r="DX66" s="273">
        <v>4.0188000000000001E-2</v>
      </c>
      <c r="DY66" s="273">
        <v>0.31979400000000002</v>
      </c>
      <c r="DZ66" s="273">
        <v>0.25389699999999998</v>
      </c>
      <c r="EA66" s="273">
        <v>1.0269999999999999E-3</v>
      </c>
      <c r="EB66" s="273">
        <v>1.562E-3</v>
      </c>
      <c r="EC66" s="273">
        <v>3.9940000000000002E-3</v>
      </c>
      <c r="ED66" s="273">
        <v>3.7239999999999999E-3</v>
      </c>
      <c r="EE66" s="273"/>
      <c r="EF66" s="274"/>
    </row>
    <row r="67" spans="2:136" s="249" customFormat="1" ht="17.399999999999999">
      <c r="B67" s="286">
        <v>60</v>
      </c>
      <c r="C67" s="273">
        <v>8.3000000000000001E-4</v>
      </c>
      <c r="D67" s="273">
        <v>3.2000000000000003E-4</v>
      </c>
      <c r="E67" s="273">
        <v>1.6899999999999999E-4</v>
      </c>
      <c r="F67" s="273">
        <v>6.0000000000000008E-5</v>
      </c>
      <c r="G67" s="273">
        <v>3.7030000000000001E-3</v>
      </c>
      <c r="H67" s="273">
        <v>1.66E-3</v>
      </c>
      <c r="I67" s="273">
        <v>9.9899999999999989E-4</v>
      </c>
      <c r="J67" s="273">
        <v>3.8000000000000002E-4</v>
      </c>
      <c r="K67" s="273">
        <v>5.22E-4</v>
      </c>
      <c r="L67" s="273">
        <v>4.9600000000000002E-4</v>
      </c>
      <c r="M67" s="273">
        <f t="shared" si="87"/>
        <v>7.1605915399999996E-3</v>
      </c>
      <c r="N67" s="273">
        <f t="shared" si="77"/>
        <v>4.1973205120000015E-3</v>
      </c>
      <c r="O67" s="273">
        <f t="shared" si="88"/>
        <v>9.0982871199999998E-4</v>
      </c>
      <c r="P67" s="273">
        <f t="shared" si="89"/>
        <v>1.785642656E-3</v>
      </c>
      <c r="Q67" s="273">
        <v>9.0679999999999997E-3</v>
      </c>
      <c r="R67" s="273">
        <v>7.672E-3</v>
      </c>
      <c r="S67" s="273">
        <v>1.116E-3</v>
      </c>
      <c r="T67" s="273">
        <v>0.23274800000000001</v>
      </c>
      <c r="U67" s="273">
        <v>0.10033400000000001</v>
      </c>
      <c r="V67" s="273">
        <v>0</v>
      </c>
      <c r="W67" s="273">
        <v>1.8350999999999999E-2</v>
      </c>
      <c r="X67" s="273">
        <v>1.8171E-2</v>
      </c>
      <c r="Y67" s="273">
        <f t="shared" si="90"/>
        <v>1.6640686799999999E-4</v>
      </c>
      <c r="Z67" s="273">
        <f t="shared" si="78"/>
        <v>1.3940791199999999E-4</v>
      </c>
      <c r="AA67" s="273">
        <v>5.9858000000000001E-2</v>
      </c>
      <c r="AB67" s="273">
        <v>0.18529699999999999</v>
      </c>
      <c r="AC67" s="273">
        <f t="shared" si="91"/>
        <v>5.4279234399999998E-4</v>
      </c>
      <c r="AD67" s="273">
        <f t="shared" si="79"/>
        <v>1.4215985839999999E-3</v>
      </c>
      <c r="AE67" s="273">
        <v>2.2849000000000001E-2</v>
      </c>
      <c r="AF67" s="273">
        <v>1.4577E-2</v>
      </c>
      <c r="AG67" s="273">
        <f t="shared" si="92"/>
        <v>2.0719473200000001E-4</v>
      </c>
      <c r="AH67" s="273">
        <f t="shared" si="80"/>
        <v>1.11834744E-4</v>
      </c>
      <c r="AI67" s="273">
        <v>8.9529999999999992E-3</v>
      </c>
      <c r="AJ67" s="273">
        <v>2.111E-3</v>
      </c>
      <c r="AK67" s="273">
        <f t="shared" si="93"/>
        <v>8.1185803999999989E-5</v>
      </c>
      <c r="AL67" s="273">
        <f t="shared" si="81"/>
        <v>1.6195591999999999E-5</v>
      </c>
      <c r="AM67" s="273">
        <f t="shared" si="94"/>
        <v>8.7235973599999995E-4</v>
      </c>
      <c r="AN67" s="273">
        <f t="shared" si="95"/>
        <v>6.6207058400000001E-4</v>
      </c>
      <c r="AO67" s="273">
        <v>9.6201999999999996E-2</v>
      </c>
      <c r="AP67" s="273">
        <v>8.6296999999999999E-2</v>
      </c>
      <c r="AQ67" s="273">
        <v>5.5000000000000003E-4</v>
      </c>
      <c r="AR67" s="273">
        <v>9.2500000000000004E-4</v>
      </c>
      <c r="AS67" s="273">
        <v>1.8799999999999999E-4</v>
      </c>
      <c r="AT67" s="273">
        <v>2.1000000000000001E-4</v>
      </c>
      <c r="AU67" s="273">
        <v>9.5699999999999995E-4</v>
      </c>
      <c r="AV67" s="273">
        <v>5.4699999999999996E-4</v>
      </c>
      <c r="AW67" s="273">
        <v>3.0000000000000001E-5</v>
      </c>
      <c r="AX67" s="273">
        <v>6.9999999999999999E-6</v>
      </c>
      <c r="AY67" s="273">
        <v>6.6000000000000005E-5</v>
      </c>
      <c r="AZ67" s="273">
        <v>7.6000000000000004E-5</v>
      </c>
      <c r="BA67" s="273">
        <v>2.7900000000000001E-4</v>
      </c>
      <c r="BB67" s="273">
        <v>6.3299999999999999E-4</v>
      </c>
      <c r="BC67" s="273">
        <v>0</v>
      </c>
      <c r="BD67" s="273">
        <v>0</v>
      </c>
      <c r="BE67" s="273">
        <v>5.0000000000000004E-6</v>
      </c>
      <c r="BF67" s="273">
        <v>3.9999999999999998E-6</v>
      </c>
      <c r="BG67" s="273">
        <v>1.7799999999999999E-4</v>
      </c>
      <c r="BH67" s="273">
        <v>1.3999999999999999E-4</v>
      </c>
      <c r="BI67" s="273">
        <v>3.0699999999999998E-4</v>
      </c>
      <c r="BJ67" s="273">
        <v>1.3799999999999999E-4</v>
      </c>
      <c r="BK67" s="273">
        <v>5.1500000000000005E-4</v>
      </c>
      <c r="BL67" s="273">
        <v>2.6699999999999998E-4</v>
      </c>
      <c r="BM67" s="273">
        <v>2.3800000000000001E-4</v>
      </c>
      <c r="BN67" s="273">
        <v>4.6099999999999998E-4</v>
      </c>
      <c r="BO67" s="273">
        <v>8.03E-4</v>
      </c>
      <c r="BP67" s="273">
        <v>7.3399999999999995E-4</v>
      </c>
      <c r="BQ67" s="273">
        <v>6.4599999999999998E-4</v>
      </c>
      <c r="BR67" s="273">
        <v>5.0000000000000001E-4</v>
      </c>
      <c r="BS67" s="273">
        <v>1.354E-3</v>
      </c>
      <c r="BT67" s="273">
        <v>2.1599999999999999E-4</v>
      </c>
      <c r="BU67" s="273">
        <v>6.9280000000000001E-3</v>
      </c>
      <c r="BV67" s="273">
        <v>5.3619999999999996E-3</v>
      </c>
      <c r="BW67" s="273">
        <v>2.4842249999999999</v>
      </c>
      <c r="BX67" s="273">
        <v>3.9094950000000002</v>
      </c>
      <c r="BY67" s="273">
        <v>0.44603300000000001</v>
      </c>
      <c r="BZ67" s="273">
        <v>0.50905699999999998</v>
      </c>
      <c r="CA67" s="273">
        <v>8.3243999999999999E-2</v>
      </c>
      <c r="CB67" s="273">
        <v>7.6208999999999999E-2</v>
      </c>
      <c r="CC67" s="273">
        <v>7.0899999999999999E-3</v>
      </c>
      <c r="CD67" s="273">
        <v>1.1310000000000001E-3</v>
      </c>
      <c r="CE67" s="273">
        <v>7.0182999999999995E-2</v>
      </c>
      <c r="CF67" s="273">
        <v>8.9343000000000006E-2</v>
      </c>
      <c r="CG67" s="273">
        <v>9.2122999999999997E-2</v>
      </c>
      <c r="CH67" s="273">
        <v>9.6001000000000003E-2</v>
      </c>
      <c r="CI67" s="273">
        <v>1.7292999999999999E-2</v>
      </c>
      <c r="CJ67" s="273">
        <v>1.2623000000000001E-2</v>
      </c>
      <c r="CK67" s="273">
        <v>1.6620000000000001E-3</v>
      </c>
      <c r="CL67" s="273">
        <v>1.0950000000000001E-3</v>
      </c>
      <c r="CM67" s="273">
        <v>4.7000000000000002E-3</v>
      </c>
      <c r="CN67" s="273">
        <v>5.5449999999999996E-3</v>
      </c>
      <c r="CO67" s="273">
        <v>0.148511</v>
      </c>
      <c r="CP67" s="273">
        <v>0.15104600000000001</v>
      </c>
      <c r="CQ67" s="273">
        <v>1.0691000000000001E-2</v>
      </c>
      <c r="CR67" s="273">
        <v>8.8140000000000007E-3</v>
      </c>
      <c r="CS67" s="273">
        <v>1.8085E-2</v>
      </c>
      <c r="CT67" s="273">
        <v>1.6879999999999999E-2</v>
      </c>
      <c r="CU67" s="273">
        <f t="shared" si="96"/>
        <v>1.9334673500000002E-4</v>
      </c>
      <c r="CV67" s="273">
        <f t="shared" si="82"/>
        <v>1.4878031999999999E-4</v>
      </c>
      <c r="CW67" s="273">
        <v>5.4547999999999999E-2</v>
      </c>
      <c r="CX67" s="273">
        <v>0.183286</v>
      </c>
      <c r="CY67" s="273">
        <f t="shared" si="97"/>
        <v>5.8317266800000001E-4</v>
      </c>
      <c r="CZ67" s="273">
        <f t="shared" si="83"/>
        <v>1.6154828040000002E-3</v>
      </c>
      <c r="DA67" s="273">
        <v>5.5800000000000001E-4</v>
      </c>
      <c r="DB67" s="273">
        <v>9.6699999999999998E-4</v>
      </c>
      <c r="DC67" s="273">
        <f t="shared" si="98"/>
        <v>9.9144805969999996E-3</v>
      </c>
      <c r="DD67" s="273">
        <f t="shared" si="84"/>
        <v>7.0497368760000009E-3</v>
      </c>
      <c r="DE67" s="273">
        <v>1.84E-4</v>
      </c>
      <c r="DF67" s="273">
        <v>2.1100000000000001E-4</v>
      </c>
      <c r="DG67" s="273">
        <f t="shared" si="99"/>
        <v>1.518519403E-3</v>
      </c>
      <c r="DH67" s="273">
        <f t="shared" si="85"/>
        <v>2.942263124E-3</v>
      </c>
      <c r="DI67" s="273">
        <v>2.0309999999999998E-3</v>
      </c>
      <c r="DJ67" s="273">
        <v>6.3900000000000003E-4</v>
      </c>
      <c r="DK67" s="273">
        <v>1.0529999999999999E-3</v>
      </c>
      <c r="DL67" s="273">
        <v>6.4599999999999998E-4</v>
      </c>
      <c r="DM67" s="273">
        <f t="shared" si="100"/>
        <v>3.0839999999999999E-3</v>
      </c>
      <c r="DN67" s="273">
        <f t="shared" si="86"/>
        <v>1.2850000000000001E-3</v>
      </c>
      <c r="DO67" s="273">
        <v>3.9319999999999997E-3</v>
      </c>
      <c r="DP67" s="273">
        <v>3.9630000000000004E-3</v>
      </c>
      <c r="DQ67" s="273">
        <v>4.8679999999999999E-3</v>
      </c>
      <c r="DR67" s="273">
        <v>1.0381E-2</v>
      </c>
      <c r="DS67" s="273">
        <v>2.9610000000000001E-2</v>
      </c>
      <c r="DT67" s="273">
        <v>4.5412000000000001E-2</v>
      </c>
      <c r="DU67" s="273">
        <v>4.156E-3</v>
      </c>
      <c r="DV67" s="273">
        <v>5.868E-3</v>
      </c>
      <c r="DW67" s="273">
        <v>4.0188000000000001E-2</v>
      </c>
      <c r="DX67" s="273">
        <v>4.0188000000000001E-2</v>
      </c>
      <c r="DY67" s="273">
        <v>0.33530300000000002</v>
      </c>
      <c r="DZ67" s="273">
        <v>0.26621299999999998</v>
      </c>
      <c r="EA67" s="273">
        <v>1.1529999999999999E-3</v>
      </c>
      <c r="EB67" s="273">
        <v>1.7110000000000001E-3</v>
      </c>
      <c r="EC67" s="273">
        <v>4.0390000000000001E-3</v>
      </c>
      <c r="ED67" s="273">
        <v>3.6900000000000001E-3</v>
      </c>
      <c r="EE67" s="273"/>
      <c r="EF67" s="274"/>
    </row>
    <row r="68" spans="2:136" s="249" customFormat="1" ht="17.399999999999999">
      <c r="B68" s="286">
        <v>61</v>
      </c>
      <c r="C68" s="273">
        <v>9.0300000000000005E-4</v>
      </c>
      <c r="D68" s="273">
        <v>3.4400000000000001E-4</v>
      </c>
      <c r="E68" s="273">
        <v>1.6899999999999999E-4</v>
      </c>
      <c r="F68" s="273">
        <v>6.0000000000000008E-5</v>
      </c>
      <c r="G68" s="273">
        <v>4.0359999999999997E-3</v>
      </c>
      <c r="H68" s="273">
        <v>1.774E-3</v>
      </c>
      <c r="I68" s="273">
        <v>1.072E-3</v>
      </c>
      <c r="J68" s="273">
        <v>4.0400000000000001E-4</v>
      </c>
      <c r="K68" s="273">
        <v>5.22E-4</v>
      </c>
      <c r="L68" s="273">
        <v>4.9600000000000002E-4</v>
      </c>
      <c r="M68" s="273">
        <f t="shared" si="87"/>
        <v>7.7384841560000006E-3</v>
      </c>
      <c r="N68" s="273">
        <f t="shared" si="77"/>
        <v>4.3983858560000004E-3</v>
      </c>
      <c r="O68" s="273">
        <f t="shared" si="88"/>
        <v>1.079200226E-3</v>
      </c>
      <c r="P68" s="273">
        <f t="shared" si="89"/>
        <v>1.7625250239999999E-3</v>
      </c>
      <c r="Q68" s="273">
        <v>9.8539999999999999E-3</v>
      </c>
      <c r="R68" s="273">
        <v>7.8560000000000001E-3</v>
      </c>
      <c r="S68" s="273">
        <v>1.1460000000000001E-3</v>
      </c>
      <c r="T68" s="273">
        <v>0.224354</v>
      </c>
      <c r="U68" s="273">
        <v>0.10951900000000001</v>
      </c>
      <c r="V68" s="273">
        <v>0</v>
      </c>
      <c r="W68" s="273">
        <v>1.7884000000000001E-2</v>
      </c>
      <c r="X68" s="273">
        <v>1.9640999999999999E-2</v>
      </c>
      <c r="Y68" s="273">
        <f t="shared" si="90"/>
        <v>1.7622893600000001E-4</v>
      </c>
      <c r="Z68" s="273">
        <f t="shared" si="78"/>
        <v>1.5429969600000001E-4</v>
      </c>
      <c r="AA68" s="273">
        <v>5.5688000000000001E-2</v>
      </c>
      <c r="AB68" s="273">
        <v>0.17896899999999999</v>
      </c>
      <c r="AC68" s="273">
        <f t="shared" si="91"/>
        <v>5.4874955200000003E-4</v>
      </c>
      <c r="AD68" s="273">
        <f t="shared" si="79"/>
        <v>1.4059804639999999E-3</v>
      </c>
      <c r="AE68" s="273">
        <v>2.2426000000000001E-2</v>
      </c>
      <c r="AF68" s="273">
        <v>1.4942E-2</v>
      </c>
      <c r="AG68" s="273">
        <f t="shared" si="92"/>
        <v>2.2098580400000003E-4</v>
      </c>
      <c r="AH68" s="273">
        <f t="shared" si="80"/>
        <v>1.17384352E-4</v>
      </c>
      <c r="AI68" s="273">
        <v>9.1690000000000001E-3</v>
      </c>
      <c r="AJ68" s="273">
        <v>2.2179999999999999E-3</v>
      </c>
      <c r="AK68" s="273">
        <f t="shared" si="93"/>
        <v>9.0351326000000001E-5</v>
      </c>
      <c r="AL68" s="273">
        <f t="shared" si="81"/>
        <v>1.7424608000000001E-5</v>
      </c>
      <c r="AM68" s="273">
        <f t="shared" si="94"/>
        <v>9.3652416E-4</v>
      </c>
      <c r="AN68" s="273">
        <f t="shared" si="95"/>
        <v>7.0141510400000006E-4</v>
      </c>
      <c r="AO68" s="273">
        <v>9.5039999999999999E-2</v>
      </c>
      <c r="AP68" s="273">
        <v>8.9284000000000002E-2</v>
      </c>
      <c r="AQ68" s="273">
        <v>5.8399999999999999E-4</v>
      </c>
      <c r="AR68" s="273">
        <v>9.3099999999999997E-4</v>
      </c>
      <c r="AS68" s="273">
        <v>1.9599999999999999E-4</v>
      </c>
      <c r="AT68" s="273">
        <v>2.14E-4</v>
      </c>
      <c r="AU68" s="273">
        <v>9.990000000000001E-4</v>
      </c>
      <c r="AV68" s="273">
        <v>5.7200000000000003E-4</v>
      </c>
      <c r="AW68" s="273">
        <v>2.8E-5</v>
      </c>
      <c r="AX68" s="273">
        <v>6.9999999999999999E-6</v>
      </c>
      <c r="AY68" s="273">
        <v>7.1000000000000005E-5</v>
      </c>
      <c r="AZ68" s="273">
        <v>7.8999999999999996E-5</v>
      </c>
      <c r="BA68" s="273">
        <v>2.8600000000000001E-4</v>
      </c>
      <c r="BB68" s="273">
        <v>6.4499999999999996E-4</v>
      </c>
      <c r="BC68" s="273">
        <v>0</v>
      </c>
      <c r="BD68" s="273">
        <v>0</v>
      </c>
      <c r="BE68" s="273">
        <v>5.0000000000000004E-6</v>
      </c>
      <c r="BF68" s="273">
        <v>3.9999999999999998E-6</v>
      </c>
      <c r="BG68" s="273">
        <v>1.8699999999999999E-4</v>
      </c>
      <c r="BH68" s="273">
        <v>1.44E-4</v>
      </c>
      <c r="BI68" s="273">
        <v>3.0800000000000001E-4</v>
      </c>
      <c r="BJ68" s="273">
        <v>1.3899999999999999E-4</v>
      </c>
      <c r="BK68" s="273">
        <v>5.3600000000000002E-4</v>
      </c>
      <c r="BL68" s="273">
        <v>2.7999999999999998E-4</v>
      </c>
      <c r="BM68" s="273">
        <v>2.42E-4</v>
      </c>
      <c r="BN68" s="273">
        <v>4.7199999999999998E-4</v>
      </c>
      <c r="BO68" s="273">
        <v>7.9900000000000001E-4</v>
      </c>
      <c r="BP68" s="273">
        <v>7.4200000000000004E-4</v>
      </c>
      <c r="BQ68" s="273">
        <v>6.5899999999999997E-4</v>
      </c>
      <c r="BR68" s="273">
        <v>5.2599999999999999E-4</v>
      </c>
      <c r="BS68" s="273">
        <v>1.4139999999999999E-3</v>
      </c>
      <c r="BT68" s="273">
        <v>2.3800000000000001E-4</v>
      </c>
      <c r="BU68" s="273">
        <v>7.071E-3</v>
      </c>
      <c r="BV68" s="273">
        <v>5.6429999999999996E-3</v>
      </c>
      <c r="BW68" s="273">
        <v>2.6381480000000002</v>
      </c>
      <c r="BX68" s="273">
        <v>4.0879640000000004</v>
      </c>
      <c r="BY68" s="273">
        <v>0.485707</v>
      </c>
      <c r="BZ68" s="273">
        <v>0.54330599999999996</v>
      </c>
      <c r="CA68" s="273">
        <v>9.1313000000000005E-2</v>
      </c>
      <c r="CB68" s="273">
        <v>8.3607000000000001E-2</v>
      </c>
      <c r="CC68" s="273">
        <v>7.4019999999999997E-3</v>
      </c>
      <c r="CD68" s="273">
        <v>1.2489999999999999E-3</v>
      </c>
      <c r="CE68" s="273">
        <v>7.2470000000000007E-2</v>
      </c>
      <c r="CF68" s="273">
        <v>9.0576000000000004E-2</v>
      </c>
      <c r="CG68" s="273">
        <v>9.3825000000000006E-2</v>
      </c>
      <c r="CH68" s="273">
        <v>0.10005500000000001</v>
      </c>
      <c r="CI68" s="273">
        <v>1.8051999999999999E-2</v>
      </c>
      <c r="CJ68" s="273">
        <v>1.2973E-2</v>
      </c>
      <c r="CK68" s="273">
        <v>1.805E-3</v>
      </c>
      <c r="CL68" s="273">
        <v>1.1349999999999999E-3</v>
      </c>
      <c r="CM68" s="273">
        <v>4.9800000000000001E-3</v>
      </c>
      <c r="CN68" s="273">
        <v>5.5669999999999999E-3</v>
      </c>
      <c r="CO68" s="273">
        <v>0.15238499999999999</v>
      </c>
      <c r="CP68" s="273">
        <v>0.155413</v>
      </c>
      <c r="CQ68" s="273">
        <v>1.1559E-2</v>
      </c>
      <c r="CR68" s="273">
        <v>8.9370000000000005E-3</v>
      </c>
      <c r="CS68" s="273">
        <v>1.7441000000000002E-2</v>
      </c>
      <c r="CT68" s="273">
        <v>1.8324E-2</v>
      </c>
      <c r="CU68" s="273">
        <f t="shared" si="96"/>
        <v>2.0160051900000001E-4</v>
      </c>
      <c r="CV68" s="273">
        <f t="shared" si="82"/>
        <v>1.6376158800000001E-4</v>
      </c>
      <c r="CW68" s="273">
        <v>5.0227000000000001E-2</v>
      </c>
      <c r="CX68" s="273">
        <v>0.17900199999999999</v>
      </c>
      <c r="CY68" s="273">
        <f t="shared" si="97"/>
        <v>5.8057389300000004E-4</v>
      </c>
      <c r="CZ68" s="273">
        <f t="shared" si="83"/>
        <v>1.5997408740000001E-3</v>
      </c>
      <c r="DA68" s="273">
        <v>5.9299999999999999E-4</v>
      </c>
      <c r="DB68" s="273">
        <v>1E-3</v>
      </c>
      <c r="DC68" s="273">
        <f t="shared" si="98"/>
        <v>1.0776825588E-2</v>
      </c>
      <c r="DD68" s="273">
        <f t="shared" si="84"/>
        <v>7.1734975380000014E-3</v>
      </c>
      <c r="DE68" s="273">
        <v>1.95E-4</v>
      </c>
      <c r="DF68" s="273">
        <v>2.1599999999999999E-4</v>
      </c>
      <c r="DG68" s="273">
        <f t="shared" si="99"/>
        <v>1.570174412E-3</v>
      </c>
      <c r="DH68" s="273">
        <f t="shared" si="85"/>
        <v>2.9795024620000001E-3</v>
      </c>
      <c r="DI68" s="273">
        <v>2.1199999999999999E-3</v>
      </c>
      <c r="DJ68" s="273">
        <v>6.8199999999999999E-4</v>
      </c>
      <c r="DK68" s="273">
        <v>1.0920000000000001E-3</v>
      </c>
      <c r="DL68" s="273">
        <v>6.8300000000000001E-4</v>
      </c>
      <c r="DM68" s="273">
        <f t="shared" si="100"/>
        <v>3.212E-3</v>
      </c>
      <c r="DN68" s="273">
        <f t="shared" si="86"/>
        <v>1.3649999999999999E-3</v>
      </c>
      <c r="DO68" s="273">
        <v>3.8760000000000001E-3</v>
      </c>
      <c r="DP68" s="273">
        <v>4.052E-3</v>
      </c>
      <c r="DQ68" s="273">
        <v>4.9119999999999997E-3</v>
      </c>
      <c r="DR68" s="273">
        <v>9.8040000000000002E-3</v>
      </c>
      <c r="DS68" s="273">
        <v>2.9815999999999999E-2</v>
      </c>
      <c r="DT68" s="273">
        <v>4.5791999999999999E-2</v>
      </c>
      <c r="DU68" s="273">
        <v>4.2969999999999996E-3</v>
      </c>
      <c r="DV68" s="273">
        <v>6.2779999999999997E-3</v>
      </c>
      <c r="DW68" s="273">
        <v>4.0188000000000001E-2</v>
      </c>
      <c r="DX68" s="273">
        <v>4.0188000000000001E-2</v>
      </c>
      <c r="DY68" s="273">
        <v>0.35288199999999997</v>
      </c>
      <c r="DZ68" s="273">
        <v>0.27951500000000001</v>
      </c>
      <c r="EA68" s="273">
        <v>1.2539999999999999E-3</v>
      </c>
      <c r="EB68" s="273">
        <v>1.8600000000000001E-3</v>
      </c>
      <c r="EC68" s="273">
        <v>4.084E-3</v>
      </c>
      <c r="ED68" s="273">
        <v>3.656E-3</v>
      </c>
      <c r="EE68" s="273"/>
      <c r="EF68" s="274"/>
    </row>
    <row r="69" spans="2:136" s="249" customFormat="1" ht="17.399999999999999">
      <c r="B69" s="286">
        <v>62</v>
      </c>
      <c r="C69" s="273">
        <v>9.7900000000000005E-4</v>
      </c>
      <c r="D69" s="273">
        <v>5.1400000000000003E-4</v>
      </c>
      <c r="E69" s="273">
        <v>1.6899999999999999E-4</v>
      </c>
      <c r="F69" s="273">
        <v>6.0000000000000008E-5</v>
      </c>
      <c r="G69" s="273">
        <v>4.4289999999999998E-3</v>
      </c>
      <c r="H69" s="273">
        <v>1.9220000000000001E-3</v>
      </c>
      <c r="I69" s="273">
        <v>1.1480000000000001E-3</v>
      </c>
      <c r="J69" s="273">
        <v>5.7400000000000007E-4</v>
      </c>
      <c r="K69" s="273">
        <v>5.22E-4</v>
      </c>
      <c r="L69" s="273">
        <v>4.9600000000000002E-4</v>
      </c>
      <c r="M69" s="273">
        <f t="shared" si="87"/>
        <v>8.3400640619999983E-3</v>
      </c>
      <c r="N69" s="273">
        <f t="shared" si="77"/>
        <v>4.6075443839999992E-3</v>
      </c>
      <c r="O69" s="273">
        <f t="shared" si="88"/>
        <v>1.2676293369999999E-3</v>
      </c>
      <c r="P69" s="273">
        <f t="shared" si="89"/>
        <v>1.7380460799999999E-3</v>
      </c>
      <c r="Q69" s="273">
        <v>1.0678999999999999E-2</v>
      </c>
      <c r="R69" s="273">
        <v>8.0479999999999996E-3</v>
      </c>
      <c r="S69" s="273">
        <v>1.1670000000000001E-3</v>
      </c>
      <c r="T69" s="273">
        <v>0.21596000000000001</v>
      </c>
      <c r="U69" s="273">
        <v>0.118703</v>
      </c>
      <c r="V69" s="273">
        <v>0</v>
      </c>
      <c r="W69" s="273">
        <v>1.7401E-2</v>
      </c>
      <c r="X69" s="273">
        <v>2.1248E-2</v>
      </c>
      <c r="Y69" s="273">
        <f t="shared" si="90"/>
        <v>1.8582527899999997E-4</v>
      </c>
      <c r="Z69" s="273">
        <f t="shared" si="78"/>
        <v>1.71003904E-4</v>
      </c>
      <c r="AA69" s="273">
        <v>5.1528999999999998E-2</v>
      </c>
      <c r="AB69" s="273">
        <v>0.172651</v>
      </c>
      <c r="AC69" s="273">
        <f t="shared" si="91"/>
        <v>5.5027819099999996E-4</v>
      </c>
      <c r="AD69" s="273">
        <f t="shared" si="79"/>
        <v>1.389495248E-3</v>
      </c>
      <c r="AE69" s="273">
        <v>2.2003000000000002E-2</v>
      </c>
      <c r="AF69" s="273">
        <v>1.5306999999999999E-2</v>
      </c>
      <c r="AG69" s="273">
        <f t="shared" si="92"/>
        <v>2.34970037E-4</v>
      </c>
      <c r="AH69" s="273">
        <f t="shared" si="80"/>
        <v>1.2319073599999998E-4</v>
      </c>
      <c r="AI69" s="273">
        <v>9.3860000000000002E-3</v>
      </c>
      <c r="AJ69" s="273">
        <v>2.3259999999999999E-3</v>
      </c>
      <c r="AK69" s="273">
        <f t="shared" si="93"/>
        <v>1.0023309399999999E-4</v>
      </c>
      <c r="AL69" s="273">
        <f t="shared" si="81"/>
        <v>1.8719647999999997E-5</v>
      </c>
      <c r="AM69" s="273">
        <f t="shared" si="94"/>
        <v>1.002523162E-3</v>
      </c>
      <c r="AN69" s="273">
        <f t="shared" si="95"/>
        <v>7.4259700799999997E-4</v>
      </c>
      <c r="AO69" s="273">
        <v>9.3878000000000003E-2</v>
      </c>
      <c r="AP69" s="273">
        <v>9.2271000000000006E-2</v>
      </c>
      <c r="AQ69" s="273">
        <v>6.1700000000000004E-4</v>
      </c>
      <c r="AR69" s="273">
        <v>9.3700000000000001E-4</v>
      </c>
      <c r="AS69" s="273">
        <v>2.02E-4</v>
      </c>
      <c r="AT69" s="273">
        <v>2.1599999999999999E-4</v>
      </c>
      <c r="AU69" s="273">
        <v>1.039E-3</v>
      </c>
      <c r="AV69" s="273">
        <v>5.9800000000000001E-4</v>
      </c>
      <c r="AW69" s="273">
        <v>2.5999999999999998E-5</v>
      </c>
      <c r="AX69" s="273">
        <v>6.9999999999999999E-6</v>
      </c>
      <c r="AY69" s="273">
        <v>7.6000000000000004E-5</v>
      </c>
      <c r="AZ69" s="273">
        <v>8.2000000000000001E-5</v>
      </c>
      <c r="BA69" s="273">
        <v>2.9599999999999998E-4</v>
      </c>
      <c r="BB69" s="273">
        <v>6.6200000000000005E-4</v>
      </c>
      <c r="BC69" s="273">
        <v>0</v>
      </c>
      <c r="BD69" s="273">
        <v>0</v>
      </c>
      <c r="BE69" s="273">
        <v>6.0000000000000002E-6</v>
      </c>
      <c r="BF69" s="273">
        <v>3.9999999999999998E-6</v>
      </c>
      <c r="BG69" s="273">
        <v>1.92E-4</v>
      </c>
      <c r="BH69" s="273">
        <v>1.45E-4</v>
      </c>
      <c r="BI69" s="273">
        <v>3.0499999999999999E-4</v>
      </c>
      <c r="BJ69" s="273">
        <v>1.3899999999999999E-4</v>
      </c>
      <c r="BK69" s="273">
        <v>5.6800000000000004E-4</v>
      </c>
      <c r="BL69" s="273">
        <v>2.9999999999999997E-4</v>
      </c>
      <c r="BM69" s="273">
        <v>2.4600000000000002E-4</v>
      </c>
      <c r="BN69" s="273">
        <v>4.8099999999999998E-4</v>
      </c>
      <c r="BO69" s="273">
        <v>7.9000000000000001E-4</v>
      </c>
      <c r="BP69" s="273">
        <v>7.4899999999999999E-4</v>
      </c>
      <c r="BQ69" s="273">
        <v>6.7400000000000001E-4</v>
      </c>
      <c r="BR69" s="273">
        <v>5.5599999999999996E-4</v>
      </c>
      <c r="BS69" s="273">
        <v>1.4729999999999999E-3</v>
      </c>
      <c r="BT69" s="273">
        <v>2.6499999999999999E-4</v>
      </c>
      <c r="BU69" s="273">
        <v>7.2370000000000004E-3</v>
      </c>
      <c r="BV69" s="273">
        <v>5.9610000000000002E-3</v>
      </c>
      <c r="BW69" s="273">
        <v>2.7900010000000002</v>
      </c>
      <c r="BX69" s="273">
        <v>4.26098</v>
      </c>
      <c r="BY69" s="273">
        <v>0.52183500000000005</v>
      </c>
      <c r="BZ69" s="273">
        <v>0.57782299999999998</v>
      </c>
      <c r="CA69" s="273">
        <v>9.9636000000000002E-2</v>
      </c>
      <c r="CB69" s="273">
        <v>9.0473999999999999E-2</v>
      </c>
      <c r="CC69" s="273">
        <v>7.7120000000000001E-3</v>
      </c>
      <c r="CD69" s="273">
        <v>1.3960000000000001E-3</v>
      </c>
      <c r="CE69" s="273">
        <v>7.4804999999999996E-2</v>
      </c>
      <c r="CF69" s="273">
        <v>9.146E-2</v>
      </c>
      <c r="CG69" s="273">
        <v>9.5521999999999996E-2</v>
      </c>
      <c r="CH69" s="273">
        <v>0.103862</v>
      </c>
      <c r="CI69" s="273">
        <v>1.8834E-2</v>
      </c>
      <c r="CJ69" s="273">
        <v>1.3283E-2</v>
      </c>
      <c r="CK69" s="273">
        <v>1.952E-3</v>
      </c>
      <c r="CL69" s="273">
        <v>1.173E-3</v>
      </c>
      <c r="CM69" s="273">
        <v>5.2700000000000004E-3</v>
      </c>
      <c r="CN69" s="273">
        <v>5.5640000000000004E-3</v>
      </c>
      <c r="CO69" s="273">
        <v>0.156308</v>
      </c>
      <c r="CP69" s="273">
        <v>0.159299</v>
      </c>
      <c r="CQ69" s="273">
        <v>1.2463E-2</v>
      </c>
      <c r="CR69" s="273">
        <v>9.1050000000000002E-3</v>
      </c>
      <c r="CS69" s="273">
        <v>1.6924000000000002E-2</v>
      </c>
      <c r="CT69" s="273">
        <v>1.9709999999999998E-2</v>
      </c>
      <c r="CU69" s="273">
        <f t="shared" si="96"/>
        <v>2.1092381200000002E-4</v>
      </c>
      <c r="CV69" s="273">
        <f t="shared" si="82"/>
        <v>1.7945955E-4</v>
      </c>
      <c r="CW69" s="273">
        <v>4.5905000000000001E-2</v>
      </c>
      <c r="CX69" s="273">
        <v>0.17471800000000001</v>
      </c>
      <c r="CY69" s="273">
        <f t="shared" si="97"/>
        <v>5.7211401500000003E-4</v>
      </c>
      <c r="CZ69" s="273">
        <f t="shared" si="83"/>
        <v>1.5908073900000002E-3</v>
      </c>
      <c r="DA69" s="273">
        <v>6.38E-4</v>
      </c>
      <c r="DB69" s="273">
        <v>1.026E-3</v>
      </c>
      <c r="DC69" s="273">
        <f t="shared" si="98"/>
        <v>1.1679962173E-2</v>
      </c>
      <c r="DD69" s="273">
        <f t="shared" si="84"/>
        <v>7.3347330599999993E-3</v>
      </c>
      <c r="DE69" s="273">
        <v>2.04E-4</v>
      </c>
      <c r="DF69" s="273">
        <v>2.1900000000000001E-4</v>
      </c>
      <c r="DG69" s="273">
        <f t="shared" si="99"/>
        <v>1.6250378270000001E-3</v>
      </c>
      <c r="DH69" s="273">
        <f t="shared" si="85"/>
        <v>3.0152669400000001E-3</v>
      </c>
      <c r="DI69" s="273">
        <v>2.212E-3</v>
      </c>
      <c r="DJ69" s="273">
        <v>7.2300000000000001E-4</v>
      </c>
      <c r="DK69" s="273">
        <v>1.1310000000000001E-3</v>
      </c>
      <c r="DL69" s="273">
        <v>7.2000000000000005E-4</v>
      </c>
      <c r="DM69" s="273">
        <f t="shared" si="100"/>
        <v>3.3430000000000001E-3</v>
      </c>
      <c r="DN69" s="273">
        <f t="shared" si="86"/>
        <v>1.4430000000000001E-3</v>
      </c>
      <c r="DO69" s="273">
        <v>3.8509999999999998E-3</v>
      </c>
      <c r="DP69" s="273">
        <v>4.1070000000000004E-3</v>
      </c>
      <c r="DQ69" s="273">
        <v>4.9240000000000004E-3</v>
      </c>
      <c r="DR69" s="273">
        <v>9.3069999999999993E-3</v>
      </c>
      <c r="DS69" s="273">
        <v>2.9881999999999999E-2</v>
      </c>
      <c r="DT69" s="273">
        <v>4.6281999999999997E-2</v>
      </c>
      <c r="DU69" s="273">
        <v>4.4860000000000004E-3</v>
      </c>
      <c r="DV69" s="273">
        <v>6.79E-3</v>
      </c>
      <c r="DW69" s="273">
        <v>4.0188000000000001E-2</v>
      </c>
      <c r="DX69" s="273">
        <v>4.0188000000000001E-2</v>
      </c>
      <c r="DY69" s="273">
        <v>0.37516699999999997</v>
      </c>
      <c r="DZ69" s="273">
        <v>0.29503699999999999</v>
      </c>
      <c r="EA69" s="273">
        <v>1.358E-3</v>
      </c>
      <c r="EB69" s="273">
        <v>2.1210000000000001E-3</v>
      </c>
      <c r="EC69" s="273">
        <v>4.1289999999999999E-3</v>
      </c>
      <c r="ED69" s="273">
        <v>3.6210000000000001E-3</v>
      </c>
      <c r="EE69" s="273"/>
      <c r="EF69" s="274"/>
    </row>
    <row r="70" spans="2:136" s="249" customFormat="1" ht="17.399999999999999">
      <c r="B70" s="286">
        <v>63</v>
      </c>
      <c r="C70" s="273">
        <v>1.0870000000000001E-3</v>
      </c>
      <c r="D70" s="273">
        <v>6.5899999999999997E-4</v>
      </c>
      <c r="E70" s="273">
        <v>1.6899999999999999E-4</v>
      </c>
      <c r="F70" s="273">
        <v>6.0000000000000008E-5</v>
      </c>
      <c r="G70" s="273">
        <v>4.9030000000000002E-3</v>
      </c>
      <c r="H70" s="273">
        <v>2.1120000000000002E-3</v>
      </c>
      <c r="I70" s="273">
        <v>1.2560000000000002E-3</v>
      </c>
      <c r="J70" s="273">
        <v>7.1900000000000002E-4</v>
      </c>
      <c r="K70" s="273">
        <v>5.22E-4</v>
      </c>
      <c r="L70" s="273">
        <v>4.9600000000000002E-4</v>
      </c>
      <c r="M70" s="273">
        <f t="shared" si="87"/>
        <v>8.9791173839999967E-3</v>
      </c>
      <c r="N70" s="273">
        <f t="shared" si="77"/>
        <v>4.814071992E-3</v>
      </c>
      <c r="O70" s="273">
        <f t="shared" si="88"/>
        <v>1.477673663E-3</v>
      </c>
      <c r="P70" s="273">
        <f t="shared" si="89"/>
        <v>1.7648078970000003E-3</v>
      </c>
      <c r="Q70" s="273">
        <v>1.1568999999999999E-2</v>
      </c>
      <c r="R70" s="273">
        <v>8.2590000000000007E-3</v>
      </c>
      <c r="S70" s="273">
        <v>1.0809999999999999E-3</v>
      </c>
      <c r="T70" s="273">
        <v>0.21368300000000001</v>
      </c>
      <c r="U70" s="273">
        <v>0.12772700000000001</v>
      </c>
      <c r="V70" s="273">
        <v>0</v>
      </c>
      <c r="W70" s="273">
        <v>1.7982000000000001E-2</v>
      </c>
      <c r="X70" s="273">
        <v>2.3300000000000001E-2</v>
      </c>
      <c r="Y70" s="273">
        <f t="shared" si="90"/>
        <v>2.08033758E-4</v>
      </c>
      <c r="Z70" s="273">
        <f t="shared" si="78"/>
        <v>1.9243470000000003E-4</v>
      </c>
      <c r="AA70" s="273">
        <v>4.7008000000000001E-2</v>
      </c>
      <c r="AB70" s="273">
        <v>0.16195100000000001</v>
      </c>
      <c r="AC70" s="273">
        <f t="shared" si="91"/>
        <v>5.4383555199999996E-4</v>
      </c>
      <c r="AD70" s="273">
        <f t="shared" si="79"/>
        <v>1.3375533090000003E-3</v>
      </c>
      <c r="AE70" s="273">
        <v>2.1427999999999999E-2</v>
      </c>
      <c r="AF70" s="273">
        <v>1.5624000000000001E-2</v>
      </c>
      <c r="AG70" s="273">
        <f t="shared" si="92"/>
        <v>2.47900532E-4</v>
      </c>
      <c r="AH70" s="273">
        <f t="shared" si="80"/>
        <v>1.2903861600000003E-4</v>
      </c>
      <c r="AI70" s="273">
        <v>9.7190000000000002E-3</v>
      </c>
      <c r="AJ70" s="273">
        <v>2.5539999999999998E-3</v>
      </c>
      <c r="AK70" s="273">
        <f t="shared" si="93"/>
        <v>1.12439111E-4</v>
      </c>
      <c r="AL70" s="273">
        <f t="shared" si="81"/>
        <v>2.1093485999999999E-5</v>
      </c>
      <c r="AM70" s="273">
        <f t="shared" si="94"/>
        <v>1.0949711429999998E-3</v>
      </c>
      <c r="AN70" s="273">
        <f t="shared" si="95"/>
        <v>8.1484119900000003E-4</v>
      </c>
      <c r="AO70" s="273">
        <v>9.4646999999999995E-2</v>
      </c>
      <c r="AP70" s="273">
        <v>9.8660999999999999E-2</v>
      </c>
      <c r="AQ70" s="273">
        <v>6.5099999999999999E-4</v>
      </c>
      <c r="AR70" s="273">
        <v>9.4200000000000002E-4</v>
      </c>
      <c r="AS70" s="273">
        <v>2.05E-4</v>
      </c>
      <c r="AT70" s="273">
        <v>2.1599999999999999E-4</v>
      </c>
      <c r="AU70" s="273">
        <v>1.083E-3</v>
      </c>
      <c r="AV70" s="273">
        <v>6.2399999999999999E-4</v>
      </c>
      <c r="AW70" s="273">
        <v>2.5000000000000001E-5</v>
      </c>
      <c r="AX70" s="273">
        <v>7.9999999999999996E-6</v>
      </c>
      <c r="AY70" s="273">
        <v>8.1000000000000004E-5</v>
      </c>
      <c r="AZ70" s="273">
        <v>8.6000000000000003E-5</v>
      </c>
      <c r="BA70" s="273">
        <v>3.1E-4</v>
      </c>
      <c r="BB70" s="273">
        <v>6.8499999999999995E-4</v>
      </c>
      <c r="BC70" s="273">
        <v>0</v>
      </c>
      <c r="BD70" s="273">
        <v>0</v>
      </c>
      <c r="BE70" s="273">
        <v>6.0000000000000002E-6</v>
      </c>
      <c r="BF70" s="273">
        <v>3.9999999999999998E-6</v>
      </c>
      <c r="BG70" s="273">
        <v>1.9100000000000001E-4</v>
      </c>
      <c r="BH70" s="273">
        <v>1.4100000000000001E-4</v>
      </c>
      <c r="BI70" s="273">
        <v>2.9500000000000001E-4</v>
      </c>
      <c r="BJ70" s="273">
        <v>1.36E-4</v>
      </c>
      <c r="BK70" s="273">
        <v>6.1399999999999996E-4</v>
      </c>
      <c r="BL70" s="273">
        <v>3.28E-4</v>
      </c>
      <c r="BM70" s="273">
        <v>2.5900000000000001E-4</v>
      </c>
      <c r="BN70" s="273">
        <v>4.8899999999999996E-4</v>
      </c>
      <c r="BO70" s="273">
        <v>7.7399999999999995E-4</v>
      </c>
      <c r="BP70" s="273">
        <v>7.5299999999999998E-4</v>
      </c>
      <c r="BQ70" s="273">
        <v>6.9300000000000004E-4</v>
      </c>
      <c r="BR70" s="273">
        <v>5.8900000000000001E-4</v>
      </c>
      <c r="BS70" s="273">
        <v>1.531E-3</v>
      </c>
      <c r="BT70" s="273">
        <v>2.9999999999999997E-4</v>
      </c>
      <c r="BU70" s="273">
        <v>7.4269999999999996E-3</v>
      </c>
      <c r="BV70" s="273">
        <v>6.3160000000000004E-3</v>
      </c>
      <c r="BW70" s="273">
        <v>2.9516849999999999</v>
      </c>
      <c r="BX70" s="273">
        <v>4.4236449999999996</v>
      </c>
      <c r="BY70" s="273">
        <v>0.55359000000000003</v>
      </c>
      <c r="BZ70" s="273">
        <v>0.61322600000000005</v>
      </c>
      <c r="CA70" s="273">
        <v>0.109019</v>
      </c>
      <c r="CB70" s="273">
        <v>9.8338999999999996E-2</v>
      </c>
      <c r="CC70" s="273">
        <v>8.0180000000000008E-3</v>
      </c>
      <c r="CD70" s="273">
        <v>1.5759999999999999E-3</v>
      </c>
      <c r="CE70" s="273">
        <v>7.6679999999999998E-2</v>
      </c>
      <c r="CF70" s="273">
        <v>9.3074000000000004E-2</v>
      </c>
      <c r="CG70" s="273">
        <v>9.8058999999999993E-2</v>
      </c>
      <c r="CH70" s="273">
        <v>0.10630000000000001</v>
      </c>
      <c r="CI70" s="273">
        <v>1.9665999999999999E-2</v>
      </c>
      <c r="CJ70" s="273">
        <v>1.3688000000000001E-2</v>
      </c>
      <c r="CK70" s="273">
        <v>1.9620000000000002E-3</v>
      </c>
      <c r="CL70" s="273">
        <v>1.1460000000000001E-3</v>
      </c>
      <c r="CM70" s="273">
        <v>5.3210000000000002E-3</v>
      </c>
      <c r="CN70" s="273">
        <v>5.3210000000000002E-3</v>
      </c>
      <c r="CO70" s="273">
        <v>0.160168</v>
      </c>
      <c r="CP70" s="273">
        <v>0.16284299999999999</v>
      </c>
      <c r="CQ70" s="273">
        <v>1.3426E-2</v>
      </c>
      <c r="CR70" s="273">
        <v>9.3349999999999995E-3</v>
      </c>
      <c r="CS70" s="273">
        <v>1.7062999999999998E-2</v>
      </c>
      <c r="CT70" s="273">
        <v>2.2202E-2</v>
      </c>
      <c r="CU70" s="273">
        <f t="shared" si="96"/>
        <v>2.2908783799999998E-4</v>
      </c>
      <c r="CV70" s="273">
        <f t="shared" si="82"/>
        <v>2.0725566999999997E-4</v>
      </c>
      <c r="CW70" s="273">
        <v>4.2376999999999998E-2</v>
      </c>
      <c r="CX70" s="273">
        <v>0.16509799999999999</v>
      </c>
      <c r="CY70" s="273">
        <f t="shared" si="97"/>
        <v>5.6895360199999995E-4</v>
      </c>
      <c r="CZ70" s="273">
        <f t="shared" si="83"/>
        <v>1.5411898299999998E-3</v>
      </c>
      <c r="DA70" s="273">
        <v>6.96E-4</v>
      </c>
      <c r="DB70" s="273">
        <v>1.0460000000000001E-3</v>
      </c>
      <c r="DC70" s="273">
        <f t="shared" si="98"/>
        <v>1.2627958559999999E-2</v>
      </c>
      <c r="DD70" s="273">
        <f t="shared" si="84"/>
        <v>7.5865545000000003E-3</v>
      </c>
      <c r="DE70" s="273">
        <v>2.1000000000000001E-4</v>
      </c>
      <c r="DF70" s="273">
        <v>2.1699999999999999E-4</v>
      </c>
      <c r="DG70" s="273">
        <f t="shared" si="99"/>
        <v>1.7040414399999999E-3</v>
      </c>
      <c r="DH70" s="273">
        <f t="shared" si="85"/>
        <v>3.0114454999999999E-3</v>
      </c>
      <c r="DI70" s="273">
        <v>2.333E-3</v>
      </c>
      <c r="DJ70" s="273">
        <v>8.0400000000000003E-4</v>
      </c>
      <c r="DK70" s="273">
        <v>1.1709999999999999E-3</v>
      </c>
      <c r="DL70" s="273">
        <v>7.5699999999999997E-4</v>
      </c>
      <c r="DM70" s="273">
        <f t="shared" si="100"/>
        <v>3.5040000000000002E-3</v>
      </c>
      <c r="DN70" s="273">
        <f t="shared" si="86"/>
        <v>1.5609999999999999E-3</v>
      </c>
      <c r="DO70" s="273">
        <v>3.8579999999999999E-3</v>
      </c>
      <c r="DP70" s="273">
        <v>4.1279999999999997E-3</v>
      </c>
      <c r="DQ70" s="273">
        <v>4.8960000000000002E-3</v>
      </c>
      <c r="DR70" s="273">
        <v>8.8699999999999994E-3</v>
      </c>
      <c r="DS70" s="273">
        <v>2.9758E-2</v>
      </c>
      <c r="DT70" s="273">
        <v>4.6815000000000002E-2</v>
      </c>
      <c r="DU70" s="273">
        <v>4.731E-3</v>
      </c>
      <c r="DV70" s="273">
        <v>7.4339999999999996E-3</v>
      </c>
      <c r="DW70" s="273">
        <v>4.0188000000000001E-2</v>
      </c>
      <c r="DX70" s="273">
        <v>4.0188000000000001E-2</v>
      </c>
      <c r="DY70" s="273">
        <v>0.40316999999999997</v>
      </c>
      <c r="DZ70" s="273">
        <v>0.313307</v>
      </c>
      <c r="EA70" s="273">
        <v>1.485E-3</v>
      </c>
      <c r="EB70" s="273">
        <v>2.362E-3</v>
      </c>
      <c r="EC70" s="273">
        <v>4.1739999999999998E-3</v>
      </c>
      <c r="ED70" s="273">
        <v>3.5869999999999999E-3</v>
      </c>
      <c r="EE70" s="273"/>
      <c r="EF70" s="274"/>
    </row>
    <row r="71" spans="2:136" s="249" customFormat="1" ht="17.399999999999999">
      <c r="B71" s="286">
        <v>64</v>
      </c>
      <c r="C71" s="273">
        <v>1.204E-3</v>
      </c>
      <c r="D71" s="273">
        <v>8.7100000000000003E-4</v>
      </c>
      <c r="E71" s="273">
        <v>1.6899999999999999E-4</v>
      </c>
      <c r="F71" s="273">
        <v>6.0000000000000008E-5</v>
      </c>
      <c r="G71" s="273">
        <v>5.4289999999999998E-3</v>
      </c>
      <c r="H71" s="273">
        <v>2.3259999999999999E-3</v>
      </c>
      <c r="I71" s="273">
        <v>1.3730000000000001E-3</v>
      </c>
      <c r="J71" s="273">
        <v>9.3100000000000008E-4</v>
      </c>
      <c r="K71" s="273">
        <v>5.22E-4</v>
      </c>
      <c r="L71" s="273">
        <v>4.9600000000000002E-4</v>
      </c>
      <c r="M71" s="273">
        <f t="shared" si="87"/>
        <v>9.6414712559999977E-3</v>
      </c>
      <c r="N71" s="273">
        <f t="shared" ref="N71:N119" si="101">R71*(1-T71-V71-X71-AB71-AF71-AJ71)</f>
        <v>5.0349976200000012E-3</v>
      </c>
      <c r="O71" s="273">
        <f t="shared" si="88"/>
        <v>1.7095242510000001E-3</v>
      </c>
      <c r="P71" s="273">
        <f t="shared" si="89"/>
        <v>1.7942027220000001E-3</v>
      </c>
      <c r="Q71" s="273">
        <v>1.2501E-2</v>
      </c>
      <c r="R71" s="273">
        <v>8.4869999999999998E-3</v>
      </c>
      <c r="S71" s="273">
        <v>1.093E-3</v>
      </c>
      <c r="T71" s="273">
        <v>0.21140600000000001</v>
      </c>
      <c r="U71" s="273">
        <v>0.13675100000000001</v>
      </c>
      <c r="V71" s="273">
        <v>0</v>
      </c>
      <c r="W71" s="273">
        <v>1.8588E-2</v>
      </c>
      <c r="X71" s="273">
        <v>2.5346E-2</v>
      </c>
      <c r="Y71" s="273">
        <f t="shared" si="90"/>
        <v>2.32368588E-4</v>
      </c>
      <c r="Z71" s="273">
        <f t="shared" ref="Z71:Z118" si="102">X71*R71</f>
        <v>2.1511150200000001E-4</v>
      </c>
      <c r="AA71" s="273">
        <v>4.2500999999999997E-2</v>
      </c>
      <c r="AB71" s="273">
        <v>0.15126500000000001</v>
      </c>
      <c r="AC71" s="273">
        <f t="shared" si="91"/>
        <v>5.3130500099999992E-4</v>
      </c>
      <c r="AD71" s="273">
        <f t="shared" ref="AD71:AD119" si="103">R71*AB71</f>
        <v>1.2837860550000001E-3</v>
      </c>
      <c r="AE71" s="273">
        <v>2.0853E-2</v>
      </c>
      <c r="AF71" s="273">
        <v>1.5941E-2</v>
      </c>
      <c r="AG71" s="273">
        <f t="shared" si="92"/>
        <v>2.60683353E-4</v>
      </c>
      <c r="AH71" s="273">
        <f t="shared" ref="AH71:AH119" si="104">R71*AF71</f>
        <v>1.3529126699999999E-4</v>
      </c>
      <c r="AI71" s="273">
        <v>1.0050999999999999E-2</v>
      </c>
      <c r="AJ71" s="273">
        <v>2.7820000000000002E-3</v>
      </c>
      <c r="AK71" s="273">
        <f t="shared" si="93"/>
        <v>1.2564755099999999E-4</v>
      </c>
      <c r="AL71" s="273">
        <f t="shared" ref="AL71:AL119" si="105">R71*AJ71</f>
        <v>2.3610834000000001E-5</v>
      </c>
      <c r="AM71" s="273">
        <f t="shared" si="94"/>
        <v>1.1927829149999999E-3</v>
      </c>
      <c r="AN71" s="273">
        <f t="shared" si="95"/>
        <v>8.9156783700000003E-4</v>
      </c>
      <c r="AO71" s="273">
        <v>9.5415E-2</v>
      </c>
      <c r="AP71" s="273">
        <v>0.10505100000000001</v>
      </c>
      <c r="AQ71" s="273">
        <v>6.8599999999999998E-4</v>
      </c>
      <c r="AR71" s="273">
        <v>9.4600000000000001E-4</v>
      </c>
      <c r="AS71" s="273">
        <v>2.0599999999999999E-4</v>
      </c>
      <c r="AT71" s="273">
        <v>2.1499999999999999E-4</v>
      </c>
      <c r="AU71" s="273">
        <v>1.14E-3</v>
      </c>
      <c r="AV71" s="273">
        <v>6.5499999999999998E-4</v>
      </c>
      <c r="AW71" s="273">
        <v>2.5000000000000001E-5</v>
      </c>
      <c r="AX71" s="273">
        <v>9.0000000000000002E-6</v>
      </c>
      <c r="AY71" s="273">
        <v>8.6000000000000003E-5</v>
      </c>
      <c r="AZ71" s="273">
        <v>8.8999999999999995E-5</v>
      </c>
      <c r="BA71" s="273">
        <v>3.2600000000000001E-4</v>
      </c>
      <c r="BB71" s="273">
        <v>7.1199999999999996E-4</v>
      </c>
      <c r="BC71" s="273">
        <v>0</v>
      </c>
      <c r="BD71" s="273">
        <v>0</v>
      </c>
      <c r="BE71" s="273">
        <v>6.0000000000000002E-6</v>
      </c>
      <c r="BF71" s="273">
        <v>3.9999999999999998E-6</v>
      </c>
      <c r="BG71" s="273">
        <v>1.8900000000000001E-4</v>
      </c>
      <c r="BH71" s="273">
        <v>1.35E-4</v>
      </c>
      <c r="BI71" s="273">
        <v>2.8299999999999999E-4</v>
      </c>
      <c r="BJ71" s="273">
        <v>1.34E-4</v>
      </c>
      <c r="BK71" s="273">
        <v>6.7000000000000002E-4</v>
      </c>
      <c r="BL71" s="273">
        <v>3.6099999999999999E-4</v>
      </c>
      <c r="BM71" s="273">
        <v>2.72E-4</v>
      </c>
      <c r="BN71" s="273">
        <v>4.9600000000000002E-4</v>
      </c>
      <c r="BO71" s="273">
        <v>7.5299999999999998E-4</v>
      </c>
      <c r="BP71" s="273">
        <v>7.5299999999999998E-4</v>
      </c>
      <c r="BQ71" s="273">
        <v>7.1299999999999998E-4</v>
      </c>
      <c r="BR71" s="273">
        <v>6.2600000000000004E-4</v>
      </c>
      <c r="BS71" s="273">
        <v>1.5889999999999999E-3</v>
      </c>
      <c r="BT71" s="273">
        <v>3.4099999999999999E-4</v>
      </c>
      <c r="BU71" s="273">
        <v>7.6439999999999998E-3</v>
      </c>
      <c r="BV71" s="273">
        <v>6.7099999999999998E-3</v>
      </c>
      <c r="BW71" s="273">
        <v>3.1119490000000001</v>
      </c>
      <c r="BX71" s="273">
        <v>4.5811590000000004</v>
      </c>
      <c r="BY71" s="273">
        <v>0.58156799999999997</v>
      </c>
      <c r="BZ71" s="273">
        <v>0.65041400000000005</v>
      </c>
      <c r="CA71" s="273">
        <v>0.118932</v>
      </c>
      <c r="CB71" s="273">
        <v>0.10566399999999999</v>
      </c>
      <c r="CC71" s="273">
        <v>8.3210000000000003E-3</v>
      </c>
      <c r="CD71" s="273">
        <v>1.7849999999999999E-3</v>
      </c>
      <c r="CE71" s="273">
        <v>7.8594999999999998E-2</v>
      </c>
      <c r="CF71" s="273">
        <v>9.4476000000000004E-2</v>
      </c>
      <c r="CG71" s="273">
        <v>0.100657</v>
      </c>
      <c r="CH71" s="273">
        <v>0.108516</v>
      </c>
      <c r="CI71" s="273">
        <v>2.0528999999999999E-2</v>
      </c>
      <c r="CJ71" s="273">
        <v>1.4067E-2</v>
      </c>
      <c r="CK71" s="273">
        <v>1.9710000000000001E-3</v>
      </c>
      <c r="CL71" s="273">
        <v>1.114E-3</v>
      </c>
      <c r="CM71" s="273">
        <v>5.3709999999999999E-3</v>
      </c>
      <c r="CN71" s="273">
        <v>5.0530000000000002E-3</v>
      </c>
      <c r="CO71" s="273">
        <v>0.16411100000000001</v>
      </c>
      <c r="CP71" s="273">
        <v>0.16603899999999999</v>
      </c>
      <c r="CQ71" s="273">
        <v>1.4444E-2</v>
      </c>
      <c r="CR71" s="273">
        <v>9.6270000000000001E-3</v>
      </c>
      <c r="CS71" s="273">
        <v>1.728E-2</v>
      </c>
      <c r="CT71" s="273">
        <v>2.4729000000000001E-2</v>
      </c>
      <c r="CU71" s="273">
        <f t="shared" si="96"/>
        <v>2.4959232E-4</v>
      </c>
      <c r="CV71" s="273">
        <f t="shared" ref="CV71:CV119" si="106">CR71*CT71</f>
        <v>2.3806608300000001E-4</v>
      </c>
      <c r="CW71" s="273">
        <v>3.8848000000000001E-2</v>
      </c>
      <c r="CX71" s="273">
        <v>0.155477</v>
      </c>
      <c r="CY71" s="273">
        <f t="shared" si="97"/>
        <v>5.6112051200000004E-4</v>
      </c>
      <c r="CZ71" s="273">
        <f t="shared" ref="CZ71:CZ119" si="107">CR71*CX71</f>
        <v>1.496777079E-3</v>
      </c>
      <c r="DA71" s="273">
        <v>7.6300000000000001E-4</v>
      </c>
      <c r="DB71" s="273">
        <v>1.062E-3</v>
      </c>
      <c r="DC71" s="273">
        <f t="shared" si="98"/>
        <v>1.3633287168E-2</v>
      </c>
      <c r="DD71" s="273">
        <f t="shared" ref="DD71:DD119" si="108">CR71-CV71-CZ71</f>
        <v>7.8921568380000001E-3</v>
      </c>
      <c r="DE71" s="273">
        <v>2.14E-4</v>
      </c>
      <c r="DF71" s="273">
        <v>2.12E-4</v>
      </c>
      <c r="DG71" s="273">
        <f t="shared" si="99"/>
        <v>1.787712832E-3</v>
      </c>
      <c r="DH71" s="273">
        <f t="shared" ref="DH71:DH119" si="109">CV71+CZ71+DB71+DF71</f>
        <v>3.008843162E-3</v>
      </c>
      <c r="DI71" s="273">
        <v>2.4580000000000001E-3</v>
      </c>
      <c r="DJ71" s="273">
        <v>8.8500000000000004E-4</v>
      </c>
      <c r="DK71" s="273">
        <v>1.2149999999999999E-3</v>
      </c>
      <c r="DL71" s="273">
        <v>7.94E-4</v>
      </c>
      <c r="DM71" s="273">
        <f t="shared" si="100"/>
        <v>3.673E-3</v>
      </c>
      <c r="DN71" s="273">
        <f t="shared" ref="DN71:DN119" si="110">DJ71+DL71</f>
        <v>1.6789999999999999E-3</v>
      </c>
      <c r="DO71" s="273">
        <v>3.8860000000000001E-3</v>
      </c>
      <c r="DP71" s="273">
        <v>4.1229999999999999E-3</v>
      </c>
      <c r="DQ71" s="273">
        <v>4.8440000000000002E-3</v>
      </c>
      <c r="DR71" s="273">
        <v>8.4700000000000001E-3</v>
      </c>
      <c r="DS71" s="273">
        <v>2.9440000000000001E-2</v>
      </c>
      <c r="DT71" s="273">
        <v>4.7349000000000002E-2</v>
      </c>
      <c r="DU71" s="273">
        <v>5.0080000000000003E-3</v>
      </c>
      <c r="DV71" s="273">
        <v>8.1499999999999993E-3</v>
      </c>
      <c r="DW71" s="273">
        <v>4.0188000000000001E-2</v>
      </c>
      <c r="DX71" s="273">
        <v>4.0188000000000001E-2</v>
      </c>
      <c r="DY71" s="273">
        <v>0.435643</v>
      </c>
      <c r="DZ71" s="273">
        <v>0.332569</v>
      </c>
      <c r="EA71" s="273">
        <v>1.6199999999999999E-3</v>
      </c>
      <c r="EB71" s="273">
        <v>2.6549999999999998E-3</v>
      </c>
      <c r="EC71" s="273">
        <v>4.2189999999999997E-3</v>
      </c>
      <c r="ED71" s="273">
        <v>3.5530000000000002E-3</v>
      </c>
      <c r="EE71" s="273"/>
      <c r="EF71" s="274"/>
    </row>
    <row r="72" spans="2:136" s="249" customFormat="1" ht="17.399999999999999">
      <c r="B72" s="286">
        <v>65</v>
      </c>
      <c r="C72" s="273">
        <v>1.34E-3</v>
      </c>
      <c r="D72" s="273">
        <v>1.1850000000000001E-3</v>
      </c>
      <c r="E72" s="273">
        <v>1.6899999999999999E-4</v>
      </c>
      <c r="F72" s="273">
        <v>6.0000000000000008E-5</v>
      </c>
      <c r="G72" s="273">
        <v>5.9800000000000001E-3</v>
      </c>
      <c r="H72" s="273">
        <v>2.5539999999999998E-3</v>
      </c>
      <c r="I72" s="273">
        <v>1.5089999999999999E-3</v>
      </c>
      <c r="J72" s="273">
        <v>1.245E-3</v>
      </c>
      <c r="K72" s="273">
        <v>5.22E-4</v>
      </c>
      <c r="L72" s="273">
        <v>4.9600000000000002E-4</v>
      </c>
      <c r="M72" s="273">
        <f t="shared" ref="M72:M119" si="111">Q72*(1-S72*0-U72-W72-AA72-AE72-AI72)</f>
        <v>1.0309383678E-2</v>
      </c>
      <c r="N72" s="273">
        <f t="shared" si="101"/>
        <v>5.2645101389999999E-3</v>
      </c>
      <c r="O72" s="273">
        <f t="shared" ref="O72:O119" si="112">Q72*(S72*0+U72)</f>
        <v>1.9611110749999999E-3</v>
      </c>
      <c r="P72" s="273">
        <f t="shared" ref="P72:P119" si="113">R72*(T72+V72)</f>
        <v>1.823814009E-3</v>
      </c>
      <c r="Q72" s="273">
        <v>1.3453E-2</v>
      </c>
      <c r="R72" s="273">
        <v>8.7209999999999996E-3</v>
      </c>
      <c r="S72" s="273">
        <v>1.101E-3</v>
      </c>
      <c r="T72" s="273">
        <v>0.20912900000000001</v>
      </c>
      <c r="U72" s="273">
        <v>0.14577499999999999</v>
      </c>
      <c r="V72" s="273">
        <v>0</v>
      </c>
      <c r="W72" s="273">
        <v>1.9227999999999999E-2</v>
      </c>
      <c r="X72" s="273">
        <v>2.7349999999999999E-2</v>
      </c>
      <c r="Y72" s="273">
        <f t="shared" ref="Y72:Y118" si="114">W72*Q72</f>
        <v>2.5867428399999997E-4</v>
      </c>
      <c r="Z72" s="273">
        <f t="shared" si="102"/>
        <v>2.3851934999999998E-4</v>
      </c>
      <c r="AA72" s="273">
        <v>3.8009000000000001E-2</v>
      </c>
      <c r="AB72" s="273">
        <v>0.140594</v>
      </c>
      <c r="AC72" s="273">
        <f t="shared" ref="AC72:AC119" si="115">Q72*AA72</f>
        <v>5.1133507700000004E-4</v>
      </c>
      <c r="AD72" s="273">
        <f t="shared" si="103"/>
        <v>1.226120274E-3</v>
      </c>
      <c r="AE72" s="273">
        <v>2.0278000000000001E-2</v>
      </c>
      <c r="AF72" s="273">
        <v>1.6258000000000002E-2</v>
      </c>
      <c r="AG72" s="273">
        <f t="shared" ref="AG72:AG119" si="116">Q72*AE72</f>
        <v>2.7279993400000001E-4</v>
      </c>
      <c r="AH72" s="273">
        <f t="shared" si="104"/>
        <v>1.4178601800000001E-4</v>
      </c>
      <c r="AI72" s="273">
        <v>1.0383999999999999E-2</v>
      </c>
      <c r="AJ72" s="273">
        <v>3.0100000000000001E-3</v>
      </c>
      <c r="AK72" s="273">
        <f t="shared" ref="AK72:AK119" si="117">Q72*AI72</f>
        <v>1.3969595199999997E-4</v>
      </c>
      <c r="AL72" s="273">
        <f t="shared" si="105"/>
        <v>2.6250209999999999E-5</v>
      </c>
      <c r="AM72" s="273">
        <f t="shared" ref="AM72:AM119" si="118">AO72*Q72</f>
        <v>1.2939633520000001E-3</v>
      </c>
      <c r="AN72" s="273">
        <f t="shared" ref="AN72:AN119" si="119">AP72*R72</f>
        <v>9.7187696099999994E-4</v>
      </c>
      <c r="AO72" s="273">
        <v>9.6184000000000006E-2</v>
      </c>
      <c r="AP72" s="273">
        <v>0.111441</v>
      </c>
      <c r="AQ72" s="273">
        <v>7.2300000000000001E-4</v>
      </c>
      <c r="AR72" s="273">
        <v>9.5E-4</v>
      </c>
      <c r="AS72" s="273">
        <v>2.05E-4</v>
      </c>
      <c r="AT72" s="273">
        <v>2.13E-4</v>
      </c>
      <c r="AU72" s="273">
        <v>1.219E-3</v>
      </c>
      <c r="AV72" s="273">
        <v>6.9300000000000004E-4</v>
      </c>
      <c r="AW72" s="273">
        <v>2.5000000000000001E-5</v>
      </c>
      <c r="AX72" s="273">
        <v>1.0000000000000001E-5</v>
      </c>
      <c r="AY72" s="273">
        <v>9.3999999999999994E-5</v>
      </c>
      <c r="AZ72" s="273">
        <v>9.2999999999999997E-5</v>
      </c>
      <c r="BA72" s="273">
        <v>3.4400000000000001E-4</v>
      </c>
      <c r="BB72" s="273">
        <v>7.4100000000000001E-4</v>
      </c>
      <c r="BC72" s="273">
        <v>0</v>
      </c>
      <c r="BD72" s="273">
        <v>0</v>
      </c>
      <c r="BE72" s="273">
        <v>6.0000000000000002E-6</v>
      </c>
      <c r="BF72" s="273">
        <v>5.0000000000000004E-6</v>
      </c>
      <c r="BG72" s="273">
        <v>1.85E-4</v>
      </c>
      <c r="BH72" s="273">
        <v>1.2799999999999999E-4</v>
      </c>
      <c r="BI72" s="273">
        <v>2.7E-4</v>
      </c>
      <c r="BJ72" s="273">
        <v>1.3100000000000001E-4</v>
      </c>
      <c r="BK72" s="273">
        <v>7.3099999999999999E-4</v>
      </c>
      <c r="BL72" s="273">
        <v>3.9599999999999998E-4</v>
      </c>
      <c r="BM72" s="273">
        <v>2.8600000000000001E-4</v>
      </c>
      <c r="BN72" s="273">
        <v>5.0199999999999995E-4</v>
      </c>
      <c r="BO72" s="273">
        <v>7.2900000000000005E-4</v>
      </c>
      <c r="BP72" s="273">
        <v>7.5199999999999996E-4</v>
      </c>
      <c r="BQ72" s="273">
        <v>7.3499999999999998E-4</v>
      </c>
      <c r="BR72" s="273">
        <v>6.6699999999999995E-4</v>
      </c>
      <c r="BS72" s="273">
        <v>1.6459999999999999E-3</v>
      </c>
      <c r="BT72" s="273">
        <v>3.8499999999999998E-4</v>
      </c>
      <c r="BU72" s="273">
        <v>7.8879999999999992E-3</v>
      </c>
      <c r="BV72" s="273">
        <v>7.149E-3</v>
      </c>
      <c r="BW72" s="273">
        <v>3.271814</v>
      </c>
      <c r="BX72" s="273">
        <v>4.7357579999999997</v>
      </c>
      <c r="BY72" s="273">
        <v>0.60825399999999996</v>
      </c>
      <c r="BZ72" s="273">
        <v>0.68738600000000005</v>
      </c>
      <c r="CA72" s="273">
        <v>0.12926399999999999</v>
      </c>
      <c r="CB72" s="273">
        <v>0.112801</v>
      </c>
      <c r="CC72" s="273">
        <v>8.6189999999999999E-3</v>
      </c>
      <c r="CD72" s="273">
        <v>2.0119999999999999E-3</v>
      </c>
      <c r="CE72" s="273">
        <v>8.0517000000000005E-2</v>
      </c>
      <c r="CF72" s="273">
        <v>9.5762E-2</v>
      </c>
      <c r="CG72" s="273">
        <v>0.103273</v>
      </c>
      <c r="CH72" s="273">
        <v>0.110619</v>
      </c>
      <c r="CI72" s="273">
        <v>2.1412E-2</v>
      </c>
      <c r="CJ72" s="273">
        <v>1.4435999999999999E-2</v>
      </c>
      <c r="CK72" s="273">
        <v>1.9780000000000002E-3</v>
      </c>
      <c r="CL72" s="273">
        <v>1.0790000000000001E-3</v>
      </c>
      <c r="CM72" s="273">
        <v>5.4180000000000001E-3</v>
      </c>
      <c r="CN72" s="273">
        <v>4.7689999999999998E-3</v>
      </c>
      <c r="CO72" s="273">
        <v>0.16806699999999999</v>
      </c>
      <c r="CP72" s="273">
        <v>0.16905800000000001</v>
      </c>
      <c r="CQ72" s="273">
        <v>1.5485000000000001E-2</v>
      </c>
      <c r="CR72" s="273">
        <v>9.9430000000000004E-3</v>
      </c>
      <c r="CS72" s="273">
        <v>1.7437999999999999E-2</v>
      </c>
      <c r="CT72" s="273">
        <v>2.7154000000000001E-2</v>
      </c>
      <c r="CU72" s="273">
        <f t="shared" ref="CU72:CU119" si="120">CQ72*CS72</f>
        <v>2.7002743000000001E-4</v>
      </c>
      <c r="CV72" s="273">
        <f t="shared" si="106"/>
        <v>2.6999222200000002E-4</v>
      </c>
      <c r="CW72" s="273">
        <v>3.5319999999999997E-2</v>
      </c>
      <c r="CX72" s="273">
        <v>0.14585600000000001</v>
      </c>
      <c r="CY72" s="273">
        <f t="shared" ref="CY72:CY119" si="121">CQ72*CW72</f>
        <v>5.4693020000000001E-4</v>
      </c>
      <c r="CZ72" s="273">
        <f t="shared" si="107"/>
        <v>1.4502462080000001E-3</v>
      </c>
      <c r="DA72" s="273">
        <v>8.3600000000000005E-4</v>
      </c>
      <c r="DB72" s="273">
        <v>1.0740000000000001E-3</v>
      </c>
      <c r="DC72" s="273">
        <f t="shared" ref="DC72:DC119" si="122">CQ72-CU72-CY72</f>
        <v>1.466804237E-2</v>
      </c>
      <c r="DD72" s="273">
        <f t="shared" si="108"/>
        <v>8.2227615700000006E-3</v>
      </c>
      <c r="DE72" s="273">
        <v>2.1699999999999999E-4</v>
      </c>
      <c r="DF72" s="273">
        <v>2.0599999999999999E-4</v>
      </c>
      <c r="DG72" s="273">
        <f t="shared" ref="DG72:DG119" si="123">CU72+CY72+DA72+DE72</f>
        <v>1.8699576300000001E-3</v>
      </c>
      <c r="DH72" s="273">
        <f t="shared" si="109"/>
        <v>3.0002384300000001E-3</v>
      </c>
      <c r="DI72" s="273">
        <v>2.5869999999999999E-3</v>
      </c>
      <c r="DJ72" s="273">
        <v>9.6699999999999998E-4</v>
      </c>
      <c r="DK72" s="273">
        <v>1.2650000000000001E-3</v>
      </c>
      <c r="DL72" s="273">
        <v>8.3100000000000003E-4</v>
      </c>
      <c r="DM72" s="273">
        <f t="shared" ref="DM72:DM119" si="124">DI72+DK72</f>
        <v>3.852E-3</v>
      </c>
      <c r="DN72" s="273">
        <f t="shared" si="110"/>
        <v>1.7980000000000001E-3</v>
      </c>
      <c r="DO72" s="273">
        <v>3.9249999999999997E-3</v>
      </c>
      <c r="DP72" s="273">
        <v>4.1070000000000004E-3</v>
      </c>
      <c r="DQ72" s="273">
        <v>4.7800000000000004E-3</v>
      </c>
      <c r="DR72" s="273">
        <v>8.0890000000000007E-3</v>
      </c>
      <c r="DS72" s="273">
        <v>2.9044E-2</v>
      </c>
      <c r="DT72" s="273">
        <v>4.7890000000000002E-2</v>
      </c>
      <c r="DU72" s="273">
        <v>5.3010000000000002E-3</v>
      </c>
      <c r="DV72" s="273">
        <v>8.9060000000000007E-3</v>
      </c>
      <c r="DW72" s="273">
        <v>4.0188000000000001E-2</v>
      </c>
      <c r="DX72" s="273">
        <v>4.0188000000000001E-2</v>
      </c>
      <c r="DY72" s="273">
        <v>0.47012999999999999</v>
      </c>
      <c r="DZ72" s="273">
        <v>0.35251900000000003</v>
      </c>
      <c r="EA72" s="273">
        <v>1.7650000000000001E-3</v>
      </c>
      <c r="EB72" s="273">
        <v>2.993E-3</v>
      </c>
      <c r="EC72" s="273">
        <v>4.5050000000000003E-3</v>
      </c>
      <c r="ED72" s="273">
        <v>3.6229999999999999E-3</v>
      </c>
      <c r="EE72" s="273"/>
      <c r="EF72" s="274"/>
    </row>
    <row r="73" spans="2:136" s="249" customFormat="1" ht="17.399999999999999">
      <c r="B73" s="286">
        <v>66</v>
      </c>
      <c r="C73" s="273">
        <v>1.4970000000000001E-3</v>
      </c>
      <c r="D73" s="273">
        <v>1.6570000000000001E-3</v>
      </c>
      <c r="E73" s="273">
        <v>1.6899999999999999E-4</v>
      </c>
      <c r="F73" s="273">
        <v>6.0000000000000008E-5</v>
      </c>
      <c r="G73" s="273">
        <v>6.5709999999999996E-3</v>
      </c>
      <c r="H73" s="273">
        <v>2.8089999999999999E-3</v>
      </c>
      <c r="I73" s="273">
        <v>1.6659999999999999E-3</v>
      </c>
      <c r="J73" s="273">
        <v>1.717E-3</v>
      </c>
      <c r="K73" s="273">
        <v>5.22E-4</v>
      </c>
      <c r="L73" s="273">
        <v>4.9600000000000002E-4</v>
      </c>
      <c r="M73" s="273">
        <f t="shared" si="111"/>
        <v>1.0990206374E-2</v>
      </c>
      <c r="N73" s="273">
        <f t="shared" si="101"/>
        <v>5.4961019710000007E-3</v>
      </c>
      <c r="O73" s="273">
        <f t="shared" si="112"/>
        <v>2.234368766E-3</v>
      </c>
      <c r="P73" s="273">
        <f t="shared" si="113"/>
        <v>1.8515233010000002E-3</v>
      </c>
      <c r="Q73" s="273">
        <v>1.4434000000000001E-2</v>
      </c>
      <c r="R73" s="273">
        <v>8.9510000000000006E-3</v>
      </c>
      <c r="S73" s="273">
        <v>1.106E-3</v>
      </c>
      <c r="T73" s="273">
        <v>0.20685100000000001</v>
      </c>
      <c r="U73" s="273">
        <v>0.15479899999999999</v>
      </c>
      <c r="V73" s="273">
        <v>0</v>
      </c>
      <c r="W73" s="273">
        <v>1.9835999999999999E-2</v>
      </c>
      <c r="X73" s="273">
        <v>2.9378000000000001E-2</v>
      </c>
      <c r="Y73" s="273">
        <f t="shared" si="114"/>
        <v>2.8631282400000001E-4</v>
      </c>
      <c r="Z73" s="273">
        <f t="shared" si="102"/>
        <v>2.6296247800000004E-4</v>
      </c>
      <c r="AA73" s="273">
        <v>3.3533E-2</v>
      </c>
      <c r="AB73" s="273">
        <v>0.129937</v>
      </c>
      <c r="AC73" s="273">
        <f t="shared" si="115"/>
        <v>4.8401532200000003E-4</v>
      </c>
      <c r="AD73" s="273">
        <f t="shared" si="103"/>
        <v>1.163066087E-3</v>
      </c>
      <c r="AE73" s="273">
        <v>1.9703999999999999E-2</v>
      </c>
      <c r="AF73" s="273">
        <v>1.6574999999999999E-2</v>
      </c>
      <c r="AG73" s="273">
        <f t="shared" si="116"/>
        <v>2.84407536E-4</v>
      </c>
      <c r="AH73" s="273">
        <f t="shared" si="104"/>
        <v>1.4836282500000001E-4</v>
      </c>
      <c r="AI73" s="273">
        <v>1.0717000000000001E-2</v>
      </c>
      <c r="AJ73" s="273">
        <v>3.238E-3</v>
      </c>
      <c r="AK73" s="273">
        <f t="shared" si="117"/>
        <v>1.5468917800000003E-4</v>
      </c>
      <c r="AL73" s="273">
        <f t="shared" si="105"/>
        <v>2.8983338000000001E-5</v>
      </c>
      <c r="AM73" s="273">
        <f t="shared" si="118"/>
        <v>1.399405168E-3</v>
      </c>
      <c r="AN73" s="273">
        <f t="shared" si="119"/>
        <v>1.0547052810000001E-3</v>
      </c>
      <c r="AO73" s="273">
        <v>9.6951999999999997E-2</v>
      </c>
      <c r="AP73" s="273">
        <v>0.11783100000000001</v>
      </c>
      <c r="AQ73" s="273">
        <v>7.6199999999999998E-4</v>
      </c>
      <c r="AR73" s="273">
        <v>9.5200000000000005E-4</v>
      </c>
      <c r="AS73" s="273">
        <v>2.04E-4</v>
      </c>
      <c r="AT73" s="273">
        <v>2.12E-4</v>
      </c>
      <c r="AU73" s="273">
        <v>1.3190000000000001E-3</v>
      </c>
      <c r="AV73" s="273">
        <v>7.3800000000000005E-4</v>
      </c>
      <c r="AW73" s="273">
        <v>2.5000000000000001E-5</v>
      </c>
      <c r="AX73" s="273">
        <v>1.0000000000000001E-5</v>
      </c>
      <c r="AY73" s="273">
        <v>1.06E-4</v>
      </c>
      <c r="AZ73" s="273">
        <v>9.7999999999999997E-5</v>
      </c>
      <c r="BA73" s="273">
        <v>3.6299999999999999E-4</v>
      </c>
      <c r="BB73" s="273">
        <v>7.6900000000000004E-4</v>
      </c>
      <c r="BC73" s="273">
        <v>0</v>
      </c>
      <c r="BD73" s="273">
        <v>0</v>
      </c>
      <c r="BE73" s="273">
        <v>6.9999999999999999E-6</v>
      </c>
      <c r="BF73" s="273">
        <v>5.0000000000000004E-6</v>
      </c>
      <c r="BG73" s="273">
        <v>1.75E-4</v>
      </c>
      <c r="BH73" s="273">
        <v>1.18E-4</v>
      </c>
      <c r="BI73" s="273">
        <v>2.5099999999999998E-4</v>
      </c>
      <c r="BJ73" s="273">
        <v>1.2400000000000001E-4</v>
      </c>
      <c r="BK73" s="273">
        <v>7.94E-4</v>
      </c>
      <c r="BL73" s="273">
        <v>4.37E-4</v>
      </c>
      <c r="BM73" s="273">
        <v>2.9999999999999997E-4</v>
      </c>
      <c r="BN73" s="273">
        <v>5.0699999999999996E-4</v>
      </c>
      <c r="BO73" s="273">
        <v>7.0600000000000003E-4</v>
      </c>
      <c r="BP73" s="273">
        <v>7.5600000000000005E-4</v>
      </c>
      <c r="BQ73" s="273">
        <v>7.6099999999999996E-4</v>
      </c>
      <c r="BR73" s="273">
        <v>7.1199999999999996E-4</v>
      </c>
      <c r="BS73" s="273">
        <v>1.702E-3</v>
      </c>
      <c r="BT73" s="273">
        <v>4.2900000000000002E-4</v>
      </c>
      <c r="BU73" s="273">
        <v>8.1600000000000006E-3</v>
      </c>
      <c r="BV73" s="273">
        <v>7.6449999999999999E-3</v>
      </c>
      <c r="BW73" s="273">
        <v>3.43594</v>
      </c>
      <c r="BX73" s="273">
        <v>4.8816680000000003</v>
      </c>
      <c r="BY73" s="273">
        <v>0.63661599999999996</v>
      </c>
      <c r="BZ73" s="273">
        <v>0.71867099999999995</v>
      </c>
      <c r="CA73" s="273">
        <v>0.13957900000000001</v>
      </c>
      <c r="CB73" s="273">
        <v>0.11987399999999999</v>
      </c>
      <c r="CC73" s="273">
        <v>8.9119999999999998E-3</v>
      </c>
      <c r="CD73" s="273">
        <v>2.2439999999999999E-3</v>
      </c>
      <c r="CE73" s="273">
        <v>8.2337999999999995E-2</v>
      </c>
      <c r="CF73" s="273">
        <v>9.6818000000000001E-2</v>
      </c>
      <c r="CG73" s="273">
        <v>0.105763</v>
      </c>
      <c r="CH73" s="273">
        <v>0.112473</v>
      </c>
      <c r="CI73" s="273">
        <v>2.2287999999999999E-2</v>
      </c>
      <c r="CJ73" s="273">
        <v>1.4774000000000001E-2</v>
      </c>
      <c r="CK73" s="273">
        <v>1.9819999999999998E-3</v>
      </c>
      <c r="CL73" s="273">
        <v>1.0399999999999999E-3</v>
      </c>
      <c r="CM73" s="273">
        <v>5.4530000000000004E-3</v>
      </c>
      <c r="CN73" s="273">
        <v>4.4619999999999998E-3</v>
      </c>
      <c r="CO73" s="273">
        <v>0.17180699999999999</v>
      </c>
      <c r="CP73" s="273">
        <v>0.17168900000000001</v>
      </c>
      <c r="CQ73" s="273">
        <v>1.6506E-2</v>
      </c>
      <c r="CR73" s="273">
        <v>1.0222999999999999E-2</v>
      </c>
      <c r="CS73" s="273">
        <v>1.7632999999999999E-2</v>
      </c>
      <c r="CT73" s="273">
        <v>2.9586999999999999E-2</v>
      </c>
      <c r="CU73" s="273">
        <f t="shared" si="120"/>
        <v>2.91050298E-4</v>
      </c>
      <c r="CV73" s="273">
        <f t="shared" si="106"/>
        <v>3.0246790099999998E-4</v>
      </c>
      <c r="CW73" s="273">
        <v>3.1791E-2</v>
      </c>
      <c r="CX73" s="273">
        <v>0.136236</v>
      </c>
      <c r="CY73" s="273">
        <f t="shared" si="121"/>
        <v>5.2474224600000002E-4</v>
      </c>
      <c r="CZ73" s="273">
        <f t="shared" si="107"/>
        <v>1.3927406279999998E-3</v>
      </c>
      <c r="DA73" s="273">
        <v>9.0899999999999998E-4</v>
      </c>
      <c r="DB73" s="273">
        <v>1.0839999999999999E-3</v>
      </c>
      <c r="DC73" s="273">
        <f t="shared" si="122"/>
        <v>1.5690207455999999E-2</v>
      </c>
      <c r="DD73" s="273">
        <f t="shared" si="108"/>
        <v>8.527791471000001E-3</v>
      </c>
      <c r="DE73" s="273">
        <v>2.2000000000000001E-4</v>
      </c>
      <c r="DF73" s="273">
        <v>2.0100000000000001E-4</v>
      </c>
      <c r="DG73" s="273">
        <f t="shared" si="123"/>
        <v>1.9447925440000001E-3</v>
      </c>
      <c r="DH73" s="273">
        <f t="shared" si="109"/>
        <v>2.9802085289999999E-3</v>
      </c>
      <c r="DI73" s="273">
        <v>2.7160000000000001E-3</v>
      </c>
      <c r="DJ73" s="273">
        <v>1.049E-3</v>
      </c>
      <c r="DK73" s="273">
        <v>1.3209999999999999E-3</v>
      </c>
      <c r="DL73" s="273">
        <v>8.6799999999999996E-4</v>
      </c>
      <c r="DM73" s="273">
        <f t="shared" si="124"/>
        <v>4.0369999999999998E-3</v>
      </c>
      <c r="DN73" s="273">
        <f t="shared" si="110"/>
        <v>1.9169999999999999E-3</v>
      </c>
      <c r="DO73" s="273">
        <v>3.9719999999999998E-3</v>
      </c>
      <c r="DP73" s="273">
        <v>4.084E-3</v>
      </c>
      <c r="DQ73" s="273">
        <v>4.692E-3</v>
      </c>
      <c r="DR73" s="273">
        <v>7.7349999999999997E-3</v>
      </c>
      <c r="DS73" s="273">
        <v>2.8775999999999999E-2</v>
      </c>
      <c r="DT73" s="273">
        <v>4.8529000000000003E-2</v>
      </c>
      <c r="DU73" s="273">
        <v>5.6290000000000003E-3</v>
      </c>
      <c r="DV73" s="273">
        <v>9.7579999999999993E-3</v>
      </c>
      <c r="DW73" s="273">
        <v>4.0188000000000001E-2</v>
      </c>
      <c r="DX73" s="273">
        <v>4.0188000000000001E-2</v>
      </c>
      <c r="DY73" s="273">
        <v>0.50483299999999998</v>
      </c>
      <c r="DZ73" s="273">
        <v>0.37593100000000002</v>
      </c>
      <c r="EA73" s="273">
        <v>1.921E-3</v>
      </c>
      <c r="EB73" s="273">
        <v>3.4199999999999999E-3</v>
      </c>
      <c r="EC73" s="273">
        <v>5.032E-3</v>
      </c>
      <c r="ED73" s="273">
        <v>3.7959999999999999E-3</v>
      </c>
      <c r="EE73" s="273"/>
      <c r="EF73" s="274"/>
    </row>
    <row r="74" spans="2:136" s="249" customFormat="1" ht="17.399999999999999">
      <c r="B74" s="286">
        <v>67</v>
      </c>
      <c r="C74" s="273">
        <v>2.3310000000000002E-3</v>
      </c>
      <c r="D74" s="273">
        <v>1.7290000000000001E-3</v>
      </c>
      <c r="E74" s="273">
        <v>1.6899999999999999E-4</v>
      </c>
      <c r="F74" s="273">
        <v>6.0000000000000008E-5</v>
      </c>
      <c r="G74" s="273">
        <v>7.2459999999999998E-3</v>
      </c>
      <c r="H74" s="273">
        <v>3.1229999999999999E-3</v>
      </c>
      <c r="I74" s="273">
        <v>2.5000000000000001E-3</v>
      </c>
      <c r="J74" s="273">
        <v>1.789E-3</v>
      </c>
      <c r="K74" s="273">
        <v>5.22E-4</v>
      </c>
      <c r="L74" s="273">
        <v>4.9600000000000002E-4</v>
      </c>
      <c r="M74" s="273">
        <f t="shared" si="111"/>
        <v>1.1705816149999999E-2</v>
      </c>
      <c r="N74" s="273">
        <f t="shared" si="101"/>
        <v>5.7248017440000003E-3</v>
      </c>
      <c r="O74" s="273">
        <f t="shared" si="112"/>
        <v>2.5351609249999996E-3</v>
      </c>
      <c r="P74" s="273">
        <f t="shared" si="113"/>
        <v>1.8755344320000003E-3</v>
      </c>
      <c r="Q74" s="273">
        <v>1.5474999999999999E-2</v>
      </c>
      <c r="R74" s="273">
        <v>9.1680000000000008E-3</v>
      </c>
      <c r="S74" s="273">
        <v>1.1100000000000001E-3</v>
      </c>
      <c r="T74" s="273">
        <v>0.20457400000000001</v>
      </c>
      <c r="U74" s="273">
        <v>0.163823</v>
      </c>
      <c r="V74" s="273">
        <v>0</v>
      </c>
      <c r="W74" s="273">
        <v>2.0496E-2</v>
      </c>
      <c r="X74" s="273">
        <v>3.1341000000000001E-2</v>
      </c>
      <c r="Y74" s="273">
        <f t="shared" si="114"/>
        <v>3.1717559999999999E-4</v>
      </c>
      <c r="Z74" s="273">
        <f t="shared" si="102"/>
        <v>2.8733428800000003E-4</v>
      </c>
      <c r="AA74" s="273">
        <v>2.9069000000000001E-2</v>
      </c>
      <c r="AB74" s="273">
        <v>0.119295</v>
      </c>
      <c r="AC74" s="273">
        <f t="shared" si="115"/>
        <v>4.4984277499999999E-4</v>
      </c>
      <c r="AD74" s="273">
        <f t="shared" si="103"/>
        <v>1.0936965600000001E-3</v>
      </c>
      <c r="AE74" s="273">
        <v>1.9129E-2</v>
      </c>
      <c r="AF74" s="273">
        <v>1.6891E-2</v>
      </c>
      <c r="AG74" s="273">
        <f t="shared" si="116"/>
        <v>2.9602127499999998E-4</v>
      </c>
      <c r="AH74" s="273">
        <f t="shared" si="104"/>
        <v>1.54856688E-4</v>
      </c>
      <c r="AI74" s="273">
        <v>1.1049E-2</v>
      </c>
      <c r="AJ74" s="273">
        <v>3.4659999999999999E-3</v>
      </c>
      <c r="AK74" s="273">
        <f t="shared" si="117"/>
        <v>1.70983275E-4</v>
      </c>
      <c r="AL74" s="273">
        <f t="shared" si="105"/>
        <v>3.1776288000000003E-5</v>
      </c>
      <c r="AM74" s="273">
        <f t="shared" si="118"/>
        <v>1.5122324749999999E-3</v>
      </c>
      <c r="AN74" s="273">
        <f t="shared" si="119"/>
        <v>1.1388581280000001E-3</v>
      </c>
      <c r="AO74" s="273">
        <v>9.7721000000000002E-2</v>
      </c>
      <c r="AP74" s="273">
        <v>0.124221</v>
      </c>
      <c r="AQ74" s="273">
        <v>8.0199999999999998E-4</v>
      </c>
      <c r="AR74" s="273">
        <v>9.5399999999999999E-4</v>
      </c>
      <c r="AS74" s="273">
        <v>2.04E-4</v>
      </c>
      <c r="AT74" s="273">
        <v>2.1100000000000001E-4</v>
      </c>
      <c r="AU74" s="273">
        <v>1.4369999999999999E-3</v>
      </c>
      <c r="AV74" s="273">
        <v>7.8899999999999999E-4</v>
      </c>
      <c r="AW74" s="273">
        <v>2.4000000000000001E-5</v>
      </c>
      <c r="AX74" s="273">
        <v>1.1E-5</v>
      </c>
      <c r="AY74" s="273">
        <v>1.18E-4</v>
      </c>
      <c r="AZ74" s="273">
        <v>1.03E-4</v>
      </c>
      <c r="BA74" s="273">
        <v>3.8099999999999999E-4</v>
      </c>
      <c r="BB74" s="273">
        <v>7.9199999999999995E-4</v>
      </c>
      <c r="BC74" s="273">
        <v>0</v>
      </c>
      <c r="BD74" s="273">
        <v>0</v>
      </c>
      <c r="BE74" s="273">
        <v>6.9999999999999999E-6</v>
      </c>
      <c r="BF74" s="273">
        <v>5.0000000000000004E-6</v>
      </c>
      <c r="BG74" s="273">
        <v>1.5200000000000001E-4</v>
      </c>
      <c r="BH74" s="273">
        <v>1E-4</v>
      </c>
      <c r="BI74" s="273">
        <v>2.1699999999999999E-4</v>
      </c>
      <c r="BJ74" s="273">
        <v>1.0900000000000001E-4</v>
      </c>
      <c r="BK74" s="273">
        <v>8.6399999999999997E-4</v>
      </c>
      <c r="BL74" s="273">
        <v>4.9200000000000003E-4</v>
      </c>
      <c r="BM74" s="273">
        <v>3.1399999999999999E-4</v>
      </c>
      <c r="BN74" s="273">
        <v>5.1000000000000004E-4</v>
      </c>
      <c r="BO74" s="273">
        <v>6.8199999999999999E-4</v>
      </c>
      <c r="BP74" s="273">
        <v>7.6800000000000002E-4</v>
      </c>
      <c r="BQ74" s="273">
        <v>7.8899999999999999E-4</v>
      </c>
      <c r="BR74" s="273">
        <v>7.6499999999999995E-4</v>
      </c>
      <c r="BS74" s="273">
        <v>1.7570000000000001E-3</v>
      </c>
      <c r="BT74" s="273">
        <v>4.73E-4</v>
      </c>
      <c r="BU74" s="273">
        <v>8.4589999999999995E-3</v>
      </c>
      <c r="BV74" s="273">
        <v>8.2100000000000003E-3</v>
      </c>
      <c r="BW74" s="273">
        <v>3.6098439999999998</v>
      </c>
      <c r="BX74" s="273">
        <v>5.0085699999999997</v>
      </c>
      <c r="BY74" s="273">
        <v>0.66833299999999995</v>
      </c>
      <c r="BZ74" s="273">
        <v>0.73843400000000003</v>
      </c>
      <c r="CA74" s="273">
        <v>0.14934600000000001</v>
      </c>
      <c r="CB74" s="273">
        <v>0.12658900000000001</v>
      </c>
      <c r="CC74" s="273">
        <v>9.1979999999999996E-3</v>
      </c>
      <c r="CD74" s="273">
        <v>2.4750000000000002E-3</v>
      </c>
      <c r="CE74" s="273">
        <v>8.3937999999999999E-2</v>
      </c>
      <c r="CF74" s="273">
        <v>9.7378000000000006E-2</v>
      </c>
      <c r="CG74" s="273">
        <v>0.10797900000000001</v>
      </c>
      <c r="CH74" s="273">
        <v>0.113764</v>
      </c>
      <c r="CI74" s="273">
        <v>2.3122E-2</v>
      </c>
      <c r="CJ74" s="273">
        <v>1.504E-2</v>
      </c>
      <c r="CK74" s="273">
        <v>1.977E-3</v>
      </c>
      <c r="CL74" s="273">
        <v>9.9400000000000009E-4</v>
      </c>
      <c r="CM74" s="273">
        <v>5.47E-3</v>
      </c>
      <c r="CN74" s="273">
        <v>4.1260000000000003E-3</v>
      </c>
      <c r="CO74" s="273">
        <v>0.17508399999999999</v>
      </c>
      <c r="CP74" s="273">
        <v>0.173457</v>
      </c>
      <c r="CQ74" s="273">
        <v>1.7481E-2</v>
      </c>
      <c r="CR74" s="273">
        <v>1.0421E-2</v>
      </c>
      <c r="CS74" s="273">
        <v>1.7805000000000001E-2</v>
      </c>
      <c r="CT74" s="273">
        <v>3.2115999999999999E-2</v>
      </c>
      <c r="CU74" s="273">
        <f t="shared" si="120"/>
        <v>3.1124920500000004E-4</v>
      </c>
      <c r="CV74" s="273">
        <f t="shared" si="106"/>
        <v>3.3468083599999998E-4</v>
      </c>
      <c r="CW74" s="273">
        <v>2.8263E-2</v>
      </c>
      <c r="CX74" s="273">
        <v>0.12661500000000001</v>
      </c>
      <c r="CY74" s="273">
        <f t="shared" si="121"/>
        <v>4.9406550299999996E-4</v>
      </c>
      <c r="CZ74" s="273">
        <f t="shared" si="107"/>
        <v>1.3194549150000001E-3</v>
      </c>
      <c r="DA74" s="273">
        <v>9.7599999999999998E-4</v>
      </c>
      <c r="DB74" s="273">
        <v>1.09E-3</v>
      </c>
      <c r="DC74" s="273">
        <f t="shared" si="122"/>
        <v>1.6675685292E-2</v>
      </c>
      <c r="DD74" s="273">
        <f t="shared" si="108"/>
        <v>8.7668642489999987E-3</v>
      </c>
      <c r="DE74" s="273">
        <v>2.23E-4</v>
      </c>
      <c r="DF74" s="273">
        <v>1.9799999999999999E-4</v>
      </c>
      <c r="DG74" s="273">
        <f t="shared" si="123"/>
        <v>2.0043147079999999E-3</v>
      </c>
      <c r="DH74" s="273">
        <f t="shared" si="109"/>
        <v>2.9421357509999998E-3</v>
      </c>
      <c r="DI74" s="273">
        <v>2.8419999999999999E-3</v>
      </c>
      <c r="DJ74" s="273">
        <v>1.127E-3</v>
      </c>
      <c r="DK74" s="273">
        <v>1.3810000000000001E-3</v>
      </c>
      <c r="DL74" s="273">
        <v>9.0399999999999996E-4</v>
      </c>
      <c r="DM74" s="273">
        <f t="shared" si="124"/>
        <v>4.2230000000000002E-3</v>
      </c>
      <c r="DN74" s="273">
        <f t="shared" si="110"/>
        <v>2.0309999999999998E-3</v>
      </c>
      <c r="DO74" s="273">
        <v>4.0350000000000004E-3</v>
      </c>
      <c r="DP74" s="273">
        <v>4.0499999999999998E-3</v>
      </c>
      <c r="DQ74" s="273">
        <v>4.5529999999999998E-3</v>
      </c>
      <c r="DR74" s="273">
        <v>7.4390000000000003E-3</v>
      </c>
      <c r="DS74" s="273">
        <v>2.8804E-2</v>
      </c>
      <c r="DT74" s="273">
        <v>4.9383999999999997E-2</v>
      </c>
      <c r="DU74" s="273">
        <v>6.0350000000000004E-3</v>
      </c>
      <c r="DV74" s="273">
        <v>1.0817E-2</v>
      </c>
      <c r="DW74" s="273">
        <v>4.0188000000000001E-2</v>
      </c>
      <c r="DX74" s="273">
        <v>4.0188000000000001E-2</v>
      </c>
      <c r="DY74" s="273">
        <v>0.53970300000000004</v>
      </c>
      <c r="DZ74" s="273">
        <v>0.406976</v>
      </c>
      <c r="EA74" s="273">
        <v>2.5969999999999999E-3</v>
      </c>
      <c r="EB74" s="273">
        <v>3.5400000000000002E-3</v>
      </c>
      <c r="EC74" s="273">
        <v>5.5599999999999998E-3</v>
      </c>
      <c r="ED74" s="273">
        <v>3.9690000000000003E-3</v>
      </c>
      <c r="EE74" s="273"/>
      <c r="EF74" s="274"/>
    </row>
    <row r="75" spans="2:136" s="249" customFormat="1" ht="17.399999999999999">
      <c r="B75" s="286">
        <v>68</v>
      </c>
      <c r="C75" s="273">
        <v>2.7810000000000001E-3</v>
      </c>
      <c r="D75" s="273">
        <v>1.802E-3</v>
      </c>
      <c r="E75" s="273">
        <v>1.6899999999999999E-4</v>
      </c>
      <c r="F75" s="273">
        <v>6.0000000000000008E-5</v>
      </c>
      <c r="G75" s="273">
        <v>8.0370000000000007E-3</v>
      </c>
      <c r="H75" s="273">
        <v>3.5170000000000002E-3</v>
      </c>
      <c r="I75" s="273">
        <v>2.9499999999999999E-3</v>
      </c>
      <c r="J75" s="273">
        <v>1.8619999999999999E-3</v>
      </c>
      <c r="K75" s="273">
        <v>5.22E-4</v>
      </c>
      <c r="L75" s="273">
        <v>4.9600000000000002E-4</v>
      </c>
      <c r="M75" s="273">
        <f t="shared" si="111"/>
        <v>1.2505821743999999E-2</v>
      </c>
      <c r="N75" s="273">
        <f t="shared" si="101"/>
        <v>5.9856620999999997E-3</v>
      </c>
      <c r="O75" s="273">
        <f t="shared" si="112"/>
        <v>2.8268557439999997E-3</v>
      </c>
      <c r="P75" s="273">
        <f t="shared" si="113"/>
        <v>1.8273806759999999E-3</v>
      </c>
      <c r="Q75" s="273">
        <v>1.6601999999999999E-2</v>
      </c>
      <c r="R75" s="273">
        <v>9.3720000000000001E-3</v>
      </c>
      <c r="S75" s="273">
        <v>1.111E-3</v>
      </c>
      <c r="T75" s="273">
        <v>0.19498299999999999</v>
      </c>
      <c r="U75" s="273">
        <v>0.17027200000000001</v>
      </c>
      <c r="V75" s="273">
        <v>0</v>
      </c>
      <c r="W75" s="273">
        <v>2.0553999999999999E-2</v>
      </c>
      <c r="X75" s="273">
        <v>3.3205999999999999E-2</v>
      </c>
      <c r="Y75" s="273">
        <f t="shared" si="114"/>
        <v>3.4123750799999996E-4</v>
      </c>
      <c r="Z75" s="273">
        <f t="shared" si="102"/>
        <v>3.1120663199999998E-4</v>
      </c>
      <c r="AA75" s="273">
        <v>2.5916999999999999E-2</v>
      </c>
      <c r="AB75" s="273">
        <v>0.111925</v>
      </c>
      <c r="AC75" s="273">
        <f t="shared" si="115"/>
        <v>4.3027403399999994E-4</v>
      </c>
      <c r="AD75" s="273">
        <f t="shared" si="103"/>
        <v>1.0489611E-3</v>
      </c>
      <c r="AE75" s="273">
        <v>1.8686999999999999E-2</v>
      </c>
      <c r="AF75" s="273">
        <v>1.7517999999999999E-2</v>
      </c>
      <c r="AG75" s="273">
        <f t="shared" si="116"/>
        <v>3.1024157399999993E-4</v>
      </c>
      <c r="AH75" s="273">
        <f t="shared" si="104"/>
        <v>1.64178696E-4</v>
      </c>
      <c r="AI75" s="273">
        <v>1.1298000000000001E-2</v>
      </c>
      <c r="AJ75" s="273">
        <v>3.6930000000000001E-3</v>
      </c>
      <c r="AK75" s="273">
        <f t="shared" si="117"/>
        <v>1.87569396E-4</v>
      </c>
      <c r="AL75" s="273">
        <f t="shared" si="105"/>
        <v>3.4610796E-5</v>
      </c>
      <c r="AM75" s="273">
        <f t="shared" si="118"/>
        <v>1.6123364339999998E-3</v>
      </c>
      <c r="AN75" s="273">
        <f t="shared" si="119"/>
        <v>1.1863358759999999E-3</v>
      </c>
      <c r="AO75" s="273">
        <v>9.7116999999999995E-2</v>
      </c>
      <c r="AP75" s="273">
        <v>0.126583</v>
      </c>
      <c r="AQ75" s="273">
        <v>8.43E-4</v>
      </c>
      <c r="AR75" s="273">
        <v>9.5600000000000004E-4</v>
      </c>
      <c r="AS75" s="273">
        <v>2.04E-4</v>
      </c>
      <c r="AT75" s="273">
        <v>2.1000000000000001E-4</v>
      </c>
      <c r="AU75" s="273">
        <v>1.5610000000000001E-3</v>
      </c>
      <c r="AV75" s="273">
        <v>8.4199999999999998E-4</v>
      </c>
      <c r="AW75" s="273">
        <v>2.3E-5</v>
      </c>
      <c r="AX75" s="273">
        <v>1.1E-5</v>
      </c>
      <c r="AY75" s="273">
        <v>1.2999999999999999E-4</v>
      </c>
      <c r="AZ75" s="273">
        <v>1.08E-4</v>
      </c>
      <c r="BA75" s="273">
        <v>3.9899999999999999E-4</v>
      </c>
      <c r="BB75" s="273">
        <v>8.12E-4</v>
      </c>
      <c r="BC75" s="273">
        <v>0</v>
      </c>
      <c r="BD75" s="273">
        <v>0</v>
      </c>
      <c r="BE75" s="273">
        <v>6.9999999999999999E-6</v>
      </c>
      <c r="BF75" s="273">
        <v>6.0000000000000002E-6</v>
      </c>
      <c r="BG75" s="273">
        <v>1.13E-4</v>
      </c>
      <c r="BH75" s="273">
        <v>7.2000000000000002E-5</v>
      </c>
      <c r="BI75" s="273">
        <v>1.66E-4</v>
      </c>
      <c r="BJ75" s="273">
        <v>8.2999999999999998E-5</v>
      </c>
      <c r="BK75" s="273">
        <v>9.4399999999999996E-4</v>
      </c>
      <c r="BL75" s="273">
        <v>5.6499999999999996E-4</v>
      </c>
      <c r="BM75" s="273">
        <v>3.19E-4</v>
      </c>
      <c r="BN75" s="273">
        <v>5.0299999999999997E-4</v>
      </c>
      <c r="BO75" s="273">
        <v>6.5700000000000003E-4</v>
      </c>
      <c r="BP75" s="273">
        <v>7.9199999999999995E-4</v>
      </c>
      <c r="BQ75" s="273">
        <v>8.1999999999999998E-4</v>
      </c>
      <c r="BR75" s="273">
        <v>8.2399999999999997E-4</v>
      </c>
      <c r="BS75" s="273">
        <v>1.81E-3</v>
      </c>
      <c r="BT75" s="273">
        <v>5.1599999999999997E-4</v>
      </c>
      <c r="BU75" s="273">
        <v>8.7889999999999999E-3</v>
      </c>
      <c r="BV75" s="273">
        <v>8.8489999999999992E-3</v>
      </c>
      <c r="BW75" s="273">
        <v>3.7837070000000002</v>
      </c>
      <c r="BX75" s="273">
        <v>5.1508269999999996</v>
      </c>
      <c r="BY75" s="273">
        <v>0.70430499999999996</v>
      </c>
      <c r="BZ75" s="273">
        <v>0.74473400000000001</v>
      </c>
      <c r="CA75" s="273">
        <v>0.16182099999999999</v>
      </c>
      <c r="CB75" s="273">
        <v>0.13097500000000001</v>
      </c>
      <c r="CC75" s="273">
        <v>9.4780000000000003E-3</v>
      </c>
      <c r="CD75" s="273">
        <v>2.7009999999999998E-3</v>
      </c>
      <c r="CE75" s="273">
        <v>8.3913000000000001E-2</v>
      </c>
      <c r="CF75" s="273">
        <v>9.5864000000000005E-2</v>
      </c>
      <c r="CG75" s="273">
        <v>0.10871</v>
      </c>
      <c r="CH75" s="273">
        <v>0.113995</v>
      </c>
      <c r="CI75" s="273">
        <v>2.4892000000000001E-2</v>
      </c>
      <c r="CJ75" s="273">
        <v>1.6206000000000002E-2</v>
      </c>
      <c r="CK75" s="273">
        <v>2.0590000000000001E-3</v>
      </c>
      <c r="CL75" s="273">
        <v>1.103E-3</v>
      </c>
      <c r="CM75" s="273">
        <v>6.8770000000000003E-3</v>
      </c>
      <c r="CN75" s="273">
        <v>4.2909999999999997E-3</v>
      </c>
      <c r="CO75" s="273">
        <v>0.17797499999999999</v>
      </c>
      <c r="CP75" s="273">
        <v>0.174455</v>
      </c>
      <c r="CQ75" s="273">
        <v>1.8407E-2</v>
      </c>
      <c r="CR75" s="273">
        <v>1.0524E-2</v>
      </c>
      <c r="CS75" s="273">
        <v>1.8856999999999999E-2</v>
      </c>
      <c r="CT75" s="273">
        <v>3.3653000000000002E-2</v>
      </c>
      <c r="CU75" s="273">
        <f t="shared" si="120"/>
        <v>3.4710079899999999E-4</v>
      </c>
      <c r="CV75" s="273">
        <f t="shared" si="106"/>
        <v>3.5416417200000004E-4</v>
      </c>
      <c r="CW75" s="273">
        <v>2.5839000000000001E-2</v>
      </c>
      <c r="CX75" s="273">
        <v>0.120047</v>
      </c>
      <c r="CY75" s="273">
        <f t="shared" si="121"/>
        <v>4.7561847300000003E-4</v>
      </c>
      <c r="CZ75" s="273">
        <f t="shared" si="107"/>
        <v>1.2633746280000001E-3</v>
      </c>
      <c r="DA75" s="273">
        <v>1.0380000000000001E-3</v>
      </c>
      <c r="DB75" s="273">
        <v>1.0920000000000001E-3</v>
      </c>
      <c r="DC75" s="273">
        <f t="shared" si="122"/>
        <v>1.7584280727999998E-2</v>
      </c>
      <c r="DD75" s="273">
        <f t="shared" si="108"/>
        <v>8.9064612000000001E-3</v>
      </c>
      <c r="DE75" s="273">
        <v>2.2699999999999999E-4</v>
      </c>
      <c r="DF75" s="273">
        <v>1.9699999999999999E-4</v>
      </c>
      <c r="DG75" s="273">
        <f t="shared" si="123"/>
        <v>2.0877192719999998E-3</v>
      </c>
      <c r="DH75" s="273">
        <f t="shared" si="109"/>
        <v>2.9065388000000004E-3</v>
      </c>
      <c r="DI75" s="273">
        <v>2.9550000000000002E-3</v>
      </c>
      <c r="DJ75" s="273">
        <v>1.1999999999999999E-3</v>
      </c>
      <c r="DK75" s="273">
        <v>1.4419999999999999E-3</v>
      </c>
      <c r="DL75" s="273">
        <v>9.3999999999999997E-4</v>
      </c>
      <c r="DM75" s="273">
        <f t="shared" si="124"/>
        <v>4.3969999999999999E-3</v>
      </c>
      <c r="DN75" s="273">
        <f t="shared" si="110"/>
        <v>2.14E-3</v>
      </c>
      <c r="DO75" s="273">
        <v>4.1229999999999999E-3</v>
      </c>
      <c r="DP75" s="273">
        <v>3.9960000000000004E-3</v>
      </c>
      <c r="DQ75" s="273">
        <v>4.346E-3</v>
      </c>
      <c r="DR75" s="273">
        <v>7.2259999999999998E-3</v>
      </c>
      <c r="DS75" s="273">
        <v>2.9172E-2</v>
      </c>
      <c r="DT75" s="273">
        <v>5.0514000000000003E-2</v>
      </c>
      <c r="DU75" s="273">
        <v>6.5440000000000003E-3</v>
      </c>
      <c r="DV75" s="273">
        <v>1.2154999999999999E-2</v>
      </c>
      <c r="DW75" s="273">
        <v>4.0188000000000001E-2</v>
      </c>
      <c r="DX75" s="273">
        <v>4.0188000000000001E-2</v>
      </c>
      <c r="DY75" s="273">
        <v>0.57565500000000003</v>
      </c>
      <c r="DZ75" s="273">
        <v>0.44792599999999999</v>
      </c>
      <c r="EA75" s="273">
        <v>2.977E-3</v>
      </c>
      <c r="EB75" s="273">
        <v>3.6619999999999999E-3</v>
      </c>
      <c r="EC75" s="273">
        <v>6.0870000000000004E-3</v>
      </c>
      <c r="ED75" s="273">
        <v>4.143E-3</v>
      </c>
      <c r="EE75" s="273"/>
      <c r="EF75" s="274"/>
    </row>
    <row r="76" spans="2:136" s="249" customFormat="1" ht="17.399999999999999">
      <c r="B76" s="286">
        <v>69</v>
      </c>
      <c r="C76" s="273">
        <v>3.3210000000000002E-3</v>
      </c>
      <c r="D76" s="273">
        <v>2.2109999999999999E-3</v>
      </c>
      <c r="E76" s="273">
        <v>1.6899999999999999E-4</v>
      </c>
      <c r="F76" s="273">
        <v>6.0000000000000008E-5</v>
      </c>
      <c r="G76" s="273">
        <v>8.8749999999999992E-3</v>
      </c>
      <c r="H76" s="273">
        <v>3.9459999999999999E-3</v>
      </c>
      <c r="I76" s="273">
        <v>3.49E-3</v>
      </c>
      <c r="J76" s="273">
        <v>2.271E-3</v>
      </c>
      <c r="K76" s="273">
        <v>5.22E-4</v>
      </c>
      <c r="L76" s="273">
        <v>4.9600000000000002E-4</v>
      </c>
      <c r="M76" s="273">
        <f t="shared" si="111"/>
        <v>1.3395410835000001E-2</v>
      </c>
      <c r="N76" s="273">
        <f t="shared" si="101"/>
        <v>6.2392621199999984E-3</v>
      </c>
      <c r="O76" s="273">
        <f t="shared" si="112"/>
        <v>3.1560424799999998E-3</v>
      </c>
      <c r="P76" s="273">
        <f t="shared" si="113"/>
        <v>1.7714110049999998E-3</v>
      </c>
      <c r="Q76" s="273">
        <v>1.7859E-2</v>
      </c>
      <c r="R76" s="273">
        <v>9.5549999999999993E-3</v>
      </c>
      <c r="S76" s="273">
        <v>1.1100000000000001E-3</v>
      </c>
      <c r="T76" s="273">
        <v>0.185391</v>
      </c>
      <c r="U76" s="273">
        <v>0.17671999999999999</v>
      </c>
      <c r="V76" s="273">
        <v>0</v>
      </c>
      <c r="W76" s="273">
        <v>2.0635000000000001E-2</v>
      </c>
      <c r="X76" s="273">
        <v>3.4980999999999998E-2</v>
      </c>
      <c r="Y76" s="273">
        <f t="shared" si="114"/>
        <v>3.6852046499999999E-4</v>
      </c>
      <c r="Z76" s="273">
        <f t="shared" si="102"/>
        <v>3.3424345499999994E-4</v>
      </c>
      <c r="AA76" s="273">
        <v>2.2789E-2</v>
      </c>
      <c r="AB76" s="273">
        <v>0.10458099999999999</v>
      </c>
      <c r="AC76" s="273">
        <f t="shared" si="115"/>
        <v>4.0698875099999998E-4</v>
      </c>
      <c r="AD76" s="273">
        <f t="shared" si="103"/>
        <v>9.9927145499999984E-4</v>
      </c>
      <c r="AE76" s="273">
        <v>1.8244E-2</v>
      </c>
      <c r="AF76" s="273">
        <v>1.8144E-2</v>
      </c>
      <c r="AG76" s="273">
        <f t="shared" si="116"/>
        <v>3.2581959599999998E-4</v>
      </c>
      <c r="AH76" s="273">
        <f t="shared" si="104"/>
        <v>1.7336591999999999E-4</v>
      </c>
      <c r="AI76" s="273">
        <v>1.1547E-2</v>
      </c>
      <c r="AJ76" s="273">
        <v>3.9189999999999997E-3</v>
      </c>
      <c r="AK76" s="273">
        <f t="shared" si="117"/>
        <v>2.06217873E-4</v>
      </c>
      <c r="AL76" s="273">
        <f t="shared" si="105"/>
        <v>3.7446044999999997E-5</v>
      </c>
      <c r="AM76" s="273">
        <f t="shared" si="118"/>
        <v>1.723643526E-3</v>
      </c>
      <c r="AN76" s="273">
        <f t="shared" si="119"/>
        <v>1.232069475E-3</v>
      </c>
      <c r="AO76" s="273">
        <v>9.6514000000000003E-2</v>
      </c>
      <c r="AP76" s="273">
        <v>0.128945</v>
      </c>
      <c r="AQ76" s="273">
        <v>8.83E-4</v>
      </c>
      <c r="AR76" s="273">
        <v>9.5699999999999995E-4</v>
      </c>
      <c r="AS76" s="273">
        <v>2.04E-4</v>
      </c>
      <c r="AT76" s="273">
        <v>2.1000000000000001E-4</v>
      </c>
      <c r="AU76" s="273">
        <v>1.6689999999999999E-3</v>
      </c>
      <c r="AV76" s="273">
        <v>8.8800000000000001E-4</v>
      </c>
      <c r="AW76" s="273">
        <v>2.1999999999999999E-5</v>
      </c>
      <c r="AX76" s="273">
        <v>1.0000000000000001E-5</v>
      </c>
      <c r="AY76" s="273">
        <v>1.4200000000000001E-4</v>
      </c>
      <c r="AZ76" s="273">
        <v>1.13E-4</v>
      </c>
      <c r="BA76" s="273">
        <v>4.1800000000000002E-4</v>
      </c>
      <c r="BB76" s="273">
        <v>8.2799999999999996E-4</v>
      </c>
      <c r="BC76" s="273">
        <v>0</v>
      </c>
      <c r="BD76" s="273">
        <v>0</v>
      </c>
      <c r="BE76" s="273">
        <v>6.9999999999999999E-6</v>
      </c>
      <c r="BF76" s="273">
        <v>6.0000000000000002E-6</v>
      </c>
      <c r="BG76" s="273">
        <v>6.7000000000000002E-5</v>
      </c>
      <c r="BH76" s="273">
        <v>4.1999999999999998E-5</v>
      </c>
      <c r="BI76" s="273">
        <v>1.1E-4</v>
      </c>
      <c r="BJ76" s="273">
        <v>5.3999999999999998E-5</v>
      </c>
      <c r="BK76" s="273">
        <v>1.0380000000000001E-3</v>
      </c>
      <c r="BL76" s="273">
        <v>6.5700000000000003E-4</v>
      </c>
      <c r="BM76" s="273">
        <v>3.2400000000000001E-4</v>
      </c>
      <c r="BN76" s="273">
        <v>4.9399999999999997E-4</v>
      </c>
      <c r="BO76" s="273">
        <v>6.3100000000000005E-4</v>
      </c>
      <c r="BP76" s="273">
        <v>8.2600000000000002E-4</v>
      </c>
      <c r="BQ76" s="273">
        <v>8.5400000000000005E-4</v>
      </c>
      <c r="BR76" s="273">
        <v>8.9099999999999997E-4</v>
      </c>
      <c r="BS76" s="273">
        <v>1.8619999999999999E-3</v>
      </c>
      <c r="BT76" s="273">
        <v>5.5800000000000001E-4</v>
      </c>
      <c r="BU76" s="273">
        <v>9.1520000000000004E-3</v>
      </c>
      <c r="BV76" s="273">
        <v>9.5549999999999993E-3</v>
      </c>
      <c r="BW76" s="273">
        <v>3.9643600000000001</v>
      </c>
      <c r="BX76" s="273">
        <v>5.2589030000000001</v>
      </c>
      <c r="BY76" s="273">
        <v>0.74377899999999997</v>
      </c>
      <c r="BZ76" s="273">
        <v>0.74146400000000001</v>
      </c>
      <c r="CA76" s="273">
        <v>0.173349</v>
      </c>
      <c r="CB76" s="273">
        <v>0.13431699999999999</v>
      </c>
      <c r="CC76" s="273">
        <v>9.7520000000000003E-3</v>
      </c>
      <c r="CD76" s="273">
        <v>2.9220000000000001E-3</v>
      </c>
      <c r="CE76" s="273">
        <v>8.3768999999999996E-2</v>
      </c>
      <c r="CF76" s="273">
        <v>9.3879000000000004E-2</v>
      </c>
      <c r="CG76" s="273">
        <v>0.109316</v>
      </c>
      <c r="CH76" s="273">
        <v>0.11365699999999999</v>
      </c>
      <c r="CI76" s="273">
        <v>2.6689999999999998E-2</v>
      </c>
      <c r="CJ76" s="273">
        <v>1.7288000000000001E-2</v>
      </c>
      <c r="CK76" s="273">
        <v>2.1419999999999998E-3</v>
      </c>
      <c r="CL76" s="273">
        <v>1.206E-3</v>
      </c>
      <c r="CM76" s="273">
        <v>8.3239999999999998E-3</v>
      </c>
      <c r="CN76" s="273">
        <v>4.4349999999999997E-3</v>
      </c>
      <c r="CO76" s="273">
        <v>0.18071999999999999</v>
      </c>
      <c r="CP76" s="273">
        <v>0.17458199999999999</v>
      </c>
      <c r="CQ76" s="273">
        <v>1.9314999999999999E-2</v>
      </c>
      <c r="CR76" s="273">
        <v>1.0533000000000001E-2</v>
      </c>
      <c r="CS76" s="273">
        <v>1.9934E-2</v>
      </c>
      <c r="CT76" s="273">
        <v>3.5164000000000001E-2</v>
      </c>
      <c r="CU76" s="273">
        <f t="shared" si="120"/>
        <v>3.8502520999999997E-4</v>
      </c>
      <c r="CV76" s="273">
        <f t="shared" si="106"/>
        <v>3.7038241200000003E-4</v>
      </c>
      <c r="CW76" s="273">
        <v>2.3415999999999999E-2</v>
      </c>
      <c r="CX76" s="273">
        <v>0.11348</v>
      </c>
      <c r="CY76" s="273">
        <f t="shared" si="121"/>
        <v>4.5228003999999995E-4</v>
      </c>
      <c r="CZ76" s="273">
        <f t="shared" si="107"/>
        <v>1.1952848400000001E-3</v>
      </c>
      <c r="DA76" s="273">
        <v>1.096E-3</v>
      </c>
      <c r="DB76" s="273">
        <v>1.091E-3</v>
      </c>
      <c r="DC76" s="273">
        <f t="shared" si="122"/>
        <v>1.8477694749999999E-2</v>
      </c>
      <c r="DD76" s="273">
        <f t="shared" si="108"/>
        <v>8.9673327480000002E-3</v>
      </c>
      <c r="DE76" s="273">
        <v>2.31E-4</v>
      </c>
      <c r="DF76" s="273">
        <v>1.9799999999999999E-4</v>
      </c>
      <c r="DG76" s="273">
        <f t="shared" si="123"/>
        <v>2.1643052499999999E-3</v>
      </c>
      <c r="DH76" s="273">
        <f t="shared" si="109"/>
        <v>2.8546672519999998E-3</v>
      </c>
      <c r="DI76" s="273">
        <v>3.068E-3</v>
      </c>
      <c r="DJ76" s="273">
        <v>1.266E-3</v>
      </c>
      <c r="DK76" s="273">
        <v>1.5020000000000001E-3</v>
      </c>
      <c r="DL76" s="273">
        <v>9.77E-4</v>
      </c>
      <c r="DM76" s="273">
        <f t="shared" si="124"/>
        <v>4.5700000000000003E-3</v>
      </c>
      <c r="DN76" s="273">
        <f t="shared" si="110"/>
        <v>2.2430000000000002E-3</v>
      </c>
      <c r="DO76" s="273">
        <v>4.2420000000000001E-3</v>
      </c>
      <c r="DP76" s="273">
        <v>3.9269999999999999E-3</v>
      </c>
      <c r="DQ76" s="273">
        <v>4.0920000000000002E-3</v>
      </c>
      <c r="DR76" s="273">
        <v>7.1269999999999997E-3</v>
      </c>
      <c r="DS76" s="273">
        <v>2.9796E-2</v>
      </c>
      <c r="DT76" s="273">
        <v>5.1858000000000001E-2</v>
      </c>
      <c r="DU76" s="273">
        <v>7.123E-3</v>
      </c>
      <c r="DV76" s="273">
        <v>1.3708E-2</v>
      </c>
      <c r="DW76" s="273">
        <v>4.0188000000000001E-2</v>
      </c>
      <c r="DX76" s="273">
        <v>4.0188000000000001E-2</v>
      </c>
      <c r="DY76" s="273">
        <v>0.60957700000000004</v>
      </c>
      <c r="DZ76" s="273">
        <v>0.49529800000000002</v>
      </c>
      <c r="EA76" s="273">
        <v>3.4259999999999998E-3</v>
      </c>
      <c r="EB76" s="273">
        <v>4.0429999999999997E-3</v>
      </c>
      <c r="EC76" s="273">
        <v>6.6140000000000001E-3</v>
      </c>
      <c r="ED76" s="273">
        <v>4.3160000000000004E-3</v>
      </c>
      <c r="EE76" s="273"/>
      <c r="EF76" s="274"/>
    </row>
    <row r="77" spans="2:136" s="249" customFormat="1" ht="17.399999999999999">
      <c r="B77" s="286">
        <v>70</v>
      </c>
      <c r="C77" s="273">
        <v>3.9719999999999998E-3</v>
      </c>
      <c r="D77" s="273">
        <v>2.7309999999999999E-3</v>
      </c>
      <c r="E77" s="273">
        <v>2.1700000000000002E-4</v>
      </c>
      <c r="F77" s="273">
        <v>9.3999999999999994E-5</v>
      </c>
      <c r="G77" s="273">
        <v>9.7429999999999999E-3</v>
      </c>
      <c r="H77" s="273">
        <v>4.398E-3</v>
      </c>
      <c r="I77" s="273">
        <v>4.189E-3</v>
      </c>
      <c r="J77" s="273">
        <v>2.8249999999999998E-3</v>
      </c>
      <c r="K77" s="273">
        <v>5.0100000000000003E-4</v>
      </c>
      <c r="L77" s="273">
        <v>7.8399999999999997E-4</v>
      </c>
      <c r="M77" s="273">
        <f t="shared" si="111"/>
        <v>1.4311389222000002E-2</v>
      </c>
      <c r="N77" s="273">
        <f t="shared" si="101"/>
        <v>6.4944263640000005E-3</v>
      </c>
      <c r="O77" s="273">
        <f t="shared" si="112"/>
        <v>3.5096820480000003E-3</v>
      </c>
      <c r="P77" s="273">
        <f t="shared" si="113"/>
        <v>1.7108856000000001E-3</v>
      </c>
      <c r="Q77" s="273">
        <v>1.9161000000000001E-2</v>
      </c>
      <c r="R77" s="273">
        <v>9.7319999999999993E-3</v>
      </c>
      <c r="S77" s="273">
        <v>1.109E-3</v>
      </c>
      <c r="T77" s="273">
        <v>0.17580000000000001</v>
      </c>
      <c r="U77" s="273">
        <v>0.183168</v>
      </c>
      <c r="V77" s="273">
        <v>0</v>
      </c>
      <c r="W77" s="273">
        <v>2.0646999999999999E-2</v>
      </c>
      <c r="X77" s="273">
        <v>3.6693999999999997E-2</v>
      </c>
      <c r="Y77" s="273">
        <f t="shared" si="114"/>
        <v>3.95617167E-4</v>
      </c>
      <c r="Z77" s="273">
        <f t="shared" si="102"/>
        <v>3.5710600799999996E-4</v>
      </c>
      <c r="AA77" s="273">
        <v>1.9685999999999999E-2</v>
      </c>
      <c r="AB77" s="273">
        <v>9.7263000000000002E-2</v>
      </c>
      <c r="AC77" s="273">
        <f t="shared" si="115"/>
        <v>3.7720344600000001E-4</v>
      </c>
      <c r="AD77" s="273">
        <f t="shared" si="103"/>
        <v>9.4656351599999998E-4</v>
      </c>
      <c r="AE77" s="273">
        <v>1.7801999999999998E-2</v>
      </c>
      <c r="AF77" s="273">
        <v>1.8769999999999998E-2</v>
      </c>
      <c r="AG77" s="273">
        <f t="shared" si="116"/>
        <v>3.4110412200000001E-4</v>
      </c>
      <c r="AH77" s="273">
        <f t="shared" si="104"/>
        <v>1.8266963999999999E-4</v>
      </c>
      <c r="AI77" s="273">
        <v>1.1795E-2</v>
      </c>
      <c r="AJ77" s="273">
        <v>4.1460000000000004E-3</v>
      </c>
      <c r="AK77" s="273">
        <f t="shared" si="117"/>
        <v>2.2600399500000002E-4</v>
      </c>
      <c r="AL77" s="273">
        <f t="shared" si="105"/>
        <v>4.0348871999999999E-5</v>
      </c>
      <c r="AM77" s="273">
        <f t="shared" si="118"/>
        <v>1.8377506710000001E-3</v>
      </c>
      <c r="AN77" s="273">
        <f t="shared" si="119"/>
        <v>1.2778797239999999E-3</v>
      </c>
      <c r="AO77" s="273">
        <v>9.5910999999999996E-2</v>
      </c>
      <c r="AP77" s="273">
        <v>0.13130700000000001</v>
      </c>
      <c r="AQ77" s="273">
        <v>9.2500000000000004E-4</v>
      </c>
      <c r="AR77" s="273">
        <v>9.59E-4</v>
      </c>
      <c r="AS77" s="273">
        <v>2.04E-4</v>
      </c>
      <c r="AT77" s="273">
        <v>2.1000000000000001E-4</v>
      </c>
      <c r="AU77" s="273">
        <v>1.781E-3</v>
      </c>
      <c r="AV77" s="273">
        <v>9.3599999999999998E-4</v>
      </c>
      <c r="AW77" s="273">
        <v>2.0999999999999999E-5</v>
      </c>
      <c r="AX77" s="273">
        <v>9.0000000000000002E-6</v>
      </c>
      <c r="AY77" s="273">
        <v>1.54E-4</v>
      </c>
      <c r="AZ77" s="273">
        <v>1.18E-4</v>
      </c>
      <c r="BA77" s="273">
        <v>4.3800000000000002E-4</v>
      </c>
      <c r="BB77" s="273">
        <v>8.43E-4</v>
      </c>
      <c r="BC77" s="273">
        <v>0</v>
      </c>
      <c r="BD77" s="273">
        <v>0</v>
      </c>
      <c r="BE77" s="273">
        <v>6.9999999999999999E-6</v>
      </c>
      <c r="BF77" s="273">
        <v>6.9999999999999999E-6</v>
      </c>
      <c r="BG77" s="273">
        <v>1.2E-5</v>
      </c>
      <c r="BH77" s="273">
        <v>5.0000000000000004E-6</v>
      </c>
      <c r="BI77" s="273">
        <v>4.3999999999999999E-5</v>
      </c>
      <c r="BJ77" s="273">
        <v>1.8E-5</v>
      </c>
      <c r="BK77" s="273">
        <v>1.137E-3</v>
      </c>
      <c r="BL77" s="273">
        <v>7.5600000000000005E-4</v>
      </c>
      <c r="BM77" s="273">
        <v>3.2899999999999997E-4</v>
      </c>
      <c r="BN77" s="273">
        <v>4.84E-4</v>
      </c>
      <c r="BO77" s="273">
        <v>6.0300000000000002E-4</v>
      </c>
      <c r="BP77" s="273">
        <v>8.6399999999999997E-4</v>
      </c>
      <c r="BQ77" s="273">
        <v>8.92E-4</v>
      </c>
      <c r="BR77" s="273">
        <v>9.6199999999999996E-4</v>
      </c>
      <c r="BS77" s="273">
        <v>1.9139999999999999E-3</v>
      </c>
      <c r="BT77" s="273">
        <v>5.9999999999999995E-4</v>
      </c>
      <c r="BU77" s="273">
        <v>9.5630000000000003E-3</v>
      </c>
      <c r="BV77" s="273">
        <v>1.0312E-2</v>
      </c>
      <c r="BW77" s="273">
        <v>4.1486599999999996</v>
      </c>
      <c r="BX77" s="273">
        <v>5.3512440000000003</v>
      </c>
      <c r="BY77" s="273">
        <v>0.78551499999999996</v>
      </c>
      <c r="BZ77" s="273">
        <v>0.73587899999999995</v>
      </c>
      <c r="CA77" s="273">
        <v>0.184673</v>
      </c>
      <c r="CB77" s="273">
        <v>0.137215</v>
      </c>
      <c r="CC77" s="273">
        <v>1.0021E-2</v>
      </c>
      <c r="CD77" s="273">
        <v>3.1380000000000002E-3</v>
      </c>
      <c r="CE77" s="273">
        <v>8.3518999999999996E-2</v>
      </c>
      <c r="CF77" s="273">
        <v>9.1692999999999997E-2</v>
      </c>
      <c r="CG77" s="273">
        <v>0.109808</v>
      </c>
      <c r="CH77" s="273">
        <v>0.113054</v>
      </c>
      <c r="CI77" s="273">
        <v>2.8513E-2</v>
      </c>
      <c r="CJ77" s="273">
        <v>1.8317E-2</v>
      </c>
      <c r="CK77" s="273">
        <v>2.2239999999999998E-3</v>
      </c>
      <c r="CL77" s="273">
        <v>1.304E-3</v>
      </c>
      <c r="CM77" s="273">
        <v>9.8080000000000007E-3</v>
      </c>
      <c r="CN77" s="273">
        <v>4.5649999999999996E-3</v>
      </c>
      <c r="CO77" s="273">
        <v>0.183334</v>
      </c>
      <c r="CP77" s="273">
        <v>0.174292</v>
      </c>
      <c r="CQ77" s="273">
        <v>2.0211E-2</v>
      </c>
      <c r="CR77" s="273">
        <v>1.0505E-2</v>
      </c>
      <c r="CS77" s="273">
        <v>2.1027000000000001E-2</v>
      </c>
      <c r="CT77" s="273">
        <v>3.6814E-2</v>
      </c>
      <c r="CU77" s="273">
        <f t="shared" si="120"/>
        <v>4.2497669700000001E-4</v>
      </c>
      <c r="CV77" s="273">
        <f t="shared" si="106"/>
        <v>3.8673107000000001E-4</v>
      </c>
      <c r="CW77" s="273">
        <v>2.0992E-2</v>
      </c>
      <c r="CX77" s="273">
        <v>0.10691299999999999</v>
      </c>
      <c r="CY77" s="273">
        <f t="shared" si="121"/>
        <v>4.2426931200000001E-4</v>
      </c>
      <c r="CZ77" s="273">
        <f t="shared" si="107"/>
        <v>1.1231210649999999E-3</v>
      </c>
      <c r="DA77" s="273">
        <v>1.152E-3</v>
      </c>
      <c r="DB77" s="273">
        <v>1.0859999999999999E-3</v>
      </c>
      <c r="DC77" s="273">
        <f t="shared" si="122"/>
        <v>1.9361753991E-2</v>
      </c>
      <c r="DD77" s="273">
        <f t="shared" si="108"/>
        <v>8.9951478650000007E-3</v>
      </c>
      <c r="DE77" s="273">
        <v>2.3499999999999999E-4</v>
      </c>
      <c r="DF77" s="273">
        <v>2.0100000000000001E-4</v>
      </c>
      <c r="DG77" s="273">
        <f t="shared" si="123"/>
        <v>2.2362460090000003E-3</v>
      </c>
      <c r="DH77" s="273">
        <f t="shared" si="109"/>
        <v>2.7968521349999997E-3</v>
      </c>
      <c r="DI77" s="273">
        <v>3.1809999999999998E-3</v>
      </c>
      <c r="DJ77" s="273">
        <v>1.328E-3</v>
      </c>
      <c r="DK77" s="273">
        <v>1.562E-3</v>
      </c>
      <c r="DL77" s="273">
        <v>1.013E-3</v>
      </c>
      <c r="DM77" s="273">
        <f t="shared" si="124"/>
        <v>4.7429999999999998E-3</v>
      </c>
      <c r="DN77" s="273">
        <f t="shared" si="110"/>
        <v>2.3410000000000002E-3</v>
      </c>
      <c r="DO77" s="273">
        <v>4.3730000000000002E-3</v>
      </c>
      <c r="DP77" s="273">
        <v>3.8509999999999998E-3</v>
      </c>
      <c r="DQ77" s="273">
        <v>3.8170000000000001E-3</v>
      </c>
      <c r="DR77" s="273">
        <v>7.0679999999999996E-3</v>
      </c>
      <c r="DS77" s="273">
        <v>3.0537000000000002E-2</v>
      </c>
      <c r="DT77" s="273">
        <v>5.3298999999999999E-2</v>
      </c>
      <c r="DU77" s="273">
        <v>7.7349999999999997E-3</v>
      </c>
      <c r="DV77" s="273">
        <v>1.5358999999999999E-2</v>
      </c>
      <c r="DW77" s="273">
        <v>4.0188000000000001E-2</v>
      </c>
      <c r="DX77" s="273">
        <v>4.0188000000000001E-2</v>
      </c>
      <c r="DY77" s="273">
        <v>0.64318299999999995</v>
      </c>
      <c r="DZ77" s="273">
        <v>0.54583800000000005</v>
      </c>
      <c r="EA77" s="273">
        <v>3.9610000000000001E-3</v>
      </c>
      <c r="EB77" s="273">
        <v>4.5079999999999999E-3</v>
      </c>
      <c r="EC77" s="273">
        <v>7.1409999999999998E-3</v>
      </c>
      <c r="ED77" s="273">
        <v>4.4889999999999999E-3</v>
      </c>
      <c r="EE77" s="273"/>
      <c r="EF77" s="274"/>
    </row>
    <row r="78" spans="2:136" s="249" customFormat="1" ht="17.399999999999999">
      <c r="B78" s="286">
        <v>71</v>
      </c>
      <c r="C78" s="273">
        <v>4.359E-3</v>
      </c>
      <c r="D78" s="273">
        <v>3.3930000000000002E-3</v>
      </c>
      <c r="E78" s="273">
        <v>2.1700000000000002E-4</v>
      </c>
      <c r="F78" s="273">
        <v>9.3999999999999994E-5</v>
      </c>
      <c r="G78" s="273">
        <v>1.0746E-2</v>
      </c>
      <c r="H78" s="273">
        <v>4.9290000000000002E-3</v>
      </c>
      <c r="I78" s="273">
        <v>4.5760000000000002E-3</v>
      </c>
      <c r="J78" s="273">
        <v>3.4870000000000001E-3</v>
      </c>
      <c r="K78" s="273">
        <v>5.0100000000000003E-4</v>
      </c>
      <c r="L78" s="273">
        <v>7.8399999999999997E-4</v>
      </c>
      <c r="M78" s="273">
        <f t="shared" si="111"/>
        <v>1.5081404519999996E-2</v>
      </c>
      <c r="N78" s="273">
        <f t="shared" si="101"/>
        <v>6.7732240239999995E-3</v>
      </c>
      <c r="O78" s="273">
        <f t="shared" si="112"/>
        <v>3.8454124800000001E-3</v>
      </c>
      <c r="P78" s="273">
        <f t="shared" si="113"/>
        <v>1.6517751040000001E-3</v>
      </c>
      <c r="Q78" s="273">
        <v>2.0279999999999999E-2</v>
      </c>
      <c r="R78" s="273">
        <v>9.9380000000000007E-3</v>
      </c>
      <c r="S78" s="273">
        <v>1.1119999999999999E-3</v>
      </c>
      <c r="T78" s="273">
        <v>0.16620799999999999</v>
      </c>
      <c r="U78" s="273">
        <v>0.18961600000000001</v>
      </c>
      <c r="V78" s="273">
        <v>0</v>
      </c>
      <c r="W78" s="273">
        <v>2.0714E-2</v>
      </c>
      <c r="X78" s="273">
        <v>3.8504999999999998E-2</v>
      </c>
      <c r="Y78" s="273">
        <f t="shared" si="114"/>
        <v>4.2007991999999997E-4</v>
      </c>
      <c r="Z78" s="273">
        <f t="shared" si="102"/>
        <v>3.8266268999999998E-4</v>
      </c>
      <c r="AA78" s="273">
        <v>1.6607E-2</v>
      </c>
      <c r="AB78" s="273">
        <v>8.9970999999999995E-2</v>
      </c>
      <c r="AC78" s="273">
        <f t="shared" si="115"/>
        <v>3.3678996E-4</v>
      </c>
      <c r="AD78" s="273">
        <f t="shared" si="103"/>
        <v>8.94131798E-4</v>
      </c>
      <c r="AE78" s="273">
        <v>1.736E-2</v>
      </c>
      <c r="AF78" s="273">
        <v>1.9396E-2</v>
      </c>
      <c r="AG78" s="273">
        <f t="shared" si="116"/>
        <v>3.5206080000000002E-4</v>
      </c>
      <c r="AH78" s="273">
        <f t="shared" si="104"/>
        <v>1.9275744800000002E-4</v>
      </c>
      <c r="AI78" s="273">
        <v>1.2043999999999999E-2</v>
      </c>
      <c r="AJ78" s="273">
        <v>4.372E-3</v>
      </c>
      <c r="AK78" s="273">
        <f t="shared" si="117"/>
        <v>2.4425232E-4</v>
      </c>
      <c r="AL78" s="273">
        <f t="shared" si="105"/>
        <v>4.3448936000000002E-5</v>
      </c>
      <c r="AM78" s="273">
        <f t="shared" si="118"/>
        <v>1.9328462400000001E-3</v>
      </c>
      <c r="AN78" s="273">
        <f t="shared" si="119"/>
        <v>1.3284025220000001E-3</v>
      </c>
      <c r="AO78" s="273">
        <v>9.5308000000000004E-2</v>
      </c>
      <c r="AP78" s="273">
        <v>0.13366900000000001</v>
      </c>
      <c r="AQ78" s="273">
        <v>9.68E-4</v>
      </c>
      <c r="AR78" s="273">
        <v>9.6199999999999996E-4</v>
      </c>
      <c r="AS78" s="273">
        <v>2.05E-4</v>
      </c>
      <c r="AT78" s="273">
        <v>2.1100000000000001E-4</v>
      </c>
      <c r="AU78" s="273">
        <v>1.781E-3</v>
      </c>
      <c r="AV78" s="273">
        <v>9.3599999999999998E-4</v>
      </c>
      <c r="AW78" s="273">
        <v>2.0000000000000002E-5</v>
      </c>
      <c r="AX78" s="273">
        <v>7.9999999999999996E-6</v>
      </c>
      <c r="AY78" s="273">
        <v>1.66E-4</v>
      </c>
      <c r="AZ78" s="273">
        <v>1.2300000000000001E-4</v>
      </c>
      <c r="BA78" s="273">
        <v>4.5600000000000003E-4</v>
      </c>
      <c r="BB78" s="273">
        <v>8.5800000000000004E-4</v>
      </c>
      <c r="BC78" s="273">
        <v>0</v>
      </c>
      <c r="BD78" s="273">
        <v>0</v>
      </c>
      <c r="BE78" s="273">
        <v>6.9999999999999999E-6</v>
      </c>
      <c r="BF78" s="273">
        <v>6.9999999999999999E-6</v>
      </c>
      <c r="BG78" s="273">
        <v>1.2E-5</v>
      </c>
      <c r="BH78" s="273">
        <v>5.0000000000000004E-6</v>
      </c>
      <c r="BI78" s="273">
        <v>4.3999999999999999E-5</v>
      </c>
      <c r="BJ78" s="273">
        <v>1.8E-5</v>
      </c>
      <c r="BK78" s="273">
        <v>1.2179999999999999E-3</v>
      </c>
      <c r="BL78" s="273">
        <v>8.4000000000000003E-4</v>
      </c>
      <c r="BM78" s="273">
        <v>3.3199999999999999E-4</v>
      </c>
      <c r="BN78" s="273">
        <v>4.7399999999999997E-4</v>
      </c>
      <c r="BO78" s="273">
        <v>5.8E-4</v>
      </c>
      <c r="BP78" s="273">
        <v>8.9999999999999998E-4</v>
      </c>
      <c r="BQ78" s="273">
        <v>9.3599999999999998E-4</v>
      </c>
      <c r="BR78" s="273">
        <v>1.036E-3</v>
      </c>
      <c r="BS78" s="273">
        <v>1.9650000000000002E-3</v>
      </c>
      <c r="BT78" s="273">
        <v>6.4099999999999997E-4</v>
      </c>
      <c r="BU78" s="273">
        <v>1.005E-2</v>
      </c>
      <c r="BV78" s="273">
        <v>1.1103E-2</v>
      </c>
      <c r="BW78" s="273">
        <v>4.3416560000000004</v>
      </c>
      <c r="BX78" s="273">
        <v>5.4650169999999996</v>
      </c>
      <c r="BY78" s="273">
        <v>0.82706000000000002</v>
      </c>
      <c r="BZ78" s="273">
        <v>0.73348400000000002</v>
      </c>
      <c r="CA78" s="273">
        <v>0.19781000000000001</v>
      </c>
      <c r="CB78" s="273">
        <v>0.14117099999999999</v>
      </c>
      <c r="CC78" s="273">
        <v>1.0289E-2</v>
      </c>
      <c r="CD78" s="273">
        <v>3.3509999999999998E-3</v>
      </c>
      <c r="CE78" s="273">
        <v>8.4430000000000005E-2</v>
      </c>
      <c r="CF78" s="273">
        <v>9.0961E-2</v>
      </c>
      <c r="CG78" s="273">
        <v>0.11100599999999999</v>
      </c>
      <c r="CH78" s="273">
        <v>0.112152</v>
      </c>
      <c r="CI78" s="273">
        <v>2.8825E-2</v>
      </c>
      <c r="CJ78" s="273">
        <v>1.8169999999999999E-2</v>
      </c>
      <c r="CK78" s="273">
        <v>2.248E-3</v>
      </c>
      <c r="CL78" s="273">
        <v>1.294E-3</v>
      </c>
      <c r="CM78" s="273">
        <v>9.9150000000000002E-3</v>
      </c>
      <c r="CN78" s="273">
        <v>4.529E-3</v>
      </c>
      <c r="CO78" s="273">
        <v>0.18509500000000001</v>
      </c>
      <c r="CP78" s="273">
        <v>0.173764</v>
      </c>
      <c r="CQ78" s="273">
        <v>2.1045999999999999E-2</v>
      </c>
      <c r="CR78" s="273">
        <v>1.0529999999999999E-2</v>
      </c>
      <c r="CS78" s="273">
        <v>2.2074E-2</v>
      </c>
      <c r="CT78" s="273">
        <v>3.8344000000000003E-2</v>
      </c>
      <c r="CU78" s="273">
        <f t="shared" si="120"/>
        <v>4.6456940399999997E-4</v>
      </c>
      <c r="CV78" s="273">
        <f t="shared" si="106"/>
        <v>4.0376232000000002E-4</v>
      </c>
      <c r="CW78" s="273">
        <v>1.8568999999999999E-2</v>
      </c>
      <c r="CX78" s="273">
        <v>0.100345</v>
      </c>
      <c r="CY78" s="273">
        <f t="shared" si="121"/>
        <v>3.9080317399999996E-4</v>
      </c>
      <c r="CZ78" s="273">
        <f t="shared" si="107"/>
        <v>1.0566328499999999E-3</v>
      </c>
      <c r="DA78" s="273">
        <v>1.204E-3</v>
      </c>
      <c r="DB78" s="273">
        <v>1.0790000000000001E-3</v>
      </c>
      <c r="DC78" s="273">
        <f t="shared" si="122"/>
        <v>2.0190627421999997E-2</v>
      </c>
      <c r="DD78" s="273">
        <f t="shared" si="108"/>
        <v>9.0696048299999995E-3</v>
      </c>
      <c r="DE78" s="273">
        <v>2.4000000000000001E-4</v>
      </c>
      <c r="DF78" s="273">
        <v>2.04E-4</v>
      </c>
      <c r="DG78" s="273">
        <f t="shared" si="123"/>
        <v>2.2993725779999999E-3</v>
      </c>
      <c r="DH78" s="273">
        <f t="shared" si="109"/>
        <v>2.7433951700000002E-3</v>
      </c>
      <c r="DI78" s="273">
        <v>3.2820000000000002E-3</v>
      </c>
      <c r="DJ78" s="273">
        <v>1.3879999999999999E-3</v>
      </c>
      <c r="DK78" s="273">
        <v>1.621E-3</v>
      </c>
      <c r="DL78" s="273">
        <v>1.052E-3</v>
      </c>
      <c r="DM78" s="273">
        <f t="shared" si="124"/>
        <v>4.9030000000000002E-3</v>
      </c>
      <c r="DN78" s="273">
        <f t="shared" si="110"/>
        <v>2.4399999999999999E-3</v>
      </c>
      <c r="DO78" s="273">
        <v>4.4730000000000004E-3</v>
      </c>
      <c r="DP78" s="273">
        <v>3.7720000000000002E-3</v>
      </c>
      <c r="DQ78" s="273">
        <v>3.5130000000000001E-3</v>
      </c>
      <c r="DR78" s="273">
        <v>6.868E-3</v>
      </c>
      <c r="DS78" s="273">
        <v>3.1319E-2</v>
      </c>
      <c r="DT78" s="273">
        <v>5.4754999999999998E-2</v>
      </c>
      <c r="DU78" s="273">
        <v>8.3859999999999994E-3</v>
      </c>
      <c r="DV78" s="273">
        <v>1.7028000000000001E-2</v>
      </c>
      <c r="DW78" s="273">
        <v>4.0188000000000001E-2</v>
      </c>
      <c r="DX78" s="273">
        <v>4.0188000000000001E-2</v>
      </c>
      <c r="DY78" s="273">
        <v>0.68519399999999997</v>
      </c>
      <c r="DZ78" s="273">
        <v>0.60058999999999996</v>
      </c>
      <c r="EA78" s="273">
        <v>4.2969999999999996E-3</v>
      </c>
      <c r="EB78" s="273">
        <v>5.084E-3</v>
      </c>
      <c r="EC78" s="273">
        <v>7.6689999999999996E-3</v>
      </c>
      <c r="ED78" s="273">
        <v>4.6620000000000003E-3</v>
      </c>
      <c r="EE78" s="273"/>
      <c r="EF78" s="274"/>
    </row>
    <row r="79" spans="2:136" s="249" customFormat="1" ht="17.399999999999999">
      <c r="B79" s="286">
        <v>72</v>
      </c>
      <c r="C79" s="273">
        <v>4.7809999999999997E-3</v>
      </c>
      <c r="D79" s="273">
        <v>5.1200000000000004E-3</v>
      </c>
      <c r="E79" s="273">
        <v>2.1700000000000002E-4</v>
      </c>
      <c r="F79" s="273">
        <v>9.3999999999999994E-5</v>
      </c>
      <c r="G79" s="273">
        <v>1.2047E-2</v>
      </c>
      <c r="H79" s="273">
        <v>5.6369999999999996E-3</v>
      </c>
      <c r="I79" s="273">
        <v>4.9979999999999998E-3</v>
      </c>
      <c r="J79" s="273">
        <v>5.2140000000000008E-3</v>
      </c>
      <c r="K79" s="273">
        <v>5.0100000000000003E-4</v>
      </c>
      <c r="L79" s="273">
        <v>7.8399999999999997E-4</v>
      </c>
      <c r="M79" s="273">
        <f t="shared" si="111"/>
        <v>1.5534521229000002E-2</v>
      </c>
      <c r="N79" s="273">
        <f t="shared" si="101"/>
        <v>7.1070964650000006E-3</v>
      </c>
      <c r="O79" s="273">
        <f t="shared" si="112"/>
        <v>4.1136397649999996E-3</v>
      </c>
      <c r="P79" s="273">
        <f t="shared" si="113"/>
        <v>1.5998426550000002E-3</v>
      </c>
      <c r="Q79" s="273">
        <v>2.0981E-2</v>
      </c>
      <c r="R79" s="273">
        <v>1.0215E-2</v>
      </c>
      <c r="S79" s="273">
        <v>1.119E-3</v>
      </c>
      <c r="T79" s="273">
        <v>0.15661700000000001</v>
      </c>
      <c r="U79" s="273">
        <v>0.19606499999999999</v>
      </c>
      <c r="V79" s="273">
        <v>0</v>
      </c>
      <c r="W79" s="273">
        <v>2.0763E-2</v>
      </c>
      <c r="X79" s="273">
        <v>4.0306000000000002E-2</v>
      </c>
      <c r="Y79" s="273">
        <f t="shared" si="114"/>
        <v>4.3562850300000002E-4</v>
      </c>
      <c r="Z79" s="273">
        <f t="shared" si="102"/>
        <v>4.1172579000000003E-4</v>
      </c>
      <c r="AA79" s="273">
        <v>1.3553000000000001E-2</v>
      </c>
      <c r="AB79" s="273">
        <v>8.2705000000000001E-2</v>
      </c>
      <c r="AC79" s="273">
        <f t="shared" si="115"/>
        <v>2.8435549300000001E-4</v>
      </c>
      <c r="AD79" s="273">
        <f t="shared" si="103"/>
        <v>8.4483157499999997E-4</v>
      </c>
      <c r="AE79" s="273">
        <v>1.6917000000000001E-2</v>
      </c>
      <c r="AF79" s="273">
        <v>2.0022000000000002E-2</v>
      </c>
      <c r="AG79" s="273">
        <f t="shared" si="116"/>
        <v>3.5493557700000004E-4</v>
      </c>
      <c r="AH79" s="273">
        <f t="shared" si="104"/>
        <v>2.0452473000000002E-4</v>
      </c>
      <c r="AI79" s="273">
        <v>1.2293E-2</v>
      </c>
      <c r="AJ79" s="273">
        <v>4.5989999999999998E-3</v>
      </c>
      <c r="AK79" s="273">
        <f t="shared" si="117"/>
        <v>2.5791943300000001E-4</v>
      </c>
      <c r="AL79" s="273">
        <f t="shared" si="105"/>
        <v>4.6978784999999997E-5</v>
      </c>
      <c r="AM79" s="273">
        <f t="shared" si="118"/>
        <v>1.9869846239999999E-3</v>
      </c>
      <c r="AN79" s="273">
        <f t="shared" si="119"/>
        <v>1.3895464500000001E-3</v>
      </c>
      <c r="AO79" s="273">
        <v>9.4703999999999997E-2</v>
      </c>
      <c r="AP79" s="273">
        <v>0.13603000000000001</v>
      </c>
      <c r="AQ79" s="273">
        <v>1.01E-3</v>
      </c>
      <c r="AR79" s="273">
        <v>9.6400000000000001E-4</v>
      </c>
      <c r="AS79" s="273">
        <v>2.0799999999999999E-4</v>
      </c>
      <c r="AT79" s="273">
        <v>2.14E-4</v>
      </c>
      <c r="AU79" s="273">
        <v>1.781E-3</v>
      </c>
      <c r="AV79" s="273">
        <v>9.3599999999999998E-4</v>
      </c>
      <c r="AW79" s="273">
        <v>2.0999999999999999E-5</v>
      </c>
      <c r="AX79" s="273">
        <v>7.9999999999999996E-6</v>
      </c>
      <c r="AY79" s="273">
        <v>1.7799999999999999E-4</v>
      </c>
      <c r="AZ79" s="273">
        <v>1.2799999999999999E-4</v>
      </c>
      <c r="BA79" s="273">
        <v>4.73E-4</v>
      </c>
      <c r="BB79" s="273">
        <v>8.7100000000000003E-4</v>
      </c>
      <c r="BC79" s="273">
        <v>0</v>
      </c>
      <c r="BD79" s="273">
        <v>0</v>
      </c>
      <c r="BE79" s="273">
        <v>7.9999999999999996E-6</v>
      </c>
      <c r="BF79" s="273">
        <v>7.9999999999999996E-6</v>
      </c>
      <c r="BG79" s="273">
        <v>1.2E-5</v>
      </c>
      <c r="BH79" s="273">
        <v>5.0000000000000004E-6</v>
      </c>
      <c r="BI79" s="273">
        <v>4.3999999999999999E-5</v>
      </c>
      <c r="BJ79" s="273">
        <v>1.8E-5</v>
      </c>
      <c r="BK79" s="273">
        <v>1.256E-3</v>
      </c>
      <c r="BL79" s="273">
        <v>8.8900000000000003E-4</v>
      </c>
      <c r="BM79" s="273">
        <v>3.3199999999999999E-4</v>
      </c>
      <c r="BN79" s="273">
        <v>4.6200000000000001E-4</v>
      </c>
      <c r="BO79" s="273">
        <v>5.6700000000000001E-4</v>
      </c>
      <c r="BP79" s="273">
        <v>9.3499999999999996E-4</v>
      </c>
      <c r="BQ79" s="273">
        <v>9.8999999999999999E-4</v>
      </c>
      <c r="BR79" s="273">
        <v>1.111E-3</v>
      </c>
      <c r="BS79" s="273">
        <v>2.016E-3</v>
      </c>
      <c r="BT79" s="273">
        <v>6.8199999999999999E-4</v>
      </c>
      <c r="BU79" s="273">
        <v>1.0635E-2</v>
      </c>
      <c r="BV79" s="273">
        <v>1.192E-2</v>
      </c>
      <c r="BW79" s="273">
        <v>4.5534829999999999</v>
      </c>
      <c r="BX79" s="273">
        <v>5.6343030000000001</v>
      </c>
      <c r="BY79" s="273">
        <v>0.86616499999999996</v>
      </c>
      <c r="BZ79" s="273">
        <v>0.73508399999999996</v>
      </c>
      <c r="CA79" s="273">
        <v>0.21495900000000001</v>
      </c>
      <c r="CB79" s="273">
        <v>0.14774200000000001</v>
      </c>
      <c r="CC79" s="273">
        <v>1.0555999999999999E-2</v>
      </c>
      <c r="CD79" s="273">
        <v>3.5690000000000001E-3</v>
      </c>
      <c r="CE79" s="273">
        <v>8.4486000000000006E-2</v>
      </c>
      <c r="CF79" s="273">
        <v>0.09</v>
      </c>
      <c r="CG79" s="273">
        <v>0.111078</v>
      </c>
      <c r="CH79" s="273">
        <v>0.110967</v>
      </c>
      <c r="CI79" s="273">
        <v>2.8844000000000002E-2</v>
      </c>
      <c r="CJ79" s="273">
        <v>1.7978999999999998E-2</v>
      </c>
      <c r="CK79" s="273">
        <v>2.251E-3</v>
      </c>
      <c r="CL79" s="273">
        <v>1.2800000000000001E-3</v>
      </c>
      <c r="CM79" s="273">
        <v>9.9209999999999993E-3</v>
      </c>
      <c r="CN79" s="273">
        <v>4.4809999999999997E-3</v>
      </c>
      <c r="CO79" s="273">
        <v>0.184978</v>
      </c>
      <c r="CP79" s="273">
        <v>0.17278299999999999</v>
      </c>
      <c r="CQ79" s="273">
        <v>2.1746999999999999E-2</v>
      </c>
      <c r="CR79" s="273">
        <v>1.0681E-2</v>
      </c>
      <c r="CS79" s="273">
        <v>2.3177E-2</v>
      </c>
      <c r="CT79" s="273">
        <v>3.9833E-2</v>
      </c>
      <c r="CU79" s="273">
        <f t="shared" si="120"/>
        <v>5.0403021899999992E-4</v>
      </c>
      <c r="CV79" s="273">
        <f t="shared" si="106"/>
        <v>4.2545627299999999E-4</v>
      </c>
      <c r="CW79" s="273">
        <v>1.6145E-2</v>
      </c>
      <c r="CX79" s="273">
        <v>9.3778E-2</v>
      </c>
      <c r="CY79" s="273">
        <f t="shared" si="121"/>
        <v>3.5110531499999998E-4</v>
      </c>
      <c r="CZ79" s="273">
        <f t="shared" si="107"/>
        <v>1.0016428180000001E-3</v>
      </c>
      <c r="DA79" s="273">
        <v>1.2539999999999999E-3</v>
      </c>
      <c r="DB79" s="273">
        <v>1.0679999999999999E-3</v>
      </c>
      <c r="DC79" s="273">
        <f t="shared" si="122"/>
        <v>2.0891864465999999E-2</v>
      </c>
      <c r="DD79" s="273">
        <f t="shared" si="108"/>
        <v>9.2539009089999992E-3</v>
      </c>
      <c r="DE79" s="273">
        <v>2.4399999999999999E-4</v>
      </c>
      <c r="DF79" s="273">
        <v>2.05E-4</v>
      </c>
      <c r="DG79" s="273">
        <f t="shared" si="123"/>
        <v>2.3531355339999997E-3</v>
      </c>
      <c r="DH79" s="273">
        <f t="shared" si="109"/>
        <v>2.7000990909999997E-3</v>
      </c>
      <c r="DI79" s="273">
        <v>3.349E-3</v>
      </c>
      <c r="DJ79" s="273">
        <v>1.4419999999999999E-3</v>
      </c>
      <c r="DK79" s="273">
        <v>1.6789999999999999E-3</v>
      </c>
      <c r="DL79" s="273">
        <v>1.093E-3</v>
      </c>
      <c r="DM79" s="273">
        <f t="shared" si="124"/>
        <v>5.0279999999999995E-3</v>
      </c>
      <c r="DN79" s="273">
        <f t="shared" si="110"/>
        <v>2.5349999999999999E-3</v>
      </c>
      <c r="DO79" s="273">
        <v>4.5019999999999999E-3</v>
      </c>
      <c r="DP79" s="273">
        <v>3.6849999999999999E-3</v>
      </c>
      <c r="DQ79" s="273">
        <v>3.1289999999999998E-3</v>
      </c>
      <c r="DR79" s="273">
        <v>6.2899999999999996E-3</v>
      </c>
      <c r="DS79" s="273">
        <v>3.2174000000000001E-2</v>
      </c>
      <c r="DT79" s="273">
        <v>5.6232999999999998E-2</v>
      </c>
      <c r="DU79" s="273">
        <v>9.1179999999999994E-3</v>
      </c>
      <c r="DV79" s="273">
        <v>1.8721000000000002E-2</v>
      </c>
      <c r="DW79" s="273">
        <v>4.0188000000000001E-2</v>
      </c>
      <c r="DX79" s="273">
        <v>4.0188000000000001E-2</v>
      </c>
      <c r="DY79" s="273">
        <v>0.74605299999999997</v>
      </c>
      <c r="DZ79" s="273">
        <v>0.66426700000000005</v>
      </c>
      <c r="EA79" s="273">
        <v>4.6519999999999999E-3</v>
      </c>
      <c r="EB79" s="273">
        <v>6.4809999999999998E-3</v>
      </c>
      <c r="EC79" s="273">
        <v>8.1960000000000002E-3</v>
      </c>
      <c r="ED79" s="273">
        <v>4.836E-3</v>
      </c>
      <c r="EE79" s="273"/>
      <c r="EF79" s="274"/>
    </row>
    <row r="80" spans="2:136" s="249" customFormat="1" ht="17.399999999999999">
      <c r="B80" s="286">
        <v>73</v>
      </c>
      <c r="C80" s="273">
        <v>5.5189999999999996E-3</v>
      </c>
      <c r="D80" s="273">
        <v>6.7970000000000001E-3</v>
      </c>
      <c r="E80" s="273">
        <v>2.1700000000000002E-4</v>
      </c>
      <c r="F80" s="273">
        <v>9.3999999999999994E-5</v>
      </c>
      <c r="G80" s="273">
        <v>1.3735000000000001E-2</v>
      </c>
      <c r="H80" s="273">
        <v>6.5750000000000001E-3</v>
      </c>
      <c r="I80" s="273">
        <v>5.7359999999999998E-3</v>
      </c>
      <c r="J80" s="273">
        <v>6.8910000000000004E-3</v>
      </c>
      <c r="K80" s="273">
        <v>5.0100000000000003E-4</v>
      </c>
      <c r="L80" s="273">
        <v>7.8399999999999997E-4</v>
      </c>
      <c r="M80" s="273">
        <f t="shared" si="111"/>
        <v>1.56793252E-2</v>
      </c>
      <c r="N80" s="273">
        <f t="shared" si="101"/>
        <v>7.4872903500000009E-3</v>
      </c>
      <c r="O80" s="273">
        <f t="shared" si="112"/>
        <v>4.124868825E-3</v>
      </c>
      <c r="P80" s="273">
        <f t="shared" si="113"/>
        <v>1.54739745E-3</v>
      </c>
      <c r="Q80" s="273">
        <v>2.1174999999999999E-2</v>
      </c>
      <c r="R80" s="273">
        <v>1.0574999999999999E-2</v>
      </c>
      <c r="S80" s="273">
        <v>1.132E-3</v>
      </c>
      <c r="T80" s="273">
        <v>0.14632600000000001</v>
      </c>
      <c r="U80" s="273">
        <v>0.194799</v>
      </c>
      <c r="V80" s="273">
        <v>0</v>
      </c>
      <c r="W80" s="273">
        <v>2.2703000000000001E-2</v>
      </c>
      <c r="X80" s="273">
        <v>4.3837000000000001E-2</v>
      </c>
      <c r="Y80" s="273">
        <f t="shared" si="114"/>
        <v>4.8073602500000001E-4</v>
      </c>
      <c r="Z80" s="273">
        <f t="shared" si="102"/>
        <v>4.6357627499999998E-4</v>
      </c>
      <c r="AA80" s="273">
        <v>1.2364E-2</v>
      </c>
      <c r="AB80" s="273">
        <v>7.6315999999999995E-2</v>
      </c>
      <c r="AC80" s="273">
        <f t="shared" si="115"/>
        <v>2.6180769999999999E-4</v>
      </c>
      <c r="AD80" s="273">
        <f t="shared" si="103"/>
        <v>8.070416999999999E-4</v>
      </c>
      <c r="AE80" s="273">
        <v>1.6934000000000001E-2</v>
      </c>
      <c r="AF80" s="273">
        <v>2.0622999999999999E-2</v>
      </c>
      <c r="AG80" s="273">
        <f t="shared" si="116"/>
        <v>3.5857745E-4</v>
      </c>
      <c r="AH80" s="273">
        <f t="shared" si="104"/>
        <v>2.1808822499999998E-4</v>
      </c>
      <c r="AI80" s="273">
        <v>1.2736000000000001E-2</v>
      </c>
      <c r="AJ80" s="273">
        <v>4.8799999999999998E-3</v>
      </c>
      <c r="AK80" s="273">
        <f t="shared" si="117"/>
        <v>2.6968480000000002E-4</v>
      </c>
      <c r="AL80" s="273">
        <f t="shared" si="105"/>
        <v>5.1605999999999993E-5</v>
      </c>
      <c r="AM80" s="273">
        <f t="shared" si="118"/>
        <v>2.0129378499999999E-3</v>
      </c>
      <c r="AN80" s="273">
        <f t="shared" si="119"/>
        <v>1.4706123749999999E-3</v>
      </c>
      <c r="AO80" s="273">
        <v>9.5061999999999994E-2</v>
      </c>
      <c r="AP80" s="273">
        <v>0.13906499999999999</v>
      </c>
      <c r="AQ80" s="273">
        <v>1.0480000000000001E-3</v>
      </c>
      <c r="AR80" s="273">
        <v>9.6400000000000001E-4</v>
      </c>
      <c r="AS80" s="273">
        <v>2.1100000000000001E-4</v>
      </c>
      <c r="AT80" s="273">
        <v>2.1800000000000001E-4</v>
      </c>
      <c r="AU80" s="273">
        <v>1.781E-3</v>
      </c>
      <c r="AV80" s="273">
        <v>9.3599999999999998E-4</v>
      </c>
      <c r="AW80" s="273">
        <v>2.1999999999999999E-5</v>
      </c>
      <c r="AX80" s="273">
        <v>7.9999999999999996E-6</v>
      </c>
      <c r="AY80" s="273">
        <v>1.9000000000000001E-4</v>
      </c>
      <c r="AZ80" s="273">
        <v>1.3300000000000001E-4</v>
      </c>
      <c r="BA80" s="273">
        <v>4.8799999999999999E-4</v>
      </c>
      <c r="BB80" s="273">
        <v>8.8199999999999997E-4</v>
      </c>
      <c r="BC80" s="273">
        <v>0</v>
      </c>
      <c r="BD80" s="273">
        <v>0</v>
      </c>
      <c r="BE80" s="273">
        <v>7.9999999999999996E-6</v>
      </c>
      <c r="BF80" s="273">
        <v>7.9999999999999996E-6</v>
      </c>
      <c r="BG80" s="273">
        <v>1.2E-5</v>
      </c>
      <c r="BH80" s="273">
        <v>5.0000000000000004E-6</v>
      </c>
      <c r="BI80" s="273">
        <v>4.3999999999999999E-5</v>
      </c>
      <c r="BJ80" s="273">
        <v>1.8E-5</v>
      </c>
      <c r="BK80" s="273">
        <v>1.243E-3</v>
      </c>
      <c r="BL80" s="273">
        <v>8.9700000000000001E-4</v>
      </c>
      <c r="BM80" s="273">
        <v>3.1700000000000001E-4</v>
      </c>
      <c r="BN80" s="273">
        <v>4.4200000000000001E-4</v>
      </c>
      <c r="BO80" s="273">
        <v>5.6700000000000001E-4</v>
      </c>
      <c r="BP80" s="273">
        <v>9.68E-4</v>
      </c>
      <c r="BQ80" s="273">
        <v>1.0549999999999999E-3</v>
      </c>
      <c r="BR80" s="273">
        <v>1.189E-3</v>
      </c>
      <c r="BS80" s="273">
        <v>2.0669999999999998E-3</v>
      </c>
      <c r="BT80" s="273">
        <v>7.2599999999999997E-4</v>
      </c>
      <c r="BU80" s="273">
        <v>1.1332E-2</v>
      </c>
      <c r="BV80" s="273">
        <v>1.2758E-2</v>
      </c>
      <c r="BW80" s="273">
        <v>4.8142459999999998</v>
      </c>
      <c r="BX80" s="273">
        <v>5.8631060000000002</v>
      </c>
      <c r="BY80" s="273">
        <v>0.901254</v>
      </c>
      <c r="BZ80" s="273">
        <v>0.73831599999999997</v>
      </c>
      <c r="CA80" s="273">
        <v>0.22892299999999999</v>
      </c>
      <c r="CB80" s="273">
        <v>0.15618499999999999</v>
      </c>
      <c r="CC80" s="273">
        <v>1.0822999999999999E-2</v>
      </c>
      <c r="CD80" s="273">
        <v>3.8040000000000001E-3</v>
      </c>
      <c r="CE80" s="273">
        <v>8.3441000000000001E-2</v>
      </c>
      <c r="CF80" s="273">
        <v>8.8657E-2</v>
      </c>
      <c r="CG80" s="273">
        <v>0.109705</v>
      </c>
      <c r="CH80" s="273">
        <v>0.10931100000000001</v>
      </c>
      <c r="CI80" s="273">
        <v>2.8486999999999998E-2</v>
      </c>
      <c r="CJ80" s="273">
        <v>1.771E-2</v>
      </c>
      <c r="CK80" s="273">
        <v>2.2230000000000001E-3</v>
      </c>
      <c r="CL80" s="273">
        <v>1.261E-3</v>
      </c>
      <c r="CM80" s="273">
        <v>9.7990000000000004E-3</v>
      </c>
      <c r="CN80" s="273">
        <v>4.4149999999999997E-3</v>
      </c>
      <c r="CO80" s="273">
        <v>0.18226899999999999</v>
      </c>
      <c r="CP80" s="273">
        <v>0.17299300000000001</v>
      </c>
      <c r="CQ80" s="273">
        <v>2.2273999999999999E-2</v>
      </c>
      <c r="CR80" s="273">
        <v>1.0975E-2</v>
      </c>
      <c r="CS80" s="273">
        <v>2.5923000000000002E-2</v>
      </c>
      <c r="CT80" s="273">
        <v>4.3228999999999997E-2</v>
      </c>
      <c r="CU80" s="273">
        <f t="shared" si="120"/>
        <v>5.7740890200000004E-4</v>
      </c>
      <c r="CV80" s="273">
        <f t="shared" si="106"/>
        <v>4.7443827499999997E-4</v>
      </c>
      <c r="CW80" s="273">
        <v>1.5010000000000001E-2</v>
      </c>
      <c r="CX80" s="273">
        <v>8.8070999999999997E-2</v>
      </c>
      <c r="CY80" s="273">
        <f t="shared" si="121"/>
        <v>3.3433273999999998E-4</v>
      </c>
      <c r="CZ80" s="273">
        <f t="shared" si="107"/>
        <v>9.6657922500000004E-4</v>
      </c>
      <c r="DA80" s="273">
        <v>1.3010000000000001E-3</v>
      </c>
      <c r="DB80" s="273">
        <v>1.0529999999999999E-3</v>
      </c>
      <c r="DC80" s="273">
        <f t="shared" si="122"/>
        <v>2.1362258358E-2</v>
      </c>
      <c r="DD80" s="273">
        <f t="shared" si="108"/>
        <v>9.5339824999999996E-3</v>
      </c>
      <c r="DE80" s="273">
        <v>2.4899999999999998E-4</v>
      </c>
      <c r="DF80" s="273">
        <v>2.05E-4</v>
      </c>
      <c r="DG80" s="273">
        <f t="shared" si="123"/>
        <v>2.461741642E-3</v>
      </c>
      <c r="DH80" s="273">
        <f t="shared" si="109"/>
        <v>2.6990174999999999E-3</v>
      </c>
      <c r="DI80" s="273">
        <v>3.6020000000000002E-3</v>
      </c>
      <c r="DJ80" s="273">
        <v>1.738E-3</v>
      </c>
      <c r="DK80" s="273">
        <v>1.74E-3</v>
      </c>
      <c r="DL80" s="273">
        <v>1.1280000000000001E-3</v>
      </c>
      <c r="DM80" s="273">
        <f t="shared" si="124"/>
        <v>5.3420000000000004E-3</v>
      </c>
      <c r="DN80" s="273">
        <f t="shared" si="110"/>
        <v>2.8660000000000001E-3</v>
      </c>
      <c r="DO80" s="273">
        <v>4.4479999999999997E-3</v>
      </c>
      <c r="DP80" s="273">
        <v>3.5850000000000001E-3</v>
      </c>
      <c r="DQ80" s="273">
        <v>2.6549999999999998E-3</v>
      </c>
      <c r="DR80" s="273">
        <v>5.3099999999999996E-3</v>
      </c>
      <c r="DS80" s="273">
        <v>3.3169999999999998E-2</v>
      </c>
      <c r="DT80" s="273">
        <v>5.7778999999999997E-2</v>
      </c>
      <c r="DU80" s="273">
        <v>9.9670000000000002E-3</v>
      </c>
      <c r="DV80" s="273">
        <v>2.0486999999999998E-2</v>
      </c>
      <c r="DW80" s="273">
        <v>4.0188000000000001E-2</v>
      </c>
      <c r="DX80" s="273">
        <v>4.0188000000000001E-2</v>
      </c>
      <c r="DY80" s="273">
        <v>0.83049200000000001</v>
      </c>
      <c r="DZ80" s="273">
        <v>0.74054500000000001</v>
      </c>
      <c r="EA80" s="273">
        <v>5.2519999999999997E-3</v>
      </c>
      <c r="EB80" s="273">
        <v>7.8440000000000003E-3</v>
      </c>
      <c r="EC80" s="273">
        <v>8.7229999999999999E-3</v>
      </c>
      <c r="ED80" s="273">
        <v>5.0090000000000004E-3</v>
      </c>
      <c r="EE80" s="273"/>
      <c r="EF80" s="274"/>
    </row>
    <row r="81" spans="2:136" s="249" customFormat="1" ht="17.399999999999999">
      <c r="B81" s="286">
        <v>74</v>
      </c>
      <c r="C81" s="273">
        <v>6.378E-3</v>
      </c>
      <c r="D81" s="273">
        <v>9.0580000000000001E-3</v>
      </c>
      <c r="E81" s="273">
        <v>2.1700000000000002E-4</v>
      </c>
      <c r="F81" s="273">
        <v>9.3999999999999994E-5</v>
      </c>
      <c r="G81" s="273">
        <v>1.5688000000000001E-2</v>
      </c>
      <c r="H81" s="273">
        <v>7.6400000000000001E-3</v>
      </c>
      <c r="I81" s="273">
        <v>6.5950000000000002E-3</v>
      </c>
      <c r="J81" s="273">
        <v>9.1520000000000004E-3</v>
      </c>
      <c r="K81" s="273">
        <v>5.0100000000000003E-4</v>
      </c>
      <c r="L81" s="273">
        <v>7.8399999999999997E-4</v>
      </c>
      <c r="M81" s="273">
        <f t="shared" si="111"/>
        <v>1.5473258144E-2</v>
      </c>
      <c r="N81" s="273">
        <f t="shared" si="101"/>
        <v>7.9307184649999984E-3</v>
      </c>
      <c r="O81" s="273">
        <f t="shared" si="112"/>
        <v>4.0440655680000007E-3</v>
      </c>
      <c r="P81" s="273">
        <f t="shared" si="113"/>
        <v>1.4976203239999999E-3</v>
      </c>
      <c r="Q81" s="273">
        <v>2.0896000000000001E-2</v>
      </c>
      <c r="R81" s="273">
        <v>1.1009E-2</v>
      </c>
      <c r="S81" s="273">
        <v>1.0970000000000001E-3</v>
      </c>
      <c r="T81" s="273">
        <v>0.13603599999999999</v>
      </c>
      <c r="U81" s="273">
        <v>0.19353300000000001</v>
      </c>
      <c r="V81" s="273">
        <v>0</v>
      </c>
      <c r="W81" s="273">
        <v>2.4667000000000001E-2</v>
      </c>
      <c r="X81" s="273">
        <v>4.7226999999999998E-2</v>
      </c>
      <c r="Y81" s="273">
        <f t="shared" si="114"/>
        <v>5.1544163200000002E-4</v>
      </c>
      <c r="Z81" s="273">
        <f t="shared" si="102"/>
        <v>5.1992204299999996E-4</v>
      </c>
      <c r="AA81" s="273">
        <v>1.1183E-2</v>
      </c>
      <c r="AB81" s="273">
        <v>6.9966E-2</v>
      </c>
      <c r="AC81" s="273">
        <f t="shared" si="115"/>
        <v>2.3367996800000002E-4</v>
      </c>
      <c r="AD81" s="273">
        <f t="shared" si="103"/>
        <v>7.7025569400000001E-4</v>
      </c>
      <c r="AE81" s="273">
        <v>1.695E-2</v>
      </c>
      <c r="AF81" s="273">
        <v>2.1224E-2</v>
      </c>
      <c r="AG81" s="273">
        <f t="shared" si="116"/>
        <v>3.5418720000000002E-4</v>
      </c>
      <c r="AH81" s="273">
        <f t="shared" si="104"/>
        <v>2.33655016E-4</v>
      </c>
      <c r="AI81" s="273">
        <v>1.3178E-2</v>
      </c>
      <c r="AJ81" s="273">
        <v>5.1619999999999999E-3</v>
      </c>
      <c r="AK81" s="273">
        <f t="shared" si="117"/>
        <v>2.7536748800000005E-4</v>
      </c>
      <c r="AL81" s="273">
        <f t="shared" si="105"/>
        <v>5.6828457999999998E-5</v>
      </c>
      <c r="AM81" s="273">
        <f t="shared" si="118"/>
        <v>1.9938963200000002E-3</v>
      </c>
      <c r="AN81" s="273">
        <f t="shared" si="119"/>
        <v>1.564367891E-3</v>
      </c>
      <c r="AO81" s="273">
        <v>9.5420000000000005E-2</v>
      </c>
      <c r="AP81" s="273">
        <v>0.142099</v>
      </c>
      <c r="AQ81" s="273">
        <v>1.0759999999999999E-3</v>
      </c>
      <c r="AR81" s="273">
        <v>9.59E-4</v>
      </c>
      <c r="AS81" s="273">
        <v>2.1800000000000001E-4</v>
      </c>
      <c r="AT81" s="273">
        <v>2.23E-4</v>
      </c>
      <c r="AU81" s="273">
        <v>1.781E-3</v>
      </c>
      <c r="AV81" s="273">
        <v>9.3599999999999998E-4</v>
      </c>
      <c r="AW81" s="273">
        <v>2.5000000000000001E-5</v>
      </c>
      <c r="AX81" s="273">
        <v>9.0000000000000002E-6</v>
      </c>
      <c r="AY81" s="273">
        <v>2.02E-4</v>
      </c>
      <c r="AZ81" s="273">
        <v>1.3799999999999999E-4</v>
      </c>
      <c r="BA81" s="273">
        <v>5.0100000000000003E-4</v>
      </c>
      <c r="BB81" s="273">
        <v>8.92E-4</v>
      </c>
      <c r="BC81" s="273">
        <v>0</v>
      </c>
      <c r="BD81" s="273">
        <v>0</v>
      </c>
      <c r="BE81" s="273">
        <v>7.9999999999999996E-6</v>
      </c>
      <c r="BF81" s="273">
        <v>9.0000000000000002E-6</v>
      </c>
      <c r="BG81" s="273">
        <v>1.2E-5</v>
      </c>
      <c r="BH81" s="273">
        <v>5.0000000000000004E-6</v>
      </c>
      <c r="BI81" s="273">
        <v>4.3999999999999999E-5</v>
      </c>
      <c r="BJ81" s="273">
        <v>1.8E-5</v>
      </c>
      <c r="BK81" s="273">
        <v>1.189E-3</v>
      </c>
      <c r="BL81" s="273">
        <v>8.7399999999999999E-4</v>
      </c>
      <c r="BM81" s="273">
        <v>2.99E-4</v>
      </c>
      <c r="BN81" s="273">
        <v>4.2099999999999999E-4</v>
      </c>
      <c r="BO81" s="273">
        <v>5.7700000000000004E-4</v>
      </c>
      <c r="BP81" s="273">
        <v>1E-3</v>
      </c>
      <c r="BQ81" s="273">
        <v>1.1310000000000001E-3</v>
      </c>
      <c r="BR81" s="273">
        <v>1.2689999999999999E-3</v>
      </c>
      <c r="BS81" s="273">
        <v>2.1189999999999998E-3</v>
      </c>
      <c r="BT81" s="273">
        <v>7.7700000000000002E-4</v>
      </c>
      <c r="BU81" s="273">
        <v>1.2132E-2</v>
      </c>
      <c r="BV81" s="273">
        <v>1.3617000000000001E-2</v>
      </c>
      <c r="BW81" s="273">
        <v>5.0879430000000001</v>
      </c>
      <c r="BX81" s="273">
        <v>6.1299599999999996</v>
      </c>
      <c r="BY81" s="273">
        <v>0.93659700000000001</v>
      </c>
      <c r="BZ81" s="273">
        <v>0.74465999999999999</v>
      </c>
      <c r="CA81" s="273">
        <v>0.24610199999999999</v>
      </c>
      <c r="CB81" s="273">
        <v>0.166908</v>
      </c>
      <c r="CC81" s="273">
        <v>1.1096999999999999E-2</v>
      </c>
      <c r="CD81" s="273">
        <v>4.0749999999999996E-3</v>
      </c>
      <c r="CE81" s="273">
        <v>8.1462000000000007E-2</v>
      </c>
      <c r="CF81" s="273">
        <v>8.7017999999999998E-2</v>
      </c>
      <c r="CG81" s="273">
        <v>0.107104</v>
      </c>
      <c r="CH81" s="273">
        <v>0.107289</v>
      </c>
      <c r="CI81" s="273">
        <v>2.7810999999999999E-2</v>
      </c>
      <c r="CJ81" s="273">
        <v>1.7382999999999999E-2</v>
      </c>
      <c r="CK81" s="273">
        <v>2.1689999999999999E-3</v>
      </c>
      <c r="CL81" s="273">
        <v>1.238E-3</v>
      </c>
      <c r="CM81" s="273">
        <v>9.5659999999999999E-3</v>
      </c>
      <c r="CN81" s="273">
        <v>4.333E-3</v>
      </c>
      <c r="CO81" s="273">
        <v>0.177534</v>
      </c>
      <c r="CP81" s="273">
        <v>0.17252999999999999</v>
      </c>
      <c r="CQ81" s="273">
        <v>2.2665000000000001E-2</v>
      </c>
      <c r="CR81" s="273">
        <v>1.14E-2</v>
      </c>
      <c r="CS81" s="273">
        <v>2.8719999999999999E-2</v>
      </c>
      <c r="CT81" s="273">
        <v>4.6565000000000002E-2</v>
      </c>
      <c r="CU81" s="273">
        <f t="shared" si="120"/>
        <v>6.5093880000000005E-4</v>
      </c>
      <c r="CV81" s="273">
        <f t="shared" si="106"/>
        <v>5.30841E-4</v>
      </c>
      <c r="CW81" s="273">
        <v>1.3873999999999999E-2</v>
      </c>
      <c r="CX81" s="273">
        <v>8.2364999999999994E-2</v>
      </c>
      <c r="CY81" s="273">
        <f t="shared" si="121"/>
        <v>3.1445421000000001E-4</v>
      </c>
      <c r="CZ81" s="273">
        <f t="shared" si="107"/>
        <v>9.3896099999999998E-4</v>
      </c>
      <c r="DA81" s="273">
        <v>1.346E-3</v>
      </c>
      <c r="DB81" s="273">
        <v>1.0349999999999999E-3</v>
      </c>
      <c r="DC81" s="273">
        <f t="shared" si="122"/>
        <v>2.1699606990000002E-2</v>
      </c>
      <c r="DD81" s="273">
        <f t="shared" si="108"/>
        <v>9.9301979999999995E-3</v>
      </c>
      <c r="DE81" s="273">
        <v>2.5599999999999999E-4</v>
      </c>
      <c r="DF81" s="273">
        <v>2.04E-4</v>
      </c>
      <c r="DG81" s="273">
        <f t="shared" si="123"/>
        <v>2.5673930100000002E-3</v>
      </c>
      <c r="DH81" s="273">
        <f t="shared" si="109"/>
        <v>2.7088020000000002E-3</v>
      </c>
      <c r="DI81" s="273">
        <v>3.8049999999999998E-3</v>
      </c>
      <c r="DJ81" s="273">
        <v>2.0170000000000001E-3</v>
      </c>
      <c r="DK81" s="273">
        <v>1.807E-3</v>
      </c>
      <c r="DL81" s="273">
        <v>1.1460000000000001E-3</v>
      </c>
      <c r="DM81" s="273">
        <f t="shared" si="124"/>
        <v>5.6119999999999998E-3</v>
      </c>
      <c r="DN81" s="273">
        <f t="shared" si="110"/>
        <v>3.163E-3</v>
      </c>
      <c r="DO81" s="273">
        <v>4.3569999999999998E-3</v>
      </c>
      <c r="DP81" s="273">
        <v>3.4989999999999999E-3</v>
      </c>
      <c r="DQ81" s="273">
        <v>2.1770000000000001E-3</v>
      </c>
      <c r="DR81" s="273">
        <v>4.1710000000000002E-3</v>
      </c>
      <c r="DS81" s="273">
        <v>3.4216000000000003E-2</v>
      </c>
      <c r="DT81" s="273">
        <v>5.9293999999999999E-2</v>
      </c>
      <c r="DU81" s="273">
        <v>1.0884E-2</v>
      </c>
      <c r="DV81" s="273">
        <v>2.2290999999999998E-2</v>
      </c>
      <c r="DW81" s="273">
        <v>4.0188000000000001E-2</v>
      </c>
      <c r="DX81" s="273">
        <v>4.0188000000000001E-2</v>
      </c>
      <c r="DY81" s="273">
        <v>0.93050100000000002</v>
      </c>
      <c r="DZ81" s="273">
        <v>0.82618499999999995</v>
      </c>
      <c r="EA81" s="273">
        <v>5.9439999999999996E-3</v>
      </c>
      <c r="EB81" s="273">
        <v>9.6600000000000002E-3</v>
      </c>
      <c r="EC81" s="273">
        <v>9.2510000000000005E-3</v>
      </c>
      <c r="ED81" s="273">
        <v>5.182E-3</v>
      </c>
      <c r="EE81" s="273"/>
      <c r="EF81" s="274"/>
    </row>
    <row r="82" spans="2:136" s="249" customFormat="1" ht="17.399999999999999">
      <c r="B82" s="286">
        <v>75</v>
      </c>
      <c r="C82" s="273">
        <v>7.3810000000000004E-3</v>
      </c>
      <c r="D82" s="273">
        <v>1.2097999999999999E-2</v>
      </c>
      <c r="E82" s="273">
        <v>2.1700000000000002E-4</v>
      </c>
      <c r="F82" s="273">
        <v>9.3999999999999994E-5</v>
      </c>
      <c r="G82" s="273">
        <v>1.7767999999999999E-2</v>
      </c>
      <c r="H82" s="273">
        <v>8.7720000000000003E-3</v>
      </c>
      <c r="I82" s="273">
        <v>7.5980000000000006E-3</v>
      </c>
      <c r="J82" s="273">
        <v>1.2192E-2</v>
      </c>
      <c r="K82" s="273">
        <v>5.0100000000000003E-4</v>
      </c>
      <c r="L82" s="273">
        <v>7.8399999999999997E-4</v>
      </c>
      <c r="M82" s="273">
        <f t="shared" si="111"/>
        <v>1.5122153520000001E-2</v>
      </c>
      <c r="N82" s="273">
        <f t="shared" si="101"/>
        <v>8.4060474579999989E-3</v>
      </c>
      <c r="O82" s="273">
        <f t="shared" si="112"/>
        <v>3.9261125600000002E-3</v>
      </c>
      <c r="P82" s="273">
        <f t="shared" si="113"/>
        <v>1.4428096039999999E-3</v>
      </c>
      <c r="Q82" s="273">
        <v>2.0420000000000001E-2</v>
      </c>
      <c r="R82" s="273">
        <v>1.1474E-2</v>
      </c>
      <c r="S82" s="273">
        <v>1.1180000000000001E-3</v>
      </c>
      <c r="T82" s="273">
        <v>0.125746</v>
      </c>
      <c r="U82" s="273">
        <v>0.19226799999999999</v>
      </c>
      <c r="V82" s="273">
        <v>0</v>
      </c>
      <c r="W82" s="273">
        <v>2.6578000000000001E-2</v>
      </c>
      <c r="X82" s="273">
        <v>5.0715999999999997E-2</v>
      </c>
      <c r="Y82" s="273">
        <f t="shared" si="114"/>
        <v>5.4272276000000004E-4</v>
      </c>
      <c r="Z82" s="273">
        <f t="shared" si="102"/>
        <v>5.81915384E-4</v>
      </c>
      <c r="AA82" s="273">
        <v>1.0011000000000001E-2</v>
      </c>
      <c r="AB82" s="273">
        <v>6.3652E-2</v>
      </c>
      <c r="AC82" s="273">
        <f t="shared" si="115"/>
        <v>2.0442462000000002E-4</v>
      </c>
      <c r="AD82" s="273">
        <f t="shared" si="103"/>
        <v>7.3034304799999997E-4</v>
      </c>
      <c r="AE82" s="273">
        <v>1.6965999999999998E-2</v>
      </c>
      <c r="AF82" s="273">
        <v>2.1826000000000002E-2</v>
      </c>
      <c r="AG82" s="273">
        <f t="shared" si="116"/>
        <v>3.4644571999999996E-4</v>
      </c>
      <c r="AH82" s="273">
        <f t="shared" si="104"/>
        <v>2.5043152400000004E-4</v>
      </c>
      <c r="AI82" s="273">
        <v>1.3620999999999999E-2</v>
      </c>
      <c r="AJ82" s="273">
        <v>5.4429999999999999E-3</v>
      </c>
      <c r="AK82" s="273">
        <f t="shared" si="117"/>
        <v>2.7814081999999999E-4</v>
      </c>
      <c r="AL82" s="273">
        <f t="shared" si="105"/>
        <v>6.2452981999999997E-5</v>
      </c>
      <c r="AM82" s="273">
        <f t="shared" si="118"/>
        <v>1.9557867600000002E-3</v>
      </c>
      <c r="AN82" s="273">
        <f t="shared" si="119"/>
        <v>1.6652675160000001E-3</v>
      </c>
      <c r="AO82" s="273">
        <v>9.5778000000000002E-2</v>
      </c>
      <c r="AP82" s="273">
        <v>0.14513400000000001</v>
      </c>
      <c r="AQ82" s="273">
        <v>1.0920000000000001E-3</v>
      </c>
      <c r="AR82" s="273">
        <v>9.4700000000000003E-4</v>
      </c>
      <c r="AS82" s="273">
        <v>2.24E-4</v>
      </c>
      <c r="AT82" s="273">
        <v>2.31E-4</v>
      </c>
      <c r="AU82" s="273">
        <v>1.781E-3</v>
      </c>
      <c r="AV82" s="273">
        <v>9.3599999999999998E-4</v>
      </c>
      <c r="AW82" s="273">
        <v>2.9E-5</v>
      </c>
      <c r="AX82" s="273">
        <v>9.0000000000000002E-6</v>
      </c>
      <c r="AY82" s="273">
        <v>2.1699999999999999E-4</v>
      </c>
      <c r="AZ82" s="273">
        <v>1.4200000000000001E-4</v>
      </c>
      <c r="BA82" s="273">
        <v>5.1400000000000003E-4</v>
      </c>
      <c r="BB82" s="273">
        <v>9.0200000000000002E-4</v>
      </c>
      <c r="BC82" s="273">
        <v>0</v>
      </c>
      <c r="BD82" s="273">
        <v>0</v>
      </c>
      <c r="BE82" s="273">
        <v>9.0000000000000002E-6</v>
      </c>
      <c r="BF82" s="273">
        <v>9.0000000000000002E-6</v>
      </c>
      <c r="BG82" s="273">
        <v>1.2E-5</v>
      </c>
      <c r="BH82" s="273">
        <v>5.0000000000000004E-6</v>
      </c>
      <c r="BI82" s="273">
        <v>4.3999999999999999E-5</v>
      </c>
      <c r="BJ82" s="273">
        <v>1.8E-5</v>
      </c>
      <c r="BK82" s="273">
        <v>1.1180000000000001E-3</v>
      </c>
      <c r="BL82" s="273">
        <v>8.3699999999999996E-4</v>
      </c>
      <c r="BM82" s="273">
        <v>2.7999999999999998E-4</v>
      </c>
      <c r="BN82" s="273">
        <v>4.0099999999999999E-4</v>
      </c>
      <c r="BO82" s="273">
        <v>5.9100000000000005E-4</v>
      </c>
      <c r="BP82" s="273">
        <v>1.0319999999999999E-3</v>
      </c>
      <c r="BQ82" s="273">
        <v>1.212E-3</v>
      </c>
      <c r="BR82" s="273">
        <v>1.3500000000000001E-3</v>
      </c>
      <c r="BS82" s="273">
        <v>2.1719999999999999E-3</v>
      </c>
      <c r="BT82" s="273">
        <v>8.3699999999999996E-4</v>
      </c>
      <c r="BU82" s="273">
        <v>1.3006E-2</v>
      </c>
      <c r="BV82" s="273">
        <v>1.4487E-2</v>
      </c>
      <c r="BW82" s="273">
        <v>5.3686550000000004</v>
      </c>
      <c r="BX82" s="273">
        <v>6.4169179999999999</v>
      </c>
      <c r="BY82" s="273">
        <v>0.97350899999999996</v>
      </c>
      <c r="BZ82" s="273">
        <v>0.75521499999999997</v>
      </c>
      <c r="CA82" s="273">
        <v>0.26480799999999999</v>
      </c>
      <c r="CB82" s="273">
        <v>0.17893000000000001</v>
      </c>
      <c r="CC82" s="273">
        <v>1.1379999999999999E-2</v>
      </c>
      <c r="CD82" s="273">
        <v>4.4000000000000003E-3</v>
      </c>
      <c r="CE82" s="273">
        <v>7.9075999999999994E-2</v>
      </c>
      <c r="CF82" s="273">
        <v>8.5244E-2</v>
      </c>
      <c r="CG82" s="273">
        <v>0.103966</v>
      </c>
      <c r="CH82" s="273">
        <v>0.105103</v>
      </c>
      <c r="CI82" s="273">
        <v>2.6997E-2</v>
      </c>
      <c r="CJ82" s="273">
        <v>1.7028999999999999E-2</v>
      </c>
      <c r="CK82" s="273">
        <v>2.1069999999999999E-3</v>
      </c>
      <c r="CL82" s="273">
        <v>1.2130000000000001E-3</v>
      </c>
      <c r="CM82" s="273">
        <v>9.2860000000000009E-3</v>
      </c>
      <c r="CN82" s="273">
        <v>4.2440000000000004E-3</v>
      </c>
      <c r="CO82" s="273">
        <v>0.171935</v>
      </c>
      <c r="CP82" s="273">
        <v>0.17169400000000001</v>
      </c>
      <c r="CQ82" s="273">
        <v>2.2995000000000002E-2</v>
      </c>
      <c r="CR82" s="273">
        <v>1.1879000000000001E-2</v>
      </c>
      <c r="CS82" s="273">
        <v>3.1444E-2</v>
      </c>
      <c r="CT82" s="273">
        <v>4.9827999999999997E-2</v>
      </c>
      <c r="CU82" s="273">
        <f t="shared" si="120"/>
        <v>7.2305478000000002E-4</v>
      </c>
      <c r="CV82" s="273">
        <f t="shared" si="106"/>
        <v>5.9190681200000002E-4</v>
      </c>
      <c r="CW82" s="273">
        <v>1.2739E-2</v>
      </c>
      <c r="CX82" s="273">
        <v>7.6659000000000005E-2</v>
      </c>
      <c r="CY82" s="273">
        <f t="shared" si="121"/>
        <v>2.9293330500000002E-4</v>
      </c>
      <c r="CZ82" s="273">
        <f t="shared" si="107"/>
        <v>9.1063226100000013E-4</v>
      </c>
      <c r="DA82" s="273">
        <v>1.387E-3</v>
      </c>
      <c r="DB82" s="273">
        <v>1.013E-3</v>
      </c>
      <c r="DC82" s="273">
        <f t="shared" si="122"/>
        <v>2.1979011915000003E-2</v>
      </c>
      <c r="DD82" s="273">
        <f t="shared" si="108"/>
        <v>1.0376460927E-2</v>
      </c>
      <c r="DE82" s="273">
        <v>2.61E-4</v>
      </c>
      <c r="DF82" s="273">
        <v>2.02E-4</v>
      </c>
      <c r="DG82" s="273">
        <f t="shared" si="123"/>
        <v>2.663988085E-3</v>
      </c>
      <c r="DH82" s="273">
        <f t="shared" si="109"/>
        <v>2.7175390729999999E-3</v>
      </c>
      <c r="DI82" s="273">
        <v>3.9719999999999998E-3</v>
      </c>
      <c r="DJ82" s="273">
        <v>2.281E-3</v>
      </c>
      <c r="DK82" s="273">
        <v>1.885E-3</v>
      </c>
      <c r="DL82" s="273">
        <v>1.134E-3</v>
      </c>
      <c r="DM82" s="273">
        <f t="shared" si="124"/>
        <v>5.8569999999999994E-3</v>
      </c>
      <c r="DN82" s="273">
        <f t="shared" si="110"/>
        <v>3.4150000000000001E-3</v>
      </c>
      <c r="DO82" s="273">
        <v>4.2430000000000002E-3</v>
      </c>
      <c r="DP82" s="273">
        <v>3.4139999999999999E-3</v>
      </c>
      <c r="DQ82" s="273">
        <v>1.635E-3</v>
      </c>
      <c r="DR82" s="273">
        <v>2.787E-3</v>
      </c>
      <c r="DS82" s="273">
        <v>3.5296000000000001E-2</v>
      </c>
      <c r="DT82" s="273">
        <v>6.0811999999999998E-2</v>
      </c>
      <c r="DU82" s="273">
        <v>1.1838E-2</v>
      </c>
      <c r="DV82" s="273">
        <v>2.4115000000000001E-2</v>
      </c>
      <c r="DW82" s="273">
        <v>4.0188000000000001E-2</v>
      </c>
      <c r="DX82" s="273">
        <v>4.0188000000000001E-2</v>
      </c>
      <c r="DY82" s="273">
        <v>1.038119</v>
      </c>
      <c r="DZ82" s="273">
        <v>0.91614399999999996</v>
      </c>
      <c r="EA82" s="273">
        <v>6.7450000000000001E-3</v>
      </c>
      <c r="EB82" s="273">
        <v>1.208E-2</v>
      </c>
      <c r="EC82" s="273">
        <v>8.966E-3</v>
      </c>
      <c r="ED82" s="273">
        <v>5.2319999999999997E-3</v>
      </c>
      <c r="EE82" s="273"/>
      <c r="EF82" s="274"/>
    </row>
    <row r="83" spans="2:136" s="249" customFormat="1" ht="17.399999999999999">
      <c r="B83" s="286">
        <v>76</v>
      </c>
      <c r="C83" s="273">
        <v>8.6E-3</v>
      </c>
      <c r="D83" s="273">
        <v>1.2189E-2</v>
      </c>
      <c r="E83" s="273">
        <v>2.1700000000000002E-4</v>
      </c>
      <c r="F83" s="273">
        <v>9.3999999999999994E-5</v>
      </c>
      <c r="G83" s="273">
        <v>1.9973999999999999E-2</v>
      </c>
      <c r="H83" s="273">
        <v>1.0071E-2</v>
      </c>
      <c r="I83" s="273">
        <v>8.8170000000000002E-3</v>
      </c>
      <c r="J83" s="273">
        <v>1.2283000000000001E-2</v>
      </c>
      <c r="K83" s="273">
        <v>5.0100000000000003E-4</v>
      </c>
      <c r="L83" s="273">
        <v>7.8399999999999997E-4</v>
      </c>
      <c r="M83" s="273">
        <f t="shared" si="111"/>
        <v>1.4923392249999999E-2</v>
      </c>
      <c r="N83" s="273">
        <f t="shared" si="101"/>
        <v>8.8799171369999992E-3</v>
      </c>
      <c r="O83" s="273">
        <f t="shared" si="112"/>
        <v>3.8486903000000002E-3</v>
      </c>
      <c r="P83" s="273">
        <f t="shared" si="113"/>
        <v>1.3763509759999999E-3</v>
      </c>
      <c r="Q83" s="273">
        <v>2.0150000000000001E-2</v>
      </c>
      <c r="R83" s="273">
        <v>1.1920999999999999E-2</v>
      </c>
      <c r="S83" s="273">
        <v>1.1379999999999999E-3</v>
      </c>
      <c r="T83" s="273">
        <v>0.115456</v>
      </c>
      <c r="U83" s="273">
        <v>0.19100200000000001</v>
      </c>
      <c r="V83" s="273">
        <v>0</v>
      </c>
      <c r="W83" s="273">
        <v>2.8492E-2</v>
      </c>
      <c r="X83" s="273">
        <v>5.4117999999999999E-2</v>
      </c>
      <c r="Y83" s="273">
        <f t="shared" si="114"/>
        <v>5.7411380000000007E-4</v>
      </c>
      <c r="Z83" s="273">
        <f t="shared" si="102"/>
        <v>6.4514067799999999E-4</v>
      </c>
      <c r="AA83" s="273">
        <v>8.8459999999999997E-3</v>
      </c>
      <c r="AB83" s="273">
        <v>5.7376999999999997E-2</v>
      </c>
      <c r="AC83" s="273">
        <f t="shared" si="115"/>
        <v>1.782469E-4</v>
      </c>
      <c r="AD83" s="273">
        <f t="shared" si="103"/>
        <v>6.839912169999999E-4</v>
      </c>
      <c r="AE83" s="273">
        <v>1.6982000000000001E-2</v>
      </c>
      <c r="AF83" s="273">
        <v>2.2426999999999999E-2</v>
      </c>
      <c r="AG83" s="273">
        <f t="shared" si="116"/>
        <v>3.4218730000000003E-4</v>
      </c>
      <c r="AH83" s="273">
        <f t="shared" si="104"/>
        <v>2.6735226699999996E-4</v>
      </c>
      <c r="AI83" s="273">
        <v>1.4063000000000001E-2</v>
      </c>
      <c r="AJ83" s="273">
        <v>5.7250000000000001E-3</v>
      </c>
      <c r="AK83" s="273">
        <f t="shared" si="117"/>
        <v>2.8336945000000005E-4</v>
      </c>
      <c r="AL83" s="273">
        <f t="shared" si="105"/>
        <v>6.8247725000000002E-5</v>
      </c>
      <c r="AM83" s="273">
        <f t="shared" si="118"/>
        <v>1.9371404000000001E-3</v>
      </c>
      <c r="AN83" s="273">
        <f t="shared" si="119"/>
        <v>1.7663107279999998E-3</v>
      </c>
      <c r="AO83" s="273">
        <v>9.6135999999999999E-2</v>
      </c>
      <c r="AP83" s="273">
        <v>0.14816799999999999</v>
      </c>
      <c r="AQ83" s="273">
        <v>1.0939999999999999E-3</v>
      </c>
      <c r="AR83" s="273">
        <v>9.2800000000000001E-4</v>
      </c>
      <c r="AS83" s="273">
        <v>2.31E-4</v>
      </c>
      <c r="AT83" s="273">
        <v>2.3699999999999999E-4</v>
      </c>
      <c r="AU83" s="273">
        <v>1.781E-3</v>
      </c>
      <c r="AV83" s="273">
        <v>9.3599999999999998E-4</v>
      </c>
      <c r="AW83" s="273">
        <v>3.1000000000000001E-5</v>
      </c>
      <c r="AX83" s="273">
        <v>1.0000000000000001E-5</v>
      </c>
      <c r="AY83" s="273">
        <v>2.3699999999999999E-4</v>
      </c>
      <c r="AZ83" s="273">
        <v>1.46E-4</v>
      </c>
      <c r="BA83" s="273">
        <v>5.2499999999999997E-4</v>
      </c>
      <c r="BB83" s="273">
        <v>9.0799999999999995E-4</v>
      </c>
      <c r="BC83" s="273">
        <v>0</v>
      </c>
      <c r="BD83" s="273">
        <v>0</v>
      </c>
      <c r="BE83" s="273">
        <v>1.0000000000000001E-5</v>
      </c>
      <c r="BF83" s="273">
        <v>1.0000000000000001E-5</v>
      </c>
      <c r="BG83" s="273">
        <v>1.2E-5</v>
      </c>
      <c r="BH83" s="273">
        <v>5.0000000000000004E-6</v>
      </c>
      <c r="BI83" s="273">
        <v>4.3999999999999999E-5</v>
      </c>
      <c r="BJ83" s="273">
        <v>1.8E-5</v>
      </c>
      <c r="BK83" s="273">
        <v>1.0460000000000001E-3</v>
      </c>
      <c r="BL83" s="273">
        <v>7.94E-4</v>
      </c>
      <c r="BM83" s="273">
        <v>2.72E-4</v>
      </c>
      <c r="BN83" s="273">
        <v>3.9199999999999999E-4</v>
      </c>
      <c r="BO83" s="273">
        <v>6.0499999999999996E-4</v>
      </c>
      <c r="BP83" s="273">
        <v>1.0640000000000001E-3</v>
      </c>
      <c r="BQ83" s="273">
        <v>1.297E-3</v>
      </c>
      <c r="BR83" s="273">
        <v>1.4300000000000001E-3</v>
      </c>
      <c r="BS83" s="273">
        <v>2.2279999999999999E-3</v>
      </c>
      <c r="BT83" s="273">
        <v>9.1E-4</v>
      </c>
      <c r="BU83" s="273">
        <v>1.3903E-2</v>
      </c>
      <c r="BV83" s="273">
        <v>1.5335E-2</v>
      </c>
      <c r="BW83" s="273">
        <v>5.6685400000000001</v>
      </c>
      <c r="BX83" s="273">
        <v>6.7494500000000004</v>
      </c>
      <c r="BY83" s="273">
        <v>1.008216</v>
      </c>
      <c r="BZ83" s="273">
        <v>0.76957100000000001</v>
      </c>
      <c r="CA83" s="273">
        <v>0.284221</v>
      </c>
      <c r="CB83" s="273">
        <v>0.192578</v>
      </c>
      <c r="CC83" s="273">
        <v>1.1671000000000001E-2</v>
      </c>
      <c r="CD83" s="273">
        <v>4.7739999999999996E-3</v>
      </c>
      <c r="CE83" s="273">
        <v>7.6869000000000007E-2</v>
      </c>
      <c r="CF83" s="273">
        <v>8.3447999999999994E-2</v>
      </c>
      <c r="CG83" s="273">
        <v>0.101064</v>
      </c>
      <c r="CH83" s="273">
        <v>0.10288799999999999</v>
      </c>
      <c r="CI83" s="273">
        <v>2.6242999999999999E-2</v>
      </c>
      <c r="CJ83" s="273">
        <v>1.6669E-2</v>
      </c>
      <c r="CK83" s="273">
        <v>2.0479999999999999E-3</v>
      </c>
      <c r="CL83" s="273">
        <v>1.188E-3</v>
      </c>
      <c r="CM83" s="273">
        <v>9.0270000000000003E-3</v>
      </c>
      <c r="CN83" s="273">
        <v>4.156E-3</v>
      </c>
      <c r="CO83" s="273">
        <v>0.16713600000000001</v>
      </c>
      <c r="CP83" s="273">
        <v>0.168076</v>
      </c>
      <c r="CQ83" s="273">
        <v>2.3317999999999998E-2</v>
      </c>
      <c r="CR83" s="273">
        <v>1.2307E-2</v>
      </c>
      <c r="CS83" s="273">
        <v>3.4234000000000001E-2</v>
      </c>
      <c r="CT83" s="273">
        <v>5.3185999999999997E-2</v>
      </c>
      <c r="CU83" s="273">
        <f t="shared" si="120"/>
        <v>7.9826841199999996E-4</v>
      </c>
      <c r="CV83" s="273">
        <f t="shared" si="106"/>
        <v>6.5456010200000002E-4</v>
      </c>
      <c r="CW83" s="273">
        <v>1.1604E-2</v>
      </c>
      <c r="CX83" s="273">
        <v>7.0952000000000001E-2</v>
      </c>
      <c r="CY83" s="273">
        <f t="shared" si="121"/>
        <v>2.7058207199999999E-4</v>
      </c>
      <c r="CZ83" s="273">
        <f t="shared" si="107"/>
        <v>8.7320626399999999E-4</v>
      </c>
      <c r="DA83" s="273">
        <v>1.42E-3</v>
      </c>
      <c r="DB83" s="273">
        <v>9.8900000000000008E-4</v>
      </c>
      <c r="DC83" s="273">
        <f t="shared" si="122"/>
        <v>2.2249149515999996E-2</v>
      </c>
      <c r="DD83" s="273">
        <f t="shared" si="108"/>
        <v>1.0779233633999999E-2</v>
      </c>
      <c r="DE83" s="273">
        <v>2.63E-4</v>
      </c>
      <c r="DF83" s="273">
        <v>1.9699999999999999E-4</v>
      </c>
      <c r="DG83" s="273">
        <f t="shared" si="123"/>
        <v>2.7518504839999999E-3</v>
      </c>
      <c r="DH83" s="273">
        <f t="shared" si="109"/>
        <v>2.7137663660000005E-3</v>
      </c>
      <c r="DI83" s="273">
        <v>3.862E-3</v>
      </c>
      <c r="DJ83" s="273">
        <v>2.2330000000000002E-3</v>
      </c>
      <c r="DK83" s="273">
        <v>1.9740000000000001E-3</v>
      </c>
      <c r="DL83" s="273">
        <v>1.0950000000000001E-3</v>
      </c>
      <c r="DM83" s="273">
        <f t="shared" si="124"/>
        <v>5.836E-3</v>
      </c>
      <c r="DN83" s="273">
        <f t="shared" si="110"/>
        <v>3.3280000000000002E-3</v>
      </c>
      <c r="DO83" s="273">
        <v>4.045E-3</v>
      </c>
      <c r="DP83" s="273">
        <v>3.261E-3</v>
      </c>
      <c r="DQ83" s="273">
        <v>1.635E-3</v>
      </c>
      <c r="DR83" s="273">
        <v>2.787E-3</v>
      </c>
      <c r="DS83" s="273">
        <v>3.6562999999999998E-2</v>
      </c>
      <c r="DT83" s="273">
        <v>6.2579999999999997E-2</v>
      </c>
      <c r="DU83" s="273">
        <v>1.2860999999999999E-2</v>
      </c>
      <c r="DV83" s="273">
        <v>2.6001E-2</v>
      </c>
      <c r="DW83" s="273">
        <v>4.0188000000000001E-2</v>
      </c>
      <c r="DX83" s="273">
        <v>4.0188000000000001E-2</v>
      </c>
      <c r="DY83" s="273">
        <v>1.154962</v>
      </c>
      <c r="DZ83" s="273">
        <v>1.0079979999999999</v>
      </c>
      <c r="EA83" s="273">
        <v>7.7499999999999999E-3</v>
      </c>
      <c r="EB83" s="273">
        <v>1.2206E-2</v>
      </c>
      <c r="EC83" s="273">
        <v>7.8700000000000003E-3</v>
      </c>
      <c r="ED83" s="273">
        <v>5.1570000000000001E-3</v>
      </c>
      <c r="EE83" s="273"/>
      <c r="EF83" s="274"/>
    </row>
    <row r="84" spans="2:136" s="249" customFormat="1" ht="17.399999999999999">
      <c r="B84" s="286">
        <v>77</v>
      </c>
      <c r="C84" s="273">
        <v>1.0853E-2</v>
      </c>
      <c r="D84" s="273">
        <v>1.2282E-2</v>
      </c>
      <c r="E84" s="273">
        <v>2.1700000000000002E-4</v>
      </c>
      <c r="F84" s="273">
        <v>9.3999999999999994E-5</v>
      </c>
      <c r="G84" s="273">
        <v>2.2443000000000001E-2</v>
      </c>
      <c r="H84" s="273">
        <v>1.1734E-2</v>
      </c>
      <c r="I84" s="273">
        <v>1.107E-2</v>
      </c>
      <c r="J84" s="273">
        <v>1.2376E-2</v>
      </c>
      <c r="K84" s="273">
        <v>5.0100000000000003E-4</v>
      </c>
      <c r="L84" s="273">
        <v>7.8399999999999997E-4</v>
      </c>
      <c r="M84" s="273">
        <f t="shared" si="111"/>
        <v>1.5087842263000001E-2</v>
      </c>
      <c r="N84" s="273">
        <f t="shared" si="101"/>
        <v>9.3302908920000014E-3</v>
      </c>
      <c r="O84" s="273">
        <f t="shared" si="112"/>
        <v>3.8651120559999998E-3</v>
      </c>
      <c r="P84" s="273">
        <f t="shared" si="113"/>
        <v>1.296065784E-3</v>
      </c>
      <c r="Q84" s="273">
        <v>2.0371E-2</v>
      </c>
      <c r="R84" s="273">
        <v>1.2324E-2</v>
      </c>
      <c r="S84" s="273">
        <v>1.1069999999999999E-3</v>
      </c>
      <c r="T84" s="273">
        <v>0.105166</v>
      </c>
      <c r="U84" s="273">
        <v>0.18973599999999999</v>
      </c>
      <c r="V84" s="273">
        <v>0</v>
      </c>
      <c r="W84" s="273">
        <v>3.0417E-2</v>
      </c>
      <c r="X84" s="273">
        <v>5.7577000000000003E-2</v>
      </c>
      <c r="Y84" s="273">
        <f t="shared" si="114"/>
        <v>6.1962470700000004E-4</v>
      </c>
      <c r="Z84" s="273">
        <f t="shared" si="102"/>
        <v>7.0957894799999999E-4</v>
      </c>
      <c r="AA84" s="273">
        <v>7.6899999999999998E-3</v>
      </c>
      <c r="AB84" s="273">
        <v>5.1139999999999998E-2</v>
      </c>
      <c r="AC84" s="273">
        <f t="shared" si="115"/>
        <v>1.5665298999999999E-4</v>
      </c>
      <c r="AD84" s="273">
        <f t="shared" si="103"/>
        <v>6.3024936000000001E-4</v>
      </c>
      <c r="AE84" s="273">
        <v>1.6997999999999999E-2</v>
      </c>
      <c r="AF84" s="273">
        <v>2.3028E-2</v>
      </c>
      <c r="AG84" s="273">
        <f t="shared" si="116"/>
        <v>3.4626625799999997E-4</v>
      </c>
      <c r="AH84" s="273">
        <f t="shared" si="104"/>
        <v>2.83797072E-4</v>
      </c>
      <c r="AI84" s="273">
        <v>1.4506E-2</v>
      </c>
      <c r="AJ84" s="273">
        <v>6.0060000000000001E-3</v>
      </c>
      <c r="AK84" s="273">
        <f t="shared" si="117"/>
        <v>2.9550172600000001E-4</v>
      </c>
      <c r="AL84" s="273">
        <f t="shared" si="105"/>
        <v>7.4017944000000002E-5</v>
      </c>
      <c r="AM84" s="273">
        <f t="shared" si="118"/>
        <v>1.9656792739999999E-3</v>
      </c>
      <c r="AN84" s="273">
        <f t="shared" si="119"/>
        <v>1.8634257720000001E-3</v>
      </c>
      <c r="AO84" s="273">
        <v>9.6493999999999996E-2</v>
      </c>
      <c r="AP84" s="273">
        <v>0.151203</v>
      </c>
      <c r="AQ84" s="273">
        <v>1.0859999999999999E-3</v>
      </c>
      <c r="AR84" s="273">
        <v>9.0300000000000005E-4</v>
      </c>
      <c r="AS84" s="273">
        <v>2.3900000000000001E-4</v>
      </c>
      <c r="AT84" s="273">
        <v>2.4399999999999999E-4</v>
      </c>
      <c r="AU84" s="273">
        <v>1.781E-3</v>
      </c>
      <c r="AV84" s="273">
        <v>9.3599999999999998E-4</v>
      </c>
      <c r="AW84" s="273">
        <v>3.1999999999999999E-5</v>
      </c>
      <c r="AX84" s="273">
        <v>1.0000000000000001E-5</v>
      </c>
      <c r="AY84" s="273">
        <v>2.5700000000000001E-4</v>
      </c>
      <c r="AZ84" s="273">
        <v>1.4999999999999999E-4</v>
      </c>
      <c r="BA84" s="273">
        <v>5.31E-4</v>
      </c>
      <c r="BB84" s="273">
        <v>9.0600000000000001E-4</v>
      </c>
      <c r="BC84" s="273">
        <v>0</v>
      </c>
      <c r="BD84" s="273">
        <v>0</v>
      </c>
      <c r="BE84" s="273">
        <v>1.1E-5</v>
      </c>
      <c r="BF84" s="273">
        <v>1.1E-5</v>
      </c>
      <c r="BG84" s="273">
        <v>1.2E-5</v>
      </c>
      <c r="BH84" s="273">
        <v>5.0000000000000004E-6</v>
      </c>
      <c r="BI84" s="273">
        <v>4.3999999999999999E-5</v>
      </c>
      <c r="BJ84" s="273">
        <v>1.8E-5</v>
      </c>
      <c r="BK84" s="273">
        <v>9.7999999999999997E-4</v>
      </c>
      <c r="BL84" s="273">
        <v>7.3899999999999997E-4</v>
      </c>
      <c r="BM84" s="273">
        <v>2.6600000000000001E-4</v>
      </c>
      <c r="BN84" s="273">
        <v>3.8400000000000001E-4</v>
      </c>
      <c r="BO84" s="273">
        <v>6.1700000000000004E-4</v>
      </c>
      <c r="BP84" s="273">
        <v>1.098E-3</v>
      </c>
      <c r="BQ84" s="273">
        <v>1.3799999999999999E-3</v>
      </c>
      <c r="BR84" s="273">
        <v>1.506E-3</v>
      </c>
      <c r="BS84" s="273">
        <v>2.2859999999999998E-3</v>
      </c>
      <c r="BT84" s="273">
        <v>9.9099999999999991E-4</v>
      </c>
      <c r="BU84" s="273">
        <v>1.4805E-2</v>
      </c>
      <c r="BV84" s="273">
        <v>1.6150999999999999E-2</v>
      </c>
      <c r="BW84" s="273">
        <v>6.010796</v>
      </c>
      <c r="BX84" s="273">
        <v>7.18154</v>
      </c>
      <c r="BY84" s="273">
        <v>1.0342610000000001</v>
      </c>
      <c r="BZ84" s="273">
        <v>0.78607300000000002</v>
      </c>
      <c r="CA84" s="273">
        <v>0.30490200000000001</v>
      </c>
      <c r="CB84" s="273">
        <v>0.20942</v>
      </c>
      <c r="CC84" s="273">
        <v>1.1972999999999999E-2</v>
      </c>
      <c r="CD84" s="273">
        <v>5.195E-3</v>
      </c>
      <c r="CE84" s="273">
        <v>7.5120999999999993E-2</v>
      </c>
      <c r="CF84" s="273">
        <v>8.1619999999999998E-2</v>
      </c>
      <c r="CG84" s="273">
        <v>9.8766999999999994E-2</v>
      </c>
      <c r="CH84" s="273">
        <v>0.100634</v>
      </c>
      <c r="CI84" s="273">
        <v>2.5645999999999999E-2</v>
      </c>
      <c r="CJ84" s="273">
        <v>1.6305E-2</v>
      </c>
      <c r="CK84" s="273">
        <v>2.0010000000000002E-3</v>
      </c>
      <c r="CL84" s="273">
        <v>1.1609999999999999E-3</v>
      </c>
      <c r="CM84" s="273">
        <v>8.822E-3</v>
      </c>
      <c r="CN84" s="273">
        <v>4.0639999999999999E-3</v>
      </c>
      <c r="CO84" s="273">
        <v>0.16333600000000001</v>
      </c>
      <c r="CP84" s="273">
        <v>0.16439400000000001</v>
      </c>
      <c r="CQ84" s="273">
        <v>2.3633999999999999E-2</v>
      </c>
      <c r="CR84" s="273">
        <v>1.2614E-2</v>
      </c>
      <c r="CS84" s="273">
        <v>3.6977999999999997E-2</v>
      </c>
      <c r="CT84" s="273">
        <v>5.6519E-2</v>
      </c>
      <c r="CU84" s="273">
        <f t="shared" si="120"/>
        <v>8.7393805199999989E-4</v>
      </c>
      <c r="CV84" s="273">
        <f t="shared" si="106"/>
        <v>7.1293066600000001E-4</v>
      </c>
      <c r="CW84" s="273">
        <v>1.0468E-2</v>
      </c>
      <c r="CX84" s="273">
        <v>6.5245999999999998E-2</v>
      </c>
      <c r="CY84" s="273">
        <f t="shared" si="121"/>
        <v>2.4740071199999997E-4</v>
      </c>
      <c r="CZ84" s="273">
        <f t="shared" si="107"/>
        <v>8.2301304399999998E-4</v>
      </c>
      <c r="DA84" s="273">
        <v>1.4400000000000001E-3</v>
      </c>
      <c r="DB84" s="273">
        <v>9.6199999999999996E-4</v>
      </c>
      <c r="DC84" s="273">
        <f t="shared" si="122"/>
        <v>2.2512661236000001E-2</v>
      </c>
      <c r="DD84" s="273">
        <f t="shared" si="108"/>
        <v>1.1078056289999999E-2</v>
      </c>
      <c r="DE84" s="273">
        <v>2.6200000000000003E-4</v>
      </c>
      <c r="DF84" s="273">
        <v>1.9100000000000001E-4</v>
      </c>
      <c r="DG84" s="273">
        <f t="shared" si="123"/>
        <v>2.8233387640000003E-3</v>
      </c>
      <c r="DH84" s="273">
        <f t="shared" si="109"/>
        <v>2.6889437099999998E-3</v>
      </c>
      <c r="DI84" s="273">
        <v>3.774E-3</v>
      </c>
      <c r="DJ84" s="273">
        <v>2.1840000000000002E-3</v>
      </c>
      <c r="DK84" s="273">
        <v>2.0739999999999999E-3</v>
      </c>
      <c r="DL84" s="273">
        <v>1.0349999999999999E-3</v>
      </c>
      <c r="DM84" s="273">
        <f t="shared" si="124"/>
        <v>5.8479999999999999E-3</v>
      </c>
      <c r="DN84" s="273">
        <f t="shared" si="110"/>
        <v>3.2190000000000001E-3</v>
      </c>
      <c r="DO84" s="273">
        <v>3.6289999999999998E-3</v>
      </c>
      <c r="DP84" s="273">
        <v>2.9269999999999999E-3</v>
      </c>
      <c r="DQ84" s="273">
        <v>1.635E-3</v>
      </c>
      <c r="DR84" s="273">
        <v>2.787E-3</v>
      </c>
      <c r="DS84" s="273">
        <v>3.8240000000000003E-2</v>
      </c>
      <c r="DT84" s="273">
        <v>6.4907000000000006E-2</v>
      </c>
      <c r="DU84" s="273">
        <v>1.4035000000000001E-2</v>
      </c>
      <c r="DV84" s="273">
        <v>2.8024E-2</v>
      </c>
      <c r="DW84" s="273">
        <v>4.0188000000000001E-2</v>
      </c>
      <c r="DX84" s="273">
        <v>4.0188000000000001E-2</v>
      </c>
      <c r="DY84" s="273">
        <v>1.2912429999999999</v>
      </c>
      <c r="DZ84" s="273">
        <v>1.1034139999999999</v>
      </c>
      <c r="EA84" s="273">
        <v>9.4750000000000008E-3</v>
      </c>
      <c r="EB84" s="273">
        <v>1.2333E-2</v>
      </c>
      <c r="EC84" s="273">
        <v>6.7749999999999998E-3</v>
      </c>
      <c r="ED84" s="273">
        <v>5.0819999999999997E-3</v>
      </c>
      <c r="EE84" s="273"/>
      <c r="EF84" s="274"/>
    </row>
    <row r="85" spans="2:136" s="249" customFormat="1" ht="17.399999999999999">
      <c r="B85" s="286">
        <v>78</v>
      </c>
      <c r="C85" s="273">
        <v>1.2956000000000001E-2</v>
      </c>
      <c r="D85" s="273">
        <v>1.2375000000000001E-2</v>
      </c>
      <c r="E85" s="273">
        <v>2.1700000000000002E-4</v>
      </c>
      <c r="F85" s="273">
        <v>9.3999999999999994E-5</v>
      </c>
      <c r="G85" s="273">
        <v>2.5295999999999999E-2</v>
      </c>
      <c r="H85" s="273">
        <v>1.3884000000000001E-2</v>
      </c>
      <c r="I85" s="273">
        <v>1.3173000000000001E-2</v>
      </c>
      <c r="J85" s="273">
        <v>1.2469000000000001E-2</v>
      </c>
      <c r="K85" s="273">
        <v>5.0100000000000003E-4</v>
      </c>
      <c r="L85" s="273">
        <v>7.8399999999999997E-4</v>
      </c>
      <c r="M85" s="273">
        <f t="shared" si="111"/>
        <v>1.5701667114000003E-2</v>
      </c>
      <c r="N85" s="273">
        <f t="shared" si="101"/>
        <v>9.7073569320000001E-3</v>
      </c>
      <c r="O85" s="273">
        <f t="shared" si="112"/>
        <v>3.9096409379999995E-3</v>
      </c>
      <c r="P85" s="273">
        <f t="shared" si="113"/>
        <v>1.2429558960000001E-3</v>
      </c>
      <c r="Q85" s="273">
        <v>2.1125999999999999E-2</v>
      </c>
      <c r="R85" s="273">
        <v>1.2684000000000001E-2</v>
      </c>
      <c r="S85" s="273">
        <v>1.1230000000000001E-3</v>
      </c>
      <c r="T85" s="273">
        <v>9.7993999999999998E-2</v>
      </c>
      <c r="U85" s="273">
        <v>0.18506300000000001</v>
      </c>
      <c r="V85" s="273">
        <v>0</v>
      </c>
      <c r="W85" s="273">
        <v>3.2461999999999998E-2</v>
      </c>
      <c r="X85" s="273">
        <v>6.0981E-2</v>
      </c>
      <c r="Y85" s="273">
        <f t="shared" si="114"/>
        <v>6.8579221199999987E-4</v>
      </c>
      <c r="Z85" s="273">
        <f t="shared" si="102"/>
        <v>7.7348300400000003E-4</v>
      </c>
      <c r="AA85" s="273">
        <v>7.1370000000000001E-3</v>
      </c>
      <c r="AB85" s="273">
        <v>4.5899000000000002E-2</v>
      </c>
      <c r="AC85" s="273">
        <f t="shared" si="115"/>
        <v>1.5077626199999999E-4</v>
      </c>
      <c r="AD85" s="273">
        <f t="shared" si="103"/>
        <v>5.8218291600000002E-4</v>
      </c>
      <c r="AE85" s="273">
        <v>1.7145000000000001E-2</v>
      </c>
      <c r="AF85" s="273">
        <v>2.3637999999999999E-2</v>
      </c>
      <c r="AG85" s="273">
        <f t="shared" si="116"/>
        <v>3.6220527E-4</v>
      </c>
      <c r="AH85" s="273">
        <f t="shared" si="104"/>
        <v>2.9982439200000003E-4</v>
      </c>
      <c r="AI85" s="273">
        <v>1.4954E-2</v>
      </c>
      <c r="AJ85" s="273">
        <v>6.1650000000000003E-3</v>
      </c>
      <c r="AK85" s="273">
        <f t="shared" si="117"/>
        <v>3.1591820399999999E-4</v>
      </c>
      <c r="AL85" s="273">
        <f t="shared" si="105"/>
        <v>7.8196860000000014E-5</v>
      </c>
      <c r="AM85" s="273">
        <f t="shared" si="118"/>
        <v>2.055369666E-3</v>
      </c>
      <c r="AN85" s="273">
        <f t="shared" si="119"/>
        <v>1.912772568E-3</v>
      </c>
      <c r="AO85" s="273">
        <v>9.7291000000000002E-2</v>
      </c>
      <c r="AP85" s="273">
        <v>0.15080199999999999</v>
      </c>
      <c r="AQ85" s="273">
        <v>1.0740000000000001E-3</v>
      </c>
      <c r="AR85" s="273">
        <v>8.7600000000000004E-4</v>
      </c>
      <c r="AS85" s="273">
        <v>2.4499999999999999E-4</v>
      </c>
      <c r="AT85" s="273">
        <v>2.5000000000000001E-4</v>
      </c>
      <c r="AU85" s="273">
        <v>1.781E-3</v>
      </c>
      <c r="AV85" s="273">
        <v>9.3599999999999998E-4</v>
      </c>
      <c r="AW85" s="273">
        <v>3.1999999999999999E-5</v>
      </c>
      <c r="AX85" s="273">
        <v>1.1E-5</v>
      </c>
      <c r="AY85" s="273">
        <v>2.7700000000000001E-4</v>
      </c>
      <c r="AZ85" s="273">
        <v>1.54E-4</v>
      </c>
      <c r="BA85" s="273">
        <v>5.3300000000000005E-4</v>
      </c>
      <c r="BB85" s="273">
        <v>8.9400000000000005E-4</v>
      </c>
      <c r="BC85" s="273">
        <v>0</v>
      </c>
      <c r="BD85" s="273">
        <v>0</v>
      </c>
      <c r="BE85" s="273">
        <v>1.2E-5</v>
      </c>
      <c r="BF85" s="273">
        <v>1.2E-5</v>
      </c>
      <c r="BG85" s="273">
        <v>1.2E-5</v>
      </c>
      <c r="BH85" s="273">
        <v>5.0000000000000004E-6</v>
      </c>
      <c r="BI85" s="273">
        <v>4.3999999999999999E-5</v>
      </c>
      <c r="BJ85" s="273">
        <v>1.8E-5</v>
      </c>
      <c r="BK85" s="273">
        <v>9.1200000000000005E-4</v>
      </c>
      <c r="BL85" s="273">
        <v>6.6200000000000005E-4</v>
      </c>
      <c r="BM85" s="273">
        <v>2.61E-4</v>
      </c>
      <c r="BN85" s="273">
        <v>3.7500000000000001E-4</v>
      </c>
      <c r="BO85" s="273">
        <v>6.29E-4</v>
      </c>
      <c r="BP85" s="273">
        <v>1.1329999999999999E-3</v>
      </c>
      <c r="BQ85" s="273">
        <v>1.4580000000000001E-3</v>
      </c>
      <c r="BR85" s="273">
        <v>1.5740000000000001E-3</v>
      </c>
      <c r="BS85" s="273">
        <v>2.3410000000000002E-3</v>
      </c>
      <c r="BT85" s="273">
        <v>1.073E-3</v>
      </c>
      <c r="BU85" s="273">
        <v>1.5664999999999998E-2</v>
      </c>
      <c r="BV85" s="273">
        <v>1.6898E-2</v>
      </c>
      <c r="BW85" s="273">
        <v>6.4226869999999998</v>
      </c>
      <c r="BX85" s="273">
        <v>7.7839640000000001</v>
      </c>
      <c r="BY85" s="273">
        <v>1.0469010000000001</v>
      </c>
      <c r="BZ85" s="273">
        <v>0.80221399999999998</v>
      </c>
      <c r="CA85" s="273">
        <v>0.322517</v>
      </c>
      <c r="CB85" s="273">
        <v>0.23229</v>
      </c>
      <c r="CC85" s="273">
        <v>1.2272999999999999E-2</v>
      </c>
      <c r="CD85" s="273">
        <v>5.6319999999999999E-3</v>
      </c>
      <c r="CE85" s="273">
        <v>7.3776999999999995E-2</v>
      </c>
      <c r="CF85" s="273">
        <v>7.9695000000000002E-2</v>
      </c>
      <c r="CG85" s="273">
        <v>9.6999000000000002E-2</v>
      </c>
      <c r="CH85" s="273">
        <v>9.826E-2</v>
      </c>
      <c r="CI85" s="273">
        <v>2.5187999999999999E-2</v>
      </c>
      <c r="CJ85" s="273">
        <v>1.592E-2</v>
      </c>
      <c r="CK85" s="273">
        <v>1.9650000000000002E-3</v>
      </c>
      <c r="CL85" s="273">
        <v>1.134E-3</v>
      </c>
      <c r="CM85" s="273">
        <v>8.6639999999999998E-3</v>
      </c>
      <c r="CN85" s="273">
        <v>3.9680000000000002E-3</v>
      </c>
      <c r="CO85" s="273">
        <v>0.160413</v>
      </c>
      <c r="CP85" s="273">
        <v>0.16051599999999999</v>
      </c>
      <c r="CQ85" s="273">
        <v>2.3916E-2</v>
      </c>
      <c r="CR85" s="273">
        <v>1.2789999999999999E-2</v>
      </c>
      <c r="CS85" s="273">
        <v>4.4198000000000001E-2</v>
      </c>
      <c r="CT85" s="273">
        <v>7.4956999999999996E-2</v>
      </c>
      <c r="CU85" s="273">
        <f t="shared" si="120"/>
        <v>1.0570393680000001E-3</v>
      </c>
      <c r="CV85" s="273">
        <f t="shared" si="106"/>
        <v>9.5870002999999993E-4</v>
      </c>
      <c r="CW85" s="273">
        <v>9.6030000000000004E-3</v>
      </c>
      <c r="CX85" s="273">
        <v>5.7814999999999998E-2</v>
      </c>
      <c r="CY85" s="273">
        <f t="shared" si="121"/>
        <v>2.2966534800000001E-4</v>
      </c>
      <c r="CZ85" s="273">
        <f t="shared" si="107"/>
        <v>7.3945384999999991E-4</v>
      </c>
      <c r="DA85" s="273">
        <v>1.449E-3</v>
      </c>
      <c r="DB85" s="273">
        <v>9.3099999999999997E-4</v>
      </c>
      <c r="DC85" s="273">
        <f t="shared" si="122"/>
        <v>2.2629295283999998E-2</v>
      </c>
      <c r="DD85" s="273">
        <f t="shared" si="108"/>
        <v>1.1091846119999998E-2</v>
      </c>
      <c r="DE85" s="273">
        <v>2.5700000000000001E-4</v>
      </c>
      <c r="DF85" s="273">
        <v>1.8100000000000001E-4</v>
      </c>
      <c r="DG85" s="273">
        <f t="shared" si="123"/>
        <v>2.9927047159999999E-3</v>
      </c>
      <c r="DH85" s="273">
        <f t="shared" si="109"/>
        <v>2.8101538800000001E-3</v>
      </c>
      <c r="DI85" s="273">
        <v>3.7060000000000001E-3</v>
      </c>
      <c r="DJ85" s="273">
        <v>2.1320000000000002E-3</v>
      </c>
      <c r="DK85" s="273">
        <v>2.176E-3</v>
      </c>
      <c r="DL85" s="273">
        <v>9.68E-4</v>
      </c>
      <c r="DM85" s="273">
        <f t="shared" si="124"/>
        <v>5.8820000000000001E-3</v>
      </c>
      <c r="DN85" s="273">
        <f t="shared" si="110"/>
        <v>3.1000000000000003E-3</v>
      </c>
      <c r="DO85" s="273">
        <v>2.9629999999999999E-3</v>
      </c>
      <c r="DP85" s="273">
        <v>2.3939999999999999E-3</v>
      </c>
      <c r="DQ85" s="273">
        <v>1.635E-3</v>
      </c>
      <c r="DR85" s="273">
        <v>2.787E-3</v>
      </c>
      <c r="DS85" s="273">
        <v>4.045E-2</v>
      </c>
      <c r="DT85" s="273">
        <v>6.7938999999999999E-2</v>
      </c>
      <c r="DU85" s="273">
        <v>1.5415999999999999E-2</v>
      </c>
      <c r="DV85" s="273">
        <v>3.0224999999999998E-2</v>
      </c>
      <c r="DW85" s="273">
        <v>4.0188000000000001E-2</v>
      </c>
      <c r="DX85" s="273">
        <v>4.0188000000000001E-2</v>
      </c>
      <c r="DY85" s="273">
        <v>1.455274</v>
      </c>
      <c r="DZ85" s="273">
        <v>1.205179</v>
      </c>
      <c r="EA85" s="273">
        <v>1.1119E-2</v>
      </c>
      <c r="EB85" s="273">
        <v>1.2460000000000001E-2</v>
      </c>
      <c r="EC85" s="273">
        <v>5.679E-3</v>
      </c>
      <c r="ED85" s="273">
        <v>5.0080000000000003E-3</v>
      </c>
      <c r="EE85" s="273"/>
      <c r="EF85" s="274"/>
    </row>
    <row r="86" spans="2:136" s="249" customFormat="1" ht="17.399999999999999">
      <c r="B86" s="286">
        <v>79</v>
      </c>
      <c r="C86" s="273">
        <v>1.5481999999999999E-2</v>
      </c>
      <c r="D86" s="273">
        <v>1.247E-2</v>
      </c>
      <c r="E86" s="273">
        <v>2.1700000000000002E-4</v>
      </c>
      <c r="F86" s="273">
        <v>9.3999999999999994E-5</v>
      </c>
      <c r="G86" s="273">
        <v>2.8386999999999999E-2</v>
      </c>
      <c r="H86" s="273">
        <v>1.6324999999999999E-2</v>
      </c>
      <c r="I86" s="273">
        <v>1.5698999999999998E-2</v>
      </c>
      <c r="J86" s="273">
        <v>1.2564000000000001E-2</v>
      </c>
      <c r="K86" s="273">
        <v>5.0100000000000003E-4</v>
      </c>
      <c r="L86" s="273">
        <v>7.8399999999999997E-4</v>
      </c>
      <c r="M86" s="273">
        <f t="shared" si="111"/>
        <v>1.667334262E-2</v>
      </c>
      <c r="N86" s="273">
        <f t="shared" si="101"/>
        <v>1.0065860495999999E-2</v>
      </c>
      <c r="O86" s="273">
        <f t="shared" si="112"/>
        <v>4.0326184499999999E-3</v>
      </c>
      <c r="P86" s="273">
        <f t="shared" si="113"/>
        <v>1.1819705219999999E-3</v>
      </c>
      <c r="Q86" s="273">
        <v>2.2355E-2</v>
      </c>
      <c r="R86" s="273">
        <v>1.3014E-2</v>
      </c>
      <c r="S86" s="273">
        <v>1.1360000000000001E-3</v>
      </c>
      <c r="T86" s="273">
        <v>9.0823000000000001E-2</v>
      </c>
      <c r="U86" s="273">
        <v>0.18038999999999999</v>
      </c>
      <c r="V86" s="273">
        <v>0</v>
      </c>
      <c r="W86" s="273">
        <v>3.4486999999999997E-2</v>
      </c>
      <c r="X86" s="273">
        <v>6.4417000000000002E-2</v>
      </c>
      <c r="Y86" s="273">
        <f t="shared" si="114"/>
        <v>7.7095688499999987E-4</v>
      </c>
      <c r="Z86" s="273">
        <f t="shared" si="102"/>
        <v>8.3832283799999997E-4</v>
      </c>
      <c r="AA86" s="273">
        <v>6.5849999999999997E-3</v>
      </c>
      <c r="AB86" s="273">
        <v>4.0724000000000003E-2</v>
      </c>
      <c r="AC86" s="273">
        <f t="shared" si="115"/>
        <v>1.4720767499999999E-4</v>
      </c>
      <c r="AD86" s="273">
        <f t="shared" si="103"/>
        <v>5.2998213600000002E-4</v>
      </c>
      <c r="AE86" s="273">
        <v>1.7291999999999998E-2</v>
      </c>
      <c r="AF86" s="273">
        <v>2.4247999999999999E-2</v>
      </c>
      <c r="AG86" s="273">
        <f t="shared" si="116"/>
        <v>3.8656265999999998E-4</v>
      </c>
      <c r="AH86" s="273">
        <f t="shared" si="104"/>
        <v>3.15563472E-4</v>
      </c>
      <c r="AI86" s="273">
        <v>1.5402000000000001E-2</v>
      </c>
      <c r="AJ86" s="273">
        <v>6.3239999999999998E-3</v>
      </c>
      <c r="AK86" s="273">
        <f t="shared" si="117"/>
        <v>3.4431171000000001E-4</v>
      </c>
      <c r="AL86" s="273">
        <f t="shared" si="105"/>
        <v>8.2300535999999994E-5</v>
      </c>
      <c r="AM86" s="273">
        <f t="shared" si="118"/>
        <v>2.1927572399999999E-3</v>
      </c>
      <c r="AN86" s="273">
        <f t="shared" si="119"/>
        <v>1.9573186140000001E-3</v>
      </c>
      <c r="AO86" s="273">
        <v>9.8087999999999995E-2</v>
      </c>
      <c r="AP86" s="273">
        <v>0.15040100000000001</v>
      </c>
      <c r="AQ86" s="273">
        <v>1.062E-3</v>
      </c>
      <c r="AR86" s="273">
        <v>8.4900000000000004E-4</v>
      </c>
      <c r="AS86" s="273">
        <v>2.52E-4</v>
      </c>
      <c r="AT86" s="273">
        <v>2.5700000000000001E-4</v>
      </c>
      <c r="AU86" s="273">
        <v>1.781E-3</v>
      </c>
      <c r="AV86" s="273">
        <v>9.3599999999999998E-4</v>
      </c>
      <c r="AW86" s="273">
        <v>2.9E-5</v>
      </c>
      <c r="AX86" s="273">
        <v>1.1E-5</v>
      </c>
      <c r="AY86" s="273">
        <v>2.9700000000000001E-4</v>
      </c>
      <c r="AZ86" s="273">
        <v>1.5699999999999999E-4</v>
      </c>
      <c r="BA86" s="273">
        <v>5.2899999999999996E-4</v>
      </c>
      <c r="BB86" s="273">
        <v>8.7500000000000002E-4</v>
      </c>
      <c r="BC86" s="273">
        <v>0</v>
      </c>
      <c r="BD86" s="273">
        <v>0</v>
      </c>
      <c r="BE86" s="273">
        <v>1.2999999999999999E-5</v>
      </c>
      <c r="BF86" s="273">
        <v>1.2E-5</v>
      </c>
      <c r="BG86" s="273">
        <v>1.2E-5</v>
      </c>
      <c r="BH86" s="273">
        <v>5.0000000000000004E-6</v>
      </c>
      <c r="BI86" s="273">
        <v>4.3999999999999999E-5</v>
      </c>
      <c r="BJ86" s="273">
        <v>1.8E-5</v>
      </c>
      <c r="BK86" s="273">
        <v>8.4800000000000001E-4</v>
      </c>
      <c r="BL86" s="273">
        <v>5.6499999999999996E-4</v>
      </c>
      <c r="BM86" s="273">
        <v>2.5799999999999998E-4</v>
      </c>
      <c r="BN86" s="273">
        <v>3.6499999999999998E-4</v>
      </c>
      <c r="BO86" s="273">
        <v>6.4000000000000005E-4</v>
      </c>
      <c r="BP86" s="273">
        <v>1.1720000000000001E-3</v>
      </c>
      <c r="BQ86" s="273">
        <v>1.523E-3</v>
      </c>
      <c r="BR86" s="273">
        <v>1.6280000000000001E-3</v>
      </c>
      <c r="BS86" s="273">
        <v>2.3900000000000002E-3</v>
      </c>
      <c r="BT86" s="273">
        <v>1.1440000000000001E-3</v>
      </c>
      <c r="BU86" s="273">
        <v>1.6392E-2</v>
      </c>
      <c r="BV86" s="273">
        <v>1.7509E-2</v>
      </c>
      <c r="BW86" s="273">
        <v>6.8695240000000002</v>
      </c>
      <c r="BX86" s="273">
        <v>8.5093610000000002</v>
      </c>
      <c r="BY86" s="273">
        <v>1.0513999999999999</v>
      </c>
      <c r="BZ86" s="273">
        <v>0.817828</v>
      </c>
      <c r="CA86" s="273">
        <v>0.340584</v>
      </c>
      <c r="CB86" s="273">
        <v>0.25972899999999999</v>
      </c>
      <c r="CC86" s="273">
        <v>1.2534999999999999E-2</v>
      </c>
      <c r="CD86" s="273">
        <v>6.0179999999999999E-3</v>
      </c>
      <c r="CE86" s="273">
        <v>7.2790999999999995E-2</v>
      </c>
      <c r="CF86" s="273">
        <v>7.7748999999999999E-2</v>
      </c>
      <c r="CG86" s="273">
        <v>9.5703999999999997E-2</v>
      </c>
      <c r="CH86" s="273">
        <v>9.5861000000000002E-2</v>
      </c>
      <c r="CI86" s="273">
        <v>2.4851000000000002E-2</v>
      </c>
      <c r="CJ86" s="273">
        <v>1.5531E-2</v>
      </c>
      <c r="CK86" s="273">
        <v>1.9380000000000001E-3</v>
      </c>
      <c r="CL86" s="273">
        <v>1.106E-3</v>
      </c>
      <c r="CM86" s="273">
        <v>8.548E-3</v>
      </c>
      <c r="CN86" s="273">
        <v>3.8709999999999999E-3</v>
      </c>
      <c r="CO86" s="273">
        <v>0.15826999999999999</v>
      </c>
      <c r="CP86" s="273">
        <v>0.15659600000000001</v>
      </c>
      <c r="CQ86" s="273">
        <v>2.4192999999999999E-2</v>
      </c>
      <c r="CR86" s="273">
        <v>1.2878000000000001E-2</v>
      </c>
      <c r="CS86" s="273">
        <v>5.1423000000000003E-2</v>
      </c>
      <c r="CT86" s="273">
        <v>9.3529000000000001E-2</v>
      </c>
      <c r="CU86" s="273">
        <f t="shared" si="120"/>
        <v>1.244076639E-3</v>
      </c>
      <c r="CV86" s="273">
        <f t="shared" si="106"/>
        <v>1.2044664620000001E-3</v>
      </c>
      <c r="CW86" s="273">
        <v>8.7379999999999992E-3</v>
      </c>
      <c r="CX86" s="273">
        <v>5.0384999999999999E-2</v>
      </c>
      <c r="CY86" s="273">
        <f t="shared" si="121"/>
        <v>2.1139843399999998E-4</v>
      </c>
      <c r="CZ86" s="273">
        <f t="shared" si="107"/>
        <v>6.4885802999999998E-4</v>
      </c>
      <c r="DA86" s="273">
        <v>1.449E-3</v>
      </c>
      <c r="DB86" s="273">
        <v>8.9700000000000001E-4</v>
      </c>
      <c r="DC86" s="273">
        <f t="shared" si="122"/>
        <v>2.2737524927E-2</v>
      </c>
      <c r="DD86" s="273">
        <f t="shared" si="108"/>
        <v>1.1024675508000001E-2</v>
      </c>
      <c r="DE86" s="273">
        <v>2.4800000000000001E-4</v>
      </c>
      <c r="DF86" s="273">
        <v>1.7100000000000001E-4</v>
      </c>
      <c r="DG86" s="273">
        <f t="shared" si="123"/>
        <v>3.1524750730000002E-3</v>
      </c>
      <c r="DH86" s="273">
        <f t="shared" si="109"/>
        <v>2.9213244920000001E-3</v>
      </c>
      <c r="DI86" s="273">
        <v>3.6570000000000001E-3</v>
      </c>
      <c r="DJ86" s="273">
        <v>2.0799999999999998E-3</v>
      </c>
      <c r="DK86" s="273">
        <v>2.2669999999999999E-3</v>
      </c>
      <c r="DL86" s="273">
        <v>9.1200000000000005E-4</v>
      </c>
      <c r="DM86" s="273">
        <f t="shared" si="124"/>
        <v>5.9240000000000004E-3</v>
      </c>
      <c r="DN86" s="273">
        <f t="shared" si="110"/>
        <v>2.9919999999999999E-3</v>
      </c>
      <c r="DO86" s="273">
        <v>2.2070000000000002E-3</v>
      </c>
      <c r="DP86" s="273">
        <v>1.789E-3</v>
      </c>
      <c r="DQ86" s="273">
        <v>1.635E-3</v>
      </c>
      <c r="DR86" s="273">
        <v>2.787E-3</v>
      </c>
      <c r="DS86" s="273">
        <v>4.3106999999999999E-2</v>
      </c>
      <c r="DT86" s="273">
        <v>7.1624999999999994E-2</v>
      </c>
      <c r="DU86" s="273">
        <v>1.6947E-2</v>
      </c>
      <c r="DV86" s="273">
        <v>3.2591000000000002E-2</v>
      </c>
      <c r="DW86" s="273">
        <v>4.0188000000000001E-2</v>
      </c>
      <c r="DX86" s="273">
        <v>4.0188000000000001E-2</v>
      </c>
      <c r="DY86" s="273">
        <v>1.642117</v>
      </c>
      <c r="DZ86" s="273">
        <v>1.3104210000000001</v>
      </c>
      <c r="EA86" s="273">
        <v>1.3084E-2</v>
      </c>
      <c r="EB86" s="273">
        <v>1.2586999999999999E-2</v>
      </c>
      <c r="EC86" s="273">
        <v>4.5830000000000003E-3</v>
      </c>
      <c r="ED86" s="273">
        <v>4.9329999999999999E-3</v>
      </c>
      <c r="EE86" s="273"/>
      <c r="EF86" s="274"/>
    </row>
    <row r="87" spans="2:136" s="249" customFormat="1" ht="17.399999999999999">
      <c r="B87" s="286">
        <v>80</v>
      </c>
      <c r="C87" s="273">
        <v>1.8494E-2</v>
      </c>
      <c r="D87" s="273">
        <v>1.2557E-2</v>
      </c>
      <c r="E87" s="273">
        <v>2.2599999999999999E-4</v>
      </c>
      <c r="F87" s="273">
        <v>1.5799999999999999E-4</v>
      </c>
      <c r="G87" s="273">
        <v>3.1599000000000002E-2</v>
      </c>
      <c r="H87" s="273">
        <v>1.8917E-2</v>
      </c>
      <c r="I87" s="273">
        <v>1.8720000000000001E-2</v>
      </c>
      <c r="J87" s="273">
        <v>1.2715000000000001E-2</v>
      </c>
      <c r="K87" s="273">
        <v>9.3400000000000004E-4</v>
      </c>
      <c r="L87" s="273">
        <v>1.6119999999999999E-3</v>
      </c>
      <c r="M87" s="273">
        <f t="shared" si="111"/>
        <v>1.7802002175000001E-2</v>
      </c>
      <c r="N87" s="273">
        <f t="shared" si="101"/>
        <v>1.041842141E-2</v>
      </c>
      <c r="O87" s="273">
        <f t="shared" si="112"/>
        <v>4.1794050600000004E-3</v>
      </c>
      <c r="P87" s="273">
        <f t="shared" si="113"/>
        <v>1.1150678300000001E-3</v>
      </c>
      <c r="Q87" s="273">
        <v>2.3785000000000001E-2</v>
      </c>
      <c r="R87" s="273">
        <v>1.333E-2</v>
      </c>
      <c r="S87" s="273">
        <v>1.1050000000000001E-3</v>
      </c>
      <c r="T87" s="273">
        <v>8.3651000000000003E-2</v>
      </c>
      <c r="U87" s="273">
        <v>0.17571600000000001</v>
      </c>
      <c r="V87" s="273">
        <v>0</v>
      </c>
      <c r="W87" s="273">
        <v>3.6505000000000003E-2</v>
      </c>
      <c r="X87" s="273">
        <v>6.7820000000000005E-2</v>
      </c>
      <c r="Y87" s="273">
        <f t="shared" si="114"/>
        <v>8.6827142500000014E-4</v>
      </c>
      <c r="Z87" s="273">
        <f t="shared" si="102"/>
        <v>9.0404060000000004E-4</v>
      </c>
      <c r="AA87" s="273">
        <v>6.0340000000000003E-3</v>
      </c>
      <c r="AB87" s="273">
        <v>3.5612999999999999E-2</v>
      </c>
      <c r="AC87" s="273">
        <f t="shared" si="115"/>
        <v>1.4351869000000001E-4</v>
      </c>
      <c r="AD87" s="273">
        <f t="shared" si="103"/>
        <v>4.7472128999999998E-4</v>
      </c>
      <c r="AE87" s="273">
        <v>1.7439E-2</v>
      </c>
      <c r="AF87" s="273">
        <v>2.4857000000000001E-2</v>
      </c>
      <c r="AG87" s="273">
        <f t="shared" si="116"/>
        <v>4.1478661499999998E-4</v>
      </c>
      <c r="AH87" s="273">
        <f t="shared" si="104"/>
        <v>3.3134381000000002E-4</v>
      </c>
      <c r="AI87" s="273">
        <v>1.5851000000000001E-2</v>
      </c>
      <c r="AJ87" s="273">
        <v>6.4819999999999999E-3</v>
      </c>
      <c r="AK87" s="273">
        <f t="shared" si="117"/>
        <v>3.7701603500000001E-4</v>
      </c>
      <c r="AL87" s="273">
        <f t="shared" si="105"/>
        <v>8.6405060000000001E-5</v>
      </c>
      <c r="AM87" s="273">
        <f t="shared" si="118"/>
        <v>2.3520035100000002E-3</v>
      </c>
      <c r="AN87" s="273">
        <f t="shared" si="119"/>
        <v>1.9994866699999999E-3</v>
      </c>
      <c r="AO87" s="273">
        <v>9.8886000000000002E-2</v>
      </c>
      <c r="AP87" s="273">
        <v>0.14999899999999999</v>
      </c>
      <c r="AQ87" s="273">
        <v>1.052E-3</v>
      </c>
      <c r="AR87" s="273">
        <v>8.2299999999999995E-4</v>
      </c>
      <c r="AS87" s="273">
        <v>2.5799999999999998E-4</v>
      </c>
      <c r="AT87" s="273">
        <v>2.63E-4</v>
      </c>
      <c r="AU87" s="273">
        <v>1.781E-3</v>
      </c>
      <c r="AV87" s="273">
        <v>9.3599999999999998E-4</v>
      </c>
      <c r="AW87" s="273">
        <v>2.5999999999999998E-5</v>
      </c>
      <c r="AX87" s="273">
        <v>1.1E-5</v>
      </c>
      <c r="AY87" s="273">
        <v>3.1599999999999998E-4</v>
      </c>
      <c r="AZ87" s="273">
        <v>1.6100000000000001E-4</v>
      </c>
      <c r="BA87" s="273">
        <v>5.2400000000000005E-4</v>
      </c>
      <c r="BB87" s="273">
        <v>8.5300000000000003E-4</v>
      </c>
      <c r="BC87" s="273">
        <v>0</v>
      </c>
      <c r="BD87" s="273">
        <v>0</v>
      </c>
      <c r="BE87" s="273">
        <v>1.4E-5</v>
      </c>
      <c r="BF87" s="273">
        <v>1.2999999999999999E-5</v>
      </c>
      <c r="BG87" s="273">
        <v>1.2E-5</v>
      </c>
      <c r="BH87" s="273">
        <v>5.0000000000000004E-6</v>
      </c>
      <c r="BI87" s="273">
        <v>4.3999999999999999E-5</v>
      </c>
      <c r="BJ87" s="273">
        <v>1.8E-5</v>
      </c>
      <c r="BK87" s="273">
        <v>7.8399999999999997E-4</v>
      </c>
      <c r="BL87" s="273">
        <v>4.6099999999999998E-4</v>
      </c>
      <c r="BM87" s="273">
        <v>2.5500000000000002E-4</v>
      </c>
      <c r="BN87" s="273">
        <v>3.5599999999999998E-4</v>
      </c>
      <c r="BO87" s="273">
        <v>6.4999999999999997E-4</v>
      </c>
      <c r="BP87" s="273">
        <v>1.2110000000000001E-3</v>
      </c>
      <c r="BQ87" s="273">
        <v>1.5969999999999999E-3</v>
      </c>
      <c r="BR87" s="273">
        <v>1.688E-3</v>
      </c>
      <c r="BS87" s="273">
        <v>2.4459999999999998E-3</v>
      </c>
      <c r="BT87" s="273">
        <v>1.2260000000000001E-3</v>
      </c>
      <c r="BU87" s="273">
        <v>1.6893999999999999E-2</v>
      </c>
      <c r="BV87" s="273">
        <v>1.7919000000000001E-2</v>
      </c>
      <c r="BW87" s="273">
        <v>7.3339150000000002</v>
      </c>
      <c r="BX87" s="273">
        <v>9.2886970000000009</v>
      </c>
      <c r="BY87" s="273">
        <v>1.054883</v>
      </c>
      <c r="BZ87" s="273">
        <v>0.83182599999999995</v>
      </c>
      <c r="CA87" s="273">
        <v>0.35857899999999998</v>
      </c>
      <c r="CB87" s="273">
        <v>0.28974299999999997</v>
      </c>
      <c r="CC87" s="273">
        <v>1.272E-2</v>
      </c>
      <c r="CD87" s="273">
        <v>6.2899999999999996E-3</v>
      </c>
      <c r="CE87" s="273">
        <v>7.1957999999999994E-2</v>
      </c>
      <c r="CF87" s="273">
        <v>7.5781000000000001E-2</v>
      </c>
      <c r="CG87" s="273">
        <v>9.4607999999999998E-2</v>
      </c>
      <c r="CH87" s="273">
        <v>9.3435000000000004E-2</v>
      </c>
      <c r="CI87" s="273">
        <v>2.4566999999999999E-2</v>
      </c>
      <c r="CJ87" s="273">
        <v>1.5138E-2</v>
      </c>
      <c r="CK87" s="273">
        <v>1.916E-3</v>
      </c>
      <c r="CL87" s="273">
        <v>1.0790000000000001E-3</v>
      </c>
      <c r="CM87" s="273">
        <v>8.4510000000000002E-3</v>
      </c>
      <c r="CN87" s="273">
        <v>3.7729999999999999E-3</v>
      </c>
      <c r="CO87" s="273">
        <v>0.15645899999999999</v>
      </c>
      <c r="CP87" s="273">
        <v>0.15263399999999999</v>
      </c>
      <c r="CQ87" s="273">
        <v>2.4464E-2</v>
      </c>
      <c r="CR87" s="273">
        <v>1.2924E-2</v>
      </c>
      <c r="CS87" s="273">
        <v>5.8637000000000002E-2</v>
      </c>
      <c r="CT87" s="273">
        <v>0.111994</v>
      </c>
      <c r="CU87" s="273">
        <f t="shared" si="120"/>
        <v>1.4344955679999999E-3</v>
      </c>
      <c r="CV87" s="273">
        <f t="shared" si="106"/>
        <v>1.447410456E-3</v>
      </c>
      <c r="CW87" s="273">
        <v>7.8729999999999998E-3</v>
      </c>
      <c r="CX87" s="273">
        <v>4.2953999999999999E-2</v>
      </c>
      <c r="CY87" s="273">
        <f t="shared" si="121"/>
        <v>1.92605072E-4</v>
      </c>
      <c r="CZ87" s="273">
        <f t="shared" si="107"/>
        <v>5.55137496E-4</v>
      </c>
      <c r="DA87" s="273">
        <v>1.436E-3</v>
      </c>
      <c r="DB87" s="273">
        <v>8.5999999999999998E-4</v>
      </c>
      <c r="DC87" s="273">
        <f t="shared" si="122"/>
        <v>2.2836899359999999E-2</v>
      </c>
      <c r="DD87" s="273">
        <f t="shared" si="108"/>
        <v>1.0921452048E-2</v>
      </c>
      <c r="DE87" s="273">
        <v>2.3499999999999999E-4</v>
      </c>
      <c r="DF87" s="273">
        <v>1.5699999999999999E-4</v>
      </c>
      <c r="DG87" s="273">
        <f t="shared" si="123"/>
        <v>3.29810064E-3</v>
      </c>
      <c r="DH87" s="273">
        <f t="shared" si="109"/>
        <v>3.0195479520000001E-3</v>
      </c>
      <c r="DI87" s="273">
        <v>3.6150000000000002E-3</v>
      </c>
      <c r="DJ87" s="273">
        <v>2.0279999999999999E-3</v>
      </c>
      <c r="DK87" s="273">
        <v>2.3609999999999998E-3</v>
      </c>
      <c r="DL87" s="273">
        <v>8.5400000000000005E-4</v>
      </c>
      <c r="DM87" s="273">
        <f t="shared" si="124"/>
        <v>5.9760000000000004E-3</v>
      </c>
      <c r="DN87" s="273">
        <f t="shared" si="110"/>
        <v>2.882E-3</v>
      </c>
      <c r="DO87" s="273">
        <v>1.297E-3</v>
      </c>
      <c r="DP87" s="273">
        <v>1.0610000000000001E-3</v>
      </c>
      <c r="DQ87" s="273">
        <v>1.635E-3</v>
      </c>
      <c r="DR87" s="273">
        <v>2.787E-3</v>
      </c>
      <c r="DS87" s="273">
        <v>4.5960000000000001E-2</v>
      </c>
      <c r="DT87" s="273">
        <v>7.5582999999999997E-2</v>
      </c>
      <c r="DU87" s="273">
        <v>1.8547999999999999E-2</v>
      </c>
      <c r="DV87" s="273">
        <v>3.5026000000000002E-2</v>
      </c>
      <c r="DW87" s="273">
        <v>4.0188000000000001E-2</v>
      </c>
      <c r="DX87" s="273">
        <v>4.0188000000000001E-2</v>
      </c>
      <c r="DY87" s="273">
        <v>1.839002</v>
      </c>
      <c r="DZ87" s="273">
        <v>1.417538</v>
      </c>
      <c r="EA87" s="273">
        <v>1.5401E-2</v>
      </c>
      <c r="EB87" s="273">
        <v>1.2677000000000001E-2</v>
      </c>
      <c r="EC87" s="273">
        <v>3.4870000000000001E-3</v>
      </c>
      <c r="ED87" s="273">
        <v>4.8589999999999996E-3</v>
      </c>
      <c r="EE87" s="273"/>
      <c r="EF87" s="274"/>
    </row>
    <row r="88" spans="2:136" s="249" customFormat="1" ht="17.399999999999999">
      <c r="B88" s="286">
        <v>81</v>
      </c>
      <c r="C88" s="273">
        <v>2.1590999999999999E-2</v>
      </c>
      <c r="D88" s="273">
        <v>1.2626E-2</v>
      </c>
      <c r="E88" s="273">
        <v>2.2599999999999999E-4</v>
      </c>
      <c r="F88" s="273">
        <v>1.5799999999999999E-4</v>
      </c>
      <c r="G88" s="273">
        <v>3.5007000000000003E-2</v>
      </c>
      <c r="H88" s="273">
        <v>2.1784999999999999E-2</v>
      </c>
      <c r="I88" s="273">
        <v>2.1817E-2</v>
      </c>
      <c r="J88" s="273">
        <v>1.2784E-2</v>
      </c>
      <c r="K88" s="273">
        <v>9.3400000000000004E-4</v>
      </c>
      <c r="L88" s="273">
        <v>1.6119999999999999E-3</v>
      </c>
      <c r="M88" s="273">
        <f t="shared" si="111"/>
        <v>1.8828898709999996E-2</v>
      </c>
      <c r="N88" s="273">
        <f t="shared" si="101"/>
        <v>1.0766619825999999E-2</v>
      </c>
      <c r="O88" s="273">
        <f t="shared" si="112"/>
        <v>4.28804801E-3</v>
      </c>
      <c r="P88" s="273">
        <f t="shared" si="113"/>
        <v>1.0427283200000002E-3</v>
      </c>
      <c r="Q88" s="273">
        <v>2.5069999999999999E-2</v>
      </c>
      <c r="R88" s="273">
        <v>1.3634E-2</v>
      </c>
      <c r="S88" s="273">
        <v>1.122E-3</v>
      </c>
      <c r="T88" s="273">
        <v>7.6480000000000006E-2</v>
      </c>
      <c r="U88" s="273">
        <v>0.171043</v>
      </c>
      <c r="V88" s="273">
        <v>0</v>
      </c>
      <c r="W88" s="273">
        <v>3.8535E-2</v>
      </c>
      <c r="X88" s="273">
        <v>7.1156999999999998E-2</v>
      </c>
      <c r="Y88" s="273">
        <f t="shared" si="114"/>
        <v>9.6607244999999994E-4</v>
      </c>
      <c r="Z88" s="273">
        <f t="shared" si="102"/>
        <v>9.70154538E-4</v>
      </c>
      <c r="AA88" s="273">
        <v>5.4840000000000002E-3</v>
      </c>
      <c r="AB88" s="273">
        <v>3.0565999999999999E-2</v>
      </c>
      <c r="AC88" s="273">
        <f t="shared" si="115"/>
        <v>1.3748387999999999E-4</v>
      </c>
      <c r="AD88" s="273">
        <f t="shared" si="103"/>
        <v>4.16736844E-4</v>
      </c>
      <c r="AE88" s="273">
        <v>1.7586000000000001E-2</v>
      </c>
      <c r="AF88" s="273">
        <v>2.5467E-2</v>
      </c>
      <c r="AG88" s="273">
        <f t="shared" si="116"/>
        <v>4.4088101999999998E-4</v>
      </c>
      <c r="AH88" s="273">
        <f t="shared" si="104"/>
        <v>3.4721707799999999E-4</v>
      </c>
      <c r="AI88" s="273">
        <v>1.6299000000000001E-2</v>
      </c>
      <c r="AJ88" s="273">
        <v>6.6410000000000002E-3</v>
      </c>
      <c r="AK88" s="273">
        <f t="shared" si="117"/>
        <v>4.0861593E-4</v>
      </c>
      <c r="AL88" s="273">
        <f t="shared" si="105"/>
        <v>9.0543394000000001E-5</v>
      </c>
      <c r="AM88" s="273">
        <f t="shared" si="118"/>
        <v>2.4990528099999997E-3</v>
      </c>
      <c r="AN88" s="273">
        <f t="shared" si="119"/>
        <v>2.0396191320000002E-3</v>
      </c>
      <c r="AO88" s="273">
        <v>9.9682999999999994E-2</v>
      </c>
      <c r="AP88" s="273">
        <v>0.14959800000000001</v>
      </c>
      <c r="AQ88" s="273">
        <v>1.044E-3</v>
      </c>
      <c r="AR88" s="273">
        <v>7.9799999999999999E-4</v>
      </c>
      <c r="AS88" s="273">
        <v>2.6499999999999999E-4</v>
      </c>
      <c r="AT88" s="273">
        <v>2.6899999999999998E-4</v>
      </c>
      <c r="AU88" s="273">
        <v>1.781E-3</v>
      </c>
      <c r="AV88" s="273">
        <v>9.3599999999999998E-4</v>
      </c>
      <c r="AW88" s="273">
        <v>2.4000000000000001E-5</v>
      </c>
      <c r="AX88" s="273">
        <v>1.1E-5</v>
      </c>
      <c r="AY88" s="273">
        <v>3.1599999999999998E-4</v>
      </c>
      <c r="AZ88" s="273">
        <v>1.6100000000000001E-4</v>
      </c>
      <c r="BA88" s="273">
        <v>5.1999999999999995E-4</v>
      </c>
      <c r="BB88" s="273">
        <v>8.25E-4</v>
      </c>
      <c r="BC88" s="273">
        <v>0</v>
      </c>
      <c r="BD88" s="273">
        <v>0</v>
      </c>
      <c r="BE88" s="273">
        <v>1.4E-5</v>
      </c>
      <c r="BF88" s="273">
        <v>1.2999999999999999E-5</v>
      </c>
      <c r="BG88" s="273">
        <v>1.2E-5</v>
      </c>
      <c r="BH88" s="273">
        <v>5.0000000000000004E-6</v>
      </c>
      <c r="BI88" s="273">
        <v>4.3999999999999999E-5</v>
      </c>
      <c r="BJ88" s="273">
        <v>1.8E-5</v>
      </c>
      <c r="BK88" s="273">
        <v>7.0500000000000001E-4</v>
      </c>
      <c r="BL88" s="273">
        <v>3.6299999999999999E-4</v>
      </c>
      <c r="BM88" s="273">
        <v>2.52E-4</v>
      </c>
      <c r="BN88" s="273">
        <v>3.4600000000000001E-4</v>
      </c>
      <c r="BO88" s="273">
        <v>6.6200000000000005E-4</v>
      </c>
      <c r="BP88" s="273">
        <v>1.2459999999999999E-3</v>
      </c>
      <c r="BQ88" s="273">
        <v>1.5969999999999999E-3</v>
      </c>
      <c r="BR88" s="273">
        <v>1.688E-3</v>
      </c>
      <c r="BS88" s="273">
        <v>2.4459999999999998E-3</v>
      </c>
      <c r="BT88" s="273">
        <v>1.2260000000000001E-3</v>
      </c>
      <c r="BU88" s="273">
        <v>1.7142999999999999E-2</v>
      </c>
      <c r="BV88" s="273">
        <v>1.8119E-2</v>
      </c>
      <c r="BW88" s="273">
        <v>7.8261589999999996</v>
      </c>
      <c r="BX88" s="273">
        <v>10.029436</v>
      </c>
      <c r="BY88" s="273">
        <v>1.061455</v>
      </c>
      <c r="BZ88" s="273">
        <v>0.84308000000000005</v>
      </c>
      <c r="CA88" s="273">
        <v>0.38316499999999998</v>
      </c>
      <c r="CB88" s="273">
        <v>0.31312099999999998</v>
      </c>
      <c r="CC88" s="273">
        <v>1.2813E-2</v>
      </c>
      <c r="CD88" s="273">
        <v>6.4270000000000004E-3</v>
      </c>
      <c r="CE88" s="273">
        <v>7.1016999999999997E-2</v>
      </c>
      <c r="CF88" s="273">
        <v>7.3649000000000006E-2</v>
      </c>
      <c r="CG88" s="273">
        <v>9.3369999999999995E-2</v>
      </c>
      <c r="CH88" s="273">
        <v>9.0806999999999999E-2</v>
      </c>
      <c r="CI88" s="273">
        <v>2.4246E-2</v>
      </c>
      <c r="CJ88" s="273">
        <v>1.4711999999999999E-2</v>
      </c>
      <c r="CK88" s="273">
        <v>1.8910000000000001E-3</v>
      </c>
      <c r="CL88" s="273">
        <v>1.0480000000000001E-3</v>
      </c>
      <c r="CM88" s="273">
        <v>8.3389999999999992E-3</v>
      </c>
      <c r="CN88" s="273">
        <v>3.6670000000000001E-3</v>
      </c>
      <c r="CO88" s="273">
        <v>0.15441099999999999</v>
      </c>
      <c r="CP88" s="273">
        <v>0.14834</v>
      </c>
      <c r="CQ88" s="273">
        <v>2.4666E-2</v>
      </c>
      <c r="CR88" s="273">
        <v>1.2926999999999999E-2</v>
      </c>
      <c r="CS88" s="273">
        <v>5.8649E-2</v>
      </c>
      <c r="CT88" s="273">
        <v>0.11193699999999999</v>
      </c>
      <c r="CU88" s="273">
        <f t="shared" si="120"/>
        <v>1.446636234E-3</v>
      </c>
      <c r="CV88" s="273">
        <f t="shared" si="106"/>
        <v>1.4470095989999997E-3</v>
      </c>
      <c r="CW88" s="273">
        <v>7.0080000000000003E-3</v>
      </c>
      <c r="CX88" s="273">
        <v>3.5522999999999999E-2</v>
      </c>
      <c r="CY88" s="273">
        <f t="shared" si="121"/>
        <v>1.7285932800000002E-4</v>
      </c>
      <c r="CZ88" s="273">
        <f t="shared" si="107"/>
        <v>4.5920582099999994E-4</v>
      </c>
      <c r="DA88" s="273">
        <v>1.4E-3</v>
      </c>
      <c r="DB88" s="273">
        <v>8.1499999999999997E-4</v>
      </c>
      <c r="DC88" s="273">
        <f t="shared" si="122"/>
        <v>2.3046504438E-2</v>
      </c>
      <c r="DD88" s="273">
        <f t="shared" si="108"/>
        <v>1.102078458E-2</v>
      </c>
      <c r="DE88" s="273">
        <v>2.3499999999999999E-4</v>
      </c>
      <c r="DF88" s="273">
        <v>1.5699999999999999E-4</v>
      </c>
      <c r="DG88" s="273">
        <f t="shared" si="123"/>
        <v>3.254495562E-3</v>
      </c>
      <c r="DH88" s="273">
        <f t="shared" si="109"/>
        <v>2.87821542E-3</v>
      </c>
      <c r="DI88" s="273">
        <v>3.568E-3</v>
      </c>
      <c r="DJ88" s="273">
        <v>1.9710000000000001E-3</v>
      </c>
      <c r="DK88" s="273">
        <v>2.3609999999999998E-3</v>
      </c>
      <c r="DL88" s="273">
        <v>8.5400000000000005E-4</v>
      </c>
      <c r="DM88" s="273">
        <f t="shared" si="124"/>
        <v>5.9290000000000002E-3</v>
      </c>
      <c r="DN88" s="273">
        <f t="shared" si="110"/>
        <v>2.8250000000000003E-3</v>
      </c>
      <c r="DO88" s="273">
        <v>1.297E-3</v>
      </c>
      <c r="DP88" s="273">
        <v>1.0610000000000001E-3</v>
      </c>
      <c r="DQ88" s="273">
        <v>1.635E-3</v>
      </c>
      <c r="DR88" s="273">
        <v>2.787E-3</v>
      </c>
      <c r="DS88" s="273">
        <v>4.8739999999999999E-2</v>
      </c>
      <c r="DT88" s="273">
        <v>7.9269000000000006E-2</v>
      </c>
      <c r="DU88" s="273">
        <v>2.0185999999999999E-2</v>
      </c>
      <c r="DV88" s="273">
        <v>3.7399000000000002E-2</v>
      </c>
      <c r="DW88" s="273">
        <v>4.0188000000000001E-2</v>
      </c>
      <c r="DX88" s="273">
        <v>4.0188000000000001E-2</v>
      </c>
      <c r="DY88" s="273">
        <v>2.033684</v>
      </c>
      <c r="DZ88" s="273">
        <v>1.52922</v>
      </c>
      <c r="EA88" s="273">
        <v>1.7211000000000001E-2</v>
      </c>
      <c r="EB88" s="273">
        <v>1.2714E-2</v>
      </c>
      <c r="EC88" s="273">
        <v>3.4870000000000001E-3</v>
      </c>
      <c r="ED88" s="273">
        <v>4.8589999999999996E-3</v>
      </c>
      <c r="EE88" s="273"/>
      <c r="EF88" s="274"/>
    </row>
    <row r="89" spans="2:136" s="249" customFormat="1" ht="17.399999999999999">
      <c r="B89" s="286">
        <v>82</v>
      </c>
      <c r="C89" s="273">
        <v>2.5309000000000002E-2</v>
      </c>
      <c r="D89" s="273">
        <v>1.3624000000000001E-2</v>
      </c>
      <c r="E89" s="273">
        <v>2.2599999999999999E-4</v>
      </c>
      <c r="F89" s="273">
        <v>1.5799999999999999E-4</v>
      </c>
      <c r="G89" s="273">
        <v>3.8837000000000003E-2</v>
      </c>
      <c r="H89" s="273">
        <v>2.5250999999999999E-2</v>
      </c>
      <c r="I89" s="273">
        <v>2.5535000000000002E-2</v>
      </c>
      <c r="J89" s="273">
        <v>1.3782000000000001E-2</v>
      </c>
      <c r="K89" s="273">
        <v>9.3400000000000004E-4</v>
      </c>
      <c r="L89" s="273">
        <v>1.6119999999999999E-3</v>
      </c>
      <c r="M89" s="273">
        <f t="shared" si="111"/>
        <v>1.9592821029E-2</v>
      </c>
      <c r="N89" s="273">
        <f t="shared" si="101"/>
        <v>1.1097607058999998E-2</v>
      </c>
      <c r="O89" s="273">
        <f t="shared" si="112"/>
        <v>4.3251208899999999E-3</v>
      </c>
      <c r="P89" s="273">
        <f t="shared" si="113"/>
        <v>9.6428220399999995E-4</v>
      </c>
      <c r="Q89" s="273">
        <v>2.5996999999999999E-2</v>
      </c>
      <c r="R89" s="273">
        <v>1.3913E-2</v>
      </c>
      <c r="S89" s="273">
        <v>1.1019999999999999E-3</v>
      </c>
      <c r="T89" s="273">
        <v>6.9307999999999995E-2</v>
      </c>
      <c r="U89" s="273">
        <v>0.16636999999999999</v>
      </c>
      <c r="V89" s="273">
        <v>0</v>
      </c>
      <c r="W89" s="273">
        <v>4.0557999999999997E-2</v>
      </c>
      <c r="X89" s="273">
        <v>7.4588000000000002E-2</v>
      </c>
      <c r="Y89" s="273">
        <f t="shared" si="114"/>
        <v>1.0543863259999998E-3</v>
      </c>
      <c r="Z89" s="273">
        <f t="shared" si="102"/>
        <v>1.037742844E-3</v>
      </c>
      <c r="AA89" s="273">
        <v>4.9350000000000002E-3</v>
      </c>
      <c r="AB89" s="273">
        <v>2.5583999999999999E-2</v>
      </c>
      <c r="AC89" s="273">
        <f t="shared" si="115"/>
        <v>1.2829519500000001E-4</v>
      </c>
      <c r="AD89" s="273">
        <f t="shared" si="103"/>
        <v>3.55950192E-4</v>
      </c>
      <c r="AE89" s="273">
        <v>1.7732999999999999E-2</v>
      </c>
      <c r="AF89" s="273">
        <v>2.6076999999999999E-2</v>
      </c>
      <c r="AG89" s="273">
        <f t="shared" si="116"/>
        <v>4.6100480099999994E-4</v>
      </c>
      <c r="AH89" s="273">
        <f t="shared" si="104"/>
        <v>3.6280930100000001E-4</v>
      </c>
      <c r="AI89" s="273">
        <v>1.6747000000000001E-2</v>
      </c>
      <c r="AJ89" s="273">
        <v>6.7999999999999996E-3</v>
      </c>
      <c r="AK89" s="273">
        <f t="shared" si="117"/>
        <v>4.3537175900000005E-4</v>
      </c>
      <c r="AL89" s="273">
        <f t="shared" si="105"/>
        <v>9.46084E-5</v>
      </c>
      <c r="AM89" s="273">
        <f t="shared" si="118"/>
        <v>2.6121785600000001E-3</v>
      </c>
      <c r="AN89" s="273">
        <f t="shared" si="119"/>
        <v>2.075777861E-3</v>
      </c>
      <c r="AO89" s="273">
        <v>0.10048</v>
      </c>
      <c r="AP89" s="273">
        <v>0.149197</v>
      </c>
      <c r="AQ89" s="273">
        <v>1.036E-3</v>
      </c>
      <c r="AR89" s="273">
        <v>7.7399999999999995E-4</v>
      </c>
      <c r="AS89" s="273">
        <v>2.6899999999999998E-4</v>
      </c>
      <c r="AT89" s="273">
        <v>2.7399999999999999E-4</v>
      </c>
      <c r="AU89" s="273">
        <v>1.781E-3</v>
      </c>
      <c r="AV89" s="273">
        <v>9.3599999999999998E-4</v>
      </c>
      <c r="AW89" s="273">
        <v>2.4000000000000001E-5</v>
      </c>
      <c r="AX89" s="273">
        <v>1.0000000000000001E-5</v>
      </c>
      <c r="AY89" s="273">
        <v>3.1599999999999998E-4</v>
      </c>
      <c r="AZ89" s="273">
        <v>1.6100000000000001E-4</v>
      </c>
      <c r="BA89" s="273">
        <v>5.22E-4</v>
      </c>
      <c r="BB89" s="273">
        <v>7.7999999999999999E-4</v>
      </c>
      <c r="BC89" s="273">
        <v>0</v>
      </c>
      <c r="BD89" s="273">
        <v>0</v>
      </c>
      <c r="BE89" s="273">
        <v>1.4E-5</v>
      </c>
      <c r="BF89" s="273">
        <v>1.2999999999999999E-5</v>
      </c>
      <c r="BG89" s="273">
        <v>1.2E-5</v>
      </c>
      <c r="BH89" s="273">
        <v>5.0000000000000004E-6</v>
      </c>
      <c r="BI89" s="273">
        <v>4.3999999999999999E-5</v>
      </c>
      <c r="BJ89" s="273">
        <v>1.8E-5</v>
      </c>
      <c r="BK89" s="273">
        <v>5.8799999999999998E-4</v>
      </c>
      <c r="BL89" s="273">
        <v>2.7999999999999998E-4</v>
      </c>
      <c r="BM89" s="273">
        <v>2.4699999999999999E-4</v>
      </c>
      <c r="BN89" s="273">
        <v>3.3399999999999999E-4</v>
      </c>
      <c r="BO89" s="273">
        <v>6.7400000000000001E-4</v>
      </c>
      <c r="BP89" s="273">
        <v>1.274E-3</v>
      </c>
      <c r="BQ89" s="273">
        <v>1.5969999999999999E-3</v>
      </c>
      <c r="BR89" s="273">
        <v>1.688E-3</v>
      </c>
      <c r="BS89" s="273">
        <v>2.4459999999999998E-3</v>
      </c>
      <c r="BT89" s="273">
        <v>1.2260000000000001E-3</v>
      </c>
      <c r="BU89" s="273">
        <v>1.7195999999999999E-2</v>
      </c>
      <c r="BV89" s="273">
        <v>1.8159999999999999E-2</v>
      </c>
      <c r="BW89" s="273">
        <v>8.3785720000000001</v>
      </c>
      <c r="BX89" s="273">
        <v>10.671987</v>
      </c>
      <c r="BY89" s="273">
        <v>1.0693820000000001</v>
      </c>
      <c r="BZ89" s="273">
        <v>0.84800500000000001</v>
      </c>
      <c r="CA89" s="273">
        <v>0.41128999999999999</v>
      </c>
      <c r="CB89" s="273">
        <v>0.33343499999999998</v>
      </c>
      <c r="CC89" s="273">
        <v>1.2833000000000001E-2</v>
      </c>
      <c r="CD89" s="273">
        <v>6.4570000000000001E-3</v>
      </c>
      <c r="CE89" s="273">
        <v>6.9808999999999996E-2</v>
      </c>
      <c r="CF89" s="273">
        <v>7.1150000000000005E-2</v>
      </c>
      <c r="CG89" s="273">
        <v>9.1783000000000003E-2</v>
      </c>
      <c r="CH89" s="273">
        <v>8.7725999999999998E-2</v>
      </c>
      <c r="CI89" s="273">
        <v>2.3833E-2</v>
      </c>
      <c r="CJ89" s="273">
        <v>1.4213999999999999E-2</v>
      </c>
      <c r="CK89" s="273">
        <v>1.859E-3</v>
      </c>
      <c r="CL89" s="273">
        <v>1.0120000000000001E-3</v>
      </c>
      <c r="CM89" s="273">
        <v>8.1980000000000004E-3</v>
      </c>
      <c r="CN89" s="273">
        <v>3.5430000000000001E-3</v>
      </c>
      <c r="CO89" s="273">
        <v>0.151786</v>
      </c>
      <c r="CP89" s="273">
        <v>0.14330699999999999</v>
      </c>
      <c r="CQ89" s="273">
        <v>2.4716999999999999E-2</v>
      </c>
      <c r="CR89" s="273">
        <v>1.2843E-2</v>
      </c>
      <c r="CS89" s="273">
        <v>5.8639999999999998E-2</v>
      </c>
      <c r="CT89" s="273">
        <v>0.111952</v>
      </c>
      <c r="CU89" s="273">
        <f t="shared" si="120"/>
        <v>1.44940488E-3</v>
      </c>
      <c r="CV89" s="273">
        <f t="shared" si="106"/>
        <v>1.437799536E-3</v>
      </c>
      <c r="CW89" s="273">
        <v>6.1419999999999999E-3</v>
      </c>
      <c r="CX89" s="273">
        <v>2.8093E-2</v>
      </c>
      <c r="CY89" s="273">
        <f t="shared" si="121"/>
        <v>1.5181181399999999E-4</v>
      </c>
      <c r="CZ89" s="273">
        <f t="shared" si="107"/>
        <v>3.6079839899999999E-4</v>
      </c>
      <c r="DA89" s="273">
        <v>1.328E-3</v>
      </c>
      <c r="DB89" s="273">
        <v>7.54E-4</v>
      </c>
      <c r="DC89" s="273">
        <f t="shared" si="122"/>
        <v>2.3115783305999997E-2</v>
      </c>
      <c r="DD89" s="273">
        <f t="shared" si="108"/>
        <v>1.1044402065E-2</v>
      </c>
      <c r="DE89" s="273">
        <v>2.3499999999999999E-4</v>
      </c>
      <c r="DF89" s="273">
        <v>1.5699999999999999E-4</v>
      </c>
      <c r="DG89" s="273">
        <f t="shared" si="123"/>
        <v>3.1642166939999999E-3</v>
      </c>
      <c r="DH89" s="273">
        <f t="shared" si="109"/>
        <v>2.709597935E-3</v>
      </c>
      <c r="DI89" s="273">
        <v>3.5070000000000001E-3</v>
      </c>
      <c r="DJ89" s="273">
        <v>1.9040000000000001E-3</v>
      </c>
      <c r="DK89" s="273">
        <v>2.3609999999999998E-3</v>
      </c>
      <c r="DL89" s="273">
        <v>8.5400000000000005E-4</v>
      </c>
      <c r="DM89" s="273">
        <f t="shared" si="124"/>
        <v>5.868E-3</v>
      </c>
      <c r="DN89" s="273">
        <f t="shared" si="110"/>
        <v>2.758E-3</v>
      </c>
      <c r="DO89" s="273">
        <v>1.297E-3</v>
      </c>
      <c r="DP89" s="273">
        <v>1.0610000000000001E-3</v>
      </c>
      <c r="DQ89" s="273">
        <v>1.635E-3</v>
      </c>
      <c r="DR89" s="273">
        <v>2.787E-3</v>
      </c>
      <c r="DS89" s="273">
        <v>5.1418999999999999E-2</v>
      </c>
      <c r="DT89" s="273">
        <v>8.2368999999999998E-2</v>
      </c>
      <c r="DU89" s="273">
        <v>2.1975000000000001E-2</v>
      </c>
      <c r="DV89" s="273">
        <v>3.9697000000000003E-2</v>
      </c>
      <c r="DW89" s="273">
        <v>4.0188000000000001E-2</v>
      </c>
      <c r="DX89" s="273">
        <v>4.0188000000000001E-2</v>
      </c>
      <c r="DY89" s="273">
        <v>2.2218599999999999</v>
      </c>
      <c r="DZ89" s="273">
        <v>1.6508210000000001</v>
      </c>
      <c r="EA89" s="273">
        <v>1.9785000000000001E-2</v>
      </c>
      <c r="EB89" s="273">
        <v>1.3198E-2</v>
      </c>
      <c r="EC89" s="273">
        <v>3.4870000000000001E-3</v>
      </c>
      <c r="ED89" s="273">
        <v>4.8589999999999996E-3</v>
      </c>
      <c r="EE89" s="273"/>
      <c r="EF89" s="274"/>
    </row>
    <row r="90" spans="2:136" s="249" customFormat="1" ht="17.399999999999999">
      <c r="B90" s="286">
        <v>83</v>
      </c>
      <c r="C90" s="273">
        <v>2.9765E-2</v>
      </c>
      <c r="D90" s="273">
        <v>1.5101E-2</v>
      </c>
      <c r="E90" s="273">
        <v>2.2599999999999999E-4</v>
      </c>
      <c r="F90" s="273">
        <v>1.5799999999999999E-4</v>
      </c>
      <c r="G90" s="273">
        <v>4.3249999999999997E-2</v>
      </c>
      <c r="H90" s="273">
        <v>2.9531999999999999E-2</v>
      </c>
      <c r="I90" s="273">
        <v>2.9991E-2</v>
      </c>
      <c r="J90" s="273">
        <v>1.5259E-2</v>
      </c>
      <c r="K90" s="273">
        <v>9.3400000000000004E-4</v>
      </c>
      <c r="L90" s="273">
        <v>1.6119999999999999E-3</v>
      </c>
      <c r="M90" s="273">
        <f t="shared" si="111"/>
        <v>2.0060035884000002E-2</v>
      </c>
      <c r="N90" s="273">
        <f t="shared" si="101"/>
        <v>1.1303681633999998E-2</v>
      </c>
      <c r="O90" s="273">
        <f t="shared" si="112"/>
        <v>4.296294872E-3</v>
      </c>
      <c r="P90" s="273">
        <f t="shared" si="113"/>
        <v>9.23506038E-4</v>
      </c>
      <c r="Q90" s="273">
        <v>2.6561000000000001E-2</v>
      </c>
      <c r="R90" s="273">
        <v>1.4154E-2</v>
      </c>
      <c r="S90" s="273">
        <v>1.1310000000000001E-3</v>
      </c>
      <c r="T90" s="273">
        <v>6.5246999999999999E-2</v>
      </c>
      <c r="U90" s="273">
        <v>0.16175200000000001</v>
      </c>
      <c r="V90" s="273">
        <v>0</v>
      </c>
      <c r="W90" s="273">
        <v>4.2680999999999997E-2</v>
      </c>
      <c r="X90" s="273">
        <v>7.9604999999999995E-2</v>
      </c>
      <c r="Y90" s="273">
        <f t="shared" si="114"/>
        <v>1.133650041E-3</v>
      </c>
      <c r="Z90" s="273">
        <f t="shared" si="102"/>
        <v>1.1267291699999999E-3</v>
      </c>
      <c r="AA90" s="273">
        <v>4.8809999999999999E-3</v>
      </c>
      <c r="AB90" s="273">
        <v>2.307E-2</v>
      </c>
      <c r="AC90" s="273">
        <f t="shared" si="115"/>
        <v>1.2964424100000001E-4</v>
      </c>
      <c r="AD90" s="273">
        <f t="shared" si="103"/>
        <v>3.2653278000000001E-4</v>
      </c>
      <c r="AE90" s="273">
        <v>1.8051999999999999E-2</v>
      </c>
      <c r="AF90" s="273">
        <v>2.6653E-2</v>
      </c>
      <c r="AG90" s="273">
        <f t="shared" si="116"/>
        <v>4.7947917200000001E-4</v>
      </c>
      <c r="AH90" s="273">
        <f t="shared" si="104"/>
        <v>3.77246562E-4</v>
      </c>
      <c r="AI90" s="273">
        <v>1.7389999999999999E-2</v>
      </c>
      <c r="AJ90" s="273">
        <v>6.8040000000000002E-3</v>
      </c>
      <c r="AK90" s="273">
        <f t="shared" si="117"/>
        <v>4.6189579000000002E-4</v>
      </c>
      <c r="AL90" s="273">
        <f t="shared" si="105"/>
        <v>9.6303816000000008E-5</v>
      </c>
      <c r="AM90" s="273">
        <f t="shared" si="118"/>
        <v>2.6559937560000002E-3</v>
      </c>
      <c r="AN90" s="273">
        <f t="shared" si="119"/>
        <v>2.0971698719999998E-3</v>
      </c>
      <c r="AO90" s="273">
        <v>9.9996000000000002E-2</v>
      </c>
      <c r="AP90" s="273">
        <v>0.14816799999999999</v>
      </c>
      <c r="AQ90" s="273">
        <v>1.023E-3</v>
      </c>
      <c r="AR90" s="273">
        <v>7.4600000000000003E-4</v>
      </c>
      <c r="AS90" s="273">
        <v>2.7300000000000002E-4</v>
      </c>
      <c r="AT90" s="273">
        <v>2.7900000000000001E-4</v>
      </c>
      <c r="AU90" s="273">
        <v>1.781E-3</v>
      </c>
      <c r="AV90" s="273">
        <v>9.3599999999999998E-4</v>
      </c>
      <c r="AW90" s="273">
        <v>2.6999999999999999E-5</v>
      </c>
      <c r="AX90" s="273">
        <v>1.0000000000000001E-5</v>
      </c>
      <c r="AY90" s="273">
        <v>3.1599999999999998E-4</v>
      </c>
      <c r="AZ90" s="273">
        <v>1.6100000000000001E-4</v>
      </c>
      <c r="BA90" s="273">
        <v>5.2999999999999998E-4</v>
      </c>
      <c r="BB90" s="273">
        <v>7.1599999999999995E-4</v>
      </c>
      <c r="BC90" s="273">
        <v>0</v>
      </c>
      <c r="BD90" s="273">
        <v>0</v>
      </c>
      <c r="BE90" s="273">
        <v>1.4E-5</v>
      </c>
      <c r="BF90" s="273">
        <v>1.2999999999999999E-5</v>
      </c>
      <c r="BG90" s="273">
        <v>1.2E-5</v>
      </c>
      <c r="BH90" s="273">
        <v>5.0000000000000004E-6</v>
      </c>
      <c r="BI90" s="273">
        <v>4.3999999999999999E-5</v>
      </c>
      <c r="BJ90" s="273">
        <v>1.8E-5</v>
      </c>
      <c r="BK90" s="273">
        <v>4.2999999999999999E-4</v>
      </c>
      <c r="BL90" s="273">
        <v>2.1499999999999999E-4</v>
      </c>
      <c r="BM90" s="273">
        <v>2.42E-4</v>
      </c>
      <c r="BN90" s="273">
        <v>3.2000000000000003E-4</v>
      </c>
      <c r="BO90" s="273">
        <v>6.87E-4</v>
      </c>
      <c r="BP90" s="273">
        <v>1.291E-3</v>
      </c>
      <c r="BQ90" s="273">
        <v>1.5969999999999999E-3</v>
      </c>
      <c r="BR90" s="273">
        <v>1.688E-3</v>
      </c>
      <c r="BS90" s="273">
        <v>2.4459999999999998E-3</v>
      </c>
      <c r="BT90" s="273">
        <v>1.2260000000000001E-3</v>
      </c>
      <c r="BU90" s="273">
        <v>1.7160000000000002E-2</v>
      </c>
      <c r="BV90" s="273">
        <v>1.813E-2</v>
      </c>
      <c r="BW90" s="273">
        <v>8.9951930000000004</v>
      </c>
      <c r="BX90" s="273">
        <v>11.223041</v>
      </c>
      <c r="BY90" s="273">
        <v>1.076146</v>
      </c>
      <c r="BZ90" s="273">
        <v>0.84472599999999998</v>
      </c>
      <c r="CA90" s="273">
        <v>0.44412099999999999</v>
      </c>
      <c r="CB90" s="273">
        <v>0.35060200000000002</v>
      </c>
      <c r="CC90" s="273">
        <v>1.282E-2</v>
      </c>
      <c r="CD90" s="273">
        <v>6.437E-3</v>
      </c>
      <c r="CE90" s="273">
        <v>6.8333000000000005E-2</v>
      </c>
      <c r="CF90" s="273">
        <v>6.8182000000000006E-2</v>
      </c>
      <c r="CG90" s="273">
        <v>8.9842000000000005E-2</v>
      </c>
      <c r="CH90" s="273">
        <v>8.4066000000000002E-2</v>
      </c>
      <c r="CI90" s="273">
        <v>2.3328999999999999E-2</v>
      </c>
      <c r="CJ90" s="273">
        <v>1.3620999999999999E-2</v>
      </c>
      <c r="CK90" s="273">
        <v>1.82E-3</v>
      </c>
      <c r="CL90" s="273">
        <v>9.7000000000000005E-4</v>
      </c>
      <c r="CM90" s="273">
        <v>8.0249999999999991E-3</v>
      </c>
      <c r="CN90" s="273">
        <v>3.395E-3</v>
      </c>
      <c r="CO90" s="273">
        <v>0.14857699999999999</v>
      </c>
      <c r="CP90" s="273">
        <v>0.13732900000000001</v>
      </c>
      <c r="CQ90" s="273">
        <v>2.4573999999999999E-2</v>
      </c>
      <c r="CR90" s="273">
        <v>1.2631E-2</v>
      </c>
      <c r="CS90" s="273">
        <v>5.8642E-2</v>
      </c>
      <c r="CT90" s="273">
        <v>0.11201999999999999</v>
      </c>
      <c r="CU90" s="273">
        <f t="shared" si="120"/>
        <v>1.4410685079999999E-3</v>
      </c>
      <c r="CV90" s="273">
        <f t="shared" si="106"/>
        <v>1.4149246199999998E-3</v>
      </c>
      <c r="CW90" s="273">
        <v>6.1419999999999999E-3</v>
      </c>
      <c r="CX90" s="273">
        <v>2.8103E-2</v>
      </c>
      <c r="CY90" s="273">
        <f t="shared" si="121"/>
        <v>1.5093350799999999E-4</v>
      </c>
      <c r="CZ90" s="273">
        <f t="shared" si="107"/>
        <v>3.5496899299999998E-4</v>
      </c>
      <c r="DA90" s="273">
        <v>1.225E-3</v>
      </c>
      <c r="DB90" s="273">
        <v>6.8099999999999996E-4</v>
      </c>
      <c r="DC90" s="273">
        <f t="shared" si="122"/>
        <v>2.2981997984E-2</v>
      </c>
      <c r="DD90" s="273">
        <f t="shared" si="108"/>
        <v>1.0861106386999999E-2</v>
      </c>
      <c r="DE90" s="273">
        <v>2.3499999999999999E-4</v>
      </c>
      <c r="DF90" s="273">
        <v>1.5699999999999999E-4</v>
      </c>
      <c r="DG90" s="273">
        <f t="shared" si="123"/>
        <v>3.0520020159999998E-3</v>
      </c>
      <c r="DH90" s="273">
        <f t="shared" si="109"/>
        <v>2.6078936129999997E-3</v>
      </c>
      <c r="DI90" s="273">
        <v>3.4329999999999999E-3</v>
      </c>
      <c r="DJ90" s="273">
        <v>1.8240000000000001E-3</v>
      </c>
      <c r="DK90" s="273">
        <v>2.3609999999999998E-3</v>
      </c>
      <c r="DL90" s="273">
        <v>8.5400000000000005E-4</v>
      </c>
      <c r="DM90" s="273">
        <f t="shared" si="124"/>
        <v>5.7939999999999997E-3</v>
      </c>
      <c r="DN90" s="273">
        <f t="shared" si="110"/>
        <v>2.6780000000000003E-3</v>
      </c>
      <c r="DO90" s="273">
        <v>1.297E-3</v>
      </c>
      <c r="DP90" s="273">
        <v>1.0610000000000001E-3</v>
      </c>
      <c r="DQ90" s="273">
        <v>1.635E-3</v>
      </c>
      <c r="DR90" s="273">
        <v>2.787E-3</v>
      </c>
      <c r="DS90" s="273">
        <v>5.3962999999999997E-2</v>
      </c>
      <c r="DT90" s="273">
        <v>8.4780999999999995E-2</v>
      </c>
      <c r="DU90" s="273">
        <v>2.3904000000000002E-2</v>
      </c>
      <c r="DV90" s="273">
        <v>4.1854000000000002E-2</v>
      </c>
      <c r="DW90" s="273">
        <v>4.0188000000000001E-2</v>
      </c>
      <c r="DX90" s="273">
        <v>4.0188000000000001E-2</v>
      </c>
      <c r="DY90" s="273">
        <v>2.406193</v>
      </c>
      <c r="DZ90" s="273">
        <v>1.785712</v>
      </c>
      <c r="EA90" s="273">
        <v>2.2586999999999999E-2</v>
      </c>
      <c r="EB90" s="273">
        <v>1.3823E-2</v>
      </c>
      <c r="EC90" s="273">
        <v>3.4870000000000001E-3</v>
      </c>
      <c r="ED90" s="273">
        <v>4.8589999999999996E-3</v>
      </c>
      <c r="EE90" s="273"/>
      <c r="EF90" s="274"/>
    </row>
    <row r="91" spans="2:136" s="249" customFormat="1" ht="17.399999999999999">
      <c r="B91" s="286">
        <v>84</v>
      </c>
      <c r="C91" s="273">
        <v>3.5090999999999997E-2</v>
      </c>
      <c r="D91" s="273">
        <v>1.6791E-2</v>
      </c>
      <c r="E91" s="273">
        <v>2.2599999999999999E-4</v>
      </c>
      <c r="F91" s="273">
        <v>1.5799999999999999E-4</v>
      </c>
      <c r="G91" s="273">
        <v>4.802E-2</v>
      </c>
      <c r="H91" s="273">
        <v>3.4264000000000003E-2</v>
      </c>
      <c r="I91" s="273">
        <v>3.5316999999999994E-2</v>
      </c>
      <c r="J91" s="273">
        <v>1.6948999999999999E-2</v>
      </c>
      <c r="K91" s="273">
        <v>9.3400000000000004E-4</v>
      </c>
      <c r="L91" s="273">
        <v>1.6119999999999999E-3</v>
      </c>
      <c r="M91" s="273">
        <f t="shared" si="111"/>
        <v>2.0313075639999997E-2</v>
      </c>
      <c r="N91" s="273">
        <f t="shared" si="101"/>
        <v>1.1489596090000002E-2</v>
      </c>
      <c r="O91" s="273">
        <f t="shared" si="112"/>
        <v>4.2174765599999999E-3</v>
      </c>
      <c r="P91" s="273">
        <f t="shared" si="113"/>
        <v>8.79181634E-4</v>
      </c>
      <c r="Q91" s="273">
        <v>2.6839999999999999E-2</v>
      </c>
      <c r="R91" s="273">
        <v>1.4369E-2</v>
      </c>
      <c r="S91" s="273">
        <v>1.124E-3</v>
      </c>
      <c r="T91" s="273">
        <v>6.1185999999999997E-2</v>
      </c>
      <c r="U91" s="273">
        <v>0.157134</v>
      </c>
      <c r="V91" s="273">
        <v>0</v>
      </c>
      <c r="W91" s="273">
        <v>4.4815000000000001E-2</v>
      </c>
      <c r="X91" s="273">
        <v>8.4601999999999997E-2</v>
      </c>
      <c r="Y91" s="273">
        <f t="shared" si="114"/>
        <v>1.2028346000000001E-3</v>
      </c>
      <c r="Z91" s="273">
        <f t="shared" si="102"/>
        <v>1.215646138E-3</v>
      </c>
      <c r="AA91" s="273">
        <v>4.8250000000000003E-3</v>
      </c>
      <c r="AB91" s="273">
        <v>2.0566000000000001E-2</v>
      </c>
      <c r="AC91" s="273">
        <f t="shared" si="115"/>
        <v>1.29503E-4</v>
      </c>
      <c r="AD91" s="273">
        <f t="shared" si="103"/>
        <v>2.95512854E-4</v>
      </c>
      <c r="AE91" s="273">
        <v>1.8371999999999999E-2</v>
      </c>
      <c r="AF91" s="273">
        <v>2.7229E-2</v>
      </c>
      <c r="AG91" s="273">
        <f t="shared" si="116"/>
        <v>4.9310447999999999E-4</v>
      </c>
      <c r="AH91" s="273">
        <f t="shared" si="104"/>
        <v>3.9125350099999999E-4</v>
      </c>
      <c r="AI91" s="273">
        <v>1.8033E-2</v>
      </c>
      <c r="AJ91" s="273">
        <v>6.8069999999999997E-3</v>
      </c>
      <c r="AK91" s="273">
        <f t="shared" si="117"/>
        <v>4.8400572000000002E-4</v>
      </c>
      <c r="AL91" s="273">
        <f t="shared" si="105"/>
        <v>9.7809783E-5</v>
      </c>
      <c r="AM91" s="273">
        <f t="shared" si="118"/>
        <v>2.67087524E-3</v>
      </c>
      <c r="AN91" s="273">
        <f t="shared" si="119"/>
        <v>2.1142259219999997E-3</v>
      </c>
      <c r="AO91" s="273">
        <v>9.9511000000000002E-2</v>
      </c>
      <c r="AP91" s="273">
        <v>0.14713799999999999</v>
      </c>
      <c r="AQ91" s="273">
        <v>1E-3</v>
      </c>
      <c r="AR91" s="273">
        <v>7.1400000000000001E-4</v>
      </c>
      <c r="AS91" s="273">
        <v>2.7399999999999999E-4</v>
      </c>
      <c r="AT91" s="273">
        <v>2.8400000000000002E-4</v>
      </c>
      <c r="AU91" s="273">
        <v>1.781E-3</v>
      </c>
      <c r="AV91" s="273">
        <v>9.3599999999999998E-4</v>
      </c>
      <c r="AW91" s="273">
        <v>3.1000000000000001E-5</v>
      </c>
      <c r="AX91" s="273">
        <v>9.0000000000000002E-6</v>
      </c>
      <c r="AY91" s="273">
        <v>3.1599999999999998E-4</v>
      </c>
      <c r="AZ91" s="273">
        <v>1.6100000000000001E-4</v>
      </c>
      <c r="BA91" s="273">
        <v>5.4000000000000001E-4</v>
      </c>
      <c r="BB91" s="273">
        <v>6.4499999999999996E-4</v>
      </c>
      <c r="BC91" s="273">
        <v>0</v>
      </c>
      <c r="BD91" s="273">
        <v>0</v>
      </c>
      <c r="BE91" s="273">
        <v>1.4E-5</v>
      </c>
      <c r="BF91" s="273">
        <v>1.2999999999999999E-5</v>
      </c>
      <c r="BG91" s="273">
        <v>1.2E-5</v>
      </c>
      <c r="BH91" s="273">
        <v>5.0000000000000004E-6</v>
      </c>
      <c r="BI91" s="273">
        <v>4.3999999999999999E-5</v>
      </c>
      <c r="BJ91" s="273">
        <v>1.8E-5</v>
      </c>
      <c r="BK91" s="273">
        <v>2.6200000000000003E-4</v>
      </c>
      <c r="BL91" s="273">
        <v>1.7000000000000001E-4</v>
      </c>
      <c r="BM91" s="273">
        <v>2.3599999999999999E-4</v>
      </c>
      <c r="BN91" s="273">
        <v>3.0499999999999999E-4</v>
      </c>
      <c r="BO91" s="273">
        <v>7.0200000000000004E-4</v>
      </c>
      <c r="BP91" s="273">
        <v>1.3010000000000001E-3</v>
      </c>
      <c r="BQ91" s="273">
        <v>1.5969999999999999E-3</v>
      </c>
      <c r="BR91" s="273">
        <v>1.688E-3</v>
      </c>
      <c r="BS91" s="273">
        <v>2.4459999999999998E-3</v>
      </c>
      <c r="BT91" s="273">
        <v>1.2260000000000001E-3</v>
      </c>
      <c r="BU91" s="273">
        <v>1.7128000000000001E-2</v>
      </c>
      <c r="BV91" s="273">
        <v>1.8103999999999999E-2</v>
      </c>
      <c r="BW91" s="273">
        <v>9.6603379999999994</v>
      </c>
      <c r="BX91" s="273">
        <v>11.69638</v>
      </c>
      <c r="BY91" s="273">
        <v>1.078557</v>
      </c>
      <c r="BZ91" s="273">
        <v>0.83643000000000001</v>
      </c>
      <c r="CA91" s="273">
        <v>0.47988199999999998</v>
      </c>
      <c r="CB91" s="273">
        <v>0.36532799999999999</v>
      </c>
      <c r="CC91" s="273">
        <v>1.2808E-2</v>
      </c>
      <c r="CD91" s="273">
        <v>6.4200000000000004E-3</v>
      </c>
      <c r="CE91" s="273">
        <v>6.6688999999999998E-2</v>
      </c>
      <c r="CF91" s="273">
        <v>6.4889000000000002E-2</v>
      </c>
      <c r="CG91" s="273">
        <v>8.7679999999999994E-2</v>
      </c>
      <c r="CH91" s="273">
        <v>8.0005999999999994E-2</v>
      </c>
      <c r="CI91" s="273">
        <v>2.2766999999999999E-2</v>
      </c>
      <c r="CJ91" s="273">
        <v>1.2963000000000001E-2</v>
      </c>
      <c r="CK91" s="273">
        <v>1.776E-3</v>
      </c>
      <c r="CL91" s="273">
        <v>9.2299999999999999E-4</v>
      </c>
      <c r="CM91" s="273">
        <v>7.8320000000000004E-3</v>
      </c>
      <c r="CN91" s="273">
        <v>3.2309999999999999E-3</v>
      </c>
      <c r="CO91" s="273">
        <v>0.14500099999999999</v>
      </c>
      <c r="CP91" s="273">
        <v>0.13069600000000001</v>
      </c>
      <c r="CQ91" s="273">
        <v>2.4306999999999999E-2</v>
      </c>
      <c r="CR91" s="273">
        <v>1.2333E-2</v>
      </c>
      <c r="CS91" s="273">
        <v>5.8643000000000001E-2</v>
      </c>
      <c r="CT91" s="273">
        <v>0.111944</v>
      </c>
      <c r="CU91" s="273">
        <f t="shared" si="120"/>
        <v>1.425435401E-3</v>
      </c>
      <c r="CV91" s="273">
        <f t="shared" si="106"/>
        <v>1.3806053520000001E-3</v>
      </c>
      <c r="CW91" s="273">
        <v>6.1409999999999998E-3</v>
      </c>
      <c r="CX91" s="273">
        <v>2.8112999999999999E-2</v>
      </c>
      <c r="CY91" s="273">
        <f t="shared" si="121"/>
        <v>1.4926928699999999E-4</v>
      </c>
      <c r="CZ91" s="273">
        <f t="shared" si="107"/>
        <v>3.46717629E-4</v>
      </c>
      <c r="DA91" s="273">
        <v>1.1119999999999999E-3</v>
      </c>
      <c r="DB91" s="273">
        <v>6.0800000000000003E-4</v>
      </c>
      <c r="DC91" s="273">
        <f t="shared" si="122"/>
        <v>2.2732295311999998E-2</v>
      </c>
      <c r="DD91" s="273">
        <f t="shared" si="108"/>
        <v>1.0605677019E-2</v>
      </c>
      <c r="DE91" s="273">
        <v>2.3499999999999999E-4</v>
      </c>
      <c r="DF91" s="273">
        <v>1.5699999999999999E-4</v>
      </c>
      <c r="DG91" s="273">
        <f t="shared" si="123"/>
        <v>2.9217046879999996E-3</v>
      </c>
      <c r="DH91" s="273">
        <f t="shared" si="109"/>
        <v>2.4923229809999999E-3</v>
      </c>
      <c r="DI91" s="273">
        <v>3.3500000000000001E-3</v>
      </c>
      <c r="DJ91" s="273">
        <v>1.7359999999999999E-3</v>
      </c>
      <c r="DK91" s="273">
        <v>2.3609999999999998E-3</v>
      </c>
      <c r="DL91" s="273">
        <v>8.5400000000000005E-4</v>
      </c>
      <c r="DM91" s="273">
        <f t="shared" si="124"/>
        <v>5.7109999999999999E-3</v>
      </c>
      <c r="DN91" s="273">
        <f t="shared" si="110"/>
        <v>2.5899999999999999E-3</v>
      </c>
      <c r="DO91" s="273">
        <v>1.297E-3</v>
      </c>
      <c r="DP91" s="273">
        <v>1.0610000000000001E-3</v>
      </c>
      <c r="DQ91" s="273">
        <v>1.635E-3</v>
      </c>
      <c r="DR91" s="273">
        <v>2.787E-3</v>
      </c>
      <c r="DS91" s="273">
        <v>5.611E-2</v>
      </c>
      <c r="DT91" s="273">
        <v>8.6435999999999999E-2</v>
      </c>
      <c r="DU91" s="273">
        <v>2.5697999999999999E-2</v>
      </c>
      <c r="DV91" s="273">
        <v>4.3657000000000001E-2</v>
      </c>
      <c r="DW91" s="273">
        <v>4.0188000000000001E-2</v>
      </c>
      <c r="DX91" s="273">
        <v>4.0188000000000001E-2</v>
      </c>
      <c r="DY91" s="273">
        <v>2.584149</v>
      </c>
      <c r="DZ91" s="273">
        <v>1.938134</v>
      </c>
      <c r="EA91" s="273">
        <v>2.5958999999999999E-2</v>
      </c>
      <c r="EB91" s="273">
        <v>1.4574E-2</v>
      </c>
      <c r="EC91" s="273">
        <v>3.4870000000000001E-3</v>
      </c>
      <c r="ED91" s="273">
        <v>4.8589999999999996E-3</v>
      </c>
      <c r="EE91" s="273"/>
      <c r="EF91" s="274"/>
    </row>
    <row r="92" spans="2:136" s="249" customFormat="1" ht="17.399999999999999">
      <c r="B92" s="286">
        <v>85</v>
      </c>
      <c r="C92" s="273">
        <v>4.1438000000000003E-2</v>
      </c>
      <c r="D92" s="273">
        <v>1.8728000000000002E-2</v>
      </c>
      <c r="E92" s="273">
        <v>2.2599999999999999E-4</v>
      </c>
      <c r="F92" s="273">
        <v>1.5799999999999999E-4</v>
      </c>
      <c r="G92" s="273">
        <v>5.2970999999999997E-2</v>
      </c>
      <c r="H92" s="273">
        <v>3.9238000000000002E-2</v>
      </c>
      <c r="I92" s="273">
        <v>4.1664E-2</v>
      </c>
      <c r="J92" s="273">
        <v>1.8886E-2</v>
      </c>
      <c r="K92" s="273">
        <v>9.3400000000000004E-4</v>
      </c>
      <c r="L92" s="273">
        <v>1.6119999999999999E-3</v>
      </c>
      <c r="M92" s="273">
        <f t="shared" si="111"/>
        <v>2.0470786783999998E-2</v>
      </c>
      <c r="N92" s="273">
        <f t="shared" si="101"/>
        <v>1.1664420633000001E-2</v>
      </c>
      <c r="O92" s="273">
        <f t="shared" si="112"/>
        <v>4.1166848799999997E-3</v>
      </c>
      <c r="P92" s="273">
        <f t="shared" si="113"/>
        <v>8.3236837500000002E-4</v>
      </c>
      <c r="Q92" s="273">
        <v>2.6991999999999999E-2</v>
      </c>
      <c r="R92" s="273">
        <v>1.4571000000000001E-2</v>
      </c>
      <c r="S92" s="273">
        <v>1.1199999999999999E-3</v>
      </c>
      <c r="T92" s="273">
        <v>5.7125000000000002E-2</v>
      </c>
      <c r="U92" s="273">
        <v>0.15251500000000001</v>
      </c>
      <c r="V92" s="273">
        <v>0</v>
      </c>
      <c r="W92" s="273">
        <v>4.6946000000000002E-2</v>
      </c>
      <c r="X92" s="273">
        <v>8.9664999999999995E-2</v>
      </c>
      <c r="Y92" s="273">
        <f t="shared" si="114"/>
        <v>1.2671664319999999E-3</v>
      </c>
      <c r="Z92" s="273">
        <f t="shared" si="102"/>
        <v>1.306508715E-3</v>
      </c>
      <c r="AA92" s="273">
        <v>4.7689999999999998E-3</v>
      </c>
      <c r="AB92" s="273">
        <v>1.8072000000000001E-2</v>
      </c>
      <c r="AC92" s="273">
        <f t="shared" si="115"/>
        <v>1.2872484799999998E-4</v>
      </c>
      <c r="AD92" s="273">
        <f t="shared" si="103"/>
        <v>2.6332711200000004E-4</v>
      </c>
      <c r="AE92" s="273">
        <v>1.8692E-2</v>
      </c>
      <c r="AF92" s="273">
        <v>2.7805E-2</v>
      </c>
      <c r="AG92" s="273">
        <f t="shared" si="116"/>
        <v>5.0453446399999994E-4</v>
      </c>
      <c r="AH92" s="273">
        <f t="shared" si="104"/>
        <v>4.0514665500000004E-4</v>
      </c>
      <c r="AI92" s="273">
        <v>1.8676000000000002E-2</v>
      </c>
      <c r="AJ92" s="273">
        <v>6.8100000000000001E-3</v>
      </c>
      <c r="AK92" s="273">
        <f t="shared" si="117"/>
        <v>5.04102592E-4</v>
      </c>
      <c r="AL92" s="273">
        <f t="shared" si="105"/>
        <v>9.9228510000000001E-5</v>
      </c>
      <c r="AM92" s="273">
        <f t="shared" si="118"/>
        <v>2.6729367839999998E-3</v>
      </c>
      <c r="AN92" s="273">
        <f t="shared" si="119"/>
        <v>2.1289542390000001E-3</v>
      </c>
      <c r="AO92" s="273">
        <v>9.9027000000000004E-2</v>
      </c>
      <c r="AP92" s="273">
        <v>0.14610899999999999</v>
      </c>
      <c r="AQ92" s="273">
        <v>9.6400000000000001E-4</v>
      </c>
      <c r="AR92" s="273">
        <v>6.7500000000000004E-4</v>
      </c>
      <c r="AS92" s="273">
        <v>2.7500000000000002E-4</v>
      </c>
      <c r="AT92" s="273">
        <v>2.8800000000000001E-4</v>
      </c>
      <c r="AU92" s="273">
        <v>1.781E-3</v>
      </c>
      <c r="AV92" s="273">
        <v>9.3599999999999998E-4</v>
      </c>
      <c r="AW92" s="273">
        <v>3.6999999999999998E-5</v>
      </c>
      <c r="AX92" s="273">
        <v>7.9999999999999996E-6</v>
      </c>
      <c r="AY92" s="273">
        <v>3.1599999999999998E-4</v>
      </c>
      <c r="AZ92" s="273">
        <v>1.6100000000000001E-4</v>
      </c>
      <c r="BA92" s="273">
        <v>5.5400000000000002E-4</v>
      </c>
      <c r="BB92" s="273">
        <v>5.6300000000000002E-4</v>
      </c>
      <c r="BC92" s="273">
        <v>0</v>
      </c>
      <c r="BD92" s="273">
        <v>0</v>
      </c>
      <c r="BE92" s="273">
        <v>1.4E-5</v>
      </c>
      <c r="BF92" s="273">
        <v>1.2999999999999999E-5</v>
      </c>
      <c r="BG92" s="273">
        <v>1.2E-5</v>
      </c>
      <c r="BH92" s="273">
        <v>5.0000000000000004E-6</v>
      </c>
      <c r="BI92" s="273">
        <v>4.3999999999999999E-5</v>
      </c>
      <c r="BJ92" s="273">
        <v>1.8E-5</v>
      </c>
      <c r="BK92" s="273">
        <v>6.7000000000000002E-5</v>
      </c>
      <c r="BL92" s="273">
        <v>1.3100000000000001E-4</v>
      </c>
      <c r="BM92" s="273">
        <v>2.3000000000000001E-4</v>
      </c>
      <c r="BN92" s="273">
        <v>2.8899999999999998E-4</v>
      </c>
      <c r="BO92" s="273">
        <v>7.1699999999999997E-4</v>
      </c>
      <c r="BP92" s="273">
        <v>1.3079999999999999E-3</v>
      </c>
      <c r="BQ92" s="273">
        <v>1.5969999999999999E-3</v>
      </c>
      <c r="BR92" s="273">
        <v>1.688E-3</v>
      </c>
      <c r="BS92" s="273">
        <v>2.4459999999999998E-3</v>
      </c>
      <c r="BT92" s="273">
        <v>1.2260000000000001E-3</v>
      </c>
      <c r="BU92" s="273">
        <v>1.7128000000000001E-2</v>
      </c>
      <c r="BV92" s="273">
        <v>1.8103999999999999E-2</v>
      </c>
      <c r="BW92" s="273">
        <v>10.350841000000001</v>
      </c>
      <c r="BX92" s="273">
        <v>12.134549</v>
      </c>
      <c r="BY92" s="273">
        <v>1.0828819999999999</v>
      </c>
      <c r="BZ92" s="273">
        <v>0.82499100000000003</v>
      </c>
      <c r="CA92" s="273">
        <v>0.517119</v>
      </c>
      <c r="CB92" s="273">
        <v>0.37895099999999998</v>
      </c>
      <c r="CC92" s="273">
        <v>1.2808E-2</v>
      </c>
      <c r="CD92" s="273">
        <v>6.4200000000000004E-3</v>
      </c>
      <c r="CE92" s="273">
        <v>6.4959000000000003E-2</v>
      </c>
      <c r="CF92" s="273">
        <v>6.1441000000000003E-2</v>
      </c>
      <c r="CG92" s="273">
        <v>8.5405999999999996E-2</v>
      </c>
      <c r="CH92" s="273">
        <v>7.5754000000000002E-2</v>
      </c>
      <c r="CI92" s="273">
        <v>2.2178E-2</v>
      </c>
      <c r="CJ92" s="273">
        <v>1.2274E-2</v>
      </c>
      <c r="CK92" s="273">
        <v>1.73E-3</v>
      </c>
      <c r="CL92" s="273">
        <v>8.7399999999999999E-4</v>
      </c>
      <c r="CM92" s="273">
        <v>7.6290000000000004E-3</v>
      </c>
      <c r="CN92" s="273">
        <v>3.0599999999999998E-3</v>
      </c>
      <c r="CO92" s="273">
        <v>0.14124200000000001</v>
      </c>
      <c r="CP92" s="273">
        <v>0.123751</v>
      </c>
      <c r="CQ92" s="273">
        <v>2.3977999999999999E-2</v>
      </c>
      <c r="CR92" s="273">
        <v>1.1993E-2</v>
      </c>
      <c r="CS92" s="273">
        <v>5.8620999999999999E-2</v>
      </c>
      <c r="CT92" s="273">
        <v>0.112013</v>
      </c>
      <c r="CU92" s="273">
        <f t="shared" si="120"/>
        <v>1.4056143379999999E-3</v>
      </c>
      <c r="CV92" s="273">
        <f t="shared" si="106"/>
        <v>1.3433719089999999E-3</v>
      </c>
      <c r="CW92" s="273">
        <v>6.1409999999999998E-3</v>
      </c>
      <c r="CX92" s="273">
        <v>2.8122999999999999E-2</v>
      </c>
      <c r="CY92" s="273">
        <f t="shared" si="121"/>
        <v>1.4724889799999999E-4</v>
      </c>
      <c r="CZ92" s="273">
        <f t="shared" si="107"/>
        <v>3.3727913899999999E-4</v>
      </c>
      <c r="DA92" s="273">
        <v>9.4899999999999997E-4</v>
      </c>
      <c r="DB92" s="273">
        <v>5.1000000000000004E-4</v>
      </c>
      <c r="DC92" s="273">
        <f t="shared" si="122"/>
        <v>2.2425136764E-2</v>
      </c>
      <c r="DD92" s="273">
        <f t="shared" si="108"/>
        <v>1.0312348952E-2</v>
      </c>
      <c r="DE92" s="273">
        <v>2.3499999999999999E-4</v>
      </c>
      <c r="DF92" s="273">
        <v>1.5699999999999999E-4</v>
      </c>
      <c r="DG92" s="273">
        <f t="shared" si="123"/>
        <v>2.7368632359999999E-3</v>
      </c>
      <c r="DH92" s="273">
        <f t="shared" si="109"/>
        <v>2.3476510479999999E-3</v>
      </c>
      <c r="DI92" s="273">
        <v>3.2629999999999998E-3</v>
      </c>
      <c r="DJ92" s="273">
        <v>1.6440000000000001E-3</v>
      </c>
      <c r="DK92" s="273">
        <v>2.3609999999999998E-3</v>
      </c>
      <c r="DL92" s="273">
        <v>8.5400000000000005E-4</v>
      </c>
      <c r="DM92" s="273">
        <f t="shared" si="124"/>
        <v>5.6239999999999997E-3</v>
      </c>
      <c r="DN92" s="273">
        <f t="shared" si="110"/>
        <v>2.4980000000000002E-3</v>
      </c>
      <c r="DO92" s="273">
        <v>1.297E-3</v>
      </c>
      <c r="DP92" s="273">
        <v>1.0610000000000001E-3</v>
      </c>
      <c r="DQ92" s="273">
        <v>1.635E-3</v>
      </c>
      <c r="DR92" s="273">
        <v>2.787E-3</v>
      </c>
      <c r="DS92" s="273">
        <v>5.8282E-2</v>
      </c>
      <c r="DT92" s="273">
        <v>8.7825E-2</v>
      </c>
      <c r="DU92" s="273">
        <v>2.7636999999999998E-2</v>
      </c>
      <c r="DV92" s="273">
        <v>4.5467E-2</v>
      </c>
      <c r="DW92" s="273">
        <v>4.0188000000000001E-2</v>
      </c>
      <c r="DX92" s="273">
        <v>4.0188000000000001E-2</v>
      </c>
      <c r="DY92" s="273">
        <v>2.7599339999999999</v>
      </c>
      <c r="DZ92" s="273">
        <v>2.0969669999999998</v>
      </c>
      <c r="EA92" s="273">
        <v>2.9634000000000001E-2</v>
      </c>
      <c r="EB92" s="273">
        <v>1.5487000000000001E-2</v>
      </c>
      <c r="EC92" s="273">
        <v>3.4870000000000001E-3</v>
      </c>
      <c r="ED92" s="273">
        <v>4.8589999999999996E-3</v>
      </c>
      <c r="EE92" s="273"/>
      <c r="EF92" s="274"/>
    </row>
    <row r="93" spans="2:136" s="249" customFormat="1" ht="17.399999999999999">
      <c r="B93" s="286">
        <v>86</v>
      </c>
      <c r="C93" s="273">
        <v>4.8973000000000003E-2</v>
      </c>
      <c r="D93" s="273">
        <v>2.0952999999999999E-2</v>
      </c>
      <c r="E93" s="273">
        <v>2.2599999999999999E-4</v>
      </c>
      <c r="F93" s="273">
        <v>1.5799999999999999E-4</v>
      </c>
      <c r="G93" s="273">
        <v>5.8229000000000003E-2</v>
      </c>
      <c r="H93" s="273">
        <v>4.4787E-2</v>
      </c>
      <c r="I93" s="273">
        <v>4.9199E-2</v>
      </c>
      <c r="J93" s="273">
        <v>2.1110999999999998E-2</v>
      </c>
      <c r="K93" s="273">
        <v>9.3400000000000004E-4</v>
      </c>
      <c r="L93" s="273">
        <v>1.6119999999999999E-3</v>
      </c>
      <c r="M93" s="273">
        <f t="shared" si="111"/>
        <v>2.0618638030000004E-2</v>
      </c>
      <c r="N93" s="273">
        <f t="shared" si="101"/>
        <v>1.1832784968E-2</v>
      </c>
      <c r="O93" s="273">
        <f t="shared" si="112"/>
        <v>4.0128893010000005E-3</v>
      </c>
      <c r="P93" s="273">
        <f t="shared" si="113"/>
        <v>7.8343689599999998E-4</v>
      </c>
      <c r="Q93" s="273">
        <v>2.7133000000000001E-2</v>
      </c>
      <c r="R93" s="273">
        <v>1.4763999999999999E-2</v>
      </c>
      <c r="S93" s="273">
        <v>1.1169999999999999E-3</v>
      </c>
      <c r="T93" s="273">
        <v>5.3064E-2</v>
      </c>
      <c r="U93" s="273">
        <v>0.147897</v>
      </c>
      <c r="V93" s="273">
        <v>0</v>
      </c>
      <c r="W93" s="273">
        <v>4.9078999999999998E-2</v>
      </c>
      <c r="X93" s="273">
        <v>9.4690999999999997E-2</v>
      </c>
      <c r="Y93" s="273">
        <f t="shared" si="114"/>
        <v>1.3316605070000001E-3</v>
      </c>
      <c r="Z93" s="273">
        <f t="shared" si="102"/>
        <v>1.3980179239999999E-3</v>
      </c>
      <c r="AA93" s="273">
        <v>4.7840000000000001E-3</v>
      </c>
      <c r="AB93" s="273">
        <v>1.5587999999999999E-2</v>
      </c>
      <c r="AC93" s="273">
        <f t="shared" si="115"/>
        <v>1.2980427200000002E-4</v>
      </c>
      <c r="AD93" s="273">
        <f t="shared" si="103"/>
        <v>2.3014123199999997E-4</v>
      </c>
      <c r="AE93" s="273">
        <v>1.9011E-2</v>
      </c>
      <c r="AF93" s="273">
        <v>2.8381E-2</v>
      </c>
      <c r="AG93" s="273">
        <f t="shared" si="116"/>
        <v>5.1582546300000002E-4</v>
      </c>
      <c r="AH93" s="273">
        <f t="shared" si="104"/>
        <v>4.1901708399999998E-4</v>
      </c>
      <c r="AI93" s="273">
        <v>1.9318999999999999E-2</v>
      </c>
      <c r="AJ93" s="273">
        <v>6.8139999999999997E-3</v>
      </c>
      <c r="AK93" s="273">
        <f t="shared" si="117"/>
        <v>5.2418242700000002E-4</v>
      </c>
      <c r="AL93" s="273">
        <f t="shared" si="105"/>
        <v>1.0060189599999999E-4</v>
      </c>
      <c r="AM93" s="273">
        <f t="shared" si="118"/>
        <v>2.6737400860000001E-3</v>
      </c>
      <c r="AN93" s="273">
        <f t="shared" si="119"/>
        <v>2.1419463559999999E-3</v>
      </c>
      <c r="AO93" s="273">
        <v>9.8542000000000005E-2</v>
      </c>
      <c r="AP93" s="273">
        <v>0.14507900000000001</v>
      </c>
      <c r="AQ93" s="273">
        <v>9.1299999999999997E-4</v>
      </c>
      <c r="AR93" s="273">
        <v>6.2699999999999995E-4</v>
      </c>
      <c r="AS93" s="273">
        <v>2.7599999999999999E-4</v>
      </c>
      <c r="AT93" s="273">
        <v>2.9100000000000003E-4</v>
      </c>
      <c r="AU93" s="273">
        <v>1.781E-3</v>
      </c>
      <c r="AV93" s="273">
        <v>9.3599999999999998E-4</v>
      </c>
      <c r="AW93" s="273">
        <v>3.6999999999999998E-5</v>
      </c>
      <c r="AX93" s="273">
        <v>7.9999999999999996E-6</v>
      </c>
      <c r="AY93" s="273">
        <v>3.1599999999999998E-4</v>
      </c>
      <c r="AZ93" s="273">
        <v>1.6100000000000001E-4</v>
      </c>
      <c r="BA93" s="273">
        <v>5.5400000000000002E-4</v>
      </c>
      <c r="BB93" s="273">
        <v>5.6300000000000002E-4</v>
      </c>
      <c r="BC93" s="273">
        <v>0</v>
      </c>
      <c r="BD93" s="273">
        <v>0</v>
      </c>
      <c r="BE93" s="273">
        <v>1.4E-5</v>
      </c>
      <c r="BF93" s="273">
        <v>1.2999999999999999E-5</v>
      </c>
      <c r="BG93" s="273">
        <v>1.2E-5</v>
      </c>
      <c r="BH93" s="273">
        <v>5.0000000000000004E-6</v>
      </c>
      <c r="BI93" s="273">
        <v>4.3999999999999999E-5</v>
      </c>
      <c r="BJ93" s="273">
        <v>1.8E-5</v>
      </c>
      <c r="BK93" s="273">
        <v>6.7000000000000002E-5</v>
      </c>
      <c r="BL93" s="273">
        <v>1.3100000000000001E-4</v>
      </c>
      <c r="BM93" s="273">
        <v>2.24E-4</v>
      </c>
      <c r="BN93" s="273">
        <v>2.72E-4</v>
      </c>
      <c r="BO93" s="273">
        <v>7.3200000000000001E-4</v>
      </c>
      <c r="BP93" s="273">
        <v>1.3129999999999999E-3</v>
      </c>
      <c r="BQ93" s="273">
        <v>1.5969999999999999E-3</v>
      </c>
      <c r="BR93" s="273">
        <v>1.688E-3</v>
      </c>
      <c r="BS93" s="273">
        <v>2.4459999999999998E-3</v>
      </c>
      <c r="BT93" s="273">
        <v>1.2260000000000001E-3</v>
      </c>
      <c r="BU93" s="273">
        <v>1.7128000000000001E-2</v>
      </c>
      <c r="BV93" s="273">
        <v>1.8103999999999999E-2</v>
      </c>
      <c r="BW93" s="273">
        <v>11.093615</v>
      </c>
      <c r="BX93" s="273">
        <v>12.565345000000001</v>
      </c>
      <c r="BY93" s="273">
        <v>1.1007290000000001</v>
      </c>
      <c r="BZ93" s="273">
        <v>0.80817499999999998</v>
      </c>
      <c r="CA93" s="273">
        <v>0.55671499999999996</v>
      </c>
      <c r="CB93" s="273">
        <v>0.392401</v>
      </c>
      <c r="CC93" s="273">
        <v>1.2808E-2</v>
      </c>
      <c r="CD93" s="273">
        <v>6.4200000000000004E-3</v>
      </c>
      <c r="CE93" s="273">
        <v>6.3100000000000003E-2</v>
      </c>
      <c r="CF93" s="273">
        <v>5.7852000000000001E-2</v>
      </c>
      <c r="CG93" s="273">
        <v>8.2962999999999995E-2</v>
      </c>
      <c r="CH93" s="273">
        <v>7.1329000000000004E-2</v>
      </c>
      <c r="CI93" s="273">
        <v>2.1543E-2</v>
      </c>
      <c r="CJ93" s="273">
        <v>1.1557E-2</v>
      </c>
      <c r="CK93" s="273">
        <v>1.681E-3</v>
      </c>
      <c r="CL93" s="273">
        <v>8.2299999999999995E-4</v>
      </c>
      <c r="CM93" s="273">
        <v>7.4099999999999999E-3</v>
      </c>
      <c r="CN93" s="273">
        <v>2.8809999999999999E-3</v>
      </c>
      <c r="CO93" s="273">
        <v>0.13719999999999999</v>
      </c>
      <c r="CP93" s="273">
        <v>0.116522</v>
      </c>
      <c r="CQ93" s="273">
        <v>2.3564000000000002E-2</v>
      </c>
      <c r="CR93" s="273">
        <v>1.1606E-2</v>
      </c>
      <c r="CS93" s="273">
        <v>5.8631999999999997E-2</v>
      </c>
      <c r="CT93" s="273">
        <v>0.111972</v>
      </c>
      <c r="CU93" s="273">
        <f t="shared" si="120"/>
        <v>1.381604448E-3</v>
      </c>
      <c r="CV93" s="273">
        <f t="shared" si="106"/>
        <v>1.2995470319999999E-3</v>
      </c>
      <c r="CW93" s="273">
        <v>6.1399999999999996E-3</v>
      </c>
      <c r="CX93" s="273">
        <v>2.8133999999999999E-2</v>
      </c>
      <c r="CY93" s="273">
        <f t="shared" si="121"/>
        <v>1.4468295999999999E-4</v>
      </c>
      <c r="CZ93" s="273">
        <f t="shared" si="107"/>
        <v>3.26523204E-4</v>
      </c>
      <c r="DA93" s="273">
        <v>9.4899999999999997E-4</v>
      </c>
      <c r="DB93" s="273">
        <v>5.1000000000000004E-4</v>
      </c>
      <c r="DC93" s="273">
        <f t="shared" si="122"/>
        <v>2.2037712592000002E-2</v>
      </c>
      <c r="DD93" s="273">
        <f t="shared" si="108"/>
        <v>9.9799297640000006E-3</v>
      </c>
      <c r="DE93" s="273">
        <v>2.3499999999999999E-4</v>
      </c>
      <c r="DF93" s="273">
        <v>1.5699999999999999E-4</v>
      </c>
      <c r="DG93" s="273">
        <f t="shared" si="123"/>
        <v>2.7102874079999997E-3</v>
      </c>
      <c r="DH93" s="273">
        <f t="shared" si="109"/>
        <v>2.2930702360000003E-3</v>
      </c>
      <c r="DI93" s="273">
        <v>3.1700000000000001E-3</v>
      </c>
      <c r="DJ93" s="273">
        <v>1.5479999999999999E-3</v>
      </c>
      <c r="DK93" s="273">
        <v>2.3609999999999998E-3</v>
      </c>
      <c r="DL93" s="273">
        <v>8.5400000000000005E-4</v>
      </c>
      <c r="DM93" s="273">
        <f t="shared" si="124"/>
        <v>5.5309999999999995E-3</v>
      </c>
      <c r="DN93" s="273">
        <f t="shared" si="110"/>
        <v>2.4020000000000001E-3</v>
      </c>
      <c r="DO93" s="273">
        <v>1.297E-3</v>
      </c>
      <c r="DP93" s="273">
        <v>1.0610000000000001E-3</v>
      </c>
      <c r="DQ93" s="273">
        <v>1.635E-3</v>
      </c>
      <c r="DR93" s="273">
        <v>2.787E-3</v>
      </c>
      <c r="DS93" s="273">
        <v>5.8282E-2</v>
      </c>
      <c r="DT93" s="273">
        <v>8.7825E-2</v>
      </c>
      <c r="DU93" s="273">
        <v>2.7636999999999998E-2</v>
      </c>
      <c r="DV93" s="273">
        <v>4.5467E-2</v>
      </c>
      <c r="DW93" s="273">
        <v>4.0188000000000001E-2</v>
      </c>
      <c r="DX93" s="273">
        <v>4.0188000000000001E-2</v>
      </c>
      <c r="DY93" s="273">
        <v>2.9453819999999999</v>
      </c>
      <c r="DZ93" s="273">
        <v>2.2355290000000001</v>
      </c>
      <c r="EA93" s="273">
        <v>3.3933999999999999E-2</v>
      </c>
      <c r="EB93" s="273">
        <v>1.6490999999999999E-2</v>
      </c>
      <c r="EC93" s="273">
        <v>3.4870000000000001E-3</v>
      </c>
      <c r="ED93" s="273">
        <v>4.8589999999999996E-3</v>
      </c>
      <c r="EE93" s="273"/>
      <c r="EF93" s="274"/>
    </row>
    <row r="94" spans="2:136" s="249" customFormat="1" ht="17.399999999999999">
      <c r="B94" s="286">
        <v>87</v>
      </c>
      <c r="C94" s="273">
        <v>5.7883999999999998E-2</v>
      </c>
      <c r="D94" s="273">
        <v>2.3512999999999999E-2</v>
      </c>
      <c r="E94" s="273">
        <v>2.2599999999999999E-4</v>
      </c>
      <c r="F94" s="273">
        <v>1.5799999999999999E-4</v>
      </c>
      <c r="G94" s="273">
        <v>6.4144999999999994E-2</v>
      </c>
      <c r="H94" s="273">
        <v>5.1588000000000002E-2</v>
      </c>
      <c r="I94" s="273">
        <v>5.8109999999999995E-2</v>
      </c>
      <c r="J94" s="273">
        <v>2.3670999999999998E-2</v>
      </c>
      <c r="K94" s="273">
        <v>9.3400000000000004E-4</v>
      </c>
      <c r="L94" s="273">
        <v>1.6119999999999999E-3</v>
      </c>
      <c r="M94" s="273">
        <f t="shared" si="111"/>
        <v>2.0765639305000003E-2</v>
      </c>
      <c r="N94" s="273">
        <f t="shared" si="101"/>
        <v>1.1986086882000001E-2</v>
      </c>
      <c r="O94" s="273">
        <f t="shared" si="112"/>
        <v>3.9073616089999996E-3</v>
      </c>
      <c r="P94" s="273">
        <f t="shared" si="113"/>
        <v>7.3199187599999995E-4</v>
      </c>
      <c r="Q94" s="273">
        <v>2.7271E-2</v>
      </c>
      <c r="R94" s="273">
        <v>1.4938E-2</v>
      </c>
      <c r="S94" s="273">
        <v>1.1150000000000001E-3</v>
      </c>
      <c r="T94" s="273">
        <v>4.9001999999999997E-2</v>
      </c>
      <c r="U94" s="273">
        <v>0.14327899999999999</v>
      </c>
      <c r="V94" s="273">
        <v>0</v>
      </c>
      <c r="W94" s="273">
        <v>5.1174999999999998E-2</v>
      </c>
      <c r="X94" s="273">
        <v>9.9722000000000005E-2</v>
      </c>
      <c r="Y94" s="273">
        <f t="shared" si="114"/>
        <v>1.3955934249999999E-3</v>
      </c>
      <c r="Z94" s="273">
        <f t="shared" si="102"/>
        <v>1.4896472360000001E-3</v>
      </c>
      <c r="AA94" s="273">
        <v>4.7980000000000002E-3</v>
      </c>
      <c r="AB94" s="273">
        <v>1.3113E-2</v>
      </c>
      <c r="AC94" s="273">
        <f t="shared" si="115"/>
        <v>1.30846258E-4</v>
      </c>
      <c r="AD94" s="273">
        <f t="shared" si="103"/>
        <v>1.95881994E-4</v>
      </c>
      <c r="AE94" s="273">
        <v>1.9331000000000001E-2</v>
      </c>
      <c r="AF94" s="273">
        <v>2.8957E-2</v>
      </c>
      <c r="AG94" s="273">
        <f t="shared" si="116"/>
        <v>5.2717570100000008E-4</v>
      </c>
      <c r="AH94" s="273">
        <f t="shared" si="104"/>
        <v>4.32559666E-4</v>
      </c>
      <c r="AI94" s="273">
        <v>1.9962000000000001E-2</v>
      </c>
      <c r="AJ94" s="273">
        <v>6.8170000000000001E-3</v>
      </c>
      <c r="AK94" s="273">
        <f t="shared" si="117"/>
        <v>5.4438370199999997E-4</v>
      </c>
      <c r="AL94" s="273">
        <f t="shared" si="105"/>
        <v>1.01832346E-4</v>
      </c>
      <c r="AM94" s="273">
        <f t="shared" si="118"/>
        <v>2.674139718E-3</v>
      </c>
      <c r="AN94" s="273">
        <f t="shared" si="119"/>
        <v>2.1518189000000001E-3</v>
      </c>
      <c r="AO94" s="273">
        <v>9.8058000000000006E-2</v>
      </c>
      <c r="AP94" s="273">
        <v>0.14405000000000001</v>
      </c>
      <c r="AQ94" s="273">
        <v>8.4999999999999995E-4</v>
      </c>
      <c r="AR94" s="273">
        <v>5.7300000000000005E-4</v>
      </c>
      <c r="AS94" s="273">
        <v>2.7799999999999998E-4</v>
      </c>
      <c r="AT94" s="273">
        <v>2.9500000000000001E-4</v>
      </c>
      <c r="AU94" s="273">
        <v>1.781E-3</v>
      </c>
      <c r="AV94" s="273">
        <v>9.3599999999999998E-4</v>
      </c>
      <c r="AW94" s="273">
        <v>3.6999999999999998E-5</v>
      </c>
      <c r="AX94" s="273">
        <v>7.9999999999999996E-6</v>
      </c>
      <c r="AY94" s="273">
        <v>3.1599999999999998E-4</v>
      </c>
      <c r="AZ94" s="273">
        <v>1.6100000000000001E-4</v>
      </c>
      <c r="BA94" s="273">
        <v>5.5400000000000002E-4</v>
      </c>
      <c r="BB94" s="273">
        <v>5.6300000000000002E-4</v>
      </c>
      <c r="BC94" s="273">
        <v>0</v>
      </c>
      <c r="BD94" s="273">
        <v>0</v>
      </c>
      <c r="BE94" s="273">
        <v>1.4E-5</v>
      </c>
      <c r="BF94" s="273">
        <v>1.2999999999999999E-5</v>
      </c>
      <c r="BG94" s="273">
        <v>1.2E-5</v>
      </c>
      <c r="BH94" s="273">
        <v>5.0000000000000004E-6</v>
      </c>
      <c r="BI94" s="273">
        <v>4.3999999999999999E-5</v>
      </c>
      <c r="BJ94" s="273">
        <v>1.8E-5</v>
      </c>
      <c r="BK94" s="273">
        <v>6.7000000000000002E-5</v>
      </c>
      <c r="BL94" s="273">
        <v>1.3100000000000001E-4</v>
      </c>
      <c r="BM94" s="273">
        <v>2.1599999999999999E-4</v>
      </c>
      <c r="BN94" s="273">
        <v>2.5300000000000002E-4</v>
      </c>
      <c r="BO94" s="273">
        <v>7.4899999999999999E-4</v>
      </c>
      <c r="BP94" s="273">
        <v>1.3129999999999999E-3</v>
      </c>
      <c r="BQ94" s="273">
        <v>1.5969999999999999E-3</v>
      </c>
      <c r="BR94" s="273">
        <v>1.688E-3</v>
      </c>
      <c r="BS94" s="273">
        <v>2.4459999999999998E-3</v>
      </c>
      <c r="BT94" s="273">
        <v>1.2260000000000001E-3</v>
      </c>
      <c r="BU94" s="273">
        <v>1.7128000000000001E-2</v>
      </c>
      <c r="BV94" s="273">
        <v>1.8103999999999999E-2</v>
      </c>
      <c r="BW94" s="273">
        <v>11.996734999999999</v>
      </c>
      <c r="BX94" s="273">
        <v>12.996878000000001</v>
      </c>
      <c r="BY94" s="273">
        <v>1.145788</v>
      </c>
      <c r="BZ94" s="273">
        <v>0.77841099999999996</v>
      </c>
      <c r="CA94" s="273">
        <v>0.60374799999999995</v>
      </c>
      <c r="CB94" s="273">
        <v>0.406115</v>
      </c>
      <c r="CC94" s="273">
        <v>1.2808E-2</v>
      </c>
      <c r="CD94" s="273">
        <v>6.4200000000000004E-3</v>
      </c>
      <c r="CE94" s="273">
        <v>6.0849E-2</v>
      </c>
      <c r="CF94" s="273">
        <v>5.3777999999999999E-2</v>
      </c>
      <c r="CG94" s="273">
        <v>8.0003000000000005E-2</v>
      </c>
      <c r="CH94" s="273">
        <v>6.6307000000000005E-2</v>
      </c>
      <c r="CI94" s="273">
        <v>2.0774000000000001E-2</v>
      </c>
      <c r="CJ94" s="273">
        <v>1.0743000000000001E-2</v>
      </c>
      <c r="CK94" s="273">
        <v>1.621E-3</v>
      </c>
      <c r="CL94" s="273">
        <v>7.6599999999999997E-4</v>
      </c>
      <c r="CM94" s="273">
        <v>7.1459999999999996E-3</v>
      </c>
      <c r="CN94" s="273">
        <v>2.6779999999999998E-3</v>
      </c>
      <c r="CO94" s="273">
        <v>0.13230500000000001</v>
      </c>
      <c r="CP94" s="273">
        <v>0.108318</v>
      </c>
      <c r="CQ94" s="273">
        <v>2.2922999999999999E-2</v>
      </c>
      <c r="CR94" s="273">
        <v>1.1087E-2</v>
      </c>
      <c r="CS94" s="273">
        <v>5.8652999999999997E-2</v>
      </c>
      <c r="CT94" s="273">
        <v>0.11197699999999999</v>
      </c>
      <c r="CU94" s="273">
        <f t="shared" si="120"/>
        <v>1.344502719E-3</v>
      </c>
      <c r="CV94" s="273">
        <f t="shared" si="106"/>
        <v>1.2414889989999999E-3</v>
      </c>
      <c r="CW94" s="273">
        <v>6.1390000000000004E-3</v>
      </c>
      <c r="CX94" s="273">
        <v>2.8143999999999999E-2</v>
      </c>
      <c r="CY94" s="273">
        <f t="shared" si="121"/>
        <v>1.4072429700000001E-4</v>
      </c>
      <c r="CZ94" s="273">
        <f t="shared" si="107"/>
        <v>3.1203252799999996E-4</v>
      </c>
      <c r="DA94" s="273">
        <v>9.4899999999999997E-4</v>
      </c>
      <c r="DB94" s="273">
        <v>5.1000000000000004E-4</v>
      </c>
      <c r="DC94" s="273">
        <f t="shared" si="122"/>
        <v>2.1437772984E-2</v>
      </c>
      <c r="DD94" s="273">
        <f t="shared" si="108"/>
        <v>9.533478473E-3</v>
      </c>
      <c r="DE94" s="273">
        <v>2.3499999999999999E-4</v>
      </c>
      <c r="DF94" s="273">
        <v>1.5699999999999999E-4</v>
      </c>
      <c r="DG94" s="273">
        <f t="shared" si="123"/>
        <v>2.6692270159999996E-3</v>
      </c>
      <c r="DH94" s="273">
        <f t="shared" si="109"/>
        <v>2.2205215269999997E-3</v>
      </c>
      <c r="DI94" s="273">
        <v>3.0569999999999998E-3</v>
      </c>
      <c r="DJ94" s="273">
        <v>1.439E-3</v>
      </c>
      <c r="DK94" s="273">
        <v>2.3609999999999998E-3</v>
      </c>
      <c r="DL94" s="273">
        <v>8.5400000000000005E-4</v>
      </c>
      <c r="DM94" s="273">
        <f t="shared" si="124"/>
        <v>5.4179999999999992E-3</v>
      </c>
      <c r="DN94" s="273">
        <f t="shared" si="110"/>
        <v>2.2929999999999999E-3</v>
      </c>
      <c r="DO94" s="273">
        <v>1.297E-3</v>
      </c>
      <c r="DP94" s="273">
        <v>1.0610000000000001E-3</v>
      </c>
      <c r="DQ94" s="273">
        <v>1.635E-3</v>
      </c>
      <c r="DR94" s="273">
        <v>2.787E-3</v>
      </c>
      <c r="DS94" s="273">
        <v>5.8282E-2</v>
      </c>
      <c r="DT94" s="273">
        <v>8.7825E-2</v>
      </c>
      <c r="DU94" s="273">
        <v>2.7636999999999998E-2</v>
      </c>
      <c r="DV94" s="273">
        <v>4.5467E-2</v>
      </c>
      <c r="DW94" s="273">
        <v>4.0188000000000001E-2</v>
      </c>
      <c r="DX94" s="273">
        <v>4.0188000000000001E-2</v>
      </c>
      <c r="DY94" s="273">
        <v>3.1634199999999999</v>
      </c>
      <c r="DZ94" s="273">
        <v>2.3269470000000001</v>
      </c>
      <c r="EA94" s="273">
        <v>3.9289999999999999E-2</v>
      </c>
      <c r="EB94" s="273">
        <v>1.7645000000000001E-2</v>
      </c>
      <c r="EC94" s="273">
        <v>3.4870000000000001E-3</v>
      </c>
      <c r="ED94" s="273">
        <v>4.8589999999999996E-3</v>
      </c>
      <c r="EE94" s="273"/>
      <c r="EF94" s="274"/>
    </row>
    <row r="95" spans="2:136" s="249" customFormat="1" ht="17.399999999999999">
      <c r="B95" s="286">
        <v>88</v>
      </c>
      <c r="C95" s="273">
        <v>6.8372000000000002E-2</v>
      </c>
      <c r="D95" s="273">
        <v>2.6463E-2</v>
      </c>
      <c r="E95" s="273">
        <v>2.2599999999999999E-4</v>
      </c>
      <c r="F95" s="273">
        <v>1.5799999999999999E-4</v>
      </c>
      <c r="G95" s="273">
        <v>7.0967000000000002E-2</v>
      </c>
      <c r="H95" s="273">
        <v>6.0066000000000001E-2</v>
      </c>
      <c r="I95" s="273">
        <v>6.8598000000000006E-2</v>
      </c>
      <c r="J95" s="273">
        <v>2.6620999999999999E-2</v>
      </c>
      <c r="K95" s="273">
        <v>9.3400000000000004E-4</v>
      </c>
      <c r="L95" s="273">
        <v>1.6119999999999999E-3</v>
      </c>
      <c r="M95" s="273">
        <f t="shared" si="111"/>
        <v>2.0952396720000006E-2</v>
      </c>
      <c r="N95" s="273">
        <f t="shared" si="101"/>
        <v>1.2061950155999999E-2</v>
      </c>
      <c r="O95" s="273">
        <f t="shared" si="112"/>
        <v>3.7353265800000005E-3</v>
      </c>
      <c r="P95" s="273">
        <f t="shared" si="113"/>
        <v>7.1654581999999994E-4</v>
      </c>
      <c r="Q95" s="273">
        <v>2.7348000000000001E-2</v>
      </c>
      <c r="R95" s="273">
        <v>1.5082E-2</v>
      </c>
      <c r="S95" s="273">
        <v>1.1130000000000001E-3</v>
      </c>
      <c r="T95" s="273">
        <v>4.7509999999999997E-2</v>
      </c>
      <c r="U95" s="273">
        <v>0.13658500000000001</v>
      </c>
      <c r="V95" s="273">
        <v>0</v>
      </c>
      <c r="W95" s="273">
        <v>5.3032999999999997E-2</v>
      </c>
      <c r="X95" s="273">
        <v>0.104091</v>
      </c>
      <c r="Y95" s="273">
        <f t="shared" si="114"/>
        <v>1.4503464839999999E-3</v>
      </c>
      <c r="Z95" s="273">
        <f t="shared" si="102"/>
        <v>1.569900462E-3</v>
      </c>
      <c r="AA95" s="273">
        <v>4.5170000000000002E-3</v>
      </c>
      <c r="AB95" s="273">
        <v>1.2633999999999999E-2</v>
      </c>
      <c r="AC95" s="273">
        <f t="shared" si="115"/>
        <v>1.23530916E-4</v>
      </c>
      <c r="AD95" s="273">
        <f t="shared" si="103"/>
        <v>1.9054598799999998E-4</v>
      </c>
      <c r="AE95" s="273">
        <v>1.9321999999999999E-2</v>
      </c>
      <c r="AF95" s="273">
        <v>2.9038000000000001E-2</v>
      </c>
      <c r="AG95" s="273">
        <f t="shared" si="116"/>
        <v>5.28418056E-4</v>
      </c>
      <c r="AH95" s="273">
        <f t="shared" si="104"/>
        <v>4.3795111600000003E-4</v>
      </c>
      <c r="AI95" s="273">
        <v>2.0403000000000001E-2</v>
      </c>
      <c r="AJ95" s="273">
        <v>6.9690000000000004E-3</v>
      </c>
      <c r="AK95" s="273">
        <f t="shared" si="117"/>
        <v>5.5798124400000004E-4</v>
      </c>
      <c r="AL95" s="273">
        <f t="shared" si="105"/>
        <v>1.0510645800000001E-4</v>
      </c>
      <c r="AM95" s="273">
        <f t="shared" si="118"/>
        <v>2.6855462519999999E-3</v>
      </c>
      <c r="AN95" s="273">
        <f t="shared" si="119"/>
        <v>2.0965488199999999E-3</v>
      </c>
      <c r="AO95" s="273">
        <v>9.8198999999999995E-2</v>
      </c>
      <c r="AP95" s="273">
        <v>0.13900999999999999</v>
      </c>
      <c r="AQ95" s="273">
        <v>7.8399999999999997E-4</v>
      </c>
      <c r="AR95" s="273">
        <v>5.1900000000000004E-4</v>
      </c>
      <c r="AS95" s="273">
        <v>2.7799999999999998E-4</v>
      </c>
      <c r="AT95" s="273">
        <v>2.9700000000000001E-4</v>
      </c>
      <c r="AU95" s="273">
        <v>1.781E-3</v>
      </c>
      <c r="AV95" s="273">
        <v>9.3599999999999998E-4</v>
      </c>
      <c r="AW95" s="273">
        <v>3.6999999999999998E-5</v>
      </c>
      <c r="AX95" s="273">
        <v>7.9999999999999996E-6</v>
      </c>
      <c r="AY95" s="273">
        <v>3.1599999999999998E-4</v>
      </c>
      <c r="AZ95" s="273">
        <v>1.6100000000000001E-4</v>
      </c>
      <c r="BA95" s="273">
        <v>5.5400000000000002E-4</v>
      </c>
      <c r="BB95" s="273">
        <v>5.6300000000000002E-4</v>
      </c>
      <c r="BC95" s="273">
        <v>0</v>
      </c>
      <c r="BD95" s="273">
        <v>0</v>
      </c>
      <c r="BE95" s="273">
        <v>1.4E-5</v>
      </c>
      <c r="BF95" s="273">
        <v>1.2999999999999999E-5</v>
      </c>
      <c r="BG95" s="273">
        <v>1.2E-5</v>
      </c>
      <c r="BH95" s="273">
        <v>5.0000000000000004E-6</v>
      </c>
      <c r="BI95" s="273">
        <v>4.3999999999999999E-5</v>
      </c>
      <c r="BJ95" s="273">
        <v>1.8E-5</v>
      </c>
      <c r="BK95" s="273">
        <v>6.7000000000000002E-5</v>
      </c>
      <c r="BL95" s="273">
        <v>1.3100000000000001E-4</v>
      </c>
      <c r="BM95" s="273">
        <v>2.0599999999999999E-4</v>
      </c>
      <c r="BN95" s="273">
        <v>2.31E-4</v>
      </c>
      <c r="BO95" s="273">
        <v>7.6800000000000002E-4</v>
      </c>
      <c r="BP95" s="273">
        <v>1.305E-3</v>
      </c>
      <c r="BQ95" s="273">
        <v>1.5969999999999999E-3</v>
      </c>
      <c r="BR95" s="273">
        <v>1.688E-3</v>
      </c>
      <c r="BS95" s="273">
        <v>2.4459999999999998E-3</v>
      </c>
      <c r="BT95" s="273">
        <v>1.2260000000000001E-3</v>
      </c>
      <c r="BU95" s="273">
        <v>1.7128000000000001E-2</v>
      </c>
      <c r="BV95" s="273">
        <v>1.8103999999999999E-2</v>
      </c>
      <c r="BW95" s="273">
        <v>13.200670000000001</v>
      </c>
      <c r="BX95" s="273">
        <v>13.377533</v>
      </c>
      <c r="BY95" s="273">
        <v>1.221557</v>
      </c>
      <c r="BZ95" s="273">
        <v>0.733989</v>
      </c>
      <c r="CA95" s="273">
        <v>0.65834700000000002</v>
      </c>
      <c r="CB95" s="273">
        <v>0.41919899999999999</v>
      </c>
      <c r="CC95" s="273">
        <v>1.2808E-2</v>
      </c>
      <c r="CD95" s="273">
        <v>6.4200000000000004E-3</v>
      </c>
      <c r="CE95" s="273">
        <v>5.8187000000000003E-2</v>
      </c>
      <c r="CF95" s="273">
        <v>4.9224999999999998E-2</v>
      </c>
      <c r="CG95" s="273">
        <v>7.6503000000000002E-2</v>
      </c>
      <c r="CH95" s="273">
        <v>6.0692000000000003E-2</v>
      </c>
      <c r="CI95" s="273">
        <v>1.9865000000000001E-2</v>
      </c>
      <c r="CJ95" s="273">
        <v>9.8329999999999997E-3</v>
      </c>
      <c r="CK95" s="273">
        <v>1.5499999999999999E-3</v>
      </c>
      <c r="CL95" s="273">
        <v>6.9999999999999999E-4</v>
      </c>
      <c r="CM95" s="273">
        <v>6.8329999999999997E-3</v>
      </c>
      <c r="CN95" s="273">
        <v>2.4510000000000001E-3</v>
      </c>
      <c r="CO95" s="273">
        <v>0.12651699999999999</v>
      </c>
      <c r="CP95" s="273">
        <v>9.9144999999999997E-2</v>
      </c>
      <c r="CQ95" s="273">
        <v>2.2016000000000001E-2</v>
      </c>
      <c r="CR95" s="273">
        <v>1.0416E-2</v>
      </c>
      <c r="CS95" s="273">
        <v>5.8620999999999999E-2</v>
      </c>
      <c r="CT95" s="273">
        <v>0.11194999999999999</v>
      </c>
      <c r="CU95" s="273">
        <f t="shared" si="120"/>
        <v>1.2905999360000001E-3</v>
      </c>
      <c r="CV95" s="273">
        <f t="shared" si="106"/>
        <v>1.1660711999999999E-3</v>
      </c>
      <c r="CW95" s="273">
        <v>6.1310000000000002E-3</v>
      </c>
      <c r="CX95" s="273">
        <v>2.8136999999999999E-2</v>
      </c>
      <c r="CY95" s="273">
        <f t="shared" si="121"/>
        <v>1.3498009600000001E-4</v>
      </c>
      <c r="CZ95" s="273">
        <f t="shared" si="107"/>
        <v>2.9307499199999999E-4</v>
      </c>
      <c r="DA95" s="273">
        <v>9.4899999999999997E-4</v>
      </c>
      <c r="DB95" s="273">
        <v>5.1000000000000004E-4</v>
      </c>
      <c r="DC95" s="273">
        <f t="shared" si="122"/>
        <v>2.0590419968000002E-2</v>
      </c>
      <c r="DD95" s="273">
        <f t="shared" si="108"/>
        <v>8.9568538079999992E-3</v>
      </c>
      <c r="DE95" s="273">
        <v>2.3499999999999999E-4</v>
      </c>
      <c r="DF95" s="273">
        <v>1.5699999999999999E-4</v>
      </c>
      <c r="DG95" s="273">
        <f t="shared" si="123"/>
        <v>2.6095800320000001E-3</v>
      </c>
      <c r="DH95" s="273">
        <f t="shared" si="109"/>
        <v>2.1261461919999999E-3</v>
      </c>
      <c r="DI95" s="273">
        <v>2.9229999999999998E-3</v>
      </c>
      <c r="DJ95" s="273">
        <v>1.317E-3</v>
      </c>
      <c r="DK95" s="273">
        <v>2.3609999999999998E-3</v>
      </c>
      <c r="DL95" s="273">
        <v>8.5400000000000005E-4</v>
      </c>
      <c r="DM95" s="273">
        <f t="shared" si="124"/>
        <v>5.2839999999999996E-3</v>
      </c>
      <c r="DN95" s="273">
        <f t="shared" si="110"/>
        <v>2.1710000000000002E-3</v>
      </c>
      <c r="DO95" s="273">
        <v>1.297E-3</v>
      </c>
      <c r="DP95" s="273">
        <v>1.0610000000000001E-3</v>
      </c>
      <c r="DQ95" s="273">
        <v>1.635E-3</v>
      </c>
      <c r="DR95" s="273">
        <v>2.787E-3</v>
      </c>
      <c r="DS95" s="273">
        <v>5.8282E-2</v>
      </c>
      <c r="DT95" s="273">
        <v>8.7825E-2</v>
      </c>
      <c r="DU95" s="273">
        <v>2.7636999999999998E-2</v>
      </c>
      <c r="DV95" s="273">
        <v>4.5467E-2</v>
      </c>
      <c r="DW95" s="273">
        <v>4.0188000000000001E-2</v>
      </c>
      <c r="DX95" s="273">
        <v>4.0188000000000001E-2</v>
      </c>
      <c r="DY95" s="273">
        <v>3.4107259999999999</v>
      </c>
      <c r="DZ95" s="273">
        <v>2.362622</v>
      </c>
      <c r="EA95" s="273">
        <v>4.5593000000000002E-2</v>
      </c>
      <c r="EB95" s="273">
        <v>1.8974000000000001E-2</v>
      </c>
      <c r="EC95" s="273">
        <v>3.4870000000000001E-3</v>
      </c>
      <c r="ED95" s="273">
        <v>4.8589999999999996E-3</v>
      </c>
      <c r="EE95" s="273"/>
      <c r="EF95" s="274"/>
    </row>
    <row r="96" spans="2:136" s="249" customFormat="1" ht="17.399999999999999">
      <c r="B96" s="286">
        <v>89</v>
      </c>
      <c r="C96" s="273">
        <v>8.0653000000000002E-2</v>
      </c>
      <c r="D96" s="273">
        <v>2.9862E-2</v>
      </c>
      <c r="E96" s="273">
        <v>2.2599999999999999E-4</v>
      </c>
      <c r="F96" s="273">
        <v>1.5799999999999999E-4</v>
      </c>
      <c r="G96" s="273">
        <v>7.8386999999999998E-2</v>
      </c>
      <c r="H96" s="273">
        <v>6.9719000000000003E-2</v>
      </c>
      <c r="I96" s="273">
        <v>8.0879000000000006E-2</v>
      </c>
      <c r="J96" s="273">
        <v>3.0019999999999998E-2</v>
      </c>
      <c r="K96" s="273">
        <v>9.3400000000000004E-4</v>
      </c>
      <c r="L96" s="273">
        <v>1.6119999999999999E-3</v>
      </c>
      <c r="M96" s="273">
        <f t="shared" si="111"/>
        <v>2.1101835699E-2</v>
      </c>
      <c r="N96" s="273">
        <f t="shared" si="101"/>
        <v>1.2119373324999998E-2</v>
      </c>
      <c r="O96" s="273">
        <f t="shared" si="112"/>
        <v>3.5560532840000002E-3</v>
      </c>
      <c r="P96" s="273">
        <f t="shared" si="113"/>
        <v>6.9968848499999997E-4</v>
      </c>
      <c r="Q96" s="273">
        <v>2.7376999999999999E-2</v>
      </c>
      <c r="R96" s="273">
        <v>1.5205E-2</v>
      </c>
      <c r="S96" s="273">
        <v>1.1130000000000001E-3</v>
      </c>
      <c r="T96" s="273">
        <v>4.6017000000000002E-2</v>
      </c>
      <c r="U96" s="273">
        <v>0.12989200000000001</v>
      </c>
      <c r="V96" s="273">
        <v>0</v>
      </c>
      <c r="W96" s="273">
        <v>5.4926000000000003E-2</v>
      </c>
      <c r="X96" s="273">
        <v>0.108516</v>
      </c>
      <c r="Y96" s="273">
        <f t="shared" si="114"/>
        <v>1.503709102E-3</v>
      </c>
      <c r="Z96" s="273">
        <f t="shared" si="102"/>
        <v>1.64998578E-3</v>
      </c>
      <c r="AA96" s="273">
        <v>4.2379999999999996E-3</v>
      </c>
      <c r="AB96" s="273">
        <v>1.2163E-2</v>
      </c>
      <c r="AC96" s="273">
        <f t="shared" si="115"/>
        <v>1.1602372599999998E-4</v>
      </c>
      <c r="AD96" s="273">
        <f t="shared" si="103"/>
        <v>1.8493841499999999E-4</v>
      </c>
      <c r="AE96" s="273">
        <v>1.9313E-2</v>
      </c>
      <c r="AF96" s="273">
        <v>2.9118999999999999E-2</v>
      </c>
      <c r="AG96" s="273">
        <f t="shared" si="116"/>
        <v>5.2873200099999996E-4</v>
      </c>
      <c r="AH96" s="273">
        <f t="shared" si="104"/>
        <v>4.42754395E-4</v>
      </c>
      <c r="AI96" s="273">
        <v>2.0844000000000001E-2</v>
      </c>
      <c r="AJ96" s="273">
        <v>7.1199999999999996E-3</v>
      </c>
      <c r="AK96" s="273">
        <f t="shared" si="117"/>
        <v>5.7064618799999996E-4</v>
      </c>
      <c r="AL96" s="273">
        <f t="shared" si="105"/>
        <v>1.082596E-4</v>
      </c>
      <c r="AM96" s="273">
        <f t="shared" si="118"/>
        <v>2.6922815569999999E-3</v>
      </c>
      <c r="AN96" s="273">
        <f t="shared" si="119"/>
        <v>2.0370138499999999E-3</v>
      </c>
      <c r="AO96" s="273">
        <v>9.8340999999999998E-2</v>
      </c>
      <c r="AP96" s="273">
        <v>0.13397000000000001</v>
      </c>
      <c r="AQ96" s="273">
        <v>7.27E-4</v>
      </c>
      <c r="AR96" s="273">
        <v>4.7100000000000001E-4</v>
      </c>
      <c r="AS96" s="273">
        <v>2.7799999999999998E-4</v>
      </c>
      <c r="AT96" s="273">
        <v>2.9999999999999997E-4</v>
      </c>
      <c r="AU96" s="273">
        <v>1.781E-3</v>
      </c>
      <c r="AV96" s="273">
        <v>9.3599999999999998E-4</v>
      </c>
      <c r="AW96" s="273">
        <v>3.6999999999999998E-5</v>
      </c>
      <c r="AX96" s="273">
        <v>7.9999999999999996E-6</v>
      </c>
      <c r="AY96" s="273">
        <v>3.1599999999999998E-4</v>
      </c>
      <c r="AZ96" s="273">
        <v>1.6100000000000001E-4</v>
      </c>
      <c r="BA96" s="273">
        <v>5.5400000000000002E-4</v>
      </c>
      <c r="BB96" s="273">
        <v>5.6300000000000002E-4</v>
      </c>
      <c r="BC96" s="273">
        <v>0</v>
      </c>
      <c r="BD96" s="273">
        <v>0</v>
      </c>
      <c r="BE96" s="273">
        <v>1.4E-5</v>
      </c>
      <c r="BF96" s="273">
        <v>1.2999999999999999E-5</v>
      </c>
      <c r="BG96" s="273">
        <v>1.2E-5</v>
      </c>
      <c r="BH96" s="273">
        <v>5.0000000000000004E-6</v>
      </c>
      <c r="BI96" s="273">
        <v>4.3999999999999999E-5</v>
      </c>
      <c r="BJ96" s="273">
        <v>1.8E-5</v>
      </c>
      <c r="BK96" s="273">
        <v>6.7000000000000002E-5</v>
      </c>
      <c r="BL96" s="273">
        <v>1.3100000000000001E-4</v>
      </c>
      <c r="BM96" s="273">
        <v>1.9699999999999999E-4</v>
      </c>
      <c r="BN96" s="273">
        <v>2.1100000000000001E-4</v>
      </c>
      <c r="BO96" s="273">
        <v>7.85E-4</v>
      </c>
      <c r="BP96" s="273">
        <v>1.294E-3</v>
      </c>
      <c r="BQ96" s="273">
        <v>1.5969999999999999E-3</v>
      </c>
      <c r="BR96" s="273">
        <v>1.688E-3</v>
      </c>
      <c r="BS96" s="273">
        <v>2.4459999999999998E-3</v>
      </c>
      <c r="BT96" s="273">
        <v>1.2260000000000001E-3</v>
      </c>
      <c r="BU96" s="273">
        <v>1.7128000000000001E-2</v>
      </c>
      <c r="BV96" s="273">
        <v>1.8103999999999999E-2</v>
      </c>
      <c r="BW96" s="273">
        <v>14.413043999999999</v>
      </c>
      <c r="BX96" s="273">
        <v>13.697996</v>
      </c>
      <c r="BY96" s="273">
        <v>1.3069740000000001</v>
      </c>
      <c r="BZ96" s="273">
        <v>0.68377100000000002</v>
      </c>
      <c r="CA96" s="273">
        <v>0.711619</v>
      </c>
      <c r="CB96" s="273">
        <v>0.43029299999999998</v>
      </c>
      <c r="CC96" s="273">
        <v>1.2808E-2</v>
      </c>
      <c r="CD96" s="273">
        <v>6.4200000000000004E-3</v>
      </c>
      <c r="CE96" s="273">
        <v>5.5560999999999999E-2</v>
      </c>
      <c r="CF96" s="273">
        <v>4.4885000000000001E-2</v>
      </c>
      <c r="CG96" s="273">
        <v>7.3049000000000003E-2</v>
      </c>
      <c r="CH96" s="273">
        <v>5.5341000000000001E-2</v>
      </c>
      <c r="CI96" s="273">
        <v>1.8967999999999999E-2</v>
      </c>
      <c r="CJ96" s="273">
        <v>8.966E-3</v>
      </c>
      <c r="CK96" s="273">
        <v>1.4790000000000001E-3</v>
      </c>
      <c r="CL96" s="273">
        <v>6.38E-4</v>
      </c>
      <c r="CM96" s="273">
        <v>6.5250000000000004E-3</v>
      </c>
      <c r="CN96" s="273">
        <v>2.235E-3</v>
      </c>
      <c r="CO96" s="273">
        <v>0.120805</v>
      </c>
      <c r="CP96" s="273">
        <v>9.0403999999999998E-2</v>
      </c>
      <c r="CQ96" s="273">
        <v>2.1034000000000001E-2</v>
      </c>
      <c r="CR96" s="273">
        <v>9.7219999999999997E-3</v>
      </c>
      <c r="CS96" s="273">
        <v>5.8637000000000002E-2</v>
      </c>
      <c r="CT96" s="273">
        <v>0.11190700000000001</v>
      </c>
      <c r="CU96" s="273">
        <f t="shared" si="120"/>
        <v>1.2333706580000001E-3</v>
      </c>
      <c r="CV96" s="273">
        <f t="shared" si="106"/>
        <v>1.0879598539999999E-3</v>
      </c>
      <c r="CW96" s="273">
        <v>6.123E-3</v>
      </c>
      <c r="CX96" s="273">
        <v>2.8129000000000001E-2</v>
      </c>
      <c r="CY96" s="273">
        <f t="shared" si="121"/>
        <v>1.2879118200000001E-4</v>
      </c>
      <c r="CZ96" s="273">
        <f t="shared" si="107"/>
        <v>2.7347013799999999E-4</v>
      </c>
      <c r="DA96" s="273">
        <v>9.4899999999999997E-4</v>
      </c>
      <c r="DB96" s="273">
        <v>5.1000000000000004E-4</v>
      </c>
      <c r="DC96" s="273">
        <f t="shared" si="122"/>
        <v>1.967183816E-2</v>
      </c>
      <c r="DD96" s="273">
        <f t="shared" si="108"/>
        <v>8.3605700079999994E-3</v>
      </c>
      <c r="DE96" s="273">
        <v>2.3499999999999999E-4</v>
      </c>
      <c r="DF96" s="273">
        <v>1.5699999999999999E-4</v>
      </c>
      <c r="DG96" s="273">
        <f t="shared" si="123"/>
        <v>2.54616184E-3</v>
      </c>
      <c r="DH96" s="273">
        <f t="shared" si="109"/>
        <v>2.0284299919999999E-3</v>
      </c>
      <c r="DI96" s="273">
        <v>2.7910000000000001E-3</v>
      </c>
      <c r="DJ96" s="273">
        <v>1.201E-3</v>
      </c>
      <c r="DK96" s="273">
        <v>2.3609999999999998E-3</v>
      </c>
      <c r="DL96" s="273">
        <v>8.5400000000000005E-4</v>
      </c>
      <c r="DM96" s="273">
        <f t="shared" si="124"/>
        <v>5.1520000000000003E-3</v>
      </c>
      <c r="DN96" s="273">
        <f t="shared" si="110"/>
        <v>2.055E-3</v>
      </c>
      <c r="DO96" s="273">
        <v>1.297E-3</v>
      </c>
      <c r="DP96" s="273">
        <v>1.0610000000000001E-3</v>
      </c>
      <c r="DQ96" s="273">
        <v>1.635E-3</v>
      </c>
      <c r="DR96" s="273">
        <v>2.787E-3</v>
      </c>
      <c r="DS96" s="273">
        <v>5.8282E-2</v>
      </c>
      <c r="DT96" s="273">
        <v>8.7825E-2</v>
      </c>
      <c r="DU96" s="273">
        <v>2.7636999999999998E-2</v>
      </c>
      <c r="DV96" s="273">
        <v>4.5467E-2</v>
      </c>
      <c r="DW96" s="273">
        <v>4.0188000000000001E-2</v>
      </c>
      <c r="DX96" s="273">
        <v>4.0188000000000001E-2</v>
      </c>
      <c r="DY96" s="273">
        <v>3.6485910000000001</v>
      </c>
      <c r="DZ96" s="273">
        <v>2.3558819999999998</v>
      </c>
      <c r="EA96" s="273">
        <v>5.2972999999999999E-2</v>
      </c>
      <c r="EB96" s="273">
        <v>2.0507000000000001E-2</v>
      </c>
      <c r="EC96" s="273">
        <v>3.4870000000000001E-3</v>
      </c>
      <c r="ED96" s="273">
        <v>4.8589999999999996E-3</v>
      </c>
      <c r="EE96" s="273"/>
      <c r="EF96" s="274"/>
    </row>
    <row r="97" spans="2:136" s="249" customFormat="1" ht="17.399999999999999">
      <c r="B97" s="286">
        <v>90</v>
      </c>
      <c r="C97" s="273">
        <v>9.4953999999999997E-2</v>
      </c>
      <c r="D97" s="273">
        <v>3.3782E-2</v>
      </c>
      <c r="E97" s="273">
        <v>2.2599999999999999E-4</v>
      </c>
      <c r="F97" s="273">
        <v>1.5799999999999999E-4</v>
      </c>
      <c r="G97" s="273">
        <v>8.6098999999999995E-2</v>
      </c>
      <c r="H97" s="273">
        <v>7.9930000000000001E-2</v>
      </c>
      <c r="I97" s="273">
        <v>9.5180000000000001E-2</v>
      </c>
      <c r="J97" s="273">
        <v>3.3939999999999998E-2</v>
      </c>
      <c r="K97" s="273">
        <v>9.3400000000000004E-4</v>
      </c>
      <c r="L97" s="273">
        <v>1.6119999999999999E-3</v>
      </c>
      <c r="M97" s="273">
        <f t="shared" si="111"/>
        <v>2.1237706070000001E-2</v>
      </c>
      <c r="N97" s="273">
        <f t="shared" si="101"/>
        <v>1.2168054555E-2</v>
      </c>
      <c r="O97" s="273">
        <f t="shared" si="112"/>
        <v>3.373900428E-3</v>
      </c>
      <c r="P97" s="273">
        <f t="shared" si="113"/>
        <v>6.8198942500000007E-4</v>
      </c>
      <c r="Q97" s="273">
        <v>2.7386000000000001E-2</v>
      </c>
      <c r="R97" s="273">
        <v>1.5317000000000001E-2</v>
      </c>
      <c r="S97" s="273">
        <v>1.1119999999999999E-3</v>
      </c>
      <c r="T97" s="273">
        <v>4.4525000000000002E-2</v>
      </c>
      <c r="U97" s="273">
        <v>0.123198</v>
      </c>
      <c r="V97" s="273">
        <v>0</v>
      </c>
      <c r="W97" s="273">
        <v>5.6762E-2</v>
      </c>
      <c r="X97" s="273">
        <v>0.112888</v>
      </c>
      <c r="Y97" s="273">
        <f t="shared" si="114"/>
        <v>1.554484132E-3</v>
      </c>
      <c r="Z97" s="273">
        <f t="shared" si="102"/>
        <v>1.7291054960000001E-3</v>
      </c>
      <c r="AA97" s="273">
        <v>3.9569999999999996E-3</v>
      </c>
      <c r="AB97" s="273">
        <v>1.1701E-2</v>
      </c>
      <c r="AC97" s="273">
        <f t="shared" si="115"/>
        <v>1.0836640199999999E-4</v>
      </c>
      <c r="AD97" s="273">
        <f t="shared" si="103"/>
        <v>1.7922421699999999E-4</v>
      </c>
      <c r="AE97" s="273">
        <v>1.9303000000000001E-2</v>
      </c>
      <c r="AF97" s="273">
        <v>2.92E-2</v>
      </c>
      <c r="AG97" s="273">
        <f t="shared" si="116"/>
        <v>5.2863195800000008E-4</v>
      </c>
      <c r="AH97" s="273">
        <f t="shared" si="104"/>
        <v>4.4725640000000002E-4</v>
      </c>
      <c r="AI97" s="273">
        <v>2.1284999999999998E-2</v>
      </c>
      <c r="AJ97" s="273">
        <v>7.2709999999999997E-3</v>
      </c>
      <c r="AK97" s="273">
        <f t="shared" si="117"/>
        <v>5.8291100999999994E-4</v>
      </c>
      <c r="AL97" s="273">
        <f t="shared" si="105"/>
        <v>1.11369907E-4</v>
      </c>
      <c r="AM97" s="273">
        <f t="shared" si="118"/>
        <v>2.697028052E-3</v>
      </c>
      <c r="AN97" s="273">
        <f t="shared" si="119"/>
        <v>1.9748361270000001E-3</v>
      </c>
      <c r="AO97" s="273">
        <v>9.8482E-2</v>
      </c>
      <c r="AP97" s="273">
        <v>0.12893099999999999</v>
      </c>
      <c r="AQ97" s="273">
        <v>6.6299999999999996E-4</v>
      </c>
      <c r="AR97" s="273">
        <v>4.17E-4</v>
      </c>
      <c r="AS97" s="273">
        <v>2.7900000000000001E-4</v>
      </c>
      <c r="AT97" s="273">
        <v>3.0200000000000002E-4</v>
      </c>
      <c r="AU97" s="273">
        <v>1.781E-3</v>
      </c>
      <c r="AV97" s="273">
        <v>9.3599999999999998E-4</v>
      </c>
      <c r="AW97" s="273">
        <v>3.6999999999999998E-5</v>
      </c>
      <c r="AX97" s="273">
        <v>7.9999999999999996E-6</v>
      </c>
      <c r="AY97" s="273">
        <v>3.1599999999999998E-4</v>
      </c>
      <c r="AZ97" s="273">
        <v>1.6100000000000001E-4</v>
      </c>
      <c r="BA97" s="273">
        <v>5.5400000000000002E-4</v>
      </c>
      <c r="BB97" s="273">
        <v>5.6300000000000002E-4</v>
      </c>
      <c r="BC97" s="273">
        <v>0</v>
      </c>
      <c r="BD97" s="273">
        <v>0</v>
      </c>
      <c r="BE97" s="273">
        <v>1.4E-5</v>
      </c>
      <c r="BF97" s="273">
        <v>1.2999999999999999E-5</v>
      </c>
      <c r="BG97" s="273">
        <v>1.2E-5</v>
      </c>
      <c r="BH97" s="273">
        <v>5.0000000000000004E-6</v>
      </c>
      <c r="BI97" s="273">
        <v>4.3999999999999999E-5</v>
      </c>
      <c r="BJ97" s="273">
        <v>1.8E-5</v>
      </c>
      <c r="BK97" s="273">
        <v>6.7000000000000002E-5</v>
      </c>
      <c r="BL97" s="273">
        <v>1.3100000000000001E-4</v>
      </c>
      <c r="BM97" s="273">
        <v>1.9000000000000001E-4</v>
      </c>
      <c r="BN97" s="273">
        <v>1.9599999999999999E-4</v>
      </c>
      <c r="BO97" s="273">
        <v>8.0400000000000003E-4</v>
      </c>
      <c r="BP97" s="273">
        <v>1.279E-3</v>
      </c>
      <c r="BQ97" s="273">
        <v>1.5969999999999999E-3</v>
      </c>
      <c r="BR97" s="273">
        <v>1.688E-3</v>
      </c>
      <c r="BS97" s="273">
        <v>2.4459999999999998E-3</v>
      </c>
      <c r="BT97" s="273">
        <v>1.2260000000000001E-3</v>
      </c>
      <c r="BU97" s="273">
        <v>1.7128000000000001E-2</v>
      </c>
      <c r="BV97" s="273">
        <v>1.8103999999999999E-2</v>
      </c>
      <c r="BW97" s="273">
        <v>15.778052000000001</v>
      </c>
      <c r="BX97" s="273">
        <v>14.019130000000001</v>
      </c>
      <c r="BY97" s="273">
        <v>1.4095530000000001</v>
      </c>
      <c r="BZ97" s="273">
        <v>0.62010299999999996</v>
      </c>
      <c r="CA97" s="273">
        <v>0.77085700000000001</v>
      </c>
      <c r="CB97" s="273">
        <v>0.441548</v>
      </c>
      <c r="CC97" s="273">
        <v>1.2808E-2</v>
      </c>
      <c r="CD97" s="273">
        <v>6.4200000000000004E-3</v>
      </c>
      <c r="CE97" s="273">
        <v>5.3571000000000001E-2</v>
      </c>
      <c r="CF97" s="273">
        <v>4.1655999999999999E-2</v>
      </c>
      <c r="CG97" s="273">
        <v>7.0432999999999996E-2</v>
      </c>
      <c r="CH97" s="273">
        <v>5.1359000000000002E-2</v>
      </c>
      <c r="CI97" s="273">
        <v>1.8290000000000001E-2</v>
      </c>
      <c r="CJ97" s="273">
        <v>8.3219999999999995E-3</v>
      </c>
      <c r="CK97" s="273">
        <v>1.4270000000000001E-3</v>
      </c>
      <c r="CL97" s="273">
        <v>5.9299999999999999E-4</v>
      </c>
      <c r="CM97" s="273">
        <v>6.2899999999999996E-3</v>
      </c>
      <c r="CN97" s="273">
        <v>2.0739999999999999E-3</v>
      </c>
      <c r="CO97" s="273">
        <v>0.116479</v>
      </c>
      <c r="CP97" s="273">
        <v>8.3901000000000003E-2</v>
      </c>
      <c r="CQ97" s="273">
        <v>1.9880999999999999E-2</v>
      </c>
      <c r="CR97" s="273">
        <v>8.9230000000000004E-3</v>
      </c>
      <c r="CS97" s="273">
        <v>5.8624000000000002E-2</v>
      </c>
      <c r="CT97" s="273">
        <v>0.11204</v>
      </c>
      <c r="CU97" s="273">
        <f t="shared" si="120"/>
        <v>1.1655037440000001E-3</v>
      </c>
      <c r="CV97" s="273">
        <f t="shared" si="106"/>
        <v>9.9973292000000015E-4</v>
      </c>
      <c r="CW97" s="273">
        <v>6.1149999999999998E-3</v>
      </c>
      <c r="CX97" s="273">
        <v>2.8121E-2</v>
      </c>
      <c r="CY97" s="273">
        <f t="shared" si="121"/>
        <v>1.21572315E-4</v>
      </c>
      <c r="CZ97" s="273">
        <f t="shared" si="107"/>
        <v>2.5092368299999999E-4</v>
      </c>
      <c r="DA97" s="273">
        <v>9.4899999999999997E-4</v>
      </c>
      <c r="DB97" s="273">
        <v>5.1000000000000004E-4</v>
      </c>
      <c r="DC97" s="273">
        <f t="shared" si="122"/>
        <v>1.8593923941000002E-2</v>
      </c>
      <c r="DD97" s="273">
        <f t="shared" si="108"/>
        <v>7.6723433970000005E-3</v>
      </c>
      <c r="DE97" s="273">
        <v>2.3499999999999999E-4</v>
      </c>
      <c r="DF97" s="273">
        <v>1.5699999999999999E-4</v>
      </c>
      <c r="DG97" s="273">
        <f t="shared" si="123"/>
        <v>2.4710760590000002E-3</v>
      </c>
      <c r="DH97" s="273">
        <f t="shared" si="109"/>
        <v>1.9176566030000002E-3</v>
      </c>
      <c r="DI97" s="273">
        <v>2.6909999999999998E-3</v>
      </c>
      <c r="DJ97" s="273">
        <v>1.1150000000000001E-3</v>
      </c>
      <c r="DK97" s="273">
        <v>2.3609999999999998E-3</v>
      </c>
      <c r="DL97" s="273">
        <v>8.5400000000000005E-4</v>
      </c>
      <c r="DM97" s="273">
        <f t="shared" si="124"/>
        <v>5.0519999999999992E-3</v>
      </c>
      <c r="DN97" s="273">
        <f t="shared" si="110"/>
        <v>1.9690000000000003E-3</v>
      </c>
      <c r="DO97" s="273">
        <v>1.297E-3</v>
      </c>
      <c r="DP97" s="273">
        <v>1.0610000000000001E-3</v>
      </c>
      <c r="DQ97" s="273">
        <v>1.635E-3</v>
      </c>
      <c r="DR97" s="273">
        <v>2.787E-3</v>
      </c>
      <c r="DS97" s="273">
        <v>5.8282E-2</v>
      </c>
      <c r="DT97" s="273">
        <v>8.7825E-2</v>
      </c>
      <c r="DU97" s="273">
        <v>2.7636999999999998E-2</v>
      </c>
      <c r="DV97" s="273">
        <v>4.5467E-2</v>
      </c>
      <c r="DW97" s="273">
        <v>4.0188000000000001E-2</v>
      </c>
      <c r="DX97" s="273">
        <v>4.0188000000000001E-2</v>
      </c>
      <c r="DY97" s="273">
        <v>3.9108809999999998</v>
      </c>
      <c r="DZ97" s="273">
        <v>2.3215710000000001</v>
      </c>
      <c r="EA97" s="273">
        <v>6.1566000000000003E-2</v>
      </c>
      <c r="EB97" s="273">
        <v>2.2273000000000001E-2</v>
      </c>
      <c r="EC97" s="273">
        <v>3.4870000000000001E-3</v>
      </c>
      <c r="ED97" s="273">
        <v>4.8589999999999996E-3</v>
      </c>
      <c r="EE97" s="273"/>
      <c r="EF97" s="274"/>
    </row>
    <row r="98" spans="2:136" s="249" customFormat="1" ht="17.399999999999999">
      <c r="B98" s="286">
        <v>91</v>
      </c>
      <c r="C98" s="273">
        <v>0.111509</v>
      </c>
      <c r="D98" s="273">
        <v>3.8295999999999997E-2</v>
      </c>
      <c r="E98" s="273">
        <v>2.2599999999999999E-4</v>
      </c>
      <c r="F98" s="273">
        <v>1.5799999999999999E-4</v>
      </c>
      <c r="G98" s="273">
        <v>9.4170000000000004E-2</v>
      </c>
      <c r="H98" s="273">
        <v>9.0604000000000004E-2</v>
      </c>
      <c r="I98" s="273">
        <v>0.111735</v>
      </c>
      <c r="J98" s="273">
        <v>3.8453999999999995E-2</v>
      </c>
      <c r="K98" s="273">
        <v>9.3400000000000004E-4</v>
      </c>
      <c r="L98" s="273">
        <v>1.6119999999999999E-3</v>
      </c>
      <c r="M98" s="273">
        <f t="shared" si="111"/>
        <v>2.1371511282000002E-2</v>
      </c>
      <c r="N98" s="273">
        <f t="shared" si="101"/>
        <v>1.2208435328000001E-2</v>
      </c>
      <c r="O98" s="273">
        <f t="shared" si="112"/>
        <v>3.1915105760000001E-3</v>
      </c>
      <c r="P98" s="273">
        <f t="shared" si="113"/>
        <v>6.63725568E-4</v>
      </c>
      <c r="Q98" s="273">
        <v>2.7394000000000002E-2</v>
      </c>
      <c r="R98" s="273">
        <v>1.5424E-2</v>
      </c>
      <c r="S98" s="273">
        <v>1.1119999999999999E-3</v>
      </c>
      <c r="T98" s="273">
        <v>4.3032000000000001E-2</v>
      </c>
      <c r="U98" s="273">
        <v>0.116504</v>
      </c>
      <c r="V98" s="273">
        <v>0</v>
      </c>
      <c r="W98" s="273">
        <v>5.8646999999999998E-2</v>
      </c>
      <c r="X98" s="273">
        <v>0.117286</v>
      </c>
      <c r="Y98" s="273">
        <f t="shared" si="114"/>
        <v>1.6065759180000001E-3</v>
      </c>
      <c r="Z98" s="273">
        <f t="shared" si="102"/>
        <v>1.8090192640000001E-3</v>
      </c>
      <c r="AA98" s="273">
        <v>3.6770000000000001E-3</v>
      </c>
      <c r="AB98" s="273">
        <v>1.1455E-2</v>
      </c>
      <c r="AC98" s="273">
        <f t="shared" si="115"/>
        <v>1.0072773800000001E-4</v>
      </c>
      <c r="AD98" s="273">
        <f t="shared" si="103"/>
        <v>1.7668191999999999E-4</v>
      </c>
      <c r="AE98" s="273">
        <v>1.9293999999999999E-2</v>
      </c>
      <c r="AF98" s="273">
        <v>2.9281999999999999E-2</v>
      </c>
      <c r="AG98" s="273">
        <f t="shared" si="116"/>
        <v>5.2853983599999998E-4</v>
      </c>
      <c r="AH98" s="273">
        <f t="shared" si="104"/>
        <v>4.5164556799999998E-4</v>
      </c>
      <c r="AI98" s="273">
        <v>2.1725000000000001E-2</v>
      </c>
      <c r="AJ98" s="273">
        <v>7.4229999999999999E-3</v>
      </c>
      <c r="AK98" s="273">
        <f t="shared" si="117"/>
        <v>5.951346500000001E-4</v>
      </c>
      <c r="AL98" s="273">
        <f t="shared" si="105"/>
        <v>1.14492352E-4</v>
      </c>
      <c r="AM98" s="273">
        <f t="shared" si="118"/>
        <v>2.701705856E-3</v>
      </c>
      <c r="AN98" s="273">
        <f t="shared" si="119"/>
        <v>1.9108947840000001E-3</v>
      </c>
      <c r="AO98" s="273">
        <v>9.8624000000000003E-2</v>
      </c>
      <c r="AP98" s="273">
        <v>0.123891</v>
      </c>
      <c r="AQ98" s="273">
        <v>6.6299999999999996E-4</v>
      </c>
      <c r="AR98" s="273">
        <v>4.17E-4</v>
      </c>
      <c r="AS98" s="273">
        <v>2.7900000000000001E-4</v>
      </c>
      <c r="AT98" s="273">
        <v>3.0400000000000002E-4</v>
      </c>
      <c r="AU98" s="273">
        <v>1.781E-3</v>
      </c>
      <c r="AV98" s="273">
        <v>9.3599999999999998E-4</v>
      </c>
      <c r="AW98" s="273">
        <v>3.6999999999999998E-5</v>
      </c>
      <c r="AX98" s="273">
        <v>7.9999999999999996E-6</v>
      </c>
      <c r="AY98" s="273">
        <v>3.1599999999999998E-4</v>
      </c>
      <c r="AZ98" s="273">
        <v>1.6100000000000001E-4</v>
      </c>
      <c r="BA98" s="273">
        <v>5.5400000000000002E-4</v>
      </c>
      <c r="BB98" s="273">
        <v>5.6300000000000002E-4</v>
      </c>
      <c r="BC98" s="273">
        <v>0</v>
      </c>
      <c r="BD98" s="273">
        <v>0</v>
      </c>
      <c r="BE98" s="273">
        <v>1.4E-5</v>
      </c>
      <c r="BF98" s="273">
        <v>1.2999999999999999E-5</v>
      </c>
      <c r="BG98" s="273">
        <v>1.2E-5</v>
      </c>
      <c r="BH98" s="273">
        <v>5.0000000000000004E-6</v>
      </c>
      <c r="BI98" s="273">
        <v>4.3999999999999999E-5</v>
      </c>
      <c r="BJ98" s="273">
        <v>1.8E-5</v>
      </c>
      <c r="BK98" s="273">
        <v>6.7000000000000002E-5</v>
      </c>
      <c r="BL98" s="273">
        <v>1.3100000000000001E-4</v>
      </c>
      <c r="BM98" s="273">
        <v>1.9000000000000001E-4</v>
      </c>
      <c r="BN98" s="273">
        <v>1.9599999999999999E-4</v>
      </c>
      <c r="BO98" s="273">
        <v>8.0400000000000003E-4</v>
      </c>
      <c r="BP98" s="273">
        <v>1.279E-3</v>
      </c>
      <c r="BQ98" s="273">
        <v>1.5969999999999999E-3</v>
      </c>
      <c r="BR98" s="273">
        <v>1.688E-3</v>
      </c>
      <c r="BS98" s="273">
        <v>2.4459999999999998E-3</v>
      </c>
      <c r="BT98" s="273">
        <v>1.2260000000000001E-3</v>
      </c>
      <c r="BU98" s="273">
        <v>1.7128000000000001E-2</v>
      </c>
      <c r="BV98" s="273">
        <v>1.8103999999999999E-2</v>
      </c>
      <c r="BW98" s="273">
        <v>15.778052000000001</v>
      </c>
      <c r="BX98" s="273">
        <v>14.019130000000001</v>
      </c>
      <c r="BY98" s="273">
        <v>1.4095530000000001</v>
      </c>
      <c r="BZ98" s="273">
        <v>0.62010299999999996</v>
      </c>
      <c r="CA98" s="273">
        <v>0.77085700000000001</v>
      </c>
      <c r="CB98" s="273">
        <v>0.441548</v>
      </c>
      <c r="CC98" s="273">
        <v>1.2808E-2</v>
      </c>
      <c r="CD98" s="273">
        <v>6.4200000000000004E-3</v>
      </c>
      <c r="CE98" s="273">
        <v>5.3571000000000001E-2</v>
      </c>
      <c r="CF98" s="273">
        <v>4.1655999999999999E-2</v>
      </c>
      <c r="CG98" s="273">
        <v>7.0432999999999996E-2</v>
      </c>
      <c r="CH98" s="273">
        <v>5.1359000000000002E-2</v>
      </c>
      <c r="CI98" s="273">
        <v>1.8290000000000001E-2</v>
      </c>
      <c r="CJ98" s="273">
        <v>8.3219999999999995E-3</v>
      </c>
      <c r="CK98" s="273">
        <v>1.4270000000000001E-3</v>
      </c>
      <c r="CL98" s="273">
        <v>5.9299999999999999E-4</v>
      </c>
      <c r="CM98" s="273">
        <v>6.2899999999999996E-3</v>
      </c>
      <c r="CN98" s="273">
        <v>2.0739999999999999E-3</v>
      </c>
      <c r="CO98" s="273">
        <v>0.116479</v>
      </c>
      <c r="CP98" s="273">
        <v>8.3901000000000003E-2</v>
      </c>
      <c r="CQ98" s="273">
        <v>1.9880999999999999E-2</v>
      </c>
      <c r="CR98" s="273">
        <v>8.9230000000000004E-3</v>
      </c>
      <c r="CS98" s="273">
        <v>5.8624000000000002E-2</v>
      </c>
      <c r="CT98" s="273">
        <v>0.11204</v>
      </c>
      <c r="CU98" s="273">
        <f t="shared" si="120"/>
        <v>1.1655037440000001E-3</v>
      </c>
      <c r="CV98" s="273">
        <f t="shared" si="106"/>
        <v>9.9973292000000015E-4</v>
      </c>
      <c r="CW98" s="273">
        <v>6.1149999999999998E-3</v>
      </c>
      <c r="CX98" s="273">
        <v>2.8121E-2</v>
      </c>
      <c r="CY98" s="273">
        <f t="shared" si="121"/>
        <v>1.21572315E-4</v>
      </c>
      <c r="CZ98" s="273">
        <f t="shared" si="107"/>
        <v>2.5092368299999999E-4</v>
      </c>
      <c r="DA98" s="273">
        <v>9.4899999999999997E-4</v>
      </c>
      <c r="DB98" s="273">
        <v>5.1000000000000004E-4</v>
      </c>
      <c r="DC98" s="273">
        <f t="shared" si="122"/>
        <v>1.8593923941000002E-2</v>
      </c>
      <c r="DD98" s="273">
        <f t="shared" si="108"/>
        <v>7.6723433970000005E-3</v>
      </c>
      <c r="DE98" s="273">
        <v>2.3499999999999999E-4</v>
      </c>
      <c r="DF98" s="273">
        <v>1.5699999999999999E-4</v>
      </c>
      <c r="DG98" s="273">
        <f t="shared" si="123"/>
        <v>2.4710760590000002E-3</v>
      </c>
      <c r="DH98" s="273">
        <f t="shared" si="109"/>
        <v>1.9176566030000002E-3</v>
      </c>
      <c r="DI98" s="273">
        <v>2.6909999999999998E-3</v>
      </c>
      <c r="DJ98" s="273">
        <v>1.1150000000000001E-3</v>
      </c>
      <c r="DK98" s="273">
        <v>2.3609999999999998E-3</v>
      </c>
      <c r="DL98" s="273">
        <v>8.5400000000000005E-4</v>
      </c>
      <c r="DM98" s="273">
        <f t="shared" si="124"/>
        <v>5.0519999999999992E-3</v>
      </c>
      <c r="DN98" s="273">
        <f t="shared" si="110"/>
        <v>1.9690000000000003E-3</v>
      </c>
      <c r="DO98" s="273">
        <v>1.297E-3</v>
      </c>
      <c r="DP98" s="273">
        <v>1.0610000000000001E-3</v>
      </c>
      <c r="DQ98" s="273">
        <v>1.635E-3</v>
      </c>
      <c r="DR98" s="273">
        <v>2.787E-3</v>
      </c>
      <c r="DS98" s="273">
        <v>5.8282E-2</v>
      </c>
      <c r="DT98" s="273">
        <v>8.7825E-2</v>
      </c>
      <c r="DU98" s="273">
        <v>2.7636999999999998E-2</v>
      </c>
      <c r="DV98" s="273">
        <v>4.5467E-2</v>
      </c>
      <c r="DW98" s="273">
        <v>4.0188000000000001E-2</v>
      </c>
      <c r="DX98" s="273">
        <v>4.0188000000000001E-2</v>
      </c>
      <c r="DY98" s="273">
        <v>3.9108809999999998</v>
      </c>
      <c r="DZ98" s="273">
        <v>2.3215710000000001</v>
      </c>
      <c r="EA98" s="273">
        <v>7.1497000000000005E-2</v>
      </c>
      <c r="EB98" s="273">
        <v>2.4306999999999999E-2</v>
      </c>
      <c r="EC98" s="273">
        <v>3.4870000000000001E-3</v>
      </c>
      <c r="ED98" s="273">
        <v>4.8589999999999996E-3</v>
      </c>
      <c r="EE98" s="273"/>
      <c r="EF98" s="274"/>
    </row>
    <row r="99" spans="2:136" s="249" customFormat="1" ht="17.399999999999999">
      <c r="B99" s="286">
        <v>92</v>
      </c>
      <c r="C99" s="273">
        <v>0.13056100000000001</v>
      </c>
      <c r="D99" s="273">
        <v>4.3477000000000002E-2</v>
      </c>
      <c r="E99" s="273">
        <v>2.2599999999999999E-4</v>
      </c>
      <c r="F99" s="273">
        <v>1.5799999999999999E-4</v>
      </c>
      <c r="G99" s="273">
        <v>0.102996</v>
      </c>
      <c r="H99" s="273">
        <v>0.10222299999999999</v>
      </c>
      <c r="I99" s="273">
        <v>0.13078700000000001</v>
      </c>
      <c r="J99" s="273">
        <v>4.3635E-2</v>
      </c>
      <c r="K99" s="273">
        <v>9.3400000000000004E-4</v>
      </c>
      <c r="L99" s="273">
        <v>1.6119999999999999E-3</v>
      </c>
      <c r="M99" s="273">
        <f t="shared" si="111"/>
        <v>2.1509653912E-2</v>
      </c>
      <c r="N99" s="273">
        <f t="shared" si="101"/>
        <v>1.2240468800000001E-2</v>
      </c>
      <c r="O99" s="273">
        <f t="shared" si="112"/>
        <v>3.0094528600000002E-3</v>
      </c>
      <c r="P99" s="273">
        <f t="shared" si="113"/>
        <v>6.4470080000000006E-4</v>
      </c>
      <c r="Q99" s="273">
        <v>2.7406E-2</v>
      </c>
      <c r="R99" s="273">
        <v>1.5520000000000001E-2</v>
      </c>
      <c r="S99" s="273">
        <v>1.1119999999999999E-3</v>
      </c>
      <c r="T99" s="273">
        <v>4.1540000000000001E-2</v>
      </c>
      <c r="U99" s="273">
        <v>0.10981</v>
      </c>
      <c r="V99" s="273">
        <v>0</v>
      </c>
      <c r="W99" s="273">
        <v>6.0490000000000002E-2</v>
      </c>
      <c r="X99" s="273">
        <v>0.121625</v>
      </c>
      <c r="Y99" s="273">
        <f t="shared" si="114"/>
        <v>1.65778894E-3</v>
      </c>
      <c r="Z99" s="273">
        <f t="shared" si="102"/>
        <v>1.88762E-3</v>
      </c>
      <c r="AA99" s="273">
        <v>3.3969999999999998E-3</v>
      </c>
      <c r="AB99" s="273">
        <v>1.1207999999999999E-2</v>
      </c>
      <c r="AC99" s="273">
        <f t="shared" si="115"/>
        <v>9.3098182E-5</v>
      </c>
      <c r="AD99" s="273">
        <f t="shared" si="103"/>
        <v>1.7394816000000001E-4</v>
      </c>
      <c r="AE99" s="273">
        <v>1.9285E-2</v>
      </c>
      <c r="AF99" s="273">
        <v>2.9363E-2</v>
      </c>
      <c r="AG99" s="273">
        <f t="shared" si="116"/>
        <v>5.2852471000000003E-4</v>
      </c>
      <c r="AH99" s="273">
        <f t="shared" si="104"/>
        <v>4.5571376E-4</v>
      </c>
      <c r="AI99" s="273">
        <v>2.2166000000000002E-2</v>
      </c>
      <c r="AJ99" s="273">
        <v>7.574E-3</v>
      </c>
      <c r="AK99" s="273">
        <f t="shared" si="117"/>
        <v>6.0748139600000004E-4</v>
      </c>
      <c r="AL99" s="273">
        <f t="shared" si="105"/>
        <v>1.1754848E-4</v>
      </c>
      <c r="AM99" s="273">
        <f t="shared" si="118"/>
        <v>2.7067809960000001E-3</v>
      </c>
      <c r="AN99" s="273">
        <f t="shared" si="119"/>
        <v>1.8445675200000002E-3</v>
      </c>
      <c r="AO99" s="273">
        <v>9.8766000000000007E-2</v>
      </c>
      <c r="AP99" s="273">
        <v>0.118851</v>
      </c>
      <c r="AQ99" s="273">
        <v>6.6299999999999996E-4</v>
      </c>
      <c r="AR99" s="273">
        <v>4.17E-4</v>
      </c>
      <c r="AS99" s="273">
        <v>2.7900000000000001E-4</v>
      </c>
      <c r="AT99" s="273">
        <v>3.0600000000000001E-4</v>
      </c>
      <c r="AU99" s="273">
        <v>1.781E-3</v>
      </c>
      <c r="AV99" s="273">
        <v>9.3599999999999998E-4</v>
      </c>
      <c r="AW99" s="273">
        <v>3.6999999999999998E-5</v>
      </c>
      <c r="AX99" s="273">
        <v>7.9999999999999996E-6</v>
      </c>
      <c r="AY99" s="273">
        <v>3.1599999999999998E-4</v>
      </c>
      <c r="AZ99" s="273">
        <v>1.6100000000000001E-4</v>
      </c>
      <c r="BA99" s="273">
        <v>5.5400000000000002E-4</v>
      </c>
      <c r="BB99" s="273">
        <v>5.6300000000000002E-4</v>
      </c>
      <c r="BC99" s="273">
        <v>0</v>
      </c>
      <c r="BD99" s="273">
        <v>0</v>
      </c>
      <c r="BE99" s="273">
        <v>1.4E-5</v>
      </c>
      <c r="BF99" s="273">
        <v>1.2999999999999999E-5</v>
      </c>
      <c r="BG99" s="273">
        <v>1.2E-5</v>
      </c>
      <c r="BH99" s="273">
        <v>5.0000000000000004E-6</v>
      </c>
      <c r="BI99" s="273">
        <v>4.3999999999999999E-5</v>
      </c>
      <c r="BJ99" s="273">
        <v>1.8E-5</v>
      </c>
      <c r="BK99" s="273">
        <v>6.7000000000000002E-5</v>
      </c>
      <c r="BL99" s="273">
        <v>1.3100000000000001E-4</v>
      </c>
      <c r="BM99" s="273">
        <v>1.9000000000000001E-4</v>
      </c>
      <c r="BN99" s="273">
        <v>1.9599999999999999E-4</v>
      </c>
      <c r="BO99" s="273">
        <v>8.0400000000000003E-4</v>
      </c>
      <c r="BP99" s="273">
        <v>1.279E-3</v>
      </c>
      <c r="BQ99" s="273">
        <v>1.5969999999999999E-3</v>
      </c>
      <c r="BR99" s="273">
        <v>1.688E-3</v>
      </c>
      <c r="BS99" s="273">
        <v>2.4459999999999998E-3</v>
      </c>
      <c r="BT99" s="273">
        <v>1.2260000000000001E-3</v>
      </c>
      <c r="BU99" s="273">
        <v>1.7128000000000001E-2</v>
      </c>
      <c r="BV99" s="273">
        <v>1.8103999999999999E-2</v>
      </c>
      <c r="BW99" s="273">
        <v>15.778052000000001</v>
      </c>
      <c r="BX99" s="273">
        <v>14.019130000000001</v>
      </c>
      <c r="BY99" s="273">
        <v>1.4095530000000001</v>
      </c>
      <c r="BZ99" s="273">
        <v>0.62010299999999996</v>
      </c>
      <c r="CA99" s="273">
        <v>0.77085700000000001</v>
      </c>
      <c r="CB99" s="273">
        <v>0.441548</v>
      </c>
      <c r="CC99" s="273">
        <v>1.2808E-2</v>
      </c>
      <c r="CD99" s="273">
        <v>6.4200000000000004E-3</v>
      </c>
      <c r="CE99" s="273">
        <v>5.3571000000000001E-2</v>
      </c>
      <c r="CF99" s="273">
        <v>4.1655999999999999E-2</v>
      </c>
      <c r="CG99" s="273">
        <v>7.0432999999999996E-2</v>
      </c>
      <c r="CH99" s="273">
        <v>5.1359000000000002E-2</v>
      </c>
      <c r="CI99" s="273">
        <v>1.8290000000000001E-2</v>
      </c>
      <c r="CJ99" s="273">
        <v>8.3219999999999995E-3</v>
      </c>
      <c r="CK99" s="273">
        <v>1.4270000000000001E-3</v>
      </c>
      <c r="CL99" s="273">
        <v>5.9299999999999999E-4</v>
      </c>
      <c r="CM99" s="273">
        <v>6.2899999999999996E-3</v>
      </c>
      <c r="CN99" s="273">
        <v>2.0739999999999999E-3</v>
      </c>
      <c r="CO99" s="273">
        <v>0.116479</v>
      </c>
      <c r="CP99" s="273">
        <v>8.3901000000000003E-2</v>
      </c>
      <c r="CQ99" s="273">
        <v>1.9880999999999999E-2</v>
      </c>
      <c r="CR99" s="273">
        <v>8.9230000000000004E-3</v>
      </c>
      <c r="CS99" s="273">
        <v>5.8624000000000002E-2</v>
      </c>
      <c r="CT99" s="273">
        <v>0.11204</v>
      </c>
      <c r="CU99" s="273">
        <f t="shared" si="120"/>
        <v>1.1655037440000001E-3</v>
      </c>
      <c r="CV99" s="273">
        <f t="shared" si="106"/>
        <v>9.9973292000000015E-4</v>
      </c>
      <c r="CW99" s="273">
        <v>6.1149999999999998E-3</v>
      </c>
      <c r="CX99" s="273">
        <v>2.8121E-2</v>
      </c>
      <c r="CY99" s="273">
        <f t="shared" si="121"/>
        <v>1.21572315E-4</v>
      </c>
      <c r="CZ99" s="273">
        <f t="shared" si="107"/>
        <v>2.5092368299999999E-4</v>
      </c>
      <c r="DA99" s="273">
        <v>9.4899999999999997E-4</v>
      </c>
      <c r="DB99" s="273">
        <v>5.1000000000000004E-4</v>
      </c>
      <c r="DC99" s="273">
        <f t="shared" si="122"/>
        <v>1.8593923941000002E-2</v>
      </c>
      <c r="DD99" s="273">
        <f t="shared" si="108"/>
        <v>7.6723433970000005E-3</v>
      </c>
      <c r="DE99" s="273">
        <v>2.3499999999999999E-4</v>
      </c>
      <c r="DF99" s="273">
        <v>1.5699999999999999E-4</v>
      </c>
      <c r="DG99" s="273">
        <f t="shared" si="123"/>
        <v>2.4710760590000002E-3</v>
      </c>
      <c r="DH99" s="273">
        <f t="shared" si="109"/>
        <v>1.9176566030000002E-3</v>
      </c>
      <c r="DI99" s="273">
        <v>2.6909999999999998E-3</v>
      </c>
      <c r="DJ99" s="273">
        <v>1.1150000000000001E-3</v>
      </c>
      <c r="DK99" s="273">
        <v>2.3609999999999998E-3</v>
      </c>
      <c r="DL99" s="273">
        <v>8.5400000000000005E-4</v>
      </c>
      <c r="DM99" s="273">
        <f t="shared" si="124"/>
        <v>5.0519999999999992E-3</v>
      </c>
      <c r="DN99" s="273">
        <f t="shared" si="110"/>
        <v>1.9690000000000003E-3</v>
      </c>
      <c r="DO99" s="273">
        <v>1.297E-3</v>
      </c>
      <c r="DP99" s="273">
        <v>1.0610000000000001E-3</v>
      </c>
      <c r="DQ99" s="273">
        <v>1.635E-3</v>
      </c>
      <c r="DR99" s="273">
        <v>2.787E-3</v>
      </c>
      <c r="DS99" s="273">
        <v>5.8282E-2</v>
      </c>
      <c r="DT99" s="273">
        <v>8.7825E-2</v>
      </c>
      <c r="DU99" s="273">
        <v>2.7636999999999998E-2</v>
      </c>
      <c r="DV99" s="273">
        <v>4.5467E-2</v>
      </c>
      <c r="DW99" s="273">
        <v>4.0188000000000001E-2</v>
      </c>
      <c r="DX99" s="273">
        <v>4.0188000000000001E-2</v>
      </c>
      <c r="DY99" s="273">
        <v>3.9108809999999998</v>
      </c>
      <c r="DZ99" s="273">
        <v>2.3215710000000001</v>
      </c>
      <c r="EA99" s="273">
        <v>8.2858000000000001E-2</v>
      </c>
      <c r="EB99" s="273">
        <v>2.6641000000000001E-2</v>
      </c>
      <c r="EC99" s="273">
        <v>3.4870000000000001E-3</v>
      </c>
      <c r="ED99" s="273">
        <v>4.8589999999999996E-3</v>
      </c>
      <c r="EE99" s="273"/>
      <c r="EF99" s="274"/>
    </row>
    <row r="100" spans="2:136" s="249" customFormat="1" ht="17.399999999999999">
      <c r="B100" s="286">
        <v>93</v>
      </c>
      <c r="C100" s="273">
        <v>0.15235399999999999</v>
      </c>
      <c r="D100" s="273">
        <v>4.9391999999999998E-2</v>
      </c>
      <c r="E100" s="273">
        <v>2.2599999999999999E-4</v>
      </c>
      <c r="F100" s="273">
        <v>1.5799999999999999E-4</v>
      </c>
      <c r="G100" s="273">
        <v>0.1129</v>
      </c>
      <c r="H100" s="273">
        <v>0.104642</v>
      </c>
      <c r="I100" s="273">
        <v>0.15257999999999999</v>
      </c>
      <c r="J100" s="273">
        <v>4.9549999999999997E-2</v>
      </c>
      <c r="K100" s="273">
        <v>9.3400000000000004E-4</v>
      </c>
      <c r="L100" s="273">
        <v>1.6119999999999999E-3</v>
      </c>
      <c r="M100" s="273">
        <f t="shared" si="111"/>
        <v>2.1396244716000001E-2</v>
      </c>
      <c r="N100" s="273">
        <f t="shared" si="101"/>
        <v>1.2107202443999999E-2</v>
      </c>
      <c r="O100" s="273">
        <f t="shared" si="112"/>
        <v>2.9566583199999996E-3</v>
      </c>
      <c r="P100" s="273">
        <f t="shared" si="113"/>
        <v>5.9129786699999996E-4</v>
      </c>
      <c r="Q100" s="273">
        <v>2.7411999999999999E-2</v>
      </c>
      <c r="R100" s="273">
        <v>1.5597E-2</v>
      </c>
      <c r="S100" s="273">
        <v>1.1119999999999999E-3</v>
      </c>
      <c r="T100" s="273">
        <v>3.7911E-2</v>
      </c>
      <c r="U100" s="273">
        <v>0.10786</v>
      </c>
      <c r="V100" s="273">
        <v>0</v>
      </c>
      <c r="W100" s="273">
        <v>6.7272999999999999E-2</v>
      </c>
      <c r="X100" s="273">
        <v>0.13816300000000001</v>
      </c>
      <c r="Y100" s="273">
        <f t="shared" si="114"/>
        <v>1.8440874759999999E-3</v>
      </c>
      <c r="Z100" s="273">
        <f t="shared" si="102"/>
        <v>2.154928311E-3</v>
      </c>
      <c r="AA100" s="273">
        <v>3.473E-3</v>
      </c>
      <c r="AB100" s="273">
        <v>1.1001E-2</v>
      </c>
      <c r="AC100" s="273">
        <f t="shared" si="115"/>
        <v>9.5201875999999995E-5</v>
      </c>
      <c r="AD100" s="273">
        <f t="shared" si="103"/>
        <v>1.7158259700000001E-4</v>
      </c>
      <c r="AE100" s="273">
        <v>1.9327E-2</v>
      </c>
      <c r="AF100" s="273">
        <v>2.8618999999999999E-2</v>
      </c>
      <c r="AG100" s="273">
        <f t="shared" si="116"/>
        <v>5.2979172399999998E-4</v>
      </c>
      <c r="AH100" s="273">
        <f t="shared" si="104"/>
        <v>4.4637054299999997E-4</v>
      </c>
      <c r="AI100" s="273">
        <v>2.1524000000000001E-2</v>
      </c>
      <c r="AJ100" s="273">
        <v>8.0540000000000004E-3</v>
      </c>
      <c r="AK100" s="273">
        <f t="shared" si="117"/>
        <v>5.9001588799999997E-4</v>
      </c>
      <c r="AL100" s="273">
        <f t="shared" si="105"/>
        <v>1.25618238E-4</v>
      </c>
      <c r="AM100" s="273">
        <f t="shared" si="118"/>
        <v>2.6983550439999998E-3</v>
      </c>
      <c r="AN100" s="273">
        <f t="shared" si="119"/>
        <v>1.738862739E-3</v>
      </c>
      <c r="AO100" s="273">
        <v>9.8436999999999997E-2</v>
      </c>
      <c r="AP100" s="273">
        <v>0.111487</v>
      </c>
      <c r="AQ100" s="273">
        <v>6.6299999999999996E-4</v>
      </c>
      <c r="AR100" s="273">
        <v>4.17E-4</v>
      </c>
      <c r="AS100" s="273">
        <v>2.7900000000000001E-4</v>
      </c>
      <c r="AT100" s="273">
        <v>3.0800000000000001E-4</v>
      </c>
      <c r="AU100" s="273">
        <v>1.781E-3</v>
      </c>
      <c r="AV100" s="273">
        <v>9.3599999999999998E-4</v>
      </c>
      <c r="AW100" s="273">
        <v>3.6999999999999998E-5</v>
      </c>
      <c r="AX100" s="273">
        <v>7.9999999999999996E-6</v>
      </c>
      <c r="AY100" s="273">
        <v>3.1599999999999998E-4</v>
      </c>
      <c r="AZ100" s="273">
        <v>1.6100000000000001E-4</v>
      </c>
      <c r="BA100" s="273">
        <v>5.5400000000000002E-4</v>
      </c>
      <c r="BB100" s="273">
        <v>5.6300000000000002E-4</v>
      </c>
      <c r="BC100" s="273">
        <v>0</v>
      </c>
      <c r="BD100" s="273">
        <v>0</v>
      </c>
      <c r="BE100" s="273">
        <v>1.4E-5</v>
      </c>
      <c r="BF100" s="273">
        <v>1.2999999999999999E-5</v>
      </c>
      <c r="BG100" s="273">
        <v>1.2E-5</v>
      </c>
      <c r="BH100" s="273">
        <v>5.0000000000000004E-6</v>
      </c>
      <c r="BI100" s="273">
        <v>4.3999999999999999E-5</v>
      </c>
      <c r="BJ100" s="273">
        <v>1.8E-5</v>
      </c>
      <c r="BK100" s="273">
        <v>6.7000000000000002E-5</v>
      </c>
      <c r="BL100" s="273">
        <v>1.3100000000000001E-4</v>
      </c>
      <c r="BM100" s="273">
        <v>1.9000000000000001E-4</v>
      </c>
      <c r="BN100" s="273">
        <v>1.9599999999999999E-4</v>
      </c>
      <c r="BO100" s="273">
        <v>8.0400000000000003E-4</v>
      </c>
      <c r="BP100" s="273">
        <v>1.279E-3</v>
      </c>
      <c r="BQ100" s="273">
        <v>1.5969999999999999E-3</v>
      </c>
      <c r="BR100" s="273">
        <v>1.688E-3</v>
      </c>
      <c r="BS100" s="273">
        <v>2.4459999999999998E-3</v>
      </c>
      <c r="BT100" s="273">
        <v>1.2260000000000001E-3</v>
      </c>
      <c r="BU100" s="273">
        <v>1.7128000000000001E-2</v>
      </c>
      <c r="BV100" s="273">
        <v>1.8103999999999999E-2</v>
      </c>
      <c r="BW100" s="273">
        <v>15.778052000000001</v>
      </c>
      <c r="BX100" s="273">
        <v>14.019130000000001</v>
      </c>
      <c r="BY100" s="273">
        <v>1.4095530000000001</v>
      </c>
      <c r="BZ100" s="273">
        <v>0.62010299999999996</v>
      </c>
      <c r="CA100" s="273">
        <v>0.77085700000000001</v>
      </c>
      <c r="CB100" s="273">
        <v>0.441548</v>
      </c>
      <c r="CC100" s="273">
        <v>1.2808E-2</v>
      </c>
      <c r="CD100" s="273">
        <v>6.4200000000000004E-3</v>
      </c>
      <c r="CE100" s="273">
        <v>5.3571000000000001E-2</v>
      </c>
      <c r="CF100" s="273">
        <v>4.1655999999999999E-2</v>
      </c>
      <c r="CG100" s="273">
        <v>7.0432999999999996E-2</v>
      </c>
      <c r="CH100" s="273">
        <v>5.1359000000000002E-2</v>
      </c>
      <c r="CI100" s="273">
        <v>1.8290000000000001E-2</v>
      </c>
      <c r="CJ100" s="273">
        <v>8.3219999999999995E-3</v>
      </c>
      <c r="CK100" s="273">
        <v>1.4270000000000001E-3</v>
      </c>
      <c r="CL100" s="273">
        <v>5.9299999999999999E-4</v>
      </c>
      <c r="CM100" s="273">
        <v>6.2899999999999996E-3</v>
      </c>
      <c r="CN100" s="273">
        <v>2.0739999999999999E-3</v>
      </c>
      <c r="CO100" s="273">
        <v>0.116479</v>
      </c>
      <c r="CP100" s="273">
        <v>8.3901000000000003E-2</v>
      </c>
      <c r="CQ100" s="273">
        <v>1.9880999999999999E-2</v>
      </c>
      <c r="CR100" s="273">
        <v>8.9230000000000004E-3</v>
      </c>
      <c r="CS100" s="273">
        <v>5.8624000000000002E-2</v>
      </c>
      <c r="CT100" s="273">
        <v>0.11204</v>
      </c>
      <c r="CU100" s="273">
        <f t="shared" si="120"/>
        <v>1.1655037440000001E-3</v>
      </c>
      <c r="CV100" s="273">
        <f t="shared" si="106"/>
        <v>9.9973292000000015E-4</v>
      </c>
      <c r="CW100" s="273">
        <v>6.1149999999999998E-3</v>
      </c>
      <c r="CX100" s="273">
        <v>2.8121E-2</v>
      </c>
      <c r="CY100" s="273">
        <f t="shared" si="121"/>
        <v>1.21572315E-4</v>
      </c>
      <c r="CZ100" s="273">
        <f t="shared" si="107"/>
        <v>2.5092368299999999E-4</v>
      </c>
      <c r="DA100" s="273">
        <v>9.4899999999999997E-4</v>
      </c>
      <c r="DB100" s="273">
        <v>5.1000000000000004E-4</v>
      </c>
      <c r="DC100" s="273">
        <f t="shared" si="122"/>
        <v>1.8593923941000002E-2</v>
      </c>
      <c r="DD100" s="273">
        <f t="shared" si="108"/>
        <v>7.6723433970000005E-3</v>
      </c>
      <c r="DE100" s="273">
        <v>2.3499999999999999E-4</v>
      </c>
      <c r="DF100" s="273">
        <v>1.5699999999999999E-4</v>
      </c>
      <c r="DG100" s="273">
        <f t="shared" si="123"/>
        <v>2.4710760590000002E-3</v>
      </c>
      <c r="DH100" s="273">
        <f t="shared" si="109"/>
        <v>1.9176566030000002E-3</v>
      </c>
      <c r="DI100" s="273">
        <v>2.6909999999999998E-3</v>
      </c>
      <c r="DJ100" s="273">
        <v>1.1150000000000001E-3</v>
      </c>
      <c r="DK100" s="273">
        <v>2.3609999999999998E-3</v>
      </c>
      <c r="DL100" s="273">
        <v>8.5400000000000005E-4</v>
      </c>
      <c r="DM100" s="273">
        <f t="shared" si="124"/>
        <v>5.0519999999999992E-3</v>
      </c>
      <c r="DN100" s="273">
        <f t="shared" si="110"/>
        <v>1.9690000000000003E-3</v>
      </c>
      <c r="DO100" s="273">
        <v>1.297E-3</v>
      </c>
      <c r="DP100" s="273">
        <v>1.0610000000000001E-3</v>
      </c>
      <c r="DQ100" s="273">
        <v>1.635E-3</v>
      </c>
      <c r="DR100" s="273">
        <v>2.787E-3</v>
      </c>
      <c r="DS100" s="273">
        <v>5.8282E-2</v>
      </c>
      <c r="DT100" s="273">
        <v>8.7825E-2</v>
      </c>
      <c r="DU100" s="273">
        <v>2.7636999999999998E-2</v>
      </c>
      <c r="DV100" s="273">
        <v>4.5467E-2</v>
      </c>
      <c r="DW100" s="273">
        <v>4.0188000000000001E-2</v>
      </c>
      <c r="DX100" s="273">
        <v>4.0188000000000001E-2</v>
      </c>
      <c r="DY100" s="273">
        <v>3.9108809999999998</v>
      </c>
      <c r="DZ100" s="273">
        <v>2.3215710000000001</v>
      </c>
      <c r="EA100" s="273">
        <v>9.5826999999999996E-2</v>
      </c>
      <c r="EB100" s="273">
        <v>2.9305000000000001E-2</v>
      </c>
      <c r="EC100" s="273">
        <v>3.4870000000000001E-3</v>
      </c>
      <c r="ED100" s="273">
        <v>4.8589999999999996E-3</v>
      </c>
      <c r="EE100" s="273"/>
      <c r="EF100" s="274"/>
    </row>
    <row r="101" spans="2:136" s="249" customFormat="1" ht="17.399999999999999">
      <c r="B101" s="286">
        <v>94</v>
      </c>
      <c r="C101" s="273">
        <v>0.177144</v>
      </c>
      <c r="D101" s="273">
        <v>5.6001000000000002E-2</v>
      </c>
      <c r="E101" s="273">
        <v>2.2599999999999999E-4</v>
      </c>
      <c r="F101" s="273">
        <v>1.5799999999999999E-4</v>
      </c>
      <c r="G101" s="273">
        <v>0.123458</v>
      </c>
      <c r="H101" s="273">
        <v>0.12028700000000001</v>
      </c>
      <c r="I101" s="273">
        <v>0.17737</v>
      </c>
      <c r="J101" s="273">
        <v>5.6159000000000001E-2</v>
      </c>
      <c r="K101" s="273">
        <v>9.3400000000000004E-4</v>
      </c>
      <c r="L101" s="273">
        <v>1.6119999999999999E-3</v>
      </c>
      <c r="M101" s="273">
        <f t="shared" si="111"/>
        <v>2.1279166604999997E-2</v>
      </c>
      <c r="N101" s="273">
        <f t="shared" si="101"/>
        <v>1.1962078920000001E-2</v>
      </c>
      <c r="O101" s="273">
        <f t="shared" si="112"/>
        <v>2.90352265E-3</v>
      </c>
      <c r="P101" s="273">
        <f t="shared" si="113"/>
        <v>5.3684046000000002E-4</v>
      </c>
      <c r="Q101" s="273">
        <v>2.7414999999999998E-2</v>
      </c>
      <c r="R101" s="273">
        <v>1.566E-2</v>
      </c>
      <c r="S101" s="273">
        <v>1.1119999999999999E-3</v>
      </c>
      <c r="T101" s="273">
        <v>3.4280999999999999E-2</v>
      </c>
      <c r="U101" s="273">
        <v>0.10591</v>
      </c>
      <c r="V101" s="273">
        <v>0</v>
      </c>
      <c r="W101" s="273">
        <v>7.4102000000000001E-2</v>
      </c>
      <c r="X101" s="273">
        <v>0.15465499999999999</v>
      </c>
      <c r="Y101" s="273">
        <f t="shared" si="114"/>
        <v>2.0315063299999997E-3</v>
      </c>
      <c r="Z101" s="273">
        <f t="shared" si="102"/>
        <v>2.4218972999999998E-3</v>
      </c>
      <c r="AA101" s="273">
        <v>3.5500000000000002E-3</v>
      </c>
      <c r="AB101" s="273">
        <v>1.0792E-2</v>
      </c>
      <c r="AC101" s="273">
        <f t="shared" si="115"/>
        <v>9.7323249999999994E-5</v>
      </c>
      <c r="AD101" s="273">
        <f t="shared" si="103"/>
        <v>1.6900271999999999E-4</v>
      </c>
      <c r="AE101" s="273">
        <v>1.9369999999999998E-2</v>
      </c>
      <c r="AF101" s="273">
        <v>2.7875E-2</v>
      </c>
      <c r="AG101" s="273">
        <f t="shared" si="116"/>
        <v>5.3102854999999987E-4</v>
      </c>
      <c r="AH101" s="273">
        <f t="shared" si="104"/>
        <v>4.3652250000000001E-4</v>
      </c>
      <c r="AI101" s="273">
        <v>2.0881E-2</v>
      </c>
      <c r="AJ101" s="273">
        <v>8.5349999999999992E-3</v>
      </c>
      <c r="AK101" s="273">
        <f t="shared" si="117"/>
        <v>5.7245261500000002E-4</v>
      </c>
      <c r="AL101" s="273">
        <f t="shared" si="105"/>
        <v>1.3365809999999999E-4</v>
      </c>
      <c r="AM101" s="273">
        <f t="shared" si="118"/>
        <v>2.6896582350000001E-3</v>
      </c>
      <c r="AN101" s="273">
        <f t="shared" si="119"/>
        <v>1.6305661799999999E-3</v>
      </c>
      <c r="AO101" s="273">
        <v>9.8109000000000002E-2</v>
      </c>
      <c r="AP101" s="273">
        <v>0.10412299999999999</v>
      </c>
      <c r="AQ101" s="273">
        <v>6.6299999999999996E-4</v>
      </c>
      <c r="AR101" s="273">
        <v>4.17E-4</v>
      </c>
      <c r="AS101" s="273">
        <v>2.7900000000000001E-4</v>
      </c>
      <c r="AT101" s="273">
        <v>3.0899999999999998E-4</v>
      </c>
      <c r="AU101" s="273">
        <v>1.781E-3</v>
      </c>
      <c r="AV101" s="273">
        <v>9.3599999999999998E-4</v>
      </c>
      <c r="AW101" s="273">
        <v>3.6999999999999998E-5</v>
      </c>
      <c r="AX101" s="273">
        <v>7.9999999999999996E-6</v>
      </c>
      <c r="AY101" s="273">
        <v>3.1599999999999998E-4</v>
      </c>
      <c r="AZ101" s="273">
        <v>1.6100000000000001E-4</v>
      </c>
      <c r="BA101" s="273">
        <v>5.5400000000000002E-4</v>
      </c>
      <c r="BB101" s="273">
        <v>5.6300000000000002E-4</v>
      </c>
      <c r="BC101" s="273">
        <v>0</v>
      </c>
      <c r="BD101" s="273">
        <v>0</v>
      </c>
      <c r="BE101" s="273">
        <v>1.4E-5</v>
      </c>
      <c r="BF101" s="273">
        <v>1.2999999999999999E-5</v>
      </c>
      <c r="BG101" s="273">
        <v>1.2E-5</v>
      </c>
      <c r="BH101" s="273">
        <v>5.0000000000000004E-6</v>
      </c>
      <c r="BI101" s="273">
        <v>4.3999999999999999E-5</v>
      </c>
      <c r="BJ101" s="273">
        <v>1.8E-5</v>
      </c>
      <c r="BK101" s="273">
        <v>6.7000000000000002E-5</v>
      </c>
      <c r="BL101" s="273">
        <v>1.3100000000000001E-4</v>
      </c>
      <c r="BM101" s="273">
        <v>1.9000000000000001E-4</v>
      </c>
      <c r="BN101" s="273">
        <v>1.9599999999999999E-4</v>
      </c>
      <c r="BO101" s="273">
        <v>8.0400000000000003E-4</v>
      </c>
      <c r="BP101" s="273">
        <v>1.279E-3</v>
      </c>
      <c r="BQ101" s="273">
        <v>1.5969999999999999E-3</v>
      </c>
      <c r="BR101" s="273">
        <v>1.688E-3</v>
      </c>
      <c r="BS101" s="273">
        <v>2.4459999999999998E-3</v>
      </c>
      <c r="BT101" s="273">
        <v>1.2260000000000001E-3</v>
      </c>
      <c r="BU101" s="273">
        <v>1.7128000000000001E-2</v>
      </c>
      <c r="BV101" s="273">
        <v>1.8103999999999999E-2</v>
      </c>
      <c r="BW101" s="273">
        <v>15.778052000000001</v>
      </c>
      <c r="BX101" s="273">
        <v>14.019130000000001</v>
      </c>
      <c r="BY101" s="273">
        <v>1.4095530000000001</v>
      </c>
      <c r="BZ101" s="273">
        <v>0.62010299999999996</v>
      </c>
      <c r="CA101" s="273">
        <v>0.77085700000000001</v>
      </c>
      <c r="CB101" s="273">
        <v>0.441548</v>
      </c>
      <c r="CC101" s="273">
        <v>1.2808E-2</v>
      </c>
      <c r="CD101" s="273">
        <v>6.4200000000000004E-3</v>
      </c>
      <c r="CE101" s="273">
        <v>5.3571000000000001E-2</v>
      </c>
      <c r="CF101" s="273">
        <v>4.1655999999999999E-2</v>
      </c>
      <c r="CG101" s="273">
        <v>7.0432999999999996E-2</v>
      </c>
      <c r="CH101" s="273">
        <v>5.1359000000000002E-2</v>
      </c>
      <c r="CI101" s="273">
        <v>1.8290000000000001E-2</v>
      </c>
      <c r="CJ101" s="273">
        <v>8.3219999999999995E-3</v>
      </c>
      <c r="CK101" s="273">
        <v>1.4270000000000001E-3</v>
      </c>
      <c r="CL101" s="273">
        <v>5.9299999999999999E-4</v>
      </c>
      <c r="CM101" s="273">
        <v>6.2899999999999996E-3</v>
      </c>
      <c r="CN101" s="273">
        <v>2.0739999999999999E-3</v>
      </c>
      <c r="CO101" s="273">
        <v>0.116479</v>
      </c>
      <c r="CP101" s="273">
        <v>8.3901000000000003E-2</v>
      </c>
      <c r="CQ101" s="273">
        <v>1.9880999999999999E-2</v>
      </c>
      <c r="CR101" s="273">
        <v>8.9230000000000004E-3</v>
      </c>
      <c r="CS101" s="273">
        <v>5.8624000000000002E-2</v>
      </c>
      <c r="CT101" s="273">
        <v>0.11204</v>
      </c>
      <c r="CU101" s="273">
        <f t="shared" si="120"/>
        <v>1.1655037440000001E-3</v>
      </c>
      <c r="CV101" s="273">
        <f t="shared" si="106"/>
        <v>9.9973292000000015E-4</v>
      </c>
      <c r="CW101" s="273">
        <v>6.1149999999999998E-3</v>
      </c>
      <c r="CX101" s="273">
        <v>2.8121E-2</v>
      </c>
      <c r="CY101" s="273">
        <f t="shared" si="121"/>
        <v>1.21572315E-4</v>
      </c>
      <c r="CZ101" s="273">
        <f t="shared" si="107"/>
        <v>2.5092368299999999E-4</v>
      </c>
      <c r="DA101" s="273">
        <v>9.4899999999999997E-4</v>
      </c>
      <c r="DB101" s="273">
        <v>5.1000000000000004E-4</v>
      </c>
      <c r="DC101" s="273">
        <f t="shared" si="122"/>
        <v>1.8593923941000002E-2</v>
      </c>
      <c r="DD101" s="273">
        <f t="shared" si="108"/>
        <v>7.6723433970000005E-3</v>
      </c>
      <c r="DE101" s="273">
        <v>2.3499999999999999E-4</v>
      </c>
      <c r="DF101" s="273">
        <v>1.5699999999999999E-4</v>
      </c>
      <c r="DG101" s="273">
        <f t="shared" si="123"/>
        <v>2.4710760590000002E-3</v>
      </c>
      <c r="DH101" s="273">
        <f t="shared" si="109"/>
        <v>1.9176566030000002E-3</v>
      </c>
      <c r="DI101" s="273">
        <v>2.6909999999999998E-3</v>
      </c>
      <c r="DJ101" s="273">
        <v>1.1150000000000001E-3</v>
      </c>
      <c r="DK101" s="273">
        <v>2.3609999999999998E-3</v>
      </c>
      <c r="DL101" s="273">
        <v>8.5400000000000005E-4</v>
      </c>
      <c r="DM101" s="273">
        <f t="shared" si="124"/>
        <v>5.0519999999999992E-3</v>
      </c>
      <c r="DN101" s="273">
        <f t="shared" si="110"/>
        <v>1.9690000000000003E-3</v>
      </c>
      <c r="DO101" s="273">
        <v>1.297E-3</v>
      </c>
      <c r="DP101" s="273">
        <v>1.0610000000000001E-3</v>
      </c>
      <c r="DQ101" s="273">
        <v>1.635E-3</v>
      </c>
      <c r="DR101" s="273">
        <v>2.787E-3</v>
      </c>
      <c r="DS101" s="273">
        <v>5.8282E-2</v>
      </c>
      <c r="DT101" s="273">
        <v>8.7825E-2</v>
      </c>
      <c r="DU101" s="273">
        <v>2.7636999999999998E-2</v>
      </c>
      <c r="DV101" s="273">
        <v>4.5467E-2</v>
      </c>
      <c r="DW101" s="273">
        <v>4.0188000000000001E-2</v>
      </c>
      <c r="DX101" s="273">
        <v>4.0188000000000001E-2</v>
      </c>
      <c r="DY101" s="273">
        <v>3.9108809999999998</v>
      </c>
      <c r="DZ101" s="273">
        <v>2.3215710000000001</v>
      </c>
      <c r="EA101" s="273">
        <v>0.11054899999999999</v>
      </c>
      <c r="EB101" s="273">
        <v>3.2279000000000002E-2</v>
      </c>
      <c r="EC101" s="273">
        <v>3.4870000000000001E-3</v>
      </c>
      <c r="ED101" s="273">
        <v>4.8589999999999996E-3</v>
      </c>
      <c r="EE101" s="273"/>
      <c r="EF101" s="274"/>
    </row>
    <row r="102" spans="2:136" s="249" customFormat="1" ht="17.399999999999999">
      <c r="B102" s="286">
        <v>95</v>
      </c>
      <c r="C102" s="273">
        <v>0.20519299999999999</v>
      </c>
      <c r="D102" s="273">
        <v>6.3620999999999997E-2</v>
      </c>
      <c r="E102" s="273">
        <v>2.2599999999999999E-4</v>
      </c>
      <c r="F102" s="273">
        <v>1.5799999999999999E-4</v>
      </c>
      <c r="G102" s="273">
        <v>0.13435</v>
      </c>
      <c r="H102" s="273">
        <v>0.13189899999999999</v>
      </c>
      <c r="I102" s="273">
        <v>0.20541899999999999</v>
      </c>
      <c r="J102" s="273">
        <v>6.3779000000000002E-2</v>
      </c>
      <c r="K102" s="273">
        <v>9.3400000000000004E-4</v>
      </c>
      <c r="L102" s="273">
        <v>1.6119999999999999E-3</v>
      </c>
      <c r="M102" s="273">
        <f t="shared" si="111"/>
        <v>2.1160816049999996E-2</v>
      </c>
      <c r="N102" s="273">
        <f t="shared" si="101"/>
        <v>1.1811215481E-2</v>
      </c>
      <c r="O102" s="273">
        <f t="shared" si="112"/>
        <v>2.8500633999999996E-3</v>
      </c>
      <c r="P102" s="273">
        <f t="shared" si="113"/>
        <v>4.8175748399999994E-4</v>
      </c>
      <c r="Q102" s="273">
        <v>2.7414999999999998E-2</v>
      </c>
      <c r="R102" s="273">
        <v>1.5716999999999998E-2</v>
      </c>
      <c r="S102" s="273">
        <v>1.1119999999999999E-3</v>
      </c>
      <c r="T102" s="273">
        <v>3.0651999999999999E-2</v>
      </c>
      <c r="U102" s="273">
        <v>0.10396</v>
      </c>
      <c r="V102" s="273">
        <v>0</v>
      </c>
      <c r="W102" s="273">
        <v>8.0893999999999994E-2</v>
      </c>
      <c r="X102" s="273">
        <v>0.171124</v>
      </c>
      <c r="Y102" s="273">
        <f t="shared" si="114"/>
        <v>2.2177090099999995E-3</v>
      </c>
      <c r="Z102" s="273">
        <f t="shared" si="102"/>
        <v>2.6895559079999996E-3</v>
      </c>
      <c r="AA102" s="273">
        <v>3.6250000000000002E-3</v>
      </c>
      <c r="AB102" s="273">
        <v>1.0585000000000001E-2</v>
      </c>
      <c r="AC102" s="273">
        <f t="shared" si="115"/>
        <v>9.9379375000000004E-5</v>
      </c>
      <c r="AD102" s="273">
        <f t="shared" si="103"/>
        <v>1.6636444499999999E-4</v>
      </c>
      <c r="AE102" s="273">
        <v>1.9413E-2</v>
      </c>
      <c r="AF102" s="273">
        <v>2.7130999999999999E-2</v>
      </c>
      <c r="AG102" s="273">
        <f t="shared" si="116"/>
        <v>5.3220739499999998E-4</v>
      </c>
      <c r="AH102" s="273">
        <f t="shared" si="104"/>
        <v>4.2641792699999993E-4</v>
      </c>
      <c r="AI102" s="273">
        <v>2.0237999999999999E-2</v>
      </c>
      <c r="AJ102" s="273">
        <v>9.0150000000000004E-3</v>
      </c>
      <c r="AK102" s="273">
        <f t="shared" si="117"/>
        <v>5.5482476999999994E-4</v>
      </c>
      <c r="AL102" s="273">
        <f t="shared" si="105"/>
        <v>1.4168875499999999E-4</v>
      </c>
      <c r="AM102" s="273">
        <f t="shared" si="118"/>
        <v>2.6806661149999999E-3</v>
      </c>
      <c r="AN102" s="273">
        <f t="shared" si="119"/>
        <v>1.5207612029999999E-3</v>
      </c>
      <c r="AO102" s="273">
        <v>9.7781000000000007E-2</v>
      </c>
      <c r="AP102" s="273">
        <v>9.6758999999999998E-2</v>
      </c>
      <c r="AQ102" s="273">
        <v>6.6299999999999996E-4</v>
      </c>
      <c r="AR102" s="273">
        <v>4.17E-4</v>
      </c>
      <c r="AS102" s="273">
        <v>2.7900000000000001E-4</v>
      </c>
      <c r="AT102" s="273">
        <v>3.1E-4</v>
      </c>
      <c r="AU102" s="273">
        <v>1.781E-3</v>
      </c>
      <c r="AV102" s="273">
        <v>9.3599999999999998E-4</v>
      </c>
      <c r="AW102" s="273">
        <v>3.6999999999999998E-5</v>
      </c>
      <c r="AX102" s="273">
        <v>7.9999999999999996E-6</v>
      </c>
      <c r="AY102" s="273">
        <v>3.1599999999999998E-4</v>
      </c>
      <c r="AZ102" s="273">
        <v>1.6100000000000001E-4</v>
      </c>
      <c r="BA102" s="273">
        <v>5.5400000000000002E-4</v>
      </c>
      <c r="BB102" s="273">
        <v>5.6300000000000002E-4</v>
      </c>
      <c r="BC102" s="273">
        <v>0</v>
      </c>
      <c r="BD102" s="273">
        <v>0</v>
      </c>
      <c r="BE102" s="273">
        <v>1.4E-5</v>
      </c>
      <c r="BF102" s="273">
        <v>1.2999999999999999E-5</v>
      </c>
      <c r="BG102" s="273">
        <v>1.2E-5</v>
      </c>
      <c r="BH102" s="273">
        <v>5.0000000000000004E-6</v>
      </c>
      <c r="BI102" s="273">
        <v>4.3999999999999999E-5</v>
      </c>
      <c r="BJ102" s="273">
        <v>1.8E-5</v>
      </c>
      <c r="BK102" s="273">
        <v>6.7000000000000002E-5</v>
      </c>
      <c r="BL102" s="273">
        <v>1.3100000000000001E-4</v>
      </c>
      <c r="BM102" s="273">
        <v>1.9000000000000001E-4</v>
      </c>
      <c r="BN102" s="273">
        <v>1.9599999999999999E-4</v>
      </c>
      <c r="BO102" s="273">
        <v>8.0400000000000003E-4</v>
      </c>
      <c r="BP102" s="273">
        <v>1.279E-3</v>
      </c>
      <c r="BQ102" s="273">
        <v>1.5969999999999999E-3</v>
      </c>
      <c r="BR102" s="273">
        <v>1.688E-3</v>
      </c>
      <c r="BS102" s="273">
        <v>2.4459999999999998E-3</v>
      </c>
      <c r="BT102" s="273">
        <v>1.2260000000000001E-3</v>
      </c>
      <c r="BU102" s="273">
        <v>1.7128000000000001E-2</v>
      </c>
      <c r="BV102" s="273">
        <v>1.8103999999999999E-2</v>
      </c>
      <c r="BW102" s="273">
        <v>15.778052000000001</v>
      </c>
      <c r="BX102" s="273">
        <v>14.019130000000001</v>
      </c>
      <c r="BY102" s="273">
        <v>1.4095530000000001</v>
      </c>
      <c r="BZ102" s="273">
        <v>0.62010299999999996</v>
      </c>
      <c r="CA102" s="273">
        <v>0.77085700000000001</v>
      </c>
      <c r="CB102" s="273">
        <v>0.441548</v>
      </c>
      <c r="CC102" s="273">
        <v>1.2808E-2</v>
      </c>
      <c r="CD102" s="273">
        <v>6.4200000000000004E-3</v>
      </c>
      <c r="CE102" s="273">
        <v>5.3571000000000001E-2</v>
      </c>
      <c r="CF102" s="273">
        <v>4.1655999999999999E-2</v>
      </c>
      <c r="CG102" s="273">
        <v>7.0432999999999996E-2</v>
      </c>
      <c r="CH102" s="273">
        <v>5.1359000000000002E-2</v>
      </c>
      <c r="CI102" s="273">
        <v>1.8290000000000001E-2</v>
      </c>
      <c r="CJ102" s="273">
        <v>8.3219999999999995E-3</v>
      </c>
      <c r="CK102" s="273">
        <v>1.4270000000000001E-3</v>
      </c>
      <c r="CL102" s="273">
        <v>5.9299999999999999E-4</v>
      </c>
      <c r="CM102" s="273">
        <v>6.2899999999999996E-3</v>
      </c>
      <c r="CN102" s="273">
        <v>2.0739999999999999E-3</v>
      </c>
      <c r="CO102" s="273">
        <v>0.116479</v>
      </c>
      <c r="CP102" s="273">
        <v>8.3901000000000003E-2</v>
      </c>
      <c r="CQ102" s="273">
        <v>1.9880999999999999E-2</v>
      </c>
      <c r="CR102" s="273">
        <v>8.9230000000000004E-3</v>
      </c>
      <c r="CS102" s="273">
        <v>5.8624000000000002E-2</v>
      </c>
      <c r="CT102" s="273">
        <v>0.11204</v>
      </c>
      <c r="CU102" s="273">
        <f t="shared" si="120"/>
        <v>1.1655037440000001E-3</v>
      </c>
      <c r="CV102" s="273">
        <f t="shared" si="106"/>
        <v>9.9973292000000015E-4</v>
      </c>
      <c r="CW102" s="273">
        <v>6.1149999999999998E-3</v>
      </c>
      <c r="CX102" s="273">
        <v>2.8121E-2</v>
      </c>
      <c r="CY102" s="273">
        <f t="shared" si="121"/>
        <v>1.21572315E-4</v>
      </c>
      <c r="CZ102" s="273">
        <f t="shared" si="107"/>
        <v>2.5092368299999999E-4</v>
      </c>
      <c r="DA102" s="273">
        <v>9.4899999999999997E-4</v>
      </c>
      <c r="DB102" s="273">
        <v>5.1000000000000004E-4</v>
      </c>
      <c r="DC102" s="273">
        <f t="shared" si="122"/>
        <v>1.8593923941000002E-2</v>
      </c>
      <c r="DD102" s="273">
        <f t="shared" si="108"/>
        <v>7.6723433970000005E-3</v>
      </c>
      <c r="DE102" s="273">
        <v>2.3499999999999999E-4</v>
      </c>
      <c r="DF102" s="273">
        <v>1.5699999999999999E-4</v>
      </c>
      <c r="DG102" s="273">
        <f t="shared" si="123"/>
        <v>2.4710760590000002E-3</v>
      </c>
      <c r="DH102" s="273">
        <f t="shared" si="109"/>
        <v>1.9176566030000002E-3</v>
      </c>
      <c r="DI102" s="273">
        <v>2.6909999999999998E-3</v>
      </c>
      <c r="DJ102" s="273">
        <v>1.1150000000000001E-3</v>
      </c>
      <c r="DK102" s="273">
        <v>2.3609999999999998E-3</v>
      </c>
      <c r="DL102" s="273">
        <v>8.5400000000000005E-4</v>
      </c>
      <c r="DM102" s="273">
        <f t="shared" si="124"/>
        <v>5.0519999999999992E-3</v>
      </c>
      <c r="DN102" s="273">
        <f t="shared" si="110"/>
        <v>1.9690000000000003E-3</v>
      </c>
      <c r="DO102" s="273">
        <v>1.297E-3</v>
      </c>
      <c r="DP102" s="273">
        <v>1.0610000000000001E-3</v>
      </c>
      <c r="DQ102" s="273">
        <v>1.635E-3</v>
      </c>
      <c r="DR102" s="273">
        <v>2.787E-3</v>
      </c>
      <c r="DS102" s="273">
        <v>5.8282E-2</v>
      </c>
      <c r="DT102" s="273">
        <v>8.7825E-2</v>
      </c>
      <c r="DU102" s="273">
        <v>2.7636999999999998E-2</v>
      </c>
      <c r="DV102" s="273">
        <v>4.5467E-2</v>
      </c>
      <c r="DW102" s="273">
        <v>4.0188000000000001E-2</v>
      </c>
      <c r="DX102" s="273">
        <v>4.0188000000000001E-2</v>
      </c>
      <c r="DY102" s="273">
        <v>3.9108809999999998</v>
      </c>
      <c r="DZ102" s="273">
        <v>2.3215710000000001</v>
      </c>
      <c r="EA102" s="273">
        <v>0.127169</v>
      </c>
      <c r="EB102" s="273">
        <v>3.5708999999999998E-2</v>
      </c>
      <c r="EC102" s="273">
        <v>3.4870000000000001E-3</v>
      </c>
      <c r="ED102" s="273">
        <v>4.8589999999999996E-3</v>
      </c>
      <c r="EE102" s="273"/>
      <c r="EF102" s="274"/>
    </row>
    <row r="103" spans="2:136" s="249" customFormat="1" ht="17.399999999999999">
      <c r="B103" s="286">
        <v>96</v>
      </c>
      <c r="C103" s="273">
        <v>0.23679</v>
      </c>
      <c r="D103" s="273">
        <v>7.2419999999999998E-2</v>
      </c>
      <c r="E103" s="273">
        <v>2.2599999999999999E-4</v>
      </c>
      <c r="F103" s="273">
        <v>1.5799999999999999E-4</v>
      </c>
      <c r="G103" s="273">
        <v>0.14582899999999999</v>
      </c>
      <c r="H103" s="273">
        <v>0.14332800000000001</v>
      </c>
      <c r="I103" s="273">
        <v>0.237016</v>
      </c>
      <c r="J103" s="273">
        <v>7.2578000000000004E-2</v>
      </c>
      <c r="K103" s="273">
        <v>9.3400000000000004E-4</v>
      </c>
      <c r="L103" s="273">
        <v>1.6119999999999999E-3</v>
      </c>
      <c r="M103" s="273">
        <f t="shared" si="111"/>
        <v>2.1159476888E-2</v>
      </c>
      <c r="N103" s="273">
        <f t="shared" si="101"/>
        <v>1.1910923299999997E-2</v>
      </c>
      <c r="O103" s="273">
        <f t="shared" si="112"/>
        <v>2.8501673599999997E-3</v>
      </c>
      <c r="P103" s="273">
        <f t="shared" si="113"/>
        <v>4.2615270999999994E-4</v>
      </c>
      <c r="Q103" s="273">
        <v>2.7415999999999999E-2</v>
      </c>
      <c r="R103" s="273">
        <v>1.5769999999999999E-2</v>
      </c>
      <c r="S103" s="273">
        <v>1.1119999999999999E-3</v>
      </c>
      <c r="T103" s="273">
        <v>2.7022999999999998E-2</v>
      </c>
      <c r="U103" s="273">
        <v>0.10396</v>
      </c>
      <c r="V103" s="273">
        <v>0</v>
      </c>
      <c r="W103" s="273">
        <v>8.0893999999999994E-2</v>
      </c>
      <c r="X103" s="273">
        <v>0.17116500000000001</v>
      </c>
      <c r="Y103" s="273">
        <f t="shared" si="114"/>
        <v>2.2177899039999998E-3</v>
      </c>
      <c r="Z103" s="273">
        <f t="shared" si="102"/>
        <v>2.6992720500000002E-3</v>
      </c>
      <c r="AA103" s="273">
        <v>3.702E-3</v>
      </c>
      <c r="AB103" s="273">
        <v>1.0376E-2</v>
      </c>
      <c r="AC103" s="273">
        <f t="shared" si="115"/>
        <v>1.01494032E-4</v>
      </c>
      <c r="AD103" s="273">
        <f t="shared" si="103"/>
        <v>1.6362952E-4</v>
      </c>
      <c r="AE103" s="273">
        <v>1.9413E-2</v>
      </c>
      <c r="AF103" s="273">
        <v>2.7130999999999999E-2</v>
      </c>
      <c r="AG103" s="273">
        <f t="shared" si="116"/>
        <v>5.3222680800000003E-4</v>
      </c>
      <c r="AH103" s="273">
        <f t="shared" si="104"/>
        <v>4.2785586999999998E-4</v>
      </c>
      <c r="AI103" s="273">
        <v>2.0237999999999999E-2</v>
      </c>
      <c r="AJ103" s="273">
        <v>9.0150000000000004E-3</v>
      </c>
      <c r="AK103" s="273">
        <f t="shared" si="117"/>
        <v>5.5484500799999996E-4</v>
      </c>
      <c r="AL103" s="273">
        <f t="shared" si="105"/>
        <v>1.4216654999999999E-4</v>
      </c>
      <c r="AM103" s="273">
        <f t="shared" si="118"/>
        <v>2.680763896E-3</v>
      </c>
      <c r="AN103" s="273">
        <f t="shared" si="119"/>
        <v>1.5258894299999999E-3</v>
      </c>
      <c r="AO103" s="273">
        <v>9.7781000000000007E-2</v>
      </c>
      <c r="AP103" s="273">
        <v>9.6758999999999998E-2</v>
      </c>
      <c r="AQ103" s="273">
        <v>6.6299999999999996E-4</v>
      </c>
      <c r="AR103" s="273">
        <v>4.17E-4</v>
      </c>
      <c r="AS103" s="273">
        <v>2.7900000000000001E-4</v>
      </c>
      <c r="AT103" s="273">
        <v>3.1199999999999999E-4</v>
      </c>
      <c r="AU103" s="273">
        <v>1.781E-3</v>
      </c>
      <c r="AV103" s="273">
        <v>9.3599999999999998E-4</v>
      </c>
      <c r="AW103" s="273">
        <v>3.6999999999999998E-5</v>
      </c>
      <c r="AX103" s="273">
        <v>7.9999999999999996E-6</v>
      </c>
      <c r="AY103" s="273">
        <v>3.1599999999999998E-4</v>
      </c>
      <c r="AZ103" s="273">
        <v>1.6100000000000001E-4</v>
      </c>
      <c r="BA103" s="273">
        <v>5.5400000000000002E-4</v>
      </c>
      <c r="BB103" s="273">
        <v>5.6300000000000002E-4</v>
      </c>
      <c r="BC103" s="273">
        <v>0</v>
      </c>
      <c r="BD103" s="273">
        <v>0</v>
      </c>
      <c r="BE103" s="273">
        <v>1.4E-5</v>
      </c>
      <c r="BF103" s="273">
        <v>1.2999999999999999E-5</v>
      </c>
      <c r="BG103" s="273">
        <v>1.2E-5</v>
      </c>
      <c r="BH103" s="273">
        <v>5.0000000000000004E-6</v>
      </c>
      <c r="BI103" s="273">
        <v>4.3999999999999999E-5</v>
      </c>
      <c r="BJ103" s="273">
        <v>1.8E-5</v>
      </c>
      <c r="BK103" s="273">
        <v>6.7000000000000002E-5</v>
      </c>
      <c r="BL103" s="273">
        <v>1.3100000000000001E-4</v>
      </c>
      <c r="BM103" s="273">
        <v>1.9000000000000001E-4</v>
      </c>
      <c r="BN103" s="273">
        <v>1.9599999999999999E-4</v>
      </c>
      <c r="BO103" s="273">
        <v>8.0400000000000003E-4</v>
      </c>
      <c r="BP103" s="273">
        <v>1.279E-3</v>
      </c>
      <c r="BQ103" s="273">
        <v>1.5969999999999999E-3</v>
      </c>
      <c r="BR103" s="273">
        <v>1.688E-3</v>
      </c>
      <c r="BS103" s="273">
        <v>2.4459999999999998E-3</v>
      </c>
      <c r="BT103" s="273">
        <v>1.2260000000000001E-3</v>
      </c>
      <c r="BU103" s="273">
        <v>1.7128000000000001E-2</v>
      </c>
      <c r="BV103" s="273">
        <v>1.8103999999999999E-2</v>
      </c>
      <c r="BW103" s="273">
        <v>15.778052000000001</v>
      </c>
      <c r="BX103" s="273">
        <v>14.019130000000001</v>
      </c>
      <c r="BY103" s="273">
        <v>1.4095530000000001</v>
      </c>
      <c r="BZ103" s="273">
        <v>0.62010299999999996</v>
      </c>
      <c r="CA103" s="273">
        <v>0.77085700000000001</v>
      </c>
      <c r="CB103" s="273">
        <v>0.441548</v>
      </c>
      <c r="CC103" s="273">
        <v>1.2808E-2</v>
      </c>
      <c r="CD103" s="273">
        <v>6.4200000000000004E-3</v>
      </c>
      <c r="CE103" s="273">
        <v>5.3571000000000001E-2</v>
      </c>
      <c r="CF103" s="273">
        <v>4.1655999999999999E-2</v>
      </c>
      <c r="CG103" s="273">
        <v>7.0432999999999996E-2</v>
      </c>
      <c r="CH103" s="273">
        <v>5.1359000000000002E-2</v>
      </c>
      <c r="CI103" s="273">
        <v>1.8290000000000001E-2</v>
      </c>
      <c r="CJ103" s="273">
        <v>8.3219999999999995E-3</v>
      </c>
      <c r="CK103" s="273">
        <v>1.4270000000000001E-3</v>
      </c>
      <c r="CL103" s="273">
        <v>5.9299999999999999E-4</v>
      </c>
      <c r="CM103" s="273">
        <v>6.2899999999999996E-3</v>
      </c>
      <c r="CN103" s="273">
        <v>2.0739999999999999E-3</v>
      </c>
      <c r="CO103" s="273">
        <v>0.116479</v>
      </c>
      <c r="CP103" s="273">
        <v>8.3901000000000003E-2</v>
      </c>
      <c r="CQ103" s="273">
        <v>1.9880999999999999E-2</v>
      </c>
      <c r="CR103" s="273">
        <v>8.9230000000000004E-3</v>
      </c>
      <c r="CS103" s="273">
        <v>5.8624000000000002E-2</v>
      </c>
      <c r="CT103" s="273">
        <v>0.11204</v>
      </c>
      <c r="CU103" s="273">
        <f t="shared" si="120"/>
        <v>1.1655037440000001E-3</v>
      </c>
      <c r="CV103" s="273">
        <f t="shared" si="106"/>
        <v>9.9973292000000015E-4</v>
      </c>
      <c r="CW103" s="273">
        <v>6.1149999999999998E-3</v>
      </c>
      <c r="CX103" s="273">
        <v>2.8121E-2</v>
      </c>
      <c r="CY103" s="273">
        <f t="shared" si="121"/>
        <v>1.21572315E-4</v>
      </c>
      <c r="CZ103" s="273">
        <f t="shared" si="107"/>
        <v>2.5092368299999999E-4</v>
      </c>
      <c r="DA103" s="273">
        <v>9.4899999999999997E-4</v>
      </c>
      <c r="DB103" s="273">
        <v>5.1000000000000004E-4</v>
      </c>
      <c r="DC103" s="273">
        <f t="shared" si="122"/>
        <v>1.8593923941000002E-2</v>
      </c>
      <c r="DD103" s="273">
        <f t="shared" si="108"/>
        <v>7.6723433970000005E-3</v>
      </c>
      <c r="DE103" s="273">
        <v>2.3499999999999999E-4</v>
      </c>
      <c r="DF103" s="273">
        <v>1.5699999999999999E-4</v>
      </c>
      <c r="DG103" s="273">
        <f t="shared" si="123"/>
        <v>2.4710760590000002E-3</v>
      </c>
      <c r="DH103" s="273">
        <f t="shared" si="109"/>
        <v>1.9176566030000002E-3</v>
      </c>
      <c r="DI103" s="273">
        <v>2.6909999999999998E-3</v>
      </c>
      <c r="DJ103" s="273">
        <v>1.1150000000000001E-3</v>
      </c>
      <c r="DK103" s="273">
        <v>2.3609999999999998E-3</v>
      </c>
      <c r="DL103" s="273">
        <v>8.5400000000000005E-4</v>
      </c>
      <c r="DM103" s="273">
        <f t="shared" si="124"/>
        <v>5.0519999999999992E-3</v>
      </c>
      <c r="DN103" s="273">
        <f t="shared" si="110"/>
        <v>1.9690000000000003E-3</v>
      </c>
      <c r="DO103" s="273">
        <v>1.297E-3</v>
      </c>
      <c r="DP103" s="273">
        <v>1.0610000000000001E-3</v>
      </c>
      <c r="DQ103" s="273">
        <v>1.635E-3</v>
      </c>
      <c r="DR103" s="273">
        <v>2.787E-3</v>
      </c>
      <c r="DS103" s="273">
        <v>5.8282E-2</v>
      </c>
      <c r="DT103" s="273">
        <v>8.7825E-2</v>
      </c>
      <c r="DU103" s="273">
        <v>2.7636999999999998E-2</v>
      </c>
      <c r="DV103" s="273">
        <v>4.5467E-2</v>
      </c>
      <c r="DW103" s="273">
        <v>4.0188000000000001E-2</v>
      </c>
      <c r="DX103" s="273">
        <v>4.0188000000000001E-2</v>
      </c>
      <c r="DY103" s="273">
        <v>3.9108809999999998</v>
      </c>
      <c r="DZ103" s="273">
        <v>2.3215710000000001</v>
      </c>
      <c r="EA103" s="273">
        <v>0.14584900000000001</v>
      </c>
      <c r="EB103" s="273">
        <v>3.9668000000000002E-2</v>
      </c>
      <c r="EC103" s="273">
        <v>3.4870000000000001E-3</v>
      </c>
      <c r="ED103" s="273">
        <v>4.8589999999999996E-3</v>
      </c>
      <c r="EE103" s="273"/>
      <c r="EF103" s="274"/>
    </row>
    <row r="104" spans="2:136" s="249" customFormat="1" ht="17.399999999999999">
      <c r="B104" s="286">
        <v>97</v>
      </c>
      <c r="C104" s="273">
        <v>0.27225700000000003</v>
      </c>
      <c r="D104" s="273">
        <v>8.2597000000000004E-2</v>
      </c>
      <c r="E104" s="273">
        <v>2.2599999999999999E-4</v>
      </c>
      <c r="F104" s="273">
        <v>1.5799999999999999E-4</v>
      </c>
      <c r="G104" s="273">
        <v>0.15856999999999999</v>
      </c>
      <c r="H104" s="273">
        <v>0.15601300000000001</v>
      </c>
      <c r="I104" s="273">
        <v>0.27248300000000003</v>
      </c>
      <c r="J104" s="273">
        <v>8.2755000000000009E-2</v>
      </c>
      <c r="K104" s="273">
        <v>9.3400000000000004E-4</v>
      </c>
      <c r="L104" s="273">
        <v>1.6119999999999999E-3</v>
      </c>
      <c r="M104" s="273">
        <f t="shared" si="111"/>
        <v>2.1158164989E-2</v>
      </c>
      <c r="N104" s="273">
        <f t="shared" si="101"/>
        <v>1.2008914874E-2</v>
      </c>
      <c r="O104" s="273">
        <f t="shared" si="112"/>
        <v>2.8502713200000002E-3</v>
      </c>
      <c r="P104" s="273">
        <f t="shared" si="113"/>
        <v>3.7004629199999999E-4</v>
      </c>
      <c r="Q104" s="273">
        <v>2.7417E-2</v>
      </c>
      <c r="R104" s="273">
        <v>1.5817999999999999E-2</v>
      </c>
      <c r="S104" s="273">
        <v>1.1119999999999999E-3</v>
      </c>
      <c r="T104" s="273">
        <v>2.3394000000000002E-2</v>
      </c>
      <c r="U104" s="273">
        <v>0.10396</v>
      </c>
      <c r="V104" s="273">
        <v>0</v>
      </c>
      <c r="W104" s="273">
        <v>8.0893999999999994E-2</v>
      </c>
      <c r="X104" s="273">
        <v>0.171098</v>
      </c>
      <c r="Y104" s="273">
        <f t="shared" si="114"/>
        <v>2.2178707979999997E-3</v>
      </c>
      <c r="Z104" s="273">
        <f t="shared" si="102"/>
        <v>2.7064281639999997E-3</v>
      </c>
      <c r="AA104" s="273">
        <v>3.7780000000000001E-3</v>
      </c>
      <c r="AB104" s="273">
        <v>1.0168999999999999E-2</v>
      </c>
      <c r="AC104" s="273">
        <f t="shared" si="115"/>
        <v>1.03581426E-4</v>
      </c>
      <c r="AD104" s="273">
        <f t="shared" si="103"/>
        <v>1.6085324199999998E-4</v>
      </c>
      <c r="AE104" s="273">
        <v>1.9413E-2</v>
      </c>
      <c r="AF104" s="273">
        <v>2.7130999999999999E-2</v>
      </c>
      <c r="AG104" s="273">
        <f t="shared" si="116"/>
        <v>5.3224622099999998E-4</v>
      </c>
      <c r="AH104" s="273">
        <f t="shared" si="104"/>
        <v>4.2915815799999992E-4</v>
      </c>
      <c r="AI104" s="273">
        <v>2.0237999999999999E-2</v>
      </c>
      <c r="AJ104" s="273">
        <v>9.0150000000000004E-3</v>
      </c>
      <c r="AK104" s="273">
        <f t="shared" si="117"/>
        <v>5.5486524599999997E-4</v>
      </c>
      <c r="AL104" s="273">
        <f t="shared" si="105"/>
        <v>1.4259926999999999E-4</v>
      </c>
      <c r="AM104" s="273">
        <f t="shared" si="118"/>
        <v>2.6808616770000004E-3</v>
      </c>
      <c r="AN104" s="273">
        <f t="shared" si="119"/>
        <v>1.5305338619999997E-3</v>
      </c>
      <c r="AO104" s="273">
        <v>9.7781000000000007E-2</v>
      </c>
      <c r="AP104" s="273">
        <v>9.6758999999999998E-2</v>
      </c>
      <c r="AQ104" s="273">
        <v>6.6299999999999996E-4</v>
      </c>
      <c r="AR104" s="273">
        <v>4.17E-4</v>
      </c>
      <c r="AS104" s="273">
        <v>2.7900000000000001E-4</v>
      </c>
      <c r="AT104" s="273">
        <v>3.1199999999999999E-4</v>
      </c>
      <c r="AU104" s="273">
        <v>1.781E-3</v>
      </c>
      <c r="AV104" s="273">
        <v>9.3599999999999998E-4</v>
      </c>
      <c r="AW104" s="273">
        <v>3.6999999999999998E-5</v>
      </c>
      <c r="AX104" s="273">
        <v>7.9999999999999996E-6</v>
      </c>
      <c r="AY104" s="273">
        <v>3.1599999999999998E-4</v>
      </c>
      <c r="AZ104" s="273">
        <v>1.6100000000000001E-4</v>
      </c>
      <c r="BA104" s="273">
        <v>5.5400000000000002E-4</v>
      </c>
      <c r="BB104" s="273">
        <v>5.6300000000000002E-4</v>
      </c>
      <c r="BC104" s="273">
        <v>0</v>
      </c>
      <c r="BD104" s="273">
        <v>0</v>
      </c>
      <c r="BE104" s="273">
        <v>1.4E-5</v>
      </c>
      <c r="BF104" s="273">
        <v>1.2999999999999999E-5</v>
      </c>
      <c r="BG104" s="273">
        <v>1.2E-5</v>
      </c>
      <c r="BH104" s="273">
        <v>5.0000000000000004E-6</v>
      </c>
      <c r="BI104" s="273">
        <v>4.3999999999999999E-5</v>
      </c>
      <c r="BJ104" s="273">
        <v>1.8E-5</v>
      </c>
      <c r="BK104" s="273">
        <v>6.7000000000000002E-5</v>
      </c>
      <c r="BL104" s="273">
        <v>1.3100000000000001E-4</v>
      </c>
      <c r="BM104" s="273">
        <v>1.9000000000000001E-4</v>
      </c>
      <c r="BN104" s="273">
        <v>1.9599999999999999E-4</v>
      </c>
      <c r="BO104" s="273">
        <v>8.0400000000000003E-4</v>
      </c>
      <c r="BP104" s="273">
        <v>1.279E-3</v>
      </c>
      <c r="BQ104" s="273">
        <v>1.5969999999999999E-3</v>
      </c>
      <c r="BR104" s="273">
        <v>1.688E-3</v>
      </c>
      <c r="BS104" s="273">
        <v>2.4459999999999998E-3</v>
      </c>
      <c r="BT104" s="273">
        <v>1.2260000000000001E-3</v>
      </c>
      <c r="BU104" s="273">
        <v>1.7128000000000001E-2</v>
      </c>
      <c r="BV104" s="273">
        <v>1.8103999999999999E-2</v>
      </c>
      <c r="BW104" s="273">
        <v>15.778052000000001</v>
      </c>
      <c r="BX104" s="273">
        <v>14.019130000000001</v>
      </c>
      <c r="BY104" s="273">
        <v>1.4095530000000001</v>
      </c>
      <c r="BZ104" s="273">
        <v>0.62010299999999996</v>
      </c>
      <c r="CA104" s="273">
        <v>0.77085700000000001</v>
      </c>
      <c r="CB104" s="273">
        <v>0.441548</v>
      </c>
      <c r="CC104" s="273">
        <v>1.2808E-2</v>
      </c>
      <c r="CD104" s="273">
        <v>6.4200000000000004E-3</v>
      </c>
      <c r="CE104" s="273">
        <v>5.3571000000000001E-2</v>
      </c>
      <c r="CF104" s="273">
        <v>4.1655999999999999E-2</v>
      </c>
      <c r="CG104" s="273">
        <v>7.0432999999999996E-2</v>
      </c>
      <c r="CH104" s="273">
        <v>5.1359000000000002E-2</v>
      </c>
      <c r="CI104" s="273">
        <v>1.8290000000000001E-2</v>
      </c>
      <c r="CJ104" s="273">
        <v>8.3219999999999995E-3</v>
      </c>
      <c r="CK104" s="273">
        <v>1.4270000000000001E-3</v>
      </c>
      <c r="CL104" s="273">
        <v>5.9299999999999999E-4</v>
      </c>
      <c r="CM104" s="273">
        <v>6.2899999999999996E-3</v>
      </c>
      <c r="CN104" s="273">
        <v>2.0739999999999999E-3</v>
      </c>
      <c r="CO104" s="273">
        <v>0.116479</v>
      </c>
      <c r="CP104" s="273">
        <v>8.3901000000000003E-2</v>
      </c>
      <c r="CQ104" s="273">
        <v>1.9880999999999999E-2</v>
      </c>
      <c r="CR104" s="273">
        <v>8.9230000000000004E-3</v>
      </c>
      <c r="CS104" s="273">
        <v>5.8624000000000002E-2</v>
      </c>
      <c r="CT104" s="273">
        <v>0.11204</v>
      </c>
      <c r="CU104" s="273">
        <f t="shared" si="120"/>
        <v>1.1655037440000001E-3</v>
      </c>
      <c r="CV104" s="273">
        <f t="shared" si="106"/>
        <v>9.9973292000000015E-4</v>
      </c>
      <c r="CW104" s="273">
        <v>6.1149999999999998E-3</v>
      </c>
      <c r="CX104" s="273">
        <v>2.8121E-2</v>
      </c>
      <c r="CY104" s="273">
        <f t="shared" si="121"/>
        <v>1.21572315E-4</v>
      </c>
      <c r="CZ104" s="273">
        <f t="shared" si="107"/>
        <v>2.5092368299999999E-4</v>
      </c>
      <c r="DA104" s="273">
        <v>9.4899999999999997E-4</v>
      </c>
      <c r="DB104" s="273">
        <v>5.1000000000000004E-4</v>
      </c>
      <c r="DC104" s="273">
        <f t="shared" si="122"/>
        <v>1.8593923941000002E-2</v>
      </c>
      <c r="DD104" s="273">
        <f t="shared" si="108"/>
        <v>7.6723433970000005E-3</v>
      </c>
      <c r="DE104" s="273">
        <v>2.3499999999999999E-4</v>
      </c>
      <c r="DF104" s="273">
        <v>1.5699999999999999E-4</v>
      </c>
      <c r="DG104" s="273">
        <f t="shared" si="123"/>
        <v>2.4710760590000002E-3</v>
      </c>
      <c r="DH104" s="273">
        <f t="shared" si="109"/>
        <v>1.9176566030000002E-3</v>
      </c>
      <c r="DI104" s="273">
        <v>2.6909999999999998E-3</v>
      </c>
      <c r="DJ104" s="273">
        <v>1.1150000000000001E-3</v>
      </c>
      <c r="DK104" s="273">
        <v>2.3609999999999998E-3</v>
      </c>
      <c r="DL104" s="273">
        <v>8.5400000000000005E-4</v>
      </c>
      <c r="DM104" s="273">
        <f t="shared" si="124"/>
        <v>5.0519999999999992E-3</v>
      </c>
      <c r="DN104" s="273">
        <f t="shared" si="110"/>
        <v>1.9690000000000003E-3</v>
      </c>
      <c r="DO104" s="273">
        <v>1.297E-3</v>
      </c>
      <c r="DP104" s="273">
        <v>1.0610000000000001E-3</v>
      </c>
      <c r="DQ104" s="273">
        <v>1.635E-3</v>
      </c>
      <c r="DR104" s="273">
        <v>2.787E-3</v>
      </c>
      <c r="DS104" s="273">
        <v>5.8282E-2</v>
      </c>
      <c r="DT104" s="273">
        <v>8.7825E-2</v>
      </c>
      <c r="DU104" s="273">
        <v>2.7636999999999998E-2</v>
      </c>
      <c r="DV104" s="273">
        <v>4.5467E-2</v>
      </c>
      <c r="DW104" s="273">
        <v>4.0188000000000001E-2</v>
      </c>
      <c r="DX104" s="273">
        <v>4.0188000000000001E-2</v>
      </c>
      <c r="DY104" s="273">
        <v>3.9108809999999998</v>
      </c>
      <c r="DZ104" s="273">
        <v>2.3215710000000001</v>
      </c>
      <c r="EA104" s="273">
        <v>0.16677</v>
      </c>
      <c r="EB104" s="273">
        <v>4.4245E-2</v>
      </c>
      <c r="EC104" s="273">
        <v>3.4870000000000001E-3</v>
      </c>
      <c r="ED104" s="273">
        <v>4.8589999999999996E-3</v>
      </c>
      <c r="EE104" s="273"/>
      <c r="EF104" s="274"/>
    </row>
    <row r="105" spans="2:136" s="249" customFormat="1" ht="17.399999999999999">
      <c r="B105" s="286">
        <v>98</v>
      </c>
      <c r="C105" s="273">
        <v>0.311969</v>
      </c>
      <c r="D105" s="273">
        <v>9.4394000000000006E-2</v>
      </c>
      <c r="E105" s="273">
        <v>2.2599999999999999E-4</v>
      </c>
      <c r="F105" s="273">
        <v>1.5799999999999999E-4</v>
      </c>
      <c r="G105" s="273">
        <v>0.173042</v>
      </c>
      <c r="H105" s="273">
        <v>0.17044899999999999</v>
      </c>
      <c r="I105" s="273">
        <v>0.312195</v>
      </c>
      <c r="J105" s="273">
        <v>9.4552000000000011E-2</v>
      </c>
      <c r="K105" s="273">
        <v>9.3400000000000004E-4</v>
      </c>
      <c r="L105" s="273">
        <v>1.6119999999999999E-3</v>
      </c>
      <c r="M105" s="273">
        <f t="shared" si="111"/>
        <v>2.1158247240000001E-2</v>
      </c>
      <c r="N105" s="273">
        <f t="shared" si="101"/>
        <v>1.203683061E-2</v>
      </c>
      <c r="O105" s="273">
        <f t="shared" si="112"/>
        <v>2.8502713200000002E-3</v>
      </c>
      <c r="P105" s="273">
        <f t="shared" si="113"/>
        <v>3.7086430500000002E-4</v>
      </c>
      <c r="Q105" s="273">
        <v>2.7417E-2</v>
      </c>
      <c r="R105" s="273">
        <v>1.5855000000000001E-2</v>
      </c>
      <c r="S105" s="273">
        <v>1.111E-3</v>
      </c>
      <c r="T105" s="273">
        <v>2.3390999999999999E-2</v>
      </c>
      <c r="U105" s="273">
        <v>0.10396</v>
      </c>
      <c r="V105" s="273">
        <v>0</v>
      </c>
      <c r="W105" s="273">
        <v>8.0891000000000005E-2</v>
      </c>
      <c r="X105" s="273">
        <v>0.17111499999999999</v>
      </c>
      <c r="Y105" s="273">
        <f t="shared" si="114"/>
        <v>2.217788547E-3</v>
      </c>
      <c r="Z105" s="273">
        <f t="shared" si="102"/>
        <v>2.7130283250000001E-3</v>
      </c>
      <c r="AA105" s="273">
        <v>3.7780000000000001E-3</v>
      </c>
      <c r="AB105" s="273">
        <v>1.0166E-2</v>
      </c>
      <c r="AC105" s="273">
        <f t="shared" si="115"/>
        <v>1.03581426E-4</v>
      </c>
      <c r="AD105" s="273">
        <f t="shared" si="103"/>
        <v>1.6118193000000001E-4</v>
      </c>
      <c r="AE105" s="273">
        <v>1.9413E-2</v>
      </c>
      <c r="AF105" s="273">
        <v>2.7130999999999999E-2</v>
      </c>
      <c r="AG105" s="273">
        <f t="shared" si="116"/>
        <v>5.3224622099999998E-4</v>
      </c>
      <c r="AH105" s="273">
        <f t="shared" si="104"/>
        <v>4.3016200500000003E-4</v>
      </c>
      <c r="AI105" s="273">
        <v>2.0237999999999999E-2</v>
      </c>
      <c r="AJ105" s="273">
        <v>9.0150000000000004E-3</v>
      </c>
      <c r="AK105" s="273">
        <f t="shared" si="117"/>
        <v>5.5486524599999997E-4</v>
      </c>
      <c r="AL105" s="273">
        <f t="shared" si="105"/>
        <v>1.42932825E-4</v>
      </c>
      <c r="AM105" s="273">
        <f t="shared" si="118"/>
        <v>2.6808616770000004E-3</v>
      </c>
      <c r="AN105" s="273">
        <f t="shared" si="119"/>
        <v>1.5341139450000001E-3</v>
      </c>
      <c r="AO105" s="273">
        <v>9.7781000000000007E-2</v>
      </c>
      <c r="AP105" s="273">
        <v>9.6758999999999998E-2</v>
      </c>
      <c r="AQ105" s="273">
        <v>6.6299999999999996E-4</v>
      </c>
      <c r="AR105" s="273">
        <v>4.17E-4</v>
      </c>
      <c r="AS105" s="273">
        <v>2.7900000000000001E-4</v>
      </c>
      <c r="AT105" s="273">
        <v>3.1300000000000002E-4</v>
      </c>
      <c r="AU105" s="273">
        <v>1.781E-3</v>
      </c>
      <c r="AV105" s="273">
        <v>9.3599999999999998E-4</v>
      </c>
      <c r="AW105" s="273">
        <v>3.6999999999999998E-5</v>
      </c>
      <c r="AX105" s="273">
        <v>7.9999999999999996E-6</v>
      </c>
      <c r="AY105" s="273">
        <v>3.1599999999999998E-4</v>
      </c>
      <c r="AZ105" s="273">
        <v>1.6100000000000001E-4</v>
      </c>
      <c r="BA105" s="273">
        <v>5.5400000000000002E-4</v>
      </c>
      <c r="BB105" s="273">
        <v>5.6300000000000002E-4</v>
      </c>
      <c r="BC105" s="273">
        <v>0</v>
      </c>
      <c r="BD105" s="273">
        <v>0</v>
      </c>
      <c r="BE105" s="273">
        <v>1.4E-5</v>
      </c>
      <c r="BF105" s="273">
        <v>1.2999999999999999E-5</v>
      </c>
      <c r="BG105" s="273">
        <v>1.2E-5</v>
      </c>
      <c r="BH105" s="273">
        <v>5.0000000000000004E-6</v>
      </c>
      <c r="BI105" s="273">
        <v>4.3999999999999999E-5</v>
      </c>
      <c r="BJ105" s="273">
        <v>1.8E-5</v>
      </c>
      <c r="BK105" s="273">
        <v>6.7000000000000002E-5</v>
      </c>
      <c r="BL105" s="273">
        <v>1.3100000000000001E-4</v>
      </c>
      <c r="BM105" s="273">
        <v>1.9000000000000001E-4</v>
      </c>
      <c r="BN105" s="273">
        <v>1.9599999999999999E-4</v>
      </c>
      <c r="BO105" s="273">
        <v>8.0400000000000003E-4</v>
      </c>
      <c r="BP105" s="273">
        <v>1.279E-3</v>
      </c>
      <c r="BQ105" s="273">
        <v>1.5969999999999999E-3</v>
      </c>
      <c r="BR105" s="273">
        <v>1.688E-3</v>
      </c>
      <c r="BS105" s="273">
        <v>2.4459999999999998E-3</v>
      </c>
      <c r="BT105" s="273">
        <v>1.2260000000000001E-3</v>
      </c>
      <c r="BU105" s="273">
        <v>1.7128000000000001E-2</v>
      </c>
      <c r="BV105" s="273">
        <v>1.8103999999999999E-2</v>
      </c>
      <c r="BW105" s="273">
        <v>15.778052000000001</v>
      </c>
      <c r="BX105" s="273">
        <v>14.019130000000001</v>
      </c>
      <c r="BY105" s="273">
        <v>1.4095530000000001</v>
      </c>
      <c r="BZ105" s="273">
        <v>0.62010299999999996</v>
      </c>
      <c r="CA105" s="273">
        <v>0.77085700000000001</v>
      </c>
      <c r="CB105" s="273">
        <v>0.441548</v>
      </c>
      <c r="CC105" s="273">
        <v>1.2808E-2</v>
      </c>
      <c r="CD105" s="273">
        <v>6.4200000000000004E-3</v>
      </c>
      <c r="CE105" s="273">
        <v>5.3571000000000001E-2</v>
      </c>
      <c r="CF105" s="273">
        <v>4.1655999999999999E-2</v>
      </c>
      <c r="CG105" s="273">
        <v>7.0432999999999996E-2</v>
      </c>
      <c r="CH105" s="273">
        <v>5.1359000000000002E-2</v>
      </c>
      <c r="CI105" s="273">
        <v>1.8290000000000001E-2</v>
      </c>
      <c r="CJ105" s="273">
        <v>8.3219999999999995E-3</v>
      </c>
      <c r="CK105" s="273">
        <v>1.4270000000000001E-3</v>
      </c>
      <c r="CL105" s="273">
        <v>5.9299999999999999E-4</v>
      </c>
      <c r="CM105" s="273">
        <v>6.2899999999999996E-3</v>
      </c>
      <c r="CN105" s="273">
        <v>2.0739999999999999E-3</v>
      </c>
      <c r="CO105" s="273">
        <v>0.116479</v>
      </c>
      <c r="CP105" s="273">
        <v>8.3901000000000003E-2</v>
      </c>
      <c r="CQ105" s="273">
        <v>1.9880999999999999E-2</v>
      </c>
      <c r="CR105" s="273">
        <v>8.9230000000000004E-3</v>
      </c>
      <c r="CS105" s="273">
        <v>5.8624000000000002E-2</v>
      </c>
      <c r="CT105" s="273">
        <v>0.11204</v>
      </c>
      <c r="CU105" s="273">
        <f t="shared" si="120"/>
        <v>1.1655037440000001E-3</v>
      </c>
      <c r="CV105" s="273">
        <f t="shared" si="106"/>
        <v>9.9973292000000015E-4</v>
      </c>
      <c r="CW105" s="273">
        <v>6.1149999999999998E-3</v>
      </c>
      <c r="CX105" s="273">
        <v>2.8121E-2</v>
      </c>
      <c r="CY105" s="273">
        <f t="shared" si="121"/>
        <v>1.21572315E-4</v>
      </c>
      <c r="CZ105" s="273">
        <f t="shared" si="107"/>
        <v>2.5092368299999999E-4</v>
      </c>
      <c r="DA105" s="273">
        <v>9.4899999999999997E-4</v>
      </c>
      <c r="DB105" s="273">
        <v>5.1000000000000004E-4</v>
      </c>
      <c r="DC105" s="273">
        <f t="shared" si="122"/>
        <v>1.8593923941000002E-2</v>
      </c>
      <c r="DD105" s="273">
        <f t="shared" si="108"/>
        <v>7.6723433970000005E-3</v>
      </c>
      <c r="DE105" s="273">
        <v>2.3499999999999999E-4</v>
      </c>
      <c r="DF105" s="273">
        <v>1.5699999999999999E-4</v>
      </c>
      <c r="DG105" s="273">
        <f t="shared" si="123"/>
        <v>2.4710760590000002E-3</v>
      </c>
      <c r="DH105" s="273">
        <f t="shared" si="109"/>
        <v>1.9176566030000002E-3</v>
      </c>
      <c r="DI105" s="273">
        <v>2.6909999999999998E-3</v>
      </c>
      <c r="DJ105" s="273">
        <v>1.1150000000000001E-3</v>
      </c>
      <c r="DK105" s="273">
        <v>2.3609999999999998E-3</v>
      </c>
      <c r="DL105" s="273">
        <v>8.5400000000000005E-4</v>
      </c>
      <c r="DM105" s="273">
        <f t="shared" si="124"/>
        <v>5.0519999999999992E-3</v>
      </c>
      <c r="DN105" s="273">
        <f t="shared" si="110"/>
        <v>1.9690000000000003E-3</v>
      </c>
      <c r="DO105" s="273">
        <v>1.297E-3</v>
      </c>
      <c r="DP105" s="273">
        <v>1.0610000000000001E-3</v>
      </c>
      <c r="DQ105" s="273">
        <v>1.635E-3</v>
      </c>
      <c r="DR105" s="273">
        <v>2.787E-3</v>
      </c>
      <c r="DS105" s="273">
        <v>5.8282E-2</v>
      </c>
      <c r="DT105" s="273">
        <v>8.7825E-2</v>
      </c>
      <c r="DU105" s="273">
        <v>2.7636999999999998E-2</v>
      </c>
      <c r="DV105" s="273">
        <v>4.5467E-2</v>
      </c>
      <c r="DW105" s="273">
        <v>4.0188000000000001E-2</v>
      </c>
      <c r="DX105" s="273">
        <v>4.0188000000000001E-2</v>
      </c>
      <c r="DY105" s="273">
        <v>3.9108809999999998</v>
      </c>
      <c r="DZ105" s="273">
        <v>2.3215710000000001</v>
      </c>
      <c r="EA105" s="273">
        <v>0.19014300000000001</v>
      </c>
      <c r="EB105" s="273">
        <v>4.9550999999999998E-2</v>
      </c>
      <c r="EC105" s="273">
        <v>3.4870000000000001E-3</v>
      </c>
      <c r="ED105" s="273">
        <v>4.8589999999999996E-3</v>
      </c>
      <c r="EE105" s="273"/>
      <c r="EF105" s="274"/>
    </row>
    <row r="106" spans="2:136" s="249" customFormat="1" ht="17.399999999999999">
      <c r="B106" s="286">
        <v>99</v>
      </c>
      <c r="C106" s="273">
        <v>0.35638700000000001</v>
      </c>
      <c r="D106" s="273">
        <v>0.108097</v>
      </c>
      <c r="E106" s="273">
        <v>2.2599999999999999E-4</v>
      </c>
      <c r="F106" s="273">
        <v>1.5799999999999999E-4</v>
      </c>
      <c r="G106" s="273">
        <v>0.18863099999999999</v>
      </c>
      <c r="H106" s="273">
        <v>0.18599199999999999</v>
      </c>
      <c r="I106" s="273">
        <v>0.35661300000000001</v>
      </c>
      <c r="J106" s="273">
        <v>0.108255</v>
      </c>
      <c r="K106" s="273">
        <v>9.3400000000000004E-4</v>
      </c>
      <c r="L106" s="273">
        <v>1.6119999999999999E-3</v>
      </c>
      <c r="M106" s="273">
        <f t="shared" si="111"/>
        <v>2.1159018960000001E-2</v>
      </c>
      <c r="N106" s="273">
        <f t="shared" si="101"/>
        <v>1.2059621955E-2</v>
      </c>
      <c r="O106" s="273">
        <f t="shared" si="112"/>
        <v>2.8503752800000002E-3</v>
      </c>
      <c r="P106" s="273">
        <f t="shared" si="113"/>
        <v>3.7150249500000004E-4</v>
      </c>
      <c r="Q106" s="273">
        <v>2.7418000000000001E-2</v>
      </c>
      <c r="R106" s="273">
        <v>1.5885E-2</v>
      </c>
      <c r="S106" s="273">
        <v>1.111E-3</v>
      </c>
      <c r="T106" s="273">
        <v>2.3387000000000002E-2</v>
      </c>
      <c r="U106" s="273">
        <v>0.10396</v>
      </c>
      <c r="V106" s="273">
        <v>0</v>
      </c>
      <c r="W106" s="273">
        <v>8.0891000000000005E-2</v>
      </c>
      <c r="X106" s="273">
        <v>0.17111999999999999</v>
      </c>
      <c r="Y106" s="273">
        <f t="shared" si="114"/>
        <v>2.2178694380000003E-3</v>
      </c>
      <c r="Z106" s="273">
        <f t="shared" si="102"/>
        <v>2.7182411999999998E-3</v>
      </c>
      <c r="AA106" s="273">
        <v>3.7780000000000001E-3</v>
      </c>
      <c r="AB106" s="273">
        <v>1.0163999999999999E-2</v>
      </c>
      <c r="AC106" s="273">
        <f t="shared" si="115"/>
        <v>1.03585204E-4</v>
      </c>
      <c r="AD106" s="273">
        <f t="shared" si="103"/>
        <v>1.6145514E-4</v>
      </c>
      <c r="AE106" s="273">
        <v>1.9413E-2</v>
      </c>
      <c r="AF106" s="273">
        <v>2.7130999999999999E-2</v>
      </c>
      <c r="AG106" s="273">
        <f t="shared" si="116"/>
        <v>5.3226563400000004E-4</v>
      </c>
      <c r="AH106" s="273">
        <f t="shared" si="104"/>
        <v>4.30975935E-4</v>
      </c>
      <c r="AI106" s="273">
        <v>2.0237999999999999E-2</v>
      </c>
      <c r="AJ106" s="273">
        <v>9.0150000000000004E-3</v>
      </c>
      <c r="AK106" s="273">
        <f t="shared" si="117"/>
        <v>5.5488548399999999E-4</v>
      </c>
      <c r="AL106" s="273">
        <f t="shared" si="105"/>
        <v>1.4320327500000002E-4</v>
      </c>
      <c r="AM106" s="273">
        <f t="shared" si="118"/>
        <v>2.6809594580000005E-3</v>
      </c>
      <c r="AN106" s="273">
        <f t="shared" si="119"/>
        <v>1.537016715E-3</v>
      </c>
      <c r="AO106" s="273">
        <v>9.7781000000000007E-2</v>
      </c>
      <c r="AP106" s="273">
        <v>9.6758999999999998E-2</v>
      </c>
      <c r="AQ106" s="273">
        <v>6.6299999999999996E-4</v>
      </c>
      <c r="AR106" s="273">
        <v>4.17E-4</v>
      </c>
      <c r="AS106" s="273">
        <v>2.7900000000000001E-4</v>
      </c>
      <c r="AT106" s="273">
        <v>3.1399999999999999E-4</v>
      </c>
      <c r="AU106" s="273">
        <v>1.781E-3</v>
      </c>
      <c r="AV106" s="273">
        <v>9.3599999999999998E-4</v>
      </c>
      <c r="AW106" s="273">
        <v>3.6999999999999998E-5</v>
      </c>
      <c r="AX106" s="273">
        <v>7.9999999999999996E-6</v>
      </c>
      <c r="AY106" s="273">
        <v>3.1599999999999998E-4</v>
      </c>
      <c r="AZ106" s="273">
        <v>1.6100000000000001E-4</v>
      </c>
      <c r="BA106" s="273">
        <v>5.5400000000000002E-4</v>
      </c>
      <c r="BB106" s="273">
        <v>5.6300000000000002E-4</v>
      </c>
      <c r="BC106" s="273">
        <v>0</v>
      </c>
      <c r="BD106" s="273">
        <v>0</v>
      </c>
      <c r="BE106" s="273">
        <v>1.4E-5</v>
      </c>
      <c r="BF106" s="273">
        <v>1.2999999999999999E-5</v>
      </c>
      <c r="BG106" s="273">
        <v>1.2E-5</v>
      </c>
      <c r="BH106" s="273">
        <v>5.0000000000000004E-6</v>
      </c>
      <c r="BI106" s="273">
        <v>4.3999999999999999E-5</v>
      </c>
      <c r="BJ106" s="273">
        <v>1.8E-5</v>
      </c>
      <c r="BK106" s="273">
        <v>6.7000000000000002E-5</v>
      </c>
      <c r="BL106" s="273">
        <v>1.3100000000000001E-4</v>
      </c>
      <c r="BM106" s="273">
        <v>1.9000000000000001E-4</v>
      </c>
      <c r="BN106" s="273">
        <v>1.9599999999999999E-4</v>
      </c>
      <c r="BO106" s="273">
        <v>8.0400000000000003E-4</v>
      </c>
      <c r="BP106" s="273">
        <v>1.279E-3</v>
      </c>
      <c r="BQ106" s="273">
        <v>1.5969999999999999E-3</v>
      </c>
      <c r="BR106" s="273">
        <v>1.688E-3</v>
      </c>
      <c r="BS106" s="273">
        <v>2.4459999999999998E-3</v>
      </c>
      <c r="BT106" s="273">
        <v>1.2260000000000001E-3</v>
      </c>
      <c r="BU106" s="273">
        <v>1.7128000000000001E-2</v>
      </c>
      <c r="BV106" s="273">
        <v>1.8103999999999999E-2</v>
      </c>
      <c r="BW106" s="273">
        <v>15.778052000000001</v>
      </c>
      <c r="BX106" s="273">
        <v>14.019130000000001</v>
      </c>
      <c r="BY106" s="273">
        <v>1.4095530000000001</v>
      </c>
      <c r="BZ106" s="273">
        <v>0.62010299999999996</v>
      </c>
      <c r="CA106" s="273">
        <v>0.77085700000000001</v>
      </c>
      <c r="CB106" s="273">
        <v>0.441548</v>
      </c>
      <c r="CC106" s="273">
        <v>1.2808E-2</v>
      </c>
      <c r="CD106" s="273">
        <v>6.4200000000000004E-3</v>
      </c>
      <c r="CE106" s="273">
        <v>5.3571000000000001E-2</v>
      </c>
      <c r="CF106" s="273">
        <v>4.1655999999999999E-2</v>
      </c>
      <c r="CG106" s="273">
        <v>7.0432999999999996E-2</v>
      </c>
      <c r="CH106" s="273">
        <v>5.1359000000000002E-2</v>
      </c>
      <c r="CI106" s="273">
        <v>1.8290000000000001E-2</v>
      </c>
      <c r="CJ106" s="273">
        <v>8.3219999999999995E-3</v>
      </c>
      <c r="CK106" s="273">
        <v>1.4270000000000001E-3</v>
      </c>
      <c r="CL106" s="273">
        <v>5.9299999999999999E-4</v>
      </c>
      <c r="CM106" s="273">
        <v>6.2899999999999996E-3</v>
      </c>
      <c r="CN106" s="273">
        <v>2.0739999999999999E-3</v>
      </c>
      <c r="CO106" s="273">
        <v>0.116479</v>
      </c>
      <c r="CP106" s="273">
        <v>8.3901000000000003E-2</v>
      </c>
      <c r="CQ106" s="273">
        <v>1.9880999999999999E-2</v>
      </c>
      <c r="CR106" s="273">
        <v>8.9230000000000004E-3</v>
      </c>
      <c r="CS106" s="273">
        <v>5.8624000000000002E-2</v>
      </c>
      <c r="CT106" s="273">
        <v>0.11204</v>
      </c>
      <c r="CU106" s="273">
        <f t="shared" si="120"/>
        <v>1.1655037440000001E-3</v>
      </c>
      <c r="CV106" s="273">
        <f t="shared" si="106"/>
        <v>9.9973292000000015E-4</v>
      </c>
      <c r="CW106" s="273">
        <v>6.1149999999999998E-3</v>
      </c>
      <c r="CX106" s="273">
        <v>2.8121E-2</v>
      </c>
      <c r="CY106" s="273">
        <f t="shared" si="121"/>
        <v>1.21572315E-4</v>
      </c>
      <c r="CZ106" s="273">
        <f t="shared" si="107"/>
        <v>2.5092368299999999E-4</v>
      </c>
      <c r="DA106" s="273">
        <v>9.4899999999999997E-4</v>
      </c>
      <c r="DB106" s="273">
        <v>5.1000000000000004E-4</v>
      </c>
      <c r="DC106" s="273">
        <f t="shared" si="122"/>
        <v>1.8593923941000002E-2</v>
      </c>
      <c r="DD106" s="273">
        <f t="shared" si="108"/>
        <v>7.6723433970000005E-3</v>
      </c>
      <c r="DE106" s="273">
        <v>2.3499999999999999E-4</v>
      </c>
      <c r="DF106" s="273">
        <v>1.5699999999999999E-4</v>
      </c>
      <c r="DG106" s="273">
        <f t="shared" si="123"/>
        <v>2.4710760590000002E-3</v>
      </c>
      <c r="DH106" s="273">
        <f t="shared" si="109"/>
        <v>1.9176566030000002E-3</v>
      </c>
      <c r="DI106" s="273">
        <v>2.6909999999999998E-3</v>
      </c>
      <c r="DJ106" s="273">
        <v>1.1150000000000001E-3</v>
      </c>
      <c r="DK106" s="273">
        <v>2.3609999999999998E-3</v>
      </c>
      <c r="DL106" s="273">
        <v>8.5400000000000005E-4</v>
      </c>
      <c r="DM106" s="273">
        <f t="shared" si="124"/>
        <v>5.0519999999999992E-3</v>
      </c>
      <c r="DN106" s="273">
        <f t="shared" si="110"/>
        <v>1.9690000000000003E-3</v>
      </c>
      <c r="DO106" s="273">
        <v>1.297E-3</v>
      </c>
      <c r="DP106" s="273">
        <v>1.0610000000000001E-3</v>
      </c>
      <c r="DQ106" s="273">
        <v>1.635E-3</v>
      </c>
      <c r="DR106" s="273">
        <v>2.787E-3</v>
      </c>
      <c r="DS106" s="273">
        <v>5.8282E-2</v>
      </c>
      <c r="DT106" s="273">
        <v>8.7825E-2</v>
      </c>
      <c r="DU106" s="273">
        <v>2.7636999999999998E-2</v>
      </c>
      <c r="DV106" s="273">
        <v>4.5467E-2</v>
      </c>
      <c r="DW106" s="273">
        <v>4.0188000000000001E-2</v>
      </c>
      <c r="DX106" s="273">
        <v>4.0188000000000001E-2</v>
      </c>
      <c r="DY106" s="273">
        <v>3.9108809999999998</v>
      </c>
      <c r="DZ106" s="273">
        <v>2.3215710000000001</v>
      </c>
      <c r="EA106" s="273">
        <v>0.21623800000000001</v>
      </c>
      <c r="EB106" s="273">
        <v>5.5711999999999998E-2</v>
      </c>
      <c r="EC106" s="273">
        <v>3.4870000000000001E-3</v>
      </c>
      <c r="ED106" s="273">
        <v>4.8589999999999996E-3</v>
      </c>
      <c r="EE106" s="273"/>
      <c r="EF106" s="274"/>
    </row>
    <row r="107" spans="2:136" s="249" customFormat="1" ht="17.399999999999999">
      <c r="B107" s="286">
        <v>100</v>
      </c>
      <c r="C107" s="273">
        <v>0.40610299999999999</v>
      </c>
      <c r="D107" s="273">
        <v>0.124057</v>
      </c>
      <c r="E107" s="273">
        <v>2.2599999999999999E-4</v>
      </c>
      <c r="F107" s="273">
        <v>1.5799999999999999E-4</v>
      </c>
      <c r="G107" s="273">
        <v>0.20477300000000001</v>
      </c>
      <c r="H107" s="273">
        <v>0.20211799999999999</v>
      </c>
      <c r="I107" s="273">
        <v>0.406329</v>
      </c>
      <c r="J107" s="273">
        <v>0.12421500000000001</v>
      </c>
      <c r="K107" s="273">
        <v>9.3400000000000004E-4</v>
      </c>
      <c r="L107" s="273">
        <v>1.6119999999999999E-3</v>
      </c>
      <c r="M107" s="273">
        <f t="shared" si="111"/>
        <v>2.1159018960000001E-2</v>
      </c>
      <c r="N107" s="273">
        <f t="shared" si="101"/>
        <v>1.2078692451000001E-2</v>
      </c>
      <c r="O107" s="273">
        <f t="shared" si="112"/>
        <v>2.8503752800000002E-3</v>
      </c>
      <c r="P107" s="273">
        <f t="shared" si="113"/>
        <v>3.72062824E-4</v>
      </c>
      <c r="Q107" s="273">
        <v>2.7418000000000001E-2</v>
      </c>
      <c r="R107" s="273">
        <v>1.5911000000000002E-2</v>
      </c>
      <c r="S107" s="273">
        <v>1.111E-3</v>
      </c>
      <c r="T107" s="273">
        <v>2.3383999999999999E-2</v>
      </c>
      <c r="U107" s="273">
        <v>0.10396</v>
      </c>
      <c r="V107" s="273">
        <v>0</v>
      </c>
      <c r="W107" s="273">
        <v>8.0891000000000005E-2</v>
      </c>
      <c r="X107" s="273">
        <v>0.17116700000000001</v>
      </c>
      <c r="Y107" s="273">
        <f t="shared" si="114"/>
        <v>2.2178694380000003E-3</v>
      </c>
      <c r="Z107" s="273">
        <f t="shared" si="102"/>
        <v>2.7234381370000007E-3</v>
      </c>
      <c r="AA107" s="273">
        <v>3.7780000000000001E-3</v>
      </c>
      <c r="AB107" s="273">
        <v>1.0161999999999999E-2</v>
      </c>
      <c r="AC107" s="273">
        <f t="shared" si="115"/>
        <v>1.03585204E-4</v>
      </c>
      <c r="AD107" s="273">
        <f t="shared" si="103"/>
        <v>1.6168758199999999E-4</v>
      </c>
      <c r="AE107" s="273">
        <v>1.9413E-2</v>
      </c>
      <c r="AF107" s="273">
        <v>2.7130999999999999E-2</v>
      </c>
      <c r="AG107" s="273">
        <f t="shared" si="116"/>
        <v>5.3226563400000004E-4</v>
      </c>
      <c r="AH107" s="273">
        <f t="shared" si="104"/>
        <v>4.3168134100000005E-4</v>
      </c>
      <c r="AI107" s="273">
        <v>2.0237999999999999E-2</v>
      </c>
      <c r="AJ107" s="273">
        <v>9.0150000000000004E-3</v>
      </c>
      <c r="AK107" s="273">
        <f t="shared" si="117"/>
        <v>5.5488548399999999E-4</v>
      </c>
      <c r="AL107" s="273">
        <f t="shared" si="105"/>
        <v>1.4343766500000003E-4</v>
      </c>
      <c r="AM107" s="273">
        <f t="shared" si="118"/>
        <v>2.6809594580000005E-3</v>
      </c>
      <c r="AN107" s="273">
        <f t="shared" si="119"/>
        <v>1.5395324490000001E-3</v>
      </c>
      <c r="AO107" s="273">
        <v>9.7781000000000007E-2</v>
      </c>
      <c r="AP107" s="273">
        <v>9.6758999999999998E-2</v>
      </c>
      <c r="AQ107" s="273">
        <v>6.6299999999999996E-4</v>
      </c>
      <c r="AR107" s="273">
        <v>4.17E-4</v>
      </c>
      <c r="AS107" s="273">
        <v>2.7900000000000001E-4</v>
      </c>
      <c r="AT107" s="273">
        <v>3.1399999999999999E-4</v>
      </c>
      <c r="AU107" s="273">
        <v>1.781E-3</v>
      </c>
      <c r="AV107" s="273">
        <v>9.3599999999999998E-4</v>
      </c>
      <c r="AW107" s="273">
        <v>3.6999999999999998E-5</v>
      </c>
      <c r="AX107" s="273">
        <v>7.9999999999999996E-6</v>
      </c>
      <c r="AY107" s="273">
        <v>3.1599999999999998E-4</v>
      </c>
      <c r="AZ107" s="273">
        <v>1.6100000000000001E-4</v>
      </c>
      <c r="BA107" s="273">
        <v>5.5400000000000002E-4</v>
      </c>
      <c r="BB107" s="273">
        <v>5.6300000000000002E-4</v>
      </c>
      <c r="BC107" s="273">
        <v>0</v>
      </c>
      <c r="BD107" s="273">
        <v>0</v>
      </c>
      <c r="BE107" s="273">
        <v>1.4E-5</v>
      </c>
      <c r="BF107" s="273">
        <v>1.2999999999999999E-5</v>
      </c>
      <c r="BG107" s="273">
        <v>1.2E-5</v>
      </c>
      <c r="BH107" s="273">
        <v>5.0000000000000004E-6</v>
      </c>
      <c r="BI107" s="273">
        <v>4.3999999999999999E-5</v>
      </c>
      <c r="BJ107" s="273">
        <v>1.8E-5</v>
      </c>
      <c r="BK107" s="273">
        <v>6.7000000000000002E-5</v>
      </c>
      <c r="BL107" s="273">
        <v>1.3100000000000001E-4</v>
      </c>
      <c r="BM107" s="273">
        <v>1.9000000000000001E-4</v>
      </c>
      <c r="BN107" s="273">
        <v>1.9599999999999999E-4</v>
      </c>
      <c r="BO107" s="273">
        <v>8.0400000000000003E-4</v>
      </c>
      <c r="BP107" s="273">
        <v>1.279E-3</v>
      </c>
      <c r="BQ107" s="273">
        <v>1.5969999999999999E-3</v>
      </c>
      <c r="BR107" s="273">
        <v>1.688E-3</v>
      </c>
      <c r="BS107" s="273">
        <v>2.4459999999999998E-3</v>
      </c>
      <c r="BT107" s="273">
        <v>1.2260000000000001E-3</v>
      </c>
      <c r="BU107" s="273">
        <v>1.7128000000000001E-2</v>
      </c>
      <c r="BV107" s="273">
        <v>1.8103999999999999E-2</v>
      </c>
      <c r="BW107" s="273">
        <v>15.778052000000001</v>
      </c>
      <c r="BX107" s="273">
        <v>14.019130000000001</v>
      </c>
      <c r="BY107" s="273">
        <v>1.4095530000000001</v>
      </c>
      <c r="BZ107" s="273">
        <v>0.62010299999999996</v>
      </c>
      <c r="CA107" s="273">
        <v>0.77085700000000001</v>
      </c>
      <c r="CB107" s="273">
        <v>0.441548</v>
      </c>
      <c r="CC107" s="273">
        <v>1.2808E-2</v>
      </c>
      <c r="CD107" s="273">
        <v>6.4200000000000004E-3</v>
      </c>
      <c r="CE107" s="273">
        <v>5.3571000000000001E-2</v>
      </c>
      <c r="CF107" s="273">
        <v>4.1655999999999999E-2</v>
      </c>
      <c r="CG107" s="273">
        <v>7.0432999999999996E-2</v>
      </c>
      <c r="CH107" s="273">
        <v>5.1359000000000002E-2</v>
      </c>
      <c r="CI107" s="273">
        <v>1.8290000000000001E-2</v>
      </c>
      <c r="CJ107" s="273">
        <v>8.3219999999999995E-3</v>
      </c>
      <c r="CK107" s="273">
        <v>1.4270000000000001E-3</v>
      </c>
      <c r="CL107" s="273">
        <v>5.9299999999999999E-4</v>
      </c>
      <c r="CM107" s="273">
        <v>6.2899999999999996E-3</v>
      </c>
      <c r="CN107" s="273">
        <v>2.0739999999999999E-3</v>
      </c>
      <c r="CO107" s="273">
        <v>0.116479</v>
      </c>
      <c r="CP107" s="273">
        <v>8.3901000000000003E-2</v>
      </c>
      <c r="CQ107" s="273">
        <v>1.9880999999999999E-2</v>
      </c>
      <c r="CR107" s="273">
        <v>8.9230000000000004E-3</v>
      </c>
      <c r="CS107" s="273">
        <v>5.8624000000000002E-2</v>
      </c>
      <c r="CT107" s="273">
        <v>0.11204</v>
      </c>
      <c r="CU107" s="273">
        <f t="shared" si="120"/>
        <v>1.1655037440000001E-3</v>
      </c>
      <c r="CV107" s="273">
        <f t="shared" si="106"/>
        <v>9.9973292000000015E-4</v>
      </c>
      <c r="CW107" s="273">
        <v>6.1149999999999998E-3</v>
      </c>
      <c r="CX107" s="273">
        <v>2.8121E-2</v>
      </c>
      <c r="CY107" s="273">
        <f t="shared" si="121"/>
        <v>1.21572315E-4</v>
      </c>
      <c r="CZ107" s="273">
        <f t="shared" si="107"/>
        <v>2.5092368299999999E-4</v>
      </c>
      <c r="DA107" s="273">
        <v>9.4899999999999997E-4</v>
      </c>
      <c r="DB107" s="273">
        <v>5.1000000000000004E-4</v>
      </c>
      <c r="DC107" s="273">
        <f t="shared" si="122"/>
        <v>1.8593923941000002E-2</v>
      </c>
      <c r="DD107" s="273">
        <f t="shared" si="108"/>
        <v>7.6723433970000005E-3</v>
      </c>
      <c r="DE107" s="273">
        <v>2.3499999999999999E-4</v>
      </c>
      <c r="DF107" s="273">
        <v>1.5699999999999999E-4</v>
      </c>
      <c r="DG107" s="273">
        <f t="shared" si="123"/>
        <v>2.4710760590000002E-3</v>
      </c>
      <c r="DH107" s="273">
        <f t="shared" si="109"/>
        <v>1.9176566030000002E-3</v>
      </c>
      <c r="DI107" s="273">
        <v>2.6909999999999998E-3</v>
      </c>
      <c r="DJ107" s="273">
        <v>1.1150000000000001E-3</v>
      </c>
      <c r="DK107" s="273">
        <v>2.3609999999999998E-3</v>
      </c>
      <c r="DL107" s="273">
        <v>8.5400000000000005E-4</v>
      </c>
      <c r="DM107" s="273">
        <f t="shared" si="124"/>
        <v>5.0519999999999992E-3</v>
      </c>
      <c r="DN107" s="273">
        <f t="shared" si="110"/>
        <v>1.9690000000000003E-3</v>
      </c>
      <c r="DO107" s="273">
        <v>1.297E-3</v>
      </c>
      <c r="DP107" s="273">
        <v>1.0610000000000001E-3</v>
      </c>
      <c r="DQ107" s="273">
        <v>1.635E-3</v>
      </c>
      <c r="DR107" s="273">
        <v>2.787E-3</v>
      </c>
      <c r="DS107" s="273">
        <v>5.8282E-2</v>
      </c>
      <c r="DT107" s="273">
        <v>8.7825E-2</v>
      </c>
      <c r="DU107" s="273">
        <v>2.7636999999999998E-2</v>
      </c>
      <c r="DV107" s="273">
        <v>4.5467E-2</v>
      </c>
      <c r="DW107" s="273">
        <v>4.0188000000000001E-2</v>
      </c>
      <c r="DX107" s="273">
        <v>4.0188000000000001E-2</v>
      </c>
      <c r="DY107" s="273">
        <v>3.9108809999999998</v>
      </c>
      <c r="DZ107" s="273">
        <v>2.3215710000000001</v>
      </c>
      <c r="EA107" s="273">
        <v>0.24540500000000001</v>
      </c>
      <c r="EB107" s="273">
        <v>6.2885999999999997E-2</v>
      </c>
      <c r="EC107" s="273">
        <v>3.4870000000000001E-3</v>
      </c>
      <c r="ED107" s="273">
        <v>4.8589999999999996E-3</v>
      </c>
      <c r="EE107" s="273"/>
      <c r="EF107" s="274"/>
    </row>
    <row r="108" spans="2:136" s="249" customFormat="1" ht="17.399999999999999">
      <c r="B108" s="286">
        <v>101</v>
      </c>
      <c r="C108" s="273">
        <v>0.461922</v>
      </c>
      <c r="D108" s="273">
        <v>0.142704</v>
      </c>
      <c r="E108" s="273">
        <v>2.2599999999999999E-4</v>
      </c>
      <c r="F108" s="273">
        <v>1.5799999999999999E-4</v>
      </c>
      <c r="G108" s="273">
        <v>0.221668</v>
      </c>
      <c r="H108" s="273">
        <v>0.219051</v>
      </c>
      <c r="I108" s="273">
        <v>0.462148</v>
      </c>
      <c r="J108" s="273">
        <v>0.14286199999999999</v>
      </c>
      <c r="K108" s="273">
        <v>9.3400000000000004E-4</v>
      </c>
      <c r="L108" s="273">
        <v>1.6119999999999999E-3</v>
      </c>
      <c r="M108" s="273">
        <f t="shared" si="111"/>
        <v>2.1159018960000001E-2</v>
      </c>
      <c r="N108" s="273">
        <f t="shared" si="101"/>
        <v>1.2098929919999999E-2</v>
      </c>
      <c r="O108" s="273">
        <f t="shared" si="112"/>
        <v>2.8503752800000002E-3</v>
      </c>
      <c r="P108" s="273">
        <f t="shared" si="113"/>
        <v>3.7259961599999997E-4</v>
      </c>
      <c r="Q108" s="273">
        <v>2.7418000000000001E-2</v>
      </c>
      <c r="R108" s="273">
        <v>1.5935999999999999E-2</v>
      </c>
      <c r="S108" s="273">
        <v>1.111E-3</v>
      </c>
      <c r="T108" s="273">
        <v>2.3380999999999999E-2</v>
      </c>
      <c r="U108" s="273">
        <v>0.10396</v>
      </c>
      <c r="V108" s="273">
        <v>0</v>
      </c>
      <c r="W108" s="273">
        <v>8.0891000000000005E-2</v>
      </c>
      <c r="X108" s="273">
        <v>0.171093</v>
      </c>
      <c r="Y108" s="273">
        <f t="shared" si="114"/>
        <v>2.2178694380000003E-3</v>
      </c>
      <c r="Z108" s="273">
        <f t="shared" si="102"/>
        <v>2.7265380479999995E-3</v>
      </c>
      <c r="AA108" s="273">
        <v>3.7780000000000001E-3</v>
      </c>
      <c r="AB108" s="273">
        <v>1.0160000000000001E-2</v>
      </c>
      <c r="AC108" s="273">
        <f t="shared" si="115"/>
        <v>1.03585204E-4</v>
      </c>
      <c r="AD108" s="273">
        <f t="shared" si="103"/>
        <v>1.6190976000000001E-4</v>
      </c>
      <c r="AE108" s="273">
        <v>1.9413E-2</v>
      </c>
      <c r="AF108" s="273">
        <v>2.7130999999999999E-2</v>
      </c>
      <c r="AG108" s="273">
        <f t="shared" si="116"/>
        <v>5.3226563400000004E-4</v>
      </c>
      <c r="AH108" s="273">
        <f t="shared" si="104"/>
        <v>4.3235961599999992E-4</v>
      </c>
      <c r="AI108" s="273">
        <v>2.0237999999999999E-2</v>
      </c>
      <c r="AJ108" s="273">
        <v>9.0150000000000004E-3</v>
      </c>
      <c r="AK108" s="273">
        <f t="shared" si="117"/>
        <v>5.5488548399999999E-4</v>
      </c>
      <c r="AL108" s="273">
        <f t="shared" si="105"/>
        <v>1.4366303999999999E-4</v>
      </c>
      <c r="AM108" s="273">
        <f t="shared" si="118"/>
        <v>2.6809594580000005E-3</v>
      </c>
      <c r="AN108" s="273">
        <f t="shared" si="119"/>
        <v>1.5419514239999998E-3</v>
      </c>
      <c r="AO108" s="273">
        <v>9.7781000000000007E-2</v>
      </c>
      <c r="AP108" s="273">
        <v>9.6758999999999998E-2</v>
      </c>
      <c r="AQ108" s="273">
        <v>6.6299999999999996E-4</v>
      </c>
      <c r="AR108" s="273">
        <v>4.17E-4</v>
      </c>
      <c r="AS108" s="273">
        <v>2.7900000000000001E-4</v>
      </c>
      <c r="AT108" s="273">
        <v>3.1399999999999999E-4</v>
      </c>
      <c r="AU108" s="273">
        <v>1.781E-3</v>
      </c>
      <c r="AV108" s="273">
        <v>9.3599999999999998E-4</v>
      </c>
      <c r="AW108" s="273">
        <v>3.6999999999999998E-5</v>
      </c>
      <c r="AX108" s="273">
        <v>7.9999999999999996E-6</v>
      </c>
      <c r="AY108" s="273">
        <v>3.1599999999999998E-4</v>
      </c>
      <c r="AZ108" s="273">
        <v>1.6100000000000001E-4</v>
      </c>
      <c r="BA108" s="273">
        <v>5.5400000000000002E-4</v>
      </c>
      <c r="BB108" s="273">
        <v>5.6300000000000002E-4</v>
      </c>
      <c r="BC108" s="273">
        <v>0</v>
      </c>
      <c r="BD108" s="273">
        <v>0</v>
      </c>
      <c r="BE108" s="273">
        <v>1.4E-5</v>
      </c>
      <c r="BF108" s="273">
        <v>1.2999999999999999E-5</v>
      </c>
      <c r="BG108" s="273">
        <v>1.2E-5</v>
      </c>
      <c r="BH108" s="273">
        <v>5.0000000000000004E-6</v>
      </c>
      <c r="BI108" s="273">
        <v>4.3999999999999999E-5</v>
      </c>
      <c r="BJ108" s="273">
        <v>1.8E-5</v>
      </c>
      <c r="BK108" s="273">
        <v>6.7000000000000002E-5</v>
      </c>
      <c r="BL108" s="273">
        <v>1.3100000000000001E-4</v>
      </c>
      <c r="BM108" s="273">
        <v>1.9000000000000001E-4</v>
      </c>
      <c r="BN108" s="273">
        <v>1.9599999999999999E-4</v>
      </c>
      <c r="BO108" s="273">
        <v>8.0400000000000003E-4</v>
      </c>
      <c r="BP108" s="273">
        <v>1.279E-3</v>
      </c>
      <c r="BQ108" s="273">
        <v>1.5969999999999999E-3</v>
      </c>
      <c r="BR108" s="273">
        <v>1.688E-3</v>
      </c>
      <c r="BS108" s="273">
        <v>2.4459999999999998E-3</v>
      </c>
      <c r="BT108" s="273">
        <v>1.2260000000000001E-3</v>
      </c>
      <c r="BU108" s="273">
        <v>1.7128000000000001E-2</v>
      </c>
      <c r="BV108" s="273">
        <v>1.8103999999999999E-2</v>
      </c>
      <c r="BW108" s="273">
        <v>15.778052000000001</v>
      </c>
      <c r="BX108" s="273">
        <v>14.019130000000001</v>
      </c>
      <c r="BY108" s="273">
        <v>1.4095530000000001</v>
      </c>
      <c r="BZ108" s="273">
        <v>0.62010299999999996</v>
      </c>
      <c r="CA108" s="273">
        <v>0.77085700000000001</v>
      </c>
      <c r="CB108" s="273">
        <v>0.441548</v>
      </c>
      <c r="CC108" s="273">
        <v>1.2808E-2</v>
      </c>
      <c r="CD108" s="273">
        <v>6.4200000000000004E-3</v>
      </c>
      <c r="CE108" s="273">
        <v>5.3571000000000001E-2</v>
      </c>
      <c r="CF108" s="273">
        <v>4.1655999999999999E-2</v>
      </c>
      <c r="CG108" s="273">
        <v>7.0432999999999996E-2</v>
      </c>
      <c r="CH108" s="273">
        <v>5.1359000000000002E-2</v>
      </c>
      <c r="CI108" s="273">
        <v>1.8290000000000001E-2</v>
      </c>
      <c r="CJ108" s="273">
        <v>8.3219999999999995E-3</v>
      </c>
      <c r="CK108" s="273">
        <v>1.4270000000000001E-3</v>
      </c>
      <c r="CL108" s="273">
        <v>5.9299999999999999E-4</v>
      </c>
      <c r="CM108" s="273">
        <v>6.2899999999999996E-3</v>
      </c>
      <c r="CN108" s="273">
        <v>2.0739999999999999E-3</v>
      </c>
      <c r="CO108" s="273">
        <v>0.116479</v>
      </c>
      <c r="CP108" s="273">
        <v>8.3901000000000003E-2</v>
      </c>
      <c r="CQ108" s="273">
        <v>1.9880999999999999E-2</v>
      </c>
      <c r="CR108" s="273">
        <v>8.9230000000000004E-3</v>
      </c>
      <c r="CS108" s="273">
        <v>5.8624000000000002E-2</v>
      </c>
      <c r="CT108" s="273">
        <v>0.11204</v>
      </c>
      <c r="CU108" s="273">
        <f t="shared" si="120"/>
        <v>1.1655037440000001E-3</v>
      </c>
      <c r="CV108" s="273">
        <f t="shared" si="106"/>
        <v>9.9973292000000015E-4</v>
      </c>
      <c r="CW108" s="273">
        <v>6.1149999999999998E-3</v>
      </c>
      <c r="CX108" s="273">
        <v>2.8121E-2</v>
      </c>
      <c r="CY108" s="273">
        <f t="shared" si="121"/>
        <v>1.21572315E-4</v>
      </c>
      <c r="CZ108" s="273">
        <f t="shared" si="107"/>
        <v>2.5092368299999999E-4</v>
      </c>
      <c r="DA108" s="273">
        <v>9.4899999999999997E-4</v>
      </c>
      <c r="DB108" s="273">
        <v>5.1000000000000004E-4</v>
      </c>
      <c r="DC108" s="273">
        <f t="shared" si="122"/>
        <v>1.8593923941000002E-2</v>
      </c>
      <c r="DD108" s="273">
        <f t="shared" si="108"/>
        <v>7.6723433970000005E-3</v>
      </c>
      <c r="DE108" s="273">
        <v>2.3499999999999999E-4</v>
      </c>
      <c r="DF108" s="273">
        <v>1.5699999999999999E-4</v>
      </c>
      <c r="DG108" s="273">
        <f t="shared" si="123"/>
        <v>2.4710760590000002E-3</v>
      </c>
      <c r="DH108" s="273">
        <f t="shared" si="109"/>
        <v>1.9176566030000002E-3</v>
      </c>
      <c r="DI108" s="273">
        <v>2.6909999999999998E-3</v>
      </c>
      <c r="DJ108" s="273">
        <v>1.1150000000000001E-3</v>
      </c>
      <c r="DK108" s="273">
        <v>2.3609999999999998E-3</v>
      </c>
      <c r="DL108" s="273">
        <v>8.5400000000000005E-4</v>
      </c>
      <c r="DM108" s="273">
        <f t="shared" si="124"/>
        <v>5.0519999999999992E-3</v>
      </c>
      <c r="DN108" s="273">
        <f t="shared" si="110"/>
        <v>1.9690000000000003E-3</v>
      </c>
      <c r="DO108" s="273">
        <v>1.297E-3</v>
      </c>
      <c r="DP108" s="273">
        <v>1.0610000000000001E-3</v>
      </c>
      <c r="DQ108" s="273">
        <v>1.635E-3</v>
      </c>
      <c r="DR108" s="273">
        <v>2.787E-3</v>
      </c>
      <c r="DS108" s="273">
        <v>5.8282E-2</v>
      </c>
      <c r="DT108" s="273">
        <v>8.7825E-2</v>
      </c>
      <c r="DU108" s="273">
        <v>2.7636999999999998E-2</v>
      </c>
      <c r="DV108" s="273">
        <v>4.5467E-2</v>
      </c>
      <c r="DW108" s="273">
        <v>4.0188000000000001E-2</v>
      </c>
      <c r="DX108" s="273">
        <v>4.0188000000000001E-2</v>
      </c>
      <c r="DY108" s="273">
        <v>3.9108809999999998</v>
      </c>
      <c r="DZ108" s="273">
        <v>2.3215710000000001</v>
      </c>
      <c r="EA108" s="273">
        <v>0.27812399999999998</v>
      </c>
      <c r="EB108" s="273">
        <v>7.1267999999999998E-2</v>
      </c>
      <c r="EC108" s="273">
        <v>3.4870000000000001E-3</v>
      </c>
      <c r="ED108" s="273">
        <v>4.8589999999999996E-3</v>
      </c>
      <c r="EE108" s="273"/>
      <c r="EF108" s="274"/>
    </row>
    <row r="109" spans="2:136" s="249" customFormat="1" ht="17.399999999999999">
      <c r="B109" s="286">
        <v>102</v>
      </c>
      <c r="C109" s="273">
        <v>0.52501100000000001</v>
      </c>
      <c r="D109" s="273">
        <v>0.164579</v>
      </c>
      <c r="E109" s="273">
        <v>2.2599999999999999E-4</v>
      </c>
      <c r="F109" s="273">
        <v>1.5799999999999999E-4</v>
      </c>
      <c r="G109" s="273">
        <v>0.24016199999999999</v>
      </c>
      <c r="H109" s="273">
        <v>0.23757900000000001</v>
      </c>
      <c r="I109" s="273">
        <v>0.52523699999999995</v>
      </c>
      <c r="J109" s="273">
        <v>0.16473699999999999</v>
      </c>
      <c r="K109" s="273">
        <v>9.3400000000000004E-4</v>
      </c>
      <c r="L109" s="273">
        <v>1.6119999999999999E-3</v>
      </c>
      <c r="M109" s="273">
        <f t="shared" si="111"/>
        <v>2.1159018960000001E-2</v>
      </c>
      <c r="N109" s="273">
        <f t="shared" si="101"/>
        <v>1.2114378872999999E-2</v>
      </c>
      <c r="O109" s="273">
        <f t="shared" si="112"/>
        <v>2.8503752800000002E-3</v>
      </c>
      <c r="P109" s="273">
        <f t="shared" si="113"/>
        <v>3.7304274599999997E-4</v>
      </c>
      <c r="Q109" s="273">
        <v>2.7418000000000001E-2</v>
      </c>
      <c r="R109" s="273">
        <v>1.5956999999999999E-2</v>
      </c>
      <c r="S109" s="273">
        <v>1.111E-3</v>
      </c>
      <c r="T109" s="273">
        <v>2.3377999999999999E-2</v>
      </c>
      <c r="U109" s="273">
        <v>0.10396</v>
      </c>
      <c r="V109" s="273">
        <v>0</v>
      </c>
      <c r="W109" s="273">
        <v>8.0891000000000005E-2</v>
      </c>
      <c r="X109" s="273">
        <v>0.171129</v>
      </c>
      <c r="Y109" s="273">
        <f t="shared" si="114"/>
        <v>2.2178694380000003E-3</v>
      </c>
      <c r="Z109" s="273">
        <f t="shared" si="102"/>
        <v>2.7307054529999999E-3</v>
      </c>
      <c r="AA109" s="273">
        <v>3.7780000000000001E-3</v>
      </c>
      <c r="AB109" s="273">
        <v>1.0158E-2</v>
      </c>
      <c r="AC109" s="273">
        <f t="shared" si="115"/>
        <v>1.03585204E-4</v>
      </c>
      <c r="AD109" s="273">
        <f t="shared" si="103"/>
        <v>1.6209120599999999E-4</v>
      </c>
      <c r="AE109" s="273">
        <v>1.9413E-2</v>
      </c>
      <c r="AF109" s="273">
        <v>2.7130999999999999E-2</v>
      </c>
      <c r="AG109" s="273">
        <f t="shared" si="116"/>
        <v>5.3226563400000004E-4</v>
      </c>
      <c r="AH109" s="273">
        <f t="shared" si="104"/>
        <v>4.3292936699999997E-4</v>
      </c>
      <c r="AI109" s="273">
        <v>2.0237999999999999E-2</v>
      </c>
      <c r="AJ109" s="273">
        <v>9.0150000000000004E-3</v>
      </c>
      <c r="AK109" s="273">
        <f t="shared" si="117"/>
        <v>5.5488548399999999E-4</v>
      </c>
      <c r="AL109" s="273">
        <f t="shared" si="105"/>
        <v>1.43852355E-4</v>
      </c>
      <c r="AM109" s="273">
        <f t="shared" si="118"/>
        <v>2.6809594580000005E-3</v>
      </c>
      <c r="AN109" s="273">
        <f t="shared" si="119"/>
        <v>1.5439833629999999E-3</v>
      </c>
      <c r="AO109" s="273">
        <v>9.7781000000000007E-2</v>
      </c>
      <c r="AP109" s="273">
        <v>9.6758999999999998E-2</v>
      </c>
      <c r="AQ109" s="273">
        <v>6.6299999999999996E-4</v>
      </c>
      <c r="AR109" s="273">
        <v>4.17E-4</v>
      </c>
      <c r="AS109" s="273">
        <v>2.7900000000000001E-4</v>
      </c>
      <c r="AT109" s="273">
        <v>3.1500000000000001E-4</v>
      </c>
      <c r="AU109" s="273">
        <v>1.781E-3</v>
      </c>
      <c r="AV109" s="273">
        <v>9.3599999999999998E-4</v>
      </c>
      <c r="AW109" s="273">
        <v>3.6999999999999998E-5</v>
      </c>
      <c r="AX109" s="273">
        <v>7.9999999999999996E-6</v>
      </c>
      <c r="AY109" s="273">
        <v>3.1599999999999998E-4</v>
      </c>
      <c r="AZ109" s="273">
        <v>1.6100000000000001E-4</v>
      </c>
      <c r="BA109" s="273">
        <v>5.5400000000000002E-4</v>
      </c>
      <c r="BB109" s="273">
        <v>5.6300000000000002E-4</v>
      </c>
      <c r="BC109" s="273">
        <v>0</v>
      </c>
      <c r="BD109" s="273">
        <v>0</v>
      </c>
      <c r="BE109" s="273">
        <v>1.4E-5</v>
      </c>
      <c r="BF109" s="273">
        <v>1.2999999999999999E-5</v>
      </c>
      <c r="BG109" s="273">
        <v>1.2E-5</v>
      </c>
      <c r="BH109" s="273">
        <v>5.0000000000000004E-6</v>
      </c>
      <c r="BI109" s="273">
        <v>4.3999999999999999E-5</v>
      </c>
      <c r="BJ109" s="273">
        <v>1.8E-5</v>
      </c>
      <c r="BK109" s="273">
        <v>6.7000000000000002E-5</v>
      </c>
      <c r="BL109" s="273">
        <v>1.3100000000000001E-4</v>
      </c>
      <c r="BM109" s="273">
        <v>1.9000000000000001E-4</v>
      </c>
      <c r="BN109" s="273">
        <v>1.9599999999999999E-4</v>
      </c>
      <c r="BO109" s="273">
        <v>8.0400000000000003E-4</v>
      </c>
      <c r="BP109" s="273">
        <v>1.279E-3</v>
      </c>
      <c r="BQ109" s="273">
        <v>1.5969999999999999E-3</v>
      </c>
      <c r="BR109" s="273">
        <v>1.688E-3</v>
      </c>
      <c r="BS109" s="273">
        <v>2.4459999999999998E-3</v>
      </c>
      <c r="BT109" s="273">
        <v>1.2260000000000001E-3</v>
      </c>
      <c r="BU109" s="273">
        <v>1.7128000000000001E-2</v>
      </c>
      <c r="BV109" s="273">
        <v>1.8103999999999999E-2</v>
      </c>
      <c r="BW109" s="273">
        <v>15.778052000000001</v>
      </c>
      <c r="BX109" s="273">
        <v>14.019130000000001</v>
      </c>
      <c r="BY109" s="273">
        <v>1.4095530000000001</v>
      </c>
      <c r="BZ109" s="273">
        <v>0.62010299999999996</v>
      </c>
      <c r="CA109" s="273">
        <v>0.77085700000000001</v>
      </c>
      <c r="CB109" s="273">
        <v>0.441548</v>
      </c>
      <c r="CC109" s="273">
        <v>1.2808E-2</v>
      </c>
      <c r="CD109" s="273">
        <v>6.4200000000000004E-3</v>
      </c>
      <c r="CE109" s="273">
        <v>5.3571000000000001E-2</v>
      </c>
      <c r="CF109" s="273">
        <v>4.1655999999999999E-2</v>
      </c>
      <c r="CG109" s="273">
        <v>7.0432999999999996E-2</v>
      </c>
      <c r="CH109" s="273">
        <v>5.1359000000000002E-2</v>
      </c>
      <c r="CI109" s="273">
        <v>1.8290000000000001E-2</v>
      </c>
      <c r="CJ109" s="273">
        <v>8.3219999999999995E-3</v>
      </c>
      <c r="CK109" s="273">
        <v>1.4270000000000001E-3</v>
      </c>
      <c r="CL109" s="273">
        <v>5.9299999999999999E-4</v>
      </c>
      <c r="CM109" s="273">
        <v>6.2899999999999996E-3</v>
      </c>
      <c r="CN109" s="273">
        <v>2.0739999999999999E-3</v>
      </c>
      <c r="CO109" s="273">
        <v>0.116479</v>
      </c>
      <c r="CP109" s="273">
        <v>8.3901000000000003E-2</v>
      </c>
      <c r="CQ109" s="273">
        <v>1.9880999999999999E-2</v>
      </c>
      <c r="CR109" s="273">
        <v>8.9230000000000004E-3</v>
      </c>
      <c r="CS109" s="273">
        <v>5.8624000000000002E-2</v>
      </c>
      <c r="CT109" s="273">
        <v>0.11204</v>
      </c>
      <c r="CU109" s="273">
        <f t="shared" si="120"/>
        <v>1.1655037440000001E-3</v>
      </c>
      <c r="CV109" s="273">
        <f t="shared" si="106"/>
        <v>9.9973292000000015E-4</v>
      </c>
      <c r="CW109" s="273">
        <v>6.1149999999999998E-3</v>
      </c>
      <c r="CX109" s="273">
        <v>2.8121E-2</v>
      </c>
      <c r="CY109" s="273">
        <f t="shared" si="121"/>
        <v>1.21572315E-4</v>
      </c>
      <c r="CZ109" s="273">
        <f t="shared" si="107"/>
        <v>2.5092368299999999E-4</v>
      </c>
      <c r="DA109" s="273">
        <v>9.4899999999999997E-4</v>
      </c>
      <c r="DB109" s="273">
        <v>5.1000000000000004E-4</v>
      </c>
      <c r="DC109" s="273">
        <f t="shared" si="122"/>
        <v>1.8593923941000002E-2</v>
      </c>
      <c r="DD109" s="273">
        <f t="shared" si="108"/>
        <v>7.6723433970000005E-3</v>
      </c>
      <c r="DE109" s="273">
        <v>2.3499999999999999E-4</v>
      </c>
      <c r="DF109" s="273">
        <v>1.5699999999999999E-4</v>
      </c>
      <c r="DG109" s="273">
        <f t="shared" si="123"/>
        <v>2.4710760590000002E-3</v>
      </c>
      <c r="DH109" s="273">
        <f t="shared" si="109"/>
        <v>1.9176566030000002E-3</v>
      </c>
      <c r="DI109" s="273">
        <v>2.6909999999999998E-3</v>
      </c>
      <c r="DJ109" s="273">
        <v>1.1150000000000001E-3</v>
      </c>
      <c r="DK109" s="273">
        <v>2.3609999999999998E-3</v>
      </c>
      <c r="DL109" s="273">
        <v>8.5400000000000005E-4</v>
      </c>
      <c r="DM109" s="273">
        <f t="shared" si="124"/>
        <v>5.0519999999999992E-3</v>
      </c>
      <c r="DN109" s="273">
        <f t="shared" si="110"/>
        <v>1.9690000000000003E-3</v>
      </c>
      <c r="DO109" s="273">
        <v>1.297E-3</v>
      </c>
      <c r="DP109" s="273">
        <v>1.0610000000000001E-3</v>
      </c>
      <c r="DQ109" s="273">
        <v>1.635E-3</v>
      </c>
      <c r="DR109" s="273">
        <v>2.787E-3</v>
      </c>
      <c r="DS109" s="273">
        <v>5.8282E-2</v>
      </c>
      <c r="DT109" s="273">
        <v>8.7825E-2</v>
      </c>
      <c r="DU109" s="273">
        <v>2.7636999999999998E-2</v>
      </c>
      <c r="DV109" s="273">
        <v>4.5467E-2</v>
      </c>
      <c r="DW109" s="273">
        <v>4.0188000000000001E-2</v>
      </c>
      <c r="DX109" s="273">
        <v>4.0188000000000001E-2</v>
      </c>
      <c r="DY109" s="273">
        <v>3.9108809999999998</v>
      </c>
      <c r="DZ109" s="273">
        <v>2.3215710000000001</v>
      </c>
      <c r="EA109" s="273">
        <v>0.31510500000000002</v>
      </c>
      <c r="EB109" s="273">
        <v>8.1100000000000005E-2</v>
      </c>
      <c r="EC109" s="273">
        <v>3.4870000000000001E-3</v>
      </c>
      <c r="ED109" s="273">
        <v>4.8589999999999996E-3</v>
      </c>
      <c r="EE109" s="273"/>
      <c r="EF109" s="274"/>
    </row>
    <row r="110" spans="2:136" s="249" customFormat="1" ht="17.399999999999999">
      <c r="B110" s="286">
        <v>103</v>
      </c>
      <c r="C110" s="273">
        <v>0.59714599999999995</v>
      </c>
      <c r="D110" s="273">
        <v>0.190387</v>
      </c>
      <c r="E110" s="273">
        <v>2.2599999999999999E-4</v>
      </c>
      <c r="F110" s="273">
        <v>1.5799999999999999E-4</v>
      </c>
      <c r="G110" s="273">
        <v>0.26090799999999997</v>
      </c>
      <c r="H110" s="273">
        <v>0.25838</v>
      </c>
      <c r="I110" s="273">
        <v>0.5973719999999999</v>
      </c>
      <c r="J110" s="273">
        <v>0.19054499999999999</v>
      </c>
      <c r="K110" s="273">
        <v>9.3400000000000004E-4</v>
      </c>
      <c r="L110" s="273">
        <v>1.6119999999999999E-3</v>
      </c>
      <c r="M110" s="273">
        <f t="shared" si="111"/>
        <v>2.1159018960000001E-2</v>
      </c>
      <c r="N110" s="273">
        <f t="shared" si="101"/>
        <v>1.2126717573E-2</v>
      </c>
      <c r="O110" s="273">
        <f t="shared" si="112"/>
        <v>2.8503752800000002E-3</v>
      </c>
      <c r="P110" s="273">
        <f t="shared" si="113"/>
        <v>3.7341679400000003E-4</v>
      </c>
      <c r="Q110" s="273">
        <v>2.7418000000000001E-2</v>
      </c>
      <c r="R110" s="273">
        <v>1.5973000000000001E-2</v>
      </c>
      <c r="S110" s="273">
        <v>1.111E-3</v>
      </c>
      <c r="T110" s="273">
        <v>2.3377999999999999E-2</v>
      </c>
      <c r="U110" s="273">
        <v>0.10396</v>
      </c>
      <c r="V110" s="273">
        <v>0</v>
      </c>
      <c r="W110" s="273">
        <v>8.0891000000000005E-2</v>
      </c>
      <c r="X110" s="273">
        <v>0.17111000000000001</v>
      </c>
      <c r="Y110" s="273">
        <f t="shared" si="114"/>
        <v>2.2178694380000003E-3</v>
      </c>
      <c r="Z110" s="273">
        <f t="shared" si="102"/>
        <v>2.7331400300000005E-3</v>
      </c>
      <c r="AA110" s="273">
        <v>3.7780000000000001E-3</v>
      </c>
      <c r="AB110" s="273">
        <v>1.0165E-2</v>
      </c>
      <c r="AC110" s="273">
        <f t="shared" si="115"/>
        <v>1.03585204E-4</v>
      </c>
      <c r="AD110" s="273">
        <f t="shared" si="103"/>
        <v>1.6236554500000003E-4</v>
      </c>
      <c r="AE110" s="273">
        <v>1.9413E-2</v>
      </c>
      <c r="AF110" s="273">
        <v>2.7130999999999999E-2</v>
      </c>
      <c r="AG110" s="273">
        <f t="shared" si="116"/>
        <v>5.3226563400000004E-4</v>
      </c>
      <c r="AH110" s="273">
        <f t="shared" si="104"/>
        <v>4.3336346300000002E-4</v>
      </c>
      <c r="AI110" s="273">
        <v>2.0237999999999999E-2</v>
      </c>
      <c r="AJ110" s="273">
        <v>9.0150000000000004E-3</v>
      </c>
      <c r="AK110" s="273">
        <f t="shared" si="117"/>
        <v>5.5488548399999999E-4</v>
      </c>
      <c r="AL110" s="273">
        <f t="shared" si="105"/>
        <v>1.4399659500000003E-4</v>
      </c>
      <c r="AM110" s="273">
        <f t="shared" si="118"/>
        <v>2.6809594580000005E-3</v>
      </c>
      <c r="AN110" s="273">
        <f t="shared" si="119"/>
        <v>1.5455315070000001E-3</v>
      </c>
      <c r="AO110" s="273">
        <v>9.7781000000000007E-2</v>
      </c>
      <c r="AP110" s="273">
        <v>9.6758999999999998E-2</v>
      </c>
      <c r="AQ110" s="273">
        <v>6.6299999999999996E-4</v>
      </c>
      <c r="AR110" s="273">
        <v>4.17E-4</v>
      </c>
      <c r="AS110" s="273">
        <v>2.7900000000000001E-4</v>
      </c>
      <c r="AT110" s="273">
        <v>3.1500000000000001E-4</v>
      </c>
      <c r="AU110" s="273">
        <v>1.781E-3</v>
      </c>
      <c r="AV110" s="273">
        <v>9.3599999999999998E-4</v>
      </c>
      <c r="AW110" s="273">
        <v>3.6999999999999998E-5</v>
      </c>
      <c r="AX110" s="273">
        <v>7.9999999999999996E-6</v>
      </c>
      <c r="AY110" s="273">
        <v>3.1599999999999998E-4</v>
      </c>
      <c r="AZ110" s="273">
        <v>1.6100000000000001E-4</v>
      </c>
      <c r="BA110" s="273">
        <v>5.5400000000000002E-4</v>
      </c>
      <c r="BB110" s="273">
        <v>5.6300000000000002E-4</v>
      </c>
      <c r="BC110" s="273">
        <v>0</v>
      </c>
      <c r="BD110" s="273">
        <v>0</v>
      </c>
      <c r="BE110" s="273">
        <v>1.4E-5</v>
      </c>
      <c r="BF110" s="273">
        <v>1.2999999999999999E-5</v>
      </c>
      <c r="BG110" s="273">
        <v>1.2E-5</v>
      </c>
      <c r="BH110" s="273">
        <v>5.0000000000000004E-6</v>
      </c>
      <c r="BI110" s="273">
        <v>4.3999999999999999E-5</v>
      </c>
      <c r="BJ110" s="273">
        <v>1.8E-5</v>
      </c>
      <c r="BK110" s="273">
        <v>6.7000000000000002E-5</v>
      </c>
      <c r="BL110" s="273">
        <v>1.3100000000000001E-4</v>
      </c>
      <c r="BM110" s="273">
        <v>1.9000000000000001E-4</v>
      </c>
      <c r="BN110" s="273">
        <v>1.9599999999999999E-4</v>
      </c>
      <c r="BO110" s="273">
        <v>8.0400000000000003E-4</v>
      </c>
      <c r="BP110" s="273">
        <v>1.279E-3</v>
      </c>
      <c r="BQ110" s="273">
        <v>1.5969999999999999E-3</v>
      </c>
      <c r="BR110" s="273">
        <v>1.688E-3</v>
      </c>
      <c r="BS110" s="273">
        <v>2.4459999999999998E-3</v>
      </c>
      <c r="BT110" s="273">
        <v>1.2260000000000001E-3</v>
      </c>
      <c r="BU110" s="273">
        <v>1.7128000000000001E-2</v>
      </c>
      <c r="BV110" s="273">
        <v>1.8103999999999999E-2</v>
      </c>
      <c r="BW110" s="273">
        <v>15.778052000000001</v>
      </c>
      <c r="BX110" s="273">
        <v>14.019130000000001</v>
      </c>
      <c r="BY110" s="273">
        <v>1.4095530000000001</v>
      </c>
      <c r="BZ110" s="273">
        <v>0.62010299999999996</v>
      </c>
      <c r="CA110" s="273">
        <v>0.77085700000000001</v>
      </c>
      <c r="CB110" s="273">
        <v>0.441548</v>
      </c>
      <c r="CC110" s="273">
        <v>1.2808E-2</v>
      </c>
      <c r="CD110" s="273">
        <v>6.4200000000000004E-3</v>
      </c>
      <c r="CE110" s="273">
        <v>5.3571000000000001E-2</v>
      </c>
      <c r="CF110" s="273">
        <v>4.1655999999999999E-2</v>
      </c>
      <c r="CG110" s="273">
        <v>7.0432999999999996E-2</v>
      </c>
      <c r="CH110" s="273">
        <v>5.1359000000000002E-2</v>
      </c>
      <c r="CI110" s="273">
        <v>1.8290000000000001E-2</v>
      </c>
      <c r="CJ110" s="273">
        <v>8.3219999999999995E-3</v>
      </c>
      <c r="CK110" s="273">
        <v>1.4270000000000001E-3</v>
      </c>
      <c r="CL110" s="273">
        <v>5.9299999999999999E-4</v>
      </c>
      <c r="CM110" s="273">
        <v>6.2899999999999996E-3</v>
      </c>
      <c r="CN110" s="273">
        <v>2.0739999999999999E-3</v>
      </c>
      <c r="CO110" s="273">
        <v>0.116479</v>
      </c>
      <c r="CP110" s="273">
        <v>8.3901000000000003E-2</v>
      </c>
      <c r="CQ110" s="273">
        <v>1.9880999999999999E-2</v>
      </c>
      <c r="CR110" s="273">
        <v>8.9230000000000004E-3</v>
      </c>
      <c r="CS110" s="273">
        <v>5.8624000000000002E-2</v>
      </c>
      <c r="CT110" s="273">
        <v>0.11204</v>
      </c>
      <c r="CU110" s="273">
        <f t="shared" si="120"/>
        <v>1.1655037440000001E-3</v>
      </c>
      <c r="CV110" s="273">
        <f t="shared" si="106"/>
        <v>9.9973292000000015E-4</v>
      </c>
      <c r="CW110" s="273">
        <v>6.1149999999999998E-3</v>
      </c>
      <c r="CX110" s="273">
        <v>2.8121E-2</v>
      </c>
      <c r="CY110" s="273">
        <f t="shared" si="121"/>
        <v>1.21572315E-4</v>
      </c>
      <c r="CZ110" s="273">
        <f t="shared" si="107"/>
        <v>2.5092368299999999E-4</v>
      </c>
      <c r="DA110" s="273">
        <v>9.4899999999999997E-4</v>
      </c>
      <c r="DB110" s="273">
        <v>5.1000000000000004E-4</v>
      </c>
      <c r="DC110" s="273">
        <f t="shared" si="122"/>
        <v>1.8593923941000002E-2</v>
      </c>
      <c r="DD110" s="273">
        <f t="shared" si="108"/>
        <v>7.6723433970000005E-3</v>
      </c>
      <c r="DE110" s="273">
        <v>2.3499999999999999E-4</v>
      </c>
      <c r="DF110" s="273">
        <v>1.5699999999999999E-4</v>
      </c>
      <c r="DG110" s="273">
        <f t="shared" si="123"/>
        <v>2.4710760590000002E-3</v>
      </c>
      <c r="DH110" s="273">
        <f t="shared" si="109"/>
        <v>1.9176566030000002E-3</v>
      </c>
      <c r="DI110" s="273">
        <v>2.6909999999999998E-3</v>
      </c>
      <c r="DJ110" s="273">
        <v>1.1150000000000001E-3</v>
      </c>
      <c r="DK110" s="273">
        <v>2.3609999999999998E-3</v>
      </c>
      <c r="DL110" s="273">
        <v>8.5400000000000005E-4</v>
      </c>
      <c r="DM110" s="273">
        <f t="shared" si="124"/>
        <v>5.0519999999999992E-3</v>
      </c>
      <c r="DN110" s="273">
        <f t="shared" si="110"/>
        <v>1.9690000000000003E-3</v>
      </c>
      <c r="DO110" s="273">
        <v>1.297E-3</v>
      </c>
      <c r="DP110" s="273">
        <v>1.0610000000000001E-3</v>
      </c>
      <c r="DQ110" s="273">
        <v>1.635E-3</v>
      </c>
      <c r="DR110" s="273">
        <v>2.787E-3</v>
      </c>
      <c r="DS110" s="273">
        <v>5.8282E-2</v>
      </c>
      <c r="DT110" s="273">
        <v>8.7825E-2</v>
      </c>
      <c r="DU110" s="273">
        <v>2.7636999999999998E-2</v>
      </c>
      <c r="DV110" s="273">
        <v>4.5467E-2</v>
      </c>
      <c r="DW110" s="273">
        <v>4.0188000000000001E-2</v>
      </c>
      <c r="DX110" s="273">
        <v>4.0188000000000001E-2</v>
      </c>
      <c r="DY110" s="273">
        <v>3.9108809999999998</v>
      </c>
      <c r="DZ110" s="273">
        <v>2.3215710000000001</v>
      </c>
      <c r="EA110" s="273">
        <v>0.35743200000000003</v>
      </c>
      <c r="EB110" s="273">
        <v>9.2702999999999994E-2</v>
      </c>
      <c r="EC110" s="273">
        <v>3.4870000000000001E-3</v>
      </c>
      <c r="ED110" s="273">
        <v>4.8589999999999996E-3</v>
      </c>
      <c r="EE110" s="273"/>
      <c r="EF110" s="274"/>
    </row>
    <row r="111" spans="2:136" s="249" customFormat="1" ht="17.399999999999999">
      <c r="B111" s="286">
        <v>104</v>
      </c>
      <c r="C111" s="273">
        <v>0.66719200000000001</v>
      </c>
      <c r="D111" s="273">
        <v>0.22107199999999999</v>
      </c>
      <c r="E111" s="273">
        <v>2.2599999999999999E-4</v>
      </c>
      <c r="F111" s="273">
        <v>1.5799999999999999E-4</v>
      </c>
      <c r="G111" s="273">
        <v>0.27562300000000001</v>
      </c>
      <c r="H111" s="273">
        <v>0.273254</v>
      </c>
      <c r="I111" s="273">
        <v>0.66741799999999996</v>
      </c>
      <c r="J111" s="273">
        <v>0.22122999999999998</v>
      </c>
      <c r="K111" s="273">
        <v>9.3400000000000004E-4</v>
      </c>
      <c r="L111" s="273">
        <v>1.6119999999999999E-3</v>
      </c>
      <c r="M111" s="273">
        <f t="shared" si="111"/>
        <v>2.1159018960000001E-2</v>
      </c>
      <c r="N111" s="273">
        <f t="shared" si="101"/>
        <v>1.2136091619999999E-2</v>
      </c>
      <c r="O111" s="273">
        <f t="shared" si="112"/>
        <v>2.8503752800000002E-3</v>
      </c>
      <c r="P111" s="273">
        <f t="shared" si="113"/>
        <v>3.7373669399999999E-4</v>
      </c>
      <c r="Q111" s="273">
        <v>2.7418000000000001E-2</v>
      </c>
      <c r="R111" s="273">
        <v>1.5986E-2</v>
      </c>
      <c r="S111" s="273">
        <v>1.111E-3</v>
      </c>
      <c r="T111" s="273">
        <v>2.3379E-2</v>
      </c>
      <c r="U111" s="273">
        <v>0.10396</v>
      </c>
      <c r="V111" s="273">
        <v>0</v>
      </c>
      <c r="W111" s="273">
        <v>8.0891000000000005E-2</v>
      </c>
      <c r="X111" s="273">
        <v>0.17113400000000001</v>
      </c>
      <c r="Y111" s="273">
        <f t="shared" si="114"/>
        <v>2.2178694380000003E-3</v>
      </c>
      <c r="Z111" s="273">
        <f t="shared" si="102"/>
        <v>2.735748124E-3</v>
      </c>
      <c r="AA111" s="273">
        <v>3.7780000000000001E-3</v>
      </c>
      <c r="AB111" s="273">
        <v>1.0170999999999999E-2</v>
      </c>
      <c r="AC111" s="273">
        <f t="shared" si="115"/>
        <v>1.03585204E-4</v>
      </c>
      <c r="AD111" s="273">
        <f t="shared" si="103"/>
        <v>1.6259360599999998E-4</v>
      </c>
      <c r="AE111" s="273">
        <v>1.9413E-2</v>
      </c>
      <c r="AF111" s="273">
        <v>2.7130999999999999E-2</v>
      </c>
      <c r="AG111" s="273">
        <f t="shared" si="116"/>
        <v>5.3226563400000004E-4</v>
      </c>
      <c r="AH111" s="273">
        <f t="shared" si="104"/>
        <v>4.3371616599999999E-4</v>
      </c>
      <c r="AI111" s="273">
        <v>2.0237999999999999E-2</v>
      </c>
      <c r="AJ111" s="273">
        <v>9.0150000000000004E-3</v>
      </c>
      <c r="AK111" s="273">
        <f t="shared" si="117"/>
        <v>5.5488548399999999E-4</v>
      </c>
      <c r="AL111" s="273">
        <f t="shared" si="105"/>
        <v>1.4411379000000001E-4</v>
      </c>
      <c r="AM111" s="273">
        <f t="shared" si="118"/>
        <v>2.6809594580000005E-3</v>
      </c>
      <c r="AN111" s="273">
        <f t="shared" si="119"/>
        <v>1.546789374E-3</v>
      </c>
      <c r="AO111" s="273">
        <v>9.7781000000000007E-2</v>
      </c>
      <c r="AP111" s="273">
        <v>9.6758999999999998E-2</v>
      </c>
      <c r="AQ111" s="273">
        <v>6.6299999999999996E-4</v>
      </c>
      <c r="AR111" s="273">
        <v>4.17E-4</v>
      </c>
      <c r="AS111" s="273">
        <v>2.7900000000000001E-4</v>
      </c>
      <c r="AT111" s="273">
        <v>3.1500000000000001E-4</v>
      </c>
      <c r="AU111" s="273">
        <v>1.781E-3</v>
      </c>
      <c r="AV111" s="273">
        <v>9.3599999999999998E-4</v>
      </c>
      <c r="AW111" s="273">
        <v>3.6999999999999998E-5</v>
      </c>
      <c r="AX111" s="273">
        <v>7.9999999999999996E-6</v>
      </c>
      <c r="AY111" s="273">
        <v>3.1599999999999998E-4</v>
      </c>
      <c r="AZ111" s="273">
        <v>1.6100000000000001E-4</v>
      </c>
      <c r="BA111" s="273">
        <v>5.5400000000000002E-4</v>
      </c>
      <c r="BB111" s="273">
        <v>5.6300000000000002E-4</v>
      </c>
      <c r="BC111" s="273">
        <v>0</v>
      </c>
      <c r="BD111" s="273">
        <v>0</v>
      </c>
      <c r="BE111" s="273">
        <v>1.4E-5</v>
      </c>
      <c r="BF111" s="273">
        <v>1.2999999999999999E-5</v>
      </c>
      <c r="BG111" s="273">
        <v>1.2E-5</v>
      </c>
      <c r="BH111" s="273">
        <v>5.0000000000000004E-6</v>
      </c>
      <c r="BI111" s="273">
        <v>4.3999999999999999E-5</v>
      </c>
      <c r="BJ111" s="273">
        <v>1.8E-5</v>
      </c>
      <c r="BK111" s="273">
        <v>6.7000000000000002E-5</v>
      </c>
      <c r="BL111" s="273">
        <v>1.3100000000000001E-4</v>
      </c>
      <c r="BM111" s="273">
        <v>1.9000000000000001E-4</v>
      </c>
      <c r="BN111" s="273">
        <v>1.9599999999999999E-4</v>
      </c>
      <c r="BO111" s="273">
        <v>8.0400000000000003E-4</v>
      </c>
      <c r="BP111" s="273">
        <v>1.279E-3</v>
      </c>
      <c r="BQ111" s="273">
        <v>1.5969999999999999E-3</v>
      </c>
      <c r="BR111" s="273">
        <v>1.688E-3</v>
      </c>
      <c r="BS111" s="273">
        <v>2.4459999999999998E-3</v>
      </c>
      <c r="BT111" s="273">
        <v>1.2260000000000001E-3</v>
      </c>
      <c r="BU111" s="273">
        <v>1.7128000000000001E-2</v>
      </c>
      <c r="BV111" s="273">
        <v>1.8103999999999999E-2</v>
      </c>
      <c r="BW111" s="273">
        <v>15.778052000000001</v>
      </c>
      <c r="BX111" s="273">
        <v>14.019130000000001</v>
      </c>
      <c r="BY111" s="273">
        <v>1.4095530000000001</v>
      </c>
      <c r="BZ111" s="273">
        <v>0.62010299999999996</v>
      </c>
      <c r="CA111" s="273">
        <v>0.77085700000000001</v>
      </c>
      <c r="CB111" s="273">
        <v>0.441548</v>
      </c>
      <c r="CC111" s="273">
        <v>1.2808E-2</v>
      </c>
      <c r="CD111" s="273">
        <v>6.4200000000000004E-3</v>
      </c>
      <c r="CE111" s="273">
        <v>5.3571000000000001E-2</v>
      </c>
      <c r="CF111" s="273">
        <v>4.1655999999999999E-2</v>
      </c>
      <c r="CG111" s="273">
        <v>7.0432999999999996E-2</v>
      </c>
      <c r="CH111" s="273">
        <v>5.1359000000000002E-2</v>
      </c>
      <c r="CI111" s="273">
        <v>1.8290000000000001E-2</v>
      </c>
      <c r="CJ111" s="273">
        <v>8.3219999999999995E-3</v>
      </c>
      <c r="CK111" s="273">
        <v>1.4270000000000001E-3</v>
      </c>
      <c r="CL111" s="273">
        <v>5.9299999999999999E-4</v>
      </c>
      <c r="CM111" s="273">
        <v>6.2899999999999996E-3</v>
      </c>
      <c r="CN111" s="273">
        <v>2.0739999999999999E-3</v>
      </c>
      <c r="CO111" s="273">
        <v>0.116479</v>
      </c>
      <c r="CP111" s="273">
        <v>8.3901000000000003E-2</v>
      </c>
      <c r="CQ111" s="273">
        <v>1.9880999999999999E-2</v>
      </c>
      <c r="CR111" s="273">
        <v>8.9230000000000004E-3</v>
      </c>
      <c r="CS111" s="273">
        <v>5.8624000000000002E-2</v>
      </c>
      <c r="CT111" s="273">
        <v>0.11204</v>
      </c>
      <c r="CU111" s="273">
        <f t="shared" si="120"/>
        <v>1.1655037440000001E-3</v>
      </c>
      <c r="CV111" s="273">
        <f t="shared" si="106"/>
        <v>9.9973292000000015E-4</v>
      </c>
      <c r="CW111" s="273">
        <v>6.1149999999999998E-3</v>
      </c>
      <c r="CX111" s="273">
        <v>2.8121E-2</v>
      </c>
      <c r="CY111" s="273">
        <f t="shared" si="121"/>
        <v>1.21572315E-4</v>
      </c>
      <c r="CZ111" s="273">
        <f t="shared" si="107"/>
        <v>2.5092368299999999E-4</v>
      </c>
      <c r="DA111" s="273">
        <v>9.4899999999999997E-4</v>
      </c>
      <c r="DB111" s="273">
        <v>5.1000000000000004E-4</v>
      </c>
      <c r="DC111" s="273">
        <f t="shared" si="122"/>
        <v>1.8593923941000002E-2</v>
      </c>
      <c r="DD111" s="273">
        <f t="shared" si="108"/>
        <v>7.6723433970000005E-3</v>
      </c>
      <c r="DE111" s="273">
        <v>2.3499999999999999E-4</v>
      </c>
      <c r="DF111" s="273">
        <v>1.5699999999999999E-4</v>
      </c>
      <c r="DG111" s="273">
        <f t="shared" si="123"/>
        <v>2.4710760590000002E-3</v>
      </c>
      <c r="DH111" s="273">
        <f t="shared" si="109"/>
        <v>1.9176566030000002E-3</v>
      </c>
      <c r="DI111" s="273">
        <v>2.6909999999999998E-3</v>
      </c>
      <c r="DJ111" s="273">
        <v>1.1150000000000001E-3</v>
      </c>
      <c r="DK111" s="273">
        <v>2.3609999999999998E-3</v>
      </c>
      <c r="DL111" s="273">
        <v>8.5400000000000005E-4</v>
      </c>
      <c r="DM111" s="273">
        <f t="shared" si="124"/>
        <v>5.0519999999999992E-3</v>
      </c>
      <c r="DN111" s="273">
        <f t="shared" si="110"/>
        <v>1.9690000000000003E-3</v>
      </c>
      <c r="DO111" s="273">
        <v>1.297E-3</v>
      </c>
      <c r="DP111" s="273">
        <v>1.0610000000000001E-3</v>
      </c>
      <c r="DQ111" s="273">
        <v>1.635E-3</v>
      </c>
      <c r="DR111" s="273">
        <v>2.787E-3</v>
      </c>
      <c r="DS111" s="273">
        <v>5.8282E-2</v>
      </c>
      <c r="DT111" s="273">
        <v>8.7825E-2</v>
      </c>
      <c r="DU111" s="273">
        <v>2.7636999999999998E-2</v>
      </c>
      <c r="DV111" s="273">
        <v>4.5467E-2</v>
      </c>
      <c r="DW111" s="273">
        <v>4.0188000000000001E-2</v>
      </c>
      <c r="DX111" s="273">
        <v>4.0188000000000001E-2</v>
      </c>
      <c r="DY111" s="273">
        <v>3.9108809999999998</v>
      </c>
      <c r="DZ111" s="273">
        <v>2.3215710000000001</v>
      </c>
      <c r="EA111" s="273">
        <v>0.39750400000000002</v>
      </c>
      <c r="EB111" s="273">
        <v>0.106503</v>
      </c>
      <c r="EC111" s="273">
        <v>3.4870000000000001E-3</v>
      </c>
      <c r="ED111" s="273">
        <v>4.8589999999999996E-3</v>
      </c>
      <c r="EE111" s="273"/>
      <c r="EF111" s="274"/>
    </row>
    <row r="112" spans="2:136" s="249" customFormat="1" ht="17.399999999999999">
      <c r="B112" s="286">
        <v>105</v>
      </c>
      <c r="C112" s="273">
        <v>0.72853299999999999</v>
      </c>
      <c r="D112" s="273">
        <v>0.25800200000000001</v>
      </c>
      <c r="E112" s="273">
        <v>2.2599999999999999E-4</v>
      </c>
      <c r="F112" s="273">
        <v>1.5799999999999999E-4</v>
      </c>
      <c r="G112" s="273">
        <v>0.28924100000000003</v>
      </c>
      <c r="H112" s="273">
        <v>0.287074</v>
      </c>
      <c r="I112" s="273">
        <v>0.72875899999999993</v>
      </c>
      <c r="J112" s="273">
        <v>0.25816</v>
      </c>
      <c r="K112" s="273">
        <v>9.3400000000000004E-4</v>
      </c>
      <c r="L112" s="273">
        <v>1.6119999999999999E-3</v>
      </c>
      <c r="M112" s="273">
        <f t="shared" si="111"/>
        <v>2.1159018960000001E-2</v>
      </c>
      <c r="N112" s="273">
        <f t="shared" si="101"/>
        <v>1.2144051227999999E-2</v>
      </c>
      <c r="O112" s="273">
        <f t="shared" si="112"/>
        <v>2.8503752800000002E-3</v>
      </c>
      <c r="P112" s="273">
        <f t="shared" si="113"/>
        <v>3.7397048400000002E-4</v>
      </c>
      <c r="Q112" s="273">
        <v>2.7418000000000001E-2</v>
      </c>
      <c r="R112" s="273">
        <v>1.5996E-2</v>
      </c>
      <c r="S112" s="273">
        <v>1.111E-3</v>
      </c>
      <c r="T112" s="273">
        <v>2.3379E-2</v>
      </c>
      <c r="U112" s="273">
        <v>0.10396</v>
      </c>
      <c r="V112" s="273">
        <v>0</v>
      </c>
      <c r="W112" s="273">
        <v>8.0891000000000005E-2</v>
      </c>
      <c r="X112" s="273">
        <v>0.17110400000000001</v>
      </c>
      <c r="Y112" s="273">
        <f t="shared" si="114"/>
        <v>2.2178694380000003E-3</v>
      </c>
      <c r="Z112" s="273">
        <f t="shared" si="102"/>
        <v>2.7369795839999999E-3</v>
      </c>
      <c r="AA112" s="273">
        <v>3.7780000000000001E-3</v>
      </c>
      <c r="AB112" s="273">
        <v>1.0178E-2</v>
      </c>
      <c r="AC112" s="273">
        <f t="shared" si="115"/>
        <v>1.03585204E-4</v>
      </c>
      <c r="AD112" s="273">
        <f t="shared" si="103"/>
        <v>1.6280728799999999E-4</v>
      </c>
      <c r="AE112" s="273">
        <v>1.9413E-2</v>
      </c>
      <c r="AF112" s="273">
        <v>2.7130999999999999E-2</v>
      </c>
      <c r="AG112" s="273">
        <f t="shared" si="116"/>
        <v>5.3226563400000004E-4</v>
      </c>
      <c r="AH112" s="273">
        <f t="shared" si="104"/>
        <v>4.3398747599999999E-4</v>
      </c>
      <c r="AI112" s="273">
        <v>2.0237999999999999E-2</v>
      </c>
      <c r="AJ112" s="273">
        <v>9.0150000000000004E-3</v>
      </c>
      <c r="AK112" s="273">
        <f t="shared" si="117"/>
        <v>5.5488548399999999E-4</v>
      </c>
      <c r="AL112" s="273">
        <f t="shared" si="105"/>
        <v>1.4420394000000001E-4</v>
      </c>
      <c r="AM112" s="273">
        <f t="shared" si="118"/>
        <v>2.6809594580000005E-3</v>
      </c>
      <c r="AN112" s="273">
        <f t="shared" si="119"/>
        <v>1.547756964E-3</v>
      </c>
      <c r="AO112" s="273">
        <v>9.7781000000000007E-2</v>
      </c>
      <c r="AP112" s="273">
        <v>9.6758999999999998E-2</v>
      </c>
      <c r="AQ112" s="273">
        <v>6.6299999999999996E-4</v>
      </c>
      <c r="AR112" s="273">
        <v>4.17E-4</v>
      </c>
      <c r="AS112" s="273">
        <v>2.7900000000000001E-4</v>
      </c>
      <c r="AT112" s="273">
        <v>3.1500000000000001E-4</v>
      </c>
      <c r="AU112" s="273">
        <v>1.781E-3</v>
      </c>
      <c r="AV112" s="273">
        <v>9.3599999999999998E-4</v>
      </c>
      <c r="AW112" s="273">
        <v>3.6999999999999998E-5</v>
      </c>
      <c r="AX112" s="273">
        <v>7.9999999999999996E-6</v>
      </c>
      <c r="AY112" s="273">
        <v>3.1599999999999998E-4</v>
      </c>
      <c r="AZ112" s="273">
        <v>1.6100000000000001E-4</v>
      </c>
      <c r="BA112" s="273">
        <v>5.5400000000000002E-4</v>
      </c>
      <c r="BB112" s="273">
        <v>5.6300000000000002E-4</v>
      </c>
      <c r="BC112" s="273">
        <v>0</v>
      </c>
      <c r="BD112" s="273">
        <v>0</v>
      </c>
      <c r="BE112" s="273">
        <v>1.4E-5</v>
      </c>
      <c r="BF112" s="273">
        <v>1.2999999999999999E-5</v>
      </c>
      <c r="BG112" s="273">
        <v>1.2E-5</v>
      </c>
      <c r="BH112" s="273">
        <v>5.0000000000000004E-6</v>
      </c>
      <c r="BI112" s="273">
        <v>4.3999999999999999E-5</v>
      </c>
      <c r="BJ112" s="273">
        <v>1.8E-5</v>
      </c>
      <c r="BK112" s="273">
        <v>6.7000000000000002E-5</v>
      </c>
      <c r="BL112" s="273">
        <v>1.3100000000000001E-4</v>
      </c>
      <c r="BM112" s="273">
        <v>1.9000000000000001E-4</v>
      </c>
      <c r="BN112" s="273">
        <v>1.9599999999999999E-4</v>
      </c>
      <c r="BO112" s="273">
        <v>8.0400000000000003E-4</v>
      </c>
      <c r="BP112" s="273">
        <v>1.279E-3</v>
      </c>
      <c r="BQ112" s="273">
        <v>1.5969999999999999E-3</v>
      </c>
      <c r="BR112" s="273">
        <v>1.688E-3</v>
      </c>
      <c r="BS112" s="273">
        <v>2.4459999999999998E-3</v>
      </c>
      <c r="BT112" s="273">
        <v>1.2260000000000001E-3</v>
      </c>
      <c r="BU112" s="273">
        <v>1.7128000000000001E-2</v>
      </c>
      <c r="BV112" s="273">
        <v>1.8103999999999999E-2</v>
      </c>
      <c r="BW112" s="273">
        <v>15.778052000000001</v>
      </c>
      <c r="BX112" s="273">
        <v>14.019130000000001</v>
      </c>
      <c r="BY112" s="273">
        <v>1.4095530000000001</v>
      </c>
      <c r="BZ112" s="273">
        <v>0.62010299999999996</v>
      </c>
      <c r="CA112" s="273">
        <v>0.77085700000000001</v>
      </c>
      <c r="CB112" s="273">
        <v>0.441548</v>
      </c>
      <c r="CC112" s="273">
        <v>1.2808E-2</v>
      </c>
      <c r="CD112" s="273">
        <v>6.4200000000000004E-3</v>
      </c>
      <c r="CE112" s="273">
        <v>5.3571000000000001E-2</v>
      </c>
      <c r="CF112" s="273">
        <v>4.1655999999999999E-2</v>
      </c>
      <c r="CG112" s="273">
        <v>7.0432999999999996E-2</v>
      </c>
      <c r="CH112" s="273">
        <v>5.1359000000000002E-2</v>
      </c>
      <c r="CI112" s="273">
        <v>1.8290000000000001E-2</v>
      </c>
      <c r="CJ112" s="273">
        <v>8.3219999999999995E-3</v>
      </c>
      <c r="CK112" s="273">
        <v>1.4270000000000001E-3</v>
      </c>
      <c r="CL112" s="273">
        <v>5.9299999999999999E-4</v>
      </c>
      <c r="CM112" s="273">
        <v>6.2899999999999996E-3</v>
      </c>
      <c r="CN112" s="273">
        <v>2.0739999999999999E-3</v>
      </c>
      <c r="CO112" s="273">
        <v>0.116479</v>
      </c>
      <c r="CP112" s="273">
        <v>8.3901000000000003E-2</v>
      </c>
      <c r="CQ112" s="273">
        <v>1.9880999999999999E-2</v>
      </c>
      <c r="CR112" s="273">
        <v>8.9230000000000004E-3</v>
      </c>
      <c r="CS112" s="273">
        <v>5.8624000000000002E-2</v>
      </c>
      <c r="CT112" s="273">
        <v>0.11204</v>
      </c>
      <c r="CU112" s="273">
        <f t="shared" si="120"/>
        <v>1.1655037440000001E-3</v>
      </c>
      <c r="CV112" s="273">
        <f t="shared" si="106"/>
        <v>9.9973292000000015E-4</v>
      </c>
      <c r="CW112" s="273">
        <v>6.1149999999999998E-3</v>
      </c>
      <c r="CX112" s="273">
        <v>2.8121E-2</v>
      </c>
      <c r="CY112" s="273">
        <f t="shared" si="121"/>
        <v>1.21572315E-4</v>
      </c>
      <c r="CZ112" s="273">
        <f t="shared" si="107"/>
        <v>2.5092368299999999E-4</v>
      </c>
      <c r="DA112" s="273">
        <v>9.4899999999999997E-4</v>
      </c>
      <c r="DB112" s="273">
        <v>5.1000000000000004E-4</v>
      </c>
      <c r="DC112" s="273">
        <f t="shared" si="122"/>
        <v>1.8593923941000002E-2</v>
      </c>
      <c r="DD112" s="273">
        <f t="shared" si="108"/>
        <v>7.6723433970000005E-3</v>
      </c>
      <c r="DE112" s="273">
        <v>2.3499999999999999E-4</v>
      </c>
      <c r="DF112" s="273">
        <v>1.5699999999999999E-4</v>
      </c>
      <c r="DG112" s="273">
        <f t="shared" si="123"/>
        <v>2.4710760590000002E-3</v>
      </c>
      <c r="DH112" s="273">
        <f t="shared" si="109"/>
        <v>1.9176566030000002E-3</v>
      </c>
      <c r="DI112" s="273">
        <v>2.6909999999999998E-3</v>
      </c>
      <c r="DJ112" s="273">
        <v>1.1150000000000001E-3</v>
      </c>
      <c r="DK112" s="273">
        <v>2.3609999999999998E-3</v>
      </c>
      <c r="DL112" s="273">
        <v>8.5400000000000005E-4</v>
      </c>
      <c r="DM112" s="273">
        <f t="shared" si="124"/>
        <v>5.0519999999999992E-3</v>
      </c>
      <c r="DN112" s="273">
        <f t="shared" si="110"/>
        <v>1.9690000000000003E-3</v>
      </c>
      <c r="DO112" s="273">
        <v>1.297E-3</v>
      </c>
      <c r="DP112" s="273">
        <v>1.0610000000000001E-3</v>
      </c>
      <c r="DQ112" s="273">
        <v>1.635E-3</v>
      </c>
      <c r="DR112" s="273">
        <v>2.787E-3</v>
      </c>
      <c r="DS112" s="273">
        <v>5.8282E-2</v>
      </c>
      <c r="DT112" s="273">
        <v>8.7825E-2</v>
      </c>
      <c r="DU112" s="273">
        <v>2.7636999999999998E-2</v>
      </c>
      <c r="DV112" s="273">
        <v>4.5467E-2</v>
      </c>
      <c r="DW112" s="273">
        <v>4.0188000000000001E-2</v>
      </c>
      <c r="DX112" s="273">
        <v>4.0188000000000001E-2</v>
      </c>
      <c r="DY112" s="273">
        <v>3.9108809999999998</v>
      </c>
      <c r="DZ112" s="273">
        <v>2.3215710000000001</v>
      </c>
      <c r="EA112" s="273">
        <v>0.43387700000000001</v>
      </c>
      <c r="EB112" s="273">
        <v>0.123125</v>
      </c>
      <c r="EC112" s="273">
        <v>3.4870000000000001E-3</v>
      </c>
      <c r="ED112" s="273">
        <v>4.8589999999999996E-3</v>
      </c>
      <c r="EE112" s="273"/>
      <c r="EF112" s="274"/>
    </row>
    <row r="113" spans="2:136" s="249" customFormat="1" ht="17.399999999999999">
      <c r="B113" s="286">
        <v>106</v>
      </c>
      <c r="C113" s="273">
        <v>0.75997400000000004</v>
      </c>
      <c r="D113" s="273">
        <v>0.30329899999999999</v>
      </c>
      <c r="E113" s="273">
        <v>2.2599999999999999E-4</v>
      </c>
      <c r="F113" s="273">
        <v>1.5799999999999999E-4</v>
      </c>
      <c r="G113" s="273">
        <v>0.32702199999999998</v>
      </c>
      <c r="H113" s="273">
        <v>0.32491199999999998</v>
      </c>
      <c r="I113" s="273">
        <v>0.76019999999999999</v>
      </c>
      <c r="J113" s="273">
        <v>0.30345699999999998</v>
      </c>
      <c r="K113" s="273">
        <v>9.3400000000000004E-4</v>
      </c>
      <c r="L113" s="273">
        <v>1.6119999999999999E-3</v>
      </c>
      <c r="M113" s="273">
        <f t="shared" si="111"/>
        <v>2.1159018960000001E-2</v>
      </c>
      <c r="N113" s="273">
        <f t="shared" si="101"/>
        <v>1.2151787211999998E-2</v>
      </c>
      <c r="O113" s="273">
        <f t="shared" si="112"/>
        <v>2.8503752800000002E-3</v>
      </c>
      <c r="P113" s="273">
        <f t="shared" si="113"/>
        <v>3.7420427399999999E-4</v>
      </c>
      <c r="Q113" s="273">
        <v>2.7418000000000001E-2</v>
      </c>
      <c r="R113" s="273">
        <v>1.6005999999999999E-2</v>
      </c>
      <c r="S113" s="273">
        <v>1.111E-3</v>
      </c>
      <c r="T113" s="273">
        <v>2.3379E-2</v>
      </c>
      <c r="U113" s="273">
        <v>0.10396</v>
      </c>
      <c r="V113" s="273">
        <v>0</v>
      </c>
      <c r="W113" s="273">
        <v>8.0891000000000005E-2</v>
      </c>
      <c r="X113" s="273">
        <v>0.17108799999999999</v>
      </c>
      <c r="Y113" s="273">
        <f t="shared" si="114"/>
        <v>2.2178694380000003E-3</v>
      </c>
      <c r="Z113" s="273">
        <f t="shared" si="102"/>
        <v>2.7384345279999997E-3</v>
      </c>
      <c r="AA113" s="273">
        <v>3.7780000000000001E-3</v>
      </c>
      <c r="AB113" s="273">
        <v>1.0185E-2</v>
      </c>
      <c r="AC113" s="273">
        <f t="shared" si="115"/>
        <v>1.03585204E-4</v>
      </c>
      <c r="AD113" s="273">
        <f t="shared" si="103"/>
        <v>1.6302110999999998E-4</v>
      </c>
      <c r="AE113" s="273">
        <v>1.9413E-2</v>
      </c>
      <c r="AF113" s="273">
        <v>2.7130999999999999E-2</v>
      </c>
      <c r="AG113" s="273">
        <f t="shared" si="116"/>
        <v>5.3226563400000004E-4</v>
      </c>
      <c r="AH113" s="273">
        <f t="shared" si="104"/>
        <v>4.3425878599999998E-4</v>
      </c>
      <c r="AI113" s="273">
        <v>2.0237999999999999E-2</v>
      </c>
      <c r="AJ113" s="273">
        <v>9.0150000000000004E-3</v>
      </c>
      <c r="AK113" s="273">
        <f t="shared" si="117"/>
        <v>5.5488548399999999E-4</v>
      </c>
      <c r="AL113" s="273">
        <f t="shared" si="105"/>
        <v>1.4429408999999999E-4</v>
      </c>
      <c r="AM113" s="273">
        <f t="shared" si="118"/>
        <v>2.6809594580000005E-3</v>
      </c>
      <c r="AN113" s="273">
        <f t="shared" si="119"/>
        <v>1.548724554E-3</v>
      </c>
      <c r="AO113" s="273">
        <v>9.7781000000000007E-2</v>
      </c>
      <c r="AP113" s="273">
        <v>9.6758999999999998E-2</v>
      </c>
      <c r="AQ113" s="273">
        <v>6.6299999999999996E-4</v>
      </c>
      <c r="AR113" s="273">
        <v>4.17E-4</v>
      </c>
      <c r="AS113" s="273">
        <v>2.7900000000000001E-4</v>
      </c>
      <c r="AT113" s="273">
        <v>3.1500000000000001E-4</v>
      </c>
      <c r="AU113" s="273">
        <v>1.781E-3</v>
      </c>
      <c r="AV113" s="273">
        <v>9.3599999999999998E-4</v>
      </c>
      <c r="AW113" s="273">
        <v>3.6999999999999998E-5</v>
      </c>
      <c r="AX113" s="273">
        <v>7.9999999999999996E-6</v>
      </c>
      <c r="AY113" s="273">
        <v>3.1599999999999998E-4</v>
      </c>
      <c r="AZ113" s="273">
        <v>1.6100000000000001E-4</v>
      </c>
      <c r="BA113" s="273">
        <v>5.5400000000000002E-4</v>
      </c>
      <c r="BB113" s="273">
        <v>5.6300000000000002E-4</v>
      </c>
      <c r="BC113" s="273">
        <v>0</v>
      </c>
      <c r="BD113" s="273">
        <v>0</v>
      </c>
      <c r="BE113" s="273">
        <v>1.4E-5</v>
      </c>
      <c r="BF113" s="273">
        <v>1.2999999999999999E-5</v>
      </c>
      <c r="BG113" s="273">
        <v>1.2E-5</v>
      </c>
      <c r="BH113" s="273">
        <v>5.0000000000000004E-6</v>
      </c>
      <c r="BI113" s="273">
        <v>4.3999999999999999E-5</v>
      </c>
      <c r="BJ113" s="273">
        <v>1.8E-5</v>
      </c>
      <c r="BK113" s="273">
        <v>6.7000000000000002E-5</v>
      </c>
      <c r="BL113" s="273">
        <v>1.3100000000000001E-4</v>
      </c>
      <c r="BM113" s="273">
        <v>1.9000000000000001E-4</v>
      </c>
      <c r="BN113" s="273">
        <v>1.9599999999999999E-4</v>
      </c>
      <c r="BO113" s="273">
        <v>8.0400000000000003E-4</v>
      </c>
      <c r="BP113" s="273">
        <v>1.279E-3</v>
      </c>
      <c r="BQ113" s="273">
        <v>1.5969999999999999E-3</v>
      </c>
      <c r="BR113" s="273">
        <v>1.688E-3</v>
      </c>
      <c r="BS113" s="273">
        <v>2.4459999999999998E-3</v>
      </c>
      <c r="BT113" s="273">
        <v>1.2260000000000001E-3</v>
      </c>
      <c r="BU113" s="273">
        <v>1.7128000000000001E-2</v>
      </c>
      <c r="BV113" s="273">
        <v>1.8103999999999999E-2</v>
      </c>
      <c r="BW113" s="273">
        <v>15.778052000000001</v>
      </c>
      <c r="BX113" s="273">
        <v>14.019130000000001</v>
      </c>
      <c r="BY113" s="273">
        <v>1.4095530000000001</v>
      </c>
      <c r="BZ113" s="273">
        <v>0.62010299999999996</v>
      </c>
      <c r="CA113" s="273">
        <v>0.77085700000000001</v>
      </c>
      <c r="CB113" s="273">
        <v>0.441548</v>
      </c>
      <c r="CC113" s="273">
        <v>1.2808E-2</v>
      </c>
      <c r="CD113" s="273">
        <v>6.4200000000000004E-3</v>
      </c>
      <c r="CE113" s="273">
        <v>5.3571000000000001E-2</v>
      </c>
      <c r="CF113" s="273">
        <v>4.1655999999999999E-2</v>
      </c>
      <c r="CG113" s="273">
        <v>7.0432999999999996E-2</v>
      </c>
      <c r="CH113" s="273">
        <v>5.1359000000000002E-2</v>
      </c>
      <c r="CI113" s="273">
        <v>1.8290000000000001E-2</v>
      </c>
      <c r="CJ113" s="273">
        <v>8.3219999999999995E-3</v>
      </c>
      <c r="CK113" s="273">
        <v>1.4270000000000001E-3</v>
      </c>
      <c r="CL113" s="273">
        <v>5.9299999999999999E-4</v>
      </c>
      <c r="CM113" s="273">
        <v>6.2899999999999996E-3</v>
      </c>
      <c r="CN113" s="273">
        <v>2.0739999999999999E-3</v>
      </c>
      <c r="CO113" s="273">
        <v>0.116479</v>
      </c>
      <c r="CP113" s="273">
        <v>8.3901000000000003E-2</v>
      </c>
      <c r="CQ113" s="273">
        <v>1.9880999999999999E-2</v>
      </c>
      <c r="CR113" s="273">
        <v>8.9230000000000004E-3</v>
      </c>
      <c r="CS113" s="273">
        <v>5.8624000000000002E-2</v>
      </c>
      <c r="CT113" s="273">
        <v>0.11204</v>
      </c>
      <c r="CU113" s="273">
        <f t="shared" si="120"/>
        <v>1.1655037440000001E-3</v>
      </c>
      <c r="CV113" s="273">
        <f t="shared" si="106"/>
        <v>9.9973292000000015E-4</v>
      </c>
      <c r="CW113" s="273">
        <v>6.1149999999999998E-3</v>
      </c>
      <c r="CX113" s="273">
        <v>2.8121E-2</v>
      </c>
      <c r="CY113" s="273">
        <f t="shared" si="121"/>
        <v>1.21572315E-4</v>
      </c>
      <c r="CZ113" s="273">
        <f t="shared" si="107"/>
        <v>2.5092368299999999E-4</v>
      </c>
      <c r="DA113" s="273">
        <v>9.4899999999999997E-4</v>
      </c>
      <c r="DB113" s="273">
        <v>5.1000000000000004E-4</v>
      </c>
      <c r="DC113" s="273">
        <f t="shared" si="122"/>
        <v>1.8593923941000002E-2</v>
      </c>
      <c r="DD113" s="273">
        <f t="shared" si="108"/>
        <v>7.6723433970000005E-3</v>
      </c>
      <c r="DE113" s="273">
        <v>2.3499999999999999E-4</v>
      </c>
      <c r="DF113" s="273">
        <v>1.5699999999999999E-4</v>
      </c>
      <c r="DG113" s="273">
        <f t="shared" si="123"/>
        <v>2.4710760590000002E-3</v>
      </c>
      <c r="DH113" s="273">
        <f t="shared" si="109"/>
        <v>1.9176566030000002E-3</v>
      </c>
      <c r="DI113" s="273">
        <v>2.6909999999999998E-3</v>
      </c>
      <c r="DJ113" s="273">
        <v>1.1150000000000001E-3</v>
      </c>
      <c r="DK113" s="273">
        <v>2.3609999999999998E-3</v>
      </c>
      <c r="DL113" s="273">
        <v>8.5400000000000005E-4</v>
      </c>
      <c r="DM113" s="273">
        <f t="shared" si="124"/>
        <v>5.0519999999999992E-3</v>
      </c>
      <c r="DN113" s="273">
        <f t="shared" si="110"/>
        <v>1.9690000000000003E-3</v>
      </c>
      <c r="DO113" s="273">
        <v>1.297E-3</v>
      </c>
      <c r="DP113" s="273">
        <v>1.0610000000000001E-3</v>
      </c>
      <c r="DQ113" s="273">
        <v>1.635E-3</v>
      </c>
      <c r="DR113" s="273">
        <v>2.787E-3</v>
      </c>
      <c r="DS113" s="273">
        <v>5.8282E-2</v>
      </c>
      <c r="DT113" s="273">
        <v>8.7825E-2</v>
      </c>
      <c r="DU113" s="273">
        <v>2.7636999999999998E-2</v>
      </c>
      <c r="DV113" s="273">
        <v>4.5467E-2</v>
      </c>
      <c r="DW113" s="273">
        <v>4.0188000000000001E-2</v>
      </c>
      <c r="DX113" s="273">
        <v>4.0188000000000001E-2</v>
      </c>
      <c r="DY113" s="273">
        <v>3.9108809999999998</v>
      </c>
      <c r="DZ113" s="273">
        <v>2.3215710000000001</v>
      </c>
      <c r="EA113" s="273">
        <v>0.45194600000000001</v>
      </c>
      <c r="EB113" s="273">
        <v>0.143123</v>
      </c>
      <c r="EC113" s="273">
        <v>3.4870000000000001E-3</v>
      </c>
      <c r="ED113" s="273">
        <v>4.8589999999999996E-3</v>
      </c>
      <c r="EE113" s="273"/>
      <c r="EF113" s="274"/>
    </row>
    <row r="114" spans="2:136" s="249" customFormat="1" ht="17.399999999999999">
      <c r="B114" s="286">
        <v>107</v>
      </c>
      <c r="C114" s="273">
        <v>0.78942500000000004</v>
      </c>
      <c r="D114" s="273">
        <v>0.34756900000000002</v>
      </c>
      <c r="E114" s="273">
        <v>2.2599999999999999E-4</v>
      </c>
      <c r="F114" s="273">
        <v>1.5799999999999999E-4</v>
      </c>
      <c r="G114" s="273">
        <v>0.41529300000000002</v>
      </c>
      <c r="H114" s="273">
        <v>0.39604800000000001</v>
      </c>
      <c r="I114" s="273">
        <v>0.78965099999999999</v>
      </c>
      <c r="J114" s="273">
        <v>0.34772700000000001</v>
      </c>
      <c r="K114" s="273">
        <v>9.3400000000000004E-4</v>
      </c>
      <c r="L114" s="273">
        <v>1.6119999999999999E-3</v>
      </c>
      <c r="M114" s="273">
        <f t="shared" si="111"/>
        <v>2.1159018960000001E-2</v>
      </c>
      <c r="N114" s="273">
        <f t="shared" si="101"/>
        <v>1.2158001856E-2</v>
      </c>
      <c r="O114" s="273">
        <f t="shared" si="112"/>
        <v>2.8503752800000002E-3</v>
      </c>
      <c r="P114" s="273">
        <f t="shared" si="113"/>
        <v>3.7445407999999998E-4</v>
      </c>
      <c r="Q114" s="273">
        <v>2.7418000000000001E-2</v>
      </c>
      <c r="R114" s="273">
        <v>1.6015999999999999E-2</v>
      </c>
      <c r="S114" s="273">
        <v>1.111E-3</v>
      </c>
      <c r="T114" s="273">
        <v>2.3380000000000001E-2</v>
      </c>
      <c r="U114" s="273">
        <v>0.10396</v>
      </c>
      <c r="V114" s="273">
        <v>0</v>
      </c>
      <c r="W114" s="273">
        <v>8.0891000000000005E-2</v>
      </c>
      <c r="X114" s="273">
        <v>0.17116700000000001</v>
      </c>
      <c r="Y114" s="273">
        <f t="shared" si="114"/>
        <v>2.2178694380000003E-3</v>
      </c>
      <c r="Z114" s="273">
        <f t="shared" si="102"/>
        <v>2.741410672E-3</v>
      </c>
      <c r="AA114" s="273">
        <v>3.7780000000000001E-3</v>
      </c>
      <c r="AB114" s="273">
        <v>1.0191E-2</v>
      </c>
      <c r="AC114" s="273">
        <f t="shared" si="115"/>
        <v>1.03585204E-4</v>
      </c>
      <c r="AD114" s="273">
        <f t="shared" si="103"/>
        <v>1.63219056E-4</v>
      </c>
      <c r="AE114" s="273">
        <v>1.9413E-2</v>
      </c>
      <c r="AF114" s="273">
        <v>2.7130999999999999E-2</v>
      </c>
      <c r="AG114" s="273">
        <f t="shared" si="116"/>
        <v>5.3226563400000004E-4</v>
      </c>
      <c r="AH114" s="273">
        <f t="shared" si="104"/>
        <v>4.3453009599999997E-4</v>
      </c>
      <c r="AI114" s="273">
        <v>2.0237999999999999E-2</v>
      </c>
      <c r="AJ114" s="273">
        <v>9.0150000000000004E-3</v>
      </c>
      <c r="AK114" s="273">
        <f t="shared" si="117"/>
        <v>5.5488548399999999E-4</v>
      </c>
      <c r="AL114" s="273">
        <f t="shared" si="105"/>
        <v>1.4438424E-4</v>
      </c>
      <c r="AM114" s="273">
        <f t="shared" si="118"/>
        <v>2.6809594580000005E-3</v>
      </c>
      <c r="AN114" s="273">
        <f t="shared" si="119"/>
        <v>1.5496921439999999E-3</v>
      </c>
      <c r="AO114" s="273">
        <v>9.7781000000000007E-2</v>
      </c>
      <c r="AP114" s="273">
        <v>9.6758999999999998E-2</v>
      </c>
      <c r="AQ114" s="273">
        <v>6.6299999999999996E-4</v>
      </c>
      <c r="AR114" s="273">
        <v>4.17E-4</v>
      </c>
      <c r="AS114" s="273">
        <v>2.7900000000000001E-4</v>
      </c>
      <c r="AT114" s="273">
        <v>3.1500000000000001E-4</v>
      </c>
      <c r="AU114" s="273">
        <v>1.781E-3</v>
      </c>
      <c r="AV114" s="273">
        <v>9.3599999999999998E-4</v>
      </c>
      <c r="AW114" s="273">
        <v>3.6999999999999998E-5</v>
      </c>
      <c r="AX114" s="273">
        <v>7.9999999999999996E-6</v>
      </c>
      <c r="AY114" s="273">
        <v>3.1599999999999998E-4</v>
      </c>
      <c r="AZ114" s="273">
        <v>1.6100000000000001E-4</v>
      </c>
      <c r="BA114" s="273">
        <v>5.5400000000000002E-4</v>
      </c>
      <c r="BB114" s="273">
        <v>5.6300000000000002E-4</v>
      </c>
      <c r="BC114" s="273">
        <v>0</v>
      </c>
      <c r="BD114" s="273">
        <v>0</v>
      </c>
      <c r="BE114" s="273">
        <v>1.4E-5</v>
      </c>
      <c r="BF114" s="273">
        <v>1.2999999999999999E-5</v>
      </c>
      <c r="BG114" s="273">
        <v>1.2E-5</v>
      </c>
      <c r="BH114" s="273">
        <v>5.0000000000000004E-6</v>
      </c>
      <c r="BI114" s="273">
        <v>4.3999999999999999E-5</v>
      </c>
      <c r="BJ114" s="273">
        <v>1.8E-5</v>
      </c>
      <c r="BK114" s="273">
        <v>6.7000000000000002E-5</v>
      </c>
      <c r="BL114" s="273">
        <v>1.3100000000000001E-4</v>
      </c>
      <c r="BM114" s="273">
        <v>1.9000000000000001E-4</v>
      </c>
      <c r="BN114" s="273">
        <v>1.9599999999999999E-4</v>
      </c>
      <c r="BO114" s="273">
        <v>8.0400000000000003E-4</v>
      </c>
      <c r="BP114" s="273">
        <v>1.279E-3</v>
      </c>
      <c r="BQ114" s="273">
        <v>1.5969999999999999E-3</v>
      </c>
      <c r="BR114" s="273">
        <v>1.688E-3</v>
      </c>
      <c r="BS114" s="273">
        <v>2.4459999999999998E-3</v>
      </c>
      <c r="BT114" s="273">
        <v>1.2260000000000001E-3</v>
      </c>
      <c r="BU114" s="273">
        <v>1.7128000000000001E-2</v>
      </c>
      <c r="BV114" s="273">
        <v>1.8103999999999999E-2</v>
      </c>
      <c r="BW114" s="273">
        <v>15.778052000000001</v>
      </c>
      <c r="BX114" s="273">
        <v>14.019130000000001</v>
      </c>
      <c r="BY114" s="273">
        <v>1.4095530000000001</v>
      </c>
      <c r="BZ114" s="273">
        <v>0.62010299999999996</v>
      </c>
      <c r="CA114" s="273">
        <v>0.77085700000000001</v>
      </c>
      <c r="CB114" s="273">
        <v>0.441548</v>
      </c>
      <c r="CC114" s="273">
        <v>1.2808E-2</v>
      </c>
      <c r="CD114" s="273">
        <v>6.4200000000000004E-3</v>
      </c>
      <c r="CE114" s="273">
        <v>5.3571000000000001E-2</v>
      </c>
      <c r="CF114" s="273">
        <v>4.1655999999999999E-2</v>
      </c>
      <c r="CG114" s="273">
        <v>7.0432999999999996E-2</v>
      </c>
      <c r="CH114" s="273">
        <v>5.1359000000000002E-2</v>
      </c>
      <c r="CI114" s="273">
        <v>1.8290000000000001E-2</v>
      </c>
      <c r="CJ114" s="273">
        <v>8.3219999999999995E-3</v>
      </c>
      <c r="CK114" s="273">
        <v>1.4270000000000001E-3</v>
      </c>
      <c r="CL114" s="273">
        <v>5.9299999999999999E-4</v>
      </c>
      <c r="CM114" s="273">
        <v>6.2899999999999996E-3</v>
      </c>
      <c r="CN114" s="273">
        <v>2.0739999999999999E-3</v>
      </c>
      <c r="CO114" s="273">
        <v>0.116479</v>
      </c>
      <c r="CP114" s="273">
        <v>8.3901000000000003E-2</v>
      </c>
      <c r="CQ114" s="273">
        <v>1.9880999999999999E-2</v>
      </c>
      <c r="CR114" s="273">
        <v>8.9230000000000004E-3</v>
      </c>
      <c r="CS114" s="273">
        <v>5.8624000000000002E-2</v>
      </c>
      <c r="CT114" s="273">
        <v>0.11204</v>
      </c>
      <c r="CU114" s="273">
        <f t="shared" si="120"/>
        <v>1.1655037440000001E-3</v>
      </c>
      <c r="CV114" s="273">
        <f t="shared" si="106"/>
        <v>9.9973292000000015E-4</v>
      </c>
      <c r="CW114" s="273">
        <v>6.1149999999999998E-3</v>
      </c>
      <c r="CX114" s="273">
        <v>2.8121E-2</v>
      </c>
      <c r="CY114" s="273">
        <f t="shared" si="121"/>
        <v>1.21572315E-4</v>
      </c>
      <c r="CZ114" s="273">
        <f t="shared" si="107"/>
        <v>2.5092368299999999E-4</v>
      </c>
      <c r="DA114" s="273">
        <v>9.4899999999999997E-4</v>
      </c>
      <c r="DB114" s="273">
        <v>5.1000000000000004E-4</v>
      </c>
      <c r="DC114" s="273">
        <f t="shared" si="122"/>
        <v>1.8593923941000002E-2</v>
      </c>
      <c r="DD114" s="273">
        <f t="shared" si="108"/>
        <v>7.6723433970000005E-3</v>
      </c>
      <c r="DE114" s="273">
        <v>2.3499999999999999E-4</v>
      </c>
      <c r="DF114" s="273">
        <v>1.5699999999999999E-4</v>
      </c>
      <c r="DG114" s="273">
        <f t="shared" si="123"/>
        <v>2.4710760590000002E-3</v>
      </c>
      <c r="DH114" s="273">
        <f t="shared" si="109"/>
        <v>1.9176566030000002E-3</v>
      </c>
      <c r="DI114" s="273">
        <v>2.6909999999999998E-3</v>
      </c>
      <c r="DJ114" s="273">
        <v>1.1150000000000001E-3</v>
      </c>
      <c r="DK114" s="273">
        <v>2.3609999999999998E-3</v>
      </c>
      <c r="DL114" s="273">
        <v>8.5400000000000005E-4</v>
      </c>
      <c r="DM114" s="273">
        <f t="shared" si="124"/>
        <v>5.0519999999999992E-3</v>
      </c>
      <c r="DN114" s="273">
        <f t="shared" si="110"/>
        <v>1.9690000000000003E-3</v>
      </c>
      <c r="DO114" s="273">
        <v>1.297E-3</v>
      </c>
      <c r="DP114" s="273">
        <v>1.0610000000000001E-3</v>
      </c>
      <c r="DQ114" s="273">
        <v>1.635E-3</v>
      </c>
      <c r="DR114" s="273">
        <v>2.787E-3</v>
      </c>
      <c r="DS114" s="273">
        <v>5.8282E-2</v>
      </c>
      <c r="DT114" s="273">
        <v>8.7825E-2</v>
      </c>
      <c r="DU114" s="273">
        <v>2.7636999999999998E-2</v>
      </c>
      <c r="DV114" s="273">
        <v>4.5467E-2</v>
      </c>
      <c r="DW114" s="273">
        <v>4.0188000000000001E-2</v>
      </c>
      <c r="DX114" s="273">
        <v>4.0188000000000001E-2</v>
      </c>
      <c r="DY114" s="273">
        <v>3.9108809999999998</v>
      </c>
      <c r="DZ114" s="273">
        <v>2.3215710000000001</v>
      </c>
      <c r="EA114" s="273">
        <v>0.468833</v>
      </c>
      <c r="EB114" s="273">
        <v>0.16303500000000001</v>
      </c>
      <c r="EC114" s="273">
        <v>3.4870000000000001E-3</v>
      </c>
      <c r="ED114" s="273">
        <v>4.8589999999999996E-3</v>
      </c>
      <c r="EE114" s="273"/>
      <c r="EF114" s="274"/>
    </row>
    <row r="115" spans="2:136" s="249" customFormat="1" ht="17.399999999999999">
      <c r="B115" s="286">
        <v>108</v>
      </c>
      <c r="C115" s="273">
        <v>0.81678499999999998</v>
      </c>
      <c r="D115" s="273">
        <v>0.36843999999999999</v>
      </c>
      <c r="E115" s="273">
        <v>2.2599999999999999E-4</v>
      </c>
      <c r="F115" s="273">
        <v>1.5799999999999999E-4</v>
      </c>
      <c r="G115" s="273">
        <v>0.56334799999999996</v>
      </c>
      <c r="H115" s="273">
        <v>0.46195700000000001</v>
      </c>
      <c r="I115" s="273">
        <v>0.81701099999999993</v>
      </c>
      <c r="J115" s="273">
        <v>0.36859799999999998</v>
      </c>
      <c r="K115" s="273">
        <v>9.3400000000000004E-4</v>
      </c>
      <c r="L115" s="273">
        <v>1.6119999999999999E-3</v>
      </c>
      <c r="M115" s="273">
        <f t="shared" si="111"/>
        <v>2.1159018960000001E-2</v>
      </c>
      <c r="N115" s="273">
        <f t="shared" si="101"/>
        <v>1.2165196464E-2</v>
      </c>
      <c r="O115" s="273">
        <f t="shared" si="112"/>
        <v>2.8503752800000002E-3</v>
      </c>
      <c r="P115" s="273">
        <f t="shared" si="113"/>
        <v>3.7459304799999997E-4</v>
      </c>
      <c r="Q115" s="273">
        <v>2.7418000000000001E-2</v>
      </c>
      <c r="R115" s="273">
        <v>1.6024E-2</v>
      </c>
      <c r="S115" s="273">
        <v>1.111E-3</v>
      </c>
      <c r="T115" s="273">
        <v>2.3376999999999998E-2</v>
      </c>
      <c r="U115" s="273">
        <v>0.10396</v>
      </c>
      <c r="V115" s="273">
        <v>0</v>
      </c>
      <c r="W115" s="273">
        <v>8.0891000000000005E-2</v>
      </c>
      <c r="X115" s="273">
        <v>0.171097</v>
      </c>
      <c r="Y115" s="273">
        <f t="shared" si="114"/>
        <v>2.2178694380000003E-3</v>
      </c>
      <c r="Z115" s="273">
        <f t="shared" si="102"/>
        <v>2.7416583280000001E-3</v>
      </c>
      <c r="AA115" s="273">
        <v>3.7780000000000001E-3</v>
      </c>
      <c r="AB115" s="273">
        <v>1.0194E-2</v>
      </c>
      <c r="AC115" s="273">
        <f t="shared" si="115"/>
        <v>1.03585204E-4</v>
      </c>
      <c r="AD115" s="273">
        <f t="shared" si="103"/>
        <v>1.6334865599999999E-4</v>
      </c>
      <c r="AE115" s="273">
        <v>1.9413E-2</v>
      </c>
      <c r="AF115" s="273">
        <v>2.7130999999999999E-2</v>
      </c>
      <c r="AG115" s="273">
        <f t="shared" si="116"/>
        <v>5.3226563400000004E-4</v>
      </c>
      <c r="AH115" s="273">
        <f t="shared" si="104"/>
        <v>4.34747144E-4</v>
      </c>
      <c r="AI115" s="273">
        <v>2.0237999999999999E-2</v>
      </c>
      <c r="AJ115" s="273">
        <v>9.0150000000000004E-3</v>
      </c>
      <c r="AK115" s="273">
        <f t="shared" si="117"/>
        <v>5.5488548399999999E-4</v>
      </c>
      <c r="AL115" s="273">
        <f t="shared" si="105"/>
        <v>1.4445636E-4</v>
      </c>
      <c r="AM115" s="273">
        <f t="shared" si="118"/>
        <v>2.6809594580000005E-3</v>
      </c>
      <c r="AN115" s="273">
        <f t="shared" si="119"/>
        <v>1.5504662159999999E-3</v>
      </c>
      <c r="AO115" s="273">
        <v>9.7781000000000007E-2</v>
      </c>
      <c r="AP115" s="273">
        <v>9.6758999999999998E-2</v>
      </c>
      <c r="AQ115" s="273">
        <v>6.6299999999999996E-4</v>
      </c>
      <c r="AR115" s="273">
        <v>4.17E-4</v>
      </c>
      <c r="AS115" s="273">
        <v>2.7900000000000001E-4</v>
      </c>
      <c r="AT115" s="273">
        <v>3.1700000000000001E-4</v>
      </c>
      <c r="AU115" s="273">
        <v>1.781E-3</v>
      </c>
      <c r="AV115" s="273">
        <v>9.3599999999999998E-4</v>
      </c>
      <c r="AW115" s="273">
        <v>3.6999999999999998E-5</v>
      </c>
      <c r="AX115" s="273">
        <v>7.9999999999999996E-6</v>
      </c>
      <c r="AY115" s="273">
        <v>3.1599999999999998E-4</v>
      </c>
      <c r="AZ115" s="273">
        <v>1.6100000000000001E-4</v>
      </c>
      <c r="BA115" s="273">
        <v>5.5400000000000002E-4</v>
      </c>
      <c r="BB115" s="273">
        <v>5.6300000000000002E-4</v>
      </c>
      <c r="BC115" s="273">
        <v>0</v>
      </c>
      <c r="BD115" s="273">
        <v>0</v>
      </c>
      <c r="BE115" s="273">
        <v>1.4E-5</v>
      </c>
      <c r="BF115" s="273">
        <v>1.2999999999999999E-5</v>
      </c>
      <c r="BG115" s="273">
        <v>1.2E-5</v>
      </c>
      <c r="BH115" s="273">
        <v>5.0000000000000004E-6</v>
      </c>
      <c r="BI115" s="273">
        <v>4.3999999999999999E-5</v>
      </c>
      <c r="BJ115" s="273">
        <v>1.8E-5</v>
      </c>
      <c r="BK115" s="273">
        <v>6.7000000000000002E-5</v>
      </c>
      <c r="BL115" s="273">
        <v>1.3100000000000001E-4</v>
      </c>
      <c r="BM115" s="273">
        <v>1.9000000000000001E-4</v>
      </c>
      <c r="BN115" s="273">
        <v>1.9599999999999999E-4</v>
      </c>
      <c r="BO115" s="273">
        <v>8.0400000000000003E-4</v>
      </c>
      <c r="BP115" s="273">
        <v>1.279E-3</v>
      </c>
      <c r="BQ115" s="273">
        <v>1.5969999999999999E-3</v>
      </c>
      <c r="BR115" s="273">
        <v>1.688E-3</v>
      </c>
      <c r="BS115" s="273">
        <v>2.4459999999999998E-3</v>
      </c>
      <c r="BT115" s="273">
        <v>1.2260000000000001E-3</v>
      </c>
      <c r="BU115" s="273">
        <v>1.7128000000000001E-2</v>
      </c>
      <c r="BV115" s="273">
        <v>1.8103999999999999E-2</v>
      </c>
      <c r="BW115" s="273">
        <v>15.778052000000001</v>
      </c>
      <c r="BX115" s="273">
        <v>14.019130000000001</v>
      </c>
      <c r="BY115" s="273">
        <v>1.4095530000000001</v>
      </c>
      <c r="BZ115" s="273">
        <v>0.62010299999999996</v>
      </c>
      <c r="CA115" s="273">
        <v>0.77085700000000001</v>
      </c>
      <c r="CB115" s="273">
        <v>0.441548</v>
      </c>
      <c r="CC115" s="273">
        <v>1.2808E-2</v>
      </c>
      <c r="CD115" s="273">
        <v>6.4200000000000004E-3</v>
      </c>
      <c r="CE115" s="273">
        <v>5.3571000000000001E-2</v>
      </c>
      <c r="CF115" s="273">
        <v>4.1655999999999999E-2</v>
      </c>
      <c r="CG115" s="273">
        <v>7.0432999999999996E-2</v>
      </c>
      <c r="CH115" s="273">
        <v>5.1359000000000002E-2</v>
      </c>
      <c r="CI115" s="273">
        <v>1.8290000000000001E-2</v>
      </c>
      <c r="CJ115" s="273">
        <v>8.3219999999999995E-3</v>
      </c>
      <c r="CK115" s="273">
        <v>1.4270000000000001E-3</v>
      </c>
      <c r="CL115" s="273">
        <v>5.9299999999999999E-4</v>
      </c>
      <c r="CM115" s="273">
        <v>6.2899999999999996E-3</v>
      </c>
      <c r="CN115" s="273">
        <v>2.0739999999999999E-3</v>
      </c>
      <c r="CO115" s="273">
        <v>0.116479</v>
      </c>
      <c r="CP115" s="273">
        <v>8.3901000000000003E-2</v>
      </c>
      <c r="CQ115" s="273">
        <v>1.9880999999999999E-2</v>
      </c>
      <c r="CR115" s="273">
        <v>8.9230000000000004E-3</v>
      </c>
      <c r="CS115" s="273">
        <v>5.8624000000000002E-2</v>
      </c>
      <c r="CT115" s="273">
        <v>0.11204</v>
      </c>
      <c r="CU115" s="273">
        <f t="shared" si="120"/>
        <v>1.1655037440000001E-3</v>
      </c>
      <c r="CV115" s="273">
        <f t="shared" si="106"/>
        <v>9.9973292000000015E-4</v>
      </c>
      <c r="CW115" s="273">
        <v>6.1149999999999998E-3</v>
      </c>
      <c r="CX115" s="273">
        <v>2.8121E-2</v>
      </c>
      <c r="CY115" s="273">
        <f t="shared" si="121"/>
        <v>1.21572315E-4</v>
      </c>
      <c r="CZ115" s="273">
        <f t="shared" si="107"/>
        <v>2.5092368299999999E-4</v>
      </c>
      <c r="DA115" s="273">
        <v>9.4899999999999997E-4</v>
      </c>
      <c r="DB115" s="273">
        <v>5.1000000000000004E-4</v>
      </c>
      <c r="DC115" s="273">
        <f t="shared" si="122"/>
        <v>1.8593923941000002E-2</v>
      </c>
      <c r="DD115" s="273">
        <f t="shared" si="108"/>
        <v>7.6723433970000005E-3</v>
      </c>
      <c r="DE115" s="273">
        <v>2.3499999999999999E-4</v>
      </c>
      <c r="DF115" s="273">
        <v>1.5699999999999999E-4</v>
      </c>
      <c r="DG115" s="273">
        <f t="shared" si="123"/>
        <v>2.4710760590000002E-3</v>
      </c>
      <c r="DH115" s="273">
        <f t="shared" si="109"/>
        <v>1.9176566030000002E-3</v>
      </c>
      <c r="DI115" s="273">
        <v>2.6909999999999998E-3</v>
      </c>
      <c r="DJ115" s="273">
        <v>1.1150000000000001E-3</v>
      </c>
      <c r="DK115" s="273">
        <v>2.3609999999999998E-3</v>
      </c>
      <c r="DL115" s="273">
        <v>8.5400000000000005E-4</v>
      </c>
      <c r="DM115" s="273">
        <f t="shared" si="124"/>
        <v>5.0519999999999992E-3</v>
      </c>
      <c r="DN115" s="273">
        <f t="shared" si="110"/>
        <v>1.9690000000000003E-3</v>
      </c>
      <c r="DO115" s="273">
        <v>1.297E-3</v>
      </c>
      <c r="DP115" s="273">
        <v>1.0610000000000001E-3</v>
      </c>
      <c r="DQ115" s="273">
        <v>1.635E-3</v>
      </c>
      <c r="DR115" s="273">
        <v>2.787E-3</v>
      </c>
      <c r="DS115" s="273">
        <v>5.8282E-2</v>
      </c>
      <c r="DT115" s="273">
        <v>8.7825E-2</v>
      </c>
      <c r="DU115" s="273">
        <v>2.7636999999999998E-2</v>
      </c>
      <c r="DV115" s="273">
        <v>4.5467E-2</v>
      </c>
      <c r="DW115" s="273">
        <v>4.0188000000000001E-2</v>
      </c>
      <c r="DX115" s="273">
        <v>4.0188000000000001E-2</v>
      </c>
      <c r="DY115" s="273">
        <v>3.9108809999999998</v>
      </c>
      <c r="DZ115" s="273">
        <v>2.3215710000000001</v>
      </c>
      <c r="EA115" s="273">
        <v>0.484487</v>
      </c>
      <c r="EB115" s="273">
        <v>0.17233200000000001</v>
      </c>
      <c r="EC115" s="273">
        <v>3.4870000000000001E-3</v>
      </c>
      <c r="ED115" s="273">
        <v>4.8589999999999996E-3</v>
      </c>
      <c r="EE115" s="273"/>
      <c r="EF115" s="274"/>
    </row>
    <row r="116" spans="2:136" s="249" customFormat="1" ht="17.399999999999999">
      <c r="B116" s="286">
        <v>109</v>
      </c>
      <c r="C116" s="273">
        <v>0.84199900000000005</v>
      </c>
      <c r="D116" s="273">
        <v>0.38884299999999999</v>
      </c>
      <c r="E116" s="273">
        <v>2.2599999999999999E-4</v>
      </c>
      <c r="F116" s="273">
        <v>1.5799999999999999E-4</v>
      </c>
      <c r="G116" s="273">
        <v>0.756185</v>
      </c>
      <c r="H116" s="273">
        <v>0.56651099999999999</v>
      </c>
      <c r="I116" s="273">
        <v>0.842225</v>
      </c>
      <c r="J116" s="273">
        <v>0.38900099999999999</v>
      </c>
      <c r="K116" s="273">
        <v>9.3400000000000004E-4</v>
      </c>
      <c r="L116" s="273">
        <v>1.6119999999999999E-3</v>
      </c>
      <c r="M116" s="273">
        <f t="shared" si="111"/>
        <v>2.1159018960000001E-2</v>
      </c>
      <c r="N116" s="273">
        <f t="shared" si="101"/>
        <v>1.2169511129999998E-2</v>
      </c>
      <c r="O116" s="273">
        <f t="shared" si="112"/>
        <v>2.8503752800000002E-3</v>
      </c>
      <c r="P116" s="273">
        <f t="shared" si="113"/>
        <v>3.7462109999999993E-4</v>
      </c>
      <c r="Q116" s="273">
        <v>2.7418000000000001E-2</v>
      </c>
      <c r="R116" s="273">
        <v>1.6029999999999999E-2</v>
      </c>
      <c r="S116" s="273">
        <v>1.111E-3</v>
      </c>
      <c r="T116" s="273">
        <v>2.3369999999999998E-2</v>
      </c>
      <c r="U116" s="273">
        <v>0.10396</v>
      </c>
      <c r="V116" s="273">
        <v>0</v>
      </c>
      <c r="W116" s="273">
        <v>8.0891000000000005E-2</v>
      </c>
      <c r="X116" s="273">
        <v>0.171123</v>
      </c>
      <c r="Y116" s="273">
        <f t="shared" si="114"/>
        <v>2.2178694380000003E-3</v>
      </c>
      <c r="Z116" s="273">
        <f t="shared" si="102"/>
        <v>2.7431016899999998E-3</v>
      </c>
      <c r="AA116" s="273">
        <v>3.7780000000000001E-3</v>
      </c>
      <c r="AB116" s="273">
        <v>1.0189999999999999E-2</v>
      </c>
      <c r="AC116" s="273">
        <f t="shared" si="115"/>
        <v>1.03585204E-4</v>
      </c>
      <c r="AD116" s="273">
        <f t="shared" si="103"/>
        <v>1.6334569999999998E-4</v>
      </c>
      <c r="AE116" s="273">
        <v>1.9413E-2</v>
      </c>
      <c r="AF116" s="273">
        <v>2.7130999999999999E-2</v>
      </c>
      <c r="AG116" s="273">
        <f t="shared" si="116"/>
        <v>5.3226563400000004E-4</v>
      </c>
      <c r="AH116" s="273">
        <f t="shared" si="104"/>
        <v>4.3490992999999995E-4</v>
      </c>
      <c r="AI116" s="273">
        <v>2.0237999999999999E-2</v>
      </c>
      <c r="AJ116" s="273">
        <v>9.0150000000000004E-3</v>
      </c>
      <c r="AK116" s="273">
        <f t="shared" si="117"/>
        <v>5.5488548399999999E-4</v>
      </c>
      <c r="AL116" s="273">
        <f t="shared" si="105"/>
        <v>1.4451045E-4</v>
      </c>
      <c r="AM116" s="273">
        <f t="shared" si="118"/>
        <v>2.6809594580000005E-3</v>
      </c>
      <c r="AN116" s="273">
        <f t="shared" si="119"/>
        <v>1.5510467699999999E-3</v>
      </c>
      <c r="AO116" s="273">
        <v>9.7781000000000007E-2</v>
      </c>
      <c r="AP116" s="273">
        <v>9.6758999999999998E-2</v>
      </c>
      <c r="AQ116" s="273">
        <v>6.6299999999999996E-4</v>
      </c>
      <c r="AR116" s="273">
        <v>4.17E-4</v>
      </c>
      <c r="AS116" s="273">
        <v>2.7900000000000001E-4</v>
      </c>
      <c r="AT116" s="273">
        <v>3.1700000000000001E-4</v>
      </c>
      <c r="AU116" s="273">
        <v>1.781E-3</v>
      </c>
      <c r="AV116" s="273">
        <v>9.3599999999999998E-4</v>
      </c>
      <c r="AW116" s="273">
        <v>3.6999999999999998E-5</v>
      </c>
      <c r="AX116" s="273">
        <v>7.9999999999999996E-6</v>
      </c>
      <c r="AY116" s="273">
        <v>3.1599999999999998E-4</v>
      </c>
      <c r="AZ116" s="273">
        <v>1.6100000000000001E-4</v>
      </c>
      <c r="BA116" s="273">
        <v>5.5400000000000002E-4</v>
      </c>
      <c r="BB116" s="273">
        <v>5.6300000000000002E-4</v>
      </c>
      <c r="BC116" s="273">
        <v>0</v>
      </c>
      <c r="BD116" s="273">
        <v>0</v>
      </c>
      <c r="BE116" s="273">
        <v>1.4E-5</v>
      </c>
      <c r="BF116" s="273">
        <v>1.2999999999999999E-5</v>
      </c>
      <c r="BG116" s="273">
        <v>1.2E-5</v>
      </c>
      <c r="BH116" s="273">
        <v>5.0000000000000004E-6</v>
      </c>
      <c r="BI116" s="273">
        <v>4.3999999999999999E-5</v>
      </c>
      <c r="BJ116" s="273">
        <v>1.8E-5</v>
      </c>
      <c r="BK116" s="273">
        <v>6.7000000000000002E-5</v>
      </c>
      <c r="BL116" s="273">
        <v>1.3100000000000001E-4</v>
      </c>
      <c r="BM116" s="273">
        <v>1.9000000000000001E-4</v>
      </c>
      <c r="BN116" s="273">
        <v>1.9599999999999999E-4</v>
      </c>
      <c r="BO116" s="273">
        <v>8.0400000000000003E-4</v>
      </c>
      <c r="BP116" s="273">
        <v>1.279E-3</v>
      </c>
      <c r="BQ116" s="273">
        <v>1.5969999999999999E-3</v>
      </c>
      <c r="BR116" s="273">
        <v>1.688E-3</v>
      </c>
      <c r="BS116" s="273">
        <v>2.4459999999999998E-3</v>
      </c>
      <c r="BT116" s="273">
        <v>1.2260000000000001E-3</v>
      </c>
      <c r="BU116" s="273">
        <v>1.7128000000000001E-2</v>
      </c>
      <c r="BV116" s="273">
        <v>1.8103999999999999E-2</v>
      </c>
      <c r="BW116" s="273">
        <v>15.778052000000001</v>
      </c>
      <c r="BX116" s="273">
        <v>14.019130000000001</v>
      </c>
      <c r="BY116" s="273">
        <v>1.4095530000000001</v>
      </c>
      <c r="BZ116" s="273">
        <v>0.62010299999999996</v>
      </c>
      <c r="CA116" s="273">
        <v>0.77085700000000001</v>
      </c>
      <c r="CB116" s="273">
        <v>0.441548</v>
      </c>
      <c r="CC116" s="273">
        <v>1.2808E-2</v>
      </c>
      <c r="CD116" s="273">
        <v>6.4200000000000004E-3</v>
      </c>
      <c r="CE116" s="273">
        <v>5.3571000000000001E-2</v>
      </c>
      <c r="CF116" s="273">
        <v>4.1655999999999999E-2</v>
      </c>
      <c r="CG116" s="273">
        <v>7.0432999999999996E-2</v>
      </c>
      <c r="CH116" s="273">
        <v>5.1359000000000002E-2</v>
      </c>
      <c r="CI116" s="273">
        <v>1.8290000000000001E-2</v>
      </c>
      <c r="CJ116" s="273">
        <v>8.3219999999999995E-3</v>
      </c>
      <c r="CK116" s="273">
        <v>1.4270000000000001E-3</v>
      </c>
      <c r="CL116" s="273">
        <v>5.9299999999999999E-4</v>
      </c>
      <c r="CM116" s="273">
        <v>6.2899999999999996E-3</v>
      </c>
      <c r="CN116" s="273">
        <v>2.0739999999999999E-3</v>
      </c>
      <c r="CO116" s="273">
        <v>0.116479</v>
      </c>
      <c r="CP116" s="273">
        <v>8.3901000000000003E-2</v>
      </c>
      <c r="CQ116" s="273">
        <v>1.9880999999999999E-2</v>
      </c>
      <c r="CR116" s="273">
        <v>8.9230000000000004E-3</v>
      </c>
      <c r="CS116" s="273">
        <v>5.8624000000000002E-2</v>
      </c>
      <c r="CT116" s="273">
        <v>0.11204</v>
      </c>
      <c r="CU116" s="273">
        <f t="shared" si="120"/>
        <v>1.1655037440000001E-3</v>
      </c>
      <c r="CV116" s="273">
        <f t="shared" si="106"/>
        <v>9.9973292000000015E-4</v>
      </c>
      <c r="CW116" s="273">
        <v>6.1149999999999998E-3</v>
      </c>
      <c r="CX116" s="273">
        <v>2.8121E-2</v>
      </c>
      <c r="CY116" s="273">
        <f t="shared" si="121"/>
        <v>1.21572315E-4</v>
      </c>
      <c r="CZ116" s="273">
        <f t="shared" si="107"/>
        <v>2.5092368299999999E-4</v>
      </c>
      <c r="DA116" s="273">
        <v>9.4899999999999997E-4</v>
      </c>
      <c r="DB116" s="273">
        <v>5.1000000000000004E-4</v>
      </c>
      <c r="DC116" s="273">
        <f t="shared" si="122"/>
        <v>1.8593923941000002E-2</v>
      </c>
      <c r="DD116" s="273">
        <f t="shared" si="108"/>
        <v>7.6723433970000005E-3</v>
      </c>
      <c r="DE116" s="273">
        <v>2.3499999999999999E-4</v>
      </c>
      <c r="DF116" s="273">
        <v>1.5699999999999999E-4</v>
      </c>
      <c r="DG116" s="273">
        <f t="shared" si="123"/>
        <v>2.4710760590000002E-3</v>
      </c>
      <c r="DH116" s="273">
        <f t="shared" si="109"/>
        <v>1.9176566030000002E-3</v>
      </c>
      <c r="DI116" s="273">
        <v>2.6909999999999998E-3</v>
      </c>
      <c r="DJ116" s="273">
        <v>1.1150000000000001E-3</v>
      </c>
      <c r="DK116" s="273">
        <v>2.3609999999999998E-3</v>
      </c>
      <c r="DL116" s="273">
        <v>8.5400000000000005E-4</v>
      </c>
      <c r="DM116" s="273">
        <f t="shared" si="124"/>
        <v>5.0519999999999992E-3</v>
      </c>
      <c r="DN116" s="273">
        <f t="shared" si="110"/>
        <v>1.9690000000000003E-3</v>
      </c>
      <c r="DO116" s="273">
        <v>1.297E-3</v>
      </c>
      <c r="DP116" s="273">
        <v>1.0610000000000001E-3</v>
      </c>
      <c r="DQ116" s="273">
        <v>1.635E-3</v>
      </c>
      <c r="DR116" s="273">
        <v>2.787E-3</v>
      </c>
      <c r="DS116" s="273">
        <v>5.8282E-2</v>
      </c>
      <c r="DT116" s="273">
        <v>8.7825E-2</v>
      </c>
      <c r="DU116" s="273">
        <v>2.7636999999999998E-2</v>
      </c>
      <c r="DV116" s="273">
        <v>4.5467E-2</v>
      </c>
      <c r="DW116" s="273">
        <v>4.0188000000000001E-2</v>
      </c>
      <c r="DX116" s="273">
        <v>4.0188000000000001E-2</v>
      </c>
      <c r="DY116" s="273">
        <v>3.9108809999999998</v>
      </c>
      <c r="DZ116" s="273">
        <v>2.3215710000000001</v>
      </c>
      <c r="EA116" s="273">
        <v>0.498886</v>
      </c>
      <c r="EB116" s="273">
        <v>0.18138699999999999</v>
      </c>
      <c r="EC116" s="273">
        <v>3.4870000000000001E-3</v>
      </c>
      <c r="ED116" s="273">
        <v>4.8589999999999996E-3</v>
      </c>
      <c r="EE116" s="273"/>
      <c r="EF116" s="274"/>
    </row>
    <row r="117" spans="2:136" s="249" customFormat="1" ht="17.399999999999999">
      <c r="B117" s="286">
        <v>110</v>
      </c>
      <c r="C117" s="273">
        <v>0</v>
      </c>
      <c r="D117" s="273">
        <v>0.40962900000000002</v>
      </c>
      <c r="E117" s="273">
        <v>0</v>
      </c>
      <c r="F117" s="273">
        <v>1.5799999999999999E-4</v>
      </c>
      <c r="G117" s="273">
        <v>1</v>
      </c>
      <c r="H117" s="273">
        <v>0.70217399999999996</v>
      </c>
      <c r="I117" s="273">
        <v>0</v>
      </c>
      <c r="J117" s="273">
        <v>0.40978700000000001</v>
      </c>
      <c r="K117" s="273">
        <v>0</v>
      </c>
      <c r="L117" s="273">
        <v>1.6119999999999999E-3</v>
      </c>
      <c r="M117" s="273">
        <f t="shared" si="111"/>
        <v>0</v>
      </c>
      <c r="N117" s="273">
        <f t="shared" si="101"/>
        <v>1.2172825934999999E-2</v>
      </c>
      <c r="O117" s="273">
        <f t="shared" si="112"/>
        <v>0</v>
      </c>
      <c r="P117" s="273">
        <f t="shared" si="113"/>
        <v>3.7462570500000001E-4</v>
      </c>
      <c r="Q117" s="273"/>
      <c r="R117" s="273">
        <v>1.6035000000000001E-2</v>
      </c>
      <c r="S117" s="273">
        <v>0</v>
      </c>
      <c r="T117" s="273">
        <v>2.3362999999999998E-2</v>
      </c>
      <c r="U117" s="273">
        <v>0</v>
      </c>
      <c r="V117" s="273">
        <v>0</v>
      </c>
      <c r="W117" s="273"/>
      <c r="X117" s="273">
        <v>0.17116200000000001</v>
      </c>
      <c r="Y117" s="273">
        <f t="shared" si="114"/>
        <v>0</v>
      </c>
      <c r="Z117" s="273">
        <f t="shared" si="102"/>
        <v>2.7445826700000001E-3</v>
      </c>
      <c r="AA117" s="273">
        <v>0</v>
      </c>
      <c r="AB117" s="273">
        <v>1.0187999999999999E-2</v>
      </c>
      <c r="AC117" s="273">
        <f t="shared" si="115"/>
        <v>0</v>
      </c>
      <c r="AD117" s="273">
        <f t="shared" si="103"/>
        <v>1.6336458E-4</v>
      </c>
      <c r="AE117" s="273">
        <v>0</v>
      </c>
      <c r="AF117" s="273">
        <v>2.7130999999999999E-2</v>
      </c>
      <c r="AG117" s="273">
        <f t="shared" si="116"/>
        <v>0</v>
      </c>
      <c r="AH117" s="273">
        <f t="shared" si="104"/>
        <v>4.35045585E-4</v>
      </c>
      <c r="AI117" s="273">
        <v>0</v>
      </c>
      <c r="AJ117" s="273">
        <v>9.0150000000000004E-3</v>
      </c>
      <c r="AK117" s="273">
        <f t="shared" si="117"/>
        <v>0</v>
      </c>
      <c r="AL117" s="273">
        <f t="shared" si="105"/>
        <v>1.44555525E-4</v>
      </c>
      <c r="AM117" s="273">
        <f t="shared" si="118"/>
        <v>0</v>
      </c>
      <c r="AN117" s="273">
        <f t="shared" si="119"/>
        <v>1.5515305650000001E-3</v>
      </c>
      <c r="AO117" s="273">
        <v>0</v>
      </c>
      <c r="AP117" s="273">
        <v>9.6758999999999998E-2</v>
      </c>
      <c r="AQ117" s="273">
        <v>0</v>
      </c>
      <c r="AR117" s="273">
        <v>4.17E-4</v>
      </c>
      <c r="AS117" s="273">
        <v>0</v>
      </c>
      <c r="AT117" s="273">
        <v>3.1700000000000001E-4</v>
      </c>
      <c r="AU117" s="273">
        <v>0</v>
      </c>
      <c r="AV117" s="273">
        <v>9.3599999999999998E-4</v>
      </c>
      <c r="AW117" s="273"/>
      <c r="AX117" s="273">
        <v>7.9999999999999996E-6</v>
      </c>
      <c r="AY117" s="273">
        <v>0</v>
      </c>
      <c r="AZ117" s="273">
        <v>1.6100000000000001E-4</v>
      </c>
      <c r="BA117" s="273"/>
      <c r="BB117" s="273"/>
      <c r="BC117" s="273">
        <v>0</v>
      </c>
      <c r="BD117" s="273">
        <v>0</v>
      </c>
      <c r="BE117" s="273">
        <v>0</v>
      </c>
      <c r="BF117" s="273">
        <v>1.2999999999999999E-5</v>
      </c>
      <c r="BG117" s="273">
        <v>0</v>
      </c>
      <c r="BH117" s="273">
        <v>5.0000000000000004E-6</v>
      </c>
      <c r="BI117" s="273">
        <v>0</v>
      </c>
      <c r="BJ117" s="273">
        <v>1.8E-5</v>
      </c>
      <c r="BK117" s="273">
        <v>0</v>
      </c>
      <c r="BL117" s="273">
        <v>1.3100000000000001E-4</v>
      </c>
      <c r="BM117" s="273">
        <v>0</v>
      </c>
      <c r="BN117" s="273">
        <v>1.9599999999999999E-4</v>
      </c>
      <c r="BO117" s="273"/>
      <c r="BP117" s="273">
        <v>1.279E-3</v>
      </c>
      <c r="BQ117" s="273">
        <v>0</v>
      </c>
      <c r="BR117" s="273">
        <v>1.688E-3</v>
      </c>
      <c r="BS117" s="273">
        <v>0</v>
      </c>
      <c r="BT117" s="273">
        <v>1.2260000000000001E-3</v>
      </c>
      <c r="BU117" s="273"/>
      <c r="BV117" s="273">
        <v>1.8103999999999999E-2</v>
      </c>
      <c r="BW117" s="273">
        <v>0</v>
      </c>
      <c r="BX117" s="273">
        <v>14.019130000000001</v>
      </c>
      <c r="BY117" s="273">
        <v>0</v>
      </c>
      <c r="BZ117" s="273">
        <v>0.62010299999999996</v>
      </c>
      <c r="CA117" s="273">
        <v>0</v>
      </c>
      <c r="CB117" s="273">
        <v>0.441548</v>
      </c>
      <c r="CC117" s="273"/>
      <c r="CD117" s="273">
        <v>6.4200000000000004E-3</v>
      </c>
      <c r="CE117" s="273">
        <v>0</v>
      </c>
      <c r="CF117" s="273">
        <v>4.1655999999999999E-2</v>
      </c>
      <c r="CG117" s="273">
        <v>0</v>
      </c>
      <c r="CH117" s="273">
        <v>5.1359000000000002E-2</v>
      </c>
      <c r="CI117" s="273">
        <v>0</v>
      </c>
      <c r="CJ117" s="273">
        <v>8.3219999999999995E-3</v>
      </c>
      <c r="CK117" s="273">
        <v>0</v>
      </c>
      <c r="CL117" s="273">
        <v>5.9299999999999999E-4</v>
      </c>
      <c r="CM117" s="273">
        <v>0</v>
      </c>
      <c r="CN117" s="273">
        <v>2.0739999999999999E-3</v>
      </c>
      <c r="CO117" s="273"/>
      <c r="CP117" s="273">
        <v>8.3901000000000003E-2</v>
      </c>
      <c r="CQ117" s="273">
        <v>0</v>
      </c>
      <c r="CR117" s="273">
        <v>8.9230000000000004E-3</v>
      </c>
      <c r="CS117" s="273">
        <v>0</v>
      </c>
      <c r="CT117" s="273">
        <v>0.11204</v>
      </c>
      <c r="CU117" s="273">
        <f t="shared" si="120"/>
        <v>0</v>
      </c>
      <c r="CV117" s="273">
        <f t="shared" si="106"/>
        <v>9.9973292000000015E-4</v>
      </c>
      <c r="CW117" s="273">
        <v>0</v>
      </c>
      <c r="CX117" s="273">
        <v>2.8121E-2</v>
      </c>
      <c r="CY117" s="273">
        <f t="shared" si="121"/>
        <v>0</v>
      </c>
      <c r="CZ117" s="273">
        <f t="shared" si="107"/>
        <v>2.5092368299999999E-4</v>
      </c>
      <c r="DA117" s="273">
        <v>0</v>
      </c>
      <c r="DB117" s="273">
        <v>5.1000000000000004E-4</v>
      </c>
      <c r="DC117" s="273">
        <f t="shared" si="122"/>
        <v>0</v>
      </c>
      <c r="DD117" s="273">
        <f t="shared" si="108"/>
        <v>7.6723433970000005E-3</v>
      </c>
      <c r="DE117" s="273">
        <v>0</v>
      </c>
      <c r="DF117" s="273">
        <v>1.5699999999999999E-4</v>
      </c>
      <c r="DG117" s="273">
        <f t="shared" si="123"/>
        <v>0</v>
      </c>
      <c r="DH117" s="273">
        <f t="shared" si="109"/>
        <v>1.9176566030000002E-3</v>
      </c>
      <c r="DI117" s="273">
        <v>0</v>
      </c>
      <c r="DJ117" s="273">
        <v>1.1150000000000001E-3</v>
      </c>
      <c r="DK117" s="273"/>
      <c r="DL117" s="273">
        <v>8.5400000000000005E-4</v>
      </c>
      <c r="DM117" s="273">
        <f t="shared" si="124"/>
        <v>0</v>
      </c>
      <c r="DN117" s="273">
        <f t="shared" si="110"/>
        <v>1.9690000000000003E-3</v>
      </c>
      <c r="DO117" s="273"/>
      <c r="DP117" s="273">
        <v>1.0610000000000001E-3</v>
      </c>
      <c r="DQ117" s="273"/>
      <c r="DR117" s="273">
        <v>2.787E-3</v>
      </c>
      <c r="DS117" s="273">
        <v>0</v>
      </c>
      <c r="DT117" s="273">
        <v>8.7825E-2</v>
      </c>
      <c r="DU117" s="273">
        <v>0</v>
      </c>
      <c r="DV117" s="273">
        <v>4.5467E-2</v>
      </c>
      <c r="DW117" s="273"/>
      <c r="DX117" s="273"/>
      <c r="DY117" s="273"/>
      <c r="DZ117" s="273">
        <v>2.3215710000000001</v>
      </c>
      <c r="EA117" s="273">
        <v>0</v>
      </c>
      <c r="EB117" s="273">
        <v>0.19059999999999999</v>
      </c>
      <c r="EC117" s="273"/>
      <c r="ED117" s="273">
        <v>4.8589999999999996E-3</v>
      </c>
      <c r="EE117" s="273"/>
      <c r="EF117" s="274"/>
    </row>
    <row r="118" spans="2:136" s="249" customFormat="1" ht="17.399999999999999">
      <c r="B118" s="286">
        <v>111</v>
      </c>
      <c r="C118" s="273">
        <v>0</v>
      </c>
      <c r="D118" s="273">
        <v>0.43074000000000001</v>
      </c>
      <c r="E118" s="273">
        <v>0</v>
      </c>
      <c r="F118" s="273">
        <v>1.5799999999999999E-4</v>
      </c>
      <c r="G118" s="273">
        <v>0</v>
      </c>
      <c r="H118" s="273">
        <v>0.85166399999999998</v>
      </c>
      <c r="I118" s="273">
        <v>0</v>
      </c>
      <c r="J118" s="273">
        <v>0.430898</v>
      </c>
      <c r="K118" s="273">
        <v>0</v>
      </c>
      <c r="L118" s="273">
        <v>1.6119999999999999E-3</v>
      </c>
      <c r="M118" s="273">
        <f t="shared" si="111"/>
        <v>0</v>
      </c>
      <c r="N118" s="273">
        <f t="shared" si="101"/>
        <v>1.2176680488E-2</v>
      </c>
      <c r="O118" s="273">
        <f t="shared" si="112"/>
        <v>0</v>
      </c>
      <c r="P118" s="273">
        <f t="shared" si="113"/>
        <v>3.7460688399999998E-4</v>
      </c>
      <c r="Q118" s="273"/>
      <c r="R118" s="273">
        <v>1.6039000000000001E-2</v>
      </c>
      <c r="S118" s="273">
        <v>0</v>
      </c>
      <c r="T118" s="273">
        <v>2.3355999999999998E-2</v>
      </c>
      <c r="U118" s="273">
        <v>0</v>
      </c>
      <c r="V118" s="273">
        <v>0</v>
      </c>
      <c r="W118" s="273"/>
      <c r="X118" s="273">
        <v>0.171121</v>
      </c>
      <c r="Y118" s="273">
        <f t="shared" si="114"/>
        <v>0</v>
      </c>
      <c r="Z118" s="273">
        <f t="shared" si="102"/>
        <v>2.744609719E-3</v>
      </c>
      <c r="AA118" s="273">
        <v>0</v>
      </c>
      <c r="AB118" s="273">
        <v>1.0185E-2</v>
      </c>
      <c r="AC118" s="273">
        <f t="shared" si="115"/>
        <v>0</v>
      </c>
      <c r="AD118" s="273">
        <f t="shared" si="103"/>
        <v>1.63357215E-4</v>
      </c>
      <c r="AE118" s="273">
        <v>0</v>
      </c>
      <c r="AF118" s="273">
        <v>2.7130999999999999E-2</v>
      </c>
      <c r="AG118" s="273">
        <f t="shared" si="116"/>
        <v>0</v>
      </c>
      <c r="AH118" s="273">
        <f t="shared" si="104"/>
        <v>4.3515410900000004E-4</v>
      </c>
      <c r="AI118" s="273">
        <v>0</v>
      </c>
      <c r="AJ118" s="273">
        <v>9.0150000000000004E-3</v>
      </c>
      <c r="AK118" s="273">
        <f t="shared" si="117"/>
        <v>0</v>
      </c>
      <c r="AL118" s="273">
        <f t="shared" si="105"/>
        <v>1.4459158500000001E-4</v>
      </c>
      <c r="AM118" s="273">
        <f t="shared" si="118"/>
        <v>0</v>
      </c>
      <c r="AN118" s="273">
        <f t="shared" si="119"/>
        <v>1.5519176010000001E-3</v>
      </c>
      <c r="AO118" s="273">
        <v>0</v>
      </c>
      <c r="AP118" s="273">
        <v>9.6758999999999998E-2</v>
      </c>
      <c r="AQ118" s="273">
        <v>0</v>
      </c>
      <c r="AR118" s="273">
        <v>4.17E-4</v>
      </c>
      <c r="AS118" s="273">
        <v>0</v>
      </c>
      <c r="AT118" s="273">
        <v>3.1700000000000001E-4</v>
      </c>
      <c r="AU118" s="273">
        <v>0</v>
      </c>
      <c r="AV118" s="273">
        <v>9.3599999999999998E-4</v>
      </c>
      <c r="AW118" s="273"/>
      <c r="AX118" s="273">
        <v>7.9999999999999996E-6</v>
      </c>
      <c r="AY118" s="273">
        <v>0</v>
      </c>
      <c r="AZ118" s="273">
        <v>1.6100000000000001E-4</v>
      </c>
      <c r="BA118" s="273"/>
      <c r="BB118" s="273"/>
      <c r="BC118" s="273">
        <v>0</v>
      </c>
      <c r="BD118" s="273">
        <v>0</v>
      </c>
      <c r="BE118" s="273">
        <v>0</v>
      </c>
      <c r="BF118" s="273">
        <v>1.2999999999999999E-5</v>
      </c>
      <c r="BG118" s="273">
        <v>0</v>
      </c>
      <c r="BH118" s="273">
        <v>5.0000000000000004E-6</v>
      </c>
      <c r="BI118" s="273">
        <v>0</v>
      </c>
      <c r="BJ118" s="273">
        <v>1.8E-5</v>
      </c>
      <c r="BK118" s="273">
        <v>0</v>
      </c>
      <c r="BL118" s="273">
        <v>1.3100000000000001E-4</v>
      </c>
      <c r="BM118" s="273">
        <v>0</v>
      </c>
      <c r="BN118" s="273">
        <v>1.9599999999999999E-4</v>
      </c>
      <c r="BO118" s="273"/>
      <c r="BP118" s="273">
        <v>1.279E-3</v>
      </c>
      <c r="BQ118" s="273"/>
      <c r="BR118" s="273">
        <v>1.688E-3</v>
      </c>
      <c r="BS118" s="273">
        <v>0</v>
      </c>
      <c r="BT118" s="273">
        <v>1.2260000000000001E-3</v>
      </c>
      <c r="BU118" s="273"/>
      <c r="BV118" s="273">
        <v>1.8103999999999999E-2</v>
      </c>
      <c r="BW118" s="273">
        <v>0</v>
      </c>
      <c r="BX118" s="273">
        <v>14.019130000000001</v>
      </c>
      <c r="BY118" s="273">
        <v>0</v>
      </c>
      <c r="BZ118" s="273">
        <v>0.62010299999999996</v>
      </c>
      <c r="CA118" s="273">
        <v>0</v>
      </c>
      <c r="CB118" s="273">
        <v>0.441548</v>
      </c>
      <c r="CC118" s="273"/>
      <c r="CD118" s="273">
        <v>6.4200000000000004E-3</v>
      </c>
      <c r="CE118" s="273">
        <v>0</v>
      </c>
      <c r="CF118" s="273">
        <v>4.1655999999999999E-2</v>
      </c>
      <c r="CG118" s="273">
        <v>0</v>
      </c>
      <c r="CH118" s="273">
        <v>5.1359000000000002E-2</v>
      </c>
      <c r="CI118" s="273">
        <v>0</v>
      </c>
      <c r="CJ118" s="273">
        <v>8.3219999999999995E-3</v>
      </c>
      <c r="CK118" s="273">
        <v>0</v>
      </c>
      <c r="CL118" s="273">
        <v>5.9299999999999999E-4</v>
      </c>
      <c r="CM118" s="273">
        <v>0</v>
      </c>
      <c r="CN118" s="273">
        <v>2.0739999999999999E-3</v>
      </c>
      <c r="CO118" s="273"/>
      <c r="CP118" s="273">
        <v>8.3901000000000003E-2</v>
      </c>
      <c r="CQ118" s="273">
        <v>0</v>
      </c>
      <c r="CR118" s="273">
        <v>8.9230000000000004E-3</v>
      </c>
      <c r="CS118" s="273">
        <v>0</v>
      </c>
      <c r="CT118" s="273">
        <v>0.11204</v>
      </c>
      <c r="CU118" s="273">
        <f t="shared" si="120"/>
        <v>0</v>
      </c>
      <c r="CV118" s="273">
        <f t="shared" si="106"/>
        <v>9.9973292000000015E-4</v>
      </c>
      <c r="CW118" s="273">
        <v>0</v>
      </c>
      <c r="CX118" s="273">
        <v>2.8121E-2</v>
      </c>
      <c r="CY118" s="273">
        <f t="shared" si="121"/>
        <v>0</v>
      </c>
      <c r="CZ118" s="273">
        <f t="shared" si="107"/>
        <v>2.5092368299999999E-4</v>
      </c>
      <c r="DA118" s="273">
        <v>0</v>
      </c>
      <c r="DB118" s="273">
        <v>5.1000000000000004E-4</v>
      </c>
      <c r="DC118" s="273">
        <f t="shared" si="122"/>
        <v>0</v>
      </c>
      <c r="DD118" s="273">
        <f t="shared" si="108"/>
        <v>7.6723433970000005E-3</v>
      </c>
      <c r="DE118" s="273">
        <v>0</v>
      </c>
      <c r="DF118" s="273">
        <v>1.5699999999999999E-4</v>
      </c>
      <c r="DG118" s="273">
        <f t="shared" si="123"/>
        <v>0</v>
      </c>
      <c r="DH118" s="273">
        <f t="shared" si="109"/>
        <v>1.9176566030000002E-3</v>
      </c>
      <c r="DI118" s="273">
        <v>0</v>
      </c>
      <c r="DJ118" s="273">
        <v>1.1150000000000001E-3</v>
      </c>
      <c r="DK118" s="273"/>
      <c r="DL118" s="273">
        <v>8.5400000000000005E-4</v>
      </c>
      <c r="DM118" s="273">
        <f t="shared" si="124"/>
        <v>0</v>
      </c>
      <c r="DN118" s="273">
        <f t="shared" si="110"/>
        <v>1.9690000000000003E-3</v>
      </c>
      <c r="DO118" s="273"/>
      <c r="DP118" s="273">
        <v>1.0610000000000001E-3</v>
      </c>
      <c r="DQ118" s="273"/>
      <c r="DR118" s="273">
        <v>2.787E-3</v>
      </c>
      <c r="DS118" s="273">
        <v>0</v>
      </c>
      <c r="DT118" s="273">
        <v>8.7825E-2</v>
      </c>
      <c r="DU118" s="273">
        <v>0</v>
      </c>
      <c r="DV118" s="273">
        <v>4.5467E-2</v>
      </c>
      <c r="DW118" s="273"/>
      <c r="DX118" s="273"/>
      <c r="DY118" s="273"/>
      <c r="DZ118" s="273">
        <v>2.3215710000000001</v>
      </c>
      <c r="EA118" s="273">
        <v>0</v>
      </c>
      <c r="EB118" s="273">
        <v>0.19994100000000001</v>
      </c>
      <c r="EC118" s="273"/>
      <c r="ED118" s="273">
        <v>4.8589999999999996E-3</v>
      </c>
      <c r="EE118" s="273"/>
      <c r="EF118" s="274"/>
    </row>
    <row r="119" spans="2:136" s="73" customFormat="1" ht="18" thickBot="1">
      <c r="B119" s="288">
        <v>112</v>
      </c>
      <c r="C119" s="277">
        <v>0</v>
      </c>
      <c r="D119" s="278">
        <v>0</v>
      </c>
      <c r="E119" s="277"/>
      <c r="F119" s="278"/>
      <c r="G119" s="278">
        <v>0</v>
      </c>
      <c r="H119" s="278">
        <v>1</v>
      </c>
      <c r="I119" s="278">
        <v>0</v>
      </c>
      <c r="J119" s="278">
        <v>0</v>
      </c>
      <c r="K119" s="278"/>
      <c r="L119" s="278"/>
      <c r="M119" s="278">
        <f t="shared" si="111"/>
        <v>0</v>
      </c>
      <c r="N119" s="278">
        <f t="shared" si="101"/>
        <v>0</v>
      </c>
      <c r="O119" s="278">
        <f t="shared" si="112"/>
        <v>0</v>
      </c>
      <c r="P119" s="278">
        <f t="shared" si="113"/>
        <v>0</v>
      </c>
      <c r="Q119" s="278"/>
      <c r="R119" s="278"/>
      <c r="S119" s="277"/>
      <c r="T119" s="277"/>
      <c r="U119" s="277">
        <v>0</v>
      </c>
      <c r="V119" s="277">
        <v>0</v>
      </c>
      <c r="W119" s="277"/>
      <c r="X119" s="277"/>
      <c r="Y119" s="277">
        <f t="shared" ref="Y119" si="125">W119*S119</f>
        <v>0</v>
      </c>
      <c r="Z119" s="277">
        <f t="shared" ref="Z119" si="126">X119*T119</f>
        <v>0</v>
      </c>
      <c r="AA119" s="277">
        <v>0</v>
      </c>
      <c r="AB119" s="277">
        <v>0</v>
      </c>
      <c r="AC119" s="277">
        <f t="shared" si="115"/>
        <v>0</v>
      </c>
      <c r="AD119" s="277">
        <f t="shared" si="103"/>
        <v>0</v>
      </c>
      <c r="AE119" s="277">
        <v>0</v>
      </c>
      <c r="AF119" s="277">
        <v>0</v>
      </c>
      <c r="AG119" s="277">
        <f t="shared" si="116"/>
        <v>0</v>
      </c>
      <c r="AH119" s="277">
        <f t="shared" si="104"/>
        <v>0</v>
      </c>
      <c r="AI119" s="277">
        <v>0</v>
      </c>
      <c r="AJ119" s="277">
        <v>0</v>
      </c>
      <c r="AK119" s="277">
        <f t="shared" si="117"/>
        <v>0</v>
      </c>
      <c r="AL119" s="277">
        <f t="shared" si="105"/>
        <v>0</v>
      </c>
      <c r="AM119" s="277">
        <f t="shared" si="118"/>
        <v>0</v>
      </c>
      <c r="AN119" s="277">
        <f t="shared" si="119"/>
        <v>0</v>
      </c>
      <c r="AO119" s="277"/>
      <c r="AP119" s="277"/>
      <c r="AQ119" s="277">
        <v>0</v>
      </c>
      <c r="AR119" s="277">
        <v>0</v>
      </c>
      <c r="AS119" s="277">
        <v>0</v>
      </c>
      <c r="AT119" s="277">
        <v>0</v>
      </c>
      <c r="AU119" s="277">
        <v>0</v>
      </c>
      <c r="AV119" s="277">
        <v>0</v>
      </c>
      <c r="AW119" s="277"/>
      <c r="AX119" s="277"/>
      <c r="AY119" s="277">
        <v>0</v>
      </c>
      <c r="AZ119" s="277">
        <v>0</v>
      </c>
      <c r="BA119" s="277"/>
      <c r="BB119" s="277"/>
      <c r="BC119" s="277"/>
      <c r="BD119" s="277"/>
      <c r="BE119" s="277"/>
      <c r="BF119" s="277"/>
      <c r="BG119" s="277">
        <v>0</v>
      </c>
      <c r="BH119" s="277">
        <v>0</v>
      </c>
      <c r="BI119" s="277">
        <v>0</v>
      </c>
      <c r="BJ119" s="277">
        <v>0</v>
      </c>
      <c r="BK119" s="277">
        <v>0</v>
      </c>
      <c r="BL119" s="277">
        <v>0</v>
      </c>
      <c r="BM119" s="277">
        <v>0</v>
      </c>
      <c r="BN119" s="277">
        <v>0</v>
      </c>
      <c r="BO119" s="277"/>
      <c r="BP119" s="277"/>
      <c r="BQ119" s="277"/>
      <c r="BR119" s="277">
        <v>0</v>
      </c>
      <c r="BS119" s="277"/>
      <c r="BT119" s="277"/>
      <c r="BU119" s="277"/>
      <c r="BV119" s="277"/>
      <c r="BW119" s="277">
        <v>0</v>
      </c>
      <c r="BX119" s="277">
        <v>0</v>
      </c>
      <c r="BY119" s="277">
        <v>0</v>
      </c>
      <c r="BZ119" s="277">
        <v>0</v>
      </c>
      <c r="CA119" s="277">
        <v>0</v>
      </c>
      <c r="CB119" s="277">
        <v>0</v>
      </c>
      <c r="CC119" s="277"/>
      <c r="CD119" s="277"/>
      <c r="CE119" s="277"/>
      <c r="CF119" s="277"/>
      <c r="CG119" s="277"/>
      <c r="CH119" s="277"/>
      <c r="CI119" s="277"/>
      <c r="CJ119" s="277"/>
      <c r="CK119" s="277">
        <v>0</v>
      </c>
      <c r="CL119" s="277">
        <v>0</v>
      </c>
      <c r="CM119" s="277">
        <v>0</v>
      </c>
      <c r="CN119" s="277">
        <v>0</v>
      </c>
      <c r="CO119" s="277">
        <f t="shared" ref="CO119" si="127">CE119+CG119+CI119+CK119+CM119</f>
        <v>0</v>
      </c>
      <c r="CP119" s="277">
        <f t="shared" ref="CP119" si="128">CF119+CH119+CJ119+CL119+CN119</f>
        <v>0</v>
      </c>
      <c r="CQ119" s="277"/>
      <c r="CR119" s="277"/>
      <c r="CS119" s="277"/>
      <c r="CT119" s="277"/>
      <c r="CU119" s="277">
        <f t="shared" si="120"/>
        <v>0</v>
      </c>
      <c r="CV119" s="277">
        <f t="shared" si="106"/>
        <v>0</v>
      </c>
      <c r="CW119" s="277"/>
      <c r="CX119" s="277"/>
      <c r="CY119" s="277">
        <f t="shared" si="121"/>
        <v>0</v>
      </c>
      <c r="CZ119" s="277">
        <f t="shared" si="107"/>
        <v>0</v>
      </c>
      <c r="DA119" s="277"/>
      <c r="DB119" s="277"/>
      <c r="DC119" s="277">
        <f t="shared" si="122"/>
        <v>0</v>
      </c>
      <c r="DD119" s="277">
        <f t="shared" si="108"/>
        <v>0</v>
      </c>
      <c r="DE119" s="277"/>
      <c r="DF119" s="277"/>
      <c r="DG119" s="277">
        <f t="shared" si="123"/>
        <v>0</v>
      </c>
      <c r="DH119" s="277">
        <f t="shared" si="109"/>
        <v>0</v>
      </c>
      <c r="DI119" s="277"/>
      <c r="DJ119" s="277"/>
      <c r="DK119" s="277"/>
      <c r="DL119" s="277"/>
      <c r="DM119" s="277">
        <f t="shared" si="124"/>
        <v>0</v>
      </c>
      <c r="DN119" s="277">
        <f t="shared" si="110"/>
        <v>0</v>
      </c>
      <c r="DO119" s="277"/>
      <c r="DP119" s="277"/>
      <c r="DQ119" s="277"/>
      <c r="DR119" s="277"/>
      <c r="DS119" s="277">
        <v>0</v>
      </c>
      <c r="DT119" s="277">
        <v>0</v>
      </c>
      <c r="DU119" s="277">
        <v>0</v>
      </c>
      <c r="DV119" s="277">
        <v>0</v>
      </c>
      <c r="DW119" s="277"/>
      <c r="DX119" s="277"/>
      <c r="DY119" s="277"/>
      <c r="DZ119" s="277"/>
      <c r="EA119" s="277">
        <v>0</v>
      </c>
      <c r="EB119" s="277">
        <v>0</v>
      </c>
      <c r="EC119" s="279"/>
      <c r="ED119" s="279"/>
      <c r="EE119" s="280"/>
      <c r="EF119" s="281"/>
    </row>
    <row r="120" spans="2:136">
      <c r="B120" s="48"/>
      <c r="C120" s="48"/>
      <c r="D120" s="48"/>
      <c r="E120" s="48"/>
      <c r="F120" s="48"/>
      <c r="G120" s="48">
        <v>0</v>
      </c>
      <c r="H120" s="48">
        <v>0</v>
      </c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8"/>
      <c r="AQ120" s="48">
        <v>0</v>
      </c>
      <c r="AR120" s="48">
        <v>0</v>
      </c>
      <c r="AS120" s="48">
        <v>0</v>
      </c>
      <c r="AT120" s="48">
        <v>0</v>
      </c>
      <c r="AU120" s="48"/>
      <c r="AV120" s="48"/>
      <c r="AW120" s="48"/>
      <c r="AX120" s="48"/>
      <c r="AY120" s="48"/>
      <c r="AZ120" s="48"/>
      <c r="BA120" s="48"/>
      <c r="BB120" s="48"/>
      <c r="BC120" s="48"/>
      <c r="BD120" s="48"/>
      <c r="BE120" s="48"/>
      <c r="BF120" s="48"/>
      <c r="BG120" s="48"/>
      <c r="BH120" s="48"/>
      <c r="BI120" s="48"/>
      <c r="BJ120" s="48"/>
      <c r="BK120" s="48"/>
      <c r="BL120" s="48"/>
      <c r="BM120" s="48"/>
      <c r="BN120" s="48"/>
      <c r="BO120" s="48"/>
      <c r="BP120" s="48"/>
      <c r="BQ120" s="48"/>
      <c r="BR120" s="48"/>
    </row>
    <row r="121" spans="2:136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  <c r="AX121" s="48"/>
      <c r="AY121" s="48"/>
      <c r="AZ121" s="48"/>
      <c r="BA121" s="48"/>
      <c r="BB121" s="48"/>
      <c r="BC121" s="48"/>
      <c r="BD121" s="48"/>
      <c r="BE121" s="48"/>
      <c r="BF121" s="48"/>
      <c r="BG121" s="48"/>
      <c r="BH121" s="48"/>
      <c r="BI121" s="48"/>
      <c r="BJ121" s="48"/>
      <c r="BK121" s="48"/>
      <c r="BL121" s="48"/>
      <c r="BM121" s="48"/>
      <c r="BN121" s="48"/>
      <c r="BO121" s="48"/>
      <c r="BP121" s="48"/>
      <c r="BQ121" s="48"/>
      <c r="BR121" s="48"/>
    </row>
  </sheetData>
  <mergeCells count="67">
    <mergeCell ref="O4:P4"/>
    <mergeCell ref="Y4:Z4"/>
    <mergeCell ref="AC4:AD4"/>
    <mergeCell ref="AG4:AH4"/>
    <mergeCell ref="AK4:AL4"/>
    <mergeCell ref="DW4:DX4"/>
    <mergeCell ref="DY4:DZ4"/>
    <mergeCell ref="EA4:EB4"/>
    <mergeCell ref="C4:D4"/>
    <mergeCell ref="E4:F4"/>
    <mergeCell ref="I4:J4"/>
    <mergeCell ref="K4:L4"/>
    <mergeCell ref="M4:N4"/>
    <mergeCell ref="Q4:R4"/>
    <mergeCell ref="S4:T4"/>
    <mergeCell ref="U4:V4"/>
    <mergeCell ref="W4:X4"/>
    <mergeCell ref="AA4:AB4"/>
    <mergeCell ref="AE4:AF4"/>
    <mergeCell ref="AI4:AJ4"/>
    <mergeCell ref="AO4:AP4"/>
    <mergeCell ref="CI4:CJ4"/>
    <mergeCell ref="CK4:CL4"/>
    <mergeCell ref="CM4:CN4"/>
    <mergeCell ref="CQ4:CR4"/>
    <mergeCell ref="CS4:CT4"/>
    <mergeCell ref="CO4:CP4"/>
    <mergeCell ref="BS4:BT4"/>
    <mergeCell ref="CG4:CH4"/>
    <mergeCell ref="BY4:BZ4"/>
    <mergeCell ref="CC4:CD4"/>
    <mergeCell ref="CE4:CF4"/>
    <mergeCell ref="BU4:BV4"/>
    <mergeCell ref="BW4:BX4"/>
    <mergeCell ref="CA4:CB4"/>
    <mergeCell ref="G4:H4"/>
    <mergeCell ref="BK4:BL4"/>
    <mergeCell ref="BM4:BN4"/>
    <mergeCell ref="BO4:BP4"/>
    <mergeCell ref="BQ4:BR4"/>
    <mergeCell ref="AQ4:AR4"/>
    <mergeCell ref="AS4:AT4"/>
    <mergeCell ref="AU4:AV4"/>
    <mergeCell ref="AW4:AX4"/>
    <mergeCell ref="AY4:AZ4"/>
    <mergeCell ref="BA4:BB4"/>
    <mergeCell ref="BI4:BJ4"/>
    <mergeCell ref="BC4:BD4"/>
    <mergeCell ref="BE4:BF4"/>
    <mergeCell ref="BG4:BH4"/>
    <mergeCell ref="AM4:AN4"/>
    <mergeCell ref="CU4:CV4"/>
    <mergeCell ref="CY4:CZ4"/>
    <mergeCell ref="DG4:DH4"/>
    <mergeCell ref="DM4:DN4"/>
    <mergeCell ref="EF1:EF2"/>
    <mergeCell ref="DI4:DJ4"/>
    <mergeCell ref="EC4:ED4"/>
    <mergeCell ref="CW4:CX4"/>
    <mergeCell ref="DA4:DB4"/>
    <mergeCell ref="DE4:DF4"/>
    <mergeCell ref="DK4:DL4"/>
    <mergeCell ref="DO4:DP4"/>
    <mergeCell ref="DC4:DD4"/>
    <mergeCell ref="DS4:DT4"/>
    <mergeCell ref="DQ4:DR4"/>
    <mergeCell ref="DU4:DV4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50520-732B-400D-829D-EC9D2B57F4CC}">
  <sheetPr codeName="Sheet1"/>
  <dimension ref="B3:G65"/>
  <sheetViews>
    <sheetView workbookViewId="0">
      <selection activeCell="D10" sqref="D10:D11"/>
    </sheetView>
  </sheetViews>
  <sheetFormatPr defaultRowHeight="17.399999999999999"/>
  <cols>
    <col min="3" max="3" width="14.69921875" customWidth="1"/>
    <col min="4" max="4" width="83.3984375" customWidth="1"/>
    <col min="5" max="5" width="34.5" bestFit="1" customWidth="1"/>
    <col min="6" max="6" width="11.59765625" bestFit="1" customWidth="1"/>
    <col min="7" max="7" width="10.19921875" bestFit="1" customWidth="1"/>
  </cols>
  <sheetData>
    <row r="3" spans="3:7">
      <c r="C3" t="s">
        <v>655</v>
      </c>
      <c r="D3" t="s">
        <v>656</v>
      </c>
      <c r="E3" t="s">
        <v>657</v>
      </c>
      <c r="F3" t="s">
        <v>658</v>
      </c>
    </row>
    <row r="4" spans="3:7">
      <c r="C4" t="s">
        <v>599</v>
      </c>
      <c r="D4" t="s">
        <v>659</v>
      </c>
      <c r="E4" t="s">
        <v>660</v>
      </c>
      <c r="F4" t="s">
        <v>661</v>
      </c>
    </row>
    <row r="5" spans="3:7">
      <c r="C5" t="s">
        <v>600</v>
      </c>
      <c r="D5" t="s">
        <v>662</v>
      </c>
      <c r="E5" t="s">
        <v>660</v>
      </c>
      <c r="F5" t="s">
        <v>661</v>
      </c>
    </row>
    <row r="6" spans="3:7">
      <c r="C6" t="s">
        <v>663</v>
      </c>
      <c r="D6" t="s">
        <v>664</v>
      </c>
      <c r="E6" t="s">
        <v>665</v>
      </c>
      <c r="F6" t="s">
        <v>666</v>
      </c>
    </row>
    <row r="7" spans="3:7">
      <c r="C7" s="375" t="s">
        <v>601</v>
      </c>
      <c r="D7" s="375" t="s">
        <v>667</v>
      </c>
      <c r="E7" s="375" t="s">
        <v>668</v>
      </c>
      <c r="F7" s="375" t="s">
        <v>669</v>
      </c>
    </row>
    <row r="8" spans="3:7">
      <c r="C8" t="s">
        <v>670</v>
      </c>
      <c r="D8" t="s">
        <v>671</v>
      </c>
      <c r="E8" s="13" t="s">
        <v>672</v>
      </c>
      <c r="F8" t="s">
        <v>673</v>
      </c>
    </row>
    <row r="9" spans="3:7">
      <c r="C9" t="s">
        <v>674</v>
      </c>
      <c r="D9" t="s">
        <v>675</v>
      </c>
      <c r="E9" s="14" t="s">
        <v>676</v>
      </c>
      <c r="F9" t="s">
        <v>677</v>
      </c>
      <c r="G9" s="375"/>
    </row>
    <row r="10" spans="3:7">
      <c r="C10" t="s">
        <v>678</v>
      </c>
      <c r="D10" t="s">
        <v>679</v>
      </c>
      <c r="E10" s="14" t="s">
        <v>680</v>
      </c>
      <c r="F10" t="s">
        <v>681</v>
      </c>
    </row>
    <row r="11" spans="3:7">
      <c r="C11" t="s">
        <v>682</v>
      </c>
      <c r="D11" t="s">
        <v>683</v>
      </c>
      <c r="E11" s="14" t="s">
        <v>684</v>
      </c>
      <c r="F11" t="s">
        <v>685</v>
      </c>
    </row>
    <row r="12" spans="3:7">
      <c r="C12" t="s">
        <v>686</v>
      </c>
      <c r="D12" t="s">
        <v>687</v>
      </c>
      <c r="E12" s="14" t="s">
        <v>688</v>
      </c>
      <c r="F12" t="s">
        <v>666</v>
      </c>
    </row>
    <row r="13" spans="3:7">
      <c r="C13" t="s">
        <v>689</v>
      </c>
      <c r="D13" t="s">
        <v>690</v>
      </c>
      <c r="E13" s="14" t="s">
        <v>691</v>
      </c>
      <c r="F13" t="s">
        <v>692</v>
      </c>
    </row>
    <row r="14" spans="3:7">
      <c r="C14" t="s">
        <v>693</v>
      </c>
      <c r="D14" t="s">
        <v>694</v>
      </c>
      <c r="E14" s="14" t="s">
        <v>695</v>
      </c>
      <c r="F14" t="s">
        <v>692</v>
      </c>
    </row>
    <row r="15" spans="3:7">
      <c r="C15" t="s">
        <v>696</v>
      </c>
      <c r="D15" t="s">
        <v>697</v>
      </c>
      <c r="E15" t="s">
        <v>676</v>
      </c>
      <c r="F15" t="s">
        <v>698</v>
      </c>
    </row>
    <row r="16" spans="3:7">
      <c r="C16" t="s">
        <v>699</v>
      </c>
      <c r="D16" t="s">
        <v>700</v>
      </c>
      <c r="E16" s="14" t="s">
        <v>660</v>
      </c>
      <c r="F16" t="s">
        <v>661</v>
      </c>
    </row>
    <row r="17" spans="3:7">
      <c r="C17" t="s">
        <v>701</v>
      </c>
      <c r="D17" t="s">
        <v>702</v>
      </c>
      <c r="E17" s="14" t="s">
        <v>660</v>
      </c>
      <c r="F17" t="s">
        <v>661</v>
      </c>
    </row>
    <row r="18" spans="3:7">
      <c r="C18" t="s">
        <v>602</v>
      </c>
      <c r="D18" t="s">
        <v>703</v>
      </c>
      <c r="E18" s="14" t="s">
        <v>704</v>
      </c>
      <c r="F18" t="s">
        <v>677</v>
      </c>
    </row>
    <row r="19" spans="3:7">
      <c r="C19" s="375" t="s">
        <v>603</v>
      </c>
      <c r="D19" s="375" t="s">
        <v>705</v>
      </c>
      <c r="E19" s="375" t="s">
        <v>706</v>
      </c>
      <c r="F19" s="375" t="s">
        <v>707</v>
      </c>
    </row>
    <row r="20" spans="3:7">
      <c r="C20" t="s">
        <v>604</v>
      </c>
      <c r="D20" t="s">
        <v>708</v>
      </c>
      <c r="E20" s="14" t="s">
        <v>709</v>
      </c>
      <c r="F20" t="s">
        <v>710</v>
      </c>
    </row>
    <row r="21" spans="3:7">
      <c r="C21" s="375" t="s">
        <v>605</v>
      </c>
      <c r="D21" s="375" t="s">
        <v>711</v>
      </c>
      <c r="E21" s="375" t="s">
        <v>712</v>
      </c>
      <c r="F21" s="375" t="s">
        <v>713</v>
      </c>
      <c r="G21" s="375"/>
    </row>
    <row r="22" spans="3:7">
      <c r="C22" t="s">
        <v>606</v>
      </c>
      <c r="D22" t="s">
        <v>714</v>
      </c>
      <c r="E22" s="14" t="s">
        <v>715</v>
      </c>
      <c r="F22" t="s">
        <v>716</v>
      </c>
    </row>
    <row r="23" spans="3:7">
      <c r="C23" t="s">
        <v>717</v>
      </c>
      <c r="D23" t="s">
        <v>718</v>
      </c>
      <c r="E23" s="14" t="s">
        <v>719</v>
      </c>
      <c r="F23" t="s">
        <v>720</v>
      </c>
      <c r="G23" s="375"/>
    </row>
    <row r="24" spans="3:7">
      <c r="C24" t="s">
        <v>721</v>
      </c>
      <c r="D24" t="s">
        <v>722</v>
      </c>
      <c r="E24" s="14" t="s">
        <v>723</v>
      </c>
      <c r="F24" t="s">
        <v>724</v>
      </c>
    </row>
    <row r="25" spans="3:7">
      <c r="C25" t="s">
        <v>725</v>
      </c>
      <c r="D25" t="s">
        <v>726</v>
      </c>
      <c r="E25" s="14" t="s">
        <v>727</v>
      </c>
      <c r="F25" t="s">
        <v>728</v>
      </c>
    </row>
    <row r="26" spans="3:7">
      <c r="C26" t="s">
        <v>729</v>
      </c>
      <c r="D26" t="s">
        <v>730</v>
      </c>
      <c r="E26" s="14" t="s">
        <v>731</v>
      </c>
      <c r="F26" t="s">
        <v>732</v>
      </c>
    </row>
    <row r="27" spans="3:7">
      <c r="C27" t="s">
        <v>733</v>
      </c>
      <c r="D27" t="s">
        <v>734</v>
      </c>
      <c r="E27" s="14" t="s">
        <v>735</v>
      </c>
      <c r="F27" t="s">
        <v>720</v>
      </c>
    </row>
    <row r="28" spans="3:7">
      <c r="C28" s="375" t="s">
        <v>613</v>
      </c>
      <c r="D28" s="375" t="s">
        <v>736</v>
      </c>
      <c r="E28" s="375" t="s">
        <v>737</v>
      </c>
      <c r="F28" s="375" t="s">
        <v>738</v>
      </c>
    </row>
    <row r="29" spans="3:7">
      <c r="C29" t="s">
        <v>739</v>
      </c>
      <c r="D29" t="s">
        <v>740</v>
      </c>
      <c r="E29" t="s">
        <v>660</v>
      </c>
      <c r="F29" t="s">
        <v>661</v>
      </c>
    </row>
    <row r="30" spans="3:7">
      <c r="C30" t="s">
        <v>741</v>
      </c>
      <c r="D30" t="s">
        <v>742</v>
      </c>
      <c r="E30" t="s">
        <v>660</v>
      </c>
      <c r="F30" t="s">
        <v>661</v>
      </c>
      <c r="G30" s="375"/>
    </row>
    <row r="31" spans="3:7">
      <c r="C31" s="395" t="s">
        <v>619</v>
      </c>
      <c r="D31" s="395" t="s">
        <v>925</v>
      </c>
      <c r="E31" s="395" t="s">
        <v>926</v>
      </c>
      <c r="F31" s="395" t="s">
        <v>927</v>
      </c>
    </row>
    <row r="32" spans="3:7">
      <c r="C32" s="14" t="s">
        <v>743</v>
      </c>
      <c r="D32" t="s">
        <v>744</v>
      </c>
      <c r="E32" t="s">
        <v>745</v>
      </c>
      <c r="F32" t="s">
        <v>720</v>
      </c>
    </row>
    <row r="33" spans="3:7">
      <c r="C33" s="14" t="s">
        <v>746</v>
      </c>
      <c r="D33" t="s">
        <v>747</v>
      </c>
      <c r="E33" t="s">
        <v>745</v>
      </c>
      <c r="F33" t="s">
        <v>720</v>
      </c>
      <c r="G33" s="375"/>
    </row>
    <row r="34" spans="3:7">
      <c r="C34" s="14" t="s">
        <v>748</v>
      </c>
      <c r="D34" t="s">
        <v>749</v>
      </c>
      <c r="E34" t="s">
        <v>745</v>
      </c>
      <c r="F34" t="s">
        <v>720</v>
      </c>
    </row>
    <row r="35" spans="3:7">
      <c r="C35" s="395" t="s">
        <v>750</v>
      </c>
      <c r="D35" s="395" t="s">
        <v>928</v>
      </c>
      <c r="E35" s="395" t="s">
        <v>926</v>
      </c>
      <c r="F35" s="395" t="s">
        <v>927</v>
      </c>
    </row>
    <row r="36" spans="3:7">
      <c r="C36" s="14" t="s">
        <v>751</v>
      </c>
      <c r="D36" t="s">
        <v>752</v>
      </c>
      <c r="E36" t="s">
        <v>753</v>
      </c>
      <c r="F36" t="s">
        <v>677</v>
      </c>
    </row>
    <row r="37" spans="3:7">
      <c r="C37" s="14" t="s">
        <v>628</v>
      </c>
      <c r="D37" t="s">
        <v>754</v>
      </c>
      <c r="E37" t="s">
        <v>753</v>
      </c>
      <c r="F37" t="s">
        <v>677</v>
      </c>
      <c r="G37" s="375"/>
    </row>
    <row r="38" spans="3:7">
      <c r="C38" s="14" t="s">
        <v>629</v>
      </c>
      <c r="D38" t="s">
        <v>755</v>
      </c>
      <c r="E38" t="s">
        <v>753</v>
      </c>
      <c r="F38" t="s">
        <v>677</v>
      </c>
    </row>
    <row r="39" spans="3:7">
      <c r="C39" s="14" t="s">
        <v>630</v>
      </c>
      <c r="D39" t="s">
        <v>756</v>
      </c>
      <c r="E39" t="s">
        <v>753</v>
      </c>
      <c r="F39" t="s">
        <v>677</v>
      </c>
    </row>
    <row r="40" spans="3:7">
      <c r="C40" s="14" t="s">
        <v>631</v>
      </c>
      <c r="D40" t="s">
        <v>757</v>
      </c>
      <c r="E40" t="s">
        <v>753</v>
      </c>
      <c r="F40" t="s">
        <v>677</v>
      </c>
    </row>
    <row r="41" spans="3:7">
      <c r="C41" t="s">
        <v>758</v>
      </c>
      <c r="D41" t="s">
        <v>759</v>
      </c>
      <c r="E41" t="s">
        <v>760</v>
      </c>
      <c r="F41" t="s">
        <v>677</v>
      </c>
    </row>
    <row r="42" spans="3:7">
      <c r="C42" t="s">
        <v>761</v>
      </c>
      <c r="D42" t="s">
        <v>762</v>
      </c>
      <c r="E42" t="s">
        <v>763</v>
      </c>
      <c r="F42" t="s">
        <v>764</v>
      </c>
    </row>
    <row r="43" spans="3:7">
      <c r="C43" t="s">
        <v>765</v>
      </c>
      <c r="D43" t="s">
        <v>766</v>
      </c>
      <c r="E43" t="s">
        <v>767</v>
      </c>
      <c r="F43" t="s">
        <v>724</v>
      </c>
    </row>
    <row r="44" spans="3:7">
      <c r="C44" t="s">
        <v>768</v>
      </c>
      <c r="D44" t="s">
        <v>769</v>
      </c>
      <c r="E44" t="s">
        <v>660</v>
      </c>
      <c r="F44" t="s">
        <v>661</v>
      </c>
    </row>
    <row r="45" spans="3:7">
      <c r="C45" t="s">
        <v>770</v>
      </c>
      <c r="D45" t="s">
        <v>771</v>
      </c>
      <c r="E45" t="s">
        <v>660</v>
      </c>
      <c r="F45" t="s">
        <v>661</v>
      </c>
    </row>
    <row r="46" spans="3:7">
      <c r="C46" t="s">
        <v>772</v>
      </c>
      <c r="D46" t="s">
        <v>773</v>
      </c>
      <c r="E46" t="s">
        <v>735</v>
      </c>
      <c r="F46" t="s">
        <v>720</v>
      </c>
    </row>
    <row r="47" spans="3:7">
      <c r="C47" s="375" t="s">
        <v>640</v>
      </c>
      <c r="D47" s="375" t="s">
        <v>774</v>
      </c>
      <c r="E47" s="375" t="s">
        <v>775</v>
      </c>
      <c r="F47" s="375" t="s">
        <v>776</v>
      </c>
    </row>
    <row r="48" spans="3:7">
      <c r="C48" s="375" t="s">
        <v>642</v>
      </c>
      <c r="D48" s="375" t="s">
        <v>777</v>
      </c>
      <c r="E48" s="375" t="s">
        <v>929</v>
      </c>
      <c r="F48" s="375" t="s">
        <v>778</v>
      </c>
    </row>
    <row r="49" spans="2:7">
      <c r="C49" s="375" t="s">
        <v>643</v>
      </c>
      <c r="D49" s="375" t="s">
        <v>779</v>
      </c>
      <c r="E49" s="375" t="s">
        <v>780</v>
      </c>
      <c r="F49" s="375" t="s">
        <v>781</v>
      </c>
      <c r="G49" s="375"/>
    </row>
    <row r="50" spans="2:7">
      <c r="C50" t="s">
        <v>782</v>
      </c>
      <c r="D50" t="s">
        <v>783</v>
      </c>
      <c r="E50" t="s">
        <v>784</v>
      </c>
      <c r="F50" t="s">
        <v>724</v>
      </c>
      <c r="G50" s="375"/>
    </row>
    <row r="51" spans="2:7">
      <c r="C51" t="s">
        <v>785</v>
      </c>
      <c r="D51" t="s">
        <v>786</v>
      </c>
      <c r="E51" t="s">
        <v>784</v>
      </c>
      <c r="F51" t="s">
        <v>724</v>
      </c>
      <c r="G51" s="375"/>
    </row>
    <row r="52" spans="2:7">
      <c r="C52" s="375" t="s">
        <v>647</v>
      </c>
      <c r="D52" s="375" t="s">
        <v>787</v>
      </c>
      <c r="E52" s="375" t="s">
        <v>788</v>
      </c>
      <c r="F52" s="375" t="s">
        <v>789</v>
      </c>
    </row>
    <row r="53" spans="2:7">
      <c r="C53" s="375" t="s">
        <v>649</v>
      </c>
      <c r="D53" s="375" t="s">
        <v>790</v>
      </c>
      <c r="E53" s="375" t="s">
        <v>791</v>
      </c>
      <c r="F53" s="375" t="s">
        <v>792</v>
      </c>
    </row>
    <row r="54" spans="2:7">
      <c r="C54" s="375" t="s">
        <v>651</v>
      </c>
      <c r="D54" s="375" t="s">
        <v>793</v>
      </c>
      <c r="E54" s="375" t="s">
        <v>794</v>
      </c>
      <c r="F54" s="375" t="s">
        <v>778</v>
      </c>
      <c r="G54" s="375"/>
    </row>
    <row r="55" spans="2:7">
      <c r="B55" t="s">
        <v>795</v>
      </c>
      <c r="C55" s="14" t="s">
        <v>796</v>
      </c>
      <c r="D55" t="s">
        <v>797</v>
      </c>
      <c r="G55" s="375"/>
    </row>
    <row r="56" spans="2:7">
      <c r="C56" t="s">
        <v>930</v>
      </c>
      <c r="D56" t="s">
        <v>931</v>
      </c>
      <c r="E56" t="s">
        <v>660</v>
      </c>
      <c r="F56" t="s">
        <v>661</v>
      </c>
      <c r="G56" s="375"/>
    </row>
    <row r="57" spans="2:7">
      <c r="B57" t="s">
        <v>795</v>
      </c>
      <c r="C57" t="s">
        <v>985</v>
      </c>
      <c r="D57" t="s">
        <v>988</v>
      </c>
    </row>
    <row r="58" spans="2:7">
      <c r="B58" t="s">
        <v>795</v>
      </c>
      <c r="C58" t="s">
        <v>995</v>
      </c>
      <c r="D58" t="s">
        <v>993</v>
      </c>
    </row>
    <row r="61" spans="2:7">
      <c r="B61" t="s">
        <v>795</v>
      </c>
      <c r="C61" t="s">
        <v>999</v>
      </c>
      <c r="D61" t="s">
        <v>997</v>
      </c>
    </row>
    <row r="62" spans="2:7">
      <c r="B62" t="s">
        <v>795</v>
      </c>
      <c r="C62" t="s">
        <v>1001</v>
      </c>
      <c r="D62" t="s">
        <v>1000</v>
      </c>
    </row>
    <row r="63" spans="2:7">
      <c r="B63" t="s">
        <v>795</v>
      </c>
      <c r="C63" t="s">
        <v>1004</v>
      </c>
      <c r="D63" t="s">
        <v>1002</v>
      </c>
    </row>
    <row r="64" spans="2:7">
      <c r="B64" t="s">
        <v>795</v>
      </c>
      <c r="C64" t="s">
        <v>1006</v>
      </c>
      <c r="D64" t="s">
        <v>1008</v>
      </c>
    </row>
    <row r="65" spans="2:2">
      <c r="B65" t="s">
        <v>795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17"/>
  <sheetViews>
    <sheetView workbookViewId="0"/>
  </sheetViews>
  <sheetFormatPr defaultColWidth="8.69921875" defaultRowHeight="17.399999999999999"/>
  <cols>
    <col min="1" max="1" width="7.09765625" style="44" customWidth="1"/>
    <col min="2" max="2" width="5" style="44" customWidth="1"/>
    <col min="3" max="4" width="15.5" style="44" customWidth="1"/>
    <col min="5" max="6" width="15.5" customWidth="1"/>
    <col min="7" max="8" width="7.09765625" style="44" customWidth="1"/>
    <col min="9" max="16384" width="8.69921875" style="44"/>
  </cols>
  <sheetData>
    <row r="1" spans="1:13">
      <c r="C1" s="44" t="s">
        <v>866</v>
      </c>
      <c r="F1" t="s">
        <v>867</v>
      </c>
    </row>
    <row r="2" spans="1:13">
      <c r="C2" s="377" t="s">
        <v>868</v>
      </c>
      <c r="D2" s="378"/>
      <c r="E2" s="44"/>
      <c r="F2" s="379" t="s">
        <v>869</v>
      </c>
    </row>
    <row r="3" spans="1:13" ht="18" thickBot="1">
      <c r="B3" s="380" t="s">
        <v>980</v>
      </c>
      <c r="C3" s="381">
        <v>10</v>
      </c>
      <c r="D3" s="382"/>
      <c r="E3" s="380" t="s">
        <v>980</v>
      </c>
      <c r="F3" s="383">
        <v>10</v>
      </c>
      <c r="M3" s="14"/>
    </row>
    <row r="4" spans="1:13">
      <c r="A4" s="44" t="s">
        <v>10</v>
      </c>
      <c r="B4" s="384">
        <v>0</v>
      </c>
      <c r="C4" s="385">
        <v>9.2499999999999999E-2</v>
      </c>
      <c r="D4" s="386" t="s">
        <v>870</v>
      </c>
      <c r="E4" s="384">
        <v>0</v>
      </c>
      <c r="F4" s="387">
        <v>0.215</v>
      </c>
      <c r="M4" s="14"/>
    </row>
    <row r="5" spans="1:13">
      <c r="B5" s="156">
        <v>1</v>
      </c>
      <c r="C5" s="388">
        <v>0.13550000000000001</v>
      </c>
      <c r="D5" s="389"/>
      <c r="E5" s="156">
        <v>1</v>
      </c>
      <c r="F5" s="390">
        <v>3.2000000000000001E-2</v>
      </c>
      <c r="M5" s="14"/>
    </row>
    <row r="6" spans="1:13">
      <c r="B6" s="156">
        <v>2</v>
      </c>
      <c r="C6" s="388">
        <v>7.3499999999999996E-2</v>
      </c>
      <c r="D6" s="389"/>
      <c r="E6" s="156">
        <v>2</v>
      </c>
      <c r="F6" s="390">
        <v>0.01</v>
      </c>
      <c r="M6" s="14"/>
    </row>
    <row r="7" spans="1:13">
      <c r="B7" s="156">
        <v>3</v>
      </c>
      <c r="C7" s="388">
        <v>5.5500000000000001E-2</v>
      </c>
      <c r="D7" s="389"/>
      <c r="E7" s="156">
        <v>3</v>
      </c>
      <c r="F7" s="390">
        <v>0.01</v>
      </c>
      <c r="M7" s="14"/>
    </row>
    <row r="8" spans="1:13">
      <c r="B8" s="156">
        <v>4</v>
      </c>
      <c r="C8" s="388">
        <v>0.06</v>
      </c>
      <c r="D8" s="389"/>
      <c r="E8" s="156">
        <v>4</v>
      </c>
      <c r="F8" s="390">
        <v>0.01</v>
      </c>
      <c r="M8" s="14"/>
    </row>
    <row r="9" spans="1:13">
      <c r="B9" s="156">
        <v>5</v>
      </c>
      <c r="C9" s="388">
        <v>3.2500000000000001E-2</v>
      </c>
      <c r="D9" s="389"/>
      <c r="E9" s="156">
        <v>5</v>
      </c>
      <c r="F9" s="390">
        <v>8.0000000000000002E-3</v>
      </c>
    </row>
    <row r="10" spans="1:13">
      <c r="B10" s="156">
        <v>6</v>
      </c>
      <c r="C10" s="388">
        <v>2.9499999999999998E-2</v>
      </c>
      <c r="D10" s="389"/>
      <c r="E10" s="156">
        <v>6</v>
      </c>
      <c r="F10" s="390">
        <v>0.01</v>
      </c>
    </row>
    <row r="11" spans="1:13">
      <c r="B11" s="156">
        <v>7</v>
      </c>
      <c r="C11" s="388">
        <v>2.5999999999999999E-2</v>
      </c>
      <c r="D11" s="389"/>
      <c r="E11" s="156">
        <v>7</v>
      </c>
      <c r="F11" s="390">
        <v>0.01</v>
      </c>
    </row>
    <row r="12" spans="1:13">
      <c r="B12" s="156">
        <v>8</v>
      </c>
      <c r="C12" s="388">
        <v>2.3E-2</v>
      </c>
      <c r="D12" s="389"/>
      <c r="E12" s="156">
        <v>8</v>
      </c>
      <c r="F12" s="390">
        <v>0.01</v>
      </c>
    </row>
    <row r="13" spans="1:13">
      <c r="B13" s="156">
        <v>9</v>
      </c>
      <c r="C13" s="388">
        <v>1.95E-2</v>
      </c>
      <c r="D13" s="389"/>
      <c r="E13" s="156">
        <v>9</v>
      </c>
      <c r="F13" s="390">
        <v>0.01</v>
      </c>
    </row>
    <row r="14" spans="1:13">
      <c r="B14" s="156">
        <v>10</v>
      </c>
      <c r="C14" s="388">
        <v>1.6E-2</v>
      </c>
      <c r="D14" s="389"/>
      <c r="E14" s="156">
        <v>10</v>
      </c>
      <c r="F14" s="390">
        <v>0.01</v>
      </c>
    </row>
    <row r="15" spans="1:13">
      <c r="B15" s="156">
        <v>11</v>
      </c>
      <c r="C15" s="388">
        <v>1.35E-2</v>
      </c>
      <c r="D15" s="389"/>
      <c r="E15" s="156">
        <v>11</v>
      </c>
      <c r="F15" s="390">
        <v>0.01</v>
      </c>
    </row>
    <row r="16" spans="1:13">
      <c r="B16" s="156">
        <v>12</v>
      </c>
      <c r="C16" s="388">
        <v>1.35E-2</v>
      </c>
      <c r="D16" s="389"/>
      <c r="E16" s="156">
        <v>12</v>
      </c>
      <c r="F16" s="390">
        <v>0.01</v>
      </c>
    </row>
    <row r="17" spans="2:6">
      <c r="B17" s="156">
        <v>13</v>
      </c>
      <c r="C17" s="388">
        <v>1.35E-2</v>
      </c>
      <c r="D17" s="389"/>
      <c r="E17" s="156">
        <v>13</v>
      </c>
      <c r="F17" s="390">
        <v>0.01</v>
      </c>
    </row>
    <row r="18" spans="2:6">
      <c r="B18" s="156">
        <v>14</v>
      </c>
      <c r="C18" s="388">
        <v>1.35E-2</v>
      </c>
      <c r="D18" s="389"/>
      <c r="E18" s="156">
        <v>14</v>
      </c>
      <c r="F18" s="390">
        <v>0.01</v>
      </c>
    </row>
    <row r="19" spans="2:6">
      <c r="B19" s="156">
        <v>15</v>
      </c>
      <c r="C19" s="388">
        <v>1.35E-2</v>
      </c>
      <c r="D19" s="389"/>
      <c r="E19" s="156">
        <v>15</v>
      </c>
      <c r="F19" s="390">
        <v>0.01</v>
      </c>
    </row>
    <row r="20" spans="2:6">
      <c r="B20" s="156">
        <v>16</v>
      </c>
      <c r="C20" s="388">
        <v>1.35E-2</v>
      </c>
      <c r="D20" s="389"/>
      <c r="E20" s="156">
        <v>16</v>
      </c>
      <c r="F20" s="390">
        <v>0.01</v>
      </c>
    </row>
    <row r="21" spans="2:6">
      <c r="B21" s="156">
        <v>17</v>
      </c>
      <c r="C21" s="388">
        <v>1.35E-2</v>
      </c>
      <c r="D21" s="389"/>
      <c r="E21" s="156">
        <v>17</v>
      </c>
      <c r="F21" s="390">
        <v>0.01</v>
      </c>
    </row>
    <row r="22" spans="2:6">
      <c r="B22" s="156">
        <v>18</v>
      </c>
      <c r="C22" s="388">
        <v>1.35E-2</v>
      </c>
      <c r="D22" s="389"/>
      <c r="E22" s="156">
        <v>18</v>
      </c>
      <c r="F22" s="390">
        <v>0.01</v>
      </c>
    </row>
    <row r="23" spans="2:6">
      <c r="B23" s="156">
        <v>19</v>
      </c>
      <c r="C23" s="388">
        <v>1.35E-2</v>
      </c>
      <c r="D23" s="389"/>
      <c r="E23" s="156">
        <v>19</v>
      </c>
      <c r="F23" s="390">
        <v>0.01</v>
      </c>
    </row>
    <row r="24" spans="2:6">
      <c r="B24" s="156">
        <v>20</v>
      </c>
      <c r="C24" s="388">
        <v>1.35E-2</v>
      </c>
      <c r="D24" s="389"/>
      <c r="E24" s="156">
        <v>20</v>
      </c>
      <c r="F24" s="390">
        <v>0.01</v>
      </c>
    </row>
    <row r="25" spans="2:6">
      <c r="B25" s="156">
        <v>21</v>
      </c>
      <c r="C25" s="388">
        <v>1.35E-2</v>
      </c>
      <c r="D25" s="389"/>
      <c r="E25" s="156">
        <v>21</v>
      </c>
      <c r="F25" s="390">
        <v>0.01</v>
      </c>
    </row>
    <row r="26" spans="2:6">
      <c r="B26" s="156">
        <v>22</v>
      </c>
      <c r="C26" s="388">
        <v>1.35E-2</v>
      </c>
      <c r="D26" s="389"/>
      <c r="E26" s="156">
        <v>22</v>
      </c>
      <c r="F26" s="390">
        <v>0.01</v>
      </c>
    </row>
    <row r="27" spans="2:6">
      <c r="B27" s="156">
        <v>23</v>
      </c>
      <c r="C27" s="388">
        <v>1.35E-2</v>
      </c>
      <c r="D27" s="389"/>
      <c r="E27" s="156">
        <v>23</v>
      </c>
      <c r="F27" s="390">
        <v>0.01</v>
      </c>
    </row>
    <row r="28" spans="2:6">
      <c r="B28" s="156">
        <v>24</v>
      </c>
      <c r="C28" s="388">
        <v>1.35E-2</v>
      </c>
      <c r="D28" s="389"/>
      <c r="E28" s="156">
        <v>24</v>
      </c>
      <c r="F28" s="390">
        <v>0.01</v>
      </c>
    </row>
    <row r="29" spans="2:6">
      <c r="B29" s="156">
        <v>25</v>
      </c>
      <c r="C29" s="388">
        <v>1.35E-2</v>
      </c>
      <c r="D29" s="389"/>
      <c r="E29" s="156">
        <v>25</v>
      </c>
      <c r="F29" s="390">
        <v>0.01</v>
      </c>
    </row>
    <row r="30" spans="2:6">
      <c r="B30" s="156">
        <v>26</v>
      </c>
      <c r="C30" s="388">
        <v>1.35E-2</v>
      </c>
      <c r="D30" s="389"/>
      <c r="E30" s="156">
        <v>26</v>
      </c>
      <c r="F30" s="390">
        <v>0.01</v>
      </c>
    </row>
    <row r="31" spans="2:6">
      <c r="B31" s="156">
        <v>27</v>
      </c>
      <c r="C31" s="388">
        <v>1.35E-2</v>
      </c>
      <c r="D31" s="389"/>
      <c r="E31" s="156">
        <v>27</v>
      </c>
      <c r="F31" s="390">
        <v>0.01</v>
      </c>
    </row>
    <row r="32" spans="2:6">
      <c r="B32" s="156">
        <v>28</v>
      </c>
      <c r="C32" s="388">
        <v>1.35E-2</v>
      </c>
      <c r="D32" s="389"/>
      <c r="E32" s="156">
        <v>28</v>
      </c>
      <c r="F32" s="390">
        <v>0.01</v>
      </c>
    </row>
    <row r="33" spans="2:6">
      <c r="B33" s="156">
        <v>29</v>
      </c>
      <c r="C33" s="388">
        <v>1.35E-2</v>
      </c>
      <c r="D33" s="389"/>
      <c r="E33" s="156">
        <v>29</v>
      </c>
      <c r="F33" s="390">
        <v>0.01</v>
      </c>
    </row>
    <row r="34" spans="2:6">
      <c r="B34" s="156">
        <v>30</v>
      </c>
      <c r="C34" s="388">
        <v>1.35E-2</v>
      </c>
      <c r="D34" s="389"/>
      <c r="E34" s="156">
        <v>30</v>
      </c>
      <c r="F34" s="390">
        <v>0.01</v>
      </c>
    </row>
    <row r="35" spans="2:6">
      <c r="B35" s="156">
        <v>31</v>
      </c>
      <c r="C35" s="388">
        <v>1.35E-2</v>
      </c>
      <c r="D35" s="389"/>
      <c r="E35" s="156">
        <v>31</v>
      </c>
      <c r="F35" s="390">
        <v>0.01</v>
      </c>
    </row>
    <row r="36" spans="2:6">
      <c r="B36" s="156">
        <v>32</v>
      </c>
      <c r="C36" s="388">
        <v>1.35E-2</v>
      </c>
      <c r="D36" s="389"/>
      <c r="E36" s="156">
        <v>32</v>
      </c>
      <c r="F36" s="390">
        <v>0.01</v>
      </c>
    </row>
    <row r="37" spans="2:6">
      <c r="B37" s="156">
        <v>33</v>
      </c>
      <c r="C37" s="388">
        <v>1.35E-2</v>
      </c>
      <c r="D37" s="389"/>
      <c r="E37" s="156">
        <v>33</v>
      </c>
      <c r="F37" s="390">
        <v>0.01</v>
      </c>
    </row>
    <row r="38" spans="2:6">
      <c r="B38" s="156">
        <v>34</v>
      </c>
      <c r="C38" s="388">
        <v>1.35E-2</v>
      </c>
      <c r="D38" s="389"/>
      <c r="E38" s="156">
        <v>34</v>
      </c>
      <c r="F38" s="390">
        <v>0.01</v>
      </c>
    </row>
    <row r="39" spans="2:6">
      <c r="B39" s="156">
        <v>35</v>
      </c>
      <c r="C39" s="388">
        <v>1.35E-2</v>
      </c>
      <c r="D39" s="389"/>
      <c r="E39" s="156">
        <v>35</v>
      </c>
      <c r="F39" s="390">
        <v>0.01</v>
      </c>
    </row>
    <row r="40" spans="2:6">
      <c r="B40" s="156">
        <v>36</v>
      </c>
      <c r="C40" s="388">
        <v>1.35E-2</v>
      </c>
      <c r="D40" s="389"/>
      <c r="E40" s="156">
        <v>36</v>
      </c>
      <c r="F40" s="390">
        <v>0.01</v>
      </c>
    </row>
    <row r="41" spans="2:6">
      <c r="B41" s="156">
        <v>37</v>
      </c>
      <c r="C41" s="388">
        <v>1.35E-2</v>
      </c>
      <c r="D41" s="389"/>
      <c r="E41" s="156">
        <v>37</v>
      </c>
      <c r="F41" s="390">
        <v>0.01</v>
      </c>
    </row>
    <row r="42" spans="2:6">
      <c r="B42" s="156">
        <v>38</v>
      </c>
      <c r="C42" s="388">
        <v>1.35E-2</v>
      </c>
      <c r="D42" s="389"/>
      <c r="E42" s="156">
        <v>38</v>
      </c>
      <c r="F42" s="390">
        <v>0.01</v>
      </c>
    </row>
    <row r="43" spans="2:6">
      <c r="B43" s="156">
        <v>39</v>
      </c>
      <c r="C43" s="388">
        <v>1.35E-2</v>
      </c>
      <c r="D43" s="389"/>
      <c r="E43" s="156">
        <v>39</v>
      </c>
      <c r="F43" s="390">
        <v>0.01</v>
      </c>
    </row>
    <row r="44" spans="2:6">
      <c r="B44" s="156">
        <v>40</v>
      </c>
      <c r="C44" s="388">
        <v>1.35E-2</v>
      </c>
      <c r="D44" s="389"/>
      <c r="E44" s="156">
        <v>40</v>
      </c>
      <c r="F44" s="390">
        <v>0.01</v>
      </c>
    </row>
    <row r="45" spans="2:6">
      <c r="B45" s="156">
        <v>41</v>
      </c>
      <c r="C45" s="388">
        <v>1.35E-2</v>
      </c>
      <c r="D45" s="389"/>
      <c r="E45" s="156">
        <v>41</v>
      </c>
      <c r="F45" s="390">
        <v>0.01</v>
      </c>
    </row>
    <row r="46" spans="2:6">
      <c r="B46" s="156">
        <v>42</v>
      </c>
      <c r="C46" s="388">
        <v>1.35E-2</v>
      </c>
      <c r="D46" s="389"/>
      <c r="E46" s="156">
        <v>42</v>
      </c>
      <c r="F46" s="390">
        <v>0.01</v>
      </c>
    </row>
    <row r="47" spans="2:6">
      <c r="B47" s="156">
        <v>43</v>
      </c>
      <c r="C47" s="388">
        <v>1.35E-2</v>
      </c>
      <c r="D47" s="389"/>
      <c r="E47" s="156">
        <v>43</v>
      </c>
      <c r="F47" s="390">
        <v>0.01</v>
      </c>
    </row>
    <row r="48" spans="2:6">
      <c r="B48" s="156">
        <v>44</v>
      </c>
      <c r="C48" s="388">
        <v>1.35E-2</v>
      </c>
      <c r="D48" s="389"/>
      <c r="E48" s="156">
        <v>44</v>
      </c>
      <c r="F48" s="390">
        <v>0.01</v>
      </c>
    </row>
    <row r="49" spans="2:6">
      <c r="B49" s="156">
        <v>45</v>
      </c>
      <c r="C49" s="388">
        <v>1.35E-2</v>
      </c>
      <c r="D49" s="389"/>
      <c r="E49" s="156">
        <v>45</v>
      </c>
      <c r="F49" s="390">
        <v>0.01</v>
      </c>
    </row>
    <row r="50" spans="2:6">
      <c r="B50" s="156">
        <v>46</v>
      </c>
      <c r="C50" s="388">
        <v>1.35E-2</v>
      </c>
      <c r="D50" s="389"/>
      <c r="E50" s="156">
        <v>46</v>
      </c>
      <c r="F50" s="390">
        <v>0.01</v>
      </c>
    </row>
    <row r="51" spans="2:6">
      <c r="B51" s="156">
        <v>47</v>
      </c>
      <c r="C51" s="388">
        <v>1.35E-2</v>
      </c>
      <c r="D51" s="389"/>
      <c r="E51" s="156">
        <v>47</v>
      </c>
      <c r="F51" s="390">
        <v>0.01</v>
      </c>
    </row>
    <row r="52" spans="2:6">
      <c r="B52" s="156">
        <v>48</v>
      </c>
      <c r="C52" s="388">
        <v>1.35E-2</v>
      </c>
      <c r="D52" s="389"/>
      <c r="E52" s="156">
        <v>48</v>
      </c>
      <c r="F52" s="390">
        <v>0.01</v>
      </c>
    </row>
    <row r="53" spans="2:6">
      <c r="B53" s="156">
        <v>49</v>
      </c>
      <c r="C53" s="388">
        <v>1.35E-2</v>
      </c>
      <c r="D53" s="389"/>
      <c r="E53" s="156">
        <v>49</v>
      </c>
      <c r="F53" s="390">
        <v>0.01</v>
      </c>
    </row>
    <row r="54" spans="2:6">
      <c r="B54" s="156">
        <v>50</v>
      </c>
      <c r="C54" s="388">
        <v>1.35E-2</v>
      </c>
      <c r="D54" s="389"/>
      <c r="E54" s="156">
        <v>50</v>
      </c>
      <c r="F54" s="390">
        <v>0.01</v>
      </c>
    </row>
    <row r="55" spans="2:6">
      <c r="B55" s="156">
        <v>51</v>
      </c>
      <c r="C55" s="388">
        <v>1.35E-2</v>
      </c>
      <c r="D55" s="389"/>
      <c r="E55" s="156">
        <v>51</v>
      </c>
      <c r="F55" s="390">
        <v>0.01</v>
      </c>
    </row>
    <row r="56" spans="2:6">
      <c r="B56" s="156">
        <v>52</v>
      </c>
      <c r="C56" s="388">
        <v>1.35E-2</v>
      </c>
      <c r="D56" s="389"/>
      <c r="E56" s="156">
        <v>52</v>
      </c>
      <c r="F56" s="390">
        <v>0.01</v>
      </c>
    </row>
    <row r="57" spans="2:6">
      <c r="B57" s="156">
        <v>53</v>
      </c>
      <c r="C57" s="388">
        <v>1.35E-2</v>
      </c>
      <c r="D57" s="389"/>
      <c r="E57" s="156">
        <v>53</v>
      </c>
      <c r="F57" s="390">
        <v>0.01</v>
      </c>
    </row>
    <row r="58" spans="2:6">
      <c r="B58" s="156">
        <v>54</v>
      </c>
      <c r="C58" s="388">
        <v>1.35E-2</v>
      </c>
      <c r="D58" s="389"/>
      <c r="E58" s="156">
        <v>54</v>
      </c>
      <c r="F58" s="390">
        <v>0.01</v>
      </c>
    </row>
    <row r="59" spans="2:6">
      <c r="B59" s="156">
        <v>55</v>
      </c>
      <c r="C59" s="388">
        <v>1.35E-2</v>
      </c>
      <c r="D59" s="389"/>
      <c r="E59" s="156">
        <v>55</v>
      </c>
      <c r="F59" s="390">
        <v>0.01</v>
      </c>
    </row>
    <row r="60" spans="2:6">
      <c r="B60" s="156">
        <v>56</v>
      </c>
      <c r="C60" s="388">
        <v>1.35E-2</v>
      </c>
      <c r="D60" s="389"/>
      <c r="E60" s="156">
        <v>56</v>
      </c>
      <c r="F60" s="390">
        <v>0.01</v>
      </c>
    </row>
    <row r="61" spans="2:6">
      <c r="B61" s="156">
        <v>57</v>
      </c>
      <c r="C61" s="388">
        <v>1.35E-2</v>
      </c>
      <c r="D61" s="389"/>
      <c r="E61" s="156">
        <v>57</v>
      </c>
      <c r="F61" s="390">
        <v>0.01</v>
      </c>
    </row>
    <row r="62" spans="2:6">
      <c r="B62" s="156">
        <v>58</v>
      </c>
      <c r="C62" s="388">
        <v>1.35E-2</v>
      </c>
      <c r="D62" s="389"/>
      <c r="E62" s="156">
        <v>58</v>
      </c>
      <c r="F62" s="390">
        <v>0.01</v>
      </c>
    </row>
    <row r="63" spans="2:6">
      <c r="B63" s="156">
        <v>59</v>
      </c>
      <c r="C63" s="388">
        <v>1.35E-2</v>
      </c>
      <c r="D63" s="389"/>
      <c r="E63" s="156">
        <v>59</v>
      </c>
      <c r="F63" s="390">
        <v>0.01</v>
      </c>
    </row>
    <row r="64" spans="2:6">
      <c r="B64" s="156">
        <v>60</v>
      </c>
      <c r="C64" s="388">
        <v>1.35E-2</v>
      </c>
      <c r="D64" s="389"/>
      <c r="E64" s="156">
        <v>60</v>
      </c>
      <c r="F64" s="390">
        <v>0.01</v>
      </c>
    </row>
    <row r="65" spans="2:6">
      <c r="B65" s="156">
        <v>61</v>
      </c>
      <c r="C65" s="388">
        <v>1.35E-2</v>
      </c>
      <c r="D65" s="389"/>
      <c r="E65" s="156">
        <v>61</v>
      </c>
      <c r="F65" s="390">
        <v>0.01</v>
      </c>
    </row>
    <row r="66" spans="2:6">
      <c r="B66" s="156">
        <v>62</v>
      </c>
      <c r="C66" s="388">
        <v>1.35E-2</v>
      </c>
      <c r="D66" s="389"/>
      <c r="E66" s="156">
        <v>62</v>
      </c>
      <c r="F66" s="390">
        <v>0.01</v>
      </c>
    </row>
    <row r="67" spans="2:6">
      <c r="B67" s="156">
        <v>63</v>
      </c>
      <c r="C67" s="388">
        <v>1.35E-2</v>
      </c>
      <c r="D67" s="389"/>
      <c r="E67" s="156">
        <v>63</v>
      </c>
      <c r="F67" s="390">
        <v>0.01</v>
      </c>
    </row>
    <row r="68" spans="2:6">
      <c r="B68" s="156">
        <v>64</v>
      </c>
      <c r="C68" s="388">
        <v>1.35E-2</v>
      </c>
      <c r="D68" s="389"/>
      <c r="E68" s="156">
        <v>64</v>
      </c>
      <c r="F68" s="390">
        <v>0.01</v>
      </c>
    </row>
    <row r="69" spans="2:6">
      <c r="B69" s="156">
        <v>65</v>
      </c>
      <c r="C69" s="388">
        <v>1.35E-2</v>
      </c>
      <c r="D69" s="389"/>
      <c r="E69" s="156">
        <v>65</v>
      </c>
      <c r="F69" s="390">
        <v>0.01</v>
      </c>
    </row>
    <row r="70" spans="2:6">
      <c r="B70" s="156">
        <v>66</v>
      </c>
      <c r="C70" s="388">
        <v>1.35E-2</v>
      </c>
      <c r="D70" s="389"/>
      <c r="E70" s="156">
        <v>66</v>
      </c>
      <c r="F70" s="390">
        <v>0.01</v>
      </c>
    </row>
    <row r="71" spans="2:6">
      <c r="B71" s="156">
        <v>67</v>
      </c>
      <c r="C71" s="388">
        <v>1.35E-2</v>
      </c>
      <c r="D71" s="389"/>
      <c r="E71" s="156">
        <v>67</v>
      </c>
      <c r="F71" s="390">
        <v>0.01</v>
      </c>
    </row>
    <row r="72" spans="2:6">
      <c r="B72" s="156">
        <v>68</v>
      </c>
      <c r="C72" s="388">
        <v>1.35E-2</v>
      </c>
      <c r="D72" s="389"/>
      <c r="E72" s="156">
        <v>68</v>
      </c>
      <c r="F72" s="390">
        <v>0.01</v>
      </c>
    </row>
    <row r="73" spans="2:6">
      <c r="B73" s="156">
        <v>69</v>
      </c>
      <c r="C73" s="388">
        <v>1.35E-2</v>
      </c>
      <c r="D73" s="389"/>
      <c r="E73" s="156">
        <v>69</v>
      </c>
      <c r="F73" s="390">
        <v>0.01</v>
      </c>
    </row>
    <row r="74" spans="2:6">
      <c r="B74" s="156">
        <v>70</v>
      </c>
      <c r="C74" s="388">
        <v>1.35E-2</v>
      </c>
      <c r="D74" s="389"/>
      <c r="E74" s="156">
        <v>70</v>
      </c>
      <c r="F74" s="390">
        <v>0.01</v>
      </c>
    </row>
    <row r="75" spans="2:6">
      <c r="B75" s="156">
        <v>71</v>
      </c>
      <c r="C75" s="388">
        <v>1.35E-2</v>
      </c>
      <c r="D75" s="389"/>
      <c r="E75" s="156">
        <v>71</v>
      </c>
      <c r="F75" s="390">
        <v>0.01</v>
      </c>
    </row>
    <row r="76" spans="2:6">
      <c r="B76" s="156">
        <v>72</v>
      </c>
      <c r="C76" s="388">
        <v>1.35E-2</v>
      </c>
      <c r="D76" s="389"/>
      <c r="E76" s="156">
        <v>72</v>
      </c>
      <c r="F76" s="390">
        <v>0.01</v>
      </c>
    </row>
    <row r="77" spans="2:6">
      <c r="B77" s="156">
        <v>73</v>
      </c>
      <c r="C77" s="388">
        <v>1.35E-2</v>
      </c>
      <c r="D77" s="389"/>
      <c r="E77" s="156">
        <v>73</v>
      </c>
      <c r="F77" s="390">
        <v>0.01</v>
      </c>
    </row>
    <row r="78" spans="2:6">
      <c r="B78" s="156">
        <v>74</v>
      </c>
      <c r="C78" s="388">
        <v>1.35E-2</v>
      </c>
      <c r="D78" s="389"/>
      <c r="E78" s="156">
        <v>74</v>
      </c>
      <c r="F78" s="390">
        <v>0.01</v>
      </c>
    </row>
    <row r="79" spans="2:6">
      <c r="B79" s="156">
        <v>75</v>
      </c>
      <c r="C79" s="388">
        <v>1.35E-2</v>
      </c>
      <c r="D79" s="389"/>
      <c r="E79" s="156">
        <v>75</v>
      </c>
      <c r="F79" s="390">
        <v>0.01</v>
      </c>
    </row>
    <row r="80" spans="2:6">
      <c r="B80" s="156">
        <v>76</v>
      </c>
      <c r="C80" s="388">
        <v>1.35E-2</v>
      </c>
      <c r="D80" s="389"/>
      <c r="E80" s="156">
        <v>76</v>
      </c>
      <c r="F80" s="390">
        <v>0.01</v>
      </c>
    </row>
    <row r="81" spans="2:6">
      <c r="B81" s="156">
        <v>77</v>
      </c>
      <c r="C81" s="388">
        <v>1.35E-2</v>
      </c>
      <c r="D81" s="389"/>
      <c r="E81" s="156">
        <v>77</v>
      </c>
      <c r="F81" s="390">
        <v>0.01</v>
      </c>
    </row>
    <row r="82" spans="2:6">
      <c r="B82" s="156">
        <v>78</v>
      </c>
      <c r="C82" s="388">
        <v>1.35E-2</v>
      </c>
      <c r="D82" s="389"/>
      <c r="E82" s="156">
        <v>78</v>
      </c>
      <c r="F82" s="390">
        <v>0.01</v>
      </c>
    </row>
    <row r="83" spans="2:6">
      <c r="B83" s="156">
        <v>79</v>
      </c>
      <c r="C83" s="388">
        <v>1.35E-2</v>
      </c>
      <c r="D83" s="389"/>
      <c r="E83" s="156">
        <v>79</v>
      </c>
      <c r="F83" s="390">
        <v>0.01</v>
      </c>
    </row>
    <row r="84" spans="2:6">
      <c r="B84" s="156">
        <v>80</v>
      </c>
      <c r="C84" s="388">
        <v>1.35E-2</v>
      </c>
      <c r="D84" s="389"/>
      <c r="E84" s="156">
        <v>80</v>
      </c>
      <c r="F84" s="390">
        <v>0.01</v>
      </c>
    </row>
    <row r="85" spans="2:6">
      <c r="B85" s="156">
        <v>81</v>
      </c>
      <c r="C85" s="388">
        <v>1.35E-2</v>
      </c>
      <c r="D85" s="389"/>
      <c r="E85" s="156">
        <v>81</v>
      </c>
      <c r="F85" s="390">
        <v>0.01</v>
      </c>
    </row>
    <row r="86" spans="2:6">
      <c r="B86" s="156">
        <v>82</v>
      </c>
      <c r="C86" s="388">
        <v>1.35E-2</v>
      </c>
      <c r="D86" s="389"/>
      <c r="E86" s="156">
        <v>82</v>
      </c>
      <c r="F86" s="390">
        <v>0.01</v>
      </c>
    </row>
    <row r="87" spans="2:6">
      <c r="B87" s="156">
        <v>83</v>
      </c>
      <c r="C87" s="388">
        <v>1.35E-2</v>
      </c>
      <c r="D87" s="389"/>
      <c r="E87" s="156">
        <v>83</v>
      </c>
      <c r="F87" s="390">
        <v>0.01</v>
      </c>
    </row>
    <row r="88" spans="2:6">
      <c r="B88" s="156">
        <v>84</v>
      </c>
      <c r="C88" s="388">
        <v>1.35E-2</v>
      </c>
      <c r="D88" s="389"/>
      <c r="E88" s="156">
        <v>84</v>
      </c>
      <c r="F88" s="390">
        <v>0.01</v>
      </c>
    </row>
    <row r="89" spans="2:6">
      <c r="B89" s="156">
        <v>85</v>
      </c>
      <c r="C89" s="388">
        <v>1.35E-2</v>
      </c>
      <c r="D89" s="389"/>
      <c r="E89" s="156">
        <v>85</v>
      </c>
      <c r="F89" s="390">
        <v>0.01</v>
      </c>
    </row>
    <row r="90" spans="2:6">
      <c r="B90" s="156">
        <v>86</v>
      </c>
      <c r="C90" s="388">
        <v>1.35E-2</v>
      </c>
      <c r="D90" s="389"/>
      <c r="E90" s="156">
        <v>86</v>
      </c>
      <c r="F90" s="390">
        <v>0.01</v>
      </c>
    </row>
    <row r="91" spans="2:6">
      <c r="B91" s="156">
        <v>87</v>
      </c>
      <c r="C91" s="388">
        <v>1.35E-2</v>
      </c>
      <c r="D91" s="389"/>
      <c r="E91" s="156">
        <v>87</v>
      </c>
      <c r="F91" s="390">
        <v>0.01</v>
      </c>
    </row>
    <row r="92" spans="2:6">
      <c r="B92" s="156">
        <v>88</v>
      </c>
      <c r="C92" s="388">
        <v>1.35E-2</v>
      </c>
      <c r="D92" s="389"/>
      <c r="E92" s="156">
        <v>88</v>
      </c>
      <c r="F92" s="390">
        <v>0.01</v>
      </c>
    </row>
    <row r="93" spans="2:6">
      <c r="B93" s="156">
        <v>89</v>
      </c>
      <c r="C93" s="388">
        <v>1.35E-2</v>
      </c>
      <c r="D93" s="389"/>
      <c r="E93" s="156">
        <v>89</v>
      </c>
      <c r="F93" s="390">
        <v>0.01</v>
      </c>
    </row>
    <row r="94" spans="2:6">
      <c r="B94" s="156">
        <v>90</v>
      </c>
      <c r="C94" s="388">
        <v>1.35E-2</v>
      </c>
      <c r="D94" s="389"/>
      <c r="E94" s="156">
        <v>90</v>
      </c>
      <c r="F94" s="390">
        <v>0.01</v>
      </c>
    </row>
    <row r="95" spans="2:6">
      <c r="B95" s="156">
        <v>91</v>
      </c>
      <c r="C95" s="388">
        <v>1.35E-2</v>
      </c>
      <c r="D95" s="389"/>
      <c r="E95" s="156">
        <v>91</v>
      </c>
      <c r="F95" s="390">
        <v>0.01</v>
      </c>
    </row>
    <row r="96" spans="2:6">
      <c r="B96" s="156">
        <v>92</v>
      </c>
      <c r="C96" s="388">
        <v>1.35E-2</v>
      </c>
      <c r="D96" s="389"/>
      <c r="E96" s="156">
        <v>92</v>
      </c>
      <c r="F96" s="390">
        <v>0.01</v>
      </c>
    </row>
    <row r="97" spans="2:6">
      <c r="B97" s="156">
        <v>93</v>
      </c>
      <c r="C97" s="388">
        <v>1.35E-2</v>
      </c>
      <c r="D97" s="389"/>
      <c r="E97" s="156">
        <v>93</v>
      </c>
      <c r="F97" s="390">
        <v>0.01</v>
      </c>
    </row>
    <row r="98" spans="2:6">
      <c r="B98" s="156">
        <v>94</v>
      </c>
      <c r="C98" s="388">
        <v>1.35E-2</v>
      </c>
      <c r="D98" s="389"/>
      <c r="E98" s="156">
        <v>94</v>
      </c>
      <c r="F98" s="390">
        <v>0.01</v>
      </c>
    </row>
    <row r="99" spans="2:6">
      <c r="B99" s="156">
        <v>95</v>
      </c>
      <c r="C99" s="388">
        <v>1.35E-2</v>
      </c>
      <c r="D99" s="389"/>
      <c r="E99" s="156">
        <v>95</v>
      </c>
      <c r="F99" s="390">
        <v>0.01</v>
      </c>
    </row>
    <row r="100" spans="2:6">
      <c r="B100" s="156">
        <v>96</v>
      </c>
      <c r="C100" s="388">
        <v>1.35E-2</v>
      </c>
      <c r="D100" s="389"/>
      <c r="E100" s="156">
        <v>96</v>
      </c>
      <c r="F100" s="390">
        <v>0.01</v>
      </c>
    </row>
    <row r="101" spans="2:6">
      <c r="B101" s="156">
        <v>97</v>
      </c>
      <c r="C101" s="388">
        <v>1.35E-2</v>
      </c>
      <c r="D101" s="389"/>
      <c r="E101" s="156">
        <v>97</v>
      </c>
      <c r="F101" s="390">
        <v>0.01</v>
      </c>
    </row>
    <row r="102" spans="2:6">
      <c r="B102" s="156">
        <v>98</v>
      </c>
      <c r="C102" s="388">
        <v>1.35E-2</v>
      </c>
      <c r="D102" s="389"/>
      <c r="E102" s="156">
        <v>98</v>
      </c>
      <c r="F102" s="390">
        <v>0.01</v>
      </c>
    </row>
    <row r="103" spans="2:6">
      <c r="B103" s="156">
        <v>99</v>
      </c>
      <c r="C103" s="388">
        <v>1.35E-2</v>
      </c>
      <c r="D103" s="389"/>
      <c r="E103" s="156">
        <v>99</v>
      </c>
      <c r="F103" s="390">
        <v>0.01</v>
      </c>
    </row>
    <row r="104" spans="2:6">
      <c r="B104" s="156">
        <v>100</v>
      </c>
      <c r="C104" s="388">
        <v>1.35E-2</v>
      </c>
      <c r="D104" s="389"/>
      <c r="E104" s="156">
        <v>100</v>
      </c>
      <c r="F104" s="390">
        <v>0.01</v>
      </c>
    </row>
    <row r="105" spans="2:6">
      <c r="B105" s="156">
        <v>101</v>
      </c>
      <c r="C105" s="388">
        <v>1.35E-2</v>
      </c>
      <c r="D105" s="389"/>
      <c r="E105" s="156">
        <v>101</v>
      </c>
      <c r="F105" s="390">
        <v>0.01</v>
      </c>
    </row>
    <row r="106" spans="2:6">
      <c r="B106" s="156">
        <v>102</v>
      </c>
      <c r="C106" s="388">
        <v>1.35E-2</v>
      </c>
      <c r="D106" s="389"/>
      <c r="E106" s="156">
        <v>102</v>
      </c>
      <c r="F106" s="390">
        <v>0.01</v>
      </c>
    </row>
    <row r="107" spans="2:6">
      <c r="B107" s="156">
        <v>103</v>
      </c>
      <c r="C107" s="388">
        <v>1.35E-2</v>
      </c>
      <c r="D107" s="389"/>
      <c r="E107" s="156">
        <v>103</v>
      </c>
      <c r="F107" s="390">
        <v>0.01</v>
      </c>
    </row>
    <row r="108" spans="2:6">
      <c r="B108" s="156">
        <v>104</v>
      </c>
      <c r="C108" s="388">
        <v>1.35E-2</v>
      </c>
      <c r="D108" s="389"/>
      <c r="E108" s="156">
        <v>104</v>
      </c>
      <c r="F108" s="390">
        <v>0.01</v>
      </c>
    </row>
    <row r="109" spans="2:6">
      <c r="B109" s="156">
        <v>105</v>
      </c>
      <c r="C109" s="388">
        <v>1.35E-2</v>
      </c>
      <c r="D109" s="389"/>
      <c r="E109" s="156">
        <v>105</v>
      </c>
      <c r="F109" s="390">
        <v>0.01</v>
      </c>
    </row>
    <row r="110" spans="2:6">
      <c r="B110" s="156">
        <v>106</v>
      </c>
      <c r="C110" s="388">
        <v>1.35E-2</v>
      </c>
      <c r="D110" s="389"/>
      <c r="E110" s="156">
        <v>106</v>
      </c>
      <c r="F110" s="390">
        <v>0.01</v>
      </c>
    </row>
    <row r="111" spans="2:6">
      <c r="B111" s="156">
        <v>107</v>
      </c>
      <c r="C111" s="388">
        <v>1.35E-2</v>
      </c>
      <c r="D111" s="389"/>
      <c r="E111" s="156">
        <v>107</v>
      </c>
      <c r="F111" s="390">
        <v>0.01</v>
      </c>
    </row>
    <row r="112" spans="2:6">
      <c r="B112" s="156">
        <v>108</v>
      </c>
      <c r="C112" s="388">
        <v>1.35E-2</v>
      </c>
      <c r="D112" s="389"/>
      <c r="E112" s="156">
        <v>108</v>
      </c>
      <c r="F112" s="390">
        <v>0.01</v>
      </c>
    </row>
    <row r="113" spans="2:6">
      <c r="B113" s="156">
        <v>109</v>
      </c>
      <c r="C113" s="388">
        <v>1.35E-2</v>
      </c>
      <c r="D113" s="389"/>
      <c r="E113" s="156">
        <v>109</v>
      </c>
      <c r="F113" s="390">
        <v>0.01</v>
      </c>
    </row>
    <row r="114" spans="2:6">
      <c r="B114" s="156">
        <v>110</v>
      </c>
      <c r="C114" s="388">
        <v>1.35E-2</v>
      </c>
      <c r="D114" s="389"/>
      <c r="E114" s="156">
        <v>110</v>
      </c>
      <c r="F114" s="390">
        <v>0.01</v>
      </c>
    </row>
    <row r="115" spans="2:6">
      <c r="B115" s="156">
        <v>111</v>
      </c>
      <c r="C115" s="388">
        <v>1.35E-2</v>
      </c>
      <c r="D115" s="389"/>
      <c r="E115" s="156">
        <v>111</v>
      </c>
      <c r="F115" s="390">
        <v>0.01</v>
      </c>
    </row>
    <row r="116" spans="2:6">
      <c r="B116" s="156">
        <v>112</v>
      </c>
      <c r="C116" s="388">
        <v>1.35E-2</v>
      </c>
      <c r="D116" s="389"/>
      <c r="E116" s="156">
        <v>112</v>
      </c>
      <c r="F116" s="390">
        <v>0.01</v>
      </c>
    </row>
    <row r="117" spans="2:6" ht="18" thickBot="1">
      <c r="B117" s="157">
        <v>113</v>
      </c>
      <c r="C117" s="391">
        <v>1.35E-2</v>
      </c>
      <c r="D117" s="389"/>
      <c r="E117" s="157">
        <v>113</v>
      </c>
      <c r="F117" s="392">
        <v>0.01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BE3D6-C05B-4675-A0C9-F52256D0F559}">
  <sheetPr codeName="Sheet6"/>
  <dimension ref="B2:M25"/>
  <sheetViews>
    <sheetView workbookViewId="0">
      <selection activeCell="C14" sqref="C14"/>
    </sheetView>
  </sheetViews>
  <sheetFormatPr defaultRowHeight="17.399999999999999"/>
  <cols>
    <col min="3" max="3" width="57.8984375" customWidth="1"/>
    <col min="11" max="11" width="13.3984375" bestFit="1" customWidth="1"/>
  </cols>
  <sheetData>
    <row r="2" spans="2:13">
      <c r="C2" t="s">
        <v>576</v>
      </c>
    </row>
    <row r="3" spans="2:13">
      <c r="B3" t="s">
        <v>577</v>
      </c>
      <c r="C3" t="s">
        <v>578</v>
      </c>
      <c r="D3" t="s">
        <v>579</v>
      </c>
      <c r="E3" t="s">
        <v>580</v>
      </c>
      <c r="F3" t="s">
        <v>981</v>
      </c>
      <c r="G3" t="s">
        <v>582</v>
      </c>
      <c r="H3" t="s">
        <v>583</v>
      </c>
    </row>
    <row r="4" spans="2:13">
      <c r="B4">
        <v>1</v>
      </c>
      <c r="C4" t="s">
        <v>584</v>
      </c>
      <c r="D4" t="s">
        <v>579</v>
      </c>
      <c r="E4" t="s">
        <v>580</v>
      </c>
      <c r="F4" t="s">
        <v>582</v>
      </c>
      <c r="G4" t="s">
        <v>585</v>
      </c>
      <c r="H4" t="s">
        <v>586</v>
      </c>
      <c r="I4" t="s">
        <v>587</v>
      </c>
      <c r="J4" t="s">
        <v>588</v>
      </c>
      <c r="K4" t="s">
        <v>589</v>
      </c>
      <c r="L4" t="s">
        <v>590</v>
      </c>
      <c r="M4" t="s">
        <v>591</v>
      </c>
    </row>
    <row r="5" spans="2:13">
      <c r="B5">
        <f>B4+1</f>
        <v>2</v>
      </c>
      <c r="C5" t="s">
        <v>592</v>
      </c>
      <c r="D5" t="s">
        <v>579</v>
      </c>
      <c r="E5" t="s">
        <v>580</v>
      </c>
      <c r="F5" t="s">
        <v>582</v>
      </c>
      <c r="G5" t="s">
        <v>585</v>
      </c>
      <c r="H5" t="s">
        <v>989</v>
      </c>
    </row>
    <row r="6" spans="2:13">
      <c r="B6">
        <f t="shared" ref="B6:B25" si="0">B5+1</f>
        <v>3</v>
      </c>
      <c r="C6" t="s">
        <v>594</v>
      </c>
      <c r="D6" t="s">
        <v>579</v>
      </c>
      <c r="E6" t="s">
        <v>580</v>
      </c>
      <c r="F6" t="s">
        <v>582</v>
      </c>
      <c r="G6" t="s">
        <v>585</v>
      </c>
      <c r="H6" t="s">
        <v>586</v>
      </c>
      <c r="I6" t="s">
        <v>587</v>
      </c>
    </row>
    <row r="7" spans="2:13">
      <c r="B7">
        <f t="shared" si="0"/>
        <v>4</v>
      </c>
      <c r="C7" t="s">
        <v>595</v>
      </c>
      <c r="D7" t="s">
        <v>579</v>
      </c>
      <c r="E7" t="s">
        <v>580</v>
      </c>
      <c r="F7" t="s">
        <v>582</v>
      </c>
      <c r="G7" t="s">
        <v>585</v>
      </c>
      <c r="H7" t="s">
        <v>588</v>
      </c>
      <c r="I7" t="s">
        <v>589</v>
      </c>
      <c r="J7" t="s">
        <v>590</v>
      </c>
      <c r="K7" t="s">
        <v>591</v>
      </c>
      <c r="L7" t="s">
        <v>596</v>
      </c>
      <c r="M7" t="s">
        <v>597</v>
      </c>
    </row>
    <row r="8" spans="2:13">
      <c r="B8">
        <f t="shared" si="0"/>
        <v>5</v>
      </c>
      <c r="C8" t="s">
        <v>598</v>
      </c>
      <c r="D8" t="s">
        <v>599</v>
      </c>
      <c r="E8" t="s">
        <v>600</v>
      </c>
      <c r="F8" t="s">
        <v>601</v>
      </c>
      <c r="G8" t="s">
        <v>602</v>
      </c>
      <c r="H8" t="s">
        <v>603</v>
      </c>
      <c r="I8" t="s">
        <v>604</v>
      </c>
      <c r="J8" t="s">
        <v>605</v>
      </c>
      <c r="K8" t="s">
        <v>606</v>
      </c>
      <c r="L8" t="s">
        <v>607</v>
      </c>
    </row>
    <row r="9" spans="2:13">
      <c r="B9">
        <f t="shared" si="0"/>
        <v>6</v>
      </c>
      <c r="C9" t="s">
        <v>608</v>
      </c>
      <c r="D9" t="s">
        <v>579</v>
      </c>
      <c r="E9" t="s">
        <v>580</v>
      </c>
      <c r="F9" t="s">
        <v>601</v>
      </c>
      <c r="G9" t="s">
        <v>609</v>
      </c>
      <c r="H9" t="s">
        <v>610</v>
      </c>
      <c r="I9" t="s">
        <v>611</v>
      </c>
      <c r="J9" t="s">
        <v>612</v>
      </c>
      <c r="K9" t="s">
        <v>613</v>
      </c>
    </row>
    <row r="10" spans="2:13">
      <c r="B10">
        <f t="shared" si="0"/>
        <v>7</v>
      </c>
      <c r="C10" t="s">
        <v>614</v>
      </c>
      <c r="D10" t="s">
        <v>579</v>
      </c>
      <c r="E10" t="s">
        <v>580</v>
      </c>
      <c r="F10" t="s">
        <v>601</v>
      </c>
      <c r="G10" t="s">
        <v>615</v>
      </c>
    </row>
    <row r="11" spans="2:13">
      <c r="B11">
        <f t="shared" si="0"/>
        <v>8</v>
      </c>
      <c r="C11" t="s">
        <v>616</v>
      </c>
      <c r="D11" t="s">
        <v>579</v>
      </c>
      <c r="E11" t="s">
        <v>580</v>
      </c>
      <c r="F11" t="s">
        <v>601</v>
      </c>
      <c r="G11" t="s">
        <v>617</v>
      </c>
    </row>
    <row r="12" spans="2:13">
      <c r="B12">
        <f t="shared" si="0"/>
        <v>9</v>
      </c>
      <c r="C12" t="s">
        <v>618</v>
      </c>
      <c r="D12" t="s">
        <v>579</v>
      </c>
      <c r="E12" t="s">
        <v>580</v>
      </c>
      <c r="F12" t="s">
        <v>601</v>
      </c>
      <c r="G12" t="s">
        <v>619</v>
      </c>
    </row>
    <row r="13" spans="2:13">
      <c r="B13">
        <f t="shared" si="0"/>
        <v>10</v>
      </c>
      <c r="C13" t="s">
        <v>620</v>
      </c>
      <c r="D13" t="s">
        <v>579</v>
      </c>
      <c r="E13" t="s">
        <v>580</v>
      </c>
      <c r="F13" t="s">
        <v>582</v>
      </c>
      <c r="G13" t="s">
        <v>750</v>
      </c>
    </row>
    <row r="14" spans="2:13">
      <c r="B14">
        <f t="shared" si="0"/>
        <v>11</v>
      </c>
    </row>
    <row r="15" spans="2:13">
      <c r="B15">
        <f t="shared" si="0"/>
        <v>12</v>
      </c>
      <c r="C15" t="s">
        <v>622</v>
      </c>
      <c r="D15" t="s">
        <v>579</v>
      </c>
      <c r="E15" t="s">
        <v>580</v>
      </c>
      <c r="F15" t="s">
        <v>601</v>
      </c>
      <c r="G15" t="s">
        <v>623</v>
      </c>
      <c r="H15" t="s">
        <v>624</v>
      </c>
      <c r="I15" t="s">
        <v>625</v>
      </c>
    </row>
    <row r="16" spans="2:13">
      <c r="B16">
        <f t="shared" si="0"/>
        <v>13</v>
      </c>
      <c r="C16" t="s">
        <v>626</v>
      </c>
      <c r="D16" t="s">
        <v>579</v>
      </c>
      <c r="E16" t="s">
        <v>580</v>
      </c>
      <c r="F16" t="s">
        <v>601</v>
      </c>
      <c r="G16" t="s">
        <v>627</v>
      </c>
      <c r="H16" t="s">
        <v>628</v>
      </c>
      <c r="I16" t="s">
        <v>629</v>
      </c>
      <c r="J16" t="s">
        <v>630</v>
      </c>
      <c r="K16" t="s">
        <v>631</v>
      </c>
    </row>
    <row r="17" spans="2:13">
      <c r="B17">
        <f t="shared" si="0"/>
        <v>14</v>
      </c>
      <c r="C17" t="s">
        <v>632</v>
      </c>
      <c r="D17" t="s">
        <v>579</v>
      </c>
      <c r="E17" t="s">
        <v>580</v>
      </c>
      <c r="F17" t="s">
        <v>601</v>
      </c>
      <c r="G17" t="s">
        <v>627</v>
      </c>
      <c r="H17" t="s">
        <v>628</v>
      </c>
      <c r="I17" t="s">
        <v>629</v>
      </c>
      <c r="J17" t="s">
        <v>630</v>
      </c>
      <c r="K17" t="s">
        <v>631</v>
      </c>
    </row>
    <row r="18" spans="2:13">
      <c r="B18">
        <f t="shared" si="0"/>
        <v>15</v>
      </c>
      <c r="C18" t="s">
        <v>633</v>
      </c>
      <c r="D18" t="s">
        <v>579</v>
      </c>
      <c r="E18" t="s">
        <v>580</v>
      </c>
      <c r="F18" t="s">
        <v>601</v>
      </c>
      <c r="G18" t="s">
        <v>634</v>
      </c>
      <c r="H18" t="s">
        <v>635</v>
      </c>
      <c r="I18" t="s">
        <v>636</v>
      </c>
      <c r="J18" t="s">
        <v>637</v>
      </c>
      <c r="K18" t="s">
        <v>638</v>
      </c>
      <c r="L18" t="s">
        <v>639</v>
      </c>
      <c r="M18" t="s">
        <v>640</v>
      </c>
    </row>
    <row r="19" spans="2:13">
      <c r="B19">
        <f t="shared" si="0"/>
        <v>16</v>
      </c>
      <c r="C19" t="s">
        <v>641</v>
      </c>
      <c r="D19" t="s">
        <v>579</v>
      </c>
      <c r="E19" t="s">
        <v>580</v>
      </c>
      <c r="F19" t="s">
        <v>642</v>
      </c>
      <c r="G19" t="s">
        <v>643</v>
      </c>
    </row>
    <row r="20" spans="2:13">
      <c r="B20">
        <f t="shared" si="0"/>
        <v>17</v>
      </c>
      <c r="C20" t="s">
        <v>644</v>
      </c>
      <c r="D20" t="s">
        <v>579</v>
      </c>
      <c r="E20" t="s">
        <v>580</v>
      </c>
      <c r="F20" t="s">
        <v>601</v>
      </c>
      <c r="G20" t="s">
        <v>645</v>
      </c>
      <c r="H20" t="s">
        <v>646</v>
      </c>
      <c r="I20" t="s">
        <v>647</v>
      </c>
    </row>
    <row r="21" spans="2:13">
      <c r="B21">
        <f t="shared" si="0"/>
        <v>18</v>
      </c>
      <c r="C21" t="s">
        <v>648</v>
      </c>
      <c r="D21" t="s">
        <v>579</v>
      </c>
      <c r="E21" t="s">
        <v>580</v>
      </c>
      <c r="F21" t="s">
        <v>649</v>
      </c>
      <c r="G21" t="s">
        <v>849</v>
      </c>
    </row>
    <row r="22" spans="2:13">
      <c r="B22">
        <f t="shared" si="0"/>
        <v>19</v>
      </c>
      <c r="C22" t="s">
        <v>650</v>
      </c>
      <c r="D22" t="s">
        <v>599</v>
      </c>
      <c r="E22" t="s">
        <v>600</v>
      </c>
      <c r="F22" t="s">
        <v>651</v>
      </c>
      <c r="G22" t="s">
        <v>849</v>
      </c>
    </row>
    <row r="23" spans="2:13">
      <c r="B23">
        <f t="shared" si="0"/>
        <v>20</v>
      </c>
      <c r="C23" t="s">
        <v>652</v>
      </c>
      <c r="D23" t="s">
        <v>579</v>
      </c>
      <c r="E23" t="s">
        <v>580</v>
      </c>
      <c r="F23" t="s">
        <v>623</v>
      </c>
      <c r="G23" t="s">
        <v>624</v>
      </c>
      <c r="H23" t="s">
        <v>849</v>
      </c>
    </row>
    <row r="24" spans="2:13">
      <c r="B24">
        <f t="shared" si="0"/>
        <v>21</v>
      </c>
      <c r="C24" t="s">
        <v>653</v>
      </c>
      <c r="D24" t="s">
        <v>579</v>
      </c>
      <c r="E24" t="s">
        <v>580</v>
      </c>
      <c r="F24" t="s">
        <v>627</v>
      </c>
      <c r="G24" t="s">
        <v>628</v>
      </c>
      <c r="H24" t="s">
        <v>629</v>
      </c>
      <c r="I24" t="s">
        <v>630</v>
      </c>
      <c r="J24" t="s">
        <v>631</v>
      </c>
      <c r="K24" t="s">
        <v>849</v>
      </c>
    </row>
    <row r="25" spans="2:13">
      <c r="B25">
        <f t="shared" si="0"/>
        <v>22</v>
      </c>
      <c r="C25" t="s">
        <v>654</v>
      </c>
      <c r="D25" t="s">
        <v>579</v>
      </c>
      <c r="E25" t="s">
        <v>580</v>
      </c>
      <c r="F25" t="s">
        <v>623</v>
      </c>
      <c r="G25" t="s">
        <v>624</v>
      </c>
      <c r="H25" t="s">
        <v>858</v>
      </c>
      <c r="I25" t="s">
        <v>849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C13B7-853A-47E5-81F2-BC43E65BBA88}">
  <sheetPr codeName="Sheet9">
    <pageSetUpPr fitToPage="1"/>
  </sheetPr>
  <dimension ref="B2:L45"/>
  <sheetViews>
    <sheetView workbookViewId="0"/>
  </sheetViews>
  <sheetFormatPr defaultRowHeight="17.399999999999999"/>
  <cols>
    <col min="1" max="1" width="4.69921875" customWidth="1"/>
    <col min="2" max="2" width="16.19921875" customWidth="1"/>
    <col min="3" max="3" width="16.69921875" customWidth="1"/>
    <col min="4" max="7" width="11.59765625" style="175" customWidth="1"/>
    <col min="10" max="10" width="11.8984375" customWidth="1"/>
    <col min="12" max="12" width="11.19921875" customWidth="1"/>
    <col min="13" max="13" width="11.09765625" customWidth="1"/>
  </cols>
  <sheetData>
    <row r="2" spans="2:7">
      <c r="B2" t="s">
        <v>296</v>
      </c>
    </row>
    <row r="4" spans="2:7">
      <c r="B4" s="652" t="s">
        <v>469</v>
      </c>
      <c r="C4" s="653"/>
      <c r="D4" s="168" t="s">
        <v>236</v>
      </c>
      <c r="E4" s="168" t="s">
        <v>237</v>
      </c>
      <c r="F4" s="168" t="s">
        <v>238</v>
      </c>
      <c r="G4" s="168" t="s">
        <v>221</v>
      </c>
    </row>
    <row r="5" spans="2:7">
      <c r="B5" s="31" t="s">
        <v>212</v>
      </c>
      <c r="C5" s="202" t="s">
        <v>213</v>
      </c>
      <c r="D5" s="207" t="s">
        <v>227</v>
      </c>
      <c r="E5" s="207" t="s">
        <v>326</v>
      </c>
      <c r="F5" s="207" t="s">
        <v>337</v>
      </c>
      <c r="G5" s="207" t="s">
        <v>348</v>
      </c>
    </row>
    <row r="6" spans="2:7">
      <c r="B6" s="31" t="s">
        <v>239</v>
      </c>
      <c r="C6" s="202" t="s">
        <v>290</v>
      </c>
      <c r="D6" s="207" t="s">
        <v>240</v>
      </c>
      <c r="E6" s="207" t="s">
        <v>241</v>
      </c>
      <c r="F6" s="207" t="s">
        <v>250</v>
      </c>
      <c r="G6" s="207" t="s">
        <v>258</v>
      </c>
    </row>
    <row r="7" spans="2:7">
      <c r="B7" s="31" t="s">
        <v>0</v>
      </c>
      <c r="C7" s="202" t="s">
        <v>214</v>
      </c>
      <c r="D7" s="207" t="s">
        <v>222</v>
      </c>
      <c r="E7" s="207" t="s">
        <v>242</v>
      </c>
      <c r="F7" s="207" t="s">
        <v>251</v>
      </c>
      <c r="G7" s="207" t="s">
        <v>259</v>
      </c>
    </row>
    <row r="8" spans="2:7">
      <c r="B8" s="31" t="s">
        <v>1</v>
      </c>
      <c r="C8" s="202" t="s">
        <v>215</v>
      </c>
      <c r="D8" s="207" t="s">
        <v>223</v>
      </c>
      <c r="E8" s="207" t="s">
        <v>243</v>
      </c>
      <c r="F8" s="207" t="s">
        <v>252</v>
      </c>
      <c r="G8" s="207" t="s">
        <v>260</v>
      </c>
    </row>
    <row r="9" spans="2:7">
      <c r="B9" s="31" t="s">
        <v>220</v>
      </c>
      <c r="C9" s="202" t="s">
        <v>59</v>
      </c>
      <c r="D9" s="207" t="s">
        <v>12</v>
      </c>
      <c r="E9" s="207" t="s">
        <v>244</v>
      </c>
      <c r="F9" s="207" t="s">
        <v>338</v>
      </c>
      <c r="G9" s="207" t="s">
        <v>261</v>
      </c>
    </row>
    <row r="10" spans="2:7">
      <c r="B10" s="31" t="s">
        <v>3</v>
      </c>
      <c r="C10" s="202" t="s">
        <v>216</v>
      </c>
      <c r="D10" s="207" t="s">
        <v>88</v>
      </c>
      <c r="E10" s="207" t="s">
        <v>245</v>
      </c>
      <c r="F10" s="207" t="s">
        <v>253</v>
      </c>
      <c r="G10" s="207" t="s">
        <v>262</v>
      </c>
    </row>
    <row r="11" spans="2:7">
      <c r="B11" s="31" t="s">
        <v>4</v>
      </c>
      <c r="C11" s="202" t="s">
        <v>217</v>
      </c>
      <c r="D11" s="207" t="s">
        <v>224</v>
      </c>
      <c r="E11" s="207" t="s">
        <v>246</v>
      </c>
      <c r="F11" s="207" t="s">
        <v>254</v>
      </c>
      <c r="G11" s="207" t="s">
        <v>263</v>
      </c>
    </row>
    <row r="12" spans="2:7">
      <c r="B12" s="31" t="s">
        <v>5</v>
      </c>
      <c r="C12" s="202" t="s">
        <v>196</v>
      </c>
      <c r="D12" s="207" t="s">
        <v>225</v>
      </c>
      <c r="E12" s="207" t="s">
        <v>247</v>
      </c>
      <c r="F12" s="207" t="s">
        <v>255</v>
      </c>
      <c r="G12" s="207" t="s">
        <v>264</v>
      </c>
    </row>
    <row r="13" spans="2:7">
      <c r="B13" s="31" t="s">
        <v>6</v>
      </c>
      <c r="C13" s="202" t="s">
        <v>218</v>
      </c>
      <c r="D13" s="207" t="s">
        <v>6</v>
      </c>
      <c r="E13" s="207" t="s">
        <v>248</v>
      </c>
      <c r="F13" s="207" t="s">
        <v>256</v>
      </c>
      <c r="G13" s="207" t="s">
        <v>265</v>
      </c>
    </row>
    <row r="14" spans="2:7">
      <c r="B14" s="31" t="s">
        <v>16</v>
      </c>
      <c r="C14" s="202" t="s">
        <v>100</v>
      </c>
      <c r="D14" s="207" t="s">
        <v>325</v>
      </c>
      <c r="E14" s="207" t="s">
        <v>359</v>
      </c>
      <c r="F14" s="207" t="s">
        <v>360</v>
      </c>
      <c r="G14" s="207" t="s">
        <v>361</v>
      </c>
    </row>
    <row r="15" spans="2:7">
      <c r="B15" s="96" t="s">
        <v>29</v>
      </c>
      <c r="C15" s="205" t="s">
        <v>219</v>
      </c>
      <c r="D15" s="196" t="s">
        <v>29</v>
      </c>
      <c r="E15" s="196" t="s">
        <v>249</v>
      </c>
      <c r="F15" s="196" t="s">
        <v>257</v>
      </c>
      <c r="G15" s="196" t="s">
        <v>362</v>
      </c>
    </row>
    <row r="16" spans="2:7">
      <c r="B16" s="31" t="s">
        <v>188</v>
      </c>
      <c r="C16" s="202"/>
      <c r="D16" s="207"/>
      <c r="E16" s="207" t="s">
        <v>432</v>
      </c>
      <c r="F16" s="207" t="s">
        <v>433</v>
      </c>
      <c r="G16" s="207"/>
    </row>
    <row r="17" spans="2:7">
      <c r="B17" s="31" t="s">
        <v>55</v>
      </c>
      <c r="C17" s="203"/>
      <c r="D17" s="207" t="s">
        <v>266</v>
      </c>
      <c r="E17" s="207" t="s">
        <v>426</v>
      </c>
      <c r="F17" s="207" t="s">
        <v>427</v>
      </c>
      <c r="G17" s="207" t="s">
        <v>428</v>
      </c>
    </row>
    <row r="18" spans="2:7">
      <c r="B18" s="31" t="s">
        <v>267</v>
      </c>
      <c r="C18" s="203"/>
      <c r="D18" s="207" t="s">
        <v>268</v>
      </c>
      <c r="E18" s="207" t="s">
        <v>327</v>
      </c>
      <c r="F18" s="207" t="s">
        <v>339</v>
      </c>
      <c r="G18" s="207" t="s">
        <v>349</v>
      </c>
    </row>
    <row r="19" spans="2:7">
      <c r="B19" s="31" t="s">
        <v>99</v>
      </c>
      <c r="C19" s="203"/>
      <c r="D19" s="207" t="s">
        <v>281</v>
      </c>
      <c r="E19" s="207" t="s">
        <v>328</v>
      </c>
      <c r="F19" s="207" t="s">
        <v>425</v>
      </c>
      <c r="G19" s="207" t="s">
        <v>350</v>
      </c>
    </row>
    <row r="20" spans="2:7">
      <c r="B20" s="31" t="s">
        <v>226</v>
      </c>
      <c r="C20" s="203"/>
      <c r="D20" s="207" t="s">
        <v>272</v>
      </c>
      <c r="E20" s="207" t="s">
        <v>429</v>
      </c>
      <c r="F20" s="207" t="s">
        <v>430</v>
      </c>
      <c r="G20" s="207" t="s">
        <v>431</v>
      </c>
    </row>
    <row r="21" spans="2:7">
      <c r="B21" s="31" t="s">
        <v>411</v>
      </c>
      <c r="C21" s="203"/>
      <c r="D21" s="207"/>
      <c r="E21" s="207" t="s">
        <v>412</v>
      </c>
      <c r="F21" s="207" t="s">
        <v>413</v>
      </c>
      <c r="G21" s="207" t="s">
        <v>414</v>
      </c>
    </row>
    <row r="22" spans="2:7">
      <c r="B22" s="31" t="s">
        <v>269</v>
      </c>
      <c r="C22" s="203"/>
      <c r="D22" s="207" t="s">
        <v>270</v>
      </c>
      <c r="E22" s="207" t="s">
        <v>329</v>
      </c>
      <c r="F22" s="207" t="s">
        <v>340</v>
      </c>
      <c r="G22" s="207" t="s">
        <v>351</v>
      </c>
    </row>
    <row r="23" spans="2:7">
      <c r="B23" s="31" t="s">
        <v>271</v>
      </c>
      <c r="C23" s="203"/>
      <c r="D23" s="207" t="s">
        <v>282</v>
      </c>
      <c r="E23" s="207" t="s">
        <v>330</v>
      </c>
      <c r="F23" s="207" t="s">
        <v>341</v>
      </c>
      <c r="G23" s="207" t="s">
        <v>352</v>
      </c>
    </row>
    <row r="24" spans="2:7">
      <c r="B24" s="206" t="s">
        <v>101</v>
      </c>
      <c r="C24" s="170" t="s">
        <v>279</v>
      </c>
      <c r="D24" s="169" t="s">
        <v>283</v>
      </c>
      <c r="E24" s="169" t="s">
        <v>291</v>
      </c>
      <c r="F24" s="169" t="s">
        <v>292</v>
      </c>
      <c r="G24" s="169" t="s">
        <v>293</v>
      </c>
    </row>
    <row r="25" spans="2:7">
      <c r="B25" s="203"/>
      <c r="C25" s="203" t="s">
        <v>100</v>
      </c>
      <c r="D25" s="207" t="s">
        <v>284</v>
      </c>
      <c r="E25" s="207" t="s">
        <v>331</v>
      </c>
      <c r="F25" s="207" t="s">
        <v>342</v>
      </c>
      <c r="G25" s="207" t="s">
        <v>353</v>
      </c>
    </row>
    <row r="26" spans="2:7">
      <c r="B26" s="203"/>
      <c r="C26" s="203" t="s">
        <v>294</v>
      </c>
      <c r="D26" s="207" t="s">
        <v>295</v>
      </c>
      <c r="E26" s="207" t="s">
        <v>332</v>
      </c>
      <c r="F26" s="207" t="s">
        <v>343</v>
      </c>
      <c r="G26" s="207" t="s">
        <v>354</v>
      </c>
    </row>
    <row r="27" spans="2:7">
      <c r="B27" s="204"/>
      <c r="C27" s="210" t="s">
        <v>407</v>
      </c>
      <c r="D27" s="211"/>
      <c r="E27" s="211" t="s">
        <v>408</v>
      </c>
      <c r="F27" s="211" t="s">
        <v>409</v>
      </c>
      <c r="G27" s="211" t="s">
        <v>410</v>
      </c>
    </row>
    <row r="28" spans="2:7">
      <c r="B28" s="31" t="s">
        <v>277</v>
      </c>
      <c r="C28" s="203" t="s">
        <v>279</v>
      </c>
      <c r="D28" s="207" t="s">
        <v>285</v>
      </c>
      <c r="E28" s="207" t="s">
        <v>333</v>
      </c>
      <c r="F28" s="207" t="s">
        <v>344</v>
      </c>
      <c r="G28" s="207" t="s">
        <v>355</v>
      </c>
    </row>
    <row r="29" spans="2:7">
      <c r="B29" s="203"/>
      <c r="C29" s="203" t="s">
        <v>280</v>
      </c>
      <c r="D29" s="207" t="s">
        <v>286</v>
      </c>
      <c r="E29" s="207" t="s">
        <v>334</v>
      </c>
      <c r="F29" s="207" t="s">
        <v>345</v>
      </c>
      <c r="G29" s="207" t="s">
        <v>356</v>
      </c>
    </row>
    <row r="30" spans="2:7">
      <c r="B30" s="204"/>
      <c r="C30" s="204" t="s">
        <v>287</v>
      </c>
      <c r="D30" s="196" t="s">
        <v>288</v>
      </c>
      <c r="E30" s="196" t="s">
        <v>335</v>
      </c>
      <c r="F30" s="196" t="s">
        <v>346</v>
      </c>
      <c r="G30" s="196" t="s">
        <v>357</v>
      </c>
    </row>
    <row r="31" spans="2:7">
      <c r="B31" s="96" t="s">
        <v>278</v>
      </c>
      <c r="C31" s="204" t="s">
        <v>279</v>
      </c>
      <c r="D31" s="196" t="s">
        <v>289</v>
      </c>
      <c r="E31" s="196" t="s">
        <v>336</v>
      </c>
      <c r="F31" s="196" t="s">
        <v>347</v>
      </c>
      <c r="G31" s="196" t="s">
        <v>358</v>
      </c>
    </row>
    <row r="32" spans="2:7">
      <c r="B32" s="204" t="s">
        <v>273</v>
      </c>
      <c r="C32" s="204"/>
      <c r="D32" s="196" t="s">
        <v>273</v>
      </c>
      <c r="E32" s="196" t="s">
        <v>274</v>
      </c>
      <c r="F32" s="196" t="s">
        <v>275</v>
      </c>
      <c r="G32" s="196" t="s">
        <v>276</v>
      </c>
    </row>
    <row r="34" spans="2:12">
      <c r="D34"/>
      <c r="E34"/>
      <c r="F34"/>
      <c r="G34"/>
    </row>
    <row r="35" spans="2:12">
      <c r="B35" s="170"/>
      <c r="C35" s="170"/>
      <c r="D35" s="169" t="s">
        <v>405</v>
      </c>
      <c r="E35" s="169" t="s">
        <v>406</v>
      </c>
      <c r="F35" s="169" t="s">
        <v>299</v>
      </c>
      <c r="G35" s="169" t="s">
        <v>300</v>
      </c>
      <c r="H35" s="169" t="s">
        <v>301</v>
      </c>
      <c r="I35" s="169" t="s">
        <v>302</v>
      </c>
      <c r="J35" s="169" t="s">
        <v>303</v>
      </c>
      <c r="K35" s="169" t="s">
        <v>304</v>
      </c>
      <c r="L35" s="169" t="s">
        <v>305</v>
      </c>
    </row>
    <row r="36" spans="2:12">
      <c r="B36" s="204"/>
      <c r="C36" s="204"/>
      <c r="D36" s="204" t="s">
        <v>306</v>
      </c>
      <c r="E36" s="204" t="s">
        <v>200</v>
      </c>
      <c r="F36" s="204" t="s">
        <v>307</v>
      </c>
      <c r="G36" s="204" t="s">
        <v>308</v>
      </c>
      <c r="H36" s="204" t="s">
        <v>309</v>
      </c>
      <c r="I36" s="204" t="s">
        <v>310</v>
      </c>
      <c r="J36" s="204" t="s">
        <v>311</v>
      </c>
      <c r="K36" s="204" t="s">
        <v>312</v>
      </c>
      <c r="L36" s="204" t="s">
        <v>313</v>
      </c>
    </row>
    <row r="37" spans="2:12">
      <c r="B37" s="203" t="s">
        <v>324</v>
      </c>
      <c r="C37" s="203" t="s">
        <v>314</v>
      </c>
      <c r="D37" s="207" t="s">
        <v>415</v>
      </c>
      <c r="E37" s="207" t="s">
        <v>419</v>
      </c>
      <c r="F37" s="207" t="s">
        <v>363</v>
      </c>
      <c r="G37" s="207" t="s">
        <v>364</v>
      </c>
      <c r="H37" s="207" t="s">
        <v>383</v>
      </c>
      <c r="I37" s="207" t="s">
        <v>381</v>
      </c>
      <c r="J37" s="207" t="s">
        <v>382</v>
      </c>
      <c r="K37" s="207" t="s">
        <v>384</v>
      </c>
      <c r="L37" s="207" t="s">
        <v>402</v>
      </c>
    </row>
    <row r="38" spans="2:12">
      <c r="B38" s="203" t="s">
        <v>325</v>
      </c>
      <c r="C38" s="203" t="s">
        <v>315</v>
      </c>
      <c r="D38" s="207" t="s">
        <v>416</v>
      </c>
      <c r="E38" s="207" t="s">
        <v>420</v>
      </c>
      <c r="F38" s="207" t="s">
        <v>365</v>
      </c>
      <c r="G38" s="207" t="s">
        <v>369</v>
      </c>
      <c r="H38" s="207" t="s">
        <v>373</v>
      </c>
      <c r="I38" s="207" t="s">
        <v>392</v>
      </c>
      <c r="J38" s="207" t="s">
        <v>393</v>
      </c>
      <c r="K38" s="207" t="s">
        <v>394</v>
      </c>
      <c r="L38" s="207" t="s">
        <v>377</v>
      </c>
    </row>
    <row r="39" spans="2:12">
      <c r="B39" s="203" t="s">
        <v>316</v>
      </c>
      <c r="C39" s="203" t="s">
        <v>317</v>
      </c>
      <c r="D39" s="207" t="s">
        <v>417</v>
      </c>
      <c r="E39" s="207" t="s">
        <v>421</v>
      </c>
      <c r="F39" s="207" t="s">
        <v>366</v>
      </c>
      <c r="G39" s="207" t="s">
        <v>370</v>
      </c>
      <c r="H39" s="207" t="s">
        <v>374</v>
      </c>
      <c r="I39" s="207" t="s">
        <v>389</v>
      </c>
      <c r="J39" s="207" t="s">
        <v>390</v>
      </c>
      <c r="K39" s="207" t="s">
        <v>391</v>
      </c>
      <c r="L39" s="207" t="s">
        <v>378</v>
      </c>
    </row>
    <row r="40" spans="2:12">
      <c r="B40" s="203" t="s">
        <v>318</v>
      </c>
      <c r="C40" s="203" t="s">
        <v>319</v>
      </c>
      <c r="D40" s="207" t="s">
        <v>418</v>
      </c>
      <c r="E40" s="207" t="s">
        <v>424</v>
      </c>
      <c r="F40" s="207" t="s">
        <v>388</v>
      </c>
      <c r="G40" s="207" t="s">
        <v>387</v>
      </c>
      <c r="H40" s="207" t="s">
        <v>386</v>
      </c>
      <c r="I40" s="207" t="s">
        <v>396</v>
      </c>
      <c r="J40" s="207" t="s">
        <v>397</v>
      </c>
      <c r="K40" s="207" t="s">
        <v>395</v>
      </c>
      <c r="L40" s="207" t="s">
        <v>385</v>
      </c>
    </row>
    <row r="41" spans="2:12">
      <c r="B41" s="203" t="s">
        <v>320</v>
      </c>
      <c r="C41" s="203" t="s">
        <v>321</v>
      </c>
      <c r="D41" s="207" t="s">
        <v>322</v>
      </c>
      <c r="E41" s="207" t="s">
        <v>422</v>
      </c>
      <c r="F41" s="207" t="s">
        <v>367</v>
      </c>
      <c r="G41" s="207" t="s">
        <v>371</v>
      </c>
      <c r="H41" s="207" t="s">
        <v>375</v>
      </c>
      <c r="I41" s="207" t="s">
        <v>403</v>
      </c>
      <c r="J41" s="207" t="s">
        <v>404</v>
      </c>
      <c r="K41" s="207" t="s">
        <v>401</v>
      </c>
      <c r="L41" s="207" t="s">
        <v>379</v>
      </c>
    </row>
    <row r="42" spans="2:12">
      <c r="B42" s="204" t="s">
        <v>297</v>
      </c>
      <c r="C42" s="204" t="s">
        <v>323</v>
      </c>
      <c r="D42" s="196"/>
      <c r="E42" s="196" t="s">
        <v>423</v>
      </c>
      <c r="F42" s="196" t="s">
        <v>368</v>
      </c>
      <c r="G42" s="196" t="s">
        <v>372</v>
      </c>
      <c r="H42" s="196" t="s">
        <v>376</v>
      </c>
      <c r="I42" s="196" t="s">
        <v>398</v>
      </c>
      <c r="J42" s="196" t="s">
        <v>399</v>
      </c>
      <c r="K42" s="196" t="s">
        <v>400</v>
      </c>
      <c r="L42" s="196" t="s">
        <v>380</v>
      </c>
    </row>
    <row r="43" spans="2:12">
      <c r="D43"/>
      <c r="E43"/>
      <c r="F43"/>
      <c r="G43"/>
    </row>
    <row r="44" spans="2:12">
      <c r="D44"/>
      <c r="E44"/>
      <c r="F44"/>
      <c r="G44"/>
    </row>
    <row r="45" spans="2:12">
      <c r="D45"/>
      <c r="E45"/>
      <c r="F45"/>
      <c r="G45"/>
    </row>
  </sheetData>
  <mergeCells count="1">
    <mergeCell ref="B4:C4"/>
  </mergeCells>
  <phoneticPr fontId="1" type="noConversion"/>
  <pageMargins left="0.25" right="0.25" top="0.75" bottom="0.75" header="0.3" footer="0.3"/>
  <pageSetup paperSize="9" scale="6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F023A-850C-4036-BDAD-E0C68651FA15}">
  <sheetPr codeName="Sheet11"/>
  <dimension ref="A1:V43"/>
  <sheetViews>
    <sheetView workbookViewId="0"/>
  </sheetViews>
  <sheetFormatPr defaultColWidth="8.69921875" defaultRowHeight="15.6"/>
  <cols>
    <col min="1" max="1" width="8.69921875" style="77"/>
    <col min="2" max="2" width="13.09765625" style="77" customWidth="1"/>
    <col min="3" max="3" width="11.8984375" style="77" customWidth="1"/>
    <col min="4" max="4" width="14.69921875" style="77" customWidth="1"/>
    <col min="5" max="6" width="12.3984375" style="77" customWidth="1"/>
    <col min="7" max="7" width="11" style="77" customWidth="1"/>
    <col min="8" max="8" width="12.19921875" style="77" customWidth="1"/>
    <col min="9" max="9" width="11.8984375" style="77" customWidth="1"/>
    <col min="10" max="10" width="14.19921875" style="77" customWidth="1"/>
    <col min="11" max="11" width="14.8984375" style="77" customWidth="1"/>
    <col min="12" max="12" width="11.5" style="77" customWidth="1"/>
    <col min="13" max="13" width="8.69921875" style="77"/>
    <col min="14" max="14" width="12.19921875" style="77" customWidth="1"/>
    <col min="15" max="15" width="12.5" style="77" customWidth="1"/>
    <col min="16" max="16" width="11.59765625" style="77" customWidth="1"/>
    <col min="17" max="17" width="12.69921875" style="77" customWidth="1"/>
    <col min="18" max="18" width="16.8984375" style="77" customWidth="1"/>
    <col min="19" max="19" width="12.59765625" style="77" customWidth="1"/>
    <col min="20" max="20" width="15.5" style="77" customWidth="1"/>
    <col min="21" max="21" width="12.8984375" style="77" customWidth="1"/>
    <col min="22" max="16384" width="8.69921875" style="77"/>
  </cols>
  <sheetData>
    <row r="1" spans="2:22" ht="16.2" thickBot="1"/>
    <row r="2" spans="2:22" ht="29.4" customHeight="1" thickBot="1">
      <c r="B2" s="145" t="e">
        <f>"■ 상품 요율체크"&amp;" : "&amp;D5</f>
        <v>#REF!</v>
      </c>
      <c r="C2" s="143"/>
      <c r="D2" s="143"/>
      <c r="E2" s="143"/>
      <c r="F2" s="144"/>
    </row>
    <row r="4" spans="2:22" ht="19.8" thickBot="1">
      <c r="B4" s="102" t="s">
        <v>96</v>
      </c>
      <c r="C4" s="76"/>
      <c r="D4" s="76"/>
      <c r="E4" s="76"/>
      <c r="F4" s="76"/>
      <c r="G4" s="141" t="s">
        <v>97</v>
      </c>
      <c r="I4" s="13"/>
      <c r="N4" s="141" t="s">
        <v>230</v>
      </c>
    </row>
    <row r="5" spans="2:22">
      <c r="B5" s="166" t="s">
        <v>197</v>
      </c>
      <c r="C5" s="82">
        <v>6</v>
      </c>
      <c r="D5" s="654" t="e">
        <f>HLOOKUP(C5,#REF!,2)</f>
        <v>#REF!</v>
      </c>
      <c r="E5" s="655"/>
      <c r="F5" s="76"/>
      <c r="N5" s="656" t="s">
        <v>115</v>
      </c>
      <c r="O5" s="159" t="s">
        <v>1</v>
      </c>
      <c r="P5" s="186" t="e">
        <f>#REF!</f>
        <v>#REF!</v>
      </c>
      <c r="Q5" s="159" t="s">
        <v>195</v>
      </c>
      <c r="R5" s="159" t="s">
        <v>193</v>
      </c>
      <c r="S5" s="160" t="s">
        <v>194</v>
      </c>
    </row>
    <row r="6" spans="2:22" ht="17.399999999999999">
      <c r="B6" s="106" t="s">
        <v>212</v>
      </c>
      <c r="C6" s="163">
        <v>1</v>
      </c>
      <c r="D6" s="77" t="str">
        <f>CHOOSE(C6,"무해지","유해지")</f>
        <v>무해지</v>
      </c>
      <c r="F6" s="76"/>
      <c r="G6" s="83"/>
      <c r="H6" s="84"/>
      <c r="I6" s="69" t="s">
        <v>41</v>
      </c>
      <c r="J6" s="85" t="s">
        <v>115</v>
      </c>
      <c r="N6" s="657"/>
      <c r="O6" s="85" t="s">
        <v>3</v>
      </c>
      <c r="P6" s="185" t="e">
        <f>#REF!</f>
        <v>#REF!</v>
      </c>
      <c r="Q6" s="85" t="s">
        <v>192</v>
      </c>
      <c r="R6" s="194" t="e">
        <f ca="1">#REF!/정기보험!H23</f>
        <v>#REF!</v>
      </c>
      <c r="S6" s="187">
        <v>0.11381233513717202</v>
      </c>
    </row>
    <row r="7" spans="2:22" ht="18" thickBot="1">
      <c r="B7" s="106" t="str">
        <f>+IF(C7=1,"표준체","우량체")</f>
        <v>표준체</v>
      </c>
      <c r="C7" s="163">
        <v>1</v>
      </c>
      <c r="D7" s="76" t="s">
        <v>44</v>
      </c>
      <c r="E7" s="76"/>
      <c r="F7" s="78"/>
      <c r="G7" s="108" t="s">
        <v>101</v>
      </c>
      <c r="H7" s="69" t="s">
        <v>45</v>
      </c>
      <c r="I7" s="111" t="e">
        <f ca="1">_xlfn.XLOOKUP($C$11,$G$17:$G$21,H$17:H$21,,1)</f>
        <v>#REF!</v>
      </c>
      <c r="J7" s="18" t="s">
        <v>99</v>
      </c>
      <c r="N7" s="658"/>
      <c r="O7" s="161" t="s">
        <v>2</v>
      </c>
      <c r="P7" s="188" t="e">
        <f>#REF!</f>
        <v>#REF!</v>
      </c>
      <c r="Q7" s="161" t="s">
        <v>191</v>
      </c>
      <c r="R7" s="195">
        <f ca="1">무해지!H24/정기보험!H23</f>
        <v>2.1882182986561966E-3</v>
      </c>
      <c r="S7" s="189">
        <v>0.15254248689350677</v>
      </c>
    </row>
    <row r="8" spans="2:22" ht="17.399999999999999">
      <c r="B8" s="106" t="s">
        <v>0</v>
      </c>
      <c r="C8" s="114">
        <v>2</v>
      </c>
      <c r="D8" s="76" t="str">
        <f>+IF(sex=1,"남자","여자")</f>
        <v>여자</v>
      </c>
      <c r="E8" s="76"/>
      <c r="F8" s="79"/>
      <c r="G8" s="109"/>
      <c r="H8" s="69" t="s">
        <v>91</v>
      </c>
      <c r="I8" s="112" t="e">
        <f ca="1">_xlfn.XLOOKUP($C$11,$G$17:$G$21,I$17:I$21,,1)</f>
        <v>#REF!</v>
      </c>
      <c r="J8" s="82" t="s">
        <v>100</v>
      </c>
    </row>
    <row r="9" spans="2:22" ht="17.399999999999999">
      <c r="B9" s="106" t="s">
        <v>1</v>
      </c>
      <c r="C9" s="174">
        <v>40</v>
      </c>
      <c r="D9" s="76"/>
      <c r="E9" s="76"/>
      <c r="F9" s="79"/>
      <c r="G9" s="110"/>
      <c r="H9" s="85" t="s">
        <v>98</v>
      </c>
      <c r="I9" s="146">
        <v>0</v>
      </c>
      <c r="J9" s="18" t="s">
        <v>164</v>
      </c>
    </row>
    <row r="10" spans="2:22" ht="19.2">
      <c r="B10" s="106" t="s">
        <v>232</v>
      </c>
      <c r="C10" s="114">
        <f>+IF(D17="년만기",C17,C17-x)</f>
        <v>50</v>
      </c>
      <c r="D10" s="76" t="s">
        <v>234</v>
      </c>
      <c r="E10" s="76"/>
      <c r="F10" s="79"/>
      <c r="G10" s="108" t="s">
        <v>102</v>
      </c>
      <c r="H10" s="69" t="s">
        <v>43</v>
      </c>
      <c r="I10" s="113" t="e">
        <f ca="1">OFFSET(#REF!,0,)</f>
        <v>#REF!</v>
      </c>
      <c r="J10" s="18" t="s">
        <v>99</v>
      </c>
      <c r="N10" s="141" t="s">
        <v>231</v>
      </c>
      <c r="O10" s="141"/>
      <c r="P10" s="141"/>
      <c r="Q10" s="141"/>
      <c r="R10" s="141"/>
      <c r="S10" s="141"/>
    </row>
    <row r="11" spans="2:22" ht="19.2">
      <c r="B11" s="106" t="s">
        <v>3</v>
      </c>
      <c r="C11" s="174">
        <v>20</v>
      </c>
      <c r="D11" s="48" t="s">
        <v>233</v>
      </c>
      <c r="E11" s="80"/>
      <c r="F11" s="80"/>
      <c r="G11" s="109"/>
      <c r="H11" s="69" t="s">
        <v>95</v>
      </c>
      <c r="I11" s="173" t="e">
        <f ca="1">OFFSET(#REF!,0,)</f>
        <v>#REF!</v>
      </c>
      <c r="J11" s="82" t="s">
        <v>100</v>
      </c>
      <c r="N11" s="141"/>
      <c r="O11" s="141"/>
      <c r="P11" s="141"/>
      <c r="Q11" s="141"/>
      <c r="R11" s="141"/>
      <c r="S11" s="141"/>
    </row>
    <row r="12" spans="2:22" ht="19.2">
      <c r="B12" s="106" t="s">
        <v>4</v>
      </c>
      <c r="C12" s="114">
        <v>12</v>
      </c>
      <c r="D12" s="48" t="str">
        <f>CHOOSE(mm,"년납","6월납",,"3월납",,,,,,,,"월납")</f>
        <v>월납</v>
      </c>
      <c r="E12" s="80"/>
      <c r="F12" s="80"/>
      <c r="G12" s="109"/>
      <c r="H12" s="69" t="s">
        <v>94</v>
      </c>
      <c r="I12" s="173" t="e">
        <f ca="1">OFFSET(#REF!,0,)</f>
        <v>#REF!</v>
      </c>
      <c r="J12" s="82" t="s">
        <v>104</v>
      </c>
      <c r="N12" s="141" t="s">
        <v>189</v>
      </c>
      <c r="O12" s="141"/>
      <c r="P12" s="141"/>
      <c r="Q12" s="141"/>
      <c r="R12" s="141"/>
      <c r="S12" s="141" t="s">
        <v>190</v>
      </c>
    </row>
    <row r="13" spans="2:22" ht="17.399999999999999">
      <c r="B13" s="106" t="s">
        <v>5</v>
      </c>
      <c r="C13" s="115">
        <v>2.5000000000000001E-2</v>
      </c>
      <c r="D13" s="76"/>
      <c r="E13" s="76"/>
      <c r="F13" s="81"/>
      <c r="G13" s="110"/>
      <c r="H13" s="69" t="s">
        <v>103</v>
      </c>
      <c r="I13" s="173" t="e">
        <f ca="1">OFFSET(#REF!,0,)</f>
        <v>#REF!</v>
      </c>
      <c r="J13" s="82" t="s">
        <v>99</v>
      </c>
      <c r="N13" s="190" t="e">
        <f>#REF!*[0]!SA</f>
        <v>#REF!</v>
      </c>
      <c r="O13" s="190">
        <v>30</v>
      </c>
      <c r="P13" s="190">
        <v>40</v>
      </c>
      <c r="Q13" s="190">
        <v>50</v>
      </c>
      <c r="S13" s="190">
        <f ca="1">무해지!H29*무해지!SB</f>
        <v>6</v>
      </c>
      <c r="T13" s="190">
        <v>30</v>
      </c>
      <c r="U13" s="190">
        <v>40</v>
      </c>
      <c r="V13" s="190">
        <v>50</v>
      </c>
    </row>
    <row r="14" spans="2:22">
      <c r="B14" s="106" t="s">
        <v>6</v>
      </c>
      <c r="C14" s="177" cm="1">
        <f t="array" ref="C14">1/(1+i)</f>
        <v>0.97560975609756106</v>
      </c>
      <c r="D14" s="76"/>
      <c r="E14" s="76"/>
      <c r="F14" s="81"/>
      <c r="N14" s="190">
        <v>1</v>
      </c>
      <c r="O14" s="158" t="e">
        <f t="dataTable" ref="O14:Q15" dt2D="1" dtr="1" r1="C9" r2="C8"/>
        <v>#REF!</v>
      </c>
      <c r="P14" s="158" t="e">
        <v>#REF!</v>
      </c>
      <c r="Q14" s="158" t="e">
        <v>#REF!</v>
      </c>
      <c r="S14" s="190">
        <v>1</v>
      </c>
      <c r="T14" s="158">
        <f t="dataTable" ref="T14:V15" dt2D="1" dtr="1" r1="C9" r2="C8" ca="1"/>
        <v>6</v>
      </c>
      <c r="U14" s="158">
        <v>6</v>
      </c>
      <c r="V14" s="158">
        <v>6</v>
      </c>
    </row>
    <row r="15" spans="2:22" ht="19.2">
      <c r="B15" s="106" t="s">
        <v>16</v>
      </c>
      <c r="C15" s="116">
        <v>10000000</v>
      </c>
      <c r="D15" s="76"/>
      <c r="E15" s="79"/>
      <c r="F15" s="79"/>
      <c r="G15" s="141" t="s">
        <v>114</v>
      </c>
      <c r="N15" s="190">
        <v>2</v>
      </c>
      <c r="O15" s="158" t="e">
        <v>#REF!</v>
      </c>
      <c r="P15" s="158" t="e">
        <v>#REF!</v>
      </c>
      <c r="Q15" s="158" t="e">
        <v>#REF!</v>
      </c>
      <c r="S15" s="190">
        <v>2</v>
      </c>
      <c r="T15" s="158">
        <v>6</v>
      </c>
      <c r="U15" s="158">
        <v>6</v>
      </c>
      <c r="V15" s="158">
        <v>6</v>
      </c>
    </row>
    <row r="16" spans="2:22">
      <c r="B16" s="106" t="s">
        <v>29</v>
      </c>
      <c r="C16" s="117">
        <v>6</v>
      </c>
      <c r="D16" s="76"/>
      <c r="E16" s="76"/>
      <c r="F16" s="81"/>
      <c r="G16" s="85" t="s">
        <v>116</v>
      </c>
      <c r="H16" s="85" t="s">
        <v>165</v>
      </c>
      <c r="I16" s="85" t="s">
        <v>166</v>
      </c>
    </row>
    <row r="17" spans="1:21">
      <c r="B17" s="106" t="s">
        <v>2</v>
      </c>
      <c r="C17" s="174">
        <v>90</v>
      </c>
      <c r="D17" s="77" t="str">
        <f>IF(C17&lt;=30,"년만기","세만기")</f>
        <v>세만기</v>
      </c>
      <c r="E17" s="76"/>
      <c r="F17" s="81"/>
      <c r="G17" s="107">
        <v>5</v>
      </c>
      <c r="H17" s="86" t="e">
        <f ca="1">OFFSET(#REF!,0,)</f>
        <v>#REF!</v>
      </c>
      <c r="I17" s="142" t="e">
        <f ca="1">OFFSET(#REF!,0,)</f>
        <v>#REF!</v>
      </c>
    </row>
    <row r="18" spans="1:21" ht="17.399999999999999">
      <c r="F18" s="79"/>
      <c r="G18" s="107">
        <v>10</v>
      </c>
      <c r="H18" s="86" t="e">
        <f ca="1">OFFSET(#REF!,0,)</f>
        <v>#REF!</v>
      </c>
      <c r="I18" s="142" t="e">
        <f ca="1">OFFSET(#REF!,0,)</f>
        <v>#REF!</v>
      </c>
      <c r="N18" s="18"/>
      <c r="O18" s="69" t="s">
        <v>56</v>
      </c>
      <c r="P18" s="69" t="s">
        <v>57</v>
      </c>
      <c r="S18" s="69"/>
      <c r="T18" s="69" t="s">
        <v>56</v>
      </c>
      <c r="U18" s="69" t="s">
        <v>57</v>
      </c>
    </row>
    <row r="19" spans="1:21" ht="17.399999999999999">
      <c r="G19" s="107">
        <v>15</v>
      </c>
      <c r="H19" s="86" t="e">
        <f ca="1">OFFSET(#REF!,0,)</f>
        <v>#REF!</v>
      </c>
      <c r="I19" s="142" t="e">
        <f ca="1">OFFSET(#REF!,0,)</f>
        <v>#REF!</v>
      </c>
      <c r="N19" s="82" t="s">
        <v>99</v>
      </c>
      <c r="O19" s="164" t="e">
        <f>#REF!*[0]!SA</f>
        <v>#REF!</v>
      </c>
      <c r="P19" s="164"/>
      <c r="Q19" s="197"/>
      <c r="R19" s="197"/>
      <c r="S19" s="164" t="s">
        <v>99</v>
      </c>
      <c r="T19" s="164">
        <f ca="1">무해지!H29*무해지!SB</f>
        <v>6</v>
      </c>
      <c r="U19" s="164"/>
    </row>
    <row r="20" spans="1:21" ht="17.399999999999999">
      <c r="G20" s="107">
        <f>n</f>
        <v>50</v>
      </c>
      <c r="H20" s="86" t="e">
        <f ca="1">OFFSET(#REF!,0,)</f>
        <v>#REF!</v>
      </c>
      <c r="I20" s="142" t="e">
        <f ca="1">OFFSET(#REF!,0,)</f>
        <v>#REF!</v>
      </c>
      <c r="N20" s="18" t="s">
        <v>55</v>
      </c>
      <c r="O20" s="45" t="e">
        <f>ROUND(#REF!,round)*S</f>
        <v>#REF!</v>
      </c>
      <c r="P20" s="45" t="e">
        <f>O20</f>
        <v>#REF!</v>
      </c>
      <c r="Q20" s="197"/>
      <c r="R20" s="197"/>
      <c r="S20" s="45" t="s">
        <v>55</v>
      </c>
      <c r="T20" s="45" t="e">
        <f ca="1">ROUND(무해지!K25,round)*S</f>
        <v>#REF!</v>
      </c>
      <c r="U20" s="45" t="e">
        <f ca="1">T20</f>
        <v>#REF!</v>
      </c>
    </row>
    <row r="21" spans="1:21" ht="17.399999999999999">
      <c r="G21" s="107">
        <v>99</v>
      </c>
      <c r="H21" s="86" t="e">
        <f ca="1">OFFSET(#REF!,0,)</f>
        <v>#REF!</v>
      </c>
      <c r="I21" s="142" t="e">
        <f ca="1">OFFSET(#REF!,0,)</f>
        <v>#REF!</v>
      </c>
      <c r="N21" s="37">
        <v>1</v>
      </c>
      <c r="O21" s="45" t="e">
        <f>VLOOKUP(x+N21,#REF!,#REF!,FALSE)*S</f>
        <v>#REF!</v>
      </c>
      <c r="P21" s="45" t="e">
        <f>VLOOKUP(x+N21,#REF!,#REF!,FALSE)*S</f>
        <v>#REF!</v>
      </c>
      <c r="Q21" s="197"/>
      <c r="R21" s="197"/>
      <c r="S21" s="198">
        <v>1</v>
      </c>
      <c r="T21" s="45" t="e">
        <f>VLOOKUP(x+S21,무해지!$S$12:$DA$124,무해지!$CZ$1,FALSE)*S</f>
        <v>#N/A</v>
      </c>
      <c r="U21" s="45" t="e">
        <f>VLOOKUP(x+S21,무해지!$S$12:$DA$124,무해지!$CY$1,FALSE)*S</f>
        <v>#N/A</v>
      </c>
    </row>
    <row r="22" spans="1:21" ht="17.399999999999999">
      <c r="N22" s="37">
        <v>3</v>
      </c>
      <c r="O22" s="45" t="e">
        <f>VLOOKUP(x+N22,#REF!,#REF!,FALSE)*S</f>
        <v>#REF!</v>
      </c>
      <c r="P22" s="45" t="e">
        <f>VLOOKUP(x+N22,#REF!,#REF!,FALSE)*S</f>
        <v>#REF!</v>
      </c>
      <c r="Q22" s="197"/>
      <c r="R22" s="197"/>
      <c r="S22" s="198">
        <v>3</v>
      </c>
      <c r="T22" s="45" t="e">
        <f>VLOOKUP(x+S22,무해지!$S$12:$DA$124,무해지!$CZ$1,FALSE)*S</f>
        <v>#N/A</v>
      </c>
      <c r="U22" s="45" t="e">
        <f>VLOOKUP(x+S22,무해지!$S$12:$DA$124,무해지!$CY$1,FALSE)*S</f>
        <v>#N/A</v>
      </c>
    </row>
    <row r="23" spans="1:21" ht="19.2">
      <c r="B23" s="141" t="s">
        <v>120</v>
      </c>
      <c r="D23" s="82">
        <v>0</v>
      </c>
      <c r="E23" s="82">
        <v>4</v>
      </c>
      <c r="F23" s="82">
        <f>+E23+5</f>
        <v>9</v>
      </c>
      <c r="G23" s="82">
        <f t="shared" ref="G23:L23" si="0">+F23+5</f>
        <v>14</v>
      </c>
      <c r="H23" s="82">
        <f t="shared" si="0"/>
        <v>19</v>
      </c>
      <c r="I23" s="82">
        <f t="shared" si="0"/>
        <v>24</v>
      </c>
      <c r="J23" s="82">
        <f t="shared" si="0"/>
        <v>29</v>
      </c>
      <c r="K23" s="82">
        <f t="shared" si="0"/>
        <v>34</v>
      </c>
      <c r="L23" s="82">
        <f t="shared" si="0"/>
        <v>39</v>
      </c>
      <c r="N23" s="37">
        <v>5</v>
      </c>
      <c r="O23" s="45" t="e">
        <f>VLOOKUP(x+N23,#REF!,#REF!,FALSE)*S</f>
        <v>#REF!</v>
      </c>
      <c r="P23" s="45" t="e">
        <f>VLOOKUP(x+N23,#REF!,#REF!,FALSE)*S</f>
        <v>#REF!</v>
      </c>
      <c r="Q23" s="197"/>
      <c r="R23" s="197"/>
      <c r="S23" s="198">
        <v>5</v>
      </c>
      <c r="T23" s="45" t="e">
        <f>VLOOKUP(x+S23,무해지!$S$12:$DA$124,무해지!$CZ$1,FALSE)*S</f>
        <v>#N/A</v>
      </c>
      <c r="U23" s="45" t="e">
        <f>VLOOKUP(x+S23,무해지!$S$12:$DA$124,무해지!$CY$1,FALSE)*S</f>
        <v>#N/A</v>
      </c>
    </row>
    <row r="24" spans="1:21" ht="17.399999999999999">
      <c r="B24" s="178"/>
      <c r="C24" s="179"/>
      <c r="D24" s="105" t="s">
        <v>405</v>
      </c>
      <c r="E24" s="105" t="s">
        <v>406</v>
      </c>
      <c r="F24" s="105" t="s">
        <v>83</v>
      </c>
      <c r="G24" s="105" t="s">
        <v>84</v>
      </c>
      <c r="H24" s="105" t="s">
        <v>85</v>
      </c>
      <c r="I24" s="105" t="s">
        <v>86</v>
      </c>
      <c r="J24" s="105" t="s">
        <v>87</v>
      </c>
      <c r="K24" s="105" t="s">
        <v>167</v>
      </c>
      <c r="L24" s="105" t="s">
        <v>168</v>
      </c>
      <c r="N24" s="37">
        <v>7</v>
      </c>
      <c r="O24" s="45" t="e">
        <f>VLOOKUP(x+N24,#REF!,#REF!,FALSE)*S</f>
        <v>#REF!</v>
      </c>
      <c r="P24" s="45" t="e">
        <f>VLOOKUP(x+N24,#REF!,#REF!,FALSE)*S</f>
        <v>#REF!</v>
      </c>
      <c r="Q24" s="197"/>
      <c r="R24" s="197"/>
      <c r="S24" s="198">
        <v>7</v>
      </c>
      <c r="T24" s="45" t="e">
        <f>VLOOKUP(x+S24,무해지!$S$12:$DA$124,무해지!$CZ$1,FALSE)*S</f>
        <v>#N/A</v>
      </c>
      <c r="U24" s="45" t="e">
        <f>VLOOKUP(x+S24,무해지!$S$12:$DA$124,무해지!$CY$1,FALSE)*S</f>
        <v>#N/A</v>
      </c>
    </row>
    <row r="25" spans="1:21" ht="17.399999999999999">
      <c r="B25" s="180"/>
      <c r="C25" s="181"/>
      <c r="D25" s="85" t="s">
        <v>436</v>
      </c>
      <c r="E25" s="85" t="s">
        <v>437</v>
      </c>
      <c r="F25" s="85" t="s">
        <v>203</v>
      </c>
      <c r="G25" s="85" t="s">
        <v>204</v>
      </c>
      <c r="H25" s="85" t="s">
        <v>205</v>
      </c>
      <c r="I25" s="85" t="s">
        <v>206</v>
      </c>
      <c r="J25" s="85" t="s">
        <v>207</v>
      </c>
      <c r="K25" s="85" t="s">
        <v>208</v>
      </c>
      <c r="L25" s="85" t="s">
        <v>209</v>
      </c>
      <c r="N25" s="37">
        <v>10</v>
      </c>
      <c r="O25" s="45" t="e">
        <f>VLOOKUP(x+N25,#REF!,#REF!,FALSE)*S</f>
        <v>#REF!</v>
      </c>
      <c r="P25" s="45" t="e">
        <f>VLOOKUP(x+N25,#REF!,#REF!,FALSE)*S</f>
        <v>#REF!</v>
      </c>
      <c r="Q25" s="197"/>
      <c r="R25" s="197"/>
      <c r="S25" s="198">
        <v>10</v>
      </c>
      <c r="T25" s="45" t="e">
        <f>VLOOKUP(x+S25,무해지!$S$12:$DA$124,무해지!$CZ$1,FALSE)*S</f>
        <v>#N/A</v>
      </c>
      <c r="U25" s="45" t="e">
        <f>VLOOKUP(x+S25,무해지!$S$12:$DA$124,무해지!$CY$1,FALSE)*S</f>
        <v>#N/A</v>
      </c>
    </row>
    <row r="26" spans="1:21" ht="17.399999999999999">
      <c r="B26" s="105" t="s">
        <v>324</v>
      </c>
      <c r="C26" s="85" t="s">
        <v>47</v>
      </c>
      <c r="D26" s="85" t="e">
        <f ca="1">OFFSET(#REF!,D$23,)</f>
        <v>#REF!</v>
      </c>
      <c r="E26" s="85" t="e">
        <f ca="1">OFFSET(#REF!,E$23,)</f>
        <v>#REF!</v>
      </c>
      <c r="F26" s="85" t="e">
        <f ca="1">OFFSET(#REF!,F$23,)</f>
        <v>#REF!</v>
      </c>
      <c r="G26" s="85" t="e">
        <f ca="1">OFFSET(#REF!,G$23,)</f>
        <v>#REF!</v>
      </c>
      <c r="H26" s="85" t="e">
        <f ca="1">OFFSET(#REF!,H$23,)</f>
        <v>#REF!</v>
      </c>
      <c r="I26" s="85" t="e">
        <f ca="1">OFFSET(#REF!,I$23,)</f>
        <v>#REF!</v>
      </c>
      <c r="J26" s="85" t="e">
        <f ca="1">OFFSET(#REF!,J$23,)</f>
        <v>#REF!</v>
      </c>
      <c r="K26" s="85" t="e">
        <f ca="1">OFFSET(#REF!,K$23,)</f>
        <v>#REF!</v>
      </c>
      <c r="L26" s="85" t="e">
        <f ca="1">OFFSET(#REF!,L$23,)</f>
        <v>#REF!</v>
      </c>
      <c r="N26" s="37">
        <v>20</v>
      </c>
      <c r="O26" s="45" t="e">
        <f>VLOOKUP(x+N26,#REF!,#REF!,FALSE)*S</f>
        <v>#REF!</v>
      </c>
      <c r="P26" s="45" t="e">
        <f>VLOOKUP(x+N26,#REF!,#REF!,FALSE)*S</f>
        <v>#REF!</v>
      </c>
      <c r="Q26" s="197"/>
      <c r="R26" s="197"/>
      <c r="S26" s="198">
        <v>20</v>
      </c>
      <c r="T26" s="45" t="e">
        <f>VLOOKUP(x+S26,무해지!$S$12:$DA$124,무해지!$CZ$1,FALSE)*S</f>
        <v>#N/A</v>
      </c>
      <c r="U26" s="45" t="e">
        <f>VLOOKUP(x+S26,무해지!$S$12:$DA$124,무해지!$CY$1,FALSE)*S</f>
        <v>#N/A</v>
      </c>
    </row>
    <row r="27" spans="1:21" ht="17.399999999999999">
      <c r="B27" s="105" t="s">
        <v>325</v>
      </c>
      <c r="C27" s="85" t="s">
        <v>210</v>
      </c>
      <c r="D27" s="85" t="e">
        <f ca="1">OFFSET(#REF!,D$23,)</f>
        <v>#REF!</v>
      </c>
      <c r="E27" s="85" t="e">
        <f ca="1">OFFSET(#REF!,E$23,)</f>
        <v>#REF!</v>
      </c>
      <c r="F27" s="85" t="e">
        <f ca="1">OFFSET(#REF!,F$23,)</f>
        <v>#REF!</v>
      </c>
      <c r="G27" s="85" t="e">
        <f ca="1">OFFSET(#REF!,G$23,)</f>
        <v>#REF!</v>
      </c>
      <c r="H27" s="85" t="e">
        <f ca="1">OFFSET(#REF!,H$23,)</f>
        <v>#REF!</v>
      </c>
      <c r="I27" s="85" t="e">
        <f ca="1">OFFSET(#REF!,I$23,)</f>
        <v>#REF!</v>
      </c>
      <c r="J27" s="85" t="e">
        <f ca="1">OFFSET(#REF!,J$23,)</f>
        <v>#REF!</v>
      </c>
      <c r="K27" s="85" t="e">
        <f ca="1">OFFSET(#REF!,K$23,)</f>
        <v>#REF!</v>
      </c>
      <c r="L27" s="85" t="e">
        <f ca="1">OFFSET(#REF!,L$23,)</f>
        <v>#REF!</v>
      </c>
      <c r="N27" s="37">
        <v>30</v>
      </c>
      <c r="O27" s="45" t="e">
        <f>VLOOKUP(x+N27,#REF!,#REF!,FALSE)*S</f>
        <v>#REF!</v>
      </c>
      <c r="P27" s="45" t="e">
        <f>VLOOKUP(x+N27,#REF!,#REF!,FALSE)*S</f>
        <v>#REF!</v>
      </c>
      <c r="Q27" s="197"/>
      <c r="R27" s="197"/>
      <c r="S27" s="198">
        <v>30</v>
      </c>
      <c r="T27" s="45" t="e">
        <f>VLOOKUP(x+S27,무해지!$S$12:$DA$124,무해지!$CZ$1,FALSE)*S</f>
        <v>#N/A</v>
      </c>
      <c r="U27" s="45" t="e">
        <f>VLOOKUP(x+S27,무해지!$S$12:$DA$124,무해지!$CY$1,FALSE)*S</f>
        <v>#N/A</v>
      </c>
    </row>
    <row r="28" spans="1:21" ht="17.399999999999999">
      <c r="B28" s="105" t="s">
        <v>121</v>
      </c>
      <c r="C28" s="85" t="s">
        <v>112</v>
      </c>
      <c r="D28" s="85" t="e">
        <f ca="1">OFFSET(#REF!,D$23,)</f>
        <v>#REF!</v>
      </c>
      <c r="E28" s="85" t="e">
        <f ca="1">OFFSET(#REF!,E$23,)</f>
        <v>#REF!</v>
      </c>
      <c r="F28" s="85" t="e">
        <f ca="1">OFFSET(#REF!,F$23,)</f>
        <v>#REF!</v>
      </c>
      <c r="G28" s="85" t="e">
        <f ca="1">OFFSET(#REF!,G$23,)</f>
        <v>#REF!</v>
      </c>
      <c r="H28" s="85" t="e">
        <f ca="1">OFFSET(#REF!,H$23,)</f>
        <v>#REF!</v>
      </c>
      <c r="I28" s="85" t="e">
        <f ca="1">OFFSET(#REF!,I$23,)</f>
        <v>#REF!</v>
      </c>
      <c r="J28" s="85" t="e">
        <f ca="1">OFFSET(#REF!,J$23,)</f>
        <v>#REF!</v>
      </c>
      <c r="K28" s="85" t="e">
        <f ca="1">OFFSET(#REF!,K$23,)</f>
        <v>#REF!</v>
      </c>
      <c r="L28" s="85" t="e">
        <f ca="1">OFFSET(#REF!,L$23,)</f>
        <v>#REF!</v>
      </c>
      <c r="N28" s="37">
        <v>40</v>
      </c>
      <c r="O28" s="45" t="e">
        <f>VLOOKUP(x+N28,#REF!,#REF!,FALSE)*S</f>
        <v>#REF!</v>
      </c>
      <c r="P28" s="45" t="e">
        <f>VLOOKUP(x+N28,#REF!,#REF!,FALSE)*S</f>
        <v>#REF!</v>
      </c>
      <c r="Q28" s="197"/>
      <c r="R28" s="197"/>
      <c r="S28" s="198">
        <v>40</v>
      </c>
      <c r="T28" s="45" t="e">
        <f>VLOOKUP(x+S28,무해지!$S$12:$DA$124,무해지!$CZ$1,FALSE)*S</f>
        <v>#N/A</v>
      </c>
      <c r="U28" s="45" t="e">
        <f>VLOOKUP(x+S28,무해지!$S$12:$DA$124,무해지!$CY$1,FALSE)*S</f>
        <v>#N/A</v>
      </c>
    </row>
    <row r="29" spans="1:21" ht="17.399999999999999">
      <c r="B29" s="105" t="s">
        <v>122</v>
      </c>
      <c r="C29" s="85" t="s">
        <v>113</v>
      </c>
      <c r="D29" s="85" t="e">
        <f ca="1">OFFSET(#REF!,D$23,)</f>
        <v>#REF!</v>
      </c>
      <c r="E29" s="85" t="e">
        <f ca="1">OFFSET(#REF!,E$23,)</f>
        <v>#REF!</v>
      </c>
      <c r="F29" s="85" t="e">
        <f ca="1">OFFSET(#REF!,F$23,)</f>
        <v>#REF!</v>
      </c>
      <c r="G29" s="85" t="e">
        <f ca="1">OFFSET(#REF!,G$23,)</f>
        <v>#REF!</v>
      </c>
      <c r="H29" s="85" t="e">
        <f ca="1">OFFSET(#REF!,H$23,)</f>
        <v>#REF!</v>
      </c>
      <c r="I29" s="85" t="e">
        <f ca="1">OFFSET(#REF!,I$23,)</f>
        <v>#REF!</v>
      </c>
      <c r="J29" s="85" t="e">
        <f ca="1">OFFSET(#REF!,J$23,)</f>
        <v>#REF!</v>
      </c>
      <c r="K29" s="85" t="e">
        <f ca="1">OFFSET(#REF!,K$23,)</f>
        <v>#REF!</v>
      </c>
      <c r="L29" s="85" t="e">
        <f ca="1">OFFSET(#REF!,L$23,)</f>
        <v>#REF!</v>
      </c>
      <c r="N29" s="37">
        <v>50</v>
      </c>
      <c r="O29" s="45" t="e">
        <f>VLOOKUP(x+N29,#REF!,#REF!,FALSE)*S</f>
        <v>#REF!</v>
      </c>
      <c r="P29" s="45" t="e">
        <f>VLOOKUP(x+N29,#REF!,#REF!,FALSE)*S</f>
        <v>#REF!</v>
      </c>
      <c r="Q29" s="197"/>
      <c r="R29" s="197"/>
      <c r="S29" s="198">
        <v>50</v>
      </c>
      <c r="T29" s="45" t="e">
        <f>VLOOKUP(x+S29,무해지!$S$12:$DA$124,무해지!$CZ$1,FALSE)*S</f>
        <v>#N/A</v>
      </c>
      <c r="U29" s="45" t="e">
        <f>VLOOKUP(x+S29,무해지!$S$12:$DA$124,무해지!$CY$1,FALSE)*S</f>
        <v>#N/A</v>
      </c>
    </row>
    <row r="30" spans="1:21" ht="17.399999999999999">
      <c r="B30" s="105" t="s">
        <v>125</v>
      </c>
      <c r="C30" s="85" t="s">
        <v>117</v>
      </c>
      <c r="D30" s="85" t="s">
        <v>211</v>
      </c>
      <c r="E30" s="214" t="e">
        <f ca="1">INT(OFFSET(#REF!,E$23,))</f>
        <v>#REF!</v>
      </c>
      <c r="F30" s="214" t="e">
        <f ca="1">INT(OFFSET(#REF!,F$23,))</f>
        <v>#REF!</v>
      </c>
      <c r="G30" s="214" t="e">
        <f ca="1">INT(OFFSET(#REF!,G$23,))</f>
        <v>#REF!</v>
      </c>
      <c r="H30" s="214" t="e">
        <f ca="1">INT(OFFSET(#REF!,H$23,))</f>
        <v>#REF!</v>
      </c>
      <c r="I30" s="214" t="e">
        <f ca="1">INT(OFFSET(#REF!,I$23,))</f>
        <v>#REF!</v>
      </c>
      <c r="J30" s="214" t="e">
        <f ca="1">INT(OFFSET(#REF!,J$23,))</f>
        <v>#REF!</v>
      </c>
      <c r="K30" s="214" t="e">
        <f ca="1">INT(OFFSET(#REF!,K$23,))</f>
        <v>#REF!</v>
      </c>
      <c r="L30" s="214" t="e">
        <f ca="1">INT(OFFSET(#REF!,L$23,))</f>
        <v>#REF!</v>
      </c>
      <c r="N30" s="37">
        <v>60</v>
      </c>
      <c r="O30" s="45" t="e">
        <f>VLOOKUP(x+N30,#REF!,#REF!,FALSE)*S</f>
        <v>#REF!</v>
      </c>
      <c r="P30" s="45" t="e">
        <f>VLOOKUP(x+N30,#REF!,#REF!,FALSE)*S</f>
        <v>#REF!</v>
      </c>
      <c r="Q30" s="197"/>
      <c r="R30" s="197"/>
      <c r="S30" s="198">
        <v>60</v>
      </c>
      <c r="T30" s="45" t="e">
        <f>VLOOKUP(x+S30,무해지!$S$12:$DA$124,무해지!$CZ$1,FALSE)*S</f>
        <v>#N/A</v>
      </c>
      <c r="U30" s="45" t="e">
        <f>VLOOKUP(x+S30,무해지!$S$12:$DA$124,무해지!$CY$1,FALSE)*S</f>
        <v>#N/A</v>
      </c>
    </row>
    <row r="31" spans="1:21" ht="15.6" customHeight="1">
      <c r="A31" s="165"/>
      <c r="B31" s="85" t="s">
        <v>298</v>
      </c>
      <c r="C31" s="85" t="s">
        <v>228</v>
      </c>
      <c r="D31" s="191" t="s">
        <v>119</v>
      </c>
      <c r="E31" s="191" t="e">
        <f ca="1">OFFSET(#REF!,E$23,)-E30</f>
        <v>#REF!</v>
      </c>
      <c r="F31" s="191" t="e">
        <f ca="1">OFFSET(#REF!,F$23,)-F30</f>
        <v>#REF!</v>
      </c>
      <c r="G31" s="191" t="e">
        <f ca="1">OFFSET(#REF!,G$23,)-G30</f>
        <v>#REF!</v>
      </c>
      <c r="H31" s="191" t="e">
        <f ca="1">OFFSET(#REF!,H$23,)-H30</f>
        <v>#REF!</v>
      </c>
      <c r="I31" s="191" t="e">
        <f ca="1">OFFSET(#REF!,I$23,)-I30</f>
        <v>#REF!</v>
      </c>
      <c r="J31" s="191" t="e">
        <f ca="1">OFFSET(#REF!,J$23,)-J30</f>
        <v>#REF!</v>
      </c>
      <c r="K31" s="191" t="e">
        <f ca="1">OFFSET(#REF!,K$23,)-K30</f>
        <v>#REF!</v>
      </c>
      <c r="L31" s="191" t="e">
        <f ca="1">OFFSET(#REF!,L$23,)-L30</f>
        <v>#REF!</v>
      </c>
    </row>
    <row r="32" spans="1:21">
      <c r="A32" s="165"/>
      <c r="B32" s="199" t="s">
        <v>435</v>
      </c>
    </row>
    <row r="33" spans="1:21">
      <c r="A33" s="165"/>
      <c r="B33" s="200" t="s">
        <v>235</v>
      </c>
      <c r="N33" s="182"/>
    </row>
    <row r="34" spans="1:21">
      <c r="N34" s="183"/>
    </row>
    <row r="35" spans="1:21">
      <c r="N35" s="183"/>
    </row>
    <row r="36" spans="1:21">
      <c r="N36" s="183"/>
    </row>
    <row r="37" spans="1:21">
      <c r="M37" s="87"/>
      <c r="N37" s="183"/>
      <c r="O37" s="87"/>
      <c r="P37" s="87"/>
      <c r="Q37" s="87"/>
      <c r="R37" s="87"/>
      <c r="S37" s="87"/>
      <c r="T37" s="87"/>
      <c r="U37" s="87"/>
    </row>
    <row r="38" spans="1:21">
      <c r="L38" s="87"/>
      <c r="M38" s="171"/>
      <c r="N38" s="183"/>
      <c r="O38" s="171"/>
      <c r="P38" s="167"/>
      <c r="Q38" s="171"/>
      <c r="R38" s="167"/>
      <c r="S38" s="171"/>
      <c r="T38" s="167"/>
      <c r="U38" s="171"/>
    </row>
    <row r="39" spans="1:21">
      <c r="K39" s="184"/>
      <c r="L39" s="167"/>
      <c r="M39" s="171"/>
      <c r="N39" s="183"/>
      <c r="O39" s="171"/>
      <c r="P39" s="167"/>
      <c r="Q39" s="171"/>
      <c r="R39" s="167"/>
      <c r="S39" s="171"/>
      <c r="T39" s="167"/>
      <c r="U39" s="171"/>
    </row>
    <row r="40" spans="1:21">
      <c r="K40" s="184"/>
      <c r="L40" s="167"/>
      <c r="M40" s="171"/>
      <c r="N40" s="183"/>
      <c r="O40" s="171"/>
      <c r="P40" s="167"/>
      <c r="Q40" s="171"/>
      <c r="R40" s="167"/>
      <c r="S40" s="171"/>
      <c r="T40" s="167"/>
      <c r="U40" s="171"/>
    </row>
    <row r="41" spans="1:21">
      <c r="K41" s="184"/>
      <c r="L41" s="167"/>
      <c r="M41" s="171"/>
      <c r="N41" s="183"/>
      <c r="O41" s="171"/>
      <c r="P41" s="167"/>
      <c r="Q41" s="171"/>
      <c r="R41" s="167"/>
      <c r="S41" s="171"/>
      <c r="T41" s="167"/>
      <c r="U41" s="171"/>
    </row>
    <row r="42" spans="1:21">
      <c r="K42" s="184"/>
      <c r="L42" s="167"/>
      <c r="N42" s="183"/>
    </row>
    <row r="43" spans="1:21" ht="17.399999999999999">
      <c r="N43" s="183"/>
      <c r="R43" s="172"/>
    </row>
  </sheetData>
  <mergeCells count="2">
    <mergeCell ref="D5:E5"/>
    <mergeCell ref="N5:N7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233</vt:i4>
      </vt:variant>
    </vt:vector>
  </HeadingPairs>
  <TitlesOfParts>
    <vt:vector size="247" baseType="lpstr">
      <vt:lpstr>MANUAL</vt:lpstr>
      <vt:lpstr>INPUT</vt:lpstr>
      <vt:lpstr>MAIN</vt:lpstr>
      <vt:lpstr>유해지</vt:lpstr>
      <vt:lpstr>유해지 (기준P)</vt:lpstr>
      <vt:lpstr>무해지</vt:lpstr>
      <vt:lpstr>무해지 (기준P)</vt:lpstr>
      <vt:lpstr>정기보험</vt:lpstr>
      <vt:lpstr>위험률</vt:lpstr>
      <vt:lpstr>위험률명</vt:lpstr>
      <vt:lpstr>해지율</vt:lpstr>
      <vt:lpstr>상품과 위험률 매칭</vt:lpstr>
      <vt:lpstr>이름관리</vt:lpstr>
      <vt:lpstr>TEST</vt:lpstr>
      <vt:lpstr>TEST!ALP_GP</vt:lpstr>
      <vt:lpstr>ALP_GP</vt:lpstr>
      <vt:lpstr>'무해지 (기준P)'!ALP_GPB</vt:lpstr>
      <vt:lpstr>유해지!ALP_GPB</vt:lpstr>
      <vt:lpstr>'유해지 (기준P)'!ALP_GPB</vt:lpstr>
      <vt:lpstr>ALP_GPB</vt:lpstr>
      <vt:lpstr>TEST!ALP_PP</vt:lpstr>
      <vt:lpstr>ALP_PP</vt:lpstr>
      <vt:lpstr>'무해지 (기준P)'!ALP_PPB</vt:lpstr>
      <vt:lpstr>유해지!ALP_PPB</vt:lpstr>
      <vt:lpstr>'유해지 (기준P)'!ALP_PPB</vt:lpstr>
      <vt:lpstr>ALP_PPB</vt:lpstr>
      <vt:lpstr>ALP_S</vt:lpstr>
      <vt:lpstr>'무해지 (기준P)'!ALP_SB</vt:lpstr>
      <vt:lpstr>유해지!ALP_SB</vt:lpstr>
      <vt:lpstr>'유해지 (기준P)'!ALP_SB</vt:lpstr>
      <vt:lpstr>ALP_SB</vt:lpstr>
      <vt:lpstr>BETA_GP</vt:lpstr>
      <vt:lpstr>'무해지 (기준P)'!BETA_GPB</vt:lpstr>
      <vt:lpstr>유해지!BETA_GPB</vt:lpstr>
      <vt:lpstr>'유해지 (기준P)'!BETA_GPB</vt:lpstr>
      <vt:lpstr>BETA_GPB</vt:lpstr>
      <vt:lpstr>TEST!BETA_S</vt:lpstr>
      <vt:lpstr>BETA_S</vt:lpstr>
      <vt:lpstr>'무해지 (기준P)'!BETA_SB</vt:lpstr>
      <vt:lpstr>유해지!BETA_SB</vt:lpstr>
      <vt:lpstr>'유해지 (기준P)'!BETA_SB</vt:lpstr>
      <vt:lpstr>BETA_SB</vt:lpstr>
      <vt:lpstr>TEST!BETAD_S</vt:lpstr>
      <vt:lpstr>BETAD_S</vt:lpstr>
      <vt:lpstr>'무해지 (기준P)'!BETAD_SB</vt:lpstr>
      <vt:lpstr>유해지!BETAD_SB</vt:lpstr>
      <vt:lpstr>'유해지 (기준P)'!BETAD_SB</vt:lpstr>
      <vt:lpstr>BETAD_SB</vt:lpstr>
      <vt:lpstr>BT50J</vt:lpstr>
      <vt:lpstr>BTa</vt:lpstr>
      <vt:lpstr>BTb</vt:lpstr>
      <vt:lpstr>BTc</vt:lpstr>
      <vt:lpstr>BTd</vt:lpstr>
      <vt:lpstr>BTe</vt:lpstr>
      <vt:lpstr>BTf</vt:lpstr>
      <vt:lpstr>BTg</vt:lpstr>
      <vt:lpstr>BTh</vt:lpstr>
      <vt:lpstr>BTi</vt:lpstr>
      <vt:lpstr>BTj</vt:lpstr>
      <vt:lpstr>BTk</vt:lpstr>
      <vt:lpstr>BTl</vt:lpstr>
      <vt:lpstr>BTSM</vt:lpstr>
      <vt:lpstr>cost_location</vt:lpstr>
      <vt:lpstr>firstOX</vt:lpstr>
      <vt:lpstr>TEST!GAM</vt:lpstr>
      <vt:lpstr>GAM</vt:lpstr>
      <vt:lpstr>'무해지 (기준P)'!GAMB</vt:lpstr>
      <vt:lpstr>유해지!GAMB</vt:lpstr>
      <vt:lpstr>'유해지 (기준P)'!GAMB</vt:lpstr>
      <vt:lpstr>GAMB</vt:lpstr>
      <vt:lpstr>gen</vt:lpstr>
      <vt:lpstr>'무해지 (기준P)'!GPB</vt:lpstr>
      <vt:lpstr>유해지!GPB</vt:lpstr>
      <vt:lpstr>'유해지 (기준P)'!GPB</vt:lpstr>
      <vt:lpstr>GPB</vt:lpstr>
      <vt:lpstr>TEST!i</vt:lpstr>
      <vt:lpstr>i</vt:lpstr>
      <vt:lpstr>무해지!iB</vt:lpstr>
      <vt:lpstr>'무해지 (기준P)'!iB</vt:lpstr>
      <vt:lpstr>유해지!iB</vt:lpstr>
      <vt:lpstr>'유해지 (기준P)'!iB</vt:lpstr>
      <vt:lpstr>iD</vt:lpstr>
      <vt:lpstr>TEST!JR</vt:lpstr>
      <vt:lpstr>JR</vt:lpstr>
      <vt:lpstr>무해지!JRB</vt:lpstr>
      <vt:lpstr>'무해지 (기준P)'!JRB</vt:lpstr>
      <vt:lpstr>유해지!JRB</vt:lpstr>
      <vt:lpstr>'유해지 (기준P)'!JRB</vt:lpstr>
      <vt:lpstr>JRD</vt:lpstr>
      <vt:lpstr>TEST!m</vt:lpstr>
      <vt:lpstr>m</vt:lpstr>
      <vt:lpstr>MAIN!mB</vt:lpstr>
      <vt:lpstr>무해지!mB</vt:lpstr>
      <vt:lpstr>'무해지 (기준P)'!mB</vt:lpstr>
      <vt:lpstr>유해지!mB</vt:lpstr>
      <vt:lpstr>'유해지 (기준P)'!mB</vt:lpstr>
      <vt:lpstr>TEST!MC50J</vt:lpstr>
      <vt:lpstr>MC50J</vt:lpstr>
      <vt:lpstr>MCa</vt:lpstr>
      <vt:lpstr>MCb</vt:lpstr>
      <vt:lpstr>MCc</vt:lpstr>
      <vt:lpstr>MCd</vt:lpstr>
      <vt:lpstr>MCe</vt:lpstr>
      <vt:lpstr>MCf</vt:lpstr>
      <vt:lpstr>MCg</vt:lpstr>
      <vt:lpstr>MCh</vt:lpstr>
      <vt:lpstr>MCi</vt:lpstr>
      <vt:lpstr>MCj</vt:lpstr>
      <vt:lpstr>MCk</vt:lpstr>
      <vt:lpstr>MCl</vt:lpstr>
      <vt:lpstr>mD</vt:lpstr>
      <vt:lpstr>TEST!mm</vt:lpstr>
      <vt:lpstr>mm</vt:lpstr>
      <vt:lpstr>무해지!mmB</vt:lpstr>
      <vt:lpstr>'무해지 (기준P)'!mmB</vt:lpstr>
      <vt:lpstr>유해지!mmB</vt:lpstr>
      <vt:lpstr>'유해지 (기준P)'!mmB</vt:lpstr>
      <vt:lpstr>mmD</vt:lpstr>
      <vt:lpstr>TEST!n</vt:lpstr>
      <vt:lpstr>n</vt:lpstr>
      <vt:lpstr>무해지!nB</vt:lpstr>
      <vt:lpstr>'무해지 (기준P)'!nB</vt:lpstr>
      <vt:lpstr>유해지!nB</vt:lpstr>
      <vt:lpstr>'유해지 (기준P)'!nB</vt:lpstr>
      <vt:lpstr>nD</vt:lpstr>
      <vt:lpstr>'무해지 (기준P)'!NGPB</vt:lpstr>
      <vt:lpstr>유해지!NGPB</vt:lpstr>
      <vt:lpstr>'유해지 (기준P)'!NGPB</vt:lpstr>
      <vt:lpstr>NGPB</vt:lpstr>
      <vt:lpstr>'무해지 (기준P)'!NPBB</vt:lpstr>
      <vt:lpstr>유해지!NPBB</vt:lpstr>
      <vt:lpstr>'유해지 (기준P)'!NPBB</vt:lpstr>
      <vt:lpstr>NPBB</vt:lpstr>
      <vt:lpstr>'무해지 (기준P)'!NPPB</vt:lpstr>
      <vt:lpstr>유해지!NPPB</vt:lpstr>
      <vt:lpstr>'유해지 (기준P)'!NPPB</vt:lpstr>
      <vt:lpstr>NPPB</vt:lpstr>
      <vt:lpstr>'무해지 (기준P)'!NPPB_STD</vt:lpstr>
      <vt:lpstr>유해지!NPPB_STD</vt:lpstr>
      <vt:lpstr>'유해지 (기준P)'!NPPB_STD</vt:lpstr>
      <vt:lpstr>NPPB_STD</vt:lpstr>
      <vt:lpstr>NPPD</vt:lpstr>
      <vt:lpstr>NPPD_STD</vt:lpstr>
      <vt:lpstr>NT50J</vt:lpstr>
      <vt:lpstr>NTa</vt:lpstr>
      <vt:lpstr>NTb</vt:lpstr>
      <vt:lpstr>NTc</vt:lpstr>
      <vt:lpstr>NTd</vt:lpstr>
      <vt:lpstr>NTe</vt:lpstr>
      <vt:lpstr>NTf</vt:lpstr>
      <vt:lpstr>NTg</vt:lpstr>
      <vt:lpstr>NTh</vt:lpstr>
      <vt:lpstr>NTi</vt:lpstr>
      <vt:lpstr>NTj</vt:lpstr>
      <vt:lpstr>NTk</vt:lpstr>
      <vt:lpstr>NTl</vt:lpstr>
      <vt:lpstr>NTSM</vt:lpstr>
      <vt:lpstr>QQ50J</vt:lpstr>
      <vt:lpstr>QQa</vt:lpstr>
      <vt:lpstr>QQb</vt:lpstr>
      <vt:lpstr>QQc</vt:lpstr>
      <vt:lpstr>QQd</vt:lpstr>
      <vt:lpstr>QQe</vt:lpstr>
      <vt:lpstr>QQf</vt:lpstr>
      <vt:lpstr>QQg</vt:lpstr>
      <vt:lpstr>QQh</vt:lpstr>
      <vt:lpstr>QQi</vt:lpstr>
      <vt:lpstr>QQj</vt:lpstr>
      <vt:lpstr>QQk</vt:lpstr>
      <vt:lpstr>QQl</vt:lpstr>
      <vt:lpstr>QQSM</vt:lpstr>
      <vt:lpstr>qx_table</vt:lpstr>
      <vt:lpstr>qx_title</vt:lpstr>
      <vt:lpstr>TEST!round</vt:lpstr>
      <vt:lpstr>round</vt:lpstr>
      <vt:lpstr>MAIN!roundB</vt:lpstr>
      <vt:lpstr>무해지!roundB</vt:lpstr>
      <vt:lpstr>'무해지 (기준P)'!roundB</vt:lpstr>
      <vt:lpstr>유해지!roundB</vt:lpstr>
      <vt:lpstr>'유해지 (기준P)'!roundB</vt:lpstr>
      <vt:lpstr>TEST!S</vt:lpstr>
      <vt:lpstr>S</vt:lpstr>
      <vt:lpstr>무해지!SB</vt:lpstr>
      <vt:lpstr>'무해지 (기준P)'!SB</vt:lpstr>
      <vt:lpstr>유해지!SB</vt:lpstr>
      <vt:lpstr>'유해지 (기준P)'!SB</vt:lpstr>
      <vt:lpstr>SD</vt:lpstr>
      <vt:lpstr>TEST!sex</vt:lpstr>
      <vt:lpstr>sex</vt:lpstr>
      <vt:lpstr>무해지!sexB</vt:lpstr>
      <vt:lpstr>'무해지 (기준P)'!sexB</vt:lpstr>
      <vt:lpstr>유해지!sexB</vt:lpstr>
      <vt:lpstr>'유해지 (기준P)'!sexB</vt:lpstr>
      <vt:lpstr>sexD</vt:lpstr>
      <vt:lpstr>SS50J</vt:lpstr>
      <vt:lpstr>SSa</vt:lpstr>
      <vt:lpstr>SSb</vt:lpstr>
      <vt:lpstr>SSc</vt:lpstr>
      <vt:lpstr>SSd</vt:lpstr>
      <vt:lpstr>SSe</vt:lpstr>
      <vt:lpstr>SSf</vt:lpstr>
      <vt:lpstr>SSg</vt:lpstr>
      <vt:lpstr>SSh</vt:lpstr>
      <vt:lpstr>SSi</vt:lpstr>
      <vt:lpstr>SSj</vt:lpstr>
      <vt:lpstr>SSk</vt:lpstr>
      <vt:lpstr>SSl</vt:lpstr>
      <vt:lpstr>SSSM</vt:lpstr>
      <vt:lpstr>type111</vt:lpstr>
      <vt:lpstr>TEST!v</vt:lpstr>
      <vt:lpstr>v</vt:lpstr>
      <vt:lpstr>vD</vt:lpstr>
      <vt:lpstr>TEST!x</vt:lpstr>
      <vt:lpstr>x</vt:lpstr>
      <vt:lpstr>무해지!xB</vt:lpstr>
      <vt:lpstr>'무해지 (기준P)'!xB</vt:lpstr>
      <vt:lpstr>유해지!xB</vt:lpstr>
      <vt:lpstr>'유해지 (기준P)'!xB</vt:lpstr>
      <vt:lpstr>xD</vt:lpstr>
      <vt:lpstr>TEST!YH</vt:lpstr>
      <vt:lpstr>YH</vt:lpstr>
      <vt:lpstr>무해지!YHB</vt:lpstr>
      <vt:lpstr>'무해지 (기준P)'!YHB</vt:lpstr>
      <vt:lpstr>유해지!YHB</vt:lpstr>
      <vt:lpstr>'유해지 (기준P)'!YHB</vt:lpstr>
      <vt:lpstr>YHD</vt:lpstr>
      <vt:lpstr>YT50J</vt:lpstr>
      <vt:lpstr>YTa</vt:lpstr>
      <vt:lpstr>YTb</vt:lpstr>
      <vt:lpstr>YTc</vt:lpstr>
      <vt:lpstr>YTd</vt:lpstr>
      <vt:lpstr>YTe</vt:lpstr>
      <vt:lpstr>YTf</vt:lpstr>
      <vt:lpstr>YTg</vt:lpstr>
      <vt:lpstr>YTh</vt:lpstr>
      <vt:lpstr>YTi</vt:lpstr>
      <vt:lpstr>YTj</vt:lpstr>
      <vt:lpstr>YTk</vt:lpstr>
      <vt:lpstr>YTl</vt:lpstr>
      <vt:lpstr>YTSM</vt:lpstr>
      <vt:lpstr>무해지!기수표B</vt:lpstr>
      <vt:lpstr>'무해지 (기준P)'!기수표B</vt:lpstr>
      <vt:lpstr>유해지!기수표B</vt:lpstr>
      <vt:lpstr>'유해지 (기준P)'!기수표B</vt:lpstr>
      <vt:lpstr>기수표D</vt:lpstr>
      <vt:lpstr>해지율_납기전</vt:lpstr>
      <vt:lpstr>해지율_납기후</vt:lpstr>
    </vt:vector>
  </TitlesOfParts>
  <Company>SamsungLife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Customer</dc:creator>
  <cp:lastModifiedBy>ms office03</cp:lastModifiedBy>
  <cp:lastPrinted>2023-06-19T04:27:41Z</cp:lastPrinted>
  <dcterms:created xsi:type="dcterms:W3CDTF">2017-01-09T01:45:18Z</dcterms:created>
  <dcterms:modified xsi:type="dcterms:W3CDTF">2024-03-28T05:25:26Z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SCPROP">
    <vt:lpwstr>NSCCustomProperty</vt:lpwstr>
  </property>
</Properties>
</file>