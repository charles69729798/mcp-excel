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InsuranceProject\"/>
    </mc:Choice>
  </mc:AlternateContent>
  <xr:revisionPtr revIDLastSave="0" documentId="13_ncr:1_{577A95B0-FA35-4CF8-B722-17C3AA7444D8}" xr6:coauthVersionLast="47" xr6:coauthVersionMax="47" xr10:uidLastSave="{00000000-0000-0000-0000-000000000000}"/>
  <bookViews>
    <workbookView xWindow="15" yWindow="1170" windowWidth="28785" windowHeight="11295" xr2:uid="{00000000-000D-0000-FFFF-FFFF00000000}"/>
  </bookViews>
  <sheets>
    <sheet name="s산출" sheetId="6" r:id="rId1"/>
    <sheet name="입력" sheetId="1" r:id="rId2"/>
    <sheet name="위험률" sheetId="2" r:id="rId3"/>
    <sheet name="계산" sheetId="3" r:id="rId4"/>
    <sheet name="기수표" sheetId="4" r:id="rId5"/>
    <sheet name="위험률_확장" sheetId="5" r:id="rId6"/>
  </sheets>
  <definedNames>
    <definedName name="_Fill" localSheetId="0" hidden="1">#REF!</definedName>
    <definedName name="_Fill" hidden="1">#REF!</definedName>
    <definedName name="age">#REF!</definedName>
    <definedName name="alpha1">#REF!</definedName>
    <definedName name="alpha1_0">#REF!</definedName>
    <definedName name="alpha1_s">#REF!</definedName>
    <definedName name="alpha2">#REF!</definedName>
    <definedName name="alpha2_0">#REF!</definedName>
    <definedName name="alpha2_s">#REF!</definedName>
    <definedName name="beta1">#REF!</definedName>
    <definedName name="beta1_0">#REF!</definedName>
    <definedName name="beta1_s">#REF!</definedName>
    <definedName name="beta2">#REF!</definedName>
    <definedName name="beta2_0">#REF!</definedName>
    <definedName name="beta2_s">#REF!</definedName>
    <definedName name="beta5">#REF!</definedName>
    <definedName name="beta5_0">#REF!</definedName>
    <definedName name="beta5_s">#REF!</definedName>
    <definedName name="betadasi">#REF!</definedName>
    <definedName name="betadasi_0">#REF!</definedName>
    <definedName name="betadasi_s">#REF!</definedName>
    <definedName name="fa">#REF!</definedName>
    <definedName name="fetus">#REF!</definedName>
    <definedName name="m">#REF!</definedName>
    <definedName name="Morb">#REF!</definedName>
    <definedName name="n">#REF!</definedName>
    <definedName name="PIR">#REF!</definedName>
    <definedName name="Rf">#REF!</definedName>
    <definedName name="sex">#REF!</definedName>
    <definedName name="sex_0">#REF!</definedName>
    <definedName name="unit">#REF!</definedName>
    <definedName name="v">#REF!</definedName>
    <definedName name="x">#REF!</definedName>
    <definedName name="드롭">"드롭다운 4"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1" i="6" l="1"/>
  <c r="H51" i="6"/>
  <c r="P50" i="6"/>
  <c r="H50" i="6"/>
  <c r="P49" i="6"/>
  <c r="H49" i="6"/>
  <c r="P48" i="6"/>
  <c r="H48" i="6"/>
  <c r="P47" i="6"/>
  <c r="H47" i="6"/>
  <c r="P46" i="6"/>
  <c r="H46" i="6"/>
  <c r="P45" i="6"/>
  <c r="H45" i="6"/>
  <c r="P44" i="6"/>
  <c r="H44" i="6"/>
  <c r="P43" i="6"/>
  <c r="H43" i="6"/>
  <c r="P42" i="6"/>
  <c r="H42" i="6"/>
  <c r="P41" i="6"/>
  <c r="H41" i="6"/>
  <c r="P40" i="6"/>
  <c r="H40" i="6"/>
  <c r="P39" i="6"/>
  <c r="H39" i="6"/>
  <c r="P38" i="6"/>
  <c r="H38" i="6"/>
  <c r="P37" i="6"/>
  <c r="H37" i="6"/>
  <c r="P36" i="6"/>
  <c r="H36" i="6"/>
  <c r="P35" i="6"/>
  <c r="H35" i="6"/>
  <c r="P34" i="6"/>
  <c r="H34" i="6"/>
  <c r="P33" i="6"/>
  <c r="H33" i="6"/>
  <c r="P32" i="6"/>
  <c r="H32" i="6"/>
  <c r="P31" i="6"/>
  <c r="H31" i="6"/>
  <c r="P30" i="6"/>
  <c r="H30" i="6"/>
  <c r="P29" i="6"/>
  <c r="H29" i="6"/>
  <c r="P28" i="6"/>
  <c r="H28" i="6"/>
  <c r="P27" i="6"/>
  <c r="H27" i="6"/>
  <c r="P26" i="6"/>
  <c r="H26" i="6"/>
  <c r="P25" i="6"/>
  <c r="H25" i="6"/>
  <c r="P24" i="6"/>
  <c r="H24" i="6"/>
  <c r="P23" i="6"/>
  <c r="H23" i="6"/>
  <c r="P22" i="6"/>
  <c r="H22" i="6"/>
  <c r="P21" i="6"/>
  <c r="P20" i="6"/>
  <c r="Q19" i="6"/>
  <c r="P19" i="6"/>
  <c r="H19" i="6"/>
  <c r="Q18" i="6"/>
  <c r="P18" i="6"/>
  <c r="H18" i="6"/>
  <c r="Q17" i="6"/>
  <c r="P17" i="6"/>
  <c r="H17" i="6"/>
  <c r="Q16" i="6"/>
  <c r="P16" i="6"/>
  <c r="H16" i="6"/>
  <c r="Q15" i="6"/>
  <c r="P15" i="6"/>
  <c r="H15" i="6"/>
  <c r="Q14" i="6"/>
  <c r="P14" i="6"/>
  <c r="H14" i="6"/>
  <c r="Q13" i="6"/>
  <c r="P13" i="6"/>
  <c r="J10" i="6" s="1"/>
  <c r="H13" i="6"/>
  <c r="D9" i="6"/>
  <c r="C9" i="6"/>
  <c r="AB6" i="6"/>
  <c r="AB7" i="6" s="1"/>
  <c r="AB8" i="6" s="1"/>
  <c r="AB9" i="6" s="1"/>
  <c r="AB10" i="6" s="1"/>
  <c r="AB11" i="6" s="1"/>
  <c r="AB12" i="6" s="1"/>
  <c r="AB13" i="6" s="1"/>
  <c r="AB14" i="6" s="1"/>
  <c r="AB15" i="6" s="1"/>
  <c r="AB16" i="6" s="1"/>
  <c r="AB17" i="6" s="1"/>
  <c r="AB18" i="6" s="1"/>
  <c r="AB19" i="6" s="1"/>
  <c r="AB20" i="6" s="1"/>
  <c r="AB21" i="6" s="1"/>
  <c r="AB22" i="6" s="1"/>
  <c r="AB23" i="6" s="1"/>
  <c r="AB24" i="6" s="1"/>
  <c r="AB25" i="6" s="1"/>
  <c r="AB26" i="6" s="1"/>
  <c r="AB27" i="6" s="1"/>
  <c r="AB28" i="6" s="1"/>
  <c r="AB29" i="6" s="1"/>
  <c r="AB30" i="6" s="1"/>
  <c r="AB31" i="6" s="1"/>
  <c r="AB32" i="6" s="1"/>
  <c r="AB33" i="6" s="1"/>
  <c r="AB34" i="6" s="1"/>
  <c r="AB35" i="6" s="1"/>
  <c r="AB36" i="6" s="1"/>
  <c r="AB37" i="6" s="1"/>
  <c r="AB38" i="6" s="1"/>
  <c r="AB39" i="6" s="1"/>
  <c r="AB40" i="6" s="1"/>
  <c r="AB41" i="6" s="1"/>
  <c r="AB42" i="6" s="1"/>
  <c r="AB43" i="6" s="1"/>
  <c r="AB44" i="6" s="1"/>
  <c r="AB45" i="6" s="1"/>
  <c r="AB46" i="6" s="1"/>
  <c r="AB47" i="6" s="1"/>
  <c r="AB48" i="6" s="1"/>
  <c r="AB49" i="6" s="1"/>
  <c r="AB50" i="6" s="1"/>
  <c r="AB51" i="6" s="1"/>
  <c r="AB52" i="6" s="1"/>
  <c r="AB53" i="6" s="1"/>
  <c r="AB54" i="6" s="1"/>
  <c r="AB55" i="6" s="1"/>
  <c r="AB56" i="6" s="1"/>
  <c r="AB57" i="6" s="1"/>
  <c r="AB58" i="6" s="1"/>
  <c r="AB59" i="6" s="1"/>
  <c r="AB60" i="6" s="1"/>
  <c r="AB61" i="6" s="1"/>
  <c r="AB62" i="6" s="1"/>
  <c r="AB63" i="6" s="1"/>
  <c r="AB64" i="6" s="1"/>
  <c r="AB65" i="6" s="1"/>
  <c r="AB66" i="6" s="1"/>
  <c r="AB67" i="6" s="1"/>
  <c r="AB68" i="6" s="1"/>
  <c r="AB69" i="6" s="1"/>
  <c r="AB70" i="6" s="1"/>
  <c r="AB71" i="6" s="1"/>
  <c r="AB72" i="6" s="1"/>
  <c r="AB73" i="6" s="1"/>
  <c r="AB74" i="6" s="1"/>
  <c r="AB75" i="6" s="1"/>
  <c r="AB76" i="6" s="1"/>
  <c r="AB77" i="6" s="1"/>
  <c r="AB78" i="6" s="1"/>
  <c r="AB79" i="6" s="1"/>
  <c r="AB80" i="6" s="1"/>
  <c r="AB81" i="6" s="1"/>
  <c r="AB82" i="6" s="1"/>
  <c r="AB83" i="6" s="1"/>
  <c r="AB84" i="6" s="1"/>
  <c r="AB85" i="6" s="1"/>
  <c r="AB86" i="6" s="1"/>
  <c r="AB87" i="6" s="1"/>
  <c r="AB88" i="6" s="1"/>
  <c r="AB89" i="6" s="1"/>
  <c r="AB90" i="6" s="1"/>
  <c r="AB91" i="6" s="1"/>
  <c r="AB92" i="6" s="1"/>
  <c r="AB93" i="6" s="1"/>
  <c r="AB94" i="6" s="1"/>
  <c r="AB95" i="6" s="1"/>
  <c r="AB96" i="6" s="1"/>
  <c r="AB97" i="6" s="1"/>
  <c r="AB98" i="6" s="1"/>
  <c r="AB99" i="6" s="1"/>
  <c r="AB100" i="6" s="1"/>
  <c r="AB101" i="6" s="1"/>
  <c r="AB102" i="6" s="1"/>
  <c r="AB103" i="6" s="1"/>
  <c r="AB104" i="6" s="1"/>
  <c r="AB105" i="6" s="1"/>
  <c r="AB106" i="6" s="1"/>
  <c r="AB107" i="6" s="1"/>
  <c r="AB108" i="6" s="1"/>
  <c r="AB109" i="6" s="1"/>
  <c r="AB110" i="6" s="1"/>
  <c r="AB111" i="6" s="1"/>
  <c r="AB112" i="6" s="1"/>
  <c r="AB113" i="6" s="1"/>
  <c r="AB114" i="6" s="1"/>
  <c r="AB115" i="6" s="1"/>
  <c r="AB116" i="6" s="1"/>
  <c r="AB117" i="6" s="1"/>
  <c r="Y5" i="6"/>
  <c r="L4" i="6"/>
  <c r="E4" i="6"/>
  <c r="T2" i="6"/>
  <c r="H92" i="4"/>
  <c r="F92" i="4"/>
  <c r="H91" i="4"/>
  <c r="F91" i="4"/>
  <c r="H90" i="4"/>
  <c r="F90" i="4"/>
  <c r="H89" i="4"/>
  <c r="F89" i="4"/>
  <c r="H88" i="4"/>
  <c r="F88" i="4"/>
  <c r="H87" i="4"/>
  <c r="F87" i="4"/>
  <c r="H86" i="4"/>
  <c r="F86" i="4"/>
  <c r="H85" i="4"/>
  <c r="F85" i="4"/>
  <c r="H84" i="4"/>
  <c r="F84" i="4"/>
  <c r="H83" i="4"/>
  <c r="F83" i="4"/>
  <c r="H82" i="4"/>
  <c r="F82" i="4"/>
  <c r="H81" i="4"/>
  <c r="F81" i="4"/>
  <c r="H80" i="4"/>
  <c r="F80" i="4"/>
  <c r="H79" i="4"/>
  <c r="F79" i="4"/>
  <c r="H78" i="4"/>
  <c r="F78" i="4"/>
  <c r="H77" i="4"/>
  <c r="F77" i="4"/>
  <c r="H76" i="4"/>
  <c r="F76" i="4"/>
  <c r="H75" i="4"/>
  <c r="F75" i="4"/>
  <c r="H74" i="4"/>
  <c r="F74" i="4"/>
  <c r="H73" i="4"/>
  <c r="F73" i="4"/>
  <c r="H72" i="4"/>
  <c r="F72" i="4"/>
  <c r="H71" i="4"/>
  <c r="F71" i="4"/>
  <c r="H70" i="4"/>
  <c r="F70" i="4"/>
  <c r="H69" i="4"/>
  <c r="F69" i="4"/>
  <c r="H68" i="4"/>
  <c r="F68" i="4"/>
  <c r="H67" i="4"/>
  <c r="F67" i="4"/>
  <c r="H66" i="4"/>
  <c r="F66" i="4"/>
  <c r="H65" i="4"/>
  <c r="F65" i="4"/>
  <c r="H64" i="4"/>
  <c r="F64" i="4"/>
  <c r="H63" i="4"/>
  <c r="F63" i="4"/>
  <c r="H62" i="4"/>
  <c r="F62" i="4"/>
  <c r="H61" i="4"/>
  <c r="F61" i="4"/>
  <c r="H60" i="4"/>
  <c r="F60" i="4"/>
  <c r="H59" i="4"/>
  <c r="F59" i="4"/>
  <c r="H58" i="4"/>
  <c r="F58" i="4"/>
  <c r="H57" i="4"/>
  <c r="F57" i="4"/>
  <c r="H56" i="4"/>
  <c r="F56" i="4"/>
  <c r="H55" i="4"/>
  <c r="F55" i="4"/>
  <c r="H54" i="4"/>
  <c r="F54" i="4"/>
  <c r="H53" i="4"/>
  <c r="F53" i="4"/>
  <c r="H52" i="4"/>
  <c r="F52" i="4"/>
  <c r="H51" i="4"/>
  <c r="F51" i="4"/>
  <c r="H50" i="4"/>
  <c r="F50" i="4"/>
  <c r="H49" i="4"/>
  <c r="F49" i="4"/>
  <c r="H48" i="4"/>
  <c r="F48" i="4"/>
  <c r="H47" i="4"/>
  <c r="F47" i="4"/>
  <c r="H46" i="4"/>
  <c r="F46" i="4"/>
  <c r="H45" i="4"/>
  <c r="F45" i="4"/>
  <c r="H44" i="4"/>
  <c r="F44" i="4"/>
  <c r="H43" i="4"/>
  <c r="F43" i="4"/>
  <c r="H42" i="4"/>
  <c r="F42" i="4"/>
  <c r="H41" i="4"/>
  <c r="F41" i="4"/>
  <c r="H40" i="4"/>
  <c r="F40" i="4"/>
  <c r="H39" i="4"/>
  <c r="F39" i="4"/>
  <c r="H38" i="4"/>
  <c r="F38" i="4"/>
  <c r="H37" i="4"/>
  <c r="F37" i="4"/>
  <c r="H36" i="4"/>
  <c r="F36" i="4"/>
  <c r="H35" i="4"/>
  <c r="F35" i="4"/>
  <c r="H34" i="4"/>
  <c r="F34" i="4"/>
  <c r="H33" i="4"/>
  <c r="F33" i="4"/>
  <c r="H32" i="4"/>
  <c r="F32" i="4"/>
  <c r="H31" i="4"/>
  <c r="F31" i="4"/>
  <c r="H30" i="4"/>
  <c r="F30" i="4"/>
  <c r="H29" i="4"/>
  <c r="F29" i="4"/>
  <c r="H28" i="4"/>
  <c r="F28" i="4"/>
  <c r="H27" i="4"/>
  <c r="F27" i="4"/>
  <c r="H26" i="4"/>
  <c r="F26" i="4"/>
  <c r="H25" i="4"/>
  <c r="F25" i="4"/>
  <c r="H24" i="4"/>
  <c r="F24" i="4"/>
  <c r="H23" i="4"/>
  <c r="F23" i="4"/>
  <c r="H22" i="4"/>
  <c r="F22" i="4"/>
  <c r="H21" i="4"/>
  <c r="F21" i="4"/>
  <c r="H20" i="4"/>
  <c r="F20" i="4"/>
  <c r="H19" i="4"/>
  <c r="F19" i="4"/>
  <c r="H18" i="4"/>
  <c r="F18" i="4"/>
  <c r="H17" i="4"/>
  <c r="F17" i="4"/>
  <c r="H16" i="4"/>
  <c r="F16" i="4"/>
  <c r="H15" i="4"/>
  <c r="F15" i="4"/>
  <c r="H14" i="4"/>
  <c r="F14" i="4"/>
  <c r="H13" i="4"/>
  <c r="F13" i="4"/>
  <c r="H12" i="4"/>
  <c r="F12" i="4"/>
  <c r="H11" i="4"/>
  <c r="F11" i="4"/>
  <c r="H10" i="4"/>
  <c r="F10" i="4"/>
  <c r="H9" i="4"/>
  <c r="F9" i="4"/>
  <c r="H8" i="4"/>
  <c r="F8" i="4"/>
  <c r="H7" i="4"/>
  <c r="F7" i="4"/>
  <c r="H6" i="4"/>
  <c r="F6" i="4"/>
  <c r="H5" i="4"/>
  <c r="F5" i="4"/>
  <c r="H4" i="4"/>
  <c r="F4" i="4"/>
  <c r="H3" i="4"/>
  <c r="F3" i="4"/>
  <c r="H2" i="4"/>
  <c r="F2" i="4"/>
  <c r="G92" i="4"/>
  <c r="E92" i="4"/>
  <c r="D92" i="4"/>
  <c r="C92" i="4"/>
  <c r="B92" i="4"/>
  <c r="G91" i="4"/>
  <c r="E91" i="4"/>
  <c r="D91" i="4"/>
  <c r="C91" i="4"/>
  <c r="B91" i="4"/>
  <c r="G90" i="4"/>
  <c r="E90" i="4"/>
  <c r="D90" i="4"/>
  <c r="C90" i="4"/>
  <c r="B90" i="4"/>
  <c r="G89" i="4"/>
  <c r="E89" i="4"/>
  <c r="D89" i="4"/>
  <c r="C89" i="4"/>
  <c r="B89" i="4"/>
  <c r="G88" i="4"/>
  <c r="E88" i="4"/>
  <c r="D88" i="4"/>
  <c r="C88" i="4"/>
  <c r="B88" i="4"/>
  <c r="G87" i="4"/>
  <c r="E87" i="4"/>
  <c r="D87" i="4"/>
  <c r="C87" i="4"/>
  <c r="B87" i="4"/>
  <c r="G86" i="4"/>
  <c r="E86" i="4"/>
  <c r="D86" i="4"/>
  <c r="C86" i="4"/>
  <c r="B86" i="4"/>
  <c r="G85" i="4"/>
  <c r="E85" i="4"/>
  <c r="D85" i="4"/>
  <c r="C85" i="4"/>
  <c r="B85" i="4"/>
  <c r="G84" i="4"/>
  <c r="E84" i="4"/>
  <c r="D84" i="4"/>
  <c r="C84" i="4"/>
  <c r="B84" i="4"/>
  <c r="G83" i="4"/>
  <c r="E83" i="4"/>
  <c r="D83" i="4"/>
  <c r="C83" i="4"/>
  <c r="B83" i="4"/>
  <c r="G82" i="4"/>
  <c r="E82" i="4"/>
  <c r="D82" i="4"/>
  <c r="C82" i="4"/>
  <c r="B82" i="4"/>
  <c r="G81" i="4"/>
  <c r="E81" i="4"/>
  <c r="D81" i="4"/>
  <c r="C81" i="4"/>
  <c r="B81" i="4"/>
  <c r="G80" i="4"/>
  <c r="E80" i="4"/>
  <c r="D80" i="4"/>
  <c r="C80" i="4"/>
  <c r="B80" i="4"/>
  <c r="G79" i="4"/>
  <c r="E79" i="4"/>
  <c r="D79" i="4"/>
  <c r="C79" i="4"/>
  <c r="B79" i="4"/>
  <c r="G78" i="4"/>
  <c r="E78" i="4"/>
  <c r="D78" i="4"/>
  <c r="C78" i="4"/>
  <c r="B78" i="4"/>
  <c r="G77" i="4"/>
  <c r="E77" i="4"/>
  <c r="D77" i="4"/>
  <c r="C77" i="4"/>
  <c r="B77" i="4"/>
  <c r="G76" i="4"/>
  <c r="E76" i="4"/>
  <c r="D76" i="4"/>
  <c r="C76" i="4"/>
  <c r="B76" i="4"/>
  <c r="G75" i="4"/>
  <c r="E75" i="4"/>
  <c r="D75" i="4"/>
  <c r="C75" i="4"/>
  <c r="B75" i="4"/>
  <c r="G74" i="4"/>
  <c r="E74" i="4"/>
  <c r="D74" i="4"/>
  <c r="C74" i="4"/>
  <c r="B74" i="4"/>
  <c r="G73" i="4"/>
  <c r="E73" i="4"/>
  <c r="D73" i="4"/>
  <c r="C73" i="4"/>
  <c r="B73" i="4"/>
  <c r="G72" i="4"/>
  <c r="E72" i="4"/>
  <c r="D72" i="4"/>
  <c r="C72" i="4"/>
  <c r="B72" i="4"/>
  <c r="G71" i="4"/>
  <c r="E71" i="4"/>
  <c r="D71" i="4"/>
  <c r="C71" i="4"/>
  <c r="B71" i="4"/>
  <c r="G70" i="4"/>
  <c r="E70" i="4"/>
  <c r="D70" i="4"/>
  <c r="C70" i="4"/>
  <c r="B70" i="4"/>
  <c r="G69" i="4"/>
  <c r="E69" i="4"/>
  <c r="D69" i="4"/>
  <c r="C69" i="4"/>
  <c r="B69" i="4"/>
  <c r="G68" i="4"/>
  <c r="E68" i="4"/>
  <c r="D68" i="4"/>
  <c r="C68" i="4"/>
  <c r="B68" i="4"/>
  <c r="G67" i="4"/>
  <c r="E67" i="4"/>
  <c r="D67" i="4"/>
  <c r="C67" i="4"/>
  <c r="B67" i="4"/>
  <c r="G66" i="4"/>
  <c r="E66" i="4"/>
  <c r="D66" i="4"/>
  <c r="C66" i="4"/>
  <c r="B66" i="4"/>
  <c r="G65" i="4"/>
  <c r="E65" i="4"/>
  <c r="D65" i="4"/>
  <c r="C65" i="4"/>
  <c r="B65" i="4"/>
  <c r="G64" i="4"/>
  <c r="E64" i="4"/>
  <c r="D64" i="4"/>
  <c r="C64" i="4"/>
  <c r="B64" i="4"/>
  <c r="G63" i="4"/>
  <c r="E63" i="4"/>
  <c r="D63" i="4"/>
  <c r="C63" i="4"/>
  <c r="B63" i="4"/>
  <c r="G62" i="4"/>
  <c r="E62" i="4"/>
  <c r="D62" i="4"/>
  <c r="C62" i="4"/>
  <c r="B62" i="4"/>
  <c r="G61" i="4"/>
  <c r="E61" i="4"/>
  <c r="D61" i="4"/>
  <c r="C61" i="4"/>
  <c r="B61" i="4"/>
  <c r="G60" i="4"/>
  <c r="E60" i="4"/>
  <c r="D60" i="4"/>
  <c r="C60" i="4"/>
  <c r="B60" i="4"/>
  <c r="G59" i="4"/>
  <c r="E59" i="4"/>
  <c r="D59" i="4"/>
  <c r="C59" i="4"/>
  <c r="B59" i="4"/>
  <c r="G58" i="4"/>
  <c r="E58" i="4"/>
  <c r="D58" i="4"/>
  <c r="C58" i="4"/>
  <c r="B58" i="4"/>
  <c r="G57" i="4"/>
  <c r="E57" i="4"/>
  <c r="D57" i="4"/>
  <c r="C57" i="4"/>
  <c r="B57" i="4"/>
  <c r="G56" i="4"/>
  <c r="E56" i="4"/>
  <c r="D56" i="4"/>
  <c r="C56" i="4"/>
  <c r="B56" i="4"/>
  <c r="G55" i="4"/>
  <c r="E55" i="4"/>
  <c r="D55" i="4"/>
  <c r="C55" i="4"/>
  <c r="B55" i="4"/>
  <c r="G54" i="4"/>
  <c r="E54" i="4"/>
  <c r="D54" i="4"/>
  <c r="C54" i="4"/>
  <c r="B54" i="4"/>
  <c r="G53" i="4"/>
  <c r="E53" i="4"/>
  <c r="D53" i="4"/>
  <c r="C53" i="4"/>
  <c r="B53" i="4"/>
  <c r="G52" i="4"/>
  <c r="E52" i="4"/>
  <c r="D52" i="4"/>
  <c r="C52" i="4"/>
  <c r="B52" i="4"/>
  <c r="G51" i="4"/>
  <c r="E51" i="4"/>
  <c r="D51" i="4"/>
  <c r="C51" i="4"/>
  <c r="B51" i="4"/>
  <c r="G50" i="4"/>
  <c r="E50" i="4"/>
  <c r="D50" i="4"/>
  <c r="C50" i="4"/>
  <c r="B50" i="4"/>
  <c r="G49" i="4"/>
  <c r="E49" i="4"/>
  <c r="D49" i="4"/>
  <c r="C49" i="4"/>
  <c r="B49" i="4"/>
  <c r="G48" i="4"/>
  <c r="E48" i="4"/>
  <c r="D48" i="4"/>
  <c r="C48" i="4"/>
  <c r="B48" i="4"/>
  <c r="G47" i="4"/>
  <c r="E47" i="4"/>
  <c r="D47" i="4"/>
  <c r="C47" i="4"/>
  <c r="B47" i="4"/>
  <c r="G46" i="4"/>
  <c r="E46" i="4"/>
  <c r="D46" i="4"/>
  <c r="C46" i="4"/>
  <c r="B46" i="4"/>
  <c r="G45" i="4"/>
  <c r="E45" i="4"/>
  <c r="D45" i="4"/>
  <c r="C45" i="4"/>
  <c r="B45" i="4"/>
  <c r="G44" i="4"/>
  <c r="E44" i="4"/>
  <c r="D44" i="4"/>
  <c r="C44" i="4"/>
  <c r="B44" i="4"/>
  <c r="G43" i="4"/>
  <c r="E43" i="4"/>
  <c r="D43" i="4"/>
  <c r="C43" i="4"/>
  <c r="B43" i="4"/>
  <c r="G42" i="4"/>
  <c r="E42" i="4"/>
  <c r="D42" i="4"/>
  <c r="C42" i="4"/>
  <c r="B42" i="4"/>
  <c r="G41" i="4"/>
  <c r="E41" i="4"/>
  <c r="D41" i="4"/>
  <c r="C41" i="4"/>
  <c r="B41" i="4"/>
  <c r="G40" i="4"/>
  <c r="E40" i="4"/>
  <c r="D40" i="4"/>
  <c r="C40" i="4"/>
  <c r="B40" i="4"/>
  <c r="G39" i="4"/>
  <c r="E39" i="4"/>
  <c r="D39" i="4"/>
  <c r="C39" i="4"/>
  <c r="B39" i="4"/>
  <c r="G38" i="4"/>
  <c r="E38" i="4"/>
  <c r="D38" i="4"/>
  <c r="C38" i="4"/>
  <c r="B38" i="4"/>
  <c r="G37" i="4"/>
  <c r="E37" i="4"/>
  <c r="D37" i="4"/>
  <c r="C37" i="4"/>
  <c r="B37" i="4"/>
  <c r="G36" i="4"/>
  <c r="E36" i="4"/>
  <c r="D36" i="4"/>
  <c r="C36" i="4"/>
  <c r="B36" i="4"/>
  <c r="G35" i="4"/>
  <c r="E35" i="4"/>
  <c r="D35" i="4"/>
  <c r="C35" i="4"/>
  <c r="B35" i="4"/>
  <c r="G34" i="4"/>
  <c r="E34" i="4"/>
  <c r="D34" i="4"/>
  <c r="C34" i="4"/>
  <c r="B34" i="4"/>
  <c r="G33" i="4"/>
  <c r="E33" i="4"/>
  <c r="D33" i="4"/>
  <c r="C33" i="4"/>
  <c r="B33" i="4"/>
  <c r="G32" i="4"/>
  <c r="E32" i="4"/>
  <c r="D32" i="4"/>
  <c r="C32" i="4"/>
  <c r="B32" i="4"/>
  <c r="G31" i="4"/>
  <c r="E31" i="4"/>
  <c r="D31" i="4"/>
  <c r="C31" i="4"/>
  <c r="B31" i="4"/>
  <c r="G30" i="4"/>
  <c r="E30" i="4"/>
  <c r="D30" i="4"/>
  <c r="C30" i="4"/>
  <c r="B30" i="4"/>
  <c r="G29" i="4"/>
  <c r="E29" i="4"/>
  <c r="D29" i="4"/>
  <c r="C29" i="4"/>
  <c r="B29" i="4"/>
  <c r="G28" i="4"/>
  <c r="E28" i="4"/>
  <c r="D28" i="4"/>
  <c r="C28" i="4"/>
  <c r="B28" i="4"/>
  <c r="G27" i="4"/>
  <c r="E27" i="4"/>
  <c r="D27" i="4"/>
  <c r="C27" i="4"/>
  <c r="B27" i="4"/>
  <c r="G26" i="4"/>
  <c r="E26" i="4"/>
  <c r="D26" i="4"/>
  <c r="C26" i="4"/>
  <c r="B26" i="4"/>
  <c r="G25" i="4"/>
  <c r="E25" i="4"/>
  <c r="D25" i="4"/>
  <c r="C25" i="4"/>
  <c r="B25" i="4"/>
  <c r="G24" i="4"/>
  <c r="E24" i="4"/>
  <c r="D24" i="4"/>
  <c r="C24" i="4"/>
  <c r="B24" i="4"/>
  <c r="G23" i="4"/>
  <c r="E23" i="4"/>
  <c r="D23" i="4"/>
  <c r="C23" i="4"/>
  <c r="B23" i="4"/>
  <c r="G22" i="4"/>
  <c r="E22" i="4"/>
  <c r="D22" i="4"/>
  <c r="C22" i="4"/>
  <c r="B22" i="4"/>
  <c r="G21" i="4"/>
  <c r="E21" i="4"/>
  <c r="D21" i="4"/>
  <c r="C21" i="4"/>
  <c r="B21" i="4"/>
  <c r="G20" i="4"/>
  <c r="E20" i="4"/>
  <c r="D20" i="4"/>
  <c r="C20" i="4"/>
  <c r="B20" i="4"/>
  <c r="G19" i="4"/>
  <c r="E19" i="4"/>
  <c r="D19" i="4"/>
  <c r="C19" i="4"/>
  <c r="B19" i="4"/>
  <c r="G18" i="4"/>
  <c r="E18" i="4"/>
  <c r="D18" i="4"/>
  <c r="C18" i="4"/>
  <c r="B18" i="4"/>
  <c r="G17" i="4"/>
  <c r="E17" i="4"/>
  <c r="D17" i="4"/>
  <c r="C17" i="4"/>
  <c r="B17" i="4"/>
  <c r="G16" i="4"/>
  <c r="E16" i="4"/>
  <c r="D16" i="4"/>
  <c r="C16" i="4"/>
  <c r="B16" i="4"/>
  <c r="G15" i="4"/>
  <c r="E15" i="4"/>
  <c r="D15" i="4"/>
  <c r="C15" i="4"/>
  <c r="B15" i="4"/>
  <c r="G14" i="4"/>
  <c r="E14" i="4"/>
  <c r="D14" i="4"/>
  <c r="C14" i="4"/>
  <c r="B14" i="4"/>
  <c r="G13" i="4"/>
  <c r="E13" i="4"/>
  <c r="D13" i="4"/>
  <c r="C13" i="4"/>
  <c r="B13" i="4"/>
  <c r="G12" i="4"/>
  <c r="E12" i="4"/>
  <c r="D12" i="4"/>
  <c r="C12" i="4"/>
  <c r="B12" i="4"/>
  <c r="G11" i="4"/>
  <c r="E11" i="4"/>
  <c r="D11" i="4"/>
  <c r="C11" i="4"/>
  <c r="B11" i="4"/>
  <c r="G10" i="4"/>
  <c r="E10" i="4"/>
  <c r="D10" i="4"/>
  <c r="C10" i="4"/>
  <c r="B10" i="4"/>
  <c r="G9" i="4"/>
  <c r="E9" i="4"/>
  <c r="D9" i="4"/>
  <c r="C9" i="4"/>
  <c r="B9" i="4"/>
  <c r="G8" i="4"/>
  <c r="E8" i="4"/>
  <c r="D8" i="4"/>
  <c r="C8" i="4"/>
  <c r="B8" i="4"/>
  <c r="G7" i="4"/>
  <c r="E7" i="4"/>
  <c r="D7" i="4"/>
  <c r="C7" i="4"/>
  <c r="B7" i="4"/>
  <c r="G6" i="4"/>
  <c r="E6" i="4"/>
  <c r="D6" i="4"/>
  <c r="C6" i="4"/>
  <c r="B6" i="4"/>
  <c r="G5" i="4"/>
  <c r="E5" i="4"/>
  <c r="D5" i="4"/>
  <c r="C5" i="4"/>
  <c r="B5" i="4"/>
  <c r="G4" i="4"/>
  <c r="E4" i="4"/>
  <c r="D4" i="4"/>
  <c r="C4" i="4"/>
  <c r="B4" i="4"/>
  <c r="G3" i="4"/>
  <c r="E3" i="4"/>
  <c r="D3" i="4"/>
  <c r="C3" i="4"/>
  <c r="B3" i="4"/>
  <c r="G2" i="4"/>
  <c r="E2" i="4"/>
  <c r="D2" i="4"/>
  <c r="C2" i="4"/>
  <c r="G4" i="3"/>
  <c r="D4" i="3"/>
  <c r="C4" i="3"/>
  <c r="B4" i="3"/>
  <c r="G3" i="3"/>
  <c r="D3" i="3"/>
  <c r="C3" i="3"/>
  <c r="H4" i="6"/>
  <c r="F4" i="6"/>
  <c r="G4" i="6"/>
  <c r="I4" i="6"/>
  <c r="J4" i="6"/>
  <c r="R6" i="6" l="1"/>
  <c r="S5" i="6"/>
  <c r="U5" i="6" s="1"/>
  <c r="W5" i="6" l="1"/>
  <c r="V5" i="6"/>
  <c r="W6" i="6"/>
  <c r="V6" i="6"/>
  <c r="T6" i="6"/>
  <c r="U6" i="6"/>
  <c r="S6" i="6"/>
  <c r="X6" i="6"/>
  <c r="R7" i="6"/>
  <c r="Z6" i="6"/>
  <c r="Z5" i="6" s="1"/>
  <c r="Y6" i="6"/>
  <c r="X5" i="6" l="1"/>
  <c r="X7" i="6"/>
  <c r="Z7" i="6"/>
  <c r="R8" i="6"/>
  <c r="Y7" i="6"/>
  <c r="W7" i="6"/>
  <c r="V7" i="6"/>
  <c r="U7" i="6"/>
  <c r="T7" i="6"/>
  <c r="S7" i="6"/>
  <c r="W8" i="6" l="1"/>
  <c r="T8" i="6"/>
  <c r="V8" i="6"/>
  <c r="U8" i="6"/>
  <c r="S8" i="6"/>
  <c r="X8" i="6"/>
  <c r="R9" i="6"/>
  <c r="Z8" i="6"/>
  <c r="Y8" i="6"/>
  <c r="R10" i="6" l="1"/>
  <c r="W9" i="6"/>
  <c r="Z9" i="6"/>
  <c r="Y9" i="6"/>
  <c r="X9" i="6"/>
  <c r="V9" i="6"/>
  <c r="U9" i="6"/>
  <c r="T9" i="6"/>
  <c r="S9" i="6"/>
  <c r="T10" i="6" l="1"/>
  <c r="S10" i="6"/>
  <c r="U10" i="6"/>
  <c r="V10" i="6"/>
  <c r="R11" i="6"/>
  <c r="Z10" i="6"/>
  <c r="Y10" i="6"/>
  <c r="X10" i="6"/>
  <c r="W10" i="6"/>
  <c r="W11" i="6" l="1"/>
  <c r="R12" i="6"/>
  <c r="Z11" i="6"/>
  <c r="Y11" i="6"/>
  <c r="V11" i="6"/>
  <c r="X11" i="6"/>
  <c r="U11" i="6"/>
  <c r="T11" i="6"/>
  <c r="S11" i="6"/>
  <c r="T12" i="6" l="1"/>
  <c r="S12" i="6"/>
  <c r="R13" i="6"/>
  <c r="U12" i="6"/>
  <c r="Z12" i="6"/>
  <c r="Y12" i="6"/>
  <c r="X12" i="6"/>
  <c r="W12" i="6"/>
  <c r="V12" i="6"/>
  <c r="Z13" i="6" l="1"/>
  <c r="T13" i="6"/>
  <c r="S13" i="6"/>
  <c r="Y13" i="6"/>
  <c r="X13" i="6"/>
  <c r="W13" i="6"/>
  <c r="V13" i="6"/>
  <c r="U13" i="6"/>
  <c r="R14" i="6"/>
  <c r="R15" i="6" l="1"/>
  <c r="Y14" i="6"/>
  <c r="Z14" i="6"/>
  <c r="X14" i="6"/>
  <c r="W14" i="6"/>
  <c r="V14" i="6"/>
  <c r="U14" i="6"/>
  <c r="T14" i="6"/>
  <c r="S14" i="6"/>
  <c r="U15" i="6" l="1"/>
  <c r="T15" i="6"/>
  <c r="S15" i="6"/>
  <c r="V15" i="6"/>
  <c r="R16" i="6"/>
  <c r="Z15" i="6"/>
  <c r="Y15" i="6"/>
  <c r="X15" i="6"/>
  <c r="W15" i="6"/>
  <c r="U16" i="6" l="1"/>
  <c r="Z16" i="6"/>
  <c r="Y16" i="6"/>
  <c r="X16" i="6"/>
  <c r="S16" i="6"/>
  <c r="W16" i="6"/>
  <c r="T16" i="6"/>
  <c r="V16" i="6"/>
  <c r="R17" i="6"/>
  <c r="R18" i="6" l="1"/>
  <c r="Z17" i="6"/>
  <c r="Y17" i="6"/>
  <c r="X17" i="6"/>
  <c r="W17" i="6"/>
  <c r="V17" i="6"/>
  <c r="U17" i="6"/>
  <c r="T17" i="6"/>
  <c r="S17" i="6"/>
  <c r="V18" i="6" l="1"/>
  <c r="U18" i="6"/>
  <c r="S18" i="6"/>
  <c r="T18" i="6"/>
  <c r="W18" i="6"/>
  <c r="X18" i="6"/>
  <c r="Z18" i="6"/>
  <c r="Y18" i="6"/>
  <c r="R19" i="6"/>
  <c r="R20" i="6" l="1"/>
  <c r="V19" i="6"/>
  <c r="T19" i="6"/>
  <c r="Z19" i="6"/>
  <c r="Y19" i="6"/>
  <c r="U19" i="6"/>
  <c r="X19" i="6"/>
  <c r="W19" i="6"/>
  <c r="S19" i="6"/>
  <c r="R21" i="6" l="1"/>
  <c r="S20" i="6"/>
  <c r="Z20" i="6"/>
  <c r="Y20" i="6"/>
  <c r="X20" i="6"/>
  <c r="W20" i="6"/>
  <c r="V20" i="6"/>
  <c r="U20" i="6"/>
  <c r="T20" i="6"/>
  <c r="Z21" i="6" l="1"/>
  <c r="Y21" i="6"/>
  <c r="X21" i="6"/>
  <c r="W21" i="6"/>
  <c r="V21" i="6"/>
  <c r="U21" i="6"/>
  <c r="T21" i="6"/>
  <c r="S21" i="6"/>
  <c r="R22" i="6"/>
  <c r="R23" i="6" l="1"/>
  <c r="Z22" i="6"/>
  <c r="W22" i="6"/>
  <c r="V22" i="6"/>
  <c r="U22" i="6"/>
  <c r="S22" i="6"/>
  <c r="T22" i="6"/>
  <c r="Y22" i="6"/>
  <c r="X22" i="6"/>
  <c r="W23" i="6" l="1"/>
  <c r="T23" i="6"/>
  <c r="V23" i="6"/>
  <c r="U23" i="6"/>
  <c r="S23" i="6"/>
  <c r="X23" i="6"/>
  <c r="R24" i="6"/>
  <c r="Z23" i="6"/>
  <c r="Y23" i="6"/>
  <c r="R25" i="6" l="1"/>
  <c r="X24" i="6"/>
  <c r="W24" i="6"/>
  <c r="Z24" i="6"/>
  <c r="V24" i="6"/>
  <c r="Y24" i="6"/>
  <c r="U24" i="6"/>
  <c r="T24" i="6"/>
  <c r="S24" i="6"/>
  <c r="S25" i="6" l="1"/>
  <c r="R26" i="6"/>
  <c r="T25" i="6"/>
  <c r="Y25" i="6"/>
  <c r="X25" i="6"/>
  <c r="U25" i="6"/>
  <c r="W25" i="6"/>
  <c r="V25" i="6"/>
  <c r="Z25" i="6"/>
  <c r="Z26" i="6" l="1"/>
  <c r="Y26" i="6"/>
  <c r="X26" i="6"/>
  <c r="W26" i="6"/>
  <c r="S26" i="6"/>
  <c r="V26" i="6"/>
  <c r="U26" i="6"/>
  <c r="T26" i="6"/>
  <c r="R27" i="6"/>
  <c r="Z27" i="6" l="1"/>
  <c r="R28" i="6"/>
  <c r="Y27" i="6"/>
  <c r="X27" i="6"/>
  <c r="W27" i="6"/>
  <c r="V27" i="6"/>
  <c r="U27" i="6"/>
  <c r="T27" i="6"/>
  <c r="S27" i="6"/>
  <c r="W28" i="6" l="1"/>
  <c r="V28" i="6"/>
  <c r="T28" i="6"/>
  <c r="U28" i="6"/>
  <c r="S28" i="6"/>
  <c r="X28" i="6"/>
  <c r="Z28" i="6"/>
  <c r="Y28" i="6"/>
  <c r="R29" i="6"/>
  <c r="R30" i="6" l="1"/>
  <c r="X29" i="6"/>
  <c r="Z29" i="6"/>
  <c r="W29" i="6"/>
  <c r="Y29" i="6"/>
  <c r="V29" i="6"/>
  <c r="U29" i="6"/>
  <c r="T29" i="6"/>
  <c r="S29" i="6"/>
  <c r="S30" i="6" l="1"/>
  <c r="R31" i="6"/>
  <c r="T30" i="6"/>
  <c r="Z30" i="6"/>
  <c r="Y30" i="6"/>
  <c r="X30" i="6"/>
  <c r="W30" i="6"/>
  <c r="V30" i="6"/>
  <c r="U30" i="6"/>
  <c r="Z31" i="6" l="1"/>
  <c r="X31" i="6"/>
  <c r="Y31" i="6"/>
  <c r="W31" i="6"/>
  <c r="T31" i="6"/>
  <c r="V31" i="6"/>
  <c r="U31" i="6"/>
  <c r="S31" i="6"/>
  <c r="R32" i="6"/>
  <c r="R33" i="6" l="1"/>
  <c r="Z32" i="6"/>
  <c r="S32" i="6"/>
  <c r="Y32" i="6"/>
  <c r="X32" i="6"/>
  <c r="W32" i="6"/>
  <c r="V32" i="6"/>
  <c r="U32" i="6"/>
  <c r="T32" i="6"/>
  <c r="W33" i="6" l="1"/>
  <c r="V33" i="6"/>
  <c r="U33" i="6"/>
  <c r="T33" i="6"/>
  <c r="S33" i="6"/>
  <c r="X33" i="6"/>
  <c r="R34" i="6"/>
  <c r="Z33" i="6"/>
  <c r="Y33" i="6"/>
  <c r="W34" i="6" l="1"/>
  <c r="V34" i="6"/>
  <c r="R35" i="6"/>
  <c r="Z34" i="6"/>
  <c r="Y34" i="6"/>
  <c r="X34" i="6"/>
  <c r="U34" i="6"/>
  <c r="T34" i="6"/>
  <c r="S34" i="6"/>
  <c r="S35" i="6" l="1"/>
  <c r="R36" i="6"/>
  <c r="T35" i="6"/>
  <c r="U35" i="6"/>
  <c r="Z35" i="6"/>
  <c r="Y35" i="6"/>
  <c r="X35" i="6"/>
  <c r="W35" i="6"/>
  <c r="V35" i="6"/>
  <c r="Z36" i="6" l="1"/>
  <c r="S36" i="6"/>
  <c r="Y36" i="6"/>
  <c r="X36" i="6"/>
  <c r="W36" i="6"/>
  <c r="V36" i="6"/>
  <c r="T36" i="6"/>
  <c r="U36" i="6"/>
  <c r="R37" i="6"/>
  <c r="R38" i="6" l="1"/>
  <c r="Z37" i="6"/>
  <c r="Y37" i="6"/>
  <c r="U37" i="6"/>
  <c r="X37" i="6"/>
  <c r="W37" i="6"/>
  <c r="V37" i="6"/>
  <c r="T37" i="6"/>
  <c r="S37" i="6"/>
  <c r="W38" i="6" l="1"/>
  <c r="V38" i="6"/>
  <c r="U38" i="6"/>
  <c r="T38" i="6"/>
  <c r="S38" i="6"/>
  <c r="X38" i="6"/>
  <c r="R39" i="6"/>
  <c r="Z38" i="6"/>
  <c r="Y38" i="6"/>
  <c r="R40" i="6" l="1"/>
  <c r="X39" i="6"/>
  <c r="W39" i="6"/>
  <c r="V39" i="6"/>
  <c r="Z39" i="6"/>
  <c r="Y39" i="6"/>
  <c r="U39" i="6"/>
  <c r="T39" i="6"/>
  <c r="S39" i="6"/>
  <c r="S40" i="6" l="1"/>
  <c r="R41" i="6"/>
  <c r="T40" i="6"/>
  <c r="Z40" i="6"/>
  <c r="Y40" i="6"/>
  <c r="X40" i="6"/>
  <c r="W40" i="6"/>
  <c r="V40" i="6"/>
  <c r="U40" i="6"/>
  <c r="Z41" i="6" l="1"/>
  <c r="Y41" i="6"/>
  <c r="X41" i="6"/>
  <c r="W41" i="6"/>
  <c r="T41" i="6"/>
  <c r="V41" i="6"/>
  <c r="U41" i="6"/>
  <c r="S41" i="6"/>
  <c r="R42" i="6"/>
  <c r="R43" i="6" l="1"/>
  <c r="Z42" i="6"/>
  <c r="Y42" i="6"/>
  <c r="X42" i="6"/>
  <c r="W42" i="6"/>
  <c r="V42" i="6"/>
  <c r="U42" i="6"/>
  <c r="T42" i="6"/>
  <c r="S42" i="6"/>
  <c r="W43" i="6" l="1"/>
  <c r="V43" i="6"/>
  <c r="U43" i="6"/>
  <c r="T43" i="6"/>
  <c r="S43" i="6"/>
  <c r="X43" i="6"/>
  <c r="R44" i="6"/>
  <c r="Z43" i="6"/>
  <c r="Y43" i="6"/>
  <c r="V44" i="6" l="1"/>
  <c r="R45" i="6"/>
  <c r="Z44" i="6"/>
  <c r="X44" i="6"/>
  <c r="Y44" i="6"/>
  <c r="W44" i="6"/>
  <c r="T44" i="6"/>
  <c r="S44" i="6"/>
  <c r="U44" i="6"/>
  <c r="S45" i="6" l="1"/>
  <c r="R46" i="6"/>
  <c r="T45" i="6"/>
  <c r="Z45" i="6"/>
  <c r="Y45" i="6"/>
  <c r="X45" i="6"/>
  <c r="W45" i="6"/>
  <c r="V45" i="6"/>
  <c r="U45" i="6"/>
  <c r="S46" i="6" l="1"/>
  <c r="Z46" i="6"/>
  <c r="X46" i="6"/>
  <c r="Y46" i="6"/>
  <c r="W46" i="6"/>
  <c r="V46" i="6"/>
  <c r="U46" i="6"/>
  <c r="T46" i="6"/>
  <c r="R47" i="6"/>
  <c r="Z47" i="6" l="1"/>
  <c r="R48" i="6"/>
  <c r="W47" i="6"/>
  <c r="V47" i="6"/>
  <c r="U47" i="6"/>
  <c r="T47" i="6"/>
  <c r="S47" i="6"/>
  <c r="Y47" i="6"/>
  <c r="X47" i="6"/>
  <c r="W48" i="6" l="1"/>
  <c r="V48" i="6"/>
  <c r="U48" i="6"/>
  <c r="T48" i="6"/>
  <c r="S48" i="6"/>
  <c r="X48" i="6"/>
  <c r="R49" i="6"/>
  <c r="Z48" i="6"/>
  <c r="Y48" i="6"/>
  <c r="R50" i="6" l="1"/>
  <c r="X49" i="6"/>
  <c r="W49" i="6"/>
  <c r="Z49" i="6"/>
  <c r="Y49" i="6"/>
  <c r="V49" i="6"/>
  <c r="U49" i="6"/>
  <c r="T49" i="6"/>
  <c r="S49" i="6"/>
  <c r="S50" i="6" l="1"/>
  <c r="R51" i="6"/>
  <c r="T50" i="6"/>
  <c r="Y50" i="6"/>
  <c r="X50" i="6"/>
  <c r="W50" i="6"/>
  <c r="V50" i="6"/>
  <c r="U50" i="6"/>
  <c r="Z50" i="6"/>
  <c r="Z51" i="6" l="1"/>
  <c r="Y51" i="6"/>
  <c r="X51" i="6"/>
  <c r="W51" i="6"/>
  <c r="T51" i="6"/>
  <c r="V51" i="6"/>
  <c r="U51" i="6"/>
  <c r="S51" i="6"/>
  <c r="R52" i="6"/>
  <c r="R53" i="6" l="1"/>
  <c r="Z52" i="6"/>
  <c r="Y52" i="6"/>
  <c r="X52" i="6"/>
  <c r="W52" i="6"/>
  <c r="V52" i="6"/>
  <c r="U52" i="6"/>
  <c r="T52" i="6"/>
  <c r="S52" i="6"/>
  <c r="Z53" i="6" l="1"/>
  <c r="Y53" i="6"/>
  <c r="X53" i="6"/>
  <c r="W53" i="6"/>
  <c r="V53" i="6"/>
  <c r="T53" i="6"/>
  <c r="S53" i="6"/>
  <c r="U53" i="6"/>
  <c r="R54" i="6"/>
  <c r="R55" i="6" l="1"/>
  <c r="W54" i="6"/>
  <c r="V54" i="6"/>
  <c r="Z54" i="6"/>
  <c r="Y54" i="6"/>
  <c r="X54" i="6"/>
  <c r="U54" i="6"/>
  <c r="T54" i="6"/>
  <c r="S54" i="6"/>
  <c r="Z55" i="6" l="1"/>
  <c r="Y55" i="6"/>
  <c r="X55" i="6"/>
  <c r="W55" i="6"/>
  <c r="V55" i="6"/>
  <c r="U55" i="6"/>
  <c r="T55" i="6"/>
  <c r="S55" i="6"/>
  <c r="R56" i="6"/>
  <c r="R57" i="6" l="1"/>
  <c r="W56" i="6"/>
  <c r="V56" i="6"/>
  <c r="Z56" i="6"/>
  <c r="Y56" i="6"/>
  <c r="X56" i="6"/>
  <c r="U56" i="6"/>
  <c r="T56" i="6"/>
  <c r="S56" i="6"/>
  <c r="Z57" i="6" l="1"/>
  <c r="T57" i="6"/>
  <c r="Y57" i="6"/>
  <c r="X57" i="6"/>
  <c r="W57" i="6"/>
  <c r="V57" i="6"/>
  <c r="U57" i="6"/>
  <c r="S57" i="6"/>
  <c r="R58" i="6"/>
  <c r="R59" i="6" l="1"/>
  <c r="W58" i="6"/>
  <c r="V58" i="6"/>
  <c r="Z58" i="6"/>
  <c r="Y58" i="6"/>
  <c r="X58" i="6"/>
  <c r="U58" i="6"/>
  <c r="T58" i="6"/>
  <c r="S58" i="6"/>
  <c r="T59" i="6" l="1"/>
  <c r="Z59" i="6"/>
  <c r="Y59" i="6"/>
  <c r="X59" i="6"/>
  <c r="W59" i="6"/>
  <c r="V59" i="6"/>
  <c r="U59" i="6"/>
  <c r="S59" i="6"/>
  <c r="R60" i="6"/>
  <c r="R61" i="6" l="1"/>
  <c r="W60" i="6"/>
  <c r="V60" i="6"/>
  <c r="Z60" i="6"/>
  <c r="X60" i="6"/>
  <c r="Y60" i="6"/>
  <c r="U60" i="6"/>
  <c r="T60" i="6"/>
  <c r="S60" i="6"/>
  <c r="Z61" i="6" l="1"/>
  <c r="Y61" i="6"/>
  <c r="X61" i="6"/>
  <c r="W61" i="6"/>
  <c r="V61" i="6"/>
  <c r="T61" i="6"/>
  <c r="U61" i="6"/>
  <c r="S61" i="6"/>
  <c r="R62" i="6"/>
  <c r="R63" i="6" l="1"/>
  <c r="W62" i="6"/>
  <c r="V62" i="6"/>
  <c r="Z62" i="6"/>
  <c r="Y62" i="6"/>
  <c r="X62" i="6"/>
  <c r="U62" i="6"/>
  <c r="T62" i="6"/>
  <c r="S62" i="6"/>
  <c r="Z63" i="6" l="1"/>
  <c r="S63" i="6"/>
  <c r="Y63" i="6"/>
  <c r="X63" i="6"/>
  <c r="W63" i="6"/>
  <c r="T63" i="6"/>
  <c r="V63" i="6"/>
  <c r="U63" i="6"/>
  <c r="R64" i="6"/>
  <c r="R65" i="6" l="1"/>
  <c r="W64" i="6"/>
  <c r="V64" i="6"/>
  <c r="Z64" i="6"/>
  <c r="Y64" i="6"/>
  <c r="X64" i="6"/>
  <c r="U64" i="6"/>
  <c r="T64" i="6"/>
  <c r="S64" i="6"/>
  <c r="Z65" i="6" l="1"/>
  <c r="Y65" i="6"/>
  <c r="X65" i="6"/>
  <c r="W65" i="6"/>
  <c r="V65" i="6"/>
  <c r="S65" i="6"/>
  <c r="U65" i="6"/>
  <c r="T65" i="6"/>
  <c r="R66" i="6"/>
  <c r="R67" i="6" l="1"/>
  <c r="W66" i="6"/>
  <c r="V66" i="6"/>
  <c r="Y66" i="6"/>
  <c r="X66" i="6"/>
  <c r="U66" i="6"/>
  <c r="T66" i="6"/>
  <c r="S66" i="6"/>
  <c r="Z66" i="6"/>
  <c r="Z67" i="6" l="1"/>
  <c r="T67" i="6"/>
  <c r="Y67" i="6"/>
  <c r="X67" i="6"/>
  <c r="W67" i="6"/>
  <c r="V67" i="6"/>
  <c r="U67" i="6"/>
  <c r="S67" i="6"/>
  <c r="R68" i="6"/>
  <c r="R69" i="6" l="1"/>
  <c r="W68" i="6"/>
  <c r="V68" i="6"/>
  <c r="Z68" i="6"/>
  <c r="Y68" i="6"/>
  <c r="X68" i="6"/>
  <c r="U68" i="6"/>
  <c r="T68" i="6"/>
  <c r="S68" i="6"/>
  <c r="Z69" i="6" l="1"/>
  <c r="Y69" i="6"/>
  <c r="X69" i="6"/>
  <c r="W69" i="6"/>
  <c r="S69" i="6"/>
  <c r="V69" i="6"/>
  <c r="U69" i="6"/>
  <c r="T69" i="6"/>
  <c r="R70" i="6"/>
  <c r="R71" i="6" l="1"/>
  <c r="W70" i="6"/>
  <c r="V70" i="6"/>
  <c r="Z70" i="6"/>
  <c r="Y70" i="6"/>
  <c r="X70" i="6"/>
  <c r="U70" i="6"/>
  <c r="T70" i="6"/>
  <c r="S70" i="6"/>
  <c r="S71" i="6" l="1"/>
  <c r="Z71" i="6"/>
  <c r="Y71" i="6"/>
  <c r="X71" i="6"/>
  <c r="W71" i="6"/>
  <c r="V71" i="6"/>
  <c r="T71" i="6"/>
  <c r="U71" i="6"/>
  <c r="R72" i="6"/>
  <c r="R73" i="6" l="1"/>
  <c r="W72" i="6"/>
  <c r="V72" i="6"/>
  <c r="X72" i="6"/>
  <c r="U72" i="6"/>
  <c r="T72" i="6"/>
  <c r="S72" i="6"/>
  <c r="Z72" i="6"/>
  <c r="Y72" i="6"/>
  <c r="Z73" i="6" l="1"/>
  <c r="Y73" i="6"/>
  <c r="X73" i="6"/>
  <c r="W73" i="6"/>
  <c r="V73" i="6"/>
  <c r="T73" i="6"/>
  <c r="U73" i="6"/>
  <c r="S73" i="6"/>
  <c r="R74" i="6"/>
  <c r="R75" i="6" l="1"/>
  <c r="W74" i="6"/>
  <c r="V74" i="6"/>
  <c r="Z74" i="6"/>
  <c r="Y74" i="6"/>
  <c r="X74" i="6"/>
  <c r="U74" i="6"/>
  <c r="T74" i="6"/>
  <c r="S74" i="6"/>
  <c r="Z75" i="6" l="1"/>
  <c r="Y75" i="6"/>
  <c r="X75" i="6"/>
  <c r="W75" i="6"/>
  <c r="V75" i="6"/>
  <c r="T75" i="6"/>
  <c r="U75" i="6"/>
  <c r="S75" i="6"/>
  <c r="R76" i="6"/>
  <c r="R77" i="6" l="1"/>
  <c r="W76" i="6"/>
  <c r="V76" i="6"/>
  <c r="Z76" i="6"/>
  <c r="Y76" i="6"/>
  <c r="X76" i="6"/>
  <c r="U76" i="6"/>
  <c r="T76" i="6"/>
  <c r="S76" i="6"/>
  <c r="T77" i="6" l="1"/>
  <c r="Z77" i="6"/>
  <c r="Y77" i="6"/>
  <c r="X77" i="6"/>
  <c r="W77" i="6"/>
  <c r="V77" i="6"/>
  <c r="U77" i="6"/>
  <c r="S77" i="6"/>
  <c r="R78" i="6"/>
  <c r="R79" i="6" l="1"/>
  <c r="W78" i="6"/>
  <c r="V78" i="6"/>
  <c r="U78" i="6"/>
  <c r="T78" i="6"/>
  <c r="S78" i="6"/>
  <c r="Z78" i="6"/>
  <c r="Y78" i="6"/>
  <c r="X78" i="6"/>
  <c r="Z79" i="6" l="1"/>
  <c r="Y79" i="6"/>
  <c r="X79" i="6"/>
  <c r="W79" i="6"/>
  <c r="V79" i="6"/>
  <c r="U79" i="6"/>
  <c r="T79" i="6"/>
  <c r="S79" i="6"/>
  <c r="R80" i="6"/>
  <c r="R81" i="6" l="1"/>
  <c r="W80" i="6"/>
  <c r="V80" i="6"/>
  <c r="Z80" i="6"/>
  <c r="Y80" i="6"/>
  <c r="X80" i="6"/>
  <c r="U80" i="6"/>
  <c r="T80" i="6"/>
  <c r="S80" i="6"/>
  <c r="Z81" i="6" l="1"/>
  <c r="T81" i="6"/>
  <c r="Y81" i="6"/>
  <c r="X81" i="6"/>
  <c r="W81" i="6"/>
  <c r="V81" i="6"/>
  <c r="U81" i="6"/>
  <c r="S81" i="6"/>
  <c r="R82" i="6"/>
  <c r="R83" i="6" l="1"/>
  <c r="W82" i="6"/>
  <c r="V82" i="6"/>
  <c r="Z82" i="6"/>
  <c r="Y82" i="6"/>
  <c r="X82" i="6"/>
  <c r="U82" i="6"/>
  <c r="T82" i="6"/>
  <c r="S82" i="6"/>
  <c r="Z83" i="6" l="1"/>
  <c r="Y83" i="6"/>
  <c r="X83" i="6"/>
  <c r="W83" i="6"/>
  <c r="T83" i="6"/>
  <c r="V83" i="6"/>
  <c r="U83" i="6"/>
  <c r="S83" i="6"/>
  <c r="R84" i="6"/>
  <c r="R85" i="6" l="1"/>
  <c r="Y84" i="6"/>
  <c r="W84" i="6"/>
  <c r="V84" i="6"/>
  <c r="T84" i="6"/>
  <c r="S84" i="6"/>
  <c r="Z84" i="6"/>
  <c r="X84" i="6"/>
  <c r="U84" i="6"/>
  <c r="Z85" i="6" l="1"/>
  <c r="Y85" i="6"/>
  <c r="X85" i="6"/>
  <c r="W85" i="6"/>
  <c r="V85" i="6"/>
  <c r="T85" i="6"/>
  <c r="U85" i="6"/>
  <c r="S85" i="6"/>
  <c r="R86" i="6"/>
  <c r="R87" i="6" l="1"/>
  <c r="Y86" i="6"/>
  <c r="W86" i="6"/>
  <c r="V86" i="6"/>
  <c r="U86" i="6"/>
  <c r="Z86" i="6"/>
  <c r="X86" i="6"/>
  <c r="T86" i="6"/>
  <c r="S86" i="6"/>
  <c r="Z87" i="6" l="1"/>
  <c r="Y87" i="6"/>
  <c r="X87" i="6"/>
  <c r="W87" i="6"/>
  <c r="V87" i="6"/>
  <c r="U87" i="6"/>
  <c r="T87" i="6"/>
  <c r="S87" i="6"/>
  <c r="R88" i="6"/>
  <c r="R89" i="6" l="1"/>
  <c r="Y88" i="6"/>
  <c r="W88" i="6"/>
  <c r="V88" i="6"/>
  <c r="U88" i="6"/>
  <c r="Z88" i="6"/>
  <c r="X88" i="6"/>
  <c r="T88" i="6"/>
  <c r="S88" i="6"/>
  <c r="Z89" i="6" l="1"/>
  <c r="Y89" i="6"/>
  <c r="X89" i="6"/>
  <c r="W89" i="6"/>
  <c r="V89" i="6"/>
  <c r="T89" i="6"/>
  <c r="U89" i="6"/>
  <c r="S89" i="6"/>
  <c r="R90" i="6"/>
  <c r="R91" i="6" l="1"/>
  <c r="Y90" i="6"/>
  <c r="W90" i="6"/>
  <c r="V90" i="6"/>
  <c r="U90" i="6"/>
  <c r="T90" i="6"/>
  <c r="Z90" i="6"/>
  <c r="X90" i="6"/>
  <c r="S90" i="6"/>
  <c r="Z91" i="6" l="1"/>
  <c r="Y91" i="6"/>
  <c r="X91" i="6"/>
  <c r="W91" i="6"/>
  <c r="V91" i="6"/>
  <c r="U91" i="6"/>
  <c r="T91" i="6"/>
  <c r="S91" i="6"/>
  <c r="R92" i="6"/>
  <c r="R93" i="6" l="1"/>
  <c r="Y92" i="6"/>
  <c r="W92" i="6"/>
  <c r="V92" i="6"/>
  <c r="U92" i="6"/>
  <c r="T92" i="6"/>
  <c r="Z92" i="6"/>
  <c r="X92" i="6"/>
  <c r="S92" i="6"/>
  <c r="Z93" i="6" l="1"/>
  <c r="Y93" i="6"/>
  <c r="X93" i="6"/>
  <c r="W93" i="6"/>
  <c r="V93" i="6"/>
  <c r="T93" i="6"/>
  <c r="U93" i="6"/>
  <c r="S93" i="6"/>
  <c r="R94" i="6"/>
  <c r="R95" i="6" l="1"/>
  <c r="Y94" i="6"/>
  <c r="W94" i="6"/>
  <c r="V94" i="6"/>
  <c r="U94" i="6"/>
  <c r="T94" i="6"/>
  <c r="Z94" i="6"/>
  <c r="X94" i="6"/>
  <c r="S94" i="6"/>
  <c r="Z95" i="6" l="1"/>
  <c r="Y95" i="6"/>
  <c r="X95" i="6"/>
  <c r="W95" i="6"/>
  <c r="V95" i="6"/>
  <c r="U95" i="6"/>
  <c r="T95" i="6"/>
  <c r="S95" i="6"/>
  <c r="R96" i="6"/>
  <c r="R97" i="6" l="1"/>
  <c r="Y96" i="6"/>
  <c r="W96" i="6"/>
  <c r="V96" i="6"/>
  <c r="U96" i="6"/>
  <c r="T96" i="6"/>
  <c r="Z96" i="6"/>
  <c r="X96" i="6"/>
  <c r="S96" i="6"/>
  <c r="Z97" i="6" l="1"/>
  <c r="Y97" i="6"/>
  <c r="X97" i="6"/>
  <c r="W97" i="6"/>
  <c r="V97" i="6"/>
  <c r="U97" i="6"/>
  <c r="T97" i="6"/>
  <c r="S97" i="6"/>
  <c r="R98" i="6"/>
  <c r="R99" i="6" l="1"/>
  <c r="Y98" i="6"/>
  <c r="W98" i="6"/>
  <c r="V98" i="6"/>
  <c r="U98" i="6"/>
  <c r="T98" i="6"/>
  <c r="Z98" i="6"/>
  <c r="X98" i="6"/>
  <c r="S98" i="6"/>
  <c r="Z99" i="6" l="1"/>
  <c r="Y99" i="6"/>
  <c r="X99" i="6"/>
  <c r="W99" i="6"/>
  <c r="V99" i="6"/>
  <c r="U99" i="6"/>
  <c r="T99" i="6"/>
  <c r="S99" i="6"/>
  <c r="R100" i="6"/>
  <c r="R101" i="6" l="1"/>
  <c r="Y100" i="6"/>
  <c r="W100" i="6"/>
  <c r="V100" i="6"/>
  <c r="U100" i="6"/>
  <c r="T100" i="6"/>
  <c r="Z100" i="6"/>
  <c r="X100" i="6"/>
  <c r="S100" i="6"/>
  <c r="Z101" i="6" l="1"/>
  <c r="Y101" i="6"/>
  <c r="X101" i="6"/>
  <c r="W101" i="6"/>
  <c r="V101" i="6"/>
  <c r="U101" i="6"/>
  <c r="T101" i="6"/>
  <c r="S101" i="6"/>
  <c r="R102" i="6"/>
  <c r="R103" i="6" l="1"/>
  <c r="Y102" i="6"/>
  <c r="X102" i="6"/>
  <c r="W102" i="6"/>
  <c r="V102" i="6"/>
  <c r="U102" i="6"/>
  <c r="T102" i="6"/>
  <c r="Z102" i="6"/>
  <c r="S102" i="6"/>
  <c r="Z103" i="6" l="1"/>
  <c r="Y103" i="6"/>
  <c r="X103" i="6"/>
  <c r="W103" i="6"/>
  <c r="T103" i="6"/>
  <c r="V103" i="6"/>
  <c r="U103" i="6"/>
  <c r="S103" i="6"/>
  <c r="R104" i="6"/>
  <c r="R105" i="6" l="1"/>
  <c r="Y104" i="6"/>
  <c r="X104" i="6"/>
  <c r="W104" i="6"/>
  <c r="V104" i="6"/>
  <c r="U104" i="6"/>
  <c r="T104" i="6"/>
  <c r="S104" i="6"/>
  <c r="Z104" i="6"/>
  <c r="Z105" i="6" l="1"/>
  <c r="Y105" i="6"/>
  <c r="X105" i="6"/>
  <c r="W105" i="6"/>
  <c r="V105" i="6"/>
  <c r="U105" i="6"/>
  <c r="T105" i="6"/>
  <c r="S105" i="6"/>
  <c r="R106" i="6"/>
  <c r="R107" i="6" l="1"/>
  <c r="Y106" i="6"/>
  <c r="X106" i="6"/>
  <c r="W106" i="6"/>
  <c r="V106" i="6"/>
  <c r="U106" i="6"/>
  <c r="T106" i="6"/>
  <c r="S106" i="6"/>
  <c r="Z106" i="6"/>
  <c r="Z107" i="6" l="1"/>
  <c r="T107" i="6"/>
  <c r="Y107" i="6"/>
  <c r="X107" i="6"/>
  <c r="W107" i="6"/>
  <c r="V107" i="6"/>
  <c r="U107" i="6"/>
  <c r="S107" i="6"/>
  <c r="R108" i="6"/>
  <c r="R109" i="6" l="1"/>
  <c r="Y108" i="6"/>
  <c r="X108" i="6"/>
  <c r="W108" i="6"/>
  <c r="V108" i="6"/>
  <c r="U108" i="6"/>
  <c r="T108" i="6"/>
  <c r="S108" i="6"/>
  <c r="Z108" i="6"/>
  <c r="Z109" i="6" l="1"/>
  <c r="Y109" i="6"/>
  <c r="X109" i="6"/>
  <c r="W109" i="6"/>
  <c r="V109" i="6"/>
  <c r="U109" i="6"/>
  <c r="T109" i="6"/>
  <c r="S109" i="6"/>
  <c r="R110" i="6"/>
  <c r="R111" i="6" l="1"/>
  <c r="Y110" i="6"/>
  <c r="X110" i="6"/>
  <c r="W110" i="6"/>
  <c r="V110" i="6"/>
  <c r="U110" i="6"/>
  <c r="T110" i="6"/>
  <c r="S110" i="6"/>
  <c r="Z110" i="6"/>
  <c r="T111" i="6" l="1"/>
  <c r="Z111" i="6"/>
  <c r="Y111" i="6"/>
  <c r="X111" i="6"/>
  <c r="W111" i="6"/>
  <c r="V111" i="6"/>
  <c r="U111" i="6"/>
  <c r="S111" i="6"/>
  <c r="R112" i="6"/>
  <c r="R113" i="6" l="1"/>
  <c r="Y112" i="6"/>
  <c r="X112" i="6"/>
  <c r="W112" i="6"/>
  <c r="V112" i="6"/>
  <c r="U112" i="6"/>
  <c r="T112" i="6"/>
  <c r="S112" i="6"/>
  <c r="Z112" i="6"/>
  <c r="Z113" i="6" l="1"/>
  <c r="Y113" i="6"/>
  <c r="X113" i="6"/>
  <c r="W113" i="6"/>
  <c r="V113" i="6"/>
  <c r="U113" i="6"/>
  <c r="T113" i="6"/>
  <c r="S113" i="6"/>
  <c r="R114" i="6"/>
  <c r="R115" i="6" l="1"/>
  <c r="Y114" i="6"/>
  <c r="X114" i="6"/>
  <c r="W114" i="6"/>
  <c r="V114" i="6"/>
  <c r="U114" i="6"/>
  <c r="T114" i="6"/>
  <c r="S114" i="6"/>
  <c r="Z114" i="6"/>
  <c r="Z115" i="6" l="1"/>
  <c r="Y115" i="6"/>
  <c r="X115" i="6"/>
  <c r="W115" i="6"/>
  <c r="V115" i="6"/>
  <c r="T115" i="6"/>
  <c r="U115" i="6"/>
  <c r="S115" i="6"/>
  <c r="R116" i="6"/>
  <c r="R117" i="6" l="1"/>
  <c r="Z116" i="6"/>
  <c r="Y116" i="6"/>
  <c r="X116" i="6"/>
  <c r="W116" i="6"/>
  <c r="V116" i="6"/>
  <c r="U116" i="6"/>
  <c r="T116" i="6"/>
  <c r="S116" i="6"/>
  <c r="Z117" i="6" l="1"/>
  <c r="Y117" i="6"/>
  <c r="X117" i="6"/>
  <c r="W117" i="6"/>
  <c r="V117" i="6"/>
  <c r="U117" i="6"/>
  <c r="T117" i="6"/>
  <c r="S11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임혜정/상품개발1챕터</author>
  </authors>
  <commentList>
    <comment ref="B12" authorId="0" shapeId="0" xr:uid="{D8A5BADB-4800-4EEC-AA8F-3939A5456808}">
      <text>
        <r>
          <rPr>
            <b/>
            <sz val="9"/>
            <color indexed="81"/>
            <rFont val="돋움"/>
            <family val="3"/>
            <charset val="129"/>
          </rPr>
          <t>순P 구분항목과 항목명 일치해야 함</t>
        </r>
      </text>
    </comment>
    <comment ref="J12" authorId="0" shapeId="0" xr:uid="{452CDA37-C369-4B23-B8DA-A10815D27164}">
      <text>
        <r>
          <rPr>
            <b/>
            <sz val="9"/>
            <color indexed="81"/>
            <rFont val="돋움"/>
            <family val="3"/>
            <charset val="129"/>
          </rPr>
          <t>순P 구분항목과 항목명 일치해야 함</t>
        </r>
      </text>
    </comment>
  </commentList>
</comments>
</file>

<file path=xl/sharedStrings.xml><?xml version="1.0" encoding="utf-8"?>
<sst xmlns="http://schemas.openxmlformats.org/spreadsheetml/2006/main" count="229" uniqueCount="131">
  <si>
    <t>### 1. 계약정보 입력란</t>
  </si>
  <si>
    <t>항목</t>
  </si>
  <si>
    <t>값</t>
  </si>
  <si>
    <t>성별</t>
  </si>
  <si>
    <t>남</t>
  </si>
  <si>
    <t>보험기간(n)</t>
  </si>
  <si>
    <t>납입기간(m)</t>
  </si>
  <si>
    <t>가입금액</t>
  </si>
  <si>
    <t>상품유형</t>
  </si>
  <si>
    <t>해약환급금 미지급형</t>
  </si>
  <si>
    <t>### 2. 기초율 Key-Value 테이블</t>
  </si>
  <si>
    <t>구분</t>
  </si>
  <si>
    <t>키(Key)</t>
  </si>
  <si>
    <t>값1</t>
  </si>
  <si>
    <t>값2</t>
  </si>
  <si>
    <t>비고</t>
  </si>
  <si>
    <t>공통기초율</t>
  </si>
  <si>
    <t>예정이율</t>
  </si>
  <si>
    <t>interest_rate</t>
  </si>
  <si>
    <t>예정사업비율</t>
  </si>
  <si>
    <t>α1 (어린이형)</t>
  </si>
  <si>
    <t>alpha1_child</t>
  </si>
  <si>
    <t>가입금액 대비</t>
  </si>
  <si>
    <t>α2 (태아형)</t>
  </si>
  <si>
    <t>alpha2_fetal</t>
  </si>
  <si>
    <t>n</t>
  </si>
  <si>
    <t>n: 보험기간</t>
  </si>
  <si>
    <t>α2 (어린이형)</t>
  </si>
  <si>
    <t>alpha2_child</t>
  </si>
  <si>
    <t>Min(n, 20)</t>
  </si>
  <si>
    <t>β1 (태아형)</t>
  </si>
  <si>
    <t>beta1_fetal</t>
  </si>
  <si>
    <t>β1 (어린이형)</t>
  </si>
  <si>
    <t>beta1_child</t>
  </si>
  <si>
    <t>β2 (태아형)</t>
  </si>
  <si>
    <t>beta2_fetal</t>
  </si>
  <si>
    <t>영업보험료 대비</t>
  </si>
  <si>
    <t>β2 (어린이형)</t>
  </si>
  <si>
    <t>beta2_child</t>
  </si>
  <si>
    <t>β5 (공통)</t>
  </si>
  <si>
    <t>beta5_common</t>
  </si>
  <si>
    <t>재해장해율</t>
  </si>
  <si>
    <t>보험료 납입면제 관련 위험률 (재해/질병 50% 이상 장해)</t>
  </si>
  <si>
    <t>태아보장계수</t>
  </si>
  <si>
    <t>### 3. 예정해지율 테이블</t>
  </si>
  <si>
    <t>연령(x)</t>
  </si>
  <si>
    <t>남자 위험률(qx)</t>
  </si>
  <si>
    <t>여자 위험률(qx)</t>
  </si>
  <si>
    <t>남자 재해 50%이상(qx)</t>
  </si>
  <si>
    <t>여자 재해 50%이상(qx)</t>
  </si>
  <si>
    <t>남자 질병 50%이상(qx)</t>
  </si>
  <si>
    <t>여자 질병 50%이상(qx)</t>
  </si>
  <si>
    <t>경과기간(t)</t>
  </si>
  <si>
    <t>해지율</t>
  </si>
  <si>
    <t>납입중</t>
  </si>
  <si>
    <t>납입후</t>
  </si>
  <si>
    <t>m≤t&lt;m+1</t>
  </si>
  <si>
    <t>m+1≤t&lt;m+2</t>
  </si>
  <si>
    <t>m+2≤t&lt;m+5</t>
  </si>
  <si>
    <t>m+5≤t&lt;m+6</t>
  </si>
  <si>
    <t>t≥m+6</t>
  </si>
  <si>
    <t>A</t>
  </si>
  <si>
    <t>B</t>
  </si>
  <si>
    <t>C</t>
  </si>
  <si>
    <t>D</t>
  </si>
  <si>
    <t>E</t>
  </si>
  <si>
    <t>F</t>
  </si>
  <si>
    <t>경과년도(t)</t>
  </si>
  <si>
    <t>연령(x+t)</t>
  </si>
  <si>
    <t>사망률(qx)</t>
  </si>
  <si>
    <t>장해율(장해qx)</t>
  </si>
  <si>
    <t>납면율(납면qx)</t>
  </si>
  <si>
    <t>해지율(w)</t>
  </si>
  <si>
    <t>(재해장해율 조회)</t>
  </si>
  <si>
    <t>(재해+질병 납면율 조회)</t>
  </si>
  <si>
    <t>생존자수(lx)</t>
  </si>
  <si>
    <t>사망자수(dx)</t>
  </si>
  <si>
    <t>Dx</t>
  </si>
  <si>
    <t>Nx</t>
  </si>
  <si>
    <t>Cx</t>
  </si>
  <si>
    <t>Mx</t>
  </si>
  <si>
    <t>-&gt;입력</t>
    <phoneticPr fontId="7" type="noConversion"/>
  </si>
  <si>
    <t>속성
입력</t>
    <phoneticPr fontId="7" type="noConversion"/>
  </si>
  <si>
    <t>참조시트</t>
  </si>
  <si>
    <t>적용이율</t>
    <phoneticPr fontId="7" type="noConversion"/>
  </si>
  <si>
    <t>기준금액</t>
  </si>
  <si>
    <t>순P</t>
    <phoneticPr fontId="7" type="noConversion"/>
  </si>
  <si>
    <t>실보기</t>
    <phoneticPr fontId="7" type="noConversion"/>
  </si>
  <si>
    <t>연령</t>
    <phoneticPr fontId="7" type="noConversion"/>
  </si>
  <si>
    <t>갱신여부</t>
  </si>
  <si>
    <t>산출 시작</t>
  </si>
  <si>
    <r>
      <rPr>
        <b/>
        <sz val="8"/>
        <color theme="1"/>
        <rFont val="맑은 고딕"/>
        <family val="3"/>
        <charset val="129"/>
      </rPr>
      <t xml:space="preserve">※ </t>
    </r>
    <r>
      <rPr>
        <b/>
        <sz val="8"/>
        <color theme="1"/>
        <rFont val="Arial"/>
        <family val="3"/>
        <charset val="129"/>
        <scheme val="minor"/>
      </rPr>
      <t>정기보험</t>
    </r>
    <phoneticPr fontId="7" type="noConversion"/>
  </si>
  <si>
    <t>현가 v</t>
    <phoneticPr fontId="7" type="noConversion"/>
  </si>
  <si>
    <t>연령</t>
    <phoneticPr fontId="13" type="noConversion"/>
  </si>
  <si>
    <t>무배당 예정사망률 (80%포함안함)</t>
    <phoneticPr fontId="13" type="noConversion"/>
  </si>
  <si>
    <t>유해지</t>
  </si>
  <si>
    <t>태아</t>
    <phoneticPr fontId="7" type="noConversion"/>
  </si>
  <si>
    <t>Year</t>
    <phoneticPr fontId="15" type="noConversion"/>
  </si>
  <si>
    <t>Age</t>
    <phoneticPr fontId="7" type="noConversion"/>
  </si>
  <si>
    <t>lx+t</t>
    <phoneticPr fontId="7" type="noConversion"/>
  </si>
  <si>
    <t>qx+t</t>
    <phoneticPr fontId="13" type="noConversion"/>
  </si>
  <si>
    <t>lx+t+1</t>
    <phoneticPr fontId="7" type="noConversion"/>
  </si>
  <si>
    <t>BE</t>
    <phoneticPr fontId="13" type="noConversion"/>
  </si>
  <si>
    <t>입력</t>
    <phoneticPr fontId="7" type="noConversion"/>
  </si>
  <si>
    <t>Main_무해지</t>
  </si>
  <si>
    <t>N</t>
  </si>
  <si>
    <t>(t)</t>
    <phoneticPr fontId="7" type="noConversion"/>
  </si>
  <si>
    <t>(x)</t>
    <phoneticPr fontId="7" type="noConversion"/>
  </si>
  <si>
    <t>남자</t>
  </si>
  <si>
    <t>여자</t>
  </si>
  <si>
    <t>** pv통합본 ck에서 속성입력 구분</t>
    <phoneticPr fontId="7" type="noConversion"/>
  </si>
  <si>
    <t>** 태아형 S산출을 위해 "Main_무해지"시트 "G3" 식 아래 S용으로 수정 필요</t>
    <phoneticPr fontId="7" type="noConversion"/>
  </si>
  <si>
    <t>PV용 '=+IF(PV!$W$33=1,1,0.5)</t>
    <phoneticPr fontId="23" type="noConversion"/>
  </si>
  <si>
    <t>S용   '=+IF($E$3=0,1,0.5)</t>
    <phoneticPr fontId="23" type="noConversion"/>
  </si>
  <si>
    <t>S 결과</t>
    <phoneticPr fontId="7" type="noConversion"/>
  </si>
  <si>
    <r>
      <rPr>
        <b/>
        <sz val="11"/>
        <color theme="1"/>
        <rFont val="맑은 고딕"/>
        <family val="3"/>
        <charset val="129"/>
      </rPr>
      <t>α</t>
    </r>
    <r>
      <rPr>
        <b/>
        <sz val="11"/>
        <color theme="1"/>
        <rFont val="Arial"/>
        <family val="3"/>
        <charset val="129"/>
        <scheme val="minor"/>
      </rPr>
      <t xml:space="preserve"> 결과</t>
    </r>
    <phoneticPr fontId="7" type="noConversion"/>
  </si>
  <si>
    <t>구분</t>
    <phoneticPr fontId="7" type="noConversion"/>
  </si>
  <si>
    <t>S</t>
    <phoneticPr fontId="7" type="noConversion"/>
  </si>
  <si>
    <t>보기</t>
    <phoneticPr fontId="7" type="noConversion"/>
  </si>
  <si>
    <t>납기</t>
    <phoneticPr fontId="7" type="noConversion"/>
  </si>
  <si>
    <t>기준연령</t>
    <phoneticPr fontId="7" type="noConversion"/>
  </si>
  <si>
    <t>정기순P</t>
    <phoneticPr fontId="7" type="noConversion"/>
  </si>
  <si>
    <t>순P/정기</t>
    <phoneticPr fontId="7" type="noConversion"/>
  </si>
  <si>
    <t>표준알파</t>
    <phoneticPr fontId="7" type="noConversion"/>
  </si>
  <si>
    <t>적용알파</t>
    <phoneticPr fontId="7" type="noConversion"/>
  </si>
  <si>
    <t>check</t>
    <phoneticPr fontId="7" type="noConversion"/>
  </si>
  <si>
    <t>무해지</t>
    <phoneticPr fontId="7" type="noConversion"/>
  </si>
  <si>
    <t>유해지</t>
    <phoneticPr fontId="7" type="noConversion"/>
  </si>
  <si>
    <t>통합위험률 교체 확인</t>
    <phoneticPr fontId="7" type="noConversion"/>
  </si>
  <si>
    <t>CK</t>
    <phoneticPr fontId="4" type="noConversion"/>
  </si>
  <si>
    <t>남자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</si>
</sst>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.0%"/>
    <numFmt numFmtId="177" formatCode="_(* #,##0_);_(* \(#,##0\);_(* &quot;-&quot;_);_(@_)"/>
    <numFmt numFmtId="178" formatCode="0.000000_ "/>
    <numFmt numFmtId="179" formatCode="_-* #,##0.000000_-;\-* #,##0.000000_-;_-* &quot;-&quot;_-;_-@_-"/>
    <numFmt numFmtId="180" formatCode="0E+00"/>
    <numFmt numFmtId="181" formatCode="General&quot;세&quot;"/>
    <numFmt numFmtId="182" formatCode="0.00000_ "/>
    <numFmt numFmtId="183" formatCode="[&lt;=30]#,##0&quot;년&quot;;[&gt;30]#,##0&quot;세&quot;"/>
    <numFmt numFmtId="184" formatCode="0&quot;세&quot;"/>
    <numFmt numFmtId="185" formatCode="[&lt;30]#,##0&quot;년&quot;;[&gt;=30]#,##0&quot;세&quot;"/>
    <numFmt numFmtId="186" formatCode="0.000000"/>
    <numFmt numFmtId="187" formatCode="0.0000000_ "/>
    <numFmt numFmtId="188" formatCode="_(&quot;₩&quot;* #,##0.00_);_(&quot;₩&quot;* \(#,##0.00\);_(&quot;₩&quot;* &quot;-&quot;??_);_(@_)"/>
  </numFmts>
  <fonts count="32" x14ac:knownFonts="1">
    <font>
      <sz val="10"/>
      <color rgb="FF000000"/>
      <name val="Arial"/>
      <scheme val="minor"/>
    </font>
    <font>
      <sz val="11"/>
      <color theme="1"/>
      <name val="Arial"/>
      <family val="2"/>
      <charset val="129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8"/>
      <name val="Arial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9"/>
      <color theme="1"/>
      <name val="Arial"/>
      <family val="3"/>
      <charset val="129"/>
      <scheme val="minor"/>
    </font>
    <font>
      <sz val="8"/>
      <name val="Arial"/>
      <family val="2"/>
      <charset val="129"/>
      <scheme val="minor"/>
    </font>
    <font>
      <sz val="9"/>
      <color theme="1"/>
      <name val="Arial"/>
      <family val="2"/>
      <charset val="129"/>
      <scheme val="minor"/>
    </font>
    <font>
      <b/>
      <sz val="8"/>
      <color theme="1"/>
      <name val="Arial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</font>
    <font>
      <sz val="8"/>
      <name val="맑은 고딕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8"/>
      <name val="바탕"/>
      <family val="1"/>
      <charset val="129"/>
    </font>
    <font>
      <sz val="8"/>
      <color theme="1"/>
      <name val="Arial"/>
      <family val="2"/>
      <charset val="129"/>
      <scheme val="minor"/>
    </font>
    <font>
      <sz val="8"/>
      <color theme="1"/>
      <name val="Arial"/>
      <family val="3"/>
      <charset val="129"/>
      <scheme val="minor"/>
    </font>
    <font>
      <sz val="11"/>
      <name val="굴림체"/>
      <family val="3"/>
      <charset val="129"/>
    </font>
    <font>
      <sz val="10"/>
      <color theme="1"/>
      <name val="Arial"/>
      <family val="2"/>
      <charset val="129"/>
      <scheme val="minor"/>
    </font>
    <font>
      <sz val="11"/>
      <color rgb="FF00B0F0"/>
      <name val="Arial"/>
      <family val="2"/>
      <charset val="129"/>
      <scheme val="minor"/>
    </font>
    <font>
      <sz val="11"/>
      <color theme="1"/>
      <name val="Arial"/>
      <family val="3"/>
      <charset val="129"/>
      <scheme val="minor"/>
    </font>
    <font>
      <b/>
      <sz val="9"/>
      <color theme="1"/>
      <name val="Arial"/>
      <family val="3"/>
      <charset val="129"/>
      <scheme val="minor"/>
    </font>
    <font>
      <sz val="8"/>
      <name val="굴림체"/>
      <family val="3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theme="1"/>
      <name val="맑은 고딕"/>
      <family val="3"/>
      <charset val="129"/>
    </font>
    <font>
      <b/>
      <sz val="8"/>
      <name val="맑은 고딕"/>
      <family val="3"/>
      <charset val="129"/>
    </font>
    <font>
      <b/>
      <sz val="8"/>
      <color rgb="FFFF0000"/>
      <name val="맑은 고딕"/>
      <family val="3"/>
      <charset val="129"/>
    </font>
    <font>
      <sz val="10"/>
      <color theme="1"/>
      <name val="Arial"/>
      <family val="3"/>
      <charset val="129"/>
      <scheme val="minor"/>
    </font>
    <font>
      <sz val="9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indexed="81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8">
    <xf numFmtId="0" fontId="0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0" fontId="14" fillId="0" borderId="0"/>
    <xf numFmtId="177" fontId="18" fillId="0" borderId="0" applyFont="0" applyFill="0" applyBorder="0" applyAlignment="0" applyProtection="0"/>
    <xf numFmtId="0" fontId="14" fillId="0" borderId="0"/>
    <xf numFmtId="177" fontId="21" fillId="0" borderId="0" applyFont="0" applyFill="0" applyBorder="0" applyAlignment="0" applyProtection="0">
      <alignment vertical="center"/>
    </xf>
  </cellStyleXfs>
  <cellXfs count="117">
    <xf numFmtId="0" fontId="0" fillId="0" borderId="0" xfId="0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1" fillId="0" borderId="0" xfId="1">
      <alignment vertical="center"/>
    </xf>
    <xf numFmtId="0" fontId="1" fillId="2" borderId="0" xfId="1" applyFill="1">
      <alignment vertical="center"/>
    </xf>
    <xf numFmtId="0" fontId="6" fillId="0" borderId="0" xfId="1" quotePrefix="1" applyFont="1">
      <alignment vertical="center"/>
    </xf>
    <xf numFmtId="176" fontId="8" fillId="0" borderId="0" xfId="2" applyNumberFormat="1" applyFont="1">
      <alignment vertical="center"/>
    </xf>
    <xf numFmtId="0" fontId="9" fillId="0" borderId="0" xfId="1" applyFont="1" applyAlignment="1">
      <alignment horizontal="center" vertical="center"/>
    </xf>
    <xf numFmtId="177" fontId="10" fillId="0" borderId="0" xfId="3" applyFont="1" applyBorder="1">
      <alignment vertical="center"/>
    </xf>
    <xf numFmtId="0" fontId="6" fillId="0" borderId="1" xfId="1" applyFont="1" applyBorder="1" applyAlignment="1">
      <alignment horizontal="center" vertical="center"/>
    </xf>
    <xf numFmtId="0" fontId="9" fillId="0" borderId="0" xfId="1" applyFont="1">
      <alignment vertical="center"/>
    </xf>
    <xf numFmtId="178" fontId="10" fillId="0" borderId="0" xfId="1" applyNumberFormat="1" applyFont="1">
      <alignment vertical="center"/>
    </xf>
    <xf numFmtId="0" fontId="6" fillId="2" borderId="1" xfId="1" applyFont="1" applyFill="1" applyBorder="1" applyAlignment="1">
      <alignment horizontal="center" vertical="center"/>
    </xf>
    <xf numFmtId="0" fontId="6" fillId="4" borderId="1" xfId="1" applyFont="1" applyFill="1" applyBorder="1" applyAlignment="1">
      <alignment horizontal="center" vertical="center"/>
    </xf>
    <xf numFmtId="37" fontId="12" fillId="5" borderId="5" xfId="1" quotePrefix="1" applyNumberFormat="1" applyFont="1" applyFill="1" applyBorder="1" applyAlignment="1">
      <alignment horizontal="center" vertical="center" wrapText="1"/>
    </xf>
    <xf numFmtId="37" fontId="12" fillId="5" borderId="5" xfId="1" quotePrefix="1" applyNumberFormat="1" applyFont="1" applyFill="1" applyBorder="1" applyAlignment="1">
      <alignment horizontal="center" vertical="center"/>
    </xf>
    <xf numFmtId="0" fontId="16" fillId="5" borderId="6" xfId="1" applyFont="1" applyFill="1" applyBorder="1" applyAlignment="1">
      <alignment horizontal="center" vertical="center"/>
    </xf>
    <xf numFmtId="0" fontId="16" fillId="5" borderId="7" xfId="1" applyFont="1" applyFill="1" applyBorder="1" applyAlignment="1">
      <alignment horizontal="center" vertical="center"/>
    </xf>
    <xf numFmtId="0" fontId="17" fillId="5" borderId="7" xfId="1" applyFont="1" applyFill="1" applyBorder="1" applyAlignment="1">
      <alignment horizontal="center" vertical="center"/>
    </xf>
    <xf numFmtId="0" fontId="17" fillId="5" borderId="8" xfId="1" applyFont="1" applyFill="1" applyBorder="1" applyAlignment="1">
      <alignment horizontal="center" vertical="center"/>
    </xf>
    <xf numFmtId="0" fontId="1" fillId="0" borderId="9" xfId="1" applyBorder="1">
      <alignment vertical="center"/>
    </xf>
    <xf numFmtId="0" fontId="6" fillId="6" borderId="1" xfId="1" applyFont="1" applyFill="1" applyBorder="1" applyAlignment="1">
      <alignment horizontal="center" vertical="center"/>
    </xf>
    <xf numFmtId="10" fontId="6" fillId="2" borderId="1" xfId="3" applyNumberFormat="1" applyFont="1" applyFill="1" applyBorder="1" applyAlignment="1">
      <alignment horizontal="center" vertical="center"/>
    </xf>
    <xf numFmtId="177" fontId="6" fillId="2" borderId="1" xfId="3" applyFont="1" applyFill="1" applyBorder="1">
      <alignment vertical="center"/>
    </xf>
    <xf numFmtId="177" fontId="6" fillId="0" borderId="1" xfId="3" applyFont="1" applyFill="1" applyBorder="1" applyAlignment="1">
      <alignment horizontal="center" vertical="center"/>
    </xf>
    <xf numFmtId="177" fontId="6" fillId="2" borderId="1" xfId="3" applyFont="1" applyFill="1" applyBorder="1" applyAlignment="1">
      <alignment horizontal="center" vertical="center"/>
    </xf>
    <xf numFmtId="177" fontId="6" fillId="4" borderId="1" xfId="3" applyFont="1" applyFill="1" applyBorder="1" applyAlignment="1">
      <alignment horizontal="center" vertical="center"/>
    </xf>
    <xf numFmtId="177" fontId="6" fillId="2" borderId="1" xfId="5" applyFont="1" applyFill="1" applyBorder="1" applyAlignment="1">
      <alignment horizontal="center" vertical="center"/>
    </xf>
    <xf numFmtId="177" fontId="6" fillId="0" borderId="1" xfId="3" applyFont="1" applyFill="1" applyBorder="1">
      <alignment vertical="center"/>
    </xf>
    <xf numFmtId="37" fontId="12" fillId="5" borderId="13" xfId="1" quotePrefix="1" applyNumberFormat="1" applyFont="1" applyFill="1" applyBorder="1" applyAlignment="1">
      <alignment horizontal="center" wrapText="1"/>
    </xf>
    <xf numFmtId="37" fontId="12" fillId="5" borderId="13" xfId="1" quotePrefix="1" applyNumberFormat="1" applyFont="1" applyFill="1" applyBorder="1" applyAlignment="1">
      <alignment horizontal="center"/>
    </xf>
    <xf numFmtId="0" fontId="1" fillId="5" borderId="11" xfId="1" applyFill="1" applyBorder="1">
      <alignment vertical="center"/>
    </xf>
    <xf numFmtId="0" fontId="1" fillId="5" borderId="14" xfId="1" applyFill="1" applyBorder="1">
      <alignment vertical="center"/>
    </xf>
    <xf numFmtId="0" fontId="1" fillId="5" borderId="12" xfId="1" applyFill="1" applyBorder="1">
      <alignment vertical="center"/>
    </xf>
    <xf numFmtId="0" fontId="12" fillId="3" borderId="1" xfId="4" applyFont="1" applyFill="1" applyBorder="1" applyAlignment="1">
      <alignment horizontal="center"/>
    </xf>
    <xf numFmtId="0" fontId="19" fillId="6" borderId="0" xfId="1" applyFont="1" applyFill="1">
      <alignment vertical="center"/>
    </xf>
    <xf numFmtId="0" fontId="19" fillId="4" borderId="0" xfId="1" applyFont="1" applyFill="1">
      <alignment vertical="center"/>
    </xf>
    <xf numFmtId="0" fontId="1" fillId="4" borderId="0" xfId="1" applyFill="1">
      <alignment vertical="center"/>
    </xf>
    <xf numFmtId="0" fontId="20" fillId="4" borderId="0" xfId="1" applyFont="1" applyFill="1">
      <alignment vertical="center"/>
    </xf>
    <xf numFmtId="0" fontId="12" fillId="0" borderId="9" xfId="6" applyFont="1" applyBorder="1" applyAlignment="1">
      <alignment horizontal="center"/>
    </xf>
    <xf numFmtId="0" fontId="10" fillId="0" borderId="15" xfId="1" applyFont="1" applyBorder="1" applyAlignment="1">
      <alignment horizontal="center" vertical="center"/>
    </xf>
    <xf numFmtId="178" fontId="10" fillId="0" borderId="9" xfId="1" applyNumberFormat="1" applyFont="1" applyBorder="1">
      <alignment vertical="center"/>
    </xf>
    <xf numFmtId="179" fontId="10" fillId="0" borderId="0" xfId="7" applyNumberFormat="1" applyFont="1" applyFill="1" applyBorder="1">
      <alignment vertical="center"/>
    </xf>
    <xf numFmtId="179" fontId="10" fillId="0" borderId="15" xfId="7" applyNumberFormat="1" applyFont="1" applyBorder="1">
      <alignment vertical="center"/>
    </xf>
    <xf numFmtId="0" fontId="12" fillId="0" borderId="5" xfId="1" applyFont="1" applyBorder="1" applyAlignment="1">
      <alignment horizontal="center"/>
    </xf>
    <xf numFmtId="179" fontId="12" fillId="7" borderId="5" xfId="7" applyNumberFormat="1" applyFont="1" applyFill="1" applyBorder="1" applyAlignment="1">
      <alignment horizontal="center" vertical="center"/>
    </xf>
    <xf numFmtId="177" fontId="22" fillId="8" borderId="0" xfId="3" applyFont="1" applyFill="1" applyBorder="1" applyAlignment="1" applyProtection="1">
      <alignment horizontal="left" vertical="center"/>
    </xf>
    <xf numFmtId="0" fontId="1" fillId="8" borderId="0" xfId="1" applyFill="1">
      <alignment vertical="center"/>
    </xf>
    <xf numFmtId="0" fontId="12" fillId="0" borderId="10" xfId="1" applyFont="1" applyBorder="1" applyAlignment="1">
      <alignment horizontal="center"/>
    </xf>
    <xf numFmtId="179" fontId="12" fillId="7" borderId="10" xfId="7" applyNumberFormat="1" applyFont="1" applyFill="1" applyBorder="1" applyAlignment="1">
      <alignment horizontal="center" vertical="center"/>
    </xf>
    <xf numFmtId="177" fontId="22" fillId="4" borderId="0" xfId="3" applyFont="1" applyFill="1" applyBorder="1" applyAlignment="1" applyProtection="1">
      <alignment horizontal="left" vertical="center"/>
    </xf>
    <xf numFmtId="0" fontId="6" fillId="4" borderId="0" xfId="1" applyFont="1" applyFill="1">
      <alignment vertical="center"/>
    </xf>
    <xf numFmtId="0" fontId="24" fillId="0" borderId="0" xfId="1" applyFont="1">
      <alignment vertical="center"/>
    </xf>
    <xf numFmtId="180" fontId="1" fillId="0" borderId="0" xfId="1" applyNumberFormat="1">
      <alignment vertical="center"/>
    </xf>
    <xf numFmtId="0" fontId="19" fillId="0" borderId="0" xfId="1" applyFont="1">
      <alignment vertical="center"/>
    </xf>
    <xf numFmtId="181" fontId="26" fillId="9" borderId="1" xfId="6" applyNumberFormat="1" applyFont="1" applyFill="1" applyBorder="1" applyAlignment="1">
      <alignment horizontal="center"/>
    </xf>
    <xf numFmtId="181" fontId="26" fillId="4" borderId="1" xfId="6" applyNumberFormat="1" applyFont="1" applyFill="1" applyBorder="1" applyAlignment="1">
      <alignment horizontal="center"/>
    </xf>
    <xf numFmtId="182" fontId="12" fillId="0" borderId="1" xfId="6" applyNumberFormat="1" applyFont="1" applyBorder="1"/>
    <xf numFmtId="181" fontId="27" fillId="9" borderId="1" xfId="6" applyNumberFormat="1" applyFont="1" applyFill="1" applyBorder="1" applyAlignment="1">
      <alignment horizontal="center"/>
    </xf>
    <xf numFmtId="181" fontId="12" fillId="9" borderId="1" xfId="6" applyNumberFormat="1" applyFont="1" applyFill="1" applyBorder="1" applyAlignment="1">
      <alignment horizontal="center"/>
    </xf>
    <xf numFmtId="181" fontId="12" fillId="9" borderId="4" xfId="6" applyNumberFormat="1" applyFont="1" applyFill="1" applyBorder="1" applyAlignment="1">
      <alignment horizontal="center"/>
    </xf>
    <xf numFmtId="181" fontId="12" fillId="9" borderId="2" xfId="6" applyNumberFormat="1" applyFont="1" applyFill="1" applyBorder="1" applyAlignment="1">
      <alignment horizontal="center"/>
    </xf>
    <xf numFmtId="0" fontId="28" fillId="0" borderId="0" xfId="1" applyFont="1">
      <alignment vertical="center"/>
    </xf>
    <xf numFmtId="0" fontId="16" fillId="0" borderId="0" xfId="1" applyFont="1">
      <alignment vertical="center"/>
    </xf>
    <xf numFmtId="183" fontId="10" fillId="2" borderId="10" xfId="6" applyNumberFormat="1" applyFont="1" applyFill="1" applyBorder="1" applyAlignment="1">
      <alignment horizontal="center"/>
    </xf>
    <xf numFmtId="183" fontId="10" fillId="2" borderId="0" xfId="6" applyNumberFormat="1" applyFont="1" applyFill="1" applyAlignment="1">
      <alignment horizontal="center"/>
    </xf>
    <xf numFmtId="184" fontId="10" fillId="2" borderId="0" xfId="6" applyNumberFormat="1" applyFont="1" applyFill="1" applyAlignment="1">
      <alignment horizontal="center"/>
    </xf>
    <xf numFmtId="179" fontId="10" fillId="0" borderId="10" xfId="3" applyNumberFormat="1" applyFont="1" applyFill="1" applyBorder="1">
      <alignment vertical="center"/>
    </xf>
    <xf numFmtId="177" fontId="10" fillId="0" borderId="7" xfId="3" applyFont="1" applyBorder="1">
      <alignment vertical="center"/>
    </xf>
    <xf numFmtId="178" fontId="10" fillId="0" borderId="5" xfId="1" applyNumberFormat="1" applyFont="1" applyBorder="1" applyAlignment="1">
      <alignment horizontal="center" vertical="center"/>
    </xf>
    <xf numFmtId="178" fontId="10" fillId="0" borderId="10" xfId="1" applyNumberFormat="1" applyFont="1" applyBorder="1" applyAlignment="1">
      <alignment horizontal="center" vertical="center"/>
    </xf>
    <xf numFmtId="185" fontId="10" fillId="2" borderId="0" xfId="6" applyNumberFormat="1" applyFont="1" applyFill="1" applyAlignment="1">
      <alignment horizontal="center"/>
    </xf>
    <xf numFmtId="183" fontId="10" fillId="4" borderId="10" xfId="6" applyNumberFormat="1" applyFont="1" applyFill="1" applyBorder="1" applyAlignment="1">
      <alignment horizontal="center"/>
    </xf>
    <xf numFmtId="183" fontId="10" fillId="4" borderId="9" xfId="6" applyNumberFormat="1" applyFont="1" applyFill="1" applyBorder="1" applyAlignment="1">
      <alignment horizontal="center"/>
    </xf>
    <xf numFmtId="183" fontId="10" fillId="4" borderId="0" xfId="6" applyNumberFormat="1" applyFont="1" applyFill="1" applyAlignment="1">
      <alignment horizontal="center"/>
    </xf>
    <xf numFmtId="184" fontId="10" fillId="4" borderId="0" xfId="6" applyNumberFormat="1" applyFont="1" applyFill="1" applyAlignment="1">
      <alignment horizontal="center"/>
    </xf>
    <xf numFmtId="183" fontId="10" fillId="2" borderId="9" xfId="6" applyNumberFormat="1" applyFont="1" applyFill="1" applyBorder="1" applyAlignment="1">
      <alignment horizontal="center"/>
    </xf>
    <xf numFmtId="183" fontId="21" fillId="2" borderId="0" xfId="1" applyNumberFormat="1" applyFont="1" applyFill="1">
      <alignment vertical="center"/>
    </xf>
    <xf numFmtId="0" fontId="21" fillId="2" borderId="0" xfId="1" applyFont="1" applyFill="1">
      <alignment vertical="center"/>
    </xf>
    <xf numFmtId="183" fontId="10" fillId="2" borderId="0" xfId="3" applyNumberFormat="1" applyFont="1" applyFill="1" applyBorder="1">
      <alignment vertical="center"/>
    </xf>
    <xf numFmtId="177" fontId="10" fillId="2" borderId="0" xfId="3" applyFont="1" applyFill="1" applyBorder="1">
      <alignment vertical="center"/>
    </xf>
    <xf numFmtId="183" fontId="10" fillId="2" borderId="13" xfId="6" applyNumberFormat="1" applyFont="1" applyFill="1" applyBorder="1" applyAlignment="1">
      <alignment horizontal="center"/>
    </xf>
    <xf numFmtId="183" fontId="10" fillId="2" borderId="14" xfId="6" applyNumberFormat="1" applyFont="1" applyFill="1" applyBorder="1" applyAlignment="1">
      <alignment horizontal="center"/>
    </xf>
    <xf numFmtId="177" fontId="10" fillId="2" borderId="14" xfId="3" applyFont="1" applyFill="1" applyBorder="1">
      <alignment vertical="center"/>
    </xf>
    <xf numFmtId="177" fontId="10" fillId="0" borderId="14" xfId="3" applyFont="1" applyBorder="1">
      <alignment vertical="center"/>
    </xf>
    <xf numFmtId="179" fontId="10" fillId="0" borderId="13" xfId="3" applyNumberFormat="1" applyFont="1" applyFill="1" applyBorder="1">
      <alignment vertical="center"/>
    </xf>
    <xf numFmtId="183" fontId="10" fillId="2" borderId="11" xfId="6" applyNumberFormat="1" applyFont="1" applyFill="1" applyBorder="1" applyAlignment="1">
      <alignment horizontal="center"/>
    </xf>
    <xf numFmtId="186" fontId="28" fillId="0" borderId="0" xfId="1" applyNumberFormat="1" applyFont="1">
      <alignment vertical="center"/>
    </xf>
    <xf numFmtId="0" fontId="29" fillId="0" borderId="0" xfId="6" applyFont="1" applyAlignment="1">
      <alignment horizontal="center" vertical="center"/>
    </xf>
    <xf numFmtId="187" fontId="12" fillId="0" borderId="0" xfId="6" applyNumberFormat="1" applyFont="1"/>
    <xf numFmtId="176" fontId="16" fillId="0" borderId="0" xfId="2" applyNumberFormat="1" applyFont="1">
      <alignment vertical="center"/>
    </xf>
    <xf numFmtId="177" fontId="16" fillId="0" borderId="0" xfId="3" applyFont="1">
      <alignment vertical="center"/>
    </xf>
    <xf numFmtId="188" fontId="1" fillId="0" borderId="0" xfId="1" applyNumberFormat="1">
      <alignment vertical="center"/>
    </xf>
    <xf numFmtId="0" fontId="30" fillId="7" borderId="0" xfId="1" applyFont="1" applyFill="1" applyProtection="1">
      <alignment vertical="center"/>
      <protection locked="0"/>
    </xf>
    <xf numFmtId="0" fontId="12" fillId="0" borderId="11" xfId="6" applyFont="1" applyBorder="1" applyAlignment="1">
      <alignment horizontal="center"/>
    </xf>
    <xf numFmtId="0" fontId="10" fillId="0" borderId="12" xfId="1" applyFont="1" applyBorder="1" applyAlignment="1">
      <alignment horizontal="center" vertical="center"/>
    </xf>
    <xf numFmtId="178" fontId="10" fillId="0" borderId="11" xfId="1" applyNumberFormat="1" applyFont="1" applyBorder="1">
      <alignment vertical="center"/>
    </xf>
    <xf numFmtId="178" fontId="10" fillId="0" borderId="14" xfId="1" applyNumberFormat="1" applyFont="1" applyBorder="1">
      <alignment vertical="center"/>
    </xf>
    <xf numFmtId="179" fontId="10" fillId="0" borderId="14" xfId="7" applyNumberFormat="1" applyFont="1" applyFill="1" applyBorder="1">
      <alignment vertical="center"/>
    </xf>
    <xf numFmtId="179" fontId="10" fillId="0" borderId="12" xfId="7" applyNumberFormat="1" applyFont="1" applyBorder="1">
      <alignment vertical="center"/>
    </xf>
    <xf numFmtId="0" fontId="12" fillId="0" borderId="13" xfId="1" applyFont="1" applyBorder="1" applyAlignment="1">
      <alignment horizontal="center"/>
    </xf>
    <xf numFmtId="179" fontId="12" fillId="7" borderId="13" xfId="7" applyNumberFormat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37" fontId="12" fillId="0" borderId="5" xfId="1" applyNumberFormat="1" applyFont="1" applyBorder="1" applyAlignment="1">
      <alignment horizontal="center" vertical="center"/>
    </xf>
    <xf numFmtId="37" fontId="12" fillId="0" borderId="10" xfId="1" applyNumberFormat="1" applyFont="1" applyBorder="1" applyAlignment="1">
      <alignment horizontal="center" vertical="center"/>
    </xf>
    <xf numFmtId="37" fontId="12" fillId="0" borderId="13" xfId="1" applyNumberFormat="1" applyFont="1" applyBorder="1" applyAlignment="1">
      <alignment horizontal="center" vertical="center"/>
    </xf>
    <xf numFmtId="0" fontId="12" fillId="3" borderId="1" xfId="4" applyFont="1" applyFill="1" applyBorder="1" applyAlignment="1">
      <alignment horizontal="center" vertical="center" wrapText="1"/>
    </xf>
    <xf numFmtId="0" fontId="12" fillId="3" borderId="11" xfId="4" applyFont="1" applyFill="1" applyBorder="1" applyAlignment="1">
      <alignment horizontal="center" vertical="center" wrapText="1"/>
    </xf>
    <xf numFmtId="0" fontId="12" fillId="3" borderId="12" xfId="4" applyFont="1" applyFill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</cellXfs>
  <cellStyles count="8">
    <cellStyle name="백분율 2" xfId="2" xr:uid="{83E98A58-D92F-47CA-B596-17EB4D993552}"/>
    <cellStyle name="쉼표 [0] 2 23 5" xfId="7" xr:uid="{22BB5EEC-DC90-46A8-8A69-8B41A861D3CD}"/>
    <cellStyle name="쉼표 [0] 35 2" xfId="5" xr:uid="{3B0747AA-738D-4A0A-9FA0-BA3DB4F2293F}"/>
    <cellStyle name="쉼표 [0] 36" xfId="3" xr:uid="{A1120CC9-7686-4906-B480-48B67DEB2C1E}"/>
    <cellStyle name="표준" xfId="0" builtinId="0"/>
    <cellStyle name="표준 2" xfId="1" xr:uid="{6E1D595B-80D7-406B-9C2E-43214C3CA706}"/>
    <cellStyle name="표준_PT_TR_20060101" xfId="6" xr:uid="{A2C535BA-C9D8-4C31-B0AA-B987E3D57989}"/>
    <cellStyle name="표준_정기R20030110CK_Regul" xfId="4" xr:uid="{FF868CA9-AC36-42E9-8035-94E761F488D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5</xdr:row>
          <xdr:rowOff>114300</xdr:rowOff>
        </xdr:from>
        <xdr:to>
          <xdr:col>12</xdr:col>
          <xdr:colOff>371475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5</xdr:row>
          <xdr:rowOff>95250</xdr:rowOff>
        </xdr:from>
        <xdr:to>
          <xdr:col>14</xdr:col>
          <xdr:colOff>152400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S산출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S산출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5</xdr:row>
          <xdr:rowOff>95250</xdr:rowOff>
        </xdr:from>
        <xdr:to>
          <xdr:col>15</xdr:col>
          <xdr:colOff>495300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alpha </a:t>
              </a:r>
            </a:p>
            <a:p>
              <a:pPr algn="ctr" rtl="0">
                <a:defRPr sz="1000"/>
              </a:pPr>
              <a:endParaRPr lang="ko-KR" altLang="en-US" sz="1100" b="1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372E8-FF1A-4E75-B0E3-FC46C8B9256E}">
  <sheetPr codeName="Sheet18"/>
  <dimension ref="A1:AQ117"/>
  <sheetViews>
    <sheetView showGridLines="0" tabSelected="1" zoomScale="115" zoomScaleNormal="115" workbookViewId="0"/>
  </sheetViews>
  <sheetFormatPr defaultRowHeight="14.25" x14ac:dyDescent="0.2"/>
  <cols>
    <col min="1" max="1" width="4.85546875" style="7" bestFit="1" customWidth="1"/>
    <col min="2" max="3" width="11.140625" style="7" bestFit="1" customWidth="1"/>
    <col min="4" max="4" width="7.140625" style="7" bestFit="1" customWidth="1"/>
    <col min="5" max="5" width="9.5703125" style="7" bestFit="1" customWidth="1"/>
    <col min="6" max="6" width="9.28515625" style="7" customWidth="1"/>
    <col min="7" max="8" width="9.42578125" style="7" customWidth="1"/>
    <col min="9" max="9" width="8.85546875" style="7" bestFit="1" customWidth="1"/>
    <col min="10" max="16" width="9.42578125" style="7" customWidth="1"/>
    <col min="17" max="17" width="9.7109375" style="10" bestFit="1" customWidth="1"/>
    <col min="18" max="18" width="9.28515625" style="7" bestFit="1" customWidth="1"/>
    <col min="19" max="19" width="6" style="7" bestFit="1" customWidth="1"/>
    <col min="20" max="26" width="9.140625" style="7"/>
    <col min="27" max="27" width="2.5703125" style="7" customWidth="1"/>
    <col min="28" max="28" width="9.140625" style="7"/>
    <col min="29" max="29" width="13" style="7" customWidth="1"/>
    <col min="30" max="30" width="15.5703125" style="7" customWidth="1"/>
    <col min="31" max="16384" width="9.140625" style="7"/>
  </cols>
  <sheetData>
    <row r="1" spans="1:30" ht="12.6" customHeight="1" x14ac:dyDescent="0.2">
      <c r="B1" s="8"/>
      <c r="C1" s="9" t="s">
        <v>81</v>
      </c>
      <c r="S1" s="11"/>
      <c r="T1" s="12"/>
    </row>
    <row r="2" spans="1:30" ht="12.6" customHeight="1" x14ac:dyDescent="0.2">
      <c r="A2" s="113" t="s">
        <v>82</v>
      </c>
      <c r="B2" s="106" t="s">
        <v>83</v>
      </c>
      <c r="C2" s="106" t="s">
        <v>84</v>
      </c>
      <c r="D2" s="106" t="s">
        <v>85</v>
      </c>
      <c r="E2" s="106"/>
      <c r="F2" s="114" t="s">
        <v>86</v>
      </c>
      <c r="G2" s="115"/>
      <c r="H2" s="116"/>
      <c r="I2" s="106" t="s">
        <v>87</v>
      </c>
      <c r="J2" s="106" t="s">
        <v>88</v>
      </c>
      <c r="K2" s="106" t="s">
        <v>89</v>
      </c>
      <c r="L2" s="106" t="s">
        <v>90</v>
      </c>
      <c r="R2" s="14" t="s">
        <v>91</v>
      </c>
      <c r="S2" s="11" t="s">
        <v>92</v>
      </c>
      <c r="T2" s="15">
        <f>1/(1+$C$4)</f>
        <v>0.97799511002444994</v>
      </c>
      <c r="AB2" s="107" t="s">
        <v>93</v>
      </c>
      <c r="AC2" s="110" t="s">
        <v>94</v>
      </c>
      <c r="AD2" s="110"/>
    </row>
    <row r="3" spans="1:30" x14ac:dyDescent="0.2">
      <c r="A3" s="106"/>
      <c r="B3" s="106"/>
      <c r="C3" s="106"/>
      <c r="D3" s="13">
        <v>1</v>
      </c>
      <c r="E3" s="13">
        <v>1</v>
      </c>
      <c r="F3" s="16">
        <v>1</v>
      </c>
      <c r="G3" s="16">
        <v>1</v>
      </c>
      <c r="H3" s="17">
        <v>1</v>
      </c>
      <c r="I3" s="106"/>
      <c r="J3" s="106"/>
      <c r="K3" s="106"/>
      <c r="L3" s="106"/>
      <c r="M3" s="7">
        <v>1</v>
      </c>
      <c r="R3" s="18" t="s">
        <v>97</v>
      </c>
      <c r="S3" s="19" t="s">
        <v>98</v>
      </c>
      <c r="T3" s="20" t="s">
        <v>99</v>
      </c>
      <c r="U3" s="21" t="s">
        <v>100</v>
      </c>
      <c r="V3" s="22" t="s">
        <v>101</v>
      </c>
      <c r="W3" s="22" t="s">
        <v>79</v>
      </c>
      <c r="X3" s="22" t="s">
        <v>80</v>
      </c>
      <c r="Y3" s="22" t="s">
        <v>77</v>
      </c>
      <c r="Z3" s="23" t="s">
        <v>78</v>
      </c>
      <c r="AA3" s="24"/>
      <c r="AB3" s="108"/>
      <c r="AC3" s="111" t="s">
        <v>102</v>
      </c>
      <c r="AD3" s="112"/>
    </row>
    <row r="4" spans="1:30" x14ac:dyDescent="0.2">
      <c r="A4" s="25" t="s">
        <v>103</v>
      </c>
      <c r="B4" s="16" t="s">
        <v>104</v>
      </c>
      <c r="C4" s="26">
        <v>2.2499999999999999E-2</v>
      </c>
      <c r="D4" s="27">
        <v>6</v>
      </c>
      <c r="E4" s="28">
        <f>10^D4</f>
        <v>1000000</v>
      </c>
      <c r="F4" s="29" t="e">
        <f ca="1">INDIRECT($B$4&amp;"!$K$7")</f>
        <v>#REF!</v>
      </c>
      <c r="G4" s="29" t="e">
        <f ca="1">INDIRECT($B$4&amp;"!$L$7")</f>
        <v>#REF!</v>
      </c>
      <c r="H4" s="30" t="e">
        <f ca="1">INDIRECT($B$4&amp;"!$L$7")</f>
        <v>#REF!</v>
      </c>
      <c r="I4" s="31" t="e">
        <f ca="1">INDIRECT($B$4&amp;"!$F$4")</f>
        <v>#REF!</v>
      </c>
      <c r="J4" s="31" t="e">
        <f ca="1">INDIRECT($B$4&amp;"!$E$3")</f>
        <v>#REF!</v>
      </c>
      <c r="K4" s="31" t="s">
        <v>105</v>
      </c>
      <c r="L4" s="32">
        <f>ROW($B$13)*1</f>
        <v>13</v>
      </c>
      <c r="R4" s="33" t="s">
        <v>106</v>
      </c>
      <c r="S4" s="34" t="s">
        <v>107</v>
      </c>
      <c r="T4" s="35"/>
      <c r="U4" s="36"/>
      <c r="V4" s="36"/>
      <c r="W4" s="36"/>
      <c r="X4" s="36"/>
      <c r="Y4" s="36"/>
      <c r="Z4" s="37"/>
      <c r="AA4" s="24"/>
      <c r="AB4" s="109"/>
      <c r="AC4" s="38" t="s">
        <v>108</v>
      </c>
      <c r="AD4" s="38" t="s">
        <v>109</v>
      </c>
    </row>
    <row r="5" spans="1:30" ht="11.25" customHeight="1" x14ac:dyDescent="0.2">
      <c r="A5" s="39" t="s">
        <v>110</v>
      </c>
      <c r="B5" s="40" t="s">
        <v>111</v>
      </c>
      <c r="C5" s="41"/>
      <c r="D5" s="41"/>
      <c r="E5" s="41"/>
      <c r="F5" s="42"/>
      <c r="G5" s="42"/>
      <c r="H5" s="42"/>
      <c r="R5" s="43">
        <v>0</v>
      </c>
      <c r="S5" s="44" t="e">
        <f ca="1">J4</f>
        <v>#REF!</v>
      </c>
      <c r="T5" s="45">
        <v>1</v>
      </c>
      <c r="U5" s="15" t="e">
        <f ca="1">IF($R5="","",VLOOKUP($S5,$AB$5:$AD$117,2,FALSE))</f>
        <v>#REF!</v>
      </c>
      <c r="V5" s="15" t="e">
        <f t="shared" ref="V5:V68" ca="1" si="0">IF($R5="","",T5*(1-U5))</f>
        <v>#REF!</v>
      </c>
      <c r="W5" s="15" t="e">
        <f t="shared" ref="W5:W68" ca="1" si="1">IF($R5="","",T5*U5*$T$2^($R5+0.5))</f>
        <v>#REF!</v>
      </c>
      <c r="X5" s="46" t="e">
        <f t="shared" ref="X5:X68" ca="1" si="2">IF($R5="",0,X6+W5)</f>
        <v>#REF!</v>
      </c>
      <c r="Y5" s="15">
        <f t="shared" ref="Y5:Y68" si="3">IF($R5="","",T5*$T$2^$R5)</f>
        <v>1</v>
      </c>
      <c r="Z5" s="47" t="e">
        <f t="shared" ref="Z5:Z68" ca="1" si="4">IF($R5="",0,Z6+Y5)</f>
        <v>#REF!</v>
      </c>
      <c r="AA5" s="24"/>
      <c r="AB5" s="48">
        <v>0</v>
      </c>
      <c r="AC5" s="49">
        <v>1.6999999999999999E-3</v>
      </c>
      <c r="AD5" s="49">
        <v>1.224E-3</v>
      </c>
    </row>
    <row r="6" spans="1:30" ht="11.25" customHeight="1" x14ac:dyDescent="0.2">
      <c r="B6" s="50" t="s">
        <v>112</v>
      </c>
      <c r="C6" s="51"/>
      <c r="R6" s="43" t="e">
        <f t="shared" ref="R6:R69" ca="1" si="5">+IF(R5&gt;=$I$4,"",R5+1)</f>
        <v>#REF!</v>
      </c>
      <c r="S6" s="44" t="e">
        <f ca="1">IF($R6="","",S5+1)</f>
        <v>#REF!</v>
      </c>
      <c r="T6" s="45" t="e">
        <f t="shared" ref="T6:T69" ca="1" si="6">IF($R6="","",V5)</f>
        <v>#REF!</v>
      </c>
      <c r="U6" s="15" t="e">
        <f t="shared" ref="U6:U69" ca="1" si="7">IF($R6="","",VLOOKUP($S6,$AB$5:$AD$117,2,FALSE))</f>
        <v>#REF!</v>
      </c>
      <c r="V6" s="15" t="e">
        <f t="shared" ca="1" si="0"/>
        <v>#REF!</v>
      </c>
      <c r="W6" s="15" t="e">
        <f t="shared" ca="1" si="1"/>
        <v>#REF!</v>
      </c>
      <c r="X6" s="46" t="e">
        <f t="shared" ca="1" si="2"/>
        <v>#REF!</v>
      </c>
      <c r="Y6" s="15" t="e">
        <f t="shared" ca="1" si="3"/>
        <v>#REF!</v>
      </c>
      <c r="Z6" s="47" t="e">
        <f t="shared" ca="1" si="4"/>
        <v>#REF!</v>
      </c>
      <c r="AA6" s="24"/>
      <c r="AB6" s="52">
        <f>+AB5+1</f>
        <v>1</v>
      </c>
      <c r="AC6" s="53">
        <v>1.0900000000000001E-4</v>
      </c>
      <c r="AD6" s="53">
        <v>8.3999999999999995E-5</v>
      </c>
    </row>
    <row r="7" spans="1:30" ht="11.25" customHeight="1" x14ac:dyDescent="0.2">
      <c r="B7" s="54" t="s">
        <v>113</v>
      </c>
      <c r="C7" s="55"/>
      <c r="H7" s="50"/>
      <c r="R7" s="43" t="e">
        <f t="shared" ca="1" si="5"/>
        <v>#REF!</v>
      </c>
      <c r="S7" s="44" t="e">
        <f t="shared" ref="S7:S70" ca="1" si="8">IF($R7="","",S6+1)</f>
        <v>#REF!</v>
      </c>
      <c r="T7" s="45" t="e">
        <f t="shared" ca="1" si="6"/>
        <v>#REF!</v>
      </c>
      <c r="U7" s="15" t="e">
        <f t="shared" ca="1" si="7"/>
        <v>#REF!</v>
      </c>
      <c r="V7" s="15" t="e">
        <f t="shared" ca="1" si="0"/>
        <v>#REF!</v>
      </c>
      <c r="W7" s="15" t="e">
        <f t="shared" ca="1" si="1"/>
        <v>#REF!</v>
      </c>
      <c r="X7" s="46" t="e">
        <f t="shared" ca="1" si="2"/>
        <v>#REF!</v>
      </c>
      <c r="Y7" s="15" t="e">
        <f t="shared" ca="1" si="3"/>
        <v>#REF!</v>
      </c>
      <c r="Z7" s="47" t="e">
        <f t="shared" ca="1" si="4"/>
        <v>#REF!</v>
      </c>
      <c r="AA7" s="24"/>
      <c r="AB7" s="52">
        <f t="shared" ref="AB7:AB70" si="9">+AB6+1</f>
        <v>2</v>
      </c>
      <c r="AC7" s="53">
        <v>8.7000000000000001E-5</v>
      </c>
      <c r="AD7" s="53">
        <v>6.7999999999999999E-5</v>
      </c>
    </row>
    <row r="8" spans="1:30" ht="11.25" customHeight="1" x14ac:dyDescent="0.2">
      <c r="B8" s="56" t="s">
        <v>114</v>
      </c>
      <c r="G8" s="57"/>
      <c r="J8" s="56" t="s">
        <v>115</v>
      </c>
      <c r="K8" s="58"/>
      <c r="R8" s="43" t="e">
        <f t="shared" ca="1" si="5"/>
        <v>#REF!</v>
      </c>
      <c r="S8" s="44" t="e">
        <f t="shared" ca="1" si="8"/>
        <v>#REF!</v>
      </c>
      <c r="T8" s="45" t="e">
        <f t="shared" ca="1" si="6"/>
        <v>#REF!</v>
      </c>
      <c r="U8" s="15" t="e">
        <f t="shared" ca="1" si="7"/>
        <v>#REF!</v>
      </c>
      <c r="V8" s="15" t="e">
        <f t="shared" ca="1" si="0"/>
        <v>#REF!</v>
      </c>
      <c r="W8" s="15" t="e">
        <f t="shared" ca="1" si="1"/>
        <v>#REF!</v>
      </c>
      <c r="X8" s="46" t="e">
        <f t="shared" ca="1" si="2"/>
        <v>#REF!</v>
      </c>
      <c r="Y8" s="15" t="e">
        <f t="shared" ca="1" si="3"/>
        <v>#REF!</v>
      </c>
      <c r="Z8" s="47" t="e">
        <f t="shared" ca="1" si="4"/>
        <v>#REF!</v>
      </c>
      <c r="AA8" s="24"/>
      <c r="AB8" s="52">
        <f t="shared" si="9"/>
        <v>3</v>
      </c>
      <c r="AC8" s="53">
        <v>7.6000000000000004E-5</v>
      </c>
      <c r="AD8" s="53">
        <v>5.1E-5</v>
      </c>
    </row>
    <row r="9" spans="1:30" ht="11.25" customHeight="1" x14ac:dyDescent="0.2">
      <c r="B9" s="59" t="s">
        <v>116</v>
      </c>
      <c r="C9" s="59">
        <f>F3</f>
        <v>1</v>
      </c>
      <c r="D9" s="59">
        <f>G3</f>
        <v>1</v>
      </c>
      <c r="E9" s="60" t="s">
        <v>96</v>
      </c>
      <c r="J9" s="56"/>
      <c r="K9" s="58"/>
      <c r="R9" s="43" t="e">
        <f t="shared" ca="1" si="5"/>
        <v>#REF!</v>
      </c>
      <c r="S9" s="44" t="e">
        <f t="shared" ca="1" si="8"/>
        <v>#REF!</v>
      </c>
      <c r="T9" s="45" t="e">
        <f t="shared" ca="1" si="6"/>
        <v>#REF!</v>
      </c>
      <c r="U9" s="15" t="e">
        <f t="shared" ca="1" si="7"/>
        <v>#REF!</v>
      </c>
      <c r="V9" s="15" t="e">
        <f t="shared" ca="1" si="0"/>
        <v>#REF!</v>
      </c>
      <c r="W9" s="15" t="e">
        <f t="shared" ca="1" si="1"/>
        <v>#REF!</v>
      </c>
      <c r="X9" s="46" t="e">
        <f t="shared" ca="1" si="2"/>
        <v>#REF!</v>
      </c>
      <c r="Y9" s="15" t="e">
        <f t="shared" ca="1" si="3"/>
        <v>#REF!</v>
      </c>
      <c r="Z9" s="47" t="e">
        <f t="shared" ca="1" si="4"/>
        <v>#REF!</v>
      </c>
      <c r="AA9" s="24"/>
      <c r="AB9" s="52">
        <f t="shared" si="9"/>
        <v>4</v>
      </c>
      <c r="AC9" s="53">
        <v>6.4999999999999994E-5</v>
      </c>
      <c r="AD9" s="53">
        <v>3.4E-5</v>
      </c>
    </row>
    <row r="10" spans="1:30" ht="11.25" customHeight="1" x14ac:dyDescent="0.2">
      <c r="B10" s="59" t="s">
        <v>117</v>
      </c>
      <c r="C10" s="61">
        <v>4.58E-2</v>
      </c>
      <c r="D10" s="61">
        <v>6.2399999999999997E-2</v>
      </c>
      <c r="E10" s="61">
        <v>7.0000000000000001E-3</v>
      </c>
      <c r="J10" s="62" t="str">
        <f>IF(COUNTIFS($P$13:$P$97,"error")=0, "OK","Check")</f>
        <v>OK</v>
      </c>
      <c r="K10" s="58"/>
      <c r="R10" s="43" t="e">
        <f t="shared" ca="1" si="5"/>
        <v>#REF!</v>
      </c>
      <c r="S10" s="44" t="e">
        <f t="shared" ca="1" si="8"/>
        <v>#REF!</v>
      </c>
      <c r="T10" s="45" t="e">
        <f t="shared" ca="1" si="6"/>
        <v>#REF!</v>
      </c>
      <c r="U10" s="15" t="e">
        <f t="shared" ca="1" si="7"/>
        <v>#REF!</v>
      </c>
      <c r="V10" s="15" t="e">
        <f t="shared" ca="1" si="0"/>
        <v>#REF!</v>
      </c>
      <c r="W10" s="15" t="e">
        <f t="shared" ca="1" si="1"/>
        <v>#REF!</v>
      </c>
      <c r="X10" s="46" t="e">
        <f t="shared" ca="1" si="2"/>
        <v>#REF!</v>
      </c>
      <c r="Y10" s="15" t="e">
        <f t="shared" ca="1" si="3"/>
        <v>#REF!</v>
      </c>
      <c r="Z10" s="47" t="e">
        <f t="shared" ca="1" si="4"/>
        <v>#REF!</v>
      </c>
      <c r="AA10" s="24"/>
      <c r="AB10" s="52">
        <f t="shared" si="9"/>
        <v>5</v>
      </c>
      <c r="AC10" s="53">
        <v>4.3999999999999999E-5</v>
      </c>
      <c r="AD10" s="53">
        <v>3.4E-5</v>
      </c>
    </row>
    <row r="11" spans="1:30" ht="11.25" customHeight="1" x14ac:dyDescent="0.2">
      <c r="J11" s="56"/>
      <c r="K11" s="58"/>
      <c r="R11" s="43" t="e">
        <f t="shared" ca="1" si="5"/>
        <v>#REF!</v>
      </c>
      <c r="S11" s="44" t="e">
        <f t="shared" ca="1" si="8"/>
        <v>#REF!</v>
      </c>
      <c r="T11" s="45" t="e">
        <f t="shared" ca="1" si="6"/>
        <v>#REF!</v>
      </c>
      <c r="U11" s="15" t="e">
        <f t="shared" ca="1" si="7"/>
        <v>#REF!</v>
      </c>
      <c r="V11" s="15" t="e">
        <f t="shared" ca="1" si="0"/>
        <v>#REF!</v>
      </c>
      <c r="W11" s="15" t="e">
        <f t="shared" ca="1" si="1"/>
        <v>#REF!</v>
      </c>
      <c r="X11" s="46" t="e">
        <f t="shared" ca="1" si="2"/>
        <v>#REF!</v>
      </c>
      <c r="Y11" s="15" t="e">
        <f t="shared" ca="1" si="3"/>
        <v>#REF!</v>
      </c>
      <c r="Z11" s="47" t="e">
        <f t="shared" ca="1" si="4"/>
        <v>#REF!</v>
      </c>
      <c r="AA11" s="24"/>
      <c r="AB11" s="52">
        <f t="shared" si="9"/>
        <v>6</v>
      </c>
      <c r="AC11" s="53">
        <v>3.1000000000000001E-5</v>
      </c>
      <c r="AD11" s="53">
        <v>2.4000000000000001E-5</v>
      </c>
    </row>
    <row r="12" spans="1:30" ht="11.25" customHeight="1" x14ac:dyDescent="0.2">
      <c r="B12" s="63" t="s">
        <v>116</v>
      </c>
      <c r="C12" s="64" t="s">
        <v>118</v>
      </c>
      <c r="D12" s="63" t="s">
        <v>119</v>
      </c>
      <c r="E12" s="63" t="s">
        <v>120</v>
      </c>
      <c r="F12" s="63" t="s">
        <v>86</v>
      </c>
      <c r="G12" s="65" t="s">
        <v>121</v>
      </c>
      <c r="H12" s="63" t="s">
        <v>122</v>
      </c>
      <c r="I12" s="66"/>
      <c r="J12" s="63" t="s">
        <v>116</v>
      </c>
      <c r="K12" s="63" t="s">
        <v>118</v>
      </c>
      <c r="L12" s="63" t="s">
        <v>119</v>
      </c>
      <c r="M12" s="63" t="s">
        <v>120</v>
      </c>
      <c r="N12" s="63" t="s">
        <v>123</v>
      </c>
      <c r="O12" s="65" t="s">
        <v>124</v>
      </c>
      <c r="P12" s="63" t="s">
        <v>125</v>
      </c>
      <c r="R12" s="43" t="e">
        <f t="shared" ca="1" si="5"/>
        <v>#REF!</v>
      </c>
      <c r="S12" s="44" t="e">
        <f t="shared" ca="1" si="8"/>
        <v>#REF!</v>
      </c>
      <c r="T12" s="45" t="e">
        <f t="shared" ca="1" si="6"/>
        <v>#REF!</v>
      </c>
      <c r="U12" s="15" t="e">
        <f t="shared" ca="1" si="7"/>
        <v>#REF!</v>
      </c>
      <c r="V12" s="15" t="e">
        <f t="shared" ca="1" si="0"/>
        <v>#REF!</v>
      </c>
      <c r="W12" s="15" t="e">
        <f t="shared" ca="1" si="1"/>
        <v>#REF!</v>
      </c>
      <c r="X12" s="46" t="e">
        <f t="shared" ca="1" si="2"/>
        <v>#REF!</v>
      </c>
      <c r="Y12" s="15" t="e">
        <f t="shared" ca="1" si="3"/>
        <v>#REF!</v>
      </c>
      <c r="Z12" s="47" t="e">
        <f t="shared" ca="1" si="4"/>
        <v>#REF!</v>
      </c>
      <c r="AA12" s="24"/>
      <c r="AB12" s="52">
        <f t="shared" si="9"/>
        <v>7</v>
      </c>
      <c r="AC12" s="53">
        <v>4.0000000000000003E-5</v>
      </c>
      <c r="AD12" s="53">
        <v>2.9E-5</v>
      </c>
    </row>
    <row r="13" spans="1:30" ht="11.25" customHeight="1" x14ac:dyDescent="0.2">
      <c r="A13" s="67"/>
      <c r="B13" s="68" t="s">
        <v>126</v>
      </c>
      <c r="C13" s="69">
        <v>100</v>
      </c>
      <c r="D13" s="69">
        <v>30</v>
      </c>
      <c r="E13" s="70">
        <v>8</v>
      </c>
      <c r="F13" s="12">
        <v>30</v>
      </c>
      <c r="G13" s="12">
        <v>655</v>
      </c>
      <c r="H13" s="71">
        <f>+IF(G13="","",F13/$G13)</f>
        <v>4.5801526717557252E-2</v>
      </c>
      <c r="I13" s="66"/>
      <c r="J13" s="68" t="s">
        <v>126</v>
      </c>
      <c r="K13" s="69">
        <v>100</v>
      </c>
      <c r="L13" s="69">
        <v>30</v>
      </c>
      <c r="M13" s="70">
        <v>8</v>
      </c>
      <c r="N13" s="72">
        <v>949</v>
      </c>
      <c r="O13" s="72">
        <v>893</v>
      </c>
      <c r="P13" s="73" t="str">
        <f>+IF(J13="","",IF(O13&gt;N13,"error","OK"))</f>
        <v>OK</v>
      </c>
      <c r="Q13" s="10">
        <f>O13/N13</f>
        <v>0.94099051633298214</v>
      </c>
      <c r="R13" s="43" t="e">
        <f t="shared" ca="1" si="5"/>
        <v>#REF!</v>
      </c>
      <c r="S13" s="44" t="e">
        <f t="shared" ca="1" si="8"/>
        <v>#REF!</v>
      </c>
      <c r="T13" s="45" t="e">
        <f t="shared" ca="1" si="6"/>
        <v>#REF!</v>
      </c>
      <c r="U13" s="15" t="e">
        <f t="shared" ca="1" si="7"/>
        <v>#REF!</v>
      </c>
      <c r="V13" s="15" t="e">
        <f t="shared" ca="1" si="0"/>
        <v>#REF!</v>
      </c>
      <c r="W13" s="15" t="e">
        <f t="shared" ca="1" si="1"/>
        <v>#REF!</v>
      </c>
      <c r="X13" s="46" t="e">
        <f t="shared" ca="1" si="2"/>
        <v>#REF!</v>
      </c>
      <c r="Y13" s="15" t="e">
        <f t="shared" ca="1" si="3"/>
        <v>#REF!</v>
      </c>
      <c r="Z13" s="47" t="e">
        <f t="shared" ca="1" si="4"/>
        <v>#REF!</v>
      </c>
      <c r="AA13" s="24"/>
      <c r="AB13" s="52">
        <f t="shared" si="9"/>
        <v>8</v>
      </c>
      <c r="AC13" s="53">
        <v>4.0000000000000003E-5</v>
      </c>
      <c r="AD13" s="53">
        <v>2.8E-5</v>
      </c>
    </row>
    <row r="14" spans="1:30" ht="11.25" customHeight="1" x14ac:dyDescent="0.2">
      <c r="A14" s="67"/>
      <c r="B14" s="68" t="s">
        <v>126</v>
      </c>
      <c r="C14" s="69">
        <v>100</v>
      </c>
      <c r="D14" s="69">
        <v>30</v>
      </c>
      <c r="E14" s="70">
        <v>7</v>
      </c>
      <c r="F14" s="12">
        <v>30</v>
      </c>
      <c r="G14" s="12">
        <v>641</v>
      </c>
      <c r="H14" s="71">
        <f>+IF(G14="",0,F14/$G14)</f>
        <v>4.6801872074882997E-2</v>
      </c>
      <c r="I14" s="66"/>
      <c r="J14" s="68" t="s">
        <v>126</v>
      </c>
      <c r="K14" s="69">
        <v>100</v>
      </c>
      <c r="L14" s="69">
        <v>30</v>
      </c>
      <c r="M14" s="70">
        <v>7</v>
      </c>
      <c r="N14" s="12">
        <v>938</v>
      </c>
      <c r="O14" s="12">
        <v>884</v>
      </c>
      <c r="P14" s="74" t="str">
        <f t="shared" ref="P14:P51" si="10">+IF(J14="","",IF(O14&gt;N14,"error","OK"))</f>
        <v>OK</v>
      </c>
      <c r="Q14" s="10">
        <f t="shared" ref="Q14:Q19" si="11">O14/N14</f>
        <v>0.94243070362473347</v>
      </c>
      <c r="R14" s="43" t="e">
        <f t="shared" ca="1" si="5"/>
        <v>#REF!</v>
      </c>
      <c r="S14" s="44" t="e">
        <f t="shared" ca="1" si="8"/>
        <v>#REF!</v>
      </c>
      <c r="T14" s="45" t="e">
        <f t="shared" ca="1" si="6"/>
        <v>#REF!</v>
      </c>
      <c r="U14" s="15" t="e">
        <f t="shared" ca="1" si="7"/>
        <v>#REF!</v>
      </c>
      <c r="V14" s="15" t="e">
        <f t="shared" ca="1" si="0"/>
        <v>#REF!</v>
      </c>
      <c r="W14" s="15" t="e">
        <f t="shared" ca="1" si="1"/>
        <v>#REF!</v>
      </c>
      <c r="X14" s="46" t="e">
        <f t="shared" ca="1" si="2"/>
        <v>#REF!</v>
      </c>
      <c r="Y14" s="15" t="e">
        <f t="shared" ca="1" si="3"/>
        <v>#REF!</v>
      </c>
      <c r="Z14" s="47" t="e">
        <f t="shared" ca="1" si="4"/>
        <v>#REF!</v>
      </c>
      <c r="AA14" s="24"/>
      <c r="AB14" s="52">
        <f t="shared" si="9"/>
        <v>9</v>
      </c>
      <c r="AC14" s="53">
        <v>4.5000000000000003E-5</v>
      </c>
      <c r="AD14" s="53">
        <v>2.8E-5</v>
      </c>
    </row>
    <row r="15" spans="1:30" ht="11.25" customHeight="1" x14ac:dyDescent="0.2">
      <c r="A15" s="67"/>
      <c r="B15" s="68" t="s">
        <v>95</v>
      </c>
      <c r="C15" s="69">
        <v>30</v>
      </c>
      <c r="D15" s="75">
        <v>22</v>
      </c>
      <c r="E15" s="70">
        <v>8</v>
      </c>
      <c r="F15" s="12">
        <v>7</v>
      </c>
      <c r="G15" s="12">
        <v>18</v>
      </c>
      <c r="H15" s="71">
        <f t="shared" ref="H15:H51" si="12">+IF(G15="","",F15/$G15)</f>
        <v>0.3888888888888889</v>
      </c>
      <c r="I15" s="66"/>
      <c r="J15" s="68" t="s">
        <v>95</v>
      </c>
      <c r="K15" s="69">
        <v>30</v>
      </c>
      <c r="L15" s="75">
        <v>10</v>
      </c>
      <c r="M15" s="70">
        <v>8</v>
      </c>
      <c r="N15" s="12">
        <v>712</v>
      </c>
      <c r="O15" s="12">
        <v>571</v>
      </c>
      <c r="P15" s="74" t="str">
        <f t="shared" si="10"/>
        <v>OK</v>
      </c>
      <c r="Q15" s="10">
        <f t="shared" si="11"/>
        <v>0.8019662921348315</v>
      </c>
      <c r="R15" s="43" t="e">
        <f t="shared" ca="1" si="5"/>
        <v>#REF!</v>
      </c>
      <c r="S15" s="44" t="e">
        <f t="shared" ca="1" si="8"/>
        <v>#REF!</v>
      </c>
      <c r="T15" s="45" t="e">
        <f t="shared" ca="1" si="6"/>
        <v>#REF!</v>
      </c>
      <c r="U15" s="15" t="e">
        <f t="shared" ca="1" si="7"/>
        <v>#REF!</v>
      </c>
      <c r="V15" s="15" t="e">
        <f t="shared" ca="1" si="0"/>
        <v>#REF!</v>
      </c>
      <c r="W15" s="15" t="e">
        <f t="shared" ca="1" si="1"/>
        <v>#REF!</v>
      </c>
      <c r="X15" s="46" t="e">
        <f t="shared" ca="1" si="2"/>
        <v>#REF!</v>
      </c>
      <c r="Y15" s="15" t="e">
        <f t="shared" ca="1" si="3"/>
        <v>#REF!</v>
      </c>
      <c r="Z15" s="47" t="e">
        <f t="shared" ca="1" si="4"/>
        <v>#REF!</v>
      </c>
      <c r="AA15" s="24"/>
      <c r="AB15" s="52">
        <f t="shared" si="9"/>
        <v>10</v>
      </c>
      <c r="AC15" s="53">
        <v>5.1E-5</v>
      </c>
      <c r="AD15" s="53">
        <v>3.0000000000000001E-5</v>
      </c>
    </row>
    <row r="16" spans="1:30" ht="11.25" customHeight="1" x14ac:dyDescent="0.2">
      <c r="A16" s="67"/>
      <c r="B16" s="68" t="s">
        <v>95</v>
      </c>
      <c r="C16" s="69">
        <v>30</v>
      </c>
      <c r="D16" s="75">
        <v>23</v>
      </c>
      <c r="E16" s="70">
        <v>7</v>
      </c>
      <c r="F16" s="12">
        <v>7</v>
      </c>
      <c r="G16" s="12">
        <v>17</v>
      </c>
      <c r="H16" s="71">
        <f t="shared" si="12"/>
        <v>0.41176470588235292</v>
      </c>
      <c r="I16" s="66"/>
      <c r="J16" s="68" t="s">
        <v>95</v>
      </c>
      <c r="K16" s="69">
        <v>30</v>
      </c>
      <c r="L16" s="75">
        <v>10</v>
      </c>
      <c r="M16" s="70">
        <v>7</v>
      </c>
      <c r="N16" s="12">
        <v>711</v>
      </c>
      <c r="O16" s="12">
        <v>570</v>
      </c>
      <c r="P16" s="74" t="str">
        <f t="shared" si="10"/>
        <v>OK</v>
      </c>
      <c r="Q16" s="10">
        <f t="shared" si="11"/>
        <v>0.80168776371308015</v>
      </c>
      <c r="R16" s="43" t="e">
        <f t="shared" ca="1" si="5"/>
        <v>#REF!</v>
      </c>
      <c r="S16" s="44" t="e">
        <f t="shared" ca="1" si="8"/>
        <v>#REF!</v>
      </c>
      <c r="T16" s="45" t="e">
        <f t="shared" ca="1" si="6"/>
        <v>#REF!</v>
      </c>
      <c r="U16" s="15" t="e">
        <f t="shared" ca="1" si="7"/>
        <v>#REF!</v>
      </c>
      <c r="V16" s="15" t="e">
        <f t="shared" ca="1" si="0"/>
        <v>#REF!</v>
      </c>
      <c r="W16" s="15" t="e">
        <f t="shared" ca="1" si="1"/>
        <v>#REF!</v>
      </c>
      <c r="X16" s="46" t="e">
        <f t="shared" ca="1" si="2"/>
        <v>#REF!</v>
      </c>
      <c r="Y16" s="15" t="e">
        <f t="shared" ca="1" si="3"/>
        <v>#REF!</v>
      </c>
      <c r="Z16" s="47" t="e">
        <f t="shared" ca="1" si="4"/>
        <v>#REF!</v>
      </c>
      <c r="AA16" s="24"/>
      <c r="AB16" s="52">
        <f t="shared" si="9"/>
        <v>11</v>
      </c>
      <c r="AC16" s="53">
        <v>6.0000000000000002E-5</v>
      </c>
      <c r="AD16" s="53">
        <v>3.3000000000000003E-5</v>
      </c>
    </row>
    <row r="17" spans="1:30" ht="11.25" customHeight="1" x14ac:dyDescent="0.2">
      <c r="A17" s="67"/>
      <c r="B17" s="68" t="s">
        <v>127</v>
      </c>
      <c r="C17" s="69">
        <v>100</v>
      </c>
      <c r="D17" s="69">
        <v>30</v>
      </c>
      <c r="E17" s="70">
        <v>8</v>
      </c>
      <c r="F17" s="12">
        <v>41</v>
      </c>
      <c r="G17" s="12">
        <v>655</v>
      </c>
      <c r="H17" s="71">
        <f t="shared" si="12"/>
        <v>6.2595419847328249E-2</v>
      </c>
      <c r="I17" s="66"/>
      <c r="J17" s="68" t="s">
        <v>127</v>
      </c>
      <c r="K17" s="69">
        <v>100</v>
      </c>
      <c r="L17" s="69">
        <v>30</v>
      </c>
      <c r="M17" s="70">
        <v>8</v>
      </c>
      <c r="N17" s="12">
        <v>1287</v>
      </c>
      <c r="O17" s="12">
        <v>1030</v>
      </c>
      <c r="P17" s="74" t="str">
        <f t="shared" si="10"/>
        <v>OK</v>
      </c>
      <c r="Q17" s="10">
        <f t="shared" si="11"/>
        <v>0.80031080031080026</v>
      </c>
      <c r="R17" s="43" t="e">
        <f t="shared" ca="1" si="5"/>
        <v>#REF!</v>
      </c>
      <c r="S17" s="44" t="e">
        <f t="shared" ca="1" si="8"/>
        <v>#REF!</v>
      </c>
      <c r="T17" s="45" t="e">
        <f t="shared" ca="1" si="6"/>
        <v>#REF!</v>
      </c>
      <c r="U17" s="15" t="e">
        <f t="shared" ca="1" si="7"/>
        <v>#REF!</v>
      </c>
      <c r="V17" s="15" t="e">
        <f t="shared" ca="1" si="0"/>
        <v>#REF!</v>
      </c>
      <c r="W17" s="15" t="e">
        <f t="shared" ca="1" si="1"/>
        <v>#REF!</v>
      </c>
      <c r="X17" s="46" t="e">
        <f t="shared" ca="1" si="2"/>
        <v>#REF!</v>
      </c>
      <c r="Y17" s="15" t="e">
        <f t="shared" ca="1" si="3"/>
        <v>#REF!</v>
      </c>
      <c r="Z17" s="47" t="e">
        <f t="shared" ca="1" si="4"/>
        <v>#REF!</v>
      </c>
      <c r="AA17" s="24"/>
      <c r="AB17" s="52">
        <f t="shared" si="9"/>
        <v>12</v>
      </c>
      <c r="AC17" s="53">
        <v>7.4999999999999993E-5</v>
      </c>
      <c r="AD17" s="53">
        <v>4.0000000000000003E-5</v>
      </c>
    </row>
    <row r="18" spans="1:30" ht="11.25" customHeight="1" x14ac:dyDescent="0.2">
      <c r="A18" s="67"/>
      <c r="B18" s="68" t="s">
        <v>127</v>
      </c>
      <c r="C18" s="69">
        <v>100</v>
      </c>
      <c r="D18" s="69">
        <v>30</v>
      </c>
      <c r="E18" s="70">
        <v>7</v>
      </c>
      <c r="F18" s="12">
        <v>40</v>
      </c>
      <c r="G18" s="12">
        <v>641</v>
      </c>
      <c r="H18" s="71">
        <f t="shared" si="12"/>
        <v>6.2402496099843996E-2</v>
      </c>
      <c r="I18" s="66"/>
      <c r="J18" s="68" t="s">
        <v>127</v>
      </c>
      <c r="K18" s="69">
        <v>100</v>
      </c>
      <c r="L18" s="69">
        <v>30</v>
      </c>
      <c r="M18" s="70">
        <v>7</v>
      </c>
      <c r="N18" s="12">
        <v>1273</v>
      </c>
      <c r="O18" s="12">
        <v>1020</v>
      </c>
      <c r="P18" s="74" t="str">
        <f t="shared" si="10"/>
        <v>OK</v>
      </c>
      <c r="Q18" s="10">
        <f t="shared" si="11"/>
        <v>0.80125687352710129</v>
      </c>
      <c r="R18" s="43" t="e">
        <f t="shared" ca="1" si="5"/>
        <v>#REF!</v>
      </c>
      <c r="S18" s="44" t="e">
        <f t="shared" ca="1" si="8"/>
        <v>#REF!</v>
      </c>
      <c r="T18" s="45" t="e">
        <f t="shared" ca="1" si="6"/>
        <v>#REF!</v>
      </c>
      <c r="U18" s="15" t="e">
        <f t="shared" ca="1" si="7"/>
        <v>#REF!</v>
      </c>
      <c r="V18" s="15" t="e">
        <f t="shared" ca="1" si="0"/>
        <v>#REF!</v>
      </c>
      <c r="W18" s="15" t="e">
        <f t="shared" ca="1" si="1"/>
        <v>#REF!</v>
      </c>
      <c r="X18" s="46" t="e">
        <f t="shared" ca="1" si="2"/>
        <v>#REF!</v>
      </c>
      <c r="Y18" s="15" t="e">
        <f t="shared" ca="1" si="3"/>
        <v>#REF!</v>
      </c>
      <c r="Z18" s="47" t="e">
        <f t="shared" ca="1" si="4"/>
        <v>#REF!</v>
      </c>
      <c r="AA18" s="24"/>
      <c r="AB18" s="52">
        <f t="shared" si="9"/>
        <v>13</v>
      </c>
      <c r="AC18" s="53">
        <v>9.8999999999999994E-5</v>
      </c>
      <c r="AD18" s="53">
        <v>5.1999999999999997E-5</v>
      </c>
    </row>
    <row r="19" spans="1:30" ht="11.25" customHeight="1" x14ac:dyDescent="0.2">
      <c r="A19" s="67"/>
      <c r="B19" s="76" t="s">
        <v>96</v>
      </c>
      <c r="C19" s="77">
        <v>1</v>
      </c>
      <c r="D19" s="78">
        <v>1</v>
      </c>
      <c r="E19" s="79">
        <v>0</v>
      </c>
      <c r="F19" s="12">
        <v>1</v>
      </c>
      <c r="G19" s="12">
        <v>142</v>
      </c>
      <c r="H19" s="71">
        <f t="shared" si="12"/>
        <v>7.0422535211267607E-3</v>
      </c>
      <c r="I19" s="66"/>
      <c r="J19" s="76" t="s">
        <v>96</v>
      </c>
      <c r="K19" s="77">
        <v>1</v>
      </c>
      <c r="L19" s="78">
        <v>1</v>
      </c>
      <c r="M19" s="79">
        <v>0</v>
      </c>
      <c r="N19" s="12">
        <v>70</v>
      </c>
      <c r="O19" s="12">
        <v>0</v>
      </c>
      <c r="P19" s="74" t="str">
        <f t="shared" si="10"/>
        <v>OK</v>
      </c>
      <c r="Q19" s="10">
        <f t="shared" si="11"/>
        <v>0</v>
      </c>
      <c r="R19" s="43" t="e">
        <f t="shared" ca="1" si="5"/>
        <v>#REF!</v>
      </c>
      <c r="S19" s="44" t="e">
        <f t="shared" ca="1" si="8"/>
        <v>#REF!</v>
      </c>
      <c r="T19" s="45" t="e">
        <f t="shared" ca="1" si="6"/>
        <v>#REF!</v>
      </c>
      <c r="U19" s="15" t="e">
        <f t="shared" ca="1" si="7"/>
        <v>#REF!</v>
      </c>
      <c r="V19" s="15" t="e">
        <f t="shared" ca="1" si="0"/>
        <v>#REF!</v>
      </c>
      <c r="W19" s="15" t="e">
        <f t="shared" ca="1" si="1"/>
        <v>#REF!</v>
      </c>
      <c r="X19" s="46" t="e">
        <f t="shared" ca="1" si="2"/>
        <v>#REF!</v>
      </c>
      <c r="Y19" s="15" t="e">
        <f t="shared" ca="1" si="3"/>
        <v>#REF!</v>
      </c>
      <c r="Z19" s="47" t="e">
        <f t="shared" ca="1" si="4"/>
        <v>#REF!</v>
      </c>
      <c r="AA19" s="24"/>
      <c r="AB19" s="52">
        <f t="shared" si="9"/>
        <v>14</v>
      </c>
      <c r="AC19" s="53">
        <v>1.2899999999999999E-4</v>
      </c>
      <c r="AD19" s="53">
        <v>6.8999999999999997E-5</v>
      </c>
    </row>
    <row r="20" spans="1:30" ht="11.25" customHeight="1" x14ac:dyDescent="0.2">
      <c r="A20" s="67"/>
      <c r="B20" s="68"/>
      <c r="C20" s="69"/>
      <c r="D20" s="69"/>
      <c r="E20" s="70"/>
      <c r="F20" s="12"/>
      <c r="G20" s="12"/>
      <c r="H20" s="71"/>
      <c r="I20" s="66"/>
      <c r="J20" s="80"/>
      <c r="K20" s="80"/>
      <c r="L20" s="81"/>
      <c r="M20" s="82"/>
      <c r="N20" s="12"/>
      <c r="O20" s="12"/>
      <c r="P20" s="74" t="str">
        <f t="shared" si="10"/>
        <v/>
      </c>
      <c r="R20" s="43" t="e">
        <f t="shared" ca="1" si="5"/>
        <v>#REF!</v>
      </c>
      <c r="S20" s="44" t="e">
        <f t="shared" ca="1" si="8"/>
        <v>#REF!</v>
      </c>
      <c r="T20" s="45" t="e">
        <f t="shared" ca="1" si="6"/>
        <v>#REF!</v>
      </c>
      <c r="U20" s="15" t="e">
        <f t="shared" ca="1" si="7"/>
        <v>#REF!</v>
      </c>
      <c r="V20" s="15" t="e">
        <f t="shared" ca="1" si="0"/>
        <v>#REF!</v>
      </c>
      <c r="W20" s="15" t="e">
        <f t="shared" ca="1" si="1"/>
        <v>#REF!</v>
      </c>
      <c r="X20" s="46" t="e">
        <f t="shared" ca="1" si="2"/>
        <v>#REF!</v>
      </c>
      <c r="Y20" s="15" t="e">
        <f t="shared" ca="1" si="3"/>
        <v>#REF!</v>
      </c>
      <c r="Z20" s="47" t="e">
        <f t="shared" ca="1" si="4"/>
        <v>#REF!</v>
      </c>
      <c r="AA20" s="24"/>
      <c r="AB20" s="52">
        <f t="shared" si="9"/>
        <v>15</v>
      </c>
      <c r="AC20" s="53">
        <v>1.63E-4</v>
      </c>
      <c r="AD20" s="53">
        <v>8.7000000000000001E-5</v>
      </c>
    </row>
    <row r="21" spans="1:30" ht="11.25" customHeight="1" x14ac:dyDescent="0.2">
      <c r="A21" s="67"/>
      <c r="B21" s="68"/>
      <c r="C21" s="69"/>
      <c r="D21" s="69"/>
      <c r="E21" s="70"/>
      <c r="F21" s="12"/>
      <c r="G21" s="12"/>
      <c r="H21" s="71"/>
      <c r="I21" s="66"/>
      <c r="J21" s="80"/>
      <c r="K21" s="80"/>
      <c r="L21" s="83"/>
      <c r="M21" s="84"/>
      <c r="N21" s="12"/>
      <c r="O21" s="12"/>
      <c r="P21" s="74" t="str">
        <f t="shared" si="10"/>
        <v/>
      </c>
      <c r="R21" s="43" t="e">
        <f t="shared" ca="1" si="5"/>
        <v>#REF!</v>
      </c>
      <c r="S21" s="44" t="e">
        <f t="shared" ca="1" si="8"/>
        <v>#REF!</v>
      </c>
      <c r="T21" s="45" t="e">
        <f t="shared" ca="1" si="6"/>
        <v>#REF!</v>
      </c>
      <c r="U21" s="15" t="e">
        <f t="shared" ca="1" si="7"/>
        <v>#REF!</v>
      </c>
      <c r="V21" s="15" t="e">
        <f t="shared" ca="1" si="0"/>
        <v>#REF!</v>
      </c>
      <c r="W21" s="15" t="e">
        <f t="shared" ca="1" si="1"/>
        <v>#REF!</v>
      </c>
      <c r="X21" s="46" t="e">
        <f t="shared" ca="1" si="2"/>
        <v>#REF!</v>
      </c>
      <c r="Y21" s="15" t="e">
        <f t="shared" ca="1" si="3"/>
        <v>#REF!</v>
      </c>
      <c r="Z21" s="47" t="e">
        <f t="shared" ca="1" si="4"/>
        <v>#REF!</v>
      </c>
      <c r="AA21" s="24"/>
      <c r="AB21" s="52">
        <f t="shared" si="9"/>
        <v>16</v>
      </c>
      <c r="AC21" s="53">
        <v>1.95E-4</v>
      </c>
      <c r="AD21" s="53">
        <v>1.05E-4</v>
      </c>
    </row>
    <row r="22" spans="1:30" ht="11.25" customHeight="1" x14ac:dyDescent="0.2">
      <c r="A22" s="67"/>
      <c r="B22" s="68"/>
      <c r="C22" s="69"/>
      <c r="D22" s="69"/>
      <c r="E22" s="70"/>
      <c r="F22" s="12"/>
      <c r="G22" s="12"/>
      <c r="H22" s="71" t="str">
        <f t="shared" si="12"/>
        <v/>
      </c>
      <c r="I22" s="66"/>
      <c r="J22" s="80"/>
      <c r="K22" s="80"/>
      <c r="L22" s="83"/>
      <c r="M22" s="84"/>
      <c r="N22" s="12"/>
      <c r="O22" s="12"/>
      <c r="P22" s="74" t="str">
        <f t="shared" si="10"/>
        <v/>
      </c>
      <c r="R22" s="43" t="e">
        <f t="shared" ca="1" si="5"/>
        <v>#REF!</v>
      </c>
      <c r="S22" s="44" t="e">
        <f t="shared" ca="1" si="8"/>
        <v>#REF!</v>
      </c>
      <c r="T22" s="45" t="e">
        <f t="shared" ca="1" si="6"/>
        <v>#REF!</v>
      </c>
      <c r="U22" s="15" t="e">
        <f t="shared" ca="1" si="7"/>
        <v>#REF!</v>
      </c>
      <c r="V22" s="15" t="e">
        <f t="shared" ca="1" si="0"/>
        <v>#REF!</v>
      </c>
      <c r="W22" s="15" t="e">
        <f t="shared" ca="1" si="1"/>
        <v>#REF!</v>
      </c>
      <c r="X22" s="46" t="e">
        <f t="shared" ca="1" si="2"/>
        <v>#REF!</v>
      </c>
      <c r="Y22" s="15" t="e">
        <f t="shared" ca="1" si="3"/>
        <v>#REF!</v>
      </c>
      <c r="Z22" s="47" t="e">
        <f t="shared" ca="1" si="4"/>
        <v>#REF!</v>
      </c>
      <c r="AA22" s="24"/>
      <c r="AB22" s="52">
        <f t="shared" si="9"/>
        <v>17</v>
      </c>
      <c r="AC22" s="53">
        <v>2.2100000000000001E-4</v>
      </c>
      <c r="AD22" s="53">
        <v>1.22E-4</v>
      </c>
    </row>
    <row r="23" spans="1:30" ht="11.25" customHeight="1" x14ac:dyDescent="0.2">
      <c r="A23" s="67"/>
      <c r="B23" s="68"/>
      <c r="C23" s="69"/>
      <c r="D23" s="69"/>
      <c r="E23" s="70"/>
      <c r="F23" s="12"/>
      <c r="G23" s="12"/>
      <c r="H23" s="71" t="str">
        <f t="shared" si="12"/>
        <v/>
      </c>
      <c r="I23" s="66"/>
      <c r="J23" s="80"/>
      <c r="K23" s="80"/>
      <c r="L23" s="83"/>
      <c r="M23" s="84"/>
      <c r="N23" s="12"/>
      <c r="O23" s="12"/>
      <c r="P23" s="74" t="str">
        <f t="shared" si="10"/>
        <v/>
      </c>
      <c r="R23" s="43" t="e">
        <f t="shared" ca="1" si="5"/>
        <v>#REF!</v>
      </c>
      <c r="S23" s="44" t="e">
        <f t="shared" ca="1" si="8"/>
        <v>#REF!</v>
      </c>
      <c r="T23" s="45" t="e">
        <f t="shared" ca="1" si="6"/>
        <v>#REF!</v>
      </c>
      <c r="U23" s="15" t="e">
        <f t="shared" ca="1" si="7"/>
        <v>#REF!</v>
      </c>
      <c r="V23" s="15" t="e">
        <f t="shared" ca="1" si="0"/>
        <v>#REF!</v>
      </c>
      <c r="W23" s="15" t="e">
        <f t="shared" ca="1" si="1"/>
        <v>#REF!</v>
      </c>
      <c r="X23" s="46" t="e">
        <f t="shared" ca="1" si="2"/>
        <v>#REF!</v>
      </c>
      <c r="Y23" s="15" t="e">
        <f t="shared" ca="1" si="3"/>
        <v>#REF!</v>
      </c>
      <c r="Z23" s="47" t="e">
        <f t="shared" ca="1" si="4"/>
        <v>#REF!</v>
      </c>
      <c r="AA23" s="24"/>
      <c r="AB23" s="52">
        <f t="shared" si="9"/>
        <v>18</v>
      </c>
      <c r="AC23" s="53">
        <v>2.43E-4</v>
      </c>
      <c r="AD23" s="53">
        <v>1.3999999999999999E-4</v>
      </c>
    </row>
    <row r="24" spans="1:30" ht="11.25" customHeight="1" x14ac:dyDescent="0.2">
      <c r="A24" s="67"/>
      <c r="B24" s="68"/>
      <c r="C24" s="69"/>
      <c r="D24" s="69"/>
      <c r="E24" s="70"/>
      <c r="F24" s="12"/>
      <c r="G24" s="12"/>
      <c r="H24" s="71" t="str">
        <f t="shared" si="12"/>
        <v/>
      </c>
      <c r="I24" s="66"/>
      <c r="J24" s="80"/>
      <c r="K24" s="80"/>
      <c r="L24" s="83"/>
      <c r="M24" s="84"/>
      <c r="N24" s="12"/>
      <c r="O24" s="12"/>
      <c r="P24" s="74" t="str">
        <f t="shared" si="10"/>
        <v/>
      </c>
      <c r="R24" s="43" t="e">
        <f t="shared" ca="1" si="5"/>
        <v>#REF!</v>
      </c>
      <c r="S24" s="44" t="e">
        <f t="shared" ca="1" si="8"/>
        <v>#REF!</v>
      </c>
      <c r="T24" s="45" t="e">
        <f t="shared" ca="1" si="6"/>
        <v>#REF!</v>
      </c>
      <c r="U24" s="15" t="e">
        <f t="shared" ca="1" si="7"/>
        <v>#REF!</v>
      </c>
      <c r="V24" s="15" t="e">
        <f t="shared" ca="1" si="0"/>
        <v>#REF!</v>
      </c>
      <c r="W24" s="15" t="e">
        <f t="shared" ca="1" si="1"/>
        <v>#REF!</v>
      </c>
      <c r="X24" s="46" t="e">
        <f t="shared" ca="1" si="2"/>
        <v>#REF!</v>
      </c>
      <c r="Y24" s="15" t="e">
        <f t="shared" ca="1" si="3"/>
        <v>#REF!</v>
      </c>
      <c r="Z24" s="47" t="e">
        <f t="shared" ca="1" si="4"/>
        <v>#REF!</v>
      </c>
      <c r="AA24" s="24"/>
      <c r="AB24" s="52">
        <f t="shared" si="9"/>
        <v>19</v>
      </c>
      <c r="AC24" s="53">
        <v>2.6200000000000003E-4</v>
      </c>
      <c r="AD24" s="53">
        <v>1.5799999999999999E-4</v>
      </c>
    </row>
    <row r="25" spans="1:30" ht="11.25" customHeight="1" x14ac:dyDescent="0.2">
      <c r="A25" s="67"/>
      <c r="B25" s="68"/>
      <c r="C25" s="69"/>
      <c r="D25" s="69"/>
      <c r="E25" s="70"/>
      <c r="F25" s="12"/>
      <c r="G25" s="12"/>
      <c r="H25" s="71" t="str">
        <f t="shared" si="12"/>
        <v/>
      </c>
      <c r="I25" s="66"/>
      <c r="J25" s="80"/>
      <c r="K25" s="80"/>
      <c r="L25" s="83"/>
      <c r="M25" s="84"/>
      <c r="N25" s="12"/>
      <c r="O25" s="12"/>
      <c r="P25" s="74" t="str">
        <f t="shared" si="10"/>
        <v/>
      </c>
      <c r="R25" s="43" t="e">
        <f t="shared" ca="1" si="5"/>
        <v>#REF!</v>
      </c>
      <c r="S25" s="44" t="e">
        <f t="shared" ca="1" si="8"/>
        <v>#REF!</v>
      </c>
      <c r="T25" s="45" t="e">
        <f t="shared" ca="1" si="6"/>
        <v>#REF!</v>
      </c>
      <c r="U25" s="15" t="e">
        <f t="shared" ca="1" si="7"/>
        <v>#REF!</v>
      </c>
      <c r="V25" s="15" t="e">
        <f t="shared" ca="1" si="0"/>
        <v>#REF!</v>
      </c>
      <c r="W25" s="15" t="e">
        <f t="shared" ca="1" si="1"/>
        <v>#REF!</v>
      </c>
      <c r="X25" s="46" t="e">
        <f t="shared" ca="1" si="2"/>
        <v>#REF!</v>
      </c>
      <c r="Y25" s="15" t="e">
        <f t="shared" ca="1" si="3"/>
        <v>#REF!</v>
      </c>
      <c r="Z25" s="47" t="e">
        <f t="shared" ca="1" si="4"/>
        <v>#REF!</v>
      </c>
      <c r="AA25" s="24"/>
      <c r="AB25" s="52">
        <f t="shared" si="9"/>
        <v>20</v>
      </c>
      <c r="AC25" s="53">
        <v>2.7799999999999998E-4</v>
      </c>
      <c r="AD25" s="53">
        <v>1.76E-4</v>
      </c>
    </row>
    <row r="26" spans="1:30" ht="11.25" customHeight="1" x14ac:dyDescent="0.2">
      <c r="A26" s="67"/>
      <c r="B26" s="68"/>
      <c r="C26" s="69"/>
      <c r="D26" s="69"/>
      <c r="E26" s="70"/>
      <c r="F26" s="12"/>
      <c r="G26" s="12"/>
      <c r="H26" s="71" t="str">
        <f t="shared" si="12"/>
        <v/>
      </c>
      <c r="I26" s="66"/>
      <c r="J26" s="80"/>
      <c r="K26" s="80"/>
      <c r="L26" s="83"/>
      <c r="M26" s="84"/>
      <c r="N26" s="12"/>
      <c r="O26" s="12"/>
      <c r="P26" s="74" t="str">
        <f t="shared" si="10"/>
        <v/>
      </c>
      <c r="R26" s="43" t="e">
        <f t="shared" ca="1" si="5"/>
        <v>#REF!</v>
      </c>
      <c r="S26" s="44" t="e">
        <f t="shared" ca="1" si="8"/>
        <v>#REF!</v>
      </c>
      <c r="T26" s="45" t="e">
        <f t="shared" ca="1" si="6"/>
        <v>#REF!</v>
      </c>
      <c r="U26" s="15" t="e">
        <f t="shared" ca="1" si="7"/>
        <v>#REF!</v>
      </c>
      <c r="V26" s="15" t="e">
        <f t="shared" ca="1" si="0"/>
        <v>#REF!</v>
      </c>
      <c r="W26" s="15" t="e">
        <f t="shared" ca="1" si="1"/>
        <v>#REF!</v>
      </c>
      <c r="X26" s="46" t="e">
        <f t="shared" ca="1" si="2"/>
        <v>#REF!</v>
      </c>
      <c r="Y26" s="15" t="e">
        <f t="shared" ca="1" si="3"/>
        <v>#REF!</v>
      </c>
      <c r="Z26" s="47" t="e">
        <f t="shared" ca="1" si="4"/>
        <v>#REF!</v>
      </c>
      <c r="AA26" s="24"/>
      <c r="AB26" s="52">
        <f t="shared" si="9"/>
        <v>21</v>
      </c>
      <c r="AC26" s="53">
        <v>2.9500000000000001E-4</v>
      </c>
      <c r="AD26" s="53">
        <v>1.93E-4</v>
      </c>
    </row>
    <row r="27" spans="1:30" ht="11.25" customHeight="1" x14ac:dyDescent="0.2">
      <c r="A27" s="67"/>
      <c r="B27" s="68"/>
      <c r="C27" s="69"/>
      <c r="D27" s="69"/>
      <c r="E27" s="70"/>
      <c r="F27" s="12"/>
      <c r="G27" s="12"/>
      <c r="H27" s="71" t="str">
        <f t="shared" si="12"/>
        <v/>
      </c>
      <c r="I27" s="66"/>
      <c r="J27" s="80"/>
      <c r="K27" s="80"/>
      <c r="L27" s="69"/>
      <c r="M27" s="82"/>
      <c r="N27" s="12"/>
      <c r="O27" s="12"/>
      <c r="P27" s="74" t="str">
        <f t="shared" si="10"/>
        <v/>
      </c>
      <c r="R27" s="43" t="e">
        <f t="shared" ca="1" si="5"/>
        <v>#REF!</v>
      </c>
      <c r="S27" s="44" t="e">
        <f t="shared" ca="1" si="8"/>
        <v>#REF!</v>
      </c>
      <c r="T27" s="45" t="e">
        <f t="shared" ca="1" si="6"/>
        <v>#REF!</v>
      </c>
      <c r="U27" s="15" t="e">
        <f t="shared" ca="1" si="7"/>
        <v>#REF!</v>
      </c>
      <c r="V27" s="15" t="e">
        <f t="shared" ca="1" si="0"/>
        <v>#REF!</v>
      </c>
      <c r="W27" s="15" t="e">
        <f t="shared" ca="1" si="1"/>
        <v>#REF!</v>
      </c>
      <c r="X27" s="46" t="e">
        <f t="shared" ca="1" si="2"/>
        <v>#REF!</v>
      </c>
      <c r="Y27" s="15" t="e">
        <f t="shared" ca="1" si="3"/>
        <v>#REF!</v>
      </c>
      <c r="Z27" s="47" t="e">
        <f t="shared" ca="1" si="4"/>
        <v>#REF!</v>
      </c>
      <c r="AA27" s="24"/>
      <c r="AB27" s="52">
        <f t="shared" si="9"/>
        <v>22</v>
      </c>
      <c r="AC27" s="53">
        <v>3.1300000000000002E-4</v>
      </c>
      <c r="AD27" s="53">
        <v>2.0799999999999999E-4</v>
      </c>
    </row>
    <row r="28" spans="1:30" ht="11.25" customHeight="1" x14ac:dyDescent="0.2">
      <c r="A28" s="67"/>
      <c r="B28" s="68"/>
      <c r="C28" s="69"/>
      <c r="D28" s="69"/>
      <c r="E28" s="70"/>
      <c r="F28" s="12"/>
      <c r="G28" s="12"/>
      <c r="H28" s="71" t="str">
        <f t="shared" si="12"/>
        <v/>
      </c>
      <c r="I28" s="66"/>
      <c r="J28" s="80"/>
      <c r="K28" s="80"/>
      <c r="L28" s="69"/>
      <c r="M28" s="82"/>
      <c r="N28" s="12"/>
      <c r="O28" s="12"/>
      <c r="P28" s="74" t="str">
        <f t="shared" si="10"/>
        <v/>
      </c>
      <c r="R28" s="43" t="e">
        <f t="shared" ca="1" si="5"/>
        <v>#REF!</v>
      </c>
      <c r="S28" s="44" t="e">
        <f t="shared" ca="1" si="8"/>
        <v>#REF!</v>
      </c>
      <c r="T28" s="45" t="e">
        <f t="shared" ca="1" si="6"/>
        <v>#REF!</v>
      </c>
      <c r="U28" s="15" t="e">
        <f t="shared" ca="1" si="7"/>
        <v>#REF!</v>
      </c>
      <c r="V28" s="15" t="e">
        <f t="shared" ca="1" si="0"/>
        <v>#REF!</v>
      </c>
      <c r="W28" s="15" t="e">
        <f t="shared" ca="1" si="1"/>
        <v>#REF!</v>
      </c>
      <c r="X28" s="46" t="e">
        <f t="shared" ca="1" si="2"/>
        <v>#REF!</v>
      </c>
      <c r="Y28" s="15" t="e">
        <f t="shared" ca="1" si="3"/>
        <v>#REF!</v>
      </c>
      <c r="Z28" s="47" t="e">
        <f t="shared" ca="1" si="4"/>
        <v>#REF!</v>
      </c>
      <c r="AA28" s="24"/>
      <c r="AB28" s="52">
        <f t="shared" si="9"/>
        <v>23</v>
      </c>
      <c r="AC28" s="53">
        <v>3.3199999999999999E-4</v>
      </c>
      <c r="AD28" s="53">
        <v>2.2000000000000001E-4</v>
      </c>
    </row>
    <row r="29" spans="1:30" ht="11.25" customHeight="1" x14ac:dyDescent="0.2">
      <c r="A29" s="67"/>
      <c r="B29" s="68"/>
      <c r="C29" s="69"/>
      <c r="D29" s="69"/>
      <c r="E29" s="70"/>
      <c r="F29" s="12"/>
      <c r="G29" s="12"/>
      <c r="H29" s="71" t="str">
        <f t="shared" si="12"/>
        <v/>
      </c>
      <c r="I29" s="66"/>
      <c r="J29" s="80"/>
      <c r="K29" s="80"/>
      <c r="L29" s="69"/>
      <c r="M29" s="82"/>
      <c r="N29" s="12"/>
      <c r="O29" s="12"/>
      <c r="P29" s="74" t="str">
        <f t="shared" si="10"/>
        <v/>
      </c>
      <c r="R29" s="43" t="e">
        <f t="shared" ca="1" si="5"/>
        <v>#REF!</v>
      </c>
      <c r="S29" s="44" t="e">
        <f t="shared" ca="1" si="8"/>
        <v>#REF!</v>
      </c>
      <c r="T29" s="45" t="e">
        <f t="shared" ca="1" si="6"/>
        <v>#REF!</v>
      </c>
      <c r="U29" s="15" t="e">
        <f t="shared" ca="1" si="7"/>
        <v>#REF!</v>
      </c>
      <c r="V29" s="15" t="e">
        <f t="shared" ca="1" si="0"/>
        <v>#REF!</v>
      </c>
      <c r="W29" s="15" t="e">
        <f t="shared" ca="1" si="1"/>
        <v>#REF!</v>
      </c>
      <c r="X29" s="46" t="e">
        <f t="shared" ca="1" si="2"/>
        <v>#REF!</v>
      </c>
      <c r="Y29" s="15" t="e">
        <f t="shared" ca="1" si="3"/>
        <v>#REF!</v>
      </c>
      <c r="Z29" s="47" t="e">
        <f t="shared" ca="1" si="4"/>
        <v>#REF!</v>
      </c>
      <c r="AA29" s="24"/>
      <c r="AB29" s="52">
        <f t="shared" si="9"/>
        <v>24</v>
      </c>
      <c r="AC29" s="53">
        <v>3.5100000000000002E-4</v>
      </c>
      <c r="AD29" s="53">
        <v>2.31E-4</v>
      </c>
    </row>
    <row r="30" spans="1:30" ht="11.25" customHeight="1" x14ac:dyDescent="0.2">
      <c r="A30" s="67"/>
      <c r="B30" s="68"/>
      <c r="C30" s="69"/>
      <c r="D30" s="69"/>
      <c r="E30" s="70"/>
      <c r="F30" s="12"/>
      <c r="G30" s="12"/>
      <c r="H30" s="71" t="str">
        <f t="shared" si="12"/>
        <v/>
      </c>
      <c r="I30" s="66"/>
      <c r="J30" s="80"/>
      <c r="K30" s="80"/>
      <c r="L30" s="69"/>
      <c r="M30" s="82"/>
      <c r="N30" s="12"/>
      <c r="O30" s="12"/>
      <c r="P30" s="74" t="str">
        <f t="shared" si="10"/>
        <v/>
      </c>
      <c r="R30" s="43" t="e">
        <f t="shared" ca="1" si="5"/>
        <v>#REF!</v>
      </c>
      <c r="S30" s="44" t="e">
        <f t="shared" ca="1" si="8"/>
        <v>#REF!</v>
      </c>
      <c r="T30" s="45" t="e">
        <f t="shared" ca="1" si="6"/>
        <v>#REF!</v>
      </c>
      <c r="U30" s="15" t="e">
        <f t="shared" ca="1" si="7"/>
        <v>#REF!</v>
      </c>
      <c r="V30" s="15" t="e">
        <f t="shared" ca="1" si="0"/>
        <v>#REF!</v>
      </c>
      <c r="W30" s="15" t="e">
        <f t="shared" ca="1" si="1"/>
        <v>#REF!</v>
      </c>
      <c r="X30" s="46" t="e">
        <f t="shared" ca="1" si="2"/>
        <v>#REF!</v>
      </c>
      <c r="Y30" s="15" t="e">
        <f t="shared" ca="1" si="3"/>
        <v>#REF!</v>
      </c>
      <c r="Z30" s="47" t="e">
        <f t="shared" ca="1" si="4"/>
        <v>#REF!</v>
      </c>
      <c r="AA30" s="24"/>
      <c r="AB30" s="52">
        <f t="shared" si="9"/>
        <v>25</v>
      </c>
      <c r="AC30" s="53">
        <v>3.7100000000000002E-4</v>
      </c>
      <c r="AD30" s="53">
        <v>2.41E-4</v>
      </c>
    </row>
    <row r="31" spans="1:30" ht="11.25" customHeight="1" x14ac:dyDescent="0.2">
      <c r="A31" s="67"/>
      <c r="B31" s="68"/>
      <c r="C31" s="69"/>
      <c r="D31" s="69"/>
      <c r="E31" s="70"/>
      <c r="F31" s="12"/>
      <c r="G31" s="12"/>
      <c r="H31" s="71" t="str">
        <f t="shared" si="12"/>
        <v/>
      </c>
      <c r="I31" s="66"/>
      <c r="J31" s="80"/>
      <c r="K31" s="80"/>
      <c r="L31" s="69"/>
      <c r="M31" s="82"/>
      <c r="N31" s="12"/>
      <c r="O31" s="12"/>
      <c r="P31" s="74" t="str">
        <f t="shared" si="10"/>
        <v/>
      </c>
      <c r="R31" s="43" t="e">
        <f t="shared" ca="1" si="5"/>
        <v>#REF!</v>
      </c>
      <c r="S31" s="44" t="e">
        <f t="shared" ca="1" si="8"/>
        <v>#REF!</v>
      </c>
      <c r="T31" s="45" t="e">
        <f t="shared" ca="1" si="6"/>
        <v>#REF!</v>
      </c>
      <c r="U31" s="15" t="e">
        <f t="shared" ca="1" si="7"/>
        <v>#REF!</v>
      </c>
      <c r="V31" s="15" t="e">
        <f t="shared" ca="1" si="0"/>
        <v>#REF!</v>
      </c>
      <c r="W31" s="15" t="e">
        <f t="shared" ca="1" si="1"/>
        <v>#REF!</v>
      </c>
      <c r="X31" s="46" t="e">
        <f t="shared" ca="1" si="2"/>
        <v>#REF!</v>
      </c>
      <c r="Y31" s="15" t="e">
        <f t="shared" ca="1" si="3"/>
        <v>#REF!</v>
      </c>
      <c r="Z31" s="47" t="e">
        <f t="shared" ca="1" si="4"/>
        <v>#REF!</v>
      </c>
      <c r="AA31" s="24"/>
      <c r="AB31" s="52">
        <f t="shared" si="9"/>
        <v>26</v>
      </c>
      <c r="AC31" s="53">
        <v>3.9100000000000002E-4</v>
      </c>
      <c r="AD31" s="53">
        <v>2.5099999999999998E-4</v>
      </c>
    </row>
    <row r="32" spans="1:30" ht="11.25" customHeight="1" x14ac:dyDescent="0.2">
      <c r="A32" s="67"/>
      <c r="B32" s="68"/>
      <c r="C32" s="69"/>
      <c r="D32" s="69"/>
      <c r="E32" s="70"/>
      <c r="F32" s="12"/>
      <c r="G32" s="12"/>
      <c r="H32" s="71" t="str">
        <f t="shared" si="12"/>
        <v/>
      </c>
      <c r="I32" s="66"/>
      <c r="J32" s="80"/>
      <c r="K32" s="80"/>
      <c r="L32" s="69"/>
      <c r="M32" s="82"/>
      <c r="N32" s="12"/>
      <c r="O32" s="12"/>
      <c r="P32" s="74" t="str">
        <f t="shared" si="10"/>
        <v/>
      </c>
      <c r="R32" s="43" t="e">
        <f t="shared" ca="1" si="5"/>
        <v>#REF!</v>
      </c>
      <c r="S32" s="44" t="e">
        <f t="shared" ca="1" si="8"/>
        <v>#REF!</v>
      </c>
      <c r="T32" s="45" t="e">
        <f t="shared" ca="1" si="6"/>
        <v>#REF!</v>
      </c>
      <c r="U32" s="15" t="e">
        <f t="shared" ca="1" si="7"/>
        <v>#REF!</v>
      </c>
      <c r="V32" s="15" t="e">
        <f t="shared" ca="1" si="0"/>
        <v>#REF!</v>
      </c>
      <c r="W32" s="15" t="e">
        <f t="shared" ca="1" si="1"/>
        <v>#REF!</v>
      </c>
      <c r="X32" s="46" t="e">
        <f t="shared" ca="1" si="2"/>
        <v>#REF!</v>
      </c>
      <c r="Y32" s="15" t="e">
        <f t="shared" ca="1" si="3"/>
        <v>#REF!</v>
      </c>
      <c r="Z32" s="47" t="e">
        <f t="shared" ca="1" si="4"/>
        <v>#REF!</v>
      </c>
      <c r="AA32" s="24"/>
      <c r="AB32" s="52">
        <f t="shared" si="9"/>
        <v>27</v>
      </c>
      <c r="AC32" s="53">
        <v>4.1100000000000002E-4</v>
      </c>
      <c r="AD32" s="53">
        <v>2.61E-4</v>
      </c>
    </row>
    <row r="33" spans="1:30" ht="11.25" customHeight="1" x14ac:dyDescent="0.2">
      <c r="A33" s="67"/>
      <c r="B33" s="68"/>
      <c r="C33" s="69"/>
      <c r="D33" s="69"/>
      <c r="E33" s="70"/>
      <c r="F33" s="12"/>
      <c r="G33" s="12"/>
      <c r="H33" s="71" t="str">
        <f t="shared" si="12"/>
        <v/>
      </c>
      <c r="I33" s="66"/>
      <c r="J33" s="80"/>
      <c r="K33" s="80"/>
      <c r="L33" s="69"/>
      <c r="M33" s="82"/>
      <c r="N33" s="12"/>
      <c r="O33" s="12"/>
      <c r="P33" s="71" t="str">
        <f t="shared" si="10"/>
        <v/>
      </c>
      <c r="R33" s="43" t="e">
        <f t="shared" ca="1" si="5"/>
        <v>#REF!</v>
      </c>
      <c r="S33" s="44" t="e">
        <f t="shared" ca="1" si="8"/>
        <v>#REF!</v>
      </c>
      <c r="T33" s="45" t="e">
        <f t="shared" ca="1" si="6"/>
        <v>#REF!</v>
      </c>
      <c r="U33" s="15" t="e">
        <f t="shared" ca="1" si="7"/>
        <v>#REF!</v>
      </c>
      <c r="V33" s="15" t="e">
        <f t="shared" ca="1" si="0"/>
        <v>#REF!</v>
      </c>
      <c r="W33" s="15" t="e">
        <f t="shared" ca="1" si="1"/>
        <v>#REF!</v>
      </c>
      <c r="X33" s="46" t="e">
        <f t="shared" ca="1" si="2"/>
        <v>#REF!</v>
      </c>
      <c r="Y33" s="15" t="e">
        <f t="shared" ca="1" si="3"/>
        <v>#REF!</v>
      </c>
      <c r="Z33" s="47" t="e">
        <f t="shared" ca="1" si="4"/>
        <v>#REF!</v>
      </c>
      <c r="AA33" s="24"/>
      <c r="AB33" s="52">
        <f t="shared" si="9"/>
        <v>28</v>
      </c>
      <c r="AC33" s="53">
        <v>4.3100000000000001E-4</v>
      </c>
      <c r="AD33" s="53">
        <v>2.7E-4</v>
      </c>
    </row>
    <row r="34" spans="1:30" ht="11.25" customHeight="1" x14ac:dyDescent="0.2">
      <c r="A34" s="67"/>
      <c r="B34" s="68"/>
      <c r="C34" s="69"/>
      <c r="D34" s="69"/>
      <c r="E34" s="70"/>
      <c r="F34" s="12"/>
      <c r="G34" s="12"/>
      <c r="H34" s="71" t="str">
        <f t="shared" si="12"/>
        <v/>
      </c>
      <c r="I34" s="66"/>
      <c r="J34" s="80"/>
      <c r="K34" s="80"/>
      <c r="L34" s="69"/>
      <c r="M34" s="82"/>
      <c r="N34" s="12"/>
      <c r="O34" s="12"/>
      <c r="P34" s="71" t="str">
        <f t="shared" si="10"/>
        <v/>
      </c>
      <c r="R34" s="43" t="e">
        <f t="shared" ca="1" si="5"/>
        <v>#REF!</v>
      </c>
      <c r="S34" s="44" t="e">
        <f t="shared" ca="1" si="8"/>
        <v>#REF!</v>
      </c>
      <c r="T34" s="45" t="e">
        <f t="shared" ca="1" si="6"/>
        <v>#REF!</v>
      </c>
      <c r="U34" s="15" t="e">
        <f t="shared" ca="1" si="7"/>
        <v>#REF!</v>
      </c>
      <c r="V34" s="15" t="e">
        <f t="shared" ca="1" si="0"/>
        <v>#REF!</v>
      </c>
      <c r="W34" s="15" t="e">
        <f t="shared" ca="1" si="1"/>
        <v>#REF!</v>
      </c>
      <c r="X34" s="46" t="e">
        <f t="shared" ca="1" si="2"/>
        <v>#REF!</v>
      </c>
      <c r="Y34" s="15" t="e">
        <f t="shared" ca="1" si="3"/>
        <v>#REF!</v>
      </c>
      <c r="Z34" s="47" t="e">
        <f t="shared" ca="1" si="4"/>
        <v>#REF!</v>
      </c>
      <c r="AA34" s="24"/>
      <c r="AB34" s="52">
        <f t="shared" si="9"/>
        <v>29</v>
      </c>
      <c r="AC34" s="53">
        <v>4.5100000000000001E-4</v>
      </c>
      <c r="AD34" s="53">
        <v>2.7799999999999998E-4</v>
      </c>
    </row>
    <row r="35" spans="1:30" ht="11.25" customHeight="1" x14ac:dyDescent="0.2">
      <c r="A35" s="67"/>
      <c r="B35" s="68"/>
      <c r="C35" s="69"/>
      <c r="D35" s="69"/>
      <c r="E35" s="70"/>
      <c r="F35" s="12"/>
      <c r="G35" s="12"/>
      <c r="H35" s="71" t="str">
        <f t="shared" si="12"/>
        <v/>
      </c>
      <c r="I35" s="66"/>
      <c r="J35" s="80"/>
      <c r="K35" s="80"/>
      <c r="L35" s="69"/>
      <c r="M35" s="82"/>
      <c r="N35" s="12"/>
      <c r="O35" s="12"/>
      <c r="P35" s="71" t="str">
        <f t="shared" si="10"/>
        <v/>
      </c>
      <c r="R35" s="43" t="e">
        <f t="shared" ca="1" si="5"/>
        <v>#REF!</v>
      </c>
      <c r="S35" s="44" t="e">
        <f t="shared" ca="1" si="8"/>
        <v>#REF!</v>
      </c>
      <c r="T35" s="45" t="e">
        <f t="shared" ca="1" si="6"/>
        <v>#REF!</v>
      </c>
      <c r="U35" s="15" t="e">
        <f t="shared" ca="1" si="7"/>
        <v>#REF!</v>
      </c>
      <c r="V35" s="15" t="e">
        <f t="shared" ca="1" si="0"/>
        <v>#REF!</v>
      </c>
      <c r="W35" s="15" t="e">
        <f t="shared" ca="1" si="1"/>
        <v>#REF!</v>
      </c>
      <c r="X35" s="46" t="e">
        <f t="shared" ca="1" si="2"/>
        <v>#REF!</v>
      </c>
      <c r="Y35" s="15" t="e">
        <f t="shared" ca="1" si="3"/>
        <v>#REF!</v>
      </c>
      <c r="Z35" s="47" t="e">
        <f t="shared" ca="1" si="4"/>
        <v>#REF!</v>
      </c>
      <c r="AA35" s="24"/>
      <c r="AB35" s="52">
        <f t="shared" si="9"/>
        <v>30</v>
      </c>
      <c r="AC35" s="53">
        <v>4.7100000000000001E-4</v>
      </c>
      <c r="AD35" s="53">
        <v>2.8600000000000001E-4</v>
      </c>
    </row>
    <row r="36" spans="1:30" ht="11.25" customHeight="1" x14ac:dyDescent="0.2">
      <c r="A36" s="67"/>
      <c r="B36" s="68"/>
      <c r="C36" s="69"/>
      <c r="D36" s="69"/>
      <c r="E36" s="70"/>
      <c r="F36" s="12"/>
      <c r="G36" s="12"/>
      <c r="H36" s="71" t="str">
        <f t="shared" si="12"/>
        <v/>
      </c>
      <c r="I36" s="66"/>
      <c r="J36" s="80"/>
      <c r="K36" s="80"/>
      <c r="L36" s="69"/>
      <c r="M36" s="82"/>
      <c r="N36" s="12"/>
      <c r="O36" s="12"/>
      <c r="P36" s="71" t="str">
        <f t="shared" si="10"/>
        <v/>
      </c>
      <c r="R36" s="43" t="e">
        <f t="shared" ca="1" si="5"/>
        <v>#REF!</v>
      </c>
      <c r="S36" s="44" t="e">
        <f t="shared" ca="1" si="8"/>
        <v>#REF!</v>
      </c>
      <c r="T36" s="45" t="e">
        <f t="shared" ca="1" si="6"/>
        <v>#REF!</v>
      </c>
      <c r="U36" s="15" t="e">
        <f t="shared" ca="1" si="7"/>
        <v>#REF!</v>
      </c>
      <c r="V36" s="15" t="e">
        <f t="shared" ca="1" si="0"/>
        <v>#REF!</v>
      </c>
      <c r="W36" s="15" t="e">
        <f t="shared" ca="1" si="1"/>
        <v>#REF!</v>
      </c>
      <c r="X36" s="46" t="e">
        <f t="shared" ca="1" si="2"/>
        <v>#REF!</v>
      </c>
      <c r="Y36" s="15" t="e">
        <f t="shared" ca="1" si="3"/>
        <v>#REF!</v>
      </c>
      <c r="Z36" s="47" t="e">
        <f t="shared" ca="1" si="4"/>
        <v>#REF!</v>
      </c>
      <c r="AA36" s="24"/>
      <c r="AB36" s="52">
        <f t="shared" si="9"/>
        <v>31</v>
      </c>
      <c r="AC36" s="53">
        <v>4.9100000000000001E-4</v>
      </c>
      <c r="AD36" s="53">
        <v>2.9599999999999998E-4</v>
      </c>
    </row>
    <row r="37" spans="1:30" ht="11.25" customHeight="1" x14ac:dyDescent="0.2">
      <c r="A37" s="67"/>
      <c r="B37" s="68"/>
      <c r="C37" s="69"/>
      <c r="D37" s="69"/>
      <c r="E37" s="70"/>
      <c r="F37" s="12"/>
      <c r="G37" s="12"/>
      <c r="H37" s="71" t="str">
        <f t="shared" si="12"/>
        <v/>
      </c>
      <c r="I37" s="66"/>
      <c r="J37" s="80"/>
      <c r="K37" s="80"/>
      <c r="L37" s="69"/>
      <c r="M37" s="82"/>
      <c r="N37" s="12"/>
      <c r="O37" s="12"/>
      <c r="P37" s="71" t="str">
        <f t="shared" si="10"/>
        <v/>
      </c>
      <c r="R37" s="43" t="e">
        <f t="shared" ca="1" si="5"/>
        <v>#REF!</v>
      </c>
      <c r="S37" s="44" t="e">
        <f t="shared" ca="1" si="8"/>
        <v>#REF!</v>
      </c>
      <c r="T37" s="45" t="e">
        <f t="shared" ca="1" si="6"/>
        <v>#REF!</v>
      </c>
      <c r="U37" s="15" t="e">
        <f t="shared" ca="1" si="7"/>
        <v>#REF!</v>
      </c>
      <c r="V37" s="15" t="e">
        <f t="shared" ca="1" si="0"/>
        <v>#REF!</v>
      </c>
      <c r="W37" s="15" t="e">
        <f t="shared" ca="1" si="1"/>
        <v>#REF!</v>
      </c>
      <c r="X37" s="46" t="e">
        <f t="shared" ca="1" si="2"/>
        <v>#REF!</v>
      </c>
      <c r="Y37" s="15" t="e">
        <f t="shared" ca="1" si="3"/>
        <v>#REF!</v>
      </c>
      <c r="Z37" s="47" t="e">
        <f t="shared" ca="1" si="4"/>
        <v>#REF!</v>
      </c>
      <c r="AA37" s="24"/>
      <c r="AB37" s="52">
        <f t="shared" si="9"/>
        <v>32</v>
      </c>
      <c r="AC37" s="53">
        <v>5.1199999999999998E-4</v>
      </c>
      <c r="AD37" s="53">
        <v>3.1199999999999999E-4</v>
      </c>
    </row>
    <row r="38" spans="1:30" ht="11.25" customHeight="1" x14ac:dyDescent="0.2">
      <c r="A38" s="67"/>
      <c r="B38" s="68"/>
      <c r="C38" s="69"/>
      <c r="D38" s="69"/>
      <c r="E38" s="70"/>
      <c r="F38" s="12"/>
      <c r="G38" s="12"/>
      <c r="H38" s="71" t="str">
        <f t="shared" si="12"/>
        <v/>
      </c>
      <c r="I38" s="66"/>
      <c r="J38" s="80"/>
      <c r="K38" s="80"/>
      <c r="L38" s="69"/>
      <c r="M38" s="82"/>
      <c r="N38" s="12"/>
      <c r="O38" s="12"/>
      <c r="P38" s="71" t="str">
        <f t="shared" si="10"/>
        <v/>
      </c>
      <c r="R38" s="43" t="e">
        <f t="shared" ca="1" si="5"/>
        <v>#REF!</v>
      </c>
      <c r="S38" s="44" t="e">
        <f t="shared" ca="1" si="8"/>
        <v>#REF!</v>
      </c>
      <c r="T38" s="45" t="e">
        <f t="shared" ca="1" si="6"/>
        <v>#REF!</v>
      </c>
      <c r="U38" s="15" t="e">
        <f t="shared" ca="1" si="7"/>
        <v>#REF!</v>
      </c>
      <c r="V38" s="15" t="e">
        <f t="shared" ca="1" si="0"/>
        <v>#REF!</v>
      </c>
      <c r="W38" s="15" t="e">
        <f t="shared" ca="1" si="1"/>
        <v>#REF!</v>
      </c>
      <c r="X38" s="46" t="e">
        <f t="shared" ca="1" si="2"/>
        <v>#REF!</v>
      </c>
      <c r="Y38" s="15" t="e">
        <f t="shared" ca="1" si="3"/>
        <v>#REF!</v>
      </c>
      <c r="Z38" s="47" t="e">
        <f t="shared" ca="1" si="4"/>
        <v>#REF!</v>
      </c>
      <c r="AA38" s="24"/>
      <c r="AB38" s="52">
        <f t="shared" si="9"/>
        <v>33</v>
      </c>
      <c r="AC38" s="53">
        <v>5.3399999999999997E-4</v>
      </c>
      <c r="AD38" s="53">
        <v>3.3500000000000001E-4</v>
      </c>
    </row>
    <row r="39" spans="1:30" ht="11.25" customHeight="1" x14ac:dyDescent="0.2">
      <c r="A39" s="67"/>
      <c r="B39" s="68"/>
      <c r="C39" s="69"/>
      <c r="D39" s="69"/>
      <c r="E39" s="70"/>
      <c r="F39" s="12"/>
      <c r="G39" s="12"/>
      <c r="H39" s="71" t="str">
        <f t="shared" si="12"/>
        <v/>
      </c>
      <c r="I39" s="66"/>
      <c r="J39" s="80"/>
      <c r="K39" s="80"/>
      <c r="L39" s="69"/>
      <c r="M39" s="82"/>
      <c r="N39" s="12"/>
      <c r="O39" s="12"/>
      <c r="P39" s="71" t="str">
        <f t="shared" si="10"/>
        <v/>
      </c>
      <c r="R39" s="43" t="e">
        <f t="shared" ca="1" si="5"/>
        <v>#REF!</v>
      </c>
      <c r="S39" s="44" t="e">
        <f t="shared" ca="1" si="8"/>
        <v>#REF!</v>
      </c>
      <c r="T39" s="45" t="e">
        <f t="shared" ca="1" si="6"/>
        <v>#REF!</v>
      </c>
      <c r="U39" s="15" t="e">
        <f t="shared" ca="1" si="7"/>
        <v>#REF!</v>
      </c>
      <c r="V39" s="15" t="e">
        <f t="shared" ca="1" si="0"/>
        <v>#REF!</v>
      </c>
      <c r="W39" s="15" t="e">
        <f t="shared" ca="1" si="1"/>
        <v>#REF!</v>
      </c>
      <c r="X39" s="46" t="e">
        <f t="shared" ca="1" si="2"/>
        <v>#REF!</v>
      </c>
      <c r="Y39" s="15" t="e">
        <f t="shared" ca="1" si="3"/>
        <v>#REF!</v>
      </c>
      <c r="Z39" s="47" t="e">
        <f t="shared" ca="1" si="4"/>
        <v>#REF!</v>
      </c>
      <c r="AA39" s="24"/>
      <c r="AB39" s="52">
        <f t="shared" si="9"/>
        <v>34</v>
      </c>
      <c r="AC39" s="53">
        <v>5.5699999999999999E-4</v>
      </c>
      <c r="AD39" s="53">
        <v>3.6299999999999999E-4</v>
      </c>
    </row>
    <row r="40" spans="1:30" ht="11.25" customHeight="1" x14ac:dyDescent="0.2">
      <c r="A40" s="67"/>
      <c r="B40" s="68"/>
      <c r="C40" s="69"/>
      <c r="D40" s="69"/>
      <c r="E40" s="70"/>
      <c r="F40" s="12"/>
      <c r="G40" s="12"/>
      <c r="H40" s="71" t="str">
        <f t="shared" si="12"/>
        <v/>
      </c>
      <c r="I40" s="66"/>
      <c r="J40" s="80"/>
      <c r="K40" s="80"/>
      <c r="L40" s="69"/>
      <c r="M40" s="82"/>
      <c r="N40" s="12"/>
      <c r="O40" s="12"/>
      <c r="P40" s="71" t="str">
        <f t="shared" si="10"/>
        <v/>
      </c>
      <c r="R40" s="43" t="e">
        <f t="shared" ca="1" si="5"/>
        <v>#REF!</v>
      </c>
      <c r="S40" s="44" t="e">
        <f t="shared" ca="1" si="8"/>
        <v>#REF!</v>
      </c>
      <c r="T40" s="45" t="e">
        <f t="shared" ca="1" si="6"/>
        <v>#REF!</v>
      </c>
      <c r="U40" s="15" t="e">
        <f t="shared" ca="1" si="7"/>
        <v>#REF!</v>
      </c>
      <c r="V40" s="15" t="e">
        <f t="shared" ca="1" si="0"/>
        <v>#REF!</v>
      </c>
      <c r="W40" s="15" t="e">
        <f t="shared" ca="1" si="1"/>
        <v>#REF!</v>
      </c>
      <c r="X40" s="46" t="e">
        <f t="shared" ca="1" si="2"/>
        <v>#REF!</v>
      </c>
      <c r="Y40" s="15" t="e">
        <f t="shared" ca="1" si="3"/>
        <v>#REF!</v>
      </c>
      <c r="Z40" s="47" t="e">
        <f t="shared" ca="1" si="4"/>
        <v>#REF!</v>
      </c>
      <c r="AA40" s="24"/>
      <c r="AB40" s="52">
        <f t="shared" si="9"/>
        <v>35</v>
      </c>
      <c r="AC40" s="53">
        <v>5.8E-4</v>
      </c>
      <c r="AD40" s="53">
        <v>3.9500000000000001E-4</v>
      </c>
    </row>
    <row r="41" spans="1:30" ht="11.25" customHeight="1" x14ac:dyDescent="0.2">
      <c r="A41" s="67"/>
      <c r="B41" s="68"/>
      <c r="C41" s="69"/>
      <c r="D41" s="69"/>
      <c r="E41" s="70"/>
      <c r="F41" s="12"/>
      <c r="G41" s="12"/>
      <c r="H41" s="71" t="str">
        <f t="shared" si="12"/>
        <v/>
      </c>
      <c r="I41" s="66"/>
      <c r="J41" s="80"/>
      <c r="K41" s="80"/>
      <c r="L41" s="69"/>
      <c r="M41" s="82"/>
      <c r="N41" s="12"/>
      <c r="O41" s="12"/>
      <c r="P41" s="71" t="str">
        <f t="shared" si="10"/>
        <v/>
      </c>
      <c r="R41" s="43" t="e">
        <f t="shared" ca="1" si="5"/>
        <v>#REF!</v>
      </c>
      <c r="S41" s="44" t="e">
        <f t="shared" ca="1" si="8"/>
        <v>#REF!</v>
      </c>
      <c r="T41" s="45" t="e">
        <f t="shared" ca="1" si="6"/>
        <v>#REF!</v>
      </c>
      <c r="U41" s="15" t="e">
        <f t="shared" ca="1" si="7"/>
        <v>#REF!</v>
      </c>
      <c r="V41" s="15" t="e">
        <f t="shared" ca="1" si="0"/>
        <v>#REF!</v>
      </c>
      <c r="W41" s="15" t="e">
        <f t="shared" ca="1" si="1"/>
        <v>#REF!</v>
      </c>
      <c r="X41" s="46" t="e">
        <f t="shared" ca="1" si="2"/>
        <v>#REF!</v>
      </c>
      <c r="Y41" s="15" t="e">
        <f t="shared" ca="1" si="3"/>
        <v>#REF!</v>
      </c>
      <c r="Z41" s="47" t="e">
        <f t="shared" ca="1" si="4"/>
        <v>#REF!</v>
      </c>
      <c r="AA41" s="24"/>
      <c r="AB41" s="52">
        <f t="shared" si="9"/>
        <v>36</v>
      </c>
      <c r="AC41" s="53">
        <v>6.0400000000000004E-4</v>
      </c>
      <c r="AD41" s="53">
        <v>4.2400000000000001E-4</v>
      </c>
    </row>
    <row r="42" spans="1:30" ht="11.25" customHeight="1" x14ac:dyDescent="0.2">
      <c r="A42" s="67"/>
      <c r="B42" s="68"/>
      <c r="C42" s="69"/>
      <c r="D42" s="69"/>
      <c r="E42" s="70"/>
      <c r="F42" s="12"/>
      <c r="G42" s="12"/>
      <c r="H42" s="71" t="str">
        <f t="shared" si="12"/>
        <v/>
      </c>
      <c r="I42" s="66"/>
      <c r="J42" s="80"/>
      <c r="K42" s="80"/>
      <c r="L42" s="69"/>
      <c r="M42" s="82"/>
      <c r="N42" s="12"/>
      <c r="O42" s="12"/>
      <c r="P42" s="71" t="str">
        <f t="shared" si="10"/>
        <v/>
      </c>
      <c r="R42" s="43" t="e">
        <f t="shared" ca="1" si="5"/>
        <v>#REF!</v>
      </c>
      <c r="S42" s="44" t="e">
        <f t="shared" ca="1" si="8"/>
        <v>#REF!</v>
      </c>
      <c r="T42" s="45" t="e">
        <f t="shared" ca="1" si="6"/>
        <v>#REF!</v>
      </c>
      <c r="U42" s="15" t="e">
        <f t="shared" ca="1" si="7"/>
        <v>#REF!</v>
      </c>
      <c r="V42" s="15" t="e">
        <f t="shared" ca="1" si="0"/>
        <v>#REF!</v>
      </c>
      <c r="W42" s="15" t="e">
        <f t="shared" ca="1" si="1"/>
        <v>#REF!</v>
      </c>
      <c r="X42" s="46" t="e">
        <f t="shared" ca="1" si="2"/>
        <v>#REF!</v>
      </c>
      <c r="Y42" s="15" t="e">
        <f t="shared" ca="1" si="3"/>
        <v>#REF!</v>
      </c>
      <c r="Z42" s="47" t="e">
        <f t="shared" ca="1" si="4"/>
        <v>#REF!</v>
      </c>
      <c r="AA42" s="24"/>
      <c r="AB42" s="52">
        <f t="shared" si="9"/>
        <v>37</v>
      </c>
      <c r="AC42" s="53">
        <v>6.29E-4</v>
      </c>
      <c r="AD42" s="53">
        <v>4.4799999999999999E-4</v>
      </c>
    </row>
    <row r="43" spans="1:30" ht="11.25" customHeight="1" x14ac:dyDescent="0.2">
      <c r="A43" s="67"/>
      <c r="B43" s="68"/>
      <c r="C43" s="69"/>
      <c r="D43" s="69"/>
      <c r="E43" s="70"/>
      <c r="F43" s="12"/>
      <c r="G43" s="12"/>
      <c r="H43" s="71" t="str">
        <f t="shared" si="12"/>
        <v/>
      </c>
      <c r="I43" s="66"/>
      <c r="J43" s="80"/>
      <c r="K43" s="80"/>
      <c r="L43" s="69"/>
      <c r="M43" s="84"/>
      <c r="N43" s="12"/>
      <c r="O43" s="12"/>
      <c r="P43" s="71" t="str">
        <f t="shared" si="10"/>
        <v/>
      </c>
      <c r="R43" s="43" t="e">
        <f t="shared" ca="1" si="5"/>
        <v>#REF!</v>
      </c>
      <c r="S43" s="44" t="e">
        <f t="shared" ca="1" si="8"/>
        <v>#REF!</v>
      </c>
      <c r="T43" s="45" t="e">
        <f t="shared" ca="1" si="6"/>
        <v>#REF!</v>
      </c>
      <c r="U43" s="15" t="e">
        <f t="shared" ca="1" si="7"/>
        <v>#REF!</v>
      </c>
      <c r="V43" s="15" t="e">
        <f t="shared" ca="1" si="0"/>
        <v>#REF!</v>
      </c>
      <c r="W43" s="15" t="e">
        <f t="shared" ca="1" si="1"/>
        <v>#REF!</v>
      </c>
      <c r="X43" s="46" t="e">
        <f t="shared" ca="1" si="2"/>
        <v>#REF!</v>
      </c>
      <c r="Y43" s="15" t="e">
        <f t="shared" ca="1" si="3"/>
        <v>#REF!</v>
      </c>
      <c r="Z43" s="47" t="e">
        <f t="shared" ca="1" si="4"/>
        <v>#REF!</v>
      </c>
      <c r="AA43" s="24"/>
      <c r="AB43" s="52">
        <f t="shared" si="9"/>
        <v>38</v>
      </c>
      <c r="AC43" s="53">
        <v>6.5600000000000001E-4</v>
      </c>
      <c r="AD43" s="53">
        <v>4.6700000000000002E-4</v>
      </c>
    </row>
    <row r="44" spans="1:30" ht="11.25" customHeight="1" x14ac:dyDescent="0.2">
      <c r="A44" s="67"/>
      <c r="B44" s="68"/>
      <c r="C44" s="69"/>
      <c r="D44" s="69"/>
      <c r="E44" s="70"/>
      <c r="F44" s="12"/>
      <c r="G44" s="12"/>
      <c r="H44" s="71" t="str">
        <f t="shared" si="12"/>
        <v/>
      </c>
      <c r="I44" s="66"/>
      <c r="J44" s="80"/>
      <c r="K44" s="80"/>
      <c r="L44" s="69"/>
      <c r="M44" s="84"/>
      <c r="N44" s="12"/>
      <c r="O44" s="12"/>
      <c r="P44" s="71" t="str">
        <f t="shared" si="10"/>
        <v/>
      </c>
      <c r="R44" s="43" t="e">
        <f t="shared" ca="1" si="5"/>
        <v>#REF!</v>
      </c>
      <c r="S44" s="44" t="e">
        <f t="shared" ca="1" si="8"/>
        <v>#REF!</v>
      </c>
      <c r="T44" s="45" t="e">
        <f t="shared" ca="1" si="6"/>
        <v>#REF!</v>
      </c>
      <c r="U44" s="15" t="e">
        <f t="shared" ca="1" si="7"/>
        <v>#REF!</v>
      </c>
      <c r="V44" s="15" t="e">
        <f t="shared" ca="1" si="0"/>
        <v>#REF!</v>
      </c>
      <c r="W44" s="15" t="e">
        <f t="shared" ca="1" si="1"/>
        <v>#REF!</v>
      </c>
      <c r="X44" s="46" t="e">
        <f t="shared" ca="1" si="2"/>
        <v>#REF!</v>
      </c>
      <c r="Y44" s="15" t="e">
        <f t="shared" ca="1" si="3"/>
        <v>#REF!</v>
      </c>
      <c r="Z44" s="47" t="e">
        <f t="shared" ca="1" si="4"/>
        <v>#REF!</v>
      </c>
      <c r="AA44" s="24"/>
      <c r="AB44" s="52">
        <f t="shared" si="9"/>
        <v>39</v>
      </c>
      <c r="AC44" s="53">
        <v>6.8199999999999999E-4</v>
      </c>
      <c r="AD44" s="53">
        <v>4.8000000000000001E-4</v>
      </c>
    </row>
    <row r="45" spans="1:30" ht="11.25" customHeight="1" x14ac:dyDescent="0.2">
      <c r="A45" s="67"/>
      <c r="B45" s="68"/>
      <c r="C45" s="69"/>
      <c r="D45" s="69"/>
      <c r="E45" s="84"/>
      <c r="F45" s="12"/>
      <c r="G45" s="12"/>
      <c r="H45" s="71" t="str">
        <f t="shared" si="12"/>
        <v/>
      </c>
      <c r="I45" s="66"/>
      <c r="J45" s="80"/>
      <c r="K45" s="80"/>
      <c r="L45" s="69"/>
      <c r="M45" s="84"/>
      <c r="N45" s="12"/>
      <c r="O45" s="12"/>
      <c r="P45" s="71" t="str">
        <f t="shared" si="10"/>
        <v/>
      </c>
      <c r="R45" s="43" t="e">
        <f t="shared" ca="1" si="5"/>
        <v>#REF!</v>
      </c>
      <c r="S45" s="44" t="e">
        <f t="shared" ca="1" si="8"/>
        <v>#REF!</v>
      </c>
      <c r="T45" s="45" t="e">
        <f t="shared" ca="1" si="6"/>
        <v>#REF!</v>
      </c>
      <c r="U45" s="15" t="e">
        <f t="shared" ca="1" si="7"/>
        <v>#REF!</v>
      </c>
      <c r="V45" s="15" t="e">
        <f t="shared" ca="1" si="0"/>
        <v>#REF!</v>
      </c>
      <c r="W45" s="15" t="e">
        <f t="shared" ca="1" si="1"/>
        <v>#REF!</v>
      </c>
      <c r="X45" s="46" t="e">
        <f t="shared" ca="1" si="2"/>
        <v>#REF!</v>
      </c>
      <c r="Y45" s="15" t="e">
        <f t="shared" ca="1" si="3"/>
        <v>#REF!</v>
      </c>
      <c r="Z45" s="47" t="e">
        <f t="shared" ca="1" si="4"/>
        <v>#REF!</v>
      </c>
      <c r="AA45" s="24"/>
      <c r="AB45" s="52">
        <f t="shared" si="9"/>
        <v>40</v>
      </c>
      <c r="AC45" s="53">
        <v>7.0799999999999997E-4</v>
      </c>
      <c r="AD45" s="53">
        <v>4.9100000000000001E-4</v>
      </c>
    </row>
    <row r="46" spans="1:30" ht="11.25" customHeight="1" x14ac:dyDescent="0.2">
      <c r="A46" s="67"/>
      <c r="B46" s="68"/>
      <c r="C46" s="69"/>
      <c r="D46" s="69"/>
      <c r="E46" s="84"/>
      <c r="F46" s="12"/>
      <c r="G46" s="12"/>
      <c r="H46" s="71" t="str">
        <f t="shared" si="12"/>
        <v/>
      </c>
      <c r="I46" s="66"/>
      <c r="J46" s="80"/>
      <c r="K46" s="80"/>
      <c r="L46" s="69"/>
      <c r="M46" s="84"/>
      <c r="N46" s="12"/>
      <c r="O46" s="12"/>
      <c r="P46" s="71" t="str">
        <f t="shared" si="10"/>
        <v/>
      </c>
      <c r="R46" s="43" t="e">
        <f t="shared" ca="1" si="5"/>
        <v>#REF!</v>
      </c>
      <c r="S46" s="44" t="e">
        <f t="shared" ca="1" si="8"/>
        <v>#REF!</v>
      </c>
      <c r="T46" s="45" t="e">
        <f t="shared" ca="1" si="6"/>
        <v>#REF!</v>
      </c>
      <c r="U46" s="15" t="e">
        <f t="shared" ca="1" si="7"/>
        <v>#REF!</v>
      </c>
      <c r="V46" s="15" t="e">
        <f t="shared" ca="1" si="0"/>
        <v>#REF!</v>
      </c>
      <c r="W46" s="15" t="e">
        <f t="shared" ca="1" si="1"/>
        <v>#REF!</v>
      </c>
      <c r="X46" s="46" t="e">
        <f t="shared" ca="1" si="2"/>
        <v>#REF!</v>
      </c>
      <c r="Y46" s="15" t="e">
        <f t="shared" ca="1" si="3"/>
        <v>#REF!</v>
      </c>
      <c r="Z46" s="47" t="e">
        <f t="shared" ca="1" si="4"/>
        <v>#REF!</v>
      </c>
      <c r="AA46" s="24"/>
      <c r="AB46" s="52">
        <f t="shared" si="9"/>
        <v>41</v>
      </c>
      <c r="AC46" s="53">
        <v>7.4100000000000001E-4</v>
      </c>
      <c r="AD46" s="53">
        <v>5.0500000000000002E-4</v>
      </c>
    </row>
    <row r="47" spans="1:30" ht="11.25" customHeight="1" x14ac:dyDescent="0.2">
      <c r="A47" s="67"/>
      <c r="B47" s="68"/>
      <c r="C47" s="69"/>
      <c r="D47" s="69"/>
      <c r="E47" s="84"/>
      <c r="F47" s="12"/>
      <c r="G47" s="12"/>
      <c r="H47" s="71" t="str">
        <f t="shared" si="12"/>
        <v/>
      </c>
      <c r="I47" s="66"/>
      <c r="J47" s="80"/>
      <c r="K47" s="80"/>
      <c r="L47" s="69"/>
      <c r="M47" s="84"/>
      <c r="N47" s="12"/>
      <c r="O47" s="12"/>
      <c r="P47" s="71" t="str">
        <f t="shared" si="10"/>
        <v/>
      </c>
      <c r="R47" s="43" t="e">
        <f t="shared" ca="1" si="5"/>
        <v>#REF!</v>
      </c>
      <c r="S47" s="44" t="e">
        <f t="shared" ca="1" si="8"/>
        <v>#REF!</v>
      </c>
      <c r="T47" s="45" t="e">
        <f t="shared" ca="1" si="6"/>
        <v>#REF!</v>
      </c>
      <c r="U47" s="15" t="e">
        <f t="shared" ca="1" si="7"/>
        <v>#REF!</v>
      </c>
      <c r="V47" s="15" t="e">
        <f t="shared" ca="1" si="0"/>
        <v>#REF!</v>
      </c>
      <c r="W47" s="15" t="e">
        <f t="shared" ca="1" si="1"/>
        <v>#REF!</v>
      </c>
      <c r="X47" s="46" t="e">
        <f t="shared" ca="1" si="2"/>
        <v>#REF!</v>
      </c>
      <c r="Y47" s="15" t="e">
        <f t="shared" ca="1" si="3"/>
        <v>#REF!</v>
      </c>
      <c r="Z47" s="47" t="e">
        <f t="shared" ca="1" si="4"/>
        <v>#REF!</v>
      </c>
      <c r="AA47" s="24"/>
      <c r="AB47" s="52">
        <f t="shared" si="9"/>
        <v>42</v>
      </c>
      <c r="AC47" s="53">
        <v>7.8899999999999999E-4</v>
      </c>
      <c r="AD47" s="53">
        <v>5.2700000000000002E-4</v>
      </c>
    </row>
    <row r="48" spans="1:30" ht="11.25" customHeight="1" x14ac:dyDescent="0.2">
      <c r="A48" s="67"/>
      <c r="B48" s="68"/>
      <c r="C48" s="69"/>
      <c r="D48" s="69"/>
      <c r="E48" s="84"/>
      <c r="F48" s="12"/>
      <c r="G48" s="12"/>
      <c r="H48" s="71" t="str">
        <f t="shared" si="12"/>
        <v/>
      </c>
      <c r="I48" s="66"/>
      <c r="J48" s="80"/>
      <c r="K48" s="80"/>
      <c r="L48" s="69"/>
      <c r="M48" s="84"/>
      <c r="N48" s="12"/>
      <c r="O48" s="12"/>
      <c r="P48" s="71" t="str">
        <f t="shared" si="10"/>
        <v/>
      </c>
      <c r="R48" s="43" t="e">
        <f t="shared" ca="1" si="5"/>
        <v>#REF!</v>
      </c>
      <c r="S48" s="44" t="e">
        <f t="shared" ca="1" si="8"/>
        <v>#REF!</v>
      </c>
      <c r="T48" s="45" t="e">
        <f t="shared" ca="1" si="6"/>
        <v>#REF!</v>
      </c>
      <c r="U48" s="15" t="e">
        <f t="shared" ca="1" si="7"/>
        <v>#REF!</v>
      </c>
      <c r="V48" s="15" t="e">
        <f t="shared" ca="1" si="0"/>
        <v>#REF!</v>
      </c>
      <c r="W48" s="15" t="e">
        <f t="shared" ca="1" si="1"/>
        <v>#REF!</v>
      </c>
      <c r="X48" s="46" t="e">
        <f t="shared" ca="1" si="2"/>
        <v>#REF!</v>
      </c>
      <c r="Y48" s="15" t="e">
        <f t="shared" ca="1" si="3"/>
        <v>#REF!</v>
      </c>
      <c r="Z48" s="47" t="e">
        <f t="shared" ca="1" si="4"/>
        <v>#REF!</v>
      </c>
      <c r="AA48" s="24"/>
      <c r="AB48" s="52">
        <f t="shared" si="9"/>
        <v>43</v>
      </c>
      <c r="AC48" s="53">
        <v>8.5599999999999999E-4</v>
      </c>
      <c r="AD48" s="53">
        <v>5.5800000000000001E-4</v>
      </c>
    </row>
    <row r="49" spans="1:30" ht="11.25" customHeight="1" x14ac:dyDescent="0.2">
      <c r="A49" s="67"/>
      <c r="B49" s="68"/>
      <c r="C49" s="69"/>
      <c r="D49" s="69"/>
      <c r="E49" s="84"/>
      <c r="F49" s="12"/>
      <c r="G49" s="12"/>
      <c r="H49" s="71" t="str">
        <f t="shared" si="12"/>
        <v/>
      </c>
      <c r="I49" s="66"/>
      <c r="J49" s="80"/>
      <c r="K49" s="80"/>
      <c r="L49" s="69"/>
      <c r="M49" s="84"/>
      <c r="N49" s="12"/>
      <c r="O49" s="12"/>
      <c r="P49" s="71" t="str">
        <f t="shared" si="10"/>
        <v/>
      </c>
      <c r="R49" s="43" t="e">
        <f t="shared" ca="1" si="5"/>
        <v>#REF!</v>
      </c>
      <c r="S49" s="44" t="e">
        <f t="shared" ca="1" si="8"/>
        <v>#REF!</v>
      </c>
      <c r="T49" s="45" t="e">
        <f t="shared" ca="1" si="6"/>
        <v>#REF!</v>
      </c>
      <c r="U49" s="15" t="e">
        <f t="shared" ca="1" si="7"/>
        <v>#REF!</v>
      </c>
      <c r="V49" s="15" t="e">
        <f t="shared" ca="1" si="0"/>
        <v>#REF!</v>
      </c>
      <c r="W49" s="15" t="e">
        <f t="shared" ca="1" si="1"/>
        <v>#REF!</v>
      </c>
      <c r="X49" s="46" t="e">
        <f t="shared" ca="1" si="2"/>
        <v>#REF!</v>
      </c>
      <c r="Y49" s="15" t="e">
        <f t="shared" ca="1" si="3"/>
        <v>#REF!</v>
      </c>
      <c r="Z49" s="47" t="e">
        <f t="shared" ca="1" si="4"/>
        <v>#REF!</v>
      </c>
      <c r="AA49" s="24"/>
      <c r="AB49" s="52">
        <f t="shared" si="9"/>
        <v>44</v>
      </c>
      <c r="AC49" s="53">
        <v>9.3599999999999998E-4</v>
      </c>
      <c r="AD49" s="53">
        <v>5.9500000000000004E-4</v>
      </c>
    </row>
    <row r="50" spans="1:30" ht="11.25" customHeight="1" x14ac:dyDescent="0.2">
      <c r="A50" s="67"/>
      <c r="B50" s="68"/>
      <c r="C50" s="69"/>
      <c r="D50" s="69"/>
      <c r="E50" s="84"/>
      <c r="F50" s="12"/>
      <c r="G50" s="12"/>
      <c r="H50" s="71" t="str">
        <f t="shared" si="12"/>
        <v/>
      </c>
      <c r="I50" s="66"/>
      <c r="J50" s="80"/>
      <c r="K50" s="80"/>
      <c r="L50" s="69"/>
      <c r="M50" s="84"/>
      <c r="N50" s="12"/>
      <c r="O50" s="12"/>
      <c r="P50" s="71" t="str">
        <f t="shared" si="10"/>
        <v/>
      </c>
      <c r="R50" s="43" t="e">
        <f t="shared" ca="1" si="5"/>
        <v>#REF!</v>
      </c>
      <c r="S50" s="44" t="e">
        <f t="shared" ca="1" si="8"/>
        <v>#REF!</v>
      </c>
      <c r="T50" s="45" t="e">
        <f t="shared" ca="1" si="6"/>
        <v>#REF!</v>
      </c>
      <c r="U50" s="15" t="e">
        <f t="shared" ca="1" si="7"/>
        <v>#REF!</v>
      </c>
      <c r="V50" s="15" t="e">
        <f t="shared" ca="1" si="0"/>
        <v>#REF!</v>
      </c>
      <c r="W50" s="15" t="e">
        <f t="shared" ca="1" si="1"/>
        <v>#REF!</v>
      </c>
      <c r="X50" s="46" t="e">
        <f t="shared" ca="1" si="2"/>
        <v>#REF!</v>
      </c>
      <c r="Y50" s="15" t="e">
        <f t="shared" ca="1" si="3"/>
        <v>#REF!</v>
      </c>
      <c r="Z50" s="47" t="e">
        <f t="shared" ca="1" si="4"/>
        <v>#REF!</v>
      </c>
      <c r="AA50" s="24"/>
      <c r="AB50" s="52">
        <f t="shared" si="9"/>
        <v>45</v>
      </c>
      <c r="AC50" s="53">
        <v>1.023E-3</v>
      </c>
      <c r="AD50" s="53">
        <v>6.3599999999999996E-4</v>
      </c>
    </row>
    <row r="51" spans="1:30" ht="11.25" customHeight="1" x14ac:dyDescent="0.2">
      <c r="A51" s="67"/>
      <c r="B51" s="85"/>
      <c r="C51" s="86"/>
      <c r="D51" s="86"/>
      <c r="E51" s="87"/>
      <c r="F51" s="88"/>
      <c r="G51" s="88"/>
      <c r="H51" s="89" t="str">
        <f t="shared" si="12"/>
        <v/>
      </c>
      <c r="I51" s="66"/>
      <c r="J51" s="90"/>
      <c r="K51" s="90"/>
      <c r="L51" s="86"/>
      <c r="M51" s="87"/>
      <c r="N51" s="88"/>
      <c r="O51" s="88"/>
      <c r="P51" s="89" t="str">
        <f t="shared" si="10"/>
        <v/>
      </c>
      <c r="R51" s="43" t="e">
        <f t="shared" ca="1" si="5"/>
        <v>#REF!</v>
      </c>
      <c r="S51" s="44" t="e">
        <f t="shared" ca="1" si="8"/>
        <v>#REF!</v>
      </c>
      <c r="T51" s="45" t="e">
        <f t="shared" ca="1" si="6"/>
        <v>#REF!</v>
      </c>
      <c r="U51" s="15" t="e">
        <f t="shared" ca="1" si="7"/>
        <v>#REF!</v>
      </c>
      <c r="V51" s="15" t="e">
        <f t="shared" ca="1" si="0"/>
        <v>#REF!</v>
      </c>
      <c r="W51" s="15" t="e">
        <f t="shared" ca="1" si="1"/>
        <v>#REF!</v>
      </c>
      <c r="X51" s="46" t="e">
        <f t="shared" ca="1" si="2"/>
        <v>#REF!</v>
      </c>
      <c r="Y51" s="15" t="e">
        <f t="shared" ca="1" si="3"/>
        <v>#REF!</v>
      </c>
      <c r="Z51" s="47" t="e">
        <f t="shared" ca="1" si="4"/>
        <v>#REF!</v>
      </c>
      <c r="AA51" s="24"/>
      <c r="AB51" s="52">
        <f t="shared" si="9"/>
        <v>46</v>
      </c>
      <c r="AC51" s="53">
        <v>1.1150000000000001E-3</v>
      </c>
      <c r="AD51" s="53">
        <v>6.7699999999999998E-4</v>
      </c>
    </row>
    <row r="52" spans="1:30" ht="11.25" customHeight="1" x14ac:dyDescent="0.2">
      <c r="G52" s="91"/>
      <c r="H52" s="91"/>
      <c r="I52" s="91"/>
      <c r="J52" s="66"/>
      <c r="K52" s="66"/>
      <c r="L52" s="66"/>
      <c r="M52" s="66"/>
      <c r="N52" s="66"/>
      <c r="O52" s="66"/>
      <c r="P52" s="66"/>
      <c r="R52" s="43" t="e">
        <f t="shared" ca="1" si="5"/>
        <v>#REF!</v>
      </c>
      <c r="S52" s="44" t="e">
        <f t="shared" ca="1" si="8"/>
        <v>#REF!</v>
      </c>
      <c r="T52" s="45" t="e">
        <f t="shared" ca="1" si="6"/>
        <v>#REF!</v>
      </c>
      <c r="U52" s="15" t="e">
        <f t="shared" ca="1" si="7"/>
        <v>#REF!</v>
      </c>
      <c r="V52" s="15" t="e">
        <f t="shared" ca="1" si="0"/>
        <v>#REF!</v>
      </c>
      <c r="W52" s="15" t="e">
        <f t="shared" ca="1" si="1"/>
        <v>#REF!</v>
      </c>
      <c r="X52" s="46" t="e">
        <f t="shared" ca="1" si="2"/>
        <v>#REF!</v>
      </c>
      <c r="Y52" s="15" t="e">
        <f t="shared" ca="1" si="3"/>
        <v>#REF!</v>
      </c>
      <c r="Z52" s="47" t="e">
        <f t="shared" ca="1" si="4"/>
        <v>#REF!</v>
      </c>
      <c r="AA52" s="24"/>
      <c r="AB52" s="52">
        <f t="shared" si="9"/>
        <v>47</v>
      </c>
      <c r="AC52" s="53">
        <v>1.217E-3</v>
      </c>
      <c r="AD52" s="53">
        <v>7.2099999999999996E-4</v>
      </c>
    </row>
    <row r="53" spans="1:30" ht="11.25" customHeight="1" x14ac:dyDescent="0.2">
      <c r="A53" s="92"/>
      <c r="G53" s="93"/>
      <c r="H53" s="93"/>
      <c r="J53" s="66"/>
      <c r="K53" s="66"/>
      <c r="L53" s="66"/>
      <c r="M53" s="66"/>
      <c r="N53" s="66"/>
      <c r="O53" s="66"/>
      <c r="P53" s="66"/>
      <c r="R53" s="43" t="e">
        <f t="shared" ca="1" si="5"/>
        <v>#REF!</v>
      </c>
      <c r="S53" s="44" t="e">
        <f t="shared" ca="1" si="8"/>
        <v>#REF!</v>
      </c>
      <c r="T53" s="45" t="e">
        <f t="shared" ca="1" si="6"/>
        <v>#REF!</v>
      </c>
      <c r="U53" s="15" t="e">
        <f t="shared" ca="1" si="7"/>
        <v>#REF!</v>
      </c>
      <c r="V53" s="15" t="e">
        <f t="shared" ca="1" si="0"/>
        <v>#REF!</v>
      </c>
      <c r="W53" s="15" t="e">
        <f t="shared" ca="1" si="1"/>
        <v>#REF!</v>
      </c>
      <c r="X53" s="46" t="e">
        <f t="shared" ca="1" si="2"/>
        <v>#REF!</v>
      </c>
      <c r="Y53" s="15" t="e">
        <f t="shared" ca="1" si="3"/>
        <v>#REF!</v>
      </c>
      <c r="Z53" s="47" t="e">
        <f t="shared" ca="1" si="4"/>
        <v>#REF!</v>
      </c>
      <c r="AA53" s="24"/>
      <c r="AB53" s="52">
        <f t="shared" si="9"/>
        <v>48</v>
      </c>
      <c r="AC53" s="53">
        <v>1.3359999999999999E-3</v>
      </c>
      <c r="AD53" s="53">
        <v>7.6800000000000002E-4</v>
      </c>
    </row>
    <row r="54" spans="1:30" ht="11.25" customHeight="1" x14ac:dyDescent="0.2">
      <c r="A54" s="92"/>
      <c r="J54" s="66"/>
      <c r="K54" s="66"/>
      <c r="L54" s="66"/>
      <c r="M54" s="66"/>
      <c r="N54" s="66"/>
      <c r="O54" s="66"/>
      <c r="P54" s="66"/>
      <c r="R54" s="43" t="e">
        <f t="shared" ca="1" si="5"/>
        <v>#REF!</v>
      </c>
      <c r="S54" s="44" t="e">
        <f t="shared" ca="1" si="8"/>
        <v>#REF!</v>
      </c>
      <c r="T54" s="45" t="e">
        <f t="shared" ca="1" si="6"/>
        <v>#REF!</v>
      </c>
      <c r="U54" s="15" t="e">
        <f t="shared" ca="1" si="7"/>
        <v>#REF!</v>
      </c>
      <c r="V54" s="15" t="e">
        <f t="shared" ca="1" si="0"/>
        <v>#REF!</v>
      </c>
      <c r="W54" s="15" t="e">
        <f t="shared" ca="1" si="1"/>
        <v>#REF!</v>
      </c>
      <c r="X54" s="46" t="e">
        <f t="shared" ca="1" si="2"/>
        <v>#REF!</v>
      </c>
      <c r="Y54" s="15" t="e">
        <f t="shared" ca="1" si="3"/>
        <v>#REF!</v>
      </c>
      <c r="Z54" s="47" t="e">
        <f t="shared" ca="1" si="4"/>
        <v>#REF!</v>
      </c>
      <c r="AA54" s="24"/>
      <c r="AB54" s="52">
        <f t="shared" si="9"/>
        <v>49</v>
      </c>
      <c r="AC54" s="53">
        <v>1.4649999999999999E-3</v>
      </c>
      <c r="AD54" s="53">
        <v>8.1700000000000002E-4</v>
      </c>
    </row>
    <row r="55" spans="1:30" ht="11.25" customHeight="1" x14ac:dyDescent="0.2">
      <c r="A55" s="92"/>
      <c r="J55" s="91"/>
      <c r="K55" s="91"/>
      <c r="L55" s="91"/>
      <c r="M55" s="91"/>
      <c r="N55" s="91"/>
      <c r="O55" s="91"/>
      <c r="P55" s="91"/>
      <c r="R55" s="43" t="e">
        <f t="shared" ca="1" si="5"/>
        <v>#REF!</v>
      </c>
      <c r="S55" s="44" t="e">
        <f t="shared" ca="1" si="8"/>
        <v>#REF!</v>
      </c>
      <c r="T55" s="45" t="e">
        <f t="shared" ca="1" si="6"/>
        <v>#REF!</v>
      </c>
      <c r="U55" s="15" t="e">
        <f t="shared" ca="1" si="7"/>
        <v>#REF!</v>
      </c>
      <c r="V55" s="15" t="e">
        <f t="shared" ca="1" si="0"/>
        <v>#REF!</v>
      </c>
      <c r="W55" s="15" t="e">
        <f t="shared" ca="1" si="1"/>
        <v>#REF!</v>
      </c>
      <c r="X55" s="46" t="e">
        <f t="shared" ca="1" si="2"/>
        <v>#REF!</v>
      </c>
      <c r="Y55" s="15" t="e">
        <f t="shared" ca="1" si="3"/>
        <v>#REF!</v>
      </c>
      <c r="Z55" s="47" t="e">
        <f t="shared" ca="1" si="4"/>
        <v>#REF!</v>
      </c>
      <c r="AA55" s="24"/>
      <c r="AB55" s="52">
        <f t="shared" si="9"/>
        <v>50</v>
      </c>
      <c r="AC55" s="53">
        <v>1.6000000000000001E-3</v>
      </c>
      <c r="AD55" s="53">
        <v>8.6700000000000004E-4</v>
      </c>
    </row>
    <row r="56" spans="1:30" ht="11.25" customHeight="1" x14ac:dyDescent="0.2">
      <c r="A56" s="92"/>
      <c r="R56" s="43" t="e">
        <f t="shared" ca="1" si="5"/>
        <v>#REF!</v>
      </c>
      <c r="S56" s="44" t="e">
        <f t="shared" ca="1" si="8"/>
        <v>#REF!</v>
      </c>
      <c r="T56" s="45" t="e">
        <f t="shared" ca="1" si="6"/>
        <v>#REF!</v>
      </c>
      <c r="U56" s="15" t="e">
        <f t="shared" ca="1" si="7"/>
        <v>#REF!</v>
      </c>
      <c r="V56" s="15" t="e">
        <f t="shared" ca="1" si="0"/>
        <v>#REF!</v>
      </c>
      <c r="W56" s="15" t="e">
        <f t="shared" ca="1" si="1"/>
        <v>#REF!</v>
      </c>
      <c r="X56" s="46" t="e">
        <f t="shared" ca="1" si="2"/>
        <v>#REF!</v>
      </c>
      <c r="Y56" s="15" t="e">
        <f t="shared" ca="1" si="3"/>
        <v>#REF!</v>
      </c>
      <c r="Z56" s="47" t="e">
        <f t="shared" ca="1" si="4"/>
        <v>#REF!</v>
      </c>
      <c r="AA56" s="24"/>
      <c r="AB56" s="52">
        <f t="shared" si="9"/>
        <v>51</v>
      </c>
      <c r="AC56" s="53">
        <v>1.74E-3</v>
      </c>
      <c r="AD56" s="53">
        <v>9.2000000000000003E-4</v>
      </c>
    </row>
    <row r="57" spans="1:30" ht="11.25" customHeight="1" x14ac:dyDescent="0.2">
      <c r="A57" s="92"/>
      <c r="R57" s="43" t="e">
        <f t="shared" ca="1" si="5"/>
        <v>#REF!</v>
      </c>
      <c r="S57" s="44" t="e">
        <f t="shared" ca="1" si="8"/>
        <v>#REF!</v>
      </c>
      <c r="T57" s="45" t="e">
        <f t="shared" ca="1" si="6"/>
        <v>#REF!</v>
      </c>
      <c r="U57" s="15" t="e">
        <f t="shared" ca="1" si="7"/>
        <v>#REF!</v>
      </c>
      <c r="V57" s="15" t="e">
        <f t="shared" ca="1" si="0"/>
        <v>#REF!</v>
      </c>
      <c r="W57" s="15" t="e">
        <f t="shared" ca="1" si="1"/>
        <v>#REF!</v>
      </c>
      <c r="X57" s="46" t="e">
        <f t="shared" ca="1" si="2"/>
        <v>#REF!</v>
      </c>
      <c r="Y57" s="15" t="e">
        <f t="shared" ca="1" si="3"/>
        <v>#REF!</v>
      </c>
      <c r="Z57" s="47" t="e">
        <f t="shared" ca="1" si="4"/>
        <v>#REF!</v>
      </c>
      <c r="AA57" s="24"/>
      <c r="AB57" s="52">
        <f t="shared" si="9"/>
        <v>52</v>
      </c>
      <c r="AC57" s="53">
        <v>1.8910000000000001E-3</v>
      </c>
      <c r="AD57" s="53">
        <v>9.7999999999999997E-4</v>
      </c>
    </row>
    <row r="58" spans="1:30" ht="11.25" customHeight="1" x14ac:dyDescent="0.2">
      <c r="A58" s="92"/>
      <c r="R58" s="43" t="e">
        <f t="shared" ca="1" si="5"/>
        <v>#REF!</v>
      </c>
      <c r="S58" s="44" t="e">
        <f t="shared" ca="1" si="8"/>
        <v>#REF!</v>
      </c>
      <c r="T58" s="45" t="e">
        <f t="shared" ca="1" si="6"/>
        <v>#REF!</v>
      </c>
      <c r="U58" s="15" t="e">
        <f t="shared" ca="1" si="7"/>
        <v>#REF!</v>
      </c>
      <c r="V58" s="15" t="e">
        <f t="shared" ca="1" si="0"/>
        <v>#REF!</v>
      </c>
      <c r="W58" s="15" t="e">
        <f t="shared" ca="1" si="1"/>
        <v>#REF!</v>
      </c>
      <c r="X58" s="46" t="e">
        <f t="shared" ca="1" si="2"/>
        <v>#REF!</v>
      </c>
      <c r="Y58" s="15" t="e">
        <f t="shared" ca="1" si="3"/>
        <v>#REF!</v>
      </c>
      <c r="Z58" s="47" t="e">
        <f t="shared" ca="1" si="4"/>
        <v>#REF!</v>
      </c>
      <c r="AA58" s="24"/>
      <c r="AB58" s="52">
        <f t="shared" si="9"/>
        <v>53</v>
      </c>
      <c r="AC58" s="53">
        <v>2.0590000000000001E-3</v>
      </c>
      <c r="AD58" s="53">
        <v>1.049E-3</v>
      </c>
    </row>
    <row r="59" spans="1:30" ht="11.25" customHeight="1" x14ac:dyDescent="0.2">
      <c r="A59" s="92"/>
      <c r="R59" s="43" t="e">
        <f t="shared" ca="1" si="5"/>
        <v>#REF!</v>
      </c>
      <c r="S59" s="44" t="e">
        <f t="shared" ca="1" si="8"/>
        <v>#REF!</v>
      </c>
      <c r="T59" s="45" t="e">
        <f t="shared" ca="1" si="6"/>
        <v>#REF!</v>
      </c>
      <c r="U59" s="15" t="e">
        <f t="shared" ca="1" si="7"/>
        <v>#REF!</v>
      </c>
      <c r="V59" s="15" t="e">
        <f t="shared" ca="1" si="0"/>
        <v>#REF!</v>
      </c>
      <c r="W59" s="15" t="e">
        <f t="shared" ca="1" si="1"/>
        <v>#REF!</v>
      </c>
      <c r="X59" s="46" t="e">
        <f t="shared" ca="1" si="2"/>
        <v>#REF!</v>
      </c>
      <c r="Y59" s="15" t="e">
        <f t="shared" ca="1" si="3"/>
        <v>#REF!</v>
      </c>
      <c r="Z59" s="47" t="e">
        <f t="shared" ca="1" si="4"/>
        <v>#REF!</v>
      </c>
      <c r="AA59" s="24"/>
      <c r="AB59" s="52">
        <f t="shared" si="9"/>
        <v>54</v>
      </c>
      <c r="AC59" s="53">
        <v>2.235E-3</v>
      </c>
      <c r="AD59" s="53">
        <v>1.124E-3</v>
      </c>
    </row>
    <row r="60" spans="1:30" ht="11.25" customHeight="1" x14ac:dyDescent="0.2">
      <c r="A60" s="92"/>
      <c r="J60" s="94"/>
      <c r="K60" s="94"/>
      <c r="L60" s="94"/>
      <c r="M60" s="94"/>
      <c r="N60" s="94"/>
      <c r="O60" s="94"/>
      <c r="P60" s="94"/>
      <c r="R60" s="43" t="e">
        <f t="shared" ca="1" si="5"/>
        <v>#REF!</v>
      </c>
      <c r="S60" s="44" t="e">
        <f t="shared" ca="1" si="8"/>
        <v>#REF!</v>
      </c>
      <c r="T60" s="45" t="e">
        <f t="shared" ca="1" si="6"/>
        <v>#REF!</v>
      </c>
      <c r="U60" s="15" t="e">
        <f t="shared" ca="1" si="7"/>
        <v>#REF!</v>
      </c>
      <c r="V60" s="15" t="e">
        <f t="shared" ca="1" si="0"/>
        <v>#REF!</v>
      </c>
      <c r="W60" s="15" t="e">
        <f t="shared" ca="1" si="1"/>
        <v>#REF!</v>
      </c>
      <c r="X60" s="46" t="e">
        <f t="shared" ca="1" si="2"/>
        <v>#REF!</v>
      </c>
      <c r="Y60" s="15" t="e">
        <f t="shared" ca="1" si="3"/>
        <v>#REF!</v>
      </c>
      <c r="Z60" s="47" t="e">
        <f t="shared" ca="1" si="4"/>
        <v>#REF!</v>
      </c>
      <c r="AA60" s="24"/>
      <c r="AB60" s="52">
        <f t="shared" si="9"/>
        <v>55</v>
      </c>
      <c r="AC60" s="53">
        <v>2.4160000000000002E-3</v>
      </c>
      <c r="AD60" s="53">
        <v>1.2019999999999999E-3</v>
      </c>
    </row>
    <row r="61" spans="1:30" ht="11.25" customHeight="1" x14ac:dyDescent="0.2">
      <c r="A61" s="92"/>
      <c r="J61" s="94"/>
      <c r="K61" s="94"/>
      <c r="L61" s="94"/>
      <c r="M61" s="94"/>
      <c r="N61" s="94"/>
      <c r="O61" s="94"/>
      <c r="P61" s="94"/>
      <c r="R61" s="43" t="e">
        <f t="shared" ca="1" si="5"/>
        <v>#REF!</v>
      </c>
      <c r="S61" s="44" t="e">
        <f t="shared" ca="1" si="8"/>
        <v>#REF!</v>
      </c>
      <c r="T61" s="45" t="e">
        <f t="shared" ca="1" si="6"/>
        <v>#REF!</v>
      </c>
      <c r="U61" s="15" t="e">
        <f t="shared" ca="1" si="7"/>
        <v>#REF!</v>
      </c>
      <c r="V61" s="15" t="e">
        <f t="shared" ca="1" si="0"/>
        <v>#REF!</v>
      </c>
      <c r="W61" s="15" t="e">
        <f t="shared" ca="1" si="1"/>
        <v>#REF!</v>
      </c>
      <c r="X61" s="46" t="e">
        <f t="shared" ca="1" si="2"/>
        <v>#REF!</v>
      </c>
      <c r="Y61" s="15" t="e">
        <f t="shared" ca="1" si="3"/>
        <v>#REF!</v>
      </c>
      <c r="Z61" s="47" t="e">
        <f t="shared" ca="1" si="4"/>
        <v>#REF!</v>
      </c>
      <c r="AA61" s="24"/>
      <c r="AB61" s="52">
        <f t="shared" si="9"/>
        <v>56</v>
      </c>
      <c r="AC61" s="53">
        <v>2.6120000000000002E-3</v>
      </c>
      <c r="AD61" s="53">
        <v>1.2819999999999999E-3</v>
      </c>
    </row>
    <row r="62" spans="1:30" ht="11.25" customHeight="1" x14ac:dyDescent="0.2">
      <c r="A62" s="92"/>
      <c r="J62" s="94"/>
      <c r="K62" s="94"/>
      <c r="L62" s="94"/>
      <c r="M62" s="94"/>
      <c r="N62" s="94"/>
      <c r="O62" s="94"/>
      <c r="P62" s="94"/>
      <c r="R62" s="43" t="e">
        <f t="shared" ca="1" si="5"/>
        <v>#REF!</v>
      </c>
      <c r="S62" s="44" t="e">
        <f t="shared" ca="1" si="8"/>
        <v>#REF!</v>
      </c>
      <c r="T62" s="45" t="e">
        <f t="shared" ca="1" si="6"/>
        <v>#REF!</v>
      </c>
      <c r="U62" s="15" t="e">
        <f t="shared" ca="1" si="7"/>
        <v>#REF!</v>
      </c>
      <c r="V62" s="15" t="e">
        <f t="shared" ca="1" si="0"/>
        <v>#REF!</v>
      </c>
      <c r="W62" s="15" t="e">
        <f t="shared" ca="1" si="1"/>
        <v>#REF!</v>
      </c>
      <c r="X62" s="46" t="e">
        <f t="shared" ca="1" si="2"/>
        <v>#REF!</v>
      </c>
      <c r="Y62" s="15" t="e">
        <f t="shared" ca="1" si="3"/>
        <v>#REF!</v>
      </c>
      <c r="Z62" s="47" t="e">
        <f t="shared" ca="1" si="4"/>
        <v>#REF!</v>
      </c>
      <c r="AA62" s="24"/>
      <c r="AB62" s="52">
        <f t="shared" si="9"/>
        <v>57</v>
      </c>
      <c r="AC62" s="53">
        <v>2.8389999999999999E-3</v>
      </c>
      <c r="AD62" s="53">
        <v>1.369E-3</v>
      </c>
    </row>
    <row r="63" spans="1:30" ht="11.25" customHeight="1" x14ac:dyDescent="0.2">
      <c r="A63" s="92"/>
      <c r="J63" s="94"/>
      <c r="K63" s="94"/>
      <c r="L63" s="94"/>
      <c r="M63" s="94"/>
      <c r="N63" s="94"/>
      <c r="O63" s="94"/>
      <c r="P63" s="94"/>
      <c r="R63" s="43" t="e">
        <f t="shared" ca="1" si="5"/>
        <v>#REF!</v>
      </c>
      <c r="S63" s="44" t="e">
        <f t="shared" ca="1" si="8"/>
        <v>#REF!</v>
      </c>
      <c r="T63" s="45" t="e">
        <f t="shared" ca="1" si="6"/>
        <v>#REF!</v>
      </c>
      <c r="U63" s="15" t="e">
        <f t="shared" ca="1" si="7"/>
        <v>#REF!</v>
      </c>
      <c r="V63" s="15" t="e">
        <f t="shared" ca="1" si="0"/>
        <v>#REF!</v>
      </c>
      <c r="W63" s="15" t="e">
        <f t="shared" ca="1" si="1"/>
        <v>#REF!</v>
      </c>
      <c r="X63" s="46" t="e">
        <f t="shared" ca="1" si="2"/>
        <v>#REF!</v>
      </c>
      <c r="Y63" s="15" t="e">
        <f t="shared" ca="1" si="3"/>
        <v>#REF!</v>
      </c>
      <c r="Z63" s="47" t="e">
        <f t="shared" ca="1" si="4"/>
        <v>#REF!</v>
      </c>
      <c r="AA63" s="24"/>
      <c r="AB63" s="52">
        <f t="shared" si="9"/>
        <v>58</v>
      </c>
      <c r="AC63" s="53">
        <v>3.107E-3</v>
      </c>
      <c r="AD63" s="53">
        <v>1.464E-3</v>
      </c>
    </row>
    <row r="64" spans="1:30" ht="11.25" customHeight="1" x14ac:dyDescent="0.2">
      <c r="A64" s="92"/>
      <c r="J64" s="94"/>
      <c r="K64" s="94"/>
      <c r="L64" s="94"/>
      <c r="M64" s="94"/>
      <c r="N64" s="95"/>
      <c r="O64" s="95"/>
      <c r="P64" s="94"/>
      <c r="R64" s="43" t="e">
        <f t="shared" ca="1" si="5"/>
        <v>#REF!</v>
      </c>
      <c r="S64" s="44" t="e">
        <f t="shared" ca="1" si="8"/>
        <v>#REF!</v>
      </c>
      <c r="T64" s="45" t="e">
        <f t="shared" ca="1" si="6"/>
        <v>#REF!</v>
      </c>
      <c r="U64" s="15" t="e">
        <f t="shared" ca="1" si="7"/>
        <v>#REF!</v>
      </c>
      <c r="V64" s="15" t="e">
        <f t="shared" ca="1" si="0"/>
        <v>#REF!</v>
      </c>
      <c r="W64" s="15" t="e">
        <f t="shared" ca="1" si="1"/>
        <v>#REF!</v>
      </c>
      <c r="X64" s="46" t="e">
        <f t="shared" ca="1" si="2"/>
        <v>#REF!</v>
      </c>
      <c r="Y64" s="15" t="e">
        <f t="shared" ca="1" si="3"/>
        <v>#REF!</v>
      </c>
      <c r="Z64" s="47" t="e">
        <f t="shared" ca="1" si="4"/>
        <v>#REF!</v>
      </c>
      <c r="AA64" s="24"/>
      <c r="AB64" s="52">
        <f t="shared" si="9"/>
        <v>59</v>
      </c>
      <c r="AC64" s="53">
        <v>3.3990000000000001E-3</v>
      </c>
      <c r="AD64" s="53">
        <v>1.5610000000000001E-3</v>
      </c>
    </row>
    <row r="65" spans="1:30" ht="11.25" customHeight="1" x14ac:dyDescent="0.2">
      <c r="A65" s="92"/>
      <c r="J65" s="94"/>
      <c r="K65" s="94"/>
      <c r="L65" s="94"/>
      <c r="M65" s="94"/>
      <c r="N65" s="95"/>
      <c r="O65" s="95"/>
      <c r="P65" s="94"/>
      <c r="R65" s="43" t="e">
        <f t="shared" ca="1" si="5"/>
        <v>#REF!</v>
      </c>
      <c r="S65" s="44" t="e">
        <f t="shared" ca="1" si="8"/>
        <v>#REF!</v>
      </c>
      <c r="T65" s="45" t="e">
        <f t="shared" ca="1" si="6"/>
        <v>#REF!</v>
      </c>
      <c r="U65" s="15" t="e">
        <f t="shared" ca="1" si="7"/>
        <v>#REF!</v>
      </c>
      <c r="V65" s="15" t="e">
        <f t="shared" ca="1" si="0"/>
        <v>#REF!</v>
      </c>
      <c r="W65" s="15" t="e">
        <f t="shared" ca="1" si="1"/>
        <v>#REF!</v>
      </c>
      <c r="X65" s="46" t="e">
        <f t="shared" ca="1" si="2"/>
        <v>#REF!</v>
      </c>
      <c r="Y65" s="15" t="e">
        <f t="shared" ca="1" si="3"/>
        <v>#REF!</v>
      </c>
      <c r="Z65" s="47" t="e">
        <f t="shared" ca="1" si="4"/>
        <v>#REF!</v>
      </c>
      <c r="AA65" s="24"/>
      <c r="AB65" s="52">
        <f t="shared" si="9"/>
        <v>60</v>
      </c>
      <c r="AC65" s="53">
        <v>3.7030000000000001E-3</v>
      </c>
      <c r="AD65" s="53">
        <v>1.66E-3</v>
      </c>
    </row>
    <row r="66" spans="1:30" ht="11.25" customHeight="1" x14ac:dyDescent="0.2">
      <c r="A66" s="92"/>
      <c r="J66" s="94"/>
      <c r="K66" s="94"/>
      <c r="L66" s="94"/>
      <c r="M66" s="94"/>
      <c r="N66" s="95"/>
      <c r="O66" s="95"/>
      <c r="P66" s="94"/>
      <c r="R66" s="43" t="e">
        <f t="shared" ca="1" si="5"/>
        <v>#REF!</v>
      </c>
      <c r="S66" s="44" t="e">
        <f t="shared" ca="1" si="8"/>
        <v>#REF!</v>
      </c>
      <c r="T66" s="45" t="e">
        <f t="shared" ca="1" si="6"/>
        <v>#REF!</v>
      </c>
      <c r="U66" s="15" t="e">
        <f t="shared" ca="1" si="7"/>
        <v>#REF!</v>
      </c>
      <c r="V66" s="15" t="e">
        <f t="shared" ca="1" si="0"/>
        <v>#REF!</v>
      </c>
      <c r="W66" s="15" t="e">
        <f t="shared" ca="1" si="1"/>
        <v>#REF!</v>
      </c>
      <c r="X66" s="46" t="e">
        <f t="shared" ca="1" si="2"/>
        <v>#REF!</v>
      </c>
      <c r="Y66" s="15" t="e">
        <f t="shared" ca="1" si="3"/>
        <v>#REF!</v>
      </c>
      <c r="Z66" s="47" t="e">
        <f t="shared" ca="1" si="4"/>
        <v>#REF!</v>
      </c>
      <c r="AA66" s="24"/>
      <c r="AB66" s="52">
        <f t="shared" si="9"/>
        <v>61</v>
      </c>
      <c r="AC66" s="53">
        <v>4.0359999999999997E-3</v>
      </c>
      <c r="AD66" s="53">
        <v>1.774E-3</v>
      </c>
    </row>
    <row r="67" spans="1:30" ht="11.25" customHeight="1" x14ac:dyDescent="0.2">
      <c r="J67" s="94"/>
      <c r="K67" s="94"/>
      <c r="L67" s="94"/>
      <c r="M67" s="94"/>
      <c r="N67" s="95"/>
      <c r="O67" s="95"/>
      <c r="P67" s="94"/>
      <c r="R67" s="43" t="e">
        <f t="shared" ca="1" si="5"/>
        <v>#REF!</v>
      </c>
      <c r="S67" s="44" t="e">
        <f t="shared" ca="1" si="8"/>
        <v>#REF!</v>
      </c>
      <c r="T67" s="45" t="e">
        <f t="shared" ca="1" si="6"/>
        <v>#REF!</v>
      </c>
      <c r="U67" s="15" t="e">
        <f t="shared" ca="1" si="7"/>
        <v>#REF!</v>
      </c>
      <c r="V67" s="15" t="e">
        <f t="shared" ca="1" si="0"/>
        <v>#REF!</v>
      </c>
      <c r="W67" s="15" t="e">
        <f t="shared" ca="1" si="1"/>
        <v>#REF!</v>
      </c>
      <c r="X67" s="46" t="e">
        <f t="shared" ca="1" si="2"/>
        <v>#REF!</v>
      </c>
      <c r="Y67" s="15" t="e">
        <f t="shared" ca="1" si="3"/>
        <v>#REF!</v>
      </c>
      <c r="Z67" s="47" t="e">
        <f t="shared" ca="1" si="4"/>
        <v>#REF!</v>
      </c>
      <c r="AA67" s="24"/>
      <c r="AB67" s="52">
        <f t="shared" si="9"/>
        <v>62</v>
      </c>
      <c r="AC67" s="53">
        <v>4.4289999999999998E-3</v>
      </c>
      <c r="AD67" s="53">
        <v>1.9220000000000001E-3</v>
      </c>
    </row>
    <row r="68" spans="1:30" ht="11.25" customHeight="1" x14ac:dyDescent="0.2">
      <c r="J68" s="94"/>
      <c r="K68" s="94"/>
      <c r="L68" s="94"/>
      <c r="M68" s="94"/>
      <c r="N68" s="95"/>
      <c r="O68" s="95"/>
      <c r="P68" s="94"/>
      <c r="R68" s="43" t="e">
        <f t="shared" ca="1" si="5"/>
        <v>#REF!</v>
      </c>
      <c r="S68" s="44" t="e">
        <f t="shared" ca="1" si="8"/>
        <v>#REF!</v>
      </c>
      <c r="T68" s="45" t="e">
        <f t="shared" ca="1" si="6"/>
        <v>#REF!</v>
      </c>
      <c r="U68" s="15" t="e">
        <f t="shared" ca="1" si="7"/>
        <v>#REF!</v>
      </c>
      <c r="V68" s="15" t="e">
        <f t="shared" ca="1" si="0"/>
        <v>#REF!</v>
      </c>
      <c r="W68" s="15" t="e">
        <f t="shared" ca="1" si="1"/>
        <v>#REF!</v>
      </c>
      <c r="X68" s="46" t="e">
        <f t="shared" ca="1" si="2"/>
        <v>#REF!</v>
      </c>
      <c r="Y68" s="15" t="e">
        <f t="shared" ca="1" si="3"/>
        <v>#REF!</v>
      </c>
      <c r="Z68" s="47" t="e">
        <f t="shared" ca="1" si="4"/>
        <v>#REF!</v>
      </c>
      <c r="AA68" s="24"/>
      <c r="AB68" s="52">
        <f t="shared" si="9"/>
        <v>63</v>
      </c>
      <c r="AC68" s="53">
        <v>4.9030000000000002E-3</v>
      </c>
      <c r="AD68" s="53">
        <v>2.1120000000000002E-3</v>
      </c>
    </row>
    <row r="69" spans="1:30" ht="11.25" customHeight="1" x14ac:dyDescent="0.2">
      <c r="J69" s="94"/>
      <c r="K69" s="94"/>
      <c r="L69" s="94"/>
      <c r="M69" s="94"/>
      <c r="N69" s="95"/>
      <c r="O69" s="95"/>
      <c r="P69" s="94"/>
      <c r="R69" s="43" t="e">
        <f t="shared" ca="1" si="5"/>
        <v>#REF!</v>
      </c>
      <c r="S69" s="44" t="e">
        <f t="shared" ca="1" si="8"/>
        <v>#REF!</v>
      </c>
      <c r="T69" s="45" t="e">
        <f t="shared" ca="1" si="6"/>
        <v>#REF!</v>
      </c>
      <c r="U69" s="15" t="e">
        <f t="shared" ca="1" si="7"/>
        <v>#REF!</v>
      </c>
      <c r="V69" s="15" t="e">
        <f t="shared" ref="V69:V117" ca="1" si="13">IF($R69="","",T69*(1-U69))</f>
        <v>#REF!</v>
      </c>
      <c r="W69" s="15" t="e">
        <f t="shared" ref="W69:W117" ca="1" si="14">IF($R69="","",T69*U69*$T$2^($R69+0.5))</f>
        <v>#REF!</v>
      </c>
      <c r="X69" s="46" t="e">
        <f t="shared" ref="X69:X116" ca="1" si="15">IF($R69="",0,X70+W69)</f>
        <v>#REF!</v>
      </c>
      <c r="Y69" s="15" t="e">
        <f t="shared" ref="Y69:Y117" ca="1" si="16">IF($R69="","",T69*$T$2^$R69)</f>
        <v>#REF!</v>
      </c>
      <c r="Z69" s="47" t="e">
        <f t="shared" ref="Z69:Z116" ca="1" si="17">IF($R69="",0,Z70+Y69)</f>
        <v>#REF!</v>
      </c>
      <c r="AA69" s="24"/>
      <c r="AB69" s="52">
        <f t="shared" si="9"/>
        <v>64</v>
      </c>
      <c r="AC69" s="53">
        <v>5.4289999999999998E-3</v>
      </c>
      <c r="AD69" s="53">
        <v>2.3259999999999999E-3</v>
      </c>
    </row>
    <row r="70" spans="1:30" ht="11.25" customHeight="1" x14ac:dyDescent="0.2">
      <c r="J70" s="94"/>
      <c r="K70" s="94"/>
      <c r="L70" s="94"/>
      <c r="M70" s="94"/>
      <c r="N70" s="95"/>
      <c r="O70" s="95"/>
      <c r="P70" s="94"/>
      <c r="R70" s="43" t="e">
        <f t="shared" ref="R70:R117" ca="1" si="18">+IF(R69&gt;=$I$4,"",R69+1)</f>
        <v>#REF!</v>
      </c>
      <c r="S70" s="44" t="e">
        <f t="shared" ca="1" si="8"/>
        <v>#REF!</v>
      </c>
      <c r="T70" s="45" t="e">
        <f t="shared" ref="T70:T117" ca="1" si="19">IF($R70="","",V69)</f>
        <v>#REF!</v>
      </c>
      <c r="U70" s="15" t="e">
        <f t="shared" ref="U70:U117" ca="1" si="20">IF($R70="","",VLOOKUP($S70,$AB$5:$AD$117,2,FALSE))</f>
        <v>#REF!</v>
      </c>
      <c r="V70" s="15" t="e">
        <f t="shared" ca="1" si="13"/>
        <v>#REF!</v>
      </c>
      <c r="W70" s="15" t="e">
        <f t="shared" ca="1" si="14"/>
        <v>#REF!</v>
      </c>
      <c r="X70" s="46" t="e">
        <f t="shared" ca="1" si="15"/>
        <v>#REF!</v>
      </c>
      <c r="Y70" s="15" t="e">
        <f t="shared" ca="1" si="16"/>
        <v>#REF!</v>
      </c>
      <c r="Z70" s="47" t="e">
        <f t="shared" ca="1" si="17"/>
        <v>#REF!</v>
      </c>
      <c r="AA70" s="24"/>
      <c r="AB70" s="52">
        <f t="shared" si="9"/>
        <v>65</v>
      </c>
      <c r="AC70" s="53">
        <v>5.9800000000000001E-3</v>
      </c>
      <c r="AD70" s="53">
        <v>2.5539999999999998E-3</v>
      </c>
    </row>
    <row r="71" spans="1:30" ht="11.25" customHeight="1" x14ac:dyDescent="0.2">
      <c r="J71" s="94"/>
      <c r="K71" s="94"/>
      <c r="L71" s="94"/>
      <c r="M71" s="94"/>
      <c r="N71" s="94"/>
      <c r="O71" s="94"/>
      <c r="P71" s="94"/>
      <c r="R71" s="43" t="e">
        <f t="shared" ca="1" si="18"/>
        <v>#REF!</v>
      </c>
      <c r="S71" s="44" t="e">
        <f t="shared" ref="S71:S117" ca="1" si="21">IF($R71="","",S70+1)</f>
        <v>#REF!</v>
      </c>
      <c r="T71" s="45" t="e">
        <f t="shared" ca="1" si="19"/>
        <v>#REF!</v>
      </c>
      <c r="U71" s="15" t="e">
        <f t="shared" ca="1" si="20"/>
        <v>#REF!</v>
      </c>
      <c r="V71" s="15" t="e">
        <f t="shared" ca="1" si="13"/>
        <v>#REF!</v>
      </c>
      <c r="W71" s="15" t="e">
        <f t="shared" ca="1" si="14"/>
        <v>#REF!</v>
      </c>
      <c r="X71" s="46" t="e">
        <f t="shared" ca="1" si="15"/>
        <v>#REF!</v>
      </c>
      <c r="Y71" s="15" t="e">
        <f t="shared" ca="1" si="16"/>
        <v>#REF!</v>
      </c>
      <c r="Z71" s="47" t="e">
        <f t="shared" ca="1" si="17"/>
        <v>#REF!</v>
      </c>
      <c r="AA71" s="24"/>
      <c r="AB71" s="52">
        <f t="shared" ref="AB71:AB117" si="22">+AB70+1</f>
        <v>66</v>
      </c>
      <c r="AC71" s="53">
        <v>6.5709999999999996E-3</v>
      </c>
      <c r="AD71" s="53">
        <v>2.8089999999999999E-3</v>
      </c>
    </row>
    <row r="72" spans="1:30" ht="11.25" customHeight="1" x14ac:dyDescent="0.2">
      <c r="J72" s="94"/>
      <c r="K72" s="94"/>
      <c r="L72" s="94"/>
      <c r="M72" s="94"/>
      <c r="N72" s="94"/>
      <c r="O72" s="94"/>
      <c r="P72" s="94"/>
      <c r="R72" s="43" t="e">
        <f t="shared" ca="1" si="18"/>
        <v>#REF!</v>
      </c>
      <c r="S72" s="44" t="e">
        <f t="shared" ca="1" si="21"/>
        <v>#REF!</v>
      </c>
      <c r="T72" s="45" t="e">
        <f t="shared" ca="1" si="19"/>
        <v>#REF!</v>
      </c>
      <c r="U72" s="15" t="e">
        <f t="shared" ca="1" si="20"/>
        <v>#REF!</v>
      </c>
      <c r="V72" s="15" t="e">
        <f t="shared" ca="1" si="13"/>
        <v>#REF!</v>
      </c>
      <c r="W72" s="15" t="e">
        <f t="shared" ca="1" si="14"/>
        <v>#REF!</v>
      </c>
      <c r="X72" s="46" t="e">
        <f t="shared" ca="1" si="15"/>
        <v>#REF!</v>
      </c>
      <c r="Y72" s="15" t="e">
        <f t="shared" ca="1" si="16"/>
        <v>#REF!</v>
      </c>
      <c r="Z72" s="47" t="e">
        <f t="shared" ca="1" si="17"/>
        <v>#REF!</v>
      </c>
      <c r="AA72" s="24"/>
      <c r="AB72" s="52">
        <f t="shared" si="22"/>
        <v>67</v>
      </c>
      <c r="AC72" s="53">
        <v>7.2459999999999998E-3</v>
      </c>
      <c r="AD72" s="53">
        <v>3.1229999999999999E-3</v>
      </c>
    </row>
    <row r="73" spans="1:30" ht="11.25" customHeight="1" x14ac:dyDescent="0.2">
      <c r="J73" s="94"/>
      <c r="K73" s="94"/>
      <c r="L73" s="94"/>
      <c r="M73" s="94"/>
      <c r="N73" s="94"/>
      <c r="O73" s="94"/>
      <c r="P73" s="94"/>
      <c r="R73" s="43" t="e">
        <f t="shared" ca="1" si="18"/>
        <v>#REF!</v>
      </c>
      <c r="S73" s="44" t="e">
        <f t="shared" ca="1" si="21"/>
        <v>#REF!</v>
      </c>
      <c r="T73" s="45" t="e">
        <f t="shared" ca="1" si="19"/>
        <v>#REF!</v>
      </c>
      <c r="U73" s="15" t="e">
        <f t="shared" ca="1" si="20"/>
        <v>#REF!</v>
      </c>
      <c r="V73" s="15" t="e">
        <f t="shared" ca="1" si="13"/>
        <v>#REF!</v>
      </c>
      <c r="W73" s="15" t="e">
        <f t="shared" ca="1" si="14"/>
        <v>#REF!</v>
      </c>
      <c r="X73" s="46" t="e">
        <f t="shared" ca="1" si="15"/>
        <v>#REF!</v>
      </c>
      <c r="Y73" s="15" t="e">
        <f t="shared" ca="1" si="16"/>
        <v>#REF!</v>
      </c>
      <c r="Z73" s="47" t="e">
        <f t="shared" ca="1" si="17"/>
        <v>#REF!</v>
      </c>
      <c r="AA73" s="24"/>
      <c r="AB73" s="52">
        <f t="shared" si="22"/>
        <v>68</v>
      </c>
      <c r="AC73" s="53">
        <v>8.0370000000000007E-3</v>
      </c>
      <c r="AD73" s="53">
        <v>3.5170000000000002E-3</v>
      </c>
    </row>
    <row r="74" spans="1:30" ht="11.25" customHeight="1" x14ac:dyDescent="0.2">
      <c r="J74" s="94"/>
      <c r="K74" s="94"/>
      <c r="L74" s="94"/>
      <c r="M74" s="94"/>
      <c r="N74" s="94"/>
      <c r="O74" s="94"/>
      <c r="P74" s="94"/>
      <c r="R74" s="43" t="e">
        <f t="shared" ca="1" si="18"/>
        <v>#REF!</v>
      </c>
      <c r="S74" s="44" t="e">
        <f t="shared" ca="1" si="21"/>
        <v>#REF!</v>
      </c>
      <c r="T74" s="45" t="e">
        <f t="shared" ca="1" si="19"/>
        <v>#REF!</v>
      </c>
      <c r="U74" s="15" t="e">
        <f t="shared" ca="1" si="20"/>
        <v>#REF!</v>
      </c>
      <c r="V74" s="15" t="e">
        <f t="shared" ca="1" si="13"/>
        <v>#REF!</v>
      </c>
      <c r="W74" s="15" t="e">
        <f t="shared" ca="1" si="14"/>
        <v>#REF!</v>
      </c>
      <c r="X74" s="46" t="e">
        <f t="shared" ca="1" si="15"/>
        <v>#REF!</v>
      </c>
      <c r="Y74" s="15" t="e">
        <f t="shared" ca="1" si="16"/>
        <v>#REF!</v>
      </c>
      <c r="Z74" s="47" t="e">
        <f t="shared" ca="1" si="17"/>
        <v>#REF!</v>
      </c>
      <c r="AA74" s="24"/>
      <c r="AB74" s="52">
        <f t="shared" si="22"/>
        <v>69</v>
      </c>
      <c r="AC74" s="53">
        <v>8.8749999999999992E-3</v>
      </c>
      <c r="AD74" s="53">
        <v>3.9459999999999999E-3</v>
      </c>
    </row>
    <row r="75" spans="1:30" ht="11.25" customHeight="1" x14ac:dyDescent="0.2">
      <c r="J75" s="94"/>
      <c r="K75" s="94"/>
      <c r="L75" s="94"/>
      <c r="M75" s="94"/>
      <c r="N75" s="94"/>
      <c r="O75" s="94"/>
      <c r="P75" s="94"/>
      <c r="R75" s="43" t="e">
        <f t="shared" ca="1" si="18"/>
        <v>#REF!</v>
      </c>
      <c r="S75" s="44" t="e">
        <f t="shared" ca="1" si="21"/>
        <v>#REF!</v>
      </c>
      <c r="T75" s="45" t="e">
        <f t="shared" ca="1" si="19"/>
        <v>#REF!</v>
      </c>
      <c r="U75" s="15" t="e">
        <f t="shared" ca="1" si="20"/>
        <v>#REF!</v>
      </c>
      <c r="V75" s="15" t="e">
        <f t="shared" ca="1" si="13"/>
        <v>#REF!</v>
      </c>
      <c r="W75" s="15" t="e">
        <f t="shared" ca="1" si="14"/>
        <v>#REF!</v>
      </c>
      <c r="X75" s="46" t="e">
        <f t="shared" ca="1" si="15"/>
        <v>#REF!</v>
      </c>
      <c r="Y75" s="15" t="e">
        <f t="shared" ca="1" si="16"/>
        <v>#REF!</v>
      </c>
      <c r="Z75" s="47" t="e">
        <f t="shared" ca="1" si="17"/>
        <v>#REF!</v>
      </c>
      <c r="AA75" s="24"/>
      <c r="AB75" s="52">
        <f t="shared" si="22"/>
        <v>70</v>
      </c>
      <c r="AC75" s="53">
        <v>9.7429999999999999E-3</v>
      </c>
      <c r="AD75" s="53">
        <v>4.398E-3</v>
      </c>
    </row>
    <row r="76" spans="1:30" ht="11.25" customHeight="1" x14ac:dyDescent="0.2">
      <c r="J76" s="94"/>
      <c r="K76" s="94"/>
      <c r="L76" s="94"/>
      <c r="M76" s="94"/>
      <c r="N76" s="94"/>
      <c r="O76" s="94"/>
      <c r="P76" s="94"/>
      <c r="R76" s="43" t="e">
        <f t="shared" ca="1" si="18"/>
        <v>#REF!</v>
      </c>
      <c r="S76" s="44" t="e">
        <f t="shared" ca="1" si="21"/>
        <v>#REF!</v>
      </c>
      <c r="T76" s="45" t="e">
        <f t="shared" ca="1" si="19"/>
        <v>#REF!</v>
      </c>
      <c r="U76" s="15" t="e">
        <f t="shared" ca="1" si="20"/>
        <v>#REF!</v>
      </c>
      <c r="V76" s="15" t="e">
        <f t="shared" ca="1" si="13"/>
        <v>#REF!</v>
      </c>
      <c r="W76" s="15" t="e">
        <f t="shared" ca="1" si="14"/>
        <v>#REF!</v>
      </c>
      <c r="X76" s="46" t="e">
        <f t="shared" ca="1" si="15"/>
        <v>#REF!</v>
      </c>
      <c r="Y76" s="15" t="e">
        <f t="shared" ca="1" si="16"/>
        <v>#REF!</v>
      </c>
      <c r="Z76" s="47" t="e">
        <f t="shared" ca="1" si="17"/>
        <v>#REF!</v>
      </c>
      <c r="AA76" s="24"/>
      <c r="AB76" s="52">
        <f t="shared" si="22"/>
        <v>71</v>
      </c>
      <c r="AC76" s="53">
        <v>1.0746E-2</v>
      </c>
      <c r="AD76" s="53">
        <v>4.9290000000000002E-3</v>
      </c>
    </row>
    <row r="77" spans="1:30" ht="11.25" customHeight="1" x14ac:dyDescent="0.2">
      <c r="G77" s="96"/>
      <c r="R77" s="43" t="e">
        <f t="shared" ca="1" si="18"/>
        <v>#REF!</v>
      </c>
      <c r="S77" s="44" t="e">
        <f t="shared" ca="1" si="21"/>
        <v>#REF!</v>
      </c>
      <c r="T77" s="45" t="e">
        <f t="shared" ca="1" si="19"/>
        <v>#REF!</v>
      </c>
      <c r="U77" s="15" t="e">
        <f t="shared" ca="1" si="20"/>
        <v>#REF!</v>
      </c>
      <c r="V77" s="15" t="e">
        <f t="shared" ca="1" si="13"/>
        <v>#REF!</v>
      </c>
      <c r="W77" s="15" t="e">
        <f t="shared" ca="1" si="14"/>
        <v>#REF!</v>
      </c>
      <c r="X77" s="46" t="e">
        <f t="shared" ca="1" si="15"/>
        <v>#REF!</v>
      </c>
      <c r="Y77" s="15" t="e">
        <f t="shared" ca="1" si="16"/>
        <v>#REF!</v>
      </c>
      <c r="Z77" s="47" t="e">
        <f t="shared" ca="1" si="17"/>
        <v>#REF!</v>
      </c>
      <c r="AA77" s="24"/>
      <c r="AB77" s="52">
        <f t="shared" si="22"/>
        <v>72</v>
      </c>
      <c r="AC77" s="53">
        <v>1.2047E-2</v>
      </c>
      <c r="AD77" s="53">
        <v>5.6369999999999996E-3</v>
      </c>
    </row>
    <row r="78" spans="1:30" ht="11.25" customHeight="1" x14ac:dyDescent="0.2">
      <c r="R78" s="43" t="e">
        <f t="shared" ca="1" si="18"/>
        <v>#REF!</v>
      </c>
      <c r="S78" s="44" t="e">
        <f t="shared" ca="1" si="21"/>
        <v>#REF!</v>
      </c>
      <c r="T78" s="45" t="e">
        <f t="shared" ca="1" si="19"/>
        <v>#REF!</v>
      </c>
      <c r="U78" s="15" t="e">
        <f t="shared" ca="1" si="20"/>
        <v>#REF!</v>
      </c>
      <c r="V78" s="15" t="e">
        <f t="shared" ca="1" si="13"/>
        <v>#REF!</v>
      </c>
      <c r="W78" s="15" t="e">
        <f t="shared" ca="1" si="14"/>
        <v>#REF!</v>
      </c>
      <c r="X78" s="46" t="e">
        <f t="shared" ca="1" si="15"/>
        <v>#REF!</v>
      </c>
      <c r="Y78" s="15" t="e">
        <f t="shared" ca="1" si="16"/>
        <v>#REF!</v>
      </c>
      <c r="Z78" s="47" t="e">
        <f t="shared" ca="1" si="17"/>
        <v>#REF!</v>
      </c>
      <c r="AA78" s="24"/>
      <c r="AB78" s="52">
        <f>+AB77+1</f>
        <v>73</v>
      </c>
      <c r="AC78" s="53">
        <v>1.3735000000000001E-2</v>
      </c>
      <c r="AD78" s="53">
        <v>6.5750000000000001E-3</v>
      </c>
    </row>
    <row r="79" spans="1:30" ht="11.25" customHeight="1" x14ac:dyDescent="0.2">
      <c r="R79" s="43" t="e">
        <f t="shared" ca="1" si="18"/>
        <v>#REF!</v>
      </c>
      <c r="S79" s="44" t="e">
        <f t="shared" ca="1" si="21"/>
        <v>#REF!</v>
      </c>
      <c r="T79" s="45" t="e">
        <f t="shared" ca="1" si="19"/>
        <v>#REF!</v>
      </c>
      <c r="U79" s="15" t="e">
        <f t="shared" ca="1" si="20"/>
        <v>#REF!</v>
      </c>
      <c r="V79" s="15" t="e">
        <f t="shared" ca="1" si="13"/>
        <v>#REF!</v>
      </c>
      <c r="W79" s="15" t="e">
        <f t="shared" ca="1" si="14"/>
        <v>#REF!</v>
      </c>
      <c r="X79" s="46" t="e">
        <f t="shared" ca="1" si="15"/>
        <v>#REF!</v>
      </c>
      <c r="Y79" s="15" t="e">
        <f t="shared" ca="1" si="16"/>
        <v>#REF!</v>
      </c>
      <c r="Z79" s="47" t="e">
        <f t="shared" ca="1" si="17"/>
        <v>#REF!</v>
      </c>
      <c r="AA79" s="24"/>
      <c r="AB79" s="52">
        <f t="shared" si="22"/>
        <v>74</v>
      </c>
      <c r="AC79" s="53">
        <v>1.5688000000000001E-2</v>
      </c>
      <c r="AD79" s="53">
        <v>7.6400000000000001E-3</v>
      </c>
    </row>
    <row r="80" spans="1:30" ht="11.25" customHeight="1" x14ac:dyDescent="0.2">
      <c r="R80" s="43" t="e">
        <f t="shared" ca="1" si="18"/>
        <v>#REF!</v>
      </c>
      <c r="S80" s="44" t="e">
        <f t="shared" ca="1" si="21"/>
        <v>#REF!</v>
      </c>
      <c r="T80" s="45" t="e">
        <f t="shared" ca="1" si="19"/>
        <v>#REF!</v>
      </c>
      <c r="U80" s="15" t="e">
        <f t="shared" ca="1" si="20"/>
        <v>#REF!</v>
      </c>
      <c r="V80" s="15" t="e">
        <f t="shared" ca="1" si="13"/>
        <v>#REF!</v>
      </c>
      <c r="W80" s="15" t="e">
        <f t="shared" ca="1" si="14"/>
        <v>#REF!</v>
      </c>
      <c r="X80" s="46" t="e">
        <f t="shared" ca="1" si="15"/>
        <v>#REF!</v>
      </c>
      <c r="Y80" s="15" t="e">
        <f t="shared" ca="1" si="16"/>
        <v>#REF!</v>
      </c>
      <c r="Z80" s="47" t="e">
        <f t="shared" ca="1" si="17"/>
        <v>#REF!</v>
      </c>
      <c r="AA80" s="24"/>
      <c r="AB80" s="52">
        <f>+AB79+1</f>
        <v>75</v>
      </c>
      <c r="AC80" s="53">
        <v>1.7767999999999999E-2</v>
      </c>
      <c r="AD80" s="53">
        <v>8.7720000000000003E-3</v>
      </c>
    </row>
    <row r="81" spans="18:43" ht="11.25" customHeight="1" x14ac:dyDescent="0.2">
      <c r="R81" s="43" t="e">
        <f t="shared" ca="1" si="18"/>
        <v>#REF!</v>
      </c>
      <c r="S81" s="44" t="e">
        <f t="shared" ca="1" si="21"/>
        <v>#REF!</v>
      </c>
      <c r="T81" s="45" t="e">
        <f t="shared" ca="1" si="19"/>
        <v>#REF!</v>
      </c>
      <c r="U81" s="15" t="e">
        <f t="shared" ca="1" si="20"/>
        <v>#REF!</v>
      </c>
      <c r="V81" s="15" t="e">
        <f t="shared" ca="1" si="13"/>
        <v>#REF!</v>
      </c>
      <c r="W81" s="15" t="e">
        <f t="shared" ca="1" si="14"/>
        <v>#REF!</v>
      </c>
      <c r="X81" s="46" t="e">
        <f t="shared" ca="1" si="15"/>
        <v>#REF!</v>
      </c>
      <c r="Y81" s="15" t="e">
        <f t="shared" ca="1" si="16"/>
        <v>#REF!</v>
      </c>
      <c r="Z81" s="47" t="e">
        <f t="shared" ca="1" si="17"/>
        <v>#REF!</v>
      </c>
      <c r="AA81" s="24"/>
      <c r="AB81" s="52">
        <f t="shared" si="22"/>
        <v>76</v>
      </c>
      <c r="AC81" s="53">
        <v>1.9973999999999999E-2</v>
      </c>
      <c r="AD81" s="53">
        <v>1.0071E-2</v>
      </c>
    </row>
    <row r="82" spans="18:43" ht="11.25" customHeight="1" x14ac:dyDescent="0.2">
      <c r="R82" s="43" t="e">
        <f t="shared" ca="1" si="18"/>
        <v>#REF!</v>
      </c>
      <c r="S82" s="44" t="e">
        <f t="shared" ca="1" si="21"/>
        <v>#REF!</v>
      </c>
      <c r="T82" s="45" t="e">
        <f t="shared" ca="1" si="19"/>
        <v>#REF!</v>
      </c>
      <c r="U82" s="15" t="e">
        <f t="shared" ca="1" si="20"/>
        <v>#REF!</v>
      </c>
      <c r="V82" s="15" t="e">
        <f t="shared" ca="1" si="13"/>
        <v>#REF!</v>
      </c>
      <c r="W82" s="15" t="e">
        <f t="shared" ca="1" si="14"/>
        <v>#REF!</v>
      </c>
      <c r="X82" s="46" t="e">
        <f t="shared" ca="1" si="15"/>
        <v>#REF!</v>
      </c>
      <c r="Y82" s="15" t="e">
        <f t="shared" ca="1" si="16"/>
        <v>#REF!</v>
      </c>
      <c r="Z82" s="47" t="e">
        <f t="shared" ca="1" si="17"/>
        <v>#REF!</v>
      </c>
      <c r="AA82" s="24"/>
      <c r="AB82" s="52">
        <f t="shared" si="22"/>
        <v>77</v>
      </c>
      <c r="AC82" s="53">
        <v>2.2443000000000001E-2</v>
      </c>
      <c r="AD82" s="53">
        <v>1.1734E-2</v>
      </c>
    </row>
    <row r="83" spans="18:43" ht="11.25" customHeight="1" x14ac:dyDescent="0.2">
      <c r="R83" s="43" t="e">
        <f t="shared" ca="1" si="18"/>
        <v>#REF!</v>
      </c>
      <c r="S83" s="44" t="e">
        <f t="shared" ca="1" si="21"/>
        <v>#REF!</v>
      </c>
      <c r="T83" s="45" t="e">
        <f t="shared" ca="1" si="19"/>
        <v>#REF!</v>
      </c>
      <c r="U83" s="15" t="e">
        <f t="shared" ca="1" si="20"/>
        <v>#REF!</v>
      </c>
      <c r="V83" s="15" t="e">
        <f t="shared" ca="1" si="13"/>
        <v>#REF!</v>
      </c>
      <c r="W83" s="15" t="e">
        <f t="shared" ca="1" si="14"/>
        <v>#REF!</v>
      </c>
      <c r="X83" s="46" t="e">
        <f t="shared" ca="1" si="15"/>
        <v>#REF!</v>
      </c>
      <c r="Y83" s="15" t="e">
        <f t="shared" ca="1" si="16"/>
        <v>#REF!</v>
      </c>
      <c r="Z83" s="47" t="e">
        <f t="shared" ca="1" si="17"/>
        <v>#REF!</v>
      </c>
      <c r="AA83" s="24"/>
      <c r="AB83" s="52">
        <f t="shared" si="22"/>
        <v>78</v>
      </c>
      <c r="AC83" s="53">
        <v>2.5295999999999999E-2</v>
      </c>
      <c r="AD83" s="53">
        <v>1.3884000000000001E-2</v>
      </c>
    </row>
    <row r="84" spans="18:43" ht="11.25" customHeight="1" x14ac:dyDescent="0.2">
      <c r="R84" s="43" t="e">
        <f t="shared" ca="1" si="18"/>
        <v>#REF!</v>
      </c>
      <c r="S84" s="44" t="e">
        <f t="shared" ca="1" si="21"/>
        <v>#REF!</v>
      </c>
      <c r="T84" s="45" t="e">
        <f t="shared" ca="1" si="19"/>
        <v>#REF!</v>
      </c>
      <c r="U84" s="15" t="e">
        <f t="shared" ca="1" si="20"/>
        <v>#REF!</v>
      </c>
      <c r="V84" s="15" t="e">
        <f t="shared" ca="1" si="13"/>
        <v>#REF!</v>
      </c>
      <c r="W84" s="15" t="e">
        <f t="shared" ca="1" si="14"/>
        <v>#REF!</v>
      </c>
      <c r="X84" s="46" t="e">
        <f t="shared" ca="1" si="15"/>
        <v>#REF!</v>
      </c>
      <c r="Y84" s="15" t="e">
        <f t="shared" ca="1" si="16"/>
        <v>#REF!</v>
      </c>
      <c r="Z84" s="47" t="e">
        <f t="shared" ca="1" si="17"/>
        <v>#REF!</v>
      </c>
      <c r="AA84" s="24"/>
      <c r="AB84" s="52">
        <f t="shared" si="22"/>
        <v>79</v>
      </c>
      <c r="AC84" s="53">
        <v>2.8386999999999999E-2</v>
      </c>
      <c r="AD84" s="53">
        <v>1.6324999999999999E-2</v>
      </c>
    </row>
    <row r="85" spans="18:43" ht="11.25" customHeight="1" x14ac:dyDescent="0.2">
      <c r="R85" s="43" t="e">
        <f t="shared" ca="1" si="18"/>
        <v>#REF!</v>
      </c>
      <c r="S85" s="44" t="e">
        <f t="shared" ca="1" si="21"/>
        <v>#REF!</v>
      </c>
      <c r="T85" s="45" t="e">
        <f t="shared" ca="1" si="19"/>
        <v>#REF!</v>
      </c>
      <c r="U85" s="15" t="e">
        <f t="shared" ca="1" si="20"/>
        <v>#REF!</v>
      </c>
      <c r="V85" s="15" t="e">
        <f t="shared" ca="1" si="13"/>
        <v>#REF!</v>
      </c>
      <c r="W85" s="15" t="e">
        <f t="shared" ca="1" si="14"/>
        <v>#REF!</v>
      </c>
      <c r="X85" s="46" t="e">
        <f t="shared" ca="1" si="15"/>
        <v>#REF!</v>
      </c>
      <c r="Y85" s="15" t="e">
        <f t="shared" ca="1" si="16"/>
        <v>#REF!</v>
      </c>
      <c r="Z85" s="47" t="e">
        <f t="shared" ca="1" si="17"/>
        <v>#REF!</v>
      </c>
      <c r="AA85" s="24"/>
      <c r="AB85" s="52">
        <f t="shared" si="22"/>
        <v>80</v>
      </c>
      <c r="AC85" s="53">
        <v>3.1599000000000002E-2</v>
      </c>
      <c r="AD85" s="53">
        <v>1.8917E-2</v>
      </c>
    </row>
    <row r="86" spans="18:43" ht="11.25" customHeight="1" x14ac:dyDescent="0.2">
      <c r="R86" s="43" t="e">
        <f t="shared" ca="1" si="18"/>
        <v>#REF!</v>
      </c>
      <c r="S86" s="44" t="e">
        <f t="shared" ca="1" si="21"/>
        <v>#REF!</v>
      </c>
      <c r="T86" s="45" t="e">
        <f t="shared" ca="1" si="19"/>
        <v>#REF!</v>
      </c>
      <c r="U86" s="15" t="e">
        <f t="shared" ca="1" si="20"/>
        <v>#REF!</v>
      </c>
      <c r="V86" s="15" t="e">
        <f t="shared" ca="1" si="13"/>
        <v>#REF!</v>
      </c>
      <c r="W86" s="15" t="e">
        <f t="shared" ca="1" si="14"/>
        <v>#REF!</v>
      </c>
      <c r="X86" s="46" t="e">
        <f t="shared" ca="1" si="15"/>
        <v>#REF!</v>
      </c>
      <c r="Y86" s="15" t="e">
        <f t="shared" ca="1" si="16"/>
        <v>#REF!</v>
      </c>
      <c r="Z86" s="47" t="e">
        <f t="shared" ca="1" si="17"/>
        <v>#REF!</v>
      </c>
      <c r="AA86" s="24"/>
      <c r="AB86" s="52">
        <f t="shared" si="22"/>
        <v>81</v>
      </c>
      <c r="AC86" s="53">
        <v>3.5007000000000003E-2</v>
      </c>
      <c r="AD86" s="53">
        <v>2.1784999999999999E-2</v>
      </c>
    </row>
    <row r="87" spans="18:43" ht="11.25" customHeight="1" x14ac:dyDescent="0.2">
      <c r="R87" s="43" t="e">
        <f t="shared" ca="1" si="18"/>
        <v>#REF!</v>
      </c>
      <c r="S87" s="44" t="e">
        <f t="shared" ca="1" si="21"/>
        <v>#REF!</v>
      </c>
      <c r="T87" s="45" t="e">
        <f t="shared" ca="1" si="19"/>
        <v>#REF!</v>
      </c>
      <c r="U87" s="15" t="e">
        <f t="shared" ca="1" si="20"/>
        <v>#REF!</v>
      </c>
      <c r="V87" s="15" t="e">
        <f t="shared" ca="1" si="13"/>
        <v>#REF!</v>
      </c>
      <c r="W87" s="15" t="e">
        <f t="shared" ca="1" si="14"/>
        <v>#REF!</v>
      </c>
      <c r="X87" s="46" t="e">
        <f t="shared" ca="1" si="15"/>
        <v>#REF!</v>
      </c>
      <c r="Y87" s="15" t="e">
        <f t="shared" ca="1" si="16"/>
        <v>#REF!</v>
      </c>
      <c r="Z87" s="47" t="e">
        <f t="shared" ca="1" si="17"/>
        <v>#REF!</v>
      </c>
      <c r="AA87" s="24"/>
      <c r="AB87" s="52">
        <f t="shared" si="22"/>
        <v>82</v>
      </c>
      <c r="AC87" s="53">
        <v>3.8837000000000003E-2</v>
      </c>
      <c r="AD87" s="53">
        <v>2.5250999999999999E-2</v>
      </c>
    </row>
    <row r="88" spans="18:43" ht="11.25" customHeight="1" x14ac:dyDescent="0.2">
      <c r="R88" s="43" t="e">
        <f t="shared" ca="1" si="18"/>
        <v>#REF!</v>
      </c>
      <c r="S88" s="44" t="e">
        <f t="shared" ca="1" si="21"/>
        <v>#REF!</v>
      </c>
      <c r="T88" s="45" t="e">
        <f t="shared" ca="1" si="19"/>
        <v>#REF!</v>
      </c>
      <c r="U88" s="15" t="e">
        <f t="shared" ca="1" si="20"/>
        <v>#REF!</v>
      </c>
      <c r="V88" s="15" t="e">
        <f t="shared" ca="1" si="13"/>
        <v>#REF!</v>
      </c>
      <c r="W88" s="15" t="e">
        <f t="shared" ca="1" si="14"/>
        <v>#REF!</v>
      </c>
      <c r="X88" s="46" t="e">
        <f t="shared" ca="1" si="15"/>
        <v>#REF!</v>
      </c>
      <c r="Y88" s="15" t="e">
        <f t="shared" ca="1" si="16"/>
        <v>#REF!</v>
      </c>
      <c r="Z88" s="47" t="e">
        <f t="shared" ca="1" si="17"/>
        <v>#REF!</v>
      </c>
      <c r="AA88" s="24"/>
      <c r="AB88" s="52">
        <f t="shared" si="22"/>
        <v>83</v>
      </c>
      <c r="AC88" s="53">
        <v>4.3249999999999997E-2</v>
      </c>
      <c r="AD88" s="53">
        <v>2.9531999999999999E-2</v>
      </c>
    </row>
    <row r="89" spans="18:43" ht="11.25" customHeight="1" x14ac:dyDescent="0.2">
      <c r="R89" s="43" t="e">
        <f t="shared" ca="1" si="18"/>
        <v>#REF!</v>
      </c>
      <c r="S89" s="44" t="e">
        <f t="shared" ca="1" si="21"/>
        <v>#REF!</v>
      </c>
      <c r="T89" s="45" t="e">
        <f t="shared" ca="1" si="19"/>
        <v>#REF!</v>
      </c>
      <c r="U89" s="15" t="e">
        <f t="shared" ca="1" si="20"/>
        <v>#REF!</v>
      </c>
      <c r="V89" s="15" t="e">
        <f t="shared" ca="1" si="13"/>
        <v>#REF!</v>
      </c>
      <c r="W89" s="15" t="e">
        <f t="shared" ca="1" si="14"/>
        <v>#REF!</v>
      </c>
      <c r="X89" s="46" t="e">
        <f t="shared" ca="1" si="15"/>
        <v>#REF!</v>
      </c>
      <c r="Y89" s="15" t="e">
        <f t="shared" ca="1" si="16"/>
        <v>#REF!</v>
      </c>
      <c r="Z89" s="47" t="e">
        <f t="shared" ca="1" si="17"/>
        <v>#REF!</v>
      </c>
      <c r="AA89" s="24"/>
      <c r="AB89" s="52">
        <f t="shared" si="22"/>
        <v>84</v>
      </c>
      <c r="AC89" s="53">
        <v>4.802E-2</v>
      </c>
      <c r="AD89" s="53">
        <v>3.4264000000000003E-2</v>
      </c>
    </row>
    <row r="90" spans="18:43" ht="11.25" customHeight="1" x14ac:dyDescent="0.2">
      <c r="R90" s="43" t="e">
        <f t="shared" ca="1" si="18"/>
        <v>#REF!</v>
      </c>
      <c r="S90" s="44" t="e">
        <f t="shared" ca="1" si="21"/>
        <v>#REF!</v>
      </c>
      <c r="T90" s="45" t="e">
        <f t="shared" ca="1" si="19"/>
        <v>#REF!</v>
      </c>
      <c r="U90" s="15" t="e">
        <f t="shared" ca="1" si="20"/>
        <v>#REF!</v>
      </c>
      <c r="V90" s="15" t="e">
        <f t="shared" ca="1" si="13"/>
        <v>#REF!</v>
      </c>
      <c r="W90" s="15" t="e">
        <f t="shared" ca="1" si="14"/>
        <v>#REF!</v>
      </c>
      <c r="X90" s="46" t="e">
        <f t="shared" ca="1" si="15"/>
        <v>#REF!</v>
      </c>
      <c r="Y90" s="15" t="e">
        <f t="shared" ca="1" si="16"/>
        <v>#REF!</v>
      </c>
      <c r="Z90" s="47" t="e">
        <f t="shared" ca="1" si="17"/>
        <v>#REF!</v>
      </c>
      <c r="AA90" s="24"/>
      <c r="AB90" s="52">
        <f t="shared" si="22"/>
        <v>85</v>
      </c>
      <c r="AC90" s="53">
        <v>5.2970999999999997E-2</v>
      </c>
      <c r="AD90" s="53">
        <v>3.9238000000000002E-2</v>
      </c>
    </row>
    <row r="91" spans="18:43" ht="11.25" customHeight="1" x14ac:dyDescent="0.2">
      <c r="R91" s="43" t="e">
        <f t="shared" ca="1" si="18"/>
        <v>#REF!</v>
      </c>
      <c r="S91" s="44" t="e">
        <f t="shared" ca="1" si="21"/>
        <v>#REF!</v>
      </c>
      <c r="T91" s="45" t="e">
        <f t="shared" ca="1" si="19"/>
        <v>#REF!</v>
      </c>
      <c r="U91" s="15" t="e">
        <f t="shared" ca="1" si="20"/>
        <v>#REF!</v>
      </c>
      <c r="V91" s="15" t="e">
        <f t="shared" ca="1" si="13"/>
        <v>#REF!</v>
      </c>
      <c r="W91" s="15" t="e">
        <f t="shared" ca="1" si="14"/>
        <v>#REF!</v>
      </c>
      <c r="X91" s="46" t="e">
        <f t="shared" ca="1" si="15"/>
        <v>#REF!</v>
      </c>
      <c r="Y91" s="15" t="e">
        <f t="shared" ca="1" si="16"/>
        <v>#REF!</v>
      </c>
      <c r="Z91" s="47" t="e">
        <f t="shared" ca="1" si="17"/>
        <v>#REF!</v>
      </c>
      <c r="AA91" s="24"/>
      <c r="AB91" s="52">
        <f t="shared" si="22"/>
        <v>86</v>
      </c>
      <c r="AC91" s="53">
        <v>5.8229000000000003E-2</v>
      </c>
      <c r="AD91" s="53">
        <v>4.4787E-2</v>
      </c>
    </row>
    <row r="92" spans="18:43" ht="11.25" customHeight="1" x14ac:dyDescent="0.2">
      <c r="R92" s="43" t="e">
        <f t="shared" ca="1" si="18"/>
        <v>#REF!</v>
      </c>
      <c r="S92" s="44" t="e">
        <f t="shared" ca="1" si="21"/>
        <v>#REF!</v>
      </c>
      <c r="T92" s="45" t="e">
        <f t="shared" ca="1" si="19"/>
        <v>#REF!</v>
      </c>
      <c r="U92" s="15" t="e">
        <f t="shared" ca="1" si="20"/>
        <v>#REF!</v>
      </c>
      <c r="V92" s="15" t="e">
        <f t="shared" ca="1" si="13"/>
        <v>#REF!</v>
      </c>
      <c r="W92" s="15" t="e">
        <f t="shared" ca="1" si="14"/>
        <v>#REF!</v>
      </c>
      <c r="X92" s="46" t="e">
        <f t="shared" ca="1" si="15"/>
        <v>#REF!</v>
      </c>
      <c r="Y92" s="15" t="e">
        <f t="shared" ca="1" si="16"/>
        <v>#REF!</v>
      </c>
      <c r="Z92" s="47" t="e">
        <f t="shared" ca="1" si="17"/>
        <v>#REF!</v>
      </c>
      <c r="AA92" s="24"/>
      <c r="AB92" s="52">
        <f t="shared" si="22"/>
        <v>87</v>
      </c>
      <c r="AC92" s="53">
        <v>6.4144999999999994E-2</v>
      </c>
      <c r="AD92" s="53">
        <v>5.1588000000000002E-2</v>
      </c>
    </row>
    <row r="93" spans="18:43" ht="11.25" customHeight="1" x14ac:dyDescent="0.2">
      <c r="R93" s="43" t="e">
        <f t="shared" ca="1" si="18"/>
        <v>#REF!</v>
      </c>
      <c r="S93" s="44" t="e">
        <f t="shared" ca="1" si="21"/>
        <v>#REF!</v>
      </c>
      <c r="T93" s="45" t="e">
        <f t="shared" ca="1" si="19"/>
        <v>#REF!</v>
      </c>
      <c r="U93" s="15" t="e">
        <f t="shared" ca="1" si="20"/>
        <v>#REF!</v>
      </c>
      <c r="V93" s="15" t="e">
        <f t="shared" ca="1" si="13"/>
        <v>#REF!</v>
      </c>
      <c r="W93" s="15" t="e">
        <f t="shared" ca="1" si="14"/>
        <v>#REF!</v>
      </c>
      <c r="X93" s="46" t="e">
        <f t="shared" ca="1" si="15"/>
        <v>#REF!</v>
      </c>
      <c r="Y93" s="15" t="e">
        <f t="shared" ca="1" si="16"/>
        <v>#REF!</v>
      </c>
      <c r="Z93" s="47" t="e">
        <f t="shared" ca="1" si="17"/>
        <v>#REF!</v>
      </c>
      <c r="AA93" s="24"/>
      <c r="AB93" s="52">
        <f t="shared" si="22"/>
        <v>88</v>
      </c>
      <c r="AC93" s="53">
        <v>7.0967000000000002E-2</v>
      </c>
      <c r="AD93" s="53">
        <v>6.0066000000000001E-2</v>
      </c>
    </row>
    <row r="94" spans="18:43" ht="11.25" customHeight="1" x14ac:dyDescent="0.2">
      <c r="R94" s="43" t="e">
        <f t="shared" ca="1" si="18"/>
        <v>#REF!</v>
      </c>
      <c r="S94" s="44" t="e">
        <f t="shared" ca="1" si="21"/>
        <v>#REF!</v>
      </c>
      <c r="T94" s="45" t="e">
        <f t="shared" ca="1" si="19"/>
        <v>#REF!</v>
      </c>
      <c r="U94" s="15" t="e">
        <f t="shared" ca="1" si="20"/>
        <v>#REF!</v>
      </c>
      <c r="V94" s="15" t="e">
        <f t="shared" ca="1" si="13"/>
        <v>#REF!</v>
      </c>
      <c r="W94" s="15" t="e">
        <f t="shared" ca="1" si="14"/>
        <v>#REF!</v>
      </c>
      <c r="X94" s="46" t="e">
        <f t="shared" ca="1" si="15"/>
        <v>#REF!</v>
      </c>
      <c r="Y94" s="15" t="e">
        <f t="shared" ca="1" si="16"/>
        <v>#REF!</v>
      </c>
      <c r="Z94" s="47" t="e">
        <f t="shared" ca="1" si="17"/>
        <v>#REF!</v>
      </c>
      <c r="AA94" s="24"/>
      <c r="AB94" s="52">
        <f t="shared" si="22"/>
        <v>89</v>
      </c>
      <c r="AC94" s="53">
        <v>7.8386999999999998E-2</v>
      </c>
      <c r="AD94" s="53">
        <v>6.9719000000000003E-2</v>
      </c>
    </row>
    <row r="95" spans="18:43" ht="11.25" customHeight="1" x14ac:dyDescent="0.2">
      <c r="R95" s="43" t="e">
        <f t="shared" ca="1" si="18"/>
        <v>#REF!</v>
      </c>
      <c r="S95" s="44" t="e">
        <f t="shared" ca="1" si="21"/>
        <v>#REF!</v>
      </c>
      <c r="T95" s="45" t="e">
        <f t="shared" ca="1" si="19"/>
        <v>#REF!</v>
      </c>
      <c r="U95" s="15" t="e">
        <f t="shared" ca="1" si="20"/>
        <v>#REF!</v>
      </c>
      <c r="V95" s="15" t="e">
        <f t="shared" ca="1" si="13"/>
        <v>#REF!</v>
      </c>
      <c r="W95" s="15" t="e">
        <f t="shared" ca="1" si="14"/>
        <v>#REF!</v>
      </c>
      <c r="X95" s="46" t="e">
        <f t="shared" ca="1" si="15"/>
        <v>#REF!</v>
      </c>
      <c r="Y95" s="15" t="e">
        <f t="shared" ca="1" si="16"/>
        <v>#REF!</v>
      </c>
      <c r="Z95" s="47" t="e">
        <f t="shared" ca="1" si="17"/>
        <v>#REF!</v>
      </c>
      <c r="AA95" s="24"/>
      <c r="AB95" s="52">
        <f t="shared" si="22"/>
        <v>90</v>
      </c>
      <c r="AC95" s="53">
        <v>8.6098999999999995E-2</v>
      </c>
      <c r="AD95" s="53">
        <v>7.9930000000000001E-2</v>
      </c>
      <c r="AQ95" s="97" t="s">
        <v>128</v>
      </c>
    </row>
    <row r="96" spans="18:43" ht="11.25" customHeight="1" x14ac:dyDescent="0.2">
      <c r="R96" s="43" t="e">
        <f t="shared" ca="1" si="18"/>
        <v>#REF!</v>
      </c>
      <c r="S96" s="44" t="e">
        <f t="shared" ca="1" si="21"/>
        <v>#REF!</v>
      </c>
      <c r="T96" s="45" t="e">
        <f t="shared" ca="1" si="19"/>
        <v>#REF!</v>
      </c>
      <c r="U96" s="15" t="e">
        <f t="shared" ca="1" si="20"/>
        <v>#REF!</v>
      </c>
      <c r="V96" s="15" t="e">
        <f t="shared" ca="1" si="13"/>
        <v>#REF!</v>
      </c>
      <c r="W96" s="15" t="e">
        <f t="shared" ca="1" si="14"/>
        <v>#REF!</v>
      </c>
      <c r="X96" s="46" t="e">
        <f t="shared" ca="1" si="15"/>
        <v>#REF!</v>
      </c>
      <c r="Y96" s="15" t="e">
        <f t="shared" ca="1" si="16"/>
        <v>#REF!</v>
      </c>
      <c r="Z96" s="47" t="e">
        <f t="shared" ca="1" si="17"/>
        <v>#REF!</v>
      </c>
      <c r="AA96" s="24"/>
      <c r="AB96" s="52">
        <f t="shared" si="22"/>
        <v>91</v>
      </c>
      <c r="AC96" s="53">
        <v>9.4170000000000004E-2</v>
      </c>
      <c r="AD96" s="53">
        <v>9.0604000000000004E-2</v>
      </c>
    </row>
    <row r="97" spans="18:30" ht="11.25" customHeight="1" x14ac:dyDescent="0.2">
      <c r="R97" s="43" t="e">
        <f t="shared" ca="1" si="18"/>
        <v>#REF!</v>
      </c>
      <c r="S97" s="44" t="e">
        <f t="shared" ca="1" si="21"/>
        <v>#REF!</v>
      </c>
      <c r="T97" s="45" t="e">
        <f t="shared" ca="1" si="19"/>
        <v>#REF!</v>
      </c>
      <c r="U97" s="15" t="e">
        <f t="shared" ca="1" si="20"/>
        <v>#REF!</v>
      </c>
      <c r="V97" s="15" t="e">
        <f t="shared" ca="1" si="13"/>
        <v>#REF!</v>
      </c>
      <c r="W97" s="15" t="e">
        <f t="shared" ca="1" si="14"/>
        <v>#REF!</v>
      </c>
      <c r="X97" s="46" t="e">
        <f t="shared" ca="1" si="15"/>
        <v>#REF!</v>
      </c>
      <c r="Y97" s="15" t="e">
        <f t="shared" ca="1" si="16"/>
        <v>#REF!</v>
      </c>
      <c r="Z97" s="47" t="e">
        <f t="shared" ca="1" si="17"/>
        <v>#REF!</v>
      </c>
      <c r="AA97" s="24"/>
      <c r="AB97" s="52">
        <f t="shared" si="22"/>
        <v>92</v>
      </c>
      <c r="AC97" s="53">
        <v>0.102996</v>
      </c>
      <c r="AD97" s="53">
        <v>0.10222299999999999</v>
      </c>
    </row>
    <row r="98" spans="18:30" ht="11.25" customHeight="1" x14ac:dyDescent="0.2">
      <c r="R98" s="43" t="e">
        <f t="shared" ca="1" si="18"/>
        <v>#REF!</v>
      </c>
      <c r="S98" s="44" t="e">
        <f t="shared" ca="1" si="21"/>
        <v>#REF!</v>
      </c>
      <c r="T98" s="45" t="e">
        <f t="shared" ca="1" si="19"/>
        <v>#REF!</v>
      </c>
      <c r="U98" s="15" t="e">
        <f t="shared" ca="1" si="20"/>
        <v>#REF!</v>
      </c>
      <c r="V98" s="15" t="e">
        <f t="shared" ca="1" si="13"/>
        <v>#REF!</v>
      </c>
      <c r="W98" s="15" t="e">
        <f t="shared" ca="1" si="14"/>
        <v>#REF!</v>
      </c>
      <c r="X98" s="46" t="e">
        <f t="shared" ca="1" si="15"/>
        <v>#REF!</v>
      </c>
      <c r="Y98" s="15" t="e">
        <f t="shared" ca="1" si="16"/>
        <v>#REF!</v>
      </c>
      <c r="Z98" s="47" t="e">
        <f t="shared" ca="1" si="17"/>
        <v>#REF!</v>
      </c>
      <c r="AA98" s="24"/>
      <c r="AB98" s="52">
        <f t="shared" si="22"/>
        <v>93</v>
      </c>
      <c r="AC98" s="53">
        <v>0.1129</v>
      </c>
      <c r="AD98" s="53">
        <v>0.104642</v>
      </c>
    </row>
    <row r="99" spans="18:30" ht="11.25" customHeight="1" x14ac:dyDescent="0.2">
      <c r="R99" s="43" t="e">
        <f t="shared" ca="1" si="18"/>
        <v>#REF!</v>
      </c>
      <c r="S99" s="44" t="e">
        <f t="shared" ca="1" si="21"/>
        <v>#REF!</v>
      </c>
      <c r="T99" s="45" t="e">
        <f t="shared" ca="1" si="19"/>
        <v>#REF!</v>
      </c>
      <c r="U99" s="15" t="e">
        <f t="shared" ca="1" si="20"/>
        <v>#REF!</v>
      </c>
      <c r="V99" s="15" t="e">
        <f t="shared" ca="1" si="13"/>
        <v>#REF!</v>
      </c>
      <c r="W99" s="15" t="e">
        <f t="shared" ca="1" si="14"/>
        <v>#REF!</v>
      </c>
      <c r="X99" s="46" t="e">
        <f t="shared" ca="1" si="15"/>
        <v>#REF!</v>
      </c>
      <c r="Y99" s="15" t="e">
        <f t="shared" ca="1" si="16"/>
        <v>#REF!</v>
      </c>
      <c r="Z99" s="47" t="e">
        <f t="shared" ca="1" si="17"/>
        <v>#REF!</v>
      </c>
      <c r="AA99" s="24"/>
      <c r="AB99" s="52">
        <f t="shared" si="22"/>
        <v>94</v>
      </c>
      <c r="AC99" s="53">
        <v>0.123458</v>
      </c>
      <c r="AD99" s="53">
        <v>0.12028700000000001</v>
      </c>
    </row>
    <row r="100" spans="18:30" ht="11.25" customHeight="1" x14ac:dyDescent="0.2">
      <c r="R100" s="43" t="e">
        <f t="shared" ca="1" si="18"/>
        <v>#REF!</v>
      </c>
      <c r="S100" s="44" t="e">
        <f t="shared" ca="1" si="21"/>
        <v>#REF!</v>
      </c>
      <c r="T100" s="45" t="e">
        <f t="shared" ca="1" si="19"/>
        <v>#REF!</v>
      </c>
      <c r="U100" s="15" t="e">
        <f t="shared" ca="1" si="20"/>
        <v>#REF!</v>
      </c>
      <c r="V100" s="15" t="e">
        <f t="shared" ca="1" si="13"/>
        <v>#REF!</v>
      </c>
      <c r="W100" s="15" t="e">
        <f t="shared" ca="1" si="14"/>
        <v>#REF!</v>
      </c>
      <c r="X100" s="46" t="e">
        <f t="shared" ca="1" si="15"/>
        <v>#REF!</v>
      </c>
      <c r="Y100" s="15" t="e">
        <f t="shared" ca="1" si="16"/>
        <v>#REF!</v>
      </c>
      <c r="Z100" s="47" t="e">
        <f t="shared" ca="1" si="17"/>
        <v>#REF!</v>
      </c>
      <c r="AB100" s="52">
        <f t="shared" si="22"/>
        <v>95</v>
      </c>
      <c r="AC100" s="53">
        <v>0.13435</v>
      </c>
      <c r="AD100" s="53">
        <v>0.13189899999999999</v>
      </c>
    </row>
    <row r="101" spans="18:30" ht="11.25" customHeight="1" x14ac:dyDescent="0.2">
      <c r="R101" s="43" t="e">
        <f t="shared" ca="1" si="18"/>
        <v>#REF!</v>
      </c>
      <c r="S101" s="44" t="e">
        <f t="shared" ca="1" si="21"/>
        <v>#REF!</v>
      </c>
      <c r="T101" s="45" t="e">
        <f t="shared" ca="1" si="19"/>
        <v>#REF!</v>
      </c>
      <c r="U101" s="15" t="e">
        <f t="shared" ca="1" si="20"/>
        <v>#REF!</v>
      </c>
      <c r="V101" s="15" t="e">
        <f t="shared" ca="1" si="13"/>
        <v>#REF!</v>
      </c>
      <c r="W101" s="15" t="e">
        <f t="shared" ca="1" si="14"/>
        <v>#REF!</v>
      </c>
      <c r="X101" s="46" t="e">
        <f t="shared" ca="1" si="15"/>
        <v>#REF!</v>
      </c>
      <c r="Y101" s="15" t="e">
        <f t="shared" ca="1" si="16"/>
        <v>#REF!</v>
      </c>
      <c r="Z101" s="47" t="e">
        <f t="shared" ca="1" si="17"/>
        <v>#REF!</v>
      </c>
      <c r="AB101" s="52">
        <f t="shared" si="22"/>
        <v>96</v>
      </c>
      <c r="AC101" s="53">
        <v>0.14582899999999999</v>
      </c>
      <c r="AD101" s="53">
        <v>0.14332800000000001</v>
      </c>
    </row>
    <row r="102" spans="18:30" ht="11.25" customHeight="1" x14ac:dyDescent="0.2">
      <c r="R102" s="43" t="e">
        <f t="shared" ca="1" si="18"/>
        <v>#REF!</v>
      </c>
      <c r="S102" s="44" t="e">
        <f t="shared" ca="1" si="21"/>
        <v>#REF!</v>
      </c>
      <c r="T102" s="45" t="e">
        <f t="shared" ca="1" si="19"/>
        <v>#REF!</v>
      </c>
      <c r="U102" s="15" t="e">
        <f t="shared" ca="1" si="20"/>
        <v>#REF!</v>
      </c>
      <c r="V102" s="15" t="e">
        <f t="shared" ca="1" si="13"/>
        <v>#REF!</v>
      </c>
      <c r="W102" s="15" t="e">
        <f t="shared" ca="1" si="14"/>
        <v>#REF!</v>
      </c>
      <c r="X102" s="46" t="e">
        <f t="shared" ca="1" si="15"/>
        <v>#REF!</v>
      </c>
      <c r="Y102" s="15" t="e">
        <f t="shared" ca="1" si="16"/>
        <v>#REF!</v>
      </c>
      <c r="Z102" s="47" t="e">
        <f t="shared" ca="1" si="17"/>
        <v>#REF!</v>
      </c>
      <c r="AB102" s="52">
        <f t="shared" si="22"/>
        <v>97</v>
      </c>
      <c r="AC102" s="53">
        <v>0.15856999999999999</v>
      </c>
      <c r="AD102" s="53">
        <v>0.15601300000000001</v>
      </c>
    </row>
    <row r="103" spans="18:30" ht="11.25" customHeight="1" x14ac:dyDescent="0.2">
      <c r="R103" s="43" t="e">
        <f t="shared" ca="1" si="18"/>
        <v>#REF!</v>
      </c>
      <c r="S103" s="44" t="e">
        <f t="shared" ca="1" si="21"/>
        <v>#REF!</v>
      </c>
      <c r="T103" s="45" t="e">
        <f t="shared" ca="1" si="19"/>
        <v>#REF!</v>
      </c>
      <c r="U103" s="15" t="e">
        <f t="shared" ca="1" si="20"/>
        <v>#REF!</v>
      </c>
      <c r="V103" s="15" t="e">
        <f t="shared" ca="1" si="13"/>
        <v>#REF!</v>
      </c>
      <c r="W103" s="15" t="e">
        <f t="shared" ca="1" si="14"/>
        <v>#REF!</v>
      </c>
      <c r="X103" s="46" t="e">
        <f t="shared" ca="1" si="15"/>
        <v>#REF!</v>
      </c>
      <c r="Y103" s="15" t="e">
        <f t="shared" ca="1" si="16"/>
        <v>#REF!</v>
      </c>
      <c r="Z103" s="47" t="e">
        <f t="shared" ca="1" si="17"/>
        <v>#REF!</v>
      </c>
      <c r="AB103" s="52">
        <f t="shared" si="22"/>
        <v>98</v>
      </c>
      <c r="AC103" s="53">
        <v>0.173042</v>
      </c>
      <c r="AD103" s="53">
        <v>0.17044899999999999</v>
      </c>
    </row>
    <row r="104" spans="18:30" ht="11.25" customHeight="1" x14ac:dyDescent="0.2">
      <c r="R104" s="43" t="e">
        <f t="shared" ca="1" si="18"/>
        <v>#REF!</v>
      </c>
      <c r="S104" s="44" t="e">
        <f t="shared" ca="1" si="21"/>
        <v>#REF!</v>
      </c>
      <c r="T104" s="45" t="e">
        <f t="shared" ca="1" si="19"/>
        <v>#REF!</v>
      </c>
      <c r="U104" s="15" t="e">
        <f t="shared" ca="1" si="20"/>
        <v>#REF!</v>
      </c>
      <c r="V104" s="15" t="e">
        <f t="shared" ca="1" si="13"/>
        <v>#REF!</v>
      </c>
      <c r="W104" s="15" t="e">
        <f t="shared" ca="1" si="14"/>
        <v>#REF!</v>
      </c>
      <c r="X104" s="46" t="e">
        <f t="shared" ca="1" si="15"/>
        <v>#REF!</v>
      </c>
      <c r="Y104" s="15" t="e">
        <f t="shared" ca="1" si="16"/>
        <v>#REF!</v>
      </c>
      <c r="Z104" s="47" t="e">
        <f t="shared" ca="1" si="17"/>
        <v>#REF!</v>
      </c>
      <c r="AB104" s="52">
        <f t="shared" si="22"/>
        <v>99</v>
      </c>
      <c r="AC104" s="53">
        <v>0.18863099999999999</v>
      </c>
      <c r="AD104" s="53">
        <v>0.18599199999999999</v>
      </c>
    </row>
    <row r="105" spans="18:30" ht="11.25" customHeight="1" x14ac:dyDescent="0.2">
      <c r="R105" s="43" t="e">
        <f t="shared" ca="1" si="18"/>
        <v>#REF!</v>
      </c>
      <c r="S105" s="44" t="e">
        <f t="shared" ca="1" si="21"/>
        <v>#REF!</v>
      </c>
      <c r="T105" s="45" t="e">
        <f t="shared" ca="1" si="19"/>
        <v>#REF!</v>
      </c>
      <c r="U105" s="15" t="e">
        <f t="shared" ca="1" si="20"/>
        <v>#REF!</v>
      </c>
      <c r="V105" s="15" t="e">
        <f t="shared" ca="1" si="13"/>
        <v>#REF!</v>
      </c>
      <c r="W105" s="15" t="e">
        <f t="shared" ca="1" si="14"/>
        <v>#REF!</v>
      </c>
      <c r="X105" s="46" t="e">
        <f t="shared" ca="1" si="15"/>
        <v>#REF!</v>
      </c>
      <c r="Y105" s="15" t="e">
        <f t="shared" ca="1" si="16"/>
        <v>#REF!</v>
      </c>
      <c r="Z105" s="47" t="e">
        <f t="shared" ca="1" si="17"/>
        <v>#REF!</v>
      </c>
      <c r="AB105" s="52">
        <f t="shared" si="22"/>
        <v>100</v>
      </c>
      <c r="AC105" s="53">
        <v>0.20477300000000001</v>
      </c>
      <c r="AD105" s="53">
        <v>0.20211799999999999</v>
      </c>
    </row>
    <row r="106" spans="18:30" ht="11.25" customHeight="1" x14ac:dyDescent="0.2">
      <c r="R106" s="43" t="e">
        <f t="shared" ca="1" si="18"/>
        <v>#REF!</v>
      </c>
      <c r="S106" s="44" t="e">
        <f t="shared" ca="1" si="21"/>
        <v>#REF!</v>
      </c>
      <c r="T106" s="45" t="e">
        <f t="shared" ca="1" si="19"/>
        <v>#REF!</v>
      </c>
      <c r="U106" s="15" t="e">
        <f t="shared" ca="1" si="20"/>
        <v>#REF!</v>
      </c>
      <c r="V106" s="15" t="e">
        <f t="shared" ca="1" si="13"/>
        <v>#REF!</v>
      </c>
      <c r="W106" s="15" t="e">
        <f t="shared" ca="1" si="14"/>
        <v>#REF!</v>
      </c>
      <c r="X106" s="46" t="e">
        <f t="shared" ca="1" si="15"/>
        <v>#REF!</v>
      </c>
      <c r="Y106" s="15" t="e">
        <f t="shared" ca="1" si="16"/>
        <v>#REF!</v>
      </c>
      <c r="Z106" s="47" t="e">
        <f t="shared" ca="1" si="17"/>
        <v>#REF!</v>
      </c>
      <c r="AB106" s="52">
        <f t="shared" si="22"/>
        <v>101</v>
      </c>
      <c r="AC106" s="53">
        <v>0.221668</v>
      </c>
      <c r="AD106" s="53">
        <v>0.219051</v>
      </c>
    </row>
    <row r="107" spans="18:30" ht="11.25" customHeight="1" x14ac:dyDescent="0.2">
      <c r="R107" s="43" t="e">
        <f t="shared" ca="1" si="18"/>
        <v>#REF!</v>
      </c>
      <c r="S107" s="44" t="e">
        <f t="shared" ca="1" si="21"/>
        <v>#REF!</v>
      </c>
      <c r="T107" s="45" t="e">
        <f t="shared" ca="1" si="19"/>
        <v>#REF!</v>
      </c>
      <c r="U107" s="15" t="e">
        <f t="shared" ca="1" si="20"/>
        <v>#REF!</v>
      </c>
      <c r="V107" s="15" t="e">
        <f t="shared" ca="1" si="13"/>
        <v>#REF!</v>
      </c>
      <c r="W107" s="15" t="e">
        <f t="shared" ca="1" si="14"/>
        <v>#REF!</v>
      </c>
      <c r="X107" s="46" t="e">
        <f t="shared" ca="1" si="15"/>
        <v>#REF!</v>
      </c>
      <c r="Y107" s="15" t="e">
        <f t="shared" ca="1" si="16"/>
        <v>#REF!</v>
      </c>
      <c r="Z107" s="47" t="e">
        <f t="shared" ca="1" si="17"/>
        <v>#REF!</v>
      </c>
      <c r="AB107" s="52">
        <f t="shared" si="22"/>
        <v>102</v>
      </c>
      <c r="AC107" s="53">
        <v>0.24016199999999999</v>
      </c>
      <c r="AD107" s="53">
        <v>0.23757900000000001</v>
      </c>
    </row>
    <row r="108" spans="18:30" ht="11.25" customHeight="1" x14ac:dyDescent="0.2">
      <c r="R108" s="43" t="e">
        <f t="shared" ca="1" si="18"/>
        <v>#REF!</v>
      </c>
      <c r="S108" s="44" t="e">
        <f t="shared" ca="1" si="21"/>
        <v>#REF!</v>
      </c>
      <c r="T108" s="45" t="e">
        <f t="shared" ca="1" si="19"/>
        <v>#REF!</v>
      </c>
      <c r="U108" s="15" t="e">
        <f t="shared" ca="1" si="20"/>
        <v>#REF!</v>
      </c>
      <c r="V108" s="15" t="e">
        <f t="shared" ca="1" si="13"/>
        <v>#REF!</v>
      </c>
      <c r="W108" s="15" t="e">
        <f t="shared" ca="1" si="14"/>
        <v>#REF!</v>
      </c>
      <c r="X108" s="46" t="e">
        <f t="shared" ca="1" si="15"/>
        <v>#REF!</v>
      </c>
      <c r="Y108" s="15" t="e">
        <f t="shared" ca="1" si="16"/>
        <v>#REF!</v>
      </c>
      <c r="Z108" s="47" t="e">
        <f t="shared" ca="1" si="17"/>
        <v>#REF!</v>
      </c>
      <c r="AB108" s="52">
        <f t="shared" si="22"/>
        <v>103</v>
      </c>
      <c r="AC108" s="53">
        <v>0.26090799999999997</v>
      </c>
      <c r="AD108" s="53">
        <v>0.25838</v>
      </c>
    </row>
    <row r="109" spans="18:30" ht="11.25" customHeight="1" x14ac:dyDescent="0.2">
      <c r="R109" s="43" t="e">
        <f t="shared" ca="1" si="18"/>
        <v>#REF!</v>
      </c>
      <c r="S109" s="44" t="e">
        <f t="shared" ca="1" si="21"/>
        <v>#REF!</v>
      </c>
      <c r="T109" s="45" t="e">
        <f t="shared" ca="1" si="19"/>
        <v>#REF!</v>
      </c>
      <c r="U109" s="15" t="e">
        <f t="shared" ca="1" si="20"/>
        <v>#REF!</v>
      </c>
      <c r="V109" s="15" t="e">
        <f t="shared" ca="1" si="13"/>
        <v>#REF!</v>
      </c>
      <c r="W109" s="15" t="e">
        <f t="shared" ca="1" si="14"/>
        <v>#REF!</v>
      </c>
      <c r="X109" s="46" t="e">
        <f t="shared" ca="1" si="15"/>
        <v>#REF!</v>
      </c>
      <c r="Y109" s="15" t="e">
        <f t="shared" ca="1" si="16"/>
        <v>#REF!</v>
      </c>
      <c r="Z109" s="47" t="e">
        <f t="shared" ca="1" si="17"/>
        <v>#REF!</v>
      </c>
      <c r="AB109" s="52">
        <f t="shared" si="22"/>
        <v>104</v>
      </c>
      <c r="AC109" s="53">
        <v>0.27562300000000001</v>
      </c>
      <c r="AD109" s="53">
        <v>0.273254</v>
      </c>
    </row>
    <row r="110" spans="18:30" ht="11.25" customHeight="1" x14ac:dyDescent="0.2">
      <c r="R110" s="43" t="e">
        <f t="shared" ca="1" si="18"/>
        <v>#REF!</v>
      </c>
      <c r="S110" s="44" t="e">
        <f t="shared" ca="1" si="21"/>
        <v>#REF!</v>
      </c>
      <c r="T110" s="45" t="e">
        <f t="shared" ca="1" si="19"/>
        <v>#REF!</v>
      </c>
      <c r="U110" s="15" t="e">
        <f t="shared" ca="1" si="20"/>
        <v>#REF!</v>
      </c>
      <c r="V110" s="15" t="e">
        <f t="shared" ca="1" si="13"/>
        <v>#REF!</v>
      </c>
      <c r="W110" s="15" t="e">
        <f t="shared" ca="1" si="14"/>
        <v>#REF!</v>
      </c>
      <c r="X110" s="46" t="e">
        <f t="shared" ca="1" si="15"/>
        <v>#REF!</v>
      </c>
      <c r="Y110" s="15" t="e">
        <f t="shared" ca="1" si="16"/>
        <v>#REF!</v>
      </c>
      <c r="Z110" s="47" t="e">
        <f t="shared" ca="1" si="17"/>
        <v>#REF!</v>
      </c>
      <c r="AB110" s="52">
        <f t="shared" si="22"/>
        <v>105</v>
      </c>
      <c r="AC110" s="53">
        <v>0.28924100000000003</v>
      </c>
      <c r="AD110" s="53">
        <v>0.287074</v>
      </c>
    </row>
    <row r="111" spans="18:30" ht="11.25" customHeight="1" x14ac:dyDescent="0.2">
      <c r="R111" s="43" t="e">
        <f t="shared" ca="1" si="18"/>
        <v>#REF!</v>
      </c>
      <c r="S111" s="44" t="e">
        <f t="shared" ca="1" si="21"/>
        <v>#REF!</v>
      </c>
      <c r="T111" s="45" t="e">
        <f t="shared" ca="1" si="19"/>
        <v>#REF!</v>
      </c>
      <c r="U111" s="15" t="e">
        <f t="shared" ca="1" si="20"/>
        <v>#REF!</v>
      </c>
      <c r="V111" s="15" t="e">
        <f t="shared" ca="1" si="13"/>
        <v>#REF!</v>
      </c>
      <c r="W111" s="15" t="e">
        <f t="shared" ca="1" si="14"/>
        <v>#REF!</v>
      </c>
      <c r="X111" s="46" t="e">
        <f t="shared" ca="1" si="15"/>
        <v>#REF!</v>
      </c>
      <c r="Y111" s="15" t="e">
        <f t="shared" ca="1" si="16"/>
        <v>#REF!</v>
      </c>
      <c r="Z111" s="47" t="e">
        <f t="shared" ca="1" si="17"/>
        <v>#REF!</v>
      </c>
      <c r="AB111" s="52">
        <f t="shared" si="22"/>
        <v>106</v>
      </c>
      <c r="AC111" s="53">
        <v>0.32702199999999998</v>
      </c>
      <c r="AD111" s="53">
        <v>0.32491199999999998</v>
      </c>
    </row>
    <row r="112" spans="18:30" ht="11.25" customHeight="1" x14ac:dyDescent="0.2">
      <c r="R112" s="43" t="e">
        <f t="shared" ca="1" si="18"/>
        <v>#REF!</v>
      </c>
      <c r="S112" s="44" t="e">
        <f t="shared" ca="1" si="21"/>
        <v>#REF!</v>
      </c>
      <c r="T112" s="45" t="e">
        <f t="shared" ca="1" si="19"/>
        <v>#REF!</v>
      </c>
      <c r="U112" s="15" t="e">
        <f t="shared" ca="1" si="20"/>
        <v>#REF!</v>
      </c>
      <c r="V112" s="15" t="e">
        <f t="shared" ca="1" si="13"/>
        <v>#REF!</v>
      </c>
      <c r="W112" s="15" t="e">
        <f t="shared" ca="1" si="14"/>
        <v>#REF!</v>
      </c>
      <c r="X112" s="46" t="e">
        <f t="shared" ca="1" si="15"/>
        <v>#REF!</v>
      </c>
      <c r="Y112" s="15" t="e">
        <f t="shared" ca="1" si="16"/>
        <v>#REF!</v>
      </c>
      <c r="Z112" s="47" t="e">
        <f t="shared" ca="1" si="17"/>
        <v>#REF!</v>
      </c>
      <c r="AB112" s="52">
        <f t="shared" si="22"/>
        <v>107</v>
      </c>
      <c r="AC112" s="53">
        <v>0.41529300000000002</v>
      </c>
      <c r="AD112" s="53">
        <v>0.39604800000000001</v>
      </c>
    </row>
    <row r="113" spans="18:30" ht="11.25" customHeight="1" x14ac:dyDescent="0.2">
      <c r="R113" s="43" t="e">
        <f t="shared" ca="1" si="18"/>
        <v>#REF!</v>
      </c>
      <c r="S113" s="44" t="e">
        <f t="shared" ca="1" si="21"/>
        <v>#REF!</v>
      </c>
      <c r="T113" s="45" t="e">
        <f t="shared" ca="1" si="19"/>
        <v>#REF!</v>
      </c>
      <c r="U113" s="15" t="e">
        <f t="shared" ca="1" si="20"/>
        <v>#REF!</v>
      </c>
      <c r="V113" s="15" t="e">
        <f t="shared" ca="1" si="13"/>
        <v>#REF!</v>
      </c>
      <c r="W113" s="15" t="e">
        <f t="shared" ca="1" si="14"/>
        <v>#REF!</v>
      </c>
      <c r="X113" s="46" t="e">
        <f t="shared" ca="1" si="15"/>
        <v>#REF!</v>
      </c>
      <c r="Y113" s="15" t="e">
        <f t="shared" ca="1" si="16"/>
        <v>#REF!</v>
      </c>
      <c r="Z113" s="47" t="e">
        <f t="shared" ca="1" si="17"/>
        <v>#REF!</v>
      </c>
      <c r="AB113" s="52">
        <f t="shared" si="22"/>
        <v>108</v>
      </c>
      <c r="AC113" s="53">
        <v>0.56334799999999996</v>
      </c>
      <c r="AD113" s="53">
        <v>0.46195700000000001</v>
      </c>
    </row>
    <row r="114" spans="18:30" ht="11.25" customHeight="1" x14ac:dyDescent="0.2">
      <c r="R114" s="43" t="e">
        <f t="shared" ca="1" si="18"/>
        <v>#REF!</v>
      </c>
      <c r="S114" s="44" t="e">
        <f t="shared" ca="1" si="21"/>
        <v>#REF!</v>
      </c>
      <c r="T114" s="45" t="e">
        <f t="shared" ca="1" si="19"/>
        <v>#REF!</v>
      </c>
      <c r="U114" s="15" t="e">
        <f t="shared" ca="1" si="20"/>
        <v>#REF!</v>
      </c>
      <c r="V114" s="15" t="e">
        <f t="shared" ca="1" si="13"/>
        <v>#REF!</v>
      </c>
      <c r="W114" s="15" t="e">
        <f t="shared" ca="1" si="14"/>
        <v>#REF!</v>
      </c>
      <c r="X114" s="46" t="e">
        <f t="shared" ca="1" si="15"/>
        <v>#REF!</v>
      </c>
      <c r="Y114" s="15" t="e">
        <f t="shared" ca="1" si="16"/>
        <v>#REF!</v>
      </c>
      <c r="Z114" s="47" t="e">
        <f t="shared" ca="1" si="17"/>
        <v>#REF!</v>
      </c>
      <c r="AB114" s="52">
        <f t="shared" si="22"/>
        <v>109</v>
      </c>
      <c r="AC114" s="53">
        <v>0.756185</v>
      </c>
      <c r="AD114" s="53">
        <v>0.56651099999999999</v>
      </c>
    </row>
    <row r="115" spans="18:30" ht="11.25" customHeight="1" x14ac:dyDescent="0.2">
      <c r="R115" s="43" t="e">
        <f t="shared" ca="1" si="18"/>
        <v>#REF!</v>
      </c>
      <c r="S115" s="44" t="e">
        <f t="shared" ca="1" si="21"/>
        <v>#REF!</v>
      </c>
      <c r="T115" s="45" t="e">
        <f t="shared" ca="1" si="19"/>
        <v>#REF!</v>
      </c>
      <c r="U115" s="15" t="e">
        <f t="shared" ca="1" si="20"/>
        <v>#REF!</v>
      </c>
      <c r="V115" s="15" t="e">
        <f t="shared" ca="1" si="13"/>
        <v>#REF!</v>
      </c>
      <c r="W115" s="15" t="e">
        <f t="shared" ca="1" si="14"/>
        <v>#REF!</v>
      </c>
      <c r="X115" s="46" t="e">
        <f t="shared" ca="1" si="15"/>
        <v>#REF!</v>
      </c>
      <c r="Y115" s="15" t="e">
        <f t="shared" ca="1" si="16"/>
        <v>#REF!</v>
      </c>
      <c r="Z115" s="47" t="e">
        <f t="shared" ca="1" si="17"/>
        <v>#REF!</v>
      </c>
      <c r="AB115" s="52">
        <f t="shared" si="22"/>
        <v>110</v>
      </c>
      <c r="AC115" s="53">
        <v>1</v>
      </c>
      <c r="AD115" s="53">
        <v>0.70217399999999996</v>
      </c>
    </row>
    <row r="116" spans="18:30" x14ac:dyDescent="0.2">
      <c r="R116" s="43" t="e">
        <f t="shared" ca="1" si="18"/>
        <v>#REF!</v>
      </c>
      <c r="S116" s="44" t="e">
        <f t="shared" ca="1" si="21"/>
        <v>#REF!</v>
      </c>
      <c r="T116" s="45" t="e">
        <f t="shared" ca="1" si="19"/>
        <v>#REF!</v>
      </c>
      <c r="U116" s="15" t="e">
        <f t="shared" ca="1" si="20"/>
        <v>#REF!</v>
      </c>
      <c r="V116" s="15" t="e">
        <f t="shared" ca="1" si="13"/>
        <v>#REF!</v>
      </c>
      <c r="W116" s="15" t="e">
        <f t="shared" ca="1" si="14"/>
        <v>#REF!</v>
      </c>
      <c r="X116" s="46" t="e">
        <f t="shared" ca="1" si="15"/>
        <v>#REF!</v>
      </c>
      <c r="Y116" s="15" t="e">
        <f t="shared" ca="1" si="16"/>
        <v>#REF!</v>
      </c>
      <c r="Z116" s="47" t="e">
        <f t="shared" ca="1" si="17"/>
        <v>#REF!</v>
      </c>
      <c r="AB116" s="52">
        <f t="shared" si="22"/>
        <v>111</v>
      </c>
      <c r="AC116" s="53"/>
      <c r="AD116" s="53">
        <v>0.85166399999999998</v>
      </c>
    </row>
    <row r="117" spans="18:30" x14ac:dyDescent="0.2">
      <c r="R117" s="98" t="e">
        <f t="shared" ca="1" si="18"/>
        <v>#REF!</v>
      </c>
      <c r="S117" s="99" t="e">
        <f t="shared" ca="1" si="21"/>
        <v>#REF!</v>
      </c>
      <c r="T117" s="100" t="e">
        <f t="shared" ca="1" si="19"/>
        <v>#REF!</v>
      </c>
      <c r="U117" s="101" t="e">
        <f t="shared" ca="1" si="20"/>
        <v>#REF!</v>
      </c>
      <c r="V117" s="101" t="e">
        <f t="shared" ca="1" si="13"/>
        <v>#REF!</v>
      </c>
      <c r="W117" s="101" t="e">
        <f t="shared" ca="1" si="14"/>
        <v>#REF!</v>
      </c>
      <c r="X117" s="102" t="e">
        <f ca="1">IF($R117="",0,#REF!+W117)</f>
        <v>#REF!</v>
      </c>
      <c r="Y117" s="101" t="e">
        <f t="shared" ca="1" si="16"/>
        <v>#REF!</v>
      </c>
      <c r="Z117" s="103" t="e">
        <f ca="1">IF($R117="",0,#REF!+Y117)</f>
        <v>#REF!</v>
      </c>
      <c r="AB117" s="104">
        <f t="shared" si="22"/>
        <v>112</v>
      </c>
      <c r="AC117" s="105"/>
      <c r="AD117" s="105">
        <v>1</v>
      </c>
    </row>
  </sheetData>
  <mergeCells count="12">
    <mergeCell ref="I2:I3"/>
    <mergeCell ref="A2:A3"/>
    <mergeCell ref="B2:B3"/>
    <mergeCell ref="C2:C3"/>
    <mergeCell ref="D2:E2"/>
    <mergeCell ref="F2:H2"/>
    <mergeCell ref="J2:J3"/>
    <mergeCell ref="K2:K3"/>
    <mergeCell ref="L2:L3"/>
    <mergeCell ref="AB2:AB4"/>
    <mergeCell ref="AC2:AD2"/>
    <mergeCell ref="AC3:AD3"/>
  </mergeCells>
  <phoneticPr fontId="4" type="noConversion"/>
  <dataValidations count="3">
    <dataValidation type="list" allowBlank="1" showInputMessage="1" showErrorMessage="1" sqref="K4" xr:uid="{11B5005F-7BF7-4DEE-AF18-A3B957405AC2}">
      <formula1>"N, Y"</formula1>
    </dataValidation>
    <dataValidation type="list" allowBlank="1" showInputMessage="1" showErrorMessage="1" sqref="F3" xr:uid="{7EDCF763-336D-4ED8-80DB-392D50E2D875}">
      <formula1>"무해지, 저해지, 유해지, 일반형, 간편형, 최초"</formula1>
    </dataValidation>
    <dataValidation type="list" allowBlank="1" showInputMessage="1" showErrorMessage="1" sqref="G3" xr:uid="{2E2C0A6C-77FF-4F9A-A030-EDF126DAD7FC}">
      <formula1>"무해지, 저해지, 유해지, 일반형, 간편형, 갱신"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11</xdr:col>
                    <xdr:colOff>152400</xdr:colOff>
                    <xdr:row>5</xdr:row>
                    <xdr:rowOff>114300</xdr:rowOff>
                  </from>
                  <to>
                    <xdr:col>12</xdr:col>
                    <xdr:colOff>371475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12</xdr:col>
                    <xdr:colOff>581025</xdr:colOff>
                    <xdr:row>5</xdr:row>
                    <xdr:rowOff>95250</xdr:rowOff>
                  </from>
                  <to>
                    <xdr:col>14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14</xdr:col>
                    <xdr:colOff>304800</xdr:colOff>
                    <xdr:row>5</xdr:row>
                    <xdr:rowOff>95250</xdr:rowOff>
                  </from>
                  <to>
                    <xdr:col>15</xdr:col>
                    <xdr:colOff>495300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F21"/>
  <sheetViews>
    <sheetView workbookViewId="0"/>
  </sheetViews>
  <sheetFormatPr defaultColWidth="12.5703125" defaultRowHeight="15.75" customHeight="1" x14ac:dyDescent="0.2"/>
  <cols>
    <col min="1" max="1" width="32.85546875" customWidth="1"/>
  </cols>
  <sheetData>
    <row r="1" spans="1:6" x14ac:dyDescent="0.2">
      <c r="A1" s="1" t="s">
        <v>0</v>
      </c>
      <c r="B1" s="1"/>
      <c r="C1" s="1"/>
    </row>
    <row r="2" spans="1:6" x14ac:dyDescent="0.2">
      <c r="A2" s="1" t="s">
        <v>1</v>
      </c>
      <c r="B2" s="1" t="s">
        <v>2</v>
      </c>
      <c r="C2" s="1"/>
      <c r="D2" s="1"/>
      <c r="E2" t="s">
        <v>130</v>
      </c>
    </row>
    <row r="3" spans="1:6" x14ac:dyDescent="0.2">
      <c r="A3" s="1" t="s">
        <v>129</v>
      </c>
      <c r="B3" s="1">
        <v>30</v>
      </c>
      <c r="C3" s="1"/>
      <c r="E3">
        <v>8</v>
      </c>
    </row>
    <row r="4" spans="1:6" x14ac:dyDescent="0.2">
      <c r="A4" s="1" t="s">
        <v>3</v>
      </c>
      <c r="B4" s="1" t="s">
        <v>4</v>
      </c>
      <c r="C4" s="1"/>
      <c r="E4">
        <v>100</v>
      </c>
    </row>
    <row r="5" spans="1:6" x14ac:dyDescent="0.2">
      <c r="A5" s="1" t="s">
        <v>5</v>
      </c>
      <c r="B5" s="1">
        <v>100</v>
      </c>
      <c r="C5" s="1"/>
      <c r="E5">
        <v>30</v>
      </c>
    </row>
    <row r="6" spans="1:6" x14ac:dyDescent="0.2">
      <c r="A6" s="1" t="s">
        <v>6</v>
      </c>
      <c r="B6" s="1">
        <v>20</v>
      </c>
      <c r="C6" s="1"/>
    </row>
    <row r="7" spans="1:6" x14ac:dyDescent="0.2">
      <c r="A7" s="1" t="s">
        <v>7</v>
      </c>
      <c r="B7" s="1">
        <v>10000000</v>
      </c>
      <c r="C7" s="1"/>
    </row>
    <row r="8" spans="1:6" x14ac:dyDescent="0.2">
      <c r="A8" s="1" t="s">
        <v>8</v>
      </c>
      <c r="B8" s="2" t="s">
        <v>9</v>
      </c>
      <c r="C8" s="1"/>
    </row>
    <row r="10" spans="1:6" x14ac:dyDescent="0.2">
      <c r="A10" s="1" t="s">
        <v>10</v>
      </c>
    </row>
    <row r="11" spans="1:6" x14ac:dyDescent="0.2">
      <c r="A11" s="1" t="s">
        <v>11</v>
      </c>
      <c r="B11" s="1" t="s">
        <v>1</v>
      </c>
      <c r="C11" s="1" t="s">
        <v>12</v>
      </c>
      <c r="D11" s="1" t="s">
        <v>13</v>
      </c>
      <c r="E11" s="1" t="s">
        <v>14</v>
      </c>
      <c r="F11" s="1" t="s">
        <v>15</v>
      </c>
    </row>
    <row r="12" spans="1:6" x14ac:dyDescent="0.2">
      <c r="A12" s="1" t="s">
        <v>16</v>
      </c>
      <c r="B12" s="1" t="s">
        <v>17</v>
      </c>
      <c r="C12" s="1" t="s">
        <v>18</v>
      </c>
      <c r="D12" s="1">
        <v>2.2499999999999999E-2</v>
      </c>
    </row>
    <row r="13" spans="1:6" x14ac:dyDescent="0.2">
      <c r="A13" s="1" t="s">
        <v>19</v>
      </c>
      <c r="B13" s="1" t="s">
        <v>20</v>
      </c>
      <c r="C13" s="1" t="s">
        <v>21</v>
      </c>
      <c r="D13" s="1">
        <v>4.0000000000000002E-4</v>
      </c>
      <c r="F13" s="1" t="s">
        <v>22</v>
      </c>
    </row>
    <row r="14" spans="1:6" x14ac:dyDescent="0.2">
      <c r="A14" s="1" t="s">
        <v>19</v>
      </c>
      <c r="B14" s="1" t="s">
        <v>23</v>
      </c>
      <c r="C14" s="1" t="s">
        <v>24</v>
      </c>
      <c r="D14" s="1">
        <v>3.9E-2</v>
      </c>
      <c r="E14" s="1" t="s">
        <v>25</v>
      </c>
      <c r="F14" s="1" t="s">
        <v>26</v>
      </c>
    </row>
    <row r="15" spans="1:6" x14ac:dyDescent="0.2">
      <c r="A15" s="1" t="s">
        <v>19</v>
      </c>
      <c r="B15" s="1" t="s">
        <v>27</v>
      </c>
      <c r="C15" s="1" t="s">
        <v>28</v>
      </c>
      <c r="D15" s="1">
        <v>0.05</v>
      </c>
      <c r="E15" s="1" t="s">
        <v>29</v>
      </c>
      <c r="F15" s="1" t="s">
        <v>26</v>
      </c>
    </row>
    <row r="16" spans="1:6" x14ac:dyDescent="0.2">
      <c r="A16" s="1" t="s">
        <v>19</v>
      </c>
      <c r="B16" s="1" t="s">
        <v>30</v>
      </c>
      <c r="C16" s="1" t="s">
        <v>31</v>
      </c>
      <c r="D16" s="1">
        <v>1.0000000000000001E-5</v>
      </c>
      <c r="F16" s="1" t="s">
        <v>22</v>
      </c>
    </row>
    <row r="17" spans="1:6" x14ac:dyDescent="0.2">
      <c r="A17" s="1" t="s">
        <v>19</v>
      </c>
      <c r="B17" s="1" t="s">
        <v>32</v>
      </c>
      <c r="C17" s="1" t="s">
        <v>33</v>
      </c>
      <c r="D17" s="1">
        <v>2.0000000000000001E-4</v>
      </c>
      <c r="F17" s="1" t="s">
        <v>22</v>
      </c>
    </row>
    <row r="18" spans="1:6" x14ac:dyDescent="0.2">
      <c r="A18" s="1" t="s">
        <v>19</v>
      </c>
      <c r="B18" s="1" t="s">
        <v>34</v>
      </c>
      <c r="C18" s="1" t="s">
        <v>35</v>
      </c>
      <c r="D18" s="1">
        <v>0.1</v>
      </c>
      <c r="F18" s="1" t="s">
        <v>36</v>
      </c>
    </row>
    <row r="19" spans="1:6" x14ac:dyDescent="0.2">
      <c r="A19" s="1" t="s">
        <v>19</v>
      </c>
      <c r="B19" s="1" t="s">
        <v>37</v>
      </c>
      <c r="C19" s="1" t="s">
        <v>38</v>
      </c>
      <c r="D19" s="1">
        <v>0.27</v>
      </c>
      <c r="F19" s="1" t="s">
        <v>36</v>
      </c>
    </row>
    <row r="20" spans="1:6" x14ac:dyDescent="0.2">
      <c r="A20" s="1" t="s">
        <v>19</v>
      </c>
      <c r="B20" s="1" t="s">
        <v>39</v>
      </c>
      <c r="C20" s="1" t="s">
        <v>40</v>
      </c>
      <c r="D20" s="1">
        <v>2.5000000000000001E-2</v>
      </c>
      <c r="F20" s="1" t="s">
        <v>36</v>
      </c>
    </row>
    <row r="21" spans="1:6" x14ac:dyDescent="0.2">
      <c r="A21" s="1"/>
      <c r="B21" s="3"/>
      <c r="C21" s="3"/>
    </row>
  </sheetData>
  <phoneticPr fontId="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P53"/>
  <sheetViews>
    <sheetView workbookViewId="0"/>
  </sheetViews>
  <sheetFormatPr defaultColWidth="12.5703125" defaultRowHeight="15.75" customHeight="1" x14ac:dyDescent="0.2"/>
  <sheetData>
    <row r="1" spans="1:16" x14ac:dyDescent="0.2">
      <c r="A1" s="1" t="s">
        <v>41</v>
      </c>
      <c r="B1" s="1"/>
      <c r="C1" s="1"/>
      <c r="E1" s="1" t="s">
        <v>42</v>
      </c>
      <c r="K1" s="1" t="s">
        <v>43</v>
      </c>
      <c r="N1" s="1" t="s">
        <v>44</v>
      </c>
    </row>
    <row r="2" spans="1:16" x14ac:dyDescent="0.2">
      <c r="A2" s="1" t="s">
        <v>45</v>
      </c>
      <c r="B2" s="1" t="s">
        <v>46</v>
      </c>
      <c r="C2" s="1" t="s">
        <v>47</v>
      </c>
      <c r="E2" s="1" t="s">
        <v>45</v>
      </c>
      <c r="F2" s="1" t="s">
        <v>48</v>
      </c>
      <c r="G2" s="1" t="s">
        <v>49</v>
      </c>
      <c r="H2" s="1" t="s">
        <v>50</v>
      </c>
      <c r="I2" s="1" t="s">
        <v>51</v>
      </c>
      <c r="K2" s="1" t="s">
        <v>1</v>
      </c>
      <c r="L2" s="1" t="s">
        <v>2</v>
      </c>
      <c r="N2" s="1" t="s">
        <v>11</v>
      </c>
      <c r="O2" s="1" t="s">
        <v>52</v>
      </c>
      <c r="P2" s="1" t="s">
        <v>53</v>
      </c>
    </row>
    <row r="3" spans="1:16" x14ac:dyDescent="0.2">
      <c r="A3" s="1">
        <v>0</v>
      </c>
      <c r="B3" s="1">
        <v>1.0499999999999999E-3</v>
      </c>
      <c r="C3" s="1">
        <v>9.5E-4</v>
      </c>
      <c r="E3" s="1">
        <v>0</v>
      </c>
      <c r="F3" s="1">
        <v>3.8000000000000002E-5</v>
      </c>
      <c r="G3" s="1">
        <v>3.0000000000000001E-5</v>
      </c>
      <c r="H3" s="1">
        <v>1E-4</v>
      </c>
      <c r="I3" s="1">
        <v>8.0000000000000007E-5</v>
      </c>
      <c r="K3" s="1" t="s">
        <v>43</v>
      </c>
      <c r="L3" s="1">
        <v>0.47499999999999998</v>
      </c>
      <c r="N3" s="1" t="s">
        <v>54</v>
      </c>
      <c r="O3" s="1">
        <v>0</v>
      </c>
      <c r="P3" s="1">
        <v>9.2499999999999999E-2</v>
      </c>
    </row>
    <row r="4" spans="1:16" x14ac:dyDescent="0.2">
      <c r="A4" s="1">
        <v>1</v>
      </c>
      <c r="B4" s="1">
        <v>4.4999999999999999E-4</v>
      </c>
      <c r="C4" s="1">
        <v>4.0000000000000002E-4</v>
      </c>
      <c r="E4" s="1">
        <v>1</v>
      </c>
      <c r="F4" s="1">
        <v>2.5000000000000001E-5</v>
      </c>
      <c r="G4" s="1">
        <v>2.0000000000000002E-5</v>
      </c>
      <c r="H4" s="1">
        <v>5.0000000000000002E-5</v>
      </c>
      <c r="I4" s="1">
        <v>4.0000000000000003E-5</v>
      </c>
      <c r="N4" s="1" t="s">
        <v>54</v>
      </c>
      <c r="O4" s="1">
        <v>1</v>
      </c>
      <c r="P4" s="1">
        <v>0.13550000000000001</v>
      </c>
    </row>
    <row r="5" spans="1:16" x14ac:dyDescent="0.2">
      <c r="A5" s="1">
        <v>2</v>
      </c>
      <c r="B5" s="1">
        <v>3.5E-4</v>
      </c>
      <c r="C5" s="1">
        <v>2.9999999999999997E-4</v>
      </c>
      <c r="E5" s="1">
        <v>2</v>
      </c>
      <c r="F5" s="1">
        <v>2.0000000000000002E-5</v>
      </c>
      <c r="G5" s="1">
        <v>1.5E-5</v>
      </c>
      <c r="H5" s="1">
        <v>3.0000000000000001E-5</v>
      </c>
      <c r="I5" s="1">
        <v>2.5000000000000001E-5</v>
      </c>
      <c r="N5" s="1" t="s">
        <v>54</v>
      </c>
      <c r="O5" s="1">
        <v>2</v>
      </c>
      <c r="P5" s="1">
        <v>7.3499999999999996E-2</v>
      </c>
    </row>
    <row r="6" spans="1:16" x14ac:dyDescent="0.2">
      <c r="A6" s="1">
        <v>3</v>
      </c>
      <c r="B6" s="1">
        <v>2.9999999999999997E-4</v>
      </c>
      <c r="C6" s="1">
        <v>2.5000000000000001E-4</v>
      </c>
      <c r="E6" s="1">
        <v>3</v>
      </c>
      <c r="F6" s="1">
        <v>1.8E-5</v>
      </c>
      <c r="G6" s="1">
        <v>1.2999999999999999E-5</v>
      </c>
      <c r="H6" s="1">
        <v>2.0000000000000002E-5</v>
      </c>
      <c r="I6" s="1">
        <v>1.8E-5</v>
      </c>
      <c r="N6" s="1" t="s">
        <v>54</v>
      </c>
      <c r="O6" s="1">
        <v>3</v>
      </c>
      <c r="P6" s="1">
        <v>5.5500000000000001E-2</v>
      </c>
    </row>
    <row r="7" spans="1:16" x14ac:dyDescent="0.2">
      <c r="A7" s="1">
        <v>4</v>
      </c>
      <c r="B7" s="1">
        <v>2.5000000000000001E-4</v>
      </c>
      <c r="C7" s="1">
        <v>2.0000000000000001E-4</v>
      </c>
      <c r="E7" s="1">
        <v>4</v>
      </c>
      <c r="F7" s="1">
        <v>1.5E-5</v>
      </c>
      <c r="G7" s="1">
        <v>1.2E-5</v>
      </c>
      <c r="H7" s="1">
        <v>1.5E-5</v>
      </c>
      <c r="I7" s="1">
        <v>1.5E-5</v>
      </c>
      <c r="N7" s="1" t="s">
        <v>54</v>
      </c>
      <c r="O7" s="1">
        <v>4</v>
      </c>
      <c r="P7" s="1">
        <v>0.06</v>
      </c>
    </row>
    <row r="8" spans="1:16" x14ac:dyDescent="0.2">
      <c r="A8" s="1">
        <v>5</v>
      </c>
      <c r="B8" s="1">
        <v>2.5000000000000001E-4</v>
      </c>
      <c r="C8" s="1">
        <v>2.0000000000000001E-4</v>
      </c>
      <c r="E8" s="1">
        <v>5</v>
      </c>
      <c r="F8" s="1">
        <v>1.5E-5</v>
      </c>
      <c r="G8" s="1">
        <v>1.2E-5</v>
      </c>
      <c r="H8" s="1">
        <v>1.5E-5</v>
      </c>
      <c r="I8" s="1">
        <v>1.5E-5</v>
      </c>
      <c r="N8" s="1" t="s">
        <v>54</v>
      </c>
      <c r="O8" s="1">
        <v>5</v>
      </c>
      <c r="P8" s="1">
        <v>3.2500000000000001E-2</v>
      </c>
    </row>
    <row r="9" spans="1:16" x14ac:dyDescent="0.2">
      <c r="A9" s="1">
        <v>6</v>
      </c>
      <c r="B9" s="1">
        <v>2.5000000000000001E-4</v>
      </c>
      <c r="C9" s="1">
        <v>2.0000000000000001E-4</v>
      </c>
      <c r="E9" s="1">
        <v>6</v>
      </c>
      <c r="F9" s="1">
        <v>1.5E-5</v>
      </c>
      <c r="G9" s="1">
        <v>1.2E-5</v>
      </c>
      <c r="H9" s="1">
        <v>1.5E-5</v>
      </c>
      <c r="I9" s="1">
        <v>1.5E-5</v>
      </c>
      <c r="N9" s="1" t="s">
        <v>54</v>
      </c>
      <c r="O9" s="1">
        <v>6</v>
      </c>
      <c r="P9" s="1">
        <v>2.9499999999999998E-2</v>
      </c>
    </row>
    <row r="10" spans="1:16" x14ac:dyDescent="0.2">
      <c r="A10" s="1">
        <v>7</v>
      </c>
      <c r="B10" s="1">
        <v>2.0000000000000001E-4</v>
      </c>
      <c r="C10" s="1">
        <v>1.4999999999999999E-4</v>
      </c>
      <c r="E10" s="1">
        <v>7</v>
      </c>
      <c r="F10" s="1">
        <v>1.4E-5</v>
      </c>
      <c r="G10" s="1">
        <v>1.1E-5</v>
      </c>
      <c r="H10" s="1">
        <v>1.5E-5</v>
      </c>
      <c r="I10" s="1">
        <v>1.5E-5</v>
      </c>
      <c r="N10" s="1" t="s">
        <v>54</v>
      </c>
      <c r="O10" s="1">
        <v>7</v>
      </c>
      <c r="P10" s="1">
        <v>2.5999999999999999E-2</v>
      </c>
    </row>
    <row r="11" spans="1:16" x14ac:dyDescent="0.2">
      <c r="A11" s="1">
        <v>8</v>
      </c>
      <c r="B11" s="1">
        <v>2.0000000000000001E-4</v>
      </c>
      <c r="C11" s="1">
        <v>1.4999999999999999E-4</v>
      </c>
      <c r="E11" s="1">
        <v>8</v>
      </c>
      <c r="F11" s="1">
        <v>1.4E-5</v>
      </c>
      <c r="G11" s="1">
        <v>1.1E-5</v>
      </c>
      <c r="H11" s="1">
        <v>1.5999999999999999E-5</v>
      </c>
      <c r="I11" s="1">
        <v>1.5999999999999999E-5</v>
      </c>
      <c r="N11" s="1" t="s">
        <v>54</v>
      </c>
      <c r="O11" s="1">
        <v>8</v>
      </c>
      <c r="P11" s="1">
        <v>2.3E-2</v>
      </c>
    </row>
    <row r="12" spans="1:16" x14ac:dyDescent="0.2">
      <c r="A12" s="1">
        <v>9</v>
      </c>
      <c r="B12" s="1">
        <v>2.0000000000000001E-4</v>
      </c>
      <c r="C12" s="1">
        <v>1.4999999999999999E-4</v>
      </c>
      <c r="E12" s="1">
        <v>9</v>
      </c>
      <c r="F12" s="1">
        <v>1.4E-5</v>
      </c>
      <c r="G12" s="1">
        <v>1.1E-5</v>
      </c>
      <c r="H12" s="1">
        <v>1.7E-5</v>
      </c>
      <c r="I12" s="1">
        <v>1.7E-5</v>
      </c>
      <c r="N12" s="1" t="s">
        <v>54</v>
      </c>
      <c r="O12" s="1">
        <v>9</v>
      </c>
      <c r="P12" s="1">
        <v>1.95E-2</v>
      </c>
    </row>
    <row r="13" spans="1:16" x14ac:dyDescent="0.2">
      <c r="A13" s="1">
        <v>10</v>
      </c>
      <c r="B13" s="1">
        <v>2.0000000000000001E-4</v>
      </c>
      <c r="C13" s="1">
        <v>1.4999999999999999E-4</v>
      </c>
      <c r="E13" s="1">
        <v>10</v>
      </c>
      <c r="F13" s="1">
        <v>1.4E-5</v>
      </c>
      <c r="G13" s="1">
        <v>1.1E-5</v>
      </c>
      <c r="H13" s="1">
        <v>1.8E-5</v>
      </c>
      <c r="I13" s="1">
        <v>1.8E-5</v>
      </c>
      <c r="N13" s="1" t="s">
        <v>54</v>
      </c>
      <c r="O13" s="1">
        <v>10</v>
      </c>
      <c r="P13" s="1">
        <v>1.6E-2</v>
      </c>
    </row>
    <row r="14" spans="1:16" x14ac:dyDescent="0.2">
      <c r="A14" s="1">
        <v>11</v>
      </c>
      <c r="B14" s="1">
        <v>2.0000000000000001E-4</v>
      </c>
      <c r="C14" s="1">
        <v>1.4999999999999999E-4</v>
      </c>
      <c r="E14" s="1">
        <v>11</v>
      </c>
      <c r="F14" s="1">
        <v>1.4E-5</v>
      </c>
      <c r="G14" s="1">
        <v>1.1E-5</v>
      </c>
      <c r="H14" s="1">
        <v>2.0000000000000002E-5</v>
      </c>
      <c r="I14" s="1">
        <v>2.0000000000000002E-5</v>
      </c>
      <c r="N14" s="1" t="s">
        <v>54</v>
      </c>
      <c r="O14" s="1">
        <v>11</v>
      </c>
      <c r="P14" s="1">
        <v>1.35E-2</v>
      </c>
    </row>
    <row r="15" spans="1:16" x14ac:dyDescent="0.2">
      <c r="A15" s="1">
        <v>12</v>
      </c>
      <c r="B15" s="1">
        <v>2.0000000000000001E-4</v>
      </c>
      <c r="C15" s="1">
        <v>1.4999999999999999E-4</v>
      </c>
      <c r="E15" s="1">
        <v>12</v>
      </c>
      <c r="F15" s="1">
        <v>1.4E-5</v>
      </c>
      <c r="G15" s="1">
        <v>1.1E-5</v>
      </c>
      <c r="H15" s="1">
        <v>2.1999999999999999E-5</v>
      </c>
      <c r="I15" s="1">
        <v>2.1999999999999999E-5</v>
      </c>
      <c r="N15" s="1" t="s">
        <v>55</v>
      </c>
      <c r="O15" s="1" t="s">
        <v>56</v>
      </c>
      <c r="P15" s="1">
        <v>0.215</v>
      </c>
    </row>
    <row r="16" spans="1:16" x14ac:dyDescent="0.2">
      <c r="A16" s="1">
        <v>13</v>
      </c>
      <c r="B16" s="1">
        <v>2.5000000000000001E-4</v>
      </c>
      <c r="C16" s="1">
        <v>1.4999999999999999E-4</v>
      </c>
      <c r="E16" s="1">
        <v>13</v>
      </c>
      <c r="F16" s="1">
        <v>1.8E-5</v>
      </c>
      <c r="G16" s="1">
        <v>1.2E-5</v>
      </c>
      <c r="H16" s="1">
        <v>2.5000000000000001E-5</v>
      </c>
      <c r="I16" s="1">
        <v>2.5000000000000001E-5</v>
      </c>
      <c r="N16" s="1" t="s">
        <v>55</v>
      </c>
      <c r="O16" s="1" t="s">
        <v>57</v>
      </c>
      <c r="P16" s="1">
        <v>3.2000000000000001E-2</v>
      </c>
    </row>
    <row r="17" spans="1:16" x14ac:dyDescent="0.2">
      <c r="A17" s="1">
        <v>14</v>
      </c>
      <c r="B17" s="1">
        <v>2.9999999999999997E-4</v>
      </c>
      <c r="C17" s="1">
        <v>2.0000000000000001E-4</v>
      </c>
      <c r="E17" s="1">
        <v>14</v>
      </c>
      <c r="F17" s="1">
        <v>2.1999999999999999E-5</v>
      </c>
      <c r="G17" s="1">
        <v>1.4E-5</v>
      </c>
      <c r="H17" s="1">
        <v>2.8E-5</v>
      </c>
      <c r="I17" s="1">
        <v>2.8E-5</v>
      </c>
      <c r="N17" s="1" t="s">
        <v>55</v>
      </c>
      <c r="O17" s="1" t="s">
        <v>58</v>
      </c>
      <c r="P17" s="1">
        <v>0.01</v>
      </c>
    </row>
    <row r="18" spans="1:16" x14ac:dyDescent="0.2">
      <c r="A18" s="1">
        <v>15</v>
      </c>
      <c r="B18" s="1">
        <v>3.5E-4</v>
      </c>
      <c r="C18" s="1">
        <v>2.0000000000000001E-4</v>
      </c>
      <c r="E18" s="1">
        <v>15</v>
      </c>
      <c r="F18" s="1">
        <v>2.5999999999999998E-5</v>
      </c>
      <c r="G18" s="1">
        <v>1.5E-5</v>
      </c>
      <c r="H18" s="1">
        <v>3.1999999999999999E-5</v>
      </c>
      <c r="I18" s="1">
        <v>3.1999999999999999E-5</v>
      </c>
      <c r="N18" s="1" t="s">
        <v>55</v>
      </c>
      <c r="O18" s="1" t="s">
        <v>59</v>
      </c>
      <c r="P18" s="1">
        <v>8.0000000000000002E-3</v>
      </c>
    </row>
    <row r="19" spans="1:16" x14ac:dyDescent="0.2">
      <c r="A19" s="1">
        <v>16</v>
      </c>
      <c r="B19" s="1">
        <v>4.0000000000000002E-4</v>
      </c>
      <c r="C19" s="1">
        <v>2.0000000000000001E-4</v>
      </c>
      <c r="E19" s="1">
        <v>16</v>
      </c>
      <c r="F19" s="1">
        <v>3.0000000000000001E-5</v>
      </c>
      <c r="G19" s="1">
        <v>1.5999999999999999E-5</v>
      </c>
      <c r="H19" s="1">
        <v>3.8000000000000002E-5</v>
      </c>
      <c r="I19" s="1">
        <v>3.8000000000000002E-5</v>
      </c>
      <c r="N19" s="1" t="s">
        <v>55</v>
      </c>
      <c r="O19" s="1" t="s">
        <v>60</v>
      </c>
      <c r="P19" s="1">
        <v>0.01</v>
      </c>
    </row>
    <row r="20" spans="1:16" x14ac:dyDescent="0.2">
      <c r="A20" s="1">
        <v>17</v>
      </c>
      <c r="B20" s="1">
        <v>4.4999999999999999E-4</v>
      </c>
      <c r="C20" s="1">
        <v>2.5000000000000001E-4</v>
      </c>
      <c r="E20" s="1">
        <v>17</v>
      </c>
      <c r="F20" s="1">
        <v>3.4E-5</v>
      </c>
      <c r="G20" s="1">
        <v>1.8E-5</v>
      </c>
      <c r="H20" s="1">
        <v>4.5000000000000003E-5</v>
      </c>
      <c r="I20" s="1">
        <v>4.5000000000000003E-5</v>
      </c>
    </row>
    <row r="21" spans="1:16" x14ac:dyDescent="0.2">
      <c r="A21" s="1">
        <v>18</v>
      </c>
      <c r="B21" s="1">
        <v>4.4999999999999999E-4</v>
      </c>
      <c r="C21" s="1">
        <v>2.5000000000000001E-4</v>
      </c>
      <c r="E21" s="1">
        <v>18</v>
      </c>
      <c r="F21" s="1">
        <v>3.4E-5</v>
      </c>
      <c r="G21" s="1">
        <v>1.8E-5</v>
      </c>
      <c r="H21" s="1">
        <v>5.1999999999999997E-5</v>
      </c>
      <c r="I21" s="1">
        <v>5.1999999999999997E-5</v>
      </c>
    </row>
    <row r="22" spans="1:16" x14ac:dyDescent="0.2">
      <c r="A22" s="1">
        <v>19</v>
      </c>
      <c r="B22" s="1">
        <v>4.4999999999999999E-4</v>
      </c>
      <c r="C22" s="1">
        <v>2.5000000000000001E-4</v>
      </c>
      <c r="E22" s="1">
        <v>19</v>
      </c>
      <c r="F22" s="1">
        <v>3.4E-5</v>
      </c>
      <c r="G22" s="1">
        <v>1.8E-5</v>
      </c>
      <c r="H22" s="1">
        <v>6.0000000000000002E-5</v>
      </c>
      <c r="I22" s="1">
        <v>6.0000000000000002E-5</v>
      </c>
    </row>
    <row r="23" spans="1:16" x14ac:dyDescent="0.2">
      <c r="A23" s="1">
        <v>20</v>
      </c>
      <c r="B23" s="1">
        <v>4.4999999999999999E-4</v>
      </c>
      <c r="C23" s="1">
        <v>2.5000000000000001E-4</v>
      </c>
      <c r="E23" s="1">
        <v>20</v>
      </c>
      <c r="F23" s="1">
        <v>3.4E-5</v>
      </c>
      <c r="G23" s="1">
        <v>1.8E-5</v>
      </c>
      <c r="H23" s="1">
        <v>6.7999999999999999E-5</v>
      </c>
      <c r="I23" s="1">
        <v>6.7999999999999999E-5</v>
      </c>
    </row>
    <row r="24" spans="1:16" x14ac:dyDescent="0.2">
      <c r="A24" s="1">
        <v>21</v>
      </c>
      <c r="B24" s="1">
        <v>5.0000000000000001E-4</v>
      </c>
      <c r="C24" s="1">
        <v>2.5000000000000001E-4</v>
      </c>
      <c r="E24" s="1">
        <v>21</v>
      </c>
      <c r="F24" s="1">
        <v>3.8000000000000002E-5</v>
      </c>
      <c r="G24" s="1">
        <v>1.9000000000000001E-5</v>
      </c>
      <c r="H24" s="1">
        <v>7.7999999999999999E-5</v>
      </c>
      <c r="I24" s="1">
        <v>7.7999999999999999E-5</v>
      </c>
    </row>
    <row r="25" spans="1:16" x14ac:dyDescent="0.2">
      <c r="A25" s="1">
        <v>22</v>
      </c>
      <c r="B25" s="1">
        <v>5.0000000000000001E-4</v>
      </c>
      <c r="C25" s="1">
        <v>2.5000000000000001E-4</v>
      </c>
      <c r="E25" s="1">
        <v>22</v>
      </c>
      <c r="F25" s="1">
        <v>3.8000000000000002E-5</v>
      </c>
      <c r="G25" s="1">
        <v>1.9000000000000001E-5</v>
      </c>
      <c r="H25" s="1">
        <v>8.7999999999999998E-5</v>
      </c>
      <c r="I25" s="1">
        <v>8.7999999999999998E-5</v>
      </c>
    </row>
    <row r="26" spans="1:16" x14ac:dyDescent="0.2">
      <c r="A26" s="1">
        <v>23</v>
      </c>
      <c r="B26" s="1">
        <v>5.0000000000000001E-4</v>
      </c>
      <c r="C26" s="1">
        <v>2.5000000000000001E-4</v>
      </c>
      <c r="E26" s="1">
        <v>23</v>
      </c>
      <c r="F26" s="1">
        <v>3.8000000000000002E-5</v>
      </c>
      <c r="G26" s="1">
        <v>1.9000000000000001E-5</v>
      </c>
      <c r="H26" s="1">
        <v>1E-4</v>
      </c>
      <c r="I26" s="1">
        <v>1E-4</v>
      </c>
    </row>
    <row r="27" spans="1:16" x14ac:dyDescent="0.2">
      <c r="A27" s="1">
        <v>24</v>
      </c>
      <c r="B27" s="1">
        <v>5.0000000000000001E-4</v>
      </c>
      <c r="C27" s="1">
        <v>2.5000000000000001E-4</v>
      </c>
      <c r="E27" s="1">
        <v>24</v>
      </c>
      <c r="F27" s="1">
        <v>3.8000000000000002E-5</v>
      </c>
      <c r="G27" s="1">
        <v>1.9000000000000001E-5</v>
      </c>
      <c r="H27" s="1">
        <v>1.12E-4</v>
      </c>
      <c r="I27" s="1">
        <v>1.12E-4</v>
      </c>
    </row>
    <row r="28" spans="1:16" x14ac:dyDescent="0.2">
      <c r="A28" s="1">
        <v>25</v>
      </c>
      <c r="B28" s="1">
        <v>5.5000000000000003E-4</v>
      </c>
      <c r="C28" s="1">
        <v>2.9999999999999997E-4</v>
      </c>
      <c r="E28" s="1">
        <v>25</v>
      </c>
      <c r="F28" s="1">
        <v>4.1999999999999998E-5</v>
      </c>
      <c r="G28" s="1">
        <v>2.0999999999999999E-5</v>
      </c>
      <c r="H28" s="1">
        <v>1.25E-4</v>
      </c>
      <c r="I28" s="1">
        <v>1.25E-4</v>
      </c>
    </row>
    <row r="29" spans="1:16" x14ac:dyDescent="0.2">
      <c r="A29" s="1">
        <v>26</v>
      </c>
      <c r="B29" s="1">
        <v>5.5000000000000003E-4</v>
      </c>
      <c r="C29" s="1">
        <v>2.9999999999999997E-4</v>
      </c>
      <c r="E29" s="1">
        <v>26</v>
      </c>
      <c r="F29" s="1">
        <v>4.1999999999999998E-5</v>
      </c>
      <c r="G29" s="1">
        <v>2.0999999999999999E-5</v>
      </c>
      <c r="H29" s="1">
        <v>1.3799999999999999E-4</v>
      </c>
      <c r="I29" s="1">
        <v>1.3799999999999999E-4</v>
      </c>
    </row>
    <row r="30" spans="1:16" x14ac:dyDescent="0.2">
      <c r="A30" s="1">
        <v>27</v>
      </c>
      <c r="B30" s="1">
        <v>5.5000000000000003E-4</v>
      </c>
      <c r="C30" s="1">
        <v>2.9999999999999997E-4</v>
      </c>
      <c r="E30" s="1">
        <v>27</v>
      </c>
      <c r="F30" s="1">
        <v>4.1999999999999998E-5</v>
      </c>
      <c r="G30" s="1">
        <v>2.0999999999999999E-5</v>
      </c>
      <c r="H30" s="1">
        <v>1.5200000000000001E-4</v>
      </c>
      <c r="I30" s="1">
        <v>1.5200000000000001E-4</v>
      </c>
    </row>
    <row r="31" spans="1:16" x14ac:dyDescent="0.2">
      <c r="A31" s="1">
        <v>28</v>
      </c>
      <c r="B31" s="1">
        <v>5.5000000000000003E-4</v>
      </c>
      <c r="C31" s="1">
        <v>2.9999999999999997E-4</v>
      </c>
      <c r="E31" s="1">
        <v>28</v>
      </c>
      <c r="F31" s="1">
        <v>4.1999999999999998E-5</v>
      </c>
      <c r="G31" s="1">
        <v>2.0999999999999999E-5</v>
      </c>
      <c r="H31" s="1">
        <v>1.6799999999999999E-4</v>
      </c>
      <c r="I31" s="1">
        <v>1.6799999999999999E-4</v>
      </c>
    </row>
    <row r="32" spans="1:16" x14ac:dyDescent="0.2">
      <c r="A32" s="1">
        <v>29</v>
      </c>
      <c r="B32" s="1">
        <v>5.9999999999999995E-4</v>
      </c>
      <c r="C32" s="1">
        <v>2.9999999999999997E-4</v>
      </c>
      <c r="E32" s="1">
        <v>29</v>
      </c>
      <c r="F32" s="1">
        <v>4.6E-5</v>
      </c>
      <c r="G32" s="1">
        <v>2.1999999999999999E-5</v>
      </c>
      <c r="H32" s="1">
        <v>1.85E-4</v>
      </c>
      <c r="I32" s="1">
        <v>1.85E-4</v>
      </c>
    </row>
    <row r="33" spans="1:9" x14ac:dyDescent="0.2">
      <c r="A33" s="1">
        <v>30</v>
      </c>
      <c r="B33" s="1">
        <v>5.9999999999999995E-4</v>
      </c>
      <c r="C33" s="1">
        <v>2.9999999999999997E-4</v>
      </c>
      <c r="E33" s="1">
        <v>30</v>
      </c>
      <c r="F33" s="1">
        <v>4.6E-5</v>
      </c>
      <c r="G33" s="1">
        <v>2.1999999999999999E-5</v>
      </c>
      <c r="H33" s="1">
        <v>2.05E-4</v>
      </c>
      <c r="I33" s="1">
        <v>2.05E-4</v>
      </c>
    </row>
    <row r="34" spans="1:9" x14ac:dyDescent="0.2">
      <c r="A34" s="1">
        <v>31</v>
      </c>
      <c r="B34" s="1">
        <v>5.9999999999999995E-4</v>
      </c>
      <c r="C34" s="1">
        <v>3.5E-4</v>
      </c>
      <c r="E34" s="1">
        <v>31</v>
      </c>
      <c r="F34" s="1">
        <v>4.6E-5</v>
      </c>
      <c r="G34" s="1">
        <v>2.4000000000000001E-5</v>
      </c>
      <c r="H34" s="1">
        <v>2.2499999999999999E-4</v>
      </c>
      <c r="I34" s="1">
        <v>2.2499999999999999E-4</v>
      </c>
    </row>
    <row r="35" spans="1:9" x14ac:dyDescent="0.2">
      <c r="A35" s="1">
        <v>32</v>
      </c>
      <c r="B35" s="1">
        <v>6.4999999999999997E-4</v>
      </c>
      <c r="C35" s="1">
        <v>3.5E-4</v>
      </c>
      <c r="E35" s="1">
        <v>32</v>
      </c>
      <c r="F35" s="1">
        <v>5.0000000000000002E-5</v>
      </c>
      <c r="G35" s="1">
        <v>2.4000000000000001E-5</v>
      </c>
      <c r="H35" s="1">
        <v>2.4499999999999999E-4</v>
      </c>
      <c r="I35" s="1">
        <v>2.4499999999999999E-4</v>
      </c>
    </row>
    <row r="36" spans="1:9" x14ac:dyDescent="0.2">
      <c r="A36" s="1">
        <v>33</v>
      </c>
      <c r="B36" s="1">
        <v>6.4999999999999997E-4</v>
      </c>
      <c r="C36" s="1">
        <v>3.5E-4</v>
      </c>
      <c r="E36" s="1">
        <v>33</v>
      </c>
      <c r="F36" s="1">
        <v>5.0000000000000002E-5</v>
      </c>
      <c r="G36" s="1">
        <v>2.4000000000000001E-5</v>
      </c>
      <c r="H36" s="1">
        <v>2.7E-4</v>
      </c>
      <c r="I36" s="1">
        <v>2.7E-4</v>
      </c>
    </row>
    <row r="37" spans="1:9" x14ac:dyDescent="0.2">
      <c r="A37" s="1">
        <v>34</v>
      </c>
      <c r="B37" s="1">
        <v>6.9999999999999999E-4</v>
      </c>
      <c r="C37" s="1">
        <v>3.5E-4</v>
      </c>
      <c r="E37" s="1">
        <v>34</v>
      </c>
      <c r="F37" s="1">
        <v>5.3999999999999998E-5</v>
      </c>
      <c r="G37" s="1">
        <v>2.5000000000000001E-5</v>
      </c>
      <c r="H37" s="1">
        <v>2.9500000000000001E-4</v>
      </c>
      <c r="I37" s="1">
        <v>2.9500000000000001E-4</v>
      </c>
    </row>
    <row r="38" spans="1:9" x14ac:dyDescent="0.2">
      <c r="A38" s="1">
        <v>35</v>
      </c>
      <c r="B38" s="1">
        <v>6.9999999999999999E-4</v>
      </c>
      <c r="C38" s="1">
        <v>4.0000000000000002E-4</v>
      </c>
      <c r="E38" s="1">
        <v>35</v>
      </c>
      <c r="F38" s="1">
        <v>5.3999999999999998E-5</v>
      </c>
      <c r="G38" s="1">
        <v>2.6999999999999999E-5</v>
      </c>
      <c r="H38" s="1">
        <v>3.2000000000000003E-4</v>
      </c>
      <c r="I38" s="1">
        <v>3.2000000000000003E-4</v>
      </c>
    </row>
    <row r="39" spans="1:9" x14ac:dyDescent="0.2">
      <c r="A39" s="1">
        <v>36</v>
      </c>
      <c r="B39" s="1">
        <v>6.9999999999999999E-4</v>
      </c>
      <c r="C39" s="1">
        <v>4.0000000000000002E-4</v>
      </c>
      <c r="E39" s="1">
        <v>36</v>
      </c>
      <c r="F39" s="1">
        <v>5.3999999999999998E-5</v>
      </c>
      <c r="G39" s="1">
        <v>2.6999999999999999E-5</v>
      </c>
      <c r="H39" s="1">
        <v>3.5E-4</v>
      </c>
      <c r="I39" s="1">
        <v>3.5E-4</v>
      </c>
    </row>
    <row r="40" spans="1:9" x14ac:dyDescent="0.2">
      <c r="A40" s="1">
        <v>37</v>
      </c>
      <c r="B40" s="1">
        <v>7.5000000000000002E-4</v>
      </c>
      <c r="C40" s="1">
        <v>4.0000000000000002E-4</v>
      </c>
      <c r="E40" s="1">
        <v>37</v>
      </c>
      <c r="F40" s="1">
        <v>5.8E-5</v>
      </c>
      <c r="G40" s="1">
        <v>2.8E-5</v>
      </c>
      <c r="H40" s="1">
        <v>3.8000000000000002E-4</v>
      </c>
      <c r="I40" s="1">
        <v>3.8000000000000002E-4</v>
      </c>
    </row>
    <row r="41" spans="1:9" x14ac:dyDescent="0.2">
      <c r="A41" s="1">
        <v>38</v>
      </c>
      <c r="B41" s="1">
        <v>7.5000000000000002E-4</v>
      </c>
      <c r="C41" s="1">
        <v>4.0000000000000002E-4</v>
      </c>
      <c r="E41" s="1">
        <v>38</v>
      </c>
      <c r="F41" s="1">
        <v>5.8E-5</v>
      </c>
      <c r="G41" s="1">
        <v>2.8E-5</v>
      </c>
      <c r="H41" s="1">
        <v>4.15E-4</v>
      </c>
      <c r="I41" s="1">
        <v>4.15E-4</v>
      </c>
    </row>
    <row r="42" spans="1:9" x14ac:dyDescent="0.2">
      <c r="A42" s="1">
        <v>39</v>
      </c>
      <c r="B42" s="1">
        <v>7.5000000000000002E-4</v>
      </c>
      <c r="C42" s="1">
        <v>4.0000000000000002E-4</v>
      </c>
      <c r="E42" s="1">
        <v>39</v>
      </c>
      <c r="F42" s="1">
        <v>5.8E-5</v>
      </c>
      <c r="G42" s="1">
        <v>2.8E-5</v>
      </c>
      <c r="H42" s="1">
        <v>4.4999999999999999E-4</v>
      </c>
      <c r="I42" s="1">
        <v>4.4999999999999999E-4</v>
      </c>
    </row>
    <row r="43" spans="1:9" x14ac:dyDescent="0.2">
      <c r="A43" s="1">
        <v>40</v>
      </c>
      <c r="B43" s="1">
        <v>7.5000000000000002E-4</v>
      </c>
      <c r="C43" s="1">
        <v>4.0000000000000002E-4</v>
      </c>
      <c r="E43" s="1">
        <v>40</v>
      </c>
      <c r="F43" s="1">
        <v>5.8E-5</v>
      </c>
      <c r="G43" s="1">
        <v>2.8E-5</v>
      </c>
      <c r="H43" s="1">
        <v>4.8999999999999998E-4</v>
      </c>
      <c r="I43" s="1">
        <v>4.8999999999999998E-4</v>
      </c>
    </row>
    <row r="44" spans="1:9" x14ac:dyDescent="0.2">
      <c r="A44" s="1">
        <v>41</v>
      </c>
      <c r="B44" s="1">
        <v>8.0000000000000004E-4</v>
      </c>
      <c r="C44" s="1">
        <v>4.4999999999999999E-4</v>
      </c>
      <c r="E44" s="1">
        <v>41</v>
      </c>
      <c r="F44" s="1">
        <v>6.2000000000000003E-5</v>
      </c>
      <c r="G44" s="1">
        <v>3.0000000000000001E-5</v>
      </c>
      <c r="H44" s="1">
        <v>5.2999999999999998E-4</v>
      </c>
      <c r="I44" s="1">
        <v>5.2999999999999998E-4</v>
      </c>
    </row>
    <row r="45" spans="1:9" x14ac:dyDescent="0.2">
      <c r="A45" s="1">
        <v>42</v>
      </c>
      <c r="B45" s="1">
        <v>8.0000000000000004E-4</v>
      </c>
      <c r="C45" s="1">
        <v>4.4999999999999999E-4</v>
      </c>
      <c r="E45" s="1">
        <v>42</v>
      </c>
      <c r="F45" s="1">
        <v>6.2000000000000003E-5</v>
      </c>
      <c r="G45" s="1">
        <v>3.0000000000000001E-5</v>
      </c>
      <c r="H45" s="1">
        <v>5.7499999999999999E-4</v>
      </c>
      <c r="I45" s="1">
        <v>5.7499999999999999E-4</v>
      </c>
    </row>
    <row r="46" spans="1:9" x14ac:dyDescent="0.2">
      <c r="A46" s="1">
        <v>43</v>
      </c>
      <c r="B46" s="1">
        <v>8.4999999999999995E-4</v>
      </c>
      <c r="C46" s="1">
        <v>4.4999999999999999E-4</v>
      </c>
      <c r="E46" s="1">
        <v>43</v>
      </c>
      <c r="F46" s="1">
        <v>6.6000000000000005E-5</v>
      </c>
      <c r="G46" s="1">
        <v>3.1000000000000001E-5</v>
      </c>
      <c r="H46" s="1">
        <v>6.2500000000000001E-4</v>
      </c>
      <c r="I46" s="1">
        <v>6.2500000000000001E-4</v>
      </c>
    </row>
    <row r="47" spans="1:9" x14ac:dyDescent="0.2">
      <c r="A47" s="1">
        <v>44</v>
      </c>
      <c r="B47" s="1">
        <v>8.4999999999999995E-4</v>
      </c>
      <c r="C47" s="1">
        <v>5.0000000000000001E-4</v>
      </c>
      <c r="E47" s="1">
        <v>44</v>
      </c>
      <c r="F47" s="1">
        <v>6.6000000000000005E-5</v>
      </c>
      <c r="G47" s="1">
        <v>3.3000000000000003E-5</v>
      </c>
      <c r="H47" s="1">
        <v>6.8000000000000005E-4</v>
      </c>
      <c r="I47" s="1">
        <v>6.8000000000000005E-4</v>
      </c>
    </row>
    <row r="48" spans="1:9" x14ac:dyDescent="0.2">
      <c r="A48" s="1">
        <v>45</v>
      </c>
      <c r="B48" s="1">
        <v>8.9999999999999998E-4</v>
      </c>
      <c r="C48" s="1">
        <v>5.0000000000000001E-4</v>
      </c>
      <c r="E48" s="1">
        <v>45</v>
      </c>
      <c r="F48" s="1">
        <v>6.9999999999999994E-5</v>
      </c>
      <c r="G48" s="1">
        <v>3.4E-5</v>
      </c>
      <c r="H48" s="1">
        <v>7.3999999999999999E-4</v>
      </c>
      <c r="I48" s="1">
        <v>7.3999999999999999E-4</v>
      </c>
    </row>
    <row r="49" spans="1:9" x14ac:dyDescent="0.2">
      <c r="A49" s="1">
        <v>46</v>
      </c>
      <c r="B49" s="1">
        <v>9.5E-4</v>
      </c>
      <c r="C49" s="1">
        <v>5.0000000000000001E-4</v>
      </c>
      <c r="E49" s="1">
        <v>46</v>
      </c>
      <c r="F49" s="1">
        <v>7.3999999999999996E-5</v>
      </c>
      <c r="G49" s="1">
        <v>3.4999999999999997E-5</v>
      </c>
      <c r="H49" s="1">
        <v>8.0500000000000005E-4</v>
      </c>
      <c r="I49" s="1">
        <v>8.0500000000000005E-4</v>
      </c>
    </row>
    <row r="50" spans="1:9" x14ac:dyDescent="0.2">
      <c r="A50" s="1">
        <v>47</v>
      </c>
      <c r="B50" s="1">
        <v>9.5E-4</v>
      </c>
      <c r="C50" s="1">
        <v>5.5000000000000003E-4</v>
      </c>
      <c r="E50" s="1">
        <v>47</v>
      </c>
      <c r="F50" s="1">
        <v>7.3999999999999996E-5</v>
      </c>
      <c r="G50" s="1">
        <v>3.6000000000000001E-5</v>
      </c>
      <c r="H50" s="1">
        <v>8.7500000000000002E-4</v>
      </c>
      <c r="I50" s="1">
        <v>8.7500000000000002E-4</v>
      </c>
    </row>
    <row r="51" spans="1:9" x14ac:dyDescent="0.2">
      <c r="A51" s="1">
        <v>48</v>
      </c>
      <c r="B51" s="1">
        <v>1E-3</v>
      </c>
      <c r="C51" s="1">
        <v>5.5000000000000003E-4</v>
      </c>
      <c r="E51" s="1">
        <v>48</v>
      </c>
      <c r="F51" s="1">
        <v>7.7999999999999999E-5</v>
      </c>
      <c r="G51" s="1">
        <v>3.6999999999999998E-5</v>
      </c>
      <c r="H51" s="1">
        <v>9.5E-4</v>
      </c>
      <c r="I51" s="1">
        <v>9.5E-4</v>
      </c>
    </row>
    <row r="52" spans="1:9" x14ac:dyDescent="0.2">
      <c r="A52" s="1">
        <v>49</v>
      </c>
      <c r="B52" s="1">
        <v>1E-3</v>
      </c>
      <c r="C52" s="1">
        <v>5.5000000000000003E-4</v>
      </c>
      <c r="E52" s="1">
        <v>49</v>
      </c>
      <c r="F52" s="1">
        <v>7.7999999999999999E-5</v>
      </c>
      <c r="G52" s="1">
        <v>3.6999999999999998E-5</v>
      </c>
      <c r="H52" s="1">
        <v>1.0300000000000001E-3</v>
      </c>
      <c r="I52" s="1">
        <v>1.0300000000000001E-3</v>
      </c>
    </row>
    <row r="53" spans="1:9" x14ac:dyDescent="0.2">
      <c r="A53" s="1">
        <v>50</v>
      </c>
      <c r="B53" s="1">
        <v>1E-3</v>
      </c>
      <c r="C53" s="1">
        <v>5.5000000000000003E-4</v>
      </c>
      <c r="E53" s="1">
        <v>50</v>
      </c>
      <c r="F53" s="1">
        <v>7.7999999999999999E-5</v>
      </c>
      <c r="G53" s="1">
        <v>3.6999999999999998E-5</v>
      </c>
      <c r="H53" s="1">
        <v>1.1150000000000001E-3</v>
      </c>
      <c r="I53" s="1">
        <v>1.1150000000000001E-3</v>
      </c>
    </row>
  </sheetData>
  <phoneticPr fontId="4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Z1000"/>
  <sheetViews>
    <sheetView workbookViewId="0"/>
  </sheetViews>
  <sheetFormatPr defaultColWidth="12.5703125" defaultRowHeight="15.75" customHeight="1" x14ac:dyDescent="0.2"/>
  <sheetData>
    <row r="1" spans="1:26" x14ac:dyDescent="0.2">
      <c r="A1" s="4"/>
      <c r="B1" s="4" t="s">
        <v>61</v>
      </c>
      <c r="C1" s="4" t="s">
        <v>62</v>
      </c>
      <c r="D1" s="4" t="s">
        <v>63</v>
      </c>
      <c r="E1" s="4" t="s">
        <v>64</v>
      </c>
      <c r="F1" s="4" t="s">
        <v>65</v>
      </c>
      <c r="G1" s="4" t="s">
        <v>66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">
      <c r="A2" s="5">
        <v>1</v>
      </c>
      <c r="B2" s="4" t="s">
        <v>67</v>
      </c>
      <c r="C2" s="4" t="s">
        <v>68</v>
      </c>
      <c r="D2" s="4" t="s">
        <v>69</v>
      </c>
      <c r="E2" s="4" t="s">
        <v>70</v>
      </c>
      <c r="F2" s="4" t="s">
        <v>71</v>
      </c>
      <c r="G2" s="4" t="s">
        <v>72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">
      <c r="A3" s="5">
        <v>2</v>
      </c>
      <c r="B3" s="5">
        <v>0</v>
      </c>
      <c r="C3" s="6">
        <f>입력!$B$1</f>
        <v>0</v>
      </c>
      <c r="D3" s="6" t="e">
        <f>VLOOKUP(B2, 입력!$B$11:$D$121, IF(입력!$B$2="남",2,3), FALSE)</f>
        <v>#N/A</v>
      </c>
      <c r="E3" s="4" t="s">
        <v>73</v>
      </c>
      <c r="F3" s="4" t="s">
        <v>74</v>
      </c>
      <c r="G3" s="6" t="e">
        <f>VLOOKUP(A2, 입력!$F$29:$G$41, 2, TRUE)</f>
        <v>#N/A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">
      <c r="A4" s="5">
        <v>3</v>
      </c>
      <c r="B4" s="5">
        <f>A2+1</f>
        <v>2</v>
      </c>
      <c r="C4" s="6" t="e">
        <f>B2+1</f>
        <v>#VALUE!</v>
      </c>
      <c r="D4" s="6" t="e">
        <f>VLOOKUP(B3, 입력!$B$11:$D$121, IF(입력!$B$2="남",2,3), FALSE)</f>
        <v>#N/A</v>
      </c>
      <c r="E4" s="4" t="s">
        <v>73</v>
      </c>
      <c r="F4" s="4" t="s">
        <v>74</v>
      </c>
      <c r="G4" s="6" t="e">
        <f>IF(A3&gt;=입력!$B$5, VLOOKUP("m≤t&lt;m+1", 입력!$F$44:$G$48, 2, FALSE), VLOOKUP(A3, 입력!$F$29:$G$41, 2, TRUE))</f>
        <v>#N/A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x14ac:dyDescent="0.2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x14ac:dyDescent="0.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x14ac:dyDescent="0.2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x14ac:dyDescent="0.2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x14ac:dyDescent="0.2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x14ac:dyDescent="0.2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x14ac:dyDescent="0.2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x14ac:dyDescent="0.2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x14ac:dyDescent="0.2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x14ac:dyDescent="0.2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honeticPr fontId="4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92"/>
  <sheetViews>
    <sheetView workbookViewId="0"/>
  </sheetViews>
  <sheetFormatPr defaultRowHeight="12.75" x14ac:dyDescent="0.2"/>
  <sheetData>
    <row r="1" spans="1:8" x14ac:dyDescent="0.2">
      <c r="A1" t="s">
        <v>45</v>
      </c>
      <c r="B1" t="s">
        <v>75</v>
      </c>
      <c r="C1" t="s">
        <v>69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</row>
    <row r="2" spans="1:8" x14ac:dyDescent="0.2">
      <c r="A2">
        <v>30</v>
      </c>
      <c r="B2">
        <v>100000</v>
      </c>
      <c r="C2">
        <f>VLOOKUP(A2, 위험률_확장!$A$3:$C$123, IF(입력!$B$4="남", 2, 3), FALSE)</f>
        <v>5.9999999999999995E-4</v>
      </c>
      <c r="D2">
        <f t="shared" ref="D2:D33" si="0">B2*C2</f>
        <v>59.999999999999993</v>
      </c>
      <c r="E2">
        <f t="shared" ref="E2:E33" si="1">B2*(1/(1+0.0225))^A2</f>
        <v>51298.007842517822</v>
      </c>
      <c r="F2">
        <f>SUM(E2:E$92)</f>
        <v>1969997.5272223388</v>
      </c>
      <c r="G2">
        <f t="shared" ref="G2:G33" si="2">D2*(1/(1+0.0225))^(A2+1)</f>
        <v>30.101520494386989</v>
      </c>
      <c r="H2">
        <f>SUM(G2:G$92)</f>
        <v>1738.7781868487359</v>
      </c>
    </row>
    <row r="3" spans="1:8" x14ac:dyDescent="0.2">
      <c r="A3">
        <v>31</v>
      </c>
      <c r="B3">
        <f t="shared" ref="B3:B34" si="3">B2-D2</f>
        <v>99940</v>
      </c>
      <c r="C3">
        <f>VLOOKUP(A3, 위험률_확장!$A$3:$C$123, IF(입력!$B$4="남", 2, 3), FALSE)</f>
        <v>5.9999999999999995E-4</v>
      </c>
      <c r="D3">
        <f t="shared" si="0"/>
        <v>59.963999999999992</v>
      </c>
      <c r="E3">
        <f t="shared" si="1"/>
        <v>50139.099303483934</v>
      </c>
      <c r="F3">
        <f>SUM(E3:E$92)</f>
        <v>1918699.5193798209</v>
      </c>
      <c r="G3">
        <f t="shared" si="2"/>
        <v>29.421476363902553</v>
      </c>
      <c r="H3">
        <f>SUM(G3:G$92)</f>
        <v>1708.6766663543492</v>
      </c>
    </row>
    <row r="4" spans="1:8" x14ac:dyDescent="0.2">
      <c r="A4">
        <v>32</v>
      </c>
      <c r="B4">
        <f t="shared" si="3"/>
        <v>99880.035999999993</v>
      </c>
      <c r="C4">
        <f>VLOOKUP(A4, 위험률_확장!$A$3:$C$123, IF(입력!$B$4="남", 2, 3), FALSE)</f>
        <v>6.4999999999999997E-4</v>
      </c>
      <c r="D4">
        <f t="shared" si="0"/>
        <v>64.922023399999986</v>
      </c>
      <c r="E4">
        <f t="shared" si="1"/>
        <v>49006.372463473686</v>
      </c>
      <c r="F4">
        <f>SUM(E4:E$92)</f>
        <v>1868560.4200763369</v>
      </c>
      <c r="G4">
        <f t="shared" si="2"/>
        <v>31.153195209054179</v>
      </c>
      <c r="H4">
        <f>SUM(G4:G$92)</f>
        <v>1679.2551899904465</v>
      </c>
    </row>
    <row r="5" spans="1:8" x14ac:dyDescent="0.2">
      <c r="A5">
        <v>33</v>
      </c>
      <c r="B5">
        <f t="shared" si="3"/>
        <v>99815.113976599998</v>
      </c>
      <c r="C5">
        <f>VLOOKUP(A5, 위험률_확장!$A$3:$C$123, IF(입력!$B$4="남", 2, 3), FALSE)</f>
        <v>6.4999999999999997E-4</v>
      </c>
      <c r="D5">
        <f t="shared" si="0"/>
        <v>64.879824084790002</v>
      </c>
      <c r="E5">
        <f t="shared" si="1"/>
        <v>47896.839434105073</v>
      </c>
      <c r="F5">
        <f>SUM(E5:E$92)</f>
        <v>1819554.0476128634</v>
      </c>
      <c r="G5">
        <f t="shared" si="2"/>
        <v>30.44786858891765</v>
      </c>
      <c r="H5">
        <f>SUM(G5:G$92)</f>
        <v>1648.1019947813925</v>
      </c>
    </row>
    <row r="6" spans="1:8" x14ac:dyDescent="0.2">
      <c r="A6">
        <v>34</v>
      </c>
      <c r="B6">
        <f t="shared" si="3"/>
        <v>99750.234152515215</v>
      </c>
      <c r="C6">
        <f>VLOOKUP(A6, 위험률_확장!$A$3:$C$123, IF(입력!$B$4="남", 2, 3), FALSE)</f>
        <v>6.9999999999999999E-4</v>
      </c>
      <c r="D6">
        <f t="shared" si="0"/>
        <v>69.82516390676065</v>
      </c>
      <c r="E6">
        <f t="shared" si="1"/>
        <v>46812.426883592088</v>
      </c>
      <c r="F6">
        <f>SUM(E6:E$92)</f>
        <v>1771657.2081787584</v>
      </c>
      <c r="G6">
        <f t="shared" si="2"/>
        <v>32.047627206371111</v>
      </c>
      <c r="H6">
        <f>SUM(G6:G$92)</f>
        <v>1617.6541261924747</v>
      </c>
    </row>
    <row r="7" spans="1:8" x14ac:dyDescent="0.2">
      <c r="A7">
        <v>35</v>
      </c>
      <c r="B7">
        <f t="shared" si="3"/>
        <v>99680.408988608455</v>
      </c>
      <c r="C7">
        <f>VLOOKUP(A7, 위험률_확장!$A$3:$C$123, IF(입력!$B$4="남", 2, 3), FALSE)</f>
        <v>6.9999999999999999E-4</v>
      </c>
      <c r="D7">
        <f t="shared" si="0"/>
        <v>69.776286292025915</v>
      </c>
      <c r="E7">
        <f t="shared" si="1"/>
        <v>45750.276953323795</v>
      </c>
      <c r="F7">
        <f>SUM(E7:E$92)</f>
        <v>1724844.7812951666</v>
      </c>
      <c r="G7">
        <f t="shared" si="2"/>
        <v>31.320482999830464</v>
      </c>
      <c r="H7">
        <f>SUM(G7:G$92)</f>
        <v>1585.6064989861038</v>
      </c>
    </row>
    <row r="8" spans="1:8" x14ac:dyDescent="0.2">
      <c r="A8">
        <v>36</v>
      </c>
      <c r="B8">
        <f t="shared" si="3"/>
        <v>99610.632702316434</v>
      </c>
      <c r="C8">
        <f>VLOOKUP(A8, 위험률_확장!$A$3:$C$123, IF(입력!$B$4="남", 2, 3), FALSE)</f>
        <v>6.9999999999999999E-4</v>
      </c>
      <c r="D8">
        <f t="shared" si="0"/>
        <v>69.727442891621507</v>
      </c>
      <c r="E8">
        <f t="shared" si="1"/>
        <v>44712.226659615124</v>
      </c>
      <c r="F8">
        <f>SUM(E8:E$92)</f>
        <v>1679094.5043418424</v>
      </c>
      <c r="G8">
        <f t="shared" si="2"/>
        <v>30.609837321985907</v>
      </c>
      <c r="H8">
        <f>SUM(G8:G$92)</f>
        <v>1554.2860159862735</v>
      </c>
    </row>
    <row r="9" spans="1:8" x14ac:dyDescent="0.2">
      <c r="A9">
        <v>37</v>
      </c>
      <c r="B9">
        <f t="shared" si="3"/>
        <v>99540.905259424806</v>
      </c>
      <c r="C9">
        <f>VLOOKUP(A9, 위험률_확장!$A$3:$C$123, IF(입력!$B$4="남", 2, 3), FALSE)</f>
        <v>7.5000000000000002E-4</v>
      </c>
      <c r="D9">
        <f t="shared" si="0"/>
        <v>74.655678944568606</v>
      </c>
      <c r="E9">
        <f t="shared" si="1"/>
        <v>43697.729194086445</v>
      </c>
      <c r="F9">
        <f>SUM(E9:E$92)</f>
        <v>1634382.2776822273</v>
      </c>
      <c r="G9">
        <f t="shared" si="2"/>
        <v>32.052124103241894</v>
      </c>
      <c r="H9">
        <f>SUM(G9:G$92)</f>
        <v>1523.6761786642878</v>
      </c>
    </row>
    <row r="10" spans="1:8" x14ac:dyDescent="0.2">
      <c r="A10">
        <v>38</v>
      </c>
      <c r="B10">
        <f t="shared" si="3"/>
        <v>99466.249580480231</v>
      </c>
      <c r="C10">
        <f>VLOOKUP(A10, 위험률_확장!$A$3:$C$123, IF(입력!$B$4="남", 2, 3), FALSE)</f>
        <v>7.5000000000000002E-4</v>
      </c>
      <c r="D10">
        <f t="shared" si="0"/>
        <v>74.599687185360182</v>
      </c>
      <c r="E10">
        <f t="shared" si="1"/>
        <v>42704.113346885948</v>
      </c>
      <c r="F10">
        <f>SUM(E10:E$92)</f>
        <v>1590684.5484881413</v>
      </c>
      <c r="G10">
        <f t="shared" si="2"/>
        <v>31.323310523388233</v>
      </c>
      <c r="H10">
        <f>SUM(G10:G$92)</f>
        <v>1491.6240545610458</v>
      </c>
    </row>
    <row r="11" spans="1:8" x14ac:dyDescent="0.2">
      <c r="A11">
        <v>39</v>
      </c>
      <c r="B11">
        <f t="shared" si="3"/>
        <v>99391.649893294874</v>
      </c>
      <c r="C11">
        <f>VLOOKUP(A11, 위험률_확장!$A$3:$C$123, IF(입력!$B$4="남", 2, 3), FALSE)</f>
        <v>7.5000000000000002E-4</v>
      </c>
      <c r="D11">
        <f t="shared" si="0"/>
        <v>74.543737419971151</v>
      </c>
      <c r="E11">
        <f t="shared" si="1"/>
        <v>41733.090720660919</v>
      </c>
      <c r="F11">
        <f>SUM(E11:E$92)</f>
        <v>1547980.4351412554</v>
      </c>
      <c r="G11">
        <f t="shared" si="2"/>
        <v>30.611068988259845</v>
      </c>
      <c r="H11">
        <f>SUM(G11:G$92)</f>
        <v>1460.3007440376578</v>
      </c>
    </row>
    <row r="12" spans="1:8" x14ac:dyDescent="0.2">
      <c r="A12">
        <v>40</v>
      </c>
      <c r="B12">
        <f t="shared" si="3"/>
        <v>99317.106155874906</v>
      </c>
      <c r="C12">
        <f>VLOOKUP(A12, 위험률_확장!$A$3:$C$123, IF(입력!$B$4="남", 2, 3), FALSE)</f>
        <v>7.5000000000000002E-4</v>
      </c>
      <c r="D12">
        <f t="shared" si="0"/>
        <v>74.487829616906183</v>
      </c>
      <c r="E12">
        <f t="shared" si="1"/>
        <v>40784.147582024867</v>
      </c>
      <c r="F12">
        <f>SUM(E12:E$92)</f>
        <v>1506247.3444205944</v>
      </c>
      <c r="G12">
        <f t="shared" si="2"/>
        <v>29.915022676301863</v>
      </c>
      <c r="H12">
        <f>SUM(G12:G$92)</f>
        <v>1429.6896750493979</v>
      </c>
    </row>
    <row r="13" spans="1:8" x14ac:dyDescent="0.2">
      <c r="A13">
        <v>41</v>
      </c>
      <c r="B13">
        <f t="shared" si="3"/>
        <v>99242.618326258002</v>
      </c>
      <c r="C13">
        <f>VLOOKUP(A13, 위험률_확장!$A$3:$C$123, IF(입력!$B$4="남", 2, 3), FALSE)</f>
        <v>8.0000000000000004E-4</v>
      </c>
      <c r="D13">
        <f t="shared" si="0"/>
        <v>79.394094661006406</v>
      </c>
      <c r="E13">
        <f t="shared" si="1"/>
        <v>39856.781879059519</v>
      </c>
      <c r="F13">
        <f>SUM(E13:E$92)</f>
        <v>1465463.1968385691</v>
      </c>
      <c r="G13">
        <f t="shared" si="2"/>
        <v>31.183790223225049</v>
      </c>
      <c r="H13">
        <f>SUM(G13:G$92)</f>
        <v>1399.7746523730962</v>
      </c>
    </row>
    <row r="14" spans="1:8" x14ac:dyDescent="0.2">
      <c r="A14">
        <v>42</v>
      </c>
      <c r="B14">
        <f t="shared" si="3"/>
        <v>99163.224231596992</v>
      </c>
      <c r="C14">
        <f>VLOOKUP(A14, 위험률_확장!$A$3:$C$123, IF(입력!$B$4="남", 2, 3), FALSE)</f>
        <v>8.0000000000000004E-4</v>
      </c>
      <c r="D14">
        <f t="shared" si="0"/>
        <v>79.330579385277602</v>
      </c>
      <c r="E14">
        <f t="shared" si="1"/>
        <v>38948.553988808082</v>
      </c>
      <c r="F14">
        <f>SUM(E14:E$92)</f>
        <v>1425606.4149595096</v>
      </c>
      <c r="G14">
        <f t="shared" si="2"/>
        <v>30.473196274862072</v>
      </c>
      <c r="H14">
        <f>SUM(G14:G$92)</f>
        <v>1368.5908621498711</v>
      </c>
    </row>
    <row r="15" spans="1:8" x14ac:dyDescent="0.2">
      <c r="A15">
        <v>43</v>
      </c>
      <c r="B15">
        <f t="shared" si="3"/>
        <v>99083.893652211715</v>
      </c>
      <c r="C15">
        <f>VLOOKUP(A15, 위험률_확장!$A$3:$C$123, IF(입력!$B$4="남", 2, 3), FALSE)</f>
        <v>8.4999999999999995E-4</v>
      </c>
      <c r="D15">
        <f t="shared" si="0"/>
        <v>84.221309604379954</v>
      </c>
      <c r="E15">
        <f t="shared" si="1"/>
        <v>38061.022147302727</v>
      </c>
      <c r="F15">
        <f>SUM(E15:E$92)</f>
        <v>1386657.8609707018</v>
      </c>
      <c r="G15">
        <f t="shared" si="2"/>
        <v>31.639969511205202</v>
      </c>
      <c r="H15">
        <f>SUM(G15:G$92)</f>
        <v>1338.1176658750092</v>
      </c>
    </row>
    <row r="16" spans="1:8" x14ac:dyDescent="0.2">
      <c r="A16">
        <v>44</v>
      </c>
      <c r="B16">
        <f t="shared" si="3"/>
        <v>98999.672342607329</v>
      </c>
      <c r="C16">
        <f>VLOOKUP(A16, 위험률_확장!$A$3:$C$123, IF(입력!$B$4="남", 2, 3), FALSE)</f>
        <v>8.4999999999999995E-4</v>
      </c>
      <c r="D16">
        <f t="shared" si="0"/>
        <v>84.149721491216226</v>
      </c>
      <c r="E16">
        <f t="shared" si="1"/>
        <v>37191.85357308315</v>
      </c>
      <c r="F16">
        <f>SUM(E16:E$92)</f>
        <v>1348596.838823399</v>
      </c>
      <c r="G16">
        <f t="shared" si="2"/>
        <v>30.917433288137584</v>
      </c>
      <c r="H16">
        <f>SUM(G16:G$92)</f>
        <v>1306.4776963638042</v>
      </c>
    </row>
    <row r="17" spans="1:8" x14ac:dyDescent="0.2">
      <c r="A17">
        <v>45</v>
      </c>
      <c r="B17">
        <f t="shared" si="3"/>
        <v>98915.522621116106</v>
      </c>
      <c r="C17">
        <f>VLOOKUP(A17, 위험률_확장!$A$3:$C$123, IF(입력!$B$4="남", 2, 3), FALSE)</f>
        <v>8.9999999999999998E-4</v>
      </c>
      <c r="D17">
        <f t="shared" si="0"/>
        <v>89.023970359004494</v>
      </c>
      <c r="E17">
        <f t="shared" si="1"/>
        <v>36342.533493932548</v>
      </c>
      <c r="F17">
        <f>SUM(E17:E$92)</f>
        <v>1311404.9852503159</v>
      </c>
      <c r="G17">
        <f t="shared" si="2"/>
        <v>31.988538038669233</v>
      </c>
      <c r="H17">
        <f>SUM(G17:G$92)</f>
        <v>1275.5602630756666</v>
      </c>
    </row>
    <row r="18" spans="1:8" x14ac:dyDescent="0.2">
      <c r="A18">
        <v>46</v>
      </c>
      <c r="B18">
        <f t="shared" si="3"/>
        <v>98826.498650757101</v>
      </c>
      <c r="C18">
        <f>VLOOKUP(A18, 위험률_확장!$A$3:$C$123, IF(입력!$B$4="남", 2, 3), FALSE)</f>
        <v>9.5E-4</v>
      </c>
      <c r="D18">
        <f t="shared" si="0"/>
        <v>93.885173718219249</v>
      </c>
      <c r="E18">
        <f t="shared" si="1"/>
        <v>35510.831504927148</v>
      </c>
      <c r="F18">
        <f>SUM(E18:E$92)</f>
        <v>1275062.4517563831</v>
      </c>
      <c r="G18">
        <f t="shared" si="2"/>
        <v>32.992948586484886</v>
      </c>
      <c r="H18">
        <f>SUM(G18:G$92)</f>
        <v>1243.5717250369971</v>
      </c>
    </row>
    <row r="19" spans="1:8" x14ac:dyDescent="0.2">
      <c r="A19">
        <v>47</v>
      </c>
      <c r="B19">
        <f t="shared" si="3"/>
        <v>98732.613477038889</v>
      </c>
      <c r="C19">
        <f>VLOOKUP(A19, 위험률_확장!$A$3:$C$123, IF(입력!$B$4="남", 2, 3), FALSE)</f>
        <v>9.5E-4</v>
      </c>
      <c r="D19">
        <f t="shared" si="0"/>
        <v>93.795982803186945</v>
      </c>
      <c r="E19">
        <f t="shared" si="1"/>
        <v>34696.426616134449</v>
      </c>
      <c r="F19">
        <f>SUM(E19:E$92)</f>
        <v>1239551.6202514558</v>
      </c>
      <c r="G19">
        <f t="shared" si="2"/>
        <v>32.236288787606583</v>
      </c>
      <c r="H19">
        <f>SUM(G19:G$92)</f>
        <v>1210.5787764505121</v>
      </c>
    </row>
    <row r="20" spans="1:8" x14ac:dyDescent="0.2">
      <c r="A20">
        <v>48</v>
      </c>
      <c r="B20">
        <f t="shared" si="3"/>
        <v>98638.8174942357</v>
      </c>
      <c r="C20">
        <f>VLOOKUP(A20, 위험률_확장!$A$3:$C$123, IF(입력!$B$4="남", 2, 3), FALSE)</f>
        <v>1E-3</v>
      </c>
      <c r="D20">
        <f t="shared" si="0"/>
        <v>98.638817494235695</v>
      </c>
      <c r="E20">
        <f t="shared" si="1"/>
        <v>33900.699277114058</v>
      </c>
      <c r="F20">
        <f>SUM(E20:E$92)</f>
        <v>1204855.1936353212</v>
      </c>
      <c r="G20">
        <f t="shared" si="2"/>
        <v>33.154718119426953</v>
      </c>
      <c r="H20">
        <f>SUM(G20:G$92)</f>
        <v>1178.3424876629053</v>
      </c>
    </row>
    <row r="21" spans="1:8" x14ac:dyDescent="0.2">
      <c r="A21">
        <v>49</v>
      </c>
      <c r="B21">
        <f t="shared" si="3"/>
        <v>98540.17867674146</v>
      </c>
      <c r="C21">
        <f>VLOOKUP(A21, 위험률_확장!$A$3:$C$123, IF(입력!$B$4="남", 2, 3), FALSE)</f>
        <v>1E-3</v>
      </c>
      <c r="D21">
        <f t="shared" si="0"/>
        <v>98.540178676741462</v>
      </c>
      <c r="E21">
        <f t="shared" si="1"/>
        <v>33121.563401307525</v>
      </c>
      <c r="F21">
        <f>SUM(E21:E$92)</f>
        <v>1170954.4943582071</v>
      </c>
      <c r="G21">
        <f t="shared" si="2"/>
        <v>32.392727042843546</v>
      </c>
      <c r="H21">
        <f>SUM(G21:G$92)</f>
        <v>1145.1877695434787</v>
      </c>
    </row>
    <row r="22" spans="1:8" x14ac:dyDescent="0.2">
      <c r="A22">
        <v>50</v>
      </c>
      <c r="B22">
        <f t="shared" si="3"/>
        <v>98441.638498064713</v>
      </c>
      <c r="C22">
        <f>VLOOKUP(A22, 위험률_확장!$A$3:$C$123, IF(입력!$B$4="남", 2, 3), FALSE)</f>
        <v>1E-3</v>
      </c>
      <c r="D22">
        <f t="shared" si="0"/>
        <v>98.441638498064719</v>
      </c>
      <c r="E22">
        <f t="shared" si="1"/>
        <v>32360.334315800701</v>
      </c>
      <c r="F22">
        <f>SUM(E22:E$92)</f>
        <v>1137832.9309568994</v>
      </c>
      <c r="G22">
        <f t="shared" si="2"/>
        <v>31.648248719609491</v>
      </c>
      <c r="H22">
        <f>SUM(G22:G$92)</f>
        <v>1112.7950425006354</v>
      </c>
    </row>
    <row r="23" spans="1:8" x14ac:dyDescent="0.2">
      <c r="A23">
        <v>51</v>
      </c>
      <c r="B23">
        <f t="shared" si="3"/>
        <v>98343.196859566655</v>
      </c>
      <c r="C23">
        <f>VLOOKUP(A23, 위험률_확장!$A$3:$C$123, IF(입력!$B$4="남", 2, 3), FALSE)</f>
        <v>1E-3</v>
      </c>
      <c r="D23">
        <f t="shared" si="0"/>
        <v>98.34319685956666</v>
      </c>
      <c r="E23">
        <f t="shared" si="1"/>
        <v>31616.60047088988</v>
      </c>
      <c r="F23">
        <f>SUM(E23:E$92)</f>
        <v>1105472.5966410984</v>
      </c>
      <c r="G23">
        <f t="shared" si="2"/>
        <v>30.920880656127025</v>
      </c>
      <c r="H23">
        <f>SUM(G23:G$92)</f>
        <v>1081.1467937810257</v>
      </c>
    </row>
    <row r="24" spans="1:8" x14ac:dyDescent="0.2">
      <c r="A24">
        <v>52</v>
      </c>
      <c r="B24">
        <f t="shared" si="3"/>
        <v>98244.853662707086</v>
      </c>
      <c r="C24">
        <f>VLOOKUP(A24, 위험률_확장!$A$3:$C$123, IF(입력!$B$4="남", 2, 3), FALSE)</f>
        <v>1E-3</v>
      </c>
      <c r="D24">
        <f t="shared" si="0"/>
        <v>98.244853662707087</v>
      </c>
      <c r="E24">
        <f t="shared" si="1"/>
        <v>30889.959775470896</v>
      </c>
      <c r="F24">
        <f>SUM(E24:E$92)</f>
        <v>1073855.9961702086</v>
      </c>
      <c r="G24">
        <f t="shared" si="2"/>
        <v>30.210229609262491</v>
      </c>
      <c r="H24">
        <f>SUM(G24:G$92)</f>
        <v>1050.2259131248989</v>
      </c>
    </row>
    <row r="25" spans="1:8" x14ac:dyDescent="0.2">
      <c r="A25">
        <v>53</v>
      </c>
      <c r="B25">
        <f t="shared" si="3"/>
        <v>98146.608809044381</v>
      </c>
      <c r="C25">
        <f>VLOOKUP(A25, 위험률_확장!$A$3:$C$123, IF(입력!$B$4="남", 2, 3), FALSE)</f>
        <v>1E-3</v>
      </c>
      <c r="D25">
        <f t="shared" si="0"/>
        <v>98.14660880904438</v>
      </c>
      <c r="E25">
        <f t="shared" si="1"/>
        <v>30180.019379653229</v>
      </c>
      <c r="F25">
        <f>SUM(E25:E$92)</f>
        <v>1042966.0363947377</v>
      </c>
      <c r="G25">
        <f t="shared" si="2"/>
        <v>29.51591137374399</v>
      </c>
      <c r="H25">
        <f>SUM(G25:G$92)</f>
        <v>1020.0156835156369</v>
      </c>
    </row>
    <row r="26" spans="1:8" x14ac:dyDescent="0.2">
      <c r="A26">
        <v>54</v>
      </c>
      <c r="B26">
        <f t="shared" si="3"/>
        <v>98048.462200235343</v>
      </c>
      <c r="C26">
        <f>VLOOKUP(A26, 위험률_확장!$A$3:$C$123, IF(입력!$B$4="남", 2, 3), FALSE)</f>
        <v>1E-3</v>
      </c>
      <c r="D26">
        <f t="shared" si="0"/>
        <v>98.048462200235349</v>
      </c>
      <c r="E26">
        <f t="shared" si="1"/>
        <v>29486.395462370248</v>
      </c>
      <c r="F26">
        <f>SUM(E26:E$92)</f>
        <v>1012786.0170150844</v>
      </c>
      <c r="G26">
        <f t="shared" si="2"/>
        <v>28.837550574445238</v>
      </c>
      <c r="H26">
        <f>SUM(G26:G$92)</f>
        <v>990.49977214189278</v>
      </c>
    </row>
    <row r="27" spans="1:8" x14ac:dyDescent="0.2">
      <c r="A27">
        <v>55</v>
      </c>
      <c r="B27">
        <f t="shared" si="3"/>
        <v>97950.413738035102</v>
      </c>
      <c r="C27">
        <f>VLOOKUP(A27, 위험률_확장!$A$3:$C$123, IF(입력!$B$4="남", 2, 3), FALSE)</f>
        <v>1E-3</v>
      </c>
      <c r="D27">
        <f t="shared" si="0"/>
        <v>97.95041373803511</v>
      </c>
      <c r="E27">
        <f t="shared" si="1"/>
        <v>28808.71302387079</v>
      </c>
      <c r="F27">
        <f>SUM(E27:E$92)</f>
        <v>983299.62155271415</v>
      </c>
      <c r="G27">
        <f t="shared" si="2"/>
        <v>28.174780463443312</v>
      </c>
      <c r="H27">
        <f>SUM(G27:G$92)</f>
        <v>961.66222156744732</v>
      </c>
    </row>
    <row r="28" spans="1:8" x14ac:dyDescent="0.2">
      <c r="A28">
        <v>56</v>
      </c>
      <c r="B28">
        <f t="shared" si="3"/>
        <v>97852.463324297074</v>
      </c>
      <c r="C28">
        <f>VLOOKUP(A28, 위험률_확장!$A$3:$C$123, IF(입력!$B$4="남", 2, 3), FALSE)</f>
        <v>1E-3</v>
      </c>
      <c r="D28">
        <f t="shared" si="0"/>
        <v>97.852463324297076</v>
      </c>
      <c r="E28">
        <f t="shared" si="1"/>
        <v>28146.605682979869</v>
      </c>
      <c r="F28">
        <f>SUM(E28:E$92)</f>
        <v>954490.90852884343</v>
      </c>
      <c r="G28">
        <f t="shared" si="2"/>
        <v>27.527242721740709</v>
      </c>
      <c r="H28">
        <f>SUM(G28:G$92)</f>
        <v>933.48744110400401</v>
      </c>
    </row>
    <row r="29" spans="1:8" x14ac:dyDescent="0.2">
      <c r="A29">
        <v>57</v>
      </c>
      <c r="B29">
        <f t="shared" si="3"/>
        <v>97754.610860972782</v>
      </c>
      <c r="C29">
        <f>VLOOKUP(A29, 위험률_확장!$A$3:$C$123, IF(입력!$B$4="남", 2, 3), FALSE)</f>
        <v>1E-3</v>
      </c>
      <c r="D29">
        <f t="shared" si="0"/>
        <v>97.75461086097279</v>
      </c>
      <c r="E29">
        <f t="shared" si="1"/>
        <v>27499.715479018967</v>
      </c>
      <c r="F29">
        <f>SUM(E29:E$92)</f>
        <v>926344.30284586351</v>
      </c>
      <c r="G29">
        <f t="shared" si="2"/>
        <v>26.894587265544221</v>
      </c>
      <c r="H29">
        <f>SUM(G29:G$92)</f>
        <v>905.96019838226334</v>
      </c>
    </row>
    <row r="30" spans="1:8" x14ac:dyDescent="0.2">
      <c r="A30">
        <v>58</v>
      </c>
      <c r="B30">
        <f t="shared" si="3"/>
        <v>97656.856250111814</v>
      </c>
      <c r="C30">
        <f>VLOOKUP(A30, 위험률_확장!$A$3:$C$123, IF(입력!$B$4="남", 2, 3), FALSE)</f>
        <v>1E-3</v>
      </c>
      <c r="D30">
        <f t="shared" si="0"/>
        <v>97.656856250111815</v>
      </c>
      <c r="E30">
        <f t="shared" si="1"/>
        <v>26867.692678278676</v>
      </c>
      <c r="F30">
        <f>SUM(E30:E$92)</f>
        <v>898844.58736684441</v>
      </c>
      <c r="G30">
        <f t="shared" si="2"/>
        <v>26.276472056996269</v>
      </c>
      <c r="H30">
        <f>SUM(G30:G$92)</f>
        <v>879.06561111671908</v>
      </c>
    </row>
    <row r="31" spans="1:8" x14ac:dyDescent="0.2">
      <c r="A31">
        <v>59</v>
      </c>
      <c r="B31">
        <f t="shared" si="3"/>
        <v>97559.199393861709</v>
      </c>
      <c r="C31">
        <f>VLOOKUP(A31, 위험률_확장!$A$3:$C$123, IF(입력!$B$4="남", 2, 3), FALSE)</f>
        <v>1E-3</v>
      </c>
      <c r="D31">
        <f t="shared" si="0"/>
        <v>97.559199393861718</v>
      </c>
      <c r="E31">
        <f t="shared" si="1"/>
        <v>26250.195584939276</v>
      </c>
      <c r="F31">
        <f>SUM(E31:E$92)</f>
        <v>871976.89468856587</v>
      </c>
      <c r="G31">
        <f t="shared" si="2"/>
        <v>25.672562919256016</v>
      </c>
      <c r="H31">
        <f>SUM(G31:G$92)</f>
        <v>852.78913905972286</v>
      </c>
    </row>
    <row r="32" spans="1:8" x14ac:dyDescent="0.2">
      <c r="A32">
        <v>60</v>
      </c>
      <c r="B32">
        <f t="shared" si="3"/>
        <v>97461.640194467851</v>
      </c>
      <c r="C32">
        <f>VLOOKUP(A32, 위험률_확장!$A$3:$C$123, IF(입력!$B$4="남", 2, 3), FALSE)</f>
        <v>1E-3</v>
      </c>
      <c r="D32">
        <f t="shared" si="0"/>
        <v>97.461640194467847</v>
      </c>
      <c r="E32">
        <f t="shared" si="1"/>
        <v>25646.89035633676</v>
      </c>
      <c r="F32">
        <f>SUM(E32:E$92)</f>
        <v>845726.69910362666</v>
      </c>
      <c r="G32">
        <f t="shared" si="2"/>
        <v>25.08253335583057</v>
      </c>
      <c r="H32">
        <f>SUM(G32:G$92)</f>
        <v>827.11657614046692</v>
      </c>
    </row>
    <row r="33" spans="1:8" x14ac:dyDescent="0.2">
      <c r="A33">
        <v>61</v>
      </c>
      <c r="B33">
        <f t="shared" si="3"/>
        <v>97364.178554273385</v>
      </c>
      <c r="C33">
        <f>VLOOKUP(A33, 위험률_확장!$A$3:$C$123, IF(입력!$B$4="남", 2, 3), FALSE)</f>
        <v>1E-3</v>
      </c>
      <c r="D33">
        <f t="shared" si="0"/>
        <v>97.364178554273394</v>
      </c>
      <c r="E33">
        <f t="shared" si="1"/>
        <v>25057.450822474741</v>
      </c>
      <c r="F33">
        <f>SUM(E33:E$92)</f>
        <v>820079.80874728994</v>
      </c>
      <c r="G33">
        <f t="shared" si="2"/>
        <v>24.506064374058425</v>
      </c>
      <c r="H33">
        <f>SUM(G33:G$92)</f>
        <v>802.03404278463631</v>
      </c>
    </row>
    <row r="34" spans="1:8" x14ac:dyDescent="0.2">
      <c r="A34">
        <v>62</v>
      </c>
      <c r="B34">
        <f t="shared" si="3"/>
        <v>97266.814375719114</v>
      </c>
      <c r="C34">
        <f>VLOOKUP(A34, 위험률_확장!$A$3:$C$123, IF(입력!$B$4="남", 2, 3), FALSE)</f>
        <v>1E-3</v>
      </c>
      <c r="D34">
        <f t="shared" ref="D34:D65" si="4">B34*C34</f>
        <v>97.266814375719122</v>
      </c>
      <c r="E34">
        <f t="shared" ref="E34:E65" si="5">B34*(1/(1+0.0225))^A34</f>
        <v>24481.558309684366</v>
      </c>
      <c r="F34">
        <f>SUM(E34:E$92)</f>
        <v>795022.35792481527</v>
      </c>
      <c r="G34">
        <f t="shared" ref="G34:G65" si="6">D34*(1/(1+0.0225))^(A34+1)</f>
        <v>23.942844312649754</v>
      </c>
      <c r="H34">
        <f>SUM(G34:G$92)</f>
        <v>777.52797841057793</v>
      </c>
    </row>
    <row r="35" spans="1:8" x14ac:dyDescent="0.2">
      <c r="A35">
        <v>63</v>
      </c>
      <c r="B35">
        <f t="shared" ref="B35:B66" si="7">B34-D34</f>
        <v>97169.547561343396</v>
      </c>
      <c r="C35">
        <f>VLOOKUP(A35, 위험률_확장!$A$3:$C$123, IF(입력!$B$4="남", 2, 3), FALSE)</f>
        <v>1E-3</v>
      </c>
      <c r="D35">
        <f t="shared" si="4"/>
        <v>97.169547561343393</v>
      </c>
      <c r="E35">
        <f t="shared" si="5"/>
        <v>23918.901468337102</v>
      </c>
      <c r="F35">
        <f>SUM(E35:E$92)</f>
        <v>770540.79961513088</v>
      </c>
      <c r="G35">
        <f t="shared" si="6"/>
        <v>23.392568673190322</v>
      </c>
      <c r="H35">
        <f>SUM(G35:G$92)</f>
        <v>753.58513409792806</v>
      </c>
    </row>
    <row r="36" spans="1:8" x14ac:dyDescent="0.2">
      <c r="A36">
        <v>64</v>
      </c>
      <c r="B36">
        <f t="shared" si="7"/>
        <v>97072.378013782058</v>
      </c>
      <c r="C36">
        <f>VLOOKUP(A36, 위험률_확장!$A$3:$C$123, IF(입력!$B$4="남", 2, 3), FALSE)</f>
        <v>1E-3</v>
      </c>
      <c r="D36">
        <f t="shared" si="4"/>
        <v>97.072378013782057</v>
      </c>
      <c r="E36">
        <f t="shared" si="5"/>
        <v>23369.176104517133</v>
      </c>
      <c r="F36">
        <f>SUM(E36:E$92)</f>
        <v>746621.89814679394</v>
      </c>
      <c r="G36">
        <f t="shared" si="6"/>
        <v>22.854939955517981</v>
      </c>
      <c r="H36">
        <f>SUM(G36:G$92)</f>
        <v>730.19256542473761</v>
      </c>
    </row>
    <row r="37" spans="1:8" x14ac:dyDescent="0.2">
      <c r="A37">
        <v>65</v>
      </c>
      <c r="B37">
        <f t="shared" si="7"/>
        <v>96975.30563576828</v>
      </c>
      <c r="C37">
        <f>VLOOKUP(A37, 위험률_확장!$A$3:$C$123, IF(입력!$B$4="남", 2, 3), FALSE)</f>
        <v>1E-3</v>
      </c>
      <c r="D37">
        <f t="shared" si="4"/>
        <v>96.975305635768279</v>
      </c>
      <c r="E37">
        <f t="shared" si="5"/>
        <v>22832.085015562465</v>
      </c>
      <c r="F37">
        <f>SUM(E37:E$92)</f>
        <v>723252.72204227676</v>
      </c>
      <c r="G37">
        <f t="shared" si="6"/>
        <v>22.329667496882607</v>
      </c>
      <c r="H37">
        <f>SUM(G37:G$92)</f>
        <v>707.33762546921969</v>
      </c>
    </row>
    <row r="38" spans="1:8" x14ac:dyDescent="0.2">
      <c r="A38">
        <v>66</v>
      </c>
      <c r="B38">
        <f t="shared" si="7"/>
        <v>96878.330330132507</v>
      </c>
      <c r="C38">
        <f>VLOOKUP(A38, 위험률_확장!$A$3:$C$123, IF(입력!$B$4="남", 2, 3), FALSE)</f>
        <v>1E-3</v>
      </c>
      <c r="D38">
        <f t="shared" si="4"/>
        <v>96.878330330132513</v>
      </c>
      <c r="E38">
        <f t="shared" si="5"/>
        <v>22307.33782938572</v>
      </c>
      <c r="F38">
        <f>SUM(E38:E$92)</f>
        <v>700420.63702671428</v>
      </c>
      <c r="G38">
        <f t="shared" si="6"/>
        <v>21.816467314802665</v>
      </c>
      <c r="H38">
        <f>SUM(G38:G$92)</f>
        <v>685.00795797233707</v>
      </c>
    </row>
    <row r="39" spans="1:8" x14ac:dyDescent="0.2">
      <c r="A39">
        <v>67</v>
      </c>
      <c r="B39">
        <f t="shared" si="7"/>
        <v>96781.451999802375</v>
      </c>
      <c r="C39">
        <f>VLOOKUP(A39, 위험률_확장!$A$3:$C$123, IF(입력!$B$4="남", 2, 3), FALSE)</f>
        <v>1E-3</v>
      </c>
      <c r="D39">
        <f t="shared" si="4"/>
        <v>96.781451999802371</v>
      </c>
      <c r="E39">
        <f t="shared" si="5"/>
        <v>21794.650847487861</v>
      </c>
      <c r="F39">
        <f>SUM(E39:E$92)</f>
        <v>678113.29919732874</v>
      </c>
      <c r="G39">
        <f t="shared" si="6"/>
        <v>21.315061953533363</v>
      </c>
      <c r="H39">
        <f>SUM(G39:G$92)</f>
        <v>663.19149065753425</v>
      </c>
    </row>
    <row r="40" spans="1:8" x14ac:dyDescent="0.2">
      <c r="A40">
        <v>68</v>
      </c>
      <c r="B40">
        <f t="shared" si="7"/>
        <v>96684.670547802569</v>
      </c>
      <c r="C40">
        <f>VLOOKUP(A40, 위험률_확장!$A$3:$C$123, IF(입력!$B$4="남", 2, 3), FALSE)</f>
        <v>1E-3</v>
      </c>
      <c r="D40">
        <f t="shared" si="4"/>
        <v>96.684670547802568</v>
      </c>
      <c r="E40">
        <f t="shared" si="5"/>
        <v>21293.746891579827</v>
      </c>
      <c r="F40">
        <f>SUM(E40:E$92)</f>
        <v>656318.64834984078</v>
      </c>
      <c r="G40">
        <f t="shared" si="6"/>
        <v>20.825180334063404</v>
      </c>
      <c r="H40">
        <f>SUM(G40:G$92)</f>
        <v>641.87642870400089</v>
      </c>
    </row>
    <row r="41" spans="1:8" x14ac:dyDescent="0.2">
      <c r="A41">
        <v>69</v>
      </c>
      <c r="B41">
        <f t="shared" si="7"/>
        <v>96587.98587725476</v>
      </c>
      <c r="C41">
        <f>VLOOKUP(A41, 위험률_확장!$A$3:$C$123, IF(입력!$B$4="남", 2, 3), FALSE)</f>
        <v>1E-3</v>
      </c>
      <c r="D41">
        <f t="shared" si="4"/>
        <v>96.587985877254766</v>
      </c>
      <c r="E41">
        <f t="shared" si="5"/>
        <v>20804.355153729339</v>
      </c>
      <c r="F41">
        <f>SUM(E41:E$92)</f>
        <v>635024.90145826095</v>
      </c>
      <c r="G41">
        <f t="shared" si="6"/>
        <v>20.346557607559259</v>
      </c>
      <c r="H41">
        <f>SUM(G41:G$92)</f>
        <v>621.05124836993753</v>
      </c>
    </row>
    <row r="42" spans="1:8" x14ac:dyDescent="0.2">
      <c r="A42">
        <v>70</v>
      </c>
      <c r="B42">
        <f t="shared" si="7"/>
        <v>96491.397891377506</v>
      </c>
      <c r="C42">
        <f>VLOOKUP(A42, 위험률_확장!$A$3:$C$123, IF(입력!$B$4="남", 2, 3), FALSE)</f>
        <v>1E-3</v>
      </c>
      <c r="D42">
        <f t="shared" si="4"/>
        <v>96.491397891377503</v>
      </c>
      <c r="E42">
        <f t="shared" si="5"/>
        <v>20326.211049951697</v>
      </c>
      <c r="F42">
        <f>SUM(E42:E$92)</f>
        <v>614220.54630453151</v>
      </c>
      <c r="G42">
        <f t="shared" si="6"/>
        <v>19.878935012177699</v>
      </c>
      <c r="H42">
        <f>SUM(G42:G$92)</f>
        <v>600.70469076237828</v>
      </c>
    </row>
    <row r="43" spans="1:8" x14ac:dyDescent="0.2">
      <c r="A43">
        <v>71</v>
      </c>
      <c r="B43">
        <f t="shared" si="7"/>
        <v>96394.906493486124</v>
      </c>
      <c r="C43">
        <f>VLOOKUP(A43, 위험률_확장!$A$3:$C$123, IF(입력!$B$4="남", 2, 3), FALSE)</f>
        <v>1E-3</v>
      </c>
      <c r="D43">
        <f t="shared" si="4"/>
        <v>96.394906493486133</v>
      </c>
      <c r="E43">
        <f t="shared" si="5"/>
        <v>19859.056077165522</v>
      </c>
      <c r="F43">
        <f>SUM(E43:E$92)</f>
        <v>593894.33525457978</v>
      </c>
      <c r="G43">
        <f t="shared" si="6"/>
        <v>19.422059733169217</v>
      </c>
      <c r="H43">
        <f>SUM(G43:G$92)</f>
        <v>580.82575575020041</v>
      </c>
    </row>
    <row r="44" spans="1:8" x14ac:dyDescent="0.2">
      <c r="A44">
        <v>72</v>
      </c>
      <c r="B44">
        <f t="shared" si="7"/>
        <v>96298.511586992638</v>
      </c>
      <c r="C44">
        <f>VLOOKUP(A44, 위험률_확장!$A$3:$C$123, IF(입력!$B$4="남", 2, 3), FALSE)</f>
        <v>1E-3</v>
      </c>
      <c r="D44">
        <f t="shared" si="4"/>
        <v>96.298511586992646</v>
      </c>
      <c r="E44">
        <f t="shared" si="5"/>
        <v>19402.637673436046</v>
      </c>
      <c r="F44">
        <f>SUM(E44:E$92)</f>
        <v>574035.27917741425</v>
      </c>
      <c r="G44">
        <f t="shared" si="6"/>
        <v>18.975684766196625</v>
      </c>
      <c r="H44">
        <f>SUM(G44:G$92)</f>
        <v>561.40369601703117</v>
      </c>
    </row>
    <row r="45" spans="1:8" x14ac:dyDescent="0.2">
      <c r="A45">
        <v>73</v>
      </c>
      <c r="B45">
        <f t="shared" si="7"/>
        <v>96202.213075405642</v>
      </c>
      <c r="C45">
        <f>VLOOKUP(A45, 위험률_확장!$A$3:$C$123, IF(입력!$B$4="남", 2, 3), FALSE)</f>
        <v>1E-3</v>
      </c>
      <c r="D45">
        <f t="shared" si="4"/>
        <v>96.202213075405638</v>
      </c>
      <c r="E45">
        <f t="shared" si="5"/>
        <v>18956.709081430425</v>
      </c>
      <c r="F45">
        <f>SUM(E45:E$92)</f>
        <v>554632.6415039784</v>
      </c>
      <c r="G45">
        <f t="shared" si="6"/>
        <v>18.539568783795033</v>
      </c>
      <c r="H45">
        <f>SUM(G45:G$92)</f>
        <v>542.42801125083452</v>
      </c>
    </row>
    <row r="46" spans="1:8" x14ac:dyDescent="0.2">
      <c r="A46">
        <v>74</v>
      </c>
      <c r="B46">
        <f t="shared" si="7"/>
        <v>96106.010862330237</v>
      </c>
      <c r="C46">
        <f>VLOOKUP(A46, 위험률_확장!$A$3:$C$123, IF(입력!$B$4="남", 2, 3), FALSE)</f>
        <v>1E-3</v>
      </c>
      <c r="D46">
        <f t="shared" si="4"/>
        <v>96.106010862330237</v>
      </c>
      <c r="E46">
        <f t="shared" si="5"/>
        <v>18521.02921501124</v>
      </c>
      <c r="F46">
        <f>SUM(E46:E$92)</f>
        <v>535675.93242254795</v>
      </c>
      <c r="G46">
        <f t="shared" si="6"/>
        <v>18.113476004900974</v>
      </c>
      <c r="H46">
        <f>SUM(G46:G$92)</f>
        <v>523.88844246703945</v>
      </c>
    </row>
    <row r="47" spans="1:8" x14ac:dyDescent="0.2">
      <c r="A47">
        <v>75</v>
      </c>
      <c r="B47">
        <f t="shared" si="7"/>
        <v>96009.904851467902</v>
      </c>
      <c r="C47">
        <f>VLOOKUP(A47, 위험률_확장!$A$3:$C$123, IF(입력!$B$4="남", 2, 3), FALSE)</f>
        <v>1E-3</v>
      </c>
      <c r="D47">
        <f t="shared" si="4"/>
        <v>96.009904851467908</v>
      </c>
      <c r="E47">
        <f t="shared" si="5"/>
        <v>18095.362528896072</v>
      </c>
      <c r="F47">
        <f>SUM(E47:E$92)</f>
        <v>517154.90320753667</v>
      </c>
      <c r="G47">
        <f t="shared" si="6"/>
        <v>17.69717606738002</v>
      </c>
      <c r="H47">
        <f>SUM(G47:G$92)</f>
        <v>505.77496646213854</v>
      </c>
    </row>
    <row r="48" spans="1:8" x14ac:dyDescent="0.2">
      <c r="A48">
        <v>76</v>
      </c>
      <c r="B48">
        <f t="shared" si="7"/>
        <v>95913.894946616434</v>
      </c>
      <c r="C48">
        <f>VLOOKUP(A48, 위험률_확장!$A$3:$C$123, IF(입력!$B$4="남", 2, 3), FALSE)</f>
        <v>1E-3</v>
      </c>
      <c r="D48">
        <f t="shared" si="4"/>
        <v>95.913894946616438</v>
      </c>
      <c r="E48">
        <f t="shared" si="5"/>
        <v>17679.478891312639</v>
      </c>
      <c r="F48">
        <f>SUM(E48:E$92)</f>
        <v>499059.54067864059</v>
      </c>
      <c r="G48">
        <f t="shared" si="6"/>
        <v>17.290443903484245</v>
      </c>
      <c r="H48">
        <f>SUM(G48:G$92)</f>
        <v>488.07779039475855</v>
      </c>
    </row>
    <row r="49" spans="1:8" x14ac:dyDescent="0.2">
      <c r="A49">
        <v>77</v>
      </c>
      <c r="B49">
        <f t="shared" si="7"/>
        <v>95817.98105166982</v>
      </c>
      <c r="C49">
        <f>VLOOKUP(A49, 위험률_확장!$A$3:$C$123, IF(입력!$B$4="남", 2, 3), FALSE)</f>
        <v>1E-3</v>
      </c>
      <c r="D49">
        <f t="shared" si="4"/>
        <v>95.817981051669818</v>
      </c>
      <c r="E49">
        <f t="shared" si="5"/>
        <v>17273.153459580761</v>
      </c>
      <c r="F49">
        <f>SUM(E49:E$92)</f>
        <v>481380.06178732787</v>
      </c>
      <c r="G49">
        <f t="shared" si="6"/>
        <v>16.893059618171897</v>
      </c>
      <c r="H49">
        <f>SUM(G49:G$92)</f>
        <v>470.78734649127426</v>
      </c>
    </row>
    <row r="50" spans="1:8" x14ac:dyDescent="0.2">
      <c r="A50">
        <v>78</v>
      </c>
      <c r="B50">
        <f t="shared" si="7"/>
        <v>95722.163070618146</v>
      </c>
      <c r="C50">
        <f>VLOOKUP(A50, 위험률_확장!$A$3:$C$123, IF(입력!$B$4="남", 2, 3), FALSE)</f>
        <v>1E-3</v>
      </c>
      <c r="D50">
        <f t="shared" si="4"/>
        <v>95.722163070618151</v>
      </c>
      <c r="E50">
        <f t="shared" si="5"/>
        <v>16876.166558553723</v>
      </c>
      <c r="F50">
        <f>SUM(E50:E$92)</f>
        <v>464106.90832774714</v>
      </c>
      <c r="G50">
        <f t="shared" si="6"/>
        <v>16.504808370223692</v>
      </c>
      <c r="H50">
        <f>SUM(G50:G$92)</f>
        <v>453.89428687310243</v>
      </c>
    </row>
    <row r="51" spans="1:8" x14ac:dyDescent="0.2">
      <c r="A51">
        <v>79</v>
      </c>
      <c r="B51">
        <f t="shared" si="7"/>
        <v>95626.440907547527</v>
      </c>
      <c r="C51">
        <f>VLOOKUP(A51, 위험률_확장!$A$3:$C$123, IF(입력!$B$4="남", 2, 3), FALSE)</f>
        <v>1E-3</v>
      </c>
      <c r="D51">
        <f t="shared" si="4"/>
        <v>95.626440907547533</v>
      </c>
      <c r="E51">
        <f t="shared" si="5"/>
        <v>16488.303561853467</v>
      </c>
      <c r="F51">
        <f>SUM(E51:E$92)</f>
        <v>447230.74176919344</v>
      </c>
      <c r="G51">
        <f t="shared" si="6"/>
        <v>16.125480256091414</v>
      </c>
      <c r="H51">
        <f>SUM(G51:G$92)</f>
        <v>437.38947850287877</v>
      </c>
    </row>
    <row r="52" spans="1:8" x14ac:dyDescent="0.2">
      <c r="A52">
        <v>80</v>
      </c>
      <c r="B52">
        <f t="shared" si="7"/>
        <v>95530.814466639975</v>
      </c>
      <c r="C52">
        <f>VLOOKUP(A52, 위험률_확장!$A$3:$C$123, IF(입력!$B$4="남", 2, 3), FALSE)</f>
        <v>1E-3</v>
      </c>
      <c r="D52">
        <f t="shared" si="4"/>
        <v>95.530814466639981</v>
      </c>
      <c r="E52">
        <f t="shared" si="5"/>
        <v>16109.354775835322</v>
      </c>
      <c r="F52">
        <f>SUM(E52:E$92)</f>
        <v>430742.43820733996</v>
      </c>
      <c r="G52">
        <f t="shared" si="6"/>
        <v>15.754870196415963</v>
      </c>
      <c r="H52">
        <f>SUM(G52:G$92)</f>
        <v>421.26399824678742</v>
      </c>
    </row>
    <row r="53" spans="1:8" x14ac:dyDescent="0.2">
      <c r="A53">
        <v>81</v>
      </c>
      <c r="B53">
        <f t="shared" si="7"/>
        <v>95435.283652173341</v>
      </c>
      <c r="C53">
        <f>VLOOKUP(A53, 위험률_확장!$A$3:$C$123, IF(입력!$B$4="남", 2, 3), FALSE)</f>
        <v>1E-3</v>
      </c>
      <c r="D53">
        <f t="shared" si="4"/>
        <v>95.435283652173339</v>
      </c>
      <c r="E53">
        <f t="shared" si="5"/>
        <v>15739.115326219548</v>
      </c>
      <c r="F53">
        <f>SUM(E53:E$92)</f>
        <v>414633.08343150467</v>
      </c>
      <c r="G53">
        <f t="shared" si="6"/>
        <v>15.392777825153592</v>
      </c>
      <c r="H53">
        <f>SUM(G53:G$92)</f>
        <v>405.50912805037143</v>
      </c>
    </row>
    <row r="54" spans="1:8" x14ac:dyDescent="0.2">
      <c r="A54">
        <v>82</v>
      </c>
      <c r="B54">
        <f t="shared" si="7"/>
        <v>95339.848368521169</v>
      </c>
      <c r="C54">
        <f>VLOOKUP(A54, 위험률_확장!$A$3:$C$123, IF(입력!$B$4="남", 2, 3), FALSE)</f>
        <v>1E-3</v>
      </c>
      <c r="D54">
        <f t="shared" si="4"/>
        <v>95.339848368521174</v>
      </c>
      <c r="E54">
        <f t="shared" si="5"/>
        <v>15377.385047328438</v>
      </c>
      <c r="F54">
        <f>SUM(E54:E$92)</f>
        <v>398893.9681052852</v>
      </c>
      <c r="G54">
        <f t="shared" si="6"/>
        <v>15.039007381250308</v>
      </c>
      <c r="H54">
        <f>SUM(G54:G$92)</f>
        <v>390.11635022521784</v>
      </c>
    </row>
    <row r="55" spans="1:8" x14ac:dyDescent="0.2">
      <c r="A55">
        <v>83</v>
      </c>
      <c r="B55">
        <f t="shared" si="7"/>
        <v>95244.508520152653</v>
      </c>
      <c r="C55">
        <f>VLOOKUP(A55, 위험률_확장!$A$3:$C$123, IF(입력!$B$4="남", 2, 3), FALSE)</f>
        <v>1E-3</v>
      </c>
      <c r="D55">
        <f t="shared" si="4"/>
        <v>95.24450852015265</v>
      </c>
      <c r="E55">
        <f t="shared" si="5"/>
        <v>15023.968373869056</v>
      </c>
      <c r="F55">
        <f>SUM(E55:E$92)</f>
        <v>383516.58305795677</v>
      </c>
      <c r="G55">
        <f t="shared" si="6"/>
        <v>14.693367602805926</v>
      </c>
      <c r="H55">
        <f>SUM(G55:G$92)</f>
        <v>375.07734284396753</v>
      </c>
    </row>
    <row r="56" spans="1:8" x14ac:dyDescent="0.2">
      <c r="A56">
        <v>84</v>
      </c>
      <c r="B56">
        <f t="shared" si="7"/>
        <v>95149.264011632506</v>
      </c>
      <c r="C56">
        <f>VLOOKUP(A56, 위험률_확장!$A$3:$C$123, IF(입력!$B$4="남", 2, 3), FALSE)</f>
        <v>1E-3</v>
      </c>
      <c r="D56">
        <f t="shared" si="4"/>
        <v>95.149264011632511</v>
      </c>
      <c r="E56">
        <f t="shared" si="5"/>
        <v>14678.674235203121</v>
      </c>
      <c r="F56">
        <f>SUM(E56:E$92)</f>
        <v>368492.61468408769</v>
      </c>
      <c r="G56">
        <f t="shared" si="6"/>
        <v>14.355671623670533</v>
      </c>
      <c r="H56">
        <f>SUM(G56:G$92)</f>
        <v>360.38397524116158</v>
      </c>
    </row>
    <row r="57" spans="1:8" x14ac:dyDescent="0.2">
      <c r="A57">
        <v>85</v>
      </c>
      <c r="B57">
        <f t="shared" si="7"/>
        <v>95054.114747620872</v>
      </c>
      <c r="C57">
        <f>VLOOKUP(A57, 위험률_확장!$A$3:$C$123, IF(입력!$B$4="남", 2, 3), FALSE)</f>
        <v>1E-3</v>
      </c>
      <c r="D57">
        <f t="shared" si="4"/>
        <v>95.054114747620872</v>
      </c>
      <c r="E57">
        <f t="shared" si="5"/>
        <v>14341.315952046862</v>
      </c>
      <c r="F57">
        <f>SUM(E57:E$92)</f>
        <v>353813.94044888462</v>
      </c>
      <c r="G57">
        <f t="shared" si="6"/>
        <v>14.02573687241747</v>
      </c>
      <c r="H57">
        <f>SUM(G57:G$92)</f>
        <v>346.02830361749108</v>
      </c>
    </row>
    <row r="58" spans="1:8" x14ac:dyDescent="0.2">
      <c r="A58">
        <v>86</v>
      </c>
      <c r="B58">
        <f t="shared" si="7"/>
        <v>94959.060632873254</v>
      </c>
      <c r="C58">
        <f>VLOOKUP(A58, 위험률_확장!$A$3:$C$123, IF(입력!$B$4="남", 2, 3), FALSE)</f>
        <v>1E-3</v>
      </c>
      <c r="D58">
        <f t="shared" si="4"/>
        <v>94.95906063287326</v>
      </c>
      <c r="E58">
        <f t="shared" si="5"/>
        <v>14011.711135545052</v>
      </c>
      <c r="F58">
        <f>SUM(E58:E$92)</f>
        <v>339472.62449683773</v>
      </c>
      <c r="G58">
        <f t="shared" si="6"/>
        <v>13.703384973638196</v>
      </c>
      <c r="H58">
        <f>SUM(G58:G$92)</f>
        <v>332.00256674507364</v>
      </c>
    </row>
    <row r="59" spans="1:8" x14ac:dyDescent="0.2">
      <c r="A59">
        <v>87</v>
      </c>
      <c r="B59">
        <f t="shared" si="7"/>
        <v>94864.101572240383</v>
      </c>
      <c r="C59">
        <f>VLOOKUP(A59, 위험률_확장!$A$3:$C$123, IF(입력!$B$4="남", 2, 3), FALSE)</f>
        <v>1E-3</v>
      </c>
      <c r="D59">
        <f t="shared" si="4"/>
        <v>94.864101572240386</v>
      </c>
      <c r="E59">
        <f t="shared" si="5"/>
        <v>13689.681588664556</v>
      </c>
      <c r="F59">
        <f>SUM(E59:E$92)</f>
        <v>325460.91336129274</v>
      </c>
      <c r="G59">
        <f t="shared" si="6"/>
        <v>13.388441651505678</v>
      </c>
      <c r="H59">
        <f>SUM(G59:G$92)</f>
        <v>318.29918177143549</v>
      </c>
    </row>
    <row r="60" spans="1:8" x14ac:dyDescent="0.2">
      <c r="A60">
        <v>88</v>
      </c>
      <c r="B60">
        <f t="shared" si="7"/>
        <v>94769.237470668144</v>
      </c>
      <c r="C60">
        <f>VLOOKUP(A60, 위험률_확장!$A$3:$C$123, IF(입력!$B$4="남", 2, 3), FALSE)</f>
        <v>1E-3</v>
      </c>
      <c r="D60">
        <f t="shared" si="4"/>
        <v>94.769237470668145</v>
      </c>
      <c r="E60">
        <f t="shared" si="5"/>
        <v>13375.053209854173</v>
      </c>
      <c r="F60">
        <f>SUM(E60:E$92)</f>
        <v>311771.23177262815</v>
      </c>
      <c r="G60">
        <f t="shared" si="6"/>
        <v>13.080736635554207</v>
      </c>
      <c r="H60">
        <f>SUM(G60:G$92)</f>
        <v>304.91074011992976</v>
      </c>
    </row>
    <row r="61" spans="1:8" x14ac:dyDescent="0.2">
      <c r="A61">
        <v>89</v>
      </c>
      <c r="B61">
        <f t="shared" si="7"/>
        <v>94674.468233197476</v>
      </c>
      <c r="C61">
        <f>VLOOKUP(A61, 위험률_확장!$A$3:$C$123, IF(입력!$B$4="남", 2, 3), FALSE)</f>
        <v>1E-3</v>
      </c>
      <c r="D61">
        <f t="shared" si="4"/>
        <v>94.674468233197473</v>
      </c>
      <c r="E61">
        <f t="shared" si="5"/>
        <v>13067.655898918652</v>
      </c>
      <c r="F61">
        <f>SUM(E61:E$92)</f>
        <v>298396.17856277397</v>
      </c>
      <c r="G61">
        <f t="shared" si="6"/>
        <v>12.780103568624595</v>
      </c>
      <c r="H61">
        <f>SUM(G61:G$92)</f>
        <v>291.83000348437554</v>
      </c>
    </row>
    <row r="62" spans="1:8" x14ac:dyDescent="0.2">
      <c r="A62">
        <v>90</v>
      </c>
      <c r="B62">
        <f t="shared" si="7"/>
        <v>94579.793764964284</v>
      </c>
      <c r="C62">
        <f>VLOOKUP(A62, 위험률_확장!$A$3:$C$123, IF(입력!$B$4="남", 2, 3), FALSE)</f>
        <v>1E-3</v>
      </c>
      <c r="D62">
        <f t="shared" si="4"/>
        <v>94.579793764964293</v>
      </c>
      <c r="E62">
        <f t="shared" si="5"/>
        <v>12767.323465055972</v>
      </c>
      <c r="F62">
        <f>SUM(E62:E$92)</f>
        <v>285328.52266385534</v>
      </c>
      <c r="G62">
        <f t="shared" si="6"/>
        <v>12.486379916925163</v>
      </c>
      <c r="H62">
        <f>SUM(G62:G$92)</f>
        <v>279.04989991575104</v>
      </c>
    </row>
    <row r="63" spans="1:8" x14ac:dyDescent="0.2">
      <c r="A63">
        <v>91</v>
      </c>
      <c r="B63">
        <f t="shared" si="7"/>
        <v>94485.213971199322</v>
      </c>
      <c r="C63">
        <f>VLOOKUP(A63, 위험률_확장!$A$3:$C$123, IF(입력!$B$4="남", 2, 3), FALSE)</f>
        <v>1E-3</v>
      </c>
      <c r="D63">
        <f t="shared" si="4"/>
        <v>94.485213971199329</v>
      </c>
      <c r="E63">
        <f t="shared" si="5"/>
        <v>12473.893537008236</v>
      </c>
      <c r="F63">
        <f>SUM(E63:E$92)</f>
        <v>272561.19919879938</v>
      </c>
      <c r="G63">
        <f t="shared" si="6"/>
        <v>12.199406882159645</v>
      </c>
      <c r="H63">
        <f>SUM(G63:G$92)</f>
        <v>266.56351999882588</v>
      </c>
    </row>
    <row r="64" spans="1:8" x14ac:dyDescent="0.2">
      <c r="A64">
        <v>92</v>
      </c>
      <c r="B64">
        <f t="shared" si="7"/>
        <v>94390.72875722812</v>
      </c>
      <c r="C64">
        <f>VLOOKUP(A64, 위험률_확장!$A$3:$C$123, IF(입력!$B$4="남", 2, 3), FALSE)</f>
        <v>1E-3</v>
      </c>
      <c r="D64">
        <f t="shared" si="4"/>
        <v>94.390728757228118</v>
      </c>
      <c r="E64">
        <f t="shared" si="5"/>
        <v>12187.207475277484</v>
      </c>
      <c r="F64">
        <f>SUM(E64:E$92)</f>
        <v>260087.30566179118</v>
      </c>
      <c r="G64">
        <f t="shared" si="6"/>
        <v>11.919029315674802</v>
      </c>
      <c r="H64">
        <f>SUM(G64:G$92)</f>
        <v>254.36411311666615</v>
      </c>
    </row>
    <row r="65" spans="1:8" x14ac:dyDescent="0.2">
      <c r="A65">
        <v>93</v>
      </c>
      <c r="B65">
        <f t="shared" si="7"/>
        <v>94296.338028470898</v>
      </c>
      <c r="C65">
        <f>VLOOKUP(A65, 위험률_확장!$A$3:$C$123, IF(입력!$B$4="남", 2, 3), FALSE)</f>
        <v>1E-3</v>
      </c>
      <c r="D65">
        <f t="shared" si="4"/>
        <v>94.296338028470899</v>
      </c>
      <c r="E65">
        <f t="shared" si="5"/>
        <v>11907.110286359128</v>
      </c>
      <c r="F65">
        <f>SUM(E65:E$92)</f>
        <v>247900.09818651367</v>
      </c>
      <c r="G65">
        <f t="shared" si="6"/>
        <v>11.645095634581052</v>
      </c>
      <c r="H65">
        <f>SUM(G65:G$92)</f>
        <v>242.44508380099137</v>
      </c>
    </row>
    <row r="66" spans="1:8" x14ac:dyDescent="0.2">
      <c r="A66">
        <v>94</v>
      </c>
      <c r="B66">
        <f t="shared" si="7"/>
        <v>94202.041690442435</v>
      </c>
      <c r="C66">
        <f>VLOOKUP(A66, 위험률_확장!$A$3:$C$123, IF(입력!$B$4="남", 2, 3), FALSE)</f>
        <v>1E-3</v>
      </c>
      <c r="D66">
        <f t="shared" ref="D66:D92" si="8">B66*C66</f>
        <v>94.202041690442442</v>
      </c>
      <c r="E66">
        <f t="shared" ref="E66:E92" si="9">B66*(1/(1+0.0225))^A66</f>
        <v>11633.450538946472</v>
      </c>
      <c r="F66">
        <f>SUM(E66:E$92)</f>
        <v>235992.98790015458</v>
      </c>
      <c r="G66">
        <f t="shared" ref="G66:G92" si="10">D66*(1/(1+0.0225))^(A66+1)</f>
        <v>11.377457739800953</v>
      </c>
      <c r="H66">
        <f>SUM(G66:G$92)</f>
        <v>230.79998816641032</v>
      </c>
    </row>
    <row r="67" spans="1:8" x14ac:dyDescent="0.2">
      <c r="A67">
        <v>95</v>
      </c>
      <c r="B67">
        <f t="shared" ref="B67:B92" si="11">B66-D66</f>
        <v>94107.839648751993</v>
      </c>
      <c r="C67">
        <f>VLOOKUP(A67, 위험률_확장!$A$3:$C$123, IF(입력!$B$4="남", 2, 3), FALSE)</f>
        <v>1E-3</v>
      </c>
      <c r="D67">
        <f t="shared" si="8"/>
        <v>94.107839648751991</v>
      </c>
      <c r="E67">
        <f t="shared" si="9"/>
        <v>11366.080282061152</v>
      </c>
      <c r="F67">
        <f>SUM(E67:E$92)</f>
        <v>224359.53736120809</v>
      </c>
      <c r="G67">
        <f t="shared" si="10"/>
        <v>11.115970936001128</v>
      </c>
      <c r="H67">
        <f>SUM(G67:G$92)</f>
        <v>219.42253042660937</v>
      </c>
    </row>
    <row r="68" spans="1:8" x14ac:dyDescent="0.2">
      <c r="A68">
        <v>96</v>
      </c>
      <c r="B68">
        <f t="shared" si="11"/>
        <v>94013.731809103236</v>
      </c>
      <c r="C68">
        <f>VLOOKUP(A68, 위험률_확장!$A$3:$C$123, IF(입력!$B$4="남", 2, 3), FALSE)</f>
        <v>1E-3</v>
      </c>
      <c r="D68">
        <f t="shared" si="8"/>
        <v>94.013731809103234</v>
      </c>
      <c r="E68">
        <f t="shared" si="9"/>
        <v>11104.854965065126</v>
      </c>
      <c r="F68">
        <f>SUM(E68:E$92)</f>
        <v>212993.45707914693</v>
      </c>
      <c r="G68">
        <f t="shared" si="10"/>
        <v>10.860493853364426</v>
      </c>
      <c r="H68">
        <f>SUM(G68:G$92)</f>
        <v>208.30655949060827</v>
      </c>
    </row>
    <row r="69" spans="1:8" x14ac:dyDescent="0.2">
      <c r="A69">
        <v>97</v>
      </c>
      <c r="B69">
        <f t="shared" si="11"/>
        <v>93919.718077294136</v>
      </c>
      <c r="C69">
        <f>VLOOKUP(A69, 위험률_확장!$A$3:$C$123, IF(입력!$B$4="남", 2, 3), FALSE)</f>
        <v>1E-3</v>
      </c>
      <c r="D69">
        <f t="shared" si="8"/>
        <v>93.919718077294135</v>
      </c>
      <c r="E69">
        <f t="shared" si="9"/>
        <v>10849.633359511063</v>
      </c>
      <c r="F69">
        <f>SUM(E69:E$92)</f>
        <v>201888.60211408182</v>
      </c>
      <c r="G69">
        <f t="shared" si="10"/>
        <v>10.610888371159962</v>
      </c>
      <c r="H69">
        <f>SUM(G69:G$92)</f>
        <v>197.44606563724381</v>
      </c>
    </row>
    <row r="70" spans="1:8" x14ac:dyDescent="0.2">
      <c r="A70">
        <v>98</v>
      </c>
      <c r="B70">
        <f t="shared" si="11"/>
        <v>93825.798359216846</v>
      </c>
      <c r="C70">
        <f>VLOOKUP(A70, 위험률_확장!$A$3:$C$123, IF(입력!$B$4="남", 2, 3), FALSE)</f>
        <v>1E-3</v>
      </c>
      <c r="D70">
        <f t="shared" si="8"/>
        <v>93.825798359216847</v>
      </c>
      <c r="E70">
        <f t="shared" si="9"/>
        <v>10600.277482788804</v>
      </c>
      <c r="F70">
        <f>SUM(E70:E$92)</f>
        <v>191038.96875457073</v>
      </c>
      <c r="G70">
        <f t="shared" si="10"/>
        <v>10.367019543069736</v>
      </c>
      <c r="H70">
        <f>SUM(G70:G$92)</f>
        <v>186.83517726608383</v>
      </c>
    </row>
    <row r="71" spans="1:8" x14ac:dyDescent="0.2">
      <c r="A71">
        <v>99</v>
      </c>
      <c r="B71">
        <f t="shared" si="11"/>
        <v>93731.972560857626</v>
      </c>
      <c r="C71">
        <f>VLOOKUP(A71, 위험률_확장!$A$3:$C$123, IF(입력!$B$4="남", 2, 3), FALSE)</f>
        <v>1E-3</v>
      </c>
      <c r="D71">
        <f t="shared" si="8"/>
        <v>93.731972560857628</v>
      </c>
      <c r="E71">
        <f t="shared" si="9"/>
        <v>10356.652523526665</v>
      </c>
      <c r="F71">
        <f>SUM(E71:E$92)</f>
        <v>180438.69127178192</v>
      </c>
      <c r="G71">
        <f t="shared" si="10"/>
        <v>10.128755524231458</v>
      </c>
      <c r="H71">
        <f>SUM(G71:G$92)</f>
        <v>176.46815772301409</v>
      </c>
    </row>
    <row r="72" spans="1:8" x14ac:dyDescent="0.2">
      <c r="A72">
        <v>100</v>
      </c>
      <c r="B72">
        <f t="shared" si="11"/>
        <v>93638.240588296772</v>
      </c>
      <c r="C72">
        <f>VLOOKUP(A72, 위험률_확장!$A$3:$C$123, IF(입력!$B$4="남", 2, 3), FALSE)</f>
        <v>1E-3</v>
      </c>
      <c r="D72">
        <f t="shared" si="8"/>
        <v>93.638240588296767</v>
      </c>
      <c r="E72">
        <f t="shared" si="9"/>
        <v>10118.626768707227</v>
      </c>
      <c r="F72">
        <f>SUM(E72:E$92)</f>
        <v>170082.03874825523</v>
      </c>
      <c r="G72">
        <f t="shared" si="10"/>
        <v>9.8959674999581679</v>
      </c>
      <c r="H72">
        <f>SUM(G72:G$92)</f>
        <v>166.33940219878264</v>
      </c>
    </row>
    <row r="73" spans="1:8" x14ac:dyDescent="0.2">
      <c r="A73">
        <v>101</v>
      </c>
      <c r="B73">
        <f t="shared" si="11"/>
        <v>93544.602347708482</v>
      </c>
      <c r="C73">
        <f>VLOOKUP(A73, 위험률_확장!$A$3:$C$123, IF(입력!$B$4="남", 2, 3), FALSE)</f>
        <v>1E-3</v>
      </c>
      <c r="D73">
        <f t="shared" si="8"/>
        <v>93.544602347708491</v>
      </c>
      <c r="E73">
        <f t="shared" si="9"/>
        <v>9886.0715324582106</v>
      </c>
      <c r="F73">
        <f>SUM(E73:E$92)</f>
        <v>159963.41197954799</v>
      </c>
      <c r="G73">
        <f t="shared" si="10"/>
        <v>9.6685296160960519</v>
      </c>
      <c r="H73">
        <f>SUM(G73:G$92)</f>
        <v>156.44343469882446</v>
      </c>
    </row>
    <row r="74" spans="1:8" x14ac:dyDescent="0.2">
      <c r="A74">
        <v>102</v>
      </c>
      <c r="B74">
        <f t="shared" si="11"/>
        <v>93451.057745360769</v>
      </c>
      <c r="C74">
        <f>VLOOKUP(A74, 위험률_확장!$A$3:$C$123, IF(입력!$B$4="남", 2, 3), FALSE)</f>
        <v>1E-3</v>
      </c>
      <c r="D74">
        <f t="shared" si="8"/>
        <v>93.451057745360771</v>
      </c>
      <c r="E74">
        <f t="shared" si="9"/>
        <v>9658.8610864799539</v>
      </c>
      <c r="F74">
        <f>SUM(E74:E$92)</f>
        <v>150077.34044708978</v>
      </c>
      <c r="G74">
        <f t="shared" si="10"/>
        <v>9.4463189109828409</v>
      </c>
      <c r="H74">
        <f>SUM(G74:G$92)</f>
        <v>146.7749050827284</v>
      </c>
    </row>
    <row r="75" spans="1:8" x14ac:dyDescent="0.2">
      <c r="A75">
        <v>103</v>
      </c>
      <c r="B75">
        <f t="shared" si="11"/>
        <v>93357.606687615407</v>
      </c>
      <c r="C75">
        <f>VLOOKUP(A75, 위험률_확장!$A$3:$C$123, IF(입력!$B$4="남", 2, 3), FALSE)</f>
        <v>1E-3</v>
      </c>
      <c r="D75">
        <f t="shared" si="8"/>
        <v>93.357606687615416</v>
      </c>
      <c r="E75">
        <f t="shared" si="9"/>
        <v>9436.8725920718571</v>
      </c>
      <c r="F75">
        <f>SUM(E75:E$92)</f>
        <v>140418.47936060981</v>
      </c>
      <c r="G75">
        <f t="shared" si="10"/>
        <v>9.2292152489700339</v>
      </c>
      <c r="H75">
        <f>SUM(G75:G$92)</f>
        <v>137.32858617174554</v>
      </c>
    </row>
    <row r="76" spans="1:8" x14ac:dyDescent="0.2">
      <c r="A76">
        <v>104</v>
      </c>
      <c r="B76">
        <f t="shared" si="11"/>
        <v>93264.249080927795</v>
      </c>
      <c r="C76">
        <f>VLOOKUP(A76, 위험률_확장!$A$3:$C$123, IF(입력!$B$4="남", 2, 3), FALSE)</f>
        <v>1E-3</v>
      </c>
      <c r="D76">
        <f t="shared" si="8"/>
        <v>93.264249080927797</v>
      </c>
      <c r="E76">
        <f t="shared" si="9"/>
        <v>9219.986033721063</v>
      </c>
      <c r="F76">
        <f>SUM(E76:E$92)</f>
        <v>130981.60676853795</v>
      </c>
      <c r="G76">
        <f t="shared" si="10"/>
        <v>9.0171012554729231</v>
      </c>
      <c r="H76">
        <f>SUM(G76:G$92)</f>
        <v>128.09937092277553</v>
      </c>
    </row>
    <row r="77" spans="1:8" x14ac:dyDescent="0.2">
      <c r="A77">
        <v>105</v>
      </c>
      <c r="B77">
        <f t="shared" si="11"/>
        <v>93170.984831846872</v>
      </c>
      <c r="C77">
        <f>VLOOKUP(A77, 위험률_확장!$A$3:$C$123, IF(입력!$B$4="남", 2, 3), FALSE)</f>
        <v>1E-3</v>
      </c>
      <c r="D77">
        <f t="shared" si="8"/>
        <v>93.17098483184688</v>
      </c>
      <c r="E77">
        <f t="shared" si="9"/>
        <v>9008.0841542174512</v>
      </c>
      <c r="F77">
        <f>SUM(E77:E$92)</f>
        <v>121761.62073481688</v>
      </c>
      <c r="G77">
        <f t="shared" si="10"/>
        <v>8.8098622535133995</v>
      </c>
      <c r="H77">
        <f>SUM(G77:G$92)</f>
        <v>119.08226966730263</v>
      </c>
    </row>
    <row r="78" spans="1:8" x14ac:dyDescent="0.2">
      <c r="A78">
        <v>106</v>
      </c>
      <c r="B78">
        <f t="shared" si="11"/>
        <v>93077.81384701503</v>
      </c>
      <c r="C78">
        <f>VLOOKUP(A78, 위험률_확장!$A$3:$C$123, IF(입력!$B$4="남", 2, 3), FALSE)</f>
        <v>1E-3</v>
      </c>
      <c r="D78">
        <f t="shared" si="8"/>
        <v>93.077813847015037</v>
      </c>
      <c r="E78">
        <f t="shared" si="9"/>
        <v>8801.0523912598856</v>
      </c>
      <c r="F78">
        <f>SUM(E78:E$92)</f>
        <v>112753.53658059945</v>
      </c>
      <c r="G78">
        <f t="shared" si="10"/>
        <v>8.6073862017211606</v>
      </c>
      <c r="H78">
        <f>SUM(G78:G$92)</f>
        <v>110.27240741378921</v>
      </c>
    </row>
    <row r="79" spans="1:8" x14ac:dyDescent="0.2">
      <c r="A79">
        <v>107</v>
      </c>
      <c r="B79">
        <f t="shared" si="11"/>
        <v>92984.73603316801</v>
      </c>
      <c r="C79">
        <f>VLOOKUP(A79, 위험률_확장!$A$3:$C$123, IF(입력!$B$4="남", 2, 3), FALSE)</f>
        <v>1E-3</v>
      </c>
      <c r="D79">
        <f t="shared" si="8"/>
        <v>92.984736033168005</v>
      </c>
      <c r="E79">
        <f t="shared" si="9"/>
        <v>8598.7788155194394</v>
      </c>
      <c r="F79">
        <f>SUM(E79:E$92)</f>
        <v>103952.48418933956</v>
      </c>
      <c r="G79">
        <f t="shared" si="10"/>
        <v>8.4095636337598432</v>
      </c>
      <c r="H79">
        <f>SUM(G79:G$92)</f>
        <v>101.66502121206804</v>
      </c>
    </row>
    <row r="80" spans="1:8" x14ac:dyDescent="0.2">
      <c r="A80">
        <v>108</v>
      </c>
      <c r="B80">
        <f t="shared" si="11"/>
        <v>92891.751297134848</v>
      </c>
      <c r="C80">
        <f>VLOOKUP(A80, 위험률_확장!$A$3:$C$123, IF(입력!$B$4="남", 2, 3), FALSE)</f>
        <v>1E-3</v>
      </c>
      <c r="D80">
        <f t="shared" si="8"/>
        <v>92.891751297134846</v>
      </c>
      <c r="E80">
        <f t="shared" si="9"/>
        <v>8401.1540701260838</v>
      </c>
      <c r="F80">
        <f>SUM(E80:E$92)</f>
        <v>95353.705373820136</v>
      </c>
      <c r="G80">
        <f t="shared" si="10"/>
        <v>8.2162875991453141</v>
      </c>
      <c r="H80">
        <f>SUM(G80:G$92)</f>
        <v>93.25545757830821</v>
      </c>
    </row>
    <row r="81" spans="1:8" x14ac:dyDescent="0.2">
      <c r="A81">
        <v>109</v>
      </c>
      <c r="B81">
        <f t="shared" si="11"/>
        <v>92798.859545837709</v>
      </c>
      <c r="C81">
        <f>VLOOKUP(A81, 위험률_확장!$A$3:$C$123, IF(입력!$B$4="남", 2, 3), FALSE)</f>
        <v>1E-3</v>
      </c>
      <c r="D81">
        <f t="shared" si="8"/>
        <v>92.798859545837715</v>
      </c>
      <c r="E81">
        <f t="shared" si="9"/>
        <v>8208.0713115461695</v>
      </c>
      <c r="F81">
        <f>SUM(E81:E$92)</f>
        <v>86952.551303694054</v>
      </c>
      <c r="G81">
        <f t="shared" si="10"/>
        <v>8.0274536054241263</v>
      </c>
      <c r="H81">
        <f>SUM(G81:G$92)</f>
        <v>85.039169979162892</v>
      </c>
    </row>
    <row r="82" spans="1:8" x14ac:dyDescent="0.2">
      <c r="A82">
        <v>110</v>
      </c>
      <c r="B82">
        <f t="shared" si="11"/>
        <v>92706.060686291865</v>
      </c>
      <c r="C82">
        <f>VLOOKUP(A82, 위험률_확장!$A$3:$C$123, IF(입력!$B$4="남", 2, 3), FALSE)</f>
        <v>1E-3</v>
      </c>
      <c r="D82">
        <f t="shared" si="8"/>
        <v>92.706060686291863</v>
      </c>
      <c r="E82">
        <f t="shared" si="9"/>
        <v>8019.4261518187013</v>
      </c>
      <c r="F82">
        <f>SUM(E82:E$92)</f>
        <v>78744.479992147884</v>
      </c>
      <c r="G82">
        <f t="shared" si="10"/>
        <v>7.8429595616808818</v>
      </c>
      <c r="H82">
        <f>SUM(G82:G$92)</f>
        <v>77.011716373738764</v>
      </c>
    </row>
    <row r="83" spans="1:8" x14ac:dyDescent="0.2">
      <c r="A83">
        <v>111</v>
      </c>
      <c r="B83">
        <f t="shared" si="11"/>
        <v>92613.354625605571</v>
      </c>
      <c r="C83">
        <f>VLOOKUP(A83, 위험률_확장!$A$3:$C$123, IF(입력!$B$4="남", 2, 3), FALSE)</f>
        <v>1E-3</v>
      </c>
      <c r="D83">
        <f t="shared" si="8"/>
        <v>92.613354625605567</v>
      </c>
      <c r="E83">
        <f t="shared" si="9"/>
        <v>7835.1166021192012</v>
      </c>
      <c r="F83">
        <f>SUM(E83:E$92)</f>
        <v>70725.053840329187</v>
      </c>
      <c r="G83">
        <f t="shared" si="10"/>
        <v>7.6627057233439642</v>
      </c>
      <c r="H83">
        <f>SUM(G83:G$92)</f>
        <v>69.168756812057879</v>
      </c>
    </row>
    <row r="84" spans="1:8" x14ac:dyDescent="0.2">
      <c r="A84">
        <v>112</v>
      </c>
      <c r="B84">
        <f t="shared" si="11"/>
        <v>92520.741270979968</v>
      </c>
      <c r="C84">
        <f>VLOOKUP(A84, 위험률_확장!$A$3:$C$123, IF(입력!$B$4="남", 2, 3), FALSE)</f>
        <v>1E-3</v>
      </c>
      <c r="D84">
        <f t="shared" si="8"/>
        <v>92.520741270979968</v>
      </c>
      <c r="E84">
        <f t="shared" si="9"/>
        <v>7655.04301762062</v>
      </c>
      <c r="F84">
        <f>SUM(E84:E$92)</f>
        <v>62889.937238209983</v>
      </c>
      <c r="G84">
        <f t="shared" si="10"/>
        <v>7.486594638259775</v>
      </c>
      <c r="H84">
        <f>SUM(G84:G$92)</f>
        <v>61.50605108871391</v>
      </c>
    </row>
    <row r="85" spans="1:8" x14ac:dyDescent="0.2">
      <c r="A85">
        <v>113</v>
      </c>
      <c r="B85">
        <f t="shared" si="11"/>
        <v>92428.220529708982</v>
      </c>
      <c r="C85">
        <f>VLOOKUP(A85, 위험률_확장!$A$3:$C$123, IF(입력!$B$4="남", 2, 3), FALSE)</f>
        <v>1E-3</v>
      </c>
      <c r="D85">
        <f t="shared" si="8"/>
        <v>92.42822052970898</v>
      </c>
      <c r="E85">
        <f t="shared" si="9"/>
        <v>7479.1080436215152</v>
      </c>
      <c r="F85">
        <f>SUM(E85:E$92)</f>
        <v>55234.894220589355</v>
      </c>
      <c r="G85">
        <f t="shared" si="10"/>
        <v>7.3145310940063721</v>
      </c>
      <c r="H85">
        <f>SUM(G85:G$92)</f>
        <v>54.019456450454136</v>
      </c>
    </row>
    <row r="86" spans="1:8" x14ac:dyDescent="0.2">
      <c r="A86">
        <v>114</v>
      </c>
      <c r="B86">
        <f t="shared" si="11"/>
        <v>92335.792309179276</v>
      </c>
      <c r="C86">
        <f>VLOOKUP(A86, 위험률_확장!$A$3:$C$123, IF(입력!$B$4="남", 2, 3), FALSE)</f>
        <v>1E-3</v>
      </c>
      <c r="D86">
        <f t="shared" si="8"/>
        <v>92.335792309179283</v>
      </c>
      <c r="E86">
        <f t="shared" si="9"/>
        <v>7307.2165629123665</v>
      </c>
      <c r="F86">
        <f>SUM(E86:E$92)</f>
        <v>47755.786176967842</v>
      </c>
      <c r="G86">
        <f t="shared" si="10"/>
        <v>7.1464220664179621</v>
      </c>
      <c r="H86">
        <f>SUM(G86:G$92)</f>
        <v>46.704925356447767</v>
      </c>
    </row>
    <row r="87" spans="1:8" x14ac:dyDescent="0.2">
      <c r="A87">
        <v>115</v>
      </c>
      <c r="B87">
        <f t="shared" si="11"/>
        <v>92243.456516870094</v>
      </c>
      <c r="C87">
        <f>VLOOKUP(A87, 위험률_확장!$A$3:$C$123, IF(입력!$B$4="남", 2, 3), FALSE)</f>
        <v>1E-3</v>
      </c>
      <c r="D87">
        <f t="shared" si="8"/>
        <v>92.243456516870097</v>
      </c>
      <c r="E87">
        <f t="shared" si="9"/>
        <v>7139.2756443515436</v>
      </c>
      <c r="F87">
        <f>SUM(E87:E$92)</f>
        <v>40448.569614055479</v>
      </c>
      <c r="G87">
        <f t="shared" si="10"/>
        <v>6.9821766692924641</v>
      </c>
      <c r="H87">
        <f>SUM(G87:G$92)</f>
        <v>39.558503290029805</v>
      </c>
    </row>
    <row r="88" spans="1:8" x14ac:dyDescent="0.2">
      <c r="A88">
        <v>116</v>
      </c>
      <c r="B88">
        <f t="shared" si="11"/>
        <v>92151.213060353228</v>
      </c>
      <c r="C88">
        <f>VLOOKUP(A88, 위험률_확장!$A$3:$C$123, IF(입력!$B$4="남", 2, 3), FALSE)</f>
        <v>1E-3</v>
      </c>
      <c r="D88">
        <f t="shared" si="8"/>
        <v>92.151213060353228</v>
      </c>
      <c r="E88">
        <f t="shared" si="9"/>
        <v>6975.1944926231708</v>
      </c>
      <c r="F88">
        <f>SUM(E88:E$92)</f>
        <v>33309.293969703926</v>
      </c>
      <c r="G88">
        <f t="shared" si="10"/>
        <v>6.8217061052549353</v>
      </c>
      <c r="H88">
        <f>SUM(G88:G$92)</f>
        <v>32.576326620737341</v>
      </c>
    </row>
    <row r="89" spans="1:8" x14ac:dyDescent="0.2">
      <c r="A89">
        <v>117</v>
      </c>
      <c r="B89">
        <f t="shared" si="11"/>
        <v>92059.061847292876</v>
      </c>
      <c r="C89">
        <f>VLOOKUP(A89, 위험률_확장!$A$3:$C$123, IF(입력!$B$4="남", 2, 3), FALSE)</f>
        <v>1E-3</v>
      </c>
      <c r="D89">
        <f t="shared" si="8"/>
        <v>92.059061847292881</v>
      </c>
      <c r="E89">
        <f t="shared" si="9"/>
        <v>6814.8843991496806</v>
      </c>
      <c r="F89">
        <f>SUM(E89:E$92)</f>
        <v>26334.099477080756</v>
      </c>
      <c r="G89">
        <f t="shared" si="10"/>
        <v>6.6649236177502997</v>
      </c>
      <c r="H89">
        <f>SUM(G89:G$92)</f>
        <v>25.754620515482404</v>
      </c>
    </row>
    <row r="90" spans="1:8" x14ac:dyDescent="0.2">
      <c r="A90">
        <v>118</v>
      </c>
      <c r="B90">
        <f t="shared" si="11"/>
        <v>91967.002785445584</v>
      </c>
      <c r="C90">
        <f>VLOOKUP(A90, 위험률_확장!$A$3:$C$123, IF(입력!$B$4="남", 2, 3), FALSE)</f>
        <v>1E-3</v>
      </c>
      <c r="D90">
        <f t="shared" si="8"/>
        <v>91.967002785445587</v>
      </c>
      <c r="E90">
        <f t="shared" si="9"/>
        <v>6658.258694132549</v>
      </c>
      <c r="F90">
        <f>SUM(E90:E$92)</f>
        <v>19519.215077931076</v>
      </c>
      <c r="G90">
        <f t="shared" si="10"/>
        <v>6.5117444441394143</v>
      </c>
      <c r="H90">
        <f>SUM(G90:G$92)</f>
        <v>19.089696897732107</v>
      </c>
    </row>
    <row r="91" spans="1:8" x14ac:dyDescent="0.2">
      <c r="A91">
        <v>119</v>
      </c>
      <c r="B91">
        <f t="shared" si="11"/>
        <v>91875.035782660139</v>
      </c>
      <c r="C91">
        <f>VLOOKUP(A91, 위험률_확장!$A$3:$C$123, IF(입력!$B$4="남", 2, 3), FALSE)</f>
        <v>1E-3</v>
      </c>
      <c r="D91">
        <f t="shared" si="8"/>
        <v>91.875035782660134</v>
      </c>
      <c r="E91">
        <f t="shared" si="9"/>
        <v>6505.2326996952743</v>
      </c>
      <c r="F91">
        <f>SUM(E91:E$92)</f>
        <v>12860.956383798528</v>
      </c>
      <c r="G91">
        <f t="shared" si="10"/>
        <v>6.3620857698731275</v>
      </c>
      <c r="H91">
        <f>SUM(G91:G$92)</f>
        <v>12.57795245359269</v>
      </c>
    </row>
    <row r="92" spans="1:8" x14ac:dyDescent="0.2">
      <c r="A92">
        <v>120</v>
      </c>
      <c r="B92">
        <f t="shared" si="11"/>
        <v>91783.160746877475</v>
      </c>
      <c r="C92">
        <f>VLOOKUP(A92, 위험률_확장!$A$3:$C$123, IF(입력!$B$4="남", 2, 3), FALSE)</f>
        <v>1E-3</v>
      </c>
      <c r="D92">
        <f t="shared" si="8"/>
        <v>91.783160746877471</v>
      </c>
      <c r="E92">
        <f t="shared" si="9"/>
        <v>6355.7236841032536</v>
      </c>
      <c r="F92">
        <f>SUM(E92:E$92)</f>
        <v>6355.7236841032536</v>
      </c>
      <c r="G92">
        <f t="shared" si="10"/>
        <v>6.2158666837195637</v>
      </c>
      <c r="H92">
        <f>SUM(G92:G$92)</f>
        <v>6.2158666837195637</v>
      </c>
    </row>
  </sheetData>
  <phoneticPr fontId="4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123"/>
  <sheetViews>
    <sheetView workbookViewId="0"/>
  </sheetViews>
  <sheetFormatPr defaultRowHeight="12.75" x14ac:dyDescent="0.2"/>
  <sheetData>
    <row r="1" spans="1:16" x14ac:dyDescent="0.2">
      <c r="A1" t="s">
        <v>41</v>
      </c>
      <c r="E1" t="s">
        <v>42</v>
      </c>
      <c r="K1" t="s">
        <v>43</v>
      </c>
      <c r="N1" t="s">
        <v>44</v>
      </c>
    </row>
    <row r="2" spans="1:16" x14ac:dyDescent="0.2">
      <c r="A2" t="s">
        <v>45</v>
      </c>
      <c r="B2" t="s">
        <v>46</v>
      </c>
      <c r="C2" t="s">
        <v>47</v>
      </c>
      <c r="E2" t="s">
        <v>45</v>
      </c>
      <c r="F2" t="s">
        <v>48</v>
      </c>
      <c r="G2" t="s">
        <v>49</v>
      </c>
      <c r="H2" t="s">
        <v>50</v>
      </c>
      <c r="I2" t="s">
        <v>51</v>
      </c>
      <c r="K2" t="s">
        <v>1</v>
      </c>
      <c r="L2" t="s">
        <v>2</v>
      </c>
      <c r="N2" t="s">
        <v>11</v>
      </c>
      <c r="O2" t="s">
        <v>52</v>
      </c>
      <c r="P2" t="s">
        <v>53</v>
      </c>
    </row>
    <row r="3" spans="1:16" x14ac:dyDescent="0.2">
      <c r="A3">
        <v>0</v>
      </c>
      <c r="B3">
        <v>1.0499999999999999E-3</v>
      </c>
      <c r="C3">
        <v>9.5E-4</v>
      </c>
      <c r="E3">
        <v>0</v>
      </c>
      <c r="F3">
        <v>3.8000000000000002E-5</v>
      </c>
      <c r="G3">
        <v>3.0000000000000001E-5</v>
      </c>
      <c r="H3">
        <v>1E-4</v>
      </c>
      <c r="I3">
        <v>8.0000000000000007E-5</v>
      </c>
      <c r="K3" t="s">
        <v>43</v>
      </c>
      <c r="L3">
        <v>0.47499999999999998</v>
      </c>
      <c r="N3" t="s">
        <v>54</v>
      </c>
      <c r="O3">
        <v>0</v>
      </c>
      <c r="P3">
        <v>9.2499999999999999E-2</v>
      </c>
    </row>
    <row r="4" spans="1:16" x14ac:dyDescent="0.2">
      <c r="A4">
        <v>1</v>
      </c>
      <c r="B4">
        <v>4.4999999999999999E-4</v>
      </c>
      <c r="C4">
        <v>4.0000000000000002E-4</v>
      </c>
      <c r="E4">
        <v>1</v>
      </c>
      <c r="F4">
        <v>2.5000000000000001E-5</v>
      </c>
      <c r="G4">
        <v>2.0000000000000002E-5</v>
      </c>
      <c r="H4">
        <v>5.0000000000000002E-5</v>
      </c>
      <c r="I4">
        <v>4.0000000000000003E-5</v>
      </c>
      <c r="N4" t="s">
        <v>54</v>
      </c>
      <c r="O4">
        <v>1</v>
      </c>
      <c r="P4">
        <v>0.13550000000000001</v>
      </c>
    </row>
    <row r="5" spans="1:16" x14ac:dyDescent="0.2">
      <c r="A5">
        <v>2</v>
      </c>
      <c r="B5">
        <v>3.5E-4</v>
      </c>
      <c r="C5">
        <v>2.9999999999999997E-4</v>
      </c>
      <c r="E5">
        <v>2</v>
      </c>
      <c r="F5">
        <v>2.0000000000000002E-5</v>
      </c>
      <c r="G5">
        <v>1.5E-5</v>
      </c>
      <c r="H5">
        <v>3.0000000000000001E-5</v>
      </c>
      <c r="I5">
        <v>2.5000000000000001E-5</v>
      </c>
      <c r="N5" t="s">
        <v>54</v>
      </c>
      <c r="O5">
        <v>2</v>
      </c>
      <c r="P5">
        <v>7.3499999999999996E-2</v>
      </c>
    </row>
    <row r="6" spans="1:16" x14ac:dyDescent="0.2">
      <c r="A6">
        <v>3</v>
      </c>
      <c r="B6">
        <v>2.9999999999999997E-4</v>
      </c>
      <c r="C6">
        <v>2.5000000000000001E-4</v>
      </c>
      <c r="E6">
        <v>3</v>
      </c>
      <c r="F6">
        <v>1.8E-5</v>
      </c>
      <c r="G6">
        <v>1.2999999999999999E-5</v>
      </c>
      <c r="H6">
        <v>2.0000000000000002E-5</v>
      </c>
      <c r="I6">
        <v>1.8E-5</v>
      </c>
      <c r="N6" t="s">
        <v>54</v>
      </c>
      <c r="O6">
        <v>3</v>
      </c>
      <c r="P6">
        <v>5.5500000000000001E-2</v>
      </c>
    </row>
    <row r="7" spans="1:16" x14ac:dyDescent="0.2">
      <c r="A7">
        <v>4</v>
      </c>
      <c r="B7">
        <v>2.5000000000000001E-4</v>
      </c>
      <c r="C7">
        <v>2.0000000000000001E-4</v>
      </c>
      <c r="E7">
        <v>4</v>
      </c>
      <c r="F7">
        <v>1.5E-5</v>
      </c>
      <c r="G7">
        <v>1.2E-5</v>
      </c>
      <c r="H7">
        <v>1.5E-5</v>
      </c>
      <c r="I7">
        <v>1.5E-5</v>
      </c>
      <c r="N7" t="s">
        <v>54</v>
      </c>
      <c r="O7">
        <v>4</v>
      </c>
      <c r="P7">
        <v>0.06</v>
      </c>
    </row>
    <row r="8" spans="1:16" x14ac:dyDescent="0.2">
      <c r="A8">
        <v>5</v>
      </c>
      <c r="B8">
        <v>2.5000000000000001E-4</v>
      </c>
      <c r="C8">
        <v>2.0000000000000001E-4</v>
      </c>
      <c r="E8">
        <v>5</v>
      </c>
      <c r="F8">
        <v>1.5E-5</v>
      </c>
      <c r="G8">
        <v>1.2E-5</v>
      </c>
      <c r="H8">
        <v>1.5E-5</v>
      </c>
      <c r="I8">
        <v>1.5E-5</v>
      </c>
      <c r="N8" t="s">
        <v>54</v>
      </c>
      <c r="O8">
        <v>5</v>
      </c>
      <c r="P8">
        <v>3.2500000000000001E-2</v>
      </c>
    </row>
    <row r="9" spans="1:16" x14ac:dyDescent="0.2">
      <c r="A9">
        <v>6</v>
      </c>
      <c r="B9">
        <v>2.5000000000000001E-4</v>
      </c>
      <c r="C9">
        <v>2.0000000000000001E-4</v>
      </c>
      <c r="E9">
        <v>6</v>
      </c>
      <c r="F9">
        <v>1.5E-5</v>
      </c>
      <c r="G9">
        <v>1.2E-5</v>
      </c>
      <c r="H9">
        <v>1.5E-5</v>
      </c>
      <c r="I9">
        <v>1.5E-5</v>
      </c>
      <c r="N9" t="s">
        <v>54</v>
      </c>
      <c r="O9">
        <v>6</v>
      </c>
      <c r="P9">
        <v>2.9499999999999998E-2</v>
      </c>
    </row>
    <row r="10" spans="1:16" x14ac:dyDescent="0.2">
      <c r="A10">
        <v>7</v>
      </c>
      <c r="B10">
        <v>2.0000000000000001E-4</v>
      </c>
      <c r="C10">
        <v>1.4999999999999999E-4</v>
      </c>
      <c r="E10">
        <v>7</v>
      </c>
      <c r="F10">
        <v>1.4E-5</v>
      </c>
      <c r="G10">
        <v>1.1E-5</v>
      </c>
      <c r="H10">
        <v>1.5E-5</v>
      </c>
      <c r="I10">
        <v>1.5E-5</v>
      </c>
      <c r="N10" t="s">
        <v>54</v>
      </c>
      <c r="O10">
        <v>7</v>
      </c>
      <c r="P10">
        <v>2.5999999999999999E-2</v>
      </c>
    </row>
    <row r="11" spans="1:16" x14ac:dyDescent="0.2">
      <c r="A11">
        <v>8</v>
      </c>
      <c r="B11">
        <v>2.0000000000000001E-4</v>
      </c>
      <c r="C11">
        <v>1.4999999999999999E-4</v>
      </c>
      <c r="E11">
        <v>8</v>
      </c>
      <c r="F11">
        <v>1.4E-5</v>
      </c>
      <c r="G11">
        <v>1.1E-5</v>
      </c>
      <c r="H11">
        <v>1.5999999999999999E-5</v>
      </c>
      <c r="I11">
        <v>1.5999999999999999E-5</v>
      </c>
      <c r="N11" t="s">
        <v>54</v>
      </c>
      <c r="O11">
        <v>8</v>
      </c>
      <c r="P11">
        <v>2.3E-2</v>
      </c>
    </row>
    <row r="12" spans="1:16" x14ac:dyDescent="0.2">
      <c r="A12">
        <v>9</v>
      </c>
      <c r="B12">
        <v>2.0000000000000001E-4</v>
      </c>
      <c r="C12">
        <v>1.4999999999999999E-4</v>
      </c>
      <c r="E12">
        <v>9</v>
      </c>
      <c r="F12">
        <v>1.4E-5</v>
      </c>
      <c r="G12">
        <v>1.1E-5</v>
      </c>
      <c r="H12">
        <v>1.7E-5</v>
      </c>
      <c r="I12">
        <v>1.7E-5</v>
      </c>
      <c r="N12" t="s">
        <v>54</v>
      </c>
      <c r="O12">
        <v>9</v>
      </c>
      <c r="P12">
        <v>1.95E-2</v>
      </c>
    </row>
    <row r="13" spans="1:16" x14ac:dyDescent="0.2">
      <c r="A13">
        <v>10</v>
      </c>
      <c r="B13">
        <v>2.0000000000000001E-4</v>
      </c>
      <c r="C13">
        <v>1.4999999999999999E-4</v>
      </c>
      <c r="E13">
        <v>10</v>
      </c>
      <c r="F13">
        <v>1.4E-5</v>
      </c>
      <c r="G13">
        <v>1.1E-5</v>
      </c>
      <c r="H13">
        <v>1.8E-5</v>
      </c>
      <c r="I13">
        <v>1.8E-5</v>
      </c>
      <c r="N13" t="s">
        <v>54</v>
      </c>
      <c r="O13">
        <v>10</v>
      </c>
      <c r="P13">
        <v>1.6E-2</v>
      </c>
    </row>
    <row r="14" spans="1:16" x14ac:dyDescent="0.2">
      <c r="A14">
        <v>11</v>
      </c>
      <c r="B14">
        <v>2.0000000000000001E-4</v>
      </c>
      <c r="C14">
        <v>1.4999999999999999E-4</v>
      </c>
      <c r="E14">
        <v>11</v>
      </c>
      <c r="F14">
        <v>1.4E-5</v>
      </c>
      <c r="G14">
        <v>1.1E-5</v>
      </c>
      <c r="H14">
        <v>2.0000000000000002E-5</v>
      </c>
      <c r="I14">
        <v>2.0000000000000002E-5</v>
      </c>
      <c r="N14" t="s">
        <v>54</v>
      </c>
      <c r="O14">
        <v>11</v>
      </c>
      <c r="P14">
        <v>1.35E-2</v>
      </c>
    </row>
    <row r="15" spans="1:16" x14ac:dyDescent="0.2">
      <c r="A15">
        <v>12</v>
      </c>
      <c r="B15">
        <v>2.0000000000000001E-4</v>
      </c>
      <c r="C15">
        <v>1.4999999999999999E-4</v>
      </c>
      <c r="E15">
        <v>12</v>
      </c>
      <c r="F15">
        <v>1.4E-5</v>
      </c>
      <c r="G15">
        <v>1.1E-5</v>
      </c>
      <c r="H15">
        <v>2.1999999999999999E-5</v>
      </c>
      <c r="I15">
        <v>2.1999999999999999E-5</v>
      </c>
      <c r="N15" t="s">
        <v>55</v>
      </c>
      <c r="O15" t="s">
        <v>56</v>
      </c>
      <c r="P15">
        <v>0.215</v>
      </c>
    </row>
    <row r="16" spans="1:16" x14ac:dyDescent="0.2">
      <c r="A16">
        <v>13</v>
      </c>
      <c r="B16">
        <v>2.5000000000000001E-4</v>
      </c>
      <c r="C16">
        <v>1.4999999999999999E-4</v>
      </c>
      <c r="E16">
        <v>13</v>
      </c>
      <c r="F16">
        <v>1.8E-5</v>
      </c>
      <c r="G16">
        <v>1.2E-5</v>
      </c>
      <c r="H16">
        <v>2.5000000000000001E-5</v>
      </c>
      <c r="I16">
        <v>2.5000000000000001E-5</v>
      </c>
      <c r="N16" t="s">
        <v>55</v>
      </c>
      <c r="O16" t="s">
        <v>57</v>
      </c>
      <c r="P16">
        <v>3.2000000000000001E-2</v>
      </c>
    </row>
    <row r="17" spans="1:16" x14ac:dyDescent="0.2">
      <c r="A17">
        <v>14</v>
      </c>
      <c r="B17">
        <v>2.9999999999999997E-4</v>
      </c>
      <c r="C17">
        <v>2.0000000000000001E-4</v>
      </c>
      <c r="E17">
        <v>14</v>
      </c>
      <c r="F17">
        <v>2.1999999999999999E-5</v>
      </c>
      <c r="G17">
        <v>1.4E-5</v>
      </c>
      <c r="H17">
        <v>2.8E-5</v>
      </c>
      <c r="I17">
        <v>2.8E-5</v>
      </c>
      <c r="N17" t="s">
        <v>55</v>
      </c>
      <c r="O17" t="s">
        <v>58</v>
      </c>
      <c r="P17">
        <v>0.01</v>
      </c>
    </row>
    <row r="18" spans="1:16" x14ac:dyDescent="0.2">
      <c r="A18">
        <v>15</v>
      </c>
      <c r="B18">
        <v>3.5E-4</v>
      </c>
      <c r="C18">
        <v>2.0000000000000001E-4</v>
      </c>
      <c r="E18">
        <v>15</v>
      </c>
      <c r="F18">
        <v>2.5999999999999998E-5</v>
      </c>
      <c r="G18">
        <v>1.5E-5</v>
      </c>
      <c r="H18">
        <v>3.1999999999999999E-5</v>
      </c>
      <c r="I18">
        <v>3.1999999999999999E-5</v>
      </c>
      <c r="N18" t="s">
        <v>55</v>
      </c>
      <c r="O18" t="s">
        <v>59</v>
      </c>
      <c r="P18">
        <v>8.0000000000000002E-3</v>
      </c>
    </row>
    <row r="19" spans="1:16" x14ac:dyDescent="0.2">
      <c r="A19">
        <v>16</v>
      </c>
      <c r="B19">
        <v>4.0000000000000002E-4</v>
      </c>
      <c r="C19">
        <v>2.0000000000000001E-4</v>
      </c>
      <c r="E19">
        <v>16</v>
      </c>
      <c r="F19">
        <v>3.0000000000000001E-5</v>
      </c>
      <c r="G19">
        <v>1.5999999999999999E-5</v>
      </c>
      <c r="H19">
        <v>3.8000000000000002E-5</v>
      </c>
      <c r="I19">
        <v>3.8000000000000002E-5</v>
      </c>
      <c r="N19" t="s">
        <v>55</v>
      </c>
      <c r="O19" t="s">
        <v>60</v>
      </c>
      <c r="P19">
        <v>0.01</v>
      </c>
    </row>
    <row r="20" spans="1:16" x14ac:dyDescent="0.2">
      <c r="A20">
        <v>17</v>
      </c>
      <c r="B20">
        <v>4.4999999999999999E-4</v>
      </c>
      <c r="C20">
        <v>2.5000000000000001E-4</v>
      </c>
      <c r="E20">
        <v>17</v>
      </c>
      <c r="F20">
        <v>3.4E-5</v>
      </c>
      <c r="G20">
        <v>1.8E-5</v>
      </c>
      <c r="H20">
        <v>4.5000000000000003E-5</v>
      </c>
      <c r="I20">
        <v>4.5000000000000003E-5</v>
      </c>
    </row>
    <row r="21" spans="1:16" x14ac:dyDescent="0.2">
      <c r="A21">
        <v>18</v>
      </c>
      <c r="B21">
        <v>4.4999999999999999E-4</v>
      </c>
      <c r="C21">
        <v>2.5000000000000001E-4</v>
      </c>
      <c r="E21">
        <v>18</v>
      </c>
      <c r="F21">
        <v>3.4E-5</v>
      </c>
      <c r="G21">
        <v>1.8E-5</v>
      </c>
      <c r="H21">
        <v>5.1999999999999997E-5</v>
      </c>
      <c r="I21">
        <v>5.1999999999999997E-5</v>
      </c>
    </row>
    <row r="22" spans="1:16" x14ac:dyDescent="0.2">
      <c r="A22">
        <v>19</v>
      </c>
      <c r="B22">
        <v>4.4999999999999999E-4</v>
      </c>
      <c r="C22">
        <v>2.5000000000000001E-4</v>
      </c>
      <c r="E22">
        <v>19</v>
      </c>
      <c r="F22">
        <v>3.4E-5</v>
      </c>
      <c r="G22">
        <v>1.8E-5</v>
      </c>
      <c r="H22">
        <v>6.0000000000000002E-5</v>
      </c>
      <c r="I22">
        <v>6.0000000000000002E-5</v>
      </c>
    </row>
    <row r="23" spans="1:16" x14ac:dyDescent="0.2">
      <c r="A23">
        <v>20</v>
      </c>
      <c r="B23">
        <v>4.4999999999999999E-4</v>
      </c>
      <c r="C23">
        <v>2.5000000000000001E-4</v>
      </c>
      <c r="E23">
        <v>20</v>
      </c>
      <c r="F23">
        <v>3.4E-5</v>
      </c>
      <c r="G23">
        <v>1.8E-5</v>
      </c>
      <c r="H23">
        <v>6.7999999999999999E-5</v>
      </c>
      <c r="I23">
        <v>6.7999999999999999E-5</v>
      </c>
    </row>
    <row r="24" spans="1:16" x14ac:dyDescent="0.2">
      <c r="A24">
        <v>21</v>
      </c>
      <c r="B24">
        <v>5.0000000000000001E-4</v>
      </c>
      <c r="C24">
        <v>2.5000000000000001E-4</v>
      </c>
      <c r="E24">
        <v>21</v>
      </c>
      <c r="F24">
        <v>3.8000000000000002E-5</v>
      </c>
      <c r="G24">
        <v>1.9000000000000001E-5</v>
      </c>
      <c r="H24">
        <v>7.7999999999999999E-5</v>
      </c>
      <c r="I24">
        <v>7.7999999999999999E-5</v>
      </c>
    </row>
    <row r="25" spans="1:16" x14ac:dyDescent="0.2">
      <c r="A25">
        <v>22</v>
      </c>
      <c r="B25">
        <v>5.0000000000000001E-4</v>
      </c>
      <c r="C25">
        <v>2.5000000000000001E-4</v>
      </c>
      <c r="E25">
        <v>22</v>
      </c>
      <c r="F25">
        <v>3.8000000000000002E-5</v>
      </c>
      <c r="G25">
        <v>1.9000000000000001E-5</v>
      </c>
      <c r="H25">
        <v>8.7999999999999998E-5</v>
      </c>
      <c r="I25">
        <v>8.7999999999999998E-5</v>
      </c>
    </row>
    <row r="26" spans="1:16" x14ac:dyDescent="0.2">
      <c r="A26">
        <v>23</v>
      </c>
      <c r="B26">
        <v>5.0000000000000001E-4</v>
      </c>
      <c r="C26">
        <v>2.5000000000000001E-4</v>
      </c>
      <c r="E26">
        <v>23</v>
      </c>
      <c r="F26">
        <v>3.8000000000000002E-5</v>
      </c>
      <c r="G26">
        <v>1.9000000000000001E-5</v>
      </c>
      <c r="H26">
        <v>1E-4</v>
      </c>
      <c r="I26">
        <v>1E-4</v>
      </c>
    </row>
    <row r="27" spans="1:16" x14ac:dyDescent="0.2">
      <c r="A27">
        <v>24</v>
      </c>
      <c r="B27">
        <v>5.0000000000000001E-4</v>
      </c>
      <c r="C27">
        <v>2.5000000000000001E-4</v>
      </c>
      <c r="E27">
        <v>24</v>
      </c>
      <c r="F27">
        <v>3.8000000000000002E-5</v>
      </c>
      <c r="G27">
        <v>1.9000000000000001E-5</v>
      </c>
      <c r="H27">
        <v>1.12E-4</v>
      </c>
      <c r="I27">
        <v>1.12E-4</v>
      </c>
    </row>
    <row r="28" spans="1:16" x14ac:dyDescent="0.2">
      <c r="A28">
        <v>25</v>
      </c>
      <c r="B28">
        <v>5.5000000000000003E-4</v>
      </c>
      <c r="C28">
        <v>2.9999999999999997E-4</v>
      </c>
      <c r="E28">
        <v>25</v>
      </c>
      <c r="F28">
        <v>4.1999999999999998E-5</v>
      </c>
      <c r="G28">
        <v>2.0999999999999999E-5</v>
      </c>
      <c r="H28">
        <v>1.25E-4</v>
      </c>
      <c r="I28">
        <v>1.25E-4</v>
      </c>
    </row>
    <row r="29" spans="1:16" x14ac:dyDescent="0.2">
      <c r="A29">
        <v>26</v>
      </c>
      <c r="B29">
        <v>5.5000000000000003E-4</v>
      </c>
      <c r="C29">
        <v>2.9999999999999997E-4</v>
      </c>
      <c r="E29">
        <v>26</v>
      </c>
      <c r="F29">
        <v>4.1999999999999998E-5</v>
      </c>
      <c r="G29">
        <v>2.0999999999999999E-5</v>
      </c>
      <c r="H29">
        <v>1.3799999999999999E-4</v>
      </c>
      <c r="I29">
        <v>1.3799999999999999E-4</v>
      </c>
    </row>
    <row r="30" spans="1:16" x14ac:dyDescent="0.2">
      <c r="A30">
        <v>27</v>
      </c>
      <c r="B30">
        <v>5.5000000000000003E-4</v>
      </c>
      <c r="C30">
        <v>2.9999999999999997E-4</v>
      </c>
      <c r="E30">
        <v>27</v>
      </c>
      <c r="F30">
        <v>4.1999999999999998E-5</v>
      </c>
      <c r="G30">
        <v>2.0999999999999999E-5</v>
      </c>
      <c r="H30">
        <v>1.5200000000000001E-4</v>
      </c>
      <c r="I30">
        <v>1.5200000000000001E-4</v>
      </c>
    </row>
    <row r="31" spans="1:16" x14ac:dyDescent="0.2">
      <c r="A31">
        <v>28</v>
      </c>
      <c r="B31">
        <v>5.5000000000000003E-4</v>
      </c>
      <c r="C31">
        <v>2.9999999999999997E-4</v>
      </c>
      <c r="E31">
        <v>28</v>
      </c>
      <c r="F31">
        <v>4.1999999999999998E-5</v>
      </c>
      <c r="G31">
        <v>2.0999999999999999E-5</v>
      </c>
      <c r="H31">
        <v>1.6799999999999999E-4</v>
      </c>
      <c r="I31">
        <v>1.6799999999999999E-4</v>
      </c>
    </row>
    <row r="32" spans="1:16" x14ac:dyDescent="0.2">
      <c r="A32">
        <v>29</v>
      </c>
      <c r="B32">
        <v>5.9999999999999995E-4</v>
      </c>
      <c r="C32">
        <v>2.9999999999999997E-4</v>
      </c>
      <c r="E32">
        <v>29</v>
      </c>
      <c r="F32">
        <v>4.6E-5</v>
      </c>
      <c r="G32">
        <v>2.1999999999999999E-5</v>
      </c>
      <c r="H32">
        <v>1.85E-4</v>
      </c>
      <c r="I32">
        <v>1.85E-4</v>
      </c>
    </row>
    <row r="33" spans="1:9" x14ac:dyDescent="0.2">
      <c r="A33">
        <v>30</v>
      </c>
      <c r="B33">
        <v>5.9999999999999995E-4</v>
      </c>
      <c r="C33">
        <v>2.9999999999999997E-4</v>
      </c>
      <c r="E33">
        <v>30</v>
      </c>
      <c r="F33">
        <v>4.6E-5</v>
      </c>
      <c r="G33">
        <v>2.1999999999999999E-5</v>
      </c>
      <c r="H33">
        <v>2.05E-4</v>
      </c>
      <c r="I33">
        <v>2.05E-4</v>
      </c>
    </row>
    <row r="34" spans="1:9" x14ac:dyDescent="0.2">
      <c r="A34">
        <v>31</v>
      </c>
      <c r="B34">
        <v>5.9999999999999995E-4</v>
      </c>
      <c r="C34">
        <v>3.5E-4</v>
      </c>
      <c r="E34">
        <v>31</v>
      </c>
      <c r="F34">
        <v>4.6E-5</v>
      </c>
      <c r="G34">
        <v>2.4000000000000001E-5</v>
      </c>
      <c r="H34">
        <v>2.2499999999999999E-4</v>
      </c>
      <c r="I34">
        <v>2.2499999999999999E-4</v>
      </c>
    </row>
    <row r="35" spans="1:9" x14ac:dyDescent="0.2">
      <c r="A35">
        <v>32</v>
      </c>
      <c r="B35">
        <v>6.4999999999999997E-4</v>
      </c>
      <c r="C35">
        <v>3.5E-4</v>
      </c>
      <c r="E35">
        <v>32</v>
      </c>
      <c r="F35">
        <v>5.0000000000000002E-5</v>
      </c>
      <c r="G35">
        <v>2.4000000000000001E-5</v>
      </c>
      <c r="H35">
        <v>2.4499999999999999E-4</v>
      </c>
      <c r="I35">
        <v>2.4499999999999999E-4</v>
      </c>
    </row>
    <row r="36" spans="1:9" x14ac:dyDescent="0.2">
      <c r="A36">
        <v>33</v>
      </c>
      <c r="B36">
        <v>6.4999999999999997E-4</v>
      </c>
      <c r="C36">
        <v>3.5E-4</v>
      </c>
      <c r="E36">
        <v>33</v>
      </c>
      <c r="F36">
        <v>5.0000000000000002E-5</v>
      </c>
      <c r="G36">
        <v>2.4000000000000001E-5</v>
      </c>
      <c r="H36">
        <v>2.7E-4</v>
      </c>
      <c r="I36">
        <v>2.7E-4</v>
      </c>
    </row>
    <row r="37" spans="1:9" x14ac:dyDescent="0.2">
      <c r="A37">
        <v>34</v>
      </c>
      <c r="B37">
        <v>6.9999999999999999E-4</v>
      </c>
      <c r="C37">
        <v>3.5E-4</v>
      </c>
      <c r="E37">
        <v>34</v>
      </c>
      <c r="F37">
        <v>5.3999999999999998E-5</v>
      </c>
      <c r="G37">
        <v>2.5000000000000001E-5</v>
      </c>
      <c r="H37">
        <v>2.9500000000000001E-4</v>
      </c>
      <c r="I37">
        <v>2.9500000000000001E-4</v>
      </c>
    </row>
    <row r="38" spans="1:9" x14ac:dyDescent="0.2">
      <c r="A38">
        <v>35</v>
      </c>
      <c r="B38">
        <v>6.9999999999999999E-4</v>
      </c>
      <c r="C38">
        <v>4.0000000000000002E-4</v>
      </c>
      <c r="E38">
        <v>35</v>
      </c>
      <c r="F38">
        <v>5.3999999999999998E-5</v>
      </c>
      <c r="G38">
        <v>2.6999999999999999E-5</v>
      </c>
      <c r="H38">
        <v>3.2000000000000003E-4</v>
      </c>
      <c r="I38">
        <v>3.2000000000000003E-4</v>
      </c>
    </row>
    <row r="39" spans="1:9" x14ac:dyDescent="0.2">
      <c r="A39">
        <v>36</v>
      </c>
      <c r="B39">
        <v>6.9999999999999999E-4</v>
      </c>
      <c r="C39">
        <v>4.0000000000000002E-4</v>
      </c>
      <c r="E39">
        <v>36</v>
      </c>
      <c r="F39">
        <v>5.3999999999999998E-5</v>
      </c>
      <c r="G39">
        <v>2.6999999999999999E-5</v>
      </c>
      <c r="H39">
        <v>3.5E-4</v>
      </c>
      <c r="I39">
        <v>3.5E-4</v>
      </c>
    </row>
    <row r="40" spans="1:9" x14ac:dyDescent="0.2">
      <c r="A40">
        <v>37</v>
      </c>
      <c r="B40">
        <v>7.5000000000000002E-4</v>
      </c>
      <c r="C40">
        <v>4.0000000000000002E-4</v>
      </c>
      <c r="E40">
        <v>37</v>
      </c>
      <c r="F40">
        <v>5.8E-5</v>
      </c>
      <c r="G40">
        <v>2.8E-5</v>
      </c>
      <c r="H40">
        <v>3.8000000000000002E-4</v>
      </c>
      <c r="I40">
        <v>3.8000000000000002E-4</v>
      </c>
    </row>
    <row r="41" spans="1:9" x14ac:dyDescent="0.2">
      <c r="A41">
        <v>38</v>
      </c>
      <c r="B41">
        <v>7.5000000000000002E-4</v>
      </c>
      <c r="C41">
        <v>4.0000000000000002E-4</v>
      </c>
      <c r="E41">
        <v>38</v>
      </c>
      <c r="F41">
        <v>5.8E-5</v>
      </c>
      <c r="G41">
        <v>2.8E-5</v>
      </c>
      <c r="H41">
        <v>4.15E-4</v>
      </c>
      <c r="I41">
        <v>4.15E-4</v>
      </c>
    </row>
    <row r="42" spans="1:9" x14ac:dyDescent="0.2">
      <c r="A42">
        <v>39</v>
      </c>
      <c r="B42">
        <v>7.5000000000000002E-4</v>
      </c>
      <c r="C42">
        <v>4.0000000000000002E-4</v>
      </c>
      <c r="E42">
        <v>39</v>
      </c>
      <c r="F42">
        <v>5.8E-5</v>
      </c>
      <c r="G42">
        <v>2.8E-5</v>
      </c>
      <c r="H42">
        <v>4.4999999999999999E-4</v>
      </c>
      <c r="I42">
        <v>4.4999999999999999E-4</v>
      </c>
    </row>
    <row r="43" spans="1:9" x14ac:dyDescent="0.2">
      <c r="A43">
        <v>40</v>
      </c>
      <c r="B43">
        <v>7.5000000000000002E-4</v>
      </c>
      <c r="C43">
        <v>4.0000000000000002E-4</v>
      </c>
      <c r="E43">
        <v>40</v>
      </c>
      <c r="F43">
        <v>5.8E-5</v>
      </c>
      <c r="G43">
        <v>2.8E-5</v>
      </c>
      <c r="H43">
        <v>4.8999999999999998E-4</v>
      </c>
      <c r="I43">
        <v>4.8999999999999998E-4</v>
      </c>
    </row>
    <row r="44" spans="1:9" x14ac:dyDescent="0.2">
      <c r="A44">
        <v>41</v>
      </c>
      <c r="B44">
        <v>8.0000000000000004E-4</v>
      </c>
      <c r="C44">
        <v>4.4999999999999999E-4</v>
      </c>
      <c r="E44">
        <v>41</v>
      </c>
      <c r="F44">
        <v>6.2000000000000003E-5</v>
      </c>
      <c r="G44">
        <v>3.0000000000000001E-5</v>
      </c>
      <c r="H44">
        <v>5.2999999999999998E-4</v>
      </c>
      <c r="I44">
        <v>5.2999999999999998E-4</v>
      </c>
    </row>
    <row r="45" spans="1:9" x14ac:dyDescent="0.2">
      <c r="A45">
        <v>42</v>
      </c>
      <c r="B45">
        <v>8.0000000000000004E-4</v>
      </c>
      <c r="C45">
        <v>4.4999999999999999E-4</v>
      </c>
      <c r="E45">
        <v>42</v>
      </c>
      <c r="F45">
        <v>6.2000000000000003E-5</v>
      </c>
      <c r="G45">
        <v>3.0000000000000001E-5</v>
      </c>
      <c r="H45">
        <v>5.7499999999999999E-4</v>
      </c>
      <c r="I45">
        <v>5.7499999999999999E-4</v>
      </c>
    </row>
    <row r="46" spans="1:9" x14ac:dyDescent="0.2">
      <c r="A46">
        <v>43</v>
      </c>
      <c r="B46">
        <v>8.4999999999999995E-4</v>
      </c>
      <c r="C46">
        <v>4.4999999999999999E-4</v>
      </c>
      <c r="E46">
        <v>43</v>
      </c>
      <c r="F46">
        <v>6.6000000000000005E-5</v>
      </c>
      <c r="G46">
        <v>3.1000000000000001E-5</v>
      </c>
      <c r="H46">
        <v>6.2500000000000001E-4</v>
      </c>
      <c r="I46">
        <v>6.2500000000000001E-4</v>
      </c>
    </row>
    <row r="47" spans="1:9" x14ac:dyDescent="0.2">
      <c r="A47">
        <v>44</v>
      </c>
      <c r="B47">
        <v>8.4999999999999995E-4</v>
      </c>
      <c r="C47">
        <v>5.0000000000000001E-4</v>
      </c>
      <c r="E47">
        <v>44</v>
      </c>
      <c r="F47">
        <v>6.6000000000000005E-5</v>
      </c>
      <c r="G47">
        <v>3.3000000000000003E-5</v>
      </c>
      <c r="H47">
        <v>6.8000000000000005E-4</v>
      </c>
      <c r="I47">
        <v>6.8000000000000005E-4</v>
      </c>
    </row>
    <row r="48" spans="1:9" x14ac:dyDescent="0.2">
      <c r="A48">
        <v>45</v>
      </c>
      <c r="B48">
        <v>8.9999999999999998E-4</v>
      </c>
      <c r="C48">
        <v>5.0000000000000001E-4</v>
      </c>
      <c r="E48">
        <v>45</v>
      </c>
      <c r="F48">
        <v>6.9999999999999994E-5</v>
      </c>
      <c r="G48">
        <v>3.4E-5</v>
      </c>
      <c r="H48">
        <v>7.3999999999999999E-4</v>
      </c>
      <c r="I48">
        <v>7.3999999999999999E-4</v>
      </c>
    </row>
    <row r="49" spans="1:9" x14ac:dyDescent="0.2">
      <c r="A49">
        <v>46</v>
      </c>
      <c r="B49">
        <v>9.5E-4</v>
      </c>
      <c r="C49">
        <v>5.0000000000000001E-4</v>
      </c>
      <c r="E49">
        <v>46</v>
      </c>
      <c r="F49">
        <v>7.3999999999999996E-5</v>
      </c>
      <c r="G49">
        <v>3.4999999999999997E-5</v>
      </c>
      <c r="H49">
        <v>8.0500000000000005E-4</v>
      </c>
      <c r="I49">
        <v>8.0500000000000005E-4</v>
      </c>
    </row>
    <row r="50" spans="1:9" x14ac:dyDescent="0.2">
      <c r="A50">
        <v>47</v>
      </c>
      <c r="B50">
        <v>9.5E-4</v>
      </c>
      <c r="C50">
        <v>5.5000000000000003E-4</v>
      </c>
      <c r="E50">
        <v>47</v>
      </c>
      <c r="F50">
        <v>7.3999999999999996E-5</v>
      </c>
      <c r="G50">
        <v>3.6000000000000001E-5</v>
      </c>
      <c r="H50">
        <v>8.7500000000000002E-4</v>
      </c>
      <c r="I50">
        <v>8.7500000000000002E-4</v>
      </c>
    </row>
    <row r="51" spans="1:9" x14ac:dyDescent="0.2">
      <c r="A51">
        <v>48</v>
      </c>
      <c r="B51">
        <v>1E-3</v>
      </c>
      <c r="C51">
        <v>5.5000000000000003E-4</v>
      </c>
      <c r="E51">
        <v>48</v>
      </c>
      <c r="F51">
        <v>7.7999999999999999E-5</v>
      </c>
      <c r="G51">
        <v>3.6999999999999998E-5</v>
      </c>
      <c r="H51">
        <v>9.5E-4</v>
      </c>
      <c r="I51">
        <v>9.5E-4</v>
      </c>
    </row>
    <row r="52" spans="1:9" x14ac:dyDescent="0.2">
      <c r="A52">
        <v>49</v>
      </c>
      <c r="B52">
        <v>1E-3</v>
      </c>
      <c r="C52">
        <v>5.5000000000000003E-4</v>
      </c>
      <c r="E52">
        <v>49</v>
      </c>
      <c r="F52">
        <v>7.7999999999999999E-5</v>
      </c>
      <c r="G52">
        <v>3.6999999999999998E-5</v>
      </c>
      <c r="H52">
        <v>1.0300000000000001E-3</v>
      </c>
      <c r="I52">
        <v>1.0300000000000001E-3</v>
      </c>
    </row>
    <row r="53" spans="1:9" x14ac:dyDescent="0.2">
      <c r="A53">
        <v>50</v>
      </c>
      <c r="B53">
        <v>1E-3</v>
      </c>
      <c r="C53">
        <v>5.5000000000000003E-4</v>
      </c>
      <c r="E53">
        <v>50</v>
      </c>
      <c r="F53">
        <v>7.7999999999999999E-5</v>
      </c>
      <c r="G53">
        <v>3.6999999999999998E-5</v>
      </c>
      <c r="H53">
        <v>1.1150000000000001E-3</v>
      </c>
      <c r="I53">
        <v>1.1150000000000001E-3</v>
      </c>
    </row>
    <row r="54" spans="1:9" x14ac:dyDescent="0.2">
      <c r="A54">
        <v>51</v>
      </c>
      <c r="B54">
        <v>1E-3</v>
      </c>
      <c r="C54">
        <v>5.5000000000000003E-4</v>
      </c>
    </row>
    <row r="55" spans="1:9" x14ac:dyDescent="0.2">
      <c r="A55">
        <v>52</v>
      </c>
      <c r="B55">
        <v>1E-3</v>
      </c>
      <c r="C55">
        <v>5.5000000000000003E-4</v>
      </c>
    </row>
    <row r="56" spans="1:9" x14ac:dyDescent="0.2">
      <c r="A56">
        <v>53</v>
      </c>
      <c r="B56">
        <v>1E-3</v>
      </c>
      <c r="C56">
        <v>5.5000000000000003E-4</v>
      </c>
    </row>
    <row r="57" spans="1:9" x14ac:dyDescent="0.2">
      <c r="A57">
        <v>54</v>
      </c>
      <c r="B57">
        <v>1E-3</v>
      </c>
      <c r="C57">
        <v>5.5000000000000003E-4</v>
      </c>
    </row>
    <row r="58" spans="1:9" x14ac:dyDescent="0.2">
      <c r="A58">
        <v>55</v>
      </c>
      <c r="B58">
        <v>1E-3</v>
      </c>
      <c r="C58">
        <v>5.5000000000000003E-4</v>
      </c>
    </row>
    <row r="59" spans="1:9" x14ac:dyDescent="0.2">
      <c r="A59">
        <v>56</v>
      </c>
      <c r="B59">
        <v>1E-3</v>
      </c>
      <c r="C59">
        <v>5.5000000000000003E-4</v>
      </c>
    </row>
    <row r="60" spans="1:9" x14ac:dyDescent="0.2">
      <c r="A60">
        <v>57</v>
      </c>
      <c r="B60">
        <v>1E-3</v>
      </c>
      <c r="C60">
        <v>5.5000000000000003E-4</v>
      </c>
    </row>
    <row r="61" spans="1:9" x14ac:dyDescent="0.2">
      <c r="A61">
        <v>58</v>
      </c>
      <c r="B61">
        <v>1E-3</v>
      </c>
      <c r="C61">
        <v>5.5000000000000003E-4</v>
      </c>
    </row>
    <row r="62" spans="1:9" x14ac:dyDescent="0.2">
      <c r="A62">
        <v>59</v>
      </c>
      <c r="B62">
        <v>1E-3</v>
      </c>
      <c r="C62">
        <v>5.5000000000000003E-4</v>
      </c>
    </row>
    <row r="63" spans="1:9" x14ac:dyDescent="0.2">
      <c r="A63">
        <v>60</v>
      </c>
      <c r="B63">
        <v>1E-3</v>
      </c>
      <c r="C63">
        <v>5.5000000000000003E-4</v>
      </c>
    </row>
    <row r="64" spans="1:9" x14ac:dyDescent="0.2">
      <c r="A64">
        <v>61</v>
      </c>
      <c r="B64">
        <v>1E-3</v>
      </c>
      <c r="C64">
        <v>5.5000000000000003E-4</v>
      </c>
    </row>
    <row r="65" spans="1:3" x14ac:dyDescent="0.2">
      <c r="A65">
        <v>62</v>
      </c>
      <c r="B65">
        <v>1E-3</v>
      </c>
      <c r="C65">
        <v>5.5000000000000003E-4</v>
      </c>
    </row>
    <row r="66" spans="1:3" x14ac:dyDescent="0.2">
      <c r="A66">
        <v>63</v>
      </c>
      <c r="B66">
        <v>1E-3</v>
      </c>
      <c r="C66">
        <v>5.5000000000000003E-4</v>
      </c>
    </row>
    <row r="67" spans="1:3" x14ac:dyDescent="0.2">
      <c r="A67">
        <v>64</v>
      </c>
      <c r="B67">
        <v>1E-3</v>
      </c>
      <c r="C67">
        <v>5.5000000000000003E-4</v>
      </c>
    </row>
    <row r="68" spans="1:3" x14ac:dyDescent="0.2">
      <c r="A68">
        <v>65</v>
      </c>
      <c r="B68">
        <v>1E-3</v>
      </c>
      <c r="C68">
        <v>5.5000000000000003E-4</v>
      </c>
    </row>
    <row r="69" spans="1:3" x14ac:dyDescent="0.2">
      <c r="A69">
        <v>66</v>
      </c>
      <c r="B69">
        <v>1E-3</v>
      </c>
      <c r="C69">
        <v>5.5000000000000003E-4</v>
      </c>
    </row>
    <row r="70" spans="1:3" x14ac:dyDescent="0.2">
      <c r="A70">
        <v>67</v>
      </c>
      <c r="B70">
        <v>1E-3</v>
      </c>
      <c r="C70">
        <v>5.5000000000000003E-4</v>
      </c>
    </row>
    <row r="71" spans="1:3" x14ac:dyDescent="0.2">
      <c r="A71">
        <v>68</v>
      </c>
      <c r="B71">
        <v>1E-3</v>
      </c>
      <c r="C71">
        <v>5.5000000000000003E-4</v>
      </c>
    </row>
    <row r="72" spans="1:3" x14ac:dyDescent="0.2">
      <c r="A72">
        <v>69</v>
      </c>
      <c r="B72">
        <v>1E-3</v>
      </c>
      <c r="C72">
        <v>5.5000000000000003E-4</v>
      </c>
    </row>
    <row r="73" spans="1:3" x14ac:dyDescent="0.2">
      <c r="A73">
        <v>70</v>
      </c>
      <c r="B73">
        <v>1E-3</v>
      </c>
      <c r="C73">
        <v>5.5000000000000003E-4</v>
      </c>
    </row>
    <row r="74" spans="1:3" x14ac:dyDescent="0.2">
      <c r="A74">
        <v>71</v>
      </c>
      <c r="B74">
        <v>1E-3</v>
      </c>
      <c r="C74">
        <v>5.5000000000000003E-4</v>
      </c>
    </row>
    <row r="75" spans="1:3" x14ac:dyDescent="0.2">
      <c r="A75">
        <v>72</v>
      </c>
      <c r="B75">
        <v>1E-3</v>
      </c>
      <c r="C75">
        <v>5.5000000000000003E-4</v>
      </c>
    </row>
    <row r="76" spans="1:3" x14ac:dyDescent="0.2">
      <c r="A76">
        <v>73</v>
      </c>
      <c r="B76">
        <v>1E-3</v>
      </c>
      <c r="C76">
        <v>5.5000000000000003E-4</v>
      </c>
    </row>
    <row r="77" spans="1:3" x14ac:dyDescent="0.2">
      <c r="A77">
        <v>74</v>
      </c>
      <c r="B77">
        <v>1E-3</v>
      </c>
      <c r="C77">
        <v>5.5000000000000003E-4</v>
      </c>
    </row>
    <row r="78" spans="1:3" x14ac:dyDescent="0.2">
      <c r="A78">
        <v>75</v>
      </c>
      <c r="B78">
        <v>1E-3</v>
      </c>
      <c r="C78">
        <v>5.5000000000000003E-4</v>
      </c>
    </row>
    <row r="79" spans="1:3" x14ac:dyDescent="0.2">
      <c r="A79">
        <v>76</v>
      </c>
      <c r="B79">
        <v>1E-3</v>
      </c>
      <c r="C79">
        <v>5.5000000000000003E-4</v>
      </c>
    </row>
    <row r="80" spans="1:3" x14ac:dyDescent="0.2">
      <c r="A80">
        <v>77</v>
      </c>
      <c r="B80">
        <v>1E-3</v>
      </c>
      <c r="C80">
        <v>5.5000000000000003E-4</v>
      </c>
    </row>
    <row r="81" spans="1:3" x14ac:dyDescent="0.2">
      <c r="A81">
        <v>78</v>
      </c>
      <c r="B81">
        <v>1E-3</v>
      </c>
      <c r="C81">
        <v>5.5000000000000003E-4</v>
      </c>
    </row>
    <row r="82" spans="1:3" x14ac:dyDescent="0.2">
      <c r="A82">
        <v>79</v>
      </c>
      <c r="B82">
        <v>1E-3</v>
      </c>
      <c r="C82">
        <v>5.5000000000000003E-4</v>
      </c>
    </row>
    <row r="83" spans="1:3" x14ac:dyDescent="0.2">
      <c r="A83">
        <v>80</v>
      </c>
      <c r="B83">
        <v>1E-3</v>
      </c>
      <c r="C83">
        <v>5.5000000000000003E-4</v>
      </c>
    </row>
    <row r="84" spans="1:3" x14ac:dyDescent="0.2">
      <c r="A84">
        <v>81</v>
      </c>
      <c r="B84">
        <v>1E-3</v>
      </c>
      <c r="C84">
        <v>5.5000000000000003E-4</v>
      </c>
    </row>
    <row r="85" spans="1:3" x14ac:dyDescent="0.2">
      <c r="A85">
        <v>82</v>
      </c>
      <c r="B85">
        <v>1E-3</v>
      </c>
      <c r="C85">
        <v>5.5000000000000003E-4</v>
      </c>
    </row>
    <row r="86" spans="1:3" x14ac:dyDescent="0.2">
      <c r="A86">
        <v>83</v>
      </c>
      <c r="B86">
        <v>1E-3</v>
      </c>
      <c r="C86">
        <v>5.5000000000000003E-4</v>
      </c>
    </row>
    <row r="87" spans="1:3" x14ac:dyDescent="0.2">
      <c r="A87">
        <v>84</v>
      </c>
      <c r="B87">
        <v>1E-3</v>
      </c>
      <c r="C87">
        <v>5.5000000000000003E-4</v>
      </c>
    </row>
    <row r="88" spans="1:3" x14ac:dyDescent="0.2">
      <c r="A88">
        <v>85</v>
      </c>
      <c r="B88">
        <v>1E-3</v>
      </c>
      <c r="C88">
        <v>5.5000000000000003E-4</v>
      </c>
    </row>
    <row r="89" spans="1:3" x14ac:dyDescent="0.2">
      <c r="A89">
        <v>86</v>
      </c>
      <c r="B89">
        <v>1E-3</v>
      </c>
      <c r="C89">
        <v>5.5000000000000003E-4</v>
      </c>
    </row>
    <row r="90" spans="1:3" x14ac:dyDescent="0.2">
      <c r="A90">
        <v>87</v>
      </c>
      <c r="B90">
        <v>1E-3</v>
      </c>
      <c r="C90">
        <v>5.5000000000000003E-4</v>
      </c>
    </row>
    <row r="91" spans="1:3" x14ac:dyDescent="0.2">
      <c r="A91">
        <v>88</v>
      </c>
      <c r="B91">
        <v>1E-3</v>
      </c>
      <c r="C91">
        <v>5.5000000000000003E-4</v>
      </c>
    </row>
    <row r="92" spans="1:3" x14ac:dyDescent="0.2">
      <c r="A92">
        <v>89</v>
      </c>
      <c r="B92">
        <v>1E-3</v>
      </c>
      <c r="C92">
        <v>5.5000000000000003E-4</v>
      </c>
    </row>
    <row r="93" spans="1:3" x14ac:dyDescent="0.2">
      <c r="A93">
        <v>90</v>
      </c>
      <c r="B93">
        <v>1E-3</v>
      </c>
      <c r="C93">
        <v>5.5000000000000003E-4</v>
      </c>
    </row>
    <row r="94" spans="1:3" x14ac:dyDescent="0.2">
      <c r="A94">
        <v>91</v>
      </c>
      <c r="B94">
        <v>1E-3</v>
      </c>
      <c r="C94">
        <v>5.5000000000000003E-4</v>
      </c>
    </row>
    <row r="95" spans="1:3" x14ac:dyDescent="0.2">
      <c r="A95">
        <v>92</v>
      </c>
      <c r="B95">
        <v>1E-3</v>
      </c>
      <c r="C95">
        <v>5.5000000000000003E-4</v>
      </c>
    </row>
    <row r="96" spans="1:3" x14ac:dyDescent="0.2">
      <c r="A96">
        <v>93</v>
      </c>
      <c r="B96">
        <v>1E-3</v>
      </c>
      <c r="C96">
        <v>5.5000000000000003E-4</v>
      </c>
    </row>
    <row r="97" spans="1:3" x14ac:dyDescent="0.2">
      <c r="A97">
        <v>94</v>
      </c>
      <c r="B97">
        <v>1E-3</v>
      </c>
      <c r="C97">
        <v>5.5000000000000003E-4</v>
      </c>
    </row>
    <row r="98" spans="1:3" x14ac:dyDescent="0.2">
      <c r="A98">
        <v>95</v>
      </c>
      <c r="B98">
        <v>1E-3</v>
      </c>
      <c r="C98">
        <v>5.5000000000000003E-4</v>
      </c>
    </row>
    <row r="99" spans="1:3" x14ac:dyDescent="0.2">
      <c r="A99">
        <v>96</v>
      </c>
      <c r="B99">
        <v>1E-3</v>
      </c>
      <c r="C99">
        <v>5.5000000000000003E-4</v>
      </c>
    </row>
    <row r="100" spans="1:3" x14ac:dyDescent="0.2">
      <c r="A100">
        <v>97</v>
      </c>
      <c r="B100">
        <v>1E-3</v>
      </c>
      <c r="C100">
        <v>5.5000000000000003E-4</v>
      </c>
    </row>
    <row r="101" spans="1:3" x14ac:dyDescent="0.2">
      <c r="A101">
        <v>98</v>
      </c>
      <c r="B101">
        <v>1E-3</v>
      </c>
      <c r="C101">
        <v>5.5000000000000003E-4</v>
      </c>
    </row>
    <row r="102" spans="1:3" x14ac:dyDescent="0.2">
      <c r="A102">
        <v>99</v>
      </c>
      <c r="B102">
        <v>1E-3</v>
      </c>
      <c r="C102">
        <v>5.5000000000000003E-4</v>
      </c>
    </row>
    <row r="103" spans="1:3" x14ac:dyDescent="0.2">
      <c r="A103">
        <v>100</v>
      </c>
      <c r="B103">
        <v>1E-3</v>
      </c>
      <c r="C103">
        <v>5.5000000000000003E-4</v>
      </c>
    </row>
    <row r="104" spans="1:3" x14ac:dyDescent="0.2">
      <c r="A104">
        <v>101</v>
      </c>
      <c r="B104">
        <v>1E-3</v>
      </c>
      <c r="C104">
        <v>5.5000000000000003E-4</v>
      </c>
    </row>
    <row r="105" spans="1:3" x14ac:dyDescent="0.2">
      <c r="A105">
        <v>102</v>
      </c>
      <c r="B105">
        <v>1E-3</v>
      </c>
      <c r="C105">
        <v>5.5000000000000003E-4</v>
      </c>
    </row>
    <row r="106" spans="1:3" x14ac:dyDescent="0.2">
      <c r="A106">
        <v>103</v>
      </c>
      <c r="B106">
        <v>1E-3</v>
      </c>
      <c r="C106">
        <v>5.5000000000000003E-4</v>
      </c>
    </row>
    <row r="107" spans="1:3" x14ac:dyDescent="0.2">
      <c r="A107">
        <v>104</v>
      </c>
      <c r="B107">
        <v>1E-3</v>
      </c>
      <c r="C107">
        <v>5.5000000000000003E-4</v>
      </c>
    </row>
    <row r="108" spans="1:3" x14ac:dyDescent="0.2">
      <c r="A108">
        <v>105</v>
      </c>
      <c r="B108">
        <v>1E-3</v>
      </c>
      <c r="C108">
        <v>5.5000000000000003E-4</v>
      </c>
    </row>
    <row r="109" spans="1:3" x14ac:dyDescent="0.2">
      <c r="A109">
        <v>106</v>
      </c>
      <c r="B109">
        <v>1E-3</v>
      </c>
      <c r="C109">
        <v>5.5000000000000003E-4</v>
      </c>
    </row>
    <row r="110" spans="1:3" x14ac:dyDescent="0.2">
      <c r="A110">
        <v>107</v>
      </c>
      <c r="B110">
        <v>1E-3</v>
      </c>
      <c r="C110">
        <v>5.5000000000000003E-4</v>
      </c>
    </row>
    <row r="111" spans="1:3" x14ac:dyDescent="0.2">
      <c r="A111">
        <v>108</v>
      </c>
      <c r="B111">
        <v>1E-3</v>
      </c>
      <c r="C111">
        <v>5.5000000000000003E-4</v>
      </c>
    </row>
    <row r="112" spans="1:3" x14ac:dyDescent="0.2">
      <c r="A112">
        <v>109</v>
      </c>
      <c r="B112">
        <v>1E-3</v>
      </c>
      <c r="C112">
        <v>5.5000000000000003E-4</v>
      </c>
    </row>
    <row r="113" spans="1:3" x14ac:dyDescent="0.2">
      <c r="A113">
        <v>110</v>
      </c>
      <c r="B113">
        <v>1E-3</v>
      </c>
      <c r="C113">
        <v>5.5000000000000003E-4</v>
      </c>
    </row>
    <row r="114" spans="1:3" x14ac:dyDescent="0.2">
      <c r="A114">
        <v>111</v>
      </c>
      <c r="B114">
        <v>1E-3</v>
      </c>
      <c r="C114">
        <v>5.5000000000000003E-4</v>
      </c>
    </row>
    <row r="115" spans="1:3" x14ac:dyDescent="0.2">
      <c r="A115">
        <v>112</v>
      </c>
      <c r="B115">
        <v>1E-3</v>
      </c>
      <c r="C115">
        <v>5.5000000000000003E-4</v>
      </c>
    </row>
    <row r="116" spans="1:3" x14ac:dyDescent="0.2">
      <c r="A116">
        <v>113</v>
      </c>
      <c r="B116">
        <v>1E-3</v>
      </c>
      <c r="C116">
        <v>5.5000000000000003E-4</v>
      </c>
    </row>
    <row r="117" spans="1:3" x14ac:dyDescent="0.2">
      <c r="A117">
        <v>114</v>
      </c>
      <c r="B117">
        <v>1E-3</v>
      </c>
      <c r="C117">
        <v>5.5000000000000003E-4</v>
      </c>
    </row>
    <row r="118" spans="1:3" x14ac:dyDescent="0.2">
      <c r="A118">
        <v>115</v>
      </c>
      <c r="B118">
        <v>1E-3</v>
      </c>
      <c r="C118">
        <v>5.5000000000000003E-4</v>
      </c>
    </row>
    <row r="119" spans="1:3" x14ac:dyDescent="0.2">
      <c r="A119">
        <v>116</v>
      </c>
      <c r="B119">
        <v>1E-3</v>
      </c>
      <c r="C119">
        <v>5.5000000000000003E-4</v>
      </c>
    </row>
    <row r="120" spans="1:3" x14ac:dyDescent="0.2">
      <c r="A120">
        <v>117</v>
      </c>
      <c r="B120">
        <v>1E-3</v>
      </c>
      <c r="C120">
        <v>5.5000000000000003E-4</v>
      </c>
    </row>
    <row r="121" spans="1:3" x14ac:dyDescent="0.2">
      <c r="A121">
        <v>118</v>
      </c>
      <c r="B121">
        <v>1E-3</v>
      </c>
      <c r="C121">
        <v>5.5000000000000003E-4</v>
      </c>
    </row>
    <row r="122" spans="1:3" x14ac:dyDescent="0.2">
      <c r="A122">
        <v>119</v>
      </c>
      <c r="B122">
        <v>1E-3</v>
      </c>
      <c r="C122">
        <v>5.5000000000000003E-4</v>
      </c>
    </row>
    <row r="123" spans="1:3" x14ac:dyDescent="0.2">
      <c r="A123">
        <v>120</v>
      </c>
      <c r="B123">
        <v>1E-3</v>
      </c>
      <c r="C123">
        <v>5.5000000000000003E-4</v>
      </c>
    </row>
  </sheetData>
  <phoneticPr fontId="4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s산출</vt:lpstr>
      <vt:lpstr>입력</vt:lpstr>
      <vt:lpstr>위험률</vt:lpstr>
      <vt:lpstr>계산</vt:lpstr>
      <vt:lpstr>기수표</vt:lpstr>
      <vt:lpstr>위험률_확장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pc1</cp:lastModifiedBy>
  <dcterms:created xsi:type="dcterms:W3CDTF">2025-10-18T08:26:30Z</dcterms:created>
  <dcterms:modified xsi:type="dcterms:W3CDTF">2025-10-18T12:26:26Z</dcterms:modified>
</cp:coreProperties>
</file>